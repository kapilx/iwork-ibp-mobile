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tabRatio="842" activeTab="8"/>
  </bookViews>
  <sheets>
    <sheet name="SOW, Feedbacks-Bug &amp; CR_Items" sheetId="1" r:id="rId1"/>
    <sheet name="① Executive Summary" sheetId="2" r:id="rId2"/>
    <sheet name="📅 20-Jul" sheetId="3" r:id="rId3"/>
    <sheet name="📍 27-Jul" sheetId="4" r:id="rId4"/>
    <sheet name="📅 03-Aug" sheetId="5" r:id="rId5"/>
    <sheet name="📅 Upcoming" sheetId="6" r:id="rId6"/>
    <sheet name="VRK Feedbacks" sheetId="7" r:id="rId7"/>
    <sheet name="SOW - Actual Items" sheetId="8" r:id="rId8"/>
    <sheet name="Stablization Items" sheetId="9" r:id="rId9"/>
    <sheet name="Jira Report" sheetId="10" r:id="rId10"/>
    <sheet name="Helper" sheetId="11" state="hidden" r:id="rId11"/>
    <sheet name="Config" sheetId="12" state="hidden" r:id="rId12"/>
  </sheets>
  <definedNames>
    <definedName name="_xlnm._FilterDatabase" localSheetId="0" hidden="1">'SOW, Feedbacks-Bug &amp; CR_Items'!$A$1:$K$355</definedName>
    <definedName name="_xlnm._FilterDatabase" localSheetId="7" hidden="1">'SOW - Actual Items'!$A$1:$F$159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<sst xmlns="http://schemas.openxmlformats.org/spreadsheetml/2006/main" count="5049" uniqueCount="945">
  <si>
    <t>Area</t>
  </si>
  <si>
    <t>Feature</t>
  </si>
  <si>
    <t>Functionality</t>
  </si>
  <si>
    <t>Module</t>
  </si>
  <si>
    <t>Phase</t>
  </si>
  <si>
    <t>Status</t>
  </si>
  <si>
    <t>Remarks</t>
  </si>
  <si>
    <t>Requested Date</t>
  </si>
  <si>
    <t>ETA</t>
  </si>
  <si>
    <t>Resource</t>
  </si>
  <si>
    <t>Jira ID</t>
  </si>
  <si>
    <t>FRAMEWORK: Frontend</t>
  </si>
  <si>
    <t>Project setup</t>
  </si>
  <si>
    <t>Basic project / Development environment setup</t>
  </si>
  <si>
    <t>Framework</t>
  </si>
  <si>
    <t>Milestone 1</t>
  </si>
  <si>
    <t>Delivered</t>
  </si>
  <si>
    <t>IIRM-17</t>
  </si>
  <si>
    <t>UI Approach Design System</t>
  </si>
  <si>
    <t>Building Design System</t>
  </si>
  <si>
    <t>IIRM-734</t>
  </si>
  <si>
    <t>Core Infrastructure</t>
  </si>
  <si>
    <t>Core Infra</t>
  </si>
  <si>
    <t>Build UI components</t>
  </si>
  <si>
    <t>This includes all the UI componnets to compose the application and module definitions: 
Form, Toast, Filter, Cards, Visualisation, Grid, Menu, Header, Footer,
Maps Integration</t>
  </si>
  <si>
    <t>IIRM-836</t>
  </si>
  <si>
    <t>UI Approach Style Establishment</t>
  </si>
  <si>
    <t>UI Style Establishment</t>
  </si>
  <si>
    <t>IIRM-838</t>
  </si>
  <si>
    <t>Service Workers Implementation</t>
  </si>
  <si>
    <t>IIRM-19</t>
  </si>
  <si>
    <t>Core System</t>
  </si>
  <si>
    <t>IIRM-80</t>
  </si>
  <si>
    <t>ACL &amp; RBAC Control Framework</t>
  </si>
  <si>
    <t>IIRM-18</t>
  </si>
  <si>
    <t>Micro Frontend Setup</t>
  </si>
  <si>
    <t>IIRM-15</t>
  </si>
  <si>
    <t>Landing Page</t>
  </si>
  <si>
    <t>FRAMEWORK: Services - Basic Modules</t>
  </si>
  <si>
    <t>Access Control Management</t>
  </si>
  <si>
    <t>IIRM-1528</t>
  </si>
  <si>
    <t>FRAMEWORK: Services - Larger Modules</t>
  </si>
  <si>
    <t>Auth Module (Simple Auth)</t>
  </si>
  <si>
    <t>IIRM-62</t>
  </si>
  <si>
    <t>Micro Service Framework Setup</t>
  </si>
  <si>
    <t>IIRM-16, IIRM-834</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</si>
  <si>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</si>
  <si>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</si>
  <si>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</si>
  <si>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</si>
  <si>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</si>
  <si>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</si>
  <si>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</si>
  <si>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</si>
  <si>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</si>
  <si>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IIRM-740</t>
  </si>
  <si>
    <t>Manage TPA/Insurer</t>
  </si>
  <si>
    <t>Basic Add, View with edit of basic data, with lists of policies/companies</t>
  </si>
  <si>
    <t>IIRM-741, IIRM-742</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</si>
  <si>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</si>
  <si>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</si>
  <si>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</si>
  <si>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</si>
  <si>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</si>
  <si>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</si>
  <si>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</si>
  <si>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IIRM-1556</t>
  </si>
  <si>
    <t>Company (Prospect) Hub</t>
  </si>
  <si>
    <t>Top 10/Latest companies, with search/filter, Table of basic attributes with GPS etc.</t>
  </si>
  <si>
    <t>IIRM-1560</t>
  </si>
  <si>
    <t>Contact Hub</t>
  </si>
  <si>
    <t>Top 10/Latest Contacts, with search/filter, list with basic attributes</t>
  </si>
  <si>
    <t>Opportunity Hub</t>
  </si>
  <si>
    <t>Top Opportunities with search/filter, List of opportunities with high level summaries</t>
  </si>
  <si>
    <t>IIRM-811</t>
  </si>
  <si>
    <t>Contact /Company/Insurer/TPA Mgmt</t>
  </si>
  <si>
    <t>Task Mgmt</t>
  </si>
  <si>
    <t>IIRM-738</t>
  </si>
  <si>
    <t>Meeting Mgmt</t>
  </si>
  <si>
    <t>RBAC and ACL setup for Iwork Module</t>
  </si>
  <si>
    <t>Opportunity Mgmt</t>
  </si>
  <si>
    <t>Master Data Management</t>
  </si>
  <si>
    <t>Milestone 2</t>
  </si>
  <si>
    <t>IIRM-745</t>
  </si>
  <si>
    <t>User Management</t>
  </si>
  <si>
    <t>22-May: Other than iWork employee</t>
  </si>
  <si>
    <t>Pending: User deletion</t>
  </si>
  <si>
    <t>IIRM-744</t>
  </si>
  <si>
    <t>Data Security Considerations</t>
  </si>
  <si>
    <t>Duplicate of Covers in DPDP items</t>
  </si>
  <si>
    <t>IIRM-749</t>
  </si>
  <si>
    <t>Visualization framework</t>
  </si>
  <si>
    <t>Charts and KPIs</t>
  </si>
  <si>
    <t>IIRM-743</t>
  </si>
  <si>
    <t>Document Management</t>
  </si>
  <si>
    <t>Create, Upload, Seach, Download</t>
  </si>
  <si>
    <t>IIRM-750</t>
  </si>
  <si>
    <t>Caching of API Data</t>
  </si>
  <si>
    <t>Audit Data Capturing</t>
  </si>
  <si>
    <t>IIRM-4613</t>
  </si>
  <si>
    <t>CMS</t>
  </si>
  <si>
    <t>Used in IBP</t>
  </si>
  <si>
    <t>Notification and Communication Management</t>
  </si>
  <si>
    <t>IIRM-746</t>
  </si>
  <si>
    <t>Usage Tracking System (Reports)</t>
  </si>
  <si>
    <t>23-May: Handle as a part of Reports</t>
  </si>
  <si>
    <t>Common Data Mapping Component</t>
  </si>
  <si>
    <t>Map input fields to output fields &amp; Order</t>
  </si>
  <si>
    <t>Pending: Additional/Dynamic columns</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</si>
  <si>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</si>
  <si>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</si>
  <si>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</si>
  <si>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</si>
  <si>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</si>
  <si>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</si>
  <si>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</si>
  <si>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</si>
  <si>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IIRM-752</t>
  </si>
  <si>
    <t>Smart Add Component</t>
  </si>
  <si>
    <t>Allow Upload of Document/Image, select what to create (Company/Contact/Opportunity)</t>
  </si>
  <si>
    <t>IIRM-754</t>
  </si>
  <si>
    <t>Dashboard - Drilldowns</t>
  </si>
  <si>
    <t>Drill down from the Tables (Targets vs. Actuals, Pending Activities, Followups, AR Report, Schedule)</t>
  </si>
  <si>
    <t>IIRM-751</t>
  </si>
  <si>
    <t>Sales Team Hierarchy</t>
  </si>
  <si>
    <t>Hierarchy / Org chart tied to Platform Users</t>
  </si>
  <si>
    <t>IIRM-753</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</si>
  <si>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</si>
  <si>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</si>
  <si>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</si>
  <si>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</si>
  <si>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</si>
  <si>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</si>
  <si>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</si>
  <si>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</si>
  <si>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</si>
  <si>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</si>
  <si>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</si>
  <si>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</si>
  <si>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</si>
  <si>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Cut Off Mgmt</t>
  </si>
  <si>
    <t>Pre-PROD</t>
  </si>
  <si>
    <t>Karan</t>
  </si>
  <si>
    <t>Document Generation</t>
  </si>
  <si>
    <t>Milestone 3</t>
  </si>
  <si>
    <t>IIRM-760</t>
  </si>
  <si>
    <t>Cover Mgmt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</si>
  <si>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</si>
  <si>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</si>
  <si>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IIRM-757</t>
  </si>
  <si>
    <t>Stage Mgmt (Activity/Transaction/Quote)</t>
  </si>
  <si>
    <t>Asset/Member Data Mgmt</t>
  </si>
  <si>
    <t>IIRM-759</t>
  </si>
  <si>
    <t>Endorsement Mgmt</t>
  </si>
  <si>
    <t>MIR Entry Mgmt</t>
  </si>
  <si>
    <t>Entry Form, Print to Document, List of Earlier MIRs, Search on MIRs</t>
  </si>
  <si>
    <t>Sunil</t>
  </si>
  <si>
    <t>IIRM-758</t>
  </si>
  <si>
    <t>Module to manage MIR {Monthly Infomatiom Report}</t>
  </si>
  <si>
    <t>Production - Bug</t>
  </si>
  <si>
    <t>Enrolment Journey - Component - Notes</t>
  </si>
  <si>
    <t>Policy Level - Component Notes from Stapi</t>
  </si>
  <si>
    <t>IBP</t>
  </si>
  <si>
    <t>Milestone 6</t>
  </si>
  <si>
    <t>Yet to start</t>
  </si>
  <si>
    <t>Kriti raised</t>
  </si>
  <si>
    <t>Configuration Management</t>
  </si>
  <si>
    <t>Milestone 4</t>
  </si>
  <si>
    <t>IIRM-762</t>
  </si>
  <si>
    <t>Feature Flag Control Management</t>
  </si>
  <si>
    <t>Localistation Management</t>
  </si>
  <si>
    <t>IIRM-764</t>
  </si>
  <si>
    <t>Caching Implementation</t>
  </si>
  <si>
    <t>Notifications Management</t>
  </si>
  <si>
    <t>Different email notification - Madhav excel.
1. Renewal Reminders - ASAP
2. Instalment Reminders
3. Others</t>
  </si>
  <si>
    <t>Pushyami</t>
  </si>
  <si>
    <t>IIRM-761, IIRM-4740</t>
  </si>
  <si>
    <t>Workflow Management</t>
  </si>
  <si>
    <t>23-May: Integrate the 3'rd party libraries</t>
  </si>
  <si>
    <t>Not in scope</t>
  </si>
  <si>
    <t>23-Jul-2026: As per Gopal as this system custom and most of the data is driven from Master creating/plug any 3'rd Party will make complex.</t>
  </si>
  <si>
    <t>IIRM-766</t>
  </si>
  <si>
    <t>Archived Oppurtunity, Policy Mgmt {Archived Biz Data and Retrieval on need} - DPDP</t>
  </si>
  <si>
    <t>DPDP</t>
  </si>
  <si>
    <t>Duplicate of Archival from NFR &amp; DPDP</t>
  </si>
  <si>
    <t>Rama</t>
  </si>
  <si>
    <t>Reports</t>
  </si>
  <si>
    <t>Generic template for all the reports, Bizdone Report, Missing entries from commission statement against policies</t>
  </si>
  <si>
    <t>Milestone 5</t>
  </si>
  <si>
    <t>Delivered - Deficit</t>
  </si>
  <si>
    <t>Linked with Reconciliation Management &amp; Commission</t>
  </si>
  <si>
    <t>Rule Definition Management</t>
  </si>
  <si>
    <t>IIRM-765</t>
  </si>
  <si>
    <t>IBP: Services - Larger Modules</t>
  </si>
  <si>
    <t>IBP - User Management</t>
  </si>
  <si>
    <t>IBP: HR Portal - Company-Scoped Employee Access for Client HR (Ex. TeamLease's Customer)</t>
  </si>
  <si>
    <t>IIRM-10375</t>
  </si>
  <si>
    <t>IBP - Portal Setup</t>
  </si>
  <si>
    <t>Post policy creation, create default IBP Portal Config for all the company-policy(ies)</t>
  </si>
  <si>
    <t>Manjusha</t>
  </si>
  <si>
    <t>IIRM-794</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</si>
  <si>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</si>
  <si>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</si>
  <si>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</si>
  <si>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</si>
  <si>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</si>
  <si>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</si>
  <si>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</si>
  <si>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</si>
  <si>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IIRM-776</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</si>
  <si>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</si>
  <si>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</si>
  <si>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</si>
  <si>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</si>
  <si>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</si>
  <si>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</si>
  <si>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</si>
  <si>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</si>
  <si>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Framework: NFR</t>
  </si>
  <si>
    <t>NFR_Usability</t>
  </si>
  <si>
    <t>NFR-USA-018: The session management should be configurable from UI
23-May: Configure from UI &amp; store in DB; When changed then restart server</t>
  </si>
  <si>
    <t>IIRM-9912</t>
  </si>
  <si>
    <t>Policy Document</t>
  </si>
  <si>
    <t>IBP-Risk Watch: Show the each policy document</t>
  </si>
  <si>
    <t>Tharun</t>
  </si>
  <si>
    <t>NFR-USA-015: The system must show personalized welcome messages and profile information based on locale.</t>
  </si>
  <si>
    <t>IIRM-4477</t>
  </si>
  <si>
    <t>NFR-USA-016: Notification banners must be dismissible and configurable based on role.</t>
  </si>
  <si>
    <t>No notifications in IBP</t>
  </si>
  <si>
    <t>IIRM-4478</t>
  </si>
  <si>
    <t>Whitelabelling Support</t>
  </si>
  <si>
    <t>IIRM-775</t>
  </si>
  <si>
    <t>Company Plans</t>
  </si>
  <si>
    <t>6 Policies - GMC, GPA, GTL, Parental Plicy, Top-ups, OPD Policy (Summary view of policies)</t>
  </si>
  <si>
    <t>IIRM-774</t>
  </si>
  <si>
    <t>IBP Landing Page - Basic</t>
  </si>
  <si>
    <t>Basic Landing Page with only company plans and summart</t>
  </si>
  <si>
    <t>IIRM-771</t>
  </si>
  <si>
    <t>Contact Matrix View</t>
  </si>
  <si>
    <t>Contact Matrix View for end user</t>
  </si>
  <si>
    <t>IIRM-8036</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</si>
  <si>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</si>
  <si>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</si>
  <si>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</si>
  <si>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</si>
  <si>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</si>
  <si>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</si>
  <si>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</si>
  <si>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</si>
  <si>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</si>
  <si>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</si>
  <si>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IIRM-773</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</si>
  <si>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</si>
  <si>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</si>
  <si>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</si>
  <si>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</si>
  <si>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IIRM-8572</t>
  </si>
  <si>
    <t>Contact Matrix Configuration</t>
  </si>
  <si>
    <t>Matrix of Contact Infomration</t>
  </si>
  <si>
    <t>HR/Admin Portal View</t>
  </si>
  <si>
    <t>Supporting services for Admin Portal</t>
  </si>
  <si>
    <t>Admin Reports</t>
  </si>
  <si>
    <t>Services for multiple reports</t>
  </si>
  <si>
    <t>IIRM-778</t>
  </si>
  <si>
    <t>Wellness Discount List Management</t>
  </si>
  <si>
    <t>Add/Remove/update Discount program benefits</t>
  </si>
  <si>
    <t>IBP/iWork</t>
  </si>
  <si>
    <t>Group Policy Mgmt - Data Load</t>
  </si>
  <si>
    <t>End User data load {Similar to inception data load only but this time it is from the policy definition stage and confiemd by HR of the Company}. Reuse of the inception data load</t>
  </si>
  <si>
    <t>Ravi</t>
  </si>
  <si>
    <t>iWork: Services - Basic Modules</t>
  </si>
  <si>
    <t>Client - Associated Location (IBP HR Module)</t>
  </si>
  <si>
    <t>IBP - HR: Policy Location - Add Company Associated Locations, Flow to Opty., Policy &amp; Policy Config</t>
  </si>
  <si>
    <t>IIRM-10516</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</si>
  <si>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</si>
  <si>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</si>
  <si>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</si>
  <si>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</si>
  <si>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</si>
  <si>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</si>
  <si>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</si>
  <si>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</si>
  <si>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Policy Component - Strapi</t>
  </si>
  <si>
    <t>IBP Portal - Each card should have seperate points &amp; Policy feature documents</t>
  </si>
  <si>
    <t>TPA Integration Mgmt [Framework]</t>
  </si>
  <si>
    <t>1. Framework in iWork
2. Validate the integration for the existing 6 TPA's</t>
  </si>
  <si>
    <t>IIRM-783</t>
  </si>
  <si>
    <t>Accessibility</t>
  </si>
  <si>
    <t>20-Jul: Jagadees --&gt; Need More details</t>
  </si>
  <si>
    <t>IIRM-763</t>
  </si>
  <si>
    <t>My Client Portfolio</t>
  </si>
  <si>
    <t>My Client Portfolio: issues - company search and brokerage</t>
  </si>
  <si>
    <t>Bizonde filter/table - Add "Income type"</t>
  </si>
  <si>
    <t>Opportunity</t>
  </si>
  <si>
    <t>Opportunity History details are unavailable for the end user to view.
Show TAT section (Planned date, Performed/Completed date, Approved date) for planned acitivites</t>
  </si>
  <si>
    <t>IIRM-5292</t>
  </si>
  <si>
    <t>Additional columns in file like Department, DOJ, Emp. Location, Vertical, Others</t>
  </si>
  <si>
    <t>RO Scheduler Enhancements</t>
  </si>
  <si>
    <t>Jagadeesh</t>
  </si>
  <si>
    <t>IIRM-10456</t>
  </si>
  <si>
    <t>Knowledge Central</t>
  </si>
  <si>
    <t>Grouped list of Documents/Resources, Add a Document, Remove a Document (Add/remove only for admins)</t>
  </si>
  <si>
    <t>IIRM-768</t>
  </si>
  <si>
    <t>TAT/SLA Mgmt (Including Service Score)</t>
  </si>
  <si>
    <t>IIRM-769, IIRM-770</t>
  </si>
  <si>
    <t>Country Handling {Data Source Mgmt}</t>
  </si>
  <si>
    <t>23-May: Respective org. data should reside in the same country.</t>
  </si>
  <si>
    <t>Localisation</t>
  </si>
  <si>
    <t>Pending: Service Flow</t>
  </si>
  <si>
    <t>Upload from Partner of services bought on Partner site</t>
  </si>
  <si>
    <t>Upload, listing, confirm &amp; load into DB by an Iwork user. These are services purchased / discounts availed on partner sites by IBP corporate users</t>
  </si>
  <si>
    <t>IIRM-793</t>
  </si>
  <si>
    <t>Landing Page Services</t>
  </si>
  <si>
    <t>Benefits Summary View, Upcoming welness appointment, Policy renewals, Individual Plans Summary views</t>
  </si>
  <si>
    <t>Framework: DPDP</t>
  </si>
  <si>
    <t>Enable SAST</t>
  </si>
  <si>
    <t>Integrate SSO / MFA</t>
  </si>
  <si>
    <t>Capture consent within app</t>
  </si>
  <si>
    <t>IIRM-8015</t>
  </si>
  <si>
    <t>Allow easy consent withdrawal</t>
  </si>
  <si>
    <t>Approval workflow</t>
  </si>
  <si>
    <t>Show privacy notice with purpose, retention, rights</t>
  </si>
  <si>
    <t>Service Flow - Upload Employee Details</t>
  </si>
  <si>
    <t>Upsert logic - Tough there is an employee data historically, when user upload latest file we have to update the "Empolyee" or "Dependent" details with the latest information</t>
  </si>
  <si>
    <t>IBP/iWork - CR</t>
  </si>
  <si>
    <t>DEV - WIP</t>
  </si>
  <si>
    <t>App vulnerability scans</t>
  </si>
  <si>
    <t>Dev - WIP</t>
  </si>
  <si>
    <t>Document Flows</t>
  </si>
  <si>
    <t>Perform security UAT</t>
  </si>
  <si>
    <t>Remove unnecessary fields</t>
  </si>
  <si>
    <t>Dev - Done</t>
  </si>
  <si>
    <t>Enforce business logic to restrict purpose</t>
  </si>
  <si>
    <t>Allow user corrections</t>
  </si>
  <si>
    <t>Delete expired data</t>
  </si>
  <si>
    <t>Map PII tables</t>
  </si>
  <si>
    <t>QA - WIP</t>
  </si>
  <si>
    <t>iWork: Services - Larger Modules</t>
  </si>
  <si>
    <t>Teams Integration</t>
  </si>
  <si>
    <t>MS Teams - Meetings &amp; Tasks integration into iWork
Bi-Directional</t>
  </si>
  <si>
    <t>Enable delete pipeline</t>
  </si>
  <si>
    <t>User Profile</t>
  </si>
  <si>
    <t>Profile, Service Subscriptions, Feedback</t>
  </si>
  <si>
    <t>Pending: Service Subscriptions, Feedback</t>
  </si>
  <si>
    <t>Evexia Club Integration</t>
  </si>
  <si>
    <t>Integration to Evexia</t>
  </si>
  <si>
    <t>IIRM-795</t>
  </si>
  <si>
    <t>Define archival</t>
  </si>
  <si>
    <t>Premium Range Calculator</t>
  </si>
  <si>
    <t>Calculate insurance premium range. Calculate the IDV of various assets</t>
  </si>
  <si>
    <t>Retail Business</t>
  </si>
  <si>
    <t>Multiple 3rd Party Service Mgmt</t>
  </si>
  <si>
    <t>Elderly Services, Dental Services etc. 3rd Party integrations. Multiple providers
3 such services are in scope at this stage {Redhealth, MyDental, AkinCare}</t>
  </si>
  <si>
    <t>Claims Mgmt</t>
  </si>
  <si>
    <t>Part-2: Personal Policy based claim mgmt, Tracking status, Document Mgmt related to claims</t>
  </si>
  <si>
    <t>3rd Party SSO</t>
  </si>
  <si>
    <t>Props based SSO links to 3rd Parties</t>
  </si>
  <si>
    <t>SSO Framework implemented fro TPA</t>
  </si>
  <si>
    <t>IIRM-10433</t>
  </si>
  <si>
    <t>Hospital Network Mgmt</t>
  </si>
  <si>
    <t>Based on the Insurer and TPA, network of hospitals needs to be presented in a consolidated view</t>
  </si>
  <si>
    <t>IIRM-7589</t>
  </si>
  <si>
    <t>Static Info Sections - Landing</t>
  </si>
  <si>
    <t>Benefits Guide, FAQs, Help</t>
  </si>
  <si>
    <t>IIRM-791</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</si>
  <si>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</si>
  <si>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</si>
  <si>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</si>
  <si>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</si>
  <si>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</si>
  <si>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IIRM-7631</t>
  </si>
  <si>
    <t>Part-1: Company Provided Policy based claim mgmt, Tracking status, Document Mgmt related to claims</t>
  </si>
  <si>
    <t>Feedback Mgmt</t>
  </si>
  <si>
    <t>User Feedback capture service</t>
  </si>
  <si>
    <t>IBP support is already in place</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</si>
  <si>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</si>
  <si>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</si>
  <si>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Dynamic Info Sections - Landing</t>
  </si>
  <si>
    <t>Hospital network, Offers and Discounts, Benfits at Glance, Quick Links</t>
  </si>
  <si>
    <t>Pending: Offers &amp; Discuounts</t>
  </si>
  <si>
    <t>End User Portal Configurator</t>
  </si>
  <si>
    <t>What set of features to be enabled or disabled, Offers, Benefits etc. More or less how portal should contain and visible to end user needs to be configured (per Corporate Configuration)</t>
  </si>
  <si>
    <t>Pending: Offer, Feature flagging (UI)</t>
  </si>
  <si>
    <t>Benefits Summary</t>
  </si>
  <si>
    <t>End User's Summary View</t>
  </si>
  <si>
    <t>Basic Wellness Hub</t>
  </si>
  <si>
    <t>Basic wellness hub - Currently only 3 wellness programs (3rd parties) supported</t>
  </si>
  <si>
    <t>Wellness</t>
  </si>
  <si>
    <t>IIRM-784</t>
  </si>
  <si>
    <t>Wellness Admin Configurator</t>
  </si>
  <si>
    <t>Admin side of IBP (in iWork) needs to customize/configure the offerings/page per Corporate.</t>
  </si>
  <si>
    <t>IIRM-790</t>
  </si>
  <si>
    <t>Book Ambulance</t>
  </si>
  <si>
    <t>Floater on the screen - Integrate to Ambulance Service</t>
  </si>
  <si>
    <t>Dashboard issue - ISG planning count mismatch</t>
  </si>
  <si>
    <t>Online Pharmacy Integration</t>
  </si>
  <si>
    <t>External Pharmacy integration(s), more than one pharmacy capability. SSO to the pharmacy.</t>
  </si>
  <si>
    <t>IIRM-792</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</si>
  <si>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</si>
  <si>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</si>
  <si>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IIRM-788</t>
  </si>
  <si>
    <t>Production - Feedback</t>
  </si>
  <si>
    <t>Claim Intimation &amp; Submission</t>
  </si>
  <si>
    <t>POC - Using AI(Amazon Textract) - Extract Claim documents and populate the data</t>
  </si>
  <si>
    <t>IBP - CR</t>
  </si>
  <si>
    <t>Part-2: Hub of all plans I have as an employee - individually signed up. Mostly a navigational page</t>
  </si>
  <si>
    <t>Wellness HR View</t>
  </si>
  <si>
    <t>HR View of Wellness usage by Employees</t>
  </si>
  <si>
    <t>IIRM-785</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</si>
  <si>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</si>
  <si>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</si>
  <si>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</si>
  <si>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</si>
  <si>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Business Performance-breakup - count mismatch</t>
  </si>
  <si>
    <t>Individual Plan Summary</t>
  </si>
  <si>
    <t>View of individual Plans currently owned with renewal dates, premiums etc.</t>
  </si>
  <si>
    <t>Profile Migration</t>
  </si>
  <si>
    <t>Request migration of Corporate Profile to Individual</t>
  </si>
  <si>
    <t>View Service Score</t>
  </si>
  <si>
    <t>My Client Portfolio: Service Score - Single Table (drillable) to calculate an overall score
Dashboard - Service Score - Widget</t>
  </si>
  <si>
    <t>ISG Flow Changes</t>
  </si>
  <si>
    <t>Placement Slip flow - Terrorism premium in Insurer Sharing</t>
  </si>
  <si>
    <t>Madhav sent in IIRM email</t>
  </si>
  <si>
    <t>Request migration of Individual Profile to Corporate</t>
  </si>
  <si>
    <t>TPA Integration Mgmt [GHPL]</t>
  </si>
  <si>
    <t>Launch TPA - SSO
Ecards API - Read &amp; View Details
Hospital Network
Claims Status API - Read, Store &amp; View Details
Claim Intimation API
Claim Live Status - Single Claim</t>
  </si>
  <si>
    <t>IBP Landing Page - Customization</t>
  </si>
  <si>
    <t>Landing Page customization in Admin side of IBP - available in iWork (per Corporate)</t>
  </si>
  <si>
    <t>IIRM-786</t>
  </si>
  <si>
    <t>Integration UI Component</t>
  </si>
  <si>
    <t>Integration UI Component (for TPA, HRMS, Insurer)
Similar to TPA API Integration Framework for any 3'rd Party</t>
  </si>
  <si>
    <t>Wellness IIRM View</t>
  </si>
  <si>
    <t>IIRM View of Wellness usage by Corporates/Employees (IBP Admin)</t>
  </si>
  <si>
    <t>NFR-USA-021: Guidelines for document management should be provided</t>
  </si>
  <si>
    <t>NFR</t>
  </si>
  <si>
    <t>Pending: Provide the document on how do we store and view it</t>
  </si>
  <si>
    <t>IIRM-4482</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</si>
  <si>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</si>
  <si>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</si>
  <si>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</si>
  <si>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</si>
  <si>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</si>
  <si>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</si>
  <si>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</si>
  <si>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Claim Mgmt</t>
  </si>
  <si>
    <t>Insurer Integration Mgmt</t>
  </si>
  <si>
    <t>Can be used as a part of External API Intergration</t>
  </si>
  <si>
    <t>Reconciliation Management
Upload Commission Statement</t>
  </si>
  <si>
    <t>Upload commission statement, reconcile against issued policies; 
Upload invoice &amp; reconcile against commission stmt; 
Upload invoice statuses and reconcile paid/unpaid
Premium vs Brokerage Invoice vs Brokerage Collected; Data from Finops</t>
  </si>
  <si>
    <t>Need inputs from Kapil</t>
  </si>
  <si>
    <t>Manage Insurer</t>
  </si>
  <si>
    <t>Insurer-branch-edit</t>
  </si>
  <si>
    <t>Sign DPDP clauses</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</si>
  <si>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</si>
  <si>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IIRM-4480</t>
  </si>
  <si>
    <t>Reconciliation Mgmt</t>
  </si>
  <si>
    <t>Asset fields which are captured at Broking slip, few of the asset fields should not be printed at the time of Placement slip (example, no of members at inception, total lives, prev policy expiring year etc.) only for GMC</t>
  </si>
  <si>
    <t>iWork - CR</t>
  </si>
  <si>
    <t>Policy Configuration</t>
  </si>
  <si>
    <t>DNV Group - Dependent based SI &amp; Premium configuration</t>
  </si>
  <si>
    <t>NFR-OTH-022: A self-service report generator must be available for dynamic query/report creation.</t>
  </si>
  <si>
    <t>Discussed this with Surya sir last visit to Divami office</t>
  </si>
  <si>
    <t>IIRM-4533</t>
  </si>
  <si>
    <t>VRK - PROD Feedback</t>
  </si>
  <si>
    <t>Manage Insurer - Add Insurer Flow</t>
  </si>
  <si>
    <t>Opty. Flow - Add new Insurer Branch Details</t>
  </si>
  <si>
    <t>BizDone - Finance Team to see the respective Org. data similar to VRK</t>
  </si>
  <si>
    <t>Premium Rater Table</t>
  </si>
  <si>
    <t>Insurer Management</t>
  </si>
  <si>
    <t>Enhance Insurer - Add, Edit, &amp; Contacts</t>
  </si>
  <si>
    <t>IIRM-10435</t>
  </si>
  <si>
    <t>IBP - Email Communication</t>
  </si>
  <si>
    <t>For an enrolled employee with Dependents using Service, instead of Welcome Email they should get Confirmation email</t>
  </si>
  <si>
    <t>API is ready. Need to add into Notification framework</t>
  </si>
  <si>
    <t>Using AI - Extract the Policy document and perform Policy Configuration (Premium, Family, Parameters, &amp; Others)</t>
  </si>
  <si>
    <t>Enable Parent-Child Policy Mapping for GMC and Sub-Plans (Parental, OPD, Dental, Others)
- How to view config from Base to Child Policiy?
- How to handle endorsement &amp; Claims? (Entire Service Flow)</t>
  </si>
  <si>
    <t>IIRM-9443</t>
  </si>
  <si>
    <t>Endorsement Mgmt (Non-Group / Non-GMC / Non-EB)</t>
  </si>
  <si>
    <t>Enhance the Non-GMC Process (Based on Kishore feedback)</t>
  </si>
  <si>
    <t>PROD Bug: Data Discrepancy - Inception/Endorsement vs Send to Client/Insurer (Preview &amp; Excel)</t>
  </si>
  <si>
    <t>Prathiphala</t>
  </si>
  <si>
    <t>IIRM-10291</t>
  </si>
  <si>
    <t>PROD Bug: When download the TPA file, dependents are Missing in the file</t>
  </si>
  <si>
    <t>IIRM-10587</t>
  </si>
  <si>
    <t>Add new fields - Business Month &amp; Date of Business - Capture in Opty. &amp; Flow to Policy and add filters in BizDone
--&gt; Refer to Madhav email "Business Month Requirement"</t>
  </si>
  <si>
    <t>Pending: Additional filters</t>
  </si>
  <si>
    <t>End-2-End: Automation of IBP Go-live Setup</t>
  </si>
  <si>
    <t>1. Form based data collection
2. Default CMS details
3. Configure the sub-domain in AWS (any API)</t>
  </si>
  <si>
    <t>IIRM-10591</t>
  </si>
  <si>
    <t>IBP - Enrolment Journey - Reset</t>
  </si>
  <si>
    <t>VRK - PROD Feedback: 5-Jun-2026</t>
  </si>
  <si>
    <t>Manage SO - Update the date filters to "SO Expiry Date"</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</si>
  <si>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</si>
  <si>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IIRM-4526</t>
  </si>
  <si>
    <t>Based on recent billing - Identifying the gaps in Redis data storage and gaps in implementation</t>
  </si>
  <si>
    <t>VRK - PROD Feedback: 8-Jun-2026</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</si>
  <si>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</si>
  <si>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</si>
  <si>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</si>
  <si>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</si>
  <si>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</si>
  <si>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</si>
  <si>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</si>
  <si>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</si>
  <si>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</si>
  <si>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</si>
  <si>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</si>
  <si>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</si>
  <si>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VRK - PROD Feedback: 8-Jun-2026
IIRM-10589</t>
  </si>
  <si>
    <t>My client portfolio - Period (Company created) change to - Period (policies created) --- Show the same filters of Manage Policy</t>
  </si>
  <si>
    <t>IIRM-10589</t>
  </si>
  <si>
    <t>My RO clicked should not get highlighted to My SO menu link.</t>
  </si>
  <si>
    <t>My client portfolio - list of all companies for Active policies only</t>
  </si>
  <si>
    <t>Policy Expiry Timeline by SBU - when clicked, redirect to RO screen with the counts.</t>
  </si>
  <si>
    <t>Commercial lines 25-26 numbers should be rectified; it should be 24.99</t>
  </si>
  <si>
    <t>funnels - alignment graph issues with grid;</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</si>
  <si>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</si>
  <si>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</si>
  <si>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Not a bug</t>
  </si>
  <si>
    <t>10-Jun: As per Surya/Kapil Sir. It's Active Policies only</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</si>
  <si>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</si>
  <si>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Filter stickyness is not working for Bizdone and check with all the other screens.
(Filters Persistence in all the screens)</t>
  </si>
  <si>
    <t>my followup should be added into my actionalables with default display instead of "All" tab.</t>
  </si>
  <si>
    <t>VRK - PROD Feedback: 9-Jun-2026</t>
  </si>
  <si>
    <t>Dual approval mechanism - current logic and recommendation to enable as per the current CRM hierarchy</t>
  </si>
  <si>
    <t>BD/ISG planning dates should be empty and mandatory - should be mandatory to start the journey.</t>
  </si>
  <si>
    <t>In "Manage Quotes"/"Manage SO" page, a link should be provided on the activity name, it should get redirected to respective activity stage.</t>
  </si>
  <si>
    <t>Issue in Bizdone search results - Company name not visible</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</si>
  <si>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</si>
  <si>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</si>
  <si>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</si>
  <si>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</si>
  <si>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</si>
  <si>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</si>
  <si>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</si>
  <si>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</si>
  <si>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</si>
  <si>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</si>
  <si>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</si>
  <si>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</si>
  <si>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</si>
  <si>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</si>
  <si>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</si>
  <si>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Risk Watch - Endorsement - Documents &amp; Communication</t>
  </si>
  <si>
    <t>Wellness Banner &amp; SSO</t>
  </si>
  <si>
    <t>Add banner and SSO to Alyve Wellness (Only Banner)</t>
  </si>
  <si>
    <t>Security</t>
  </si>
  <si>
    <t>InfoSec - IBP Portal (Security Issue)</t>
  </si>
  <si>
    <t>IIRM-10590</t>
  </si>
  <si>
    <t>Policy Config: Dependent Based Configurations
- Per life depedent addition &amp; increase SI
- Apply Policy Parameters for dependents</t>
  </si>
  <si>
    <t>Policy Config</t>
  </si>
  <si>
    <t>New Policy constraints
1. Allow first child as Twin
2. Allow second child as Triplet
3. SI per Dependent
4. Parent Lock-in period</t>
  </si>
  <si>
    <t>Opportunity - Validate uploaded documents</t>
  </si>
  <si>
    <t>Using AI - Extract the documents, validate, populate the data in the Opty. flow (Ex. KDM Meeting, Policy Hard Copy, &amp; Others)</t>
  </si>
  <si>
    <t>Need some information about the document rules that defines the idenity of it</t>
  </si>
  <si>
    <t>Export to Excel</t>
  </si>
  <si>
    <t>Export to excel - iWork all the results table; Download is on Previlage</t>
  </si>
  <si>
    <t>IIRM-10667</t>
  </si>
  <si>
    <t>iWork - Knowledge Central Re-Design</t>
  </si>
  <si>
    <t>IIRM-10668</t>
  </si>
  <si>
    <t>iLearn: Document Preview in-app</t>
  </si>
  <si>
    <t>Dashboard - Hide the widgets where there is NO data in the cards</t>
  </si>
  <si>
    <t>Discuss with Madhav</t>
  </si>
  <si>
    <t>19-Jun-2026: Financial Impact fields should be seperated from actual fields. These fields should NOT be populated on their own. (Mainly BizDone &amp; Dashboard)
Also, check if we are there are any data loads for 2025-26</t>
  </si>
  <si>
    <t>Rewards</t>
  </si>
  <si>
    <t>Rewards - Generic (Specific - Out of scope)</t>
  </si>
  <si>
    <t>Risk Watch: Showing policy feature documents at each policy</t>
  </si>
  <si>
    <t>IBP Portal Configure - Wellness - Buttons, CMS, &amp; any other - Flag Driven</t>
  </si>
  <si>
    <t>SSO - MS AD Account</t>
  </si>
  <si>
    <t>iWork - SSO with Microsoft AD (POC)</t>
  </si>
  <si>
    <t>10-Jun-2026: POC Demo to Venu completed</t>
  </si>
  <si>
    <t>Installment &amp; Fee Requirements</t>
  </si>
  <si>
    <t>Installments &amp; Fee to BizDone</t>
  </si>
  <si>
    <t>Risk Watch - Enrolment Drive</t>
  </si>
  <si>
    <t>Risk Watch - List view to see the list of enrolment dritve</t>
  </si>
  <si>
    <t>Claims Process</t>
  </si>
  <si>
    <t>Process claims without TPA ID (GPA &amp; GTL - flag based)</t>
  </si>
  <si>
    <t>Teamlease - Request</t>
  </si>
  <si>
    <t>Flexibility to configure multiple companies &amp; policies on a single domain</t>
  </si>
  <si>
    <t>VRK - PROD Feedback: 23-Jun-2026</t>
  </si>
  <si>
    <t>Additional section display: Placement Funnel, Schedule, Followup</t>
  </si>
  <si>
    <t>Ribbon level: Reports should include Poppins &amp; Bizdone report</t>
  </si>
  <si>
    <t>Hide "Reports" from Left Menu</t>
  </si>
  <si>
    <t>Remove "±5 days of expiry"</t>
  </si>
  <si>
    <t>Dashboard - SO - Add SBU schedule &amp; My Follow-ups</t>
  </si>
  <si>
    <t>Dashboard - RO - Add SBU schedule &amp; My Follow-ups</t>
  </si>
  <si>
    <t>Business Performance - Update to stacked bar</t>
  </si>
  <si>
    <t>My RO - SBU, Vertical, Branch break-down with details</t>
  </si>
  <si>
    <t>Manage SO - SBU, Vertical, Branch break-down with details</t>
  </si>
  <si>
    <t>BizDone - SBU, Vertical, Branch break-down with details</t>
  </si>
  <si>
    <t>My Client Portfolio - SBU, Vertical, Branch break-down with details</t>
  </si>
  <si>
    <t>Dashboard - Filter &amp; drill-down</t>
  </si>
  <si>
    <t>IIRM-10666</t>
  </si>
  <si>
    <t>IBP - Policy Component Card Re-design</t>
  </si>
  <si>
    <t>iWork and iTicket should be accessible via VPN</t>
  </si>
  <si>
    <t>InsureEasy</t>
  </si>
  <si>
    <t>InsureEasy Integration - Retail Business</t>
  </si>
  <si>
    <t>AI</t>
  </si>
  <si>
    <t>Wherever AI is implemented, there should be fallback if one day we turnoff AI then there shouldn’t be any impact in the working functionality</t>
  </si>
  <si>
    <t>Claims Corner - Screen Re-design</t>
  </si>
  <si>
    <t>IIRM-9988</t>
  </si>
  <si>
    <t>AI Nudges are NOT working. If there is NO AI, then DB scripts should run and show data</t>
  </si>
  <si>
    <t>IBP - Raise Ticket</t>
  </si>
  <si>
    <t>Edit the ticket and update the status by the Lead CRM &amp; System Admin</t>
  </si>
  <si>
    <t>One URL multiple companies</t>
  </si>
  <si>
    <t>Flexibility to configure multiple companies on a single domain</t>
  </si>
  <si>
    <t>IIRM-10609</t>
  </si>
  <si>
    <t>Inception/Endorsement</t>
  </si>
  <si>
    <t>Endorsement data upload related
* Track-1: TeamLease - 2024-2025 Year policies
* All endorsement -&gt; Headers, Member data, &amp; endorsement Document
* Track-2: Old Financial data
* Track-3: Current Financial data
* Track-4: Handle the data in IBP-Risk Watch</t>
  </si>
  <si>
    <t>Enrolment Journey</t>
  </si>
  <si>
    <t>Add GPA note based on employee type (Leadership vs Employee)</t>
  </si>
  <si>
    <t>No Policy Config - Enrolment Journey</t>
  </si>
  <si>
    <t>Enrolment Journey - Collect Dependents Details ONLY</t>
  </si>
  <si>
    <t>1. IBP - Enrolment - Completed
2. Service - WIP</t>
  </si>
  <si>
    <t>IIRM-10764</t>
  </si>
  <si>
    <t>Madhav &amp; Veera</t>
  </si>
  <si>
    <t>Data Load - Company, Policy, Broker &amp; Insurer - 30 Files</t>
  </si>
  <si>
    <t>Neeraj Joshi</t>
  </si>
  <si>
    <t>Policy - Inception/Endorsement - Data Load - 13 Files</t>
  </si>
  <si>
    <t>Employee Details</t>
  </si>
  <si>
    <t>Trim spaces in the dependent names</t>
  </si>
  <si>
    <t>Show Insurer Policy Details</t>
  </si>
  <si>
    <t>Hide DOJ as there is NO source for us.</t>
  </si>
  <si>
    <t>BizDone</t>
  </si>
  <si>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</si>
  <si>
    <t>Send employee emails - Either AWS or Send Grid - Company Config</t>
  </si>
  <si>
    <t>IBP - FAQ</t>
  </si>
  <si>
    <t>Policy Level - FAQ</t>
  </si>
  <si>
    <t>Data Load - Company, Policy, &amp; Insurer - 38 Files</t>
  </si>
  <si>
    <t>Production Bugs - Via Emails/Tickets - 10</t>
  </si>
  <si>
    <t>VRK - PROD Feedback: 13-Jul-2026</t>
  </si>
  <si>
    <t>Enhanced Screens: Layout Changes - Remove the Vertical section. Keep only Branch.</t>
  </si>
  <si>
    <t>IIRM-10765</t>
  </si>
  <si>
    <t>Functional Changes - Make the Funnel interactive so that clicking on each stage navigates to the corresponding enhanced screen.
Also, when we click on "Numbers" also it has to move to respective screens</t>
  </si>
  <si>
    <t>Pending: Becuase the enhanced screens are yet to Approve</t>
  </si>
  <si>
    <t>Dashboard Issues - Organization-wise summary cards are not required.</t>
  </si>
  <si>
    <t>Madhav sir confirmed via Teams Chat</t>
  </si>
  <si>
    <t>Dashboard Issues - Under PL, the bar chart should represent SO-level data instead of the currently displayed RO-level data.</t>
  </si>
  <si>
    <t>Dashboard UI &amp; Visualization - Remove the SO/RO labels from the bar charts. Display only the figures inside the bars, with the corresponding details available on mouse hover (tooltip).</t>
  </si>
  <si>
    <t>Dashboard UI &amp; Visualization - Review and correct the display of negative values for TeamLease under RO, particularly for Q3 bar-chart.</t>
  </si>
  <si>
    <t>Brokerage Display - Display Brokerage information only. Hide Premium values in the enhanced screens.</t>
  </si>
  <si>
    <t>BizDone Enhanced Screen - Hide Premium.
Display:
RO Brokerage
SO Brokerage</t>
  </si>
  <si>
    <t>Dashboard UI &amp; Visualization - Resolve the Premium value formatting issue. Values should be displayed consistently in Millions/Billions.</t>
  </si>
  <si>
    <t>Dashboard UI &amp; Visualization - Display the Endorsement section above the section “Business Collection Summary”.</t>
  </si>
  <si>
    <t>Dashboard UI &amp; Visualization - Move the Policy Type Distribution section above RO by SBU.</t>
  </si>
  <si>
    <t>Dashboard UI &amp; Visualization - Rename/update the Policy Type names “Fire &amp; Engineering”, “Speciality Lines - Liability”</t>
  </si>
  <si>
    <t>Functional Changes - The SO Activity Follow-up screen should not display ISG-related activities.</t>
  </si>
  <si>
    <t>Dashboard Issues - When IIRM Holdings is selected, the Organization-level cards and graphs are not displayed. Verify and fix the issue.</t>
  </si>
  <si>
    <t>Enhanced Screens: Layout Changes - Display the data using an Accordion layout in the following order:
Company → SBU → Branch → Executive → Client → Policy</t>
  </si>
  <si>
    <t>Toast Message - UI</t>
  </si>
  <si>
    <t>Update the font &amp; style for Toast message across application</t>
  </si>
  <si>
    <t>Surya sir provided an idea via email to Me &amp; Naveen</t>
  </si>
  <si>
    <t>Surya's feedback</t>
  </si>
  <si>
    <t>Policy Details - Strip - Remove view more button and company is clickable</t>
  </si>
  <si>
    <t>iWork - Report</t>
  </si>
  <si>
    <t>When we generate 2025-2026 data for IIRM India then API request is a failure. Need to find a solution</t>
  </si>
  <si>
    <t>IBP - Welcome Emails</t>
  </si>
  <si>
    <t>Dual approval/confirmation - Before sending to Employees.
1. 2 levels in iWork
2. CRM will submit &amp; HR will approve in Risk Watch</t>
  </si>
  <si>
    <t>Application Access similar to SysAdmin</t>
  </si>
  <si>
    <t>Need one more user like SYSADMIN. This user to be below SYSADMIN - and should be 100% read-only user - access etc all like SYSADMIN including Bizdone report download etc
Also, inpersonate the user and see the data</t>
  </si>
  <si>
    <t>1. Kapil sir sent it via Teams Chat.
2. Surya sir mentioned this in Call on Saturday</t>
  </si>
  <si>
    <t>IBP - Send "Welcome Emails" or any email from IBP to include CC by HR or CRM User</t>
  </si>
  <si>
    <t>BizDone &amp; Dashboard - Data Issue</t>
  </si>
  <si>
    <t>Delete demo company, Demo company, Dummy company, Nokia Corporation (ref number 22337)</t>
  </si>
  <si>
    <t>Instead of delete, we maked the status NOT to show in the BizDone &amp; Dashboard</t>
  </si>
  <si>
    <t>Update the associate CRM and Lead CRM as per enclosed sheet. This sheet has policy data. As per this, related SO, RO, Company also to be updated. Their are few records without any associate CRM assignment. So leave them blank. -- Refer to Data update.msg &amp; CRM-Update.xlsx</t>
  </si>
  <si>
    <t>Update Net Premium, Brokerage %, Brokerage Amount, &amp; Income Month -- Refer to Data update - Set 2.msg &amp; cl-updated.xlsx</t>
  </si>
  <si>
    <t>Update Lead CRM as Policy Owner for the selected Policies provided by Kapil</t>
  </si>
  <si>
    <t>Update Opty. Owner value to Lead CRM of the Company</t>
  </si>
  <si>
    <t>Access Issue</t>
  </si>
  <si>
    <t>When a user above the hirerchary is accessing the data, application is throwing "unauthorized" message</t>
  </si>
  <si>
    <t>Kapil's feedback</t>
  </si>
  <si>
    <t>Data change requests - Madhav's -  Ass. CRM &amp; Others - Refer to Jagadeesh email</t>
  </si>
  <si>
    <t>Income month prefilling in endorsements</t>
  </si>
  <si>
    <t>UX issue</t>
  </si>
  <si>
    <t>Display of complete amounts in KPI cards on hover</t>
  </si>
  <si>
    <t>Dashboard and BizDone Brokerage mismatch</t>
  </si>
  <si>
    <t>Removal of + or - 5 days logic in the filters - Revert the logic</t>
  </si>
  <si>
    <t>In BizDone - Include Fee &amp; Rewards in Total Brokerage</t>
  </si>
  <si>
    <t>In Dashboard - Include Fee &amp; Rewards in Achieved</t>
  </si>
  <si>
    <t>Rewards will be added in RO as per Surya's sir and mention a note. Later based on VRK's feedback we will update it.</t>
  </si>
  <si>
    <t>Help Info - Field formulaes or field values</t>
  </si>
  <si>
    <t>In any of the screen, we have to provide an info icon where it will help the users how critical fields in that screen are derieved or got populated</t>
  </si>
  <si>
    <t>NFR-USA-011: The system should support at least 100 concurrent users without performance degradation.</t>
  </si>
  <si>
    <t>Fine tuning the API's where there is a delay</t>
  </si>
  <si>
    <t>Akhila</t>
  </si>
  <si>
    <t>IIRM-4473</t>
  </si>
  <si>
    <t>Application Performance</t>
  </si>
  <si>
    <t>IIRM-10799_Performance (Database &amp; Infra)</t>
  </si>
  <si>
    <t>IIRM-10799</t>
  </si>
  <si>
    <t>Quarterly restore tests</t>
  </si>
  <si>
    <t>Enrollment reminders - Need another configuration "Every day" and send till last day of enrolment</t>
  </si>
  <si>
    <t>Enhanced screen: My Client Portfolio</t>
  </si>
  <si>
    <t>Chat Interface</t>
  </si>
  <si>
    <t>Floater on the screen - Integrate with AI Component and IWork support channel</t>
  </si>
  <si>
    <t>IIRM-789</t>
  </si>
  <si>
    <t>IBP: Services - AI Components</t>
  </si>
  <si>
    <t>Chat for End Users</t>
  </si>
  <si>
    <t>Chat Module to interact with Chat Bot and Customer Support Representative</t>
  </si>
  <si>
    <t>External chatbot integration?</t>
  </si>
  <si>
    <t>Pending: Mobile responsive</t>
  </si>
  <si>
    <t>Velangini Raju</t>
  </si>
  <si>
    <t>HRMS Integration Mgmt
Framework provided to link the HRMS portal in Risk Watch</t>
  </si>
  <si>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</si>
  <si>
    <t>Personal Line Data Integrations</t>
  </si>
  <si>
    <t>DSR and iWork Integration Enablement</t>
  </si>
  <si>
    <t>Enrolment Journey - EMI's</t>
  </si>
  <si>
    <t>Based on Employee's enrolment period, the EMI months should be pro-ration month.
Ex: Day-1 should show the all months EMI. If someone enrol after 2-months then EMI should be based on that.</t>
  </si>
  <si>
    <t>BizDone - Data Updates</t>
  </si>
  <si>
    <t>Bizdone 2025-26 - Ass. CRM &amp; Lead CRM Corrections</t>
  </si>
  <si>
    <t>PROJECT DELIVERY PLAN</t>
  </si>
  <si>
    <t>iWork · IBP · Framework  (IIRM SOW)   |   Status Overview &amp; Forward Roadmap   ·   As of 31-Jul-2026</t>
  </si>
  <si>
    <t>OVERALL COMPLETION</t>
  </si>
  <si>
    <t>REMAINING WORK</t>
  </si>
  <si>
    <t>items still to deliver across all modules — planned week by week in the weekly sheets</t>
  </si>
  <si>
    <t>SOW SCOPE  —  ORIGINAL vs CURRENT ITEMS</t>
  </si>
  <si>
    <t>Static comparison vs the 'SOW - Actual Items' reference sheet (original contracted scope). Matched by Module + Feature name. Recomputed on each re-run of the script.</t>
  </si>
  <si>
    <t>Original SOW items</t>
  </si>
  <si>
    <t>158</t>
  </si>
  <si>
    <t>Currently tracked (all items)</t>
  </si>
  <si>
    <t>354</t>
  </si>
  <si>
    <t>— new: DPDP / NFR / Change Requests</t>
  </si>
  <si>
    <t>77</t>
  </si>
  <si>
    <t>— new: organic growth (existing modules)</t>
  </si>
  <si>
    <t>127</t>
  </si>
  <si>
    <t>Net growth vs original SOW (158 → 354)</t>
  </si>
  <si>
    <t>+196</t>
  </si>
  <si>
    <t>⚠  2 original SOW item(s) still need review — no matching row in the tracker and no mapping note yet.</t>
  </si>
  <si>
    <t>🔗  15 item(s) already mapped by hand to a renamed/restructured tracker row — see notes in 'SOW - Actual Items'.</t>
  </si>
  <si>
    <t>WEEKLY INTAKE  —  items requested (by Requested Date)</t>
  </si>
  <si>
    <t>Period</t>
  </si>
  <si>
    <t>Added</t>
  </si>
  <si>
    <t>Pending</t>
  </si>
  <si>
    <t>% Closed</t>
  </si>
  <si>
    <t>Before 01-Jun-2026</t>
  </si>
  <si>
    <t>Week of 01 Jun 2026</t>
  </si>
  <si>
    <t>Week of 08 Jun 2026</t>
  </si>
  <si>
    <t>Week of 15 Jun 2026</t>
  </si>
  <si>
    <t>Week of 22 Jun 2026</t>
  </si>
  <si>
    <t>Week of 29 Jun 2026</t>
  </si>
  <si>
    <t>Week of 06 Jul 2026</t>
  </si>
  <si>
    <t>Week of 13 Jul 2026</t>
  </si>
  <si>
    <t>Week of 20 Jul 2026  — last week</t>
  </si>
  <si>
    <t>Week of 27 Jul 2026  — this week</t>
  </si>
  <si>
    <t>Requested ahead (after 02 Aug)</t>
  </si>
  <si>
    <t>No Requested Date</t>
  </si>
  <si>
    <t>TOTAL</t>
  </si>
  <si>
    <t>STATUS BREAKDOWN  (all items)</t>
  </si>
  <si>
    <t>Dev Complete</t>
  </si>
  <si>
    <t>In Development</t>
  </si>
  <si>
    <t>In QA</t>
  </si>
  <si>
    <t>Pre-PROD / UAT</t>
  </si>
  <si>
    <t>Not Started</t>
  </si>
  <si>
    <t>Partial Delivery</t>
  </si>
  <si>
    <t>N/A</t>
  </si>
  <si>
    <t>PROGRESS BY MODULE</t>
  </si>
  <si>
    <t>Type</t>
  </si>
  <si>
    <t>Total</t>
  </si>
  <si>
    <t>% Complete</t>
  </si>
  <si>
    <t>Progress</t>
  </si>
  <si>
    <t>iWork (Backlog)</t>
  </si>
  <si>
    <t>Backlog</t>
  </si>
  <si>
    <t>iWork (Change Requests)</t>
  </si>
  <si>
    <t>Change Request</t>
  </si>
  <si>
    <t>IBP (Backlog)</t>
  </si>
  <si>
    <t>IBP (Change Requests)</t>
  </si>
  <si>
    <t>IBP / iWork (Shared)</t>
  </si>
  <si>
    <t>IBP / iWork (Shared CRs)</t>
  </si>
  <si>
    <t>All</t>
  </si>
  <si>
    <t>PENDING BY MILESTONE &amp; MODULE</t>
  </si>
  <si>
    <t>Milestone</t>
  </si>
  <si>
    <t>TOTAL PENDING</t>
  </si>
  <si>
    <t>ITEMS BY MILESTONE &amp; STATUS</t>
  </si>
  <si>
    <t>% Complete = Delivered ÷ (Delivered + Pending).  N/A items (duplicates) are excluded from the calculation.  All figures update live from the 'SOW, Feedbacks-Bug &amp; CR_Items' sheet.</t>
  </si>
  <si>
    <t>WEEK OF 20 Jul 2026  →  26 Jul 2026   —   20 items  ·  20 delivered  ·  0 pending  ·  LAST WEEK</t>
  </si>
  <si>
    <t>⚠️  Static snapshot.  To update: edit STATUS/ETA in the source sheet, then re-run build_iirm_summary.py</t>
  </si>
  <si>
    <t>#</t>
  </si>
  <si>
    <t>Requested</t>
  </si>
  <si>
    <t xml:space="preserve">  iWork (Backlog &amp; CRs)     ·     20 items  ·  20 delivered  ·  0 pending</t>
  </si>
  <si>
    <t>20-Jul-2026</t>
  </si>
  <si>
    <t>21-Jul-2026</t>
  </si>
  <si>
    <t/>
  </si>
  <si>
    <t>16-May-2025</t>
  </si>
  <si>
    <t>22-Jul-2026</t>
  </si>
  <si>
    <t>14-Jul-2026</t>
  </si>
  <si>
    <t>23-Jul-2026</t>
  </si>
  <si>
    <t>10-Jun-2025</t>
  </si>
  <si>
    <t>24-Jul-2026</t>
  </si>
  <si>
    <t>31-Jul-2025</t>
  </si>
  <si>
    <t>WEEK OF 27 Jul 2026  →  02 Aug 2026   —   11 items  ·  11 delivered  ·  0 pending  ·  CURRENT WEEK</t>
  </si>
  <si>
    <t xml:space="preserve">  iWork (Backlog &amp; CRs)     ·     9 items  ·  9 delivered  ·  0 pending</t>
  </si>
  <si>
    <t>27-Jul-2026</t>
  </si>
  <si>
    <t>28-Jul-2026</t>
  </si>
  <si>
    <t>29-Jul-2026</t>
  </si>
  <si>
    <t>31-Jul-2026</t>
  </si>
  <si>
    <t>30-Jul-2026</t>
  </si>
  <si>
    <t xml:space="preserve">  IBP (Backlog &amp; CRs)     ·     2 items  ·  2 delivered  ·  0 pending</t>
  </si>
  <si>
    <t>WEEK OF 03 Aug 2026  →  09 Aug 2026   —   76 items  ·  1 delivered  ·  75 pending  ·  NEXT WEEK</t>
  </si>
  <si>
    <t xml:space="preserve">  iWork (Backlog &amp; CRs)     ·     36 items  ·  0 delivered  ·  36 pending</t>
  </si>
  <si>
    <t>16-Apr-2025</t>
  </si>
  <si>
    <t>03-Aug-2026</t>
  </si>
  <si>
    <t>01-Jul-2026</t>
  </si>
  <si>
    <t>04-Aug-2026</t>
  </si>
  <si>
    <t>25-Jul-2026</t>
  </si>
  <si>
    <t>05-Aug-2026</t>
  </si>
  <si>
    <t>07-Aug-2026</t>
  </si>
  <si>
    <t>21-Apr-2026</t>
  </si>
  <si>
    <t>01-May-2026</t>
  </si>
  <si>
    <t>08-May-2026</t>
  </si>
  <si>
    <t>05-Jun-2026</t>
  </si>
  <si>
    <t>15-Jun-2026</t>
  </si>
  <si>
    <t>25-Jun-2026</t>
  </si>
  <si>
    <t>04-Jul-2026</t>
  </si>
  <si>
    <t>09-Jul-2026</t>
  </si>
  <si>
    <t>17-Jul-2026</t>
  </si>
  <si>
    <t xml:space="preserve">  IBP (Backlog &amp; CRs)     ·     21 items  ·  0 delivered  ·  21 pending</t>
  </si>
  <si>
    <t>21-Jun-2026</t>
  </si>
  <si>
    <t xml:space="preserve">  Framework (DPDP, NFR, Framework)     ·     19 items  ·  1 delivered  ·  18 pending</t>
  </si>
  <si>
    <t>UPCOMING  (ETA beyond 03 Aug week)   —   0 items  ·  0 delivered  ·  0 pending</t>
  </si>
  <si>
    <t>VRK — PROD FEEDBACK TRACKER     ·     68 items  ·  66 delivered  ·  2 pending</t>
  </si>
  <si>
    <t>All 'VRK - PROD Feedback:' items, broken up by week (status then ETA within a week).  Excluded from the other views.  Static snapshot.</t>
  </si>
  <si>
    <t xml:space="preserve">  📅  WEEK OF 08 Jun → 14 Jun 2026   ·   PAST     ·     27 items</t>
  </si>
  <si>
    <t>08-Jun-2026</t>
  </si>
  <si>
    <t>09-Jun-2026</t>
  </si>
  <si>
    <t>10-Jun-2026</t>
  </si>
  <si>
    <t>12-Jun-2026</t>
  </si>
  <si>
    <t xml:space="preserve">  📅  WEEK OF 15 Jun → 21 Jun 2026   ·   PAST     ·     8 items</t>
  </si>
  <si>
    <t>16-Jun-2026</t>
  </si>
  <si>
    <t>19-Jun-2026</t>
  </si>
  <si>
    <t xml:space="preserve">  📅  WEEK OF 22 Jun → 28 Jun 2026   ·   PAST     ·     1 item</t>
  </si>
  <si>
    <t>24-Jun-2026</t>
  </si>
  <si>
    <t xml:space="preserve">  📅  WEEK OF 29 Jun → 05 Jul 2026   ·   PAST     ·     8 items</t>
  </si>
  <si>
    <t>30-Jun-2026</t>
  </si>
  <si>
    <t>23-Jun-2026</t>
  </si>
  <si>
    <t>02-Jul-2026</t>
  </si>
  <si>
    <t xml:space="preserve">  📅  WEEK OF 06 Jul → 12 Jul 2026   ·   PAST     ·     3 items</t>
  </si>
  <si>
    <t>07-Jul-2026</t>
  </si>
  <si>
    <t>08-Jul-2026</t>
  </si>
  <si>
    <t xml:space="preserve">  📅  WEEK OF 13 Jul → 19 Jul 2026   ·   PAST     ·     13 items</t>
  </si>
  <si>
    <t>13-Jul-2026</t>
  </si>
  <si>
    <t>15-Jul-2026</t>
  </si>
  <si>
    <t xml:space="preserve">  📅  WEEK OF 20 Jul → 26 Jul 2026   ·   LAST WEEK     ·     3 items</t>
  </si>
  <si>
    <t xml:space="preserve">  📍  WEEK OF 27 Jul → 02 Aug 2026   ·   CURRENT WEEK     ·     2 items</t>
  </si>
  <si>
    <t xml:space="preserve">  📅  WEEK OF 03 Aug → 09 Aug 2026   ·   NEXT WEEK     ·     2 items</t>
  </si>
  <si>
    <t xml:space="preserve">  🗓  No ETA assigned     ·     1 item</t>
  </si>
  <si>
    <t>Match Status</t>
  </si>
  <si>
    <t>Refer to "SOW, Feedbacks-Bug &amp; CR_Items"</t>
  </si>
  <si>
    <t>✓ Found in tracker</t>
  </si>
  <si>
    <t>Visualization framework (mobile)</t>
  </si>
  <si>
    <t>🔗 Mapped (see note)</t>
  </si>
  <si>
    <t>Map to line number 35 in Sheet-SOW, Feedbacks-Bug &amp; CR_Items</t>
  </si>
  <si>
    <t>Document Management (Mobile)</t>
  </si>
  <si>
    <t>Map to line number 36 in Sheet-SOW, Feedbacks-Bug &amp; CR_Items</t>
  </si>
  <si>
    <t>Caching of API Data (Mobile)</t>
  </si>
  <si>
    <t>Map to line number 37 in Sheet-SOW, Feedbacks-Bug &amp; CR_Items</t>
  </si>
  <si>
    <t>Usage Tracking System</t>
  </si>
  <si>
    <t>Map to line number 41 in Sheet-SOW, Feedbacks-Bug &amp; CR_Items</t>
  </si>
  <si>
    <t>Data ca n be accessed only through the APIs and in the same network 
Database can be accessed on through Jumphost
Database access is based on privilages</t>
  </si>
  <si>
    <t>Common, Contexual Read and Spread Component</t>
  </si>
  <si>
    <t>Map to line number 47 in Sheet-SOW, Feedbacks-Bug &amp; CR_Items</t>
  </si>
  <si>
    <t>Module to manage MIR {Monthly Information Report}</t>
  </si>
  <si>
    <t>Servicing Stats Dashboard - Single Table (drillable) to calculate an overall score</t>
  </si>
  <si>
    <t>Physical data storage is limiited to a particular country and can't be combined with other country data</t>
  </si>
  <si>
    <t>Map to line number 115 in Sheet-SOW, Feedbacks-Bug &amp; CR_Items</t>
  </si>
  <si>
    <t>Archived Oppurtunity, Policy Mgmt {Archived Biz Data and Retrieval on need}</t>
  </si>
  <si>
    <t>Map to line number 71 in Sheet-SOW, Feedbacks-Bug &amp; CR_Items</t>
  </si>
  <si>
    <t>Basic Landing Page with only company plans and summary</t>
  </si>
  <si>
    <t>Hub of all plans I have as an employee - both Company provided and individually signed up. Mostly a navigational page</t>
  </si>
  <si>
    <t>6 Policies - GMC, GPA, GTL, Parental Plicy, Top-ups, OPD Policy (Summary view of policies</t>
  </si>
  <si>
    <t>Document Hub - covers Policies, Prescriptions, Reports</t>
  </si>
  <si>
    <t>Map to line number 126 in Sheet-SOW, Feedbacks-Bug &amp; CR_Items</t>
  </si>
  <si>
    <t>Employee Search, Resend Email, Update Employee Info, Delete Employees, Extend Enrollment Windows, Reports, Bulk Email</t>
  </si>
  <si>
    <t>Map to line number 100 in Sheet-SOW, Feedbacks-Bug &amp; CR_Items</t>
  </si>
  <si>
    <t>Wellness Benefits Mgmt</t>
  </si>
  <si>
    <t>Company Sponsered, Personal Discounted services</t>
  </si>
  <si>
    <t>Username and Password based authentication and RBAC on simple-auth users. Auth rules needs configuration capability</t>
  </si>
  <si>
    <t>Reconciliation ManagementUpload Commission Statement</t>
  </si>
  <si>
    <t>Upload commission statement, reconcile against issued policies; 
Upload invoice &amp; reconcile against commission stmt; 
Upload invoice statuses and reconcile paid/unpaid</t>
  </si>
  <si>
    <t>Map to line number 190 in Sheet-SOW, Feedbacks-Bug &amp; CR_Items</t>
  </si>
  <si>
    <t>Integration UI Component (for TPA, HRMS, Insurer)</t>
  </si>
  <si>
    <t>TPA Integration Mgmt</t>
  </si>
  <si>
    <t>Map to line number 114 in Sheet-SOW, Feedbacks-Bug &amp; CR_Items</t>
  </si>
  <si>
    <t>HRMS Integration Mgmt</t>
  </si>
  <si>
    <t>Base framework needs to be built and actual integration shoudl be on need</t>
  </si>
  <si>
    <t>⚠ NOT in tracker</t>
  </si>
  <si>
    <t>Map to line number 127 in Sheet-SOW, Feedbacks-Bug &amp; CR_Items</t>
  </si>
  <si>
    <t>Admin side of IBM (in iWork) needs to customize/configure the offerings/page per Corporate.</t>
  </si>
  <si>
    <t>OPD Claims Process Mgmt</t>
  </si>
  <si>
    <t>Claim initiation - some metadata and upload of documents</t>
  </si>
  <si>
    <t>Map to line number 149 in Sheet-SOW, Feedbacks-Bug &amp; CR_Items</t>
  </si>
  <si>
    <t>2nd Opinion Claims Process Mgmt</t>
  </si>
  <si>
    <t>Managing 2nd opinion - initiate with data and upload documents</t>
  </si>
  <si>
    <t>OPD &amp; 2nd Opinon Claims Processing</t>
  </si>
  <si>
    <t>A report or generated file to be sent through manual processing</t>
  </si>
  <si>
    <t>My Services Mgmt</t>
  </si>
  <si>
    <t>Summary view of the services subscribed (Wellness)</t>
  </si>
  <si>
    <t>Map to line number 168 in Sheet-SOW, Feedbacks-Bug &amp; CR_Items</t>
  </si>
  <si>
    <t>Company Provided and Personal Policy based claim mgmt, Tracking status, Document Mgmt related to claims</t>
  </si>
  <si>
    <t>List of Stabilization Items</t>
  </si>
  <si>
    <t>Sl. #</t>
  </si>
  <si>
    <t>Sub-Module</t>
  </si>
  <si>
    <t>Item</t>
  </si>
  <si>
    <t>Efforts (Hrs.)</t>
  </si>
  <si>
    <t>Assigned To</t>
  </si>
  <si>
    <t>Start Date</t>
  </si>
  <si>
    <t>End Date</t>
  </si>
  <si>
    <t>Offload Excel Generation: Disconnect report generation from HTTP requests to prevent timeout issues. Use an asynchronous thread or long polling for status updates and file downloading.</t>
  </si>
  <si>
    <t>1-A</t>
  </si>
  <si>
    <t xml:space="preserve">API Tweaks for making data request </t>
  </si>
  <si>
    <t xml:space="preserve">Sunil </t>
  </si>
  <si>
    <t xml:space="preserve">Implementing queue / query building </t>
  </si>
  <si>
    <t xml:space="preserve">Tweaks / Update Procees the data onto file and store / upload to storage </t>
  </si>
  <si>
    <t xml:space="preserve">Long Poling Implementation for Bizdone Download - Front End </t>
  </si>
  <si>
    <t>1-B</t>
  </si>
  <si>
    <t xml:space="preserve">Query Tuning for Binzdone Query, Dashboard Performances </t>
  </si>
  <si>
    <t xml:space="preserve">Abhilash </t>
  </si>
  <si>
    <t>1-C</t>
  </si>
  <si>
    <t xml:space="preserve">Implementation of the dynamic fetching of the dashboard widgets data without depending on performance output cron job </t>
  </si>
  <si>
    <t>Centralised code or util function to fetch the KPIs in biz done report and dashboard data for re-usability</t>
  </si>
  <si>
    <t>1-D</t>
  </si>
  <si>
    <t>Migration Data load Should be always complete only Performances Job Execution - Continous acitivity</t>
  </si>
  <si>
    <t>Having individual component loaders on the landing page for each component and web-socket framework to avoid long-loading blank page issue.</t>
  </si>
  <si>
    <t>Jobs</t>
  </si>
  <si>
    <t>Process Jobs - Review, Enhance and document</t>
  </si>
  <si>
    <t>3-A</t>
  </si>
  <si>
    <t>Job - Expiry Opportunity - Review and Enhance</t>
  </si>
  <si>
    <t>3-B</t>
  </si>
  <si>
    <t>Job - Opportunity Creation - Review and Enhance</t>
  </si>
  <si>
    <t>3-C</t>
  </si>
  <si>
    <t>Job - Dashboard</t>
  </si>
  <si>
    <t>3-D</t>
  </si>
  <si>
    <t>3-E</t>
  </si>
  <si>
    <t>3-F</t>
  </si>
  <si>
    <t>3-G</t>
  </si>
  <si>
    <t>3-H</t>
  </si>
  <si>
    <t>Issue Type</t>
  </si>
  <si>
    <t>Summary</t>
  </si>
  <si>
    <t>Reporter</t>
  </si>
  <si>
    <t>Product</t>
  </si>
  <si>
    <t>Parent</t>
  </si>
  <si>
    <t>Category</t>
  </si>
  <si>
    <t>Bucket</t>
  </si>
  <si>
    <t>ReqDate</t>
  </si>
  <si>
    <t>Status_Raw</t>
  </si>
  <si>
    <t>Duplicate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</si>
</sst>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yy"/>
    <numFmt numFmtId="177" formatCode="[$₹]#,##0"/>
    <numFmt numFmtId="178" formatCode="[$-409]d\-mmm\-yyyy;@"/>
  </numFmts>
  <fonts count="75">
    <font>
      <sz val="11"/>
      <color theme="1"/>
      <name val="Calibri"/>
      <charset val="134"/>
      <scheme val="minor"/>
    </font>
    <font>
      <b/>
      <sz val="11"/>
      <name val="Calibri"/>
      <charset val="134"/>
      <scheme val="minor"/>
    </font>
    <font>
      <b/>
      <sz val="11"/>
      <color theme="1"/>
      <name val="Arial"/>
      <charset val="134"/>
    </font>
    <font>
      <sz val="11"/>
      <color theme="1"/>
      <name val="Arial"/>
      <charset val="134"/>
    </font>
    <font>
      <b/>
      <sz val="10"/>
      <color theme="1"/>
      <name val="Arial"/>
      <charset val="134"/>
    </font>
    <font>
      <b/>
      <sz val="9"/>
      <color rgb="FFFFFFFF"/>
      <name val="Arial"/>
      <charset val="134"/>
    </font>
    <font>
      <sz val="10"/>
      <color theme="1"/>
      <name val="Calibri"/>
      <charset val="134"/>
    </font>
    <font>
      <b/>
      <sz val="10"/>
      <color theme="1"/>
      <name val="Calibri"/>
      <charset val="134"/>
    </font>
    <font>
      <sz val="10"/>
      <color theme="1"/>
      <name val="Arial"/>
      <charset val="134"/>
    </font>
    <font>
      <sz val="9"/>
      <color rgb="FF375623"/>
      <name val="Arial"/>
      <charset val="134"/>
    </font>
    <font>
      <sz val="9"/>
      <color rgb="FF1F4E79"/>
      <name val="Arial"/>
      <charset val="134"/>
    </font>
    <font>
      <b/>
      <sz val="9"/>
      <color rgb="FF9C0006"/>
      <name val="Arial"/>
      <charset val="134"/>
    </font>
    <font>
      <sz val="10"/>
      <color rgb="FF000000"/>
      <name val="Calibri"/>
      <charset val="134"/>
    </font>
    <font>
      <b/>
      <sz val="14"/>
      <color rgb="FFFFFFFF"/>
      <name val="Arial"/>
      <charset val="134"/>
    </font>
    <font>
      <sz val="8"/>
      <color rgb="FF843C0C"/>
      <name val="Arial"/>
      <charset val="134"/>
    </font>
    <font>
      <b/>
      <sz val="10"/>
      <color rgb="FFFFFFFF"/>
      <name val="Arial"/>
      <charset val="134"/>
    </font>
    <font>
      <sz val="8"/>
      <color rgb="FF3D3D3D"/>
      <name val="Arial"/>
      <charset val="134"/>
    </font>
    <font>
      <b/>
      <sz val="8"/>
      <color rgb="FF375623"/>
      <name val="Arial"/>
      <charset val="134"/>
    </font>
    <font>
      <b/>
      <sz val="10"/>
      <color rgb="FF3D3D3D"/>
      <name val="Arial"/>
      <charset val="134"/>
    </font>
    <font>
      <b/>
      <sz val="8"/>
      <color rgb="FF9C0006"/>
      <name val="Arial"/>
      <charset val="134"/>
    </font>
    <font>
      <b/>
      <sz val="8"/>
      <color rgb="FF843C0C"/>
      <name val="Arial"/>
      <charset val="134"/>
    </font>
    <font>
      <b/>
      <sz val="8"/>
      <color rgb="FF1F4E79"/>
      <name val="Arial"/>
      <charset val="134"/>
    </font>
    <font>
      <b/>
      <sz val="8"/>
      <color rgb="FF7F6000"/>
      <name val="Arial"/>
      <charset val="134"/>
    </font>
    <font>
      <b/>
      <sz val="8"/>
      <color rgb="FF006B6B"/>
      <name val="Arial"/>
      <charset val="134"/>
    </font>
    <font>
      <b/>
      <sz val="8"/>
      <color rgb="FF2E5F8A"/>
      <name val="Arial"/>
      <charset val="134"/>
    </font>
    <font>
      <b/>
      <sz val="14"/>
      <color rgb="FF3D3D3D"/>
      <name val="Arial"/>
      <charset val="134"/>
    </font>
    <font>
      <b/>
      <sz val="22"/>
      <color rgb="FFFFFFFF"/>
      <name val="Arial"/>
      <charset val="134"/>
    </font>
    <font>
      <sz val="10"/>
      <color rgb="FFC9D3DD"/>
      <name val="Arial"/>
      <charset val="134"/>
    </font>
    <font>
      <b/>
      <sz val="11"/>
      <color rgb="FF3D3D3D"/>
      <name val="Arial"/>
      <charset val="134"/>
    </font>
    <font>
      <b/>
      <sz val="44"/>
      <color rgb="FF375623"/>
      <name val="Arial"/>
      <charset val="134"/>
    </font>
    <font>
      <b/>
      <sz val="13"/>
      <color rgb="FF3D3D3D"/>
      <name val="Arial"/>
      <charset val="134"/>
    </font>
    <font>
      <b/>
      <sz val="44"/>
      <color rgb="FF9C0006"/>
      <name val="Arial"/>
      <charset val="134"/>
    </font>
    <font>
      <b/>
      <sz val="11"/>
      <color rgb="FFFFFFFF"/>
      <name val="Arial"/>
      <charset val="134"/>
    </font>
    <font>
      <sz val="8"/>
      <color rgb="FF7A7A7A"/>
      <name val="Arial"/>
      <charset val="134"/>
    </font>
    <font>
      <sz val="9"/>
      <color rgb="FF3D3D3D"/>
      <name val="Arial"/>
      <charset val="134"/>
    </font>
    <font>
      <b/>
      <sz val="9"/>
      <color rgb="FF3D3D3D"/>
      <name val="Arial"/>
      <charset val="134"/>
    </font>
    <font>
      <b/>
      <sz val="9"/>
      <color rgb="FF1F4E79"/>
      <name val="Arial"/>
      <charset val="134"/>
    </font>
    <font>
      <sz val="9"/>
      <color rgb="FF7F6000"/>
      <name val="Arial"/>
      <charset val="134"/>
    </font>
    <font>
      <b/>
      <sz val="9"/>
      <color rgb="FF7F6000"/>
      <name val="Arial"/>
      <charset val="134"/>
    </font>
    <font>
      <sz val="8"/>
      <color rgb="FF1F4E79"/>
      <name val="Arial"/>
      <charset val="134"/>
    </font>
    <font>
      <b/>
      <sz val="20"/>
      <color rgb="FF375623"/>
      <name val="Arial"/>
      <charset val="134"/>
    </font>
    <font>
      <b/>
      <sz val="20"/>
      <color rgb="FF006B6B"/>
      <name val="Arial"/>
      <charset val="134"/>
    </font>
    <font>
      <b/>
      <sz val="20"/>
      <color rgb="FF1F4E79"/>
      <name val="Arial"/>
      <charset val="134"/>
    </font>
    <font>
      <b/>
      <sz val="20"/>
      <color rgb="FF2E5F8A"/>
      <name val="Arial"/>
      <charset val="134"/>
    </font>
    <font>
      <b/>
      <sz val="20"/>
      <color rgb="FF843C0C"/>
      <name val="Arial"/>
      <charset val="134"/>
    </font>
    <font>
      <b/>
      <sz val="20"/>
      <color rgb="FF9C0006"/>
      <name val="Arial"/>
      <charset val="134"/>
    </font>
    <font>
      <b/>
      <sz val="20"/>
      <color rgb="FF7F6000"/>
      <name val="Arial"/>
      <charset val="134"/>
    </font>
    <font>
      <b/>
      <sz val="20"/>
      <color rgb="FF595959"/>
      <name val="Arial"/>
      <charset val="134"/>
    </font>
    <font>
      <b/>
      <sz val="8"/>
      <color rgb="FF595959"/>
      <name val="Arial"/>
      <charset val="134"/>
    </font>
    <font>
      <b/>
      <sz val="9"/>
      <color rgb="FF375623"/>
      <name val="Arial"/>
      <charset val="134"/>
    </font>
    <font>
      <b/>
      <sz val="9"/>
      <color rgb="FF2E4057"/>
      <name val="Arial"/>
      <charset val="134"/>
    </font>
    <font>
      <b/>
      <sz val="8"/>
      <color rgb="FFFFFFFF"/>
      <name val="Arial"/>
      <charset val="134"/>
    </font>
    <font>
      <b/>
      <sz val="10"/>
      <color rgb="FFFFFFFF"/>
      <name val="Calibri"/>
      <charset val="134"/>
    </font>
    <font>
      <sz val="10"/>
      <color rgb="FFFF0000"/>
      <name val="Calibri"/>
      <charset val="134"/>
    </font>
    <font>
      <sz val="10"/>
      <color rgb="FF242424"/>
      <name val="Calibri"/>
      <charset val="134"/>
    </font>
    <font>
      <strike/>
      <sz val="10"/>
      <color rgb="FF242424"/>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3">
    <fill>
      <patternFill patternType="none"/>
    </fill>
    <fill>
      <patternFill patternType="gray125"/>
    </fill>
    <fill>
      <patternFill patternType="solid">
        <fgColor rgb="FFFF9900"/>
        <bgColor rgb="FFFF9900"/>
      </patternFill>
    </fill>
    <fill>
      <patternFill patternType="solid">
        <fgColor rgb="FFFFFF00"/>
        <bgColor rgb="FFFFFF00"/>
      </patternFill>
    </fill>
    <fill>
      <patternFill patternType="solid">
        <fgColor rgb="FF3D3D3D"/>
        <bgColor indexed="64"/>
      </patternFill>
    </fill>
    <fill>
      <patternFill patternType="solid">
        <fgColor rgb="FFFFFFFF"/>
        <bgColor rgb="FFFFFFFF"/>
      </patternFill>
    </fill>
    <fill>
      <patternFill patternType="solid">
        <fgColor rgb="FFE2EFDA"/>
        <bgColor indexed="64"/>
      </patternFill>
    </fill>
    <fill>
      <patternFill patternType="solid">
        <fgColor rgb="FFDEEAF1"/>
        <bgColor indexed="64"/>
      </patternFill>
    </fill>
    <fill>
      <patternFill patternType="solid">
        <fgColor rgb="FFFFC7CE"/>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FFFFFF"/>
        <bgColor indexed="64"/>
      </patternFill>
    </fill>
    <fill>
      <patternFill patternType="solid">
        <fgColor rgb="FFB26A00"/>
        <bgColor indexed="64"/>
      </patternFill>
    </fill>
    <fill>
      <patternFill patternType="solid">
        <fgColor rgb="FFC9A227"/>
        <bgColor indexed="64"/>
      </patternFill>
    </fill>
    <fill>
      <patternFill patternType="solid">
        <fgColor rgb="FF2E4057"/>
        <bgColor indexed="64"/>
      </patternFill>
    </fill>
    <fill>
      <patternFill patternType="solid">
        <fgColor rgb="FFFCE4D6"/>
        <bgColor indexed="64"/>
      </patternFill>
    </fill>
    <fill>
      <patternFill patternType="solid">
        <fgColor rgb="FF7F8C8D"/>
        <bgColor indexed="64"/>
      </patternFill>
    </fill>
    <fill>
      <patternFill patternType="solid">
        <fgColor rgb="FF4A6741"/>
        <bgColor indexed="64"/>
      </patternFill>
    </fill>
    <fill>
      <patternFill patternType="solid">
        <fgColor rgb="FFFFEB9C"/>
        <bgColor indexed="64"/>
      </patternFill>
    </fill>
    <fill>
      <patternFill patternType="solid">
        <fgColor rgb="FFD4F0F0"/>
        <bgColor indexed="64"/>
      </patternFill>
    </fill>
    <fill>
      <patternFill patternType="solid">
        <fgColor rgb="FFBDD7EE"/>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F2F2F2"/>
        <bgColor indexed="64"/>
      </patternFill>
    </fill>
    <fill>
      <patternFill patternType="solid">
        <fgColor rgb="FFEDEDED"/>
        <bgColor indexed="64"/>
      </patternFill>
    </fill>
    <fill>
      <patternFill patternType="solid">
        <fgColor rgb="FFFFE3E6"/>
        <bgColor indexed="64"/>
      </patternFill>
    </fill>
    <fill>
      <patternFill patternType="solid">
        <fgColor rgb="FFF7F9FB"/>
        <bgColor indexed="64"/>
      </patternFill>
    </fill>
    <fill>
      <patternFill patternType="solid">
        <fgColor rgb="FFE8F0FE"/>
        <bgColor indexed="64"/>
      </patternFill>
    </fill>
    <fill>
      <patternFill patternType="solid">
        <fgColor rgb="FF000000"/>
        <bgColor rgb="FF000000"/>
      </patternFill>
    </fill>
    <fill>
      <patternFill patternType="solid">
        <fgColor rgb="FF00FFFF"/>
        <bgColor rgb="FF00FFFF"/>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0" tint="-0.15"/>
      </left>
      <right style="thin">
        <color theme="0" tint="-0.15"/>
      </right>
      <top style="thin">
        <color theme="0" tint="-0.15"/>
      </top>
      <bottom style="thin">
        <color theme="0" tint="-0.1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6" fillId="0" borderId="0">
      <alignment vertical="center"/>
    </xf>
    <xf numFmtId="0" fontId="57" fillId="0" borderId="0">
      <alignment vertical="center"/>
    </xf>
    <xf numFmtId="0" fontId="0" fillId="35" borderId="11">
      <alignment vertical="center"/>
    </xf>
    <xf numFmtId="0" fontId="58" fillId="0" borderId="0">
      <alignment vertical="center"/>
    </xf>
    <xf numFmtId="0" fontId="59" fillId="0" borderId="0">
      <alignment vertical="center"/>
    </xf>
    <xf numFmtId="0" fontId="60" fillId="0" borderId="0">
      <alignment vertical="center"/>
    </xf>
    <xf numFmtId="0" fontId="61" fillId="0" borderId="12">
      <alignment vertical="center"/>
    </xf>
    <xf numFmtId="0" fontId="62" fillId="0" borderId="12">
      <alignment vertical="center"/>
    </xf>
    <xf numFmtId="0" fontId="63" fillId="0" borderId="13">
      <alignment vertical="center"/>
    </xf>
    <xf numFmtId="0" fontId="63" fillId="0" borderId="0">
      <alignment vertical="center"/>
    </xf>
    <xf numFmtId="0" fontId="64" fillId="36" borderId="14">
      <alignment vertical="center"/>
    </xf>
    <xf numFmtId="0" fontId="65" fillId="27" borderId="15">
      <alignment vertical="center"/>
    </xf>
    <xf numFmtId="0" fontId="66" fillId="27" borderId="14">
      <alignment vertical="center"/>
    </xf>
    <xf numFmtId="0" fontId="67" fillId="37" borderId="16">
      <alignment vertical="center"/>
    </xf>
    <xf numFmtId="0" fontId="68" fillId="0" borderId="17">
      <alignment vertical="center"/>
    </xf>
    <xf numFmtId="0" fontId="69" fillId="0" borderId="18">
      <alignment vertical="center"/>
    </xf>
    <xf numFmtId="0" fontId="70" fillId="38" borderId="0">
      <alignment vertical="center"/>
    </xf>
    <xf numFmtId="0" fontId="71" fillId="8" borderId="0">
      <alignment vertical="center"/>
    </xf>
    <xf numFmtId="0" fontId="72" fillId="20" borderId="0">
      <alignment vertical="center"/>
    </xf>
    <xf numFmtId="0" fontId="73" fillId="39" borderId="0">
      <alignment vertical="center"/>
    </xf>
    <xf numFmtId="0" fontId="74" fillId="40" borderId="0">
      <alignment vertical="center"/>
    </xf>
    <xf numFmtId="0" fontId="74" fillId="41" borderId="0">
      <alignment vertical="center"/>
    </xf>
    <xf numFmtId="0" fontId="73" fillId="42" borderId="0">
      <alignment vertical="center"/>
    </xf>
    <xf numFmtId="0" fontId="73" fillId="43" borderId="0">
      <alignment vertical="center"/>
    </xf>
    <xf numFmtId="0" fontId="74" fillId="44" borderId="0">
      <alignment vertical="center"/>
    </xf>
    <xf numFmtId="0" fontId="74" fillId="45" borderId="0">
      <alignment vertical="center"/>
    </xf>
    <xf numFmtId="0" fontId="73" fillId="46" borderId="0">
      <alignment vertical="center"/>
    </xf>
    <xf numFmtId="0" fontId="73" fillId="47" borderId="0">
      <alignment vertical="center"/>
    </xf>
    <xf numFmtId="0" fontId="74" fillId="48" borderId="0">
      <alignment vertical="center"/>
    </xf>
    <xf numFmtId="0" fontId="74" fillId="49" borderId="0">
      <alignment vertical="center"/>
    </xf>
    <xf numFmtId="0" fontId="73" fillId="50" borderId="0">
      <alignment vertical="center"/>
    </xf>
    <xf numFmtId="0" fontId="73" fillId="51" borderId="0">
      <alignment vertical="center"/>
    </xf>
    <xf numFmtId="0" fontId="74" fillId="52" borderId="0">
      <alignment vertical="center"/>
    </xf>
    <xf numFmtId="0" fontId="74" fillId="53" borderId="0">
      <alignment vertical="center"/>
    </xf>
    <xf numFmtId="0" fontId="73" fillId="54" borderId="0">
      <alignment vertical="center"/>
    </xf>
    <xf numFmtId="0" fontId="73" fillId="55" borderId="0">
      <alignment vertical="center"/>
    </xf>
    <xf numFmtId="0" fontId="74" fillId="56" borderId="0">
      <alignment vertical="center"/>
    </xf>
    <xf numFmtId="0" fontId="74" fillId="57" borderId="0">
      <alignment vertical="center"/>
    </xf>
    <xf numFmtId="0" fontId="73" fillId="58" borderId="0">
      <alignment vertical="center"/>
    </xf>
    <xf numFmtId="0" fontId="73" fillId="59" borderId="0">
      <alignment vertical="center"/>
    </xf>
    <xf numFmtId="0" fontId="74" fillId="60" borderId="0">
      <alignment vertical="center"/>
    </xf>
    <xf numFmtId="0" fontId="74" fillId="61" borderId="0">
      <alignment vertical="center"/>
    </xf>
    <xf numFmtId="0" fontId="73" fillId="62" borderId="0">
      <alignment vertical="center"/>
    </xf>
  </cellStyleXfs>
  <cellXfs count="158">
    <xf numFmtId="0" fontId="0" fillId="0" borderId="0" xfId="0"/>
    <xf numFmtId="0" fontId="1" fillId="0" borderId="0" xfId="0" applyFont="1"/>
    <xf numFmtId="0" fontId="2" fillId="2" borderId="1" xfId="0" applyFont="1" applyFill="1" applyBorder="1" applyAlignment="1">
      <alignment horizontal="center" vertical="top"/>
    </xf>
    <xf numFmtId="0" fontId="0" fillId="0" borderId="2" xfId="0" applyBorder="1"/>
    <xf numFmtId="0" fontId="0" fillId="0" borderId="3" xfId="0" applyBorder="1"/>
    <xf numFmtId="0" fontId="2" fillId="3" borderId="1" xfId="0" applyFont="1" applyFill="1" applyBorder="1" applyAlignment="1">
      <alignment horizontal="center" vertical="top"/>
    </xf>
    <xf numFmtId="0" fontId="2" fillId="3" borderId="1" xfId="0" applyFont="1" applyFill="1" applyBorder="1" applyAlignment="1">
      <alignment vertical="top"/>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0" borderId="1" xfId="0" applyFont="1" applyBorder="1" applyAlignment="1">
      <alignment horizontal="center" vertical="center"/>
    </xf>
    <xf numFmtId="0" fontId="3" fillId="0" borderId="1" xfId="0" applyFont="1" applyBorder="1" applyAlignment="1">
      <alignment vertical="top"/>
    </xf>
    <xf numFmtId="0" fontId="3" fillId="0" borderId="1" xfId="0" applyFont="1" applyBorder="1" applyAlignment="1">
      <alignment horizontal="center" vertical="top"/>
    </xf>
    <xf numFmtId="0" fontId="3" fillId="0" borderId="1" xfId="0" applyFont="1" applyBorder="1" applyAlignment="1">
      <alignment vertical="top" wrapText="1"/>
    </xf>
    <xf numFmtId="0" fontId="0" fillId="0" borderId="4" xfId="0" applyBorder="1"/>
    <xf numFmtId="0" fontId="3" fillId="0" borderId="1" xfId="0" applyFont="1" applyBorder="1" applyAlignment="1">
      <alignment horizontal="center" vertical="center" wrapText="1"/>
    </xf>
    <xf numFmtId="176" fontId="3" fillId="0" borderId="1" xfId="0" applyNumberFormat="1" applyFont="1" applyBorder="1" applyAlignment="1">
      <alignment horizontal="right" vertical="top"/>
    </xf>
    <xf numFmtId="0" fontId="0" fillId="0" borderId="5" xfId="0" applyBorder="1"/>
    <xf numFmtId="0" fontId="3" fillId="0" borderId="1" xfId="0" applyFont="1" applyBorder="1" applyAlignment="1">
      <alignment horizontal="center" vertical="top" wrapText="1"/>
    </xf>
    <xf numFmtId="0" fontId="3" fillId="0" borderId="1" xfId="0" applyFont="1" applyBorder="1" applyAlignment="1">
      <alignment horizontal="center" vertical="center"/>
    </xf>
    <xf numFmtId="0" fontId="3" fillId="0" borderId="1" xfId="0" applyFont="1" applyBorder="1" applyAlignment="1">
      <alignment horizontal="left" vertical="top"/>
    </xf>
    <xf numFmtId="0" fontId="4" fillId="3" borderId="1" xfId="0" applyFont="1" applyFill="1" applyBorder="1" applyAlignment="1">
      <alignment vertical="top" wrapText="1"/>
    </xf>
    <xf numFmtId="0" fontId="4" fillId="3" borderId="1" xfId="0" applyFont="1" applyFill="1" applyBorder="1" applyAlignment="1">
      <alignment vertical="top"/>
    </xf>
    <xf numFmtId="0" fontId="5" fillId="4" borderId="0" xfId="0" applyFont="1" applyFill="1" applyAlignment="1">
      <alignment horizontal="center" vertical="center"/>
    </xf>
    <xf numFmtId="0" fontId="6" fillId="0" borderId="0" xfId="0" applyFont="1" applyAlignment="1">
      <alignment vertical="top"/>
    </xf>
    <xf numFmtId="0" fontId="7" fillId="0" borderId="0" xfId="0" applyFont="1" applyAlignment="1">
      <alignment vertical="top"/>
    </xf>
    <xf numFmtId="0" fontId="8" fillId="5" borderId="1" xfId="0" applyFont="1" applyFill="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vertical="top"/>
    </xf>
    <xf numFmtId="0" fontId="9" fillId="6" borderId="6" xfId="0" applyFont="1" applyFill="1" applyBorder="1" applyAlignment="1">
      <alignment horizontal="center" vertical="center"/>
    </xf>
    <xf numFmtId="1" fontId="9" fillId="6" borderId="6" xfId="0" applyNumberFormat="1" applyFont="1" applyFill="1" applyBorder="1" applyAlignment="1">
      <alignment horizontal="center" vertical="center"/>
    </xf>
    <xf numFmtId="177" fontId="6" fillId="0" borderId="0" xfId="0" applyNumberFormat="1" applyFont="1" applyAlignment="1">
      <alignment vertical="top"/>
    </xf>
    <xf numFmtId="0" fontId="10" fillId="7" borderId="6" xfId="0" applyFont="1" applyFill="1" applyBorder="1" applyAlignment="1">
      <alignment horizontal="center" vertical="center"/>
    </xf>
    <xf numFmtId="0" fontId="11" fillId="8" borderId="6" xfId="0" applyFont="1" applyFill="1" applyBorder="1" applyAlignment="1">
      <alignment horizontal="center" vertical="center"/>
    </xf>
    <xf numFmtId="0" fontId="8" fillId="0" borderId="0" xfId="0" applyFont="1" applyAlignment="1">
      <alignment vertical="top"/>
    </xf>
    <xf numFmtId="0" fontId="7" fillId="0" borderId="0" xfId="0" applyFont="1" applyAlignment="1">
      <alignment vertical="top" wrapText="1"/>
    </xf>
    <xf numFmtId="0" fontId="6" fillId="0" borderId="0" xfId="0" applyFont="1" applyAlignment="1">
      <alignment vertical="top" wrapText="1"/>
    </xf>
    <xf numFmtId="0" fontId="12" fillId="0" borderId="0" xfId="0" applyFont="1"/>
    <xf numFmtId="0" fontId="12" fillId="0" borderId="0" xfId="0" applyFont="1" applyAlignment="1">
      <alignment wrapText="1"/>
    </xf>
    <xf numFmtId="0" fontId="13" fillId="9" borderId="0" xfId="0" applyFont="1" applyFill="1" applyAlignment="1">
      <alignment horizontal="left" vertical="center"/>
    </xf>
    <xf numFmtId="0" fontId="14" fillId="10" borderId="0" xfId="0" applyFont="1" applyFill="1" applyAlignment="1">
      <alignment horizontal="left" vertical="center"/>
    </xf>
    <xf numFmtId="0" fontId="5" fillId="4" borderId="7" xfId="0" applyFont="1" applyFill="1" applyBorder="1" applyAlignment="1">
      <alignment horizontal="center" vertical="center" wrapText="1"/>
    </xf>
    <xf numFmtId="0" fontId="15" fillId="11" borderId="0" xfId="0" applyFont="1" applyFill="1" applyAlignment="1">
      <alignment horizontal="left" vertical="center"/>
    </xf>
    <xf numFmtId="0" fontId="16" fillId="12" borderId="7" xfId="0" applyFont="1" applyFill="1" applyBorder="1" applyAlignment="1">
      <alignment horizontal="center" vertical="center"/>
    </xf>
    <xf numFmtId="0" fontId="16" fillId="12" borderId="7" xfId="0" applyFont="1" applyFill="1" applyBorder="1" applyAlignment="1">
      <alignment horizontal="left" vertical="center"/>
    </xf>
    <xf numFmtId="0" fontId="16" fillId="12" borderId="7" xfId="0" applyFont="1" applyFill="1" applyBorder="1" applyAlignment="1">
      <alignment horizontal="left" vertical="center" wrapText="1"/>
    </xf>
    <xf numFmtId="0" fontId="17" fillId="6" borderId="7" xfId="0" applyFont="1" applyFill="1" applyBorder="1" applyAlignment="1">
      <alignment horizontal="center" vertical="center"/>
    </xf>
    <xf numFmtId="0" fontId="16" fillId="13" borderId="7" xfId="0" applyFont="1" applyFill="1" applyBorder="1" applyAlignment="1">
      <alignment horizontal="center" vertical="center"/>
    </xf>
    <xf numFmtId="0" fontId="16" fillId="13" borderId="7" xfId="0" applyFont="1" applyFill="1" applyBorder="1" applyAlignment="1">
      <alignment horizontal="left" vertical="center"/>
    </xf>
    <xf numFmtId="0" fontId="16" fillId="13" borderId="7" xfId="0" applyFont="1" applyFill="1" applyBorder="1" applyAlignment="1">
      <alignment horizontal="left" vertical="center" wrapText="1"/>
    </xf>
    <xf numFmtId="0" fontId="15" fillId="14" borderId="0" xfId="0" applyFont="1" applyFill="1" applyAlignment="1">
      <alignment horizontal="left" vertical="center"/>
    </xf>
    <xf numFmtId="0" fontId="18" fillId="15" borderId="0" xfId="0" applyFont="1" applyFill="1" applyAlignment="1">
      <alignment horizontal="left" vertical="center"/>
    </xf>
    <xf numFmtId="0" fontId="15" fillId="16" borderId="0" xfId="0" applyFont="1" applyFill="1" applyAlignment="1">
      <alignment horizontal="left" vertical="center"/>
    </xf>
    <xf numFmtId="0" fontId="19" fillId="8" borderId="7" xfId="0" applyFont="1" applyFill="1" applyBorder="1" applyAlignment="1">
      <alignment horizontal="center" vertical="center"/>
    </xf>
    <xf numFmtId="0" fontId="20" fillId="17" borderId="7" xfId="0" applyFont="1" applyFill="1" applyBorder="1" applyAlignment="1">
      <alignment horizontal="center" vertical="center"/>
    </xf>
    <xf numFmtId="0" fontId="15" fillId="18" borderId="0" xfId="0" applyFont="1" applyFill="1" applyAlignment="1">
      <alignment horizontal="left" vertical="center"/>
    </xf>
    <xf numFmtId="0" fontId="13" fillId="19" borderId="0" xfId="0" applyFont="1" applyFill="1" applyAlignment="1">
      <alignment horizontal="left" vertical="center"/>
    </xf>
    <xf numFmtId="0" fontId="13" fillId="16" borderId="0" xfId="0" applyFont="1" applyFill="1" applyAlignment="1">
      <alignment horizontal="left" vertical="center"/>
    </xf>
    <xf numFmtId="0" fontId="21" fillId="7" borderId="7" xfId="0" applyFont="1" applyFill="1" applyBorder="1" applyAlignment="1">
      <alignment horizontal="center" vertical="center"/>
    </xf>
    <xf numFmtId="0" fontId="22" fillId="20" borderId="7" xfId="0" applyFont="1" applyFill="1" applyBorder="1" applyAlignment="1">
      <alignment horizontal="center" vertical="center"/>
    </xf>
    <xf numFmtId="0" fontId="23" fillId="21" borderId="7" xfId="0" applyFont="1" applyFill="1" applyBorder="1" applyAlignment="1">
      <alignment horizontal="center" vertical="center"/>
    </xf>
    <xf numFmtId="0" fontId="24" fillId="22" borderId="7" xfId="0" applyFont="1" applyFill="1" applyBorder="1" applyAlignment="1">
      <alignment horizontal="center" vertical="center"/>
    </xf>
    <xf numFmtId="0" fontId="25" fillId="15" borderId="0" xfId="0" applyFont="1" applyFill="1" applyAlignment="1">
      <alignment horizontal="left" vertical="center"/>
    </xf>
    <xf numFmtId="0" fontId="13" fillId="14" borderId="0" xfId="0" applyFont="1" applyFill="1" applyAlignment="1">
      <alignment horizontal="left" vertical="center"/>
    </xf>
    <xf numFmtId="0" fontId="26" fillId="16" borderId="0" xfId="0" applyFont="1" applyFill="1" applyAlignment="1">
      <alignment horizontal="center" vertical="center"/>
    </xf>
    <xf numFmtId="0" fontId="27" fillId="23" borderId="0" xfId="0" applyFont="1" applyFill="1" applyAlignment="1">
      <alignment horizontal="center" vertical="center"/>
    </xf>
    <xf numFmtId="0" fontId="28" fillId="0" borderId="0" xfId="0" applyFont="1" applyAlignment="1">
      <alignment horizontal="left" vertical="center"/>
    </xf>
    <xf numFmtId="9" fontId="29" fillId="6" borderId="0" xfId="0" applyNumberFormat="1" applyFont="1" applyFill="1" applyAlignment="1">
      <alignment horizontal="center" vertical="center"/>
    </xf>
    <xf numFmtId="0" fontId="30" fillId="24" borderId="0" xfId="0" applyFont="1" applyFill="1" applyAlignment="1">
      <alignment horizontal="center" vertical="center" wrapText="1"/>
    </xf>
    <xf numFmtId="0" fontId="31" fillId="8" borderId="0" xfId="0" applyFont="1" applyFill="1" applyAlignment="1">
      <alignment horizontal="center" vertical="center"/>
    </xf>
    <xf numFmtId="0" fontId="28" fillId="25" borderId="0" xfId="0" applyFont="1" applyFill="1" applyAlignment="1">
      <alignment horizontal="center" vertical="center" wrapText="1"/>
    </xf>
    <xf numFmtId="0" fontId="32" fillId="26" borderId="0" xfId="0" applyFont="1" applyFill="1" applyAlignment="1">
      <alignment horizontal="left" vertical="center"/>
    </xf>
    <xf numFmtId="0" fontId="33" fillId="0" borderId="0" xfId="0" applyFont="1" applyAlignment="1">
      <alignment horizontal="left" vertical="center" wrapText="1"/>
    </xf>
    <xf numFmtId="0" fontId="34" fillId="27" borderId="6" xfId="0" applyFont="1" applyFill="1" applyBorder="1" applyAlignment="1">
      <alignment horizontal="left" vertical="center"/>
    </xf>
    <xf numFmtId="0" fontId="0" fillId="0" borderId="8" xfId="0" applyBorder="1"/>
    <xf numFmtId="0" fontId="0" fillId="0" borderId="9" xfId="0" applyBorder="1"/>
    <xf numFmtId="0" fontId="35" fillId="27" borderId="6" xfId="0" applyFont="1" applyFill="1" applyBorder="1" applyAlignment="1">
      <alignment horizontal="center" vertical="center"/>
    </xf>
    <xf numFmtId="0" fontId="10" fillId="7" borderId="6" xfId="0" applyFont="1" applyFill="1" applyBorder="1" applyAlignment="1">
      <alignment horizontal="left" vertical="center"/>
    </xf>
    <xf numFmtId="0" fontId="36" fillId="7" borderId="6" xfId="0" applyFont="1" applyFill="1" applyBorder="1" applyAlignment="1">
      <alignment horizontal="center" vertical="center"/>
    </xf>
    <xf numFmtId="0" fontId="37" fillId="20" borderId="6" xfId="0" applyFont="1" applyFill="1" applyBorder="1" applyAlignment="1">
      <alignment horizontal="left" vertical="center"/>
    </xf>
    <xf numFmtId="0" fontId="38" fillId="20" borderId="6" xfId="0" applyFont="1" applyFill="1" applyBorder="1" applyAlignment="1">
      <alignment horizontal="center" vertical="center"/>
    </xf>
    <xf numFmtId="0" fontId="5" fillId="16" borderId="6" xfId="0" applyFont="1" applyFill="1" applyBorder="1" applyAlignment="1">
      <alignment horizontal="left" vertical="center"/>
    </xf>
    <xf numFmtId="0" fontId="5" fillId="16" borderId="6" xfId="0" applyFont="1" applyFill="1" applyBorder="1" applyAlignment="1">
      <alignment horizontal="center" vertical="center"/>
    </xf>
    <xf numFmtId="0" fontId="39" fillId="7" borderId="0" xfId="0" applyFont="1" applyFill="1" applyAlignment="1">
      <alignment horizontal="left" vertical="center"/>
    </xf>
    <xf numFmtId="0" fontId="5" fillId="4" borderId="6" xfId="0" applyFont="1" applyFill="1" applyBorder="1" applyAlignment="1">
      <alignment horizontal="center" vertical="center"/>
    </xf>
    <xf numFmtId="0" fontId="34" fillId="28" borderId="6" xfId="0" applyFont="1" applyFill="1" applyBorder="1" applyAlignment="1">
      <alignment horizontal="left" vertical="center"/>
    </xf>
    <xf numFmtId="0" fontId="34" fillId="28" borderId="6" xfId="0" applyFont="1" applyFill="1" applyBorder="1" applyAlignment="1">
      <alignment horizontal="center" vertical="center"/>
    </xf>
    <xf numFmtId="9" fontId="34" fillId="28" borderId="6" xfId="0" applyNumberFormat="1" applyFont="1" applyFill="1" applyBorder="1" applyAlignment="1">
      <alignment horizontal="center" vertical="center"/>
    </xf>
    <xf numFmtId="0" fontId="34" fillId="0" borderId="6" xfId="0" applyFont="1" applyBorder="1" applyAlignment="1">
      <alignment horizontal="left" vertical="center"/>
    </xf>
    <xf numFmtId="0" fontId="34" fillId="0" borderId="6" xfId="0" applyFont="1" applyBorder="1" applyAlignment="1">
      <alignment horizontal="center" vertical="center"/>
    </xf>
    <xf numFmtId="0" fontId="34" fillId="6" borderId="6" xfId="0" applyFont="1" applyFill="1" applyBorder="1" applyAlignment="1">
      <alignment horizontal="center" vertical="center"/>
    </xf>
    <xf numFmtId="0" fontId="34" fillId="29" borderId="6" xfId="0" applyFont="1" applyFill="1" applyBorder="1" applyAlignment="1">
      <alignment horizontal="center" vertical="center"/>
    </xf>
    <xf numFmtId="9" fontId="34" fillId="0" borderId="6" xfId="0" applyNumberFormat="1" applyFont="1" applyBorder="1" applyAlignment="1">
      <alignment horizontal="center" vertical="center"/>
    </xf>
    <xf numFmtId="9" fontId="5" fillId="16" borderId="6" xfId="0" applyNumberFormat="1" applyFont="1" applyFill="1" applyBorder="1" applyAlignment="1">
      <alignment horizontal="center" vertical="center"/>
    </xf>
    <xf numFmtId="0" fontId="40" fillId="6" borderId="0" xfId="0" applyFont="1" applyFill="1" applyAlignment="1">
      <alignment horizontal="center" vertical="center"/>
    </xf>
    <xf numFmtId="0" fontId="41" fillId="21" borderId="0" xfId="0" applyFont="1" applyFill="1" applyAlignment="1">
      <alignment horizontal="center" vertical="center"/>
    </xf>
    <xf numFmtId="0" fontId="42" fillId="7" borderId="0" xfId="0" applyFont="1" applyFill="1" applyAlignment="1">
      <alignment horizontal="center" vertical="center"/>
    </xf>
    <xf numFmtId="0" fontId="43" fillId="22" borderId="0" xfId="0" applyFont="1" applyFill="1" applyAlignment="1">
      <alignment horizontal="center" vertical="center"/>
    </xf>
    <xf numFmtId="0" fontId="17" fillId="6" borderId="0" xfId="0" applyFont="1" applyFill="1" applyAlignment="1">
      <alignment horizontal="center" vertical="center"/>
    </xf>
    <xf numFmtId="0" fontId="23" fillId="21" borderId="0" xfId="0" applyFont="1" applyFill="1" applyAlignment="1">
      <alignment horizontal="center" vertical="center"/>
    </xf>
    <xf numFmtId="0" fontId="21" fillId="7" borderId="0" xfId="0" applyFont="1" applyFill="1" applyAlignment="1">
      <alignment horizontal="center" vertical="center"/>
    </xf>
    <xf numFmtId="0" fontId="24" fillId="22" borderId="0" xfId="0" applyFont="1" applyFill="1" applyAlignment="1">
      <alignment horizontal="center" vertical="center"/>
    </xf>
    <xf numFmtId="0" fontId="44" fillId="17" borderId="0" xfId="0" applyFont="1" applyFill="1" applyAlignment="1">
      <alignment horizontal="center" vertical="center"/>
    </xf>
    <xf numFmtId="0" fontId="45" fillId="8" borderId="0" xfId="0" applyFont="1" applyFill="1" applyAlignment="1">
      <alignment horizontal="center" vertical="center"/>
    </xf>
    <xf numFmtId="0" fontId="46" fillId="20" borderId="0" xfId="0" applyFont="1" applyFill="1" applyAlignment="1">
      <alignment horizontal="center" vertical="center"/>
    </xf>
    <xf numFmtId="0" fontId="47" fillId="28" borderId="0" xfId="0" applyFont="1" applyFill="1" applyAlignment="1">
      <alignment horizontal="center" vertical="center"/>
    </xf>
    <xf numFmtId="0" fontId="20" fillId="17" borderId="0" xfId="0" applyFont="1" applyFill="1" applyAlignment="1">
      <alignment horizontal="center" vertical="center"/>
    </xf>
    <xf numFmtId="0" fontId="19" fillId="8" borderId="0" xfId="0" applyFont="1" applyFill="1" applyAlignment="1">
      <alignment horizontal="center" vertical="center"/>
    </xf>
    <xf numFmtId="0" fontId="22" fillId="20" borderId="0" xfId="0" applyFont="1" applyFill="1" applyAlignment="1">
      <alignment horizontal="center" vertical="center"/>
    </xf>
    <xf numFmtId="0" fontId="48" fillId="28" borderId="0" xfId="0" applyFont="1" applyFill="1" applyAlignment="1">
      <alignment horizontal="center" vertical="center"/>
    </xf>
    <xf numFmtId="0" fontId="5" fillId="4" borderId="6" xfId="0" applyFont="1" applyFill="1" applyBorder="1" applyAlignment="1">
      <alignment horizontal="center" vertical="center" wrapText="1"/>
    </xf>
    <xf numFmtId="0" fontId="34" fillId="30" borderId="6" xfId="0" applyFont="1" applyFill="1" applyBorder="1" applyAlignment="1">
      <alignment horizontal="left" vertical="center"/>
    </xf>
    <xf numFmtId="0" fontId="34" fillId="30" borderId="6" xfId="0" applyFont="1" applyFill="1" applyBorder="1" applyAlignment="1">
      <alignment horizontal="center" vertical="center"/>
    </xf>
    <xf numFmtId="0" fontId="49" fillId="6" borderId="6" xfId="0" applyFont="1" applyFill="1" applyBorder="1" applyAlignment="1">
      <alignment horizontal="center" vertical="center"/>
    </xf>
    <xf numFmtId="0" fontId="11" fillId="29" borderId="6" xfId="0" applyFont="1" applyFill="1" applyBorder="1" applyAlignment="1">
      <alignment horizontal="center" vertical="center"/>
    </xf>
    <xf numFmtId="9" fontId="34" fillId="30" borderId="6" xfId="0" applyNumberFormat="1" applyFont="1" applyFill="1" applyBorder="1" applyAlignment="1">
      <alignment horizontal="center" vertical="center"/>
    </xf>
    <xf numFmtId="0" fontId="50" fillId="31" borderId="6" xfId="0" applyFont="1" applyFill="1" applyBorder="1" applyAlignment="1">
      <alignment horizontal="left" vertical="center"/>
    </xf>
    <xf numFmtId="0" fontId="50" fillId="31" borderId="6" xfId="0" applyFont="1" applyFill="1" applyBorder="1" applyAlignment="1">
      <alignment horizontal="center" vertical="center"/>
    </xf>
    <xf numFmtId="9" fontId="50" fillId="31" borderId="6" xfId="0" applyNumberFormat="1" applyFont="1" applyFill="1" applyBorder="1" applyAlignment="1">
      <alignment horizontal="center" vertical="center"/>
    </xf>
    <xf numFmtId="9" fontId="34" fillId="31" borderId="6" xfId="0" applyNumberFormat="1" applyFont="1" applyFill="1" applyBorder="1" applyAlignment="1">
      <alignment horizontal="center" vertical="center"/>
    </xf>
    <xf numFmtId="0" fontId="34" fillId="13" borderId="6" xfId="0" applyFont="1" applyFill="1" applyBorder="1" applyAlignment="1">
      <alignment horizontal="left" vertical="center"/>
    </xf>
    <xf numFmtId="0" fontId="34" fillId="13" borderId="6" xfId="0" applyFont="1" applyFill="1" applyBorder="1" applyAlignment="1">
      <alignment horizontal="center" vertical="center"/>
    </xf>
    <xf numFmtId="9" fontId="34" fillId="13" borderId="6" xfId="0" applyNumberFormat="1" applyFont="1" applyFill="1" applyBorder="1" applyAlignment="1">
      <alignment horizontal="center" vertical="center"/>
    </xf>
    <xf numFmtId="0" fontId="51" fillId="4" borderId="6" xfId="0" applyFont="1" applyFill="1" applyBorder="1" applyAlignment="1">
      <alignment horizontal="center" vertical="center" wrapText="1"/>
    </xf>
    <xf numFmtId="0" fontId="51" fillId="15" borderId="6" xfId="0" applyFont="1" applyFill="1" applyBorder="1" applyAlignment="1">
      <alignment horizontal="center" vertical="center" wrapText="1"/>
    </xf>
    <xf numFmtId="0" fontId="35" fillId="27" borderId="6" xfId="0" applyFont="1" applyFill="1" applyBorder="1" applyAlignment="1">
      <alignment horizontal="left" vertical="center"/>
    </xf>
    <xf numFmtId="0" fontId="34" fillId="8" borderId="6" xfId="0" applyFont="1" applyFill="1" applyBorder="1" applyAlignment="1">
      <alignment horizontal="center" vertical="center"/>
    </xf>
    <xf numFmtId="0" fontId="17" fillId="6" borderId="6"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1" fillId="7" borderId="6" xfId="0" applyFont="1" applyFill="1" applyBorder="1" applyAlignment="1">
      <alignment horizontal="center" vertical="center" wrapText="1"/>
    </xf>
    <xf numFmtId="0" fontId="24" fillId="22" borderId="6" xfId="0" applyFont="1" applyFill="1" applyBorder="1" applyAlignment="1">
      <alignment horizontal="center" vertical="center" wrapText="1"/>
    </xf>
    <xf numFmtId="0" fontId="20" fillId="17" borderId="6"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22" fillId="20" borderId="6" xfId="0" applyFont="1" applyFill="1" applyBorder="1" applyAlignment="1">
      <alignment horizontal="center" vertical="center" wrapText="1"/>
    </xf>
    <xf numFmtId="178" fontId="0" fillId="0" borderId="0" xfId="0" applyNumberFormat="1"/>
    <xf numFmtId="0" fontId="7" fillId="3" borderId="10" xfId="0" applyFont="1" applyFill="1" applyBorder="1" applyAlignment="1">
      <alignment horizontal="left" vertical="top" wrapText="1" readingOrder="1"/>
    </xf>
    <xf numFmtId="0" fontId="52" fillId="32" borderId="10" xfId="0" applyFont="1" applyFill="1" applyBorder="1" applyAlignment="1">
      <alignment horizontal="left" vertical="top" wrapText="1" readingOrder="1"/>
    </xf>
    <xf numFmtId="178" fontId="7" fillId="33" borderId="10" xfId="0" applyNumberFormat="1" applyFont="1" applyFill="1" applyBorder="1" applyAlignment="1">
      <alignment horizontal="left" vertical="top" wrapText="1" readingOrder="1"/>
    </xf>
    <xf numFmtId="178" fontId="52" fillId="32" borderId="10" xfId="0" applyNumberFormat="1" applyFont="1" applyFill="1" applyBorder="1" applyAlignment="1">
      <alignment horizontal="left" vertical="top" wrapText="1" readingOrder="1"/>
    </xf>
    <xf numFmtId="0" fontId="1" fillId="34" borderId="10" xfId="0" applyFont="1" applyFill="1" applyBorder="1"/>
    <xf numFmtId="0" fontId="6" fillId="5" borderId="10" xfId="0" applyFont="1" applyFill="1" applyBorder="1" applyAlignment="1">
      <alignment horizontal="left" vertical="top" wrapText="1" readingOrder="1"/>
    </xf>
    <xf numFmtId="0" fontId="6" fillId="0" borderId="10" xfId="0" applyFont="1" applyBorder="1" applyAlignment="1">
      <alignment horizontal="left" vertical="top" wrapText="1" readingOrder="1"/>
    </xf>
    <xf numFmtId="178" fontId="6" fillId="0" borderId="10" xfId="0" applyNumberFormat="1" applyFont="1" applyBorder="1" applyAlignment="1">
      <alignment horizontal="right" vertical="top" wrapText="1" readingOrder="1"/>
    </xf>
    <xf numFmtId="178" fontId="6" fillId="0" borderId="10" xfId="0" applyNumberFormat="1" applyFont="1" applyBorder="1" applyAlignment="1">
      <alignment horizontal="left" vertical="top" wrapText="1" readingOrder="1"/>
    </xf>
    <xf numFmtId="0" fontId="0" fillId="0" borderId="10" xfId="0" applyBorder="1"/>
    <xf numFmtId="0" fontId="6" fillId="0" borderId="10" xfId="0" applyFont="1" applyBorder="1" applyAlignment="1">
      <alignment vertical="top" wrapText="1"/>
    </xf>
    <xf numFmtId="0" fontId="6" fillId="0" borderId="10" xfId="0" applyFont="1" applyBorder="1" applyAlignment="1">
      <alignment vertical="top"/>
    </xf>
    <xf numFmtId="0" fontId="53" fillId="0" borderId="10" xfId="0" applyFont="1" applyBorder="1" applyAlignment="1">
      <alignment horizontal="left" vertical="top" wrapText="1" readingOrder="1"/>
    </xf>
    <xf numFmtId="0" fontId="54" fillId="5" borderId="10" xfId="0" applyFont="1" applyFill="1" applyBorder="1" applyAlignment="1">
      <alignment horizontal="left" vertical="top" wrapText="1" readingOrder="1"/>
    </xf>
    <xf numFmtId="0" fontId="55" fillId="5" borderId="10" xfId="0" applyFont="1" applyFill="1" applyBorder="1" applyAlignment="1">
      <alignment vertical="top" wrapText="1"/>
    </xf>
    <xf numFmtId="0" fontId="54" fillId="5" borderId="10" xfId="0" applyFont="1" applyFill="1" applyBorder="1" applyAlignment="1">
      <alignment vertical="top" wrapText="1"/>
    </xf>
    <xf numFmtId="0" fontId="6" fillId="5" borderId="10" xfId="0" applyFont="1" applyFill="1" applyBorder="1" applyAlignment="1">
      <alignment vertical="top" wrapText="1"/>
    </xf>
    <xf numFmtId="0" fontId="6" fillId="0" borderId="0" xfId="0" applyFont="1" applyAlignment="1">
      <alignment horizontal="left" vertical="top" wrapText="1" readingOrder="1"/>
    </xf>
    <xf numFmtId="178" fontId="6" fillId="0" borderId="0" xfId="0" applyNumberFormat="1" applyFont="1" applyAlignment="1">
      <alignment horizontal="left" vertical="top" wrapText="1" readingOrder="1"/>
    </xf>
    <xf numFmtId="0" fontId="6" fillId="0" borderId="0" xfId="0" applyFont="1" applyAlignment="1">
      <alignment horizontal="left" wrapText="1" readingOrder="1"/>
    </xf>
    <xf numFmtId="178" fontId="6" fillId="0" borderId="0" xfId="0" applyNumberFormat="1" applyFont="1" applyAlignment="1">
      <alignment horizontal="left" wrapText="1" readingOrder="1"/>
    </xf>
    <xf numFmtId="0" fontId="6" fillId="0" borderId="0" xfId="0" applyFont="1"/>
    <xf numFmtId="0" fontId="6" fillId="0" borderId="0" xfId="0" applyFont="1" applyAlignment="1">
      <alignment wrapText="1"/>
    </xf>
    <xf numFmtId="178" fontId="6"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9900"/>
  </sheetPr>
  <dimension ref="A1:K992"/>
  <sheetViews>
    <sheetView showGridLines="0" workbookViewId="0">
      <pane ySplit="1" topLeftCell="A2" activePane="bottomLeft" state="frozen"/>
      <selection/>
      <selection pane="bottomLeft" activeCell="C206" sqref="C206"/>
    </sheetView>
  </sheetViews>
  <sheetFormatPr defaultColWidth="14.4296875" defaultRowHeight="16.8"/>
  <cols>
    <col min="1" max="1" width="29.859375" customWidth="1"/>
    <col min="2" max="2" width="43.859375" customWidth="1"/>
    <col min="3" max="3" width="42.4296875" customWidth="1"/>
    <col min="4" max="4" width="12.2890625" customWidth="1"/>
    <col min="5" max="5" width="10.859375" customWidth="1"/>
    <col min="6" max="6" width="15" customWidth="1"/>
    <col min="7" max="7" width="31.2890625" customWidth="1"/>
    <col min="8" max="8" width="12.7109375" style="133" customWidth="1"/>
    <col min="9" max="9" width="11" style="133" customWidth="1"/>
    <col min="10" max="10" width="11.4296875" customWidth="1"/>
    <col min="11" max="11" width="18.875" customWidth="1"/>
  </cols>
  <sheetData>
    <row r="1" spans="1:11">
      <c r="A1" s="134" t="s">
        <v>0</v>
      </c>
      <c r="B1" s="134" t="s">
        <v>1</v>
      </c>
      <c r="C1" s="134" t="s">
        <v>2</v>
      </c>
      <c r="D1" s="134" t="s">
        <v>3</v>
      </c>
      <c r="E1" s="134" t="s">
        <v>4</v>
      </c>
      <c r="F1" s="135" t="s">
        <v>5</v>
      </c>
      <c r="G1" s="135" t="s">
        <v>6</v>
      </c>
      <c r="H1" s="136" t="s">
        <v>7</v>
      </c>
      <c r="I1" s="137" t="s">
        <v>8</v>
      </c>
      <c r="J1" s="135" t="s">
        <v>9</v>
      </c>
      <c r="K1" s="138" t="s">
        <v>10</v>
      </c>
    </row>
    <row r="2" hidden="1" spans="1:11">
      <c r="A2" s="139" t="s">
        <v>11</v>
      </c>
      <c r="B2" s="139" t="s">
        <v>12</v>
      </c>
      <c r="C2" s="140" t="s">
        <v>13</v>
      </c>
      <c r="D2" s="140" t="s">
        <v>14</v>
      </c>
      <c r="E2" s="140" t="s">
        <v>15</v>
      </c>
      <c r="F2" s="140" t="s">
        <v>16</v>
      </c>
      <c r="G2" s="140"/>
      <c r="H2" s="141">
        <v>45717</v>
      </c>
      <c r="I2" s="142"/>
      <c r="J2" s="140"/>
      <c r="K2" s="143" t="s">
        <v>17</v>
      </c>
    </row>
    <row r="3" hidden="1" spans="1:11">
      <c r="A3" s="139" t="s">
        <v>11</v>
      </c>
      <c r="B3" s="139" t="s">
        <v>18</v>
      </c>
      <c r="C3" s="140" t="s">
        <v>19</v>
      </c>
      <c r="D3" s="140" t="s">
        <v>14</v>
      </c>
      <c r="E3" s="140" t="s">
        <v>15</v>
      </c>
      <c r="F3" s="140" t="s">
        <v>16</v>
      </c>
      <c r="G3" s="140"/>
      <c r="H3" s="141">
        <v>45717</v>
      </c>
      <c r="I3" s="142"/>
      <c r="J3" s="140"/>
      <c r="K3" s="143" t="s">
        <v>20</v>
      </c>
    </row>
    <row r="4" hidden="1" spans="1:11">
      <c r="A4" s="139" t="s">
        <v>11</v>
      </c>
      <c r="B4" s="139" t="s">
        <v>21</v>
      </c>
      <c r="C4" s="140" t="s">
        <v>22</v>
      </c>
      <c r="D4" s="140" t="s">
        <v>14</v>
      </c>
      <c r="E4" s="140" t="s">
        <v>15</v>
      </c>
      <c r="F4" s="140" t="s">
        <v>16</v>
      </c>
      <c r="G4" s="140"/>
      <c r="H4" s="141">
        <v>45717</v>
      </c>
      <c r="I4" s="142"/>
      <c r="J4" s="140"/>
      <c r="K4" s="143"/>
    </row>
    <row r="5" ht="72" hidden="1" customHeight="1" spans="1:11">
      <c r="A5" s="139" t="s">
        <v>11</v>
      </c>
      <c r="B5" s="140" t="s">
        <v>23</v>
      </c>
      <c r="C5" s="144" t="s">
        <v>24</v>
      </c>
      <c r="D5" s="140" t="s">
        <v>14</v>
      </c>
      <c r="E5" s="140" t="s">
        <v>15</v>
      </c>
      <c r="F5" s="140" t="s">
        <v>16</v>
      </c>
      <c r="G5" s="140"/>
      <c r="H5" s="141">
        <v>45717</v>
      </c>
      <c r="I5" s="142"/>
      <c r="J5" s="140"/>
      <c r="K5" s="143" t="s">
        <v>25</v>
      </c>
    </row>
    <row r="6" hidden="1" spans="1:11">
      <c r="A6" s="139" t="s">
        <v>11</v>
      </c>
      <c r="B6" s="139" t="s">
        <v>26</v>
      </c>
      <c r="C6" s="140" t="s">
        <v>27</v>
      </c>
      <c r="D6" s="140" t="s">
        <v>14</v>
      </c>
      <c r="E6" s="140" t="s">
        <v>15</v>
      </c>
      <c r="F6" s="140" t="s">
        <v>16</v>
      </c>
      <c r="G6" s="140"/>
      <c r="H6" s="141">
        <v>45717</v>
      </c>
      <c r="I6" s="142"/>
      <c r="J6" s="140"/>
      <c r="K6" s="143" t="s">
        <v>28</v>
      </c>
    </row>
    <row r="7" hidden="1" spans="1:11">
      <c r="A7" s="139" t="s">
        <v>11</v>
      </c>
      <c r="B7" s="140" t="s">
        <v>29</v>
      </c>
      <c r="C7" s="140"/>
      <c r="D7" s="140" t="s">
        <v>14</v>
      </c>
      <c r="E7" s="140" t="s">
        <v>15</v>
      </c>
      <c r="F7" s="140" t="s">
        <v>16</v>
      </c>
      <c r="G7" s="140"/>
      <c r="H7" s="141">
        <v>45717</v>
      </c>
      <c r="I7" s="142"/>
      <c r="J7" s="140"/>
      <c r="K7" s="143" t="s">
        <v>30</v>
      </c>
    </row>
    <row r="8" hidden="1" spans="1:11">
      <c r="A8" s="139" t="s">
        <v>11</v>
      </c>
      <c r="B8" s="140" t="s">
        <v>31</v>
      </c>
      <c r="C8" s="140"/>
      <c r="D8" s="140" t="s">
        <v>14</v>
      </c>
      <c r="E8" s="140" t="s">
        <v>15</v>
      </c>
      <c r="F8" s="140" t="s">
        <v>16</v>
      </c>
      <c r="G8" s="140"/>
      <c r="H8" s="141">
        <v>45717</v>
      </c>
      <c r="I8" s="142"/>
      <c r="J8" s="140"/>
      <c r="K8" s="143" t="s">
        <v>32</v>
      </c>
    </row>
    <row r="9" hidden="1" spans="1:11">
      <c r="A9" s="139" t="s">
        <v>11</v>
      </c>
      <c r="B9" s="140" t="s">
        <v>33</v>
      </c>
      <c r="C9" s="140"/>
      <c r="D9" s="140" t="s">
        <v>14</v>
      </c>
      <c r="E9" s="140" t="s">
        <v>15</v>
      </c>
      <c r="F9" s="140" t="s">
        <v>16</v>
      </c>
      <c r="G9" s="140"/>
      <c r="H9" s="141">
        <v>45717</v>
      </c>
      <c r="I9" s="142"/>
      <c r="J9" s="140"/>
      <c r="K9" s="143" t="s">
        <v>34</v>
      </c>
    </row>
    <row r="10" hidden="1" spans="1:11">
      <c r="A10" s="139" t="s">
        <v>11</v>
      </c>
      <c r="B10" s="140" t="s">
        <v>35</v>
      </c>
      <c r="C10" s="140"/>
      <c r="D10" s="140" t="s">
        <v>14</v>
      </c>
      <c r="E10" s="140" t="s">
        <v>15</v>
      </c>
      <c r="F10" s="140" t="s">
        <v>16</v>
      </c>
      <c r="G10" s="140"/>
      <c r="H10" s="141">
        <v>45717</v>
      </c>
      <c r="I10" s="142"/>
      <c r="J10" s="140"/>
      <c r="K10" s="143" t="s">
        <v>36</v>
      </c>
    </row>
    <row r="11" hidden="1" spans="1:11">
      <c r="A11" s="139" t="s">
        <v>11</v>
      </c>
      <c r="B11" s="140" t="s">
        <v>37</v>
      </c>
      <c r="C11" s="140"/>
      <c r="D11" s="140" t="s">
        <v>14</v>
      </c>
      <c r="E11" s="140" t="s">
        <v>15</v>
      </c>
      <c r="F11" s="140" t="s">
        <v>16</v>
      </c>
      <c r="G11" s="140"/>
      <c r="H11" s="141">
        <v>45717</v>
      </c>
      <c r="I11" s="142"/>
      <c r="J11" s="140"/>
      <c r="K11" s="143"/>
    </row>
    <row r="12" hidden="1" spans="1:11">
      <c r="A12" s="139" t="s">
        <v>38</v>
      </c>
      <c r="B12" s="140" t="s">
        <v>39</v>
      </c>
      <c r="C12" s="140"/>
      <c r="D12" s="140" t="s">
        <v>14</v>
      </c>
      <c r="E12" s="140" t="s">
        <v>15</v>
      </c>
      <c r="F12" s="140" t="s">
        <v>16</v>
      </c>
      <c r="G12" s="140"/>
      <c r="H12" s="141">
        <v>45717</v>
      </c>
      <c r="I12" s="142"/>
      <c r="J12" s="140"/>
      <c r="K12" s="143" t="s">
        <v>40</v>
      </c>
    </row>
    <row r="13" hidden="1" spans="1:11">
      <c r="A13" s="139" t="s">
        <v>41</v>
      </c>
      <c r="B13" s="140" t="s">
        <v>42</v>
      </c>
      <c r="C13" s="140"/>
      <c r="D13" s="140" t="s">
        <v>14</v>
      </c>
      <c r="E13" s="140" t="s">
        <v>15</v>
      </c>
      <c r="F13" s="140" t="s">
        <v>16</v>
      </c>
      <c r="G13" s="140"/>
      <c r="H13" s="141">
        <v>45717</v>
      </c>
      <c r="I13" s="142"/>
      <c r="J13" s="140"/>
      <c r="K13" s="143" t="s">
        <v>43</v>
      </c>
    </row>
    <row r="14" hidden="1" spans="1:11">
      <c r="A14" s="139" t="s">
        <v>41</v>
      </c>
      <c r="B14" s="140" t="s">
        <v>44</v>
      </c>
      <c r="C14" s="140"/>
      <c r="D14" s="140" t="s">
        <v>14</v>
      </c>
      <c r="E14" s="140" t="s">
        <v>15</v>
      </c>
      <c r="F14" s="140" t="s">
        <v>16</v>
      </c>
      <c r="G14" s="140"/>
      <c r="H14" s="141">
        <v>45717</v>
      </c>
      <c r="I14" s="142"/>
      <c r="J14" s="140"/>
      <c r="K14" s="143" t="s">
        <v>45</v>
      </c>
    </row>
    <row r="15" hidden="1" spans="1:11">
      <c r="A15" s="140" t="s">
        <v>46</v>
      </c>
      <c r="B15" s="140" t="s">
        <v>47</v>
      </c>
      <c r="C15" s="140"/>
      <c r="D15" s="140" t="s">
        <v>48</v>
      </c>
      <c r="E15" s="140" t="s">
        <v>15</v>
      </c>
      <c r="F15" s="140" t="s">
        <v>16</v>
      </c>
      <c r="G15" s="140" t="s">
        <v>49</v>
      </c>
      <c r="H15" s="141">
        <v>45717</v>
      </c>
      <c r="I15" s="141">
        <v>46185</v>
      </c>
      <c r="J15" s="140"/>
      <c r="K15" s="143"/>
    </row>
    <row r="16" ht="29" hidden="1" customHeight="1" spans="1:11">
      <c r="A16" s="140" t="s">
        <v>50</v>
      </c>
      <c r="B16" s="140" t="s">
        <v>51</v>
      </c>
      <c r="C16" s="140"/>
      <c r="D16" s="140" t="s">
        <v>48</v>
      </c>
      <c r="E16" s="140" t="s">
        <v>15</v>
      </c>
      <c r="F16" s="140" t="s">
        <v>16</v>
      </c>
      <c r="G16" s="140"/>
      <c r="H16" s="141">
        <v>45717</v>
      </c>
      <c r="I16" s="142"/>
      <c r="J16" s="140"/>
      <c r="K16" s="143"/>
    </row>
    <row r="17" ht="44" hidden="1" customHeight="1" spans="1:11">
      <c r="A17" s="140" t="s">
        <v>52</v>
      </c>
      <c r="B17" s="140" t="s">
        <v>53</v>
      </c>
      <c r="C17" s="144" t="s">
        <v>54</v>
      </c>
      <c r="D17" s="140" t="s">
        <v>48</v>
      </c>
      <c r="E17" s="140" t="s">
        <v>15</v>
      </c>
      <c r="F17" s="140" t="s">
        <v>16</v>
      </c>
      <c r="G17" s="140"/>
      <c r="H17" s="141">
        <v>45717</v>
      </c>
      <c r="I17" s="142"/>
      <c r="J17" s="140"/>
      <c r="K17" s="143" t="s">
        <v>55</v>
      </c>
    </row>
    <row r="18" ht="29" hidden="1" customHeight="1" spans="1:11">
      <c r="A18" s="140" t="s">
        <v>52</v>
      </c>
      <c r="B18" s="140" t="s">
        <v>56</v>
      </c>
      <c r="C18" s="140" t="s">
        <v>57</v>
      </c>
      <c r="D18" s="140" t="s">
        <v>48</v>
      </c>
      <c r="E18" s="140" t="s">
        <v>15</v>
      </c>
      <c r="F18" s="140" t="s">
        <v>16</v>
      </c>
      <c r="G18" s="140"/>
      <c r="H18" s="141">
        <v>45717</v>
      </c>
      <c r="I18" s="142"/>
      <c r="J18" s="140"/>
      <c r="K18" s="143" t="s">
        <v>58</v>
      </c>
    </row>
    <row r="19" hidden="1" spans="1:11">
      <c r="A19" s="140" t="s">
        <v>52</v>
      </c>
      <c r="B19" s="140" t="s">
        <v>22</v>
      </c>
      <c r="C19" s="140" t="s">
        <v>59</v>
      </c>
      <c r="D19" s="140" t="s">
        <v>48</v>
      </c>
      <c r="E19" s="140" t="s">
        <v>15</v>
      </c>
      <c r="F19" s="140" t="s">
        <v>16</v>
      </c>
      <c r="G19" s="140"/>
      <c r="H19" s="141">
        <v>45717</v>
      </c>
      <c r="I19" s="142"/>
      <c r="J19" s="140"/>
      <c r="K19" s="143"/>
    </row>
    <row r="20" ht="116" hidden="1" customHeight="1" spans="1:11">
      <c r="A20" s="140" t="s">
        <v>52</v>
      </c>
      <c r="B20" s="140" t="s">
        <v>60</v>
      </c>
      <c r="C20" s="144" t="s">
        <v>61</v>
      </c>
      <c r="D20" s="140" t="s">
        <v>48</v>
      </c>
      <c r="E20" s="140" t="s">
        <v>15</v>
      </c>
      <c r="F20" s="140" t="s">
        <v>16</v>
      </c>
      <c r="G20" s="140"/>
      <c r="H20" s="141">
        <v>45717</v>
      </c>
      <c r="I20" s="142"/>
      <c r="J20" s="140"/>
      <c r="K20" s="143"/>
    </row>
    <row r="21" hidden="1" spans="1:11">
      <c r="A21" s="140" t="s">
        <v>52</v>
      </c>
      <c r="B21" s="140" t="s">
        <v>62</v>
      </c>
      <c r="C21" s="140" t="s">
        <v>63</v>
      </c>
      <c r="D21" s="140" t="s">
        <v>48</v>
      </c>
      <c r="E21" s="140" t="s">
        <v>15</v>
      </c>
      <c r="F21" s="140" t="s">
        <v>16</v>
      </c>
      <c r="G21" s="140"/>
      <c r="H21" s="141">
        <v>45717</v>
      </c>
      <c r="I21" s="142"/>
      <c r="J21" s="140"/>
      <c r="K21" s="143"/>
    </row>
    <row r="22" ht="58" hidden="1" customHeight="1" spans="1:11">
      <c r="A22" s="140" t="s">
        <v>52</v>
      </c>
      <c r="B22" s="140" t="s">
        <v>64</v>
      </c>
      <c r="C22" s="144" t="s">
        <v>65</v>
      </c>
      <c r="D22" s="140" t="s">
        <v>48</v>
      </c>
      <c r="E22" s="140" t="s">
        <v>15</v>
      </c>
      <c r="F22" s="140" t="s">
        <v>16</v>
      </c>
      <c r="G22" s="140"/>
      <c r="H22" s="141">
        <v>45717</v>
      </c>
      <c r="I22" s="142"/>
      <c r="J22" s="140"/>
      <c r="K22" s="143" t="s">
        <v>66</v>
      </c>
    </row>
    <row r="23" ht="29" hidden="1" customHeight="1" spans="1:11">
      <c r="A23" s="140" t="s">
        <v>52</v>
      </c>
      <c r="B23" s="140" t="s">
        <v>67</v>
      </c>
      <c r="C23" s="140" t="s">
        <v>68</v>
      </c>
      <c r="D23" s="140" t="s">
        <v>48</v>
      </c>
      <c r="E23" s="140" t="s">
        <v>15</v>
      </c>
      <c r="F23" s="140" t="s">
        <v>16</v>
      </c>
      <c r="G23" s="140"/>
      <c r="H23" s="141">
        <v>45717</v>
      </c>
      <c r="I23" s="142"/>
      <c r="J23" s="140"/>
      <c r="K23" s="143" t="s">
        <v>69</v>
      </c>
    </row>
    <row r="24" ht="29" hidden="1" customHeight="1" spans="1:11">
      <c r="A24" s="140" t="s">
        <v>52</v>
      </c>
      <c r="B24" s="140" t="s">
        <v>70</v>
      </c>
      <c r="C24" s="140" t="s">
        <v>71</v>
      </c>
      <c r="D24" s="140" t="s">
        <v>48</v>
      </c>
      <c r="E24" s="140" t="s">
        <v>15</v>
      </c>
      <c r="F24" s="140" t="s">
        <v>16</v>
      </c>
      <c r="G24" s="140"/>
      <c r="H24" s="141">
        <v>45717</v>
      </c>
      <c r="I24" s="142"/>
      <c r="J24" s="140"/>
      <c r="K24" s="143"/>
    </row>
    <row r="25" ht="29" hidden="1" customHeight="1" spans="1:11">
      <c r="A25" s="140" t="s">
        <v>52</v>
      </c>
      <c r="B25" s="140" t="s">
        <v>72</v>
      </c>
      <c r="C25" s="140" t="s">
        <v>73</v>
      </c>
      <c r="D25" s="140" t="s">
        <v>48</v>
      </c>
      <c r="E25" s="140" t="s">
        <v>15</v>
      </c>
      <c r="F25" s="140" t="s">
        <v>16</v>
      </c>
      <c r="G25" s="140"/>
      <c r="H25" s="141">
        <v>45717</v>
      </c>
      <c r="I25" s="142"/>
      <c r="J25" s="140"/>
      <c r="K25" s="143" t="s">
        <v>74</v>
      </c>
    </row>
    <row r="26" hidden="1" spans="1:11">
      <c r="A26" s="140" t="s">
        <v>46</v>
      </c>
      <c r="B26" s="140" t="s">
        <v>75</v>
      </c>
      <c r="C26" s="140"/>
      <c r="D26" s="140" t="s">
        <v>48</v>
      </c>
      <c r="E26" s="140" t="s">
        <v>15</v>
      </c>
      <c r="F26" s="140" t="s">
        <v>16</v>
      </c>
      <c r="G26" s="140"/>
      <c r="H26" s="141">
        <v>45717</v>
      </c>
      <c r="I26" s="142"/>
      <c r="J26" s="140"/>
      <c r="K26" s="143"/>
    </row>
    <row r="27" hidden="1" spans="1:11">
      <c r="A27" s="140" t="s">
        <v>46</v>
      </c>
      <c r="B27" s="140" t="s">
        <v>76</v>
      </c>
      <c r="C27" s="140"/>
      <c r="D27" s="140" t="s">
        <v>48</v>
      </c>
      <c r="E27" s="140" t="s">
        <v>15</v>
      </c>
      <c r="F27" s="140" t="s">
        <v>16</v>
      </c>
      <c r="G27" s="140"/>
      <c r="H27" s="141">
        <v>45717</v>
      </c>
      <c r="I27" s="142"/>
      <c r="J27" s="140"/>
      <c r="K27" s="143" t="s">
        <v>77</v>
      </c>
    </row>
    <row r="28" hidden="1" spans="1:11">
      <c r="A28" s="140" t="s">
        <v>46</v>
      </c>
      <c r="B28" s="140" t="s">
        <v>78</v>
      </c>
      <c r="C28" s="140"/>
      <c r="D28" s="140" t="s">
        <v>48</v>
      </c>
      <c r="E28" s="140" t="s">
        <v>15</v>
      </c>
      <c r="F28" s="140" t="s">
        <v>16</v>
      </c>
      <c r="G28" s="140"/>
      <c r="H28" s="141">
        <v>45717</v>
      </c>
      <c r="I28" s="142"/>
      <c r="J28" s="140"/>
      <c r="K28" s="143" t="s">
        <v>77</v>
      </c>
    </row>
    <row r="29" hidden="1" spans="1:11">
      <c r="A29" s="140" t="s">
        <v>46</v>
      </c>
      <c r="B29" s="140" t="s">
        <v>79</v>
      </c>
      <c r="C29" s="140"/>
      <c r="D29" s="140" t="s">
        <v>48</v>
      </c>
      <c r="E29" s="140" t="s">
        <v>15</v>
      </c>
      <c r="F29" s="140" t="s">
        <v>16</v>
      </c>
      <c r="G29" s="140"/>
      <c r="H29" s="141">
        <v>45717</v>
      </c>
      <c r="I29" s="142"/>
      <c r="J29" s="140"/>
      <c r="K29" s="143" t="s">
        <v>34</v>
      </c>
    </row>
    <row r="30" hidden="1" spans="1:11">
      <c r="A30" s="140" t="s">
        <v>46</v>
      </c>
      <c r="B30" s="140" t="s">
        <v>80</v>
      </c>
      <c r="C30" s="140"/>
      <c r="D30" s="140" t="s">
        <v>48</v>
      </c>
      <c r="E30" s="140" t="s">
        <v>15</v>
      </c>
      <c r="F30" s="140" t="s">
        <v>16</v>
      </c>
      <c r="G30" s="140"/>
      <c r="H30" s="141">
        <v>45717</v>
      </c>
      <c r="I30" s="142"/>
      <c r="J30" s="140"/>
      <c r="K30" s="143" t="s">
        <v>55</v>
      </c>
    </row>
    <row r="31" hidden="1" spans="1:11">
      <c r="A31" s="139" t="s">
        <v>11</v>
      </c>
      <c r="B31" s="140" t="s">
        <v>81</v>
      </c>
      <c r="C31" s="140"/>
      <c r="D31" s="140" t="s">
        <v>14</v>
      </c>
      <c r="E31" s="140" t="s">
        <v>82</v>
      </c>
      <c r="F31" s="140" t="s">
        <v>16</v>
      </c>
      <c r="G31" s="140"/>
      <c r="H31" s="141">
        <v>45763</v>
      </c>
      <c r="I31" s="141">
        <v>46169</v>
      </c>
      <c r="J31" s="140"/>
      <c r="K31" s="143" t="s">
        <v>83</v>
      </c>
    </row>
    <row r="32" hidden="1" spans="1:11">
      <c r="A32" s="139" t="s">
        <v>11</v>
      </c>
      <c r="B32" s="140" t="s">
        <v>84</v>
      </c>
      <c r="C32" s="140" t="s">
        <v>85</v>
      </c>
      <c r="D32" s="140" t="s">
        <v>14</v>
      </c>
      <c r="E32" s="140" t="s">
        <v>82</v>
      </c>
      <c r="F32" s="140" t="s">
        <v>16</v>
      </c>
      <c r="G32" s="140" t="s">
        <v>86</v>
      </c>
      <c r="H32" s="141">
        <v>45763</v>
      </c>
      <c r="I32" s="141">
        <v>46185</v>
      </c>
      <c r="J32" s="140"/>
      <c r="K32" s="143" t="s">
        <v>87</v>
      </c>
    </row>
    <row r="33" hidden="1" spans="1:11">
      <c r="A33" s="139" t="s">
        <v>38</v>
      </c>
      <c r="B33" s="140" t="s">
        <v>84</v>
      </c>
      <c r="C33" s="140" t="s">
        <v>85</v>
      </c>
      <c r="D33" s="140" t="s">
        <v>14</v>
      </c>
      <c r="E33" s="140" t="s">
        <v>82</v>
      </c>
      <c r="F33" s="140" t="s">
        <v>16</v>
      </c>
      <c r="G33" s="140" t="s">
        <v>86</v>
      </c>
      <c r="H33" s="141">
        <v>45763</v>
      </c>
      <c r="I33" s="141">
        <v>46185</v>
      </c>
      <c r="J33" s="140"/>
      <c r="K33" s="143" t="s">
        <v>87</v>
      </c>
    </row>
    <row r="34" hidden="1" spans="1:11">
      <c r="A34" s="139" t="s">
        <v>41</v>
      </c>
      <c r="B34" s="140" t="s">
        <v>88</v>
      </c>
      <c r="C34" s="140"/>
      <c r="D34" s="140" t="s">
        <v>14</v>
      </c>
      <c r="E34" s="140" t="s">
        <v>82</v>
      </c>
      <c r="F34" s="140" t="s">
        <v>16</v>
      </c>
      <c r="G34" s="140" t="s">
        <v>89</v>
      </c>
      <c r="H34" s="141">
        <v>45763</v>
      </c>
      <c r="I34" s="141">
        <v>46203</v>
      </c>
      <c r="J34" s="140"/>
      <c r="K34" s="143" t="s">
        <v>90</v>
      </c>
    </row>
    <row r="35" hidden="1" spans="1:11">
      <c r="A35" s="139" t="s">
        <v>11</v>
      </c>
      <c r="B35" s="140" t="s">
        <v>91</v>
      </c>
      <c r="C35" s="140" t="s">
        <v>92</v>
      </c>
      <c r="D35" s="140" t="s">
        <v>14</v>
      </c>
      <c r="E35" s="140" t="s">
        <v>82</v>
      </c>
      <c r="F35" s="140" t="s">
        <v>16</v>
      </c>
      <c r="G35" s="140"/>
      <c r="H35" s="141">
        <v>45763</v>
      </c>
      <c r="I35" s="142"/>
      <c r="J35" s="140"/>
      <c r="K35" s="143" t="s">
        <v>93</v>
      </c>
    </row>
    <row r="36" hidden="1" spans="1:11">
      <c r="A36" s="139" t="s">
        <v>11</v>
      </c>
      <c r="B36" s="140" t="s">
        <v>94</v>
      </c>
      <c r="C36" s="140" t="s">
        <v>95</v>
      </c>
      <c r="D36" s="140" t="s">
        <v>14</v>
      </c>
      <c r="E36" s="140" t="s">
        <v>82</v>
      </c>
      <c r="F36" s="140" t="s">
        <v>16</v>
      </c>
      <c r="G36" s="140"/>
      <c r="H36" s="141">
        <v>45763</v>
      </c>
      <c r="I36" s="142"/>
      <c r="J36" s="140"/>
      <c r="K36" s="143" t="s">
        <v>96</v>
      </c>
    </row>
    <row r="37" hidden="1" spans="1:11">
      <c r="A37" s="139" t="s">
        <v>11</v>
      </c>
      <c r="B37" s="140" t="s">
        <v>97</v>
      </c>
      <c r="C37" s="140"/>
      <c r="D37" s="140" t="s">
        <v>14</v>
      </c>
      <c r="E37" s="140" t="s">
        <v>82</v>
      </c>
      <c r="F37" s="140" t="s">
        <v>16</v>
      </c>
      <c r="G37" s="140"/>
      <c r="H37" s="141">
        <v>45763</v>
      </c>
      <c r="I37" s="142"/>
      <c r="J37" s="140"/>
      <c r="K37" s="143"/>
    </row>
    <row r="38" hidden="1" spans="1:11">
      <c r="A38" s="139" t="s">
        <v>38</v>
      </c>
      <c r="B38" s="140" t="s">
        <v>98</v>
      </c>
      <c r="C38" s="140"/>
      <c r="D38" s="140" t="s">
        <v>14</v>
      </c>
      <c r="E38" s="140" t="s">
        <v>82</v>
      </c>
      <c r="F38" s="140" t="s">
        <v>16</v>
      </c>
      <c r="G38" s="140"/>
      <c r="H38" s="141">
        <v>45763</v>
      </c>
      <c r="I38" s="142"/>
      <c r="J38" s="140"/>
      <c r="K38" s="143" t="s">
        <v>99</v>
      </c>
    </row>
    <row r="39" hidden="1" spans="1:11">
      <c r="A39" s="139" t="s">
        <v>41</v>
      </c>
      <c r="B39" s="140" t="s">
        <v>100</v>
      </c>
      <c r="C39" s="140"/>
      <c r="D39" s="140" t="s">
        <v>14</v>
      </c>
      <c r="E39" s="140" t="s">
        <v>82</v>
      </c>
      <c r="F39" s="140" t="s">
        <v>16</v>
      </c>
      <c r="G39" s="140" t="s">
        <v>101</v>
      </c>
      <c r="H39" s="141">
        <v>45763</v>
      </c>
      <c r="I39" s="142"/>
      <c r="J39" s="140"/>
      <c r="K39" s="143" t="s">
        <v>96</v>
      </c>
    </row>
    <row r="40" hidden="1" spans="1:11">
      <c r="A40" s="139" t="s">
        <v>38</v>
      </c>
      <c r="B40" s="140" t="s">
        <v>102</v>
      </c>
      <c r="C40" s="140"/>
      <c r="D40" s="140" t="s">
        <v>14</v>
      </c>
      <c r="E40" s="140" t="s">
        <v>82</v>
      </c>
      <c r="F40" s="140" t="s">
        <v>16</v>
      </c>
      <c r="G40" s="140"/>
      <c r="H40" s="141">
        <v>45763</v>
      </c>
      <c r="I40" s="142"/>
      <c r="J40" s="140"/>
      <c r="K40" s="143" t="s">
        <v>103</v>
      </c>
    </row>
    <row r="41" hidden="1" spans="1:11">
      <c r="A41" s="139" t="s">
        <v>38</v>
      </c>
      <c r="B41" s="140" t="s">
        <v>104</v>
      </c>
      <c r="C41" s="140" t="s">
        <v>105</v>
      </c>
      <c r="D41" s="140" t="s">
        <v>14</v>
      </c>
      <c r="E41" s="140" t="s">
        <v>82</v>
      </c>
      <c r="F41" s="140" t="s">
        <v>16</v>
      </c>
      <c r="G41" s="140"/>
      <c r="H41" s="141">
        <v>45763</v>
      </c>
      <c r="I41" s="142"/>
      <c r="J41" s="140"/>
      <c r="K41" s="143"/>
    </row>
    <row r="42" hidden="1" spans="1:11">
      <c r="A42" s="140" t="s">
        <v>52</v>
      </c>
      <c r="B42" s="140" t="s">
        <v>106</v>
      </c>
      <c r="C42" s="140" t="s">
        <v>107</v>
      </c>
      <c r="D42" s="140" t="s">
        <v>48</v>
      </c>
      <c r="E42" s="140" t="s">
        <v>82</v>
      </c>
      <c r="F42" s="140" t="s">
        <v>16</v>
      </c>
      <c r="G42" s="140" t="s">
        <v>108</v>
      </c>
      <c r="H42" s="141">
        <v>45763</v>
      </c>
      <c r="I42" s="141">
        <v>46182</v>
      </c>
      <c r="J42" s="140"/>
      <c r="K42" s="143"/>
    </row>
    <row r="43" ht="44" hidden="1" customHeight="1" spans="1:11">
      <c r="A43" s="140" t="s">
        <v>109</v>
      </c>
      <c r="B43" s="140" t="s">
        <v>110</v>
      </c>
      <c r="C43" s="140"/>
      <c r="D43" s="140" t="s">
        <v>48</v>
      </c>
      <c r="E43" s="140" t="s">
        <v>82</v>
      </c>
      <c r="F43" s="140" t="s">
        <v>16</v>
      </c>
      <c r="G43" s="140"/>
      <c r="H43" s="141">
        <v>45763</v>
      </c>
      <c r="I43" s="142"/>
      <c r="J43" s="140"/>
      <c r="K43" s="143"/>
    </row>
    <row r="44" hidden="1" spans="1:11">
      <c r="A44" s="140" t="s">
        <v>109</v>
      </c>
      <c r="B44" s="140" t="s">
        <v>111</v>
      </c>
      <c r="C44" s="140"/>
      <c r="D44" s="140" t="s">
        <v>48</v>
      </c>
      <c r="E44" s="140" t="s">
        <v>82</v>
      </c>
      <c r="F44" s="140" t="s">
        <v>16</v>
      </c>
      <c r="G44" s="140"/>
      <c r="H44" s="141">
        <v>45763</v>
      </c>
      <c r="I44" s="142"/>
      <c r="J44" s="140"/>
      <c r="K44" s="143"/>
    </row>
    <row r="45" hidden="1" spans="1:11">
      <c r="A45" s="140" t="s">
        <v>109</v>
      </c>
      <c r="B45" s="140" t="s">
        <v>112</v>
      </c>
      <c r="C45" s="140"/>
      <c r="D45" s="140" t="s">
        <v>48</v>
      </c>
      <c r="E45" s="140" t="s">
        <v>82</v>
      </c>
      <c r="F45" s="140" t="s">
        <v>16</v>
      </c>
      <c r="G45" s="140"/>
      <c r="H45" s="141">
        <v>45763</v>
      </c>
      <c r="I45" s="142"/>
      <c r="J45" s="140"/>
      <c r="K45" s="143"/>
    </row>
    <row r="46" hidden="1" spans="1:11">
      <c r="A46" s="140" t="s">
        <v>50</v>
      </c>
      <c r="B46" s="140" t="s">
        <v>113</v>
      </c>
      <c r="C46" s="140"/>
      <c r="D46" s="140" t="s">
        <v>48</v>
      </c>
      <c r="E46" s="140" t="s">
        <v>82</v>
      </c>
      <c r="F46" s="140" t="s">
        <v>16</v>
      </c>
      <c r="G46" s="140"/>
      <c r="H46" s="141">
        <v>45763</v>
      </c>
      <c r="I46" s="142"/>
      <c r="J46" s="140"/>
      <c r="K46" s="143"/>
    </row>
    <row r="47" hidden="1" spans="1:11">
      <c r="A47" s="140" t="s">
        <v>50</v>
      </c>
      <c r="B47" s="140" t="s">
        <v>114</v>
      </c>
      <c r="C47" s="140"/>
      <c r="D47" s="140" t="s">
        <v>48</v>
      </c>
      <c r="E47" s="140" t="s">
        <v>82</v>
      </c>
      <c r="F47" s="140" t="s">
        <v>16</v>
      </c>
      <c r="G47" s="140"/>
      <c r="H47" s="141">
        <v>45763</v>
      </c>
      <c r="I47" s="142"/>
      <c r="J47" s="140"/>
      <c r="K47" s="143"/>
    </row>
    <row r="48" ht="116" hidden="1" customHeight="1" spans="1:11">
      <c r="A48" s="140" t="s">
        <v>52</v>
      </c>
      <c r="B48" s="140" t="s">
        <v>115</v>
      </c>
      <c r="C48" s="144" t="s">
        <v>116</v>
      </c>
      <c r="D48" s="140" t="s">
        <v>48</v>
      </c>
      <c r="E48" s="140" t="s">
        <v>82</v>
      </c>
      <c r="F48" s="140" t="s">
        <v>16</v>
      </c>
      <c r="G48" s="140"/>
      <c r="H48" s="141">
        <v>45763</v>
      </c>
      <c r="I48" s="142"/>
      <c r="J48" s="140"/>
      <c r="K48" s="143" t="s">
        <v>117</v>
      </c>
    </row>
    <row r="49" ht="29" hidden="1" customHeight="1" spans="1:11">
      <c r="A49" s="140" t="s">
        <v>52</v>
      </c>
      <c r="B49" s="140" t="s">
        <v>118</v>
      </c>
      <c r="C49" s="140" t="s">
        <v>119</v>
      </c>
      <c r="D49" s="140" t="s">
        <v>48</v>
      </c>
      <c r="E49" s="140" t="s">
        <v>82</v>
      </c>
      <c r="F49" s="140" t="s">
        <v>16</v>
      </c>
      <c r="G49" s="140"/>
      <c r="H49" s="141">
        <v>45763</v>
      </c>
      <c r="I49" s="142"/>
      <c r="J49" s="140"/>
      <c r="K49" s="143" t="s">
        <v>120</v>
      </c>
    </row>
    <row r="50" ht="29" hidden="1" customHeight="1" spans="1:11">
      <c r="A50" s="140" t="s">
        <v>52</v>
      </c>
      <c r="B50" s="140" t="s">
        <v>121</v>
      </c>
      <c r="C50" s="140" t="s">
        <v>122</v>
      </c>
      <c r="D50" s="140" t="s">
        <v>48</v>
      </c>
      <c r="E50" s="140" t="s">
        <v>82</v>
      </c>
      <c r="F50" s="140" t="s">
        <v>16</v>
      </c>
      <c r="G50" s="140"/>
      <c r="H50" s="141">
        <v>45763</v>
      </c>
      <c r="I50" s="142"/>
      <c r="J50" s="140"/>
      <c r="K50" s="143" t="s">
        <v>123</v>
      </c>
    </row>
    <row r="51" hidden="1" spans="1:11">
      <c r="A51" s="140" t="s">
        <v>52</v>
      </c>
      <c r="B51" s="140" t="s">
        <v>124</v>
      </c>
      <c r="C51" s="140" t="s">
        <v>125</v>
      </c>
      <c r="D51" s="140" t="s">
        <v>48</v>
      </c>
      <c r="E51" s="140" t="s">
        <v>82</v>
      </c>
      <c r="F51" s="140" t="s">
        <v>16</v>
      </c>
      <c r="G51" s="140"/>
      <c r="H51" s="141">
        <v>45763</v>
      </c>
      <c r="I51" s="142"/>
      <c r="J51" s="140"/>
      <c r="K51" s="143" t="s">
        <v>126</v>
      </c>
    </row>
    <row r="52" ht="29" hidden="1" customHeight="1" spans="1:11">
      <c r="A52" s="140" t="s">
        <v>52</v>
      </c>
      <c r="B52" s="140" t="s">
        <v>127</v>
      </c>
      <c r="C52" s="140" t="s">
        <v>128</v>
      </c>
      <c r="D52" s="140" t="s">
        <v>48</v>
      </c>
      <c r="E52" s="140" t="s">
        <v>82</v>
      </c>
      <c r="F52" s="140" t="s">
        <v>16</v>
      </c>
      <c r="G52" s="140"/>
      <c r="H52" s="141">
        <v>45763</v>
      </c>
      <c r="I52" s="142"/>
      <c r="J52" s="140"/>
      <c r="K52" s="143"/>
    </row>
    <row r="53" ht="130" hidden="1" customHeight="1" spans="1:11">
      <c r="A53" s="140" t="s">
        <v>52</v>
      </c>
      <c r="B53" s="140" t="s">
        <v>129</v>
      </c>
      <c r="C53" s="144" t="s">
        <v>130</v>
      </c>
      <c r="D53" s="140" t="s">
        <v>48</v>
      </c>
      <c r="E53" s="140" t="s">
        <v>82</v>
      </c>
      <c r="F53" s="140" t="s">
        <v>16</v>
      </c>
      <c r="G53" s="140"/>
      <c r="H53" s="141">
        <v>45763</v>
      </c>
      <c r="I53" s="142"/>
      <c r="J53" s="140"/>
      <c r="K53" s="143"/>
    </row>
    <row r="54" hidden="1" spans="1:11">
      <c r="A54" s="140" t="s">
        <v>52</v>
      </c>
      <c r="B54" s="140" t="s">
        <v>131</v>
      </c>
      <c r="C54" s="140" t="s">
        <v>132</v>
      </c>
      <c r="D54" s="140" t="s">
        <v>48</v>
      </c>
      <c r="E54" s="140" t="s">
        <v>82</v>
      </c>
      <c r="F54" s="140" t="s">
        <v>16</v>
      </c>
      <c r="G54" s="140"/>
      <c r="H54" s="141">
        <v>45763</v>
      </c>
      <c r="I54" s="142"/>
      <c r="J54" s="140"/>
      <c r="K54" s="143"/>
    </row>
    <row r="55" ht="29" hidden="1" customHeight="1" spans="1:11">
      <c r="A55" s="140" t="s">
        <v>52</v>
      </c>
      <c r="B55" s="140" t="s">
        <v>133</v>
      </c>
      <c r="C55" s="140" t="s">
        <v>134</v>
      </c>
      <c r="D55" s="140" t="s">
        <v>48</v>
      </c>
      <c r="E55" s="140" t="s">
        <v>82</v>
      </c>
      <c r="F55" s="140" t="s">
        <v>16</v>
      </c>
      <c r="G55" s="140"/>
      <c r="H55" s="141">
        <v>45763</v>
      </c>
      <c r="I55" s="142"/>
      <c r="J55" s="140"/>
      <c r="K55" s="143"/>
    </row>
    <row r="56" hidden="1" spans="1:11">
      <c r="A56" s="140" t="s">
        <v>46</v>
      </c>
      <c r="B56" s="140" t="s">
        <v>21</v>
      </c>
      <c r="C56" s="140" t="s">
        <v>22</v>
      </c>
      <c r="D56" s="140" t="s">
        <v>48</v>
      </c>
      <c r="E56" s="140" t="s">
        <v>82</v>
      </c>
      <c r="F56" s="140" t="s">
        <v>16</v>
      </c>
      <c r="G56" s="140"/>
      <c r="H56" s="141">
        <v>45763</v>
      </c>
      <c r="I56" s="142"/>
      <c r="J56" s="140"/>
      <c r="K56" s="143"/>
    </row>
    <row r="57" hidden="1" spans="1:11">
      <c r="A57" s="140" t="s">
        <v>46</v>
      </c>
      <c r="B57" s="140" t="s">
        <v>135</v>
      </c>
      <c r="C57" s="140"/>
      <c r="D57" s="140" t="s">
        <v>48</v>
      </c>
      <c r="E57" s="140" t="s">
        <v>82</v>
      </c>
      <c r="F57" s="140" t="s">
        <v>16</v>
      </c>
      <c r="G57" s="140"/>
      <c r="H57" s="141">
        <v>45763</v>
      </c>
      <c r="I57" s="142"/>
      <c r="J57" s="140"/>
      <c r="K57" s="143"/>
    </row>
    <row r="58" hidden="1" spans="1:11">
      <c r="A58" s="140" t="s">
        <v>46</v>
      </c>
      <c r="B58" s="140" t="s">
        <v>136</v>
      </c>
      <c r="C58" s="140"/>
      <c r="D58" s="140" t="s">
        <v>48</v>
      </c>
      <c r="E58" s="140" t="s">
        <v>82</v>
      </c>
      <c r="F58" s="140" t="s">
        <v>16</v>
      </c>
      <c r="G58" s="140"/>
      <c r="H58" s="141">
        <v>45763</v>
      </c>
      <c r="I58" s="142"/>
      <c r="J58" s="140"/>
      <c r="K58" s="143"/>
    </row>
    <row r="59" hidden="1" spans="1:11">
      <c r="A59" s="140" t="s">
        <v>46</v>
      </c>
      <c r="B59" s="140" t="s">
        <v>137</v>
      </c>
      <c r="C59" s="140"/>
      <c r="D59" s="140" t="s">
        <v>48</v>
      </c>
      <c r="E59" s="140" t="s">
        <v>82</v>
      </c>
      <c r="F59" s="140" t="s">
        <v>16</v>
      </c>
      <c r="G59" s="140"/>
      <c r="H59" s="141">
        <v>45763</v>
      </c>
      <c r="I59" s="142"/>
      <c r="J59" s="140"/>
      <c r="K59" s="143"/>
    </row>
    <row r="60" hidden="1" spans="1:11">
      <c r="A60" s="140" t="s">
        <v>46</v>
      </c>
      <c r="B60" s="140" t="s">
        <v>138</v>
      </c>
      <c r="C60" s="140"/>
      <c r="D60" s="140" t="s">
        <v>48</v>
      </c>
      <c r="E60" s="140" t="s">
        <v>82</v>
      </c>
      <c r="F60" s="140" t="s">
        <v>16</v>
      </c>
      <c r="G60" s="140"/>
      <c r="H60" s="141">
        <v>45763</v>
      </c>
      <c r="I60" s="142"/>
      <c r="J60" s="140"/>
      <c r="K60" s="143"/>
    </row>
    <row r="61" hidden="1" spans="1:11">
      <c r="A61" s="140" t="s">
        <v>46</v>
      </c>
      <c r="B61" s="140" t="s">
        <v>139</v>
      </c>
      <c r="C61" s="140"/>
      <c r="D61" s="140" t="s">
        <v>48</v>
      </c>
      <c r="E61" s="140" t="s">
        <v>82</v>
      </c>
      <c r="F61" s="140" t="s">
        <v>16</v>
      </c>
      <c r="G61" s="140"/>
      <c r="H61" s="141">
        <v>45763</v>
      </c>
      <c r="I61" s="142"/>
      <c r="J61" s="140"/>
      <c r="K61" s="143" t="s">
        <v>83</v>
      </c>
    </row>
    <row r="62" hidden="1" spans="1:11">
      <c r="A62" s="140" t="s">
        <v>46</v>
      </c>
      <c r="B62" s="140" t="s">
        <v>140</v>
      </c>
      <c r="C62" s="140"/>
      <c r="D62" s="140" t="s">
        <v>48</v>
      </c>
      <c r="E62" s="140" t="s">
        <v>82</v>
      </c>
      <c r="F62" s="140" t="s">
        <v>141</v>
      </c>
      <c r="G62" s="140"/>
      <c r="H62" s="141">
        <v>45763</v>
      </c>
      <c r="I62" s="141">
        <v>46237</v>
      </c>
      <c r="J62" s="140" t="s">
        <v>142</v>
      </c>
      <c r="K62" s="143"/>
    </row>
    <row r="63" hidden="1" spans="1:11">
      <c r="A63" s="139" t="s">
        <v>41</v>
      </c>
      <c r="B63" s="140" t="s">
        <v>143</v>
      </c>
      <c r="C63" s="140"/>
      <c r="D63" s="140" t="s">
        <v>14</v>
      </c>
      <c r="E63" s="140" t="s">
        <v>144</v>
      </c>
      <c r="F63" s="140" t="s">
        <v>16</v>
      </c>
      <c r="G63" s="140"/>
      <c r="H63" s="141">
        <v>45793</v>
      </c>
      <c r="I63" s="142"/>
      <c r="J63" s="140"/>
      <c r="K63" s="143" t="s">
        <v>145</v>
      </c>
    </row>
    <row r="64" hidden="1" spans="1:11">
      <c r="A64" s="140" t="s">
        <v>46</v>
      </c>
      <c r="B64" s="140" t="s">
        <v>146</v>
      </c>
      <c r="C64" s="140"/>
      <c r="D64" s="140" t="s">
        <v>48</v>
      </c>
      <c r="E64" s="140" t="s">
        <v>144</v>
      </c>
      <c r="F64" s="140" t="s">
        <v>16</v>
      </c>
      <c r="G64" s="140"/>
      <c r="H64" s="141">
        <v>45793</v>
      </c>
      <c r="I64" s="141">
        <v>46183</v>
      </c>
      <c r="J64" s="140" t="s">
        <v>142</v>
      </c>
      <c r="K64" s="143"/>
    </row>
    <row r="65" ht="101" hidden="1" customHeight="1" spans="1:11">
      <c r="A65" s="140" t="s">
        <v>52</v>
      </c>
      <c r="B65" s="140" t="s">
        <v>147</v>
      </c>
      <c r="C65" s="144" t="s">
        <v>148</v>
      </c>
      <c r="D65" s="140" t="s">
        <v>48</v>
      </c>
      <c r="E65" s="140" t="s">
        <v>144</v>
      </c>
      <c r="F65" s="140" t="s">
        <v>16</v>
      </c>
      <c r="G65" s="140"/>
      <c r="H65" s="141">
        <v>45793</v>
      </c>
      <c r="I65" s="142"/>
      <c r="J65" s="140"/>
      <c r="K65" s="143" t="s">
        <v>149</v>
      </c>
    </row>
    <row r="66" hidden="1" spans="1:11">
      <c r="A66" s="140" t="s">
        <v>46</v>
      </c>
      <c r="B66" s="140" t="s">
        <v>150</v>
      </c>
      <c r="C66" s="140"/>
      <c r="D66" s="140" t="s">
        <v>48</v>
      </c>
      <c r="E66" s="140" t="s">
        <v>144</v>
      </c>
      <c r="F66" s="140" t="s">
        <v>16</v>
      </c>
      <c r="G66" s="140"/>
      <c r="H66" s="141">
        <v>45793</v>
      </c>
      <c r="I66" s="142"/>
      <c r="J66" s="140"/>
      <c r="K66" s="143"/>
    </row>
    <row r="67" hidden="1" spans="1:11">
      <c r="A67" s="140" t="s">
        <v>46</v>
      </c>
      <c r="B67" s="140" t="s">
        <v>151</v>
      </c>
      <c r="C67" s="140"/>
      <c r="D67" s="140" t="s">
        <v>48</v>
      </c>
      <c r="E67" s="140" t="s">
        <v>144</v>
      </c>
      <c r="F67" s="140" t="s">
        <v>16</v>
      </c>
      <c r="G67" s="140"/>
      <c r="H67" s="141">
        <v>45793</v>
      </c>
      <c r="I67" s="142"/>
      <c r="J67" s="140"/>
      <c r="K67" s="143" t="s">
        <v>152</v>
      </c>
    </row>
    <row r="68" hidden="1" spans="1:11">
      <c r="A68" s="140" t="s">
        <v>46</v>
      </c>
      <c r="B68" s="140" t="s">
        <v>153</v>
      </c>
      <c r="C68" s="140"/>
      <c r="D68" s="140" t="s">
        <v>48</v>
      </c>
      <c r="E68" s="140" t="s">
        <v>144</v>
      </c>
      <c r="F68" s="140" t="s">
        <v>16</v>
      </c>
      <c r="G68" s="140"/>
      <c r="H68" s="141">
        <v>45793</v>
      </c>
      <c r="I68" s="142"/>
      <c r="J68" s="140"/>
      <c r="K68" s="143" t="s">
        <v>149</v>
      </c>
    </row>
    <row r="69" ht="29" hidden="1" customHeight="1" spans="1:11">
      <c r="A69" s="140" t="s">
        <v>52</v>
      </c>
      <c r="B69" s="140" t="s">
        <v>154</v>
      </c>
      <c r="C69" s="140" t="s">
        <v>155</v>
      </c>
      <c r="D69" s="140" t="s">
        <v>48</v>
      </c>
      <c r="E69" s="140" t="s">
        <v>144</v>
      </c>
      <c r="F69" s="140" t="s">
        <v>16</v>
      </c>
      <c r="G69" s="140"/>
      <c r="H69" s="141">
        <v>45793</v>
      </c>
      <c r="I69" s="141">
        <v>46225</v>
      </c>
      <c r="J69" s="140" t="s">
        <v>156</v>
      </c>
      <c r="K69" s="143" t="s">
        <v>157</v>
      </c>
    </row>
    <row r="70" hidden="1" spans="1:11">
      <c r="A70" s="140" t="s">
        <v>46</v>
      </c>
      <c r="B70" s="140" t="s">
        <v>154</v>
      </c>
      <c r="C70" s="140" t="s">
        <v>158</v>
      </c>
      <c r="D70" s="140" t="s">
        <v>48</v>
      </c>
      <c r="E70" s="140" t="s">
        <v>144</v>
      </c>
      <c r="F70" s="140" t="s">
        <v>16</v>
      </c>
      <c r="G70" s="140"/>
      <c r="H70" s="141">
        <v>45793</v>
      </c>
      <c r="I70" s="141">
        <v>46225</v>
      </c>
      <c r="J70" s="140" t="s">
        <v>156</v>
      </c>
      <c r="K70" s="143" t="s">
        <v>157</v>
      </c>
    </row>
    <row r="71" ht="29" customHeight="1" spans="1:11">
      <c r="A71" s="140" t="s">
        <v>159</v>
      </c>
      <c r="B71" s="140" t="s">
        <v>160</v>
      </c>
      <c r="C71" s="140" t="s">
        <v>161</v>
      </c>
      <c r="D71" s="140" t="s">
        <v>162</v>
      </c>
      <c r="E71" s="140" t="s">
        <v>163</v>
      </c>
      <c r="F71" s="140" t="s">
        <v>164</v>
      </c>
      <c r="G71" s="140" t="s">
        <v>165</v>
      </c>
      <c r="H71" s="141">
        <v>46232</v>
      </c>
      <c r="I71" s="141">
        <v>46238</v>
      </c>
      <c r="J71" s="140"/>
      <c r="K71" s="143"/>
    </row>
    <row r="72" hidden="1" spans="1:11">
      <c r="A72" s="139" t="s">
        <v>38</v>
      </c>
      <c r="B72" s="140" t="s">
        <v>166</v>
      </c>
      <c r="C72" s="140"/>
      <c r="D72" s="140" t="s">
        <v>14</v>
      </c>
      <c r="E72" s="140" t="s">
        <v>167</v>
      </c>
      <c r="F72" s="140" t="s">
        <v>16</v>
      </c>
      <c r="G72" s="140"/>
      <c r="H72" s="141">
        <v>45818</v>
      </c>
      <c r="I72" s="142"/>
      <c r="J72" s="140"/>
      <c r="K72" s="143" t="s">
        <v>168</v>
      </c>
    </row>
    <row r="73" hidden="1" spans="1:11">
      <c r="A73" s="139" t="s">
        <v>38</v>
      </c>
      <c r="B73" s="140" t="s">
        <v>169</v>
      </c>
      <c r="C73" s="140"/>
      <c r="D73" s="140" t="s">
        <v>14</v>
      </c>
      <c r="E73" s="140" t="s">
        <v>167</v>
      </c>
      <c r="F73" s="140" t="s">
        <v>16</v>
      </c>
      <c r="G73" s="140"/>
      <c r="H73" s="141">
        <v>45818</v>
      </c>
      <c r="I73" s="142"/>
      <c r="J73" s="140"/>
      <c r="K73" s="143"/>
    </row>
    <row r="74" hidden="1" spans="1:11">
      <c r="A74" s="139" t="s">
        <v>41</v>
      </c>
      <c r="B74" s="140" t="s">
        <v>170</v>
      </c>
      <c r="C74" s="140"/>
      <c r="D74" s="140" t="s">
        <v>14</v>
      </c>
      <c r="E74" s="140" t="s">
        <v>167</v>
      </c>
      <c r="F74" s="140" t="s">
        <v>16</v>
      </c>
      <c r="G74" s="140"/>
      <c r="H74" s="141">
        <v>45818</v>
      </c>
      <c r="I74" s="142"/>
      <c r="J74" s="140"/>
      <c r="K74" s="143" t="s">
        <v>171</v>
      </c>
    </row>
    <row r="75" hidden="1" spans="1:11">
      <c r="A75" s="139" t="s">
        <v>41</v>
      </c>
      <c r="B75" s="140" t="s">
        <v>172</v>
      </c>
      <c r="C75" s="140"/>
      <c r="D75" s="140" t="s">
        <v>14</v>
      </c>
      <c r="E75" s="140" t="s">
        <v>167</v>
      </c>
      <c r="F75" s="140" t="s">
        <v>16</v>
      </c>
      <c r="G75" s="140"/>
      <c r="H75" s="141">
        <v>45818</v>
      </c>
      <c r="I75" s="142"/>
      <c r="J75" s="140"/>
      <c r="K75" s="143"/>
    </row>
    <row r="76" ht="58" hidden="1" customHeight="1" spans="1:11">
      <c r="A76" s="139" t="s">
        <v>11</v>
      </c>
      <c r="B76" s="140" t="s">
        <v>173</v>
      </c>
      <c r="C76" s="144" t="s">
        <v>174</v>
      </c>
      <c r="D76" s="140" t="s">
        <v>14</v>
      </c>
      <c r="E76" s="140" t="s">
        <v>167</v>
      </c>
      <c r="F76" s="140" t="s">
        <v>141</v>
      </c>
      <c r="G76" s="140"/>
      <c r="H76" s="141">
        <v>45818</v>
      </c>
      <c r="I76" s="141">
        <v>46237</v>
      </c>
      <c r="J76" s="140" t="s">
        <v>175</v>
      </c>
      <c r="K76" s="143" t="s">
        <v>176</v>
      </c>
    </row>
    <row r="77" ht="58" hidden="1" customHeight="1" spans="1:11">
      <c r="A77" s="139" t="s">
        <v>41</v>
      </c>
      <c r="B77" s="140" t="s">
        <v>177</v>
      </c>
      <c r="C77" s="140" t="s">
        <v>178</v>
      </c>
      <c r="D77" s="140" t="s">
        <v>14</v>
      </c>
      <c r="E77" s="140" t="s">
        <v>167</v>
      </c>
      <c r="F77" s="140" t="s">
        <v>179</v>
      </c>
      <c r="G77" s="140" t="s">
        <v>180</v>
      </c>
      <c r="H77" s="141">
        <v>45818</v>
      </c>
      <c r="I77" s="141"/>
      <c r="J77" s="140"/>
      <c r="K77" s="143" t="s">
        <v>181</v>
      </c>
    </row>
    <row r="78" ht="29" hidden="1" customHeight="1" spans="1:11">
      <c r="A78" s="140" t="s">
        <v>46</v>
      </c>
      <c r="B78" s="140" t="s">
        <v>182</v>
      </c>
      <c r="C78" s="140"/>
      <c r="D78" s="140" t="s">
        <v>183</v>
      </c>
      <c r="E78" s="140" t="s">
        <v>167</v>
      </c>
      <c r="F78" s="140" t="s">
        <v>164</v>
      </c>
      <c r="G78" s="140" t="s">
        <v>184</v>
      </c>
      <c r="H78" s="141">
        <v>45818</v>
      </c>
      <c r="I78" s="141">
        <v>46241</v>
      </c>
      <c r="J78" s="140" t="s">
        <v>185</v>
      </c>
      <c r="K78" s="143"/>
    </row>
    <row r="79" ht="29" hidden="1" customHeight="1" spans="1:11">
      <c r="A79" s="140" t="s">
        <v>52</v>
      </c>
      <c r="B79" s="140" t="s">
        <v>186</v>
      </c>
      <c r="C79" s="140" t="s">
        <v>187</v>
      </c>
      <c r="D79" s="140" t="s">
        <v>48</v>
      </c>
      <c r="E79" s="140" t="s">
        <v>188</v>
      </c>
      <c r="F79" s="140" t="s">
        <v>189</v>
      </c>
      <c r="G79" s="140" t="s">
        <v>190</v>
      </c>
      <c r="H79" s="141">
        <v>45869</v>
      </c>
      <c r="I79" s="141">
        <v>46239</v>
      </c>
      <c r="J79" s="140"/>
      <c r="K79" s="143"/>
    </row>
    <row r="80" ht="58" hidden="1" customHeight="1" spans="1:11">
      <c r="A80" s="139" t="s">
        <v>41</v>
      </c>
      <c r="B80" s="140" t="s">
        <v>191</v>
      </c>
      <c r="C80" s="140" t="s">
        <v>178</v>
      </c>
      <c r="D80" s="140" t="s">
        <v>14</v>
      </c>
      <c r="E80" s="140" t="s">
        <v>167</v>
      </c>
      <c r="F80" s="140" t="s">
        <v>179</v>
      </c>
      <c r="G80" s="140" t="s">
        <v>180</v>
      </c>
      <c r="H80" s="141">
        <v>45818</v>
      </c>
      <c r="I80" s="141"/>
      <c r="J80" s="140"/>
      <c r="K80" s="143" t="s">
        <v>192</v>
      </c>
    </row>
    <row r="81" ht="29" hidden="1" customHeight="1" spans="1:11">
      <c r="A81" s="140" t="s">
        <v>193</v>
      </c>
      <c r="B81" s="140" t="s">
        <v>194</v>
      </c>
      <c r="C81" s="140" t="s">
        <v>195</v>
      </c>
      <c r="D81" s="140" t="s">
        <v>162</v>
      </c>
      <c r="E81" s="140" t="s">
        <v>167</v>
      </c>
      <c r="F81" s="140" t="s">
        <v>16</v>
      </c>
      <c r="G81" s="140"/>
      <c r="H81" s="141">
        <v>45818</v>
      </c>
      <c r="I81" s="141">
        <v>46168</v>
      </c>
      <c r="J81" s="140"/>
      <c r="K81" s="143" t="s">
        <v>196</v>
      </c>
    </row>
    <row r="82" ht="29" hidden="1" customHeight="1" spans="1:11">
      <c r="A82" s="140" t="s">
        <v>193</v>
      </c>
      <c r="B82" s="140" t="s">
        <v>197</v>
      </c>
      <c r="C82" s="140" t="s">
        <v>198</v>
      </c>
      <c r="D82" s="140" t="s">
        <v>162</v>
      </c>
      <c r="E82" s="140" t="s">
        <v>167</v>
      </c>
      <c r="F82" s="140" t="s">
        <v>16</v>
      </c>
      <c r="G82" s="140"/>
      <c r="H82" s="141">
        <v>45818</v>
      </c>
      <c r="I82" s="141">
        <v>46192</v>
      </c>
      <c r="J82" s="140" t="s">
        <v>199</v>
      </c>
      <c r="K82" s="143" t="s">
        <v>200</v>
      </c>
    </row>
    <row r="83" hidden="1" spans="1:11">
      <c r="A83" s="140" t="s">
        <v>201</v>
      </c>
      <c r="B83" s="140" t="s">
        <v>202</v>
      </c>
      <c r="C83" s="140" t="s">
        <v>203</v>
      </c>
      <c r="D83" s="140" t="s">
        <v>162</v>
      </c>
      <c r="E83" s="140" t="s">
        <v>167</v>
      </c>
      <c r="F83" s="140" t="s">
        <v>16</v>
      </c>
      <c r="G83" s="140" t="s">
        <v>204</v>
      </c>
      <c r="H83" s="141">
        <v>45818</v>
      </c>
      <c r="I83" s="141">
        <v>46183</v>
      </c>
      <c r="J83" s="140" t="s">
        <v>199</v>
      </c>
      <c r="K83" s="143"/>
    </row>
    <row r="84" ht="29" hidden="1" customHeight="1" spans="1:11">
      <c r="A84" s="140" t="s">
        <v>205</v>
      </c>
      <c r="B84" s="140" t="s">
        <v>206</v>
      </c>
      <c r="C84" s="140" t="s">
        <v>207</v>
      </c>
      <c r="D84" s="140" t="s">
        <v>162</v>
      </c>
      <c r="E84" s="140" t="s">
        <v>167</v>
      </c>
      <c r="F84" s="140" t="s">
        <v>16</v>
      </c>
      <c r="G84" s="140"/>
      <c r="H84" s="141">
        <v>45818</v>
      </c>
      <c r="I84" s="141">
        <v>46184</v>
      </c>
      <c r="J84" s="140" t="s">
        <v>208</v>
      </c>
      <c r="K84" s="143" t="s">
        <v>209</v>
      </c>
    </row>
    <row r="85" ht="58" hidden="1" customHeight="1" spans="1:11">
      <c r="A85" s="140" t="s">
        <v>210</v>
      </c>
      <c r="B85" s="140" t="s">
        <v>211</v>
      </c>
      <c r="C85" s="144" t="s">
        <v>212</v>
      </c>
      <c r="D85" s="140" t="s">
        <v>162</v>
      </c>
      <c r="E85" s="140" t="s">
        <v>167</v>
      </c>
      <c r="F85" s="140" t="s">
        <v>16</v>
      </c>
      <c r="G85" s="140"/>
      <c r="H85" s="141">
        <v>45818</v>
      </c>
      <c r="I85" s="141">
        <v>46185</v>
      </c>
      <c r="J85" s="140" t="s">
        <v>208</v>
      </c>
      <c r="K85" s="143"/>
    </row>
    <row r="86" hidden="1" spans="1:11">
      <c r="A86" s="140" t="s">
        <v>205</v>
      </c>
      <c r="B86" s="140" t="s">
        <v>213</v>
      </c>
      <c r="C86" s="140" t="s">
        <v>214</v>
      </c>
      <c r="D86" s="140" t="s">
        <v>162</v>
      </c>
      <c r="E86" s="140" t="s">
        <v>167</v>
      </c>
      <c r="F86" s="140" t="s">
        <v>16</v>
      </c>
      <c r="G86" s="140" t="s">
        <v>215</v>
      </c>
      <c r="H86" s="141">
        <v>45818</v>
      </c>
      <c r="I86" s="141">
        <v>46185</v>
      </c>
      <c r="J86" s="140" t="s">
        <v>199</v>
      </c>
      <c r="K86" s="143"/>
    </row>
    <row r="87" ht="29" hidden="1" customHeight="1" spans="1:11">
      <c r="A87" s="140" t="s">
        <v>201</v>
      </c>
      <c r="B87" s="140" t="s">
        <v>216</v>
      </c>
      <c r="C87" s="140" t="s">
        <v>217</v>
      </c>
      <c r="D87" s="140" t="s">
        <v>162</v>
      </c>
      <c r="E87" s="140" t="s">
        <v>167</v>
      </c>
      <c r="F87" s="140" t="s">
        <v>16</v>
      </c>
      <c r="G87" s="140" t="s">
        <v>215</v>
      </c>
      <c r="H87" s="141">
        <v>45818</v>
      </c>
      <c r="I87" s="141">
        <v>46185</v>
      </c>
      <c r="J87" s="140" t="s">
        <v>199</v>
      </c>
      <c r="K87" s="143"/>
    </row>
    <row r="88" ht="58" hidden="1" customHeight="1" spans="1:11">
      <c r="A88" s="140" t="s">
        <v>218</v>
      </c>
      <c r="B88" s="140" t="s">
        <v>219</v>
      </c>
      <c r="C88" s="144" t="s">
        <v>220</v>
      </c>
      <c r="D88" s="140" t="s">
        <v>162</v>
      </c>
      <c r="E88" s="140" t="s">
        <v>167</v>
      </c>
      <c r="F88" s="140" t="s">
        <v>16</v>
      </c>
      <c r="G88" s="140"/>
      <c r="H88" s="141">
        <v>45818</v>
      </c>
      <c r="I88" s="141">
        <v>46188</v>
      </c>
      <c r="J88" s="140" t="s">
        <v>199</v>
      </c>
      <c r="K88" s="143" t="s">
        <v>221</v>
      </c>
    </row>
    <row r="89" hidden="1" spans="1:11">
      <c r="A89" s="140" t="s">
        <v>205</v>
      </c>
      <c r="B89" s="140" t="s">
        <v>222</v>
      </c>
      <c r="C89" s="140" t="s">
        <v>223</v>
      </c>
      <c r="D89" s="140" t="s">
        <v>162</v>
      </c>
      <c r="E89" s="140" t="s">
        <v>167</v>
      </c>
      <c r="F89" s="140" t="s">
        <v>16</v>
      </c>
      <c r="G89" s="140"/>
      <c r="H89" s="141">
        <v>45818</v>
      </c>
      <c r="I89" s="141">
        <v>46192</v>
      </c>
      <c r="J89" s="140" t="s">
        <v>224</v>
      </c>
      <c r="K89" s="143"/>
    </row>
    <row r="90" ht="29" hidden="1" customHeight="1" spans="1:11">
      <c r="A90" s="140" t="s">
        <v>218</v>
      </c>
      <c r="B90" s="140" t="s">
        <v>219</v>
      </c>
      <c r="C90" s="140" t="s">
        <v>225</v>
      </c>
      <c r="D90" s="140" t="s">
        <v>162</v>
      </c>
      <c r="E90" s="140" t="s">
        <v>167</v>
      </c>
      <c r="F90" s="140" t="s">
        <v>16</v>
      </c>
      <c r="G90" s="140"/>
      <c r="H90" s="141">
        <v>45818</v>
      </c>
      <c r="I90" s="142"/>
      <c r="J90" s="140"/>
      <c r="K90" s="143" t="s">
        <v>226</v>
      </c>
    </row>
    <row r="91" ht="29" hidden="1" customHeight="1" spans="1:11">
      <c r="A91" s="140" t="s">
        <v>218</v>
      </c>
      <c r="B91" s="140" t="s">
        <v>219</v>
      </c>
      <c r="C91" s="140" t="s">
        <v>227</v>
      </c>
      <c r="D91" s="140" t="s">
        <v>162</v>
      </c>
      <c r="E91" s="140" t="s">
        <v>167</v>
      </c>
      <c r="F91" s="140" t="s">
        <v>16</v>
      </c>
      <c r="G91" s="140" t="s">
        <v>228</v>
      </c>
      <c r="H91" s="141">
        <v>45818</v>
      </c>
      <c r="I91" s="142"/>
      <c r="J91" s="140"/>
      <c r="K91" s="143" t="s">
        <v>229</v>
      </c>
    </row>
    <row r="92" hidden="1" spans="1:11">
      <c r="A92" s="140" t="s">
        <v>210</v>
      </c>
      <c r="B92" s="140" t="s">
        <v>230</v>
      </c>
      <c r="C92" s="140"/>
      <c r="D92" s="140" t="s">
        <v>162</v>
      </c>
      <c r="E92" s="140" t="s">
        <v>167</v>
      </c>
      <c r="F92" s="140" t="s">
        <v>16</v>
      </c>
      <c r="G92" s="140"/>
      <c r="H92" s="141">
        <v>45818</v>
      </c>
      <c r="I92" s="142"/>
      <c r="J92" s="140"/>
      <c r="K92" s="143" t="s">
        <v>231</v>
      </c>
    </row>
    <row r="93" ht="29" hidden="1" customHeight="1" spans="1:11">
      <c r="A93" s="140" t="s">
        <v>205</v>
      </c>
      <c r="B93" s="140" t="s">
        <v>232</v>
      </c>
      <c r="C93" s="140" t="s">
        <v>233</v>
      </c>
      <c r="D93" s="140" t="s">
        <v>162</v>
      </c>
      <c r="E93" s="140" t="s">
        <v>167</v>
      </c>
      <c r="F93" s="140" t="s">
        <v>16</v>
      </c>
      <c r="G93" s="140"/>
      <c r="H93" s="141">
        <v>45818</v>
      </c>
      <c r="I93" s="142"/>
      <c r="J93" s="140"/>
      <c r="K93" s="143" t="s">
        <v>234</v>
      </c>
    </row>
    <row r="94" hidden="1" spans="1:11">
      <c r="A94" s="140" t="s">
        <v>205</v>
      </c>
      <c r="B94" s="140" t="s">
        <v>235</v>
      </c>
      <c r="C94" s="140" t="s">
        <v>236</v>
      </c>
      <c r="D94" s="140" t="s">
        <v>162</v>
      </c>
      <c r="E94" s="140" t="s">
        <v>167</v>
      </c>
      <c r="F94" s="140" t="s">
        <v>16</v>
      </c>
      <c r="G94" s="140"/>
      <c r="H94" s="141">
        <v>45818</v>
      </c>
      <c r="I94" s="142"/>
      <c r="J94" s="140"/>
      <c r="K94" s="143" t="s">
        <v>237</v>
      </c>
    </row>
    <row r="95" hidden="1" spans="1:11">
      <c r="A95" s="140" t="s">
        <v>205</v>
      </c>
      <c r="B95" s="140" t="s">
        <v>238</v>
      </c>
      <c r="C95" s="140" t="s">
        <v>239</v>
      </c>
      <c r="D95" s="140" t="s">
        <v>162</v>
      </c>
      <c r="E95" s="140" t="s">
        <v>167</v>
      </c>
      <c r="F95" s="140" t="s">
        <v>16</v>
      </c>
      <c r="G95" s="140"/>
      <c r="H95" s="141">
        <v>45818</v>
      </c>
      <c r="I95" s="142"/>
      <c r="J95" s="140"/>
      <c r="K95" s="143" t="s">
        <v>240</v>
      </c>
    </row>
    <row r="96" hidden="1" spans="1:11">
      <c r="A96" s="140" t="s">
        <v>205</v>
      </c>
      <c r="B96" s="140" t="s">
        <v>21</v>
      </c>
      <c r="C96" s="140" t="s">
        <v>22</v>
      </c>
      <c r="D96" s="140" t="s">
        <v>162</v>
      </c>
      <c r="E96" s="140" t="s">
        <v>167</v>
      </c>
      <c r="F96" s="140" t="s">
        <v>16</v>
      </c>
      <c r="G96" s="140"/>
      <c r="H96" s="141">
        <v>45818</v>
      </c>
      <c r="I96" s="142"/>
      <c r="J96" s="140"/>
      <c r="K96" s="143"/>
    </row>
    <row r="97" hidden="1" spans="1:11">
      <c r="A97" s="140" t="s">
        <v>205</v>
      </c>
      <c r="B97" s="140" t="s">
        <v>241</v>
      </c>
      <c r="C97" s="140" t="s">
        <v>242</v>
      </c>
      <c r="D97" s="140" t="s">
        <v>162</v>
      </c>
      <c r="E97" s="140" t="s">
        <v>167</v>
      </c>
      <c r="F97" s="140" t="s">
        <v>16</v>
      </c>
      <c r="G97" s="140"/>
      <c r="H97" s="141">
        <v>45818</v>
      </c>
      <c r="I97" s="142"/>
      <c r="J97" s="140"/>
      <c r="K97" s="143"/>
    </row>
    <row r="98" ht="29" hidden="1" customHeight="1" spans="1:11">
      <c r="A98" s="140" t="s">
        <v>205</v>
      </c>
      <c r="B98" s="140" t="s">
        <v>243</v>
      </c>
      <c r="C98" s="140" t="s">
        <v>244</v>
      </c>
      <c r="D98" s="140" t="s">
        <v>162</v>
      </c>
      <c r="E98" s="140" t="s">
        <v>167</v>
      </c>
      <c r="F98" s="140" t="s">
        <v>16</v>
      </c>
      <c r="G98" s="140"/>
      <c r="H98" s="141">
        <v>45818</v>
      </c>
      <c r="I98" s="142"/>
      <c r="J98" s="140"/>
      <c r="K98" s="143"/>
    </row>
    <row r="99" hidden="1" spans="1:11">
      <c r="A99" s="140" t="s">
        <v>245</v>
      </c>
      <c r="B99" s="140" t="s">
        <v>246</v>
      </c>
      <c r="C99" s="140" t="s">
        <v>247</v>
      </c>
      <c r="D99" s="140" t="s">
        <v>162</v>
      </c>
      <c r="E99" s="140" t="s">
        <v>167</v>
      </c>
      <c r="F99" s="140" t="s">
        <v>16</v>
      </c>
      <c r="G99" s="140"/>
      <c r="H99" s="141">
        <v>45818</v>
      </c>
      <c r="I99" s="142"/>
      <c r="J99" s="140"/>
      <c r="K99" s="143"/>
    </row>
    <row r="100" ht="44" hidden="1" customHeight="1" spans="1:11">
      <c r="A100" s="140" t="s">
        <v>193</v>
      </c>
      <c r="B100" s="140" t="s">
        <v>248</v>
      </c>
      <c r="C100" s="144" t="s">
        <v>249</v>
      </c>
      <c r="D100" s="140" t="s">
        <v>162</v>
      </c>
      <c r="E100" s="140" t="s">
        <v>167</v>
      </c>
      <c r="F100" s="140" t="s">
        <v>16</v>
      </c>
      <c r="G100" s="140" t="s">
        <v>250</v>
      </c>
      <c r="H100" s="141">
        <v>45818</v>
      </c>
      <c r="I100" s="142"/>
      <c r="J100" s="140"/>
      <c r="K100" s="143" t="s">
        <v>251</v>
      </c>
    </row>
    <row r="101" ht="44" hidden="1" customHeight="1" spans="1:11">
      <c r="A101" s="140" t="s">
        <v>193</v>
      </c>
      <c r="B101" s="140" t="s">
        <v>252</v>
      </c>
      <c r="C101" s="140" t="s">
        <v>253</v>
      </c>
      <c r="D101" s="140" t="s">
        <v>162</v>
      </c>
      <c r="E101" s="140" t="s">
        <v>167</v>
      </c>
      <c r="F101" s="140" t="s">
        <v>16</v>
      </c>
      <c r="G101" s="140"/>
      <c r="H101" s="141">
        <v>45818</v>
      </c>
      <c r="I101" s="142"/>
      <c r="J101" s="140"/>
      <c r="K101" s="143"/>
    </row>
    <row r="102" hidden="1" spans="1:11">
      <c r="A102" s="140" t="s">
        <v>193</v>
      </c>
      <c r="B102" s="140" t="s">
        <v>254</v>
      </c>
      <c r="C102" s="140" t="s">
        <v>255</v>
      </c>
      <c r="D102" s="140" t="s">
        <v>162</v>
      </c>
      <c r="E102" s="140" t="s">
        <v>167</v>
      </c>
      <c r="F102" s="140" t="s">
        <v>16</v>
      </c>
      <c r="G102" s="140"/>
      <c r="H102" s="141">
        <v>45818</v>
      </c>
      <c r="I102" s="142"/>
      <c r="J102" s="140"/>
      <c r="K102" s="143" t="s">
        <v>256</v>
      </c>
    </row>
    <row r="103" hidden="1" spans="1:11">
      <c r="A103" s="140" t="s">
        <v>193</v>
      </c>
      <c r="B103" s="140" t="s">
        <v>257</v>
      </c>
      <c r="C103" s="140" t="s">
        <v>258</v>
      </c>
      <c r="D103" s="140" t="s">
        <v>162</v>
      </c>
      <c r="E103" s="140" t="s">
        <v>167</v>
      </c>
      <c r="F103" s="140" t="s">
        <v>16</v>
      </c>
      <c r="G103" s="140"/>
      <c r="H103" s="141">
        <v>45818</v>
      </c>
      <c r="I103" s="142"/>
      <c r="J103" s="140"/>
      <c r="K103" s="143" t="s">
        <v>240</v>
      </c>
    </row>
    <row r="104" hidden="1" spans="1:11">
      <c r="A104" s="140" t="s">
        <v>193</v>
      </c>
      <c r="B104" s="140" t="s">
        <v>259</v>
      </c>
      <c r="C104" s="140" t="s">
        <v>260</v>
      </c>
      <c r="D104" s="140" t="s">
        <v>162</v>
      </c>
      <c r="E104" s="140" t="s">
        <v>167</v>
      </c>
      <c r="F104" s="140" t="s">
        <v>16</v>
      </c>
      <c r="G104" s="140"/>
      <c r="H104" s="141">
        <v>45818</v>
      </c>
      <c r="I104" s="142"/>
      <c r="J104" s="140"/>
      <c r="K104" s="143" t="s">
        <v>209</v>
      </c>
    </row>
    <row r="105" hidden="1" spans="1:11">
      <c r="A105" s="140" t="s">
        <v>193</v>
      </c>
      <c r="B105" s="140" t="s">
        <v>261</v>
      </c>
      <c r="C105" s="140" t="s">
        <v>262</v>
      </c>
      <c r="D105" s="140" t="s">
        <v>162</v>
      </c>
      <c r="E105" s="140" t="s">
        <v>167</v>
      </c>
      <c r="F105" s="140" t="s">
        <v>16</v>
      </c>
      <c r="G105" s="140"/>
      <c r="H105" s="141">
        <v>45818</v>
      </c>
      <c r="I105" s="141">
        <v>46183</v>
      </c>
      <c r="J105" s="140" t="s">
        <v>208</v>
      </c>
      <c r="K105" s="143" t="s">
        <v>263</v>
      </c>
    </row>
    <row r="106" ht="29" hidden="1" customHeight="1" spans="1:11">
      <c r="A106" s="140" t="s">
        <v>205</v>
      </c>
      <c r="B106" s="144" t="s">
        <v>264</v>
      </c>
      <c r="C106" s="144" t="s">
        <v>265</v>
      </c>
      <c r="D106" s="144" t="s">
        <v>266</v>
      </c>
      <c r="E106" s="145" t="s">
        <v>167</v>
      </c>
      <c r="F106" s="140" t="s">
        <v>141</v>
      </c>
      <c r="G106" s="140"/>
      <c r="H106" s="141">
        <v>45818</v>
      </c>
      <c r="I106" s="141">
        <v>46237</v>
      </c>
      <c r="J106" s="140"/>
      <c r="K106" s="143"/>
    </row>
    <row r="107" ht="44" hidden="1" customHeight="1" spans="1:11">
      <c r="A107" s="140" t="s">
        <v>193</v>
      </c>
      <c r="B107" s="140" t="s">
        <v>267</v>
      </c>
      <c r="C107" s="140" t="s">
        <v>268</v>
      </c>
      <c r="D107" s="140" t="s">
        <v>162</v>
      </c>
      <c r="E107" s="140" t="s">
        <v>167</v>
      </c>
      <c r="F107" s="140" t="s">
        <v>16</v>
      </c>
      <c r="G107" s="140"/>
      <c r="H107" s="141">
        <v>45818</v>
      </c>
      <c r="I107" s="141">
        <v>46205</v>
      </c>
      <c r="J107" s="140" t="s">
        <v>269</v>
      </c>
      <c r="K107" s="143"/>
    </row>
    <row r="108" ht="29" hidden="1" customHeight="1" spans="1:11">
      <c r="A108" s="140" t="s">
        <v>270</v>
      </c>
      <c r="B108" s="140" t="s">
        <v>271</v>
      </c>
      <c r="C108" s="140" t="s">
        <v>272</v>
      </c>
      <c r="D108" s="140" t="s">
        <v>266</v>
      </c>
      <c r="E108" s="140" t="s">
        <v>167</v>
      </c>
      <c r="F108" s="140" t="s">
        <v>16</v>
      </c>
      <c r="G108" s="140"/>
      <c r="H108" s="141">
        <v>45818</v>
      </c>
      <c r="I108" s="142"/>
      <c r="J108" s="140" t="s">
        <v>142</v>
      </c>
      <c r="K108" s="143" t="s">
        <v>273</v>
      </c>
    </row>
    <row r="109" ht="44" hidden="1" customHeight="1" spans="1:11">
      <c r="A109" s="140" t="s">
        <v>205</v>
      </c>
      <c r="B109" s="140" t="s">
        <v>274</v>
      </c>
      <c r="C109" s="140" t="s">
        <v>275</v>
      </c>
      <c r="D109" s="140" t="s">
        <v>266</v>
      </c>
      <c r="E109" s="140" t="s">
        <v>167</v>
      </c>
      <c r="F109" s="140" t="s">
        <v>16</v>
      </c>
      <c r="G109" s="140"/>
      <c r="H109" s="141">
        <v>45818</v>
      </c>
      <c r="I109" s="142"/>
      <c r="J109" s="140"/>
      <c r="K109" s="143"/>
    </row>
    <row r="110" hidden="1" spans="1:11">
      <c r="A110" s="140" t="s">
        <v>205</v>
      </c>
      <c r="B110" s="140" t="s">
        <v>276</v>
      </c>
      <c r="C110" s="140" t="s">
        <v>277</v>
      </c>
      <c r="D110" s="140" t="s">
        <v>266</v>
      </c>
      <c r="E110" s="140" t="s">
        <v>167</v>
      </c>
      <c r="F110" s="140" t="s">
        <v>16</v>
      </c>
      <c r="G110" s="140"/>
      <c r="H110" s="141">
        <v>45818</v>
      </c>
      <c r="I110" s="142"/>
      <c r="J110" s="140"/>
      <c r="K110" s="143"/>
    </row>
    <row r="111" hidden="1" spans="1:11">
      <c r="A111" s="140" t="s">
        <v>205</v>
      </c>
      <c r="B111" s="140" t="s">
        <v>278</v>
      </c>
      <c r="C111" s="140" t="s">
        <v>279</v>
      </c>
      <c r="D111" s="140" t="s">
        <v>266</v>
      </c>
      <c r="E111" s="140" t="s">
        <v>167</v>
      </c>
      <c r="F111" s="140" t="s">
        <v>16</v>
      </c>
      <c r="G111" s="140"/>
      <c r="H111" s="141">
        <v>45818</v>
      </c>
      <c r="I111" s="142"/>
      <c r="J111" s="140"/>
      <c r="K111" s="143" t="s">
        <v>240</v>
      </c>
    </row>
    <row r="112" hidden="1" spans="1:11">
      <c r="A112" s="140" t="s">
        <v>205</v>
      </c>
      <c r="B112" s="140" t="s">
        <v>280</v>
      </c>
      <c r="C112" s="140" t="s">
        <v>281</v>
      </c>
      <c r="D112" s="140" t="s">
        <v>266</v>
      </c>
      <c r="E112" s="140" t="s">
        <v>167</v>
      </c>
      <c r="F112" s="140" t="s">
        <v>16</v>
      </c>
      <c r="G112" s="140"/>
      <c r="H112" s="141">
        <v>45818</v>
      </c>
      <c r="I112" s="142"/>
      <c r="J112" s="140"/>
      <c r="K112" s="143" t="s">
        <v>231</v>
      </c>
    </row>
    <row r="113" ht="29" hidden="1" customHeight="1" spans="1:11">
      <c r="A113" s="140" t="s">
        <v>50</v>
      </c>
      <c r="B113" s="140" t="s">
        <v>282</v>
      </c>
      <c r="C113" s="140" t="s">
        <v>283</v>
      </c>
      <c r="D113" s="140" t="s">
        <v>266</v>
      </c>
      <c r="E113" s="140" t="s">
        <v>167</v>
      </c>
      <c r="F113" s="140" t="s">
        <v>16</v>
      </c>
      <c r="G113" s="140"/>
      <c r="H113" s="141">
        <v>45818</v>
      </c>
      <c r="I113" s="142"/>
      <c r="J113" s="140" t="s">
        <v>199</v>
      </c>
      <c r="K113" s="143"/>
    </row>
    <row r="114" ht="29" hidden="1" customHeight="1" spans="1:11">
      <c r="A114" s="140" t="s">
        <v>46</v>
      </c>
      <c r="B114" s="140" t="s">
        <v>284</v>
      </c>
      <c r="C114" s="144" t="s">
        <v>285</v>
      </c>
      <c r="D114" s="140" t="s">
        <v>266</v>
      </c>
      <c r="E114" s="140" t="s">
        <v>167</v>
      </c>
      <c r="F114" s="140" t="s">
        <v>16</v>
      </c>
      <c r="G114" s="140"/>
      <c r="H114" s="141">
        <v>45818</v>
      </c>
      <c r="I114" s="141">
        <v>46227</v>
      </c>
      <c r="J114" s="140" t="s">
        <v>269</v>
      </c>
      <c r="K114" s="143" t="s">
        <v>286</v>
      </c>
    </row>
    <row r="115" ht="29" hidden="1" customHeight="1" spans="1:11">
      <c r="A115" s="139" t="s">
        <v>11</v>
      </c>
      <c r="B115" s="146" t="s">
        <v>287</v>
      </c>
      <c r="C115" s="146" t="s">
        <v>288</v>
      </c>
      <c r="D115" s="140" t="s">
        <v>14</v>
      </c>
      <c r="E115" s="140" t="s">
        <v>167</v>
      </c>
      <c r="F115" s="140" t="s">
        <v>164</v>
      </c>
      <c r="G115" s="140"/>
      <c r="H115" s="141">
        <v>45818</v>
      </c>
      <c r="I115" s="141">
        <v>46241</v>
      </c>
      <c r="J115" s="140"/>
      <c r="K115" s="143" t="s">
        <v>289</v>
      </c>
    </row>
    <row r="116" ht="44" hidden="1" customHeight="1" spans="1:11">
      <c r="A116" s="140" t="s">
        <v>159</v>
      </c>
      <c r="B116" s="140" t="s">
        <v>290</v>
      </c>
      <c r="C116" s="140" t="s">
        <v>291</v>
      </c>
      <c r="D116" s="140" t="s">
        <v>48</v>
      </c>
      <c r="E116" s="140" t="s">
        <v>163</v>
      </c>
      <c r="F116" s="140" t="s">
        <v>16</v>
      </c>
      <c r="G116" s="140"/>
      <c r="H116" s="141">
        <v>46230</v>
      </c>
      <c r="I116" s="141">
        <v>46230</v>
      </c>
      <c r="J116" s="140" t="s">
        <v>175</v>
      </c>
      <c r="K116" s="143"/>
    </row>
    <row r="117" hidden="1" spans="1:11">
      <c r="A117" s="140" t="s">
        <v>270</v>
      </c>
      <c r="B117" s="140" t="s">
        <v>133</v>
      </c>
      <c r="C117" s="140" t="s">
        <v>292</v>
      </c>
      <c r="D117" s="140" t="s">
        <v>48</v>
      </c>
      <c r="E117" s="140" t="s">
        <v>167</v>
      </c>
      <c r="F117" s="140" t="s">
        <v>16</v>
      </c>
      <c r="G117" s="140"/>
      <c r="H117" s="141">
        <v>45818</v>
      </c>
      <c r="I117" s="142"/>
      <c r="J117" s="140" t="s">
        <v>142</v>
      </c>
      <c r="K117" s="143"/>
    </row>
    <row r="118" ht="58" hidden="1" customHeight="1" spans="1:11">
      <c r="A118" s="140" t="s">
        <v>270</v>
      </c>
      <c r="B118" s="140" t="s">
        <v>293</v>
      </c>
      <c r="C118" s="144" t="s">
        <v>294</v>
      </c>
      <c r="D118" s="140" t="s">
        <v>48</v>
      </c>
      <c r="E118" s="140" t="s">
        <v>167</v>
      </c>
      <c r="F118" s="140" t="s">
        <v>16</v>
      </c>
      <c r="G118" s="140"/>
      <c r="H118" s="141">
        <v>45818</v>
      </c>
      <c r="I118" s="142"/>
      <c r="J118" s="140" t="s">
        <v>175</v>
      </c>
      <c r="K118" s="143" t="s">
        <v>295</v>
      </c>
    </row>
    <row r="119" ht="29" hidden="1" customHeight="1" spans="1:11">
      <c r="A119" s="140" t="s">
        <v>270</v>
      </c>
      <c r="B119" s="140" t="s">
        <v>153</v>
      </c>
      <c r="C119" s="140" t="s">
        <v>296</v>
      </c>
      <c r="D119" s="140" t="s">
        <v>48</v>
      </c>
      <c r="E119" s="140" t="s">
        <v>167</v>
      </c>
      <c r="F119" s="140" t="s">
        <v>16</v>
      </c>
      <c r="G119" s="140"/>
      <c r="H119" s="141">
        <v>45818</v>
      </c>
      <c r="I119" s="142"/>
      <c r="J119" s="140" t="s">
        <v>175</v>
      </c>
      <c r="K119" s="143"/>
    </row>
    <row r="120" hidden="1" spans="1:11">
      <c r="A120" s="140" t="s">
        <v>270</v>
      </c>
      <c r="B120" s="140" t="s">
        <v>293</v>
      </c>
      <c r="C120" s="140" t="s">
        <v>297</v>
      </c>
      <c r="D120" s="140" t="s">
        <v>48</v>
      </c>
      <c r="E120" s="140" t="s">
        <v>167</v>
      </c>
      <c r="F120" s="140" t="s">
        <v>16</v>
      </c>
      <c r="G120" s="140"/>
      <c r="H120" s="141">
        <v>45818</v>
      </c>
      <c r="I120" s="142"/>
      <c r="J120" s="140" t="s">
        <v>298</v>
      </c>
      <c r="K120" s="143" t="s">
        <v>299</v>
      </c>
    </row>
    <row r="121" ht="29" hidden="1" customHeight="1" spans="1:11">
      <c r="A121" s="140" t="s">
        <v>52</v>
      </c>
      <c r="B121" s="140" t="s">
        <v>300</v>
      </c>
      <c r="C121" s="140" t="s">
        <v>301</v>
      </c>
      <c r="D121" s="140" t="s">
        <v>48</v>
      </c>
      <c r="E121" s="140" t="s">
        <v>167</v>
      </c>
      <c r="F121" s="140" t="s">
        <v>16</v>
      </c>
      <c r="G121" s="140"/>
      <c r="H121" s="141">
        <v>45818</v>
      </c>
      <c r="I121" s="142"/>
      <c r="J121" s="140"/>
      <c r="K121" s="143" t="s">
        <v>302</v>
      </c>
    </row>
    <row r="122" hidden="1" spans="1:11">
      <c r="A122" s="140" t="s">
        <v>46</v>
      </c>
      <c r="B122" s="140" t="s">
        <v>300</v>
      </c>
      <c r="C122" s="140"/>
      <c r="D122" s="140" t="s">
        <v>48</v>
      </c>
      <c r="E122" s="140" t="s">
        <v>167</v>
      </c>
      <c r="F122" s="140" t="s">
        <v>16</v>
      </c>
      <c r="G122" s="140"/>
      <c r="H122" s="141">
        <v>45818</v>
      </c>
      <c r="I122" s="142"/>
      <c r="J122" s="140"/>
      <c r="K122" s="143" t="s">
        <v>302</v>
      </c>
    </row>
    <row r="123" hidden="1" spans="1:11">
      <c r="A123" s="140" t="s">
        <v>46</v>
      </c>
      <c r="B123" s="140" t="s">
        <v>303</v>
      </c>
      <c r="C123" s="140"/>
      <c r="D123" s="140" t="s">
        <v>48</v>
      </c>
      <c r="E123" s="140" t="s">
        <v>167</v>
      </c>
      <c r="F123" s="140" t="s">
        <v>16</v>
      </c>
      <c r="G123" s="140"/>
      <c r="H123" s="141">
        <v>45818</v>
      </c>
      <c r="I123" s="142"/>
      <c r="J123" s="140"/>
      <c r="K123" s="143" t="s">
        <v>304</v>
      </c>
    </row>
    <row r="124" ht="29" hidden="1" customHeight="1" spans="1:11">
      <c r="A124" s="140" t="s">
        <v>46</v>
      </c>
      <c r="B124" s="146" t="s">
        <v>305</v>
      </c>
      <c r="C124" s="146" t="s">
        <v>306</v>
      </c>
      <c r="D124" s="140" t="s">
        <v>266</v>
      </c>
      <c r="E124" s="140" t="s">
        <v>167</v>
      </c>
      <c r="F124" s="140" t="s">
        <v>164</v>
      </c>
      <c r="G124" s="140"/>
      <c r="H124" s="141">
        <v>45818</v>
      </c>
      <c r="I124" s="141">
        <v>46241</v>
      </c>
      <c r="J124" s="140" t="s">
        <v>185</v>
      </c>
      <c r="K124" s="143"/>
    </row>
    <row r="125" ht="29" hidden="1" customHeight="1" spans="1:11">
      <c r="A125" s="139" t="s">
        <v>11</v>
      </c>
      <c r="B125" s="140" t="s">
        <v>307</v>
      </c>
      <c r="C125" s="140"/>
      <c r="D125" s="140" t="s">
        <v>14</v>
      </c>
      <c r="E125" s="140" t="s">
        <v>167</v>
      </c>
      <c r="F125" s="140" t="s">
        <v>189</v>
      </c>
      <c r="G125" s="144" t="s">
        <v>308</v>
      </c>
      <c r="H125" s="141">
        <v>45818</v>
      </c>
      <c r="I125" s="141">
        <v>46241</v>
      </c>
      <c r="J125" s="140" t="s">
        <v>224</v>
      </c>
      <c r="K125" s="143" t="s">
        <v>171</v>
      </c>
    </row>
    <row r="126" ht="44" hidden="1" customHeight="1" spans="1:11">
      <c r="A126" s="140" t="s">
        <v>205</v>
      </c>
      <c r="B126" s="144" t="s">
        <v>309</v>
      </c>
      <c r="C126" s="144" t="s">
        <v>310</v>
      </c>
      <c r="D126" s="144" t="s">
        <v>266</v>
      </c>
      <c r="E126" s="140" t="s">
        <v>167</v>
      </c>
      <c r="F126" s="140" t="s">
        <v>141</v>
      </c>
      <c r="G126" s="140"/>
      <c r="H126" s="141">
        <v>45818</v>
      </c>
      <c r="I126" s="141">
        <v>46237</v>
      </c>
      <c r="J126" s="140"/>
      <c r="K126" s="143" t="s">
        <v>311</v>
      </c>
    </row>
    <row r="127" ht="44" hidden="1" customHeight="1" spans="1:11">
      <c r="A127" s="140" t="s">
        <v>201</v>
      </c>
      <c r="B127" s="140" t="s">
        <v>312</v>
      </c>
      <c r="C127" s="140" t="s">
        <v>313</v>
      </c>
      <c r="D127" s="140" t="s">
        <v>162</v>
      </c>
      <c r="E127" s="140" t="s">
        <v>188</v>
      </c>
      <c r="F127" s="140" t="s">
        <v>141</v>
      </c>
      <c r="G127" s="140"/>
      <c r="H127" s="141">
        <v>45869</v>
      </c>
      <c r="I127" s="141">
        <v>46237</v>
      </c>
      <c r="J127" s="140" t="s">
        <v>199</v>
      </c>
      <c r="K127" s="143"/>
    </row>
    <row r="128" hidden="1" spans="1:11">
      <c r="A128" s="140" t="s">
        <v>314</v>
      </c>
      <c r="B128" s="140" t="s">
        <v>315</v>
      </c>
      <c r="C128" s="140"/>
      <c r="D128" s="140" t="s">
        <v>183</v>
      </c>
      <c r="E128" s="140" t="s">
        <v>188</v>
      </c>
      <c r="F128" s="140" t="s">
        <v>16</v>
      </c>
      <c r="G128" s="140"/>
      <c r="H128" s="141">
        <v>45869</v>
      </c>
      <c r="I128" s="141">
        <v>46188</v>
      </c>
      <c r="J128" s="140"/>
      <c r="K128" s="143"/>
    </row>
    <row r="129" hidden="1" spans="1:11">
      <c r="A129" s="140" t="s">
        <v>314</v>
      </c>
      <c r="B129" s="140" t="s">
        <v>316</v>
      </c>
      <c r="C129" s="140"/>
      <c r="D129" s="140" t="s">
        <v>183</v>
      </c>
      <c r="E129" s="140" t="s">
        <v>188</v>
      </c>
      <c r="F129" s="140" t="s">
        <v>16</v>
      </c>
      <c r="G129" s="140"/>
      <c r="H129" s="141">
        <v>45869</v>
      </c>
      <c r="I129" s="141">
        <v>46142</v>
      </c>
      <c r="J129" s="140"/>
      <c r="K129" s="143"/>
    </row>
    <row r="130" hidden="1" spans="1:11">
      <c r="A130" s="140" t="s">
        <v>314</v>
      </c>
      <c r="B130" s="140" t="s">
        <v>317</v>
      </c>
      <c r="C130" s="140"/>
      <c r="D130" s="140" t="s">
        <v>183</v>
      </c>
      <c r="E130" s="140" t="s">
        <v>188</v>
      </c>
      <c r="F130" s="140" t="s">
        <v>16</v>
      </c>
      <c r="G130" s="140"/>
      <c r="H130" s="141">
        <v>45869</v>
      </c>
      <c r="I130" s="141">
        <v>46172</v>
      </c>
      <c r="J130" s="140"/>
      <c r="K130" s="143" t="s">
        <v>318</v>
      </c>
    </row>
    <row r="131" hidden="1" spans="1:11">
      <c r="A131" s="140" t="s">
        <v>314</v>
      </c>
      <c r="B131" s="140" t="s">
        <v>319</v>
      </c>
      <c r="C131" s="140"/>
      <c r="D131" s="140" t="s">
        <v>183</v>
      </c>
      <c r="E131" s="140" t="s">
        <v>188</v>
      </c>
      <c r="F131" s="140" t="s">
        <v>16</v>
      </c>
      <c r="G131" s="140"/>
      <c r="H131" s="141">
        <v>45869</v>
      </c>
      <c r="I131" s="141">
        <v>46172</v>
      </c>
      <c r="J131" s="140"/>
      <c r="K131" s="143" t="s">
        <v>318</v>
      </c>
    </row>
    <row r="132" hidden="1" spans="1:11">
      <c r="A132" s="140" t="s">
        <v>314</v>
      </c>
      <c r="B132" s="140" t="s">
        <v>320</v>
      </c>
      <c r="C132" s="140"/>
      <c r="D132" s="140" t="s">
        <v>183</v>
      </c>
      <c r="E132" s="140" t="s">
        <v>188</v>
      </c>
      <c r="F132" s="140" t="s">
        <v>16</v>
      </c>
      <c r="G132" s="140"/>
      <c r="H132" s="141">
        <v>45869</v>
      </c>
      <c r="I132" s="141">
        <v>46172</v>
      </c>
      <c r="J132" s="140"/>
      <c r="K132" s="143"/>
    </row>
    <row r="133" hidden="1" spans="1:11">
      <c r="A133" s="140" t="s">
        <v>314</v>
      </c>
      <c r="B133" s="140" t="s">
        <v>321</v>
      </c>
      <c r="C133" s="140"/>
      <c r="D133" s="140" t="s">
        <v>183</v>
      </c>
      <c r="E133" s="140" t="s">
        <v>188</v>
      </c>
      <c r="F133" s="140" t="s">
        <v>16</v>
      </c>
      <c r="G133" s="140"/>
      <c r="H133" s="141">
        <v>45869</v>
      </c>
      <c r="I133" s="141">
        <v>46172</v>
      </c>
      <c r="J133" s="140"/>
      <c r="K133" s="143"/>
    </row>
    <row r="134" ht="58" hidden="1" customHeight="1" spans="1:11">
      <c r="A134" s="140" t="s">
        <v>159</v>
      </c>
      <c r="B134" s="140" t="s">
        <v>322</v>
      </c>
      <c r="C134" s="140" t="s">
        <v>323</v>
      </c>
      <c r="D134" s="140" t="s">
        <v>324</v>
      </c>
      <c r="E134" s="140" t="s">
        <v>163</v>
      </c>
      <c r="F134" s="140" t="s">
        <v>325</v>
      </c>
      <c r="G134" s="140"/>
      <c r="H134" s="141">
        <v>46204</v>
      </c>
      <c r="I134" s="141">
        <v>46238</v>
      </c>
      <c r="J134" s="140" t="s">
        <v>298</v>
      </c>
      <c r="K134" s="143"/>
    </row>
    <row r="135" hidden="1" spans="1:11">
      <c r="A135" s="140" t="s">
        <v>314</v>
      </c>
      <c r="B135" s="140" t="s">
        <v>326</v>
      </c>
      <c r="C135" s="140"/>
      <c r="D135" s="140" t="s">
        <v>183</v>
      </c>
      <c r="E135" s="140" t="s">
        <v>188</v>
      </c>
      <c r="F135" s="140" t="s">
        <v>327</v>
      </c>
      <c r="G135" s="140"/>
      <c r="H135" s="141">
        <v>45869</v>
      </c>
      <c r="I135" s="141">
        <v>46241</v>
      </c>
      <c r="J135" s="140"/>
      <c r="K135" s="143"/>
    </row>
    <row r="136" hidden="1" spans="1:11">
      <c r="A136" s="140" t="s">
        <v>314</v>
      </c>
      <c r="B136" s="140" t="s">
        <v>328</v>
      </c>
      <c r="C136" s="140"/>
      <c r="D136" s="140" t="s">
        <v>183</v>
      </c>
      <c r="E136" s="140" t="s">
        <v>188</v>
      </c>
      <c r="F136" s="140" t="s">
        <v>327</v>
      </c>
      <c r="G136" s="140"/>
      <c r="H136" s="141">
        <v>45869</v>
      </c>
      <c r="I136" s="141">
        <v>46241</v>
      </c>
      <c r="J136" s="140"/>
      <c r="K136" s="143"/>
    </row>
    <row r="137" hidden="1" spans="1:11">
      <c r="A137" s="140" t="s">
        <v>314</v>
      </c>
      <c r="B137" s="140" t="s">
        <v>329</v>
      </c>
      <c r="C137" s="140"/>
      <c r="D137" s="140" t="s">
        <v>183</v>
      </c>
      <c r="E137" s="140" t="s">
        <v>188</v>
      </c>
      <c r="F137" s="140" t="s">
        <v>327</v>
      </c>
      <c r="G137" s="140"/>
      <c r="H137" s="141">
        <v>45869</v>
      </c>
      <c r="I137" s="141">
        <v>46241</v>
      </c>
      <c r="J137" s="140"/>
      <c r="K137" s="143"/>
    </row>
    <row r="138" hidden="1" spans="1:11">
      <c r="A138" s="140" t="s">
        <v>314</v>
      </c>
      <c r="B138" s="140" t="s">
        <v>330</v>
      </c>
      <c r="C138" s="140"/>
      <c r="D138" s="140" t="s">
        <v>183</v>
      </c>
      <c r="E138" s="140" t="s">
        <v>188</v>
      </c>
      <c r="F138" s="140" t="s">
        <v>331</v>
      </c>
      <c r="G138" s="140"/>
      <c r="H138" s="141">
        <v>45869</v>
      </c>
      <c r="I138" s="141">
        <v>46241</v>
      </c>
      <c r="J138" s="140"/>
      <c r="K138" s="143"/>
    </row>
    <row r="139" hidden="1" spans="1:11">
      <c r="A139" s="140" t="s">
        <v>314</v>
      </c>
      <c r="B139" s="140" t="s">
        <v>332</v>
      </c>
      <c r="C139" s="140"/>
      <c r="D139" s="140" t="s">
        <v>183</v>
      </c>
      <c r="E139" s="140" t="s">
        <v>188</v>
      </c>
      <c r="F139" s="140" t="s">
        <v>327</v>
      </c>
      <c r="G139" s="140"/>
      <c r="H139" s="141">
        <v>45869</v>
      </c>
      <c r="I139" s="141">
        <v>46241</v>
      </c>
      <c r="J139" s="140"/>
      <c r="K139" s="143"/>
    </row>
    <row r="140" hidden="1" spans="1:11">
      <c r="A140" s="140" t="s">
        <v>314</v>
      </c>
      <c r="B140" s="140" t="s">
        <v>333</v>
      </c>
      <c r="C140" s="140"/>
      <c r="D140" s="140" t="s">
        <v>183</v>
      </c>
      <c r="E140" s="140" t="s">
        <v>188</v>
      </c>
      <c r="F140" s="140" t="s">
        <v>327</v>
      </c>
      <c r="G140" s="140"/>
      <c r="H140" s="141">
        <v>45869</v>
      </c>
      <c r="I140" s="141">
        <v>46241</v>
      </c>
      <c r="J140" s="140"/>
      <c r="K140" s="143" t="s">
        <v>318</v>
      </c>
    </row>
    <row r="141" hidden="1" spans="1:11">
      <c r="A141" s="140" t="s">
        <v>314</v>
      </c>
      <c r="B141" s="140" t="s">
        <v>334</v>
      </c>
      <c r="C141" s="140"/>
      <c r="D141" s="140" t="s">
        <v>183</v>
      </c>
      <c r="E141" s="140" t="s">
        <v>188</v>
      </c>
      <c r="F141" s="140" t="s">
        <v>327</v>
      </c>
      <c r="G141" s="140"/>
      <c r="H141" s="141">
        <v>45869</v>
      </c>
      <c r="I141" s="141">
        <v>46241</v>
      </c>
      <c r="J141" s="140"/>
      <c r="K141" s="143" t="s">
        <v>318</v>
      </c>
    </row>
    <row r="142" hidden="1" spans="1:11">
      <c r="A142" s="140" t="s">
        <v>314</v>
      </c>
      <c r="B142" s="140" t="s">
        <v>335</v>
      </c>
      <c r="C142" s="140"/>
      <c r="D142" s="140" t="s">
        <v>183</v>
      </c>
      <c r="E142" s="140" t="s">
        <v>188</v>
      </c>
      <c r="F142" s="140" t="s">
        <v>336</v>
      </c>
      <c r="G142" s="140"/>
      <c r="H142" s="141">
        <v>45869</v>
      </c>
      <c r="I142" s="141">
        <v>46241</v>
      </c>
      <c r="J142" s="140" t="s">
        <v>185</v>
      </c>
      <c r="K142" s="143"/>
    </row>
    <row r="143" ht="29" hidden="1" customHeight="1" spans="1:11">
      <c r="A143" s="140" t="s">
        <v>337</v>
      </c>
      <c r="B143" s="140" t="s">
        <v>338</v>
      </c>
      <c r="C143" s="144" t="s">
        <v>339</v>
      </c>
      <c r="D143" s="140" t="s">
        <v>48</v>
      </c>
      <c r="E143" s="140" t="s">
        <v>167</v>
      </c>
      <c r="F143" s="140" t="s">
        <v>164</v>
      </c>
      <c r="G143" s="140"/>
      <c r="H143" s="141">
        <v>45818</v>
      </c>
      <c r="I143" s="141">
        <v>46241</v>
      </c>
      <c r="J143" s="140" t="s">
        <v>185</v>
      </c>
      <c r="K143" s="143"/>
    </row>
    <row r="144" hidden="1" spans="1:11">
      <c r="A144" s="140" t="s">
        <v>314</v>
      </c>
      <c r="B144" s="140" t="s">
        <v>340</v>
      </c>
      <c r="C144" s="140"/>
      <c r="D144" s="140" t="s">
        <v>183</v>
      </c>
      <c r="E144" s="140" t="s">
        <v>188</v>
      </c>
      <c r="F144" s="140" t="s">
        <v>164</v>
      </c>
      <c r="G144" s="140"/>
      <c r="H144" s="141">
        <v>45869</v>
      </c>
      <c r="I144" s="141">
        <v>46241</v>
      </c>
      <c r="J144" s="140"/>
      <c r="K144" s="143" t="s">
        <v>318</v>
      </c>
    </row>
    <row r="145" hidden="1" spans="1:11">
      <c r="A145" s="140" t="s">
        <v>205</v>
      </c>
      <c r="B145" s="140" t="s">
        <v>341</v>
      </c>
      <c r="C145" s="140" t="s">
        <v>342</v>
      </c>
      <c r="D145" s="140" t="s">
        <v>162</v>
      </c>
      <c r="E145" s="140" t="s">
        <v>188</v>
      </c>
      <c r="F145" s="140" t="s">
        <v>141</v>
      </c>
      <c r="G145" s="140" t="s">
        <v>343</v>
      </c>
      <c r="H145" s="141">
        <v>45869</v>
      </c>
      <c r="I145" s="141">
        <v>46237</v>
      </c>
      <c r="J145" s="140" t="s">
        <v>269</v>
      </c>
      <c r="K145" s="143"/>
    </row>
    <row r="146" ht="29" hidden="1" customHeight="1" spans="1:11">
      <c r="A146" s="140" t="s">
        <v>193</v>
      </c>
      <c r="B146" s="140" t="s">
        <v>344</v>
      </c>
      <c r="C146" s="140" t="s">
        <v>345</v>
      </c>
      <c r="D146" s="140" t="s">
        <v>162</v>
      </c>
      <c r="E146" s="140" t="s">
        <v>188</v>
      </c>
      <c r="F146" s="140" t="s">
        <v>141</v>
      </c>
      <c r="G146" s="140"/>
      <c r="H146" s="141">
        <v>45869</v>
      </c>
      <c r="I146" s="141">
        <v>46237</v>
      </c>
      <c r="J146" s="140" t="s">
        <v>208</v>
      </c>
      <c r="K146" s="143" t="s">
        <v>346</v>
      </c>
    </row>
    <row r="147" ht="29" hidden="1" customHeight="1" spans="1:11">
      <c r="A147" s="140" t="s">
        <v>314</v>
      </c>
      <c r="B147" s="140" t="s">
        <v>347</v>
      </c>
      <c r="C147" s="140"/>
      <c r="D147" s="140" t="s">
        <v>183</v>
      </c>
      <c r="E147" s="140" t="s">
        <v>188</v>
      </c>
      <c r="F147" s="140" t="s">
        <v>164</v>
      </c>
      <c r="G147" s="140"/>
      <c r="H147" s="141">
        <v>45869</v>
      </c>
      <c r="I147" s="141">
        <v>46241</v>
      </c>
      <c r="J147" s="140"/>
      <c r="K147" s="143" t="s">
        <v>318</v>
      </c>
    </row>
    <row r="148" ht="58" hidden="1" customHeight="1" spans="1:11">
      <c r="A148" s="140" t="s">
        <v>193</v>
      </c>
      <c r="B148" s="140" t="s">
        <v>348</v>
      </c>
      <c r="C148" s="140" t="s">
        <v>349</v>
      </c>
      <c r="D148" s="140" t="s">
        <v>162</v>
      </c>
      <c r="E148" s="140" t="s">
        <v>188</v>
      </c>
      <c r="F148" s="140" t="s">
        <v>164</v>
      </c>
      <c r="G148" s="140" t="s">
        <v>350</v>
      </c>
      <c r="H148" s="141">
        <v>45869</v>
      </c>
      <c r="I148" s="141">
        <v>46241</v>
      </c>
      <c r="J148" s="140" t="s">
        <v>269</v>
      </c>
      <c r="K148" s="143"/>
    </row>
    <row r="149" ht="29" hidden="1" customHeight="1" spans="1:11">
      <c r="A149" s="140" t="s">
        <v>193</v>
      </c>
      <c r="B149" s="140" t="s">
        <v>351</v>
      </c>
      <c r="C149" s="144" t="s">
        <v>352</v>
      </c>
      <c r="D149" s="140" t="s">
        <v>162</v>
      </c>
      <c r="E149" s="140" t="s">
        <v>188</v>
      </c>
      <c r="F149" s="140" t="s">
        <v>164</v>
      </c>
      <c r="G149" s="140" t="s">
        <v>350</v>
      </c>
      <c r="H149" s="141">
        <v>45869</v>
      </c>
      <c r="I149" s="141">
        <v>46241</v>
      </c>
      <c r="J149" s="140"/>
      <c r="K149" s="143"/>
    </row>
    <row r="150" ht="72" hidden="1" customHeight="1" spans="1:11">
      <c r="A150" s="140" t="s">
        <v>193</v>
      </c>
      <c r="B150" s="140" t="s">
        <v>353</v>
      </c>
      <c r="C150" s="140" t="s">
        <v>354</v>
      </c>
      <c r="D150" s="140" t="s">
        <v>162</v>
      </c>
      <c r="E150" s="140" t="s">
        <v>188</v>
      </c>
      <c r="F150" s="140" t="s">
        <v>164</v>
      </c>
      <c r="G150" s="140" t="s">
        <v>350</v>
      </c>
      <c r="H150" s="141">
        <v>45869</v>
      </c>
      <c r="I150" s="141">
        <v>46241</v>
      </c>
      <c r="J150" s="140"/>
      <c r="K150" s="143"/>
    </row>
    <row r="151" hidden="1" spans="1:11">
      <c r="A151" s="140" t="s">
        <v>210</v>
      </c>
      <c r="B151" s="140" t="s">
        <v>355</v>
      </c>
      <c r="C151" s="140" t="s">
        <v>356</v>
      </c>
      <c r="D151" s="140" t="s">
        <v>162</v>
      </c>
      <c r="E151" s="140" t="s">
        <v>188</v>
      </c>
      <c r="F151" s="140" t="s">
        <v>16</v>
      </c>
      <c r="G151" s="140" t="s">
        <v>357</v>
      </c>
      <c r="H151" s="141">
        <v>45869</v>
      </c>
      <c r="I151" s="141">
        <v>46174</v>
      </c>
      <c r="J151" s="140" t="s">
        <v>208</v>
      </c>
      <c r="K151" s="143" t="s">
        <v>358</v>
      </c>
    </row>
    <row r="152" ht="29" hidden="1" customHeight="1" spans="1:11">
      <c r="A152" s="140" t="s">
        <v>201</v>
      </c>
      <c r="B152" s="140" t="s">
        <v>359</v>
      </c>
      <c r="C152" s="140" t="s">
        <v>360</v>
      </c>
      <c r="D152" s="140" t="s">
        <v>162</v>
      </c>
      <c r="E152" s="140" t="s">
        <v>188</v>
      </c>
      <c r="F152" s="140" t="s">
        <v>16</v>
      </c>
      <c r="G152" s="140"/>
      <c r="H152" s="141">
        <v>45869</v>
      </c>
      <c r="I152" s="141">
        <v>46184</v>
      </c>
      <c r="J152" s="140"/>
      <c r="K152" s="143" t="s">
        <v>361</v>
      </c>
    </row>
    <row r="153" hidden="1" spans="1:11">
      <c r="A153" s="140" t="s">
        <v>205</v>
      </c>
      <c r="B153" s="140" t="s">
        <v>362</v>
      </c>
      <c r="C153" s="140" t="s">
        <v>363</v>
      </c>
      <c r="D153" s="140" t="s">
        <v>162</v>
      </c>
      <c r="E153" s="140" t="s">
        <v>188</v>
      </c>
      <c r="F153" s="140" t="s">
        <v>16</v>
      </c>
      <c r="G153" s="140"/>
      <c r="H153" s="141">
        <v>45869</v>
      </c>
      <c r="I153" s="142"/>
      <c r="J153" s="140"/>
      <c r="K153" s="143" t="s">
        <v>364</v>
      </c>
    </row>
    <row r="154" hidden="1" spans="1:11">
      <c r="A154" s="140" t="s">
        <v>205</v>
      </c>
      <c r="B154" s="140" t="s">
        <v>365</v>
      </c>
      <c r="C154" s="140" t="s">
        <v>366</v>
      </c>
      <c r="D154" s="140" t="s">
        <v>162</v>
      </c>
      <c r="E154" s="140" t="s">
        <v>188</v>
      </c>
      <c r="F154" s="140" t="s">
        <v>16</v>
      </c>
      <c r="G154" s="140" t="s">
        <v>367</v>
      </c>
      <c r="H154" s="141">
        <v>45869</v>
      </c>
      <c r="I154" s="142"/>
      <c r="J154" s="140"/>
      <c r="K154" s="143"/>
    </row>
    <row r="155" ht="58" hidden="1" customHeight="1" spans="1:11">
      <c r="A155" s="140" t="s">
        <v>205</v>
      </c>
      <c r="B155" s="140" t="s">
        <v>368</v>
      </c>
      <c r="C155" s="140" t="s">
        <v>369</v>
      </c>
      <c r="D155" s="140" t="s">
        <v>162</v>
      </c>
      <c r="E155" s="140" t="s">
        <v>188</v>
      </c>
      <c r="F155" s="140" t="s">
        <v>16</v>
      </c>
      <c r="G155" s="140" t="s">
        <v>367</v>
      </c>
      <c r="H155" s="141">
        <v>45869</v>
      </c>
      <c r="I155" s="142"/>
      <c r="J155" s="140"/>
      <c r="K155" s="143" t="s">
        <v>370</v>
      </c>
    </row>
    <row r="156" ht="29" hidden="1" customHeight="1" spans="1:11">
      <c r="A156" s="140" t="s">
        <v>193</v>
      </c>
      <c r="B156" s="140" t="s">
        <v>353</v>
      </c>
      <c r="C156" s="140" t="s">
        <v>371</v>
      </c>
      <c r="D156" s="140" t="s">
        <v>162</v>
      </c>
      <c r="E156" s="140" t="s">
        <v>188</v>
      </c>
      <c r="F156" s="140" t="s">
        <v>16</v>
      </c>
      <c r="G156" s="140"/>
      <c r="H156" s="141">
        <v>45869</v>
      </c>
      <c r="I156" s="142"/>
      <c r="J156" s="140"/>
      <c r="K156" s="143"/>
    </row>
    <row r="157" hidden="1" spans="1:11">
      <c r="A157" s="140" t="s">
        <v>201</v>
      </c>
      <c r="B157" s="140" t="s">
        <v>372</v>
      </c>
      <c r="C157" s="140" t="s">
        <v>373</v>
      </c>
      <c r="D157" s="140" t="s">
        <v>162</v>
      </c>
      <c r="E157" s="140" t="s">
        <v>188</v>
      </c>
      <c r="F157" s="140" t="s">
        <v>16</v>
      </c>
      <c r="G157" s="140" t="s">
        <v>374</v>
      </c>
      <c r="H157" s="141">
        <v>45869</v>
      </c>
      <c r="I157" s="142"/>
      <c r="J157" s="140"/>
      <c r="K157" s="143"/>
    </row>
    <row r="158" ht="87" hidden="1" customHeight="1" spans="1:11">
      <c r="A158" s="140" t="s">
        <v>205</v>
      </c>
      <c r="B158" s="140" t="s">
        <v>375</v>
      </c>
      <c r="C158" s="144" t="s">
        <v>376</v>
      </c>
      <c r="D158" s="140" t="s">
        <v>162</v>
      </c>
      <c r="E158" s="140" t="s">
        <v>188</v>
      </c>
      <c r="F158" s="140" t="s">
        <v>16</v>
      </c>
      <c r="G158" s="140"/>
      <c r="H158" s="141">
        <v>45869</v>
      </c>
      <c r="I158" s="142"/>
      <c r="J158" s="140"/>
      <c r="K158" s="143"/>
    </row>
    <row r="159" ht="29" hidden="1" customHeight="1" spans="1:11">
      <c r="A159" s="140" t="s">
        <v>205</v>
      </c>
      <c r="B159" s="140" t="s">
        <v>377</v>
      </c>
      <c r="C159" s="140" t="s">
        <v>378</v>
      </c>
      <c r="D159" s="140" t="s">
        <v>162</v>
      </c>
      <c r="E159" s="140" t="s">
        <v>188</v>
      </c>
      <c r="F159" s="140" t="s">
        <v>16</v>
      </c>
      <c r="G159" s="140" t="s">
        <v>379</v>
      </c>
      <c r="H159" s="141">
        <v>45869</v>
      </c>
      <c r="I159" s="141">
        <v>46122</v>
      </c>
      <c r="J159" s="140" t="s">
        <v>199</v>
      </c>
      <c r="K159" s="143" t="s">
        <v>364</v>
      </c>
    </row>
    <row r="160" ht="58" hidden="1" customHeight="1" spans="1:11">
      <c r="A160" s="140" t="s">
        <v>193</v>
      </c>
      <c r="B160" s="140" t="s">
        <v>380</v>
      </c>
      <c r="C160" s="140" t="s">
        <v>381</v>
      </c>
      <c r="D160" s="140" t="s">
        <v>266</v>
      </c>
      <c r="E160" s="140" t="s">
        <v>188</v>
      </c>
      <c r="F160" s="140" t="s">
        <v>141</v>
      </c>
      <c r="G160" s="140" t="s">
        <v>382</v>
      </c>
      <c r="H160" s="141">
        <v>45869</v>
      </c>
      <c r="I160" s="141">
        <v>46237</v>
      </c>
      <c r="J160" s="140" t="s">
        <v>199</v>
      </c>
      <c r="K160" s="143" t="s">
        <v>200</v>
      </c>
    </row>
    <row r="161" hidden="1" spans="1:11">
      <c r="A161" s="140" t="s">
        <v>201</v>
      </c>
      <c r="B161" s="140" t="s">
        <v>383</v>
      </c>
      <c r="C161" s="140" t="s">
        <v>384</v>
      </c>
      <c r="D161" s="140" t="s">
        <v>162</v>
      </c>
      <c r="E161" s="140" t="s">
        <v>188</v>
      </c>
      <c r="F161" s="140" t="s">
        <v>141</v>
      </c>
      <c r="G161" s="140"/>
      <c r="H161" s="141">
        <v>45869</v>
      </c>
      <c r="I161" s="141">
        <v>46237</v>
      </c>
      <c r="J161" s="140" t="s">
        <v>269</v>
      </c>
      <c r="K161" s="143"/>
    </row>
    <row r="162" ht="58" hidden="1" customHeight="1" spans="1:11">
      <c r="A162" s="140" t="s">
        <v>205</v>
      </c>
      <c r="B162" s="140" t="s">
        <v>385</v>
      </c>
      <c r="C162" s="140" t="s">
        <v>386</v>
      </c>
      <c r="D162" s="140" t="s">
        <v>162</v>
      </c>
      <c r="E162" s="140" t="s">
        <v>188</v>
      </c>
      <c r="F162" s="140" t="s">
        <v>141</v>
      </c>
      <c r="G162" s="140" t="s">
        <v>387</v>
      </c>
      <c r="H162" s="141">
        <v>45869</v>
      </c>
      <c r="I162" s="141">
        <v>46237</v>
      </c>
      <c r="J162" s="140" t="s">
        <v>199</v>
      </c>
      <c r="K162" s="143" t="s">
        <v>388</v>
      </c>
    </row>
    <row r="163" ht="29" hidden="1" customHeight="1" spans="1:11">
      <c r="A163" s="140" t="s">
        <v>205</v>
      </c>
      <c r="B163" s="140" t="s">
        <v>389</v>
      </c>
      <c r="C163" s="140" t="s">
        <v>390</v>
      </c>
      <c r="D163" s="140" t="s">
        <v>266</v>
      </c>
      <c r="E163" s="140" t="s">
        <v>188</v>
      </c>
      <c r="F163" s="140" t="s">
        <v>141</v>
      </c>
      <c r="G163" s="140"/>
      <c r="H163" s="141">
        <v>45869</v>
      </c>
      <c r="I163" s="141">
        <v>46237</v>
      </c>
      <c r="J163" s="140" t="s">
        <v>269</v>
      </c>
      <c r="K163" s="143" t="s">
        <v>391</v>
      </c>
    </row>
    <row r="164" hidden="1" spans="1:11">
      <c r="A164" s="140" t="s">
        <v>205</v>
      </c>
      <c r="B164" s="140" t="s">
        <v>392</v>
      </c>
      <c r="C164" s="140" t="s">
        <v>393</v>
      </c>
      <c r="D164" s="140" t="s">
        <v>162</v>
      </c>
      <c r="E164" s="140" t="s">
        <v>188</v>
      </c>
      <c r="F164" s="140" t="s">
        <v>179</v>
      </c>
      <c r="G164" s="140"/>
      <c r="H164" s="141">
        <v>45869</v>
      </c>
      <c r="I164" s="141"/>
      <c r="J164" s="140"/>
      <c r="K164" s="143"/>
    </row>
    <row r="165" ht="29" hidden="1" customHeight="1" spans="1:11">
      <c r="A165" s="140" t="s">
        <v>159</v>
      </c>
      <c r="B165" s="140" t="s">
        <v>129</v>
      </c>
      <c r="C165" s="140" t="s">
        <v>394</v>
      </c>
      <c r="D165" s="140" t="s">
        <v>48</v>
      </c>
      <c r="E165" s="140" t="s">
        <v>163</v>
      </c>
      <c r="F165" s="140" t="s">
        <v>16</v>
      </c>
      <c r="G165" s="140"/>
      <c r="H165" s="141">
        <v>46231</v>
      </c>
      <c r="I165" s="141">
        <v>46231</v>
      </c>
      <c r="J165" s="140" t="s">
        <v>175</v>
      </c>
      <c r="K165" s="143"/>
    </row>
    <row r="166" ht="29" hidden="1" customHeight="1" spans="1:11">
      <c r="A166" s="140" t="s">
        <v>193</v>
      </c>
      <c r="B166" s="140" t="s">
        <v>395</v>
      </c>
      <c r="C166" s="140" t="s">
        <v>396</v>
      </c>
      <c r="D166" s="140" t="s">
        <v>162</v>
      </c>
      <c r="E166" s="140" t="s">
        <v>188</v>
      </c>
      <c r="F166" s="140" t="s">
        <v>179</v>
      </c>
      <c r="G166" s="140"/>
      <c r="H166" s="141">
        <v>45869</v>
      </c>
      <c r="I166" s="141"/>
      <c r="J166" s="140"/>
      <c r="K166" s="143" t="s">
        <v>397</v>
      </c>
    </row>
    <row r="167" ht="29" hidden="1" customHeight="1" spans="1:11">
      <c r="A167" s="140" t="s">
        <v>193</v>
      </c>
      <c r="B167" s="140" t="s">
        <v>398</v>
      </c>
      <c r="C167" s="144" t="s">
        <v>399</v>
      </c>
      <c r="D167" s="140" t="s">
        <v>162</v>
      </c>
      <c r="E167" s="140" t="s">
        <v>188</v>
      </c>
      <c r="F167" s="140" t="s">
        <v>164</v>
      </c>
      <c r="G167" s="140" t="s">
        <v>350</v>
      </c>
      <c r="H167" s="141">
        <v>45869</v>
      </c>
      <c r="I167" s="141">
        <v>46241</v>
      </c>
      <c r="J167" s="140" t="s">
        <v>269</v>
      </c>
      <c r="K167" s="143" t="s">
        <v>400</v>
      </c>
    </row>
    <row r="168" ht="29" hidden="1" customHeight="1" spans="1:11">
      <c r="A168" s="140" t="s">
        <v>401</v>
      </c>
      <c r="B168" s="140" t="s">
        <v>402</v>
      </c>
      <c r="C168" s="140" t="s">
        <v>403</v>
      </c>
      <c r="D168" s="140" t="s">
        <v>404</v>
      </c>
      <c r="E168" s="140" t="s">
        <v>163</v>
      </c>
      <c r="F168" s="140" t="s">
        <v>141</v>
      </c>
      <c r="G168" s="140"/>
      <c r="H168" s="141">
        <v>46150</v>
      </c>
      <c r="I168" s="141">
        <v>46237</v>
      </c>
      <c r="J168" s="140" t="s">
        <v>208</v>
      </c>
      <c r="K168" s="143"/>
    </row>
    <row r="169" ht="29" hidden="1" customHeight="1" spans="1:11">
      <c r="A169" s="140" t="s">
        <v>205</v>
      </c>
      <c r="B169" s="140" t="s">
        <v>243</v>
      </c>
      <c r="C169" s="140" t="s">
        <v>405</v>
      </c>
      <c r="D169" s="140" t="s">
        <v>162</v>
      </c>
      <c r="E169" s="140" t="s">
        <v>188</v>
      </c>
      <c r="F169" s="140" t="s">
        <v>164</v>
      </c>
      <c r="G169" s="140" t="s">
        <v>350</v>
      </c>
      <c r="H169" s="141">
        <v>45869</v>
      </c>
      <c r="I169" s="141">
        <v>46241</v>
      </c>
      <c r="J169" s="140" t="s">
        <v>269</v>
      </c>
      <c r="K169" s="143"/>
    </row>
    <row r="170" ht="29" hidden="1" customHeight="1" spans="1:11">
      <c r="A170" s="140" t="s">
        <v>205</v>
      </c>
      <c r="B170" s="140" t="s">
        <v>406</v>
      </c>
      <c r="C170" s="140" t="s">
        <v>407</v>
      </c>
      <c r="D170" s="140" t="s">
        <v>162</v>
      </c>
      <c r="E170" s="140" t="s">
        <v>188</v>
      </c>
      <c r="F170" s="140" t="s">
        <v>164</v>
      </c>
      <c r="G170" s="140" t="s">
        <v>387</v>
      </c>
      <c r="H170" s="141">
        <v>45869</v>
      </c>
      <c r="I170" s="141">
        <v>46241</v>
      </c>
      <c r="J170" s="140" t="s">
        <v>199</v>
      </c>
      <c r="K170" s="143" t="s">
        <v>408</v>
      </c>
    </row>
    <row r="171" ht="72" hidden="1" customHeight="1" spans="1:11">
      <c r="A171" s="140" t="s">
        <v>205</v>
      </c>
      <c r="B171" s="140" t="s">
        <v>409</v>
      </c>
      <c r="C171" s="140" t="s">
        <v>410</v>
      </c>
      <c r="D171" s="140" t="s">
        <v>162</v>
      </c>
      <c r="E171" s="140" t="s">
        <v>188</v>
      </c>
      <c r="F171" s="140" t="s">
        <v>164</v>
      </c>
      <c r="G171" s="140" t="s">
        <v>387</v>
      </c>
      <c r="H171" s="141">
        <v>45869</v>
      </c>
      <c r="I171" s="141">
        <v>46241</v>
      </c>
      <c r="J171" s="140" t="s">
        <v>199</v>
      </c>
      <c r="K171" s="143"/>
    </row>
    <row r="172" ht="29" hidden="1" customHeight="1" spans="1:11">
      <c r="A172" s="140" t="s">
        <v>205</v>
      </c>
      <c r="B172" s="140" t="s">
        <v>411</v>
      </c>
      <c r="C172" s="140" t="s">
        <v>412</v>
      </c>
      <c r="D172" s="140" t="s">
        <v>162</v>
      </c>
      <c r="E172" s="140" t="s">
        <v>188</v>
      </c>
      <c r="F172" s="140" t="s">
        <v>164</v>
      </c>
      <c r="G172" s="140" t="s">
        <v>350</v>
      </c>
      <c r="H172" s="141">
        <v>45869</v>
      </c>
      <c r="I172" s="141">
        <v>46241</v>
      </c>
      <c r="J172" s="140" t="s">
        <v>269</v>
      </c>
      <c r="K172" s="143" t="s">
        <v>400</v>
      </c>
    </row>
    <row r="173" ht="29" hidden="1" customHeight="1" spans="1:11">
      <c r="A173" s="140" t="s">
        <v>159</v>
      </c>
      <c r="B173" s="140" t="s">
        <v>129</v>
      </c>
      <c r="C173" s="140" t="s">
        <v>413</v>
      </c>
      <c r="D173" s="140" t="s">
        <v>48</v>
      </c>
      <c r="E173" s="140" t="s">
        <v>163</v>
      </c>
      <c r="F173" s="140" t="s">
        <v>16</v>
      </c>
      <c r="G173" s="140"/>
      <c r="H173" s="141">
        <v>46231</v>
      </c>
      <c r="I173" s="141">
        <v>46231</v>
      </c>
      <c r="J173" s="140" t="s">
        <v>175</v>
      </c>
      <c r="K173" s="143"/>
    </row>
    <row r="174" ht="29" hidden="1" customHeight="1" spans="1:11">
      <c r="A174" s="140" t="s">
        <v>205</v>
      </c>
      <c r="B174" s="140" t="s">
        <v>414</v>
      </c>
      <c r="C174" s="140" t="s">
        <v>415</v>
      </c>
      <c r="D174" s="140" t="s">
        <v>162</v>
      </c>
      <c r="E174" s="140" t="s">
        <v>188</v>
      </c>
      <c r="F174" s="140" t="s">
        <v>164</v>
      </c>
      <c r="G174" s="140" t="s">
        <v>350</v>
      </c>
      <c r="H174" s="141">
        <v>45869</v>
      </c>
      <c r="I174" s="141">
        <v>46241</v>
      </c>
      <c r="J174" s="140" t="s">
        <v>269</v>
      </c>
      <c r="K174" s="143"/>
    </row>
    <row r="175" hidden="1" spans="1:11">
      <c r="A175" s="140" t="s">
        <v>205</v>
      </c>
      <c r="B175" s="140" t="s">
        <v>416</v>
      </c>
      <c r="C175" s="140" t="s">
        <v>417</v>
      </c>
      <c r="D175" s="140" t="s">
        <v>162</v>
      </c>
      <c r="E175" s="140" t="s">
        <v>188</v>
      </c>
      <c r="F175" s="140" t="s">
        <v>164</v>
      </c>
      <c r="G175" s="140" t="s">
        <v>350</v>
      </c>
      <c r="H175" s="141">
        <v>45869</v>
      </c>
      <c r="I175" s="141">
        <v>46241</v>
      </c>
      <c r="J175" s="140" t="s">
        <v>208</v>
      </c>
      <c r="K175" s="143"/>
    </row>
    <row r="176" ht="44" hidden="1" customHeight="1" spans="1:11">
      <c r="A176" s="140" t="s">
        <v>52</v>
      </c>
      <c r="B176" s="140" t="s">
        <v>418</v>
      </c>
      <c r="C176" s="140" t="s">
        <v>419</v>
      </c>
      <c r="D176" s="140" t="s">
        <v>48</v>
      </c>
      <c r="E176" s="140" t="s">
        <v>167</v>
      </c>
      <c r="F176" s="140" t="s">
        <v>16</v>
      </c>
      <c r="G176" s="140"/>
      <c r="H176" s="141">
        <v>45818</v>
      </c>
      <c r="I176" s="141">
        <v>46232</v>
      </c>
      <c r="J176" s="140" t="s">
        <v>156</v>
      </c>
      <c r="K176" s="143"/>
    </row>
    <row r="177" ht="29" hidden="1" customHeight="1" spans="1:11">
      <c r="A177" s="140" t="s">
        <v>401</v>
      </c>
      <c r="B177" s="140" t="s">
        <v>420</v>
      </c>
      <c r="C177" s="140" t="s">
        <v>421</v>
      </c>
      <c r="D177" s="140" t="s">
        <v>48</v>
      </c>
      <c r="E177" s="140" t="s">
        <v>163</v>
      </c>
      <c r="F177" s="140" t="s">
        <v>141</v>
      </c>
      <c r="G177" s="140" t="s">
        <v>422</v>
      </c>
      <c r="H177" s="141">
        <v>46230</v>
      </c>
      <c r="I177" s="141">
        <v>46237</v>
      </c>
      <c r="J177" s="140" t="s">
        <v>142</v>
      </c>
      <c r="K177" s="143"/>
    </row>
    <row r="178" ht="29" hidden="1" customHeight="1" spans="1:11">
      <c r="A178" s="140" t="s">
        <v>205</v>
      </c>
      <c r="B178" s="140" t="s">
        <v>416</v>
      </c>
      <c r="C178" s="140" t="s">
        <v>423</v>
      </c>
      <c r="D178" s="140" t="s">
        <v>162</v>
      </c>
      <c r="E178" s="140" t="s">
        <v>188</v>
      </c>
      <c r="F178" s="140" t="s">
        <v>164</v>
      </c>
      <c r="G178" s="140" t="s">
        <v>350</v>
      </c>
      <c r="H178" s="141">
        <v>45869</v>
      </c>
      <c r="I178" s="141">
        <v>46241</v>
      </c>
      <c r="J178" s="140" t="s">
        <v>208</v>
      </c>
      <c r="K178" s="143"/>
    </row>
    <row r="179" ht="87" hidden="1" customHeight="1" spans="1:11">
      <c r="A179" s="140" t="s">
        <v>46</v>
      </c>
      <c r="B179" s="140" t="s">
        <v>424</v>
      </c>
      <c r="C179" s="144" t="s">
        <v>425</v>
      </c>
      <c r="D179" s="140" t="s">
        <v>266</v>
      </c>
      <c r="E179" s="140" t="s">
        <v>188</v>
      </c>
      <c r="F179" s="140" t="s">
        <v>16</v>
      </c>
      <c r="G179" s="140"/>
      <c r="H179" s="141">
        <v>45869</v>
      </c>
      <c r="I179" s="141">
        <v>46185</v>
      </c>
      <c r="J179" s="140" t="s">
        <v>269</v>
      </c>
      <c r="K179" s="143" t="s">
        <v>286</v>
      </c>
    </row>
    <row r="180" ht="29" hidden="1" customHeight="1" spans="1:11">
      <c r="A180" s="140" t="s">
        <v>205</v>
      </c>
      <c r="B180" s="140" t="s">
        <v>426</v>
      </c>
      <c r="C180" s="140" t="s">
        <v>427</v>
      </c>
      <c r="D180" s="140" t="s">
        <v>266</v>
      </c>
      <c r="E180" s="140" t="s">
        <v>188</v>
      </c>
      <c r="F180" s="140" t="s">
        <v>16</v>
      </c>
      <c r="G180" s="140"/>
      <c r="H180" s="141">
        <v>45869</v>
      </c>
      <c r="I180" s="142"/>
      <c r="J180" s="140"/>
      <c r="K180" s="143" t="s">
        <v>428</v>
      </c>
    </row>
    <row r="181" ht="29" hidden="1" customHeight="1" spans="1:11">
      <c r="A181" s="140" t="s">
        <v>52</v>
      </c>
      <c r="B181" s="140" t="s">
        <v>429</v>
      </c>
      <c r="C181" s="144" t="s">
        <v>430</v>
      </c>
      <c r="D181" s="140" t="s">
        <v>48</v>
      </c>
      <c r="E181" s="140" t="s">
        <v>188</v>
      </c>
      <c r="F181" s="140" t="s">
        <v>16</v>
      </c>
      <c r="G181" s="140"/>
      <c r="H181" s="141">
        <v>45869</v>
      </c>
      <c r="I181" s="141">
        <v>46227</v>
      </c>
      <c r="J181" s="140"/>
      <c r="K181" s="143"/>
    </row>
    <row r="182" ht="29" hidden="1" customHeight="1" spans="1:11">
      <c r="A182" s="140" t="s">
        <v>205</v>
      </c>
      <c r="B182" s="140" t="s">
        <v>431</v>
      </c>
      <c r="C182" s="140" t="s">
        <v>432</v>
      </c>
      <c r="D182" s="140" t="s">
        <v>266</v>
      </c>
      <c r="E182" s="140" t="s">
        <v>188</v>
      </c>
      <c r="F182" s="140" t="s">
        <v>164</v>
      </c>
      <c r="G182" s="140" t="s">
        <v>406</v>
      </c>
      <c r="H182" s="141">
        <v>45869</v>
      </c>
      <c r="I182" s="141">
        <v>46241</v>
      </c>
      <c r="J182" s="140" t="s">
        <v>199</v>
      </c>
      <c r="K182" s="143" t="s">
        <v>408</v>
      </c>
    </row>
    <row r="183" ht="29" hidden="1" customHeight="1" spans="1:11">
      <c r="A183" s="140" t="s">
        <v>218</v>
      </c>
      <c r="B183" s="140" t="s">
        <v>219</v>
      </c>
      <c r="C183" s="140" t="s">
        <v>433</v>
      </c>
      <c r="D183" s="140" t="s">
        <v>434</v>
      </c>
      <c r="E183" s="140" t="s">
        <v>167</v>
      </c>
      <c r="F183" s="140" t="s">
        <v>189</v>
      </c>
      <c r="G183" s="140" t="s">
        <v>435</v>
      </c>
      <c r="H183" s="141">
        <v>45818</v>
      </c>
      <c r="I183" s="141">
        <v>46241</v>
      </c>
      <c r="J183" s="140" t="s">
        <v>185</v>
      </c>
      <c r="K183" s="143" t="s">
        <v>436</v>
      </c>
    </row>
    <row r="184" ht="58" hidden="1" customHeight="1" spans="1:11">
      <c r="A184" s="140" t="s">
        <v>52</v>
      </c>
      <c r="B184" s="140" t="s">
        <v>437</v>
      </c>
      <c r="C184" s="144" t="s">
        <v>438</v>
      </c>
      <c r="D184" s="140" t="s">
        <v>48</v>
      </c>
      <c r="E184" s="140" t="s">
        <v>188</v>
      </c>
      <c r="F184" s="140" t="s">
        <v>16</v>
      </c>
      <c r="G184" s="140"/>
      <c r="H184" s="141">
        <v>45869</v>
      </c>
      <c r="I184" s="142"/>
      <c r="J184" s="140"/>
      <c r="K184" s="143"/>
    </row>
    <row r="185" hidden="1" spans="1:11">
      <c r="A185" s="140" t="s">
        <v>52</v>
      </c>
      <c r="B185" s="140" t="s">
        <v>439</v>
      </c>
      <c r="C185" s="140" t="s">
        <v>440</v>
      </c>
      <c r="D185" s="140" t="s">
        <v>48</v>
      </c>
      <c r="E185" s="140" t="s">
        <v>188</v>
      </c>
      <c r="F185" s="140" t="s">
        <v>16</v>
      </c>
      <c r="G185" s="140"/>
      <c r="H185" s="141">
        <v>45869</v>
      </c>
      <c r="I185" s="142"/>
      <c r="J185" s="140"/>
      <c r="K185" s="143"/>
    </row>
    <row r="186" ht="44" hidden="1" customHeight="1" spans="1:11">
      <c r="A186" s="140" t="s">
        <v>52</v>
      </c>
      <c r="B186" s="140" t="s">
        <v>441</v>
      </c>
      <c r="C186" s="144" t="s">
        <v>442</v>
      </c>
      <c r="D186" s="140" t="s">
        <v>48</v>
      </c>
      <c r="E186" s="140" t="s">
        <v>188</v>
      </c>
      <c r="F186" s="140" t="s">
        <v>16</v>
      </c>
      <c r="G186" s="140"/>
      <c r="H186" s="141">
        <v>45869</v>
      </c>
      <c r="I186" s="142"/>
      <c r="J186" s="140"/>
      <c r="K186" s="143"/>
    </row>
    <row r="187" hidden="1" spans="1:11">
      <c r="A187" s="140" t="s">
        <v>46</v>
      </c>
      <c r="B187" s="140" t="s">
        <v>443</v>
      </c>
      <c r="C187" s="140"/>
      <c r="D187" s="140" t="s">
        <v>48</v>
      </c>
      <c r="E187" s="140" t="s">
        <v>188</v>
      </c>
      <c r="F187" s="140" t="s">
        <v>16</v>
      </c>
      <c r="G187" s="140"/>
      <c r="H187" s="141">
        <v>45869</v>
      </c>
      <c r="I187" s="142"/>
      <c r="J187" s="140"/>
      <c r="K187" s="143"/>
    </row>
    <row r="188" hidden="1" spans="1:11">
      <c r="A188" s="140" t="s">
        <v>46</v>
      </c>
      <c r="B188" s="140" t="s">
        <v>186</v>
      </c>
      <c r="C188" s="140"/>
      <c r="D188" s="140" t="s">
        <v>48</v>
      </c>
      <c r="E188" s="140" t="s">
        <v>188</v>
      </c>
      <c r="F188" s="140" t="s">
        <v>16</v>
      </c>
      <c r="G188" s="140"/>
      <c r="H188" s="141">
        <v>45869</v>
      </c>
      <c r="I188" s="142"/>
      <c r="J188" s="140"/>
      <c r="K188" s="143"/>
    </row>
    <row r="189" hidden="1" spans="1:11">
      <c r="A189" s="140" t="s">
        <v>46</v>
      </c>
      <c r="B189" s="140" t="s">
        <v>444</v>
      </c>
      <c r="C189" s="140"/>
      <c r="D189" s="140" t="s">
        <v>48</v>
      </c>
      <c r="E189" s="140" t="s">
        <v>188</v>
      </c>
      <c r="F189" s="140" t="s">
        <v>16</v>
      </c>
      <c r="G189" s="140"/>
      <c r="H189" s="141">
        <v>45869</v>
      </c>
      <c r="I189" s="142"/>
      <c r="J189" s="140"/>
      <c r="K189" s="143"/>
    </row>
    <row r="190" ht="101" hidden="1" customHeight="1" spans="1:11">
      <c r="A190" s="140" t="s">
        <v>46</v>
      </c>
      <c r="B190" s="140" t="s">
        <v>445</v>
      </c>
      <c r="C190" s="140" t="s">
        <v>446</v>
      </c>
      <c r="D190" s="140" t="s">
        <v>48</v>
      </c>
      <c r="E190" s="140" t="s">
        <v>188</v>
      </c>
      <c r="F190" s="140" t="s">
        <v>164</v>
      </c>
      <c r="G190" s="140"/>
      <c r="H190" s="141">
        <v>45869</v>
      </c>
      <c r="I190" s="141">
        <v>46241</v>
      </c>
      <c r="J190" s="140"/>
      <c r="K190" s="143"/>
    </row>
    <row r="191" ht="101" hidden="1" customHeight="1" spans="1:11">
      <c r="A191" s="140" t="s">
        <v>52</v>
      </c>
      <c r="B191" s="144" t="s">
        <v>447</v>
      </c>
      <c r="C191" s="144" t="s">
        <v>448</v>
      </c>
      <c r="D191" s="140" t="s">
        <v>48</v>
      </c>
      <c r="E191" s="140" t="s">
        <v>188</v>
      </c>
      <c r="F191" s="140" t="s">
        <v>164</v>
      </c>
      <c r="G191" s="140" t="s">
        <v>449</v>
      </c>
      <c r="H191" s="141">
        <v>45869</v>
      </c>
      <c r="I191" s="141">
        <v>46241</v>
      </c>
      <c r="J191" s="140"/>
      <c r="K191" s="143"/>
    </row>
    <row r="192" ht="144" hidden="1" customHeight="1" spans="1:11">
      <c r="A192" s="140" t="s">
        <v>159</v>
      </c>
      <c r="B192" s="140" t="s">
        <v>450</v>
      </c>
      <c r="C192" s="140" t="s">
        <v>451</v>
      </c>
      <c r="D192" s="140" t="s">
        <v>48</v>
      </c>
      <c r="E192" s="140" t="s">
        <v>163</v>
      </c>
      <c r="F192" s="140" t="s">
        <v>16</v>
      </c>
      <c r="G192" s="140"/>
      <c r="H192" s="141">
        <v>46232</v>
      </c>
      <c r="I192" s="141">
        <v>46232</v>
      </c>
      <c r="J192" s="140"/>
      <c r="K192" s="143"/>
    </row>
    <row r="193" ht="72" hidden="1" customHeight="1" spans="1:11">
      <c r="A193" s="140" t="s">
        <v>314</v>
      </c>
      <c r="B193" s="140" t="s">
        <v>452</v>
      </c>
      <c r="C193" s="140"/>
      <c r="D193" s="140" t="s">
        <v>183</v>
      </c>
      <c r="E193" s="140" t="s">
        <v>188</v>
      </c>
      <c r="F193" s="140" t="s">
        <v>327</v>
      </c>
      <c r="G193" s="140"/>
      <c r="H193" s="141">
        <v>45869</v>
      </c>
      <c r="I193" s="141">
        <v>46241</v>
      </c>
      <c r="J193" s="140"/>
      <c r="K193" s="143" t="s">
        <v>318</v>
      </c>
    </row>
    <row r="194" ht="116" hidden="1" customHeight="1" spans="1:11">
      <c r="A194" s="140" t="s">
        <v>218</v>
      </c>
      <c r="B194" s="144" t="s">
        <v>453</v>
      </c>
      <c r="C194" s="140"/>
      <c r="D194" s="140" t="s">
        <v>434</v>
      </c>
      <c r="E194" s="140" t="s">
        <v>188</v>
      </c>
      <c r="F194" s="140" t="s">
        <v>16</v>
      </c>
      <c r="G194" s="140"/>
      <c r="H194" s="141">
        <v>45869</v>
      </c>
      <c r="I194" s="141">
        <v>46178</v>
      </c>
      <c r="J194" s="140"/>
      <c r="K194" s="143" t="s">
        <v>454</v>
      </c>
    </row>
    <row r="195" ht="29" hidden="1" customHeight="1" spans="1:11">
      <c r="A195" s="140" t="s">
        <v>46</v>
      </c>
      <c r="B195" s="140" t="s">
        <v>455</v>
      </c>
      <c r="C195" s="140"/>
      <c r="D195" s="140" t="s">
        <v>48</v>
      </c>
      <c r="E195" s="140" t="s">
        <v>188</v>
      </c>
      <c r="F195" s="140" t="s">
        <v>164</v>
      </c>
      <c r="G195" s="140"/>
      <c r="H195" s="141">
        <v>45869</v>
      </c>
      <c r="I195" s="141">
        <v>46241</v>
      </c>
      <c r="J195" s="140"/>
      <c r="K195" s="143"/>
    </row>
    <row r="196" ht="58" hidden="1" customHeight="1" spans="1:11">
      <c r="A196" s="140" t="s">
        <v>401</v>
      </c>
      <c r="B196" s="140" t="s">
        <v>146</v>
      </c>
      <c r="C196" s="140" t="s">
        <v>456</v>
      </c>
      <c r="D196" s="140" t="s">
        <v>457</v>
      </c>
      <c r="E196" s="140" t="s">
        <v>163</v>
      </c>
      <c r="F196" s="140" t="s">
        <v>16</v>
      </c>
      <c r="G196" s="140"/>
      <c r="H196" s="141">
        <v>46070</v>
      </c>
      <c r="I196" s="141">
        <v>46198</v>
      </c>
      <c r="J196" s="140" t="s">
        <v>142</v>
      </c>
      <c r="K196" s="143"/>
    </row>
    <row r="197" hidden="1" spans="1:11">
      <c r="A197" s="140" t="s">
        <v>401</v>
      </c>
      <c r="B197" s="140" t="s">
        <v>458</v>
      </c>
      <c r="C197" s="140" t="s">
        <v>459</v>
      </c>
      <c r="D197" s="140" t="s">
        <v>457</v>
      </c>
      <c r="E197" s="140" t="s">
        <v>163</v>
      </c>
      <c r="F197" s="140" t="s">
        <v>16</v>
      </c>
      <c r="G197" s="140"/>
      <c r="H197" s="141">
        <v>46119</v>
      </c>
      <c r="I197" s="141">
        <v>46219</v>
      </c>
      <c r="J197" s="140" t="s">
        <v>298</v>
      </c>
      <c r="K197" s="143"/>
    </row>
    <row r="198" ht="29" hidden="1" customHeight="1" spans="1:11">
      <c r="A198" s="140" t="s">
        <v>218</v>
      </c>
      <c r="B198" s="140" t="s">
        <v>460</v>
      </c>
      <c r="C198" s="140"/>
      <c r="D198" s="140" t="s">
        <v>434</v>
      </c>
      <c r="E198" s="140" t="s">
        <v>188</v>
      </c>
      <c r="F198" s="140" t="s">
        <v>164</v>
      </c>
      <c r="G198" s="146" t="s">
        <v>461</v>
      </c>
      <c r="H198" s="141">
        <v>45869</v>
      </c>
      <c r="I198" s="141">
        <v>46241</v>
      </c>
      <c r="J198" s="140"/>
      <c r="K198" s="143" t="s">
        <v>462</v>
      </c>
    </row>
    <row r="199" hidden="1" spans="1:11">
      <c r="A199" s="140" t="s">
        <v>401</v>
      </c>
      <c r="B199" s="140" t="s">
        <v>463</v>
      </c>
      <c r="C199" s="140" t="s">
        <v>464</v>
      </c>
      <c r="D199" s="140" t="s">
        <v>48</v>
      </c>
      <c r="E199" s="140" t="s">
        <v>163</v>
      </c>
      <c r="F199" s="140" t="s">
        <v>16</v>
      </c>
      <c r="G199" s="140"/>
      <c r="H199" s="141">
        <v>46143</v>
      </c>
      <c r="I199" s="141">
        <v>46182</v>
      </c>
      <c r="J199" s="140" t="s">
        <v>175</v>
      </c>
      <c r="K199" s="143"/>
    </row>
    <row r="200" hidden="1" spans="1:11">
      <c r="A200" s="140" t="s">
        <v>401</v>
      </c>
      <c r="B200" s="140" t="s">
        <v>463</v>
      </c>
      <c r="C200" s="140" t="s">
        <v>465</v>
      </c>
      <c r="D200" s="140" t="s">
        <v>48</v>
      </c>
      <c r="E200" s="140" t="s">
        <v>163</v>
      </c>
      <c r="F200" s="140" t="s">
        <v>16</v>
      </c>
      <c r="G200" s="140"/>
      <c r="H200" s="141">
        <v>46143</v>
      </c>
      <c r="I200" s="141">
        <v>46185</v>
      </c>
      <c r="J200" s="140" t="s">
        <v>175</v>
      </c>
      <c r="K200" s="143"/>
    </row>
    <row r="201" ht="29" hidden="1" customHeight="1" spans="1:11">
      <c r="A201" s="140" t="s">
        <v>401</v>
      </c>
      <c r="B201" s="140" t="s">
        <v>133</v>
      </c>
      <c r="C201" s="140" t="s">
        <v>466</v>
      </c>
      <c r="D201" s="140" t="s">
        <v>457</v>
      </c>
      <c r="E201" s="140" t="s">
        <v>163</v>
      </c>
      <c r="F201" s="140" t="s">
        <v>16</v>
      </c>
      <c r="G201" s="140"/>
      <c r="H201" s="141">
        <v>46143</v>
      </c>
      <c r="I201" s="141">
        <v>46212</v>
      </c>
      <c r="J201" s="140" t="s">
        <v>142</v>
      </c>
      <c r="K201" s="143"/>
    </row>
    <row r="202" ht="72" customHeight="1" spans="1:11">
      <c r="A202" s="140" t="s">
        <v>401</v>
      </c>
      <c r="B202" s="140" t="s">
        <v>458</v>
      </c>
      <c r="C202" s="140" t="s">
        <v>467</v>
      </c>
      <c r="D202" s="140" t="s">
        <v>457</v>
      </c>
      <c r="E202" s="140" t="s">
        <v>163</v>
      </c>
      <c r="F202" s="140" t="s">
        <v>164</v>
      </c>
      <c r="G202" s="140"/>
      <c r="H202" s="141">
        <v>46133</v>
      </c>
      <c r="I202" s="141">
        <v>46241</v>
      </c>
      <c r="J202" s="140" t="s">
        <v>298</v>
      </c>
      <c r="K202" s="143"/>
    </row>
    <row r="203" hidden="1" spans="1:11">
      <c r="A203" s="140" t="s">
        <v>401</v>
      </c>
      <c r="B203" s="140" t="s">
        <v>468</v>
      </c>
      <c r="C203" s="140" t="s">
        <v>469</v>
      </c>
      <c r="D203" s="140" t="s">
        <v>457</v>
      </c>
      <c r="E203" s="140" t="s">
        <v>163</v>
      </c>
      <c r="F203" s="140" t="s">
        <v>16</v>
      </c>
      <c r="G203" s="140"/>
      <c r="H203" s="141">
        <v>46143</v>
      </c>
      <c r="I203" s="141">
        <v>46182</v>
      </c>
      <c r="J203" s="140" t="s">
        <v>175</v>
      </c>
      <c r="K203" s="143" t="s">
        <v>470</v>
      </c>
    </row>
    <row r="204" ht="29" hidden="1" customHeight="1" spans="1:11">
      <c r="A204" s="140" t="s">
        <v>401</v>
      </c>
      <c r="B204" s="140" t="s">
        <v>471</v>
      </c>
      <c r="C204" s="140" t="s">
        <v>472</v>
      </c>
      <c r="D204" s="140" t="s">
        <v>266</v>
      </c>
      <c r="E204" s="140" t="s">
        <v>163</v>
      </c>
      <c r="F204" s="140" t="s">
        <v>141</v>
      </c>
      <c r="G204" s="140" t="s">
        <v>473</v>
      </c>
      <c r="H204" s="141">
        <v>46228</v>
      </c>
      <c r="I204" s="141">
        <v>46238</v>
      </c>
      <c r="J204" s="140" t="s">
        <v>208</v>
      </c>
      <c r="K204" s="143"/>
    </row>
    <row r="205" ht="29" hidden="1" customHeight="1" spans="1:11">
      <c r="A205" s="140" t="s">
        <v>401</v>
      </c>
      <c r="B205" s="140" t="s">
        <v>458</v>
      </c>
      <c r="C205" s="140" t="s">
        <v>474</v>
      </c>
      <c r="D205" s="140" t="s">
        <v>457</v>
      </c>
      <c r="E205" s="140" t="s">
        <v>163</v>
      </c>
      <c r="F205" s="140" t="s">
        <v>16</v>
      </c>
      <c r="G205" s="140"/>
      <c r="H205" s="141">
        <v>46150</v>
      </c>
      <c r="I205" s="141">
        <v>46204</v>
      </c>
      <c r="J205" s="140" t="s">
        <v>298</v>
      </c>
      <c r="K205" s="143"/>
    </row>
    <row r="206" ht="44" customHeight="1" spans="1:11">
      <c r="A206" s="140" t="s">
        <v>401</v>
      </c>
      <c r="B206" s="140" t="s">
        <v>458</v>
      </c>
      <c r="C206" s="144" t="s">
        <v>475</v>
      </c>
      <c r="D206" s="140" t="s">
        <v>457</v>
      </c>
      <c r="E206" s="140" t="s">
        <v>163</v>
      </c>
      <c r="F206" s="140" t="s">
        <v>164</v>
      </c>
      <c r="G206" s="140"/>
      <c r="H206" s="141">
        <v>46143</v>
      </c>
      <c r="I206" s="141">
        <v>46241</v>
      </c>
      <c r="J206" s="140" t="s">
        <v>156</v>
      </c>
      <c r="K206" s="143" t="s">
        <v>476</v>
      </c>
    </row>
    <row r="207" ht="29" hidden="1" customHeight="1" spans="1:11">
      <c r="A207" s="140" t="s">
        <v>401</v>
      </c>
      <c r="B207" s="140" t="s">
        <v>477</v>
      </c>
      <c r="C207" s="140" t="s">
        <v>478</v>
      </c>
      <c r="D207" s="140" t="s">
        <v>457</v>
      </c>
      <c r="E207" s="140" t="s">
        <v>163</v>
      </c>
      <c r="F207" s="140" t="s">
        <v>16</v>
      </c>
      <c r="G207" s="140"/>
      <c r="H207" s="141">
        <v>46163</v>
      </c>
      <c r="I207" s="141">
        <v>46170</v>
      </c>
      <c r="J207" s="140" t="s">
        <v>175</v>
      </c>
      <c r="K207" s="143"/>
    </row>
    <row r="208" ht="29" hidden="1" customHeight="1" spans="1:11">
      <c r="A208" s="140" t="s">
        <v>159</v>
      </c>
      <c r="B208" s="140" t="s">
        <v>153</v>
      </c>
      <c r="C208" s="140" t="s">
        <v>479</v>
      </c>
      <c r="D208" s="140" t="s">
        <v>48</v>
      </c>
      <c r="E208" s="140" t="s">
        <v>163</v>
      </c>
      <c r="F208" s="140" t="s">
        <v>16</v>
      </c>
      <c r="G208" s="140"/>
      <c r="H208" s="141">
        <v>46167</v>
      </c>
      <c r="I208" s="141">
        <v>46169</v>
      </c>
      <c r="J208" s="140" t="s">
        <v>480</v>
      </c>
      <c r="K208" s="143" t="s">
        <v>481</v>
      </c>
    </row>
    <row r="209" ht="29" hidden="1" customHeight="1" spans="1:11">
      <c r="A209" s="140" t="s">
        <v>159</v>
      </c>
      <c r="B209" s="140" t="s">
        <v>153</v>
      </c>
      <c r="C209" s="140" t="s">
        <v>482</v>
      </c>
      <c r="D209" s="140" t="s">
        <v>48</v>
      </c>
      <c r="E209" s="140" t="s">
        <v>163</v>
      </c>
      <c r="F209" s="140" t="s">
        <v>16</v>
      </c>
      <c r="G209" s="140"/>
      <c r="H209" s="141">
        <v>46167</v>
      </c>
      <c r="I209" s="141">
        <v>46169</v>
      </c>
      <c r="J209" s="140" t="s">
        <v>156</v>
      </c>
      <c r="K209" s="143"/>
    </row>
    <row r="210" ht="44" hidden="1" customHeight="1" spans="1:11">
      <c r="A210" s="140" t="s">
        <v>401</v>
      </c>
      <c r="B210" s="140" t="s">
        <v>483</v>
      </c>
      <c r="C210" s="144" t="s">
        <v>484</v>
      </c>
      <c r="D210" s="140" t="s">
        <v>48</v>
      </c>
      <c r="E210" s="140" t="s">
        <v>163</v>
      </c>
      <c r="F210" s="140" t="s">
        <v>16</v>
      </c>
      <c r="G210" s="140" t="s">
        <v>485</v>
      </c>
      <c r="H210" s="141">
        <v>46170</v>
      </c>
      <c r="I210" s="141">
        <v>46205</v>
      </c>
      <c r="J210" s="140" t="s">
        <v>156</v>
      </c>
      <c r="K210" s="143" t="s">
        <v>483</v>
      </c>
    </row>
    <row r="211" ht="44" hidden="1" customHeight="1" spans="1:11">
      <c r="A211" s="140" t="s">
        <v>401</v>
      </c>
      <c r="B211" s="140" t="s">
        <v>486</v>
      </c>
      <c r="C211" s="144" t="s">
        <v>487</v>
      </c>
      <c r="D211" s="140" t="s">
        <v>266</v>
      </c>
      <c r="E211" s="140" t="s">
        <v>163</v>
      </c>
      <c r="F211" s="140" t="s">
        <v>16</v>
      </c>
      <c r="G211" s="140"/>
      <c r="H211" s="141">
        <v>46174</v>
      </c>
      <c r="I211" s="141">
        <v>46220</v>
      </c>
      <c r="J211" s="140" t="s">
        <v>208</v>
      </c>
      <c r="K211" s="143"/>
    </row>
    <row r="212" hidden="1" spans="1:11">
      <c r="A212" s="140" t="s">
        <v>401</v>
      </c>
      <c r="B212" s="140" t="s">
        <v>488</v>
      </c>
      <c r="C212" s="140" t="s">
        <v>489</v>
      </c>
      <c r="D212" s="140" t="s">
        <v>162</v>
      </c>
      <c r="E212" s="140" t="s">
        <v>163</v>
      </c>
      <c r="F212" s="140" t="s">
        <v>16</v>
      </c>
      <c r="G212" s="140"/>
      <c r="H212" s="141">
        <v>46176</v>
      </c>
      <c r="I212" s="141">
        <v>46182</v>
      </c>
      <c r="J212" s="140" t="s">
        <v>208</v>
      </c>
      <c r="K212" s="143" t="s">
        <v>488</v>
      </c>
    </row>
    <row r="213" hidden="1" spans="1:11">
      <c r="A213" s="140" t="s">
        <v>401</v>
      </c>
      <c r="B213" s="140" t="s">
        <v>490</v>
      </c>
      <c r="C213" s="140" t="s">
        <v>491</v>
      </c>
      <c r="D213" s="140" t="s">
        <v>48</v>
      </c>
      <c r="E213" s="140" t="s">
        <v>163</v>
      </c>
      <c r="F213" s="140" t="s">
        <v>16</v>
      </c>
      <c r="G213" s="140"/>
      <c r="H213" s="141">
        <v>46178</v>
      </c>
      <c r="I213" s="141">
        <v>46181</v>
      </c>
      <c r="J213" s="140"/>
      <c r="K213" s="143"/>
    </row>
    <row r="214" ht="29" hidden="1" customHeight="1" spans="1:11">
      <c r="A214" s="140" t="s">
        <v>218</v>
      </c>
      <c r="B214" s="140" t="s">
        <v>492</v>
      </c>
      <c r="C214" s="140"/>
      <c r="D214" s="140" t="s">
        <v>434</v>
      </c>
      <c r="E214" s="140" t="s">
        <v>188</v>
      </c>
      <c r="F214" s="140" t="s">
        <v>327</v>
      </c>
      <c r="G214" s="140"/>
      <c r="H214" s="141">
        <v>45869</v>
      </c>
      <c r="I214" s="141">
        <v>46241</v>
      </c>
      <c r="J214" s="140"/>
      <c r="K214" s="143" t="s">
        <v>493</v>
      </c>
    </row>
    <row r="215" ht="29" hidden="1" customHeight="1" spans="1:11">
      <c r="A215" s="140" t="s">
        <v>159</v>
      </c>
      <c r="B215" s="140"/>
      <c r="C215" s="140" t="s">
        <v>494</v>
      </c>
      <c r="D215" s="140" t="s">
        <v>266</v>
      </c>
      <c r="E215" s="140" t="s">
        <v>163</v>
      </c>
      <c r="F215" s="140" t="s">
        <v>16</v>
      </c>
      <c r="G215" s="140"/>
      <c r="H215" s="141">
        <v>46179</v>
      </c>
      <c r="I215" s="141">
        <v>46181</v>
      </c>
      <c r="J215" s="140" t="s">
        <v>224</v>
      </c>
      <c r="K215" s="143"/>
    </row>
    <row r="216" ht="29" hidden="1" customHeight="1" spans="1:11">
      <c r="A216" s="140" t="s">
        <v>401</v>
      </c>
      <c r="B216" s="140" t="s">
        <v>495</v>
      </c>
      <c r="C216" s="140" t="s">
        <v>496</v>
      </c>
      <c r="D216" s="140" t="s">
        <v>48</v>
      </c>
      <c r="E216" s="140" t="s">
        <v>163</v>
      </c>
      <c r="F216" s="140" t="s">
        <v>16</v>
      </c>
      <c r="G216" s="140"/>
      <c r="H216" s="141">
        <v>46181</v>
      </c>
      <c r="I216" s="141">
        <v>46181</v>
      </c>
      <c r="J216" s="140"/>
      <c r="K216" s="143"/>
    </row>
    <row r="217" ht="29" hidden="1" customHeight="1" spans="1:11">
      <c r="A217" s="140" t="s">
        <v>401</v>
      </c>
      <c r="B217" s="140" t="s">
        <v>495</v>
      </c>
      <c r="C217" s="140" t="s">
        <v>497</v>
      </c>
      <c r="D217" s="140" t="s">
        <v>48</v>
      </c>
      <c r="E217" s="140" t="s">
        <v>163</v>
      </c>
      <c r="F217" s="140" t="s">
        <v>16</v>
      </c>
      <c r="G217" s="140"/>
      <c r="H217" s="141">
        <v>46181</v>
      </c>
      <c r="I217" s="141">
        <v>46181</v>
      </c>
      <c r="J217" s="140"/>
      <c r="K217" s="143"/>
    </row>
    <row r="218" ht="29" hidden="1" customHeight="1" spans="1:11">
      <c r="A218" s="140" t="s">
        <v>401</v>
      </c>
      <c r="B218" s="140" t="s">
        <v>495</v>
      </c>
      <c r="C218" s="140" t="s">
        <v>498</v>
      </c>
      <c r="D218" s="140" t="s">
        <v>48</v>
      </c>
      <c r="E218" s="140" t="s">
        <v>163</v>
      </c>
      <c r="F218" s="140" t="s">
        <v>16</v>
      </c>
      <c r="G218" s="140"/>
      <c r="H218" s="141">
        <v>46181</v>
      </c>
      <c r="I218" s="141">
        <v>46181</v>
      </c>
      <c r="J218" s="140"/>
      <c r="K218" s="143"/>
    </row>
    <row r="219" hidden="1" spans="1:11">
      <c r="A219" s="140" t="s">
        <v>401</v>
      </c>
      <c r="B219" s="140" t="s">
        <v>495</v>
      </c>
      <c r="C219" s="140" t="s">
        <v>499</v>
      </c>
      <c r="D219" s="140" t="s">
        <v>48</v>
      </c>
      <c r="E219" s="140" t="s">
        <v>163</v>
      </c>
      <c r="F219" s="140" t="s">
        <v>16</v>
      </c>
      <c r="G219" s="140"/>
      <c r="H219" s="141">
        <v>46181</v>
      </c>
      <c r="I219" s="141">
        <v>46181</v>
      </c>
      <c r="J219" s="140"/>
      <c r="K219" s="143"/>
    </row>
    <row r="220" hidden="1" spans="1:11">
      <c r="A220" s="140" t="s">
        <v>401</v>
      </c>
      <c r="B220" s="140" t="s">
        <v>495</v>
      </c>
      <c r="C220" s="140" t="s">
        <v>500</v>
      </c>
      <c r="D220" s="140" t="s">
        <v>48</v>
      </c>
      <c r="E220" s="140" t="s">
        <v>163</v>
      </c>
      <c r="F220" s="140" t="s">
        <v>16</v>
      </c>
      <c r="G220" s="140"/>
      <c r="H220" s="141">
        <v>46181</v>
      </c>
      <c r="I220" s="141">
        <v>46181</v>
      </c>
      <c r="J220" s="140"/>
      <c r="K220" s="143"/>
    </row>
    <row r="221" ht="29" hidden="1" customHeight="1" spans="1:11">
      <c r="A221" s="140" t="s">
        <v>401</v>
      </c>
      <c r="B221" s="140" t="s">
        <v>495</v>
      </c>
      <c r="C221" s="140" t="s">
        <v>501</v>
      </c>
      <c r="D221" s="140" t="s">
        <v>48</v>
      </c>
      <c r="E221" s="140" t="s">
        <v>163</v>
      </c>
      <c r="F221" s="140" t="s">
        <v>16</v>
      </c>
      <c r="G221" s="140"/>
      <c r="H221" s="141">
        <v>46181</v>
      </c>
      <c r="I221" s="141">
        <v>46181</v>
      </c>
      <c r="J221" s="140"/>
      <c r="K221" s="143"/>
    </row>
    <row r="222" ht="29" hidden="1" customHeight="1" spans="1:11">
      <c r="A222" s="140" t="s">
        <v>401</v>
      </c>
      <c r="B222" s="140" t="s">
        <v>495</v>
      </c>
      <c r="C222" s="140" t="s">
        <v>502</v>
      </c>
      <c r="D222" s="140" t="s">
        <v>48</v>
      </c>
      <c r="E222" s="140" t="s">
        <v>163</v>
      </c>
      <c r="F222" s="140" t="s">
        <v>16</v>
      </c>
      <c r="G222" s="140"/>
      <c r="H222" s="141">
        <v>46181</v>
      </c>
      <c r="I222" s="141">
        <v>46181</v>
      </c>
      <c r="J222" s="140"/>
      <c r="K222" s="143"/>
    </row>
    <row r="223" hidden="1" spans="1:11">
      <c r="A223" s="140" t="s">
        <v>401</v>
      </c>
      <c r="B223" s="140" t="s">
        <v>495</v>
      </c>
      <c r="C223" s="140" t="s">
        <v>503</v>
      </c>
      <c r="D223" s="140" t="s">
        <v>48</v>
      </c>
      <c r="E223" s="140" t="s">
        <v>163</v>
      </c>
      <c r="F223" s="140" t="s">
        <v>16</v>
      </c>
      <c r="G223" s="140"/>
      <c r="H223" s="141">
        <v>46181</v>
      </c>
      <c r="I223" s="141">
        <v>46181</v>
      </c>
      <c r="J223" s="140"/>
      <c r="K223" s="143"/>
    </row>
    <row r="224" ht="29" hidden="1" customHeight="1" spans="1:11">
      <c r="A224" s="140" t="s">
        <v>401</v>
      </c>
      <c r="B224" s="140" t="s">
        <v>495</v>
      </c>
      <c r="C224" s="140" t="s">
        <v>504</v>
      </c>
      <c r="D224" s="140" t="s">
        <v>48</v>
      </c>
      <c r="E224" s="140" t="s">
        <v>163</v>
      </c>
      <c r="F224" s="140" t="s">
        <v>16</v>
      </c>
      <c r="G224" s="140"/>
      <c r="H224" s="141">
        <v>46181</v>
      </c>
      <c r="I224" s="141">
        <v>46181</v>
      </c>
      <c r="J224" s="140"/>
      <c r="K224" s="143"/>
    </row>
    <row r="225" ht="44" hidden="1" customHeight="1" spans="1:11">
      <c r="A225" s="140" t="s">
        <v>401</v>
      </c>
      <c r="B225" s="140" t="s">
        <v>495</v>
      </c>
      <c r="C225" s="140" t="s">
        <v>505</v>
      </c>
      <c r="D225" s="140" t="s">
        <v>48</v>
      </c>
      <c r="E225" s="140" t="s">
        <v>163</v>
      </c>
      <c r="F225" s="140" t="s">
        <v>16</v>
      </c>
      <c r="G225" s="140"/>
      <c r="H225" s="141">
        <v>46181</v>
      </c>
      <c r="I225" s="141">
        <v>46181</v>
      </c>
      <c r="J225" s="140"/>
      <c r="K225" s="143"/>
    </row>
    <row r="226" hidden="1" spans="1:11">
      <c r="A226" s="140" t="s">
        <v>401</v>
      </c>
      <c r="B226" s="140" t="s">
        <v>506</v>
      </c>
      <c r="C226" s="147" t="s">
        <v>507</v>
      </c>
      <c r="D226" s="140" t="s">
        <v>48</v>
      </c>
      <c r="E226" s="140" t="s">
        <v>163</v>
      </c>
      <c r="F226" s="140" t="s">
        <v>16</v>
      </c>
      <c r="G226" s="140"/>
      <c r="H226" s="141">
        <v>46181</v>
      </c>
      <c r="I226" s="141">
        <v>46182</v>
      </c>
      <c r="J226" s="140" t="s">
        <v>175</v>
      </c>
      <c r="K226" s="143" t="s">
        <v>506</v>
      </c>
    </row>
    <row r="227" ht="44" hidden="1" customHeight="1" spans="1:11">
      <c r="A227" s="140" t="s">
        <v>401</v>
      </c>
      <c r="B227" s="144" t="s">
        <v>508</v>
      </c>
      <c r="C227" s="140" t="s">
        <v>509</v>
      </c>
      <c r="D227" s="140" t="s">
        <v>48</v>
      </c>
      <c r="E227" s="140" t="s">
        <v>163</v>
      </c>
      <c r="F227" s="140" t="s">
        <v>16</v>
      </c>
      <c r="G227" s="140"/>
      <c r="H227" s="141">
        <v>46181</v>
      </c>
      <c r="I227" s="141">
        <v>46182</v>
      </c>
      <c r="J227" s="140" t="s">
        <v>142</v>
      </c>
      <c r="K227" s="143" t="s">
        <v>510</v>
      </c>
    </row>
    <row r="228" ht="29" hidden="1" customHeight="1" spans="1:11">
      <c r="A228" s="140" t="s">
        <v>401</v>
      </c>
      <c r="B228" s="140" t="s">
        <v>495</v>
      </c>
      <c r="C228" s="140" t="s">
        <v>511</v>
      </c>
      <c r="D228" s="140" t="s">
        <v>48</v>
      </c>
      <c r="E228" s="140" t="s">
        <v>163</v>
      </c>
      <c r="F228" s="140" t="s">
        <v>16</v>
      </c>
      <c r="G228" s="140"/>
      <c r="H228" s="141">
        <v>46181</v>
      </c>
      <c r="I228" s="141">
        <v>46183</v>
      </c>
      <c r="J228" s="140"/>
      <c r="K228" s="143"/>
    </row>
    <row r="229" ht="29" hidden="1" customHeight="1" spans="1:11">
      <c r="A229" s="140" t="s">
        <v>401</v>
      </c>
      <c r="B229" s="144" t="s">
        <v>508</v>
      </c>
      <c r="C229" s="140" t="s">
        <v>512</v>
      </c>
      <c r="D229" s="140" t="s">
        <v>48</v>
      </c>
      <c r="E229" s="140" t="s">
        <v>163</v>
      </c>
      <c r="F229" s="140" t="s">
        <v>16</v>
      </c>
      <c r="G229" s="140"/>
      <c r="H229" s="141">
        <v>46181</v>
      </c>
      <c r="I229" s="141">
        <v>46185</v>
      </c>
      <c r="J229" s="140" t="s">
        <v>142</v>
      </c>
      <c r="K229" s="143" t="s">
        <v>510</v>
      </c>
    </row>
    <row r="230" ht="29" hidden="1" customHeight="1" spans="1:11">
      <c r="A230" s="140" t="s">
        <v>401</v>
      </c>
      <c r="B230" s="140" t="s">
        <v>495</v>
      </c>
      <c r="C230" s="140" t="s">
        <v>513</v>
      </c>
      <c r="D230" s="140" t="s">
        <v>48</v>
      </c>
      <c r="E230" s="140" t="s">
        <v>163</v>
      </c>
      <c r="F230" s="140" t="s">
        <v>16</v>
      </c>
      <c r="G230" s="140"/>
      <c r="H230" s="141">
        <v>46181</v>
      </c>
      <c r="I230" s="141">
        <v>46185</v>
      </c>
      <c r="J230" s="140"/>
      <c r="K230" s="143"/>
    </row>
    <row r="231" ht="29" hidden="1" customHeight="1" spans="1:11">
      <c r="A231" s="140" t="s">
        <v>159</v>
      </c>
      <c r="B231" s="140" t="s">
        <v>495</v>
      </c>
      <c r="C231" s="140" t="s">
        <v>514</v>
      </c>
      <c r="D231" s="140" t="s">
        <v>48</v>
      </c>
      <c r="E231" s="140" t="s">
        <v>163</v>
      </c>
      <c r="F231" s="140" t="s">
        <v>16</v>
      </c>
      <c r="G231" s="140"/>
      <c r="H231" s="141">
        <v>46181</v>
      </c>
      <c r="I231" s="141">
        <v>46192</v>
      </c>
      <c r="J231" s="140" t="s">
        <v>185</v>
      </c>
      <c r="K231" s="143"/>
    </row>
    <row r="232" hidden="1" spans="1:11">
      <c r="A232" s="140" t="s">
        <v>159</v>
      </c>
      <c r="B232" s="140" t="s">
        <v>495</v>
      </c>
      <c r="C232" s="140" t="s">
        <v>515</v>
      </c>
      <c r="D232" s="140" t="s">
        <v>48</v>
      </c>
      <c r="E232" s="140" t="s">
        <v>163</v>
      </c>
      <c r="F232" s="140" t="s">
        <v>16</v>
      </c>
      <c r="G232" s="140"/>
      <c r="H232" s="141">
        <v>46181</v>
      </c>
      <c r="I232" s="141">
        <v>46197</v>
      </c>
      <c r="J232" s="140"/>
      <c r="K232" s="143"/>
    </row>
    <row r="233" ht="29" hidden="1" customHeight="1" spans="1:11">
      <c r="A233" s="140" t="s">
        <v>401</v>
      </c>
      <c r="B233" s="140" t="s">
        <v>495</v>
      </c>
      <c r="C233" s="140" t="s">
        <v>516</v>
      </c>
      <c r="D233" s="140" t="s">
        <v>48</v>
      </c>
      <c r="E233" s="140" t="s">
        <v>163</v>
      </c>
      <c r="F233" s="140" t="s">
        <v>16</v>
      </c>
      <c r="G233" s="140"/>
      <c r="H233" s="141">
        <v>46181</v>
      </c>
      <c r="I233" s="141">
        <v>46182</v>
      </c>
      <c r="J233" s="140"/>
      <c r="K233" s="143"/>
    </row>
    <row r="234" ht="72" hidden="1" customHeight="1" spans="1:11">
      <c r="A234" s="140" t="s">
        <v>401</v>
      </c>
      <c r="B234" s="140" t="s">
        <v>495</v>
      </c>
      <c r="C234" s="148" t="s">
        <v>517</v>
      </c>
      <c r="D234" s="140" t="s">
        <v>48</v>
      </c>
      <c r="E234" s="140" t="s">
        <v>163</v>
      </c>
      <c r="F234" s="140" t="s">
        <v>518</v>
      </c>
      <c r="G234" s="140" t="s">
        <v>519</v>
      </c>
      <c r="H234" s="141">
        <v>46181</v>
      </c>
      <c r="I234" s="141">
        <v>46181</v>
      </c>
      <c r="J234" s="140"/>
      <c r="K234" s="143"/>
    </row>
    <row r="235" ht="87" hidden="1" customHeight="1" spans="1:11">
      <c r="A235" s="140" t="s">
        <v>401</v>
      </c>
      <c r="B235" s="140" t="s">
        <v>495</v>
      </c>
      <c r="C235" s="147" t="s">
        <v>520</v>
      </c>
      <c r="D235" s="140" t="s">
        <v>48</v>
      </c>
      <c r="E235" s="140" t="s">
        <v>163</v>
      </c>
      <c r="F235" s="140" t="s">
        <v>16</v>
      </c>
      <c r="G235" s="140"/>
      <c r="H235" s="141">
        <v>46181</v>
      </c>
      <c r="I235" s="141">
        <v>46203</v>
      </c>
      <c r="J235" s="140" t="s">
        <v>298</v>
      </c>
      <c r="K235" s="143"/>
    </row>
    <row r="236" ht="44" hidden="1" customHeight="1" spans="1:11">
      <c r="A236" s="140" t="s">
        <v>401</v>
      </c>
      <c r="B236" s="140" t="s">
        <v>495</v>
      </c>
      <c r="C236" s="149" t="s">
        <v>521</v>
      </c>
      <c r="D236" s="140" t="s">
        <v>48</v>
      </c>
      <c r="E236" s="140" t="s">
        <v>163</v>
      </c>
      <c r="F236" s="140" t="s">
        <v>16</v>
      </c>
      <c r="G236" s="140"/>
      <c r="H236" s="141">
        <v>46181</v>
      </c>
      <c r="I236" s="141">
        <v>46205</v>
      </c>
      <c r="J236" s="140"/>
      <c r="K236" s="143"/>
    </row>
    <row r="237" ht="29" hidden="1" customHeight="1" spans="1:11">
      <c r="A237" s="140" t="s">
        <v>401</v>
      </c>
      <c r="B237" s="140" t="s">
        <v>495</v>
      </c>
      <c r="C237" s="140" t="s">
        <v>522</v>
      </c>
      <c r="D237" s="140" t="s">
        <v>48</v>
      </c>
      <c r="E237" s="140" t="s">
        <v>163</v>
      </c>
      <c r="F237" s="140" t="s">
        <v>518</v>
      </c>
      <c r="G237" s="140"/>
      <c r="H237" s="141">
        <v>46181</v>
      </c>
      <c r="I237" s="141">
        <v>46181</v>
      </c>
      <c r="J237" s="140"/>
      <c r="K237" s="143"/>
    </row>
    <row r="238" ht="44" hidden="1" customHeight="1" spans="1:11">
      <c r="A238" s="140" t="s">
        <v>401</v>
      </c>
      <c r="B238" s="140" t="s">
        <v>523</v>
      </c>
      <c r="C238" s="147" t="s">
        <v>524</v>
      </c>
      <c r="D238" s="140" t="s">
        <v>48</v>
      </c>
      <c r="E238" s="140" t="s">
        <v>163</v>
      </c>
      <c r="F238" s="140" t="s">
        <v>141</v>
      </c>
      <c r="G238" s="140"/>
      <c r="H238" s="141">
        <v>46182</v>
      </c>
      <c r="I238" s="141">
        <v>46237</v>
      </c>
      <c r="J238" s="140" t="s">
        <v>298</v>
      </c>
      <c r="K238" s="143"/>
    </row>
    <row r="239" ht="29" hidden="1" customHeight="1" spans="1:11">
      <c r="A239" s="140" t="s">
        <v>401</v>
      </c>
      <c r="B239" s="140" t="s">
        <v>523</v>
      </c>
      <c r="C239" s="140" t="s">
        <v>525</v>
      </c>
      <c r="D239" s="140" t="s">
        <v>48</v>
      </c>
      <c r="E239" s="140" t="s">
        <v>163</v>
      </c>
      <c r="F239" s="140" t="s">
        <v>16</v>
      </c>
      <c r="G239" s="140"/>
      <c r="H239" s="141">
        <v>46182</v>
      </c>
      <c r="I239" s="141">
        <v>46182</v>
      </c>
      <c r="J239" s="140"/>
      <c r="K239" s="143"/>
    </row>
    <row r="240" ht="44" hidden="1" customHeight="1" spans="1:11">
      <c r="A240" s="140" t="s">
        <v>401</v>
      </c>
      <c r="B240" s="140" t="s">
        <v>523</v>
      </c>
      <c r="C240" s="147" t="s">
        <v>526</v>
      </c>
      <c r="D240" s="140" t="s">
        <v>48</v>
      </c>
      <c r="E240" s="140" t="s">
        <v>163</v>
      </c>
      <c r="F240" s="140" t="s">
        <v>16</v>
      </c>
      <c r="G240" s="140"/>
      <c r="H240" s="141">
        <v>46182</v>
      </c>
      <c r="I240" s="141">
        <v>46182</v>
      </c>
      <c r="J240" s="140" t="s">
        <v>175</v>
      </c>
      <c r="K240" s="143"/>
    </row>
    <row r="241" ht="29" hidden="1" customHeight="1" spans="1:11">
      <c r="A241" s="140" t="s">
        <v>401</v>
      </c>
      <c r="B241" s="140" t="s">
        <v>523</v>
      </c>
      <c r="C241" s="147" t="s">
        <v>527</v>
      </c>
      <c r="D241" s="140" t="s">
        <v>48</v>
      </c>
      <c r="E241" s="140" t="s">
        <v>163</v>
      </c>
      <c r="F241" s="140" t="s">
        <v>16</v>
      </c>
      <c r="G241" s="140"/>
      <c r="H241" s="141">
        <v>46182</v>
      </c>
      <c r="I241" s="141">
        <v>46182</v>
      </c>
      <c r="J241" s="140" t="s">
        <v>175</v>
      </c>
      <c r="K241" s="143"/>
    </row>
    <row r="242" ht="29" hidden="1" customHeight="1" spans="1:11">
      <c r="A242" s="140" t="s">
        <v>401</v>
      </c>
      <c r="B242" s="144" t="s">
        <v>528</v>
      </c>
      <c r="C242" s="147" t="s">
        <v>529</v>
      </c>
      <c r="D242" s="140" t="s">
        <v>48</v>
      </c>
      <c r="E242" s="140" t="s">
        <v>163</v>
      </c>
      <c r="F242" s="140" t="s">
        <v>16</v>
      </c>
      <c r="G242" s="140"/>
      <c r="H242" s="141">
        <v>46182</v>
      </c>
      <c r="I242" s="141">
        <v>46182</v>
      </c>
      <c r="J242" s="140" t="s">
        <v>175</v>
      </c>
      <c r="K242" s="143" t="s">
        <v>506</v>
      </c>
    </row>
    <row r="243" ht="58" hidden="1" customHeight="1" spans="1:11">
      <c r="A243" s="140" t="s">
        <v>401</v>
      </c>
      <c r="B243" s="140" t="s">
        <v>523</v>
      </c>
      <c r="C243" s="149" t="s">
        <v>530</v>
      </c>
      <c r="D243" s="140" t="s">
        <v>48</v>
      </c>
      <c r="E243" s="140" t="s">
        <v>163</v>
      </c>
      <c r="F243" s="140" t="s">
        <v>16</v>
      </c>
      <c r="G243" s="140"/>
      <c r="H243" s="141">
        <v>46182</v>
      </c>
      <c r="I243" s="141">
        <v>46182</v>
      </c>
      <c r="J243" s="140" t="s">
        <v>175</v>
      </c>
      <c r="K243" s="143"/>
    </row>
    <row r="244" ht="44" hidden="1" customHeight="1" spans="1:11">
      <c r="A244" s="140" t="s">
        <v>401</v>
      </c>
      <c r="B244" s="140" t="s">
        <v>523</v>
      </c>
      <c r="C244" s="147" t="s">
        <v>531</v>
      </c>
      <c r="D244" s="140" t="s">
        <v>48</v>
      </c>
      <c r="E244" s="140" t="s">
        <v>163</v>
      </c>
      <c r="F244" s="140" t="s">
        <v>16</v>
      </c>
      <c r="G244" s="140"/>
      <c r="H244" s="141">
        <v>46182</v>
      </c>
      <c r="I244" s="141">
        <v>46183</v>
      </c>
      <c r="J244" s="140" t="s">
        <v>480</v>
      </c>
      <c r="K244" s="143"/>
    </row>
    <row r="245" ht="44" hidden="1" customHeight="1" spans="1:11">
      <c r="A245" s="140" t="s">
        <v>401</v>
      </c>
      <c r="B245" s="140" t="s">
        <v>523</v>
      </c>
      <c r="C245" s="147" t="s">
        <v>532</v>
      </c>
      <c r="D245" s="140" t="s">
        <v>48</v>
      </c>
      <c r="E245" s="140" t="s">
        <v>163</v>
      </c>
      <c r="F245" s="140" t="s">
        <v>16</v>
      </c>
      <c r="G245" s="140"/>
      <c r="H245" s="141">
        <v>46182</v>
      </c>
      <c r="I245" s="141">
        <v>46183</v>
      </c>
      <c r="J245" s="140" t="s">
        <v>298</v>
      </c>
      <c r="K245" s="143"/>
    </row>
    <row r="246" ht="58" hidden="1" customHeight="1" spans="1:11">
      <c r="A246" s="140" t="s">
        <v>401</v>
      </c>
      <c r="B246" s="140" t="s">
        <v>523</v>
      </c>
      <c r="C246" s="147" t="s">
        <v>533</v>
      </c>
      <c r="D246" s="140" t="s">
        <v>48</v>
      </c>
      <c r="E246" s="140" t="s">
        <v>163</v>
      </c>
      <c r="F246" s="140" t="s">
        <v>16</v>
      </c>
      <c r="G246" s="140"/>
      <c r="H246" s="141">
        <v>46182</v>
      </c>
      <c r="I246" s="141">
        <v>46183</v>
      </c>
      <c r="J246" s="140" t="s">
        <v>298</v>
      </c>
      <c r="K246" s="143"/>
    </row>
    <row r="247" ht="29" hidden="1" customHeight="1" spans="1:11">
      <c r="A247" s="140" t="s">
        <v>401</v>
      </c>
      <c r="B247" s="140" t="s">
        <v>523</v>
      </c>
      <c r="C247" s="147" t="s">
        <v>534</v>
      </c>
      <c r="D247" s="140" t="s">
        <v>48</v>
      </c>
      <c r="E247" s="140" t="s">
        <v>163</v>
      </c>
      <c r="F247" s="140" t="s">
        <v>16</v>
      </c>
      <c r="G247" s="140"/>
      <c r="H247" s="141">
        <v>46182</v>
      </c>
      <c r="I247" s="141">
        <v>46185</v>
      </c>
      <c r="J247" s="140" t="s">
        <v>480</v>
      </c>
      <c r="K247" s="143"/>
    </row>
    <row r="248" ht="44" hidden="1" customHeight="1" spans="1:11">
      <c r="A248" s="140" t="s">
        <v>401</v>
      </c>
      <c r="B248" s="144" t="s">
        <v>535</v>
      </c>
      <c r="C248" s="139" t="s">
        <v>536</v>
      </c>
      <c r="D248" s="140" t="s">
        <v>48</v>
      </c>
      <c r="E248" s="140" t="s">
        <v>163</v>
      </c>
      <c r="F248" s="140" t="s">
        <v>16</v>
      </c>
      <c r="G248" s="140"/>
      <c r="H248" s="141">
        <v>46182</v>
      </c>
      <c r="I248" s="141">
        <v>46188</v>
      </c>
      <c r="J248" s="140" t="s">
        <v>142</v>
      </c>
      <c r="K248" s="143" t="s">
        <v>510</v>
      </c>
    </row>
    <row r="249" ht="58" hidden="1" customHeight="1" spans="1:11">
      <c r="A249" s="140" t="s">
        <v>401</v>
      </c>
      <c r="B249" s="144" t="s">
        <v>535</v>
      </c>
      <c r="C249" s="147" t="s">
        <v>537</v>
      </c>
      <c r="D249" s="140" t="s">
        <v>48</v>
      </c>
      <c r="E249" s="140" t="s">
        <v>163</v>
      </c>
      <c r="F249" s="140" t="s">
        <v>16</v>
      </c>
      <c r="G249" s="140"/>
      <c r="H249" s="141">
        <v>46182</v>
      </c>
      <c r="I249" s="141">
        <v>46188</v>
      </c>
      <c r="J249" s="140" t="s">
        <v>142</v>
      </c>
      <c r="K249" s="143" t="s">
        <v>510</v>
      </c>
    </row>
    <row r="250" ht="58" hidden="1" customHeight="1" spans="1:11">
      <c r="A250" s="140" t="s">
        <v>401</v>
      </c>
      <c r="B250" s="144" t="s">
        <v>535</v>
      </c>
      <c r="C250" s="150" t="s">
        <v>538</v>
      </c>
      <c r="D250" s="140" t="s">
        <v>48</v>
      </c>
      <c r="E250" s="140" t="s">
        <v>163</v>
      </c>
      <c r="F250" s="140" t="s">
        <v>16</v>
      </c>
      <c r="G250" s="140"/>
      <c r="H250" s="141">
        <v>46182</v>
      </c>
      <c r="I250" s="141">
        <v>46188</v>
      </c>
      <c r="J250" s="140" t="s">
        <v>142</v>
      </c>
      <c r="K250" s="143" t="s">
        <v>510</v>
      </c>
    </row>
    <row r="251" ht="29" hidden="1" customHeight="1" spans="1:11">
      <c r="A251" s="140" t="s">
        <v>401</v>
      </c>
      <c r="B251" s="144" t="s">
        <v>535</v>
      </c>
      <c r="C251" s="147" t="s">
        <v>539</v>
      </c>
      <c r="D251" s="140" t="s">
        <v>48</v>
      </c>
      <c r="E251" s="140" t="s">
        <v>163</v>
      </c>
      <c r="F251" s="140" t="s">
        <v>16</v>
      </c>
      <c r="G251" s="140"/>
      <c r="H251" s="141">
        <v>46182</v>
      </c>
      <c r="I251" s="141">
        <v>46188</v>
      </c>
      <c r="J251" s="140"/>
      <c r="K251" s="143" t="s">
        <v>510</v>
      </c>
    </row>
    <row r="252" ht="29" hidden="1" customHeight="1" spans="1:11">
      <c r="A252" s="140" t="s">
        <v>401</v>
      </c>
      <c r="B252" s="144" t="s">
        <v>535</v>
      </c>
      <c r="C252" s="147" t="s">
        <v>540</v>
      </c>
      <c r="D252" s="140" t="s">
        <v>48</v>
      </c>
      <c r="E252" s="140" t="s">
        <v>163</v>
      </c>
      <c r="F252" s="140" t="s">
        <v>16</v>
      </c>
      <c r="G252" s="140"/>
      <c r="H252" s="141">
        <v>46182</v>
      </c>
      <c r="I252" s="141">
        <v>46188</v>
      </c>
      <c r="J252" s="140" t="s">
        <v>142</v>
      </c>
      <c r="K252" s="143" t="s">
        <v>510</v>
      </c>
    </row>
    <row r="253" ht="29" hidden="1" customHeight="1" spans="1:11">
      <c r="A253" s="140" t="s">
        <v>401</v>
      </c>
      <c r="B253" s="144" t="s">
        <v>535</v>
      </c>
      <c r="C253" s="147" t="s">
        <v>541</v>
      </c>
      <c r="D253" s="140" t="s">
        <v>48</v>
      </c>
      <c r="E253" s="140" t="s">
        <v>163</v>
      </c>
      <c r="F253" s="140" t="s">
        <v>16</v>
      </c>
      <c r="G253" s="140"/>
      <c r="H253" s="141">
        <v>46182</v>
      </c>
      <c r="I253" s="141">
        <v>46189</v>
      </c>
      <c r="J253" s="140"/>
      <c r="K253" s="143" t="s">
        <v>510</v>
      </c>
    </row>
    <row r="254" ht="29" hidden="1" customHeight="1" spans="1:11">
      <c r="A254" s="140" t="s">
        <v>401</v>
      </c>
      <c r="B254" s="140" t="s">
        <v>523</v>
      </c>
      <c r="C254" s="147" t="s">
        <v>542</v>
      </c>
      <c r="D254" s="140" t="s">
        <v>48</v>
      </c>
      <c r="E254" s="140" t="s">
        <v>163</v>
      </c>
      <c r="F254" s="140" t="s">
        <v>16</v>
      </c>
      <c r="G254" s="140"/>
      <c r="H254" s="141">
        <v>46182</v>
      </c>
      <c r="I254" s="141">
        <v>46192</v>
      </c>
      <c r="J254" s="140" t="s">
        <v>142</v>
      </c>
      <c r="K254" s="143"/>
    </row>
    <row r="255" hidden="1" spans="1:11">
      <c r="A255" s="140" t="s">
        <v>401</v>
      </c>
      <c r="B255" s="140" t="s">
        <v>543</v>
      </c>
      <c r="C255" s="140" t="s">
        <v>543</v>
      </c>
      <c r="D255" s="140" t="s">
        <v>162</v>
      </c>
      <c r="E255" s="140" t="s">
        <v>163</v>
      </c>
      <c r="F255" s="140" t="s">
        <v>16</v>
      </c>
      <c r="G255" s="140"/>
      <c r="H255" s="141">
        <v>46183</v>
      </c>
      <c r="I255" s="141">
        <v>46204</v>
      </c>
      <c r="J255" s="140" t="s">
        <v>208</v>
      </c>
      <c r="K255" s="143"/>
    </row>
    <row r="256" hidden="1" spans="1:11">
      <c r="A256" s="140" t="s">
        <v>401</v>
      </c>
      <c r="B256" s="140" t="s">
        <v>544</v>
      </c>
      <c r="C256" s="140" t="s">
        <v>545</v>
      </c>
      <c r="D256" s="140" t="s">
        <v>162</v>
      </c>
      <c r="E256" s="140" t="s">
        <v>163</v>
      </c>
      <c r="F256" s="140" t="s">
        <v>16</v>
      </c>
      <c r="G256" s="140"/>
      <c r="H256" s="141">
        <v>46183</v>
      </c>
      <c r="I256" s="141">
        <v>46183</v>
      </c>
      <c r="J256" s="140"/>
      <c r="K256" s="143"/>
    </row>
    <row r="257" hidden="1" spans="1:11">
      <c r="A257" s="140" t="s">
        <v>159</v>
      </c>
      <c r="B257" s="140" t="s">
        <v>546</v>
      </c>
      <c r="C257" s="140" t="s">
        <v>547</v>
      </c>
      <c r="D257" s="140" t="s">
        <v>266</v>
      </c>
      <c r="E257" s="140" t="s">
        <v>163</v>
      </c>
      <c r="F257" s="140" t="s">
        <v>16</v>
      </c>
      <c r="G257" s="140"/>
      <c r="H257" s="141">
        <v>46184</v>
      </c>
      <c r="I257" s="141">
        <v>46213</v>
      </c>
      <c r="J257" s="140" t="s">
        <v>199</v>
      </c>
      <c r="K257" s="143"/>
    </row>
    <row r="258" ht="44" hidden="1" customHeight="1" spans="1:11">
      <c r="A258" s="140" t="s">
        <v>401</v>
      </c>
      <c r="B258" s="140" t="s">
        <v>548</v>
      </c>
      <c r="C258" s="144" t="s">
        <v>549</v>
      </c>
      <c r="D258" s="140" t="s">
        <v>324</v>
      </c>
      <c r="E258" s="140" t="s">
        <v>163</v>
      </c>
      <c r="F258" s="140" t="s">
        <v>16</v>
      </c>
      <c r="G258" s="140"/>
      <c r="H258" s="141">
        <v>46184</v>
      </c>
      <c r="I258" s="141">
        <v>46188</v>
      </c>
      <c r="J258" s="140" t="s">
        <v>298</v>
      </c>
      <c r="K258" s="143" t="s">
        <v>548</v>
      </c>
    </row>
    <row r="259" ht="72" hidden="1" customHeight="1" spans="1:11">
      <c r="A259" s="140" t="s">
        <v>401</v>
      </c>
      <c r="B259" s="140" t="s">
        <v>550</v>
      </c>
      <c r="C259" s="144" t="s">
        <v>551</v>
      </c>
      <c r="D259" s="140" t="s">
        <v>324</v>
      </c>
      <c r="E259" s="140" t="s">
        <v>163</v>
      </c>
      <c r="F259" s="140" t="s">
        <v>16</v>
      </c>
      <c r="G259" s="140"/>
      <c r="H259" s="141">
        <v>46188</v>
      </c>
      <c r="I259" s="141">
        <v>46189</v>
      </c>
      <c r="J259" s="140"/>
      <c r="K259" s="143"/>
    </row>
    <row r="260" ht="29" customHeight="1" spans="1:11">
      <c r="A260" s="140" t="s">
        <v>401</v>
      </c>
      <c r="B260" s="140" t="s">
        <v>552</v>
      </c>
      <c r="C260" s="140" t="s">
        <v>553</v>
      </c>
      <c r="D260" s="140" t="s">
        <v>457</v>
      </c>
      <c r="E260" s="140" t="s">
        <v>163</v>
      </c>
      <c r="F260" s="140" t="s">
        <v>164</v>
      </c>
      <c r="G260" s="140" t="s">
        <v>554</v>
      </c>
      <c r="H260" s="141">
        <v>46150</v>
      </c>
      <c r="I260" s="141">
        <v>46241</v>
      </c>
      <c r="J260" s="140"/>
      <c r="K260" s="143"/>
    </row>
    <row r="261" ht="29" customHeight="1" spans="1:11">
      <c r="A261" s="140" t="s">
        <v>159</v>
      </c>
      <c r="B261" s="140" t="s">
        <v>555</v>
      </c>
      <c r="C261" s="140" t="s">
        <v>556</v>
      </c>
      <c r="D261" s="140" t="s">
        <v>48</v>
      </c>
      <c r="E261" s="140" t="s">
        <v>163</v>
      </c>
      <c r="F261" s="140" t="s">
        <v>164</v>
      </c>
      <c r="G261" s="140"/>
      <c r="H261" s="141">
        <v>46188</v>
      </c>
      <c r="I261" s="141">
        <v>46241</v>
      </c>
      <c r="J261" s="140"/>
      <c r="K261" s="143"/>
    </row>
    <row r="262" spans="1:11">
      <c r="A262" s="140" t="s">
        <v>401</v>
      </c>
      <c r="B262" s="140" t="s">
        <v>557</v>
      </c>
      <c r="C262" s="140" t="s">
        <v>558</v>
      </c>
      <c r="D262" s="140" t="s">
        <v>324</v>
      </c>
      <c r="E262" s="140" t="s">
        <v>163</v>
      </c>
      <c r="F262" s="140" t="s">
        <v>164</v>
      </c>
      <c r="G262" s="140"/>
      <c r="H262" s="141">
        <v>46188</v>
      </c>
      <c r="I262" s="141">
        <v>46241</v>
      </c>
      <c r="J262" s="140"/>
      <c r="K262" s="143" t="s">
        <v>557</v>
      </c>
    </row>
    <row r="263" ht="58" customHeight="1" spans="1:11">
      <c r="A263" s="140" t="s">
        <v>401</v>
      </c>
      <c r="B263" s="140" t="s">
        <v>559</v>
      </c>
      <c r="C263" s="140" t="s">
        <v>560</v>
      </c>
      <c r="D263" s="140" t="s">
        <v>324</v>
      </c>
      <c r="E263" s="140" t="s">
        <v>163</v>
      </c>
      <c r="F263" s="140" t="s">
        <v>164</v>
      </c>
      <c r="G263" s="140"/>
      <c r="H263" s="141">
        <v>46188</v>
      </c>
      <c r="I263" s="141">
        <v>46241</v>
      </c>
      <c r="J263" s="140"/>
      <c r="K263" s="143" t="s">
        <v>559</v>
      </c>
    </row>
    <row r="264" ht="29" hidden="1" customHeight="1" spans="1:11">
      <c r="A264" s="140" t="s">
        <v>159</v>
      </c>
      <c r="B264" s="140"/>
      <c r="C264" s="140" t="s">
        <v>561</v>
      </c>
      <c r="D264" s="140" t="s">
        <v>48</v>
      </c>
      <c r="E264" s="140" t="s">
        <v>163</v>
      </c>
      <c r="F264" s="140" t="s">
        <v>16</v>
      </c>
      <c r="G264" s="140"/>
      <c r="H264" s="141">
        <v>46188</v>
      </c>
      <c r="I264" s="141">
        <v>46213</v>
      </c>
      <c r="J264" s="140"/>
      <c r="K264" s="143"/>
    </row>
    <row r="265" ht="58" customHeight="1" spans="1:11">
      <c r="A265" s="140" t="s">
        <v>401</v>
      </c>
      <c r="B265" s="140" t="s">
        <v>562</v>
      </c>
      <c r="C265" s="144" t="s">
        <v>563</v>
      </c>
      <c r="D265" s="140" t="s">
        <v>48</v>
      </c>
      <c r="E265" s="140" t="s">
        <v>163</v>
      </c>
      <c r="F265" s="140" t="s">
        <v>164</v>
      </c>
      <c r="G265" s="140"/>
      <c r="H265" s="141">
        <v>46188</v>
      </c>
      <c r="I265" s="141">
        <v>46241</v>
      </c>
      <c r="J265" s="140"/>
      <c r="K265" s="143"/>
    </row>
    <row r="266" hidden="1" spans="1:11">
      <c r="A266" s="140" t="s">
        <v>401</v>
      </c>
      <c r="B266" s="140" t="s">
        <v>564</v>
      </c>
      <c r="C266" s="140" t="s">
        <v>565</v>
      </c>
      <c r="D266" s="140" t="s">
        <v>48</v>
      </c>
      <c r="E266" s="140" t="s">
        <v>163</v>
      </c>
      <c r="F266" s="140" t="s">
        <v>16</v>
      </c>
      <c r="G266" s="140"/>
      <c r="H266" s="141">
        <v>46191</v>
      </c>
      <c r="I266" s="141">
        <v>46204</v>
      </c>
      <c r="J266" s="140" t="s">
        <v>142</v>
      </c>
      <c r="K266" s="143"/>
    </row>
    <row r="267" ht="29" hidden="1" customHeight="1" spans="1:11">
      <c r="A267" s="140" t="s">
        <v>401</v>
      </c>
      <c r="B267" s="140"/>
      <c r="C267" s="140" t="s">
        <v>566</v>
      </c>
      <c r="D267" s="140" t="s">
        <v>162</v>
      </c>
      <c r="E267" s="140" t="s">
        <v>163</v>
      </c>
      <c r="F267" s="140" t="s">
        <v>16</v>
      </c>
      <c r="G267" s="140"/>
      <c r="H267" s="141">
        <v>46192</v>
      </c>
      <c r="I267" s="141">
        <v>46192</v>
      </c>
      <c r="J267" s="140" t="s">
        <v>269</v>
      </c>
      <c r="K267" s="143"/>
    </row>
    <row r="268" ht="29" hidden="1" customHeight="1" spans="1:11">
      <c r="A268" s="140" t="s">
        <v>401</v>
      </c>
      <c r="B268" s="140" t="s">
        <v>387</v>
      </c>
      <c r="C268" s="140" t="s">
        <v>567</v>
      </c>
      <c r="D268" s="140" t="s">
        <v>162</v>
      </c>
      <c r="E268" s="140" t="s">
        <v>163</v>
      </c>
      <c r="F268" s="140" t="s">
        <v>16</v>
      </c>
      <c r="G268" s="140"/>
      <c r="H268" s="141">
        <v>46192</v>
      </c>
      <c r="I268" s="141">
        <v>46195</v>
      </c>
      <c r="J268" s="140" t="s">
        <v>199</v>
      </c>
      <c r="K268" s="143"/>
    </row>
    <row r="269" ht="29" hidden="1" customHeight="1" spans="1:11">
      <c r="A269" s="140" t="s">
        <v>401</v>
      </c>
      <c r="B269" s="140" t="s">
        <v>568</v>
      </c>
      <c r="C269" s="140" t="s">
        <v>569</v>
      </c>
      <c r="D269" s="140" t="s">
        <v>457</v>
      </c>
      <c r="E269" s="140" t="s">
        <v>163</v>
      </c>
      <c r="F269" s="140" t="s">
        <v>325</v>
      </c>
      <c r="G269" s="140" t="s">
        <v>570</v>
      </c>
      <c r="H269" s="141">
        <v>46178</v>
      </c>
      <c r="I269" s="141">
        <v>46241</v>
      </c>
      <c r="J269" s="140" t="s">
        <v>185</v>
      </c>
      <c r="K269" s="143"/>
    </row>
    <row r="270" spans="1:11">
      <c r="A270" s="140" t="s">
        <v>401</v>
      </c>
      <c r="B270" s="140" t="s">
        <v>571</v>
      </c>
      <c r="C270" s="140" t="s">
        <v>572</v>
      </c>
      <c r="D270" s="140" t="s">
        <v>48</v>
      </c>
      <c r="E270" s="140" t="s">
        <v>163</v>
      </c>
      <c r="F270" s="140" t="s">
        <v>164</v>
      </c>
      <c r="G270" s="140"/>
      <c r="H270" s="141">
        <v>46188</v>
      </c>
      <c r="I270" s="141">
        <v>46241</v>
      </c>
      <c r="J270" s="140"/>
      <c r="K270" s="143"/>
    </row>
    <row r="271" hidden="1" spans="1:11">
      <c r="A271" s="140" t="s">
        <v>159</v>
      </c>
      <c r="B271" s="140" t="s">
        <v>573</v>
      </c>
      <c r="C271" s="140" t="s">
        <v>574</v>
      </c>
      <c r="D271" s="140" t="s">
        <v>162</v>
      </c>
      <c r="E271" s="140" t="s">
        <v>163</v>
      </c>
      <c r="F271" s="140" t="s">
        <v>16</v>
      </c>
      <c r="G271" s="140"/>
      <c r="H271" s="141">
        <v>46195</v>
      </c>
      <c r="I271" s="141">
        <v>46213</v>
      </c>
      <c r="J271" s="140" t="s">
        <v>269</v>
      </c>
      <c r="K271" s="143"/>
    </row>
    <row r="272" hidden="1" spans="1:11">
      <c r="A272" s="140" t="s">
        <v>401</v>
      </c>
      <c r="B272" s="140" t="s">
        <v>575</v>
      </c>
      <c r="C272" s="140" t="s">
        <v>576</v>
      </c>
      <c r="D272" s="140" t="s">
        <v>457</v>
      </c>
      <c r="E272" s="140" t="s">
        <v>163</v>
      </c>
      <c r="F272" s="140" t="s">
        <v>16</v>
      </c>
      <c r="G272" s="140"/>
      <c r="H272" s="141">
        <v>46195</v>
      </c>
      <c r="I272" s="141">
        <v>46204</v>
      </c>
      <c r="J272" s="140" t="s">
        <v>298</v>
      </c>
      <c r="K272" s="143"/>
    </row>
    <row r="273" ht="29" hidden="1" customHeight="1" spans="1:11">
      <c r="A273" s="140" t="s">
        <v>401</v>
      </c>
      <c r="B273" s="140" t="s">
        <v>577</v>
      </c>
      <c r="C273" s="140" t="s">
        <v>578</v>
      </c>
      <c r="D273" s="140" t="s">
        <v>324</v>
      </c>
      <c r="E273" s="140" t="s">
        <v>163</v>
      </c>
      <c r="F273" s="140" t="s">
        <v>16</v>
      </c>
      <c r="G273" s="140"/>
      <c r="H273" s="141">
        <v>46196</v>
      </c>
      <c r="I273" s="141">
        <v>46211</v>
      </c>
      <c r="J273" s="140" t="s">
        <v>208</v>
      </c>
      <c r="K273" s="143"/>
    </row>
    <row r="274" ht="29" hidden="1" customHeight="1" spans="1:11">
      <c r="A274" s="140" t="s">
        <v>401</v>
      </c>
      <c r="B274" s="140" t="s">
        <v>579</v>
      </c>
      <c r="C274" s="140" t="s">
        <v>580</v>
      </c>
      <c r="D274" s="140" t="s">
        <v>457</v>
      </c>
      <c r="E274" s="140" t="s">
        <v>163</v>
      </c>
      <c r="F274" s="140" t="s">
        <v>16</v>
      </c>
      <c r="G274" s="140"/>
      <c r="H274" s="141">
        <v>46196</v>
      </c>
      <c r="I274" s="141">
        <v>46233</v>
      </c>
      <c r="J274" s="140" t="s">
        <v>142</v>
      </c>
      <c r="K274" s="143"/>
    </row>
    <row r="275" ht="29" hidden="1" customHeight="1" spans="1:11">
      <c r="A275" s="140" t="s">
        <v>401</v>
      </c>
      <c r="B275" s="140" t="s">
        <v>579</v>
      </c>
      <c r="C275" s="140" t="s">
        <v>581</v>
      </c>
      <c r="D275" s="140" t="s">
        <v>457</v>
      </c>
      <c r="E275" s="140" t="s">
        <v>163</v>
      </c>
      <c r="F275" s="140" t="s">
        <v>16</v>
      </c>
      <c r="G275" s="140"/>
      <c r="H275" s="141">
        <v>46196</v>
      </c>
      <c r="I275" s="141">
        <v>46204</v>
      </c>
      <c r="J275" s="140" t="s">
        <v>175</v>
      </c>
      <c r="K275" s="143"/>
    </row>
    <row r="276" hidden="1" spans="1:11">
      <c r="A276" s="140" t="s">
        <v>401</v>
      </c>
      <c r="B276" s="140" t="s">
        <v>579</v>
      </c>
      <c r="C276" s="140" t="s">
        <v>582</v>
      </c>
      <c r="D276" s="140" t="s">
        <v>457</v>
      </c>
      <c r="E276" s="140" t="s">
        <v>163</v>
      </c>
      <c r="F276" s="140" t="s">
        <v>16</v>
      </c>
      <c r="G276" s="140"/>
      <c r="H276" s="141">
        <v>46196</v>
      </c>
      <c r="I276" s="141">
        <v>46204</v>
      </c>
      <c r="J276" s="140" t="s">
        <v>175</v>
      </c>
      <c r="K276" s="143"/>
    </row>
    <row r="277" hidden="1" spans="1:11">
      <c r="A277" s="140" t="s">
        <v>401</v>
      </c>
      <c r="B277" s="140" t="s">
        <v>579</v>
      </c>
      <c r="C277" s="140" t="s">
        <v>583</v>
      </c>
      <c r="D277" s="140" t="s">
        <v>457</v>
      </c>
      <c r="E277" s="140" t="s">
        <v>163</v>
      </c>
      <c r="F277" s="140" t="s">
        <v>16</v>
      </c>
      <c r="G277" s="140"/>
      <c r="H277" s="141">
        <v>46196</v>
      </c>
      <c r="I277" s="141">
        <v>46204</v>
      </c>
      <c r="J277" s="140" t="s">
        <v>175</v>
      </c>
      <c r="K277" s="143"/>
    </row>
    <row r="278" hidden="1" spans="1:11">
      <c r="A278" s="140" t="s">
        <v>401</v>
      </c>
      <c r="B278" s="140" t="s">
        <v>579</v>
      </c>
      <c r="C278" s="140" t="s">
        <v>584</v>
      </c>
      <c r="D278" s="140" t="s">
        <v>457</v>
      </c>
      <c r="E278" s="140" t="s">
        <v>163</v>
      </c>
      <c r="F278" s="140" t="s">
        <v>16</v>
      </c>
      <c r="G278" s="140"/>
      <c r="H278" s="141">
        <v>46196</v>
      </c>
      <c r="I278" s="141">
        <v>46204</v>
      </c>
      <c r="J278" s="140" t="s">
        <v>175</v>
      </c>
      <c r="K278" s="143"/>
    </row>
    <row r="279" hidden="1" spans="1:11">
      <c r="A279" s="140" t="s">
        <v>401</v>
      </c>
      <c r="B279" s="140" t="s">
        <v>579</v>
      </c>
      <c r="C279" s="140" t="s">
        <v>585</v>
      </c>
      <c r="D279" s="140" t="s">
        <v>457</v>
      </c>
      <c r="E279" s="140" t="s">
        <v>163</v>
      </c>
      <c r="F279" s="140" t="s">
        <v>16</v>
      </c>
      <c r="G279" s="140"/>
      <c r="H279" s="141">
        <v>46196</v>
      </c>
      <c r="I279" s="141">
        <v>46204</v>
      </c>
      <c r="J279" s="140" t="s">
        <v>175</v>
      </c>
      <c r="K279" s="143"/>
    </row>
    <row r="280" hidden="1" spans="1:11">
      <c r="A280" s="140" t="s">
        <v>401</v>
      </c>
      <c r="B280" s="140" t="s">
        <v>579</v>
      </c>
      <c r="C280" s="140" t="s">
        <v>586</v>
      </c>
      <c r="D280" s="140" t="s">
        <v>457</v>
      </c>
      <c r="E280" s="140" t="s">
        <v>163</v>
      </c>
      <c r="F280" s="140" t="s">
        <v>16</v>
      </c>
      <c r="G280" s="140"/>
      <c r="H280" s="141">
        <v>46196</v>
      </c>
      <c r="I280" s="141">
        <v>46204</v>
      </c>
      <c r="J280" s="140" t="s">
        <v>175</v>
      </c>
      <c r="K280" s="143"/>
    </row>
    <row r="281" hidden="1" spans="1:11">
      <c r="A281" s="140" t="s">
        <v>401</v>
      </c>
      <c r="B281" s="140" t="s">
        <v>579</v>
      </c>
      <c r="C281" s="140" t="s">
        <v>587</v>
      </c>
      <c r="D281" s="140" t="s">
        <v>457</v>
      </c>
      <c r="E281" s="140" t="s">
        <v>163</v>
      </c>
      <c r="F281" s="140" t="s">
        <v>16</v>
      </c>
      <c r="G281" s="140"/>
      <c r="H281" s="141">
        <v>46196</v>
      </c>
      <c r="I281" s="141">
        <v>46210</v>
      </c>
      <c r="J281" s="140" t="s">
        <v>175</v>
      </c>
      <c r="K281" s="143"/>
    </row>
    <row r="282" ht="29" hidden="1" customHeight="1" spans="1:11">
      <c r="A282" s="140" t="s">
        <v>401</v>
      </c>
      <c r="B282" s="140" t="s">
        <v>579</v>
      </c>
      <c r="C282" s="140" t="s">
        <v>588</v>
      </c>
      <c r="D282" s="140" t="s">
        <v>457</v>
      </c>
      <c r="E282" s="140" t="s">
        <v>163</v>
      </c>
      <c r="F282" s="140" t="s">
        <v>16</v>
      </c>
      <c r="G282" s="140"/>
      <c r="H282" s="141">
        <v>46196</v>
      </c>
      <c r="I282" s="141">
        <v>46211</v>
      </c>
      <c r="J282" s="140" t="s">
        <v>175</v>
      </c>
      <c r="K282" s="143"/>
    </row>
    <row r="283" hidden="1" spans="1:11">
      <c r="A283" s="140" t="s">
        <v>401</v>
      </c>
      <c r="B283" s="140" t="s">
        <v>579</v>
      </c>
      <c r="C283" s="140" t="s">
        <v>589</v>
      </c>
      <c r="D283" s="140" t="s">
        <v>457</v>
      </c>
      <c r="E283" s="140" t="s">
        <v>163</v>
      </c>
      <c r="F283" s="140" t="s">
        <v>16</v>
      </c>
      <c r="G283" s="140"/>
      <c r="H283" s="141">
        <v>46196</v>
      </c>
      <c r="I283" s="141">
        <v>46211</v>
      </c>
      <c r="J283" s="140" t="s">
        <v>175</v>
      </c>
      <c r="K283" s="143"/>
    </row>
    <row r="284" ht="29" hidden="1" customHeight="1" spans="1:11">
      <c r="A284" s="140" t="s">
        <v>401</v>
      </c>
      <c r="B284" s="140" t="s">
        <v>579</v>
      </c>
      <c r="C284" s="140" t="s">
        <v>590</v>
      </c>
      <c r="D284" s="140" t="s">
        <v>457</v>
      </c>
      <c r="E284" s="140" t="s">
        <v>163</v>
      </c>
      <c r="F284" s="140" t="s">
        <v>16</v>
      </c>
      <c r="G284" s="140"/>
      <c r="H284" s="141">
        <v>46196</v>
      </c>
      <c r="I284" s="141">
        <v>46217</v>
      </c>
      <c r="J284" s="140" t="s">
        <v>142</v>
      </c>
      <c r="K284" s="143"/>
    </row>
    <row r="285" hidden="1" spans="1:11">
      <c r="A285" s="140" t="s">
        <v>401</v>
      </c>
      <c r="B285" s="140" t="s">
        <v>579</v>
      </c>
      <c r="C285" s="140" t="s">
        <v>591</v>
      </c>
      <c r="D285" s="140" t="s">
        <v>457</v>
      </c>
      <c r="E285" s="140" t="s">
        <v>163</v>
      </c>
      <c r="F285" s="140" t="s">
        <v>16</v>
      </c>
      <c r="G285" s="140"/>
      <c r="H285" s="141">
        <v>46196</v>
      </c>
      <c r="I285" s="141">
        <v>46217</v>
      </c>
      <c r="J285" s="140" t="s">
        <v>142</v>
      </c>
      <c r="K285" s="143"/>
    </row>
    <row r="286" spans="1:11">
      <c r="A286" s="140" t="s">
        <v>401</v>
      </c>
      <c r="B286" s="140" t="s">
        <v>592</v>
      </c>
      <c r="C286" s="140" t="s">
        <v>593</v>
      </c>
      <c r="D286" s="140" t="s">
        <v>162</v>
      </c>
      <c r="E286" s="140" t="s">
        <v>163</v>
      </c>
      <c r="F286" s="140" t="s">
        <v>164</v>
      </c>
      <c r="G286" s="140"/>
      <c r="H286" s="141">
        <v>46194</v>
      </c>
      <c r="I286" s="141">
        <v>46241</v>
      </c>
      <c r="J286" s="140" t="s">
        <v>199</v>
      </c>
      <c r="K286" s="143" t="s">
        <v>592</v>
      </c>
    </row>
    <row r="287" spans="1:11">
      <c r="A287" s="140" t="s">
        <v>401</v>
      </c>
      <c r="B287" s="140" t="s">
        <v>579</v>
      </c>
      <c r="C287" s="140" t="s">
        <v>594</v>
      </c>
      <c r="D287" s="140" t="s">
        <v>457</v>
      </c>
      <c r="E287" s="140" t="s">
        <v>163</v>
      </c>
      <c r="F287" s="140" t="s">
        <v>164</v>
      </c>
      <c r="G287" s="140"/>
      <c r="H287" s="141">
        <v>46196</v>
      </c>
      <c r="I287" s="141">
        <v>46241</v>
      </c>
      <c r="J287" s="140" t="s">
        <v>175</v>
      </c>
      <c r="K287" s="143"/>
    </row>
    <row r="288" ht="44" customHeight="1" spans="1:11">
      <c r="A288" s="140" t="s">
        <v>401</v>
      </c>
      <c r="B288" s="140" t="s">
        <v>595</v>
      </c>
      <c r="C288" s="140" t="s">
        <v>596</v>
      </c>
      <c r="D288" s="140" t="s">
        <v>324</v>
      </c>
      <c r="E288" s="140" t="s">
        <v>163</v>
      </c>
      <c r="F288" s="140" t="s">
        <v>164</v>
      </c>
      <c r="G288" s="140"/>
      <c r="H288" s="141">
        <v>46198</v>
      </c>
      <c r="I288" s="141">
        <v>46241</v>
      </c>
      <c r="J288" s="140"/>
      <c r="K288" s="143"/>
    </row>
    <row r="289" ht="29" customHeight="1" spans="1:11">
      <c r="A289" s="140" t="s">
        <v>401</v>
      </c>
      <c r="B289" s="140" t="s">
        <v>597</v>
      </c>
      <c r="C289" s="140" t="s">
        <v>598</v>
      </c>
      <c r="D289" s="140" t="s">
        <v>48</v>
      </c>
      <c r="E289" s="140" t="s">
        <v>163</v>
      </c>
      <c r="F289" s="140" t="s">
        <v>164</v>
      </c>
      <c r="G289" s="140"/>
      <c r="H289" s="141">
        <v>46198</v>
      </c>
      <c r="I289" s="141">
        <v>46241</v>
      </c>
      <c r="J289" s="140" t="s">
        <v>185</v>
      </c>
      <c r="K289" s="143"/>
    </row>
    <row r="290" ht="101" hidden="1" customHeight="1" spans="1:11">
      <c r="A290" s="140" t="s">
        <v>401</v>
      </c>
      <c r="B290" s="140" t="s">
        <v>368</v>
      </c>
      <c r="C290" s="140" t="s">
        <v>599</v>
      </c>
      <c r="D290" s="140" t="s">
        <v>162</v>
      </c>
      <c r="E290" s="140" t="s">
        <v>163</v>
      </c>
      <c r="F290" s="140" t="s">
        <v>327</v>
      </c>
      <c r="G290" s="140"/>
      <c r="H290" s="141">
        <v>46194</v>
      </c>
      <c r="I290" s="141">
        <v>46241</v>
      </c>
      <c r="J290" s="140" t="s">
        <v>269</v>
      </c>
      <c r="K290" s="143" t="s">
        <v>600</v>
      </c>
    </row>
    <row r="291" ht="144" customHeight="1" spans="1:11">
      <c r="A291" s="140" t="s">
        <v>159</v>
      </c>
      <c r="B291" s="140" t="s">
        <v>597</v>
      </c>
      <c r="C291" s="140" t="s">
        <v>601</v>
      </c>
      <c r="D291" s="140" t="s">
        <v>48</v>
      </c>
      <c r="E291" s="140" t="s">
        <v>163</v>
      </c>
      <c r="F291" s="140" t="s">
        <v>164</v>
      </c>
      <c r="G291" s="140"/>
      <c r="H291" s="141">
        <v>46198</v>
      </c>
      <c r="I291" s="141">
        <v>46241</v>
      </c>
      <c r="J291" s="140" t="s">
        <v>185</v>
      </c>
      <c r="K291" s="143"/>
    </row>
    <row r="292" ht="29" hidden="1" customHeight="1" spans="1:11">
      <c r="A292" s="140" t="s">
        <v>401</v>
      </c>
      <c r="B292" s="140" t="s">
        <v>602</v>
      </c>
      <c r="C292" s="140" t="s">
        <v>603</v>
      </c>
      <c r="D292" s="140" t="s">
        <v>266</v>
      </c>
      <c r="E292" s="140" t="s">
        <v>163</v>
      </c>
      <c r="F292" s="140" t="s">
        <v>141</v>
      </c>
      <c r="G292" s="140"/>
      <c r="H292" s="141">
        <v>46204</v>
      </c>
      <c r="I292" s="141">
        <v>46241</v>
      </c>
      <c r="J292" s="140" t="s">
        <v>199</v>
      </c>
      <c r="K292" s="143"/>
    </row>
    <row r="293" ht="29" hidden="1" customHeight="1" spans="1:11">
      <c r="A293" s="140" t="s">
        <v>401</v>
      </c>
      <c r="B293" s="140" t="s">
        <v>604</v>
      </c>
      <c r="C293" s="140" t="s">
        <v>605</v>
      </c>
      <c r="D293" s="140" t="s">
        <v>266</v>
      </c>
      <c r="E293" s="140" t="s">
        <v>163</v>
      </c>
      <c r="F293" s="140" t="s">
        <v>16</v>
      </c>
      <c r="G293" s="140"/>
      <c r="H293" s="141">
        <v>46204</v>
      </c>
      <c r="I293" s="141">
        <v>46210</v>
      </c>
      <c r="J293" s="140"/>
      <c r="K293" s="143" t="s">
        <v>606</v>
      </c>
    </row>
    <row r="294" ht="58" hidden="1" customHeight="1" spans="1:11">
      <c r="A294" s="140" t="s">
        <v>401</v>
      </c>
      <c r="B294" s="140" t="s">
        <v>607</v>
      </c>
      <c r="C294" s="144" t="s">
        <v>608</v>
      </c>
      <c r="D294" s="140" t="s">
        <v>48</v>
      </c>
      <c r="E294" s="140" t="s">
        <v>163</v>
      </c>
      <c r="F294" s="140" t="s">
        <v>327</v>
      </c>
      <c r="G294" s="140"/>
      <c r="H294" s="141">
        <v>46198</v>
      </c>
      <c r="I294" s="141">
        <v>46241</v>
      </c>
      <c r="J294" s="140" t="s">
        <v>185</v>
      </c>
      <c r="K294" s="143"/>
    </row>
    <row r="295" ht="29" hidden="1" customHeight="1" spans="1:11">
      <c r="A295" s="140" t="s">
        <v>401</v>
      </c>
      <c r="B295" s="140" t="s">
        <v>609</v>
      </c>
      <c r="C295" s="140" t="s">
        <v>610</v>
      </c>
      <c r="D295" s="140" t="s">
        <v>404</v>
      </c>
      <c r="E295" s="140" t="s">
        <v>163</v>
      </c>
      <c r="F295" s="140" t="s">
        <v>16</v>
      </c>
      <c r="G295" s="140"/>
      <c r="H295" s="141">
        <v>46206</v>
      </c>
      <c r="I295" s="141">
        <v>46206</v>
      </c>
      <c r="J295" s="140" t="s">
        <v>199</v>
      </c>
      <c r="K295" s="143"/>
    </row>
    <row r="296" ht="29" hidden="1" customHeight="1" spans="1:11">
      <c r="A296" s="140" t="s">
        <v>401</v>
      </c>
      <c r="B296" s="140" t="s">
        <v>611</v>
      </c>
      <c r="C296" s="140" t="s">
        <v>612</v>
      </c>
      <c r="D296" s="140" t="s">
        <v>324</v>
      </c>
      <c r="E296" s="140" t="s">
        <v>163</v>
      </c>
      <c r="F296" s="140" t="s">
        <v>327</v>
      </c>
      <c r="G296" s="144" t="s">
        <v>613</v>
      </c>
      <c r="H296" s="141">
        <v>46207</v>
      </c>
      <c r="I296" s="141">
        <v>46241</v>
      </c>
      <c r="J296" s="140" t="s">
        <v>298</v>
      </c>
      <c r="K296" s="143" t="s">
        <v>614</v>
      </c>
    </row>
    <row r="297" hidden="1" spans="1:11">
      <c r="A297" s="140" t="s">
        <v>401</v>
      </c>
      <c r="B297" s="140" t="s">
        <v>615</v>
      </c>
      <c r="C297" s="140" t="s">
        <v>616</v>
      </c>
      <c r="D297" s="140" t="s">
        <v>48</v>
      </c>
      <c r="E297" s="140" t="s">
        <v>163</v>
      </c>
      <c r="F297" s="140" t="s">
        <v>16</v>
      </c>
      <c r="G297" s="140"/>
      <c r="H297" s="141">
        <v>46209</v>
      </c>
      <c r="I297" s="141">
        <v>46215</v>
      </c>
      <c r="J297" s="140" t="s">
        <v>185</v>
      </c>
      <c r="K297" s="143"/>
    </row>
    <row r="298" hidden="1" spans="1:11">
      <c r="A298" s="140" t="s">
        <v>401</v>
      </c>
      <c r="B298" s="140" t="s">
        <v>617</v>
      </c>
      <c r="C298" s="140" t="s">
        <v>618</v>
      </c>
      <c r="D298" s="140" t="s">
        <v>48</v>
      </c>
      <c r="E298" s="140" t="s">
        <v>163</v>
      </c>
      <c r="F298" s="140" t="s">
        <v>16</v>
      </c>
      <c r="G298" s="140"/>
      <c r="H298" s="141">
        <v>46209</v>
      </c>
      <c r="I298" s="141">
        <v>46215</v>
      </c>
      <c r="J298" s="140" t="s">
        <v>185</v>
      </c>
      <c r="K298" s="143"/>
    </row>
    <row r="299" hidden="1" spans="1:11">
      <c r="A299" s="140" t="s">
        <v>159</v>
      </c>
      <c r="B299" s="140" t="s">
        <v>619</v>
      </c>
      <c r="C299" s="140" t="s">
        <v>620</v>
      </c>
      <c r="D299" s="140" t="s">
        <v>162</v>
      </c>
      <c r="E299" s="140" t="s">
        <v>163</v>
      </c>
      <c r="F299" s="140" t="s">
        <v>16</v>
      </c>
      <c r="G299" s="140"/>
      <c r="H299" s="141">
        <v>46210</v>
      </c>
      <c r="I299" s="141">
        <v>46210</v>
      </c>
      <c r="J299" s="140" t="s">
        <v>199</v>
      </c>
      <c r="K299" s="143"/>
    </row>
    <row r="300" hidden="1" spans="1:11">
      <c r="A300" s="140" t="s">
        <v>159</v>
      </c>
      <c r="B300" s="140" t="s">
        <v>619</v>
      </c>
      <c r="C300" s="140" t="s">
        <v>621</v>
      </c>
      <c r="D300" s="140" t="s">
        <v>162</v>
      </c>
      <c r="E300" s="140" t="s">
        <v>163</v>
      </c>
      <c r="F300" s="140" t="s">
        <v>16</v>
      </c>
      <c r="G300" s="140"/>
      <c r="H300" s="141">
        <v>46210</v>
      </c>
      <c r="I300" s="141">
        <v>46210</v>
      </c>
      <c r="J300" s="140" t="s">
        <v>199</v>
      </c>
      <c r="K300" s="143"/>
    </row>
    <row r="301" hidden="1" spans="1:11">
      <c r="A301" s="140" t="s">
        <v>159</v>
      </c>
      <c r="B301" s="140" t="s">
        <v>619</v>
      </c>
      <c r="C301" s="140" t="s">
        <v>622</v>
      </c>
      <c r="D301" s="140" t="s">
        <v>162</v>
      </c>
      <c r="E301" s="140" t="s">
        <v>163</v>
      </c>
      <c r="F301" s="140" t="s">
        <v>16</v>
      </c>
      <c r="G301" s="140"/>
      <c r="H301" s="141">
        <v>46211</v>
      </c>
      <c r="I301" s="141">
        <v>46211</v>
      </c>
      <c r="J301" s="140" t="s">
        <v>199</v>
      </c>
      <c r="K301" s="143"/>
    </row>
    <row r="302" ht="29" customHeight="1" spans="1:11">
      <c r="A302" s="140" t="s">
        <v>401</v>
      </c>
      <c r="B302" s="140" t="s">
        <v>623</v>
      </c>
      <c r="C302" s="144" t="s">
        <v>624</v>
      </c>
      <c r="D302" s="140" t="s">
        <v>457</v>
      </c>
      <c r="E302" s="140" t="s">
        <v>163</v>
      </c>
      <c r="F302" s="140" t="s">
        <v>164</v>
      </c>
      <c r="G302" s="140"/>
      <c r="H302" s="141">
        <v>46198</v>
      </c>
      <c r="I302" s="141">
        <v>46241</v>
      </c>
      <c r="J302" s="140"/>
      <c r="K302" s="143"/>
    </row>
    <row r="303" ht="29" hidden="1" customHeight="1" spans="1:11">
      <c r="A303" s="140" t="s">
        <v>401</v>
      </c>
      <c r="B303" s="140" t="s">
        <v>471</v>
      </c>
      <c r="C303" s="140" t="s">
        <v>625</v>
      </c>
      <c r="D303" s="140" t="s">
        <v>404</v>
      </c>
      <c r="E303" s="140" t="s">
        <v>163</v>
      </c>
      <c r="F303" s="140" t="s">
        <v>16</v>
      </c>
      <c r="G303" s="140"/>
      <c r="H303" s="141">
        <v>46213</v>
      </c>
      <c r="I303" s="141">
        <v>46213</v>
      </c>
      <c r="J303" s="140" t="s">
        <v>208</v>
      </c>
      <c r="K303" s="143"/>
    </row>
    <row r="304" hidden="1" spans="1:11">
      <c r="A304" s="140" t="s">
        <v>159</v>
      </c>
      <c r="B304" s="140" t="s">
        <v>626</v>
      </c>
      <c r="C304" s="140" t="s">
        <v>627</v>
      </c>
      <c r="D304" s="140" t="s">
        <v>162</v>
      </c>
      <c r="E304" s="140" t="s">
        <v>163</v>
      </c>
      <c r="F304" s="140" t="s">
        <v>16</v>
      </c>
      <c r="G304" s="140"/>
      <c r="H304" s="141">
        <v>46214</v>
      </c>
      <c r="I304" s="141">
        <v>46220</v>
      </c>
      <c r="J304" s="140" t="s">
        <v>199</v>
      </c>
      <c r="K304" s="143"/>
    </row>
    <row r="305" hidden="1" spans="1:11">
      <c r="A305" s="140" t="s">
        <v>401</v>
      </c>
      <c r="B305" s="140" t="s">
        <v>615</v>
      </c>
      <c r="C305" s="140" t="s">
        <v>628</v>
      </c>
      <c r="D305" s="140" t="s">
        <v>48</v>
      </c>
      <c r="E305" s="140" t="s">
        <v>163</v>
      </c>
      <c r="F305" s="140" t="s">
        <v>16</v>
      </c>
      <c r="G305" s="140"/>
      <c r="H305" s="141">
        <v>46216</v>
      </c>
      <c r="I305" s="141">
        <v>46222</v>
      </c>
      <c r="J305" s="140" t="s">
        <v>185</v>
      </c>
      <c r="K305" s="143"/>
    </row>
    <row r="306" hidden="1" spans="1:11">
      <c r="A306" s="140" t="s">
        <v>401</v>
      </c>
      <c r="B306" s="140" t="s">
        <v>617</v>
      </c>
      <c r="C306" s="140" t="s">
        <v>629</v>
      </c>
      <c r="D306" s="140" t="s">
        <v>48</v>
      </c>
      <c r="E306" s="140" t="s">
        <v>163</v>
      </c>
      <c r="F306" s="140" t="s">
        <v>16</v>
      </c>
      <c r="G306" s="140"/>
      <c r="H306" s="141">
        <v>46216</v>
      </c>
      <c r="I306" s="141">
        <v>46222</v>
      </c>
      <c r="J306" s="140" t="s">
        <v>185</v>
      </c>
      <c r="K306" s="143"/>
    </row>
    <row r="307" ht="29" hidden="1" customHeight="1" spans="1:11">
      <c r="A307" s="140" t="s">
        <v>401</v>
      </c>
      <c r="B307" s="140" t="s">
        <v>630</v>
      </c>
      <c r="C307" s="140" t="s">
        <v>631</v>
      </c>
      <c r="D307" s="140" t="s">
        <v>457</v>
      </c>
      <c r="E307" s="140" t="s">
        <v>163</v>
      </c>
      <c r="F307" s="140" t="s">
        <v>16</v>
      </c>
      <c r="G307" s="140"/>
      <c r="H307" s="141">
        <v>46216</v>
      </c>
      <c r="I307" s="141">
        <v>46216</v>
      </c>
      <c r="J307" s="140"/>
      <c r="K307" s="143" t="s">
        <v>632</v>
      </c>
    </row>
    <row r="308" ht="72" hidden="1" customHeight="1" spans="1:11">
      <c r="A308" s="140" t="s">
        <v>401</v>
      </c>
      <c r="B308" s="140" t="s">
        <v>630</v>
      </c>
      <c r="C308" s="140" t="s">
        <v>633</v>
      </c>
      <c r="D308" s="140" t="s">
        <v>457</v>
      </c>
      <c r="E308" s="140" t="s">
        <v>163</v>
      </c>
      <c r="F308" s="140" t="s">
        <v>16</v>
      </c>
      <c r="G308" s="140" t="s">
        <v>634</v>
      </c>
      <c r="H308" s="141">
        <v>46216</v>
      </c>
      <c r="I308" s="141">
        <v>46225</v>
      </c>
      <c r="J308" s="140" t="s">
        <v>175</v>
      </c>
      <c r="K308" s="143"/>
    </row>
    <row r="309" ht="29" hidden="1" customHeight="1" spans="1:11">
      <c r="A309" s="140" t="s">
        <v>401</v>
      </c>
      <c r="B309" s="140" t="s">
        <v>630</v>
      </c>
      <c r="C309" s="140" t="s">
        <v>635</v>
      </c>
      <c r="D309" s="140" t="s">
        <v>457</v>
      </c>
      <c r="E309" s="140" t="s">
        <v>163</v>
      </c>
      <c r="F309" s="140" t="s">
        <v>179</v>
      </c>
      <c r="G309" s="140" t="s">
        <v>636</v>
      </c>
      <c r="H309" s="141">
        <v>46216</v>
      </c>
      <c r="I309" s="141"/>
      <c r="J309" s="140"/>
      <c r="K309" s="143"/>
    </row>
    <row r="310" ht="44" hidden="1" customHeight="1" spans="1:11">
      <c r="A310" s="140" t="s">
        <v>401</v>
      </c>
      <c r="B310" s="140" t="s">
        <v>630</v>
      </c>
      <c r="C310" s="140" t="s">
        <v>637</v>
      </c>
      <c r="D310" s="140" t="s">
        <v>457</v>
      </c>
      <c r="E310" s="140" t="s">
        <v>163</v>
      </c>
      <c r="F310" s="140" t="s">
        <v>16</v>
      </c>
      <c r="G310" s="140"/>
      <c r="H310" s="141">
        <v>46216</v>
      </c>
      <c r="I310" s="141">
        <v>46225</v>
      </c>
      <c r="J310" s="140" t="s">
        <v>298</v>
      </c>
      <c r="K310" s="143"/>
    </row>
    <row r="311" ht="58" hidden="1" customHeight="1" spans="1:11">
      <c r="A311" s="140" t="s">
        <v>401</v>
      </c>
      <c r="B311" s="140" t="s">
        <v>630</v>
      </c>
      <c r="C311" s="140" t="s">
        <v>638</v>
      </c>
      <c r="D311" s="140" t="s">
        <v>457</v>
      </c>
      <c r="E311" s="140" t="s">
        <v>163</v>
      </c>
      <c r="F311" s="140" t="s">
        <v>16</v>
      </c>
      <c r="G311" s="140"/>
      <c r="H311" s="141">
        <v>46216</v>
      </c>
      <c r="I311" s="141">
        <v>46217</v>
      </c>
      <c r="J311" s="140"/>
      <c r="K311" s="143" t="s">
        <v>632</v>
      </c>
    </row>
    <row r="312" ht="44" hidden="1" customHeight="1" spans="1:11">
      <c r="A312" s="140" t="s">
        <v>401</v>
      </c>
      <c r="B312" s="140" t="s">
        <v>630</v>
      </c>
      <c r="C312" s="140" t="s">
        <v>639</v>
      </c>
      <c r="D312" s="140" t="s">
        <v>457</v>
      </c>
      <c r="E312" s="140" t="s">
        <v>163</v>
      </c>
      <c r="F312" s="140" t="s">
        <v>16</v>
      </c>
      <c r="G312" s="140"/>
      <c r="H312" s="141">
        <v>46216</v>
      </c>
      <c r="I312" s="141">
        <v>46217</v>
      </c>
      <c r="J312" s="140"/>
      <c r="K312" s="143" t="s">
        <v>632</v>
      </c>
    </row>
    <row r="313" ht="29" hidden="1" customHeight="1" spans="1:11">
      <c r="A313" s="140" t="s">
        <v>401</v>
      </c>
      <c r="B313" s="140" t="s">
        <v>630</v>
      </c>
      <c r="C313" s="140" t="s">
        <v>640</v>
      </c>
      <c r="D313" s="140" t="s">
        <v>457</v>
      </c>
      <c r="E313" s="140" t="s">
        <v>163</v>
      </c>
      <c r="F313" s="140" t="s">
        <v>16</v>
      </c>
      <c r="G313" s="140"/>
      <c r="H313" s="141">
        <v>46216</v>
      </c>
      <c r="I313" s="141">
        <v>46218</v>
      </c>
      <c r="J313" s="140"/>
      <c r="K313" s="143" t="s">
        <v>632</v>
      </c>
    </row>
    <row r="314" ht="58" hidden="1" customHeight="1" spans="1:11">
      <c r="A314" s="140" t="s">
        <v>401</v>
      </c>
      <c r="B314" s="140" t="s">
        <v>630</v>
      </c>
      <c r="C314" s="144" t="s">
        <v>641</v>
      </c>
      <c r="D314" s="140" t="s">
        <v>457</v>
      </c>
      <c r="E314" s="140" t="s">
        <v>163</v>
      </c>
      <c r="F314" s="140" t="s">
        <v>16</v>
      </c>
      <c r="G314" s="140"/>
      <c r="H314" s="141">
        <v>46216</v>
      </c>
      <c r="I314" s="141">
        <v>46218</v>
      </c>
      <c r="J314" s="140"/>
      <c r="K314" s="143" t="s">
        <v>632</v>
      </c>
    </row>
    <row r="315" ht="44" hidden="1" customHeight="1" spans="1:11">
      <c r="A315" s="140" t="s">
        <v>401</v>
      </c>
      <c r="B315" s="140" t="s">
        <v>630</v>
      </c>
      <c r="C315" s="140" t="s">
        <v>642</v>
      </c>
      <c r="D315" s="140" t="s">
        <v>457</v>
      </c>
      <c r="E315" s="140" t="s">
        <v>163</v>
      </c>
      <c r="F315" s="140" t="s">
        <v>16</v>
      </c>
      <c r="G315" s="140"/>
      <c r="H315" s="141">
        <v>46216</v>
      </c>
      <c r="I315" s="141">
        <v>46218</v>
      </c>
      <c r="J315" s="140"/>
      <c r="K315" s="143" t="s">
        <v>632</v>
      </c>
    </row>
    <row r="316" ht="29" hidden="1" customHeight="1" spans="1:11">
      <c r="A316" s="140" t="s">
        <v>401</v>
      </c>
      <c r="B316" s="140" t="s">
        <v>630</v>
      </c>
      <c r="C316" s="140" t="s">
        <v>643</v>
      </c>
      <c r="D316" s="140" t="s">
        <v>457</v>
      </c>
      <c r="E316" s="140" t="s">
        <v>163</v>
      </c>
      <c r="F316" s="140" t="s">
        <v>16</v>
      </c>
      <c r="G316" s="140"/>
      <c r="H316" s="141">
        <v>46216</v>
      </c>
      <c r="I316" s="141">
        <v>46218</v>
      </c>
      <c r="J316" s="140"/>
      <c r="K316" s="143" t="s">
        <v>632</v>
      </c>
    </row>
    <row r="317" ht="29" hidden="1" customHeight="1" spans="1:11">
      <c r="A317" s="140" t="s">
        <v>401</v>
      </c>
      <c r="B317" s="140" t="s">
        <v>630</v>
      </c>
      <c r="C317" s="140" t="s">
        <v>644</v>
      </c>
      <c r="D317" s="140" t="s">
        <v>457</v>
      </c>
      <c r="E317" s="140" t="s">
        <v>163</v>
      </c>
      <c r="F317" s="140" t="s">
        <v>16</v>
      </c>
      <c r="G317" s="140"/>
      <c r="H317" s="141">
        <v>46216</v>
      </c>
      <c r="I317" s="141">
        <v>46218</v>
      </c>
      <c r="J317" s="140"/>
      <c r="K317" s="143" t="s">
        <v>632</v>
      </c>
    </row>
    <row r="318" ht="44" hidden="1" customHeight="1" spans="1:11">
      <c r="A318" s="140" t="s">
        <v>401</v>
      </c>
      <c r="B318" s="140" t="s">
        <v>630</v>
      </c>
      <c r="C318" s="140" t="s">
        <v>645</v>
      </c>
      <c r="D318" s="140" t="s">
        <v>457</v>
      </c>
      <c r="E318" s="140" t="s">
        <v>163</v>
      </c>
      <c r="F318" s="140" t="s">
        <v>16</v>
      </c>
      <c r="G318" s="140"/>
      <c r="H318" s="141">
        <v>46216</v>
      </c>
      <c r="I318" s="141">
        <v>46218</v>
      </c>
      <c r="J318" s="140"/>
      <c r="K318" s="143" t="s">
        <v>632</v>
      </c>
    </row>
    <row r="319" ht="29" hidden="1" customHeight="1" spans="1:11">
      <c r="A319" s="140" t="s">
        <v>401</v>
      </c>
      <c r="B319" s="140" t="s">
        <v>630</v>
      </c>
      <c r="C319" s="140" t="s">
        <v>646</v>
      </c>
      <c r="D319" s="140" t="s">
        <v>457</v>
      </c>
      <c r="E319" s="140" t="s">
        <v>163</v>
      </c>
      <c r="F319" s="140" t="s">
        <v>16</v>
      </c>
      <c r="G319" s="140"/>
      <c r="H319" s="141">
        <v>46216</v>
      </c>
      <c r="I319" s="141">
        <v>46218</v>
      </c>
      <c r="J319" s="140"/>
      <c r="K319" s="143"/>
    </row>
    <row r="320" ht="44" hidden="1" customHeight="1" spans="1:11">
      <c r="A320" s="140" t="s">
        <v>401</v>
      </c>
      <c r="B320" s="140" t="s">
        <v>630</v>
      </c>
      <c r="C320" s="140" t="s">
        <v>647</v>
      </c>
      <c r="D320" s="140" t="s">
        <v>457</v>
      </c>
      <c r="E320" s="140" t="s">
        <v>163</v>
      </c>
      <c r="F320" s="140" t="s">
        <v>16</v>
      </c>
      <c r="G320" s="140"/>
      <c r="H320" s="141">
        <v>46216</v>
      </c>
      <c r="I320" s="141">
        <v>46220</v>
      </c>
      <c r="J320" s="140"/>
      <c r="K320" s="143"/>
    </row>
    <row r="321" ht="58" hidden="1" customHeight="1" spans="1:11">
      <c r="A321" s="140" t="s">
        <v>401</v>
      </c>
      <c r="B321" s="140" t="s">
        <v>630</v>
      </c>
      <c r="C321" s="144" t="s">
        <v>648</v>
      </c>
      <c r="D321" s="140" t="s">
        <v>457</v>
      </c>
      <c r="E321" s="140" t="s">
        <v>163</v>
      </c>
      <c r="F321" s="140" t="s">
        <v>16</v>
      </c>
      <c r="G321" s="140"/>
      <c r="H321" s="141">
        <v>46216</v>
      </c>
      <c r="I321" s="141">
        <v>46223</v>
      </c>
      <c r="J321" s="140"/>
      <c r="K321" s="143" t="s">
        <v>632</v>
      </c>
    </row>
    <row r="322" ht="44" customHeight="1" spans="1:11">
      <c r="A322" s="140" t="s">
        <v>401</v>
      </c>
      <c r="B322" s="140" t="s">
        <v>649</v>
      </c>
      <c r="C322" s="140" t="s">
        <v>650</v>
      </c>
      <c r="D322" s="140" t="s">
        <v>266</v>
      </c>
      <c r="E322" s="140" t="s">
        <v>163</v>
      </c>
      <c r="F322" s="140" t="s">
        <v>164</v>
      </c>
      <c r="G322" s="140" t="s">
        <v>651</v>
      </c>
      <c r="H322" s="141">
        <v>46212</v>
      </c>
      <c r="I322" s="141">
        <v>46241</v>
      </c>
      <c r="J322" s="140" t="s">
        <v>224</v>
      </c>
      <c r="K322" s="143"/>
    </row>
    <row r="323" ht="29" hidden="1" customHeight="1" spans="1:11">
      <c r="A323" s="140" t="s">
        <v>401</v>
      </c>
      <c r="B323" s="140" t="s">
        <v>652</v>
      </c>
      <c r="C323" s="140" t="s">
        <v>653</v>
      </c>
      <c r="D323" s="140" t="s">
        <v>48</v>
      </c>
      <c r="E323" s="140" t="s">
        <v>163</v>
      </c>
      <c r="F323" s="140" t="s">
        <v>16</v>
      </c>
      <c r="G323" s="140"/>
      <c r="H323" s="141">
        <v>46217</v>
      </c>
      <c r="I323" s="141">
        <v>46225</v>
      </c>
      <c r="J323" s="140" t="s">
        <v>175</v>
      </c>
      <c r="K323" s="143"/>
    </row>
    <row r="324" ht="29" hidden="1" customHeight="1" spans="1:11">
      <c r="A324" s="140" t="s">
        <v>159</v>
      </c>
      <c r="B324" s="140" t="s">
        <v>654</v>
      </c>
      <c r="C324" s="140" t="s">
        <v>655</v>
      </c>
      <c r="D324" s="140" t="s">
        <v>48</v>
      </c>
      <c r="E324" s="140" t="s">
        <v>163</v>
      </c>
      <c r="F324" s="140" t="s">
        <v>16</v>
      </c>
      <c r="G324" s="140"/>
      <c r="H324" s="141">
        <v>46220</v>
      </c>
      <c r="I324" s="141">
        <v>46221</v>
      </c>
      <c r="J324" s="140"/>
      <c r="K324" s="143"/>
    </row>
    <row r="325" ht="44" customHeight="1" spans="1:11">
      <c r="A325" s="140" t="s">
        <v>401</v>
      </c>
      <c r="B325" s="140" t="s">
        <v>656</v>
      </c>
      <c r="C325" s="144" t="s">
        <v>657</v>
      </c>
      <c r="D325" s="140" t="s">
        <v>324</v>
      </c>
      <c r="E325" s="140" t="s">
        <v>163</v>
      </c>
      <c r="F325" s="140" t="s">
        <v>164</v>
      </c>
      <c r="G325" s="140"/>
      <c r="H325" s="141">
        <v>46217</v>
      </c>
      <c r="I325" s="141">
        <v>46241</v>
      </c>
      <c r="J325" s="140"/>
      <c r="K325" s="143"/>
    </row>
    <row r="326" ht="87" hidden="1" customHeight="1" spans="1:11">
      <c r="A326" s="140" t="s">
        <v>401</v>
      </c>
      <c r="B326" s="140" t="s">
        <v>658</v>
      </c>
      <c r="C326" s="144" t="s">
        <v>659</v>
      </c>
      <c r="D326" s="140" t="s">
        <v>48</v>
      </c>
      <c r="E326" s="140" t="s">
        <v>163</v>
      </c>
      <c r="F326" s="140" t="s">
        <v>16</v>
      </c>
      <c r="G326" s="144" t="s">
        <v>660</v>
      </c>
      <c r="H326" s="141">
        <v>46223</v>
      </c>
      <c r="I326" s="141">
        <v>46227</v>
      </c>
      <c r="J326" s="140" t="s">
        <v>175</v>
      </c>
      <c r="K326" s="143"/>
    </row>
    <row r="327" ht="29" hidden="1" customHeight="1" spans="1:11">
      <c r="A327" s="140" t="s">
        <v>401</v>
      </c>
      <c r="B327" s="140" t="s">
        <v>661</v>
      </c>
      <c r="C327" s="140" t="s">
        <v>661</v>
      </c>
      <c r="D327" s="140" t="s">
        <v>48</v>
      </c>
      <c r="E327" s="140" t="s">
        <v>163</v>
      </c>
      <c r="F327" s="140" t="s">
        <v>16</v>
      </c>
      <c r="G327" s="140"/>
      <c r="H327" s="141">
        <v>46223</v>
      </c>
      <c r="I327" s="141">
        <v>46224</v>
      </c>
      <c r="J327" s="140" t="s">
        <v>269</v>
      </c>
      <c r="K327" s="143"/>
    </row>
    <row r="328" ht="29" hidden="1" customHeight="1" spans="1:11">
      <c r="A328" s="140" t="s">
        <v>401</v>
      </c>
      <c r="B328" s="140" t="s">
        <v>662</v>
      </c>
      <c r="C328" s="140" t="s">
        <v>663</v>
      </c>
      <c r="D328" s="140" t="s">
        <v>48</v>
      </c>
      <c r="E328" s="140" t="s">
        <v>163</v>
      </c>
      <c r="F328" s="140" t="s">
        <v>16</v>
      </c>
      <c r="G328" s="140" t="s">
        <v>664</v>
      </c>
      <c r="H328" s="141">
        <v>46223</v>
      </c>
      <c r="I328" s="141">
        <v>46224</v>
      </c>
      <c r="J328" s="140" t="s">
        <v>142</v>
      </c>
      <c r="K328" s="143"/>
    </row>
    <row r="329" ht="72" hidden="1" customHeight="1" spans="1:11">
      <c r="A329" s="140" t="s">
        <v>401</v>
      </c>
      <c r="B329" s="140" t="s">
        <v>623</v>
      </c>
      <c r="C329" s="140" t="s">
        <v>665</v>
      </c>
      <c r="D329" s="140" t="s">
        <v>48</v>
      </c>
      <c r="E329" s="140" t="s">
        <v>163</v>
      </c>
      <c r="F329" s="140" t="s">
        <v>16</v>
      </c>
      <c r="G329" s="140"/>
      <c r="H329" s="141">
        <v>46223</v>
      </c>
      <c r="I329" s="141">
        <v>46224</v>
      </c>
      <c r="J329" s="140" t="s">
        <v>298</v>
      </c>
      <c r="K329" s="143"/>
    </row>
    <row r="330" ht="44" hidden="1" customHeight="1" spans="1:11">
      <c r="A330" s="140" t="s">
        <v>401</v>
      </c>
      <c r="B330" s="140" t="s">
        <v>623</v>
      </c>
      <c r="C330" s="140" t="s">
        <v>666</v>
      </c>
      <c r="D330" s="140" t="s">
        <v>48</v>
      </c>
      <c r="E330" s="140" t="s">
        <v>163</v>
      </c>
      <c r="F330" s="140" t="s">
        <v>16</v>
      </c>
      <c r="G330" s="140"/>
      <c r="H330" s="141">
        <v>46223</v>
      </c>
      <c r="I330" s="141">
        <v>46224</v>
      </c>
      <c r="J330" s="140" t="s">
        <v>298</v>
      </c>
      <c r="K330" s="143"/>
    </row>
    <row r="331" hidden="1" spans="1:11">
      <c r="A331" s="140" t="s">
        <v>401</v>
      </c>
      <c r="B331" s="140" t="s">
        <v>615</v>
      </c>
      <c r="C331" s="140" t="s">
        <v>628</v>
      </c>
      <c r="D331" s="140" t="s">
        <v>48</v>
      </c>
      <c r="E331" s="140" t="s">
        <v>163</v>
      </c>
      <c r="F331" s="140" t="s">
        <v>16</v>
      </c>
      <c r="G331" s="140"/>
      <c r="H331" s="141">
        <v>46223</v>
      </c>
      <c r="I331" s="141">
        <v>46227</v>
      </c>
      <c r="J331" s="140" t="s">
        <v>185</v>
      </c>
      <c r="K331" s="143"/>
    </row>
    <row r="332" hidden="1" spans="1:11">
      <c r="A332" s="140" t="s">
        <v>401</v>
      </c>
      <c r="B332" s="140" t="s">
        <v>617</v>
      </c>
      <c r="C332" s="140" t="s">
        <v>629</v>
      </c>
      <c r="D332" s="140" t="s">
        <v>48</v>
      </c>
      <c r="E332" s="140" t="s">
        <v>163</v>
      </c>
      <c r="F332" s="140" t="s">
        <v>16</v>
      </c>
      <c r="G332" s="140"/>
      <c r="H332" s="141">
        <v>46223</v>
      </c>
      <c r="I332" s="141">
        <v>46227</v>
      </c>
      <c r="J332" s="140" t="s">
        <v>185</v>
      </c>
      <c r="K332" s="143"/>
    </row>
    <row r="333" ht="29" hidden="1" customHeight="1" spans="1:11">
      <c r="A333" s="140" t="s">
        <v>401</v>
      </c>
      <c r="B333" s="140" t="s">
        <v>623</v>
      </c>
      <c r="C333" s="140" t="s">
        <v>667</v>
      </c>
      <c r="D333" s="140" t="s">
        <v>48</v>
      </c>
      <c r="E333" s="140" t="s">
        <v>163</v>
      </c>
      <c r="F333" s="140" t="s">
        <v>16</v>
      </c>
      <c r="G333" s="140"/>
      <c r="H333" s="141">
        <v>46224</v>
      </c>
      <c r="I333" s="141">
        <v>46224</v>
      </c>
      <c r="J333" s="140" t="s">
        <v>298</v>
      </c>
      <c r="K333" s="143"/>
    </row>
    <row r="334" hidden="1" spans="1:11">
      <c r="A334" s="140" t="s">
        <v>401</v>
      </c>
      <c r="B334" s="140" t="s">
        <v>623</v>
      </c>
      <c r="C334" s="140" t="s">
        <v>668</v>
      </c>
      <c r="D334" s="140" t="s">
        <v>48</v>
      </c>
      <c r="E334" s="140" t="s">
        <v>163</v>
      </c>
      <c r="F334" s="140" t="s">
        <v>16</v>
      </c>
      <c r="G334" s="140"/>
      <c r="H334" s="141">
        <v>46224</v>
      </c>
      <c r="I334" s="141">
        <v>46224</v>
      </c>
      <c r="J334" s="140" t="s">
        <v>298</v>
      </c>
      <c r="K334" s="143"/>
    </row>
    <row r="335" ht="29" hidden="1" customHeight="1" spans="1:11">
      <c r="A335" s="140" t="s">
        <v>159</v>
      </c>
      <c r="B335" s="140" t="s">
        <v>669</v>
      </c>
      <c r="C335" s="140" t="s">
        <v>670</v>
      </c>
      <c r="D335" s="140" t="s">
        <v>48</v>
      </c>
      <c r="E335" s="140" t="s">
        <v>163</v>
      </c>
      <c r="F335" s="140" t="s">
        <v>16</v>
      </c>
      <c r="G335" s="140"/>
      <c r="H335" s="141">
        <v>46225</v>
      </c>
      <c r="I335" s="141">
        <v>46225</v>
      </c>
      <c r="J335" s="140" t="s">
        <v>175</v>
      </c>
      <c r="K335" s="143"/>
    </row>
    <row r="336" ht="29" hidden="1" customHeight="1" spans="1:11">
      <c r="A336" s="140" t="s">
        <v>401</v>
      </c>
      <c r="B336" s="140" t="s">
        <v>671</v>
      </c>
      <c r="C336" s="140" t="s">
        <v>672</v>
      </c>
      <c r="D336" s="140" t="s">
        <v>48</v>
      </c>
      <c r="E336" s="140" t="s">
        <v>163</v>
      </c>
      <c r="F336" s="140" t="s">
        <v>16</v>
      </c>
      <c r="G336" s="140"/>
      <c r="H336" s="141">
        <v>46226</v>
      </c>
      <c r="I336" s="141">
        <v>46226</v>
      </c>
      <c r="J336" s="140" t="s">
        <v>298</v>
      </c>
      <c r="K336" s="143"/>
    </row>
    <row r="337" hidden="1" spans="1:11">
      <c r="A337" s="140" t="s">
        <v>159</v>
      </c>
      <c r="B337" s="140"/>
      <c r="C337" s="140" t="s">
        <v>673</v>
      </c>
      <c r="D337" s="140" t="s">
        <v>48</v>
      </c>
      <c r="E337" s="140" t="s">
        <v>163</v>
      </c>
      <c r="F337" s="140" t="s">
        <v>16</v>
      </c>
      <c r="G337" s="140"/>
      <c r="H337" s="141">
        <v>46226</v>
      </c>
      <c r="I337" s="141">
        <v>46226</v>
      </c>
      <c r="J337" s="140" t="s">
        <v>298</v>
      </c>
      <c r="K337" s="143"/>
    </row>
    <row r="338" hidden="1" spans="1:11">
      <c r="A338" s="140" t="s">
        <v>401</v>
      </c>
      <c r="B338" s="140" t="s">
        <v>674</v>
      </c>
      <c r="C338" s="140" t="s">
        <v>675</v>
      </c>
      <c r="D338" s="140" t="s">
        <v>48</v>
      </c>
      <c r="E338" s="140" t="s">
        <v>163</v>
      </c>
      <c r="F338" s="140" t="s">
        <v>16</v>
      </c>
      <c r="G338" s="140"/>
      <c r="H338" s="141">
        <v>46226</v>
      </c>
      <c r="I338" s="141">
        <v>46226</v>
      </c>
      <c r="J338" s="140" t="s">
        <v>175</v>
      </c>
      <c r="K338" s="143"/>
    </row>
    <row r="339" hidden="1" spans="1:11">
      <c r="A339" s="140" t="s">
        <v>159</v>
      </c>
      <c r="B339" s="140"/>
      <c r="C339" s="140" t="s">
        <v>676</v>
      </c>
      <c r="D339" s="140" t="s">
        <v>48</v>
      </c>
      <c r="E339" s="140" t="s">
        <v>163</v>
      </c>
      <c r="F339" s="140" t="s">
        <v>16</v>
      </c>
      <c r="G339" s="140"/>
      <c r="H339" s="141">
        <v>46226</v>
      </c>
      <c r="I339" s="141">
        <v>46226</v>
      </c>
      <c r="J339" s="140" t="s">
        <v>298</v>
      </c>
      <c r="K339" s="143"/>
    </row>
    <row r="340" ht="29" hidden="1" customHeight="1" spans="1:11">
      <c r="A340" s="140" t="s">
        <v>401</v>
      </c>
      <c r="B340" s="140" t="s">
        <v>652</v>
      </c>
      <c r="C340" s="140" t="s">
        <v>677</v>
      </c>
      <c r="D340" s="140" t="s">
        <v>48</v>
      </c>
      <c r="E340" s="140" t="s">
        <v>163</v>
      </c>
      <c r="F340" s="140" t="s">
        <v>16</v>
      </c>
      <c r="G340" s="140"/>
      <c r="H340" s="141">
        <v>46226</v>
      </c>
      <c r="I340" s="141">
        <v>46226</v>
      </c>
      <c r="J340" s="140" t="s">
        <v>142</v>
      </c>
      <c r="K340" s="143"/>
    </row>
    <row r="341" hidden="1" spans="1:11">
      <c r="A341" s="140" t="s">
        <v>401</v>
      </c>
      <c r="B341" s="140"/>
      <c r="C341" s="140" t="s">
        <v>678</v>
      </c>
      <c r="D341" s="140" t="s">
        <v>48</v>
      </c>
      <c r="E341" s="140" t="s">
        <v>163</v>
      </c>
      <c r="F341" s="140" t="s">
        <v>16</v>
      </c>
      <c r="G341" s="140"/>
      <c r="H341" s="141">
        <v>46227</v>
      </c>
      <c r="I341" s="141"/>
      <c r="J341" s="140" t="s">
        <v>175</v>
      </c>
      <c r="K341" s="143"/>
    </row>
    <row r="342" ht="44" hidden="1" customHeight="1" spans="1:11">
      <c r="A342" s="140" t="s">
        <v>401</v>
      </c>
      <c r="B342" s="140"/>
      <c r="C342" s="140" t="s">
        <v>679</v>
      </c>
      <c r="D342" s="140" t="s">
        <v>48</v>
      </c>
      <c r="E342" s="140" t="s">
        <v>163</v>
      </c>
      <c r="F342" s="140" t="s">
        <v>16</v>
      </c>
      <c r="G342" s="140" t="s">
        <v>680</v>
      </c>
      <c r="H342" s="141">
        <v>46227</v>
      </c>
      <c r="I342" s="141"/>
      <c r="J342" s="140" t="s">
        <v>175</v>
      </c>
      <c r="K342" s="143"/>
    </row>
    <row r="343" ht="44" customHeight="1" spans="1:11">
      <c r="A343" s="140" t="s">
        <v>401</v>
      </c>
      <c r="B343" s="140" t="s">
        <v>681</v>
      </c>
      <c r="C343" s="140" t="s">
        <v>682</v>
      </c>
      <c r="D343" s="140" t="s">
        <v>457</v>
      </c>
      <c r="E343" s="140" t="s">
        <v>163</v>
      </c>
      <c r="F343" s="140" t="s">
        <v>164</v>
      </c>
      <c r="G343" s="140"/>
      <c r="H343" s="141">
        <v>46220</v>
      </c>
      <c r="I343" s="141">
        <v>46241</v>
      </c>
      <c r="J343" s="140"/>
      <c r="K343" s="143"/>
    </row>
    <row r="344" ht="44" hidden="1" customHeight="1" spans="1:11">
      <c r="A344" s="140" t="s">
        <v>218</v>
      </c>
      <c r="B344" s="140" t="s">
        <v>219</v>
      </c>
      <c r="C344" s="140" t="s">
        <v>683</v>
      </c>
      <c r="D344" s="140" t="s">
        <v>162</v>
      </c>
      <c r="E344" s="140" t="s">
        <v>167</v>
      </c>
      <c r="F344" s="140" t="s">
        <v>141</v>
      </c>
      <c r="G344" s="140" t="s">
        <v>684</v>
      </c>
      <c r="H344" s="141">
        <v>45818</v>
      </c>
      <c r="I344" s="141">
        <v>46241</v>
      </c>
      <c r="J344" s="140" t="s">
        <v>685</v>
      </c>
      <c r="K344" s="143" t="s">
        <v>686</v>
      </c>
    </row>
    <row r="345" spans="1:11">
      <c r="A345" s="140" t="s">
        <v>159</v>
      </c>
      <c r="B345" s="140" t="s">
        <v>687</v>
      </c>
      <c r="C345" s="140" t="s">
        <v>688</v>
      </c>
      <c r="D345" s="140" t="s">
        <v>266</v>
      </c>
      <c r="E345" s="140" t="s">
        <v>163</v>
      </c>
      <c r="F345" s="140" t="s">
        <v>164</v>
      </c>
      <c r="G345" s="140"/>
      <c r="H345" s="141">
        <v>46227</v>
      </c>
      <c r="I345" s="141">
        <v>46241</v>
      </c>
      <c r="J345" s="140"/>
      <c r="K345" s="143" t="s">
        <v>689</v>
      </c>
    </row>
    <row r="346" hidden="1" spans="1:11">
      <c r="A346" s="140" t="s">
        <v>314</v>
      </c>
      <c r="B346" s="140" t="s">
        <v>690</v>
      </c>
      <c r="C346" s="140"/>
      <c r="D346" s="140" t="s">
        <v>183</v>
      </c>
      <c r="E346" s="140" t="s">
        <v>188</v>
      </c>
      <c r="F346" s="140" t="s">
        <v>141</v>
      </c>
      <c r="G346" s="140"/>
      <c r="H346" s="141">
        <v>45869</v>
      </c>
      <c r="I346" s="141">
        <v>46241</v>
      </c>
      <c r="J346" s="140" t="s">
        <v>185</v>
      </c>
      <c r="K346" s="143"/>
    </row>
    <row r="347" ht="29" hidden="1" customHeight="1" spans="1:11">
      <c r="A347" s="140" t="s">
        <v>401</v>
      </c>
      <c r="B347" s="140" t="s">
        <v>471</v>
      </c>
      <c r="C347" s="140" t="s">
        <v>691</v>
      </c>
      <c r="D347" s="140" t="s">
        <v>266</v>
      </c>
      <c r="E347" s="140" t="s">
        <v>163</v>
      </c>
      <c r="F347" s="140" t="s">
        <v>16</v>
      </c>
      <c r="G347" s="140"/>
      <c r="H347" s="141">
        <v>46230</v>
      </c>
      <c r="I347" s="141"/>
      <c r="J347" s="140" t="s">
        <v>208</v>
      </c>
      <c r="K347" s="143"/>
    </row>
    <row r="348" hidden="1" spans="1:11">
      <c r="A348" s="140" t="s">
        <v>401</v>
      </c>
      <c r="B348" s="140" t="s">
        <v>630</v>
      </c>
      <c r="C348" s="144" t="s">
        <v>692</v>
      </c>
      <c r="D348" s="140" t="s">
        <v>457</v>
      </c>
      <c r="E348" s="140" t="s">
        <v>163</v>
      </c>
      <c r="F348" s="140" t="s">
        <v>16</v>
      </c>
      <c r="G348" s="140"/>
      <c r="H348" s="141">
        <v>46230</v>
      </c>
      <c r="I348" s="141">
        <v>46233</v>
      </c>
      <c r="J348" s="140"/>
      <c r="K348" s="143" t="s">
        <v>632</v>
      </c>
    </row>
    <row r="349" ht="29" hidden="1" customHeight="1" spans="1:11">
      <c r="A349" s="140" t="s">
        <v>205</v>
      </c>
      <c r="B349" s="140" t="s">
        <v>693</v>
      </c>
      <c r="C349" s="140" t="s">
        <v>694</v>
      </c>
      <c r="D349" s="140" t="s">
        <v>162</v>
      </c>
      <c r="E349" s="140" t="s">
        <v>188</v>
      </c>
      <c r="F349" s="140" t="s">
        <v>16</v>
      </c>
      <c r="G349" s="140"/>
      <c r="H349" s="141">
        <v>45869</v>
      </c>
      <c r="I349" s="141">
        <v>46234</v>
      </c>
      <c r="J349" s="140"/>
      <c r="K349" s="143" t="s">
        <v>695</v>
      </c>
    </row>
    <row r="350" ht="29" hidden="1" customHeight="1" spans="1:11">
      <c r="A350" s="140" t="s">
        <v>696</v>
      </c>
      <c r="B350" s="140" t="s">
        <v>697</v>
      </c>
      <c r="C350" s="140" t="s">
        <v>698</v>
      </c>
      <c r="D350" s="140" t="s">
        <v>162</v>
      </c>
      <c r="E350" s="140" t="s">
        <v>188</v>
      </c>
      <c r="F350" s="140" t="s">
        <v>16</v>
      </c>
      <c r="G350" s="140" t="s">
        <v>699</v>
      </c>
      <c r="H350" s="141">
        <v>45869</v>
      </c>
      <c r="I350" s="141">
        <v>46234</v>
      </c>
      <c r="J350" s="140" t="s">
        <v>208</v>
      </c>
      <c r="K350" s="143"/>
    </row>
    <row r="351" hidden="1" spans="1:11">
      <c r="A351" s="140" t="s">
        <v>193</v>
      </c>
      <c r="B351" s="140" t="s">
        <v>21</v>
      </c>
      <c r="C351" s="140" t="s">
        <v>22</v>
      </c>
      <c r="D351" s="140" t="s">
        <v>266</v>
      </c>
      <c r="E351" s="140" t="s">
        <v>188</v>
      </c>
      <c r="F351" s="140" t="s">
        <v>16</v>
      </c>
      <c r="G351" s="140" t="s">
        <v>700</v>
      </c>
      <c r="H351" s="141">
        <v>45869</v>
      </c>
      <c r="I351" s="141">
        <v>46234</v>
      </c>
      <c r="J351" s="140" t="s">
        <v>701</v>
      </c>
      <c r="K351" s="143"/>
    </row>
    <row r="352" ht="58" hidden="1" customHeight="1" spans="1:11">
      <c r="A352" s="140" t="s">
        <v>46</v>
      </c>
      <c r="B352" s="140" t="s">
        <v>702</v>
      </c>
      <c r="C352" s="144" t="s">
        <v>703</v>
      </c>
      <c r="D352" s="140" t="s">
        <v>48</v>
      </c>
      <c r="E352" s="140" t="s">
        <v>188</v>
      </c>
      <c r="F352" s="140" t="s">
        <v>16</v>
      </c>
      <c r="G352" s="140"/>
      <c r="H352" s="141">
        <v>45869</v>
      </c>
      <c r="I352" s="141">
        <v>46234</v>
      </c>
      <c r="J352" s="140"/>
      <c r="K352" s="143"/>
    </row>
    <row r="353" spans="1:11">
      <c r="A353" s="140" t="s">
        <v>401</v>
      </c>
      <c r="B353" s="140" t="s">
        <v>704</v>
      </c>
      <c r="C353" s="140" t="s">
        <v>705</v>
      </c>
      <c r="D353" s="140" t="s">
        <v>48</v>
      </c>
      <c r="E353" s="140" t="s">
        <v>163</v>
      </c>
      <c r="F353" s="140" t="s">
        <v>164</v>
      </c>
      <c r="G353" s="140" t="s">
        <v>422</v>
      </c>
      <c r="H353" s="141">
        <v>46228</v>
      </c>
      <c r="I353" s="141">
        <v>46241</v>
      </c>
      <c r="J353" s="140"/>
      <c r="K353" s="143"/>
    </row>
    <row r="354" ht="58" hidden="1" customHeight="1" spans="1:11">
      <c r="A354" s="140" t="s">
        <v>159</v>
      </c>
      <c r="B354" s="140" t="s">
        <v>706</v>
      </c>
      <c r="C354" s="140" t="s">
        <v>707</v>
      </c>
      <c r="D354" s="140" t="s">
        <v>266</v>
      </c>
      <c r="E354" s="140" t="s">
        <v>163</v>
      </c>
      <c r="F354" s="140" t="s">
        <v>16</v>
      </c>
      <c r="G354" s="140" t="s">
        <v>165</v>
      </c>
      <c r="H354" s="141">
        <v>46232</v>
      </c>
      <c r="I354" s="141">
        <v>46234</v>
      </c>
      <c r="J354" s="140"/>
      <c r="K354" s="143"/>
    </row>
    <row r="355" hidden="1" spans="1:11">
      <c r="A355" s="140" t="s">
        <v>159</v>
      </c>
      <c r="B355" s="140" t="s">
        <v>708</v>
      </c>
      <c r="C355" s="140" t="s">
        <v>709</v>
      </c>
      <c r="D355" s="140" t="s">
        <v>48</v>
      </c>
      <c r="E355" s="140" t="s">
        <v>163</v>
      </c>
      <c r="F355" s="140" t="s">
        <v>16</v>
      </c>
      <c r="G355" s="140" t="s">
        <v>422</v>
      </c>
      <c r="H355" s="141">
        <v>46233</v>
      </c>
      <c r="I355" s="141">
        <v>46234</v>
      </c>
      <c r="J355" s="140"/>
      <c r="K355" s="143"/>
    </row>
    <row r="356" spans="1:11">
      <c r="A356" s="151"/>
      <c r="B356" s="151"/>
      <c r="C356" s="151"/>
      <c r="D356" s="151"/>
      <c r="E356" s="151"/>
      <c r="F356" s="151"/>
      <c r="G356" s="151"/>
      <c r="H356" s="152"/>
      <c r="I356" s="152"/>
      <c r="J356" s="151"/>
    </row>
    <row r="357" spans="1:11">
      <c r="A357" s="151"/>
      <c r="B357" s="151"/>
      <c r="C357" s="151"/>
      <c r="D357" s="151"/>
      <c r="E357" s="151"/>
      <c r="F357" s="151"/>
      <c r="G357" s="151"/>
      <c r="H357" s="152"/>
      <c r="I357" s="152"/>
      <c r="J357" s="151"/>
    </row>
    <row r="358" spans="1:11">
      <c r="A358" s="151"/>
      <c r="B358" s="151"/>
      <c r="C358" s="151"/>
      <c r="D358" s="151"/>
      <c r="E358" s="151"/>
      <c r="F358" s="151"/>
      <c r="G358" s="151"/>
      <c r="H358" s="152"/>
      <c r="I358" s="152"/>
      <c r="J358" s="151"/>
    </row>
    <row r="359" spans="1:11">
      <c r="A359" s="151"/>
      <c r="B359" s="151"/>
      <c r="C359" s="151"/>
      <c r="D359" s="151"/>
      <c r="E359" s="151"/>
      <c r="F359" s="151"/>
      <c r="G359" s="151"/>
      <c r="H359" s="152"/>
      <c r="I359" s="152"/>
      <c r="J359" s="151"/>
    </row>
    <row r="360" spans="1:11">
      <c r="A360" s="151"/>
      <c r="B360" s="151"/>
      <c r="C360" s="151"/>
      <c r="D360" s="151"/>
      <c r="E360" s="151"/>
      <c r="F360" s="151"/>
      <c r="G360" s="151"/>
      <c r="H360" s="152"/>
      <c r="I360" s="152"/>
      <c r="J360" s="151"/>
    </row>
    <row r="361" spans="1:11">
      <c r="A361" s="151"/>
      <c r="B361" s="151"/>
      <c r="C361" s="151"/>
      <c r="D361" s="151"/>
      <c r="E361" s="151"/>
      <c r="F361" s="151"/>
      <c r="G361" s="151"/>
      <c r="H361" s="152"/>
      <c r="I361" s="152"/>
      <c r="J361" s="151"/>
    </row>
    <row r="362" spans="1:11">
      <c r="A362" s="151"/>
      <c r="B362" s="151"/>
      <c r="C362" s="151"/>
      <c r="D362" s="151"/>
      <c r="E362" s="151"/>
      <c r="F362" s="151"/>
      <c r="G362" s="151"/>
      <c r="H362" s="152"/>
      <c r="I362" s="152"/>
      <c r="J362" s="151"/>
    </row>
    <row r="363" spans="1:11">
      <c r="A363" s="151"/>
      <c r="B363" s="151"/>
      <c r="C363" s="151"/>
      <c r="D363" s="151"/>
      <c r="E363" s="151"/>
      <c r="F363" s="151"/>
      <c r="G363" s="151"/>
      <c r="H363" s="152"/>
      <c r="I363" s="152"/>
      <c r="J363" s="151"/>
    </row>
    <row r="364" spans="1:11">
      <c r="A364" s="151"/>
      <c r="B364" s="151"/>
      <c r="C364" s="151"/>
      <c r="D364" s="151"/>
      <c r="E364" s="151"/>
      <c r="F364" s="151"/>
      <c r="G364" s="151"/>
      <c r="H364" s="152"/>
      <c r="I364" s="152"/>
      <c r="J364" s="151"/>
    </row>
    <row r="365" spans="1:11">
      <c r="A365" s="151"/>
      <c r="B365" s="151"/>
      <c r="C365" s="151"/>
      <c r="D365" s="151"/>
      <c r="E365" s="151"/>
      <c r="F365" s="151"/>
      <c r="G365" s="151"/>
      <c r="H365" s="152"/>
      <c r="I365" s="152"/>
      <c r="J365" s="151"/>
    </row>
    <row r="366" spans="1:11">
      <c r="A366" s="151"/>
      <c r="B366" s="151"/>
      <c r="C366" s="151"/>
      <c r="D366" s="151"/>
      <c r="E366" s="151"/>
      <c r="F366" s="151"/>
      <c r="G366" s="151"/>
      <c r="H366" s="152"/>
      <c r="I366" s="152"/>
      <c r="J366" s="151"/>
    </row>
    <row r="367" spans="1:11">
      <c r="A367" s="151"/>
      <c r="B367" s="151"/>
      <c r="C367" s="151"/>
      <c r="D367" s="151"/>
      <c r="E367" s="151"/>
      <c r="F367" s="151"/>
      <c r="G367" s="151"/>
      <c r="H367" s="152"/>
      <c r="I367" s="152"/>
      <c r="J367" s="151"/>
    </row>
    <row r="368" spans="1:11">
      <c r="A368" s="151"/>
      <c r="B368" s="151"/>
      <c r="C368" s="151"/>
      <c r="D368" s="151"/>
      <c r="E368" s="151"/>
      <c r="F368" s="151"/>
      <c r="G368" s="151"/>
      <c r="H368" s="152"/>
      <c r="I368" s="152"/>
      <c r="J368" s="151"/>
    </row>
    <row r="369" spans="1:10">
      <c r="A369" s="151"/>
      <c r="B369" s="151"/>
      <c r="C369" s="151"/>
      <c r="D369" s="151"/>
      <c r="E369" s="151"/>
      <c r="F369" s="151"/>
      <c r="G369" s="151"/>
      <c r="H369" s="152"/>
      <c r="I369" s="152"/>
      <c r="J369" s="151"/>
    </row>
    <row r="370" spans="1:10">
      <c r="A370" s="151"/>
      <c r="B370" s="151"/>
      <c r="C370" s="151"/>
      <c r="D370" s="151"/>
      <c r="E370" s="151"/>
      <c r="F370" s="151"/>
      <c r="G370" s="151"/>
      <c r="H370" s="152"/>
      <c r="I370" s="152"/>
      <c r="J370" s="151"/>
    </row>
    <row r="371" spans="1:10">
      <c r="A371" s="151"/>
      <c r="B371" s="151"/>
      <c r="C371" s="151"/>
      <c r="D371" s="151"/>
      <c r="E371" s="151"/>
      <c r="F371" s="151"/>
      <c r="G371" s="151"/>
      <c r="H371" s="152"/>
      <c r="I371" s="152"/>
      <c r="J371" s="151"/>
    </row>
    <row r="372" spans="1:10">
      <c r="A372" s="151"/>
      <c r="B372" s="151"/>
      <c r="C372" s="151"/>
      <c r="D372" s="151"/>
      <c r="E372" s="151"/>
      <c r="F372" s="151"/>
      <c r="G372" s="151"/>
      <c r="H372" s="152"/>
      <c r="I372" s="152"/>
      <c r="J372" s="151"/>
    </row>
    <row r="373" spans="1:10">
      <c r="A373" s="151"/>
      <c r="B373" s="151"/>
      <c r="C373" s="151"/>
      <c r="D373" s="151"/>
      <c r="E373" s="151"/>
      <c r="F373" s="151"/>
      <c r="G373" s="151"/>
      <c r="H373" s="152"/>
      <c r="I373" s="152"/>
      <c r="J373" s="151"/>
    </row>
    <row r="374" spans="1:10">
      <c r="A374" s="151"/>
      <c r="B374" s="151"/>
      <c r="C374" s="151"/>
      <c r="D374" s="151"/>
      <c r="E374" s="151"/>
      <c r="F374" s="151"/>
      <c r="G374" s="151"/>
      <c r="H374" s="152"/>
      <c r="I374" s="152"/>
      <c r="J374" s="151"/>
    </row>
    <row r="375" spans="1:10">
      <c r="A375" s="151"/>
      <c r="B375" s="151"/>
      <c r="C375" s="151"/>
      <c r="D375" s="151"/>
      <c r="E375" s="151"/>
      <c r="F375" s="151"/>
      <c r="G375" s="151"/>
      <c r="H375" s="152"/>
      <c r="I375" s="152"/>
      <c r="J375" s="151"/>
    </row>
    <row r="376" spans="1:10">
      <c r="A376" s="151"/>
      <c r="B376" s="151"/>
      <c r="C376" s="151"/>
      <c r="D376" s="151"/>
      <c r="E376" s="151"/>
      <c r="F376" s="151"/>
      <c r="G376" s="151"/>
      <c r="H376" s="152"/>
      <c r="I376" s="152"/>
      <c r="J376" s="151"/>
    </row>
    <row r="377" spans="1:10">
      <c r="A377" s="151"/>
      <c r="B377" s="151"/>
      <c r="C377" s="151"/>
      <c r="D377" s="151"/>
      <c r="E377" s="151"/>
      <c r="F377" s="151"/>
      <c r="G377" s="151"/>
      <c r="H377" s="152"/>
      <c r="I377" s="152"/>
      <c r="J377" s="151"/>
    </row>
    <row r="378" spans="1:10">
      <c r="A378" s="151"/>
      <c r="B378" s="151"/>
      <c r="C378" s="151"/>
      <c r="D378" s="151"/>
      <c r="E378" s="151"/>
      <c r="F378" s="151"/>
      <c r="G378" s="151"/>
      <c r="H378" s="152"/>
      <c r="I378" s="152"/>
      <c r="J378" s="151"/>
    </row>
    <row r="379" spans="1:10">
      <c r="A379" s="151"/>
      <c r="B379" s="151"/>
      <c r="C379" s="151"/>
      <c r="D379" s="151"/>
      <c r="E379" s="151"/>
      <c r="F379" s="151"/>
      <c r="G379" s="151"/>
      <c r="H379" s="152"/>
      <c r="I379" s="152"/>
      <c r="J379" s="151"/>
    </row>
    <row r="380" spans="1:10">
      <c r="A380" s="151"/>
      <c r="B380" s="151"/>
      <c r="C380" s="151"/>
      <c r="D380" s="151"/>
      <c r="E380" s="151"/>
      <c r="F380" s="151"/>
      <c r="G380" s="151"/>
      <c r="H380" s="152"/>
      <c r="I380" s="152"/>
      <c r="J380" s="151"/>
    </row>
    <row r="381" spans="1:10">
      <c r="A381" s="151"/>
      <c r="B381" s="151"/>
      <c r="C381" s="151"/>
      <c r="D381" s="151"/>
      <c r="E381" s="151"/>
      <c r="F381" s="151"/>
      <c r="G381" s="151"/>
      <c r="H381" s="152"/>
      <c r="I381" s="152"/>
      <c r="J381" s="151"/>
    </row>
    <row r="382" spans="1:10">
      <c r="A382" s="151"/>
      <c r="B382" s="151"/>
      <c r="C382" s="151"/>
      <c r="D382" s="151"/>
      <c r="E382" s="151"/>
      <c r="F382" s="151"/>
      <c r="G382" s="151"/>
      <c r="H382" s="152"/>
      <c r="I382" s="152"/>
      <c r="J382" s="151"/>
    </row>
    <row r="383" spans="1:10">
      <c r="A383" s="151"/>
      <c r="B383" s="151"/>
      <c r="C383" s="151"/>
      <c r="D383" s="151"/>
      <c r="E383" s="151"/>
      <c r="F383" s="151"/>
      <c r="G383" s="151"/>
      <c r="H383" s="152"/>
      <c r="I383" s="152"/>
      <c r="J383" s="151"/>
    </row>
    <row r="384" spans="1:10">
      <c r="A384" s="151"/>
      <c r="B384" s="151"/>
      <c r="C384" s="151"/>
      <c r="D384" s="151"/>
      <c r="E384" s="151"/>
      <c r="F384" s="151"/>
      <c r="G384" s="151"/>
      <c r="H384" s="152"/>
      <c r="I384" s="152"/>
      <c r="J384" s="151"/>
    </row>
    <row r="385" spans="1:10">
      <c r="A385" s="151"/>
      <c r="B385" s="151"/>
      <c r="C385" s="151"/>
      <c r="D385" s="151"/>
      <c r="E385" s="151"/>
      <c r="F385" s="151"/>
      <c r="G385" s="151"/>
      <c r="H385" s="152"/>
      <c r="I385" s="152"/>
      <c r="J385" s="151"/>
    </row>
    <row r="386" spans="1:10">
      <c r="A386" s="151"/>
      <c r="B386" s="151"/>
      <c r="C386" s="151"/>
      <c r="D386" s="151"/>
      <c r="E386" s="151"/>
      <c r="F386" s="151"/>
      <c r="G386" s="151"/>
      <c r="H386" s="152"/>
      <c r="I386" s="152"/>
      <c r="J386" s="151"/>
    </row>
    <row r="387" spans="1:10">
      <c r="A387" s="151"/>
      <c r="B387" s="151"/>
      <c r="C387" s="151"/>
      <c r="D387" s="151"/>
      <c r="E387" s="151"/>
      <c r="F387" s="151"/>
      <c r="G387" s="151"/>
      <c r="H387" s="152"/>
      <c r="I387" s="152"/>
      <c r="J387" s="151"/>
    </row>
    <row r="388" spans="1:10">
      <c r="A388" s="151"/>
      <c r="B388" s="151"/>
      <c r="C388" s="151"/>
      <c r="D388" s="151"/>
      <c r="E388" s="151"/>
      <c r="F388" s="151"/>
      <c r="G388" s="151"/>
      <c r="H388" s="152"/>
      <c r="I388" s="152"/>
      <c r="J388" s="151"/>
    </row>
    <row r="389" spans="1:10">
      <c r="A389" s="151"/>
      <c r="B389" s="151"/>
      <c r="C389" s="151"/>
      <c r="D389" s="151"/>
      <c r="E389" s="151"/>
      <c r="F389" s="151"/>
      <c r="G389" s="151"/>
      <c r="H389" s="152"/>
      <c r="I389" s="152"/>
      <c r="J389" s="151"/>
    </row>
    <row r="390" spans="1:10">
      <c r="A390" s="151"/>
      <c r="B390" s="151"/>
      <c r="C390" s="151"/>
      <c r="D390" s="151"/>
      <c r="E390" s="151"/>
      <c r="F390" s="151"/>
      <c r="G390" s="151"/>
      <c r="H390" s="152"/>
      <c r="I390" s="152"/>
      <c r="J390" s="151"/>
    </row>
    <row r="391" spans="1:10">
      <c r="A391" s="151"/>
      <c r="B391" s="151"/>
      <c r="C391" s="151"/>
      <c r="D391" s="151"/>
      <c r="E391" s="151"/>
      <c r="F391" s="151"/>
      <c r="G391" s="151"/>
      <c r="H391" s="152"/>
      <c r="I391" s="152"/>
      <c r="J391" s="151"/>
    </row>
    <row r="392" spans="1:10">
      <c r="A392" s="151"/>
      <c r="B392" s="151"/>
      <c r="C392" s="151"/>
      <c r="D392" s="151"/>
      <c r="E392" s="151"/>
      <c r="F392" s="151"/>
      <c r="G392" s="151"/>
      <c r="H392" s="152"/>
      <c r="I392" s="152"/>
      <c r="J392" s="151"/>
    </row>
    <row r="393" spans="1:10">
      <c r="A393" s="151"/>
      <c r="B393" s="151"/>
      <c r="C393" s="151"/>
      <c r="D393" s="151"/>
      <c r="E393" s="151"/>
      <c r="F393" s="151"/>
      <c r="G393" s="151"/>
      <c r="H393" s="152"/>
      <c r="I393" s="152"/>
      <c r="J393" s="151"/>
    </row>
    <row r="394" spans="1:10">
      <c r="A394" s="151"/>
      <c r="B394" s="151"/>
      <c r="C394" s="151"/>
      <c r="D394" s="151"/>
      <c r="E394" s="151"/>
      <c r="F394" s="151"/>
      <c r="G394" s="151"/>
      <c r="H394" s="152"/>
      <c r="I394" s="152"/>
      <c r="J394" s="151"/>
    </row>
    <row r="395" spans="1:10">
      <c r="A395" s="151"/>
      <c r="B395" s="151"/>
      <c r="C395" s="151"/>
      <c r="D395" s="151"/>
      <c r="E395" s="151"/>
      <c r="F395" s="151"/>
      <c r="G395" s="151"/>
      <c r="H395" s="152"/>
      <c r="I395" s="152"/>
      <c r="J395" s="151"/>
    </row>
    <row r="396" spans="1:10">
      <c r="A396" s="151"/>
      <c r="B396" s="151"/>
      <c r="C396" s="151"/>
      <c r="D396" s="151"/>
      <c r="E396" s="151"/>
      <c r="F396" s="151"/>
      <c r="G396" s="151"/>
      <c r="H396" s="152"/>
      <c r="I396" s="152"/>
      <c r="J396" s="151"/>
    </row>
    <row r="397" spans="1:10">
      <c r="A397" s="151"/>
      <c r="B397" s="151"/>
      <c r="C397" s="151"/>
      <c r="D397" s="151"/>
      <c r="E397" s="151"/>
      <c r="F397" s="151"/>
      <c r="G397" s="151"/>
      <c r="H397" s="152"/>
      <c r="I397" s="152"/>
      <c r="J397" s="151"/>
    </row>
    <row r="398" spans="1:10">
      <c r="A398" s="151"/>
      <c r="B398" s="151"/>
      <c r="C398" s="151"/>
      <c r="D398" s="151"/>
      <c r="E398" s="151"/>
      <c r="F398" s="151"/>
      <c r="G398" s="151"/>
      <c r="H398" s="152"/>
      <c r="I398" s="152"/>
      <c r="J398" s="151"/>
    </row>
    <row r="399" spans="1:10">
      <c r="A399" s="151"/>
      <c r="B399" s="151"/>
      <c r="C399" s="151"/>
      <c r="D399" s="151"/>
      <c r="E399" s="151"/>
      <c r="F399" s="151"/>
      <c r="G399" s="151"/>
      <c r="H399" s="152"/>
      <c r="I399" s="152"/>
      <c r="J399" s="151"/>
    </row>
    <row r="400" spans="1:10">
      <c r="A400" s="151"/>
      <c r="B400" s="151"/>
      <c r="C400" s="151"/>
      <c r="D400" s="151"/>
      <c r="E400" s="151"/>
      <c r="F400" s="151"/>
      <c r="G400" s="151"/>
      <c r="H400" s="152"/>
      <c r="I400" s="152"/>
      <c r="J400" s="151"/>
    </row>
    <row r="401" spans="1:10">
      <c r="A401" s="151"/>
      <c r="B401" s="151"/>
      <c r="C401" s="151"/>
      <c r="D401" s="151"/>
      <c r="E401" s="151"/>
      <c r="F401" s="151"/>
      <c r="G401" s="151"/>
      <c r="H401" s="152"/>
      <c r="I401" s="152"/>
      <c r="J401" s="151"/>
    </row>
    <row r="402" spans="1:10">
      <c r="A402" s="151"/>
      <c r="B402" s="151"/>
      <c r="C402" s="151"/>
      <c r="D402" s="151"/>
      <c r="E402" s="151"/>
      <c r="F402" s="151"/>
      <c r="G402" s="151"/>
      <c r="H402" s="152"/>
      <c r="I402" s="152"/>
      <c r="J402" s="151"/>
    </row>
    <row r="403" spans="1:10">
      <c r="A403" s="151"/>
      <c r="B403" s="151"/>
      <c r="C403" s="151"/>
      <c r="D403" s="151"/>
      <c r="E403" s="151"/>
      <c r="F403" s="151"/>
      <c r="G403" s="151"/>
      <c r="H403" s="152"/>
      <c r="I403" s="152"/>
      <c r="J403" s="151"/>
    </row>
    <row r="404" spans="1:10">
      <c r="A404" s="151"/>
      <c r="B404" s="151"/>
      <c r="C404" s="151"/>
      <c r="D404" s="151"/>
      <c r="E404" s="151"/>
      <c r="F404" s="151"/>
      <c r="G404" s="151"/>
      <c r="H404" s="152"/>
      <c r="I404" s="152"/>
      <c r="J404" s="151"/>
    </row>
    <row r="405" spans="1:10">
      <c r="A405" s="151"/>
      <c r="B405" s="151"/>
      <c r="C405" s="151"/>
      <c r="D405" s="151"/>
      <c r="E405" s="151"/>
      <c r="F405" s="151"/>
      <c r="G405" s="151"/>
      <c r="H405" s="152"/>
      <c r="I405" s="152"/>
      <c r="J405" s="151"/>
    </row>
    <row r="406" spans="1:10">
      <c r="A406" s="151"/>
      <c r="B406" s="151"/>
      <c r="C406" s="151"/>
      <c r="D406" s="151"/>
      <c r="E406" s="151"/>
      <c r="F406" s="151"/>
      <c r="G406" s="151"/>
      <c r="H406" s="152"/>
      <c r="I406" s="152"/>
      <c r="J406" s="151"/>
    </row>
    <row r="407" spans="1:10">
      <c r="A407" s="151"/>
      <c r="B407" s="151"/>
      <c r="C407" s="151"/>
      <c r="D407" s="151"/>
      <c r="E407" s="151"/>
      <c r="F407" s="151"/>
      <c r="G407" s="151"/>
      <c r="H407" s="152"/>
      <c r="I407" s="152"/>
      <c r="J407" s="151"/>
    </row>
    <row r="408" spans="1:10">
      <c r="A408" s="151"/>
      <c r="B408" s="151"/>
      <c r="C408" s="151"/>
      <c r="D408" s="151"/>
      <c r="E408" s="151"/>
      <c r="F408" s="151"/>
      <c r="G408" s="151"/>
      <c r="H408" s="152"/>
      <c r="I408" s="152"/>
      <c r="J408" s="151"/>
    </row>
    <row r="409" spans="1:10">
      <c r="A409" s="151"/>
      <c r="B409" s="151"/>
      <c r="C409" s="151"/>
      <c r="D409" s="151"/>
      <c r="E409" s="151"/>
      <c r="F409" s="151"/>
      <c r="G409" s="151"/>
      <c r="H409" s="152"/>
      <c r="I409" s="152"/>
      <c r="J409" s="151"/>
    </row>
    <row r="410" spans="1:10">
      <c r="A410" s="151"/>
      <c r="B410" s="151"/>
      <c r="C410" s="151"/>
      <c r="D410" s="151"/>
      <c r="E410" s="151"/>
      <c r="F410" s="151"/>
      <c r="G410" s="151"/>
      <c r="H410" s="152"/>
      <c r="I410" s="152"/>
      <c r="J410" s="151"/>
    </row>
    <row r="411" spans="1:10">
      <c r="A411" s="151"/>
      <c r="B411" s="151"/>
      <c r="C411" s="151"/>
      <c r="D411" s="151"/>
      <c r="E411" s="151"/>
      <c r="F411" s="151"/>
      <c r="G411" s="151"/>
      <c r="H411" s="152"/>
      <c r="I411" s="152"/>
      <c r="J411" s="151"/>
    </row>
    <row r="412" spans="1:10">
      <c r="A412" s="151"/>
      <c r="B412" s="151"/>
      <c r="C412" s="151"/>
      <c r="D412" s="151"/>
      <c r="E412" s="151"/>
      <c r="F412" s="151"/>
      <c r="G412" s="151"/>
      <c r="H412" s="152"/>
      <c r="I412" s="152"/>
      <c r="J412" s="151"/>
    </row>
    <row r="413" spans="1:10">
      <c r="A413" s="151"/>
      <c r="B413" s="151"/>
      <c r="C413" s="151"/>
      <c r="D413" s="151"/>
      <c r="E413" s="151"/>
      <c r="F413" s="151"/>
      <c r="G413" s="151"/>
      <c r="H413" s="152"/>
      <c r="I413" s="152"/>
      <c r="J413" s="151"/>
    </row>
    <row r="414" spans="1:10">
      <c r="A414" s="151"/>
      <c r="B414" s="151"/>
      <c r="C414" s="151"/>
      <c r="D414" s="151"/>
      <c r="E414" s="151"/>
      <c r="F414" s="151"/>
      <c r="G414" s="151"/>
      <c r="H414" s="152"/>
      <c r="I414" s="152"/>
      <c r="J414" s="151"/>
    </row>
    <row r="415" spans="1:10">
      <c r="A415" s="151"/>
      <c r="B415" s="151"/>
      <c r="C415" s="151"/>
      <c r="D415" s="151"/>
      <c r="E415" s="151"/>
      <c r="F415" s="151"/>
      <c r="G415" s="151"/>
      <c r="H415" s="152"/>
      <c r="I415" s="152"/>
      <c r="J415" s="151"/>
    </row>
    <row r="416" spans="1:10">
      <c r="A416" s="151"/>
      <c r="B416" s="151"/>
      <c r="C416" s="151"/>
      <c r="D416" s="151"/>
      <c r="E416" s="151"/>
      <c r="F416" s="151"/>
      <c r="G416" s="151"/>
      <c r="H416" s="152"/>
      <c r="I416" s="152"/>
      <c r="J416" s="151"/>
    </row>
    <row r="417" spans="1:10">
      <c r="A417" s="151"/>
      <c r="B417" s="151"/>
      <c r="C417" s="151"/>
      <c r="D417" s="151"/>
      <c r="E417" s="151"/>
      <c r="F417" s="151"/>
      <c r="G417" s="151"/>
      <c r="H417" s="152"/>
      <c r="I417" s="152"/>
      <c r="J417" s="151"/>
    </row>
    <row r="418" spans="1:10">
      <c r="A418" s="151"/>
      <c r="B418" s="151"/>
      <c r="C418" s="151"/>
      <c r="D418" s="151"/>
      <c r="E418" s="151"/>
      <c r="F418" s="151"/>
      <c r="G418" s="151"/>
      <c r="H418" s="152"/>
      <c r="I418" s="152"/>
      <c r="J418" s="151"/>
    </row>
    <row r="419" spans="1:10">
      <c r="A419" s="151"/>
      <c r="B419" s="151"/>
      <c r="C419" s="151"/>
      <c r="D419" s="151"/>
      <c r="E419" s="151"/>
      <c r="F419" s="151"/>
      <c r="G419" s="151"/>
      <c r="H419" s="152"/>
      <c r="I419" s="152"/>
      <c r="J419" s="151"/>
    </row>
    <row r="420" spans="1:10">
      <c r="A420" s="151"/>
      <c r="B420" s="151"/>
      <c r="C420" s="151"/>
      <c r="D420" s="151"/>
      <c r="E420" s="151"/>
      <c r="F420" s="151"/>
      <c r="G420" s="151"/>
      <c r="H420" s="152"/>
      <c r="I420" s="152"/>
      <c r="J420" s="151"/>
    </row>
    <row r="421" spans="1:10">
      <c r="A421" s="151"/>
      <c r="B421" s="151"/>
      <c r="C421" s="151"/>
      <c r="D421" s="151"/>
      <c r="E421" s="151"/>
      <c r="F421" s="151"/>
      <c r="G421" s="151"/>
      <c r="H421" s="152"/>
      <c r="I421" s="152"/>
      <c r="J421" s="151"/>
    </row>
    <row r="422" spans="1:10">
      <c r="A422" s="151"/>
      <c r="B422" s="151"/>
      <c r="C422" s="151"/>
      <c r="D422" s="151"/>
      <c r="E422" s="151"/>
      <c r="F422" s="151"/>
      <c r="G422" s="151"/>
      <c r="H422" s="152"/>
      <c r="I422" s="152"/>
      <c r="J422" s="151"/>
    </row>
    <row r="423" spans="1:10">
      <c r="A423" s="151"/>
      <c r="B423" s="151"/>
      <c r="C423" s="151"/>
      <c r="D423" s="151"/>
      <c r="E423" s="151"/>
      <c r="F423" s="151"/>
      <c r="G423" s="151"/>
      <c r="H423" s="152"/>
      <c r="I423" s="152"/>
      <c r="J423" s="151"/>
    </row>
    <row r="424" spans="1:10">
      <c r="A424" s="151"/>
      <c r="B424" s="151"/>
      <c r="C424" s="151"/>
      <c r="D424" s="151"/>
      <c r="E424" s="151"/>
      <c r="F424" s="151"/>
      <c r="G424" s="151"/>
      <c r="H424" s="152"/>
      <c r="I424" s="152"/>
      <c r="J424" s="151"/>
    </row>
    <row r="425" spans="1:10">
      <c r="A425" s="151"/>
      <c r="B425" s="151"/>
      <c r="C425" s="151"/>
      <c r="D425" s="151"/>
      <c r="E425" s="151"/>
      <c r="F425" s="151"/>
      <c r="G425" s="151"/>
      <c r="H425" s="152"/>
      <c r="I425" s="152"/>
      <c r="J425" s="151"/>
    </row>
    <row r="426" spans="1:10">
      <c r="A426" s="151"/>
      <c r="B426" s="151"/>
      <c r="C426" s="151"/>
      <c r="D426" s="151"/>
      <c r="E426" s="151"/>
      <c r="F426" s="151"/>
      <c r="G426" s="151"/>
      <c r="H426" s="152"/>
      <c r="I426" s="152"/>
      <c r="J426" s="151"/>
    </row>
    <row r="427" spans="1:10">
      <c r="A427" s="151"/>
      <c r="B427" s="151"/>
      <c r="C427" s="151"/>
      <c r="D427" s="151"/>
      <c r="E427" s="151"/>
      <c r="F427" s="151"/>
      <c r="G427" s="151"/>
      <c r="H427" s="152"/>
      <c r="I427" s="152"/>
      <c r="J427" s="151"/>
    </row>
    <row r="428" spans="1:10">
      <c r="A428" s="151"/>
      <c r="B428" s="151"/>
      <c r="C428" s="151"/>
      <c r="D428" s="151"/>
      <c r="E428" s="151"/>
      <c r="F428" s="151"/>
      <c r="G428" s="151"/>
      <c r="H428" s="152"/>
      <c r="I428" s="152"/>
      <c r="J428" s="151"/>
    </row>
    <row r="429" spans="1:10">
      <c r="A429" s="151"/>
      <c r="B429" s="151"/>
      <c r="C429" s="151"/>
      <c r="D429" s="151"/>
      <c r="E429" s="151"/>
      <c r="F429" s="151"/>
      <c r="G429" s="151"/>
      <c r="H429" s="152"/>
      <c r="I429" s="152"/>
      <c r="J429" s="151"/>
    </row>
    <row r="430" spans="1:10">
      <c r="A430" s="151"/>
      <c r="B430" s="151"/>
      <c r="C430" s="151"/>
      <c r="D430" s="151"/>
      <c r="E430" s="151"/>
      <c r="F430" s="151"/>
      <c r="G430" s="151"/>
      <c r="H430" s="152"/>
      <c r="I430" s="152"/>
      <c r="J430" s="151"/>
    </row>
    <row r="431" spans="1:10">
      <c r="A431" s="151"/>
      <c r="B431" s="151"/>
      <c r="C431" s="151"/>
      <c r="D431" s="151"/>
      <c r="E431" s="151"/>
      <c r="F431" s="151"/>
      <c r="G431" s="151"/>
      <c r="H431" s="152"/>
      <c r="I431" s="152"/>
      <c r="J431" s="151"/>
    </row>
    <row r="432" spans="1:10">
      <c r="A432" s="151"/>
      <c r="B432" s="151"/>
      <c r="C432" s="151"/>
      <c r="D432" s="151"/>
      <c r="E432" s="151"/>
      <c r="F432" s="151"/>
      <c r="G432" s="151"/>
      <c r="H432" s="152"/>
      <c r="I432" s="152"/>
      <c r="J432" s="151"/>
    </row>
    <row r="433" spans="1:10">
      <c r="A433" s="151"/>
      <c r="B433" s="151"/>
      <c r="C433" s="151"/>
      <c r="D433" s="151"/>
      <c r="E433" s="151"/>
      <c r="F433" s="151"/>
      <c r="G433" s="151"/>
      <c r="H433" s="152"/>
      <c r="I433" s="152"/>
      <c r="J433" s="151"/>
    </row>
    <row r="434" spans="1:10">
      <c r="A434" s="151"/>
      <c r="B434" s="151"/>
      <c r="C434" s="151"/>
      <c r="D434" s="151"/>
      <c r="E434" s="151"/>
      <c r="F434" s="151"/>
      <c r="G434" s="151"/>
      <c r="H434" s="152"/>
      <c r="I434" s="152"/>
      <c r="J434" s="151"/>
    </row>
    <row r="435" spans="1:10">
      <c r="A435" s="151"/>
      <c r="B435" s="151"/>
      <c r="C435" s="151"/>
      <c r="D435" s="151"/>
      <c r="E435" s="151"/>
      <c r="F435" s="151"/>
      <c r="G435" s="151"/>
      <c r="H435" s="152"/>
      <c r="I435" s="152"/>
      <c r="J435" s="151"/>
    </row>
    <row r="436" spans="1:10">
      <c r="A436" s="151"/>
      <c r="B436" s="151"/>
      <c r="C436" s="151"/>
      <c r="D436" s="151"/>
      <c r="E436" s="151"/>
      <c r="F436" s="151"/>
      <c r="G436" s="151"/>
      <c r="H436" s="152"/>
      <c r="I436" s="152"/>
      <c r="J436" s="151"/>
    </row>
    <row r="437" spans="1:10">
      <c r="A437" s="151"/>
      <c r="B437" s="151"/>
      <c r="C437" s="151"/>
      <c r="D437" s="151"/>
      <c r="E437" s="151"/>
      <c r="F437" s="151"/>
      <c r="G437" s="151"/>
      <c r="H437" s="152"/>
      <c r="I437" s="152"/>
      <c r="J437" s="151"/>
    </row>
    <row r="438" spans="1:10">
      <c r="A438" s="151"/>
      <c r="B438" s="151"/>
      <c r="C438" s="151"/>
      <c r="D438" s="151"/>
      <c r="E438" s="151"/>
      <c r="F438" s="151"/>
      <c r="G438" s="151"/>
      <c r="H438" s="152"/>
      <c r="I438" s="152"/>
      <c r="J438" s="151"/>
    </row>
    <row r="439" spans="1:10">
      <c r="A439" s="151"/>
      <c r="B439" s="151"/>
      <c r="C439" s="151"/>
      <c r="D439" s="151"/>
      <c r="E439" s="151"/>
      <c r="F439" s="151"/>
      <c r="G439" s="151"/>
      <c r="H439" s="152"/>
      <c r="I439" s="152"/>
      <c r="J439" s="151"/>
    </row>
    <row r="440" spans="1:10">
      <c r="A440" s="151"/>
      <c r="B440" s="151"/>
      <c r="C440" s="151"/>
      <c r="D440" s="151"/>
      <c r="E440" s="151"/>
      <c r="F440" s="151"/>
      <c r="G440" s="151"/>
      <c r="H440" s="152"/>
      <c r="I440" s="152"/>
      <c r="J440" s="151"/>
    </row>
    <row r="441" spans="1:10">
      <c r="A441" s="151"/>
      <c r="B441" s="151"/>
      <c r="C441" s="151"/>
      <c r="D441" s="151"/>
      <c r="E441" s="151"/>
      <c r="F441" s="151"/>
      <c r="G441" s="151"/>
      <c r="H441" s="152"/>
      <c r="I441" s="152"/>
      <c r="J441" s="151"/>
    </row>
    <row r="442" spans="1:10">
      <c r="A442" s="151"/>
      <c r="B442" s="151"/>
      <c r="C442" s="151"/>
      <c r="D442" s="151"/>
      <c r="E442" s="151"/>
      <c r="F442" s="151"/>
      <c r="G442" s="151"/>
      <c r="H442" s="152"/>
      <c r="I442" s="152"/>
      <c r="J442" s="151"/>
    </row>
    <row r="443" spans="1:10">
      <c r="A443" s="151"/>
      <c r="B443" s="151"/>
      <c r="C443" s="151"/>
      <c r="D443" s="151"/>
      <c r="E443" s="151"/>
      <c r="F443" s="151"/>
      <c r="G443" s="151"/>
      <c r="H443" s="152"/>
      <c r="I443" s="152"/>
      <c r="J443" s="151"/>
    </row>
    <row r="444" spans="1:10">
      <c r="A444" s="151"/>
      <c r="B444" s="151"/>
      <c r="C444" s="151"/>
      <c r="D444" s="151"/>
      <c r="E444" s="151"/>
      <c r="F444" s="151"/>
      <c r="G444" s="151"/>
      <c r="H444" s="152"/>
      <c r="I444" s="152"/>
      <c r="J444" s="151"/>
    </row>
    <row r="445" spans="1:10">
      <c r="A445" s="151"/>
      <c r="B445" s="151"/>
      <c r="C445" s="151"/>
      <c r="D445" s="151"/>
      <c r="E445" s="151"/>
      <c r="F445" s="151"/>
      <c r="G445" s="151"/>
      <c r="H445" s="152"/>
      <c r="I445" s="152"/>
      <c r="J445" s="151"/>
    </row>
    <row r="446" spans="1:10">
      <c r="A446" s="151"/>
      <c r="B446" s="151"/>
      <c r="C446" s="151"/>
      <c r="D446" s="151"/>
      <c r="E446" s="151"/>
      <c r="F446" s="151"/>
      <c r="G446" s="151"/>
      <c r="H446" s="152"/>
      <c r="I446" s="152"/>
      <c r="J446" s="151"/>
    </row>
    <row r="447" spans="1:10">
      <c r="A447" s="151"/>
      <c r="B447" s="151"/>
      <c r="C447" s="151"/>
      <c r="D447" s="151"/>
      <c r="E447" s="151"/>
      <c r="F447" s="151"/>
      <c r="G447" s="151"/>
      <c r="H447" s="152"/>
      <c r="I447" s="152"/>
      <c r="J447" s="151"/>
    </row>
    <row r="448" spans="1:10">
      <c r="A448" s="151"/>
      <c r="B448" s="151"/>
      <c r="C448" s="151"/>
      <c r="D448" s="151"/>
      <c r="E448" s="151"/>
      <c r="F448" s="151"/>
      <c r="G448" s="151"/>
      <c r="H448" s="152"/>
      <c r="I448" s="152"/>
      <c r="J448" s="151"/>
    </row>
    <row r="449" spans="1:10">
      <c r="A449" s="151"/>
      <c r="B449" s="151"/>
      <c r="C449" s="151"/>
      <c r="D449" s="151"/>
      <c r="E449" s="151"/>
      <c r="F449" s="151"/>
      <c r="G449" s="151"/>
      <c r="H449" s="152"/>
      <c r="I449" s="152"/>
      <c r="J449" s="151"/>
    </row>
    <row r="450" spans="1:10">
      <c r="A450" s="151"/>
      <c r="B450" s="151"/>
      <c r="C450" s="151"/>
      <c r="D450" s="151"/>
      <c r="E450" s="151"/>
      <c r="F450" s="151"/>
      <c r="G450" s="151"/>
      <c r="H450" s="152"/>
      <c r="I450" s="152"/>
      <c r="J450" s="151"/>
    </row>
    <row r="451" spans="1:10">
      <c r="A451" s="151"/>
      <c r="B451" s="151"/>
      <c r="C451" s="151"/>
      <c r="D451" s="151"/>
      <c r="E451" s="151"/>
      <c r="F451" s="151"/>
      <c r="G451" s="151"/>
      <c r="H451" s="152"/>
      <c r="I451" s="152"/>
      <c r="J451" s="151"/>
    </row>
    <row r="452" spans="1:10">
      <c r="A452" s="151"/>
      <c r="B452" s="151"/>
      <c r="C452" s="151"/>
      <c r="D452" s="151"/>
      <c r="E452" s="151"/>
      <c r="F452" s="151"/>
      <c r="G452" s="151"/>
      <c r="H452" s="152"/>
      <c r="I452" s="152"/>
      <c r="J452" s="151"/>
    </row>
    <row r="453" spans="1:10">
      <c r="A453" s="151"/>
      <c r="B453" s="151"/>
      <c r="C453" s="151"/>
      <c r="D453" s="151"/>
      <c r="E453" s="151"/>
      <c r="F453" s="151"/>
      <c r="G453" s="151"/>
      <c r="H453" s="152"/>
      <c r="I453" s="152"/>
      <c r="J453" s="151"/>
    </row>
    <row r="454" spans="1:10">
      <c r="A454" s="151"/>
      <c r="B454" s="151"/>
      <c r="C454" s="151"/>
      <c r="D454" s="151"/>
      <c r="E454" s="151"/>
      <c r="F454" s="151"/>
      <c r="G454" s="151"/>
      <c r="H454" s="152"/>
      <c r="I454" s="152"/>
      <c r="J454" s="151"/>
    </row>
    <row r="455" spans="1:10">
      <c r="A455" s="151"/>
      <c r="B455" s="151"/>
      <c r="C455" s="151"/>
      <c r="D455" s="151"/>
      <c r="E455" s="151"/>
      <c r="F455" s="151"/>
      <c r="G455" s="151"/>
      <c r="H455" s="152"/>
      <c r="I455" s="152"/>
      <c r="J455" s="151"/>
    </row>
    <row r="456" spans="1:10">
      <c r="A456" s="151"/>
      <c r="B456" s="151"/>
      <c r="C456" s="151"/>
      <c r="D456" s="151"/>
      <c r="E456" s="151"/>
      <c r="F456" s="151"/>
      <c r="G456" s="151"/>
      <c r="H456" s="152"/>
      <c r="I456" s="152"/>
      <c r="J456" s="151"/>
    </row>
    <row r="457" spans="1:10">
      <c r="A457" s="151"/>
      <c r="B457" s="151"/>
      <c r="C457" s="151"/>
      <c r="D457" s="151"/>
      <c r="E457" s="151"/>
      <c r="F457" s="151"/>
      <c r="G457" s="151"/>
      <c r="H457" s="152"/>
      <c r="I457" s="152"/>
      <c r="J457" s="151"/>
    </row>
    <row r="458" spans="1:10">
      <c r="A458" s="151"/>
      <c r="B458" s="151"/>
      <c r="C458" s="151"/>
      <c r="D458" s="151"/>
      <c r="E458" s="151"/>
      <c r="F458" s="151"/>
      <c r="G458" s="151"/>
      <c r="H458" s="152"/>
      <c r="I458" s="152"/>
      <c r="J458" s="151"/>
    </row>
    <row r="459" spans="1:10">
      <c r="A459" s="151"/>
      <c r="B459" s="151"/>
      <c r="C459" s="151"/>
      <c r="D459" s="151"/>
      <c r="E459" s="151"/>
      <c r="F459" s="151"/>
      <c r="G459" s="151"/>
      <c r="H459" s="152"/>
      <c r="I459" s="152"/>
      <c r="J459" s="151"/>
    </row>
    <row r="460" spans="1:10">
      <c r="A460" s="151"/>
      <c r="B460" s="151"/>
      <c r="C460" s="151"/>
      <c r="D460" s="151"/>
      <c r="E460" s="151"/>
      <c r="F460" s="151"/>
      <c r="G460" s="151"/>
      <c r="H460" s="152"/>
      <c r="I460" s="152"/>
      <c r="J460" s="151"/>
    </row>
    <row r="461" spans="1:10">
      <c r="A461" s="151"/>
      <c r="B461" s="151"/>
      <c r="C461" s="151"/>
      <c r="D461" s="151"/>
      <c r="E461" s="151"/>
      <c r="F461" s="151"/>
      <c r="G461" s="151"/>
      <c r="H461" s="152"/>
      <c r="I461" s="152"/>
      <c r="J461" s="151"/>
    </row>
    <row r="462" spans="1:10">
      <c r="A462" s="151"/>
      <c r="B462" s="151"/>
      <c r="C462" s="151"/>
      <c r="D462" s="151"/>
      <c r="E462" s="151"/>
      <c r="F462" s="151"/>
      <c r="G462" s="151"/>
      <c r="H462" s="152"/>
      <c r="I462" s="152"/>
      <c r="J462" s="151"/>
    </row>
    <row r="463" spans="1:10">
      <c r="A463" s="151"/>
      <c r="B463" s="151"/>
      <c r="C463" s="151"/>
      <c r="D463" s="151"/>
      <c r="E463" s="151"/>
      <c r="F463" s="151"/>
      <c r="G463" s="151"/>
      <c r="H463" s="152"/>
      <c r="I463" s="152"/>
      <c r="J463" s="151"/>
    </row>
    <row r="464" spans="1:10">
      <c r="A464" s="151"/>
      <c r="B464" s="151"/>
      <c r="C464" s="151"/>
      <c r="D464" s="151"/>
      <c r="E464" s="151"/>
      <c r="F464" s="151"/>
      <c r="G464" s="151"/>
      <c r="H464" s="152"/>
      <c r="I464" s="152"/>
      <c r="J464" s="151"/>
    </row>
    <row r="465" spans="1:10">
      <c r="A465" s="151"/>
      <c r="B465" s="151"/>
      <c r="C465" s="151"/>
      <c r="D465" s="151"/>
      <c r="E465" s="151"/>
      <c r="F465" s="151"/>
      <c r="G465" s="151"/>
      <c r="H465" s="152"/>
      <c r="I465" s="152"/>
      <c r="J465" s="151"/>
    </row>
    <row r="466" spans="1:10">
      <c r="A466" s="151"/>
      <c r="B466" s="151"/>
      <c r="C466" s="151"/>
      <c r="D466" s="151"/>
      <c r="E466" s="151"/>
      <c r="F466" s="151"/>
      <c r="G466" s="151"/>
      <c r="H466" s="152"/>
      <c r="I466" s="152"/>
      <c r="J466" s="151"/>
    </row>
    <row r="467" spans="1:10">
      <c r="A467" s="151"/>
      <c r="B467" s="151"/>
      <c r="C467" s="151"/>
      <c r="D467" s="151"/>
      <c r="E467" s="151"/>
      <c r="F467" s="151"/>
      <c r="G467" s="151"/>
      <c r="H467" s="152"/>
      <c r="I467" s="152"/>
      <c r="J467" s="151"/>
    </row>
    <row r="468" spans="1:10">
      <c r="A468" s="151"/>
      <c r="B468" s="151"/>
      <c r="C468" s="151"/>
      <c r="D468" s="151"/>
      <c r="E468" s="151"/>
      <c r="F468" s="151"/>
      <c r="G468" s="151"/>
      <c r="H468" s="152"/>
      <c r="I468" s="152"/>
      <c r="J468" s="151"/>
    </row>
    <row r="469" spans="1:10">
      <c r="A469" s="151"/>
      <c r="B469" s="151"/>
      <c r="C469" s="151"/>
      <c r="D469" s="151"/>
      <c r="E469" s="151"/>
      <c r="F469" s="151"/>
      <c r="G469" s="151"/>
      <c r="H469" s="152"/>
      <c r="I469" s="152"/>
      <c r="J469" s="151"/>
    </row>
    <row r="470" spans="1:10">
      <c r="A470" s="151"/>
      <c r="B470" s="151"/>
      <c r="C470" s="151"/>
      <c r="D470" s="151"/>
      <c r="E470" s="151"/>
      <c r="F470" s="151"/>
      <c r="G470" s="151"/>
      <c r="H470" s="152"/>
      <c r="I470" s="152"/>
      <c r="J470" s="151"/>
    </row>
    <row r="471" spans="1:10">
      <c r="A471" s="151"/>
      <c r="B471" s="151"/>
      <c r="C471" s="151"/>
      <c r="D471" s="151"/>
      <c r="E471" s="151"/>
      <c r="F471" s="151"/>
      <c r="G471" s="151"/>
      <c r="H471" s="152"/>
      <c r="I471" s="152"/>
      <c r="J471" s="151"/>
    </row>
    <row r="472" spans="1:10">
      <c r="A472" s="151"/>
      <c r="B472" s="151"/>
      <c r="C472" s="151"/>
      <c r="D472" s="151"/>
      <c r="E472" s="151"/>
      <c r="F472" s="151"/>
      <c r="G472" s="151"/>
      <c r="H472" s="152"/>
      <c r="I472" s="152"/>
      <c r="J472" s="151"/>
    </row>
    <row r="473" spans="1:10">
      <c r="A473" s="151"/>
      <c r="B473" s="151"/>
      <c r="C473" s="151"/>
      <c r="D473" s="151"/>
      <c r="E473" s="151"/>
      <c r="F473" s="151"/>
      <c r="G473" s="151"/>
      <c r="H473" s="152"/>
      <c r="I473" s="152"/>
      <c r="J473" s="151"/>
    </row>
    <row r="474" spans="1:10">
      <c r="A474" s="151"/>
      <c r="B474" s="151"/>
      <c r="C474" s="151"/>
      <c r="D474" s="151"/>
      <c r="E474" s="151"/>
      <c r="F474" s="151"/>
      <c r="G474" s="151"/>
      <c r="H474" s="152"/>
      <c r="I474" s="152"/>
      <c r="J474" s="151"/>
    </row>
    <row r="475" spans="1:10">
      <c r="A475" s="151"/>
      <c r="B475" s="151"/>
      <c r="C475" s="151"/>
      <c r="D475" s="151"/>
      <c r="E475" s="151"/>
      <c r="F475" s="151"/>
      <c r="G475" s="151"/>
      <c r="H475" s="152"/>
      <c r="I475" s="152"/>
      <c r="J475" s="151"/>
    </row>
    <row r="476" spans="1:10">
      <c r="A476" s="151"/>
      <c r="B476" s="151"/>
      <c r="C476" s="151"/>
      <c r="D476" s="151"/>
      <c r="E476" s="151"/>
      <c r="F476" s="151"/>
      <c r="G476" s="151"/>
      <c r="H476" s="152"/>
      <c r="I476" s="152"/>
      <c r="J476" s="151"/>
    </row>
    <row r="477" spans="1:10">
      <c r="A477" s="151"/>
      <c r="B477" s="151"/>
      <c r="C477" s="151"/>
      <c r="D477" s="151"/>
      <c r="E477" s="151"/>
      <c r="F477" s="151"/>
      <c r="G477" s="151"/>
      <c r="H477" s="152"/>
      <c r="I477" s="152"/>
      <c r="J477" s="151"/>
    </row>
    <row r="478" spans="1:10">
      <c r="A478" s="151"/>
      <c r="B478" s="151"/>
      <c r="C478" s="151"/>
      <c r="D478" s="151"/>
      <c r="E478" s="151"/>
      <c r="F478" s="151"/>
      <c r="G478" s="151"/>
      <c r="H478" s="152"/>
      <c r="I478" s="152"/>
      <c r="J478" s="151"/>
    </row>
    <row r="479" spans="1:10">
      <c r="A479" s="151"/>
      <c r="B479" s="151"/>
      <c r="C479" s="151"/>
      <c r="D479" s="151"/>
      <c r="E479" s="151"/>
      <c r="F479" s="151"/>
      <c r="G479" s="151"/>
      <c r="H479" s="152"/>
      <c r="I479" s="152"/>
      <c r="J479" s="151"/>
    </row>
    <row r="480" spans="1:10">
      <c r="A480" s="151"/>
      <c r="B480" s="151"/>
      <c r="C480" s="151"/>
      <c r="D480" s="151"/>
      <c r="E480" s="151"/>
      <c r="F480" s="151"/>
      <c r="G480" s="151"/>
      <c r="H480" s="152"/>
      <c r="I480" s="152"/>
      <c r="J480" s="151"/>
    </row>
    <row r="481" spans="1:10">
      <c r="A481" s="151"/>
      <c r="B481" s="151"/>
      <c r="C481" s="151"/>
      <c r="D481" s="151"/>
      <c r="E481" s="151"/>
      <c r="F481" s="151"/>
      <c r="G481" s="151"/>
      <c r="H481" s="152"/>
      <c r="I481" s="152"/>
      <c r="J481" s="151"/>
    </row>
    <row r="482" spans="1:10">
      <c r="A482" s="151"/>
      <c r="B482" s="151"/>
      <c r="C482" s="151"/>
      <c r="D482" s="151"/>
      <c r="E482" s="151"/>
      <c r="F482" s="151"/>
      <c r="G482" s="151"/>
      <c r="H482" s="152"/>
      <c r="I482" s="152"/>
      <c r="J482" s="151"/>
    </row>
    <row r="483" spans="1:10">
      <c r="A483" s="151"/>
      <c r="B483" s="151"/>
      <c r="C483" s="151"/>
      <c r="D483" s="151"/>
      <c r="E483" s="151"/>
      <c r="F483" s="151"/>
      <c r="G483" s="151"/>
      <c r="H483" s="152"/>
      <c r="I483" s="152"/>
      <c r="J483" s="151"/>
    </row>
    <row r="484" spans="1:10">
      <c r="A484" s="151"/>
      <c r="B484" s="151"/>
      <c r="C484" s="151"/>
      <c r="D484" s="151"/>
      <c r="E484" s="151"/>
      <c r="F484" s="151"/>
      <c r="G484" s="151"/>
      <c r="H484" s="152"/>
      <c r="I484" s="152"/>
      <c r="J484" s="151"/>
    </row>
    <row r="485" spans="1:10">
      <c r="A485" s="151"/>
      <c r="B485" s="151"/>
      <c r="C485" s="151"/>
      <c r="D485" s="151"/>
      <c r="E485" s="151"/>
      <c r="F485" s="151"/>
      <c r="G485" s="151"/>
      <c r="H485" s="152"/>
      <c r="I485" s="152"/>
      <c r="J485" s="151"/>
    </row>
    <row r="486" spans="1:10">
      <c r="A486" s="151"/>
      <c r="B486" s="151"/>
      <c r="C486" s="151"/>
      <c r="D486" s="151"/>
      <c r="E486" s="151"/>
      <c r="F486" s="151"/>
      <c r="G486" s="151"/>
      <c r="H486" s="152"/>
      <c r="I486" s="152"/>
      <c r="J486" s="151"/>
    </row>
    <row r="487" spans="1:10">
      <c r="A487" s="151"/>
      <c r="B487" s="151"/>
      <c r="C487" s="151"/>
      <c r="D487" s="151"/>
      <c r="E487" s="151"/>
      <c r="F487" s="151"/>
      <c r="G487" s="151"/>
      <c r="H487" s="152"/>
      <c r="I487" s="152"/>
      <c r="J487" s="151"/>
    </row>
    <row r="488" spans="1:10">
      <c r="A488" s="151"/>
      <c r="B488" s="151"/>
      <c r="C488" s="151"/>
      <c r="D488" s="151"/>
      <c r="E488" s="151"/>
      <c r="F488" s="151"/>
      <c r="G488" s="151"/>
      <c r="H488" s="152"/>
      <c r="I488" s="152"/>
      <c r="J488" s="151"/>
    </row>
    <row r="489" spans="1:10">
      <c r="A489" s="151"/>
      <c r="B489" s="151"/>
      <c r="C489" s="151"/>
      <c r="D489" s="151"/>
      <c r="E489" s="151"/>
      <c r="F489" s="151"/>
      <c r="G489" s="151"/>
      <c r="H489" s="152"/>
      <c r="I489" s="152"/>
      <c r="J489" s="151"/>
    </row>
    <row r="490" spans="1:10">
      <c r="A490" s="151"/>
      <c r="B490" s="151"/>
      <c r="C490" s="151"/>
      <c r="D490" s="151"/>
      <c r="E490" s="151"/>
      <c r="F490" s="151"/>
      <c r="G490" s="151"/>
      <c r="H490" s="152"/>
      <c r="I490" s="152"/>
      <c r="J490" s="151"/>
    </row>
    <row r="491" spans="1:10">
      <c r="A491" s="151"/>
      <c r="B491" s="151"/>
      <c r="C491" s="151"/>
      <c r="D491" s="151"/>
      <c r="E491" s="151"/>
      <c r="F491" s="151"/>
      <c r="G491" s="151"/>
      <c r="H491" s="152"/>
      <c r="I491" s="152"/>
      <c r="J491" s="151"/>
    </row>
    <row r="492" spans="1:10">
      <c r="A492" s="151"/>
      <c r="B492" s="151"/>
      <c r="C492" s="151"/>
      <c r="D492" s="151"/>
      <c r="E492" s="151"/>
      <c r="F492" s="151"/>
      <c r="G492" s="151"/>
      <c r="H492" s="152"/>
      <c r="I492" s="152"/>
      <c r="J492" s="151"/>
    </row>
    <row r="493" spans="1:10">
      <c r="A493" s="151"/>
      <c r="B493" s="151"/>
      <c r="C493" s="151"/>
      <c r="D493" s="151"/>
      <c r="E493" s="151"/>
      <c r="F493" s="151"/>
      <c r="G493" s="151"/>
      <c r="H493" s="152"/>
      <c r="I493" s="152"/>
      <c r="J493" s="151"/>
    </row>
    <row r="494" spans="1:10">
      <c r="A494" s="151"/>
      <c r="B494" s="151"/>
      <c r="C494" s="151"/>
      <c r="D494" s="151"/>
      <c r="E494" s="151"/>
      <c r="F494" s="151"/>
      <c r="G494" s="151"/>
      <c r="H494" s="152"/>
      <c r="I494" s="152"/>
      <c r="J494" s="151"/>
    </row>
    <row r="495" spans="1:10">
      <c r="A495" s="151"/>
      <c r="B495" s="151"/>
      <c r="C495" s="151"/>
      <c r="D495" s="151"/>
      <c r="E495" s="151"/>
      <c r="F495" s="151"/>
      <c r="G495" s="151"/>
      <c r="H495" s="152"/>
      <c r="I495" s="152"/>
      <c r="J495" s="151"/>
    </row>
    <row r="496" spans="1:10">
      <c r="A496" s="151"/>
      <c r="B496" s="151"/>
      <c r="C496" s="151"/>
      <c r="D496" s="151"/>
      <c r="E496" s="151"/>
      <c r="F496" s="151"/>
      <c r="G496" s="151"/>
      <c r="H496" s="152"/>
      <c r="I496" s="152"/>
      <c r="J496" s="151"/>
    </row>
    <row r="497" spans="1:10">
      <c r="A497" s="151"/>
      <c r="B497" s="151"/>
      <c r="C497" s="151"/>
      <c r="D497" s="151"/>
      <c r="E497" s="151"/>
      <c r="F497" s="151"/>
      <c r="G497" s="151"/>
      <c r="H497" s="152"/>
      <c r="I497" s="152"/>
      <c r="J497" s="151"/>
    </row>
    <row r="498" spans="1:10">
      <c r="A498" s="151"/>
      <c r="B498" s="151"/>
      <c r="C498" s="151"/>
      <c r="D498" s="151"/>
      <c r="E498" s="151"/>
      <c r="F498" s="151"/>
      <c r="G498" s="151"/>
      <c r="H498" s="152"/>
      <c r="I498" s="152"/>
      <c r="J498" s="151"/>
    </row>
    <row r="499" spans="1:10">
      <c r="A499" s="151"/>
      <c r="B499" s="151"/>
      <c r="C499" s="151"/>
      <c r="D499" s="151"/>
      <c r="E499" s="151"/>
      <c r="F499" s="151"/>
      <c r="G499" s="151"/>
      <c r="H499" s="152"/>
      <c r="I499" s="152"/>
      <c r="J499" s="151"/>
    </row>
    <row r="500" spans="1:10">
      <c r="A500" s="151"/>
      <c r="B500" s="151"/>
      <c r="C500" s="151"/>
      <c r="D500" s="151"/>
      <c r="E500" s="151"/>
      <c r="F500" s="151"/>
      <c r="G500" s="151"/>
      <c r="H500" s="152"/>
      <c r="I500" s="152"/>
      <c r="J500" s="151"/>
    </row>
    <row r="501" spans="1:10">
      <c r="A501" s="151"/>
      <c r="B501" s="151"/>
      <c r="C501" s="151"/>
      <c r="D501" s="151"/>
      <c r="E501" s="151"/>
      <c r="F501" s="151"/>
      <c r="G501" s="151"/>
      <c r="H501" s="152"/>
      <c r="I501" s="152"/>
      <c r="J501" s="151"/>
    </row>
    <row r="502" spans="1:10">
      <c r="A502" s="151"/>
      <c r="B502" s="151"/>
      <c r="C502" s="151"/>
      <c r="D502" s="151"/>
      <c r="E502" s="151"/>
      <c r="F502" s="151"/>
      <c r="G502" s="151"/>
      <c r="H502" s="152"/>
      <c r="I502" s="152"/>
      <c r="J502" s="151"/>
    </row>
    <row r="503" spans="1:10">
      <c r="A503" s="151"/>
      <c r="B503" s="151"/>
      <c r="C503" s="151"/>
      <c r="D503" s="151"/>
      <c r="E503" s="151"/>
      <c r="F503" s="151"/>
      <c r="G503" s="151"/>
      <c r="H503" s="152"/>
      <c r="I503" s="152"/>
      <c r="J503" s="151"/>
    </row>
    <row r="504" spans="1:10">
      <c r="A504" s="151"/>
      <c r="B504" s="151"/>
      <c r="C504" s="151"/>
      <c r="D504" s="151"/>
      <c r="E504" s="151"/>
      <c r="F504" s="151"/>
      <c r="G504" s="151"/>
      <c r="H504" s="152"/>
      <c r="I504" s="152"/>
      <c r="J504" s="151"/>
    </row>
    <row r="505" spans="1:10">
      <c r="A505" s="151"/>
      <c r="B505" s="151"/>
      <c r="C505" s="151"/>
      <c r="D505" s="151"/>
      <c r="E505" s="151"/>
      <c r="F505" s="151"/>
      <c r="G505" s="151"/>
      <c r="H505" s="152"/>
      <c r="I505" s="152"/>
      <c r="J505" s="151"/>
    </row>
    <row r="506" spans="1:10">
      <c r="A506" s="151"/>
      <c r="B506" s="151"/>
      <c r="C506" s="151"/>
      <c r="D506" s="151"/>
      <c r="E506" s="151"/>
      <c r="F506" s="151"/>
      <c r="G506" s="151"/>
      <c r="H506" s="152"/>
      <c r="I506" s="152"/>
      <c r="J506" s="151"/>
    </row>
    <row r="507" spans="1:10">
      <c r="A507" s="151"/>
      <c r="B507" s="151"/>
      <c r="C507" s="151"/>
      <c r="D507" s="151"/>
      <c r="E507" s="151"/>
      <c r="F507" s="151"/>
      <c r="G507" s="151"/>
      <c r="H507" s="152"/>
      <c r="I507" s="152"/>
      <c r="J507" s="151"/>
    </row>
    <row r="508" spans="1:10">
      <c r="A508" s="151"/>
      <c r="B508" s="151"/>
      <c r="C508" s="151"/>
      <c r="D508" s="151"/>
      <c r="E508" s="151"/>
      <c r="F508" s="151"/>
      <c r="G508" s="151"/>
      <c r="H508" s="152"/>
      <c r="I508" s="152"/>
      <c r="J508" s="151"/>
    </row>
    <row r="509" spans="1:10">
      <c r="A509" s="151"/>
      <c r="B509" s="151"/>
      <c r="C509" s="151"/>
      <c r="D509" s="151"/>
      <c r="E509" s="151"/>
      <c r="F509" s="151"/>
      <c r="G509" s="151"/>
      <c r="H509" s="152"/>
      <c r="I509" s="152"/>
      <c r="J509" s="151"/>
    </row>
    <row r="510" spans="1:10">
      <c r="A510" s="153"/>
      <c r="B510" s="153"/>
      <c r="C510" s="153"/>
      <c r="D510" s="153"/>
      <c r="E510" s="153"/>
      <c r="F510" s="153"/>
      <c r="G510" s="153"/>
      <c r="H510" s="154"/>
      <c r="I510" s="154"/>
      <c r="J510" s="153"/>
    </row>
    <row r="511" spans="1:10">
      <c r="A511" s="153"/>
      <c r="B511" s="153"/>
      <c r="C511" s="153"/>
      <c r="D511" s="153"/>
      <c r="E511" s="153"/>
      <c r="F511" s="153"/>
      <c r="G511" s="153"/>
      <c r="H511" s="154"/>
      <c r="I511" s="154"/>
      <c r="J511" s="153"/>
    </row>
    <row r="512" spans="1:10">
      <c r="A512" s="153"/>
      <c r="B512" s="153"/>
      <c r="C512" s="153"/>
      <c r="D512" s="153"/>
      <c r="E512" s="153"/>
      <c r="F512" s="153"/>
      <c r="G512" s="153"/>
      <c r="H512" s="154"/>
      <c r="I512" s="154"/>
      <c r="J512" s="153"/>
    </row>
    <row r="513" spans="1:10">
      <c r="A513" s="153"/>
      <c r="B513" s="153"/>
      <c r="C513" s="153"/>
      <c r="D513" s="153"/>
      <c r="E513" s="153"/>
      <c r="F513" s="153"/>
      <c r="G513" s="153"/>
      <c r="H513" s="154"/>
      <c r="I513" s="154"/>
      <c r="J513" s="153"/>
    </row>
    <row r="514" spans="1:10">
      <c r="A514" s="153"/>
      <c r="B514" s="153"/>
      <c r="C514" s="153"/>
      <c r="D514" s="153"/>
      <c r="E514" s="153"/>
      <c r="F514" s="153"/>
      <c r="G514" s="153"/>
      <c r="H514" s="154"/>
      <c r="I514" s="154"/>
      <c r="J514" s="153"/>
    </row>
    <row r="515" spans="1:10">
      <c r="A515" s="153"/>
      <c r="B515" s="153"/>
      <c r="C515" s="153"/>
      <c r="D515" s="153"/>
      <c r="E515" s="153"/>
      <c r="F515" s="153"/>
      <c r="G515" s="153"/>
      <c r="H515" s="154"/>
      <c r="I515" s="154"/>
      <c r="J515" s="153"/>
    </row>
    <row r="516" spans="1:10">
      <c r="A516" s="153"/>
      <c r="B516" s="153"/>
      <c r="C516" s="153"/>
      <c r="D516" s="153"/>
      <c r="E516" s="153"/>
      <c r="F516" s="153"/>
      <c r="G516" s="153"/>
      <c r="H516" s="154"/>
      <c r="I516" s="154"/>
      <c r="J516" s="153"/>
    </row>
    <row r="517" spans="1:10">
      <c r="A517" s="153"/>
      <c r="B517" s="153"/>
      <c r="C517" s="153"/>
      <c r="D517" s="153"/>
      <c r="E517" s="153"/>
      <c r="F517" s="153"/>
      <c r="G517" s="153"/>
      <c r="H517" s="154"/>
      <c r="I517" s="154"/>
      <c r="J517" s="153"/>
    </row>
    <row r="518" spans="1:10">
      <c r="A518" s="153"/>
      <c r="B518" s="153"/>
      <c r="C518" s="153"/>
      <c r="D518" s="153"/>
      <c r="E518" s="153"/>
      <c r="F518" s="153"/>
      <c r="G518" s="153"/>
      <c r="H518" s="154"/>
      <c r="I518" s="154"/>
      <c r="J518" s="153"/>
    </row>
    <row r="519" spans="1:10">
      <c r="A519" s="153"/>
      <c r="B519" s="153"/>
      <c r="C519" s="153"/>
      <c r="D519" s="153"/>
      <c r="E519" s="153"/>
      <c r="F519" s="153"/>
      <c r="G519" s="153"/>
      <c r="H519" s="154"/>
      <c r="I519" s="154"/>
      <c r="J519" s="153"/>
    </row>
    <row r="520" spans="1:10">
      <c r="A520" s="153"/>
      <c r="B520" s="153"/>
      <c r="C520" s="153"/>
      <c r="D520" s="153"/>
      <c r="E520" s="153"/>
      <c r="F520" s="153"/>
      <c r="G520" s="153"/>
      <c r="H520" s="154"/>
      <c r="I520" s="154"/>
      <c r="J520" s="153"/>
    </row>
    <row r="521" spans="1:10">
      <c r="A521" s="153"/>
      <c r="B521" s="153"/>
      <c r="C521" s="153"/>
      <c r="D521" s="153"/>
      <c r="E521" s="153"/>
      <c r="F521" s="153"/>
      <c r="G521" s="153"/>
      <c r="H521" s="154"/>
      <c r="I521" s="154"/>
      <c r="J521" s="153"/>
    </row>
    <row r="522" spans="1:10">
      <c r="A522" s="153"/>
      <c r="B522" s="153"/>
      <c r="C522" s="153"/>
      <c r="D522" s="153"/>
      <c r="E522" s="153"/>
      <c r="F522" s="153"/>
      <c r="G522" s="153"/>
      <c r="H522" s="154"/>
      <c r="I522" s="154"/>
      <c r="J522" s="153"/>
    </row>
    <row r="523" spans="1:10">
      <c r="A523" s="153"/>
      <c r="B523" s="153"/>
      <c r="C523" s="153"/>
      <c r="D523" s="153"/>
      <c r="E523" s="153"/>
      <c r="F523" s="153"/>
      <c r="G523" s="153"/>
      <c r="H523" s="154"/>
      <c r="I523" s="154"/>
      <c r="J523" s="153"/>
    </row>
    <row r="524" spans="1:10">
      <c r="A524" s="153"/>
      <c r="B524" s="153"/>
      <c r="C524" s="153"/>
      <c r="D524" s="153"/>
      <c r="E524" s="153"/>
      <c r="F524" s="153"/>
      <c r="G524" s="153"/>
      <c r="H524" s="154"/>
      <c r="I524" s="154"/>
      <c r="J524" s="153"/>
    </row>
    <row r="525" spans="1:10">
      <c r="A525" s="153"/>
      <c r="B525" s="153"/>
      <c r="C525" s="153"/>
      <c r="D525" s="153"/>
      <c r="E525" s="153"/>
      <c r="F525" s="153"/>
      <c r="G525" s="153"/>
      <c r="H525" s="154"/>
      <c r="I525" s="154"/>
      <c r="J525" s="153"/>
    </row>
    <row r="526" spans="1:10">
      <c r="A526" s="153"/>
      <c r="B526" s="153"/>
      <c r="C526" s="153"/>
      <c r="D526" s="153"/>
      <c r="E526" s="153"/>
      <c r="F526" s="153"/>
      <c r="G526" s="153"/>
      <c r="H526" s="154"/>
      <c r="I526" s="154"/>
      <c r="J526" s="153"/>
    </row>
    <row r="527" spans="1:10">
      <c r="A527" s="153"/>
      <c r="B527" s="153"/>
      <c r="C527" s="153"/>
      <c r="D527" s="153"/>
      <c r="E527" s="153"/>
      <c r="F527" s="153"/>
      <c r="G527" s="153"/>
      <c r="H527" s="154"/>
      <c r="I527" s="154"/>
      <c r="J527" s="153"/>
    </row>
    <row r="528" spans="1:10">
      <c r="A528" s="153"/>
      <c r="B528" s="153"/>
      <c r="C528" s="153"/>
      <c r="D528" s="153"/>
      <c r="E528" s="153"/>
      <c r="F528" s="153"/>
      <c r="G528" s="153"/>
      <c r="H528" s="154"/>
      <c r="I528" s="154"/>
      <c r="J528" s="153"/>
    </row>
    <row r="529" spans="1:10">
      <c r="A529" s="153"/>
      <c r="B529" s="153"/>
      <c r="C529" s="153"/>
      <c r="D529" s="153"/>
      <c r="E529" s="153"/>
      <c r="F529" s="153"/>
      <c r="G529" s="153"/>
      <c r="H529" s="154"/>
      <c r="I529" s="154"/>
      <c r="J529" s="153"/>
    </row>
    <row r="530" spans="1:10">
      <c r="A530" s="153"/>
      <c r="B530" s="153"/>
      <c r="C530" s="153"/>
      <c r="D530" s="153"/>
      <c r="E530" s="153"/>
      <c r="F530" s="153"/>
      <c r="G530" s="153"/>
      <c r="H530" s="154"/>
      <c r="I530" s="154"/>
      <c r="J530" s="153"/>
    </row>
    <row r="531" spans="1:10">
      <c r="A531" s="153"/>
      <c r="B531" s="153"/>
      <c r="C531" s="153"/>
      <c r="D531" s="153"/>
      <c r="E531" s="153"/>
      <c r="F531" s="153"/>
      <c r="G531" s="153"/>
      <c r="H531" s="154"/>
      <c r="I531" s="154"/>
      <c r="J531" s="153"/>
    </row>
    <row r="532" spans="1:10">
      <c r="A532" s="153"/>
      <c r="B532" s="153"/>
      <c r="C532" s="153"/>
      <c r="D532" s="153"/>
      <c r="E532" s="153"/>
      <c r="F532" s="153"/>
      <c r="G532" s="153"/>
      <c r="H532" s="154"/>
      <c r="I532" s="154"/>
      <c r="J532" s="153"/>
    </row>
    <row r="533" spans="1:10">
      <c r="A533" s="153"/>
      <c r="B533" s="153"/>
      <c r="C533" s="153"/>
      <c r="D533" s="153"/>
      <c r="E533" s="153"/>
      <c r="F533" s="153"/>
      <c r="G533" s="153"/>
      <c r="H533" s="154"/>
      <c r="I533" s="154"/>
      <c r="J533" s="153"/>
    </row>
    <row r="534" spans="1:10">
      <c r="A534" s="153"/>
      <c r="B534" s="153"/>
      <c r="C534" s="153"/>
      <c r="D534" s="153"/>
      <c r="E534" s="153"/>
      <c r="F534" s="153"/>
      <c r="G534" s="153"/>
      <c r="H534" s="154"/>
      <c r="I534" s="154"/>
      <c r="J534" s="153"/>
    </row>
    <row r="535" spans="1:10">
      <c r="A535" s="155"/>
      <c r="B535" s="156"/>
      <c r="C535" s="156"/>
      <c r="D535" s="155"/>
      <c r="E535" s="155"/>
      <c r="F535" s="155"/>
      <c r="G535" s="156"/>
      <c r="H535" s="157"/>
      <c r="I535" s="157"/>
      <c r="J535" s="155"/>
    </row>
    <row r="536" spans="1:10">
      <c r="A536" s="155"/>
      <c r="B536" s="156"/>
      <c r="C536" s="156"/>
      <c r="D536" s="155"/>
      <c r="E536" s="155"/>
      <c r="F536" s="155"/>
      <c r="G536" s="156"/>
      <c r="H536" s="157"/>
      <c r="I536" s="157"/>
      <c r="J536" s="155"/>
    </row>
    <row r="537" spans="1:10">
      <c r="A537" s="155"/>
      <c r="B537" s="156"/>
      <c r="C537" s="156"/>
      <c r="D537" s="155"/>
      <c r="E537" s="155"/>
      <c r="F537" s="155"/>
      <c r="G537" s="156"/>
      <c r="H537" s="157"/>
      <c r="I537" s="157"/>
      <c r="J537" s="155"/>
    </row>
    <row r="538" spans="1:10">
      <c r="A538" s="155"/>
      <c r="B538" s="156"/>
      <c r="C538" s="156"/>
      <c r="D538" s="155"/>
      <c r="E538" s="155"/>
      <c r="F538" s="155"/>
      <c r="G538" s="156"/>
      <c r="H538" s="157"/>
      <c r="I538" s="157"/>
      <c r="J538" s="155"/>
    </row>
    <row r="539" spans="1:10">
      <c r="A539" s="155"/>
      <c r="B539" s="156"/>
      <c r="C539" s="156"/>
      <c r="D539" s="155"/>
      <c r="E539" s="155"/>
      <c r="F539" s="155"/>
      <c r="G539" s="156"/>
      <c r="H539" s="157"/>
      <c r="I539" s="157"/>
      <c r="J539" s="155"/>
    </row>
    <row r="540" spans="1:10">
      <c r="A540" s="155"/>
      <c r="B540" s="156"/>
      <c r="C540" s="156"/>
      <c r="D540" s="155"/>
      <c r="E540" s="155"/>
      <c r="F540" s="155"/>
      <c r="G540" s="156"/>
      <c r="H540" s="157"/>
      <c r="I540" s="157"/>
      <c r="J540" s="155"/>
    </row>
    <row r="541" spans="1:10">
      <c r="A541" s="155"/>
      <c r="B541" s="156"/>
      <c r="C541" s="156"/>
      <c r="D541" s="155"/>
      <c r="E541" s="155"/>
      <c r="F541" s="155"/>
      <c r="G541" s="156"/>
      <c r="H541" s="157"/>
      <c r="I541" s="157"/>
      <c r="J541" s="155"/>
    </row>
    <row r="542" spans="1:10">
      <c r="A542" s="155"/>
      <c r="B542" s="156"/>
      <c r="C542" s="156"/>
      <c r="D542" s="155"/>
      <c r="E542" s="155"/>
      <c r="F542" s="155"/>
      <c r="G542" s="156"/>
      <c r="H542" s="157"/>
      <c r="I542" s="157"/>
      <c r="J542" s="155"/>
    </row>
    <row r="543" spans="1:10">
      <c r="A543" s="155"/>
      <c r="B543" s="156"/>
      <c r="C543" s="156"/>
      <c r="D543" s="155"/>
      <c r="E543" s="155"/>
      <c r="F543" s="155"/>
      <c r="G543" s="156"/>
      <c r="H543" s="157"/>
      <c r="I543" s="157"/>
      <c r="J543" s="155"/>
    </row>
    <row r="544" spans="1:10">
      <c r="A544" s="155"/>
      <c r="B544" s="156"/>
      <c r="C544" s="156"/>
      <c r="D544" s="155"/>
      <c r="E544" s="155"/>
      <c r="F544" s="155"/>
      <c r="G544" s="156"/>
      <c r="H544" s="157"/>
      <c r="I544" s="157"/>
      <c r="J544" s="155"/>
    </row>
    <row r="545" spans="1:10">
      <c r="A545" s="155"/>
      <c r="B545" s="156"/>
      <c r="C545" s="156"/>
      <c r="D545" s="155"/>
      <c r="E545" s="155"/>
      <c r="F545" s="155"/>
      <c r="G545" s="156"/>
      <c r="H545" s="157"/>
      <c r="I545" s="157"/>
      <c r="J545" s="155"/>
    </row>
    <row r="546" spans="1:10">
      <c r="A546" s="155"/>
      <c r="B546" s="156"/>
      <c r="C546" s="156"/>
      <c r="D546" s="155"/>
      <c r="E546" s="155"/>
      <c r="F546" s="155"/>
      <c r="G546" s="156"/>
      <c r="H546" s="157"/>
      <c r="I546" s="157"/>
      <c r="J546" s="155"/>
    </row>
    <row r="547" spans="1:10">
      <c r="A547" s="155"/>
      <c r="B547" s="156"/>
      <c r="C547" s="156"/>
      <c r="D547" s="155"/>
      <c r="E547" s="155"/>
      <c r="F547" s="155"/>
      <c r="G547" s="156"/>
      <c r="H547" s="157"/>
      <c r="I547" s="157"/>
      <c r="J547" s="155"/>
    </row>
    <row r="548" spans="1:10">
      <c r="A548" s="155"/>
      <c r="B548" s="156"/>
      <c r="C548" s="156"/>
      <c r="D548" s="155"/>
      <c r="E548" s="155"/>
      <c r="F548" s="155"/>
      <c r="G548" s="156"/>
      <c r="H548" s="157"/>
      <c r="I548" s="157"/>
      <c r="J548" s="155"/>
    </row>
    <row r="549" spans="1:10">
      <c r="A549" s="155"/>
      <c r="B549" s="156"/>
      <c r="C549" s="156"/>
      <c r="D549" s="155"/>
      <c r="E549" s="155"/>
      <c r="F549" s="155"/>
      <c r="G549" s="156"/>
      <c r="H549" s="157"/>
      <c r="I549" s="157"/>
      <c r="J549" s="155"/>
    </row>
    <row r="550" spans="1:10">
      <c r="A550" s="155"/>
      <c r="B550" s="156"/>
      <c r="C550" s="156"/>
      <c r="D550" s="155"/>
      <c r="E550" s="155"/>
      <c r="F550" s="155"/>
      <c r="G550" s="156"/>
      <c r="H550" s="157"/>
      <c r="I550" s="157"/>
      <c r="J550" s="155"/>
    </row>
    <row r="551" spans="1:10">
      <c r="A551" s="155"/>
      <c r="B551" s="156"/>
      <c r="C551" s="156"/>
      <c r="D551" s="155"/>
      <c r="E551" s="155"/>
      <c r="F551" s="155"/>
      <c r="G551" s="156"/>
      <c r="H551" s="157"/>
      <c r="I551" s="157"/>
      <c r="J551" s="155"/>
    </row>
    <row r="552" spans="1:10">
      <c r="A552" s="155"/>
      <c r="B552" s="156"/>
      <c r="C552" s="156"/>
      <c r="D552" s="155"/>
      <c r="E552" s="155"/>
      <c r="F552" s="155"/>
      <c r="G552" s="156"/>
      <c r="H552" s="157"/>
      <c r="I552" s="157"/>
      <c r="J552" s="155"/>
    </row>
    <row r="553" spans="1:10">
      <c r="A553" s="155"/>
      <c r="B553" s="156"/>
      <c r="C553" s="156"/>
      <c r="D553" s="155"/>
      <c r="E553" s="155"/>
      <c r="F553" s="155"/>
      <c r="G553" s="156"/>
      <c r="H553" s="157"/>
      <c r="I553" s="157"/>
      <c r="J553" s="155"/>
    </row>
    <row r="554" spans="1:10">
      <c r="A554" s="155"/>
      <c r="B554" s="156"/>
      <c r="C554" s="156"/>
      <c r="D554" s="155"/>
      <c r="E554" s="155"/>
      <c r="F554" s="155"/>
      <c r="G554" s="156"/>
      <c r="H554" s="157"/>
      <c r="I554" s="157"/>
      <c r="J554" s="155"/>
    </row>
    <row r="555" spans="1:10">
      <c r="A555" s="155"/>
      <c r="B555" s="156"/>
      <c r="C555" s="156"/>
      <c r="D555" s="155"/>
      <c r="E555" s="155"/>
      <c r="F555" s="155"/>
      <c r="G555" s="156"/>
      <c r="H555" s="157"/>
      <c r="I555" s="157"/>
      <c r="J555" s="155"/>
    </row>
    <row r="556" spans="1:10">
      <c r="A556" s="155"/>
      <c r="B556" s="156"/>
      <c r="C556" s="156"/>
      <c r="D556" s="155"/>
      <c r="E556" s="155"/>
      <c r="F556" s="155"/>
      <c r="G556" s="156"/>
      <c r="H556" s="157"/>
      <c r="I556" s="157"/>
      <c r="J556" s="155"/>
    </row>
    <row r="557" spans="1:10">
      <c r="A557" s="155"/>
      <c r="B557" s="156"/>
      <c r="C557" s="156"/>
      <c r="D557" s="155"/>
      <c r="E557" s="155"/>
      <c r="F557" s="155"/>
      <c r="G557" s="156"/>
      <c r="H557" s="157"/>
      <c r="I557" s="157"/>
      <c r="J557" s="155"/>
    </row>
    <row r="558" spans="1:10">
      <c r="A558" s="155"/>
      <c r="B558" s="156"/>
      <c r="C558" s="156"/>
      <c r="D558" s="155"/>
      <c r="E558" s="155"/>
      <c r="F558" s="155"/>
      <c r="G558" s="156"/>
      <c r="H558" s="157"/>
      <c r="I558" s="157"/>
      <c r="J558" s="155"/>
    </row>
    <row r="559" spans="1:10">
      <c r="A559" s="155"/>
      <c r="B559" s="156"/>
      <c r="C559" s="156"/>
      <c r="D559" s="155"/>
      <c r="E559" s="155"/>
      <c r="F559" s="155"/>
      <c r="G559" s="156"/>
      <c r="H559" s="157"/>
      <c r="I559" s="157"/>
      <c r="J559" s="155"/>
    </row>
    <row r="560" spans="1:10">
      <c r="A560" s="155"/>
      <c r="B560" s="156"/>
      <c r="C560" s="156"/>
      <c r="D560" s="155"/>
      <c r="E560" s="155"/>
      <c r="F560" s="155"/>
      <c r="G560" s="156"/>
      <c r="H560" s="157"/>
      <c r="I560" s="157"/>
      <c r="J560" s="155"/>
    </row>
    <row r="561" spans="1:10">
      <c r="A561" s="155"/>
      <c r="B561" s="156"/>
      <c r="C561" s="156"/>
      <c r="D561" s="155"/>
      <c r="E561" s="155"/>
      <c r="F561" s="155"/>
      <c r="G561" s="156"/>
      <c r="H561" s="157"/>
      <c r="I561" s="157"/>
      <c r="J561" s="155"/>
    </row>
    <row r="562" spans="1:10">
      <c r="A562" s="155"/>
      <c r="B562" s="156"/>
      <c r="C562" s="156"/>
      <c r="D562" s="155"/>
      <c r="E562" s="155"/>
      <c r="F562" s="155"/>
      <c r="G562" s="156"/>
      <c r="H562" s="157"/>
      <c r="I562" s="157"/>
      <c r="J562" s="155"/>
    </row>
    <row r="563" spans="1:10">
      <c r="A563" s="155"/>
      <c r="B563" s="156"/>
      <c r="C563" s="156"/>
      <c r="D563" s="155"/>
      <c r="E563" s="155"/>
      <c r="F563" s="155"/>
      <c r="G563" s="156"/>
      <c r="H563" s="157"/>
      <c r="I563" s="157"/>
      <c r="J563" s="155"/>
    </row>
    <row r="564" spans="1:10">
      <c r="A564" s="155"/>
      <c r="B564" s="156"/>
      <c r="C564" s="156"/>
      <c r="D564" s="155"/>
      <c r="E564" s="155"/>
      <c r="F564" s="155"/>
      <c r="G564" s="156"/>
      <c r="H564" s="157"/>
      <c r="I564" s="157"/>
      <c r="J564" s="155"/>
    </row>
    <row r="565" spans="1:10">
      <c r="A565" s="155"/>
      <c r="B565" s="156"/>
      <c r="C565" s="156"/>
      <c r="D565" s="155"/>
      <c r="E565" s="155"/>
      <c r="F565" s="155"/>
      <c r="G565" s="156"/>
      <c r="H565" s="157"/>
      <c r="I565" s="157"/>
      <c r="J565" s="155"/>
    </row>
    <row r="566" spans="1:10">
      <c r="A566" s="155"/>
      <c r="B566" s="156"/>
      <c r="C566" s="156"/>
      <c r="D566" s="155"/>
      <c r="E566" s="155"/>
      <c r="F566" s="155"/>
      <c r="G566" s="156"/>
      <c r="H566" s="157"/>
      <c r="I566" s="157"/>
      <c r="J566" s="155"/>
    </row>
    <row r="567" spans="1:10">
      <c r="A567" s="155"/>
      <c r="B567" s="156"/>
      <c r="C567" s="156"/>
      <c r="D567" s="155"/>
      <c r="E567" s="155"/>
      <c r="F567" s="155"/>
      <c r="G567" s="156"/>
      <c r="H567" s="157"/>
      <c r="I567" s="157"/>
      <c r="J567" s="155"/>
    </row>
    <row r="568" spans="1:10">
      <c r="A568" s="155"/>
      <c r="B568" s="156"/>
      <c r="C568" s="156"/>
      <c r="D568" s="155"/>
      <c r="E568" s="155"/>
      <c r="F568" s="155"/>
      <c r="G568" s="156"/>
      <c r="H568" s="157"/>
      <c r="I568" s="157"/>
      <c r="J568" s="155"/>
    </row>
    <row r="569" spans="1:10">
      <c r="A569" s="155"/>
      <c r="B569" s="156"/>
      <c r="C569" s="156"/>
      <c r="D569" s="155"/>
      <c r="E569" s="155"/>
      <c r="F569" s="155"/>
      <c r="G569" s="156"/>
      <c r="H569" s="157"/>
      <c r="I569" s="157"/>
      <c r="J569" s="155"/>
    </row>
    <row r="570" spans="1:10">
      <c r="A570" s="155"/>
      <c r="B570" s="156"/>
      <c r="C570" s="156"/>
      <c r="D570" s="155"/>
      <c r="E570" s="155"/>
      <c r="F570" s="155"/>
      <c r="G570" s="156"/>
      <c r="H570" s="157"/>
      <c r="I570" s="157"/>
      <c r="J570" s="155"/>
    </row>
    <row r="571" spans="1:10">
      <c r="A571" s="155"/>
      <c r="B571" s="156"/>
      <c r="C571" s="156"/>
      <c r="D571" s="155"/>
      <c r="E571" s="155"/>
      <c r="F571" s="155"/>
      <c r="G571" s="156"/>
      <c r="H571" s="157"/>
      <c r="I571" s="157"/>
      <c r="J571" s="155"/>
    </row>
    <row r="572" spans="1:10">
      <c r="A572" s="155"/>
      <c r="B572" s="156"/>
      <c r="C572" s="156"/>
      <c r="D572" s="155"/>
      <c r="E572" s="155"/>
      <c r="F572" s="155"/>
      <c r="G572" s="156"/>
      <c r="H572" s="157"/>
      <c r="I572" s="157"/>
      <c r="J572" s="155"/>
    </row>
    <row r="573" spans="1:10">
      <c r="A573" s="155"/>
      <c r="B573" s="156"/>
      <c r="C573" s="156"/>
      <c r="D573" s="155"/>
      <c r="E573" s="155"/>
      <c r="F573" s="155"/>
      <c r="G573" s="156"/>
      <c r="H573" s="157"/>
      <c r="I573" s="157"/>
      <c r="J573" s="155"/>
    </row>
    <row r="574" spans="1:10">
      <c r="A574" s="155"/>
      <c r="B574" s="156"/>
      <c r="C574" s="156"/>
      <c r="D574" s="155"/>
      <c r="E574" s="155"/>
      <c r="F574" s="155"/>
      <c r="G574" s="156"/>
      <c r="H574" s="157"/>
      <c r="I574" s="157"/>
      <c r="J574" s="155"/>
    </row>
    <row r="575" spans="1:10">
      <c r="A575" s="155"/>
      <c r="B575" s="156"/>
      <c r="C575" s="156"/>
      <c r="D575" s="155"/>
      <c r="E575" s="155"/>
      <c r="F575" s="155"/>
      <c r="G575" s="156"/>
      <c r="H575" s="157"/>
      <c r="I575" s="157"/>
      <c r="J575" s="155"/>
    </row>
    <row r="576" spans="1:10">
      <c r="A576" s="155"/>
      <c r="B576" s="156"/>
      <c r="C576" s="156"/>
      <c r="D576" s="155"/>
      <c r="E576" s="155"/>
      <c r="F576" s="155"/>
      <c r="G576" s="156"/>
      <c r="H576" s="157"/>
      <c r="I576" s="157"/>
      <c r="J576" s="155"/>
    </row>
    <row r="577" spans="1:10">
      <c r="A577" s="155"/>
      <c r="B577" s="156"/>
      <c r="C577" s="156"/>
      <c r="D577" s="155"/>
      <c r="E577" s="155"/>
      <c r="F577" s="155"/>
      <c r="G577" s="156"/>
      <c r="H577" s="157"/>
      <c r="I577" s="157"/>
      <c r="J577" s="155"/>
    </row>
    <row r="578" spans="1:10">
      <c r="A578" s="155"/>
      <c r="B578" s="156"/>
      <c r="C578" s="156"/>
      <c r="D578" s="155"/>
      <c r="E578" s="155"/>
      <c r="F578" s="155"/>
      <c r="G578" s="156"/>
      <c r="H578" s="157"/>
      <c r="I578" s="157"/>
      <c r="J578" s="155"/>
    </row>
    <row r="579" spans="1:10">
      <c r="A579" s="155"/>
      <c r="B579" s="156"/>
      <c r="C579" s="156"/>
      <c r="D579" s="155"/>
      <c r="E579" s="155"/>
      <c r="F579" s="155"/>
      <c r="G579" s="156"/>
      <c r="H579" s="157"/>
      <c r="I579" s="157"/>
      <c r="J579" s="155"/>
    </row>
    <row r="580" spans="1:10">
      <c r="A580" s="155"/>
      <c r="B580" s="156"/>
      <c r="C580" s="156"/>
      <c r="D580" s="155"/>
      <c r="E580" s="155"/>
      <c r="F580" s="155"/>
      <c r="G580" s="156"/>
      <c r="H580" s="157"/>
      <c r="I580" s="157"/>
      <c r="J580" s="155"/>
    </row>
    <row r="581" spans="1:10">
      <c r="A581" s="155"/>
      <c r="B581" s="156"/>
      <c r="C581" s="156"/>
      <c r="D581" s="155"/>
      <c r="E581" s="155"/>
      <c r="F581" s="155"/>
      <c r="G581" s="156"/>
      <c r="H581" s="157"/>
      <c r="I581" s="157"/>
      <c r="J581" s="155"/>
    </row>
    <row r="582" spans="1:10">
      <c r="A582" s="155"/>
      <c r="B582" s="156"/>
      <c r="C582" s="156"/>
      <c r="D582" s="155"/>
      <c r="E582" s="155"/>
      <c r="F582" s="155"/>
      <c r="G582" s="156"/>
      <c r="H582" s="157"/>
      <c r="I582" s="157"/>
      <c r="J582" s="155"/>
    </row>
    <row r="583" spans="1:10">
      <c r="A583" s="155"/>
      <c r="B583" s="156"/>
      <c r="C583" s="156"/>
      <c r="D583" s="155"/>
      <c r="E583" s="155"/>
      <c r="F583" s="155"/>
      <c r="G583" s="156"/>
      <c r="H583" s="157"/>
      <c r="I583" s="157"/>
      <c r="J583" s="155"/>
    </row>
    <row r="584" spans="1:10">
      <c r="A584" s="155"/>
      <c r="B584" s="156"/>
      <c r="C584" s="156"/>
      <c r="D584" s="155"/>
      <c r="E584" s="155"/>
      <c r="F584" s="155"/>
      <c r="G584" s="156"/>
      <c r="H584" s="157"/>
      <c r="I584" s="157"/>
      <c r="J584" s="155"/>
    </row>
    <row r="585" spans="1:10">
      <c r="A585" s="155"/>
      <c r="B585" s="156"/>
      <c r="C585" s="156"/>
      <c r="D585" s="155"/>
      <c r="E585" s="155"/>
      <c r="F585" s="155"/>
      <c r="G585" s="156"/>
      <c r="H585" s="157"/>
      <c r="I585" s="157"/>
      <c r="J585" s="155"/>
    </row>
    <row r="586" spans="1:10">
      <c r="A586" s="155"/>
      <c r="B586" s="156"/>
      <c r="C586" s="156"/>
      <c r="D586" s="155"/>
      <c r="E586" s="155"/>
      <c r="F586" s="155"/>
      <c r="G586" s="156"/>
      <c r="H586" s="157"/>
      <c r="I586" s="157"/>
      <c r="J586" s="155"/>
    </row>
    <row r="587" spans="1:10">
      <c r="A587" s="155"/>
      <c r="B587" s="156"/>
      <c r="C587" s="156"/>
      <c r="D587" s="155"/>
      <c r="E587" s="155"/>
      <c r="F587" s="155"/>
      <c r="G587" s="156"/>
      <c r="H587" s="157"/>
      <c r="I587" s="157"/>
      <c r="J587" s="155"/>
    </row>
    <row r="588" spans="1:10">
      <c r="A588" s="155"/>
      <c r="B588" s="156"/>
      <c r="C588" s="156"/>
      <c r="D588" s="155"/>
      <c r="E588" s="155"/>
      <c r="F588" s="155"/>
      <c r="G588" s="156"/>
      <c r="H588" s="157"/>
      <c r="I588" s="157"/>
      <c r="J588" s="155"/>
    </row>
    <row r="589" spans="1:10">
      <c r="A589" s="155"/>
      <c r="B589" s="156"/>
      <c r="C589" s="156"/>
      <c r="D589" s="155"/>
      <c r="E589" s="155"/>
      <c r="F589" s="155"/>
      <c r="G589" s="156"/>
      <c r="H589" s="157"/>
      <c r="I589" s="157"/>
      <c r="J589" s="155"/>
    </row>
    <row r="590" spans="1:10">
      <c r="A590" s="155"/>
      <c r="B590" s="156"/>
      <c r="C590" s="156"/>
      <c r="D590" s="155"/>
      <c r="E590" s="155"/>
      <c r="F590" s="155"/>
      <c r="G590" s="156"/>
      <c r="H590" s="157"/>
      <c r="I590" s="157"/>
      <c r="J590" s="155"/>
    </row>
    <row r="591" spans="1:10">
      <c r="A591" s="155"/>
      <c r="B591" s="156"/>
      <c r="C591" s="156"/>
      <c r="D591" s="155"/>
      <c r="E591" s="155"/>
      <c r="F591" s="155"/>
      <c r="G591" s="156"/>
      <c r="H591" s="157"/>
      <c r="I591" s="157"/>
      <c r="J591" s="155"/>
    </row>
    <row r="592" spans="1:10">
      <c r="A592" s="155"/>
      <c r="B592" s="156"/>
      <c r="C592" s="156"/>
      <c r="D592" s="155"/>
      <c r="E592" s="155"/>
      <c r="F592" s="155"/>
      <c r="G592" s="156"/>
      <c r="H592" s="157"/>
      <c r="I592" s="157"/>
      <c r="J592" s="155"/>
    </row>
    <row r="593" spans="1:10">
      <c r="A593" s="155"/>
      <c r="B593" s="156"/>
      <c r="C593" s="156"/>
      <c r="D593" s="155"/>
      <c r="E593" s="155"/>
      <c r="F593" s="155"/>
      <c r="G593" s="156"/>
      <c r="H593" s="157"/>
      <c r="I593" s="157"/>
      <c r="J593" s="155"/>
    </row>
    <row r="594" spans="1:10">
      <c r="A594" s="155"/>
      <c r="B594" s="156"/>
      <c r="C594" s="156"/>
      <c r="D594" s="155"/>
      <c r="E594" s="155"/>
      <c r="F594" s="155"/>
      <c r="G594" s="156"/>
      <c r="H594" s="157"/>
      <c r="I594" s="157"/>
      <c r="J594" s="155"/>
    </row>
    <row r="595" spans="1:10">
      <c r="A595" s="155"/>
      <c r="B595" s="156"/>
      <c r="C595" s="156"/>
      <c r="D595" s="155"/>
      <c r="E595" s="155"/>
      <c r="F595" s="155"/>
      <c r="G595" s="156"/>
      <c r="H595" s="157"/>
      <c r="I595" s="157"/>
      <c r="J595" s="155"/>
    </row>
    <row r="596" spans="1:10">
      <c r="A596" s="155"/>
      <c r="B596" s="156"/>
      <c r="C596" s="156"/>
      <c r="D596" s="155"/>
      <c r="E596" s="155"/>
      <c r="F596" s="155"/>
      <c r="G596" s="156"/>
      <c r="H596" s="157"/>
      <c r="I596" s="157"/>
      <c r="J596" s="155"/>
    </row>
    <row r="597" spans="1:10">
      <c r="A597" s="155"/>
      <c r="B597" s="156"/>
      <c r="C597" s="156"/>
      <c r="D597" s="155"/>
      <c r="E597" s="155"/>
      <c r="F597" s="155"/>
      <c r="G597" s="156"/>
      <c r="H597" s="157"/>
      <c r="I597" s="157"/>
      <c r="J597" s="155"/>
    </row>
    <row r="598" spans="1:10">
      <c r="A598" s="155"/>
      <c r="B598" s="156"/>
      <c r="C598" s="156"/>
      <c r="D598" s="155"/>
      <c r="E598" s="155"/>
      <c r="F598" s="155"/>
      <c r="G598" s="156"/>
      <c r="H598" s="157"/>
      <c r="I598" s="157"/>
      <c r="J598" s="155"/>
    </row>
    <row r="599" spans="1:10">
      <c r="A599" s="155"/>
      <c r="B599" s="156"/>
      <c r="C599" s="156"/>
      <c r="D599" s="155"/>
      <c r="E599" s="155"/>
      <c r="F599" s="155"/>
      <c r="G599" s="156"/>
      <c r="H599" s="157"/>
      <c r="I599" s="157"/>
      <c r="J599" s="155"/>
    </row>
    <row r="600" spans="1:10">
      <c r="A600" s="155"/>
      <c r="B600" s="156"/>
      <c r="C600" s="156"/>
      <c r="D600" s="155"/>
      <c r="E600" s="155"/>
      <c r="F600" s="155"/>
      <c r="G600" s="156"/>
      <c r="H600" s="157"/>
      <c r="I600" s="157"/>
      <c r="J600" s="155"/>
    </row>
    <row r="601" spans="1:10">
      <c r="A601" s="155"/>
      <c r="B601" s="156"/>
      <c r="C601" s="156"/>
      <c r="D601" s="155"/>
      <c r="E601" s="155"/>
      <c r="F601" s="155"/>
      <c r="G601" s="156"/>
      <c r="H601" s="157"/>
      <c r="I601" s="157"/>
      <c r="J601" s="155"/>
    </row>
    <row r="602" spans="1:10">
      <c r="A602" s="155"/>
      <c r="B602" s="156"/>
      <c r="C602" s="156"/>
      <c r="D602" s="155"/>
      <c r="E602" s="155"/>
      <c r="F602" s="155"/>
      <c r="G602" s="156"/>
      <c r="H602" s="157"/>
      <c r="I602" s="157"/>
      <c r="J602" s="155"/>
    </row>
    <row r="603" spans="1:10">
      <c r="A603" s="155"/>
      <c r="B603" s="156"/>
      <c r="C603" s="156"/>
      <c r="D603" s="155"/>
      <c r="E603" s="155"/>
      <c r="F603" s="155"/>
      <c r="G603" s="156"/>
      <c r="H603" s="157"/>
      <c r="I603" s="157"/>
      <c r="J603" s="155"/>
    </row>
    <row r="604" spans="1:10">
      <c r="A604" s="155"/>
      <c r="B604" s="156"/>
      <c r="C604" s="156"/>
      <c r="D604" s="155"/>
      <c r="E604" s="155"/>
      <c r="F604" s="155"/>
      <c r="G604" s="156"/>
      <c r="H604" s="157"/>
      <c r="I604" s="157"/>
      <c r="J604" s="155"/>
    </row>
    <row r="605" spans="1:10">
      <c r="A605" s="155"/>
      <c r="B605" s="156"/>
      <c r="C605" s="156"/>
      <c r="D605" s="155"/>
      <c r="E605" s="155"/>
      <c r="F605" s="155"/>
      <c r="G605" s="156"/>
      <c r="H605" s="157"/>
      <c r="I605" s="157"/>
      <c r="J605" s="155"/>
    </row>
    <row r="606" spans="1:10">
      <c r="A606" s="155"/>
      <c r="B606" s="156"/>
      <c r="C606" s="156"/>
      <c r="D606" s="155"/>
      <c r="E606" s="155"/>
      <c r="F606" s="155"/>
      <c r="G606" s="156"/>
      <c r="H606" s="157"/>
      <c r="I606" s="157"/>
      <c r="J606" s="155"/>
    </row>
    <row r="607" spans="1:10">
      <c r="A607" s="155"/>
      <c r="B607" s="156"/>
      <c r="C607" s="156"/>
      <c r="D607" s="155"/>
      <c r="E607" s="155"/>
      <c r="F607" s="155"/>
      <c r="G607" s="156"/>
      <c r="H607" s="157"/>
      <c r="I607" s="157"/>
      <c r="J607" s="155"/>
    </row>
    <row r="608" spans="1:10">
      <c r="A608" s="155"/>
      <c r="B608" s="156"/>
      <c r="C608" s="156"/>
      <c r="D608" s="155"/>
      <c r="E608" s="155"/>
      <c r="F608" s="155"/>
      <c r="G608" s="156"/>
      <c r="H608" s="157"/>
      <c r="I608" s="157"/>
      <c r="J608" s="155"/>
    </row>
    <row r="609" spans="1:10">
      <c r="A609" s="155"/>
      <c r="B609" s="156"/>
      <c r="C609" s="156"/>
      <c r="D609" s="155"/>
      <c r="E609" s="155"/>
      <c r="F609" s="155"/>
      <c r="G609" s="156"/>
      <c r="H609" s="157"/>
      <c r="I609" s="157"/>
      <c r="J609" s="155"/>
    </row>
    <row r="610" spans="1:10">
      <c r="A610" s="155"/>
      <c r="B610" s="156"/>
      <c r="C610" s="156"/>
      <c r="D610" s="155"/>
      <c r="E610" s="155"/>
      <c r="F610" s="155"/>
      <c r="G610" s="156"/>
      <c r="H610" s="157"/>
      <c r="I610" s="157"/>
      <c r="J610" s="155"/>
    </row>
    <row r="611" spans="1:10">
      <c r="A611" s="155"/>
      <c r="B611" s="156"/>
      <c r="C611" s="156"/>
      <c r="D611" s="155"/>
      <c r="E611" s="155"/>
      <c r="F611" s="155"/>
      <c r="G611" s="156"/>
      <c r="H611" s="157"/>
      <c r="I611" s="157"/>
      <c r="J611" s="155"/>
    </row>
    <row r="612" spans="1:10">
      <c r="A612" s="155"/>
      <c r="B612" s="156"/>
      <c r="C612" s="156"/>
      <c r="D612" s="155"/>
      <c r="E612" s="155"/>
      <c r="F612" s="155"/>
      <c r="G612" s="156"/>
      <c r="H612" s="157"/>
      <c r="I612" s="157"/>
      <c r="J612" s="155"/>
    </row>
    <row r="613" spans="1:10">
      <c r="A613" s="155"/>
      <c r="B613" s="156"/>
      <c r="C613" s="156"/>
      <c r="D613" s="155"/>
      <c r="E613" s="155"/>
      <c r="F613" s="155"/>
      <c r="G613" s="156"/>
      <c r="H613" s="157"/>
      <c r="I613" s="157"/>
      <c r="J613" s="155"/>
    </row>
    <row r="614" spans="1:10">
      <c r="A614" s="155"/>
      <c r="B614" s="156"/>
      <c r="C614" s="156"/>
      <c r="D614" s="155"/>
      <c r="E614" s="155"/>
      <c r="F614" s="155"/>
      <c r="G614" s="156"/>
      <c r="H614" s="157"/>
      <c r="I614" s="157"/>
      <c r="J614" s="155"/>
    </row>
    <row r="615" spans="1:10">
      <c r="A615" s="155"/>
      <c r="B615" s="156"/>
      <c r="C615" s="156"/>
      <c r="D615" s="155"/>
      <c r="E615" s="155"/>
      <c r="F615" s="155"/>
      <c r="G615" s="156"/>
      <c r="H615" s="157"/>
      <c r="I615" s="157"/>
      <c r="J615" s="155"/>
    </row>
    <row r="616" spans="1:10">
      <c r="A616" s="155"/>
      <c r="B616" s="156"/>
      <c r="C616" s="156"/>
      <c r="D616" s="155"/>
      <c r="E616" s="155"/>
      <c r="F616" s="155"/>
      <c r="G616" s="156"/>
      <c r="H616" s="157"/>
      <c r="I616" s="157"/>
      <c r="J616" s="155"/>
    </row>
    <row r="617" spans="1:10">
      <c r="A617" s="155"/>
      <c r="B617" s="156"/>
      <c r="C617" s="156"/>
      <c r="D617" s="155"/>
      <c r="E617" s="155"/>
      <c r="F617" s="155"/>
      <c r="G617" s="156"/>
      <c r="H617" s="157"/>
      <c r="I617" s="157"/>
      <c r="J617" s="155"/>
    </row>
    <row r="618" spans="1:10">
      <c r="A618" s="155"/>
      <c r="B618" s="156"/>
      <c r="C618" s="156"/>
      <c r="D618" s="155"/>
      <c r="E618" s="155"/>
      <c r="F618" s="155"/>
      <c r="G618" s="156"/>
      <c r="H618" s="157"/>
      <c r="I618" s="157"/>
      <c r="J618" s="155"/>
    </row>
    <row r="619" spans="1:10">
      <c r="A619" s="155"/>
      <c r="B619" s="156"/>
      <c r="C619" s="156"/>
      <c r="D619" s="155"/>
      <c r="E619" s="155"/>
      <c r="F619" s="155"/>
      <c r="G619" s="156"/>
      <c r="H619" s="157"/>
      <c r="I619" s="157"/>
      <c r="J619" s="155"/>
    </row>
    <row r="620" spans="1:10">
      <c r="A620" s="155"/>
      <c r="B620" s="156"/>
      <c r="C620" s="156"/>
      <c r="D620" s="155"/>
      <c r="E620" s="155"/>
      <c r="F620" s="155"/>
      <c r="G620" s="156"/>
      <c r="H620" s="157"/>
      <c r="I620" s="157"/>
      <c r="J620" s="155"/>
    </row>
    <row r="621" spans="1:10">
      <c r="A621" s="155"/>
      <c r="B621" s="156"/>
      <c r="C621" s="156"/>
      <c r="D621" s="155"/>
      <c r="E621" s="155"/>
      <c r="F621" s="155"/>
      <c r="G621" s="156"/>
      <c r="H621" s="157"/>
      <c r="I621" s="157"/>
      <c r="J621" s="155"/>
    </row>
    <row r="622" spans="1:10">
      <c r="A622" s="155"/>
      <c r="B622" s="156"/>
      <c r="C622" s="156"/>
      <c r="D622" s="155"/>
      <c r="E622" s="155"/>
      <c r="F622" s="155"/>
      <c r="G622" s="156"/>
      <c r="H622" s="157"/>
      <c r="I622" s="157"/>
      <c r="J622" s="155"/>
    </row>
    <row r="623" spans="1:10">
      <c r="A623" s="155"/>
      <c r="B623" s="156"/>
      <c r="C623" s="156"/>
      <c r="D623" s="155"/>
      <c r="E623" s="155"/>
      <c r="F623" s="155"/>
      <c r="G623" s="156"/>
      <c r="H623" s="157"/>
      <c r="I623" s="157"/>
      <c r="J623" s="155"/>
    </row>
    <row r="624" spans="1:10">
      <c r="A624" s="155"/>
      <c r="B624" s="156"/>
      <c r="C624" s="156"/>
      <c r="D624" s="155"/>
      <c r="E624" s="155"/>
      <c r="F624" s="155"/>
      <c r="G624" s="156"/>
      <c r="H624" s="157"/>
      <c r="I624" s="157"/>
      <c r="J624" s="155"/>
    </row>
    <row r="625" spans="1:10">
      <c r="A625" s="155"/>
      <c r="B625" s="156"/>
      <c r="C625" s="156"/>
      <c r="D625" s="155"/>
      <c r="E625" s="155"/>
      <c r="F625" s="155"/>
      <c r="G625" s="156"/>
      <c r="H625" s="157"/>
      <c r="I625" s="157"/>
      <c r="J625" s="155"/>
    </row>
    <row r="626" spans="1:10">
      <c r="A626" s="155"/>
      <c r="B626" s="156"/>
      <c r="C626" s="156"/>
      <c r="D626" s="155"/>
      <c r="E626" s="155"/>
      <c r="F626" s="155"/>
      <c r="G626" s="156"/>
      <c r="H626" s="157"/>
      <c r="I626" s="157"/>
      <c r="J626" s="155"/>
    </row>
    <row r="627" spans="1:10">
      <c r="A627" s="155"/>
      <c r="B627" s="156"/>
      <c r="C627" s="156"/>
      <c r="D627" s="155"/>
      <c r="E627" s="155"/>
      <c r="F627" s="155"/>
      <c r="G627" s="156"/>
      <c r="H627" s="157"/>
      <c r="I627" s="157"/>
      <c r="J627" s="155"/>
    </row>
    <row r="628" spans="1:10">
      <c r="A628" s="155"/>
      <c r="B628" s="156"/>
      <c r="C628" s="156"/>
      <c r="D628" s="155"/>
      <c r="E628" s="155"/>
      <c r="F628" s="155"/>
      <c r="G628" s="156"/>
      <c r="H628" s="157"/>
      <c r="I628" s="157"/>
      <c r="J628" s="155"/>
    </row>
    <row r="629" spans="1:10">
      <c r="A629" s="155"/>
      <c r="B629" s="156"/>
      <c r="C629" s="156"/>
      <c r="D629" s="155"/>
      <c r="E629" s="155"/>
      <c r="F629" s="155"/>
      <c r="G629" s="156"/>
      <c r="H629" s="157"/>
      <c r="I629" s="157"/>
      <c r="J629" s="155"/>
    </row>
    <row r="630" spans="1:10">
      <c r="A630" s="155"/>
      <c r="B630" s="156"/>
      <c r="C630" s="156"/>
      <c r="D630" s="155"/>
      <c r="E630" s="155"/>
      <c r="F630" s="155"/>
      <c r="G630" s="156"/>
      <c r="H630" s="157"/>
      <c r="I630" s="157"/>
      <c r="J630" s="155"/>
    </row>
    <row r="631" spans="1:10">
      <c r="A631" s="155"/>
      <c r="B631" s="156"/>
      <c r="C631" s="156"/>
      <c r="D631" s="155"/>
      <c r="E631" s="155"/>
      <c r="F631" s="155"/>
      <c r="G631" s="156"/>
      <c r="H631" s="157"/>
      <c r="I631" s="157"/>
      <c r="J631" s="155"/>
    </row>
    <row r="632" spans="1:10">
      <c r="A632" s="155"/>
      <c r="B632" s="156"/>
      <c r="C632" s="156"/>
      <c r="D632" s="155"/>
      <c r="E632" s="155"/>
      <c r="F632" s="155"/>
      <c r="G632" s="156"/>
      <c r="H632" s="157"/>
      <c r="I632" s="157"/>
      <c r="J632" s="155"/>
    </row>
    <row r="633" spans="1:10">
      <c r="A633" s="155"/>
      <c r="B633" s="156"/>
      <c r="C633" s="156"/>
      <c r="D633" s="155"/>
      <c r="E633" s="155"/>
      <c r="F633" s="155"/>
      <c r="G633" s="156"/>
      <c r="H633" s="157"/>
      <c r="I633" s="157"/>
      <c r="J633" s="155"/>
    </row>
    <row r="634" spans="1:10">
      <c r="A634" s="155"/>
      <c r="B634" s="156"/>
      <c r="C634" s="156"/>
      <c r="D634" s="155"/>
      <c r="E634" s="155"/>
      <c r="F634" s="155"/>
      <c r="G634" s="156"/>
      <c r="H634" s="157"/>
      <c r="I634" s="157"/>
      <c r="J634" s="155"/>
    </row>
    <row r="635" spans="1:10">
      <c r="A635" s="155"/>
      <c r="B635" s="156"/>
      <c r="C635" s="156"/>
      <c r="D635" s="155"/>
      <c r="E635" s="155"/>
      <c r="F635" s="155"/>
      <c r="G635" s="156"/>
      <c r="H635" s="157"/>
      <c r="I635" s="157"/>
      <c r="J635" s="155"/>
    </row>
    <row r="636" spans="1:10">
      <c r="A636" s="155"/>
      <c r="B636" s="156"/>
      <c r="C636" s="156"/>
      <c r="D636" s="155"/>
      <c r="E636" s="155"/>
      <c r="F636" s="155"/>
      <c r="G636" s="156"/>
      <c r="H636" s="157"/>
      <c r="I636" s="157"/>
      <c r="J636" s="155"/>
    </row>
    <row r="637" spans="1:10">
      <c r="A637" s="155"/>
      <c r="B637" s="156"/>
      <c r="C637" s="156"/>
      <c r="D637" s="155"/>
      <c r="E637" s="155"/>
      <c r="F637" s="155"/>
      <c r="G637" s="156"/>
      <c r="H637" s="157"/>
      <c r="I637" s="157"/>
      <c r="J637" s="155"/>
    </row>
    <row r="638" spans="1:10">
      <c r="A638" s="155"/>
      <c r="B638" s="156"/>
      <c r="C638" s="156"/>
      <c r="D638" s="155"/>
      <c r="E638" s="155"/>
      <c r="F638" s="155"/>
      <c r="G638" s="156"/>
      <c r="H638" s="157"/>
      <c r="I638" s="157"/>
      <c r="J638" s="155"/>
    </row>
    <row r="639" spans="1:10">
      <c r="A639" s="155"/>
      <c r="B639" s="156"/>
      <c r="C639" s="156"/>
      <c r="D639" s="155"/>
      <c r="E639" s="155"/>
      <c r="F639" s="155"/>
      <c r="G639" s="156"/>
      <c r="H639" s="157"/>
      <c r="I639" s="157"/>
      <c r="J639" s="155"/>
    </row>
    <row r="640" spans="1:10">
      <c r="A640" s="155"/>
      <c r="B640" s="156"/>
      <c r="C640" s="156"/>
      <c r="D640" s="155"/>
      <c r="E640" s="155"/>
      <c r="F640" s="155"/>
      <c r="G640" s="156"/>
      <c r="H640" s="157"/>
      <c r="I640" s="157"/>
      <c r="J640" s="155"/>
    </row>
    <row r="641" spans="1:10">
      <c r="A641" s="155"/>
      <c r="B641" s="156"/>
      <c r="C641" s="156"/>
      <c r="D641" s="155"/>
      <c r="E641" s="155"/>
      <c r="F641" s="155"/>
      <c r="G641" s="156"/>
      <c r="H641" s="157"/>
      <c r="I641" s="157"/>
      <c r="J641" s="155"/>
    </row>
    <row r="642" spans="1:10">
      <c r="A642" s="155"/>
      <c r="B642" s="156"/>
      <c r="C642" s="156"/>
      <c r="D642" s="155"/>
      <c r="E642" s="155"/>
      <c r="F642" s="155"/>
      <c r="G642" s="156"/>
      <c r="H642" s="157"/>
      <c r="I642" s="157"/>
      <c r="J642" s="155"/>
    </row>
    <row r="643" spans="1:10">
      <c r="A643" s="155"/>
      <c r="B643" s="156"/>
      <c r="C643" s="156"/>
      <c r="D643" s="155"/>
      <c r="E643" s="155"/>
      <c r="F643" s="155"/>
      <c r="G643" s="156"/>
      <c r="H643" s="157"/>
      <c r="I643" s="157"/>
      <c r="J643" s="155"/>
    </row>
    <row r="644" spans="1:10">
      <c r="A644" s="155"/>
      <c r="B644" s="156"/>
      <c r="C644" s="156"/>
      <c r="D644" s="155"/>
      <c r="E644" s="155"/>
      <c r="F644" s="155"/>
      <c r="G644" s="156"/>
      <c r="H644" s="157"/>
      <c r="I644" s="157"/>
      <c r="J644" s="155"/>
    </row>
    <row r="645" spans="1:10">
      <c r="A645" s="155"/>
      <c r="B645" s="156"/>
      <c r="C645" s="156"/>
      <c r="D645" s="155"/>
      <c r="E645" s="155"/>
      <c r="F645" s="155"/>
      <c r="G645" s="156"/>
      <c r="H645" s="157"/>
      <c r="I645" s="157"/>
      <c r="J645" s="155"/>
    </row>
    <row r="646" spans="1:10">
      <c r="A646" s="155"/>
      <c r="B646" s="156"/>
      <c r="C646" s="156"/>
      <c r="D646" s="155"/>
      <c r="E646" s="155"/>
      <c r="F646" s="155"/>
      <c r="G646" s="156"/>
      <c r="H646" s="157"/>
      <c r="I646" s="157"/>
      <c r="J646" s="155"/>
    </row>
    <row r="647" spans="1:10">
      <c r="A647" s="155"/>
      <c r="B647" s="156"/>
      <c r="C647" s="156"/>
      <c r="D647" s="155"/>
      <c r="E647" s="155"/>
      <c r="F647" s="155"/>
      <c r="G647" s="156"/>
      <c r="H647" s="157"/>
      <c r="I647" s="157"/>
      <c r="J647" s="155"/>
    </row>
    <row r="648" spans="1:10">
      <c r="A648" s="155"/>
      <c r="B648" s="156"/>
      <c r="C648" s="156"/>
      <c r="D648" s="155"/>
      <c r="E648" s="155"/>
      <c r="F648" s="155"/>
      <c r="G648" s="156"/>
      <c r="H648" s="157"/>
      <c r="I648" s="157"/>
      <c r="J648" s="155"/>
    </row>
    <row r="649" spans="1:10">
      <c r="A649" s="155"/>
      <c r="B649" s="156"/>
      <c r="C649" s="156"/>
      <c r="D649" s="155"/>
      <c r="E649" s="155"/>
      <c r="F649" s="155"/>
      <c r="G649" s="156"/>
      <c r="H649" s="157"/>
      <c r="I649" s="157"/>
      <c r="J649" s="155"/>
    </row>
    <row r="650" spans="1:10">
      <c r="A650" s="155"/>
      <c r="B650" s="156"/>
      <c r="C650" s="156"/>
      <c r="D650" s="155"/>
      <c r="E650" s="155"/>
      <c r="F650" s="155"/>
      <c r="G650" s="156"/>
      <c r="H650" s="157"/>
      <c r="I650" s="157"/>
      <c r="J650" s="155"/>
    </row>
    <row r="651" spans="1:10">
      <c r="A651" s="155"/>
      <c r="B651" s="156"/>
      <c r="C651" s="156"/>
      <c r="D651" s="155"/>
      <c r="E651" s="155"/>
      <c r="F651" s="155"/>
      <c r="G651" s="156"/>
      <c r="H651" s="157"/>
      <c r="I651" s="157"/>
      <c r="J651" s="155"/>
    </row>
    <row r="652" spans="1:10">
      <c r="A652" s="155"/>
      <c r="B652" s="156"/>
      <c r="C652" s="156"/>
      <c r="D652" s="155"/>
      <c r="E652" s="155"/>
      <c r="F652" s="155"/>
      <c r="G652" s="156"/>
      <c r="H652" s="157"/>
      <c r="I652" s="157"/>
      <c r="J652" s="155"/>
    </row>
    <row r="653" spans="1:10">
      <c r="A653" s="155"/>
      <c r="B653" s="156"/>
      <c r="C653" s="156"/>
      <c r="D653" s="155"/>
      <c r="E653" s="155"/>
      <c r="F653" s="155"/>
      <c r="G653" s="156"/>
      <c r="H653" s="157"/>
      <c r="I653" s="157"/>
      <c r="J653" s="155"/>
    </row>
    <row r="654" spans="1:10">
      <c r="A654" s="155"/>
      <c r="B654" s="156"/>
      <c r="C654" s="156"/>
      <c r="D654" s="155"/>
      <c r="E654" s="155"/>
      <c r="F654" s="155"/>
      <c r="G654" s="156"/>
      <c r="H654" s="157"/>
      <c r="I654" s="157"/>
      <c r="J654" s="155"/>
    </row>
    <row r="655" spans="1:10">
      <c r="A655" s="155"/>
      <c r="B655" s="156"/>
      <c r="C655" s="156"/>
      <c r="D655" s="155"/>
      <c r="E655" s="155"/>
      <c r="F655" s="155"/>
      <c r="G655" s="156"/>
      <c r="H655" s="157"/>
      <c r="I655" s="157"/>
      <c r="J655" s="155"/>
    </row>
    <row r="656" spans="1:10">
      <c r="A656" s="155"/>
      <c r="B656" s="156"/>
      <c r="C656" s="156"/>
      <c r="D656" s="155"/>
      <c r="E656" s="155"/>
      <c r="F656" s="155"/>
      <c r="G656" s="156"/>
      <c r="H656" s="157"/>
      <c r="I656" s="157"/>
      <c r="J656" s="155"/>
    </row>
    <row r="657" spans="1:10">
      <c r="A657" s="155"/>
      <c r="B657" s="156"/>
      <c r="C657" s="156"/>
      <c r="D657" s="155"/>
      <c r="E657" s="155"/>
      <c r="F657" s="155"/>
      <c r="G657" s="156"/>
      <c r="H657" s="157"/>
      <c r="I657" s="157"/>
      <c r="J657" s="155"/>
    </row>
    <row r="658" spans="1:10">
      <c r="A658" s="155"/>
      <c r="B658" s="156"/>
      <c r="C658" s="156"/>
      <c r="D658" s="155"/>
      <c r="E658" s="155"/>
      <c r="F658" s="155"/>
      <c r="G658" s="156"/>
      <c r="H658" s="157"/>
      <c r="I658" s="157"/>
      <c r="J658" s="155"/>
    </row>
    <row r="659" spans="1:10">
      <c r="A659" s="155"/>
      <c r="B659" s="156"/>
      <c r="C659" s="156"/>
      <c r="D659" s="155"/>
      <c r="E659" s="155"/>
      <c r="F659" s="155"/>
      <c r="G659" s="156"/>
      <c r="H659" s="157"/>
      <c r="I659" s="157"/>
      <c r="J659" s="155"/>
    </row>
    <row r="660" spans="1:10">
      <c r="A660" s="155"/>
      <c r="B660" s="156"/>
      <c r="C660" s="156"/>
      <c r="D660" s="155"/>
      <c r="E660" s="155"/>
      <c r="F660" s="155"/>
      <c r="G660" s="156"/>
      <c r="H660" s="157"/>
      <c r="I660" s="157"/>
      <c r="J660" s="155"/>
    </row>
    <row r="661" spans="1:10">
      <c r="A661" s="155"/>
      <c r="B661" s="156"/>
      <c r="C661" s="156"/>
      <c r="D661" s="155"/>
      <c r="E661" s="155"/>
      <c r="F661" s="155"/>
      <c r="G661" s="156"/>
      <c r="H661" s="157"/>
      <c r="I661" s="157"/>
      <c r="J661" s="155"/>
    </row>
    <row r="662" spans="1:10">
      <c r="A662" s="155"/>
      <c r="B662" s="156"/>
      <c r="C662" s="156"/>
      <c r="D662" s="155"/>
      <c r="E662" s="155"/>
      <c r="F662" s="155"/>
      <c r="G662" s="156"/>
      <c r="H662" s="157"/>
      <c r="I662" s="157"/>
      <c r="J662" s="155"/>
    </row>
    <row r="663" spans="1:10">
      <c r="A663" s="155"/>
      <c r="B663" s="156"/>
      <c r="C663" s="156"/>
      <c r="D663" s="155"/>
      <c r="E663" s="155"/>
      <c r="F663" s="155"/>
      <c r="G663" s="156"/>
      <c r="H663" s="157"/>
      <c r="I663" s="157"/>
      <c r="J663" s="155"/>
    </row>
    <row r="664" spans="1:10">
      <c r="A664" s="155"/>
      <c r="B664" s="156"/>
      <c r="C664" s="156"/>
      <c r="D664" s="155"/>
      <c r="E664" s="155"/>
      <c r="F664" s="155"/>
      <c r="G664" s="156"/>
      <c r="H664" s="157"/>
      <c r="I664" s="157"/>
      <c r="J664" s="155"/>
    </row>
    <row r="665" spans="1:10">
      <c r="A665" s="155"/>
      <c r="B665" s="156"/>
      <c r="C665" s="156"/>
      <c r="D665" s="155"/>
      <c r="E665" s="155"/>
      <c r="F665" s="155"/>
      <c r="G665" s="156"/>
      <c r="H665" s="157"/>
      <c r="I665" s="157"/>
      <c r="J665" s="155"/>
    </row>
    <row r="666" spans="1:10">
      <c r="A666" s="155"/>
      <c r="B666" s="156"/>
      <c r="C666" s="156"/>
      <c r="D666" s="155"/>
      <c r="E666" s="155"/>
      <c r="F666" s="155"/>
      <c r="G666" s="156"/>
      <c r="H666" s="157"/>
      <c r="I666" s="157"/>
      <c r="J666" s="155"/>
    </row>
    <row r="667" spans="1:10">
      <c r="A667" s="155"/>
      <c r="B667" s="156"/>
      <c r="C667" s="156"/>
      <c r="D667" s="155"/>
      <c r="E667" s="155"/>
      <c r="F667" s="155"/>
      <c r="G667" s="156"/>
      <c r="H667" s="157"/>
      <c r="I667" s="157"/>
      <c r="J667" s="155"/>
    </row>
    <row r="668" spans="1:10">
      <c r="A668" s="155"/>
      <c r="B668" s="156"/>
      <c r="C668" s="156"/>
      <c r="D668" s="155"/>
      <c r="E668" s="155"/>
      <c r="F668" s="155"/>
      <c r="G668" s="156"/>
      <c r="H668" s="157"/>
      <c r="I668" s="157"/>
      <c r="J668" s="155"/>
    </row>
    <row r="669" spans="1:10">
      <c r="A669" s="155"/>
      <c r="B669" s="156"/>
      <c r="C669" s="156"/>
      <c r="D669" s="155"/>
      <c r="E669" s="155"/>
      <c r="F669" s="155"/>
      <c r="G669" s="156"/>
      <c r="H669" s="157"/>
      <c r="I669" s="157"/>
      <c r="J669" s="155"/>
    </row>
    <row r="670" spans="1:10">
      <c r="A670" s="155"/>
      <c r="B670" s="156"/>
      <c r="C670" s="156"/>
      <c r="D670" s="155"/>
      <c r="E670" s="155"/>
      <c r="F670" s="155"/>
      <c r="G670" s="156"/>
      <c r="H670" s="157"/>
      <c r="I670" s="157"/>
      <c r="J670" s="155"/>
    </row>
    <row r="671" spans="1:10">
      <c r="A671" s="155"/>
      <c r="B671" s="156"/>
      <c r="C671" s="156"/>
      <c r="D671" s="155"/>
      <c r="E671" s="155"/>
      <c r="F671" s="155"/>
      <c r="G671" s="156"/>
      <c r="H671" s="157"/>
      <c r="I671" s="157"/>
      <c r="J671" s="155"/>
    </row>
    <row r="672" spans="1:10">
      <c r="A672" s="155"/>
      <c r="B672" s="156"/>
      <c r="C672" s="156"/>
      <c r="D672" s="155"/>
      <c r="E672" s="155"/>
      <c r="F672" s="155"/>
      <c r="G672" s="156"/>
      <c r="H672" s="157"/>
      <c r="I672" s="157"/>
      <c r="J672" s="155"/>
    </row>
    <row r="673" spans="1:10">
      <c r="A673" s="155"/>
      <c r="B673" s="156"/>
      <c r="C673" s="156"/>
      <c r="D673" s="155"/>
      <c r="E673" s="155"/>
      <c r="F673" s="155"/>
      <c r="G673" s="156"/>
      <c r="H673" s="157"/>
      <c r="I673" s="157"/>
      <c r="J673" s="155"/>
    </row>
    <row r="674" spans="1:10">
      <c r="A674" s="155"/>
      <c r="B674" s="156"/>
      <c r="C674" s="156"/>
      <c r="D674" s="155"/>
      <c r="E674" s="155"/>
      <c r="F674" s="155"/>
      <c r="G674" s="156"/>
      <c r="H674" s="157"/>
      <c r="I674" s="157"/>
      <c r="J674" s="155"/>
    </row>
    <row r="675" spans="1:10">
      <c r="A675" s="155"/>
      <c r="B675" s="156"/>
      <c r="C675" s="156"/>
      <c r="D675" s="155"/>
      <c r="E675" s="155"/>
      <c r="F675" s="155"/>
      <c r="G675" s="156"/>
      <c r="H675" s="157"/>
      <c r="I675" s="157"/>
      <c r="J675" s="155"/>
    </row>
    <row r="676" spans="1:10">
      <c r="A676" s="155"/>
      <c r="B676" s="156"/>
      <c r="C676" s="156"/>
      <c r="D676" s="155"/>
      <c r="E676" s="155"/>
      <c r="F676" s="155"/>
      <c r="G676" s="156"/>
      <c r="H676" s="157"/>
      <c r="I676" s="157"/>
      <c r="J676" s="155"/>
    </row>
    <row r="677" spans="1:10">
      <c r="A677" s="155"/>
      <c r="B677" s="156"/>
      <c r="C677" s="156"/>
      <c r="D677" s="155"/>
      <c r="E677" s="155"/>
      <c r="F677" s="155"/>
      <c r="G677" s="156"/>
      <c r="H677" s="157"/>
      <c r="I677" s="157"/>
      <c r="J677" s="155"/>
    </row>
    <row r="678" spans="1:10">
      <c r="A678" s="155"/>
      <c r="B678" s="156"/>
      <c r="C678" s="156"/>
      <c r="D678" s="155"/>
      <c r="E678" s="155"/>
      <c r="F678" s="155"/>
      <c r="G678" s="156"/>
      <c r="H678" s="157"/>
      <c r="I678" s="157"/>
      <c r="J678" s="155"/>
    </row>
    <row r="679" spans="1:10">
      <c r="A679" s="155"/>
      <c r="B679" s="156"/>
      <c r="C679" s="156"/>
      <c r="D679" s="155"/>
      <c r="E679" s="155"/>
      <c r="F679" s="155"/>
      <c r="G679" s="156"/>
      <c r="H679" s="157"/>
      <c r="I679" s="157"/>
      <c r="J679" s="155"/>
    </row>
    <row r="680" spans="1:10">
      <c r="A680" s="155"/>
      <c r="B680" s="156"/>
      <c r="C680" s="156"/>
      <c r="D680" s="155"/>
      <c r="E680" s="155"/>
      <c r="F680" s="155"/>
      <c r="G680" s="156"/>
      <c r="H680" s="157"/>
      <c r="I680" s="157"/>
      <c r="J680" s="155"/>
    </row>
    <row r="681" spans="1:10">
      <c r="A681" s="155"/>
      <c r="B681" s="156"/>
      <c r="C681" s="156"/>
      <c r="D681" s="155"/>
      <c r="E681" s="155"/>
      <c r="F681" s="155"/>
      <c r="G681" s="156"/>
      <c r="H681" s="157"/>
      <c r="I681" s="157"/>
      <c r="J681" s="155"/>
    </row>
    <row r="682" spans="1:10">
      <c r="A682" s="155"/>
      <c r="B682" s="156"/>
      <c r="C682" s="156"/>
      <c r="D682" s="155"/>
      <c r="E682" s="155"/>
      <c r="F682" s="155"/>
      <c r="G682" s="156"/>
      <c r="H682" s="157"/>
      <c r="I682" s="157"/>
      <c r="J682" s="155"/>
    </row>
    <row r="683" spans="1:10">
      <c r="A683" s="155"/>
      <c r="B683" s="156"/>
      <c r="C683" s="156"/>
      <c r="D683" s="155"/>
      <c r="E683" s="155"/>
      <c r="F683" s="155"/>
      <c r="G683" s="156"/>
      <c r="H683" s="157"/>
      <c r="I683" s="157"/>
      <c r="J683" s="155"/>
    </row>
    <row r="684" spans="1:10">
      <c r="A684" s="155"/>
      <c r="B684" s="156"/>
      <c r="C684" s="156"/>
      <c r="D684" s="155"/>
      <c r="E684" s="155"/>
      <c r="F684" s="155"/>
      <c r="G684" s="156"/>
      <c r="H684" s="157"/>
      <c r="I684" s="157"/>
      <c r="J684" s="155"/>
    </row>
    <row r="685" spans="1:10">
      <c r="A685" s="155"/>
      <c r="B685" s="156"/>
      <c r="C685" s="156"/>
      <c r="D685" s="155"/>
      <c r="E685" s="155"/>
      <c r="F685" s="155"/>
      <c r="G685" s="156"/>
      <c r="H685" s="157"/>
      <c r="I685" s="157"/>
      <c r="J685" s="155"/>
    </row>
    <row r="686" spans="1:10">
      <c r="A686" s="155"/>
      <c r="B686" s="156"/>
      <c r="C686" s="156"/>
      <c r="D686" s="155"/>
      <c r="E686" s="155"/>
      <c r="F686" s="155"/>
      <c r="G686" s="156"/>
      <c r="H686" s="157"/>
      <c r="I686" s="157"/>
      <c r="J686" s="155"/>
    </row>
    <row r="687" spans="1:10">
      <c r="A687" s="155"/>
      <c r="B687" s="156"/>
      <c r="C687" s="156"/>
      <c r="D687" s="155"/>
      <c r="E687" s="155"/>
      <c r="F687" s="155"/>
      <c r="G687" s="156"/>
      <c r="H687" s="157"/>
      <c r="I687" s="157"/>
      <c r="J687" s="155"/>
    </row>
    <row r="688" spans="1:10">
      <c r="A688" s="155"/>
      <c r="B688" s="156"/>
      <c r="C688" s="156"/>
      <c r="D688" s="155"/>
      <c r="E688" s="155"/>
      <c r="F688" s="155"/>
      <c r="G688" s="156"/>
      <c r="H688" s="157"/>
      <c r="I688" s="157"/>
      <c r="J688" s="155"/>
    </row>
    <row r="689" spans="1:10">
      <c r="A689" s="155"/>
      <c r="B689" s="156"/>
      <c r="C689" s="156"/>
      <c r="D689" s="155"/>
      <c r="E689" s="155"/>
      <c r="F689" s="155"/>
      <c r="G689" s="156"/>
      <c r="H689" s="157"/>
      <c r="I689" s="157"/>
      <c r="J689" s="155"/>
    </row>
    <row r="690" spans="1:10">
      <c r="A690" s="155"/>
      <c r="B690" s="156"/>
      <c r="C690" s="156"/>
      <c r="D690" s="155"/>
      <c r="E690" s="155"/>
      <c r="F690" s="155"/>
      <c r="G690" s="156"/>
      <c r="H690" s="157"/>
      <c r="I690" s="157"/>
      <c r="J690" s="155"/>
    </row>
    <row r="691" spans="1:10">
      <c r="A691" s="155"/>
      <c r="B691" s="156"/>
      <c r="C691" s="156"/>
      <c r="D691" s="155"/>
      <c r="E691" s="155"/>
      <c r="F691" s="155"/>
      <c r="G691" s="156"/>
      <c r="H691" s="157"/>
      <c r="I691" s="157"/>
      <c r="J691" s="155"/>
    </row>
    <row r="692" spans="1:10">
      <c r="A692" s="155"/>
      <c r="B692" s="156"/>
      <c r="C692" s="156"/>
      <c r="D692" s="155"/>
      <c r="E692" s="155"/>
      <c r="F692" s="155"/>
      <c r="G692" s="156"/>
      <c r="H692" s="157"/>
      <c r="I692" s="157"/>
      <c r="J692" s="155"/>
    </row>
    <row r="693" spans="1:10">
      <c r="A693" s="155"/>
      <c r="B693" s="156"/>
      <c r="C693" s="156"/>
      <c r="D693" s="155"/>
      <c r="E693" s="155"/>
      <c r="F693" s="155"/>
      <c r="G693" s="156"/>
      <c r="H693" s="157"/>
      <c r="I693" s="157"/>
      <c r="J693" s="155"/>
    </row>
    <row r="694" spans="1:10">
      <c r="A694" s="155"/>
      <c r="B694" s="156"/>
      <c r="C694" s="156"/>
      <c r="D694" s="155"/>
      <c r="E694" s="155"/>
      <c r="F694" s="155"/>
      <c r="G694" s="156"/>
      <c r="H694" s="157"/>
      <c r="I694" s="157"/>
      <c r="J694" s="155"/>
    </row>
    <row r="695" spans="1:10">
      <c r="A695" s="155"/>
      <c r="B695" s="156"/>
      <c r="C695" s="156"/>
      <c r="D695" s="155"/>
      <c r="E695" s="155"/>
      <c r="F695" s="155"/>
      <c r="G695" s="156"/>
      <c r="H695" s="157"/>
      <c r="I695" s="157"/>
      <c r="J695" s="155"/>
    </row>
    <row r="696" spans="1:10">
      <c r="A696" s="155"/>
      <c r="B696" s="156"/>
      <c r="C696" s="156"/>
      <c r="D696" s="155"/>
      <c r="E696" s="155"/>
      <c r="F696" s="155"/>
      <c r="G696" s="156"/>
      <c r="H696" s="157"/>
      <c r="I696" s="157"/>
      <c r="J696" s="155"/>
    </row>
    <row r="697" spans="1:10">
      <c r="A697" s="155"/>
      <c r="B697" s="156"/>
      <c r="C697" s="156"/>
      <c r="D697" s="155"/>
      <c r="E697" s="155"/>
      <c r="F697" s="155"/>
      <c r="G697" s="156"/>
      <c r="H697" s="157"/>
      <c r="I697" s="157"/>
      <c r="J697" s="155"/>
    </row>
    <row r="698" spans="1:10">
      <c r="A698" s="155"/>
      <c r="B698" s="156"/>
      <c r="C698" s="156"/>
      <c r="D698" s="155"/>
      <c r="E698" s="155"/>
      <c r="F698" s="155"/>
      <c r="G698" s="156"/>
      <c r="H698" s="157"/>
      <c r="I698" s="157"/>
      <c r="J698" s="155"/>
    </row>
    <row r="699" spans="1:10">
      <c r="A699" s="155"/>
      <c r="B699" s="156"/>
      <c r="C699" s="156"/>
      <c r="D699" s="155"/>
      <c r="E699" s="155"/>
      <c r="F699" s="155"/>
      <c r="G699" s="156"/>
      <c r="H699" s="157"/>
      <c r="I699" s="157"/>
      <c r="J699" s="155"/>
    </row>
    <row r="700" spans="1:10">
      <c r="A700" s="155"/>
      <c r="B700" s="156"/>
      <c r="C700" s="156"/>
      <c r="D700" s="155"/>
      <c r="E700" s="155"/>
      <c r="F700" s="155"/>
      <c r="G700" s="156"/>
      <c r="H700" s="157"/>
      <c r="I700" s="157"/>
      <c r="J700" s="155"/>
    </row>
    <row r="701" spans="1:10">
      <c r="A701" s="155"/>
      <c r="B701" s="156"/>
      <c r="C701" s="156"/>
      <c r="D701" s="155"/>
      <c r="E701" s="155"/>
      <c r="F701" s="155"/>
      <c r="G701" s="156"/>
      <c r="H701" s="157"/>
      <c r="I701" s="157"/>
      <c r="J701" s="155"/>
    </row>
    <row r="702" spans="1:10">
      <c r="A702" s="155"/>
      <c r="B702" s="156"/>
      <c r="C702" s="156"/>
      <c r="D702" s="155"/>
      <c r="E702" s="155"/>
      <c r="F702" s="155"/>
      <c r="G702" s="156"/>
      <c r="H702" s="157"/>
      <c r="I702" s="157"/>
      <c r="J702" s="155"/>
    </row>
    <row r="703" spans="1:10">
      <c r="A703" s="155"/>
      <c r="B703" s="156"/>
      <c r="C703" s="156"/>
      <c r="D703" s="155"/>
      <c r="E703" s="155"/>
      <c r="F703" s="155"/>
      <c r="G703" s="156"/>
      <c r="H703" s="157"/>
      <c r="I703" s="157"/>
      <c r="J703" s="155"/>
    </row>
    <row r="704" spans="1:10">
      <c r="A704" s="155"/>
      <c r="B704" s="156"/>
      <c r="C704" s="156"/>
      <c r="D704" s="155"/>
      <c r="E704" s="155"/>
      <c r="F704" s="155"/>
      <c r="G704" s="156"/>
      <c r="H704" s="157"/>
      <c r="I704" s="157"/>
      <c r="J704" s="155"/>
    </row>
    <row r="705" spans="1:10">
      <c r="A705" s="155"/>
      <c r="B705" s="156"/>
      <c r="C705" s="156"/>
      <c r="D705" s="155"/>
      <c r="E705" s="155"/>
      <c r="F705" s="155"/>
      <c r="G705" s="156"/>
      <c r="H705" s="157"/>
      <c r="I705" s="157"/>
      <c r="J705" s="155"/>
    </row>
    <row r="706" spans="1:10">
      <c r="A706" s="155"/>
      <c r="B706" s="156"/>
      <c r="C706" s="156"/>
      <c r="D706" s="155"/>
      <c r="E706" s="155"/>
      <c r="F706" s="155"/>
      <c r="G706" s="156"/>
      <c r="H706" s="157"/>
      <c r="I706" s="157"/>
      <c r="J706" s="155"/>
    </row>
    <row r="707" spans="1:10">
      <c r="A707" s="155"/>
      <c r="B707" s="156"/>
      <c r="C707" s="156"/>
      <c r="D707" s="155"/>
      <c r="E707" s="155"/>
      <c r="F707" s="155"/>
      <c r="G707" s="156"/>
      <c r="H707" s="157"/>
      <c r="I707" s="157"/>
      <c r="J707" s="155"/>
    </row>
    <row r="708" spans="1:10">
      <c r="A708" s="155"/>
      <c r="B708" s="156"/>
      <c r="C708" s="156"/>
      <c r="D708" s="155"/>
      <c r="E708" s="155"/>
      <c r="F708" s="155"/>
      <c r="G708" s="156"/>
      <c r="H708" s="157"/>
      <c r="I708" s="157"/>
      <c r="J708" s="155"/>
    </row>
    <row r="709" spans="1:10">
      <c r="A709" s="155"/>
      <c r="B709" s="156"/>
      <c r="C709" s="156"/>
      <c r="D709" s="155"/>
      <c r="E709" s="155"/>
      <c r="F709" s="155"/>
      <c r="G709" s="156"/>
      <c r="H709" s="157"/>
      <c r="I709" s="157"/>
      <c r="J709" s="155"/>
    </row>
    <row r="710" spans="1:10">
      <c r="A710" s="155"/>
      <c r="B710" s="156"/>
      <c r="C710" s="156"/>
      <c r="D710" s="155"/>
      <c r="E710" s="155"/>
      <c r="F710" s="155"/>
      <c r="G710" s="156"/>
      <c r="H710" s="157"/>
      <c r="I710" s="157"/>
      <c r="J710" s="155"/>
    </row>
    <row r="711" spans="1:10">
      <c r="A711" s="155"/>
      <c r="B711" s="156"/>
      <c r="C711" s="156"/>
      <c r="D711" s="155"/>
      <c r="E711" s="155"/>
      <c r="F711" s="155"/>
      <c r="G711" s="156"/>
      <c r="H711" s="157"/>
      <c r="I711" s="157"/>
      <c r="J711" s="155"/>
    </row>
    <row r="712" spans="1:10">
      <c r="A712" s="155"/>
      <c r="B712" s="156"/>
      <c r="C712" s="156"/>
      <c r="D712" s="155"/>
      <c r="E712" s="155"/>
      <c r="F712" s="155"/>
      <c r="G712" s="156"/>
      <c r="H712" s="157"/>
      <c r="I712" s="157"/>
      <c r="J712" s="155"/>
    </row>
    <row r="713" spans="1:10">
      <c r="A713" s="155"/>
      <c r="B713" s="156"/>
      <c r="C713" s="156"/>
      <c r="D713" s="155"/>
      <c r="E713" s="155"/>
      <c r="F713" s="155"/>
      <c r="G713" s="156"/>
      <c r="H713" s="157"/>
      <c r="I713" s="157"/>
      <c r="J713" s="155"/>
    </row>
    <row r="714" spans="1:10">
      <c r="A714" s="155"/>
      <c r="B714" s="156"/>
      <c r="C714" s="156"/>
      <c r="D714" s="155"/>
      <c r="E714" s="155"/>
      <c r="F714" s="155"/>
      <c r="G714" s="156"/>
      <c r="H714" s="157"/>
      <c r="I714" s="157"/>
      <c r="J714" s="155"/>
    </row>
    <row r="715" spans="1:10">
      <c r="A715" s="155"/>
      <c r="B715" s="156"/>
      <c r="C715" s="156"/>
      <c r="D715" s="155"/>
      <c r="E715" s="155"/>
      <c r="F715" s="155"/>
      <c r="G715" s="156"/>
      <c r="H715" s="157"/>
      <c r="I715" s="157"/>
      <c r="J715" s="155"/>
    </row>
    <row r="716" spans="1:10">
      <c r="A716" s="155"/>
      <c r="B716" s="156"/>
      <c r="C716" s="156"/>
      <c r="D716" s="155"/>
      <c r="E716" s="155"/>
      <c r="F716" s="155"/>
      <c r="G716" s="156"/>
      <c r="H716" s="157"/>
      <c r="I716" s="157"/>
      <c r="J716" s="155"/>
    </row>
    <row r="717" spans="1:10">
      <c r="A717" s="155"/>
      <c r="B717" s="156"/>
      <c r="C717" s="156"/>
      <c r="D717" s="155"/>
      <c r="E717" s="155"/>
      <c r="F717" s="155"/>
      <c r="G717" s="156"/>
      <c r="H717" s="157"/>
      <c r="I717" s="157"/>
      <c r="J717" s="155"/>
    </row>
    <row r="718" spans="1:10">
      <c r="A718" s="155"/>
      <c r="B718" s="156"/>
      <c r="C718" s="156"/>
      <c r="D718" s="155"/>
      <c r="E718" s="155"/>
      <c r="F718" s="155"/>
      <c r="G718" s="156"/>
      <c r="H718" s="157"/>
      <c r="I718" s="157"/>
      <c r="J718" s="155"/>
    </row>
    <row r="719" spans="1:10">
      <c r="A719" s="155"/>
      <c r="B719" s="156"/>
      <c r="C719" s="156"/>
      <c r="D719" s="155"/>
      <c r="E719" s="155"/>
      <c r="F719" s="155"/>
      <c r="G719" s="156"/>
      <c r="H719" s="157"/>
      <c r="I719" s="157"/>
      <c r="J719" s="155"/>
    </row>
    <row r="720" spans="1:10">
      <c r="A720" s="155"/>
      <c r="B720" s="156"/>
      <c r="C720" s="156"/>
      <c r="D720" s="155"/>
      <c r="E720" s="155"/>
      <c r="F720" s="155"/>
      <c r="G720" s="156"/>
      <c r="H720" s="157"/>
      <c r="I720" s="157"/>
      <c r="J720" s="155"/>
    </row>
    <row r="721" spans="1:10">
      <c r="A721" s="155"/>
      <c r="B721" s="156"/>
      <c r="C721" s="156"/>
      <c r="D721" s="155"/>
      <c r="E721" s="155"/>
      <c r="F721" s="155"/>
      <c r="G721" s="156"/>
      <c r="H721" s="157"/>
      <c r="I721" s="157"/>
      <c r="J721" s="155"/>
    </row>
    <row r="722" spans="1:10">
      <c r="A722" s="155"/>
      <c r="B722" s="156"/>
      <c r="C722" s="156"/>
      <c r="D722" s="155"/>
      <c r="E722" s="155"/>
      <c r="F722" s="155"/>
      <c r="G722" s="156"/>
      <c r="H722" s="157"/>
      <c r="I722" s="157"/>
      <c r="J722" s="155"/>
    </row>
    <row r="723" spans="1:10">
      <c r="A723" s="155"/>
      <c r="B723" s="156"/>
      <c r="C723" s="156"/>
      <c r="D723" s="155"/>
      <c r="E723" s="155"/>
      <c r="F723" s="155"/>
      <c r="G723" s="156"/>
      <c r="H723" s="157"/>
      <c r="I723" s="157"/>
      <c r="J723" s="155"/>
    </row>
    <row r="724" spans="1:10">
      <c r="A724" s="155"/>
      <c r="B724" s="156"/>
      <c r="C724" s="156"/>
      <c r="D724" s="155"/>
      <c r="E724" s="155"/>
      <c r="F724" s="155"/>
      <c r="G724" s="156"/>
      <c r="H724" s="157"/>
      <c r="I724" s="157"/>
      <c r="J724" s="155"/>
    </row>
    <row r="725" spans="1:10">
      <c r="A725" s="155"/>
      <c r="B725" s="156"/>
      <c r="C725" s="156"/>
      <c r="D725" s="155"/>
      <c r="E725" s="155"/>
      <c r="F725" s="155"/>
      <c r="G725" s="156"/>
      <c r="H725" s="157"/>
      <c r="I725" s="157"/>
      <c r="J725" s="155"/>
    </row>
    <row r="726" spans="1:10">
      <c r="A726" s="155"/>
      <c r="B726" s="156"/>
      <c r="C726" s="156"/>
      <c r="D726" s="155"/>
      <c r="E726" s="155"/>
      <c r="F726" s="155"/>
      <c r="G726" s="156"/>
      <c r="H726" s="157"/>
      <c r="I726" s="157"/>
      <c r="J726" s="155"/>
    </row>
    <row r="727" spans="1:10">
      <c r="A727" s="155"/>
      <c r="B727" s="156"/>
      <c r="C727" s="156"/>
      <c r="D727" s="155"/>
      <c r="E727" s="155"/>
      <c r="F727" s="155"/>
      <c r="G727" s="156"/>
      <c r="H727" s="157"/>
      <c r="I727" s="157"/>
      <c r="J727" s="155"/>
    </row>
    <row r="728" spans="1:10">
      <c r="A728" s="155"/>
      <c r="B728" s="156"/>
      <c r="C728" s="156"/>
      <c r="D728" s="155"/>
      <c r="E728" s="155"/>
      <c r="F728" s="155"/>
      <c r="G728" s="156"/>
      <c r="H728" s="157"/>
      <c r="I728" s="157"/>
      <c r="J728" s="155"/>
    </row>
    <row r="729" spans="1:10">
      <c r="A729" s="155"/>
      <c r="B729" s="156"/>
      <c r="C729" s="156"/>
      <c r="D729" s="155"/>
      <c r="E729" s="155"/>
      <c r="F729" s="155"/>
      <c r="G729" s="156"/>
      <c r="H729" s="157"/>
      <c r="I729" s="157"/>
      <c r="J729" s="155"/>
    </row>
    <row r="730" spans="1:10">
      <c r="A730" s="155"/>
      <c r="B730" s="156"/>
      <c r="C730" s="156"/>
      <c r="D730" s="155"/>
      <c r="E730" s="155"/>
      <c r="F730" s="155"/>
      <c r="G730" s="156"/>
      <c r="H730" s="157"/>
      <c r="I730" s="157"/>
      <c r="J730" s="155"/>
    </row>
    <row r="731" spans="1:10">
      <c r="A731" s="155"/>
      <c r="B731" s="156"/>
      <c r="C731" s="156"/>
      <c r="D731" s="155"/>
      <c r="E731" s="155"/>
      <c r="F731" s="155"/>
      <c r="G731" s="156"/>
      <c r="H731" s="157"/>
      <c r="I731" s="157"/>
      <c r="J731" s="155"/>
    </row>
    <row r="732" spans="1:10">
      <c r="A732" s="155"/>
      <c r="B732" s="156"/>
      <c r="C732" s="156"/>
      <c r="D732" s="155"/>
      <c r="E732" s="155"/>
      <c r="F732" s="155"/>
      <c r="G732" s="156"/>
      <c r="H732" s="157"/>
      <c r="I732" s="157"/>
      <c r="J732" s="155"/>
    </row>
    <row r="733" spans="1:10">
      <c r="A733" s="155"/>
      <c r="B733" s="156"/>
      <c r="C733" s="156"/>
      <c r="D733" s="155"/>
      <c r="E733" s="155"/>
      <c r="F733" s="155"/>
      <c r="G733" s="156"/>
      <c r="H733" s="157"/>
      <c r="I733" s="157"/>
      <c r="J733" s="155"/>
    </row>
    <row r="734" spans="1:10">
      <c r="A734" s="155"/>
      <c r="B734" s="156"/>
      <c r="C734" s="156"/>
      <c r="D734" s="155"/>
      <c r="E734" s="155"/>
      <c r="F734" s="155"/>
      <c r="G734" s="156"/>
      <c r="H734" s="157"/>
      <c r="I734" s="157"/>
      <c r="J734" s="155"/>
    </row>
    <row r="735" spans="1:10">
      <c r="A735" s="155"/>
      <c r="B735" s="156"/>
      <c r="C735" s="156"/>
      <c r="D735" s="155"/>
      <c r="E735" s="155"/>
      <c r="F735" s="155"/>
      <c r="G735" s="156"/>
      <c r="H735" s="157"/>
      <c r="I735" s="157"/>
      <c r="J735" s="155"/>
    </row>
    <row r="736" spans="1:10">
      <c r="A736" s="155"/>
      <c r="B736" s="156"/>
      <c r="C736" s="156"/>
      <c r="D736" s="155"/>
      <c r="E736" s="155"/>
      <c r="F736" s="155"/>
      <c r="G736" s="156"/>
      <c r="H736" s="157"/>
      <c r="I736" s="157"/>
      <c r="J736" s="155"/>
    </row>
    <row r="737" spans="1:10">
      <c r="A737" s="155"/>
      <c r="B737" s="156"/>
      <c r="C737" s="156"/>
      <c r="D737" s="155"/>
      <c r="E737" s="155"/>
      <c r="F737" s="155"/>
      <c r="G737" s="156"/>
      <c r="H737" s="157"/>
      <c r="I737" s="157"/>
      <c r="J737" s="155"/>
    </row>
    <row r="738" spans="1:10">
      <c r="A738" s="155"/>
      <c r="B738" s="156"/>
      <c r="C738" s="156"/>
      <c r="D738" s="155"/>
      <c r="E738" s="155"/>
      <c r="F738" s="155"/>
      <c r="G738" s="156"/>
      <c r="H738" s="157"/>
      <c r="I738" s="157"/>
      <c r="J738" s="155"/>
    </row>
    <row r="739" spans="1:10">
      <c r="A739" s="155"/>
      <c r="B739" s="156"/>
      <c r="C739" s="156"/>
      <c r="D739" s="155"/>
      <c r="E739" s="155"/>
      <c r="F739" s="155"/>
      <c r="G739" s="156"/>
      <c r="H739" s="157"/>
      <c r="I739" s="157"/>
      <c r="J739" s="155"/>
    </row>
    <row r="740" spans="1:10">
      <c r="A740" s="155"/>
      <c r="B740" s="156"/>
      <c r="C740" s="156"/>
      <c r="D740" s="155"/>
      <c r="E740" s="155"/>
      <c r="F740" s="155"/>
      <c r="G740" s="156"/>
      <c r="H740" s="157"/>
      <c r="I740" s="157"/>
      <c r="J740" s="155"/>
    </row>
    <row r="741" spans="1:10">
      <c r="A741" s="155"/>
      <c r="B741" s="156"/>
      <c r="C741" s="156"/>
      <c r="D741" s="155"/>
      <c r="E741" s="155"/>
      <c r="F741" s="155"/>
      <c r="G741" s="156"/>
      <c r="H741" s="157"/>
      <c r="I741" s="157"/>
      <c r="J741" s="155"/>
    </row>
    <row r="742" spans="1:10">
      <c r="A742" s="155"/>
      <c r="B742" s="156"/>
      <c r="C742" s="156"/>
      <c r="D742" s="155"/>
      <c r="E742" s="155"/>
      <c r="F742" s="155"/>
      <c r="G742" s="156"/>
      <c r="H742" s="157"/>
      <c r="I742" s="157"/>
      <c r="J742" s="155"/>
    </row>
    <row r="743" spans="1:10">
      <c r="A743" s="155"/>
      <c r="B743" s="156"/>
      <c r="C743" s="156"/>
      <c r="D743" s="155"/>
      <c r="E743" s="155"/>
      <c r="F743" s="155"/>
      <c r="G743" s="156"/>
      <c r="H743" s="157"/>
      <c r="I743" s="157"/>
      <c r="J743" s="155"/>
    </row>
    <row r="744" spans="1:10">
      <c r="A744" s="155"/>
      <c r="B744" s="156"/>
      <c r="C744" s="156"/>
      <c r="D744" s="155"/>
      <c r="E744" s="155"/>
      <c r="F744" s="155"/>
      <c r="G744" s="156"/>
      <c r="H744" s="157"/>
      <c r="I744" s="157"/>
      <c r="J744" s="155"/>
    </row>
    <row r="745" spans="1:10">
      <c r="A745" s="155"/>
      <c r="B745" s="156"/>
      <c r="C745" s="156"/>
      <c r="D745" s="155"/>
      <c r="E745" s="155"/>
      <c r="F745" s="155"/>
      <c r="G745" s="156"/>
      <c r="H745" s="157"/>
      <c r="I745" s="157"/>
      <c r="J745" s="155"/>
    </row>
    <row r="746" spans="1:10">
      <c r="A746" s="155"/>
      <c r="B746" s="156"/>
      <c r="C746" s="156"/>
      <c r="D746" s="155"/>
      <c r="E746" s="155"/>
      <c r="F746" s="155"/>
      <c r="G746" s="156"/>
      <c r="H746" s="157"/>
      <c r="I746" s="157"/>
      <c r="J746" s="155"/>
    </row>
    <row r="747" spans="1:10">
      <c r="A747" s="155"/>
      <c r="B747" s="156"/>
      <c r="C747" s="156"/>
      <c r="D747" s="155"/>
      <c r="E747" s="155"/>
      <c r="F747" s="155"/>
      <c r="G747" s="156"/>
      <c r="H747" s="157"/>
      <c r="I747" s="157"/>
      <c r="J747" s="155"/>
    </row>
    <row r="748" spans="1:10">
      <c r="A748" s="155"/>
      <c r="B748" s="156"/>
      <c r="C748" s="156"/>
      <c r="D748" s="155"/>
      <c r="E748" s="155"/>
      <c r="F748" s="155"/>
      <c r="G748" s="156"/>
      <c r="H748" s="157"/>
      <c r="I748" s="157"/>
      <c r="J748" s="155"/>
    </row>
    <row r="749" spans="1:10">
      <c r="A749" s="155"/>
      <c r="B749" s="156"/>
      <c r="C749" s="156"/>
      <c r="D749" s="155"/>
      <c r="E749" s="155"/>
      <c r="F749" s="155"/>
      <c r="G749" s="156"/>
      <c r="H749" s="157"/>
      <c r="I749" s="157"/>
      <c r="J749" s="155"/>
    </row>
    <row r="750" spans="1:10">
      <c r="A750" s="155"/>
      <c r="B750" s="156"/>
      <c r="C750" s="156"/>
      <c r="D750" s="155"/>
      <c r="E750" s="155"/>
      <c r="F750" s="155"/>
      <c r="G750" s="156"/>
      <c r="H750" s="157"/>
      <c r="I750" s="157"/>
      <c r="J750" s="155"/>
    </row>
    <row r="751" spans="1:10">
      <c r="A751" s="155"/>
      <c r="B751" s="156"/>
      <c r="C751" s="156"/>
      <c r="D751" s="155"/>
      <c r="E751" s="155"/>
      <c r="F751" s="155"/>
      <c r="G751" s="156"/>
      <c r="H751" s="157"/>
      <c r="I751" s="157"/>
      <c r="J751" s="155"/>
    </row>
    <row r="752" spans="1:10">
      <c r="A752" s="155"/>
      <c r="B752" s="156"/>
      <c r="C752" s="156"/>
      <c r="D752" s="155"/>
      <c r="E752" s="155"/>
      <c r="F752" s="155"/>
      <c r="G752" s="156"/>
      <c r="H752" s="157"/>
      <c r="I752" s="157"/>
      <c r="J752" s="155"/>
    </row>
    <row r="753" spans="1:10">
      <c r="A753" s="155"/>
      <c r="B753" s="156"/>
      <c r="C753" s="156"/>
      <c r="D753" s="155"/>
      <c r="E753" s="155"/>
      <c r="F753" s="155"/>
      <c r="G753" s="156"/>
      <c r="H753" s="157"/>
      <c r="I753" s="157"/>
      <c r="J753" s="155"/>
    </row>
    <row r="754" spans="1:10">
      <c r="A754" s="155"/>
      <c r="B754" s="156"/>
      <c r="C754" s="156"/>
      <c r="D754" s="155"/>
      <c r="E754" s="155"/>
      <c r="F754" s="155"/>
      <c r="G754" s="156"/>
      <c r="H754" s="157"/>
      <c r="I754" s="157"/>
      <c r="J754" s="155"/>
    </row>
    <row r="755" spans="1:10">
      <c r="A755" s="155"/>
      <c r="B755" s="156"/>
      <c r="C755" s="156"/>
      <c r="D755" s="155"/>
      <c r="E755" s="155"/>
      <c r="F755" s="155"/>
      <c r="G755" s="156"/>
      <c r="H755" s="157"/>
      <c r="I755" s="157"/>
      <c r="J755" s="155"/>
    </row>
    <row r="756" spans="1:10">
      <c r="A756" s="155"/>
      <c r="B756" s="156"/>
      <c r="C756" s="156"/>
      <c r="D756" s="155"/>
      <c r="E756" s="155"/>
      <c r="F756" s="155"/>
      <c r="G756" s="156"/>
      <c r="H756" s="157"/>
      <c r="I756" s="157"/>
      <c r="J756" s="155"/>
    </row>
    <row r="757" spans="1:10">
      <c r="A757" s="155"/>
      <c r="B757" s="156"/>
      <c r="C757" s="156"/>
      <c r="D757" s="155"/>
      <c r="E757" s="155"/>
      <c r="F757" s="155"/>
      <c r="G757" s="156"/>
      <c r="H757" s="157"/>
      <c r="I757" s="157"/>
      <c r="J757" s="155"/>
    </row>
    <row r="758" spans="1:10">
      <c r="A758" s="155"/>
      <c r="B758" s="156"/>
      <c r="C758" s="156"/>
      <c r="D758" s="155"/>
      <c r="E758" s="155"/>
      <c r="F758" s="155"/>
      <c r="G758" s="156"/>
      <c r="H758" s="157"/>
      <c r="I758" s="157"/>
      <c r="J758" s="155"/>
    </row>
    <row r="759" spans="1:10">
      <c r="A759" s="155"/>
      <c r="B759" s="156"/>
      <c r="C759" s="156"/>
      <c r="D759" s="155"/>
      <c r="E759" s="155"/>
      <c r="F759" s="155"/>
      <c r="G759" s="156"/>
      <c r="H759" s="157"/>
      <c r="I759" s="157"/>
      <c r="J759" s="155"/>
    </row>
    <row r="760" spans="1:10">
      <c r="A760" s="155"/>
      <c r="B760" s="156"/>
      <c r="C760" s="156"/>
      <c r="D760" s="155"/>
      <c r="E760" s="155"/>
      <c r="F760" s="155"/>
      <c r="G760" s="156"/>
      <c r="H760" s="157"/>
      <c r="I760" s="157"/>
      <c r="J760" s="155"/>
    </row>
    <row r="761" spans="1:10">
      <c r="A761" s="155"/>
      <c r="B761" s="156"/>
      <c r="C761" s="156"/>
      <c r="D761" s="155"/>
      <c r="E761" s="155"/>
      <c r="F761" s="155"/>
      <c r="G761" s="156"/>
      <c r="H761" s="157"/>
      <c r="I761" s="157"/>
      <c r="J761" s="155"/>
    </row>
    <row r="762" spans="1:10">
      <c r="A762" s="155"/>
      <c r="B762" s="156"/>
      <c r="C762" s="156"/>
      <c r="D762" s="155"/>
      <c r="E762" s="155"/>
      <c r="F762" s="155"/>
      <c r="G762" s="156"/>
      <c r="H762" s="157"/>
      <c r="I762" s="157"/>
      <c r="J762" s="155"/>
    </row>
    <row r="763" spans="1:10">
      <c r="A763" s="155"/>
      <c r="B763" s="156"/>
      <c r="C763" s="156"/>
      <c r="D763" s="155"/>
      <c r="E763" s="155"/>
      <c r="F763" s="155"/>
      <c r="G763" s="156"/>
      <c r="H763" s="157"/>
      <c r="I763" s="157"/>
      <c r="J763" s="155"/>
    </row>
    <row r="764" spans="1:10">
      <c r="A764" s="155"/>
      <c r="B764" s="156"/>
      <c r="C764" s="156"/>
      <c r="D764" s="155"/>
      <c r="E764" s="155"/>
      <c r="F764" s="155"/>
      <c r="G764" s="156"/>
      <c r="H764" s="157"/>
      <c r="I764" s="157"/>
      <c r="J764" s="155"/>
    </row>
    <row r="765" spans="1:10">
      <c r="A765" s="155"/>
      <c r="B765" s="156"/>
      <c r="C765" s="156"/>
      <c r="D765" s="155"/>
      <c r="E765" s="155"/>
      <c r="F765" s="155"/>
      <c r="G765" s="156"/>
      <c r="H765" s="157"/>
      <c r="I765" s="157"/>
      <c r="J765" s="155"/>
    </row>
    <row r="766" spans="1:10">
      <c r="A766" s="155"/>
      <c r="B766" s="156"/>
      <c r="C766" s="156"/>
      <c r="D766" s="155"/>
      <c r="E766" s="155"/>
      <c r="F766" s="155"/>
      <c r="G766" s="156"/>
      <c r="H766" s="157"/>
      <c r="I766" s="157"/>
      <c r="J766" s="155"/>
    </row>
    <row r="767" spans="1:10">
      <c r="A767" s="155"/>
      <c r="B767" s="156"/>
      <c r="C767" s="156"/>
      <c r="D767" s="155"/>
      <c r="E767" s="155"/>
      <c r="F767" s="155"/>
      <c r="G767" s="156"/>
      <c r="H767" s="157"/>
      <c r="I767" s="157"/>
      <c r="J767" s="155"/>
    </row>
    <row r="768" spans="1:10">
      <c r="A768" s="155"/>
      <c r="B768" s="156"/>
      <c r="C768" s="156"/>
      <c r="D768" s="155"/>
      <c r="E768" s="155"/>
      <c r="F768" s="155"/>
      <c r="G768" s="156"/>
      <c r="H768" s="157"/>
      <c r="I768" s="157"/>
      <c r="J768" s="155"/>
    </row>
    <row r="769" spans="1:10">
      <c r="A769" s="155"/>
      <c r="B769" s="156"/>
      <c r="C769" s="156"/>
      <c r="D769" s="155"/>
      <c r="E769" s="155"/>
      <c r="F769" s="155"/>
      <c r="G769" s="156"/>
      <c r="H769" s="157"/>
      <c r="I769" s="157"/>
      <c r="J769" s="155"/>
    </row>
    <row r="770" spans="1:10">
      <c r="A770" s="155"/>
      <c r="B770" s="156"/>
      <c r="C770" s="156"/>
      <c r="D770" s="155"/>
      <c r="E770" s="155"/>
      <c r="F770" s="155"/>
      <c r="G770" s="156"/>
      <c r="H770" s="157"/>
      <c r="I770" s="157"/>
      <c r="J770" s="155"/>
    </row>
    <row r="771" spans="1:10">
      <c r="A771" s="155"/>
      <c r="B771" s="156"/>
      <c r="C771" s="156"/>
      <c r="D771" s="155"/>
      <c r="E771" s="155"/>
      <c r="F771" s="155"/>
      <c r="G771" s="156"/>
      <c r="H771" s="157"/>
      <c r="I771" s="157"/>
      <c r="J771" s="155"/>
    </row>
    <row r="772" spans="1:10">
      <c r="A772" s="155"/>
      <c r="B772" s="156"/>
      <c r="C772" s="156"/>
      <c r="D772" s="155"/>
      <c r="E772" s="155"/>
      <c r="F772" s="155"/>
      <c r="G772" s="156"/>
      <c r="H772" s="157"/>
      <c r="I772" s="157"/>
      <c r="J772" s="155"/>
    </row>
    <row r="773" spans="1:10">
      <c r="A773" s="155"/>
      <c r="B773" s="156"/>
      <c r="C773" s="156"/>
      <c r="D773" s="155"/>
      <c r="E773" s="155"/>
      <c r="F773" s="155"/>
      <c r="G773" s="156"/>
      <c r="H773" s="157"/>
      <c r="I773" s="157"/>
      <c r="J773" s="155"/>
    </row>
    <row r="774" spans="1:10">
      <c r="A774" s="155"/>
      <c r="B774" s="156"/>
      <c r="C774" s="156"/>
      <c r="D774" s="155"/>
      <c r="E774" s="155"/>
      <c r="F774" s="155"/>
      <c r="G774" s="156"/>
      <c r="H774" s="157"/>
      <c r="I774" s="157"/>
      <c r="J774" s="155"/>
    </row>
    <row r="775" spans="1:10">
      <c r="A775" s="155"/>
      <c r="B775" s="156"/>
      <c r="C775" s="156"/>
      <c r="D775" s="155"/>
      <c r="E775" s="155"/>
      <c r="F775" s="155"/>
      <c r="G775" s="156"/>
      <c r="H775" s="157"/>
      <c r="I775" s="157"/>
      <c r="J775" s="155"/>
    </row>
    <row r="776" spans="1:10">
      <c r="A776" s="155"/>
      <c r="B776" s="156"/>
      <c r="C776" s="156"/>
      <c r="D776" s="155"/>
      <c r="E776" s="155"/>
      <c r="F776" s="155"/>
      <c r="G776" s="156"/>
      <c r="H776" s="157"/>
      <c r="I776" s="157"/>
      <c r="J776" s="155"/>
    </row>
    <row r="777" spans="1:10">
      <c r="A777" s="155"/>
      <c r="B777" s="156"/>
      <c r="C777" s="156"/>
      <c r="D777" s="155"/>
      <c r="E777" s="155"/>
      <c r="F777" s="155"/>
      <c r="G777" s="156"/>
      <c r="H777" s="157"/>
      <c r="I777" s="157"/>
      <c r="J777" s="155"/>
    </row>
    <row r="778" spans="1:10">
      <c r="A778" s="155"/>
      <c r="B778" s="156"/>
      <c r="C778" s="156"/>
      <c r="D778" s="155"/>
      <c r="E778" s="155"/>
      <c r="F778" s="155"/>
      <c r="G778" s="156"/>
      <c r="H778" s="157"/>
      <c r="I778" s="157"/>
      <c r="J778" s="155"/>
    </row>
    <row r="779" spans="1:10">
      <c r="A779" s="155"/>
      <c r="B779" s="156"/>
      <c r="C779" s="156"/>
      <c r="D779" s="155"/>
      <c r="E779" s="155"/>
      <c r="F779" s="155"/>
      <c r="G779" s="156"/>
      <c r="H779" s="157"/>
      <c r="I779" s="157"/>
      <c r="J779" s="155"/>
    </row>
    <row r="780" spans="1:10">
      <c r="A780" s="155"/>
      <c r="B780" s="156"/>
      <c r="C780" s="156"/>
      <c r="D780" s="155"/>
      <c r="E780" s="155"/>
      <c r="F780" s="155"/>
      <c r="G780" s="156"/>
      <c r="H780" s="157"/>
      <c r="I780" s="157"/>
      <c r="J780" s="155"/>
    </row>
    <row r="781" spans="1:10">
      <c r="A781" s="155"/>
      <c r="B781" s="156"/>
      <c r="C781" s="156"/>
      <c r="D781" s="155"/>
      <c r="E781" s="155"/>
      <c r="F781" s="155"/>
      <c r="G781" s="156"/>
      <c r="H781" s="157"/>
      <c r="I781" s="157"/>
      <c r="J781" s="155"/>
    </row>
    <row r="782" spans="1:10">
      <c r="A782" s="155"/>
      <c r="B782" s="156"/>
      <c r="C782" s="156"/>
      <c r="D782" s="155"/>
      <c r="E782" s="155"/>
      <c r="F782" s="155"/>
      <c r="G782" s="156"/>
      <c r="H782" s="157"/>
      <c r="I782" s="157"/>
      <c r="J782" s="155"/>
    </row>
    <row r="783" spans="1:10">
      <c r="A783" s="155"/>
      <c r="B783" s="156"/>
      <c r="C783" s="156"/>
      <c r="D783" s="155"/>
      <c r="E783" s="155"/>
      <c r="F783" s="155"/>
      <c r="G783" s="156"/>
      <c r="H783" s="157"/>
      <c r="I783" s="157"/>
      <c r="J783" s="155"/>
    </row>
    <row r="784" spans="1:10">
      <c r="A784" s="155"/>
      <c r="B784" s="156"/>
      <c r="C784" s="156"/>
      <c r="D784" s="155"/>
      <c r="E784" s="155"/>
      <c r="F784" s="155"/>
      <c r="G784" s="156"/>
      <c r="H784" s="157"/>
      <c r="I784" s="157"/>
      <c r="J784" s="155"/>
    </row>
    <row r="785" spans="1:10">
      <c r="A785" s="155"/>
      <c r="B785" s="156"/>
      <c r="C785" s="156"/>
      <c r="D785" s="155"/>
      <c r="E785" s="155"/>
      <c r="F785" s="155"/>
      <c r="G785" s="156"/>
      <c r="H785" s="157"/>
      <c r="I785" s="157"/>
      <c r="J785" s="155"/>
    </row>
    <row r="786" spans="1:10">
      <c r="A786" s="155"/>
      <c r="B786" s="156"/>
      <c r="C786" s="156"/>
      <c r="D786" s="155"/>
      <c r="E786" s="155"/>
      <c r="F786" s="155"/>
      <c r="G786" s="156"/>
      <c r="H786" s="157"/>
      <c r="I786" s="157"/>
      <c r="J786" s="155"/>
    </row>
    <row r="787" spans="1:10">
      <c r="A787" s="155"/>
      <c r="B787" s="156"/>
      <c r="C787" s="156"/>
      <c r="D787" s="155"/>
      <c r="E787" s="155"/>
      <c r="F787" s="155"/>
      <c r="G787" s="156"/>
      <c r="H787" s="157"/>
      <c r="I787" s="157"/>
      <c r="J787" s="155"/>
    </row>
    <row r="788" spans="1:10">
      <c r="A788" s="155"/>
      <c r="B788" s="156"/>
      <c r="C788" s="156"/>
      <c r="D788" s="155"/>
      <c r="E788" s="155"/>
      <c r="F788" s="155"/>
      <c r="G788" s="156"/>
      <c r="H788" s="157"/>
      <c r="I788" s="157"/>
      <c r="J788" s="155"/>
    </row>
    <row r="789" spans="1:10">
      <c r="A789" s="155"/>
      <c r="B789" s="156"/>
      <c r="C789" s="156"/>
      <c r="D789" s="155"/>
      <c r="E789" s="155"/>
      <c r="F789" s="155"/>
      <c r="G789" s="156"/>
      <c r="H789" s="157"/>
      <c r="I789" s="157"/>
      <c r="J789" s="155"/>
    </row>
    <row r="790" spans="1:10">
      <c r="A790" s="155"/>
      <c r="B790" s="156"/>
      <c r="C790" s="156"/>
      <c r="D790" s="155"/>
      <c r="E790" s="155"/>
      <c r="F790" s="155"/>
      <c r="G790" s="156"/>
      <c r="H790" s="157"/>
      <c r="I790" s="157"/>
      <c r="J790" s="155"/>
    </row>
    <row r="791" spans="1:10">
      <c r="A791" s="155"/>
      <c r="B791" s="156"/>
      <c r="C791" s="156"/>
      <c r="D791" s="155"/>
      <c r="E791" s="155"/>
      <c r="F791" s="155"/>
      <c r="G791" s="156"/>
      <c r="H791" s="157"/>
      <c r="I791" s="157"/>
      <c r="J791" s="155"/>
    </row>
    <row r="792" spans="1:10">
      <c r="A792" s="155"/>
      <c r="B792" s="156"/>
      <c r="C792" s="156"/>
      <c r="D792" s="155"/>
      <c r="E792" s="155"/>
      <c r="F792" s="155"/>
      <c r="G792" s="156"/>
      <c r="H792" s="157"/>
      <c r="I792" s="157"/>
      <c r="J792" s="155"/>
    </row>
    <row r="793" spans="1:10">
      <c r="A793" s="155"/>
      <c r="B793" s="156"/>
      <c r="C793" s="156"/>
      <c r="D793" s="155"/>
      <c r="E793" s="155"/>
      <c r="F793" s="155"/>
      <c r="G793" s="156"/>
      <c r="H793" s="157"/>
      <c r="I793" s="157"/>
      <c r="J793" s="155"/>
    </row>
    <row r="794" spans="1:10">
      <c r="A794" s="155"/>
      <c r="B794" s="156"/>
      <c r="C794" s="156"/>
      <c r="D794" s="155"/>
      <c r="E794" s="155"/>
      <c r="F794" s="155"/>
      <c r="G794" s="156"/>
      <c r="H794" s="157"/>
      <c r="I794" s="157"/>
      <c r="J794" s="155"/>
    </row>
    <row r="795" spans="1:10">
      <c r="A795" s="155"/>
      <c r="B795" s="156"/>
      <c r="C795" s="156"/>
      <c r="D795" s="155"/>
      <c r="E795" s="155"/>
      <c r="F795" s="155"/>
      <c r="G795" s="156"/>
      <c r="H795" s="157"/>
      <c r="I795" s="157"/>
      <c r="J795" s="155"/>
    </row>
    <row r="796" spans="1:10">
      <c r="A796" s="155"/>
      <c r="B796" s="156"/>
      <c r="C796" s="156"/>
      <c r="D796" s="155"/>
      <c r="E796" s="155"/>
      <c r="F796" s="155"/>
      <c r="G796" s="156"/>
      <c r="H796" s="157"/>
      <c r="I796" s="157"/>
      <c r="J796" s="155"/>
    </row>
    <row r="797" spans="1:10">
      <c r="A797" s="155"/>
      <c r="B797" s="156"/>
      <c r="C797" s="156"/>
      <c r="D797" s="155"/>
      <c r="E797" s="155"/>
      <c r="F797" s="155"/>
      <c r="G797" s="156"/>
      <c r="H797" s="157"/>
      <c r="I797" s="157"/>
      <c r="J797" s="155"/>
    </row>
    <row r="798" spans="1:10">
      <c r="A798" s="155"/>
      <c r="B798" s="156"/>
      <c r="C798" s="156"/>
      <c r="D798" s="155"/>
      <c r="E798" s="155"/>
      <c r="F798" s="155"/>
      <c r="G798" s="156"/>
      <c r="H798" s="157"/>
      <c r="I798" s="157"/>
      <c r="J798" s="155"/>
    </row>
    <row r="799" spans="1:10">
      <c r="A799" s="155"/>
      <c r="B799" s="156"/>
      <c r="C799" s="156"/>
      <c r="D799" s="155"/>
      <c r="E799" s="155"/>
      <c r="F799" s="155"/>
      <c r="G799" s="156"/>
      <c r="H799" s="157"/>
      <c r="I799" s="157"/>
      <c r="J799" s="155"/>
    </row>
    <row r="800" spans="1:10">
      <c r="A800" s="155"/>
      <c r="B800" s="156"/>
      <c r="C800" s="156"/>
      <c r="D800" s="155"/>
      <c r="E800" s="155"/>
      <c r="F800" s="155"/>
      <c r="G800" s="156"/>
      <c r="H800" s="157"/>
      <c r="I800" s="157"/>
      <c r="J800" s="155"/>
    </row>
    <row r="801" spans="1:10">
      <c r="A801" s="155"/>
      <c r="B801" s="156"/>
      <c r="C801" s="156"/>
      <c r="D801" s="155"/>
      <c r="E801" s="155"/>
      <c r="F801" s="155"/>
      <c r="G801" s="156"/>
      <c r="H801" s="157"/>
      <c r="I801" s="157"/>
      <c r="J801" s="155"/>
    </row>
    <row r="802" spans="1:10">
      <c r="A802" s="155"/>
      <c r="B802" s="156"/>
      <c r="C802" s="156"/>
      <c r="D802" s="155"/>
      <c r="E802" s="155"/>
      <c r="F802" s="155"/>
      <c r="G802" s="156"/>
      <c r="H802" s="157"/>
      <c r="I802" s="157"/>
      <c r="J802" s="155"/>
    </row>
    <row r="803" spans="1:10">
      <c r="A803" s="155"/>
      <c r="B803" s="156"/>
      <c r="C803" s="156"/>
      <c r="D803" s="155"/>
      <c r="E803" s="155"/>
      <c r="F803" s="155"/>
      <c r="G803" s="156"/>
      <c r="H803" s="157"/>
      <c r="I803" s="157"/>
      <c r="J803" s="155"/>
    </row>
    <row r="804" spans="1:10">
      <c r="A804" s="155"/>
      <c r="B804" s="156"/>
      <c r="C804" s="156"/>
      <c r="D804" s="155"/>
      <c r="E804" s="155"/>
      <c r="F804" s="155"/>
      <c r="G804" s="156"/>
      <c r="H804" s="157"/>
      <c r="I804" s="157"/>
      <c r="J804" s="155"/>
    </row>
    <row r="805" spans="1:10">
      <c r="A805" s="155"/>
      <c r="B805" s="156"/>
      <c r="C805" s="156"/>
      <c r="D805" s="155"/>
      <c r="E805" s="155"/>
      <c r="F805" s="155"/>
      <c r="G805" s="156"/>
      <c r="H805" s="157"/>
      <c r="I805" s="157"/>
      <c r="J805" s="155"/>
    </row>
    <row r="806" spans="1:10">
      <c r="A806" s="155"/>
      <c r="B806" s="156"/>
      <c r="C806" s="156"/>
      <c r="D806" s="155"/>
      <c r="E806" s="155"/>
      <c r="F806" s="155"/>
      <c r="G806" s="156"/>
      <c r="H806" s="157"/>
      <c r="I806" s="157"/>
      <c r="J806" s="155"/>
    </row>
    <row r="807" spans="1:10">
      <c r="A807" s="155"/>
      <c r="B807" s="156"/>
      <c r="C807" s="156"/>
      <c r="D807" s="155"/>
      <c r="E807" s="155"/>
      <c r="F807" s="155"/>
      <c r="G807" s="156"/>
      <c r="H807" s="157"/>
      <c r="I807" s="157"/>
      <c r="J807" s="155"/>
    </row>
    <row r="808" spans="1:10">
      <c r="A808" s="155"/>
      <c r="B808" s="156"/>
      <c r="C808" s="156"/>
      <c r="D808" s="155"/>
      <c r="E808" s="155"/>
      <c r="F808" s="155"/>
      <c r="G808" s="156"/>
      <c r="H808" s="157"/>
      <c r="I808" s="157"/>
      <c r="J808" s="155"/>
    </row>
    <row r="809" spans="1:10">
      <c r="A809" s="155"/>
      <c r="B809" s="156"/>
      <c r="C809" s="156"/>
      <c r="D809" s="155"/>
      <c r="E809" s="155"/>
      <c r="F809" s="155"/>
      <c r="G809" s="156"/>
      <c r="H809" s="157"/>
      <c r="I809" s="157"/>
      <c r="J809" s="155"/>
    </row>
    <row r="810" spans="1:10">
      <c r="A810" s="155"/>
      <c r="B810" s="156"/>
      <c r="C810" s="156"/>
      <c r="D810" s="155"/>
      <c r="E810" s="155"/>
      <c r="F810" s="155"/>
      <c r="G810" s="156"/>
      <c r="H810" s="157"/>
      <c r="I810" s="157"/>
      <c r="J810" s="155"/>
    </row>
    <row r="811" spans="1:10">
      <c r="A811" s="155"/>
      <c r="B811" s="156"/>
      <c r="C811" s="156"/>
      <c r="D811" s="155"/>
      <c r="E811" s="155"/>
      <c r="F811" s="155"/>
      <c r="G811" s="156"/>
      <c r="H811" s="157"/>
      <c r="I811" s="157"/>
      <c r="J811" s="155"/>
    </row>
    <row r="812" spans="1:10">
      <c r="A812" s="155"/>
      <c r="B812" s="156"/>
      <c r="C812" s="156"/>
      <c r="D812" s="155"/>
      <c r="E812" s="155"/>
      <c r="F812" s="155"/>
      <c r="G812" s="156"/>
      <c r="H812" s="157"/>
      <c r="I812" s="157"/>
      <c r="J812" s="155"/>
    </row>
    <row r="813" spans="1:10">
      <c r="A813" s="155"/>
      <c r="B813" s="156"/>
      <c r="C813" s="156"/>
      <c r="D813" s="155"/>
      <c r="E813" s="155"/>
      <c r="F813" s="155"/>
      <c r="G813" s="156"/>
      <c r="H813" s="157"/>
      <c r="I813" s="157"/>
      <c r="J813" s="155"/>
    </row>
    <row r="814" spans="1:10">
      <c r="A814" s="155"/>
      <c r="B814" s="156"/>
      <c r="C814" s="156"/>
      <c r="D814" s="155"/>
      <c r="E814" s="155"/>
      <c r="F814" s="155"/>
      <c r="G814" s="156"/>
      <c r="H814" s="157"/>
      <c r="I814" s="157"/>
      <c r="J814" s="155"/>
    </row>
    <row r="815" spans="1:10">
      <c r="A815" s="155"/>
      <c r="B815" s="156"/>
      <c r="C815" s="156"/>
      <c r="D815" s="155"/>
      <c r="E815" s="155"/>
      <c r="F815" s="155"/>
      <c r="G815" s="156"/>
      <c r="H815" s="157"/>
      <c r="I815" s="157"/>
      <c r="J815" s="155"/>
    </row>
    <row r="816" spans="1:10">
      <c r="A816" s="155"/>
      <c r="B816" s="156"/>
      <c r="C816" s="156"/>
      <c r="D816" s="155"/>
      <c r="E816" s="155"/>
      <c r="F816" s="155"/>
      <c r="G816" s="156"/>
      <c r="H816" s="157"/>
      <c r="I816" s="157"/>
      <c r="J816" s="155"/>
    </row>
    <row r="817" spans="1:10">
      <c r="A817" s="155"/>
      <c r="B817" s="156"/>
      <c r="C817" s="156"/>
      <c r="D817" s="155"/>
      <c r="E817" s="155"/>
      <c r="F817" s="155"/>
      <c r="G817" s="156"/>
      <c r="H817" s="157"/>
      <c r="I817" s="157"/>
      <c r="J817" s="155"/>
    </row>
    <row r="818" spans="1:10">
      <c r="A818" s="155"/>
      <c r="B818" s="156"/>
      <c r="C818" s="156"/>
      <c r="D818" s="155"/>
      <c r="E818" s="155"/>
      <c r="F818" s="155"/>
      <c r="G818" s="156"/>
      <c r="H818" s="157"/>
      <c r="I818" s="157"/>
      <c r="J818" s="155"/>
    </row>
    <row r="819" spans="1:10">
      <c r="A819" s="155"/>
      <c r="B819" s="156"/>
      <c r="C819" s="156"/>
      <c r="D819" s="155"/>
      <c r="E819" s="155"/>
      <c r="F819" s="155"/>
      <c r="G819" s="156"/>
      <c r="H819" s="157"/>
      <c r="I819" s="157"/>
      <c r="J819" s="155"/>
    </row>
    <row r="820" spans="1:10">
      <c r="A820" s="155"/>
      <c r="B820" s="156"/>
      <c r="C820" s="156"/>
      <c r="D820" s="155"/>
      <c r="E820" s="155"/>
      <c r="F820" s="155"/>
      <c r="G820" s="156"/>
      <c r="H820" s="157"/>
      <c r="I820" s="157"/>
      <c r="J820" s="155"/>
    </row>
    <row r="821" spans="1:10">
      <c r="A821" s="155"/>
      <c r="B821" s="156"/>
      <c r="C821" s="156"/>
      <c r="D821" s="155"/>
      <c r="E821" s="155"/>
      <c r="F821" s="155"/>
      <c r="G821" s="156"/>
      <c r="H821" s="157"/>
      <c r="I821" s="157"/>
      <c r="J821" s="155"/>
    </row>
    <row r="822" spans="1:10">
      <c r="A822" s="155"/>
      <c r="B822" s="156"/>
      <c r="C822" s="156"/>
      <c r="D822" s="155"/>
      <c r="E822" s="155"/>
      <c r="F822" s="155"/>
      <c r="G822" s="156"/>
      <c r="H822" s="157"/>
      <c r="I822" s="157"/>
      <c r="J822" s="155"/>
    </row>
    <row r="823" spans="1:10">
      <c r="A823" s="155"/>
      <c r="B823" s="156"/>
      <c r="C823" s="156"/>
      <c r="D823" s="155"/>
      <c r="E823" s="155"/>
      <c r="F823" s="155"/>
      <c r="G823" s="156"/>
      <c r="H823" s="157"/>
      <c r="I823" s="157"/>
      <c r="J823" s="155"/>
    </row>
    <row r="824" spans="1:10">
      <c r="A824" s="155"/>
      <c r="B824" s="156"/>
      <c r="C824" s="156"/>
      <c r="D824" s="155"/>
      <c r="E824" s="155"/>
      <c r="F824" s="155"/>
      <c r="G824" s="156"/>
      <c r="H824" s="157"/>
      <c r="I824" s="157"/>
      <c r="J824" s="155"/>
    </row>
    <row r="825" spans="1:10">
      <c r="A825" s="155"/>
      <c r="B825" s="156"/>
      <c r="C825" s="156"/>
      <c r="D825" s="155"/>
      <c r="E825" s="155"/>
      <c r="F825" s="155"/>
      <c r="G825" s="156"/>
      <c r="H825" s="157"/>
      <c r="I825" s="157"/>
      <c r="J825" s="155"/>
    </row>
    <row r="826" spans="1:10">
      <c r="A826" s="155"/>
      <c r="B826" s="156"/>
      <c r="C826" s="156"/>
      <c r="D826" s="155"/>
      <c r="E826" s="155"/>
      <c r="F826" s="155"/>
      <c r="G826" s="156"/>
      <c r="H826" s="157"/>
      <c r="I826" s="157"/>
      <c r="J826" s="155"/>
    </row>
    <row r="827" spans="1:10">
      <c r="A827" s="155"/>
      <c r="B827" s="156"/>
      <c r="C827" s="156"/>
      <c r="D827" s="155"/>
      <c r="E827" s="155"/>
      <c r="F827" s="155"/>
      <c r="G827" s="156"/>
      <c r="H827" s="157"/>
      <c r="I827" s="157"/>
      <c r="J827" s="155"/>
    </row>
    <row r="828" spans="1:10">
      <c r="A828" s="155"/>
      <c r="B828" s="156"/>
      <c r="C828" s="156"/>
      <c r="D828" s="155"/>
      <c r="E828" s="155"/>
      <c r="F828" s="155"/>
      <c r="G828" s="156"/>
      <c r="H828" s="157"/>
      <c r="I828" s="157"/>
      <c r="J828" s="155"/>
    </row>
    <row r="829" spans="1:10">
      <c r="A829" s="155"/>
      <c r="B829" s="156"/>
      <c r="C829" s="156"/>
      <c r="D829" s="155"/>
      <c r="E829" s="155"/>
      <c r="F829" s="155"/>
      <c r="G829" s="156"/>
      <c r="H829" s="157"/>
      <c r="I829" s="157"/>
      <c r="J829" s="155"/>
    </row>
    <row r="830" spans="1:10">
      <c r="A830" s="155"/>
      <c r="B830" s="156"/>
      <c r="C830" s="156"/>
      <c r="D830" s="155"/>
      <c r="E830" s="155"/>
      <c r="F830" s="155"/>
      <c r="G830" s="156"/>
      <c r="H830" s="157"/>
      <c r="I830" s="157"/>
      <c r="J830" s="155"/>
    </row>
    <row r="831" spans="1:10">
      <c r="A831" s="155"/>
      <c r="B831" s="156"/>
      <c r="C831" s="156"/>
      <c r="D831" s="155"/>
      <c r="E831" s="155"/>
      <c r="F831" s="155"/>
      <c r="G831" s="156"/>
      <c r="H831" s="157"/>
      <c r="I831" s="157"/>
      <c r="J831" s="155"/>
    </row>
    <row r="832" spans="1:10">
      <c r="A832" s="155"/>
      <c r="B832" s="156"/>
      <c r="C832" s="156"/>
      <c r="D832" s="155"/>
      <c r="E832" s="155"/>
      <c r="F832" s="155"/>
      <c r="G832" s="156"/>
      <c r="H832" s="157"/>
      <c r="I832" s="157"/>
      <c r="J832" s="155"/>
    </row>
    <row r="833" spans="1:10">
      <c r="A833" s="155"/>
      <c r="B833" s="156"/>
      <c r="C833" s="156"/>
      <c r="D833" s="155"/>
      <c r="E833" s="155"/>
      <c r="F833" s="155"/>
      <c r="G833" s="156"/>
      <c r="H833" s="157"/>
      <c r="I833" s="157"/>
      <c r="J833" s="155"/>
    </row>
    <row r="834" spans="1:10">
      <c r="A834" s="155"/>
      <c r="B834" s="156"/>
      <c r="C834" s="156"/>
      <c r="D834" s="155"/>
      <c r="E834" s="155"/>
      <c r="F834" s="155"/>
      <c r="G834" s="156"/>
      <c r="H834" s="157"/>
      <c r="I834" s="157"/>
      <c r="J834" s="155"/>
    </row>
    <row r="835" spans="1:10">
      <c r="A835" s="155"/>
      <c r="B835" s="156"/>
      <c r="C835" s="156"/>
      <c r="D835" s="155"/>
      <c r="E835" s="155"/>
      <c r="F835" s="155"/>
      <c r="G835" s="156"/>
      <c r="H835" s="157"/>
      <c r="I835" s="157"/>
      <c r="J835" s="155"/>
    </row>
    <row r="836" spans="1:10">
      <c r="A836" s="155"/>
      <c r="B836" s="156"/>
      <c r="C836" s="156"/>
      <c r="D836" s="155"/>
      <c r="E836" s="155"/>
      <c r="F836" s="155"/>
      <c r="G836" s="156"/>
      <c r="H836" s="157"/>
      <c r="I836" s="157"/>
      <c r="J836" s="155"/>
    </row>
    <row r="837" spans="1:10">
      <c r="A837" s="155"/>
      <c r="B837" s="156"/>
      <c r="C837" s="156"/>
      <c r="D837" s="155"/>
      <c r="E837" s="155"/>
      <c r="F837" s="155"/>
      <c r="G837" s="156"/>
      <c r="H837" s="157"/>
      <c r="I837" s="157"/>
      <c r="J837" s="155"/>
    </row>
    <row r="838" spans="1:10">
      <c r="A838" s="155"/>
      <c r="B838" s="156"/>
      <c r="C838" s="156"/>
      <c r="D838" s="155"/>
      <c r="E838" s="155"/>
      <c r="F838" s="155"/>
      <c r="G838" s="156"/>
      <c r="H838" s="157"/>
      <c r="I838" s="157"/>
      <c r="J838" s="155"/>
    </row>
    <row r="839" spans="1:10">
      <c r="A839" s="155"/>
      <c r="B839" s="156"/>
      <c r="C839" s="156"/>
      <c r="D839" s="155"/>
      <c r="E839" s="155"/>
      <c r="F839" s="155"/>
      <c r="G839" s="156"/>
      <c r="H839" s="157"/>
      <c r="I839" s="157"/>
      <c r="J839" s="155"/>
    </row>
    <row r="840" spans="1:10">
      <c r="A840" s="155"/>
      <c r="B840" s="156"/>
      <c r="C840" s="156"/>
      <c r="D840" s="155"/>
      <c r="E840" s="155"/>
      <c r="F840" s="155"/>
      <c r="G840" s="156"/>
      <c r="H840" s="157"/>
      <c r="I840" s="157"/>
      <c r="J840" s="155"/>
    </row>
    <row r="841" spans="1:10">
      <c r="A841" s="155"/>
      <c r="B841" s="156"/>
      <c r="C841" s="156"/>
      <c r="D841" s="155"/>
      <c r="E841" s="155"/>
      <c r="F841" s="155"/>
      <c r="G841" s="156"/>
      <c r="H841" s="157"/>
      <c r="I841" s="157"/>
      <c r="J841" s="155"/>
    </row>
    <row r="842" spans="1:10">
      <c r="A842" s="155"/>
      <c r="B842" s="156"/>
      <c r="C842" s="156"/>
      <c r="D842" s="155"/>
      <c r="E842" s="155"/>
      <c r="F842" s="155"/>
      <c r="G842" s="156"/>
      <c r="H842" s="157"/>
      <c r="I842" s="157"/>
      <c r="J842" s="155"/>
    </row>
    <row r="843" spans="1:10">
      <c r="A843" s="155"/>
      <c r="B843" s="156"/>
      <c r="C843" s="156"/>
      <c r="D843" s="155"/>
      <c r="E843" s="155"/>
      <c r="F843" s="155"/>
      <c r="G843" s="156"/>
      <c r="H843" s="157"/>
      <c r="I843" s="157"/>
      <c r="J843" s="155"/>
    </row>
    <row r="844" spans="1:10">
      <c r="A844" s="155"/>
      <c r="B844" s="156"/>
      <c r="C844" s="156"/>
      <c r="D844" s="155"/>
      <c r="E844" s="155"/>
      <c r="F844" s="155"/>
      <c r="G844" s="156"/>
      <c r="H844" s="157"/>
      <c r="I844" s="157"/>
      <c r="J844" s="155"/>
    </row>
    <row r="845" spans="1:10">
      <c r="A845" s="155"/>
      <c r="B845" s="156"/>
      <c r="C845" s="156"/>
      <c r="D845" s="155"/>
      <c r="E845" s="155"/>
      <c r="F845" s="155"/>
      <c r="G845" s="156"/>
      <c r="H845" s="157"/>
      <c r="I845" s="157"/>
      <c r="J845" s="155"/>
    </row>
    <row r="846" spans="1:10">
      <c r="A846" s="155"/>
      <c r="B846" s="156"/>
      <c r="C846" s="156"/>
      <c r="D846" s="155"/>
      <c r="E846" s="155"/>
      <c r="F846" s="155"/>
      <c r="G846" s="156"/>
      <c r="H846" s="157"/>
      <c r="I846" s="157"/>
      <c r="J846" s="155"/>
    </row>
    <row r="847" spans="1:10">
      <c r="A847" s="155"/>
      <c r="B847" s="156"/>
      <c r="C847" s="156"/>
      <c r="D847" s="155"/>
      <c r="E847" s="155"/>
      <c r="F847" s="155"/>
      <c r="G847" s="156"/>
      <c r="H847" s="157"/>
      <c r="I847" s="157"/>
      <c r="J847" s="155"/>
    </row>
    <row r="848" spans="1:10">
      <c r="A848" s="155"/>
      <c r="B848" s="156"/>
      <c r="C848" s="156"/>
      <c r="D848" s="155"/>
      <c r="E848" s="155"/>
      <c r="F848" s="155"/>
      <c r="G848" s="156"/>
      <c r="H848" s="157"/>
      <c r="I848" s="157"/>
      <c r="J848" s="155"/>
    </row>
    <row r="849" spans="1:10">
      <c r="A849" s="155"/>
      <c r="B849" s="156"/>
      <c r="C849" s="156"/>
      <c r="D849" s="155"/>
      <c r="E849" s="155"/>
      <c r="F849" s="155"/>
      <c r="G849" s="156"/>
      <c r="H849" s="157"/>
      <c r="I849" s="157"/>
      <c r="J849" s="155"/>
    </row>
    <row r="850" spans="1:10">
      <c r="A850" s="155"/>
      <c r="B850" s="156"/>
      <c r="C850" s="156"/>
      <c r="D850" s="155"/>
      <c r="E850" s="155"/>
      <c r="F850" s="155"/>
      <c r="G850" s="156"/>
      <c r="H850" s="157"/>
      <c r="I850" s="157"/>
      <c r="J850" s="155"/>
    </row>
    <row r="851" spans="1:10">
      <c r="A851" s="155"/>
      <c r="B851" s="156"/>
      <c r="C851" s="156"/>
      <c r="D851" s="155"/>
      <c r="E851" s="155"/>
      <c r="F851" s="155"/>
      <c r="G851" s="156"/>
      <c r="H851" s="157"/>
      <c r="I851" s="157"/>
      <c r="J851" s="155"/>
    </row>
    <row r="852" spans="1:10">
      <c r="A852" s="155"/>
      <c r="B852" s="156"/>
      <c r="C852" s="156"/>
      <c r="D852" s="155"/>
      <c r="E852" s="155"/>
      <c r="F852" s="155"/>
      <c r="G852" s="156"/>
      <c r="H852" s="157"/>
      <c r="I852" s="157"/>
      <c r="J852" s="155"/>
    </row>
    <row r="853" spans="1:10">
      <c r="A853" s="155"/>
      <c r="B853" s="156"/>
      <c r="C853" s="156"/>
      <c r="D853" s="155"/>
      <c r="E853" s="155"/>
      <c r="F853" s="155"/>
      <c r="G853" s="156"/>
      <c r="H853" s="157"/>
      <c r="I853" s="157"/>
      <c r="J853" s="155"/>
    </row>
    <row r="854" spans="1:10">
      <c r="A854" s="155"/>
      <c r="B854" s="156"/>
      <c r="C854" s="156"/>
      <c r="D854" s="155"/>
      <c r="E854" s="155"/>
      <c r="F854" s="155"/>
      <c r="G854" s="156"/>
      <c r="H854" s="157"/>
      <c r="I854" s="157"/>
      <c r="J854" s="155"/>
    </row>
    <row r="855" spans="1:10">
      <c r="A855" s="155"/>
      <c r="B855" s="156"/>
      <c r="C855" s="156"/>
      <c r="D855" s="155"/>
      <c r="E855" s="155"/>
      <c r="F855" s="155"/>
      <c r="G855" s="156"/>
      <c r="H855" s="157"/>
      <c r="I855" s="157"/>
      <c r="J855" s="155"/>
    </row>
    <row r="856" spans="1:10">
      <c r="A856" s="155"/>
      <c r="B856" s="156"/>
      <c r="C856" s="156"/>
      <c r="D856" s="155"/>
      <c r="E856" s="155"/>
      <c r="F856" s="155"/>
      <c r="G856" s="156"/>
      <c r="H856" s="157"/>
      <c r="I856" s="157"/>
      <c r="J856" s="155"/>
    </row>
    <row r="857" spans="1:10">
      <c r="A857" s="155"/>
      <c r="B857" s="156"/>
      <c r="C857" s="156"/>
      <c r="D857" s="155"/>
      <c r="E857" s="155"/>
      <c r="F857" s="155"/>
      <c r="G857" s="156"/>
      <c r="H857" s="157"/>
      <c r="I857" s="157"/>
      <c r="J857" s="155"/>
    </row>
    <row r="858" spans="1:10">
      <c r="A858" s="155"/>
      <c r="B858" s="156"/>
      <c r="C858" s="156"/>
      <c r="D858" s="155"/>
      <c r="E858" s="155"/>
      <c r="F858" s="155"/>
      <c r="G858" s="156"/>
      <c r="H858" s="157"/>
      <c r="I858" s="157"/>
      <c r="J858" s="155"/>
    </row>
    <row r="859" spans="1:10">
      <c r="A859" s="155"/>
      <c r="B859" s="156"/>
      <c r="C859" s="156"/>
      <c r="D859" s="155"/>
      <c r="E859" s="155"/>
      <c r="F859" s="155"/>
      <c r="G859" s="156"/>
      <c r="H859" s="157"/>
      <c r="I859" s="157"/>
      <c r="J859" s="155"/>
    </row>
    <row r="860" spans="1:10">
      <c r="A860" s="155"/>
      <c r="B860" s="156"/>
      <c r="C860" s="156"/>
      <c r="D860" s="155"/>
      <c r="E860" s="155"/>
      <c r="F860" s="155"/>
      <c r="G860" s="156"/>
      <c r="H860" s="157"/>
      <c r="I860" s="157"/>
      <c r="J860" s="155"/>
    </row>
    <row r="861" spans="1:10">
      <c r="A861" s="155"/>
      <c r="B861" s="156"/>
      <c r="C861" s="156"/>
      <c r="D861" s="155"/>
      <c r="E861" s="155"/>
      <c r="F861" s="155"/>
      <c r="G861" s="156"/>
      <c r="H861" s="157"/>
      <c r="I861" s="157"/>
      <c r="J861" s="155"/>
    </row>
    <row r="862" spans="1:10">
      <c r="A862" s="155"/>
      <c r="B862" s="156"/>
      <c r="C862" s="156"/>
      <c r="D862" s="155"/>
      <c r="E862" s="155"/>
      <c r="F862" s="155"/>
      <c r="G862" s="156"/>
      <c r="H862" s="157"/>
      <c r="I862" s="157"/>
      <c r="J862" s="155"/>
    </row>
    <row r="863" spans="1:10">
      <c r="A863" s="155"/>
      <c r="B863" s="156"/>
      <c r="C863" s="156"/>
      <c r="D863" s="155"/>
      <c r="E863" s="155"/>
      <c r="F863" s="155"/>
      <c r="G863" s="156"/>
      <c r="H863" s="157"/>
      <c r="I863" s="157"/>
      <c r="J863" s="155"/>
    </row>
    <row r="864" spans="1:10">
      <c r="A864" s="155"/>
      <c r="B864" s="156"/>
      <c r="C864" s="156"/>
      <c r="D864" s="155"/>
      <c r="E864" s="155"/>
      <c r="F864" s="155"/>
      <c r="G864" s="156"/>
      <c r="H864" s="157"/>
      <c r="I864" s="157"/>
      <c r="J864" s="155"/>
    </row>
    <row r="865" spans="1:10">
      <c r="A865" s="155"/>
      <c r="B865" s="156"/>
      <c r="C865" s="156"/>
      <c r="D865" s="155"/>
      <c r="E865" s="155"/>
      <c r="F865" s="155"/>
      <c r="G865" s="156"/>
      <c r="H865" s="157"/>
      <c r="I865" s="157"/>
      <c r="J865" s="155"/>
    </row>
    <row r="866" spans="1:10">
      <c r="A866" s="155"/>
      <c r="B866" s="156"/>
      <c r="C866" s="156"/>
      <c r="D866" s="155"/>
      <c r="E866" s="155"/>
      <c r="F866" s="155"/>
      <c r="G866" s="156"/>
      <c r="H866" s="157"/>
      <c r="I866" s="157"/>
      <c r="J866" s="155"/>
    </row>
    <row r="867" spans="1:10">
      <c r="A867" s="155"/>
      <c r="B867" s="156"/>
      <c r="C867" s="156"/>
      <c r="D867" s="155"/>
      <c r="E867" s="155"/>
      <c r="F867" s="155"/>
      <c r="G867" s="156"/>
      <c r="H867" s="157"/>
      <c r="I867" s="157"/>
      <c r="J867" s="155"/>
    </row>
    <row r="868" spans="1:10">
      <c r="A868" s="155"/>
      <c r="B868" s="156"/>
      <c r="C868" s="156"/>
      <c r="D868" s="155"/>
      <c r="E868" s="155"/>
      <c r="F868" s="155"/>
      <c r="G868" s="156"/>
      <c r="H868" s="157"/>
      <c r="I868" s="157"/>
      <c r="J868" s="155"/>
    </row>
    <row r="869" spans="1:10">
      <c r="A869" s="155"/>
      <c r="B869" s="156"/>
      <c r="C869" s="156"/>
      <c r="D869" s="155"/>
      <c r="E869" s="155"/>
      <c r="F869" s="155"/>
      <c r="G869" s="156"/>
      <c r="H869" s="157"/>
      <c r="I869" s="157"/>
      <c r="J869" s="155"/>
    </row>
    <row r="870" spans="1:10">
      <c r="A870" s="155"/>
      <c r="B870" s="156"/>
      <c r="C870" s="156"/>
      <c r="D870" s="155"/>
      <c r="E870" s="155"/>
      <c r="F870" s="155"/>
      <c r="G870" s="156"/>
      <c r="H870" s="157"/>
      <c r="I870" s="157"/>
      <c r="J870" s="155"/>
    </row>
    <row r="871" spans="1:10">
      <c r="A871" s="155"/>
      <c r="B871" s="156"/>
      <c r="C871" s="156"/>
      <c r="D871" s="155"/>
      <c r="E871" s="155"/>
      <c r="F871" s="155"/>
      <c r="G871" s="156"/>
      <c r="H871" s="157"/>
      <c r="I871" s="157"/>
      <c r="J871" s="155"/>
    </row>
    <row r="872" spans="1:10">
      <c r="A872" s="155"/>
      <c r="B872" s="156"/>
      <c r="C872" s="156"/>
      <c r="D872" s="155"/>
      <c r="E872" s="155"/>
      <c r="F872" s="155"/>
      <c r="G872" s="156"/>
      <c r="H872" s="157"/>
      <c r="I872" s="157"/>
      <c r="J872" s="155"/>
    </row>
    <row r="873" spans="1:10">
      <c r="A873" s="155"/>
      <c r="B873" s="156"/>
      <c r="C873" s="156"/>
      <c r="D873" s="155"/>
      <c r="E873" s="155"/>
      <c r="F873" s="155"/>
      <c r="G873" s="156"/>
      <c r="H873" s="157"/>
      <c r="I873" s="157"/>
      <c r="J873" s="155"/>
    </row>
    <row r="874" spans="1:10">
      <c r="A874" s="155"/>
      <c r="B874" s="156"/>
      <c r="C874" s="156"/>
      <c r="D874" s="155"/>
      <c r="E874" s="155"/>
      <c r="F874" s="155"/>
      <c r="G874" s="156"/>
      <c r="H874" s="157"/>
      <c r="I874" s="157"/>
      <c r="J874" s="155"/>
    </row>
    <row r="875" spans="1:10">
      <c r="A875" s="155"/>
      <c r="B875" s="156"/>
      <c r="C875" s="156"/>
      <c r="D875" s="155"/>
      <c r="E875" s="155"/>
      <c r="F875" s="155"/>
      <c r="G875" s="156"/>
      <c r="H875" s="157"/>
      <c r="I875" s="157"/>
      <c r="J875" s="155"/>
    </row>
    <row r="876" spans="1:10">
      <c r="A876" s="155"/>
      <c r="B876" s="156"/>
      <c r="C876" s="156"/>
      <c r="D876" s="155"/>
      <c r="E876" s="155"/>
      <c r="F876" s="155"/>
      <c r="G876" s="156"/>
      <c r="H876" s="157"/>
      <c r="I876" s="157"/>
      <c r="J876" s="155"/>
    </row>
    <row r="877" spans="1:10">
      <c r="A877" s="155"/>
      <c r="B877" s="156"/>
      <c r="C877" s="156"/>
      <c r="D877" s="155"/>
      <c r="E877" s="155"/>
      <c r="F877" s="155"/>
      <c r="G877" s="156"/>
      <c r="H877" s="157"/>
      <c r="I877" s="157"/>
      <c r="J877" s="155"/>
    </row>
    <row r="878" spans="1:10">
      <c r="A878" s="155"/>
      <c r="B878" s="156"/>
      <c r="C878" s="156"/>
      <c r="D878" s="155"/>
      <c r="E878" s="155"/>
      <c r="F878" s="155"/>
      <c r="G878" s="156"/>
      <c r="H878" s="157"/>
      <c r="I878" s="157"/>
      <c r="J878" s="155"/>
    </row>
    <row r="879" spans="1:10">
      <c r="A879" s="155"/>
      <c r="B879" s="156"/>
      <c r="C879" s="156"/>
      <c r="D879" s="155"/>
      <c r="E879" s="155"/>
      <c r="F879" s="155"/>
      <c r="G879" s="156"/>
      <c r="H879" s="157"/>
      <c r="I879" s="157"/>
      <c r="J879" s="155"/>
    </row>
    <row r="880" spans="1:10">
      <c r="A880" s="155"/>
      <c r="B880" s="156"/>
      <c r="C880" s="156"/>
      <c r="D880" s="155"/>
      <c r="E880" s="155"/>
      <c r="F880" s="155"/>
      <c r="G880" s="156"/>
      <c r="H880" s="157"/>
      <c r="I880" s="157"/>
      <c r="J880" s="155"/>
    </row>
    <row r="881" spans="1:10">
      <c r="A881" s="155"/>
      <c r="B881" s="156"/>
      <c r="C881" s="156"/>
      <c r="D881" s="155"/>
      <c r="E881" s="155"/>
      <c r="F881" s="155"/>
      <c r="G881" s="156"/>
      <c r="H881" s="157"/>
      <c r="I881" s="157"/>
      <c r="J881" s="155"/>
    </row>
    <row r="882" spans="1:10">
      <c r="A882" s="155"/>
      <c r="B882" s="156"/>
      <c r="C882" s="156"/>
      <c r="D882" s="155"/>
      <c r="E882" s="155"/>
      <c r="F882" s="155"/>
      <c r="G882" s="156"/>
      <c r="H882" s="157"/>
      <c r="I882" s="157"/>
      <c r="J882" s="155"/>
    </row>
    <row r="883" spans="1:10">
      <c r="A883" s="155"/>
      <c r="B883" s="156"/>
      <c r="C883" s="156"/>
      <c r="D883" s="155"/>
      <c r="E883" s="155"/>
      <c r="F883" s="155"/>
      <c r="G883" s="156"/>
      <c r="H883" s="157"/>
      <c r="I883" s="157"/>
      <c r="J883" s="155"/>
    </row>
    <row r="884" spans="1:10">
      <c r="A884" s="155"/>
      <c r="B884" s="156"/>
      <c r="C884" s="156"/>
      <c r="D884" s="155"/>
      <c r="E884" s="155"/>
      <c r="F884" s="155"/>
      <c r="G884" s="156"/>
      <c r="H884" s="157"/>
      <c r="I884" s="157"/>
      <c r="J884" s="155"/>
    </row>
    <row r="885" spans="1:10">
      <c r="A885" s="155"/>
      <c r="B885" s="156"/>
      <c r="C885" s="156"/>
      <c r="D885" s="155"/>
      <c r="E885" s="155"/>
      <c r="F885" s="155"/>
      <c r="G885" s="156"/>
      <c r="H885" s="157"/>
      <c r="I885" s="157"/>
      <c r="J885" s="155"/>
    </row>
    <row r="886" spans="1:10">
      <c r="A886" s="155"/>
      <c r="B886" s="156"/>
      <c r="C886" s="156"/>
      <c r="D886" s="155"/>
      <c r="E886" s="155"/>
      <c r="F886" s="155"/>
      <c r="G886" s="156"/>
      <c r="H886" s="157"/>
      <c r="I886" s="157"/>
      <c r="J886" s="155"/>
    </row>
    <row r="887" spans="1:10">
      <c r="A887" s="155"/>
      <c r="B887" s="156"/>
      <c r="C887" s="156"/>
      <c r="D887" s="155"/>
      <c r="E887" s="155"/>
      <c r="F887" s="155"/>
      <c r="G887" s="156"/>
      <c r="H887" s="157"/>
      <c r="I887" s="157"/>
      <c r="J887" s="155"/>
    </row>
    <row r="888" spans="1:10">
      <c r="A888" s="155"/>
      <c r="B888" s="156"/>
      <c r="C888" s="156"/>
      <c r="D888" s="155"/>
      <c r="E888" s="155"/>
      <c r="F888" s="155"/>
      <c r="G888" s="156"/>
      <c r="H888" s="157"/>
      <c r="I888" s="157"/>
      <c r="J888" s="155"/>
    </row>
    <row r="889" spans="1:10">
      <c r="A889" s="155"/>
      <c r="B889" s="156"/>
      <c r="C889" s="156"/>
      <c r="D889" s="155"/>
      <c r="E889" s="155"/>
      <c r="F889" s="155"/>
      <c r="G889" s="156"/>
      <c r="H889" s="157"/>
      <c r="I889" s="157"/>
      <c r="J889" s="155"/>
    </row>
    <row r="890" spans="1:10">
      <c r="A890" s="155"/>
      <c r="B890" s="156"/>
      <c r="C890" s="156"/>
      <c r="D890" s="155"/>
      <c r="E890" s="155"/>
      <c r="F890" s="155"/>
      <c r="G890" s="156"/>
      <c r="H890" s="157"/>
      <c r="I890" s="157"/>
      <c r="J890" s="155"/>
    </row>
    <row r="891" spans="1:10">
      <c r="A891" s="155"/>
      <c r="B891" s="156"/>
      <c r="C891" s="156"/>
      <c r="D891" s="155"/>
      <c r="E891" s="155"/>
      <c r="F891" s="155"/>
      <c r="G891" s="156"/>
      <c r="H891" s="157"/>
      <c r="I891" s="157"/>
      <c r="J891" s="155"/>
    </row>
    <row r="892" spans="1:10">
      <c r="A892" s="155"/>
      <c r="B892" s="156"/>
      <c r="C892" s="156"/>
      <c r="D892" s="155"/>
      <c r="E892" s="155"/>
      <c r="F892" s="155"/>
      <c r="G892" s="156"/>
      <c r="H892" s="157"/>
      <c r="I892" s="157"/>
      <c r="J892" s="155"/>
    </row>
    <row r="893" spans="1:10">
      <c r="A893" s="155"/>
      <c r="B893" s="156"/>
      <c r="C893" s="156"/>
      <c r="D893" s="155"/>
      <c r="E893" s="155"/>
      <c r="F893" s="155"/>
      <c r="G893" s="156"/>
      <c r="H893" s="157"/>
      <c r="I893" s="157"/>
      <c r="J893" s="155"/>
    </row>
    <row r="894" spans="1:10">
      <c r="A894" s="155"/>
      <c r="B894" s="156"/>
      <c r="C894" s="156"/>
      <c r="D894" s="155"/>
      <c r="E894" s="155"/>
      <c r="F894" s="155"/>
      <c r="G894" s="156"/>
      <c r="H894" s="157"/>
      <c r="I894" s="157"/>
      <c r="J894" s="155"/>
    </row>
    <row r="895" spans="1:10">
      <c r="A895" s="155"/>
      <c r="B895" s="156"/>
      <c r="C895" s="156"/>
      <c r="D895" s="155"/>
      <c r="E895" s="155"/>
      <c r="F895" s="155"/>
      <c r="G895" s="156"/>
      <c r="H895" s="157"/>
      <c r="I895" s="157"/>
      <c r="J895" s="155"/>
    </row>
    <row r="896" spans="1:10">
      <c r="A896" s="155"/>
      <c r="B896" s="156"/>
      <c r="C896" s="156"/>
      <c r="D896" s="155"/>
      <c r="E896" s="155"/>
      <c r="F896" s="155"/>
      <c r="G896" s="156"/>
      <c r="H896" s="157"/>
      <c r="I896" s="157"/>
      <c r="J896" s="155"/>
    </row>
    <row r="897" spans="1:10">
      <c r="A897" s="155"/>
      <c r="B897" s="156"/>
      <c r="C897" s="156"/>
      <c r="D897" s="155"/>
      <c r="E897" s="155"/>
      <c r="F897" s="155"/>
      <c r="G897" s="156"/>
      <c r="H897" s="157"/>
      <c r="I897" s="157"/>
      <c r="J897" s="155"/>
    </row>
    <row r="898" spans="1:10">
      <c r="A898" s="155"/>
      <c r="B898" s="156"/>
      <c r="C898" s="156"/>
      <c r="D898" s="155"/>
      <c r="E898" s="155"/>
      <c r="F898" s="155"/>
      <c r="G898" s="156"/>
      <c r="H898" s="157"/>
      <c r="I898" s="157"/>
      <c r="J898" s="155"/>
    </row>
    <row r="899" spans="1:10">
      <c r="A899" s="155"/>
      <c r="B899" s="156"/>
      <c r="C899" s="156"/>
      <c r="D899" s="155"/>
      <c r="E899" s="155"/>
      <c r="F899" s="155"/>
      <c r="G899" s="156"/>
      <c r="H899" s="157"/>
      <c r="I899" s="157"/>
      <c r="J899" s="155"/>
    </row>
    <row r="900" spans="1:10">
      <c r="A900" s="155"/>
      <c r="B900" s="156"/>
      <c r="C900" s="156"/>
      <c r="D900" s="155"/>
      <c r="E900" s="155"/>
      <c r="F900" s="155"/>
      <c r="G900" s="156"/>
      <c r="H900" s="157"/>
      <c r="I900" s="157"/>
      <c r="J900" s="155"/>
    </row>
    <row r="901" spans="1:10">
      <c r="A901" s="155"/>
      <c r="B901" s="156"/>
      <c r="C901" s="156"/>
      <c r="D901" s="155"/>
      <c r="E901" s="155"/>
      <c r="F901" s="155"/>
      <c r="G901" s="156"/>
      <c r="H901" s="157"/>
      <c r="I901" s="157"/>
      <c r="J901" s="155"/>
    </row>
    <row r="902" spans="1:10">
      <c r="A902" s="155"/>
      <c r="B902" s="156"/>
      <c r="C902" s="156"/>
      <c r="D902" s="155"/>
      <c r="E902" s="155"/>
      <c r="F902" s="155"/>
      <c r="G902" s="156"/>
      <c r="H902" s="157"/>
      <c r="I902" s="157"/>
      <c r="J902" s="155"/>
    </row>
    <row r="903" spans="1:10">
      <c r="A903" s="155"/>
      <c r="B903" s="156"/>
      <c r="C903" s="156"/>
      <c r="D903" s="155"/>
      <c r="E903" s="155"/>
      <c r="F903" s="155"/>
      <c r="G903" s="156"/>
      <c r="H903" s="157"/>
      <c r="I903" s="157"/>
      <c r="J903" s="155"/>
    </row>
    <row r="904" spans="1:10">
      <c r="A904" s="155"/>
      <c r="B904" s="156"/>
      <c r="C904" s="156"/>
      <c r="D904" s="155"/>
      <c r="E904" s="155"/>
      <c r="F904" s="155"/>
      <c r="G904" s="156"/>
      <c r="H904" s="157"/>
      <c r="I904" s="157"/>
      <c r="J904" s="155"/>
    </row>
    <row r="905" spans="1:10">
      <c r="A905" s="155"/>
      <c r="B905" s="156"/>
      <c r="C905" s="156"/>
      <c r="D905" s="155"/>
      <c r="E905" s="155"/>
      <c r="F905" s="155"/>
      <c r="G905" s="156"/>
      <c r="H905" s="157"/>
      <c r="I905" s="157"/>
      <c r="J905" s="155"/>
    </row>
    <row r="906" spans="1:10">
      <c r="A906" s="155"/>
      <c r="B906" s="156"/>
      <c r="C906" s="156"/>
      <c r="D906" s="155"/>
      <c r="E906" s="155"/>
      <c r="F906" s="155"/>
      <c r="G906" s="156"/>
      <c r="H906" s="157"/>
      <c r="I906" s="157"/>
      <c r="J906" s="155"/>
    </row>
    <row r="907" spans="1:10">
      <c r="A907" s="155"/>
      <c r="B907" s="156"/>
      <c r="C907" s="156"/>
      <c r="D907" s="155"/>
      <c r="E907" s="155"/>
      <c r="F907" s="155"/>
      <c r="G907" s="156"/>
      <c r="H907" s="157"/>
      <c r="I907" s="157"/>
      <c r="J907" s="155"/>
    </row>
    <row r="908" spans="1:10">
      <c r="A908" s="155"/>
      <c r="B908" s="156"/>
      <c r="C908" s="156"/>
      <c r="D908" s="155"/>
      <c r="E908" s="155"/>
      <c r="F908" s="155"/>
      <c r="G908" s="156"/>
      <c r="H908" s="157"/>
      <c r="I908" s="157"/>
      <c r="J908" s="155"/>
    </row>
    <row r="909" spans="1:10">
      <c r="A909" s="155"/>
      <c r="B909" s="156"/>
      <c r="C909" s="156"/>
      <c r="D909" s="155"/>
      <c r="E909" s="155"/>
      <c r="F909" s="155"/>
      <c r="G909" s="156"/>
      <c r="H909" s="157"/>
      <c r="I909" s="157"/>
      <c r="J909" s="155"/>
    </row>
    <row r="910" spans="1:10">
      <c r="A910" s="155"/>
      <c r="B910" s="156"/>
      <c r="C910" s="156"/>
      <c r="D910" s="155"/>
      <c r="E910" s="155"/>
      <c r="F910" s="155"/>
      <c r="G910" s="156"/>
      <c r="H910" s="157"/>
      <c r="I910" s="157"/>
      <c r="J910" s="155"/>
    </row>
    <row r="911" spans="1:10">
      <c r="A911" s="155"/>
      <c r="B911" s="156"/>
      <c r="C911" s="156"/>
      <c r="D911" s="155"/>
      <c r="E911" s="155"/>
      <c r="F911" s="155"/>
      <c r="G911" s="156"/>
      <c r="H911" s="157"/>
      <c r="I911" s="157"/>
      <c r="J911" s="155"/>
    </row>
    <row r="912" spans="1:10">
      <c r="A912" s="155"/>
      <c r="B912" s="156"/>
      <c r="C912" s="156"/>
      <c r="D912" s="155"/>
      <c r="E912" s="155"/>
      <c r="F912" s="155"/>
      <c r="G912" s="156"/>
      <c r="H912" s="157"/>
      <c r="I912" s="157"/>
      <c r="J912" s="155"/>
    </row>
    <row r="913" spans="1:10">
      <c r="A913" s="155"/>
      <c r="B913" s="156"/>
      <c r="C913" s="156"/>
      <c r="D913" s="155"/>
      <c r="E913" s="155"/>
      <c r="F913" s="155"/>
      <c r="G913" s="156"/>
      <c r="H913" s="157"/>
      <c r="I913" s="157"/>
      <c r="J913" s="155"/>
    </row>
    <row r="914" spans="1:10">
      <c r="A914" s="155"/>
      <c r="B914" s="156"/>
      <c r="C914" s="156"/>
      <c r="D914" s="155"/>
      <c r="E914" s="155"/>
      <c r="F914" s="155"/>
      <c r="G914" s="156"/>
      <c r="H914" s="157"/>
      <c r="I914" s="157"/>
      <c r="J914" s="155"/>
    </row>
    <row r="915" spans="1:10">
      <c r="A915" s="155"/>
      <c r="B915" s="156"/>
      <c r="C915" s="156"/>
      <c r="D915" s="155"/>
      <c r="E915" s="155"/>
      <c r="F915" s="155"/>
      <c r="G915" s="156"/>
      <c r="H915" s="157"/>
      <c r="I915" s="157"/>
      <c r="J915" s="155"/>
    </row>
    <row r="916" spans="1:10">
      <c r="A916" s="155"/>
      <c r="B916" s="156"/>
      <c r="C916" s="156"/>
      <c r="D916" s="155"/>
      <c r="E916" s="155"/>
      <c r="F916" s="155"/>
      <c r="G916" s="156"/>
      <c r="H916" s="157"/>
      <c r="I916" s="157"/>
      <c r="J916" s="155"/>
    </row>
    <row r="917" spans="1:10">
      <c r="A917" s="155"/>
      <c r="B917" s="156"/>
      <c r="C917" s="156"/>
      <c r="D917" s="155"/>
      <c r="E917" s="155"/>
      <c r="F917" s="155"/>
      <c r="G917" s="156"/>
      <c r="H917" s="157"/>
      <c r="I917" s="157"/>
      <c r="J917" s="155"/>
    </row>
    <row r="918" spans="1:10">
      <c r="A918" s="155"/>
      <c r="B918" s="156"/>
      <c r="C918" s="156"/>
      <c r="D918" s="155"/>
      <c r="E918" s="155"/>
      <c r="F918" s="155"/>
      <c r="G918" s="156"/>
      <c r="H918" s="157"/>
      <c r="I918" s="157"/>
      <c r="J918" s="155"/>
    </row>
    <row r="919" spans="1:10">
      <c r="A919" s="155"/>
      <c r="B919" s="156"/>
      <c r="C919" s="156"/>
      <c r="D919" s="155"/>
      <c r="E919" s="155"/>
      <c r="F919" s="155"/>
      <c r="G919" s="156"/>
      <c r="H919" s="157"/>
      <c r="I919" s="157"/>
      <c r="J919" s="155"/>
    </row>
    <row r="920" spans="1:10">
      <c r="A920" s="155"/>
      <c r="B920" s="156"/>
      <c r="C920" s="156"/>
      <c r="D920" s="155"/>
      <c r="E920" s="155"/>
      <c r="F920" s="155"/>
      <c r="G920" s="156"/>
      <c r="H920" s="157"/>
      <c r="I920" s="157"/>
      <c r="J920" s="155"/>
    </row>
    <row r="921" spans="1:10">
      <c r="A921" s="155"/>
      <c r="B921" s="156"/>
      <c r="C921" s="156"/>
      <c r="D921" s="155"/>
      <c r="E921" s="155"/>
      <c r="F921" s="155"/>
      <c r="G921" s="156"/>
      <c r="H921" s="157"/>
      <c r="I921" s="157"/>
      <c r="J921" s="155"/>
    </row>
    <row r="922" spans="1:10">
      <c r="A922" s="155"/>
      <c r="B922" s="156"/>
      <c r="C922" s="156"/>
      <c r="D922" s="155"/>
      <c r="E922" s="155"/>
      <c r="F922" s="155"/>
      <c r="G922" s="156"/>
      <c r="H922" s="157"/>
      <c r="I922" s="157"/>
      <c r="J922" s="155"/>
    </row>
    <row r="923" spans="1:10">
      <c r="A923" s="155"/>
      <c r="B923" s="156"/>
      <c r="C923" s="156"/>
      <c r="D923" s="155"/>
      <c r="E923" s="155"/>
      <c r="F923" s="155"/>
      <c r="G923" s="156"/>
      <c r="H923" s="157"/>
      <c r="I923" s="157"/>
      <c r="J923" s="155"/>
    </row>
    <row r="924" spans="1:10">
      <c r="A924" s="155"/>
      <c r="B924" s="156"/>
      <c r="C924" s="156"/>
      <c r="D924" s="155"/>
      <c r="E924" s="155"/>
      <c r="F924" s="155"/>
      <c r="G924" s="156"/>
      <c r="H924" s="157"/>
      <c r="I924" s="157"/>
      <c r="J924" s="155"/>
    </row>
    <row r="925" spans="1:10">
      <c r="A925" s="155"/>
      <c r="B925" s="156"/>
      <c r="C925" s="156"/>
      <c r="D925" s="155"/>
      <c r="E925" s="155"/>
      <c r="F925" s="155"/>
      <c r="G925" s="156"/>
      <c r="H925" s="157"/>
      <c r="I925" s="157"/>
      <c r="J925" s="155"/>
    </row>
    <row r="926" spans="1:10">
      <c r="A926" s="155"/>
      <c r="B926" s="156"/>
      <c r="C926" s="156"/>
      <c r="D926" s="155"/>
      <c r="E926" s="155"/>
      <c r="F926" s="155"/>
      <c r="G926" s="156"/>
      <c r="H926" s="157"/>
      <c r="I926" s="157"/>
      <c r="J926" s="155"/>
    </row>
    <row r="927" spans="1:10">
      <c r="A927" s="155"/>
      <c r="B927" s="156"/>
      <c r="C927" s="156"/>
      <c r="D927" s="155"/>
      <c r="E927" s="155"/>
      <c r="F927" s="155"/>
      <c r="G927" s="156"/>
      <c r="H927" s="157"/>
      <c r="I927" s="157"/>
      <c r="J927" s="155"/>
    </row>
    <row r="928" spans="1:10">
      <c r="A928" s="155"/>
      <c r="B928" s="156"/>
      <c r="C928" s="156"/>
      <c r="D928" s="155"/>
      <c r="E928" s="155"/>
      <c r="F928" s="155"/>
      <c r="G928" s="156"/>
      <c r="H928" s="157"/>
      <c r="I928" s="157"/>
      <c r="J928" s="155"/>
    </row>
    <row r="929" spans="1:10">
      <c r="A929" s="155"/>
      <c r="B929" s="156"/>
      <c r="C929" s="156"/>
      <c r="D929" s="155"/>
      <c r="E929" s="155"/>
      <c r="F929" s="155"/>
      <c r="G929" s="156"/>
      <c r="H929" s="157"/>
      <c r="I929" s="157"/>
      <c r="J929" s="155"/>
    </row>
    <row r="930" spans="1:10">
      <c r="A930" s="155"/>
      <c r="B930" s="156"/>
      <c r="C930" s="156"/>
      <c r="D930" s="155"/>
      <c r="E930" s="155"/>
      <c r="F930" s="155"/>
      <c r="G930" s="156"/>
      <c r="H930" s="157"/>
      <c r="I930" s="157"/>
      <c r="J930" s="155"/>
    </row>
    <row r="931" spans="1:10">
      <c r="A931" s="155"/>
      <c r="B931" s="156"/>
      <c r="C931" s="156"/>
      <c r="D931" s="155"/>
      <c r="E931" s="155"/>
      <c r="F931" s="155"/>
      <c r="G931" s="156"/>
      <c r="H931" s="157"/>
      <c r="I931" s="157"/>
      <c r="J931" s="155"/>
    </row>
    <row r="932" spans="1:10">
      <c r="A932" s="155"/>
      <c r="B932" s="156"/>
      <c r="C932" s="156"/>
      <c r="D932" s="155"/>
      <c r="E932" s="155"/>
      <c r="F932" s="155"/>
      <c r="G932" s="156"/>
      <c r="H932" s="157"/>
      <c r="I932" s="157"/>
      <c r="J932" s="155"/>
    </row>
    <row r="933" spans="1:10">
      <c r="A933" s="155"/>
      <c r="B933" s="156"/>
      <c r="C933" s="156"/>
      <c r="D933" s="155"/>
      <c r="E933" s="155"/>
      <c r="F933" s="155"/>
      <c r="G933" s="156"/>
      <c r="H933" s="157"/>
      <c r="I933" s="157"/>
      <c r="J933" s="155"/>
    </row>
    <row r="934" spans="1:10">
      <c r="A934" s="155"/>
      <c r="B934" s="156"/>
      <c r="C934" s="156"/>
      <c r="D934" s="155"/>
      <c r="E934" s="155"/>
      <c r="F934" s="155"/>
      <c r="G934" s="156"/>
      <c r="H934" s="157"/>
      <c r="I934" s="157"/>
      <c r="J934" s="155"/>
    </row>
    <row r="935" spans="1:10">
      <c r="A935" s="155"/>
      <c r="B935" s="156"/>
      <c r="C935" s="156"/>
      <c r="D935" s="155"/>
      <c r="E935" s="155"/>
      <c r="F935" s="155"/>
      <c r="G935" s="156"/>
      <c r="H935" s="157"/>
      <c r="I935" s="157"/>
      <c r="J935" s="155"/>
    </row>
    <row r="936" spans="1:10">
      <c r="A936" s="155"/>
      <c r="B936" s="156"/>
      <c r="C936" s="156"/>
      <c r="D936" s="155"/>
      <c r="E936" s="155"/>
      <c r="F936" s="155"/>
      <c r="G936" s="156"/>
      <c r="H936" s="157"/>
      <c r="I936" s="157"/>
      <c r="J936" s="155"/>
    </row>
    <row r="937" spans="1:10">
      <c r="A937" s="155"/>
      <c r="B937" s="156"/>
      <c r="C937" s="156"/>
      <c r="D937" s="155"/>
      <c r="E937" s="155"/>
      <c r="F937" s="155"/>
      <c r="G937" s="156"/>
      <c r="H937" s="157"/>
      <c r="I937" s="157"/>
      <c r="J937" s="155"/>
    </row>
    <row r="938" spans="1:10">
      <c r="A938" s="155"/>
      <c r="B938" s="156"/>
      <c r="C938" s="156"/>
      <c r="D938" s="155"/>
      <c r="E938" s="155"/>
      <c r="F938" s="155"/>
      <c r="G938" s="156"/>
      <c r="H938" s="157"/>
      <c r="I938" s="157"/>
      <c r="J938" s="155"/>
    </row>
    <row r="939" spans="1:10">
      <c r="A939" s="155"/>
      <c r="B939" s="156"/>
      <c r="C939" s="156"/>
      <c r="D939" s="155"/>
      <c r="E939" s="155"/>
      <c r="F939" s="155"/>
      <c r="G939" s="156"/>
      <c r="H939" s="157"/>
      <c r="I939" s="157"/>
      <c r="J939" s="155"/>
    </row>
    <row r="940" spans="1:10">
      <c r="A940" s="155"/>
      <c r="B940" s="156"/>
      <c r="C940" s="156"/>
      <c r="D940" s="155"/>
      <c r="E940" s="155"/>
      <c r="F940" s="155"/>
      <c r="G940" s="156"/>
      <c r="H940" s="157"/>
      <c r="I940" s="157"/>
      <c r="J940" s="155"/>
    </row>
    <row r="941" spans="1:10">
      <c r="A941" s="155"/>
      <c r="B941" s="156"/>
      <c r="C941" s="156"/>
      <c r="D941" s="155"/>
      <c r="E941" s="155"/>
      <c r="F941" s="155"/>
      <c r="G941" s="156"/>
      <c r="H941" s="157"/>
      <c r="I941" s="157"/>
      <c r="J941" s="155"/>
    </row>
    <row r="942" spans="1:10">
      <c r="A942" s="155"/>
      <c r="B942" s="156"/>
      <c r="C942" s="156"/>
      <c r="D942" s="155"/>
      <c r="E942" s="155"/>
      <c r="F942" s="155"/>
      <c r="G942" s="156"/>
      <c r="H942" s="157"/>
      <c r="I942" s="157"/>
      <c r="J942" s="155"/>
    </row>
    <row r="943" spans="1:10">
      <c r="A943" s="155"/>
      <c r="B943" s="156"/>
      <c r="C943" s="156"/>
      <c r="D943" s="155"/>
      <c r="E943" s="155"/>
      <c r="F943" s="155"/>
      <c r="G943" s="156"/>
      <c r="H943" s="157"/>
      <c r="I943" s="157"/>
      <c r="J943" s="155"/>
    </row>
    <row r="944" spans="1:10">
      <c r="A944" s="155"/>
      <c r="B944" s="156"/>
      <c r="C944" s="156"/>
      <c r="D944" s="155"/>
      <c r="E944" s="155"/>
      <c r="F944" s="155"/>
      <c r="G944" s="156"/>
      <c r="H944" s="157"/>
      <c r="I944" s="157"/>
      <c r="J944" s="155"/>
    </row>
    <row r="945" spans="1:10">
      <c r="A945" s="155"/>
      <c r="B945" s="156"/>
      <c r="C945" s="156"/>
      <c r="D945" s="155"/>
      <c r="E945" s="155"/>
      <c r="F945" s="155"/>
      <c r="G945" s="156"/>
      <c r="H945" s="157"/>
      <c r="I945" s="157"/>
      <c r="J945" s="155"/>
    </row>
    <row r="946" spans="1:10">
      <c r="A946" s="155"/>
      <c r="B946" s="156"/>
      <c r="C946" s="156"/>
      <c r="D946" s="155"/>
      <c r="E946" s="155"/>
      <c r="F946" s="155"/>
      <c r="G946" s="156"/>
      <c r="H946" s="157"/>
      <c r="I946" s="157"/>
      <c r="J946" s="155"/>
    </row>
    <row r="947" spans="1:10">
      <c r="A947" s="155"/>
      <c r="B947" s="156"/>
      <c r="C947" s="156"/>
      <c r="D947" s="155"/>
      <c r="E947" s="155"/>
      <c r="F947" s="155"/>
      <c r="G947" s="156"/>
      <c r="H947" s="157"/>
      <c r="I947" s="157"/>
      <c r="J947" s="155"/>
    </row>
    <row r="948" spans="1:10">
      <c r="A948" s="155"/>
      <c r="B948" s="156"/>
      <c r="C948" s="156"/>
      <c r="D948" s="155"/>
      <c r="E948" s="155"/>
      <c r="F948" s="155"/>
      <c r="G948" s="156"/>
      <c r="H948" s="157"/>
      <c r="I948" s="157"/>
      <c r="J948" s="155"/>
    </row>
    <row r="949" spans="1:10">
      <c r="A949" s="155"/>
      <c r="B949" s="156"/>
      <c r="C949" s="156"/>
      <c r="D949" s="155"/>
      <c r="E949" s="155"/>
      <c r="F949" s="155"/>
      <c r="G949" s="156"/>
      <c r="H949" s="157"/>
      <c r="I949" s="157"/>
      <c r="J949" s="155"/>
    </row>
    <row r="950" spans="1:10">
      <c r="A950" s="155"/>
      <c r="B950" s="156"/>
      <c r="C950" s="156"/>
      <c r="D950" s="155"/>
      <c r="E950" s="155"/>
      <c r="F950" s="155"/>
      <c r="G950" s="156"/>
      <c r="H950" s="157"/>
      <c r="I950" s="157"/>
      <c r="J950" s="155"/>
    </row>
    <row r="951" spans="1:10">
      <c r="A951" s="155"/>
      <c r="B951" s="156"/>
      <c r="C951" s="156"/>
      <c r="D951" s="155"/>
      <c r="E951" s="155"/>
      <c r="F951" s="155"/>
      <c r="G951" s="156"/>
      <c r="H951" s="157"/>
      <c r="I951" s="157"/>
      <c r="J951" s="155"/>
    </row>
    <row r="952" spans="1:10">
      <c r="A952" s="155"/>
      <c r="B952" s="156"/>
      <c r="C952" s="156"/>
      <c r="D952" s="155"/>
      <c r="E952" s="155"/>
      <c r="F952" s="155"/>
      <c r="G952" s="156"/>
      <c r="H952" s="157"/>
      <c r="I952" s="157"/>
      <c r="J952" s="155"/>
    </row>
    <row r="953" spans="1:10">
      <c r="A953" s="155"/>
      <c r="B953" s="156"/>
      <c r="C953" s="156"/>
      <c r="D953" s="155"/>
      <c r="E953" s="155"/>
      <c r="F953" s="155"/>
      <c r="G953" s="156"/>
      <c r="H953" s="157"/>
      <c r="I953" s="157"/>
      <c r="J953" s="155"/>
    </row>
    <row r="954" spans="1:10">
      <c r="A954" s="155"/>
      <c r="B954" s="156"/>
      <c r="C954" s="156"/>
      <c r="D954" s="155"/>
      <c r="E954" s="155"/>
      <c r="F954" s="155"/>
      <c r="G954" s="156"/>
      <c r="H954" s="157"/>
      <c r="I954" s="157"/>
      <c r="J954" s="155"/>
    </row>
    <row r="955" spans="1:10">
      <c r="A955" s="155"/>
      <c r="B955" s="156"/>
      <c r="C955" s="156"/>
      <c r="D955" s="155"/>
      <c r="E955" s="155"/>
      <c r="F955" s="155"/>
      <c r="G955" s="156"/>
      <c r="H955" s="157"/>
      <c r="I955" s="157"/>
      <c r="J955" s="155"/>
    </row>
    <row r="956" spans="1:10">
      <c r="A956" s="155"/>
      <c r="B956" s="156"/>
      <c r="C956" s="156"/>
      <c r="D956" s="155"/>
      <c r="E956" s="155"/>
      <c r="F956" s="155"/>
      <c r="G956" s="156"/>
      <c r="H956" s="157"/>
      <c r="I956" s="157"/>
      <c r="J956" s="155"/>
    </row>
    <row r="957" spans="1:10">
      <c r="A957" s="155"/>
      <c r="B957" s="156"/>
      <c r="C957" s="156"/>
      <c r="D957" s="155"/>
      <c r="E957" s="155"/>
      <c r="F957" s="155"/>
      <c r="G957" s="156"/>
      <c r="H957" s="157"/>
      <c r="I957" s="157"/>
      <c r="J957" s="155"/>
    </row>
    <row r="958" spans="1:10">
      <c r="A958" s="155"/>
      <c r="B958" s="156"/>
      <c r="C958" s="156"/>
      <c r="D958" s="155"/>
      <c r="E958" s="155"/>
      <c r="F958" s="155"/>
      <c r="G958" s="156"/>
      <c r="H958" s="157"/>
      <c r="I958" s="157"/>
      <c r="J958" s="155"/>
    </row>
    <row r="959" spans="1:10">
      <c r="A959" s="155"/>
      <c r="B959" s="156"/>
      <c r="C959" s="156"/>
      <c r="D959" s="155"/>
      <c r="E959" s="155"/>
      <c r="F959" s="155"/>
      <c r="G959" s="156"/>
      <c r="H959" s="157"/>
      <c r="I959" s="157"/>
      <c r="J959" s="155"/>
    </row>
    <row r="960" spans="1:10">
      <c r="A960" s="155"/>
      <c r="B960" s="156"/>
      <c r="C960" s="156"/>
      <c r="D960" s="155"/>
      <c r="E960" s="155"/>
      <c r="F960" s="155"/>
      <c r="G960" s="156"/>
      <c r="H960" s="157"/>
      <c r="I960" s="157"/>
      <c r="J960" s="155"/>
    </row>
    <row r="961" spans="1:10">
      <c r="A961" s="155"/>
      <c r="B961" s="156"/>
      <c r="C961" s="156"/>
      <c r="D961" s="155"/>
      <c r="E961" s="155"/>
      <c r="F961" s="155"/>
      <c r="G961" s="156"/>
      <c r="H961" s="157"/>
      <c r="I961" s="157"/>
      <c r="J961" s="155"/>
    </row>
    <row r="962" spans="1:10">
      <c r="A962" s="155"/>
      <c r="B962" s="156"/>
      <c r="C962" s="156"/>
      <c r="D962" s="155"/>
      <c r="E962" s="155"/>
      <c r="F962" s="155"/>
      <c r="G962" s="156"/>
      <c r="H962" s="157"/>
      <c r="I962" s="157"/>
      <c r="J962" s="155"/>
    </row>
    <row r="963" spans="1:10">
      <c r="A963" s="155"/>
      <c r="B963" s="156"/>
      <c r="C963" s="156"/>
      <c r="D963" s="155"/>
      <c r="E963" s="155"/>
      <c r="F963" s="155"/>
      <c r="G963" s="156"/>
      <c r="H963" s="157"/>
      <c r="I963" s="157"/>
      <c r="J963" s="155"/>
    </row>
    <row r="964" spans="1:10">
      <c r="A964" s="155"/>
      <c r="B964" s="156"/>
      <c r="C964" s="156"/>
      <c r="D964" s="155"/>
      <c r="E964" s="155"/>
      <c r="F964" s="155"/>
      <c r="G964" s="156"/>
      <c r="H964" s="157"/>
      <c r="I964" s="157"/>
      <c r="J964" s="155"/>
    </row>
    <row r="965" spans="1:10">
      <c r="A965" s="155"/>
      <c r="B965" s="156"/>
      <c r="C965" s="156"/>
      <c r="D965" s="155"/>
      <c r="E965" s="155"/>
      <c r="F965" s="155"/>
      <c r="G965" s="156"/>
      <c r="H965" s="157"/>
      <c r="I965" s="157"/>
      <c r="J965" s="155"/>
    </row>
    <row r="966" spans="1:10">
      <c r="A966" s="155"/>
      <c r="B966" s="156"/>
      <c r="C966" s="156"/>
      <c r="D966" s="155"/>
      <c r="E966" s="155"/>
      <c r="F966" s="155"/>
      <c r="G966" s="156"/>
      <c r="H966" s="157"/>
      <c r="I966" s="157"/>
      <c r="J966" s="155"/>
    </row>
    <row r="967" spans="1:10">
      <c r="A967" s="155"/>
      <c r="B967" s="156"/>
      <c r="C967" s="156"/>
      <c r="D967" s="155"/>
      <c r="E967" s="155"/>
      <c r="F967" s="155"/>
      <c r="G967" s="156"/>
      <c r="H967" s="157"/>
      <c r="I967" s="157"/>
      <c r="J967" s="155"/>
    </row>
    <row r="968" spans="1:10">
      <c r="A968" s="155"/>
      <c r="B968" s="156"/>
      <c r="C968" s="156"/>
      <c r="D968" s="155"/>
      <c r="E968" s="155"/>
      <c r="F968" s="155"/>
      <c r="G968" s="156"/>
      <c r="H968" s="157"/>
      <c r="I968" s="157"/>
      <c r="J968" s="155"/>
    </row>
    <row r="969" spans="1:10">
      <c r="A969" s="155"/>
      <c r="B969" s="156"/>
      <c r="C969" s="156"/>
      <c r="D969" s="155"/>
      <c r="E969" s="155"/>
      <c r="F969" s="155"/>
      <c r="G969" s="156"/>
      <c r="H969" s="157"/>
      <c r="I969" s="157"/>
      <c r="J969" s="155"/>
    </row>
    <row r="970" spans="1:10">
      <c r="A970" s="155"/>
      <c r="B970" s="156"/>
      <c r="C970" s="156"/>
      <c r="D970" s="155"/>
      <c r="E970" s="155"/>
      <c r="F970" s="155"/>
      <c r="G970" s="156"/>
      <c r="H970" s="157"/>
      <c r="I970" s="157"/>
      <c r="J970" s="155"/>
    </row>
    <row r="971" spans="1:10">
      <c r="A971" s="155"/>
      <c r="B971" s="156"/>
      <c r="C971" s="156"/>
      <c r="D971" s="155"/>
      <c r="E971" s="155"/>
      <c r="F971" s="155"/>
      <c r="G971" s="156"/>
      <c r="H971" s="157"/>
      <c r="I971" s="157"/>
      <c r="J971" s="155"/>
    </row>
    <row r="972" spans="1:10">
      <c r="A972" s="155"/>
      <c r="B972" s="156"/>
      <c r="C972" s="156"/>
      <c r="D972" s="155"/>
      <c r="E972" s="155"/>
      <c r="F972" s="155"/>
      <c r="G972" s="156"/>
      <c r="H972" s="157"/>
      <c r="I972" s="157"/>
      <c r="J972" s="155"/>
    </row>
    <row r="973" spans="1:10">
      <c r="A973" s="155"/>
      <c r="B973" s="156"/>
      <c r="C973" s="156"/>
      <c r="D973" s="155"/>
      <c r="E973" s="155"/>
      <c r="F973" s="155"/>
      <c r="G973" s="156"/>
      <c r="H973" s="157"/>
      <c r="I973" s="157"/>
      <c r="J973" s="155"/>
    </row>
    <row r="974" spans="1:10">
      <c r="A974" s="155"/>
      <c r="B974" s="156"/>
      <c r="C974" s="156"/>
      <c r="D974" s="155"/>
      <c r="E974" s="155"/>
      <c r="F974" s="155"/>
      <c r="G974" s="156"/>
      <c r="H974" s="157"/>
      <c r="I974" s="157"/>
      <c r="J974" s="155"/>
    </row>
    <row r="975" spans="1:10">
      <c r="A975" s="155"/>
      <c r="B975" s="156"/>
      <c r="C975" s="156"/>
      <c r="D975" s="155"/>
      <c r="E975" s="155"/>
      <c r="F975" s="155"/>
      <c r="G975" s="156"/>
      <c r="H975" s="157"/>
      <c r="I975" s="157"/>
      <c r="J975" s="155"/>
    </row>
    <row r="976" spans="1:10">
      <c r="A976" s="155"/>
      <c r="B976" s="156"/>
      <c r="C976" s="156"/>
      <c r="D976" s="155"/>
      <c r="E976" s="155"/>
      <c r="F976" s="155"/>
      <c r="G976" s="156"/>
      <c r="H976" s="157"/>
      <c r="I976" s="157"/>
      <c r="J976" s="155"/>
    </row>
    <row r="977" spans="1:10">
      <c r="A977" s="155"/>
      <c r="B977" s="156"/>
      <c r="C977" s="156"/>
      <c r="D977" s="155"/>
      <c r="E977" s="155"/>
      <c r="F977" s="155"/>
      <c r="G977" s="156"/>
      <c r="H977" s="157"/>
      <c r="I977" s="157"/>
      <c r="J977" s="155"/>
    </row>
    <row r="978" spans="1:10">
      <c r="A978" s="155"/>
      <c r="B978" s="156"/>
      <c r="C978" s="156"/>
      <c r="D978" s="155"/>
      <c r="E978" s="155"/>
      <c r="F978" s="155"/>
      <c r="G978" s="156"/>
      <c r="H978" s="157"/>
      <c r="I978" s="157"/>
      <c r="J978" s="155"/>
    </row>
    <row r="979" spans="1:10">
      <c r="A979" s="155"/>
      <c r="B979" s="156"/>
      <c r="C979" s="156"/>
      <c r="D979" s="155"/>
      <c r="E979" s="155"/>
      <c r="F979" s="155"/>
      <c r="G979" s="156"/>
      <c r="H979" s="157"/>
      <c r="I979" s="157"/>
      <c r="J979" s="155"/>
    </row>
    <row r="980" spans="1:10">
      <c r="A980" s="155"/>
      <c r="B980" s="156"/>
      <c r="C980" s="156"/>
      <c r="D980" s="155"/>
      <c r="E980" s="155"/>
      <c r="F980" s="155"/>
      <c r="G980" s="156"/>
      <c r="H980" s="157"/>
      <c r="I980" s="157"/>
      <c r="J980" s="155"/>
    </row>
    <row r="981" spans="1:10">
      <c r="A981" s="155"/>
      <c r="B981" s="156"/>
      <c r="C981" s="156"/>
      <c r="D981" s="155"/>
      <c r="E981" s="155"/>
      <c r="F981" s="155"/>
      <c r="G981" s="156"/>
      <c r="H981" s="157"/>
      <c r="I981" s="157"/>
      <c r="J981" s="155"/>
    </row>
    <row r="982" spans="1:10">
      <c r="A982" s="155"/>
      <c r="B982" s="156"/>
      <c r="C982" s="156"/>
      <c r="D982" s="155"/>
      <c r="E982" s="155"/>
      <c r="F982" s="155"/>
      <c r="G982" s="156"/>
      <c r="H982" s="157"/>
      <c r="I982" s="157"/>
      <c r="J982" s="155"/>
    </row>
    <row r="983" spans="1:10">
      <c r="A983" s="155"/>
      <c r="B983" s="156"/>
      <c r="C983" s="156"/>
      <c r="D983" s="155"/>
      <c r="E983" s="155"/>
      <c r="F983" s="155"/>
      <c r="G983" s="156"/>
      <c r="H983" s="157"/>
      <c r="I983" s="157"/>
      <c r="J983" s="155"/>
    </row>
    <row r="984" spans="1:10">
      <c r="A984" s="155"/>
      <c r="B984" s="156"/>
      <c r="C984" s="156"/>
      <c r="D984" s="155"/>
      <c r="E984" s="155"/>
      <c r="F984" s="155"/>
      <c r="G984" s="156"/>
      <c r="H984" s="157"/>
      <c r="I984" s="157"/>
      <c r="J984" s="155"/>
    </row>
    <row r="985" spans="1:10">
      <c r="A985" s="155"/>
      <c r="B985" s="156"/>
      <c r="C985" s="156"/>
      <c r="D985" s="155"/>
      <c r="E985" s="155"/>
      <c r="F985" s="155"/>
      <c r="G985" s="156"/>
      <c r="H985" s="157"/>
      <c r="I985" s="157"/>
      <c r="J985" s="155"/>
    </row>
    <row r="986" spans="1:10">
      <c r="A986" s="155"/>
      <c r="B986" s="156"/>
      <c r="C986" s="156"/>
      <c r="D986" s="155"/>
      <c r="E986" s="155"/>
      <c r="F986" s="155"/>
      <c r="G986" s="156"/>
      <c r="H986" s="157"/>
      <c r="I986" s="157"/>
      <c r="J986" s="155"/>
    </row>
    <row r="987" spans="1:10">
      <c r="A987" s="155"/>
      <c r="B987" s="156"/>
      <c r="C987" s="156"/>
      <c r="D987" s="155"/>
      <c r="E987" s="155"/>
      <c r="F987" s="155"/>
      <c r="G987" s="156"/>
      <c r="H987" s="157"/>
      <c r="I987" s="157"/>
      <c r="J987" s="155"/>
    </row>
    <row r="988" spans="1:10">
      <c r="A988" s="155"/>
      <c r="B988" s="156"/>
      <c r="C988" s="156"/>
      <c r="D988" s="155"/>
      <c r="E988" s="155"/>
      <c r="F988" s="155"/>
      <c r="G988" s="156"/>
      <c r="H988" s="157"/>
      <c r="I988" s="157"/>
      <c r="J988" s="155"/>
    </row>
    <row r="989" spans="1:10">
      <c r="A989" s="155"/>
      <c r="B989" s="156"/>
      <c r="C989" s="156"/>
      <c r="D989" s="155"/>
      <c r="E989" s="155"/>
      <c r="F989" s="155"/>
      <c r="G989" s="156"/>
      <c r="H989" s="157"/>
      <c r="I989" s="157"/>
      <c r="J989" s="155"/>
    </row>
    <row r="990" spans="1:10">
      <c r="A990" s="155"/>
      <c r="B990" s="156"/>
      <c r="C990" s="156"/>
      <c r="D990" s="155"/>
      <c r="E990" s="155"/>
      <c r="F990" s="155"/>
      <c r="G990" s="156"/>
      <c r="H990" s="157"/>
      <c r="I990" s="157"/>
      <c r="J990" s="155"/>
    </row>
    <row r="991" spans="1:10">
      <c r="A991" s="155"/>
      <c r="B991" s="156"/>
      <c r="C991" s="156"/>
      <c r="D991" s="155"/>
      <c r="E991" s="155"/>
      <c r="F991" s="155"/>
      <c r="G991" s="156"/>
      <c r="H991" s="157"/>
      <c r="I991" s="157"/>
      <c r="J991" s="155"/>
    </row>
    <row r="992" spans="1:10">
      <c r="A992" s="155"/>
      <c r="B992" s="156"/>
      <c r="C992" s="156"/>
      <c r="D992" s="155"/>
      <c r="E992" s="155"/>
      <c r="F992" s="155"/>
      <c r="G992" s="156"/>
      <c r="H992" s="157"/>
      <c r="I992" s="157"/>
      <c r="J992" s="155"/>
    </row>
  </sheetData>
  <autoFilter xmlns:etc="http://www.wps.cn/officeDocument/2017/etCustomData" ref="A1:K355" etc:filterBottomFollowUsedRange="0">
    <filterColumn colId="4">
      <filters>
        <filter val="Milestone 6"/>
      </filters>
    </filterColumn>
    <filterColumn colId="5">
      <filters>
        <filter val="Yet to start"/>
      </filters>
    </filterColumn>
    <extLst/>
  </autoFilter>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8"/>
  <sheetViews>
    <sheetView showGridLines="0" topLeftCell="A49" workbookViewId="0">
      <selection activeCell="A61" sqref="A61"/>
    </sheetView>
  </sheetViews>
  <sheetFormatPr defaultColWidth="9"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8" customHeight="1" spans="1:10">
      <c r="A1" s="63" t="s">
        <v>710</v>
      </c>
    </row>
    <row r="2" ht="28" customHeight="1"/>
    <row r="3" ht="28" customHeight="1"/>
    <row r="4" ht="18" customHeight="1" spans="1:10">
      <c r="A4" s="64" t="s">
        <v>711</v>
      </c>
    </row>
    <row r="5" ht="10" customHeight="1"/>
    <row r="6" ht="22" customHeight="1" spans="1:10">
      <c r="A6" s="65" t="s">
        <v>712</v>
      </c>
      <c r="H6" s="65" t="s">
        <v>713</v>
      </c>
    </row>
    <row r="7" ht="26" customHeight="1" spans="1:10">
      <c r="A7" s="66">
        <f>ROUND(COUNTIF(Helper!$E:$E,"Delivered")/(COUNTIF(Helper!$E:$E,"Delivered")+COUNTIF(Helper!$E:$E,"Pending")),3)</f>
        <v>0.782</v>
      </c>
      <c r="D7" s="67" t="str">
        <f>COUNTIF(Helper!$E:$E,"Delivered")&amp;" of "&amp;(COUNTIF(Helper!$E:$E,"Delivered")+COUNTIF(Helper!$E:$E,"Pending"))&amp;" scope items delivered"</f>
        <v>277 of 354 scope items delivered</v>
      </c>
      <c r="H7" s="68">
        <f>COUNTIF(Helper!$E:$E,"Pending")</f>
        <v>77</v>
      </c>
      <c r="J7" s="69" t="s">
        <v>714</v>
      </c>
    </row>
    <row r="8" ht="26" customHeight="1"/>
    <row r="9" ht="26" customHeight="1"/>
    <row r="10" ht="12" customHeight="1"/>
    <row r="11" ht="20" customHeight="1" spans="1:10">
      <c r="A11" s="70" t="s">
        <v>715</v>
      </c>
    </row>
    <row r="12" ht="14" customHeight="1" spans="1:10">
      <c r="A12" s="71" t="s">
        <v>716</v>
      </c>
    </row>
    <row r="14" ht="16" customHeight="1" spans="1:10">
      <c r="A14" s="72" t="s">
        <v>717</v>
      </c>
      <c r="B14" s="73"/>
      <c r="C14" s="73"/>
      <c r="D14" s="73"/>
      <c r="E14" s="73"/>
      <c r="F14" s="74"/>
      <c r="G14" s="75" t="s">
        <v>718</v>
      </c>
    </row>
    <row r="15" ht="16" customHeight="1" spans="1:10">
      <c r="A15" s="72" t="s">
        <v>719</v>
      </c>
      <c r="B15" s="73"/>
      <c r="C15" s="73"/>
      <c r="D15" s="73"/>
      <c r="E15" s="73"/>
      <c r="F15" s="74"/>
      <c r="G15" s="75" t="s">
        <v>720</v>
      </c>
    </row>
    <row r="16" ht="16" customHeight="1" spans="1:10">
      <c r="A16" s="76" t="s">
        <v>721</v>
      </c>
      <c r="B16" s="73"/>
      <c r="C16" s="73"/>
      <c r="D16" s="73"/>
      <c r="E16" s="73"/>
      <c r="F16" s="74"/>
      <c r="G16" s="77" t="s">
        <v>722</v>
      </c>
    </row>
    <row r="17" ht="16" customHeight="1" spans="1:7">
      <c r="A17" s="78" t="s">
        <v>723</v>
      </c>
      <c r="B17" s="73"/>
      <c r="C17" s="73"/>
      <c r="D17" s="73"/>
      <c r="E17" s="73"/>
      <c r="F17" s="74"/>
      <c r="G17" s="79" t="s">
        <v>724</v>
      </c>
    </row>
    <row r="18" ht="16" customHeight="1" spans="1:7">
      <c r="A18" s="80" t="s">
        <v>725</v>
      </c>
      <c r="B18" s="73"/>
      <c r="C18" s="73"/>
      <c r="D18" s="73"/>
      <c r="E18" s="73"/>
      <c r="F18" s="74"/>
      <c r="G18" s="81" t="s">
        <v>726</v>
      </c>
    </row>
    <row r="19" ht="14" customHeight="1" spans="1:7">
      <c r="A19" s="39" t="s">
        <v>727</v>
      </c>
    </row>
    <row r="20" ht="14" customHeight="1" spans="1:7">
      <c r="A20" s="82" t="s">
        <v>728</v>
      </c>
    </row>
    <row r="23" ht="20" customHeight="1" spans="1:7">
      <c r="A23" s="70" t="s">
        <v>729</v>
      </c>
    </row>
    <row r="24" ht="18" customHeight="1" spans="1:7">
      <c r="A24" s="83" t="s">
        <v>730</v>
      </c>
      <c r="B24" s="83" t="s">
        <v>731</v>
      </c>
      <c r="C24" s="83" t="s">
        <v>16</v>
      </c>
      <c r="D24" s="83" t="s">
        <v>732</v>
      </c>
      <c r="E24" s="83" t="s">
        <v>733</v>
      </c>
    </row>
    <row r="25" ht="16" customHeight="1" spans="1:7">
      <c r="A25" s="84" t="s">
        <v>734</v>
      </c>
      <c r="B25" s="85">
        <f>COUNTIFS(Helper!$F:$F,"&lt;"&amp;DATE(2026,6,1))</f>
        <v>209</v>
      </c>
      <c r="C25" s="85">
        <f>COUNTIFS(Helper!$F:$F,"&lt;"&amp;DATE(2026,6,1),Helper!$E:$E,"Delivered")</f>
        <v>158</v>
      </c>
      <c r="D25" s="85">
        <f>COUNTIFS(Helper!$F:$F,"&lt;"&amp;DATE(2026,6,1),Helper!$E:$E,"Pending")</f>
        <v>51</v>
      </c>
      <c r="E25" s="86">
        <f t="shared" ref="E25:E37" si="0">IFERROR(C25/B25,0)</f>
        <v>0.755980861244019</v>
      </c>
    </row>
    <row r="26" ht="16" customHeight="1" spans="1:7">
      <c r="A26" s="87" t="s">
        <v>735</v>
      </c>
      <c r="B26" s="88">
        <f>COUNTIFS(Helper!$F:$F,"&gt;="&amp;DATE(2026,6,1),Helper!$F:$F,"&lt;="&amp;DATE(2026,6,7))</f>
        <v>5</v>
      </c>
      <c r="C26" s="89">
        <f>COUNTIFS(Helper!$F:$F,"&gt;="&amp;DATE(2026,6,1),Helper!$F:$F,"&lt;="&amp;DATE(2026,6,7),Helper!$E:$E,"Delivered")</f>
        <v>4</v>
      </c>
      <c r="D26" s="90">
        <f>COUNTIFS(Helper!$F:$F,"&gt;="&amp;DATE(2026,6,1),Helper!$F:$F,"&lt;="&amp;DATE(2026,6,7),Helper!$E:$E,"Pending")</f>
        <v>1</v>
      </c>
      <c r="E26" s="91">
        <f t="shared" si="0"/>
        <v>0.8</v>
      </c>
    </row>
    <row r="27" ht="16" customHeight="1" spans="1:7">
      <c r="A27" s="87" t="s">
        <v>736</v>
      </c>
      <c r="B27" s="88">
        <f>COUNTIFS(Helper!$F:$F,"&gt;="&amp;DATE(2026,6,8),Helper!$F:$F,"&lt;="&amp;DATE(2026,6,14))</f>
        <v>43</v>
      </c>
      <c r="C27" s="89">
        <f>COUNTIFS(Helper!$F:$F,"&gt;="&amp;DATE(2026,6,8),Helper!$F:$F,"&lt;="&amp;DATE(2026,6,14),Helper!$E:$E,"Delivered")</f>
        <v>42</v>
      </c>
      <c r="D27" s="90">
        <f>COUNTIFS(Helper!$F:$F,"&gt;="&amp;DATE(2026,6,8),Helper!$F:$F,"&lt;="&amp;DATE(2026,6,14),Helper!$E:$E,"Pending")</f>
        <v>1</v>
      </c>
      <c r="E27" s="91">
        <f t="shared" si="0"/>
        <v>0.976744186046512</v>
      </c>
    </row>
    <row r="28" ht="16" customHeight="1" spans="1:7">
      <c r="A28" s="87" t="s">
        <v>737</v>
      </c>
      <c r="B28" s="88">
        <f>COUNTIFS(Helper!$F:$F,"&gt;="&amp;DATE(2026,6,15),Helper!$F:$F,"&lt;="&amp;DATE(2026,6,21))</f>
        <v>12</v>
      </c>
      <c r="C28" s="89">
        <f>COUNTIFS(Helper!$F:$F,"&gt;="&amp;DATE(2026,6,15),Helper!$F:$F,"&lt;="&amp;DATE(2026,6,21),Helper!$E:$E,"Delivered")</f>
        <v>5</v>
      </c>
      <c r="D28" s="90">
        <f>COUNTIFS(Helper!$F:$F,"&gt;="&amp;DATE(2026,6,15),Helper!$F:$F,"&lt;="&amp;DATE(2026,6,21),Helper!$E:$E,"Pending")</f>
        <v>7</v>
      </c>
      <c r="E28" s="91">
        <f t="shared" si="0"/>
        <v>0.416666666666667</v>
      </c>
    </row>
    <row r="29" ht="16" customHeight="1" spans="1:7">
      <c r="A29" s="87" t="s">
        <v>738</v>
      </c>
      <c r="B29" s="88">
        <f>COUNTIFS(Helper!$F:$F,"&gt;="&amp;DATE(2026,6,22),Helper!$F:$F,"&lt;="&amp;DATE(2026,6,28))</f>
        <v>21</v>
      </c>
      <c r="C29" s="89">
        <f>COUNTIFS(Helper!$F:$F,"&gt;="&amp;DATE(2026,6,22),Helper!$F:$F,"&lt;="&amp;DATE(2026,6,28),Helper!$E:$E,"Delivered")</f>
        <v>15</v>
      </c>
      <c r="D29" s="90">
        <f>COUNTIFS(Helper!$F:$F,"&gt;="&amp;DATE(2026,6,22),Helper!$F:$F,"&lt;="&amp;DATE(2026,6,28),Helper!$E:$E,"Pending")</f>
        <v>6</v>
      </c>
      <c r="E29" s="91">
        <f t="shared" si="0"/>
        <v>0.714285714285714</v>
      </c>
    </row>
    <row r="30" ht="16" customHeight="1" spans="1:7">
      <c r="A30" s="87" t="s">
        <v>739</v>
      </c>
      <c r="B30" s="88">
        <f>COUNTIFS(Helper!$F:$F,"&gt;="&amp;DATE(2026,6,29),Helper!$F:$F,"&lt;="&amp;DATE(2026,7,5))</f>
        <v>5</v>
      </c>
      <c r="C30" s="89">
        <f>COUNTIFS(Helper!$F:$F,"&gt;="&amp;DATE(2026,6,29),Helper!$F:$F,"&lt;="&amp;DATE(2026,7,5),Helper!$E:$E,"Delivered")</f>
        <v>2</v>
      </c>
      <c r="D30" s="90">
        <f>COUNTIFS(Helper!$F:$F,"&gt;="&amp;DATE(2026,6,29),Helper!$F:$F,"&lt;="&amp;DATE(2026,7,5),Helper!$E:$E,"Pending")</f>
        <v>3</v>
      </c>
      <c r="E30" s="91">
        <f t="shared" si="0"/>
        <v>0.4</v>
      </c>
    </row>
    <row r="31" ht="16" customHeight="1" spans="1:7">
      <c r="A31" s="87" t="s">
        <v>740</v>
      </c>
      <c r="B31" s="88">
        <f>COUNTIFS(Helper!$F:$F,"&gt;="&amp;DATE(2026,7,6),Helper!$F:$F,"&lt;="&amp;DATE(2026,7,12))</f>
        <v>8</v>
      </c>
      <c r="C31" s="89">
        <f>COUNTIFS(Helper!$F:$F,"&gt;="&amp;DATE(2026,7,6),Helper!$F:$F,"&lt;="&amp;DATE(2026,7,12),Helper!$E:$E,"Delivered")</f>
        <v>7</v>
      </c>
      <c r="D31" s="90">
        <f>COUNTIFS(Helper!$F:$F,"&gt;="&amp;DATE(2026,7,6),Helper!$F:$F,"&lt;="&amp;DATE(2026,7,12),Helper!$E:$E,"Pending")</f>
        <v>1</v>
      </c>
      <c r="E31" s="91">
        <f t="shared" si="0"/>
        <v>0.875</v>
      </c>
    </row>
    <row r="32" ht="16" customHeight="1" spans="1:7">
      <c r="A32" s="87" t="s">
        <v>741</v>
      </c>
      <c r="B32" s="88">
        <f>COUNTIFS(Helper!$F:$F,"&gt;="&amp;DATE(2026,7,13),Helper!$F:$F,"&lt;="&amp;DATE(2026,7,19))</f>
        <v>21</v>
      </c>
      <c r="C32" s="89">
        <f>COUNTIFS(Helper!$F:$F,"&gt;="&amp;DATE(2026,7,13),Helper!$F:$F,"&lt;="&amp;DATE(2026,7,19),Helper!$E:$E,"Delivered")</f>
        <v>19</v>
      </c>
      <c r="D32" s="90">
        <f>COUNTIFS(Helper!$F:$F,"&gt;="&amp;DATE(2026,7,13),Helper!$F:$F,"&lt;="&amp;DATE(2026,7,19),Helper!$E:$E,"Pending")</f>
        <v>2</v>
      </c>
      <c r="E32" s="91">
        <f t="shared" si="0"/>
        <v>0.904761904761905</v>
      </c>
    </row>
    <row r="33" ht="16" customHeight="1" spans="1:13">
      <c r="A33" s="87" t="s">
        <v>742</v>
      </c>
      <c r="B33" s="88">
        <f>COUNTIFS(Helper!$F:$F,"&gt;="&amp;DATE(2026,7,20),Helper!$F:$F,"&lt;="&amp;DATE(2026,7,26))</f>
        <v>20</v>
      </c>
      <c r="C33" s="89">
        <f>COUNTIFS(Helper!$F:$F,"&gt;="&amp;DATE(2026,7,20),Helper!$F:$F,"&lt;="&amp;DATE(2026,7,26),Helper!$E:$E,"Delivered")</f>
        <v>17</v>
      </c>
      <c r="D33" s="90">
        <f>COUNTIFS(Helper!$F:$F,"&gt;="&amp;DATE(2026,7,20),Helper!$F:$F,"&lt;="&amp;DATE(2026,7,26),Helper!$E:$E,"Pending")</f>
        <v>3</v>
      </c>
      <c r="E33" s="91">
        <f t="shared" si="0"/>
        <v>0.85</v>
      </c>
    </row>
    <row r="34" ht="16" customHeight="1" spans="1:13">
      <c r="A34" s="87" t="s">
        <v>743</v>
      </c>
      <c r="B34" s="88">
        <f>COUNTIFS(Helper!$F:$F,"&gt;="&amp;DATE(2026,7,27),Helper!$F:$F,"&lt;="&amp;DATE(2026,8,2))</f>
        <v>10</v>
      </c>
      <c r="C34" s="89">
        <f>COUNTIFS(Helper!$F:$F,"&gt;="&amp;DATE(2026,7,27),Helper!$F:$F,"&lt;="&amp;DATE(2026,8,2),Helper!$E:$E,"Delivered")</f>
        <v>8</v>
      </c>
      <c r="D34" s="90">
        <f>COUNTIFS(Helper!$F:$F,"&gt;="&amp;DATE(2026,7,27),Helper!$F:$F,"&lt;="&amp;DATE(2026,8,2),Helper!$E:$E,"Pending")</f>
        <v>2</v>
      </c>
      <c r="E34" s="91">
        <f t="shared" si="0"/>
        <v>0.8</v>
      </c>
    </row>
    <row r="35" ht="16" customHeight="1" spans="1:13">
      <c r="A35" s="84" t="s">
        <v>744</v>
      </c>
      <c r="B35" s="85">
        <f>COUNTIFS(Helper!$F:$F,"&gt;"&amp;DATE(2026,8,2))</f>
        <v>0</v>
      </c>
      <c r="C35" s="85">
        <f>COUNTIFS(Helper!$F:$F,"&gt;"&amp;DATE(2026,8,2),Helper!$E:$E,"Delivered")</f>
        <v>0</v>
      </c>
      <c r="D35" s="85">
        <f>COUNTIFS(Helper!$F:$F,"&gt;"&amp;DATE(2026,8,2),Helper!$E:$E,"Pending")</f>
        <v>0</v>
      </c>
      <c r="E35" s="86">
        <f t="shared" si="0"/>
        <v>0</v>
      </c>
    </row>
    <row r="36" ht="16" customHeight="1" spans="1:13">
      <c r="A36" s="84" t="s">
        <v>745</v>
      </c>
      <c r="B36" s="85">
        <f>COUNTA(Helper!$C$2:$C$5000)-COUNT(Helper!$F$2:$F$5000)</f>
        <v>0</v>
      </c>
      <c r="C36" s="85">
        <f>COUNTIFS(Helper!$F:$F,"",Helper!$E:$E,"Delivered")</f>
        <v>0</v>
      </c>
      <c r="D36" s="85">
        <f>COUNTIFS(Helper!$F:$F,"",Helper!$E:$E,"Pending")</f>
        <v>0</v>
      </c>
      <c r="E36" s="86">
        <f t="shared" si="0"/>
        <v>0</v>
      </c>
    </row>
    <row r="37" ht="18" customHeight="1" spans="1:13">
      <c r="A37" s="80" t="s">
        <v>746</v>
      </c>
      <c r="B37" s="81">
        <f>SUM(B25:B36)</f>
        <v>354</v>
      </c>
      <c r="C37" s="81">
        <f>SUM(C25:C36)</f>
        <v>277</v>
      </c>
      <c r="D37" s="81">
        <f>SUM(D25:D36)</f>
        <v>77</v>
      </c>
      <c r="E37" s="92">
        <f t="shared" si="0"/>
        <v>0.782485875706215</v>
      </c>
    </row>
    <row r="39" ht="20" customHeight="1" spans="1:13">
      <c r="A39" s="70" t="s">
        <v>747</v>
      </c>
    </row>
    <row r="40" ht="30" customHeight="1" spans="1:13">
      <c r="A40" s="93">
        <f>COUNTIF(Helper!$D:$D,"Delivered")</f>
        <v>276</v>
      </c>
      <c r="D40" s="94">
        <f>COUNTIF(Helper!$D:$D,"Dev Complete")</f>
        <v>1</v>
      </c>
      <c r="G40" s="95">
        <f>COUNTIF(Helper!$D:$D,"In Development")</f>
        <v>13</v>
      </c>
      <c r="J40" s="96">
        <f>COUNTIF(Helper!$D:$D,"In QA")</f>
        <v>1</v>
      </c>
    </row>
    <row r="41" ht="16" customHeight="1" spans="1:13">
      <c r="A41" s="97" t="s">
        <v>16</v>
      </c>
      <c r="D41" s="98" t="s">
        <v>748</v>
      </c>
      <c r="G41" s="99" t="s">
        <v>749</v>
      </c>
      <c r="J41" s="100" t="s">
        <v>750</v>
      </c>
    </row>
    <row r="42" ht="30" customHeight="1" spans="1:13">
      <c r="A42" s="101">
        <f>COUNTIF(Helper!$D:$D,"Pre-PROD / UAT")</f>
        <v>18</v>
      </c>
      <c r="D42" s="102">
        <f>COUNTIF(Helper!$D:$D,"Not Started")</f>
        <v>42</v>
      </c>
      <c r="G42" s="103">
        <f>COUNTIF(Helper!$D:$D,"Partial Delivery")</f>
        <v>3</v>
      </c>
      <c r="J42" s="104">
        <f>COUNTIF(Helper!$D:$D,"N/A")</f>
        <v>0</v>
      </c>
    </row>
    <row r="43" ht="16" customHeight="1" spans="1:13">
      <c r="A43" s="105" t="s">
        <v>751</v>
      </c>
      <c r="D43" s="106" t="s">
        <v>752</v>
      </c>
      <c r="G43" s="107" t="s">
        <v>753</v>
      </c>
      <c r="J43" s="108" t="s">
        <v>754</v>
      </c>
    </row>
    <row r="44" ht="12" customHeight="1"/>
    <row r="45" ht="20" customHeight="1" spans="1:13">
      <c r="A45" s="70" t="s">
        <v>755</v>
      </c>
    </row>
    <row r="46" ht="24" customHeight="1" spans="1:13">
      <c r="A46" s="109" t="s">
        <v>3</v>
      </c>
      <c r="B46" s="109" t="s">
        <v>756</v>
      </c>
      <c r="C46" s="109" t="s">
        <v>757</v>
      </c>
      <c r="D46" s="109" t="s">
        <v>16</v>
      </c>
      <c r="E46" s="109" t="s">
        <v>732</v>
      </c>
      <c r="F46" s="109" t="s">
        <v>754</v>
      </c>
      <c r="G46" s="109" t="s">
        <v>758</v>
      </c>
      <c r="H46" s="83" t="s">
        <v>759</v>
      </c>
      <c r="I46" s="73"/>
      <c r="J46" s="73"/>
      <c r="K46" s="73"/>
      <c r="L46" s="73"/>
      <c r="M46" s="74"/>
    </row>
    <row r="47" ht="18" customHeight="1" spans="1:13">
      <c r="A47" s="110" t="s">
        <v>760</v>
      </c>
      <c r="B47" s="110" t="s">
        <v>761</v>
      </c>
      <c r="C47" s="111">
        <f>COUNTIF(Helper!$A:$A,"iWork")</f>
        <v>148</v>
      </c>
      <c r="D47" s="112">
        <f>COUNTIFS(Helper!$A:$A,"iWork",Helper!$E:$E,"Delivered")</f>
        <v>133</v>
      </c>
      <c r="E47" s="113">
        <f>COUNTIFS(Helper!$A:$A,"iWork",Helper!$E:$E,"Pending")</f>
        <v>15</v>
      </c>
      <c r="F47" s="111">
        <f>COUNTIFS(Helper!$A:$A,"iWork",Helper!$E:$E,"N/A")</f>
        <v>0</v>
      </c>
      <c r="G47" s="114">
        <f t="shared" ref="G47:G56" si="1">IFERROR(D47/(D47+E47),0)</f>
        <v>0.898648648648649</v>
      </c>
      <c r="H47" s="114">
        <f t="shared" ref="H47:H56" si="2">G47</f>
        <v>0.898648648648649</v>
      </c>
      <c r="I47" s="73"/>
      <c r="J47" s="73"/>
      <c r="K47" s="73"/>
      <c r="L47" s="73"/>
      <c r="M47" s="74"/>
    </row>
    <row r="48" ht="18" customHeight="1" spans="1:13">
      <c r="A48" s="115" t="s">
        <v>762</v>
      </c>
      <c r="B48" s="115" t="s">
        <v>763</v>
      </c>
      <c r="C48" s="116">
        <f>COUNTIF(Helper!$A:$A,"iWork - CR")</f>
        <v>42</v>
      </c>
      <c r="D48" s="112">
        <f>COUNTIFS(Helper!$A:$A,"iWork - CR",Helper!$E:$E,"Delivered")</f>
        <v>35</v>
      </c>
      <c r="E48" s="113">
        <f>COUNTIFS(Helper!$A:$A,"iWork - CR",Helper!$E:$E,"Pending")</f>
        <v>7</v>
      </c>
      <c r="F48" s="116">
        <f>COUNTIFS(Helper!$A:$A,"iWork - CR",Helper!$E:$E,"N/A")</f>
        <v>0</v>
      </c>
      <c r="G48" s="117">
        <f t="shared" si="1"/>
        <v>0.833333333333333</v>
      </c>
      <c r="H48" s="118">
        <f t="shared" si="2"/>
        <v>0.833333333333333</v>
      </c>
      <c r="I48" s="73"/>
      <c r="J48" s="73"/>
      <c r="K48" s="73"/>
      <c r="L48" s="73"/>
      <c r="M48" s="74"/>
    </row>
    <row r="49" ht="18" customHeight="1" spans="1:13">
      <c r="A49" s="110" t="s">
        <v>764</v>
      </c>
      <c r="B49" s="110" t="s">
        <v>761</v>
      </c>
      <c r="C49" s="111">
        <f>COUNTIF(Helper!$A:$A,"IBP")</f>
        <v>69</v>
      </c>
      <c r="D49" s="112">
        <f>COUNTIFS(Helper!$A:$A,"IBP",Helper!$E:$E,"Delivered")</f>
        <v>49</v>
      </c>
      <c r="E49" s="113">
        <f>COUNTIFS(Helper!$A:$A,"IBP",Helper!$E:$E,"Pending")</f>
        <v>20</v>
      </c>
      <c r="F49" s="111">
        <f>COUNTIFS(Helper!$A:$A,"IBP",Helper!$E:$E,"N/A")</f>
        <v>0</v>
      </c>
      <c r="G49" s="114">
        <f t="shared" si="1"/>
        <v>0.710144927536232</v>
      </c>
      <c r="H49" s="114">
        <f t="shared" si="2"/>
        <v>0.710144927536232</v>
      </c>
      <c r="I49" s="73"/>
      <c r="J49" s="73"/>
      <c r="K49" s="73"/>
      <c r="L49" s="73"/>
      <c r="M49" s="74"/>
    </row>
    <row r="50" ht="18" customHeight="1" spans="1:13">
      <c r="A50" s="115" t="s">
        <v>765</v>
      </c>
      <c r="B50" s="115" t="s">
        <v>763</v>
      </c>
      <c r="C50" s="116">
        <f>COUNTIF(Helper!$A:$A,"IBP - CR")</f>
        <v>3</v>
      </c>
      <c r="D50" s="112">
        <f>COUNTIFS(Helper!$A:$A,"IBP - CR",Helper!$E:$E,"Delivered")</f>
        <v>2</v>
      </c>
      <c r="E50" s="113">
        <f>COUNTIFS(Helper!$A:$A,"IBP - CR",Helper!$E:$E,"Pending")</f>
        <v>1</v>
      </c>
      <c r="F50" s="116">
        <f>COUNTIFS(Helper!$A:$A,"IBP - CR",Helper!$E:$E,"N/A")</f>
        <v>0</v>
      </c>
      <c r="G50" s="117">
        <f t="shared" si="1"/>
        <v>0.666666666666667</v>
      </c>
      <c r="H50" s="118">
        <f t="shared" si="2"/>
        <v>0.666666666666667</v>
      </c>
      <c r="I50" s="73"/>
      <c r="J50" s="73"/>
      <c r="K50" s="73"/>
      <c r="L50" s="73"/>
      <c r="M50" s="74"/>
    </row>
    <row r="51" ht="18" customHeight="1" spans="1:13">
      <c r="A51" s="110" t="s">
        <v>766</v>
      </c>
      <c r="B51" s="110" t="s">
        <v>761</v>
      </c>
      <c r="C51" s="111">
        <f>COUNTIF(Helper!$A:$A,"IBP/iWork")</f>
        <v>26</v>
      </c>
      <c r="D51" s="112">
        <f>COUNTIFS(Helper!$A:$A,"IBP/iWork",Helper!$E:$E,"Delivered")</f>
        <v>16</v>
      </c>
      <c r="E51" s="113">
        <f>COUNTIFS(Helper!$A:$A,"IBP/iWork",Helper!$E:$E,"Pending")</f>
        <v>10</v>
      </c>
      <c r="F51" s="111">
        <f>COUNTIFS(Helper!$A:$A,"IBP/iWork",Helper!$E:$E,"N/A")</f>
        <v>0</v>
      </c>
      <c r="G51" s="114">
        <f t="shared" si="1"/>
        <v>0.615384615384615</v>
      </c>
      <c r="H51" s="114">
        <f t="shared" si="2"/>
        <v>0.615384615384615</v>
      </c>
      <c r="I51" s="73"/>
      <c r="J51" s="73"/>
      <c r="K51" s="73"/>
      <c r="L51" s="73"/>
      <c r="M51" s="74"/>
    </row>
    <row r="52" ht="18" customHeight="1" spans="1:13">
      <c r="A52" s="115" t="s">
        <v>767</v>
      </c>
      <c r="B52" s="115" t="s">
        <v>763</v>
      </c>
      <c r="C52" s="116">
        <f>COUNTIF(Helper!$A:$A,"IBP/iWork - CR")</f>
        <v>9</v>
      </c>
      <c r="D52" s="112">
        <f>COUNTIFS(Helper!$A:$A,"IBP/iWork - CR",Helper!$E:$E,"Delivered")</f>
        <v>3</v>
      </c>
      <c r="E52" s="113">
        <f>COUNTIFS(Helper!$A:$A,"IBP/iWork - CR",Helper!$E:$E,"Pending")</f>
        <v>6</v>
      </c>
      <c r="F52" s="116">
        <f>COUNTIFS(Helper!$A:$A,"IBP/iWork - CR",Helper!$E:$E,"N/A")</f>
        <v>0</v>
      </c>
      <c r="G52" s="117">
        <f t="shared" si="1"/>
        <v>0.333333333333333</v>
      </c>
      <c r="H52" s="118">
        <f t="shared" si="2"/>
        <v>0.333333333333333</v>
      </c>
      <c r="I52" s="73"/>
      <c r="J52" s="73"/>
      <c r="K52" s="73"/>
      <c r="L52" s="73"/>
      <c r="M52" s="74"/>
    </row>
    <row r="53" ht="18" customHeight="1" spans="1:13">
      <c r="A53" s="110" t="s">
        <v>14</v>
      </c>
      <c r="B53" s="110" t="s">
        <v>761</v>
      </c>
      <c r="C53" s="111">
        <f>COUNTIF(Helper!$A:$A,"Framework")</f>
        <v>34</v>
      </c>
      <c r="D53" s="112">
        <f>COUNTIFS(Helper!$A:$A,"Framework",Helper!$E:$E,"Delivered")</f>
        <v>31</v>
      </c>
      <c r="E53" s="113">
        <f>COUNTIFS(Helper!$A:$A,"Framework",Helper!$E:$E,"Pending")</f>
        <v>3</v>
      </c>
      <c r="F53" s="111">
        <f>COUNTIFS(Helper!$A:$A,"Framework",Helper!$E:$E,"N/A")</f>
        <v>0</v>
      </c>
      <c r="G53" s="114">
        <f t="shared" si="1"/>
        <v>0.911764705882353</v>
      </c>
      <c r="H53" s="114">
        <f t="shared" si="2"/>
        <v>0.911764705882353</v>
      </c>
      <c r="I53" s="73"/>
      <c r="J53" s="73"/>
      <c r="K53" s="73"/>
      <c r="L53" s="73"/>
      <c r="M53" s="74"/>
    </row>
    <row r="54" ht="18" customHeight="1" spans="1:13">
      <c r="A54" s="119" t="s">
        <v>183</v>
      </c>
      <c r="B54" s="119" t="s">
        <v>761</v>
      </c>
      <c r="C54" s="120">
        <f>COUNTIF(Helper!$A:$A,"DPDP")</f>
        <v>19</v>
      </c>
      <c r="D54" s="112">
        <f>COUNTIFS(Helper!$A:$A,"DPDP",Helper!$E:$E,"Delivered")</f>
        <v>7</v>
      </c>
      <c r="E54" s="113">
        <f>COUNTIFS(Helper!$A:$A,"DPDP",Helper!$E:$E,"Pending")</f>
        <v>12</v>
      </c>
      <c r="F54" s="120">
        <f>COUNTIFS(Helper!$A:$A,"DPDP",Helper!$E:$E,"N/A")</f>
        <v>0</v>
      </c>
      <c r="G54" s="121">
        <f t="shared" si="1"/>
        <v>0.368421052631579</v>
      </c>
      <c r="H54" s="121">
        <f t="shared" si="2"/>
        <v>0.368421052631579</v>
      </c>
      <c r="I54" s="73"/>
      <c r="J54" s="73"/>
      <c r="K54" s="73"/>
      <c r="L54" s="73"/>
      <c r="M54" s="74"/>
    </row>
    <row r="55" ht="18" customHeight="1" spans="1:13">
      <c r="A55" s="110" t="s">
        <v>434</v>
      </c>
      <c r="B55" s="110" t="s">
        <v>761</v>
      </c>
      <c r="C55" s="111">
        <f>COUNTIF(Helper!$A:$A,"NFR")</f>
        <v>4</v>
      </c>
      <c r="D55" s="112">
        <f>COUNTIFS(Helper!$A:$A,"NFR",Helper!$E:$E,"Delivered")</f>
        <v>1</v>
      </c>
      <c r="E55" s="113">
        <f>COUNTIFS(Helper!$A:$A,"NFR",Helper!$E:$E,"Pending")</f>
        <v>3</v>
      </c>
      <c r="F55" s="111">
        <f>COUNTIFS(Helper!$A:$A,"NFR",Helper!$E:$E,"N/A")</f>
        <v>0</v>
      </c>
      <c r="G55" s="114">
        <f t="shared" si="1"/>
        <v>0.25</v>
      </c>
      <c r="H55" s="114">
        <f t="shared" si="2"/>
        <v>0.25</v>
      </c>
      <c r="I55" s="73"/>
      <c r="J55" s="73"/>
      <c r="K55" s="73"/>
      <c r="L55" s="73"/>
      <c r="M55" s="74"/>
    </row>
    <row r="56" ht="20" customHeight="1" spans="1:13">
      <c r="A56" s="80" t="s">
        <v>746</v>
      </c>
      <c r="B56" s="80" t="s">
        <v>768</v>
      </c>
      <c r="C56" s="81">
        <f>COUNTA(Helper!$A$2:$A$5000)</f>
        <v>354</v>
      </c>
      <c r="D56" s="81">
        <f>COUNTIF(Helper!$E:$E,"Delivered")</f>
        <v>277</v>
      </c>
      <c r="E56" s="81">
        <f>COUNTIF(Helper!$E:$E,"Pending")</f>
        <v>77</v>
      </c>
      <c r="F56" s="81">
        <f>COUNTIF(Helper!$E:$E,"N/A")</f>
        <v>0</v>
      </c>
      <c r="G56" s="92">
        <f t="shared" si="1"/>
        <v>0.782485875706215</v>
      </c>
      <c r="H56" s="92">
        <f t="shared" si="2"/>
        <v>0.782485875706215</v>
      </c>
      <c r="I56" s="73"/>
      <c r="J56" s="73"/>
      <c r="K56" s="73"/>
      <c r="L56" s="73"/>
      <c r="M56" s="74"/>
    </row>
    <row r="58" ht="20" customHeight="1" spans="1:13">
      <c r="A58" s="70" t="s">
        <v>769</v>
      </c>
    </row>
    <row r="59" ht="28" customHeight="1" spans="1:13">
      <c r="A59" s="83" t="s">
        <v>770</v>
      </c>
      <c r="B59" s="122" t="s">
        <v>48</v>
      </c>
      <c r="C59" s="122" t="s">
        <v>457</v>
      </c>
      <c r="D59" s="122" t="s">
        <v>162</v>
      </c>
      <c r="E59" s="122" t="s">
        <v>404</v>
      </c>
      <c r="F59" s="122" t="s">
        <v>266</v>
      </c>
      <c r="G59" s="122" t="s">
        <v>324</v>
      </c>
      <c r="H59" s="122" t="s">
        <v>14</v>
      </c>
      <c r="I59" s="122" t="s">
        <v>183</v>
      </c>
      <c r="J59" s="122" t="s">
        <v>434</v>
      </c>
      <c r="K59" s="123" t="s">
        <v>771</v>
      </c>
    </row>
    <row r="60" ht="18" customHeight="1" spans="1:13">
      <c r="A60" s="124" t="s">
        <v>15</v>
      </c>
      <c r="B60" s="120">
        <f>COUNTIFS(Helper!$B:$B,"Milestone 1",Helper!$A:$A,"iWork",Helper!$E:$E,"Pending")</f>
        <v>0</v>
      </c>
      <c r="C60" s="120">
        <f>COUNTIFS(Helper!$B:$B,"Milestone 1",Helper!$A:$A,"iWork - CR",Helper!$E:$E,"Pending")</f>
        <v>0</v>
      </c>
      <c r="D60" s="120">
        <f>COUNTIFS(Helper!$B:$B,"Milestone 1",Helper!$A:$A,"IBP",Helper!$E:$E,"Pending")</f>
        <v>0</v>
      </c>
      <c r="E60" s="120">
        <f>COUNTIFS(Helper!$B:$B,"Milestone 1",Helper!$A:$A,"IBP - CR",Helper!$E:$E,"Pending")</f>
        <v>0</v>
      </c>
      <c r="F60" s="120">
        <f>COUNTIFS(Helper!$B:$B,"Milestone 1",Helper!$A:$A,"IBP/iWork",Helper!$E:$E,"Pending")</f>
        <v>0</v>
      </c>
      <c r="G60" s="120">
        <f>COUNTIFS(Helper!$B:$B,"Milestone 1",Helper!$A:$A,"IBP/iWork - CR",Helper!$E:$E,"Pending")</f>
        <v>0</v>
      </c>
      <c r="H60" s="120">
        <f>COUNTIFS(Helper!$B:$B,"Milestone 1",Helper!$A:$A,"Framework",Helper!$E:$E,"Pending")</f>
        <v>0</v>
      </c>
      <c r="I60" s="120">
        <f>COUNTIFS(Helper!$B:$B,"Milestone 1",Helper!$A:$A,"DPDP",Helper!$E:$E,"Pending")</f>
        <v>0</v>
      </c>
      <c r="J60" s="120">
        <f>COUNTIFS(Helper!$B:$B,"Milestone 1",Helper!$A:$A,"NFR",Helper!$E:$E,"Pending")</f>
        <v>0</v>
      </c>
      <c r="K60" s="79">
        <f t="shared" ref="K60:K65" si="3">SUM(B60:J60)</f>
        <v>0</v>
      </c>
    </row>
    <row r="61" ht="18" customHeight="1" spans="1:13">
      <c r="A61" s="124" t="s">
        <v>82</v>
      </c>
      <c r="B61" s="125">
        <f>COUNTIFS(Helper!$B:$B,"Milestone 2",Helper!$A:$A,"iWork",Helper!$E:$E,"Pending")</f>
        <v>1</v>
      </c>
      <c r="C61" s="120">
        <f>COUNTIFS(Helper!$B:$B,"Milestone 2",Helper!$A:$A,"iWork - CR",Helper!$E:$E,"Pending")</f>
        <v>0</v>
      </c>
      <c r="D61" s="120">
        <f>COUNTIFS(Helper!$B:$B,"Milestone 2",Helper!$A:$A,"IBP",Helper!$E:$E,"Pending")</f>
        <v>0</v>
      </c>
      <c r="E61" s="120">
        <f>COUNTIFS(Helper!$B:$B,"Milestone 2",Helper!$A:$A,"IBP - CR",Helper!$E:$E,"Pending")</f>
        <v>0</v>
      </c>
      <c r="F61" s="120">
        <f>COUNTIFS(Helper!$B:$B,"Milestone 2",Helper!$A:$A,"IBP/iWork",Helper!$E:$E,"Pending")</f>
        <v>0</v>
      </c>
      <c r="G61" s="120">
        <f>COUNTIFS(Helper!$B:$B,"Milestone 2",Helper!$A:$A,"IBP/iWork - CR",Helper!$E:$E,"Pending")</f>
        <v>0</v>
      </c>
      <c r="H61" s="120">
        <f>COUNTIFS(Helper!$B:$B,"Milestone 2",Helper!$A:$A,"Framework",Helper!$E:$E,"Pending")</f>
        <v>0</v>
      </c>
      <c r="I61" s="120">
        <f>COUNTIFS(Helper!$B:$B,"Milestone 2",Helper!$A:$A,"DPDP",Helper!$E:$E,"Pending")</f>
        <v>0</v>
      </c>
      <c r="J61" s="120">
        <f>COUNTIFS(Helper!$B:$B,"Milestone 2",Helper!$A:$A,"NFR",Helper!$E:$E,"Pending")</f>
        <v>0</v>
      </c>
      <c r="K61" s="79">
        <f t="shared" si="3"/>
        <v>1</v>
      </c>
    </row>
    <row r="62" ht="18" customHeight="1" spans="1:13">
      <c r="A62" s="124" t="s">
        <v>144</v>
      </c>
      <c r="B62" s="120">
        <f>COUNTIFS(Helper!$B:$B,"Milestone 3",Helper!$A:$A,"iWork",Helper!$E:$E,"Pending")</f>
        <v>0</v>
      </c>
      <c r="C62" s="120">
        <f>COUNTIFS(Helper!$B:$B,"Milestone 3",Helper!$A:$A,"iWork - CR",Helper!$E:$E,"Pending")</f>
        <v>0</v>
      </c>
      <c r="D62" s="120">
        <f>COUNTIFS(Helper!$B:$B,"Milestone 3",Helper!$A:$A,"IBP",Helper!$E:$E,"Pending")</f>
        <v>0</v>
      </c>
      <c r="E62" s="120">
        <f>COUNTIFS(Helper!$B:$B,"Milestone 3",Helper!$A:$A,"IBP - CR",Helper!$E:$E,"Pending")</f>
        <v>0</v>
      </c>
      <c r="F62" s="120">
        <f>COUNTIFS(Helper!$B:$B,"Milestone 3",Helper!$A:$A,"IBP/iWork",Helper!$E:$E,"Pending")</f>
        <v>0</v>
      </c>
      <c r="G62" s="120">
        <f>COUNTIFS(Helper!$B:$B,"Milestone 3",Helper!$A:$A,"IBP/iWork - CR",Helper!$E:$E,"Pending")</f>
        <v>0</v>
      </c>
      <c r="H62" s="120">
        <f>COUNTIFS(Helper!$B:$B,"Milestone 3",Helper!$A:$A,"Framework",Helper!$E:$E,"Pending")</f>
        <v>0</v>
      </c>
      <c r="I62" s="120">
        <f>COUNTIFS(Helper!$B:$B,"Milestone 3",Helper!$A:$A,"DPDP",Helper!$E:$E,"Pending")</f>
        <v>0</v>
      </c>
      <c r="J62" s="120">
        <f>COUNTIFS(Helper!$B:$B,"Milestone 3",Helper!$A:$A,"NFR",Helper!$E:$E,"Pending")</f>
        <v>0</v>
      </c>
      <c r="K62" s="79">
        <f t="shared" si="3"/>
        <v>0</v>
      </c>
    </row>
    <row r="63" ht="18" customHeight="1" spans="1:13">
      <c r="A63" s="124" t="s">
        <v>167</v>
      </c>
      <c r="B63" s="125">
        <f>COUNTIFS(Helper!$B:$B,"Milestone 4",Helper!$A:$A,"iWork",Helper!$E:$E,"Pending")</f>
        <v>1</v>
      </c>
      <c r="C63" s="120">
        <f>COUNTIFS(Helper!$B:$B,"Milestone 4",Helper!$A:$A,"iWork - CR",Helper!$E:$E,"Pending")</f>
        <v>0</v>
      </c>
      <c r="D63" s="125">
        <f>COUNTIFS(Helper!$B:$B,"Milestone 4",Helper!$A:$A,"IBP",Helper!$E:$E,"Pending")</f>
        <v>1</v>
      </c>
      <c r="E63" s="120">
        <f>COUNTIFS(Helper!$B:$B,"Milestone 4",Helper!$A:$A,"IBP - CR",Helper!$E:$E,"Pending")</f>
        <v>0</v>
      </c>
      <c r="F63" s="125">
        <f>COUNTIFS(Helper!$B:$B,"Milestone 4",Helper!$A:$A,"IBP/iWork",Helper!$E:$E,"Pending")</f>
        <v>3</v>
      </c>
      <c r="G63" s="120">
        <f>COUNTIFS(Helper!$B:$B,"Milestone 4",Helper!$A:$A,"IBP/iWork - CR",Helper!$E:$E,"Pending")</f>
        <v>0</v>
      </c>
      <c r="H63" s="125">
        <f>COUNTIFS(Helper!$B:$B,"Milestone 4",Helper!$A:$A,"Framework",Helper!$E:$E,"Pending")</f>
        <v>3</v>
      </c>
      <c r="I63" s="125">
        <f>COUNTIFS(Helper!$B:$B,"Milestone 4",Helper!$A:$A,"DPDP",Helper!$E:$E,"Pending")</f>
        <v>1</v>
      </c>
      <c r="J63" s="125">
        <f>COUNTIFS(Helper!$B:$B,"Milestone 4",Helper!$A:$A,"NFR",Helper!$E:$E,"Pending")</f>
        <v>1</v>
      </c>
      <c r="K63" s="79">
        <f t="shared" si="3"/>
        <v>10</v>
      </c>
    </row>
    <row r="64" ht="18" customHeight="1" spans="1:13">
      <c r="A64" s="124" t="s">
        <v>188</v>
      </c>
      <c r="B64" s="125">
        <f>COUNTIFS(Helper!$B:$B,"Milestone 5",Helper!$A:$A,"iWork",Helper!$E:$E,"Pending")</f>
        <v>4</v>
      </c>
      <c r="C64" s="120">
        <f>COUNTIFS(Helper!$B:$B,"Milestone 5",Helper!$A:$A,"iWork - CR",Helper!$E:$E,"Pending")</f>
        <v>0</v>
      </c>
      <c r="D64" s="125">
        <f>COUNTIFS(Helper!$B:$B,"Milestone 5",Helper!$A:$A,"IBP",Helper!$E:$E,"Pending")</f>
        <v>16</v>
      </c>
      <c r="E64" s="120">
        <f>COUNTIFS(Helper!$B:$B,"Milestone 5",Helper!$A:$A,"IBP - CR",Helper!$E:$E,"Pending")</f>
        <v>0</v>
      </c>
      <c r="F64" s="125">
        <f>COUNTIFS(Helper!$B:$B,"Milestone 5",Helper!$A:$A,"IBP/iWork",Helper!$E:$E,"Pending")</f>
        <v>3</v>
      </c>
      <c r="G64" s="120">
        <f>COUNTIFS(Helper!$B:$B,"Milestone 5",Helper!$A:$A,"IBP/iWork - CR",Helper!$E:$E,"Pending")</f>
        <v>0</v>
      </c>
      <c r="H64" s="120">
        <f>COUNTIFS(Helper!$B:$B,"Milestone 5",Helper!$A:$A,"Framework",Helper!$E:$E,"Pending")</f>
        <v>0</v>
      </c>
      <c r="I64" s="125">
        <f>COUNTIFS(Helper!$B:$B,"Milestone 5",Helper!$A:$A,"DPDP",Helper!$E:$E,"Pending")</f>
        <v>11</v>
      </c>
      <c r="J64" s="125">
        <f>COUNTIFS(Helper!$B:$B,"Milestone 5",Helper!$A:$A,"NFR",Helper!$E:$E,"Pending")</f>
        <v>2</v>
      </c>
      <c r="K64" s="79">
        <f t="shared" si="3"/>
        <v>36</v>
      </c>
    </row>
    <row r="65" ht="18" customHeight="1" spans="1:11">
      <c r="A65" s="124" t="s">
        <v>163</v>
      </c>
      <c r="B65" s="125">
        <f>COUNTIFS(Helper!$B:$B,"Milestone 6",Helper!$A:$A,"iWork",Helper!$E:$E,"Pending")</f>
        <v>9</v>
      </c>
      <c r="C65" s="125">
        <f>COUNTIFS(Helper!$B:$B,"Milestone 6",Helper!$A:$A,"iWork - CR",Helper!$E:$E,"Pending")</f>
        <v>7</v>
      </c>
      <c r="D65" s="125">
        <f>COUNTIFS(Helper!$B:$B,"Milestone 6",Helper!$A:$A,"IBP",Helper!$E:$E,"Pending")</f>
        <v>3</v>
      </c>
      <c r="E65" s="125">
        <f>COUNTIFS(Helper!$B:$B,"Milestone 6",Helper!$A:$A,"IBP - CR",Helper!$E:$E,"Pending")</f>
        <v>1</v>
      </c>
      <c r="F65" s="125">
        <f>COUNTIFS(Helper!$B:$B,"Milestone 6",Helper!$A:$A,"IBP/iWork",Helper!$E:$E,"Pending")</f>
        <v>4</v>
      </c>
      <c r="G65" s="125">
        <f>COUNTIFS(Helper!$B:$B,"Milestone 6",Helper!$A:$A,"IBP/iWork - CR",Helper!$E:$E,"Pending")</f>
        <v>6</v>
      </c>
      <c r="H65" s="120">
        <f>COUNTIFS(Helper!$B:$B,"Milestone 6",Helper!$A:$A,"Framework",Helper!$E:$E,"Pending")</f>
        <v>0</v>
      </c>
      <c r="I65" s="120">
        <f>COUNTIFS(Helper!$B:$B,"Milestone 6",Helper!$A:$A,"DPDP",Helper!$E:$E,"Pending")</f>
        <v>0</v>
      </c>
      <c r="J65" s="120">
        <f>COUNTIFS(Helper!$B:$B,"Milestone 6",Helper!$A:$A,"NFR",Helper!$E:$E,"Pending")</f>
        <v>0</v>
      </c>
      <c r="K65" s="79">
        <f t="shared" si="3"/>
        <v>30</v>
      </c>
    </row>
    <row r="66" ht="20" customHeight="1" spans="1:11">
      <c r="A66" s="80" t="s">
        <v>746</v>
      </c>
      <c r="B66" s="81">
        <f t="shared" ref="B66:K66" si="4">SUM(B60:B65)</f>
        <v>15</v>
      </c>
      <c r="C66" s="81">
        <f t="shared" si="4"/>
        <v>7</v>
      </c>
      <c r="D66" s="81">
        <f t="shared" si="4"/>
        <v>20</v>
      </c>
      <c r="E66" s="81">
        <f t="shared" si="4"/>
        <v>1</v>
      </c>
      <c r="F66" s="81">
        <f t="shared" si="4"/>
        <v>10</v>
      </c>
      <c r="G66" s="81">
        <f t="shared" si="4"/>
        <v>6</v>
      </c>
      <c r="H66" s="81">
        <f t="shared" si="4"/>
        <v>3</v>
      </c>
      <c r="I66" s="81">
        <f t="shared" si="4"/>
        <v>12</v>
      </c>
      <c r="J66" s="81">
        <f t="shared" si="4"/>
        <v>3</v>
      </c>
      <c r="K66" s="81">
        <f t="shared" si="4"/>
        <v>77</v>
      </c>
    </row>
    <row r="68" ht="20" customHeight="1" spans="1:11">
      <c r="A68" s="70" t="s">
        <v>772</v>
      </c>
    </row>
    <row r="69" ht="28" customHeight="1" spans="1:11">
      <c r="A69" s="83" t="s">
        <v>770</v>
      </c>
      <c r="B69" s="126" t="s">
        <v>16</v>
      </c>
      <c r="C69" s="127" t="s">
        <v>748</v>
      </c>
      <c r="D69" s="128" t="s">
        <v>749</v>
      </c>
      <c r="E69" s="129" t="s">
        <v>750</v>
      </c>
      <c r="F69" s="130" t="s">
        <v>751</v>
      </c>
      <c r="G69" s="131" t="s">
        <v>752</v>
      </c>
      <c r="H69" s="132" t="s">
        <v>753</v>
      </c>
      <c r="I69" s="123" t="s">
        <v>746</v>
      </c>
    </row>
    <row r="70" ht="18" customHeight="1" spans="1:11">
      <c r="A70" s="124" t="s">
        <v>15</v>
      </c>
      <c r="B70" s="88">
        <f>COUNTIFS(Helper!$B:$B,"Milestone 1",Helper!$D:$D,"Delivered")</f>
        <v>29</v>
      </c>
      <c r="C70" s="88">
        <f>COUNTIFS(Helper!$B:$B,"Milestone 1",Helper!$D:$D,"Dev Complete")</f>
        <v>0</v>
      </c>
      <c r="D70" s="88">
        <f>COUNTIFS(Helper!$B:$B,"Milestone 1",Helper!$D:$D,"In Development")</f>
        <v>0</v>
      </c>
      <c r="E70" s="88">
        <f>COUNTIFS(Helper!$B:$B,"Milestone 1",Helper!$D:$D,"In QA")</f>
        <v>0</v>
      </c>
      <c r="F70" s="88">
        <f>COUNTIFS(Helper!$B:$B,"Milestone 1",Helper!$D:$D,"Pre-PROD / UAT")</f>
        <v>0</v>
      </c>
      <c r="G70" s="88">
        <f>COUNTIFS(Helper!$B:$B,"Milestone 1",Helper!$D:$D,"Not Started")</f>
        <v>0</v>
      </c>
      <c r="H70" s="88">
        <f>COUNTIFS(Helper!$B:$B,"Milestone 1",Helper!$D:$D,"Partial Delivery")</f>
        <v>0</v>
      </c>
      <c r="I70" s="79">
        <f t="shared" ref="I70:I75" si="5">SUM(B70:H70)</f>
        <v>29</v>
      </c>
    </row>
    <row r="71" ht="18" customHeight="1" spans="1:11">
      <c r="A71" s="124" t="s">
        <v>82</v>
      </c>
      <c r="B71" s="88">
        <f>COUNTIFS(Helper!$B:$B,"Milestone 2",Helper!$D:$D,"Delivered")</f>
        <v>31</v>
      </c>
      <c r="C71" s="88">
        <f>COUNTIFS(Helper!$B:$B,"Milestone 2",Helper!$D:$D,"Dev Complete")</f>
        <v>0</v>
      </c>
      <c r="D71" s="88">
        <f>COUNTIFS(Helper!$B:$B,"Milestone 2",Helper!$D:$D,"In Development")</f>
        <v>0</v>
      </c>
      <c r="E71" s="88">
        <f>COUNTIFS(Helper!$B:$B,"Milestone 2",Helper!$D:$D,"In QA")</f>
        <v>0</v>
      </c>
      <c r="F71" s="88">
        <f>COUNTIFS(Helper!$B:$B,"Milestone 2",Helper!$D:$D,"Pre-PROD / UAT")</f>
        <v>1</v>
      </c>
      <c r="G71" s="88">
        <f>COUNTIFS(Helper!$B:$B,"Milestone 2",Helper!$D:$D,"Not Started")</f>
        <v>0</v>
      </c>
      <c r="H71" s="88">
        <f>COUNTIFS(Helper!$B:$B,"Milestone 2",Helper!$D:$D,"Partial Delivery")</f>
        <v>0</v>
      </c>
      <c r="I71" s="79">
        <f t="shared" si="5"/>
        <v>32</v>
      </c>
    </row>
    <row r="72" ht="18" customHeight="1" spans="1:11">
      <c r="A72" s="124" t="s">
        <v>144</v>
      </c>
      <c r="B72" s="88">
        <f>COUNTIFS(Helper!$B:$B,"Milestone 3",Helper!$D:$D,"Delivered")</f>
        <v>8</v>
      </c>
      <c r="C72" s="88">
        <f>COUNTIFS(Helper!$B:$B,"Milestone 3",Helper!$D:$D,"Dev Complete")</f>
        <v>0</v>
      </c>
      <c r="D72" s="88">
        <f>COUNTIFS(Helper!$B:$B,"Milestone 3",Helper!$D:$D,"In Development")</f>
        <v>0</v>
      </c>
      <c r="E72" s="88">
        <f>COUNTIFS(Helper!$B:$B,"Milestone 3",Helper!$D:$D,"In QA")</f>
        <v>0</v>
      </c>
      <c r="F72" s="88">
        <f>COUNTIFS(Helper!$B:$B,"Milestone 3",Helper!$D:$D,"Pre-PROD / UAT")</f>
        <v>0</v>
      </c>
      <c r="G72" s="88">
        <f>COUNTIFS(Helper!$B:$B,"Milestone 3",Helper!$D:$D,"Not Started")</f>
        <v>0</v>
      </c>
      <c r="H72" s="88">
        <f>COUNTIFS(Helper!$B:$B,"Milestone 3",Helper!$D:$D,"Partial Delivery")</f>
        <v>0</v>
      </c>
      <c r="I72" s="79">
        <f t="shared" si="5"/>
        <v>8</v>
      </c>
    </row>
    <row r="73" ht="18" customHeight="1" spans="1:11">
      <c r="A73" s="124" t="s">
        <v>167</v>
      </c>
      <c r="B73" s="88">
        <f>COUNTIFS(Helper!$B:$B,"Milestone 4",Helper!$D:$D,"Delivered")</f>
        <v>47</v>
      </c>
      <c r="C73" s="88">
        <f>COUNTIFS(Helper!$B:$B,"Milestone 4",Helper!$D:$D,"Dev Complete")</f>
        <v>0</v>
      </c>
      <c r="D73" s="88">
        <f>COUNTIFS(Helper!$B:$B,"Milestone 4",Helper!$D:$D,"In Development")</f>
        <v>0</v>
      </c>
      <c r="E73" s="88">
        <f>COUNTIFS(Helper!$B:$B,"Milestone 4",Helper!$D:$D,"In QA")</f>
        <v>0</v>
      </c>
      <c r="F73" s="88">
        <f>COUNTIFS(Helper!$B:$B,"Milestone 4",Helper!$D:$D,"Pre-PROD / UAT")</f>
        <v>4</v>
      </c>
      <c r="G73" s="88">
        <f>COUNTIFS(Helper!$B:$B,"Milestone 4",Helper!$D:$D,"Not Started")</f>
        <v>4</v>
      </c>
      <c r="H73" s="88">
        <f>COUNTIFS(Helper!$B:$B,"Milestone 4",Helper!$D:$D,"Partial Delivery")</f>
        <v>2</v>
      </c>
      <c r="I73" s="79">
        <f t="shared" si="5"/>
        <v>57</v>
      </c>
    </row>
    <row r="74" ht="18" customHeight="1" spans="1:11">
      <c r="A74" s="124" t="s">
        <v>188</v>
      </c>
      <c r="B74" s="88">
        <f>COUNTIFS(Helper!$B:$B,"Milestone 5",Helper!$D:$D,"Delivered")</f>
        <v>31</v>
      </c>
      <c r="C74" s="88">
        <f>COUNTIFS(Helper!$B:$B,"Milestone 5",Helper!$D:$D,"Dev Complete")</f>
        <v>1</v>
      </c>
      <c r="D74" s="88">
        <f>COUNTIFS(Helper!$B:$B,"Milestone 5",Helper!$D:$D,"In Development")</f>
        <v>8</v>
      </c>
      <c r="E74" s="88">
        <f>COUNTIFS(Helper!$B:$B,"Milestone 5",Helper!$D:$D,"In QA")</f>
        <v>1</v>
      </c>
      <c r="F74" s="88">
        <f>COUNTIFS(Helper!$B:$B,"Milestone 5",Helper!$D:$D,"Pre-PROD / UAT")</f>
        <v>8</v>
      </c>
      <c r="G74" s="88">
        <f>COUNTIFS(Helper!$B:$B,"Milestone 5",Helper!$D:$D,"Not Started")</f>
        <v>18</v>
      </c>
      <c r="H74" s="88">
        <f>COUNTIFS(Helper!$B:$B,"Milestone 5",Helper!$D:$D,"Partial Delivery")</f>
        <v>1</v>
      </c>
      <c r="I74" s="79">
        <f t="shared" si="5"/>
        <v>68</v>
      </c>
    </row>
    <row r="75" ht="18" customHeight="1" spans="1:11">
      <c r="A75" s="124" t="s">
        <v>163</v>
      </c>
      <c r="B75" s="88">
        <f>COUNTIFS(Helper!$B:$B,"Milestone 6",Helper!$D:$D,"Delivered")</f>
        <v>130</v>
      </c>
      <c r="C75" s="88">
        <f>COUNTIFS(Helper!$B:$B,"Milestone 6",Helper!$D:$D,"Dev Complete")</f>
        <v>0</v>
      </c>
      <c r="D75" s="88">
        <f>COUNTIFS(Helper!$B:$B,"Milestone 6",Helper!$D:$D,"In Development")</f>
        <v>5</v>
      </c>
      <c r="E75" s="88">
        <f>COUNTIFS(Helper!$B:$B,"Milestone 6",Helper!$D:$D,"In QA")</f>
        <v>0</v>
      </c>
      <c r="F75" s="88">
        <f>COUNTIFS(Helper!$B:$B,"Milestone 6",Helper!$D:$D,"Pre-PROD / UAT")</f>
        <v>5</v>
      </c>
      <c r="G75" s="88">
        <f>COUNTIFS(Helper!$B:$B,"Milestone 6",Helper!$D:$D,"Not Started")</f>
        <v>20</v>
      </c>
      <c r="H75" s="88">
        <f>COUNTIFS(Helper!$B:$B,"Milestone 6",Helper!$D:$D,"Partial Delivery")</f>
        <v>0</v>
      </c>
      <c r="I75" s="79">
        <f t="shared" si="5"/>
        <v>160</v>
      </c>
    </row>
    <row r="76" ht="20" customHeight="1" spans="1:11">
      <c r="A76" s="80" t="s">
        <v>746</v>
      </c>
      <c r="B76" s="81">
        <f t="shared" ref="B76:I76" si="6">SUM(B70:B75)</f>
        <v>276</v>
      </c>
      <c r="C76" s="81">
        <f t="shared" si="6"/>
        <v>1</v>
      </c>
      <c r="D76" s="81">
        <f t="shared" si="6"/>
        <v>13</v>
      </c>
      <c r="E76" s="81">
        <f t="shared" si="6"/>
        <v>1</v>
      </c>
      <c r="F76" s="81">
        <f t="shared" si="6"/>
        <v>18</v>
      </c>
      <c r="G76" s="81">
        <f t="shared" si="6"/>
        <v>42</v>
      </c>
      <c r="H76" s="81">
        <f t="shared" si="6"/>
        <v>3</v>
      </c>
      <c r="I76" s="81">
        <f t="shared" si="6"/>
        <v>354</v>
      </c>
    </row>
    <row r="78" ht="26" customHeight="1" spans="1:11">
      <c r="A78" s="71" t="s">
        <v>773</v>
      </c>
    </row>
  </sheetData>
  <mergeCells count="50">
    <mergeCell ref="A4:M4"/>
    <mergeCell ref="A6:F6"/>
    <mergeCell ref="H6:M6"/>
    <mergeCell ref="A11:M11"/>
    <mergeCell ref="A12:M12"/>
    <mergeCell ref="A14:F14"/>
    <mergeCell ref="A15:F15"/>
    <mergeCell ref="A16:F16"/>
    <mergeCell ref="A17:F17"/>
    <mergeCell ref="A18:F18"/>
    <mergeCell ref="A19:M19"/>
    <mergeCell ref="A20:M20"/>
    <mergeCell ref="A23:M23"/>
    <mergeCell ref="A39:M39"/>
    <mergeCell ref="A40:C40"/>
    <mergeCell ref="D40:F40"/>
    <mergeCell ref="G40:I40"/>
    <mergeCell ref="J40:L40"/>
    <mergeCell ref="A41:C41"/>
    <mergeCell ref="D41:F41"/>
    <mergeCell ref="G41:I41"/>
    <mergeCell ref="J41:L41"/>
    <mergeCell ref="A42:C42"/>
    <mergeCell ref="D42:F42"/>
    <mergeCell ref="G42:I42"/>
    <mergeCell ref="J42:L42"/>
    <mergeCell ref="A43:C43"/>
    <mergeCell ref="D43:F43"/>
    <mergeCell ref="G43:I43"/>
    <mergeCell ref="J43:L43"/>
    <mergeCell ref="A45:M45"/>
    <mergeCell ref="H46:M46"/>
    <mergeCell ref="H47:M47"/>
    <mergeCell ref="H48:M48"/>
    <mergeCell ref="H49:M49"/>
    <mergeCell ref="H50:M50"/>
    <mergeCell ref="H51:M51"/>
    <mergeCell ref="H52:M52"/>
    <mergeCell ref="H53:M53"/>
    <mergeCell ref="H54:M54"/>
    <mergeCell ref="H55:M55"/>
    <mergeCell ref="H56:M56"/>
    <mergeCell ref="A58:M58"/>
    <mergeCell ref="A68:M68"/>
    <mergeCell ref="A78:M78"/>
    <mergeCell ref="J7:M9"/>
    <mergeCell ref="A7:C9"/>
    <mergeCell ref="D7:F9"/>
    <mergeCell ref="A1:M3"/>
    <mergeCell ref="H7:I9"/>
  </mergeCells>
  <conditionalFormatting sqref="G47:G55">
    <cfRule type="dataBar" priority="1">
      <dataBar>
        <cfvo type="num" val="0"/>
        <cfvo type="num" val="1"/>
        <color rgb="FF63BE7B"/>
      </dataBar>
      <extLst>
        <ext xmlns:x14="http://schemas.microsoft.com/office/spreadsheetml/2009/9/main" uri="{B025F937-C7B1-47D3-B67F-A62EFF666E3E}">
          <x14:id>{1a5d0d11-28d7-4106-b5b7-a07872b135ba}</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1a5d0d11-28d7-4106-b5b7-a07872b135ba}">
            <x14:dataBar minLength="10" maxLength="90" negativeBarColorSameAsPositive="1" axisPosition="none">
              <x14:cfvo type="num">
                <xm:f>0</xm:f>
              </x14:cfvo>
              <x14:cfvo type="num">
                <xm:f>1</xm:f>
              </x14:cfvo>
              <x14:axisColor indexed="65"/>
            </x14:dataBar>
          </x14:cfRule>
          <xm:sqref>G47:G55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62" t="s">
        <v>774</v>
      </c>
    </row>
    <row r="2" ht="22" customHeight="1"/>
    <row r="3" ht="14" customHeight="1" spans="1:10">
      <c r="A3" s="39" t="s">
        <v>775</v>
      </c>
    </row>
    <row r="4" ht="6" customHeight="1"/>
    <row r="5" ht="22" customHeight="1" spans="1:10">
      <c r="A5" s="40" t="s">
        <v>776</v>
      </c>
      <c r="B5" s="40" t="s">
        <v>3</v>
      </c>
      <c r="C5" s="40" t="s">
        <v>1</v>
      </c>
      <c r="D5" s="40" t="s">
        <v>2</v>
      </c>
      <c r="E5" s="40" t="s">
        <v>5</v>
      </c>
      <c r="F5" s="40" t="s">
        <v>770</v>
      </c>
      <c r="G5" s="40" t="s">
        <v>777</v>
      </c>
      <c r="H5" s="40" t="s">
        <v>8</v>
      </c>
      <c r="I5" s="40" t="s">
        <v>9</v>
      </c>
      <c r="J5" s="40" t="s">
        <v>6</v>
      </c>
    </row>
    <row r="6" ht="18" customHeight="1" spans="1:10">
      <c r="A6" s="51" t="s">
        <v>778</v>
      </c>
    </row>
    <row r="7" ht="15" customHeight="1" spans="1:10">
      <c r="A7" s="42">
        <v>1</v>
      </c>
      <c r="B7" s="42" t="s">
        <v>48</v>
      </c>
      <c r="C7" s="43" t="s">
        <v>661</v>
      </c>
      <c r="D7" s="44" t="s">
        <v>661</v>
      </c>
      <c r="E7" s="45" t="s">
        <v>16</v>
      </c>
      <c r="F7" s="42" t="s">
        <v>163</v>
      </c>
      <c r="G7" s="42" t="s">
        <v>779</v>
      </c>
      <c r="H7" s="42" t="s">
        <v>780</v>
      </c>
      <c r="I7" s="42" t="s">
        <v>269</v>
      </c>
      <c r="J7" s="44" t="s">
        <v>781</v>
      </c>
    </row>
    <row r="8" ht="15" customHeight="1" spans="1:10">
      <c r="A8" s="46">
        <v>2</v>
      </c>
      <c r="B8" s="46" t="s">
        <v>48</v>
      </c>
      <c r="C8" s="47" t="s">
        <v>662</v>
      </c>
      <c r="D8" s="48" t="s">
        <v>663</v>
      </c>
      <c r="E8" s="45" t="s">
        <v>16</v>
      </c>
      <c r="F8" s="46" t="s">
        <v>163</v>
      </c>
      <c r="G8" s="46" t="s">
        <v>779</v>
      </c>
      <c r="H8" s="46" t="s">
        <v>780</v>
      </c>
      <c r="I8" s="46" t="s">
        <v>142</v>
      </c>
      <c r="J8" s="48" t="s">
        <v>664</v>
      </c>
    </row>
    <row r="9" ht="15" customHeight="1" spans="1:10">
      <c r="A9" s="42">
        <v>3</v>
      </c>
      <c r="B9" s="42" t="s">
        <v>48</v>
      </c>
      <c r="C9" s="43" t="s">
        <v>623</v>
      </c>
      <c r="D9" s="44" t="s">
        <v>665</v>
      </c>
      <c r="E9" s="45" t="s">
        <v>16</v>
      </c>
      <c r="F9" s="42" t="s">
        <v>163</v>
      </c>
      <c r="G9" s="42" t="s">
        <v>779</v>
      </c>
      <c r="H9" s="42" t="s">
        <v>780</v>
      </c>
      <c r="I9" s="42" t="s">
        <v>298</v>
      </c>
      <c r="J9" s="44" t="s">
        <v>781</v>
      </c>
    </row>
    <row r="10" ht="15" customHeight="1" spans="1:10">
      <c r="A10" s="46">
        <v>4</v>
      </c>
      <c r="B10" s="46" t="s">
        <v>48</v>
      </c>
      <c r="C10" s="47" t="s">
        <v>623</v>
      </c>
      <c r="D10" s="48" t="s">
        <v>666</v>
      </c>
      <c r="E10" s="45" t="s">
        <v>16</v>
      </c>
      <c r="F10" s="46" t="s">
        <v>163</v>
      </c>
      <c r="G10" s="46" t="s">
        <v>779</v>
      </c>
      <c r="H10" s="46" t="s">
        <v>780</v>
      </c>
      <c r="I10" s="46" t="s">
        <v>298</v>
      </c>
      <c r="J10" s="48" t="s">
        <v>781</v>
      </c>
    </row>
    <row r="11" ht="15" customHeight="1" spans="1:10">
      <c r="A11" s="42">
        <v>5</v>
      </c>
      <c r="B11" s="42" t="s">
        <v>48</v>
      </c>
      <c r="C11" s="43" t="s">
        <v>623</v>
      </c>
      <c r="D11" s="44" t="s">
        <v>667</v>
      </c>
      <c r="E11" s="45" t="s">
        <v>16</v>
      </c>
      <c r="F11" s="42" t="s">
        <v>163</v>
      </c>
      <c r="G11" s="42" t="s">
        <v>780</v>
      </c>
      <c r="H11" s="42" t="s">
        <v>780</v>
      </c>
      <c r="I11" s="42" t="s">
        <v>298</v>
      </c>
      <c r="J11" s="44" t="s">
        <v>781</v>
      </c>
    </row>
    <row r="12" ht="15" customHeight="1" spans="1:10">
      <c r="A12" s="46">
        <v>6</v>
      </c>
      <c r="B12" s="46" t="s">
        <v>48</v>
      </c>
      <c r="C12" s="47" t="s">
        <v>623</v>
      </c>
      <c r="D12" s="48" t="s">
        <v>668</v>
      </c>
      <c r="E12" s="45" t="s">
        <v>16</v>
      </c>
      <c r="F12" s="46" t="s">
        <v>163</v>
      </c>
      <c r="G12" s="46" t="s">
        <v>780</v>
      </c>
      <c r="H12" s="46" t="s">
        <v>780</v>
      </c>
      <c r="I12" s="46" t="s">
        <v>298</v>
      </c>
      <c r="J12" s="48" t="s">
        <v>781</v>
      </c>
    </row>
    <row r="13" ht="15" customHeight="1" spans="1:10">
      <c r="A13" s="42">
        <v>7</v>
      </c>
      <c r="B13" s="42" t="s">
        <v>48</v>
      </c>
      <c r="C13" s="43" t="s">
        <v>154</v>
      </c>
      <c r="D13" s="44" t="s">
        <v>155</v>
      </c>
      <c r="E13" s="45" t="s">
        <v>16</v>
      </c>
      <c r="F13" s="42" t="s">
        <v>144</v>
      </c>
      <c r="G13" s="42" t="s">
        <v>782</v>
      </c>
      <c r="H13" s="42" t="s">
        <v>783</v>
      </c>
      <c r="I13" s="42" t="s">
        <v>156</v>
      </c>
      <c r="J13" s="44" t="s">
        <v>781</v>
      </c>
    </row>
    <row r="14" ht="15" customHeight="1" spans="1:10">
      <c r="A14" s="46">
        <v>8</v>
      </c>
      <c r="B14" s="46" t="s">
        <v>48</v>
      </c>
      <c r="C14" s="47" t="s">
        <v>154</v>
      </c>
      <c r="D14" s="48" t="s">
        <v>158</v>
      </c>
      <c r="E14" s="45" t="s">
        <v>16</v>
      </c>
      <c r="F14" s="46" t="s">
        <v>144</v>
      </c>
      <c r="G14" s="46" t="s">
        <v>782</v>
      </c>
      <c r="H14" s="46" t="s">
        <v>783</v>
      </c>
      <c r="I14" s="46" t="s">
        <v>156</v>
      </c>
      <c r="J14" s="48" t="s">
        <v>781</v>
      </c>
    </row>
    <row r="15" ht="15" customHeight="1" spans="1:10">
      <c r="A15" s="42">
        <v>9</v>
      </c>
      <c r="B15" s="42" t="s">
        <v>48</v>
      </c>
      <c r="C15" s="43" t="s">
        <v>652</v>
      </c>
      <c r="D15" s="44" t="s">
        <v>653</v>
      </c>
      <c r="E15" s="45" t="s">
        <v>16</v>
      </c>
      <c r="F15" s="42" t="s">
        <v>163</v>
      </c>
      <c r="G15" s="42" t="s">
        <v>784</v>
      </c>
      <c r="H15" s="42" t="s">
        <v>783</v>
      </c>
      <c r="I15" s="42" t="s">
        <v>175</v>
      </c>
      <c r="J15" s="44" t="s">
        <v>781</v>
      </c>
    </row>
    <row r="16" ht="15" customHeight="1" spans="1:10">
      <c r="A16" s="46">
        <v>10</v>
      </c>
      <c r="B16" s="46" t="s">
        <v>48</v>
      </c>
      <c r="C16" s="47" t="s">
        <v>669</v>
      </c>
      <c r="D16" s="48" t="s">
        <v>670</v>
      </c>
      <c r="E16" s="45" t="s">
        <v>16</v>
      </c>
      <c r="F16" s="46" t="s">
        <v>163</v>
      </c>
      <c r="G16" s="46" t="s">
        <v>783</v>
      </c>
      <c r="H16" s="46" t="s">
        <v>783</v>
      </c>
      <c r="I16" s="46" t="s">
        <v>175</v>
      </c>
      <c r="J16" s="48" t="s">
        <v>781</v>
      </c>
    </row>
    <row r="17" ht="15" customHeight="1" spans="1:10">
      <c r="A17" s="42">
        <v>11</v>
      </c>
      <c r="B17" s="42" t="s">
        <v>48</v>
      </c>
      <c r="C17" s="43" t="s">
        <v>671</v>
      </c>
      <c r="D17" s="44" t="s">
        <v>672</v>
      </c>
      <c r="E17" s="45" t="s">
        <v>16</v>
      </c>
      <c r="F17" s="42" t="s">
        <v>163</v>
      </c>
      <c r="G17" s="42" t="s">
        <v>785</v>
      </c>
      <c r="H17" s="42" t="s">
        <v>785</v>
      </c>
      <c r="I17" s="42" t="s">
        <v>298</v>
      </c>
      <c r="J17" s="44" t="s">
        <v>781</v>
      </c>
    </row>
    <row r="18" ht="15" customHeight="1" spans="1:10">
      <c r="A18" s="46">
        <v>12</v>
      </c>
      <c r="B18" s="46" t="s">
        <v>48</v>
      </c>
      <c r="C18" s="47" t="s">
        <v>781</v>
      </c>
      <c r="D18" s="48" t="s">
        <v>673</v>
      </c>
      <c r="E18" s="45" t="s">
        <v>16</v>
      </c>
      <c r="F18" s="46" t="s">
        <v>163</v>
      </c>
      <c r="G18" s="46" t="s">
        <v>785</v>
      </c>
      <c r="H18" s="46" t="s">
        <v>785</v>
      </c>
      <c r="I18" s="46" t="s">
        <v>298</v>
      </c>
      <c r="J18" s="48" t="s">
        <v>781</v>
      </c>
    </row>
    <row r="19" ht="15" customHeight="1" spans="1:10">
      <c r="A19" s="42">
        <v>13</v>
      </c>
      <c r="B19" s="42" t="s">
        <v>48</v>
      </c>
      <c r="C19" s="43" t="s">
        <v>674</v>
      </c>
      <c r="D19" s="44" t="s">
        <v>675</v>
      </c>
      <c r="E19" s="45" t="s">
        <v>16</v>
      </c>
      <c r="F19" s="42" t="s">
        <v>163</v>
      </c>
      <c r="G19" s="42" t="s">
        <v>785</v>
      </c>
      <c r="H19" s="42" t="s">
        <v>785</v>
      </c>
      <c r="I19" s="42" t="s">
        <v>175</v>
      </c>
      <c r="J19" s="44" t="s">
        <v>781</v>
      </c>
    </row>
    <row r="20" ht="15" customHeight="1" spans="1:10">
      <c r="A20" s="46">
        <v>14</v>
      </c>
      <c r="B20" s="46" t="s">
        <v>48</v>
      </c>
      <c r="C20" s="47" t="s">
        <v>781</v>
      </c>
      <c r="D20" s="48" t="s">
        <v>676</v>
      </c>
      <c r="E20" s="45" t="s">
        <v>16</v>
      </c>
      <c r="F20" s="46" t="s">
        <v>163</v>
      </c>
      <c r="G20" s="46" t="s">
        <v>785</v>
      </c>
      <c r="H20" s="46" t="s">
        <v>785</v>
      </c>
      <c r="I20" s="46" t="s">
        <v>298</v>
      </c>
      <c r="J20" s="48" t="s">
        <v>781</v>
      </c>
    </row>
    <row r="21" ht="15" customHeight="1" spans="1:10">
      <c r="A21" s="42">
        <v>15</v>
      </c>
      <c r="B21" s="42" t="s">
        <v>48</v>
      </c>
      <c r="C21" s="43" t="s">
        <v>652</v>
      </c>
      <c r="D21" s="44" t="s">
        <v>677</v>
      </c>
      <c r="E21" s="45" t="s">
        <v>16</v>
      </c>
      <c r="F21" s="42" t="s">
        <v>163</v>
      </c>
      <c r="G21" s="42" t="s">
        <v>785</v>
      </c>
      <c r="H21" s="42" t="s">
        <v>785</v>
      </c>
      <c r="I21" s="42" t="s">
        <v>142</v>
      </c>
      <c r="J21" s="44" t="s">
        <v>781</v>
      </c>
    </row>
    <row r="22" ht="15" customHeight="1" spans="1:10">
      <c r="A22" s="46">
        <v>16</v>
      </c>
      <c r="B22" s="46" t="s">
        <v>266</v>
      </c>
      <c r="C22" s="47" t="s">
        <v>284</v>
      </c>
      <c r="D22" s="48" t="s">
        <v>285</v>
      </c>
      <c r="E22" s="45" t="s">
        <v>16</v>
      </c>
      <c r="F22" s="46" t="s">
        <v>167</v>
      </c>
      <c r="G22" s="46" t="s">
        <v>786</v>
      </c>
      <c r="H22" s="46" t="s">
        <v>787</v>
      </c>
      <c r="I22" s="46" t="s">
        <v>269</v>
      </c>
      <c r="J22" s="48" t="s">
        <v>781</v>
      </c>
    </row>
    <row r="23" ht="15" customHeight="1" spans="1:10">
      <c r="A23" s="42">
        <v>17</v>
      </c>
      <c r="B23" s="42" t="s">
        <v>48</v>
      </c>
      <c r="C23" s="43" t="s">
        <v>429</v>
      </c>
      <c r="D23" s="44" t="s">
        <v>430</v>
      </c>
      <c r="E23" s="45" t="s">
        <v>16</v>
      </c>
      <c r="F23" s="42" t="s">
        <v>188</v>
      </c>
      <c r="G23" s="42" t="s">
        <v>788</v>
      </c>
      <c r="H23" s="42" t="s">
        <v>787</v>
      </c>
      <c r="I23" s="42" t="s">
        <v>781</v>
      </c>
      <c r="J23" s="44" t="s">
        <v>781</v>
      </c>
    </row>
    <row r="24" ht="15" customHeight="1" spans="1:10">
      <c r="A24" s="46">
        <v>18</v>
      </c>
      <c r="B24" s="46" t="s">
        <v>48</v>
      </c>
      <c r="C24" s="47" t="s">
        <v>658</v>
      </c>
      <c r="D24" s="48" t="s">
        <v>659</v>
      </c>
      <c r="E24" s="45" t="s">
        <v>16</v>
      </c>
      <c r="F24" s="46" t="s">
        <v>163</v>
      </c>
      <c r="G24" s="46" t="s">
        <v>779</v>
      </c>
      <c r="H24" s="46" t="s">
        <v>787</v>
      </c>
      <c r="I24" s="46" t="s">
        <v>175</v>
      </c>
      <c r="J24" s="48" t="s">
        <v>660</v>
      </c>
    </row>
    <row r="25" ht="15" customHeight="1" spans="1:10">
      <c r="A25" s="42">
        <v>19</v>
      </c>
      <c r="B25" s="42" t="s">
        <v>48</v>
      </c>
      <c r="C25" s="43" t="s">
        <v>615</v>
      </c>
      <c r="D25" s="44" t="s">
        <v>628</v>
      </c>
      <c r="E25" s="45" t="s">
        <v>16</v>
      </c>
      <c r="F25" s="42" t="s">
        <v>163</v>
      </c>
      <c r="G25" s="42" t="s">
        <v>779</v>
      </c>
      <c r="H25" s="42" t="s">
        <v>787</v>
      </c>
      <c r="I25" s="42" t="s">
        <v>185</v>
      </c>
      <c r="J25" s="44" t="s">
        <v>781</v>
      </c>
    </row>
    <row r="26" ht="15" customHeight="1" spans="1:10">
      <c r="A26" s="46">
        <v>20</v>
      </c>
      <c r="B26" s="46" t="s">
        <v>48</v>
      </c>
      <c r="C26" s="47" t="s">
        <v>617</v>
      </c>
      <c r="D26" s="48" t="s">
        <v>629</v>
      </c>
      <c r="E26" s="45" t="s">
        <v>16</v>
      </c>
      <c r="F26" s="46" t="s">
        <v>163</v>
      </c>
      <c r="G26" s="46" t="s">
        <v>779</v>
      </c>
      <c r="H26" s="46" t="s">
        <v>787</v>
      </c>
      <c r="I26" s="46" t="s">
        <v>185</v>
      </c>
      <c r="J26" s="48" t="s">
        <v>781</v>
      </c>
    </row>
  </sheetData>
  <mergeCells count="3">
    <mergeCell ref="A3:J3"/>
    <mergeCell ref="A6:J6"/>
    <mergeCell ref="A1:J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61" t="s">
        <v>789</v>
      </c>
    </row>
    <row r="2" ht="22" customHeight="1"/>
    <row r="3" ht="14" customHeight="1" spans="1:10">
      <c r="A3" s="39" t="s">
        <v>775</v>
      </c>
    </row>
    <row r="4" ht="6" customHeight="1"/>
    <row r="5" ht="22" customHeight="1" spans="1:10">
      <c r="A5" s="40" t="s">
        <v>776</v>
      </c>
      <c r="B5" s="40" t="s">
        <v>3</v>
      </c>
      <c r="C5" s="40" t="s">
        <v>1</v>
      </c>
      <c r="D5" s="40" t="s">
        <v>2</v>
      </c>
      <c r="E5" s="40" t="s">
        <v>5</v>
      </c>
      <c r="F5" s="40" t="s">
        <v>770</v>
      </c>
      <c r="G5" s="40" t="s">
        <v>777</v>
      </c>
      <c r="H5" s="40" t="s">
        <v>8</v>
      </c>
      <c r="I5" s="40" t="s">
        <v>9</v>
      </c>
      <c r="J5" s="40" t="s">
        <v>6</v>
      </c>
    </row>
    <row r="6" ht="18" customHeight="1" spans="1:10">
      <c r="A6" s="51" t="s">
        <v>790</v>
      </c>
    </row>
    <row r="7" ht="15" customHeight="1" spans="1:10">
      <c r="A7" s="42">
        <v>1</v>
      </c>
      <c r="B7" s="42" t="s">
        <v>48</v>
      </c>
      <c r="C7" s="43" t="s">
        <v>290</v>
      </c>
      <c r="D7" s="44" t="s">
        <v>291</v>
      </c>
      <c r="E7" s="45" t="s">
        <v>16</v>
      </c>
      <c r="F7" s="42" t="s">
        <v>163</v>
      </c>
      <c r="G7" s="42" t="s">
        <v>791</v>
      </c>
      <c r="H7" s="42" t="s">
        <v>791</v>
      </c>
      <c r="I7" s="42" t="s">
        <v>175</v>
      </c>
      <c r="J7" s="44" t="s">
        <v>781</v>
      </c>
    </row>
    <row r="8" ht="15" customHeight="1" spans="1:10">
      <c r="A8" s="46">
        <v>2</v>
      </c>
      <c r="B8" s="46" t="s">
        <v>48</v>
      </c>
      <c r="C8" s="47" t="s">
        <v>129</v>
      </c>
      <c r="D8" s="48" t="s">
        <v>394</v>
      </c>
      <c r="E8" s="45" t="s">
        <v>16</v>
      </c>
      <c r="F8" s="46" t="s">
        <v>163</v>
      </c>
      <c r="G8" s="46" t="s">
        <v>792</v>
      </c>
      <c r="H8" s="46" t="s">
        <v>792</v>
      </c>
      <c r="I8" s="46" t="s">
        <v>175</v>
      </c>
      <c r="J8" s="48" t="s">
        <v>781</v>
      </c>
    </row>
    <row r="9" ht="15" customHeight="1" spans="1:10">
      <c r="A9" s="42">
        <v>3</v>
      </c>
      <c r="B9" s="42" t="s">
        <v>48</v>
      </c>
      <c r="C9" s="43" t="s">
        <v>129</v>
      </c>
      <c r="D9" s="44" t="s">
        <v>413</v>
      </c>
      <c r="E9" s="45" t="s">
        <v>16</v>
      </c>
      <c r="F9" s="42" t="s">
        <v>163</v>
      </c>
      <c r="G9" s="42" t="s">
        <v>792</v>
      </c>
      <c r="H9" s="42" t="s">
        <v>792</v>
      </c>
      <c r="I9" s="42" t="s">
        <v>175</v>
      </c>
      <c r="J9" s="44" t="s">
        <v>781</v>
      </c>
    </row>
    <row r="10" ht="15" customHeight="1" spans="1:10">
      <c r="A10" s="46">
        <v>4</v>
      </c>
      <c r="B10" s="46" t="s">
        <v>48</v>
      </c>
      <c r="C10" s="47" t="s">
        <v>418</v>
      </c>
      <c r="D10" s="48" t="s">
        <v>419</v>
      </c>
      <c r="E10" s="45" t="s">
        <v>16</v>
      </c>
      <c r="F10" s="46" t="s">
        <v>167</v>
      </c>
      <c r="G10" s="46" t="s">
        <v>786</v>
      </c>
      <c r="H10" s="46" t="s">
        <v>793</v>
      </c>
      <c r="I10" s="46" t="s">
        <v>156</v>
      </c>
      <c r="J10" s="48" t="s">
        <v>781</v>
      </c>
    </row>
    <row r="11" ht="15" customHeight="1" spans="1:10">
      <c r="A11" s="42">
        <v>5</v>
      </c>
      <c r="B11" s="42" t="s">
        <v>48</v>
      </c>
      <c r="C11" s="43" t="s">
        <v>450</v>
      </c>
      <c r="D11" s="44" t="s">
        <v>451</v>
      </c>
      <c r="E11" s="45" t="s">
        <v>16</v>
      </c>
      <c r="F11" s="42" t="s">
        <v>163</v>
      </c>
      <c r="G11" s="42" t="s">
        <v>793</v>
      </c>
      <c r="H11" s="42" t="s">
        <v>793</v>
      </c>
      <c r="I11" s="42" t="s">
        <v>781</v>
      </c>
      <c r="J11" s="44" t="s">
        <v>781</v>
      </c>
    </row>
    <row r="12" ht="15" customHeight="1" spans="1:10">
      <c r="A12" s="46">
        <v>6</v>
      </c>
      <c r="B12" s="46" t="s">
        <v>266</v>
      </c>
      <c r="C12" s="47" t="s">
        <v>21</v>
      </c>
      <c r="D12" s="48" t="s">
        <v>22</v>
      </c>
      <c r="E12" s="45" t="s">
        <v>16</v>
      </c>
      <c r="F12" s="46" t="s">
        <v>188</v>
      </c>
      <c r="G12" s="46" t="s">
        <v>788</v>
      </c>
      <c r="H12" s="46" t="s">
        <v>794</v>
      </c>
      <c r="I12" s="46" t="s">
        <v>701</v>
      </c>
      <c r="J12" s="48" t="s">
        <v>700</v>
      </c>
    </row>
    <row r="13" ht="15" customHeight="1" spans="1:10">
      <c r="A13" s="42">
        <v>7</v>
      </c>
      <c r="B13" s="42" t="s">
        <v>48</v>
      </c>
      <c r="C13" s="43" t="s">
        <v>702</v>
      </c>
      <c r="D13" s="44" t="s">
        <v>703</v>
      </c>
      <c r="E13" s="45" t="s">
        <v>16</v>
      </c>
      <c r="F13" s="42" t="s">
        <v>188</v>
      </c>
      <c r="G13" s="42" t="s">
        <v>788</v>
      </c>
      <c r="H13" s="42" t="s">
        <v>794</v>
      </c>
      <c r="I13" s="42" t="s">
        <v>781</v>
      </c>
      <c r="J13" s="44" t="s">
        <v>781</v>
      </c>
    </row>
    <row r="14" ht="15" customHeight="1" spans="1:10">
      <c r="A14" s="46">
        <v>8</v>
      </c>
      <c r="B14" s="46" t="s">
        <v>266</v>
      </c>
      <c r="C14" s="47" t="s">
        <v>706</v>
      </c>
      <c r="D14" s="48" t="s">
        <v>707</v>
      </c>
      <c r="E14" s="45" t="s">
        <v>16</v>
      </c>
      <c r="F14" s="46" t="s">
        <v>163</v>
      </c>
      <c r="G14" s="46" t="s">
        <v>793</v>
      </c>
      <c r="H14" s="46" t="s">
        <v>794</v>
      </c>
      <c r="I14" s="46" t="s">
        <v>781</v>
      </c>
      <c r="J14" s="48" t="s">
        <v>165</v>
      </c>
    </row>
    <row r="15" ht="15" customHeight="1" spans="1:10">
      <c r="A15" s="42">
        <v>9</v>
      </c>
      <c r="B15" s="42" t="s">
        <v>48</v>
      </c>
      <c r="C15" s="43" t="s">
        <v>708</v>
      </c>
      <c r="D15" s="44" t="s">
        <v>709</v>
      </c>
      <c r="E15" s="45" t="s">
        <v>16</v>
      </c>
      <c r="F15" s="42" t="s">
        <v>163</v>
      </c>
      <c r="G15" s="42" t="s">
        <v>795</v>
      </c>
      <c r="H15" s="42" t="s">
        <v>794</v>
      </c>
      <c r="I15" s="42" t="s">
        <v>781</v>
      </c>
      <c r="J15" s="44" t="s">
        <v>422</v>
      </c>
    </row>
    <row r="16" ht="18" customHeight="1" spans="1:10">
      <c r="A16" s="51" t="s">
        <v>796</v>
      </c>
    </row>
    <row r="17" ht="15" customHeight="1" spans="1:10">
      <c r="A17" s="46">
        <v>10</v>
      </c>
      <c r="B17" s="46" t="s">
        <v>162</v>
      </c>
      <c r="C17" s="47" t="s">
        <v>693</v>
      </c>
      <c r="D17" s="48" t="s">
        <v>694</v>
      </c>
      <c r="E17" s="45" t="s">
        <v>16</v>
      </c>
      <c r="F17" s="46" t="s">
        <v>188</v>
      </c>
      <c r="G17" s="46" t="s">
        <v>788</v>
      </c>
      <c r="H17" s="46" t="s">
        <v>794</v>
      </c>
      <c r="I17" s="46" t="s">
        <v>781</v>
      </c>
      <c r="J17" s="48" t="s">
        <v>781</v>
      </c>
    </row>
    <row r="18" ht="15" customHeight="1" spans="1:10">
      <c r="A18" s="42">
        <v>11</v>
      </c>
      <c r="B18" s="42" t="s">
        <v>162</v>
      </c>
      <c r="C18" s="43" t="s">
        <v>697</v>
      </c>
      <c r="D18" s="44" t="s">
        <v>698</v>
      </c>
      <c r="E18" s="45" t="s">
        <v>16</v>
      </c>
      <c r="F18" s="42" t="s">
        <v>188</v>
      </c>
      <c r="G18" s="42" t="s">
        <v>788</v>
      </c>
      <c r="H18" s="42" t="s">
        <v>794</v>
      </c>
      <c r="I18" s="42" t="s">
        <v>208</v>
      </c>
      <c r="J18" s="44" t="s">
        <v>699</v>
      </c>
    </row>
  </sheetData>
  <mergeCells count="4">
    <mergeCell ref="A3:J3"/>
    <mergeCell ref="A6:J6"/>
    <mergeCell ref="A16:J16"/>
    <mergeCell ref="A1:J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4"/>
  <sheetViews>
    <sheetView showGridLines="0" workbookViewId="0">
      <pane ySplit="5" topLeftCell="A40"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56" t="s">
        <v>797</v>
      </c>
    </row>
    <row r="2" ht="22" customHeight="1"/>
    <row r="3" ht="14" customHeight="1" spans="1:10">
      <c r="A3" s="39" t="s">
        <v>775</v>
      </c>
    </row>
    <row r="4" ht="6" customHeight="1"/>
    <row r="5" ht="22" customHeight="1" spans="1:10">
      <c r="A5" s="40" t="s">
        <v>776</v>
      </c>
      <c r="B5" s="40" t="s">
        <v>3</v>
      </c>
      <c r="C5" s="40" t="s">
        <v>1</v>
      </c>
      <c r="D5" s="40" t="s">
        <v>2</v>
      </c>
      <c r="E5" s="40" t="s">
        <v>5</v>
      </c>
      <c r="F5" s="40" t="s">
        <v>770</v>
      </c>
      <c r="G5" s="40" t="s">
        <v>777</v>
      </c>
      <c r="H5" s="40" t="s">
        <v>8</v>
      </c>
      <c r="I5" s="40" t="s">
        <v>9</v>
      </c>
      <c r="J5" s="40" t="s">
        <v>6</v>
      </c>
    </row>
    <row r="6" ht="18" customHeight="1" spans="1:10">
      <c r="A6" s="51" t="s">
        <v>798</v>
      </c>
    </row>
    <row r="7" ht="15" customHeight="1" spans="1:10">
      <c r="A7" s="42">
        <v>1</v>
      </c>
      <c r="B7" s="42" t="s">
        <v>48</v>
      </c>
      <c r="C7" s="43" t="s">
        <v>140</v>
      </c>
      <c r="D7" s="44" t="s">
        <v>781</v>
      </c>
      <c r="E7" s="53" t="s">
        <v>141</v>
      </c>
      <c r="F7" s="42" t="s">
        <v>82</v>
      </c>
      <c r="G7" s="42" t="s">
        <v>799</v>
      </c>
      <c r="H7" s="42" t="s">
        <v>800</v>
      </c>
      <c r="I7" s="42" t="s">
        <v>142</v>
      </c>
      <c r="J7" s="44" t="s">
        <v>781</v>
      </c>
    </row>
    <row r="8" ht="15" customHeight="1" spans="1:10">
      <c r="A8" s="46">
        <v>2</v>
      </c>
      <c r="B8" s="46" t="s">
        <v>266</v>
      </c>
      <c r="C8" s="47" t="s">
        <v>264</v>
      </c>
      <c r="D8" s="48" t="s">
        <v>265</v>
      </c>
      <c r="E8" s="53" t="s">
        <v>141</v>
      </c>
      <c r="F8" s="46" t="s">
        <v>167</v>
      </c>
      <c r="G8" s="46" t="s">
        <v>786</v>
      </c>
      <c r="H8" s="46" t="s">
        <v>800</v>
      </c>
      <c r="I8" s="46" t="s">
        <v>781</v>
      </c>
      <c r="J8" s="48" t="s">
        <v>781</v>
      </c>
    </row>
    <row r="9" ht="15" customHeight="1" spans="1:10">
      <c r="A9" s="42">
        <v>3</v>
      </c>
      <c r="B9" s="42" t="s">
        <v>266</v>
      </c>
      <c r="C9" s="43" t="s">
        <v>309</v>
      </c>
      <c r="D9" s="44" t="s">
        <v>310</v>
      </c>
      <c r="E9" s="53" t="s">
        <v>141</v>
      </c>
      <c r="F9" s="42" t="s">
        <v>167</v>
      </c>
      <c r="G9" s="42" t="s">
        <v>786</v>
      </c>
      <c r="H9" s="42" t="s">
        <v>800</v>
      </c>
      <c r="I9" s="42" t="s">
        <v>781</v>
      </c>
      <c r="J9" s="44" t="s">
        <v>781</v>
      </c>
    </row>
    <row r="10" ht="15" customHeight="1" spans="1:10">
      <c r="A10" s="46">
        <v>4</v>
      </c>
      <c r="B10" s="46" t="s">
        <v>266</v>
      </c>
      <c r="C10" s="47" t="s">
        <v>380</v>
      </c>
      <c r="D10" s="48" t="s">
        <v>381</v>
      </c>
      <c r="E10" s="53" t="s">
        <v>141</v>
      </c>
      <c r="F10" s="46" t="s">
        <v>188</v>
      </c>
      <c r="G10" s="46" t="s">
        <v>788</v>
      </c>
      <c r="H10" s="46" t="s">
        <v>800</v>
      </c>
      <c r="I10" s="46" t="s">
        <v>199</v>
      </c>
      <c r="J10" s="48" t="s">
        <v>382</v>
      </c>
    </row>
    <row r="11" ht="15" customHeight="1" spans="1:10">
      <c r="A11" s="42">
        <v>5</v>
      </c>
      <c r="B11" s="42" t="s">
        <v>266</v>
      </c>
      <c r="C11" s="43" t="s">
        <v>389</v>
      </c>
      <c r="D11" s="44" t="s">
        <v>390</v>
      </c>
      <c r="E11" s="53" t="s">
        <v>141</v>
      </c>
      <c r="F11" s="42" t="s">
        <v>188</v>
      </c>
      <c r="G11" s="42" t="s">
        <v>788</v>
      </c>
      <c r="H11" s="42" t="s">
        <v>800</v>
      </c>
      <c r="I11" s="42" t="s">
        <v>269</v>
      </c>
      <c r="J11" s="44" t="s">
        <v>781</v>
      </c>
    </row>
    <row r="12" ht="15" customHeight="1" spans="1:10">
      <c r="A12" s="46">
        <v>6</v>
      </c>
      <c r="B12" s="46" t="s">
        <v>48</v>
      </c>
      <c r="C12" s="47" t="s">
        <v>420</v>
      </c>
      <c r="D12" s="48" t="s">
        <v>421</v>
      </c>
      <c r="E12" s="53" t="s">
        <v>141</v>
      </c>
      <c r="F12" s="46" t="s">
        <v>163</v>
      </c>
      <c r="G12" s="46" t="s">
        <v>791</v>
      </c>
      <c r="H12" s="46" t="s">
        <v>800</v>
      </c>
      <c r="I12" s="46" t="s">
        <v>142</v>
      </c>
      <c r="J12" s="48" t="s">
        <v>422</v>
      </c>
    </row>
    <row r="13" ht="15" customHeight="1" spans="1:10">
      <c r="A13" s="42">
        <v>7</v>
      </c>
      <c r="B13" s="42" t="s">
        <v>324</v>
      </c>
      <c r="C13" s="43" t="s">
        <v>322</v>
      </c>
      <c r="D13" s="44" t="s">
        <v>323</v>
      </c>
      <c r="E13" s="57" t="s">
        <v>325</v>
      </c>
      <c r="F13" s="42" t="s">
        <v>163</v>
      </c>
      <c r="G13" s="42" t="s">
        <v>801</v>
      </c>
      <c r="H13" s="42" t="s">
        <v>802</v>
      </c>
      <c r="I13" s="42" t="s">
        <v>298</v>
      </c>
      <c r="J13" s="44" t="s">
        <v>781</v>
      </c>
    </row>
    <row r="14" ht="15" customHeight="1" spans="1:10">
      <c r="A14" s="46">
        <v>8</v>
      </c>
      <c r="B14" s="46" t="s">
        <v>266</v>
      </c>
      <c r="C14" s="47" t="s">
        <v>471</v>
      </c>
      <c r="D14" s="48" t="s">
        <v>472</v>
      </c>
      <c r="E14" s="53" t="s">
        <v>141</v>
      </c>
      <c r="F14" s="46" t="s">
        <v>163</v>
      </c>
      <c r="G14" s="46" t="s">
        <v>803</v>
      </c>
      <c r="H14" s="46" t="s">
        <v>802</v>
      </c>
      <c r="I14" s="46" t="s">
        <v>208</v>
      </c>
      <c r="J14" s="48" t="s">
        <v>473</v>
      </c>
    </row>
    <row r="15" ht="15" customHeight="1" spans="1:10">
      <c r="A15" s="42">
        <v>9</v>
      </c>
      <c r="B15" s="42" t="s">
        <v>48</v>
      </c>
      <c r="C15" s="43" t="s">
        <v>186</v>
      </c>
      <c r="D15" s="44" t="s">
        <v>187</v>
      </c>
      <c r="E15" s="58" t="s">
        <v>189</v>
      </c>
      <c r="F15" s="42" t="s">
        <v>188</v>
      </c>
      <c r="G15" s="42" t="s">
        <v>788</v>
      </c>
      <c r="H15" s="42" t="s">
        <v>804</v>
      </c>
      <c r="I15" s="42" t="s">
        <v>781</v>
      </c>
      <c r="J15" s="44" t="s">
        <v>190</v>
      </c>
    </row>
    <row r="16" ht="15" customHeight="1" spans="1:10">
      <c r="A16" s="46">
        <v>10</v>
      </c>
      <c r="B16" s="46" t="s">
        <v>266</v>
      </c>
      <c r="C16" s="47" t="s">
        <v>305</v>
      </c>
      <c r="D16" s="48" t="s">
        <v>306</v>
      </c>
      <c r="E16" s="52" t="s">
        <v>164</v>
      </c>
      <c r="F16" s="46" t="s">
        <v>167</v>
      </c>
      <c r="G16" s="46" t="s">
        <v>786</v>
      </c>
      <c r="H16" s="46" t="s">
        <v>805</v>
      </c>
      <c r="I16" s="46" t="s">
        <v>185</v>
      </c>
      <c r="J16" s="48" t="s">
        <v>781</v>
      </c>
    </row>
    <row r="17" ht="15" customHeight="1" spans="1:10">
      <c r="A17" s="42">
        <v>11</v>
      </c>
      <c r="B17" s="42" t="s">
        <v>48</v>
      </c>
      <c r="C17" s="43" t="s">
        <v>338</v>
      </c>
      <c r="D17" s="44" t="s">
        <v>339</v>
      </c>
      <c r="E17" s="52" t="s">
        <v>164</v>
      </c>
      <c r="F17" s="42" t="s">
        <v>167</v>
      </c>
      <c r="G17" s="42" t="s">
        <v>786</v>
      </c>
      <c r="H17" s="42" t="s">
        <v>805</v>
      </c>
      <c r="I17" s="42" t="s">
        <v>185</v>
      </c>
      <c r="J17" s="44" t="s">
        <v>781</v>
      </c>
    </row>
    <row r="18" ht="15" customHeight="1" spans="1:10">
      <c r="A18" s="46">
        <v>12</v>
      </c>
      <c r="B18" s="46" t="s">
        <v>266</v>
      </c>
      <c r="C18" s="47" t="s">
        <v>431</v>
      </c>
      <c r="D18" s="48" t="s">
        <v>432</v>
      </c>
      <c r="E18" s="52" t="s">
        <v>164</v>
      </c>
      <c r="F18" s="46" t="s">
        <v>188</v>
      </c>
      <c r="G18" s="46" t="s">
        <v>788</v>
      </c>
      <c r="H18" s="46" t="s">
        <v>805</v>
      </c>
      <c r="I18" s="46" t="s">
        <v>199</v>
      </c>
      <c r="J18" s="48" t="s">
        <v>406</v>
      </c>
    </row>
    <row r="19" ht="15" customHeight="1" spans="1:10">
      <c r="A19" s="42">
        <v>13</v>
      </c>
      <c r="B19" s="42" t="s">
        <v>48</v>
      </c>
      <c r="C19" s="43" t="s">
        <v>445</v>
      </c>
      <c r="D19" s="44" t="s">
        <v>446</v>
      </c>
      <c r="E19" s="52" t="s">
        <v>164</v>
      </c>
      <c r="F19" s="42" t="s">
        <v>188</v>
      </c>
      <c r="G19" s="42" t="s">
        <v>788</v>
      </c>
      <c r="H19" s="42" t="s">
        <v>805</v>
      </c>
      <c r="I19" s="42" t="s">
        <v>781</v>
      </c>
      <c r="J19" s="44" t="s">
        <v>781</v>
      </c>
    </row>
    <row r="20" ht="15" customHeight="1" spans="1:10">
      <c r="A20" s="46">
        <v>14</v>
      </c>
      <c r="B20" s="46" t="s">
        <v>48</v>
      </c>
      <c r="C20" s="47" t="s">
        <v>447</v>
      </c>
      <c r="D20" s="48" t="s">
        <v>448</v>
      </c>
      <c r="E20" s="52" t="s">
        <v>164</v>
      </c>
      <c r="F20" s="46" t="s">
        <v>188</v>
      </c>
      <c r="G20" s="46" t="s">
        <v>788</v>
      </c>
      <c r="H20" s="46" t="s">
        <v>805</v>
      </c>
      <c r="I20" s="46" t="s">
        <v>781</v>
      </c>
      <c r="J20" s="48" t="s">
        <v>449</v>
      </c>
    </row>
    <row r="21" ht="15" customHeight="1" spans="1:10">
      <c r="A21" s="42">
        <v>15</v>
      </c>
      <c r="B21" s="42" t="s">
        <v>48</v>
      </c>
      <c r="C21" s="43" t="s">
        <v>455</v>
      </c>
      <c r="D21" s="44" t="s">
        <v>781</v>
      </c>
      <c r="E21" s="52" t="s">
        <v>164</v>
      </c>
      <c r="F21" s="42" t="s">
        <v>188</v>
      </c>
      <c r="G21" s="42" t="s">
        <v>788</v>
      </c>
      <c r="H21" s="42" t="s">
        <v>805</v>
      </c>
      <c r="I21" s="42" t="s">
        <v>781</v>
      </c>
      <c r="J21" s="44" t="s">
        <v>781</v>
      </c>
    </row>
    <row r="22" ht="15" customHeight="1" spans="1:10">
      <c r="A22" s="46">
        <v>16</v>
      </c>
      <c r="B22" s="46" t="s">
        <v>457</v>
      </c>
      <c r="C22" s="47" t="s">
        <v>458</v>
      </c>
      <c r="D22" s="48" t="s">
        <v>467</v>
      </c>
      <c r="E22" s="52" t="s">
        <v>164</v>
      </c>
      <c r="F22" s="46" t="s">
        <v>163</v>
      </c>
      <c r="G22" s="46" t="s">
        <v>806</v>
      </c>
      <c r="H22" s="46" t="s">
        <v>805</v>
      </c>
      <c r="I22" s="46" t="s">
        <v>298</v>
      </c>
      <c r="J22" s="48" t="s">
        <v>781</v>
      </c>
    </row>
    <row r="23" ht="15" customHeight="1" spans="1:10">
      <c r="A23" s="42">
        <v>17</v>
      </c>
      <c r="B23" s="42" t="s">
        <v>457</v>
      </c>
      <c r="C23" s="43" t="s">
        <v>458</v>
      </c>
      <c r="D23" s="44" t="s">
        <v>475</v>
      </c>
      <c r="E23" s="52" t="s">
        <v>164</v>
      </c>
      <c r="F23" s="42" t="s">
        <v>163</v>
      </c>
      <c r="G23" s="42" t="s">
        <v>807</v>
      </c>
      <c r="H23" s="42" t="s">
        <v>805</v>
      </c>
      <c r="I23" s="42" t="s">
        <v>156</v>
      </c>
      <c r="J23" s="44" t="s">
        <v>781</v>
      </c>
    </row>
    <row r="24" ht="15" customHeight="1" spans="1:10">
      <c r="A24" s="46">
        <v>18</v>
      </c>
      <c r="B24" s="46" t="s">
        <v>457</v>
      </c>
      <c r="C24" s="47" t="s">
        <v>552</v>
      </c>
      <c r="D24" s="48" t="s">
        <v>553</v>
      </c>
      <c r="E24" s="52" t="s">
        <v>164</v>
      </c>
      <c r="F24" s="46" t="s">
        <v>163</v>
      </c>
      <c r="G24" s="46" t="s">
        <v>808</v>
      </c>
      <c r="H24" s="46" t="s">
        <v>805</v>
      </c>
      <c r="I24" s="46" t="s">
        <v>781</v>
      </c>
      <c r="J24" s="48" t="s">
        <v>554</v>
      </c>
    </row>
    <row r="25" ht="15" customHeight="1" spans="1:10">
      <c r="A25" s="42">
        <v>19</v>
      </c>
      <c r="B25" s="42" t="s">
        <v>457</v>
      </c>
      <c r="C25" s="43" t="s">
        <v>568</v>
      </c>
      <c r="D25" s="44" t="s">
        <v>569</v>
      </c>
      <c r="E25" s="57" t="s">
        <v>325</v>
      </c>
      <c r="F25" s="42" t="s">
        <v>163</v>
      </c>
      <c r="G25" s="42" t="s">
        <v>809</v>
      </c>
      <c r="H25" s="42" t="s">
        <v>805</v>
      </c>
      <c r="I25" s="42" t="s">
        <v>185</v>
      </c>
      <c r="J25" s="44" t="s">
        <v>570</v>
      </c>
    </row>
    <row r="26" ht="15" customHeight="1" spans="1:10">
      <c r="A26" s="46">
        <v>20</v>
      </c>
      <c r="B26" s="46" t="s">
        <v>48</v>
      </c>
      <c r="C26" s="47" t="s">
        <v>555</v>
      </c>
      <c r="D26" s="48" t="s">
        <v>556</v>
      </c>
      <c r="E26" s="52" t="s">
        <v>164</v>
      </c>
      <c r="F26" s="46" t="s">
        <v>163</v>
      </c>
      <c r="G26" s="46" t="s">
        <v>810</v>
      </c>
      <c r="H26" s="46" t="s">
        <v>805</v>
      </c>
      <c r="I26" s="46" t="s">
        <v>781</v>
      </c>
      <c r="J26" s="48" t="s">
        <v>781</v>
      </c>
    </row>
    <row r="27" ht="15" customHeight="1" spans="1:10">
      <c r="A27" s="42">
        <v>21</v>
      </c>
      <c r="B27" s="42" t="s">
        <v>324</v>
      </c>
      <c r="C27" s="43" t="s">
        <v>557</v>
      </c>
      <c r="D27" s="44" t="s">
        <v>558</v>
      </c>
      <c r="E27" s="52" t="s">
        <v>164</v>
      </c>
      <c r="F27" s="42" t="s">
        <v>163</v>
      </c>
      <c r="G27" s="42" t="s">
        <v>810</v>
      </c>
      <c r="H27" s="42" t="s">
        <v>805</v>
      </c>
      <c r="I27" s="42" t="s">
        <v>781</v>
      </c>
      <c r="J27" s="44" t="s">
        <v>781</v>
      </c>
    </row>
    <row r="28" ht="15" customHeight="1" spans="1:10">
      <c r="A28" s="46">
        <v>22</v>
      </c>
      <c r="B28" s="46" t="s">
        <v>324</v>
      </c>
      <c r="C28" s="47" t="s">
        <v>559</v>
      </c>
      <c r="D28" s="48" t="s">
        <v>560</v>
      </c>
      <c r="E28" s="52" t="s">
        <v>164</v>
      </c>
      <c r="F28" s="46" t="s">
        <v>163</v>
      </c>
      <c r="G28" s="46" t="s">
        <v>810</v>
      </c>
      <c r="H28" s="46" t="s">
        <v>805</v>
      </c>
      <c r="I28" s="46" t="s">
        <v>781</v>
      </c>
      <c r="J28" s="48" t="s">
        <v>781</v>
      </c>
    </row>
    <row r="29" ht="15" customHeight="1" spans="1:10">
      <c r="A29" s="42">
        <v>23</v>
      </c>
      <c r="B29" s="42" t="s">
        <v>48</v>
      </c>
      <c r="C29" s="43" t="s">
        <v>562</v>
      </c>
      <c r="D29" s="44" t="s">
        <v>563</v>
      </c>
      <c r="E29" s="52" t="s">
        <v>164</v>
      </c>
      <c r="F29" s="42" t="s">
        <v>163</v>
      </c>
      <c r="G29" s="42" t="s">
        <v>810</v>
      </c>
      <c r="H29" s="42" t="s">
        <v>805</v>
      </c>
      <c r="I29" s="42" t="s">
        <v>781</v>
      </c>
      <c r="J29" s="44" t="s">
        <v>781</v>
      </c>
    </row>
    <row r="30" ht="15" customHeight="1" spans="1:10">
      <c r="A30" s="46">
        <v>24</v>
      </c>
      <c r="B30" s="46" t="s">
        <v>48</v>
      </c>
      <c r="C30" s="47" t="s">
        <v>571</v>
      </c>
      <c r="D30" s="48" t="s">
        <v>572</v>
      </c>
      <c r="E30" s="52" t="s">
        <v>164</v>
      </c>
      <c r="F30" s="46" t="s">
        <v>163</v>
      </c>
      <c r="G30" s="46" t="s">
        <v>810</v>
      </c>
      <c r="H30" s="46" t="s">
        <v>805</v>
      </c>
      <c r="I30" s="46" t="s">
        <v>781</v>
      </c>
      <c r="J30" s="48" t="s">
        <v>781</v>
      </c>
    </row>
    <row r="31" ht="15" customHeight="1" spans="1:10">
      <c r="A31" s="42">
        <v>25</v>
      </c>
      <c r="B31" s="42" t="s">
        <v>324</v>
      </c>
      <c r="C31" s="43" t="s">
        <v>595</v>
      </c>
      <c r="D31" s="44" t="s">
        <v>596</v>
      </c>
      <c r="E31" s="52" t="s">
        <v>164</v>
      </c>
      <c r="F31" s="42" t="s">
        <v>163</v>
      </c>
      <c r="G31" s="42" t="s">
        <v>811</v>
      </c>
      <c r="H31" s="42" t="s">
        <v>805</v>
      </c>
      <c r="I31" s="42" t="s">
        <v>781</v>
      </c>
      <c r="J31" s="44" t="s">
        <v>781</v>
      </c>
    </row>
    <row r="32" ht="15" customHeight="1" spans="1:10">
      <c r="A32" s="46">
        <v>26</v>
      </c>
      <c r="B32" s="46" t="s">
        <v>48</v>
      </c>
      <c r="C32" s="47" t="s">
        <v>597</v>
      </c>
      <c r="D32" s="48" t="s">
        <v>598</v>
      </c>
      <c r="E32" s="52" t="s">
        <v>164</v>
      </c>
      <c r="F32" s="46" t="s">
        <v>163</v>
      </c>
      <c r="G32" s="46" t="s">
        <v>811</v>
      </c>
      <c r="H32" s="46" t="s">
        <v>805</v>
      </c>
      <c r="I32" s="46" t="s">
        <v>185</v>
      </c>
      <c r="J32" s="48" t="s">
        <v>781</v>
      </c>
    </row>
    <row r="33" ht="15" customHeight="1" spans="1:10">
      <c r="A33" s="42">
        <v>27</v>
      </c>
      <c r="B33" s="42" t="s">
        <v>48</v>
      </c>
      <c r="C33" s="43" t="s">
        <v>597</v>
      </c>
      <c r="D33" s="44" t="s">
        <v>601</v>
      </c>
      <c r="E33" s="52" t="s">
        <v>164</v>
      </c>
      <c r="F33" s="42" t="s">
        <v>163</v>
      </c>
      <c r="G33" s="42" t="s">
        <v>811</v>
      </c>
      <c r="H33" s="42" t="s">
        <v>805</v>
      </c>
      <c r="I33" s="42" t="s">
        <v>185</v>
      </c>
      <c r="J33" s="44" t="s">
        <v>781</v>
      </c>
    </row>
    <row r="34" ht="15" customHeight="1" spans="1:10">
      <c r="A34" s="46">
        <v>28</v>
      </c>
      <c r="B34" s="46" t="s">
        <v>48</v>
      </c>
      <c r="C34" s="47" t="s">
        <v>607</v>
      </c>
      <c r="D34" s="48" t="s">
        <v>608</v>
      </c>
      <c r="E34" s="57" t="s">
        <v>327</v>
      </c>
      <c r="F34" s="46" t="s">
        <v>163</v>
      </c>
      <c r="G34" s="46" t="s">
        <v>811</v>
      </c>
      <c r="H34" s="46" t="s">
        <v>805</v>
      </c>
      <c r="I34" s="46" t="s">
        <v>185</v>
      </c>
      <c r="J34" s="48" t="s">
        <v>781</v>
      </c>
    </row>
    <row r="35" ht="15" customHeight="1" spans="1:10">
      <c r="A35" s="42">
        <v>29</v>
      </c>
      <c r="B35" s="42" t="s">
        <v>457</v>
      </c>
      <c r="C35" s="43" t="s">
        <v>623</v>
      </c>
      <c r="D35" s="44" t="s">
        <v>624</v>
      </c>
      <c r="E35" s="52" t="s">
        <v>164</v>
      </c>
      <c r="F35" s="42" t="s">
        <v>163</v>
      </c>
      <c r="G35" s="42" t="s">
        <v>811</v>
      </c>
      <c r="H35" s="42" t="s">
        <v>805</v>
      </c>
      <c r="I35" s="42" t="s">
        <v>781</v>
      </c>
      <c r="J35" s="44" t="s">
        <v>781</v>
      </c>
    </row>
    <row r="36" ht="15" customHeight="1" spans="1:10">
      <c r="A36" s="46">
        <v>30</v>
      </c>
      <c r="B36" s="46" t="s">
        <v>266</v>
      </c>
      <c r="C36" s="47" t="s">
        <v>602</v>
      </c>
      <c r="D36" s="48" t="s">
        <v>603</v>
      </c>
      <c r="E36" s="53" t="s">
        <v>141</v>
      </c>
      <c r="F36" s="46" t="s">
        <v>163</v>
      </c>
      <c r="G36" s="46" t="s">
        <v>801</v>
      </c>
      <c r="H36" s="46" t="s">
        <v>805</v>
      </c>
      <c r="I36" s="46" t="s">
        <v>199</v>
      </c>
      <c r="J36" s="48" t="s">
        <v>781</v>
      </c>
    </row>
    <row r="37" ht="15" customHeight="1" spans="1:10">
      <c r="A37" s="42">
        <v>31</v>
      </c>
      <c r="B37" s="42" t="s">
        <v>324</v>
      </c>
      <c r="C37" s="43" t="s">
        <v>611</v>
      </c>
      <c r="D37" s="44" t="s">
        <v>612</v>
      </c>
      <c r="E37" s="57" t="s">
        <v>327</v>
      </c>
      <c r="F37" s="42" t="s">
        <v>163</v>
      </c>
      <c r="G37" s="42" t="s">
        <v>812</v>
      </c>
      <c r="H37" s="42" t="s">
        <v>805</v>
      </c>
      <c r="I37" s="42" t="s">
        <v>298</v>
      </c>
      <c r="J37" s="44" t="s">
        <v>613</v>
      </c>
    </row>
    <row r="38" ht="15" customHeight="1" spans="1:10">
      <c r="A38" s="46">
        <v>32</v>
      </c>
      <c r="B38" s="46" t="s">
        <v>266</v>
      </c>
      <c r="C38" s="47" t="s">
        <v>649</v>
      </c>
      <c r="D38" s="48" t="s">
        <v>650</v>
      </c>
      <c r="E38" s="52" t="s">
        <v>164</v>
      </c>
      <c r="F38" s="46" t="s">
        <v>163</v>
      </c>
      <c r="G38" s="46" t="s">
        <v>813</v>
      </c>
      <c r="H38" s="46" t="s">
        <v>805</v>
      </c>
      <c r="I38" s="46" t="s">
        <v>224</v>
      </c>
      <c r="J38" s="48" t="s">
        <v>651</v>
      </c>
    </row>
    <row r="39" ht="15" customHeight="1" spans="1:10">
      <c r="A39" s="42">
        <v>33</v>
      </c>
      <c r="B39" s="42" t="s">
        <v>324</v>
      </c>
      <c r="C39" s="43" t="s">
        <v>656</v>
      </c>
      <c r="D39" s="44" t="s">
        <v>657</v>
      </c>
      <c r="E39" s="52" t="s">
        <v>164</v>
      </c>
      <c r="F39" s="42" t="s">
        <v>163</v>
      </c>
      <c r="G39" s="42" t="s">
        <v>784</v>
      </c>
      <c r="H39" s="42" t="s">
        <v>805</v>
      </c>
      <c r="I39" s="42" t="s">
        <v>781</v>
      </c>
      <c r="J39" s="44" t="s">
        <v>781</v>
      </c>
    </row>
    <row r="40" ht="15" customHeight="1" spans="1:10">
      <c r="A40" s="46">
        <v>34</v>
      </c>
      <c r="B40" s="46" t="s">
        <v>457</v>
      </c>
      <c r="C40" s="47" t="s">
        <v>681</v>
      </c>
      <c r="D40" s="48" t="s">
        <v>682</v>
      </c>
      <c r="E40" s="52" t="s">
        <v>164</v>
      </c>
      <c r="F40" s="46" t="s">
        <v>163</v>
      </c>
      <c r="G40" s="46" t="s">
        <v>814</v>
      </c>
      <c r="H40" s="46" t="s">
        <v>805</v>
      </c>
      <c r="I40" s="46" t="s">
        <v>781</v>
      </c>
      <c r="J40" s="48" t="s">
        <v>781</v>
      </c>
    </row>
    <row r="41" ht="15" customHeight="1" spans="1:10">
      <c r="A41" s="42">
        <v>35</v>
      </c>
      <c r="B41" s="42" t="s">
        <v>266</v>
      </c>
      <c r="C41" s="43" t="s">
        <v>687</v>
      </c>
      <c r="D41" s="44" t="s">
        <v>688</v>
      </c>
      <c r="E41" s="52" t="s">
        <v>164</v>
      </c>
      <c r="F41" s="42" t="s">
        <v>163</v>
      </c>
      <c r="G41" s="42" t="s">
        <v>787</v>
      </c>
      <c r="H41" s="42" t="s">
        <v>805</v>
      </c>
      <c r="I41" s="42" t="s">
        <v>781</v>
      </c>
      <c r="J41" s="44" t="s">
        <v>781</v>
      </c>
    </row>
    <row r="42" ht="15" customHeight="1" spans="1:10">
      <c r="A42" s="46">
        <v>36</v>
      </c>
      <c r="B42" s="46" t="s">
        <v>48</v>
      </c>
      <c r="C42" s="47" t="s">
        <v>704</v>
      </c>
      <c r="D42" s="48" t="s">
        <v>705</v>
      </c>
      <c r="E42" s="52" t="s">
        <v>164</v>
      </c>
      <c r="F42" s="46" t="s">
        <v>163</v>
      </c>
      <c r="G42" s="46" t="s">
        <v>803</v>
      </c>
      <c r="H42" s="46" t="s">
        <v>805</v>
      </c>
      <c r="I42" s="46" t="s">
        <v>781</v>
      </c>
      <c r="J42" s="48" t="s">
        <v>422</v>
      </c>
    </row>
    <row r="43" ht="18" customHeight="1" spans="1:10">
      <c r="A43" s="51" t="s">
        <v>815</v>
      </c>
    </row>
    <row r="44" ht="15" customHeight="1" spans="1:10">
      <c r="A44" s="42">
        <v>37</v>
      </c>
      <c r="B44" s="42" t="s">
        <v>162</v>
      </c>
      <c r="C44" s="43" t="s">
        <v>312</v>
      </c>
      <c r="D44" s="44" t="s">
        <v>313</v>
      </c>
      <c r="E44" s="53" t="s">
        <v>141</v>
      </c>
      <c r="F44" s="42" t="s">
        <v>188</v>
      </c>
      <c r="G44" s="42" t="s">
        <v>788</v>
      </c>
      <c r="H44" s="42" t="s">
        <v>800</v>
      </c>
      <c r="I44" s="42" t="s">
        <v>199</v>
      </c>
      <c r="J44" s="44" t="s">
        <v>781</v>
      </c>
    </row>
    <row r="45" ht="15" customHeight="1" spans="1:10">
      <c r="A45" s="46">
        <v>38</v>
      </c>
      <c r="B45" s="46" t="s">
        <v>162</v>
      </c>
      <c r="C45" s="47" t="s">
        <v>341</v>
      </c>
      <c r="D45" s="48" t="s">
        <v>342</v>
      </c>
      <c r="E45" s="53" t="s">
        <v>141</v>
      </c>
      <c r="F45" s="46" t="s">
        <v>188</v>
      </c>
      <c r="G45" s="46" t="s">
        <v>788</v>
      </c>
      <c r="H45" s="46" t="s">
        <v>800</v>
      </c>
      <c r="I45" s="46" t="s">
        <v>269</v>
      </c>
      <c r="J45" s="48" t="s">
        <v>343</v>
      </c>
    </row>
    <row r="46" ht="15" customHeight="1" spans="1:10">
      <c r="A46" s="42">
        <v>39</v>
      </c>
      <c r="B46" s="42" t="s">
        <v>162</v>
      </c>
      <c r="C46" s="43" t="s">
        <v>344</v>
      </c>
      <c r="D46" s="44" t="s">
        <v>345</v>
      </c>
      <c r="E46" s="53" t="s">
        <v>141</v>
      </c>
      <c r="F46" s="42" t="s">
        <v>188</v>
      </c>
      <c r="G46" s="42" t="s">
        <v>788</v>
      </c>
      <c r="H46" s="42" t="s">
        <v>800</v>
      </c>
      <c r="I46" s="42" t="s">
        <v>208</v>
      </c>
      <c r="J46" s="44" t="s">
        <v>781</v>
      </c>
    </row>
    <row r="47" ht="15" customHeight="1" spans="1:10">
      <c r="A47" s="46">
        <v>40</v>
      </c>
      <c r="B47" s="46" t="s">
        <v>162</v>
      </c>
      <c r="C47" s="47" t="s">
        <v>383</v>
      </c>
      <c r="D47" s="48" t="s">
        <v>384</v>
      </c>
      <c r="E47" s="53" t="s">
        <v>141</v>
      </c>
      <c r="F47" s="46" t="s">
        <v>188</v>
      </c>
      <c r="G47" s="46" t="s">
        <v>788</v>
      </c>
      <c r="H47" s="46" t="s">
        <v>800</v>
      </c>
      <c r="I47" s="46" t="s">
        <v>269</v>
      </c>
      <c r="J47" s="48" t="s">
        <v>781</v>
      </c>
    </row>
    <row r="48" ht="15" customHeight="1" spans="1:10">
      <c r="A48" s="42">
        <v>41</v>
      </c>
      <c r="B48" s="42" t="s">
        <v>162</v>
      </c>
      <c r="C48" s="43" t="s">
        <v>385</v>
      </c>
      <c r="D48" s="44" t="s">
        <v>386</v>
      </c>
      <c r="E48" s="53" t="s">
        <v>141</v>
      </c>
      <c r="F48" s="42" t="s">
        <v>188</v>
      </c>
      <c r="G48" s="42" t="s">
        <v>788</v>
      </c>
      <c r="H48" s="42" t="s">
        <v>800</v>
      </c>
      <c r="I48" s="42" t="s">
        <v>199</v>
      </c>
      <c r="J48" s="44" t="s">
        <v>387</v>
      </c>
    </row>
    <row r="49" ht="15" customHeight="1" spans="1:10">
      <c r="A49" s="46">
        <v>42</v>
      </c>
      <c r="B49" s="46" t="s">
        <v>404</v>
      </c>
      <c r="C49" s="47" t="s">
        <v>402</v>
      </c>
      <c r="D49" s="48" t="s">
        <v>403</v>
      </c>
      <c r="E49" s="53" t="s">
        <v>141</v>
      </c>
      <c r="F49" s="46" t="s">
        <v>163</v>
      </c>
      <c r="G49" s="46" t="s">
        <v>808</v>
      </c>
      <c r="H49" s="46" t="s">
        <v>800</v>
      </c>
      <c r="I49" s="46" t="s">
        <v>208</v>
      </c>
      <c r="J49" s="48" t="s">
        <v>781</v>
      </c>
    </row>
    <row r="50" ht="15" customHeight="1" spans="1:10">
      <c r="A50" s="42">
        <v>43</v>
      </c>
      <c r="B50" s="42" t="s">
        <v>162</v>
      </c>
      <c r="C50" s="43" t="s">
        <v>160</v>
      </c>
      <c r="D50" s="44" t="s">
        <v>161</v>
      </c>
      <c r="E50" s="52" t="s">
        <v>164</v>
      </c>
      <c r="F50" s="42" t="s">
        <v>163</v>
      </c>
      <c r="G50" s="42" t="s">
        <v>793</v>
      </c>
      <c r="H50" s="42" t="s">
        <v>802</v>
      </c>
      <c r="I50" s="42" t="s">
        <v>781</v>
      </c>
      <c r="J50" s="44" t="s">
        <v>165</v>
      </c>
    </row>
    <row r="51" ht="15" customHeight="1" spans="1:10">
      <c r="A51" s="46">
        <v>44</v>
      </c>
      <c r="B51" s="46" t="s">
        <v>162</v>
      </c>
      <c r="C51" s="47" t="s">
        <v>219</v>
      </c>
      <c r="D51" s="48" t="s">
        <v>683</v>
      </c>
      <c r="E51" s="53" t="s">
        <v>141</v>
      </c>
      <c r="F51" s="46" t="s">
        <v>167</v>
      </c>
      <c r="G51" s="46" t="s">
        <v>786</v>
      </c>
      <c r="H51" s="46" t="s">
        <v>805</v>
      </c>
      <c r="I51" s="46" t="s">
        <v>685</v>
      </c>
      <c r="J51" s="48" t="s">
        <v>684</v>
      </c>
    </row>
    <row r="52" ht="15" customHeight="1" spans="1:10">
      <c r="A52" s="42">
        <v>45</v>
      </c>
      <c r="B52" s="42" t="s">
        <v>162</v>
      </c>
      <c r="C52" s="43" t="s">
        <v>348</v>
      </c>
      <c r="D52" s="44" t="s">
        <v>349</v>
      </c>
      <c r="E52" s="52" t="s">
        <v>164</v>
      </c>
      <c r="F52" s="42" t="s">
        <v>188</v>
      </c>
      <c r="G52" s="42" t="s">
        <v>788</v>
      </c>
      <c r="H52" s="42" t="s">
        <v>805</v>
      </c>
      <c r="I52" s="42" t="s">
        <v>269</v>
      </c>
      <c r="J52" s="44" t="s">
        <v>350</v>
      </c>
    </row>
    <row r="53" ht="15" customHeight="1" spans="1:10">
      <c r="A53" s="46">
        <v>46</v>
      </c>
      <c r="B53" s="46" t="s">
        <v>162</v>
      </c>
      <c r="C53" s="47" t="s">
        <v>351</v>
      </c>
      <c r="D53" s="48" t="s">
        <v>352</v>
      </c>
      <c r="E53" s="52" t="s">
        <v>164</v>
      </c>
      <c r="F53" s="46" t="s">
        <v>188</v>
      </c>
      <c r="G53" s="46" t="s">
        <v>788</v>
      </c>
      <c r="H53" s="46" t="s">
        <v>805</v>
      </c>
      <c r="I53" s="46" t="s">
        <v>781</v>
      </c>
      <c r="J53" s="48" t="s">
        <v>350</v>
      </c>
    </row>
    <row r="54" ht="15" customHeight="1" spans="1:10">
      <c r="A54" s="42">
        <v>47</v>
      </c>
      <c r="B54" s="42" t="s">
        <v>162</v>
      </c>
      <c r="C54" s="43" t="s">
        <v>353</v>
      </c>
      <c r="D54" s="44" t="s">
        <v>354</v>
      </c>
      <c r="E54" s="52" t="s">
        <v>164</v>
      </c>
      <c r="F54" s="42" t="s">
        <v>188</v>
      </c>
      <c r="G54" s="42" t="s">
        <v>788</v>
      </c>
      <c r="H54" s="42" t="s">
        <v>805</v>
      </c>
      <c r="I54" s="42" t="s">
        <v>781</v>
      </c>
      <c r="J54" s="44" t="s">
        <v>350</v>
      </c>
    </row>
    <row r="55" ht="15" customHeight="1" spans="1:10">
      <c r="A55" s="46">
        <v>48</v>
      </c>
      <c r="B55" s="46" t="s">
        <v>162</v>
      </c>
      <c r="C55" s="47" t="s">
        <v>398</v>
      </c>
      <c r="D55" s="48" t="s">
        <v>399</v>
      </c>
      <c r="E55" s="52" t="s">
        <v>164</v>
      </c>
      <c r="F55" s="46" t="s">
        <v>188</v>
      </c>
      <c r="G55" s="46" t="s">
        <v>788</v>
      </c>
      <c r="H55" s="46" t="s">
        <v>805</v>
      </c>
      <c r="I55" s="46" t="s">
        <v>269</v>
      </c>
      <c r="J55" s="48" t="s">
        <v>350</v>
      </c>
    </row>
    <row r="56" ht="15" customHeight="1" spans="1:10">
      <c r="A56" s="42">
        <v>49</v>
      </c>
      <c r="B56" s="42" t="s">
        <v>162</v>
      </c>
      <c r="C56" s="43" t="s">
        <v>243</v>
      </c>
      <c r="D56" s="44" t="s">
        <v>405</v>
      </c>
      <c r="E56" s="52" t="s">
        <v>164</v>
      </c>
      <c r="F56" s="42" t="s">
        <v>188</v>
      </c>
      <c r="G56" s="42" t="s">
        <v>788</v>
      </c>
      <c r="H56" s="42" t="s">
        <v>805</v>
      </c>
      <c r="I56" s="42" t="s">
        <v>269</v>
      </c>
      <c r="J56" s="44" t="s">
        <v>350</v>
      </c>
    </row>
    <row r="57" ht="15" customHeight="1" spans="1:10">
      <c r="A57" s="46">
        <v>50</v>
      </c>
      <c r="B57" s="46" t="s">
        <v>162</v>
      </c>
      <c r="C57" s="47" t="s">
        <v>406</v>
      </c>
      <c r="D57" s="48" t="s">
        <v>407</v>
      </c>
      <c r="E57" s="52" t="s">
        <v>164</v>
      </c>
      <c r="F57" s="46" t="s">
        <v>188</v>
      </c>
      <c r="G57" s="46" t="s">
        <v>788</v>
      </c>
      <c r="H57" s="46" t="s">
        <v>805</v>
      </c>
      <c r="I57" s="46" t="s">
        <v>199</v>
      </c>
      <c r="J57" s="48" t="s">
        <v>387</v>
      </c>
    </row>
    <row r="58" ht="15" customHeight="1" spans="1:10">
      <c r="A58" s="42">
        <v>51</v>
      </c>
      <c r="B58" s="42" t="s">
        <v>162</v>
      </c>
      <c r="C58" s="43" t="s">
        <v>409</v>
      </c>
      <c r="D58" s="44" t="s">
        <v>410</v>
      </c>
      <c r="E58" s="52" t="s">
        <v>164</v>
      </c>
      <c r="F58" s="42" t="s">
        <v>188</v>
      </c>
      <c r="G58" s="42" t="s">
        <v>788</v>
      </c>
      <c r="H58" s="42" t="s">
        <v>805</v>
      </c>
      <c r="I58" s="42" t="s">
        <v>199</v>
      </c>
      <c r="J58" s="44" t="s">
        <v>387</v>
      </c>
    </row>
    <row r="59" ht="15" customHeight="1" spans="1:10">
      <c r="A59" s="46">
        <v>52</v>
      </c>
      <c r="B59" s="46" t="s">
        <v>162</v>
      </c>
      <c r="C59" s="47" t="s">
        <v>411</v>
      </c>
      <c r="D59" s="48" t="s">
        <v>412</v>
      </c>
      <c r="E59" s="52" t="s">
        <v>164</v>
      </c>
      <c r="F59" s="46" t="s">
        <v>188</v>
      </c>
      <c r="G59" s="46" t="s">
        <v>788</v>
      </c>
      <c r="H59" s="46" t="s">
        <v>805</v>
      </c>
      <c r="I59" s="46" t="s">
        <v>269</v>
      </c>
      <c r="J59" s="48" t="s">
        <v>350</v>
      </c>
    </row>
    <row r="60" ht="15" customHeight="1" spans="1:10">
      <c r="A60" s="42">
        <v>53</v>
      </c>
      <c r="B60" s="42" t="s">
        <v>162</v>
      </c>
      <c r="C60" s="43" t="s">
        <v>414</v>
      </c>
      <c r="D60" s="44" t="s">
        <v>415</v>
      </c>
      <c r="E60" s="52" t="s">
        <v>164</v>
      </c>
      <c r="F60" s="42" t="s">
        <v>188</v>
      </c>
      <c r="G60" s="42" t="s">
        <v>788</v>
      </c>
      <c r="H60" s="42" t="s">
        <v>805</v>
      </c>
      <c r="I60" s="42" t="s">
        <v>269</v>
      </c>
      <c r="J60" s="44" t="s">
        <v>350</v>
      </c>
    </row>
    <row r="61" ht="15" customHeight="1" spans="1:10">
      <c r="A61" s="46">
        <v>54</v>
      </c>
      <c r="B61" s="46" t="s">
        <v>162</v>
      </c>
      <c r="C61" s="47" t="s">
        <v>416</v>
      </c>
      <c r="D61" s="48" t="s">
        <v>417</v>
      </c>
      <c r="E61" s="52" t="s">
        <v>164</v>
      </c>
      <c r="F61" s="46" t="s">
        <v>188</v>
      </c>
      <c r="G61" s="46" t="s">
        <v>788</v>
      </c>
      <c r="H61" s="46" t="s">
        <v>805</v>
      </c>
      <c r="I61" s="46" t="s">
        <v>208</v>
      </c>
      <c r="J61" s="48" t="s">
        <v>350</v>
      </c>
    </row>
    <row r="62" ht="15" customHeight="1" spans="1:10">
      <c r="A62" s="42">
        <v>55</v>
      </c>
      <c r="B62" s="42" t="s">
        <v>162</v>
      </c>
      <c r="C62" s="43" t="s">
        <v>416</v>
      </c>
      <c r="D62" s="44" t="s">
        <v>423</v>
      </c>
      <c r="E62" s="52" t="s">
        <v>164</v>
      </c>
      <c r="F62" s="42" t="s">
        <v>188</v>
      </c>
      <c r="G62" s="42" t="s">
        <v>788</v>
      </c>
      <c r="H62" s="42" t="s">
        <v>805</v>
      </c>
      <c r="I62" s="42" t="s">
        <v>208</v>
      </c>
      <c r="J62" s="44" t="s">
        <v>350</v>
      </c>
    </row>
    <row r="63" ht="15" customHeight="1" spans="1:10">
      <c r="A63" s="46">
        <v>56</v>
      </c>
      <c r="B63" s="46" t="s">
        <v>162</v>
      </c>
      <c r="C63" s="47" t="s">
        <v>592</v>
      </c>
      <c r="D63" s="48" t="s">
        <v>593</v>
      </c>
      <c r="E63" s="52" t="s">
        <v>164</v>
      </c>
      <c r="F63" s="46" t="s">
        <v>163</v>
      </c>
      <c r="G63" s="46" t="s">
        <v>816</v>
      </c>
      <c r="H63" s="46" t="s">
        <v>805</v>
      </c>
      <c r="I63" s="46" t="s">
        <v>199</v>
      </c>
      <c r="J63" s="48" t="s">
        <v>781</v>
      </c>
    </row>
    <row r="64" ht="15" customHeight="1" spans="1:10">
      <c r="A64" s="42">
        <v>57</v>
      </c>
      <c r="B64" s="42" t="s">
        <v>162</v>
      </c>
      <c r="C64" s="43" t="s">
        <v>368</v>
      </c>
      <c r="D64" s="44" t="s">
        <v>599</v>
      </c>
      <c r="E64" s="57" t="s">
        <v>327</v>
      </c>
      <c r="F64" s="42" t="s">
        <v>163</v>
      </c>
      <c r="G64" s="42" t="s">
        <v>816</v>
      </c>
      <c r="H64" s="42" t="s">
        <v>805</v>
      </c>
      <c r="I64" s="42" t="s">
        <v>269</v>
      </c>
      <c r="J64" s="44" t="s">
        <v>781</v>
      </c>
    </row>
    <row r="65" ht="18" customHeight="1" spans="1:10">
      <c r="A65" s="51" t="s">
        <v>817</v>
      </c>
    </row>
    <row r="66" ht="15" customHeight="1" spans="1:10">
      <c r="A66" s="46">
        <v>58</v>
      </c>
      <c r="B66" s="46" t="s">
        <v>14</v>
      </c>
      <c r="C66" s="47" t="s">
        <v>173</v>
      </c>
      <c r="D66" s="48" t="s">
        <v>174</v>
      </c>
      <c r="E66" s="53" t="s">
        <v>141</v>
      </c>
      <c r="F66" s="46" t="s">
        <v>167</v>
      </c>
      <c r="G66" s="46" t="s">
        <v>786</v>
      </c>
      <c r="H66" s="46" t="s">
        <v>800</v>
      </c>
      <c r="I66" s="46" t="s">
        <v>175</v>
      </c>
      <c r="J66" s="48" t="s">
        <v>781</v>
      </c>
    </row>
    <row r="67" ht="15" customHeight="1" spans="1:10">
      <c r="A67" s="42">
        <v>59</v>
      </c>
      <c r="B67" s="42" t="s">
        <v>183</v>
      </c>
      <c r="C67" s="43" t="s">
        <v>182</v>
      </c>
      <c r="D67" s="44" t="s">
        <v>781</v>
      </c>
      <c r="E67" s="52" t="s">
        <v>164</v>
      </c>
      <c r="F67" s="42" t="s">
        <v>167</v>
      </c>
      <c r="G67" s="42" t="s">
        <v>786</v>
      </c>
      <c r="H67" s="42" t="s">
        <v>805</v>
      </c>
      <c r="I67" s="42" t="s">
        <v>185</v>
      </c>
      <c r="J67" s="44" t="s">
        <v>184</v>
      </c>
    </row>
    <row r="68" ht="15" customHeight="1" spans="1:10">
      <c r="A68" s="46">
        <v>60</v>
      </c>
      <c r="B68" s="46" t="s">
        <v>14</v>
      </c>
      <c r="C68" s="47" t="s">
        <v>287</v>
      </c>
      <c r="D68" s="48" t="s">
        <v>288</v>
      </c>
      <c r="E68" s="52" t="s">
        <v>164</v>
      </c>
      <c r="F68" s="46" t="s">
        <v>167</v>
      </c>
      <c r="G68" s="46" t="s">
        <v>786</v>
      </c>
      <c r="H68" s="46" t="s">
        <v>805</v>
      </c>
      <c r="I68" s="46" t="s">
        <v>781</v>
      </c>
      <c r="J68" s="48" t="s">
        <v>781</v>
      </c>
    </row>
    <row r="69" ht="15" customHeight="1" spans="1:10">
      <c r="A69" s="42">
        <v>61</v>
      </c>
      <c r="B69" s="42" t="s">
        <v>14</v>
      </c>
      <c r="C69" s="43" t="s">
        <v>307</v>
      </c>
      <c r="D69" s="44" t="s">
        <v>781</v>
      </c>
      <c r="E69" s="58" t="s">
        <v>189</v>
      </c>
      <c r="F69" s="42" t="s">
        <v>167</v>
      </c>
      <c r="G69" s="42" t="s">
        <v>786</v>
      </c>
      <c r="H69" s="42" t="s">
        <v>805</v>
      </c>
      <c r="I69" s="42" t="s">
        <v>224</v>
      </c>
      <c r="J69" s="44" t="s">
        <v>308</v>
      </c>
    </row>
    <row r="70" ht="15" customHeight="1" spans="1:10">
      <c r="A70" s="46">
        <v>62</v>
      </c>
      <c r="B70" s="46" t="s">
        <v>434</v>
      </c>
      <c r="C70" s="47" t="s">
        <v>219</v>
      </c>
      <c r="D70" s="48" t="s">
        <v>433</v>
      </c>
      <c r="E70" s="58" t="s">
        <v>189</v>
      </c>
      <c r="F70" s="46" t="s">
        <v>167</v>
      </c>
      <c r="G70" s="46" t="s">
        <v>786</v>
      </c>
      <c r="H70" s="46" t="s">
        <v>805</v>
      </c>
      <c r="I70" s="46" t="s">
        <v>185</v>
      </c>
      <c r="J70" s="48" t="s">
        <v>435</v>
      </c>
    </row>
    <row r="71" ht="15" customHeight="1" spans="1:10">
      <c r="A71" s="42">
        <v>63</v>
      </c>
      <c r="B71" s="42" t="s">
        <v>183</v>
      </c>
      <c r="C71" s="43" t="s">
        <v>326</v>
      </c>
      <c r="D71" s="44" t="s">
        <v>781</v>
      </c>
      <c r="E71" s="57" t="s">
        <v>327</v>
      </c>
      <c r="F71" s="42" t="s">
        <v>188</v>
      </c>
      <c r="G71" s="42" t="s">
        <v>788</v>
      </c>
      <c r="H71" s="42" t="s">
        <v>805</v>
      </c>
      <c r="I71" s="42" t="s">
        <v>781</v>
      </c>
      <c r="J71" s="44" t="s">
        <v>781</v>
      </c>
    </row>
    <row r="72" ht="15" customHeight="1" spans="1:10">
      <c r="A72" s="46">
        <v>64</v>
      </c>
      <c r="B72" s="46" t="s">
        <v>183</v>
      </c>
      <c r="C72" s="47" t="s">
        <v>328</v>
      </c>
      <c r="D72" s="48" t="s">
        <v>781</v>
      </c>
      <c r="E72" s="57" t="s">
        <v>327</v>
      </c>
      <c r="F72" s="46" t="s">
        <v>188</v>
      </c>
      <c r="G72" s="46" t="s">
        <v>788</v>
      </c>
      <c r="H72" s="46" t="s">
        <v>805</v>
      </c>
      <c r="I72" s="46" t="s">
        <v>781</v>
      </c>
      <c r="J72" s="48" t="s">
        <v>781</v>
      </c>
    </row>
    <row r="73" ht="15" customHeight="1" spans="1:10">
      <c r="A73" s="42">
        <v>65</v>
      </c>
      <c r="B73" s="42" t="s">
        <v>183</v>
      </c>
      <c r="C73" s="43" t="s">
        <v>329</v>
      </c>
      <c r="D73" s="44" t="s">
        <v>781</v>
      </c>
      <c r="E73" s="57" t="s">
        <v>327</v>
      </c>
      <c r="F73" s="42" t="s">
        <v>188</v>
      </c>
      <c r="G73" s="42" t="s">
        <v>788</v>
      </c>
      <c r="H73" s="42" t="s">
        <v>805</v>
      </c>
      <c r="I73" s="42" t="s">
        <v>781</v>
      </c>
      <c r="J73" s="44" t="s">
        <v>781</v>
      </c>
    </row>
    <row r="74" ht="15" customHeight="1" spans="1:10">
      <c r="A74" s="46">
        <v>66</v>
      </c>
      <c r="B74" s="46" t="s">
        <v>183</v>
      </c>
      <c r="C74" s="47" t="s">
        <v>330</v>
      </c>
      <c r="D74" s="48" t="s">
        <v>781</v>
      </c>
      <c r="E74" s="59" t="s">
        <v>331</v>
      </c>
      <c r="F74" s="46" t="s">
        <v>188</v>
      </c>
      <c r="G74" s="46" t="s">
        <v>788</v>
      </c>
      <c r="H74" s="46" t="s">
        <v>805</v>
      </c>
      <c r="I74" s="46" t="s">
        <v>781</v>
      </c>
      <c r="J74" s="48" t="s">
        <v>781</v>
      </c>
    </row>
    <row r="75" ht="15" customHeight="1" spans="1:10">
      <c r="A75" s="42">
        <v>67</v>
      </c>
      <c r="B75" s="42" t="s">
        <v>183</v>
      </c>
      <c r="C75" s="43" t="s">
        <v>332</v>
      </c>
      <c r="D75" s="44" t="s">
        <v>781</v>
      </c>
      <c r="E75" s="57" t="s">
        <v>327</v>
      </c>
      <c r="F75" s="42" t="s">
        <v>188</v>
      </c>
      <c r="G75" s="42" t="s">
        <v>788</v>
      </c>
      <c r="H75" s="42" t="s">
        <v>805</v>
      </c>
      <c r="I75" s="42" t="s">
        <v>781</v>
      </c>
      <c r="J75" s="44" t="s">
        <v>781</v>
      </c>
    </row>
    <row r="76" ht="15" customHeight="1" spans="1:10">
      <c r="A76" s="46">
        <v>68</v>
      </c>
      <c r="B76" s="46" t="s">
        <v>183</v>
      </c>
      <c r="C76" s="47" t="s">
        <v>333</v>
      </c>
      <c r="D76" s="48" t="s">
        <v>781</v>
      </c>
      <c r="E76" s="57" t="s">
        <v>327</v>
      </c>
      <c r="F76" s="46" t="s">
        <v>188</v>
      </c>
      <c r="G76" s="46" t="s">
        <v>788</v>
      </c>
      <c r="H76" s="46" t="s">
        <v>805</v>
      </c>
      <c r="I76" s="46" t="s">
        <v>781</v>
      </c>
      <c r="J76" s="48" t="s">
        <v>781</v>
      </c>
    </row>
    <row r="77" ht="15" customHeight="1" spans="1:10">
      <c r="A77" s="42">
        <v>69</v>
      </c>
      <c r="B77" s="42" t="s">
        <v>183</v>
      </c>
      <c r="C77" s="43" t="s">
        <v>334</v>
      </c>
      <c r="D77" s="44" t="s">
        <v>781</v>
      </c>
      <c r="E77" s="57" t="s">
        <v>327</v>
      </c>
      <c r="F77" s="42" t="s">
        <v>188</v>
      </c>
      <c r="G77" s="42" t="s">
        <v>788</v>
      </c>
      <c r="H77" s="42" t="s">
        <v>805</v>
      </c>
      <c r="I77" s="42" t="s">
        <v>781</v>
      </c>
      <c r="J77" s="44" t="s">
        <v>781</v>
      </c>
    </row>
    <row r="78" ht="15" customHeight="1" spans="1:10">
      <c r="A78" s="46">
        <v>70</v>
      </c>
      <c r="B78" s="46" t="s">
        <v>183</v>
      </c>
      <c r="C78" s="47" t="s">
        <v>335</v>
      </c>
      <c r="D78" s="48" t="s">
        <v>781</v>
      </c>
      <c r="E78" s="60" t="s">
        <v>336</v>
      </c>
      <c r="F78" s="46" t="s">
        <v>188</v>
      </c>
      <c r="G78" s="46" t="s">
        <v>788</v>
      </c>
      <c r="H78" s="46" t="s">
        <v>805</v>
      </c>
      <c r="I78" s="46" t="s">
        <v>185</v>
      </c>
      <c r="J78" s="48" t="s">
        <v>781</v>
      </c>
    </row>
    <row r="79" ht="15" customHeight="1" spans="1:10">
      <c r="A79" s="42">
        <v>71</v>
      </c>
      <c r="B79" s="42" t="s">
        <v>183</v>
      </c>
      <c r="C79" s="43" t="s">
        <v>340</v>
      </c>
      <c r="D79" s="44" t="s">
        <v>781</v>
      </c>
      <c r="E79" s="52" t="s">
        <v>164</v>
      </c>
      <c r="F79" s="42" t="s">
        <v>188</v>
      </c>
      <c r="G79" s="42" t="s">
        <v>788</v>
      </c>
      <c r="H79" s="42" t="s">
        <v>805</v>
      </c>
      <c r="I79" s="42" t="s">
        <v>781</v>
      </c>
      <c r="J79" s="44" t="s">
        <v>781</v>
      </c>
    </row>
    <row r="80" ht="15" customHeight="1" spans="1:10">
      <c r="A80" s="46">
        <v>72</v>
      </c>
      <c r="B80" s="46" t="s">
        <v>183</v>
      </c>
      <c r="C80" s="47" t="s">
        <v>347</v>
      </c>
      <c r="D80" s="48" t="s">
        <v>781</v>
      </c>
      <c r="E80" s="52" t="s">
        <v>164</v>
      </c>
      <c r="F80" s="46" t="s">
        <v>188</v>
      </c>
      <c r="G80" s="46" t="s">
        <v>788</v>
      </c>
      <c r="H80" s="46" t="s">
        <v>805</v>
      </c>
      <c r="I80" s="46" t="s">
        <v>781</v>
      </c>
      <c r="J80" s="48" t="s">
        <v>781</v>
      </c>
    </row>
    <row r="81" ht="15" customHeight="1" spans="1:10">
      <c r="A81" s="42">
        <v>73</v>
      </c>
      <c r="B81" s="42" t="s">
        <v>183</v>
      </c>
      <c r="C81" s="43" t="s">
        <v>452</v>
      </c>
      <c r="D81" s="44" t="s">
        <v>781</v>
      </c>
      <c r="E81" s="57" t="s">
        <v>327</v>
      </c>
      <c r="F81" s="42" t="s">
        <v>188</v>
      </c>
      <c r="G81" s="42" t="s">
        <v>788</v>
      </c>
      <c r="H81" s="42" t="s">
        <v>805</v>
      </c>
      <c r="I81" s="42" t="s">
        <v>781</v>
      </c>
      <c r="J81" s="44" t="s">
        <v>781</v>
      </c>
    </row>
    <row r="82" ht="15" customHeight="1" spans="1:10">
      <c r="A82" s="46">
        <v>74</v>
      </c>
      <c r="B82" s="46" t="s">
        <v>434</v>
      </c>
      <c r="C82" s="47" t="s">
        <v>460</v>
      </c>
      <c r="D82" s="48" t="s">
        <v>781</v>
      </c>
      <c r="E82" s="52" t="s">
        <v>164</v>
      </c>
      <c r="F82" s="46" t="s">
        <v>188</v>
      </c>
      <c r="G82" s="46" t="s">
        <v>788</v>
      </c>
      <c r="H82" s="46" t="s">
        <v>805</v>
      </c>
      <c r="I82" s="46" t="s">
        <v>781</v>
      </c>
      <c r="J82" s="48" t="s">
        <v>461</v>
      </c>
    </row>
    <row r="83" ht="15" customHeight="1" spans="1:10">
      <c r="A83" s="42">
        <v>75</v>
      </c>
      <c r="B83" s="42" t="s">
        <v>434</v>
      </c>
      <c r="C83" s="43" t="s">
        <v>492</v>
      </c>
      <c r="D83" s="44" t="s">
        <v>781</v>
      </c>
      <c r="E83" s="57" t="s">
        <v>327</v>
      </c>
      <c r="F83" s="42" t="s">
        <v>188</v>
      </c>
      <c r="G83" s="42" t="s">
        <v>788</v>
      </c>
      <c r="H83" s="42" t="s">
        <v>805</v>
      </c>
      <c r="I83" s="42" t="s">
        <v>781</v>
      </c>
      <c r="J83" s="44" t="s">
        <v>781</v>
      </c>
    </row>
    <row r="84" ht="15" customHeight="1" spans="1:10">
      <c r="A84" s="46">
        <v>76</v>
      </c>
      <c r="B84" s="46" t="s">
        <v>183</v>
      </c>
      <c r="C84" s="47" t="s">
        <v>690</v>
      </c>
      <c r="D84" s="48" t="s">
        <v>781</v>
      </c>
      <c r="E84" s="53" t="s">
        <v>141</v>
      </c>
      <c r="F84" s="46" t="s">
        <v>188</v>
      </c>
      <c r="G84" s="46" t="s">
        <v>788</v>
      </c>
      <c r="H84" s="46" t="s">
        <v>805</v>
      </c>
      <c r="I84" s="46" t="s">
        <v>185</v>
      </c>
      <c r="J84" s="48" t="s">
        <v>781</v>
      </c>
    </row>
  </sheetData>
  <mergeCells count="5">
    <mergeCell ref="A3:J3"/>
    <mergeCell ref="A6:J6"/>
    <mergeCell ref="A43:J43"/>
    <mergeCell ref="A65:J65"/>
    <mergeCell ref="A1:J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showGridLines="0" workbookViewId="0">
      <pane ySplit="5" topLeftCell="A6" activePane="bottomLeft" state="frozen"/>
      <selection/>
      <selection pane="bottomLeft" activeCell="A1" sqref="A1:J2"/>
    </sheetView>
  </sheetViews>
  <sheetFormatPr defaultColWidth="9" defaultRowHeight="16.8" outlineLevelRow="4"/>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55" t="s">
        <v>818</v>
      </c>
    </row>
    <row r="2" ht="22" customHeight="1"/>
    <row r="3" ht="14" customHeight="1" spans="1:10">
      <c r="A3" s="39" t="s">
        <v>775</v>
      </c>
    </row>
    <row r="4" ht="6" customHeight="1"/>
    <row r="5" ht="22" customHeight="1" spans="1:10">
      <c r="A5" s="40" t="s">
        <v>776</v>
      </c>
      <c r="B5" s="40" t="s">
        <v>3</v>
      </c>
      <c r="C5" s="40" t="s">
        <v>1</v>
      </c>
      <c r="D5" s="40" t="s">
        <v>2</v>
      </c>
      <c r="E5" s="40" t="s">
        <v>5</v>
      </c>
      <c r="F5" s="40" t="s">
        <v>770</v>
      </c>
      <c r="G5" s="40" t="s">
        <v>777</v>
      </c>
      <c r="H5" s="40" t="s">
        <v>8</v>
      </c>
      <c r="I5" s="40" t="s">
        <v>9</v>
      </c>
      <c r="J5" s="40" t="s">
        <v>6</v>
      </c>
    </row>
  </sheetData>
  <mergeCells count="2">
    <mergeCell ref="A3:J3"/>
    <mergeCell ref="A1:J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showGridLines="0" workbookViewId="0">
      <pane ySplit="5" topLeftCell="A69"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38" t="s">
        <v>819</v>
      </c>
    </row>
    <row r="2" ht="22" customHeight="1"/>
    <row r="3" ht="14" customHeight="1" spans="1:10">
      <c r="A3" s="39" t="s">
        <v>820</v>
      </c>
    </row>
    <row r="4" ht="6" customHeight="1"/>
    <row r="5" ht="22" customHeight="1" spans="1:10">
      <c r="A5" s="40" t="s">
        <v>776</v>
      </c>
      <c r="B5" s="40" t="s">
        <v>3</v>
      </c>
      <c r="C5" s="40" t="s">
        <v>1</v>
      </c>
      <c r="D5" s="40" t="s">
        <v>2</v>
      </c>
      <c r="E5" s="40" t="s">
        <v>5</v>
      </c>
      <c r="F5" s="40" t="s">
        <v>770</v>
      </c>
      <c r="G5" s="40" t="s">
        <v>777</v>
      </c>
      <c r="H5" s="40" t="s">
        <v>8</v>
      </c>
      <c r="I5" s="40" t="s">
        <v>9</v>
      </c>
      <c r="J5" s="40" t="s">
        <v>6</v>
      </c>
    </row>
    <row r="6" ht="18" customHeight="1" spans="1:10">
      <c r="A6" s="41" t="s">
        <v>821</v>
      </c>
    </row>
    <row r="7" ht="15" customHeight="1" spans="1:10">
      <c r="A7" s="42">
        <v>1</v>
      </c>
      <c r="B7" s="42" t="s">
        <v>48</v>
      </c>
      <c r="C7" s="43" t="s">
        <v>490</v>
      </c>
      <c r="D7" s="44" t="s">
        <v>491</v>
      </c>
      <c r="E7" s="45" t="s">
        <v>16</v>
      </c>
      <c r="F7" s="42" t="s">
        <v>163</v>
      </c>
      <c r="G7" s="42" t="s">
        <v>809</v>
      </c>
      <c r="H7" s="42" t="s">
        <v>822</v>
      </c>
      <c r="I7" s="42" t="s">
        <v>781</v>
      </c>
      <c r="J7" s="44" t="s">
        <v>781</v>
      </c>
    </row>
    <row r="8" ht="15" customHeight="1" spans="1:10">
      <c r="A8" s="46">
        <v>2</v>
      </c>
      <c r="B8" s="46" t="s">
        <v>48</v>
      </c>
      <c r="C8" s="47" t="s">
        <v>495</v>
      </c>
      <c r="D8" s="48" t="s">
        <v>496</v>
      </c>
      <c r="E8" s="45" t="s">
        <v>16</v>
      </c>
      <c r="F8" s="46" t="s">
        <v>163</v>
      </c>
      <c r="G8" s="46" t="s">
        <v>822</v>
      </c>
      <c r="H8" s="46" t="s">
        <v>822</v>
      </c>
      <c r="I8" s="46" t="s">
        <v>781</v>
      </c>
      <c r="J8" s="48" t="s">
        <v>781</v>
      </c>
    </row>
    <row r="9" ht="15" customHeight="1" spans="1:10">
      <c r="A9" s="42">
        <v>3</v>
      </c>
      <c r="B9" s="42" t="s">
        <v>48</v>
      </c>
      <c r="C9" s="43" t="s">
        <v>495</v>
      </c>
      <c r="D9" s="44" t="s">
        <v>497</v>
      </c>
      <c r="E9" s="45" t="s">
        <v>16</v>
      </c>
      <c r="F9" s="42" t="s">
        <v>163</v>
      </c>
      <c r="G9" s="42" t="s">
        <v>822</v>
      </c>
      <c r="H9" s="42" t="s">
        <v>822</v>
      </c>
      <c r="I9" s="42" t="s">
        <v>781</v>
      </c>
      <c r="J9" s="44" t="s">
        <v>781</v>
      </c>
    </row>
    <row r="10" ht="15" customHeight="1" spans="1:10">
      <c r="A10" s="46">
        <v>4</v>
      </c>
      <c r="B10" s="46" t="s">
        <v>48</v>
      </c>
      <c r="C10" s="47" t="s">
        <v>495</v>
      </c>
      <c r="D10" s="48" t="s">
        <v>498</v>
      </c>
      <c r="E10" s="45" t="s">
        <v>16</v>
      </c>
      <c r="F10" s="46" t="s">
        <v>163</v>
      </c>
      <c r="G10" s="46" t="s">
        <v>822</v>
      </c>
      <c r="H10" s="46" t="s">
        <v>822</v>
      </c>
      <c r="I10" s="46" t="s">
        <v>781</v>
      </c>
      <c r="J10" s="48" t="s">
        <v>781</v>
      </c>
    </row>
    <row r="11" ht="15" customHeight="1" spans="1:10">
      <c r="A11" s="42">
        <v>5</v>
      </c>
      <c r="B11" s="42" t="s">
        <v>48</v>
      </c>
      <c r="C11" s="43" t="s">
        <v>495</v>
      </c>
      <c r="D11" s="44" t="s">
        <v>499</v>
      </c>
      <c r="E11" s="45" t="s">
        <v>16</v>
      </c>
      <c r="F11" s="42" t="s">
        <v>163</v>
      </c>
      <c r="G11" s="42" t="s">
        <v>822</v>
      </c>
      <c r="H11" s="42" t="s">
        <v>822</v>
      </c>
      <c r="I11" s="42" t="s">
        <v>781</v>
      </c>
      <c r="J11" s="44" t="s">
        <v>781</v>
      </c>
    </row>
    <row r="12" ht="15" customHeight="1" spans="1:10">
      <c r="A12" s="46">
        <v>6</v>
      </c>
      <c r="B12" s="46" t="s">
        <v>48</v>
      </c>
      <c r="C12" s="47" t="s">
        <v>495</v>
      </c>
      <c r="D12" s="48" t="s">
        <v>500</v>
      </c>
      <c r="E12" s="45" t="s">
        <v>16</v>
      </c>
      <c r="F12" s="46" t="s">
        <v>163</v>
      </c>
      <c r="G12" s="46" t="s">
        <v>822</v>
      </c>
      <c r="H12" s="46" t="s">
        <v>822</v>
      </c>
      <c r="I12" s="46" t="s">
        <v>781</v>
      </c>
      <c r="J12" s="48" t="s">
        <v>781</v>
      </c>
    </row>
    <row r="13" ht="15" customHeight="1" spans="1:10">
      <c r="A13" s="42">
        <v>7</v>
      </c>
      <c r="B13" s="42" t="s">
        <v>48</v>
      </c>
      <c r="C13" s="43" t="s">
        <v>495</v>
      </c>
      <c r="D13" s="44" t="s">
        <v>501</v>
      </c>
      <c r="E13" s="45" t="s">
        <v>16</v>
      </c>
      <c r="F13" s="42" t="s">
        <v>163</v>
      </c>
      <c r="G13" s="42" t="s">
        <v>822</v>
      </c>
      <c r="H13" s="42" t="s">
        <v>822</v>
      </c>
      <c r="I13" s="42" t="s">
        <v>781</v>
      </c>
      <c r="J13" s="44" t="s">
        <v>781</v>
      </c>
    </row>
    <row r="14" ht="15" customHeight="1" spans="1:10">
      <c r="A14" s="46">
        <v>8</v>
      </c>
      <c r="B14" s="46" t="s">
        <v>48</v>
      </c>
      <c r="C14" s="47" t="s">
        <v>495</v>
      </c>
      <c r="D14" s="48" t="s">
        <v>502</v>
      </c>
      <c r="E14" s="45" t="s">
        <v>16</v>
      </c>
      <c r="F14" s="46" t="s">
        <v>163</v>
      </c>
      <c r="G14" s="46" t="s">
        <v>822</v>
      </c>
      <c r="H14" s="46" t="s">
        <v>822</v>
      </c>
      <c r="I14" s="46" t="s">
        <v>781</v>
      </c>
      <c r="J14" s="48" t="s">
        <v>781</v>
      </c>
    </row>
    <row r="15" ht="15" customHeight="1" spans="1:10">
      <c r="A15" s="42">
        <v>9</v>
      </c>
      <c r="B15" s="42" t="s">
        <v>48</v>
      </c>
      <c r="C15" s="43" t="s">
        <v>495</v>
      </c>
      <c r="D15" s="44" t="s">
        <v>503</v>
      </c>
      <c r="E15" s="45" t="s">
        <v>16</v>
      </c>
      <c r="F15" s="42" t="s">
        <v>163</v>
      </c>
      <c r="G15" s="42" t="s">
        <v>822</v>
      </c>
      <c r="H15" s="42" t="s">
        <v>822</v>
      </c>
      <c r="I15" s="42" t="s">
        <v>781</v>
      </c>
      <c r="J15" s="44" t="s">
        <v>781</v>
      </c>
    </row>
    <row r="16" ht="15" customHeight="1" spans="1:10">
      <c r="A16" s="46">
        <v>10</v>
      </c>
      <c r="B16" s="46" t="s">
        <v>48</v>
      </c>
      <c r="C16" s="47" t="s">
        <v>495</v>
      </c>
      <c r="D16" s="48" t="s">
        <v>504</v>
      </c>
      <c r="E16" s="45" t="s">
        <v>16</v>
      </c>
      <c r="F16" s="46" t="s">
        <v>163</v>
      </c>
      <c r="G16" s="46" t="s">
        <v>822</v>
      </c>
      <c r="H16" s="46" t="s">
        <v>822</v>
      </c>
      <c r="I16" s="46" t="s">
        <v>781</v>
      </c>
      <c r="J16" s="48" t="s">
        <v>781</v>
      </c>
    </row>
    <row r="17" ht="15" customHeight="1" spans="1:10">
      <c r="A17" s="42">
        <v>11</v>
      </c>
      <c r="B17" s="42" t="s">
        <v>48</v>
      </c>
      <c r="C17" s="43" t="s">
        <v>495</v>
      </c>
      <c r="D17" s="44" t="s">
        <v>505</v>
      </c>
      <c r="E17" s="45" t="s">
        <v>16</v>
      </c>
      <c r="F17" s="42" t="s">
        <v>163</v>
      </c>
      <c r="G17" s="42" t="s">
        <v>822</v>
      </c>
      <c r="H17" s="42" t="s">
        <v>822</v>
      </c>
      <c r="I17" s="42" t="s">
        <v>781</v>
      </c>
      <c r="J17" s="44" t="s">
        <v>781</v>
      </c>
    </row>
    <row r="18" ht="15" customHeight="1" spans="1:10">
      <c r="A18" s="46">
        <v>12</v>
      </c>
      <c r="B18" s="46" t="s">
        <v>48</v>
      </c>
      <c r="C18" s="47" t="s">
        <v>508</v>
      </c>
      <c r="D18" s="48" t="s">
        <v>509</v>
      </c>
      <c r="E18" s="45" t="s">
        <v>16</v>
      </c>
      <c r="F18" s="46" t="s">
        <v>163</v>
      </c>
      <c r="G18" s="46" t="s">
        <v>822</v>
      </c>
      <c r="H18" s="46" t="s">
        <v>823</v>
      </c>
      <c r="I18" s="46" t="s">
        <v>142</v>
      </c>
      <c r="J18" s="48" t="s">
        <v>781</v>
      </c>
    </row>
    <row r="19" ht="15" customHeight="1" spans="1:10">
      <c r="A19" s="42">
        <v>13</v>
      </c>
      <c r="B19" s="42" t="s">
        <v>48</v>
      </c>
      <c r="C19" s="43" t="s">
        <v>495</v>
      </c>
      <c r="D19" s="44" t="s">
        <v>516</v>
      </c>
      <c r="E19" s="45" t="s">
        <v>16</v>
      </c>
      <c r="F19" s="42" t="s">
        <v>163</v>
      </c>
      <c r="G19" s="42" t="s">
        <v>822</v>
      </c>
      <c r="H19" s="42" t="s">
        <v>823</v>
      </c>
      <c r="I19" s="42" t="s">
        <v>781</v>
      </c>
      <c r="J19" s="44" t="s">
        <v>781</v>
      </c>
    </row>
    <row r="20" ht="15" customHeight="1" spans="1:10">
      <c r="A20" s="46">
        <v>14</v>
      </c>
      <c r="B20" s="46" t="s">
        <v>48</v>
      </c>
      <c r="C20" s="47" t="s">
        <v>523</v>
      </c>
      <c r="D20" s="48" t="s">
        <v>525</v>
      </c>
      <c r="E20" s="45" t="s">
        <v>16</v>
      </c>
      <c r="F20" s="46" t="s">
        <v>163</v>
      </c>
      <c r="G20" s="46" t="s">
        <v>823</v>
      </c>
      <c r="H20" s="46" t="s">
        <v>823</v>
      </c>
      <c r="I20" s="46" t="s">
        <v>781</v>
      </c>
      <c r="J20" s="48" t="s">
        <v>781</v>
      </c>
    </row>
    <row r="21" ht="15" customHeight="1" spans="1:10">
      <c r="A21" s="42">
        <v>15</v>
      </c>
      <c r="B21" s="42" t="s">
        <v>48</v>
      </c>
      <c r="C21" s="43" t="s">
        <v>523</v>
      </c>
      <c r="D21" s="44" t="s">
        <v>526</v>
      </c>
      <c r="E21" s="45" t="s">
        <v>16</v>
      </c>
      <c r="F21" s="42" t="s">
        <v>163</v>
      </c>
      <c r="G21" s="42" t="s">
        <v>823</v>
      </c>
      <c r="H21" s="42" t="s">
        <v>823</v>
      </c>
      <c r="I21" s="42" t="s">
        <v>175</v>
      </c>
      <c r="J21" s="44" t="s">
        <v>781</v>
      </c>
    </row>
    <row r="22" ht="15" customHeight="1" spans="1:10">
      <c r="A22" s="46">
        <v>16</v>
      </c>
      <c r="B22" s="46" t="s">
        <v>48</v>
      </c>
      <c r="C22" s="47" t="s">
        <v>523</v>
      </c>
      <c r="D22" s="48" t="s">
        <v>527</v>
      </c>
      <c r="E22" s="45" t="s">
        <v>16</v>
      </c>
      <c r="F22" s="46" t="s">
        <v>163</v>
      </c>
      <c r="G22" s="46" t="s">
        <v>823</v>
      </c>
      <c r="H22" s="46" t="s">
        <v>823</v>
      </c>
      <c r="I22" s="46" t="s">
        <v>175</v>
      </c>
      <c r="J22" s="48" t="s">
        <v>781</v>
      </c>
    </row>
    <row r="23" ht="15" customHeight="1" spans="1:10">
      <c r="A23" s="42">
        <v>17</v>
      </c>
      <c r="B23" s="42" t="s">
        <v>48</v>
      </c>
      <c r="C23" s="43" t="s">
        <v>528</v>
      </c>
      <c r="D23" s="44" t="s">
        <v>529</v>
      </c>
      <c r="E23" s="45" t="s">
        <v>16</v>
      </c>
      <c r="F23" s="42" t="s">
        <v>163</v>
      </c>
      <c r="G23" s="42" t="s">
        <v>823</v>
      </c>
      <c r="H23" s="42" t="s">
        <v>823</v>
      </c>
      <c r="I23" s="42" t="s">
        <v>175</v>
      </c>
      <c r="J23" s="44" t="s">
        <v>781</v>
      </c>
    </row>
    <row r="24" ht="15" customHeight="1" spans="1:10">
      <c r="A24" s="46">
        <v>18</v>
      </c>
      <c r="B24" s="46" t="s">
        <v>48</v>
      </c>
      <c r="C24" s="47" t="s">
        <v>523</v>
      </c>
      <c r="D24" s="48" t="s">
        <v>530</v>
      </c>
      <c r="E24" s="45" t="s">
        <v>16</v>
      </c>
      <c r="F24" s="46" t="s">
        <v>163</v>
      </c>
      <c r="G24" s="46" t="s">
        <v>823</v>
      </c>
      <c r="H24" s="46" t="s">
        <v>823</v>
      </c>
      <c r="I24" s="46" t="s">
        <v>175</v>
      </c>
      <c r="J24" s="48" t="s">
        <v>781</v>
      </c>
    </row>
    <row r="25" ht="15" customHeight="1" spans="1:10">
      <c r="A25" s="42">
        <v>19</v>
      </c>
      <c r="B25" s="42" t="s">
        <v>48</v>
      </c>
      <c r="C25" s="43" t="s">
        <v>495</v>
      </c>
      <c r="D25" s="44" t="s">
        <v>511</v>
      </c>
      <c r="E25" s="45" t="s">
        <v>16</v>
      </c>
      <c r="F25" s="42" t="s">
        <v>163</v>
      </c>
      <c r="G25" s="42" t="s">
        <v>822</v>
      </c>
      <c r="H25" s="42" t="s">
        <v>824</v>
      </c>
      <c r="I25" s="42" t="s">
        <v>781</v>
      </c>
      <c r="J25" s="44" t="s">
        <v>781</v>
      </c>
    </row>
    <row r="26" ht="15" customHeight="1" spans="1:10">
      <c r="A26" s="46">
        <v>20</v>
      </c>
      <c r="B26" s="46" t="s">
        <v>48</v>
      </c>
      <c r="C26" s="47" t="s">
        <v>523</v>
      </c>
      <c r="D26" s="48" t="s">
        <v>531</v>
      </c>
      <c r="E26" s="45" t="s">
        <v>16</v>
      </c>
      <c r="F26" s="46" t="s">
        <v>163</v>
      </c>
      <c r="G26" s="46" t="s">
        <v>823</v>
      </c>
      <c r="H26" s="46" t="s">
        <v>824</v>
      </c>
      <c r="I26" s="46" t="s">
        <v>480</v>
      </c>
      <c r="J26" s="48" t="s">
        <v>781</v>
      </c>
    </row>
    <row r="27" ht="15" customHeight="1" spans="1:10">
      <c r="A27" s="42">
        <v>21</v>
      </c>
      <c r="B27" s="42" t="s">
        <v>48</v>
      </c>
      <c r="C27" s="43" t="s">
        <v>523</v>
      </c>
      <c r="D27" s="44" t="s">
        <v>532</v>
      </c>
      <c r="E27" s="45" t="s">
        <v>16</v>
      </c>
      <c r="F27" s="42" t="s">
        <v>163</v>
      </c>
      <c r="G27" s="42" t="s">
        <v>823</v>
      </c>
      <c r="H27" s="42" t="s">
        <v>824</v>
      </c>
      <c r="I27" s="42" t="s">
        <v>298</v>
      </c>
      <c r="J27" s="44" t="s">
        <v>781</v>
      </c>
    </row>
    <row r="28" ht="15" customHeight="1" spans="1:10">
      <c r="A28" s="46">
        <v>22</v>
      </c>
      <c r="B28" s="46" t="s">
        <v>48</v>
      </c>
      <c r="C28" s="47" t="s">
        <v>523</v>
      </c>
      <c r="D28" s="48" t="s">
        <v>533</v>
      </c>
      <c r="E28" s="45" t="s">
        <v>16</v>
      </c>
      <c r="F28" s="46" t="s">
        <v>163</v>
      </c>
      <c r="G28" s="46" t="s">
        <v>823</v>
      </c>
      <c r="H28" s="46" t="s">
        <v>824</v>
      </c>
      <c r="I28" s="46" t="s">
        <v>298</v>
      </c>
      <c r="J28" s="48" t="s">
        <v>781</v>
      </c>
    </row>
    <row r="29" ht="15" customHeight="1" spans="1:10">
      <c r="A29" s="42">
        <v>23</v>
      </c>
      <c r="B29" s="42" t="s">
        <v>48</v>
      </c>
      <c r="C29" s="43" t="s">
        <v>508</v>
      </c>
      <c r="D29" s="44" t="s">
        <v>512</v>
      </c>
      <c r="E29" s="45" t="s">
        <v>16</v>
      </c>
      <c r="F29" s="42" t="s">
        <v>163</v>
      </c>
      <c r="G29" s="42" t="s">
        <v>822</v>
      </c>
      <c r="H29" s="42" t="s">
        <v>825</v>
      </c>
      <c r="I29" s="42" t="s">
        <v>142</v>
      </c>
      <c r="J29" s="44" t="s">
        <v>781</v>
      </c>
    </row>
    <row r="30" ht="15" customHeight="1" spans="1:10">
      <c r="A30" s="46">
        <v>24</v>
      </c>
      <c r="B30" s="46" t="s">
        <v>48</v>
      </c>
      <c r="C30" s="47" t="s">
        <v>495</v>
      </c>
      <c r="D30" s="48" t="s">
        <v>513</v>
      </c>
      <c r="E30" s="45" t="s">
        <v>16</v>
      </c>
      <c r="F30" s="46" t="s">
        <v>163</v>
      </c>
      <c r="G30" s="46" t="s">
        <v>822</v>
      </c>
      <c r="H30" s="46" t="s">
        <v>825</v>
      </c>
      <c r="I30" s="46" t="s">
        <v>781</v>
      </c>
      <c r="J30" s="48" t="s">
        <v>781</v>
      </c>
    </row>
    <row r="31" ht="15" customHeight="1" spans="1:10">
      <c r="A31" s="42">
        <v>25</v>
      </c>
      <c r="B31" s="42" t="s">
        <v>48</v>
      </c>
      <c r="C31" s="43" t="s">
        <v>523</v>
      </c>
      <c r="D31" s="44" t="s">
        <v>534</v>
      </c>
      <c r="E31" s="45" t="s">
        <v>16</v>
      </c>
      <c r="F31" s="42" t="s">
        <v>163</v>
      </c>
      <c r="G31" s="42" t="s">
        <v>823</v>
      </c>
      <c r="H31" s="42" t="s">
        <v>825</v>
      </c>
      <c r="I31" s="42" t="s">
        <v>480</v>
      </c>
      <c r="J31" s="44" t="s">
        <v>781</v>
      </c>
    </row>
    <row r="32" ht="15" customHeight="1" spans="1:10">
      <c r="A32" s="46">
        <v>26</v>
      </c>
      <c r="B32" s="46" t="s">
        <v>48</v>
      </c>
      <c r="C32" s="47" t="s">
        <v>495</v>
      </c>
      <c r="D32" s="48" t="s">
        <v>517</v>
      </c>
      <c r="E32" s="45" t="s">
        <v>518</v>
      </c>
      <c r="F32" s="46" t="s">
        <v>163</v>
      </c>
      <c r="G32" s="46" t="s">
        <v>822</v>
      </c>
      <c r="H32" s="46" t="s">
        <v>822</v>
      </c>
      <c r="I32" s="46" t="s">
        <v>781</v>
      </c>
      <c r="J32" s="48" t="s">
        <v>519</v>
      </c>
    </row>
    <row r="33" ht="15" customHeight="1" spans="1:10">
      <c r="A33" s="42">
        <v>27</v>
      </c>
      <c r="B33" s="42" t="s">
        <v>48</v>
      </c>
      <c r="C33" s="43" t="s">
        <v>495</v>
      </c>
      <c r="D33" s="44" t="s">
        <v>522</v>
      </c>
      <c r="E33" s="45" t="s">
        <v>518</v>
      </c>
      <c r="F33" s="42" t="s">
        <v>163</v>
      </c>
      <c r="G33" s="42" t="s">
        <v>822</v>
      </c>
      <c r="H33" s="42" t="s">
        <v>822</v>
      </c>
      <c r="I33" s="42" t="s">
        <v>781</v>
      </c>
      <c r="J33" s="44" t="s">
        <v>781</v>
      </c>
    </row>
    <row r="34" ht="18" customHeight="1" spans="1:10">
      <c r="A34" s="41" t="s">
        <v>826</v>
      </c>
    </row>
    <row r="35" ht="15" customHeight="1" spans="1:10">
      <c r="A35" s="46">
        <v>28</v>
      </c>
      <c r="B35" s="46" t="s">
        <v>48</v>
      </c>
      <c r="C35" s="47" t="s">
        <v>535</v>
      </c>
      <c r="D35" s="48" t="s">
        <v>536</v>
      </c>
      <c r="E35" s="45" t="s">
        <v>16</v>
      </c>
      <c r="F35" s="46" t="s">
        <v>163</v>
      </c>
      <c r="G35" s="46" t="s">
        <v>823</v>
      </c>
      <c r="H35" s="46" t="s">
        <v>810</v>
      </c>
      <c r="I35" s="46" t="s">
        <v>142</v>
      </c>
      <c r="J35" s="48" t="s">
        <v>781</v>
      </c>
    </row>
    <row r="36" ht="15" customHeight="1" spans="1:10">
      <c r="A36" s="42">
        <v>29</v>
      </c>
      <c r="B36" s="42" t="s">
        <v>48</v>
      </c>
      <c r="C36" s="43" t="s">
        <v>535</v>
      </c>
      <c r="D36" s="44" t="s">
        <v>537</v>
      </c>
      <c r="E36" s="45" t="s">
        <v>16</v>
      </c>
      <c r="F36" s="42" t="s">
        <v>163</v>
      </c>
      <c r="G36" s="42" t="s">
        <v>823</v>
      </c>
      <c r="H36" s="42" t="s">
        <v>810</v>
      </c>
      <c r="I36" s="42" t="s">
        <v>142</v>
      </c>
      <c r="J36" s="44" t="s">
        <v>781</v>
      </c>
    </row>
    <row r="37" ht="15" customHeight="1" spans="1:10">
      <c r="A37" s="46">
        <v>30</v>
      </c>
      <c r="B37" s="46" t="s">
        <v>48</v>
      </c>
      <c r="C37" s="47" t="s">
        <v>535</v>
      </c>
      <c r="D37" s="48" t="s">
        <v>538</v>
      </c>
      <c r="E37" s="45" t="s">
        <v>16</v>
      </c>
      <c r="F37" s="46" t="s">
        <v>163</v>
      </c>
      <c r="G37" s="46" t="s">
        <v>823</v>
      </c>
      <c r="H37" s="46" t="s">
        <v>810</v>
      </c>
      <c r="I37" s="46" t="s">
        <v>142</v>
      </c>
      <c r="J37" s="48" t="s">
        <v>781</v>
      </c>
    </row>
    <row r="38" ht="15" customHeight="1" spans="1:10">
      <c r="A38" s="42">
        <v>31</v>
      </c>
      <c r="B38" s="42" t="s">
        <v>48</v>
      </c>
      <c r="C38" s="43" t="s">
        <v>535</v>
      </c>
      <c r="D38" s="44" t="s">
        <v>539</v>
      </c>
      <c r="E38" s="45" t="s">
        <v>16</v>
      </c>
      <c r="F38" s="42" t="s">
        <v>163</v>
      </c>
      <c r="G38" s="42" t="s">
        <v>823</v>
      </c>
      <c r="H38" s="42" t="s">
        <v>810</v>
      </c>
      <c r="I38" s="42" t="s">
        <v>781</v>
      </c>
      <c r="J38" s="44" t="s">
        <v>781</v>
      </c>
    </row>
    <row r="39" ht="15" customHeight="1" spans="1:10">
      <c r="A39" s="46">
        <v>32</v>
      </c>
      <c r="B39" s="46" t="s">
        <v>48</v>
      </c>
      <c r="C39" s="47" t="s">
        <v>535</v>
      </c>
      <c r="D39" s="48" t="s">
        <v>540</v>
      </c>
      <c r="E39" s="45" t="s">
        <v>16</v>
      </c>
      <c r="F39" s="46" t="s">
        <v>163</v>
      </c>
      <c r="G39" s="46" t="s">
        <v>823</v>
      </c>
      <c r="H39" s="46" t="s">
        <v>810</v>
      </c>
      <c r="I39" s="46" t="s">
        <v>142</v>
      </c>
      <c r="J39" s="48" t="s">
        <v>781</v>
      </c>
    </row>
    <row r="40" ht="15" customHeight="1" spans="1:10">
      <c r="A40" s="42">
        <v>33</v>
      </c>
      <c r="B40" s="42" t="s">
        <v>48</v>
      </c>
      <c r="C40" s="43" t="s">
        <v>535</v>
      </c>
      <c r="D40" s="44" t="s">
        <v>541</v>
      </c>
      <c r="E40" s="45" t="s">
        <v>16</v>
      </c>
      <c r="F40" s="42" t="s">
        <v>163</v>
      </c>
      <c r="G40" s="42" t="s">
        <v>823</v>
      </c>
      <c r="H40" s="42" t="s">
        <v>827</v>
      </c>
      <c r="I40" s="42" t="s">
        <v>781</v>
      </c>
      <c r="J40" s="44" t="s">
        <v>781</v>
      </c>
    </row>
    <row r="41" ht="15" customHeight="1" spans="1:10">
      <c r="A41" s="46">
        <v>34</v>
      </c>
      <c r="B41" s="46" t="s">
        <v>48</v>
      </c>
      <c r="C41" s="47" t="s">
        <v>495</v>
      </c>
      <c r="D41" s="48" t="s">
        <v>514</v>
      </c>
      <c r="E41" s="45" t="s">
        <v>16</v>
      </c>
      <c r="F41" s="46" t="s">
        <v>163</v>
      </c>
      <c r="G41" s="46" t="s">
        <v>822</v>
      </c>
      <c r="H41" s="46" t="s">
        <v>828</v>
      </c>
      <c r="I41" s="46" t="s">
        <v>185</v>
      </c>
      <c r="J41" s="48" t="s">
        <v>781</v>
      </c>
    </row>
    <row r="42" ht="15" customHeight="1" spans="1:10">
      <c r="A42" s="42">
        <v>35</v>
      </c>
      <c r="B42" s="42" t="s">
        <v>48</v>
      </c>
      <c r="C42" s="43" t="s">
        <v>523</v>
      </c>
      <c r="D42" s="44" t="s">
        <v>542</v>
      </c>
      <c r="E42" s="45" t="s">
        <v>16</v>
      </c>
      <c r="F42" s="42" t="s">
        <v>163</v>
      </c>
      <c r="G42" s="42" t="s">
        <v>823</v>
      </c>
      <c r="H42" s="42" t="s">
        <v>828</v>
      </c>
      <c r="I42" s="42" t="s">
        <v>142</v>
      </c>
      <c r="J42" s="44" t="s">
        <v>781</v>
      </c>
    </row>
    <row r="43" ht="18" customHeight="1" spans="1:10">
      <c r="A43" s="41" t="s">
        <v>829</v>
      </c>
    </row>
    <row r="44" ht="15" customHeight="1" spans="1:10">
      <c r="A44" s="46">
        <v>36</v>
      </c>
      <c r="B44" s="46" t="s">
        <v>48</v>
      </c>
      <c r="C44" s="47" t="s">
        <v>495</v>
      </c>
      <c r="D44" s="48" t="s">
        <v>515</v>
      </c>
      <c r="E44" s="45" t="s">
        <v>16</v>
      </c>
      <c r="F44" s="46" t="s">
        <v>163</v>
      </c>
      <c r="G44" s="46" t="s">
        <v>822</v>
      </c>
      <c r="H44" s="46" t="s">
        <v>830</v>
      </c>
      <c r="I44" s="46" t="s">
        <v>781</v>
      </c>
      <c r="J44" s="48" t="s">
        <v>781</v>
      </c>
    </row>
    <row r="45" ht="18" customHeight="1" spans="1:10">
      <c r="A45" s="41" t="s">
        <v>831</v>
      </c>
    </row>
    <row r="46" ht="15" customHeight="1" spans="1:10">
      <c r="A46" s="42">
        <v>37</v>
      </c>
      <c r="B46" s="42" t="s">
        <v>48</v>
      </c>
      <c r="C46" s="43" t="s">
        <v>495</v>
      </c>
      <c r="D46" s="44" t="s">
        <v>520</v>
      </c>
      <c r="E46" s="45" t="s">
        <v>16</v>
      </c>
      <c r="F46" s="42" t="s">
        <v>163</v>
      </c>
      <c r="G46" s="42" t="s">
        <v>822</v>
      </c>
      <c r="H46" s="42" t="s">
        <v>832</v>
      </c>
      <c r="I46" s="42" t="s">
        <v>298</v>
      </c>
      <c r="J46" s="44" t="s">
        <v>781</v>
      </c>
    </row>
    <row r="47" ht="15" customHeight="1" spans="1:10">
      <c r="A47" s="46">
        <v>38</v>
      </c>
      <c r="B47" s="46" t="s">
        <v>457</v>
      </c>
      <c r="C47" s="47" t="s">
        <v>579</v>
      </c>
      <c r="D47" s="48" t="s">
        <v>581</v>
      </c>
      <c r="E47" s="45" t="s">
        <v>16</v>
      </c>
      <c r="F47" s="46" t="s">
        <v>163</v>
      </c>
      <c r="G47" s="46" t="s">
        <v>833</v>
      </c>
      <c r="H47" s="46" t="s">
        <v>801</v>
      </c>
      <c r="I47" s="46" t="s">
        <v>175</v>
      </c>
      <c r="J47" s="48" t="s">
        <v>781</v>
      </c>
    </row>
    <row r="48" ht="15" customHeight="1" spans="1:10">
      <c r="A48" s="42">
        <v>39</v>
      </c>
      <c r="B48" s="42" t="s">
        <v>457</v>
      </c>
      <c r="C48" s="43" t="s">
        <v>579</v>
      </c>
      <c r="D48" s="44" t="s">
        <v>582</v>
      </c>
      <c r="E48" s="45" t="s">
        <v>16</v>
      </c>
      <c r="F48" s="42" t="s">
        <v>163</v>
      </c>
      <c r="G48" s="42" t="s">
        <v>833</v>
      </c>
      <c r="H48" s="42" t="s">
        <v>801</v>
      </c>
      <c r="I48" s="42" t="s">
        <v>175</v>
      </c>
      <c r="J48" s="44" t="s">
        <v>781</v>
      </c>
    </row>
    <row r="49" ht="15" customHeight="1" spans="1:10">
      <c r="A49" s="46">
        <v>40</v>
      </c>
      <c r="B49" s="46" t="s">
        <v>457</v>
      </c>
      <c r="C49" s="47" t="s">
        <v>579</v>
      </c>
      <c r="D49" s="48" t="s">
        <v>583</v>
      </c>
      <c r="E49" s="45" t="s">
        <v>16</v>
      </c>
      <c r="F49" s="46" t="s">
        <v>163</v>
      </c>
      <c r="G49" s="46" t="s">
        <v>833</v>
      </c>
      <c r="H49" s="46" t="s">
        <v>801</v>
      </c>
      <c r="I49" s="46" t="s">
        <v>175</v>
      </c>
      <c r="J49" s="48" t="s">
        <v>781</v>
      </c>
    </row>
    <row r="50" ht="15" customHeight="1" spans="1:10">
      <c r="A50" s="42">
        <v>41</v>
      </c>
      <c r="B50" s="42" t="s">
        <v>457</v>
      </c>
      <c r="C50" s="43" t="s">
        <v>579</v>
      </c>
      <c r="D50" s="44" t="s">
        <v>584</v>
      </c>
      <c r="E50" s="45" t="s">
        <v>16</v>
      </c>
      <c r="F50" s="42" t="s">
        <v>163</v>
      </c>
      <c r="G50" s="42" t="s">
        <v>833</v>
      </c>
      <c r="H50" s="42" t="s">
        <v>801</v>
      </c>
      <c r="I50" s="42" t="s">
        <v>175</v>
      </c>
      <c r="J50" s="44" t="s">
        <v>781</v>
      </c>
    </row>
    <row r="51" ht="15" customHeight="1" spans="1:10">
      <c r="A51" s="46">
        <v>42</v>
      </c>
      <c r="B51" s="46" t="s">
        <v>457</v>
      </c>
      <c r="C51" s="47" t="s">
        <v>579</v>
      </c>
      <c r="D51" s="48" t="s">
        <v>585</v>
      </c>
      <c r="E51" s="45" t="s">
        <v>16</v>
      </c>
      <c r="F51" s="46" t="s">
        <v>163</v>
      </c>
      <c r="G51" s="46" t="s">
        <v>833</v>
      </c>
      <c r="H51" s="46" t="s">
        <v>801</v>
      </c>
      <c r="I51" s="46" t="s">
        <v>175</v>
      </c>
      <c r="J51" s="48" t="s">
        <v>781</v>
      </c>
    </row>
    <row r="52" ht="15" customHeight="1" spans="1:10">
      <c r="A52" s="42">
        <v>43</v>
      </c>
      <c r="B52" s="42" t="s">
        <v>457</v>
      </c>
      <c r="C52" s="43" t="s">
        <v>579</v>
      </c>
      <c r="D52" s="44" t="s">
        <v>586</v>
      </c>
      <c r="E52" s="45" t="s">
        <v>16</v>
      </c>
      <c r="F52" s="42" t="s">
        <v>163</v>
      </c>
      <c r="G52" s="42" t="s">
        <v>833</v>
      </c>
      <c r="H52" s="42" t="s">
        <v>801</v>
      </c>
      <c r="I52" s="42" t="s">
        <v>175</v>
      </c>
      <c r="J52" s="44" t="s">
        <v>781</v>
      </c>
    </row>
    <row r="53" ht="15" customHeight="1" spans="1:10">
      <c r="A53" s="46">
        <v>44</v>
      </c>
      <c r="B53" s="46" t="s">
        <v>48</v>
      </c>
      <c r="C53" s="47" t="s">
        <v>495</v>
      </c>
      <c r="D53" s="48" t="s">
        <v>521</v>
      </c>
      <c r="E53" s="45" t="s">
        <v>16</v>
      </c>
      <c r="F53" s="46" t="s">
        <v>163</v>
      </c>
      <c r="G53" s="46" t="s">
        <v>822</v>
      </c>
      <c r="H53" s="46" t="s">
        <v>834</v>
      </c>
      <c r="I53" s="46" t="s">
        <v>781</v>
      </c>
      <c r="J53" s="48" t="s">
        <v>781</v>
      </c>
    </row>
    <row r="54" ht="18" customHeight="1" spans="1:10">
      <c r="A54" s="41" t="s">
        <v>835</v>
      </c>
    </row>
    <row r="55" ht="15" customHeight="1" spans="1:10">
      <c r="A55" s="42">
        <v>45</v>
      </c>
      <c r="B55" s="42" t="s">
        <v>457</v>
      </c>
      <c r="C55" s="43" t="s">
        <v>579</v>
      </c>
      <c r="D55" s="44" t="s">
        <v>587</v>
      </c>
      <c r="E55" s="45" t="s">
        <v>16</v>
      </c>
      <c r="F55" s="42" t="s">
        <v>163</v>
      </c>
      <c r="G55" s="42" t="s">
        <v>833</v>
      </c>
      <c r="H55" s="42" t="s">
        <v>836</v>
      </c>
      <c r="I55" s="42" t="s">
        <v>175</v>
      </c>
      <c r="J55" s="44" t="s">
        <v>781</v>
      </c>
    </row>
    <row r="56" ht="15" customHeight="1" spans="1:10">
      <c r="A56" s="46">
        <v>46</v>
      </c>
      <c r="B56" s="46" t="s">
        <v>457</v>
      </c>
      <c r="C56" s="47" t="s">
        <v>579</v>
      </c>
      <c r="D56" s="48" t="s">
        <v>588</v>
      </c>
      <c r="E56" s="45" t="s">
        <v>16</v>
      </c>
      <c r="F56" s="46" t="s">
        <v>163</v>
      </c>
      <c r="G56" s="46" t="s">
        <v>833</v>
      </c>
      <c r="H56" s="46" t="s">
        <v>837</v>
      </c>
      <c r="I56" s="46" t="s">
        <v>175</v>
      </c>
      <c r="J56" s="48" t="s">
        <v>781</v>
      </c>
    </row>
    <row r="57" ht="15" customHeight="1" spans="1:10">
      <c r="A57" s="42">
        <v>47</v>
      </c>
      <c r="B57" s="42" t="s">
        <v>457</v>
      </c>
      <c r="C57" s="43" t="s">
        <v>579</v>
      </c>
      <c r="D57" s="44" t="s">
        <v>589</v>
      </c>
      <c r="E57" s="45" t="s">
        <v>16</v>
      </c>
      <c r="F57" s="42" t="s">
        <v>163</v>
      </c>
      <c r="G57" s="42" t="s">
        <v>833</v>
      </c>
      <c r="H57" s="42" t="s">
        <v>837</v>
      </c>
      <c r="I57" s="42" t="s">
        <v>175</v>
      </c>
      <c r="J57" s="44" t="s">
        <v>781</v>
      </c>
    </row>
    <row r="58" ht="18" customHeight="1" spans="1:10">
      <c r="A58" s="41" t="s">
        <v>838</v>
      </c>
    </row>
    <row r="59" ht="15" customHeight="1" spans="1:10">
      <c r="A59" s="46">
        <v>48</v>
      </c>
      <c r="B59" s="46" t="s">
        <v>457</v>
      </c>
      <c r="C59" s="47" t="s">
        <v>630</v>
      </c>
      <c r="D59" s="48" t="s">
        <v>631</v>
      </c>
      <c r="E59" s="45" t="s">
        <v>16</v>
      </c>
      <c r="F59" s="46" t="s">
        <v>163</v>
      </c>
      <c r="G59" s="46" t="s">
        <v>839</v>
      </c>
      <c r="H59" s="46" t="s">
        <v>839</v>
      </c>
      <c r="I59" s="46" t="s">
        <v>781</v>
      </c>
      <c r="J59" s="48" t="s">
        <v>781</v>
      </c>
    </row>
    <row r="60" ht="15" customHeight="1" spans="1:10">
      <c r="A60" s="42">
        <v>49</v>
      </c>
      <c r="B60" s="42" t="s">
        <v>457</v>
      </c>
      <c r="C60" s="43" t="s">
        <v>579</v>
      </c>
      <c r="D60" s="44" t="s">
        <v>590</v>
      </c>
      <c r="E60" s="45" t="s">
        <v>16</v>
      </c>
      <c r="F60" s="42" t="s">
        <v>163</v>
      </c>
      <c r="G60" s="42" t="s">
        <v>833</v>
      </c>
      <c r="H60" s="42" t="s">
        <v>784</v>
      </c>
      <c r="I60" s="42" t="s">
        <v>142</v>
      </c>
      <c r="J60" s="44" t="s">
        <v>781</v>
      </c>
    </row>
    <row r="61" ht="15" customHeight="1" spans="1:10">
      <c r="A61" s="46">
        <v>50</v>
      </c>
      <c r="B61" s="46" t="s">
        <v>457</v>
      </c>
      <c r="C61" s="47" t="s">
        <v>579</v>
      </c>
      <c r="D61" s="48" t="s">
        <v>591</v>
      </c>
      <c r="E61" s="45" t="s">
        <v>16</v>
      </c>
      <c r="F61" s="46" t="s">
        <v>163</v>
      </c>
      <c r="G61" s="46" t="s">
        <v>833</v>
      </c>
      <c r="H61" s="46" t="s">
        <v>784</v>
      </c>
      <c r="I61" s="46" t="s">
        <v>142</v>
      </c>
      <c r="J61" s="48" t="s">
        <v>781</v>
      </c>
    </row>
    <row r="62" ht="15" customHeight="1" spans="1:10">
      <c r="A62" s="42">
        <v>51</v>
      </c>
      <c r="B62" s="42" t="s">
        <v>457</v>
      </c>
      <c r="C62" s="43" t="s">
        <v>630</v>
      </c>
      <c r="D62" s="44" t="s">
        <v>638</v>
      </c>
      <c r="E62" s="45" t="s">
        <v>16</v>
      </c>
      <c r="F62" s="42" t="s">
        <v>163</v>
      </c>
      <c r="G62" s="42" t="s">
        <v>839</v>
      </c>
      <c r="H62" s="42" t="s">
        <v>784</v>
      </c>
      <c r="I62" s="42" t="s">
        <v>781</v>
      </c>
      <c r="J62" s="44" t="s">
        <v>781</v>
      </c>
    </row>
    <row r="63" ht="15" customHeight="1" spans="1:10">
      <c r="A63" s="46">
        <v>52</v>
      </c>
      <c r="B63" s="46" t="s">
        <v>457</v>
      </c>
      <c r="C63" s="47" t="s">
        <v>630</v>
      </c>
      <c r="D63" s="48" t="s">
        <v>639</v>
      </c>
      <c r="E63" s="45" t="s">
        <v>16</v>
      </c>
      <c r="F63" s="46" t="s">
        <v>163</v>
      </c>
      <c r="G63" s="46" t="s">
        <v>839</v>
      </c>
      <c r="H63" s="46" t="s">
        <v>784</v>
      </c>
      <c r="I63" s="46" t="s">
        <v>781</v>
      </c>
      <c r="J63" s="48" t="s">
        <v>781</v>
      </c>
    </row>
    <row r="64" ht="15" customHeight="1" spans="1:10">
      <c r="A64" s="42">
        <v>53</v>
      </c>
      <c r="B64" s="42" t="s">
        <v>457</v>
      </c>
      <c r="C64" s="43" t="s">
        <v>630</v>
      </c>
      <c r="D64" s="44" t="s">
        <v>640</v>
      </c>
      <c r="E64" s="45" t="s">
        <v>16</v>
      </c>
      <c r="F64" s="42" t="s">
        <v>163</v>
      </c>
      <c r="G64" s="42" t="s">
        <v>839</v>
      </c>
      <c r="H64" s="42" t="s">
        <v>840</v>
      </c>
      <c r="I64" s="42" t="s">
        <v>781</v>
      </c>
      <c r="J64" s="44" t="s">
        <v>781</v>
      </c>
    </row>
    <row r="65" ht="15" customHeight="1" spans="1:10">
      <c r="A65" s="46">
        <v>54</v>
      </c>
      <c r="B65" s="46" t="s">
        <v>457</v>
      </c>
      <c r="C65" s="47" t="s">
        <v>630</v>
      </c>
      <c r="D65" s="48" t="s">
        <v>641</v>
      </c>
      <c r="E65" s="45" t="s">
        <v>16</v>
      </c>
      <c r="F65" s="46" t="s">
        <v>163</v>
      </c>
      <c r="G65" s="46" t="s">
        <v>839</v>
      </c>
      <c r="H65" s="46" t="s">
        <v>840</v>
      </c>
      <c r="I65" s="46" t="s">
        <v>781</v>
      </c>
      <c r="J65" s="48" t="s">
        <v>781</v>
      </c>
    </row>
    <row r="66" ht="15" customHeight="1" spans="1:10">
      <c r="A66" s="42">
        <v>55</v>
      </c>
      <c r="B66" s="42" t="s">
        <v>457</v>
      </c>
      <c r="C66" s="43" t="s">
        <v>630</v>
      </c>
      <c r="D66" s="44" t="s">
        <v>642</v>
      </c>
      <c r="E66" s="45" t="s">
        <v>16</v>
      </c>
      <c r="F66" s="42" t="s">
        <v>163</v>
      </c>
      <c r="G66" s="42" t="s">
        <v>839</v>
      </c>
      <c r="H66" s="42" t="s">
        <v>840</v>
      </c>
      <c r="I66" s="42" t="s">
        <v>781</v>
      </c>
      <c r="J66" s="44" t="s">
        <v>781</v>
      </c>
    </row>
    <row r="67" ht="15" customHeight="1" spans="1:10">
      <c r="A67" s="46">
        <v>56</v>
      </c>
      <c r="B67" s="46" t="s">
        <v>457</v>
      </c>
      <c r="C67" s="47" t="s">
        <v>630</v>
      </c>
      <c r="D67" s="48" t="s">
        <v>643</v>
      </c>
      <c r="E67" s="45" t="s">
        <v>16</v>
      </c>
      <c r="F67" s="46" t="s">
        <v>163</v>
      </c>
      <c r="G67" s="46" t="s">
        <v>839</v>
      </c>
      <c r="H67" s="46" t="s">
        <v>840</v>
      </c>
      <c r="I67" s="46" t="s">
        <v>781</v>
      </c>
      <c r="J67" s="48" t="s">
        <v>781</v>
      </c>
    </row>
    <row r="68" ht="15" customHeight="1" spans="1:10">
      <c r="A68" s="42">
        <v>57</v>
      </c>
      <c r="B68" s="42" t="s">
        <v>457</v>
      </c>
      <c r="C68" s="43" t="s">
        <v>630</v>
      </c>
      <c r="D68" s="44" t="s">
        <v>644</v>
      </c>
      <c r="E68" s="45" t="s">
        <v>16</v>
      </c>
      <c r="F68" s="42" t="s">
        <v>163</v>
      </c>
      <c r="G68" s="42" t="s">
        <v>839</v>
      </c>
      <c r="H68" s="42" t="s">
        <v>840</v>
      </c>
      <c r="I68" s="42" t="s">
        <v>781</v>
      </c>
      <c r="J68" s="44" t="s">
        <v>781</v>
      </c>
    </row>
    <row r="69" ht="15" customHeight="1" spans="1:10">
      <c r="A69" s="46">
        <v>58</v>
      </c>
      <c r="B69" s="46" t="s">
        <v>457</v>
      </c>
      <c r="C69" s="47" t="s">
        <v>630</v>
      </c>
      <c r="D69" s="48" t="s">
        <v>645</v>
      </c>
      <c r="E69" s="45" t="s">
        <v>16</v>
      </c>
      <c r="F69" s="46" t="s">
        <v>163</v>
      </c>
      <c r="G69" s="46" t="s">
        <v>839</v>
      </c>
      <c r="H69" s="46" t="s">
        <v>840</v>
      </c>
      <c r="I69" s="46" t="s">
        <v>781</v>
      </c>
      <c r="J69" s="48" t="s">
        <v>781</v>
      </c>
    </row>
    <row r="70" ht="15" customHeight="1" spans="1:10">
      <c r="A70" s="42">
        <v>59</v>
      </c>
      <c r="B70" s="42" t="s">
        <v>457</v>
      </c>
      <c r="C70" s="43" t="s">
        <v>630</v>
      </c>
      <c r="D70" s="44" t="s">
        <v>646</v>
      </c>
      <c r="E70" s="45" t="s">
        <v>16</v>
      </c>
      <c r="F70" s="42" t="s">
        <v>163</v>
      </c>
      <c r="G70" s="42" t="s">
        <v>839</v>
      </c>
      <c r="H70" s="42" t="s">
        <v>840</v>
      </c>
      <c r="I70" s="42" t="s">
        <v>781</v>
      </c>
      <c r="J70" s="44" t="s">
        <v>781</v>
      </c>
    </row>
    <row r="71" ht="15" customHeight="1" spans="1:10">
      <c r="A71" s="46">
        <v>60</v>
      </c>
      <c r="B71" s="46" t="s">
        <v>457</v>
      </c>
      <c r="C71" s="47" t="s">
        <v>630</v>
      </c>
      <c r="D71" s="48" t="s">
        <v>647</v>
      </c>
      <c r="E71" s="45" t="s">
        <v>16</v>
      </c>
      <c r="F71" s="46" t="s">
        <v>163</v>
      </c>
      <c r="G71" s="46" t="s">
        <v>839</v>
      </c>
      <c r="H71" s="46" t="s">
        <v>814</v>
      </c>
      <c r="I71" s="46" t="s">
        <v>781</v>
      </c>
      <c r="J71" s="48" t="s">
        <v>781</v>
      </c>
    </row>
    <row r="72" ht="18" customHeight="1" spans="1:10">
      <c r="A72" s="49" t="s">
        <v>841</v>
      </c>
    </row>
    <row r="73" ht="15" customHeight="1" spans="1:10">
      <c r="A73" s="42">
        <v>61</v>
      </c>
      <c r="B73" s="42" t="s">
        <v>457</v>
      </c>
      <c r="C73" s="43" t="s">
        <v>630</v>
      </c>
      <c r="D73" s="44" t="s">
        <v>648</v>
      </c>
      <c r="E73" s="45" t="s">
        <v>16</v>
      </c>
      <c r="F73" s="42" t="s">
        <v>163</v>
      </c>
      <c r="G73" s="42" t="s">
        <v>839</v>
      </c>
      <c r="H73" s="42" t="s">
        <v>779</v>
      </c>
      <c r="I73" s="42" t="s">
        <v>781</v>
      </c>
      <c r="J73" s="44" t="s">
        <v>781</v>
      </c>
    </row>
    <row r="74" ht="15" customHeight="1" spans="1:10">
      <c r="A74" s="46">
        <v>62</v>
      </c>
      <c r="B74" s="46" t="s">
        <v>457</v>
      </c>
      <c r="C74" s="47" t="s">
        <v>630</v>
      </c>
      <c r="D74" s="48" t="s">
        <v>633</v>
      </c>
      <c r="E74" s="45" t="s">
        <v>16</v>
      </c>
      <c r="F74" s="46" t="s">
        <v>163</v>
      </c>
      <c r="G74" s="46" t="s">
        <v>839</v>
      </c>
      <c r="H74" s="46" t="s">
        <v>783</v>
      </c>
      <c r="I74" s="46" t="s">
        <v>175</v>
      </c>
      <c r="J74" s="48" t="s">
        <v>634</v>
      </c>
    </row>
    <row r="75" ht="15" customHeight="1" spans="1:10">
      <c r="A75" s="42">
        <v>63</v>
      </c>
      <c r="B75" s="42" t="s">
        <v>457</v>
      </c>
      <c r="C75" s="43" t="s">
        <v>630</v>
      </c>
      <c r="D75" s="44" t="s">
        <v>637</v>
      </c>
      <c r="E75" s="45" t="s">
        <v>16</v>
      </c>
      <c r="F75" s="42" t="s">
        <v>163</v>
      </c>
      <c r="G75" s="42" t="s">
        <v>839</v>
      </c>
      <c r="H75" s="42" t="s">
        <v>783</v>
      </c>
      <c r="I75" s="42" t="s">
        <v>298</v>
      </c>
      <c r="J75" s="44" t="s">
        <v>781</v>
      </c>
    </row>
    <row r="76" ht="18" customHeight="1" spans="1:10">
      <c r="A76" s="50" t="s">
        <v>842</v>
      </c>
    </row>
    <row r="77" ht="15" customHeight="1" spans="1:10">
      <c r="A77" s="46">
        <v>64</v>
      </c>
      <c r="B77" s="46" t="s">
        <v>457</v>
      </c>
      <c r="C77" s="47" t="s">
        <v>579</v>
      </c>
      <c r="D77" s="48" t="s">
        <v>580</v>
      </c>
      <c r="E77" s="45" t="s">
        <v>16</v>
      </c>
      <c r="F77" s="46" t="s">
        <v>163</v>
      </c>
      <c r="G77" s="46" t="s">
        <v>833</v>
      </c>
      <c r="H77" s="46" t="s">
        <v>795</v>
      </c>
      <c r="I77" s="46" t="s">
        <v>142</v>
      </c>
      <c r="J77" s="48" t="s">
        <v>781</v>
      </c>
    </row>
    <row r="78" ht="15" customHeight="1" spans="1:10">
      <c r="A78" s="42">
        <v>65</v>
      </c>
      <c r="B78" s="42" t="s">
        <v>457</v>
      </c>
      <c r="C78" s="43" t="s">
        <v>630</v>
      </c>
      <c r="D78" s="44" t="s">
        <v>692</v>
      </c>
      <c r="E78" s="45" t="s">
        <v>16</v>
      </c>
      <c r="F78" s="42" t="s">
        <v>163</v>
      </c>
      <c r="G78" s="42" t="s">
        <v>791</v>
      </c>
      <c r="H78" s="42" t="s">
        <v>795</v>
      </c>
      <c r="I78" s="42" t="s">
        <v>781</v>
      </c>
      <c r="J78" s="44" t="s">
        <v>781</v>
      </c>
    </row>
    <row r="79" ht="18" customHeight="1" spans="1:10">
      <c r="A79" s="51" t="s">
        <v>843</v>
      </c>
    </row>
    <row r="80" ht="15" customHeight="1" spans="1:10">
      <c r="A80" s="46">
        <v>66</v>
      </c>
      <c r="B80" s="46" t="s">
        <v>457</v>
      </c>
      <c r="C80" s="47" t="s">
        <v>579</v>
      </c>
      <c r="D80" s="48" t="s">
        <v>594</v>
      </c>
      <c r="E80" s="52" t="s">
        <v>164</v>
      </c>
      <c r="F80" s="46" t="s">
        <v>163</v>
      </c>
      <c r="G80" s="46" t="s">
        <v>833</v>
      </c>
      <c r="H80" s="46" t="s">
        <v>805</v>
      </c>
      <c r="I80" s="46" t="s">
        <v>175</v>
      </c>
      <c r="J80" s="48" t="s">
        <v>781</v>
      </c>
    </row>
    <row r="81" ht="15" customHeight="1" spans="1:10">
      <c r="A81" s="42">
        <v>67</v>
      </c>
      <c r="B81" s="42" t="s">
        <v>48</v>
      </c>
      <c r="C81" s="43" t="s">
        <v>523</v>
      </c>
      <c r="D81" s="44" t="s">
        <v>524</v>
      </c>
      <c r="E81" s="53" t="s">
        <v>141</v>
      </c>
      <c r="F81" s="42" t="s">
        <v>163</v>
      </c>
      <c r="G81" s="42" t="s">
        <v>823</v>
      </c>
      <c r="H81" s="42" t="s">
        <v>800</v>
      </c>
      <c r="I81" s="42" t="s">
        <v>298</v>
      </c>
      <c r="J81" s="44" t="s">
        <v>781</v>
      </c>
    </row>
    <row r="82" ht="18" customHeight="1" spans="1:10">
      <c r="A82" s="54" t="s">
        <v>844</v>
      </c>
    </row>
    <row r="83" ht="15" customHeight="1" spans="1:10">
      <c r="A83" s="46">
        <v>68</v>
      </c>
      <c r="B83" s="46" t="s">
        <v>457</v>
      </c>
      <c r="C83" s="47" t="s">
        <v>630</v>
      </c>
      <c r="D83" s="48" t="s">
        <v>635</v>
      </c>
      <c r="E83" s="45" t="s">
        <v>179</v>
      </c>
      <c r="F83" s="46" t="s">
        <v>163</v>
      </c>
      <c r="G83" s="46" t="s">
        <v>839</v>
      </c>
      <c r="H83" s="46" t="s">
        <v>781</v>
      </c>
      <c r="I83" s="46" t="s">
        <v>781</v>
      </c>
      <c r="J83" s="48" t="s">
        <v>636</v>
      </c>
    </row>
  </sheetData>
  <mergeCells count="12">
    <mergeCell ref="A3:J3"/>
    <mergeCell ref="A6:J6"/>
    <mergeCell ref="A34:J34"/>
    <mergeCell ref="A43:J43"/>
    <mergeCell ref="A45:J45"/>
    <mergeCell ref="A54:J54"/>
    <mergeCell ref="A58:J58"/>
    <mergeCell ref="A72:J72"/>
    <mergeCell ref="A76:J76"/>
    <mergeCell ref="A79:J79"/>
    <mergeCell ref="A82:J82"/>
    <mergeCell ref="A1:J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pane ySplit="1" topLeftCell="A2" activePane="bottomLeft" state="frozen"/>
      <selection/>
      <selection pane="bottomLeft" activeCell="B3" sqref="B3"/>
    </sheetView>
  </sheetViews>
  <sheetFormatPr defaultColWidth="14.4296875" defaultRowHeight="15" customHeight="1"/>
  <cols>
    <col min="1" max="1" width="47.140625" customWidth="1"/>
    <col min="2" max="2" width="61.859375" customWidth="1"/>
    <col min="3" max="3" width="8.5703125" customWidth="1"/>
    <col min="4" max="4" width="9.5703125" customWidth="1"/>
    <col min="5" max="5" width="24" customWidth="1"/>
    <col min="6" max="6" width="52.7109375" customWidth="1"/>
    <col min="7" max="9" width="11" customWidth="1"/>
    <col min="10" max="10" width="4" customWidth="1"/>
    <col min="11" max="11" width="12.140625" customWidth="1"/>
    <col min="12" max="12" width="12.5703125" customWidth="1"/>
    <col min="13" max="26" width="11" customWidth="1"/>
  </cols>
  <sheetData>
    <row r="1" spans="1:26">
      <c r="A1" s="20" t="s">
        <v>3</v>
      </c>
      <c r="B1" s="20" t="s">
        <v>2</v>
      </c>
      <c r="C1" s="20" t="s">
        <v>3</v>
      </c>
      <c r="D1" s="21" t="s">
        <v>3</v>
      </c>
      <c r="E1" s="22" t="s">
        <v>845</v>
      </c>
      <c r="F1" s="23" t="s">
        <v>846</v>
      </c>
      <c r="G1" s="24"/>
      <c r="H1" s="23"/>
      <c r="I1" s="23"/>
      <c r="J1" s="23"/>
      <c r="K1" s="23"/>
      <c r="L1" s="23"/>
      <c r="M1" s="23"/>
      <c r="N1" s="23"/>
      <c r="O1" s="23"/>
      <c r="P1" s="23"/>
      <c r="Q1" s="23"/>
      <c r="R1" s="23"/>
      <c r="S1" s="23"/>
      <c r="T1" s="23"/>
      <c r="U1" s="23"/>
      <c r="V1" s="23"/>
      <c r="W1" s="23"/>
      <c r="X1" s="23"/>
      <c r="Y1" s="23"/>
      <c r="Z1" s="23"/>
    </row>
    <row r="2" spans="1:26">
      <c r="A2" s="25" t="s">
        <v>26</v>
      </c>
      <c r="B2" s="26" t="s">
        <v>27</v>
      </c>
      <c r="C2" s="26" t="s">
        <v>14</v>
      </c>
      <c r="D2" s="27" t="s">
        <v>15</v>
      </c>
      <c r="E2" s="28" t="s">
        <v>847</v>
      </c>
      <c r="F2" s="23"/>
      <c r="G2" s="24"/>
      <c r="H2" s="23"/>
      <c r="I2" s="23"/>
      <c r="J2" s="23"/>
      <c r="K2" s="23"/>
      <c r="L2" s="23"/>
      <c r="M2" s="23"/>
      <c r="N2" s="23"/>
      <c r="O2" s="23"/>
      <c r="P2" s="23"/>
      <c r="Q2" s="23"/>
      <c r="R2" s="23"/>
      <c r="S2" s="23"/>
      <c r="T2" s="23"/>
      <c r="U2" s="23"/>
      <c r="V2" s="23"/>
      <c r="W2" s="23"/>
      <c r="X2" s="23"/>
      <c r="Y2" s="23"/>
      <c r="Z2" s="23"/>
    </row>
    <row r="3" spans="1:26">
      <c r="A3" s="25" t="s">
        <v>18</v>
      </c>
      <c r="B3" s="26" t="s">
        <v>19</v>
      </c>
      <c r="C3" s="26" t="s">
        <v>14</v>
      </c>
      <c r="D3" s="27" t="s">
        <v>15</v>
      </c>
      <c r="E3" s="28" t="s">
        <v>847</v>
      </c>
      <c r="F3" s="23"/>
      <c r="G3" s="24"/>
      <c r="H3" s="23"/>
      <c r="I3" s="23"/>
      <c r="J3" s="23"/>
      <c r="K3" s="24"/>
      <c r="L3" s="23"/>
      <c r="M3" s="23"/>
      <c r="N3" s="23"/>
      <c r="O3" s="23"/>
      <c r="P3" s="23"/>
      <c r="Q3" s="23"/>
      <c r="R3" s="23"/>
      <c r="S3" s="23"/>
      <c r="T3" s="23"/>
      <c r="U3" s="23"/>
      <c r="V3" s="23"/>
      <c r="W3" s="23"/>
      <c r="X3" s="23"/>
      <c r="Y3" s="23"/>
      <c r="Z3" s="23"/>
    </row>
    <row r="4" spans="1:26">
      <c r="A4" s="25" t="s">
        <v>12</v>
      </c>
      <c r="B4" s="26" t="s">
        <v>13</v>
      </c>
      <c r="C4" s="26" t="s">
        <v>14</v>
      </c>
      <c r="D4" s="27" t="s">
        <v>15</v>
      </c>
      <c r="E4" s="28" t="s">
        <v>847</v>
      </c>
      <c r="F4" s="23"/>
      <c r="G4" s="24"/>
      <c r="H4" s="23"/>
      <c r="I4" s="23"/>
      <c r="J4" s="23"/>
      <c r="K4" s="24"/>
      <c r="L4" s="23"/>
      <c r="M4" s="23"/>
      <c r="N4" s="23"/>
      <c r="O4" s="23"/>
      <c r="P4" s="23"/>
      <c r="Q4" s="23"/>
      <c r="R4" s="23"/>
      <c r="S4" s="23"/>
      <c r="T4" s="23"/>
      <c r="U4" s="23"/>
      <c r="V4" s="23"/>
      <c r="W4" s="23"/>
      <c r="X4" s="23"/>
      <c r="Y4" s="23"/>
      <c r="Z4" s="23"/>
    </row>
    <row r="5" ht="43.5" customHeight="1" spans="1:26">
      <c r="A5" s="26" t="s">
        <v>23</v>
      </c>
      <c r="B5" s="26" t="s">
        <v>24</v>
      </c>
      <c r="C5" s="26" t="s">
        <v>14</v>
      </c>
      <c r="D5" s="27" t="s">
        <v>15</v>
      </c>
      <c r="E5" s="28" t="s">
        <v>847</v>
      </c>
      <c r="F5" s="23"/>
      <c r="G5" s="24"/>
      <c r="H5" s="23"/>
      <c r="I5" s="23"/>
      <c r="J5" s="23"/>
      <c r="K5" s="24"/>
      <c r="L5" s="23"/>
      <c r="M5" s="23"/>
      <c r="N5" s="23"/>
      <c r="O5" s="23"/>
      <c r="P5" s="23"/>
      <c r="Q5" s="23"/>
      <c r="R5" s="23"/>
      <c r="S5" s="23"/>
      <c r="T5" s="23"/>
      <c r="U5" s="23"/>
      <c r="V5" s="23"/>
      <c r="W5" s="23"/>
      <c r="X5" s="23"/>
      <c r="Y5" s="23"/>
      <c r="Z5" s="23"/>
    </row>
    <row r="6" spans="1:26">
      <c r="A6" s="26" t="s">
        <v>31</v>
      </c>
      <c r="B6" s="26"/>
      <c r="C6" s="26" t="s">
        <v>14</v>
      </c>
      <c r="D6" s="27" t="s">
        <v>15</v>
      </c>
      <c r="E6" s="28" t="s">
        <v>847</v>
      </c>
      <c r="F6" s="23"/>
      <c r="G6" s="23"/>
      <c r="H6" s="23"/>
      <c r="I6" s="23"/>
      <c r="J6" s="23"/>
      <c r="K6" s="23"/>
      <c r="L6" s="23"/>
      <c r="M6" s="23"/>
      <c r="N6" s="23"/>
      <c r="O6" s="23"/>
      <c r="P6" s="23"/>
      <c r="Q6" s="23"/>
      <c r="R6" s="23"/>
      <c r="S6" s="23"/>
      <c r="T6" s="23"/>
      <c r="U6" s="23"/>
      <c r="V6" s="23"/>
      <c r="W6" s="23"/>
      <c r="X6" s="23"/>
      <c r="Y6" s="23"/>
      <c r="Z6" s="23"/>
    </row>
    <row r="7" spans="1:26">
      <c r="A7" s="26" t="s">
        <v>33</v>
      </c>
      <c r="B7" s="26"/>
      <c r="C7" s="26" t="s">
        <v>14</v>
      </c>
      <c r="D7" s="27" t="s">
        <v>15</v>
      </c>
      <c r="E7" s="28" t="s">
        <v>847</v>
      </c>
      <c r="F7" s="23"/>
      <c r="G7" s="24"/>
      <c r="H7" s="24"/>
      <c r="I7" s="24"/>
      <c r="J7" s="23"/>
      <c r="K7" s="24"/>
      <c r="L7" s="24"/>
      <c r="M7" s="23"/>
      <c r="N7" s="23"/>
      <c r="O7" s="23"/>
      <c r="P7" s="23"/>
      <c r="Q7" s="23"/>
      <c r="R7" s="23"/>
      <c r="S7" s="23"/>
      <c r="T7" s="23"/>
      <c r="U7" s="23"/>
      <c r="V7" s="23"/>
      <c r="W7" s="23"/>
      <c r="X7" s="23"/>
      <c r="Y7" s="23"/>
      <c r="Z7" s="23"/>
    </row>
    <row r="8" spans="1:26">
      <c r="A8" s="26" t="s">
        <v>35</v>
      </c>
      <c r="B8" s="26"/>
      <c r="C8" s="26" t="s">
        <v>14</v>
      </c>
      <c r="D8" s="27" t="s">
        <v>15</v>
      </c>
      <c r="E8" s="29" t="s">
        <v>847</v>
      </c>
      <c r="F8" s="30"/>
      <c r="G8" s="30"/>
      <c r="H8" s="30"/>
      <c r="I8" s="23"/>
      <c r="J8" s="23"/>
      <c r="K8" s="23"/>
      <c r="L8" s="23"/>
      <c r="M8" s="23"/>
      <c r="N8" s="23"/>
      <c r="O8" s="23"/>
      <c r="P8" s="23"/>
      <c r="Q8" s="23"/>
      <c r="R8" s="23"/>
      <c r="S8" s="23"/>
      <c r="T8" s="23"/>
      <c r="U8" s="23"/>
      <c r="V8" s="23"/>
      <c r="W8" s="23"/>
      <c r="X8" s="23"/>
      <c r="Y8" s="23"/>
      <c r="Z8" s="23"/>
    </row>
    <row r="9" spans="1:26">
      <c r="A9" s="26" t="s">
        <v>29</v>
      </c>
      <c r="B9" s="26"/>
      <c r="C9" s="26" t="s">
        <v>14</v>
      </c>
      <c r="D9" s="27" t="s">
        <v>15</v>
      </c>
      <c r="E9" s="28" t="s">
        <v>847</v>
      </c>
      <c r="F9" s="30"/>
      <c r="G9" s="30"/>
      <c r="H9" s="30"/>
      <c r="I9" s="23"/>
      <c r="J9" s="23"/>
      <c r="K9" s="23"/>
      <c r="L9" s="23"/>
      <c r="M9" s="23"/>
      <c r="N9" s="23"/>
      <c r="O9" s="23"/>
      <c r="P9" s="23"/>
      <c r="Q9" s="23"/>
      <c r="R9" s="23"/>
      <c r="S9" s="23"/>
      <c r="T9" s="23"/>
      <c r="U9" s="23"/>
      <c r="V9" s="23"/>
      <c r="W9" s="23"/>
      <c r="X9" s="23"/>
      <c r="Y9" s="23"/>
      <c r="Z9" s="23"/>
    </row>
    <row r="10" spans="1:26">
      <c r="A10" s="26" t="s">
        <v>37</v>
      </c>
      <c r="B10" s="26"/>
      <c r="C10" s="26" t="s">
        <v>14</v>
      </c>
      <c r="D10" s="27" t="s">
        <v>15</v>
      </c>
      <c r="E10" s="28" t="s">
        <v>847</v>
      </c>
      <c r="F10" s="30"/>
      <c r="G10" s="30"/>
      <c r="H10" s="30"/>
      <c r="I10" s="23"/>
      <c r="J10" s="23"/>
      <c r="K10" s="23"/>
      <c r="L10" s="23"/>
      <c r="M10" s="23"/>
      <c r="N10" s="23"/>
      <c r="O10" s="23"/>
      <c r="P10" s="23"/>
      <c r="Q10" s="23"/>
      <c r="R10" s="23"/>
      <c r="S10" s="23"/>
      <c r="T10" s="23"/>
      <c r="U10" s="23"/>
      <c r="V10" s="23"/>
      <c r="W10" s="23"/>
      <c r="X10" s="23"/>
      <c r="Y10" s="23"/>
      <c r="Z10" s="23"/>
    </row>
    <row r="11" spans="1:26">
      <c r="A11" s="26" t="s">
        <v>39</v>
      </c>
      <c r="B11" s="26"/>
      <c r="C11" s="26" t="s">
        <v>14</v>
      </c>
      <c r="D11" s="27" t="s">
        <v>15</v>
      </c>
      <c r="E11" s="29" t="s">
        <v>847</v>
      </c>
      <c r="F11" s="30"/>
      <c r="G11" s="30"/>
      <c r="H11" s="30"/>
      <c r="I11" s="23"/>
      <c r="J11" s="23"/>
      <c r="K11" s="23"/>
      <c r="L11" s="23"/>
      <c r="M11" s="23"/>
      <c r="N11" s="23"/>
      <c r="O11" s="23"/>
      <c r="P11" s="23"/>
      <c r="Q11" s="23"/>
      <c r="R11" s="23"/>
      <c r="S11" s="23"/>
      <c r="T11" s="23"/>
      <c r="U11" s="23"/>
      <c r="V11" s="23"/>
      <c r="W11" s="23"/>
      <c r="X11" s="23"/>
      <c r="Y11" s="23"/>
      <c r="Z11" s="23"/>
    </row>
    <row r="12" spans="1:26">
      <c r="A12" s="26" t="s">
        <v>42</v>
      </c>
      <c r="B12" s="26"/>
      <c r="C12" s="26" t="s">
        <v>14</v>
      </c>
      <c r="D12" s="27" t="s">
        <v>15</v>
      </c>
      <c r="E12" s="28" t="s">
        <v>847</v>
      </c>
      <c r="F12" s="30"/>
      <c r="G12" s="30"/>
      <c r="H12" s="30"/>
      <c r="I12" s="23"/>
      <c r="J12" s="23"/>
      <c r="K12" s="23"/>
      <c r="L12" s="23"/>
      <c r="M12" s="23"/>
      <c r="N12" s="23"/>
      <c r="O12" s="23"/>
      <c r="P12" s="23"/>
      <c r="Q12" s="23"/>
      <c r="R12" s="23"/>
      <c r="S12" s="23"/>
      <c r="T12" s="23"/>
      <c r="U12" s="23"/>
      <c r="V12" s="23"/>
      <c r="W12" s="23"/>
      <c r="X12" s="23"/>
      <c r="Y12" s="23"/>
      <c r="Z12" s="23"/>
    </row>
    <row r="13" spans="1:26">
      <c r="A13" s="26" t="s">
        <v>44</v>
      </c>
      <c r="B13" s="26"/>
      <c r="C13" s="26" t="s">
        <v>14</v>
      </c>
      <c r="D13" s="27" t="s">
        <v>15</v>
      </c>
      <c r="E13" s="28" t="s">
        <v>847</v>
      </c>
      <c r="F13" s="30"/>
      <c r="G13" s="30"/>
      <c r="H13" s="30"/>
      <c r="I13" s="23"/>
      <c r="J13" s="23"/>
      <c r="K13" s="23"/>
      <c r="L13" s="23"/>
      <c r="M13" s="23"/>
      <c r="N13" s="23"/>
      <c r="O13" s="23"/>
      <c r="P13" s="23"/>
      <c r="Q13" s="23"/>
      <c r="R13" s="23"/>
      <c r="S13" s="23"/>
      <c r="T13" s="23"/>
      <c r="U13" s="23"/>
      <c r="V13" s="23"/>
      <c r="W13" s="23"/>
      <c r="X13" s="23"/>
      <c r="Y13" s="23"/>
      <c r="Z13" s="23"/>
    </row>
    <row r="14" spans="1:26">
      <c r="A14" s="26" t="s">
        <v>67</v>
      </c>
      <c r="B14" s="26" t="s">
        <v>68</v>
      </c>
      <c r="C14" s="26" t="s">
        <v>48</v>
      </c>
      <c r="D14" s="27" t="s">
        <v>15</v>
      </c>
      <c r="E14" s="28" t="s">
        <v>847</v>
      </c>
      <c r="F14" s="23"/>
      <c r="G14" s="23"/>
      <c r="H14" s="23"/>
      <c r="I14" s="23"/>
      <c r="J14" s="23"/>
      <c r="K14" s="23"/>
      <c r="L14" s="23"/>
      <c r="M14" s="23"/>
      <c r="N14" s="23"/>
      <c r="O14" s="23"/>
      <c r="P14" s="23"/>
      <c r="Q14" s="23"/>
      <c r="R14" s="23"/>
      <c r="S14" s="23"/>
      <c r="T14" s="23"/>
      <c r="U14" s="23"/>
      <c r="V14" s="23"/>
      <c r="W14" s="23"/>
      <c r="X14" s="23"/>
      <c r="Y14" s="23"/>
      <c r="Z14" s="23"/>
    </row>
    <row r="15" ht="72" customHeight="1" spans="1:26">
      <c r="A15" s="26" t="s">
        <v>60</v>
      </c>
      <c r="B15" s="26" t="s">
        <v>61</v>
      </c>
      <c r="C15" s="26" t="s">
        <v>48</v>
      </c>
      <c r="D15" s="27" t="s">
        <v>15</v>
      </c>
      <c r="E15" s="28" t="s">
        <v>847</v>
      </c>
      <c r="F15" s="23"/>
      <c r="G15" s="23"/>
      <c r="H15" s="23"/>
      <c r="I15" s="23"/>
      <c r="J15" s="23"/>
      <c r="K15" s="23"/>
      <c r="L15" s="23"/>
      <c r="M15" s="23"/>
      <c r="N15" s="23"/>
      <c r="O15" s="23"/>
      <c r="P15" s="23"/>
      <c r="Q15" s="23"/>
      <c r="R15" s="23"/>
      <c r="S15" s="23"/>
      <c r="T15" s="23"/>
      <c r="U15" s="23"/>
      <c r="V15" s="23"/>
      <c r="W15" s="23"/>
      <c r="X15" s="23"/>
      <c r="Y15" s="23"/>
      <c r="Z15" s="23"/>
    </row>
    <row r="16" spans="1:26">
      <c r="A16" s="26" t="s">
        <v>70</v>
      </c>
      <c r="B16" s="26" t="s">
        <v>71</v>
      </c>
      <c r="C16" s="26" t="s">
        <v>48</v>
      </c>
      <c r="D16" s="27" t="s">
        <v>15</v>
      </c>
      <c r="E16" s="28" t="s">
        <v>847</v>
      </c>
      <c r="F16" s="23"/>
      <c r="G16" s="23"/>
      <c r="H16" s="23"/>
      <c r="I16" s="23"/>
      <c r="J16" s="23"/>
      <c r="K16" s="23"/>
      <c r="L16" s="23"/>
      <c r="M16" s="23"/>
      <c r="N16" s="23"/>
      <c r="O16" s="23"/>
      <c r="P16" s="23"/>
      <c r="Q16" s="23"/>
      <c r="R16" s="23"/>
      <c r="S16" s="23"/>
      <c r="T16" s="23"/>
      <c r="U16" s="23"/>
      <c r="V16" s="23"/>
      <c r="W16" s="23"/>
      <c r="X16" s="23"/>
      <c r="Y16" s="23"/>
      <c r="Z16" s="23"/>
    </row>
    <row r="17" ht="43.5" customHeight="1" spans="1:26">
      <c r="A17" s="26" t="s">
        <v>64</v>
      </c>
      <c r="B17" s="26" t="s">
        <v>65</v>
      </c>
      <c r="C17" s="26" t="s">
        <v>48</v>
      </c>
      <c r="D17" s="27" t="s">
        <v>15</v>
      </c>
      <c r="E17" s="28" t="s">
        <v>847</v>
      </c>
      <c r="F17" s="23"/>
      <c r="G17" s="23"/>
      <c r="H17" s="23"/>
      <c r="I17" s="23"/>
      <c r="J17" s="23"/>
      <c r="K17" s="23"/>
      <c r="L17" s="23"/>
      <c r="M17" s="23"/>
      <c r="N17" s="23"/>
      <c r="O17" s="23"/>
      <c r="P17" s="23"/>
      <c r="Q17" s="23"/>
      <c r="R17" s="23"/>
      <c r="S17" s="23"/>
      <c r="T17" s="23"/>
      <c r="U17" s="23"/>
      <c r="V17" s="23"/>
      <c r="W17" s="23"/>
      <c r="X17" s="23"/>
      <c r="Y17" s="23"/>
      <c r="Z17" s="23"/>
    </row>
    <row r="18" spans="1:26">
      <c r="A18" s="26" t="s">
        <v>72</v>
      </c>
      <c r="B18" s="26" t="s">
        <v>73</v>
      </c>
      <c r="C18" s="26" t="s">
        <v>48</v>
      </c>
      <c r="D18" s="27" t="s">
        <v>15</v>
      </c>
      <c r="E18" s="28" t="s">
        <v>847</v>
      </c>
      <c r="F18" s="23"/>
      <c r="G18" s="23"/>
      <c r="H18" s="23"/>
      <c r="I18" s="23"/>
      <c r="J18" s="23"/>
      <c r="K18" s="23"/>
      <c r="L18" s="23"/>
      <c r="M18" s="23"/>
      <c r="N18" s="23"/>
      <c r="O18" s="23"/>
      <c r="P18" s="23"/>
      <c r="Q18" s="23"/>
      <c r="R18" s="23"/>
      <c r="S18" s="23"/>
      <c r="T18" s="23"/>
      <c r="U18" s="23"/>
      <c r="V18" s="23"/>
      <c r="W18" s="23"/>
      <c r="X18" s="23"/>
      <c r="Y18" s="23"/>
      <c r="Z18" s="23"/>
    </row>
    <row r="19" ht="28.5" customHeight="1" spans="1:26">
      <c r="A19" s="26" t="s">
        <v>53</v>
      </c>
      <c r="B19" s="26" t="s">
        <v>54</v>
      </c>
      <c r="C19" s="26" t="s">
        <v>48</v>
      </c>
      <c r="D19" s="27" t="s">
        <v>15</v>
      </c>
      <c r="E19" s="28" t="s">
        <v>847</v>
      </c>
      <c r="F19" s="23"/>
      <c r="G19" s="23"/>
      <c r="H19" s="23"/>
      <c r="I19" s="23"/>
      <c r="J19" s="23"/>
      <c r="K19" s="23"/>
      <c r="L19" s="23"/>
      <c r="M19" s="23"/>
      <c r="N19" s="23"/>
      <c r="O19" s="23"/>
      <c r="P19" s="23"/>
      <c r="Q19" s="23"/>
      <c r="R19" s="23"/>
      <c r="S19" s="23"/>
      <c r="T19" s="23"/>
      <c r="U19" s="23"/>
      <c r="V19" s="23"/>
      <c r="W19" s="23"/>
      <c r="X19" s="23"/>
      <c r="Y19" s="23"/>
      <c r="Z19" s="23"/>
    </row>
    <row r="20" spans="1:26">
      <c r="A20" s="26" t="s">
        <v>62</v>
      </c>
      <c r="B20" s="26" t="s">
        <v>63</v>
      </c>
      <c r="C20" s="26" t="s">
        <v>48</v>
      </c>
      <c r="D20" s="27" t="s">
        <v>15</v>
      </c>
      <c r="E20" s="28" t="s">
        <v>847</v>
      </c>
      <c r="F20" s="23"/>
      <c r="G20" s="23"/>
      <c r="H20" s="23"/>
      <c r="I20" s="23"/>
      <c r="J20" s="23"/>
      <c r="K20" s="23"/>
      <c r="L20" s="23"/>
      <c r="M20" s="23"/>
      <c r="N20" s="23"/>
      <c r="O20" s="23"/>
      <c r="P20" s="23"/>
      <c r="Q20" s="23"/>
      <c r="R20" s="23"/>
      <c r="S20" s="23"/>
      <c r="T20" s="23"/>
      <c r="U20" s="23"/>
      <c r="V20" s="23"/>
      <c r="W20" s="23"/>
      <c r="X20" s="23"/>
      <c r="Y20" s="23"/>
      <c r="Z20" s="23"/>
    </row>
    <row r="21" spans="1:26">
      <c r="A21" s="26" t="s">
        <v>56</v>
      </c>
      <c r="B21" s="26" t="s">
        <v>57</v>
      </c>
      <c r="C21" s="26" t="s">
        <v>48</v>
      </c>
      <c r="D21" s="27" t="s">
        <v>15</v>
      </c>
      <c r="E21" s="28" t="s">
        <v>847</v>
      </c>
      <c r="F21" s="23"/>
      <c r="G21" s="23"/>
      <c r="H21" s="23"/>
      <c r="I21" s="23"/>
      <c r="J21" s="23"/>
      <c r="K21" s="23"/>
      <c r="L21" s="23"/>
      <c r="M21" s="23"/>
      <c r="N21" s="23"/>
      <c r="O21" s="23"/>
      <c r="P21" s="23"/>
      <c r="Q21" s="23"/>
      <c r="R21" s="23"/>
      <c r="S21" s="23"/>
      <c r="T21" s="23"/>
      <c r="U21" s="23"/>
      <c r="V21" s="23"/>
      <c r="W21" s="23"/>
      <c r="X21" s="23"/>
      <c r="Y21" s="23"/>
      <c r="Z21" s="23"/>
    </row>
    <row r="22" spans="1:26">
      <c r="A22" s="26" t="s">
        <v>75</v>
      </c>
      <c r="B22" s="26"/>
      <c r="C22" s="26" t="s">
        <v>48</v>
      </c>
      <c r="D22" s="27" t="s">
        <v>15</v>
      </c>
      <c r="E22" s="28" t="s">
        <v>847</v>
      </c>
      <c r="F22" s="23"/>
      <c r="G22" s="23"/>
      <c r="H22" s="23"/>
      <c r="I22" s="23"/>
      <c r="J22" s="23"/>
      <c r="K22" s="23"/>
      <c r="L22" s="23"/>
      <c r="M22" s="23"/>
      <c r="N22" s="23"/>
      <c r="O22" s="23"/>
      <c r="P22" s="23"/>
      <c r="Q22" s="23"/>
      <c r="R22" s="23"/>
      <c r="S22" s="23"/>
      <c r="T22" s="23"/>
      <c r="U22" s="23"/>
      <c r="V22" s="23"/>
      <c r="W22" s="23"/>
      <c r="X22" s="23"/>
      <c r="Y22" s="23"/>
      <c r="Z22" s="23"/>
    </row>
    <row r="23" spans="1:26">
      <c r="A23" s="26" t="s">
        <v>76</v>
      </c>
      <c r="B23" s="26"/>
      <c r="C23" s="26" t="s">
        <v>48</v>
      </c>
      <c r="D23" s="27" t="s">
        <v>15</v>
      </c>
      <c r="E23" s="28" t="s">
        <v>847</v>
      </c>
      <c r="F23" s="23"/>
      <c r="G23" s="23"/>
      <c r="H23" s="23"/>
      <c r="I23" s="23"/>
      <c r="J23" s="23"/>
      <c r="K23" s="23"/>
      <c r="L23" s="23"/>
      <c r="M23" s="23"/>
      <c r="N23" s="23"/>
      <c r="O23" s="23"/>
      <c r="P23" s="23"/>
      <c r="Q23" s="23"/>
      <c r="R23" s="23"/>
      <c r="S23" s="23"/>
      <c r="T23" s="23"/>
      <c r="U23" s="23"/>
      <c r="V23" s="23"/>
      <c r="W23" s="23"/>
      <c r="X23" s="23"/>
      <c r="Y23" s="23"/>
      <c r="Z23" s="23"/>
    </row>
    <row r="24" spans="1:26">
      <c r="A24" s="26" t="s">
        <v>78</v>
      </c>
      <c r="B24" s="26"/>
      <c r="C24" s="26" t="s">
        <v>48</v>
      </c>
      <c r="D24" s="27" t="s">
        <v>15</v>
      </c>
      <c r="E24" s="28" t="s">
        <v>847</v>
      </c>
      <c r="F24" s="23"/>
      <c r="G24" s="23"/>
      <c r="H24" s="23"/>
      <c r="I24" s="23"/>
      <c r="J24" s="23"/>
      <c r="K24" s="23"/>
      <c r="L24" s="23"/>
      <c r="M24" s="23"/>
      <c r="N24" s="23"/>
      <c r="O24" s="23"/>
      <c r="P24" s="23"/>
      <c r="Q24" s="23"/>
      <c r="R24" s="23"/>
      <c r="S24" s="23"/>
      <c r="T24" s="23"/>
      <c r="U24" s="23"/>
      <c r="V24" s="23"/>
      <c r="W24" s="23"/>
      <c r="X24" s="23"/>
      <c r="Y24" s="23"/>
      <c r="Z24" s="23"/>
    </row>
    <row r="25" spans="1:26">
      <c r="A25" s="26" t="s">
        <v>47</v>
      </c>
      <c r="B25" s="26"/>
      <c r="C25" s="26" t="s">
        <v>48</v>
      </c>
      <c r="D25" s="27" t="s">
        <v>15</v>
      </c>
      <c r="E25" s="28" t="s">
        <v>847</v>
      </c>
      <c r="F25" s="23"/>
      <c r="G25" s="23"/>
      <c r="H25" s="23"/>
      <c r="I25" s="23"/>
      <c r="J25" s="23"/>
      <c r="K25" s="23"/>
      <c r="L25" s="23"/>
      <c r="M25" s="23"/>
      <c r="N25" s="23"/>
      <c r="O25" s="23"/>
      <c r="P25" s="23"/>
      <c r="Q25" s="23"/>
      <c r="R25" s="23"/>
      <c r="S25" s="23"/>
      <c r="T25" s="23"/>
      <c r="U25" s="23"/>
      <c r="V25" s="23"/>
      <c r="W25" s="23"/>
      <c r="X25" s="23"/>
      <c r="Y25" s="23"/>
      <c r="Z25" s="23"/>
    </row>
    <row r="26" spans="1:26">
      <c r="A26" s="26" t="s">
        <v>79</v>
      </c>
      <c r="B26" s="26"/>
      <c r="C26" s="26" t="s">
        <v>48</v>
      </c>
      <c r="D26" s="27" t="s">
        <v>15</v>
      </c>
      <c r="E26" s="28" t="s">
        <v>847</v>
      </c>
      <c r="F26" s="23"/>
      <c r="G26" s="23"/>
      <c r="H26" s="23"/>
      <c r="I26" s="23"/>
      <c r="J26" s="23"/>
      <c r="K26" s="23"/>
      <c r="L26" s="23"/>
      <c r="M26" s="23"/>
      <c r="N26" s="23"/>
      <c r="O26" s="23"/>
      <c r="P26" s="23"/>
      <c r="Q26" s="23"/>
      <c r="R26" s="23"/>
      <c r="S26" s="23"/>
      <c r="T26" s="23"/>
      <c r="U26" s="23"/>
      <c r="V26" s="23"/>
      <c r="W26" s="23"/>
      <c r="X26" s="23"/>
      <c r="Y26" s="23"/>
      <c r="Z26" s="23"/>
    </row>
    <row r="27" spans="1:26">
      <c r="A27" s="26" t="s">
        <v>80</v>
      </c>
      <c r="B27" s="26"/>
      <c r="C27" s="26" t="s">
        <v>48</v>
      </c>
      <c r="D27" s="27" t="s">
        <v>15</v>
      </c>
      <c r="E27" s="28" t="s">
        <v>847</v>
      </c>
      <c r="F27" s="23"/>
      <c r="G27" s="23"/>
      <c r="H27" s="23"/>
      <c r="I27" s="23"/>
      <c r="J27" s="23"/>
      <c r="K27" s="23"/>
      <c r="L27" s="23"/>
      <c r="M27" s="23"/>
      <c r="N27" s="23"/>
      <c r="O27" s="23"/>
      <c r="P27" s="23"/>
      <c r="Q27" s="23"/>
      <c r="R27" s="23"/>
      <c r="S27" s="23"/>
      <c r="T27" s="23"/>
      <c r="U27" s="23"/>
      <c r="V27" s="23"/>
      <c r="W27" s="23"/>
      <c r="X27" s="23"/>
      <c r="Y27" s="23"/>
      <c r="Z27" s="23"/>
    </row>
    <row r="28" spans="1:26">
      <c r="A28" s="26" t="s">
        <v>51</v>
      </c>
      <c r="B28" s="26"/>
      <c r="C28" s="26" t="s">
        <v>48</v>
      </c>
      <c r="D28" s="27" t="s">
        <v>15</v>
      </c>
      <c r="E28" s="28" t="s">
        <v>847</v>
      </c>
      <c r="F28" s="23"/>
      <c r="G28" s="23"/>
      <c r="H28" s="23"/>
      <c r="I28" s="23"/>
      <c r="J28" s="23"/>
      <c r="K28" s="23"/>
      <c r="L28" s="23"/>
      <c r="M28" s="23"/>
      <c r="N28" s="23"/>
      <c r="O28" s="23"/>
      <c r="P28" s="23"/>
      <c r="Q28" s="23"/>
      <c r="R28" s="23"/>
      <c r="S28" s="23"/>
      <c r="T28" s="23"/>
      <c r="U28" s="23"/>
      <c r="V28" s="23"/>
      <c r="W28" s="23"/>
      <c r="X28" s="23"/>
      <c r="Y28" s="23"/>
      <c r="Z28" s="23"/>
    </row>
    <row r="29" spans="1:26">
      <c r="A29" s="26" t="s">
        <v>91</v>
      </c>
      <c r="B29" s="26" t="s">
        <v>92</v>
      </c>
      <c r="C29" s="26" t="s">
        <v>14</v>
      </c>
      <c r="D29" s="27" t="s">
        <v>82</v>
      </c>
      <c r="E29" s="28" t="s">
        <v>847</v>
      </c>
      <c r="F29" s="23"/>
      <c r="G29" s="23"/>
      <c r="H29" s="23"/>
      <c r="I29" s="23"/>
      <c r="J29" s="23"/>
      <c r="K29" s="23"/>
      <c r="L29" s="23"/>
      <c r="M29" s="23"/>
      <c r="N29" s="23"/>
      <c r="O29" s="23"/>
      <c r="P29" s="23"/>
      <c r="Q29" s="23"/>
      <c r="R29" s="23"/>
      <c r="S29" s="23"/>
      <c r="T29" s="23"/>
      <c r="U29" s="23"/>
      <c r="V29" s="23"/>
      <c r="W29" s="23"/>
      <c r="X29" s="23"/>
      <c r="Y29" s="23"/>
      <c r="Z29" s="23"/>
    </row>
    <row r="30" spans="1:26">
      <c r="A30" s="26" t="s">
        <v>848</v>
      </c>
      <c r="B30" s="26" t="s">
        <v>92</v>
      </c>
      <c r="C30" s="26" t="s">
        <v>14</v>
      </c>
      <c r="D30" s="27" t="s">
        <v>82</v>
      </c>
      <c r="E30" s="31" t="s">
        <v>849</v>
      </c>
      <c r="F30" s="23" t="s">
        <v>850</v>
      </c>
      <c r="G30" s="23"/>
      <c r="H30" s="23"/>
      <c r="I30" s="23"/>
      <c r="J30" s="23"/>
      <c r="K30" s="23"/>
      <c r="L30" s="23"/>
      <c r="M30" s="23"/>
      <c r="N30" s="23"/>
      <c r="O30" s="23"/>
      <c r="P30" s="23"/>
      <c r="Q30" s="23"/>
      <c r="R30" s="23"/>
      <c r="S30" s="23"/>
      <c r="T30" s="23"/>
      <c r="U30" s="23"/>
      <c r="V30" s="23"/>
      <c r="W30" s="23"/>
      <c r="X30" s="23"/>
      <c r="Y30" s="23"/>
      <c r="Z30" s="23"/>
    </row>
    <row r="31" spans="1:26">
      <c r="A31" s="26" t="s">
        <v>84</v>
      </c>
      <c r="B31" s="26"/>
      <c r="C31" s="26" t="s">
        <v>14</v>
      </c>
      <c r="D31" s="27" t="s">
        <v>82</v>
      </c>
      <c r="E31" s="28" t="s">
        <v>847</v>
      </c>
      <c r="F31" s="23"/>
      <c r="G31" s="23"/>
      <c r="H31" s="23"/>
      <c r="I31" s="23"/>
      <c r="J31" s="23"/>
      <c r="K31" s="23"/>
      <c r="L31" s="23"/>
      <c r="M31" s="23"/>
      <c r="N31" s="23"/>
      <c r="O31" s="23"/>
      <c r="P31" s="23"/>
      <c r="Q31" s="23"/>
      <c r="R31" s="23"/>
      <c r="S31" s="23"/>
      <c r="T31" s="23"/>
      <c r="U31" s="23"/>
      <c r="V31" s="23"/>
      <c r="W31" s="23"/>
      <c r="X31" s="23"/>
      <c r="Y31" s="23"/>
      <c r="Z31" s="23"/>
    </row>
    <row r="32" spans="1:26">
      <c r="A32" s="26" t="s">
        <v>173</v>
      </c>
      <c r="B32" s="26"/>
      <c r="C32" s="26" t="s">
        <v>14</v>
      </c>
      <c r="D32" s="27" t="s">
        <v>82</v>
      </c>
      <c r="E32" s="28" t="s">
        <v>847</v>
      </c>
      <c r="F32" s="23"/>
      <c r="G32" s="23"/>
      <c r="H32" s="23"/>
      <c r="I32" s="23"/>
      <c r="J32" s="23"/>
      <c r="K32" s="23"/>
      <c r="L32" s="23"/>
      <c r="M32" s="23"/>
      <c r="N32" s="23"/>
      <c r="O32" s="23"/>
      <c r="P32" s="23"/>
      <c r="Q32" s="23"/>
      <c r="R32" s="23"/>
      <c r="S32" s="23"/>
      <c r="T32" s="23"/>
      <c r="U32" s="23"/>
      <c r="V32" s="23"/>
      <c r="W32" s="23"/>
      <c r="X32" s="23"/>
      <c r="Y32" s="23"/>
      <c r="Z32" s="23"/>
    </row>
    <row r="33" spans="1:26">
      <c r="A33" s="26" t="s">
        <v>94</v>
      </c>
      <c r="B33" s="26" t="s">
        <v>95</v>
      </c>
      <c r="C33" s="26" t="s">
        <v>14</v>
      </c>
      <c r="D33" s="27" t="s">
        <v>82</v>
      </c>
      <c r="E33" s="28" t="s">
        <v>847</v>
      </c>
      <c r="F33" s="23"/>
      <c r="G33" s="23"/>
      <c r="H33" s="23"/>
      <c r="I33" s="23"/>
      <c r="J33" s="23"/>
      <c r="K33" s="23"/>
      <c r="L33" s="23"/>
      <c r="M33" s="23"/>
      <c r="N33" s="23"/>
      <c r="O33" s="23"/>
      <c r="P33" s="23"/>
      <c r="Q33" s="23"/>
      <c r="R33" s="23"/>
      <c r="S33" s="23"/>
      <c r="T33" s="23"/>
      <c r="U33" s="23"/>
      <c r="V33" s="23"/>
      <c r="W33" s="23"/>
      <c r="X33" s="23"/>
      <c r="Y33" s="23"/>
      <c r="Z33" s="23"/>
    </row>
    <row r="34" spans="1:26">
      <c r="A34" s="26" t="s">
        <v>851</v>
      </c>
      <c r="B34" s="26" t="s">
        <v>95</v>
      </c>
      <c r="C34" s="26" t="s">
        <v>14</v>
      </c>
      <c r="D34" s="27" t="s">
        <v>82</v>
      </c>
      <c r="E34" s="31" t="s">
        <v>849</v>
      </c>
      <c r="F34" s="23" t="s">
        <v>852</v>
      </c>
      <c r="G34" s="23"/>
      <c r="H34" s="23"/>
      <c r="I34" s="23"/>
      <c r="J34" s="23"/>
      <c r="K34" s="23"/>
      <c r="L34" s="23"/>
      <c r="M34" s="23"/>
      <c r="N34" s="23"/>
      <c r="O34" s="23"/>
      <c r="P34" s="23"/>
      <c r="Q34" s="23"/>
      <c r="R34" s="23"/>
      <c r="S34" s="23"/>
      <c r="T34" s="23"/>
      <c r="U34" s="23"/>
      <c r="V34" s="23"/>
      <c r="W34" s="23"/>
      <c r="X34" s="23"/>
      <c r="Y34" s="23"/>
      <c r="Z34" s="23"/>
    </row>
    <row r="35" spans="1:26">
      <c r="A35" s="26" t="s">
        <v>97</v>
      </c>
      <c r="B35" s="26"/>
      <c r="C35" s="26" t="s">
        <v>14</v>
      </c>
      <c r="D35" s="27" t="s">
        <v>82</v>
      </c>
      <c r="E35" s="28" t="s">
        <v>847</v>
      </c>
      <c r="F35" s="23"/>
      <c r="G35" s="23"/>
      <c r="H35" s="23"/>
      <c r="I35" s="23"/>
      <c r="J35" s="23"/>
      <c r="K35" s="23"/>
      <c r="L35" s="23"/>
      <c r="M35" s="23"/>
      <c r="N35" s="23"/>
      <c r="O35" s="23"/>
      <c r="P35" s="23"/>
      <c r="Q35" s="23"/>
      <c r="R35" s="23"/>
      <c r="S35" s="23"/>
      <c r="T35" s="23"/>
      <c r="U35" s="23"/>
      <c r="V35" s="23"/>
      <c r="W35" s="23"/>
      <c r="X35" s="23"/>
      <c r="Y35" s="23"/>
      <c r="Z35" s="23"/>
    </row>
    <row r="36" spans="1:26">
      <c r="A36" s="26" t="s">
        <v>853</v>
      </c>
      <c r="B36" s="26"/>
      <c r="C36" s="26" t="s">
        <v>14</v>
      </c>
      <c r="D36" s="27" t="s">
        <v>82</v>
      </c>
      <c r="E36" s="31" t="s">
        <v>849</v>
      </c>
      <c r="F36" s="23" t="s">
        <v>854</v>
      </c>
      <c r="G36" s="23"/>
      <c r="H36" s="23"/>
      <c r="I36" s="23"/>
      <c r="J36" s="23"/>
      <c r="K36" s="23"/>
      <c r="L36" s="23"/>
      <c r="M36" s="23"/>
      <c r="N36" s="23"/>
      <c r="O36" s="23"/>
      <c r="P36" s="23"/>
      <c r="Q36" s="23"/>
      <c r="R36" s="23"/>
      <c r="S36" s="23"/>
      <c r="T36" s="23"/>
      <c r="U36" s="23"/>
      <c r="V36" s="23"/>
      <c r="W36" s="23"/>
      <c r="X36" s="23"/>
      <c r="Y36" s="23"/>
      <c r="Z36" s="23"/>
    </row>
    <row r="37" spans="1:26">
      <c r="A37" s="26" t="s">
        <v>81</v>
      </c>
      <c r="B37" s="26"/>
      <c r="C37" s="26" t="s">
        <v>14</v>
      </c>
      <c r="D37" s="27" t="s">
        <v>82</v>
      </c>
      <c r="E37" s="28" t="s">
        <v>847</v>
      </c>
      <c r="F37" s="23"/>
      <c r="G37" s="23"/>
      <c r="H37" s="23"/>
      <c r="I37" s="23"/>
      <c r="J37" s="23"/>
      <c r="K37" s="23"/>
      <c r="L37" s="23"/>
      <c r="M37" s="23"/>
      <c r="N37" s="23"/>
      <c r="O37" s="23"/>
      <c r="P37" s="23"/>
      <c r="Q37" s="23"/>
      <c r="R37" s="23"/>
      <c r="S37" s="23"/>
      <c r="T37" s="23"/>
      <c r="U37" s="23"/>
      <c r="V37" s="23"/>
      <c r="W37" s="23"/>
      <c r="X37" s="23"/>
      <c r="Y37" s="23"/>
      <c r="Z37" s="23"/>
    </row>
    <row r="38" spans="1:26">
      <c r="A38" s="26" t="s">
        <v>84</v>
      </c>
      <c r="B38" s="26"/>
      <c r="C38" s="26" t="s">
        <v>14</v>
      </c>
      <c r="D38" s="27" t="s">
        <v>82</v>
      </c>
      <c r="E38" s="28" t="s">
        <v>847</v>
      </c>
      <c r="F38" s="23"/>
      <c r="G38" s="23"/>
      <c r="H38" s="23"/>
      <c r="I38" s="23"/>
      <c r="J38" s="23"/>
      <c r="K38" s="23"/>
      <c r="L38" s="23"/>
      <c r="M38" s="23"/>
      <c r="N38" s="23"/>
      <c r="O38" s="23"/>
      <c r="P38" s="23"/>
      <c r="Q38" s="23"/>
      <c r="R38" s="23"/>
      <c r="S38" s="23"/>
      <c r="T38" s="23"/>
      <c r="U38" s="23"/>
      <c r="V38" s="23"/>
      <c r="W38" s="23"/>
      <c r="X38" s="23"/>
      <c r="Y38" s="23"/>
      <c r="Z38" s="23"/>
    </row>
    <row r="39" spans="1:26">
      <c r="A39" s="26" t="s">
        <v>102</v>
      </c>
      <c r="B39" s="26"/>
      <c r="C39" s="26" t="s">
        <v>14</v>
      </c>
      <c r="D39" s="27" t="s">
        <v>82</v>
      </c>
      <c r="E39" s="28" t="s">
        <v>847</v>
      </c>
      <c r="F39" s="23"/>
      <c r="G39" s="23"/>
      <c r="H39" s="23"/>
      <c r="I39" s="23"/>
      <c r="J39" s="23"/>
      <c r="K39" s="23"/>
      <c r="L39" s="23"/>
      <c r="M39" s="23"/>
      <c r="N39" s="23"/>
      <c r="O39" s="23"/>
      <c r="P39" s="23"/>
      <c r="Q39" s="23"/>
      <c r="R39" s="23"/>
      <c r="S39" s="23"/>
      <c r="T39" s="23"/>
      <c r="U39" s="23"/>
      <c r="V39" s="23"/>
      <c r="W39" s="23"/>
      <c r="X39" s="23"/>
      <c r="Y39" s="23"/>
      <c r="Z39" s="23"/>
    </row>
    <row r="40" spans="1:26">
      <c r="A40" s="26" t="s">
        <v>98</v>
      </c>
      <c r="B40" s="26"/>
      <c r="C40" s="26" t="s">
        <v>14</v>
      </c>
      <c r="D40" s="27" t="s">
        <v>82</v>
      </c>
      <c r="E40" s="28" t="s">
        <v>847</v>
      </c>
      <c r="F40" s="23"/>
      <c r="G40" s="23"/>
      <c r="H40" s="23"/>
      <c r="I40" s="23"/>
      <c r="J40" s="23"/>
      <c r="K40" s="23"/>
      <c r="L40" s="23"/>
      <c r="M40" s="23"/>
      <c r="N40" s="23"/>
      <c r="O40" s="23"/>
      <c r="P40" s="23"/>
      <c r="Q40" s="23"/>
      <c r="R40" s="23"/>
      <c r="S40" s="23"/>
      <c r="T40" s="23"/>
      <c r="U40" s="23"/>
      <c r="V40" s="23"/>
      <c r="W40" s="23"/>
      <c r="X40" s="23"/>
      <c r="Y40" s="23"/>
      <c r="Z40" s="23"/>
    </row>
    <row r="41" spans="1:26">
      <c r="A41" s="26" t="s">
        <v>855</v>
      </c>
      <c r="B41" s="26"/>
      <c r="C41" s="26" t="s">
        <v>14</v>
      </c>
      <c r="D41" s="27" t="s">
        <v>82</v>
      </c>
      <c r="E41" s="31" t="s">
        <v>849</v>
      </c>
      <c r="F41" s="23" t="s">
        <v>856</v>
      </c>
      <c r="G41" s="23"/>
      <c r="H41" s="23"/>
      <c r="I41" s="23"/>
      <c r="J41" s="23"/>
      <c r="K41" s="23"/>
      <c r="L41" s="23"/>
      <c r="M41" s="23"/>
      <c r="N41" s="23"/>
      <c r="O41" s="23"/>
      <c r="P41" s="23"/>
      <c r="Q41" s="23"/>
      <c r="R41" s="23"/>
      <c r="S41" s="23"/>
      <c r="T41" s="23"/>
      <c r="U41" s="23"/>
      <c r="V41" s="23"/>
      <c r="W41" s="23"/>
      <c r="X41" s="23"/>
      <c r="Y41" s="23"/>
      <c r="Z41" s="23"/>
    </row>
    <row r="42" spans="1:26">
      <c r="A42" s="26" t="s">
        <v>100</v>
      </c>
      <c r="B42" s="26"/>
      <c r="C42" s="26" t="s">
        <v>14</v>
      </c>
      <c r="D42" s="27" t="s">
        <v>82</v>
      </c>
      <c r="E42" s="28" t="s">
        <v>847</v>
      </c>
      <c r="F42" s="23"/>
      <c r="G42" s="23"/>
      <c r="H42" s="23"/>
      <c r="I42" s="23"/>
      <c r="J42" s="23"/>
      <c r="K42" s="23"/>
      <c r="L42" s="23"/>
      <c r="M42" s="23"/>
      <c r="N42" s="23"/>
      <c r="O42" s="23"/>
      <c r="P42" s="23"/>
      <c r="Q42" s="23"/>
      <c r="R42" s="23"/>
      <c r="S42" s="23"/>
      <c r="T42" s="23"/>
      <c r="U42" s="23"/>
      <c r="V42" s="23"/>
      <c r="W42" s="23"/>
      <c r="X42" s="23"/>
      <c r="Y42" s="23"/>
      <c r="Z42" s="23"/>
    </row>
    <row r="43" ht="43.5" customHeight="1" spans="1:26">
      <c r="A43" s="26" t="s">
        <v>88</v>
      </c>
      <c r="B43" s="26" t="s">
        <v>857</v>
      </c>
      <c r="C43" s="26" t="s">
        <v>14</v>
      </c>
      <c r="D43" s="27" t="s">
        <v>82</v>
      </c>
      <c r="E43" s="28" t="s">
        <v>847</v>
      </c>
      <c r="F43" s="23"/>
      <c r="G43" s="23"/>
      <c r="H43" s="23"/>
      <c r="I43" s="23"/>
      <c r="J43" s="23"/>
      <c r="K43" s="23"/>
      <c r="L43" s="23"/>
      <c r="M43" s="23"/>
      <c r="N43" s="23"/>
      <c r="O43" s="23"/>
      <c r="P43" s="23"/>
      <c r="Q43" s="23"/>
      <c r="R43" s="23"/>
      <c r="S43" s="23"/>
      <c r="T43" s="23"/>
      <c r="U43" s="23"/>
      <c r="V43" s="23"/>
      <c r="W43" s="23"/>
      <c r="X43" s="23"/>
      <c r="Y43" s="23"/>
      <c r="Z43" s="23"/>
    </row>
    <row r="44" ht="87" customHeight="1" spans="1:26">
      <c r="A44" s="26" t="s">
        <v>129</v>
      </c>
      <c r="B44" s="26" t="s">
        <v>130</v>
      </c>
      <c r="C44" s="26" t="s">
        <v>48</v>
      </c>
      <c r="D44" s="27" t="s">
        <v>82</v>
      </c>
      <c r="E44" s="28" t="s">
        <v>847</v>
      </c>
      <c r="F44" s="23"/>
      <c r="G44" s="23"/>
      <c r="H44" s="23"/>
      <c r="I44" s="23"/>
      <c r="J44" s="23"/>
      <c r="K44" s="23"/>
      <c r="L44" s="23"/>
      <c r="M44" s="23"/>
      <c r="N44" s="23"/>
      <c r="O44" s="23"/>
      <c r="P44" s="23"/>
      <c r="Q44" s="23"/>
      <c r="R44" s="23"/>
      <c r="S44" s="23"/>
      <c r="T44" s="23"/>
      <c r="U44" s="23"/>
      <c r="V44" s="23"/>
      <c r="W44" s="23"/>
      <c r="X44" s="23"/>
      <c r="Y44" s="23"/>
      <c r="Z44" s="23"/>
    </row>
    <row r="45" ht="28.5" customHeight="1" spans="1:26">
      <c r="A45" s="26" t="s">
        <v>121</v>
      </c>
      <c r="B45" s="26" t="s">
        <v>122</v>
      </c>
      <c r="C45" s="26" t="s">
        <v>48</v>
      </c>
      <c r="D45" s="27" t="s">
        <v>82</v>
      </c>
      <c r="E45" s="28" t="s">
        <v>847</v>
      </c>
      <c r="F45" s="23"/>
      <c r="G45" s="23"/>
      <c r="H45" s="23"/>
      <c r="I45" s="23"/>
      <c r="J45" s="23"/>
      <c r="K45" s="23"/>
      <c r="L45" s="23"/>
      <c r="M45" s="23"/>
      <c r="N45" s="23"/>
      <c r="O45" s="23"/>
      <c r="P45" s="23"/>
      <c r="Q45" s="23"/>
      <c r="R45" s="23"/>
      <c r="S45" s="23"/>
      <c r="T45" s="23"/>
      <c r="U45" s="23"/>
      <c r="V45" s="23"/>
      <c r="W45" s="23"/>
      <c r="X45" s="23"/>
      <c r="Y45" s="23"/>
      <c r="Z45" s="23"/>
    </row>
    <row r="46" spans="1:26">
      <c r="A46" s="26" t="s">
        <v>131</v>
      </c>
      <c r="B46" s="26" t="s">
        <v>132</v>
      </c>
      <c r="C46" s="26" t="s">
        <v>48</v>
      </c>
      <c r="D46" s="27" t="s">
        <v>82</v>
      </c>
      <c r="E46" s="28" t="s">
        <v>847</v>
      </c>
      <c r="F46" s="23"/>
      <c r="G46" s="23"/>
      <c r="H46" s="23"/>
      <c r="I46" s="23"/>
      <c r="J46" s="23"/>
      <c r="K46" s="23"/>
      <c r="L46" s="23"/>
      <c r="M46" s="23"/>
      <c r="N46" s="23"/>
      <c r="O46" s="23"/>
      <c r="P46" s="23"/>
      <c r="Q46" s="23"/>
      <c r="R46" s="23"/>
      <c r="S46" s="23"/>
      <c r="T46" s="23"/>
      <c r="U46" s="23"/>
      <c r="V46" s="23"/>
      <c r="W46" s="23"/>
      <c r="X46" s="23"/>
      <c r="Y46" s="23"/>
      <c r="Z46" s="23"/>
    </row>
    <row r="47" ht="100.5" customHeight="1" spans="1:26">
      <c r="A47" s="26" t="s">
        <v>115</v>
      </c>
      <c r="B47" s="26" t="s">
        <v>116</v>
      </c>
      <c r="C47" s="26" t="s">
        <v>48</v>
      </c>
      <c r="D47" s="27" t="s">
        <v>82</v>
      </c>
      <c r="E47" s="28" t="s">
        <v>847</v>
      </c>
      <c r="F47" s="23"/>
      <c r="G47" s="23"/>
      <c r="H47" s="23"/>
      <c r="I47" s="23"/>
      <c r="J47" s="23"/>
      <c r="K47" s="23"/>
      <c r="L47" s="23"/>
      <c r="M47" s="23"/>
      <c r="N47" s="23"/>
      <c r="O47" s="23"/>
      <c r="P47" s="23"/>
      <c r="Q47" s="23"/>
      <c r="R47" s="23"/>
      <c r="S47" s="23"/>
      <c r="T47" s="23"/>
      <c r="U47" s="23"/>
      <c r="V47" s="23"/>
      <c r="W47" s="23"/>
      <c r="X47" s="23"/>
      <c r="Y47" s="23"/>
      <c r="Z47" s="23"/>
    </row>
    <row r="48" spans="1:26">
      <c r="A48" s="26" t="s">
        <v>124</v>
      </c>
      <c r="B48" s="26" t="s">
        <v>125</v>
      </c>
      <c r="C48" s="26" t="s">
        <v>48</v>
      </c>
      <c r="D48" s="27" t="s">
        <v>82</v>
      </c>
      <c r="E48" s="28" t="s">
        <v>847</v>
      </c>
      <c r="F48" s="23"/>
      <c r="G48" s="23"/>
      <c r="H48" s="23"/>
      <c r="I48" s="23"/>
      <c r="J48" s="23"/>
      <c r="K48" s="23"/>
      <c r="L48" s="23"/>
      <c r="M48" s="23"/>
      <c r="N48" s="23"/>
      <c r="O48" s="23"/>
      <c r="P48" s="23"/>
      <c r="Q48" s="23"/>
      <c r="R48" s="23"/>
      <c r="S48" s="23"/>
      <c r="T48" s="23"/>
      <c r="U48" s="23"/>
      <c r="V48" s="23"/>
      <c r="W48" s="23"/>
      <c r="X48" s="23"/>
      <c r="Y48" s="23"/>
      <c r="Z48" s="23"/>
    </row>
    <row r="49" spans="1:26">
      <c r="A49" s="26" t="s">
        <v>127</v>
      </c>
      <c r="B49" s="26" t="s">
        <v>128</v>
      </c>
      <c r="C49" s="26" t="s">
        <v>48</v>
      </c>
      <c r="D49" s="27" t="s">
        <v>82</v>
      </c>
      <c r="E49" s="28" t="s">
        <v>847</v>
      </c>
      <c r="F49" s="23"/>
      <c r="G49" s="23"/>
      <c r="H49" s="23"/>
      <c r="I49" s="23"/>
      <c r="J49" s="23"/>
      <c r="K49" s="23"/>
      <c r="L49" s="23"/>
      <c r="M49" s="23"/>
      <c r="N49" s="23"/>
      <c r="O49" s="23"/>
      <c r="P49" s="23"/>
      <c r="Q49" s="23"/>
      <c r="R49" s="23"/>
      <c r="S49" s="23"/>
      <c r="T49" s="23"/>
      <c r="U49" s="23"/>
      <c r="V49" s="23"/>
      <c r="W49" s="23"/>
      <c r="X49" s="23"/>
      <c r="Y49" s="23"/>
      <c r="Z49" s="23"/>
    </row>
    <row r="50" spans="1:26">
      <c r="A50" s="26" t="s">
        <v>106</v>
      </c>
      <c r="B50" s="26" t="s">
        <v>107</v>
      </c>
      <c r="C50" s="26" t="s">
        <v>48</v>
      </c>
      <c r="D50" s="27" t="s">
        <v>82</v>
      </c>
      <c r="E50" s="28" t="s">
        <v>847</v>
      </c>
      <c r="F50" s="23"/>
      <c r="G50" s="23"/>
      <c r="H50" s="23"/>
      <c r="I50" s="23"/>
      <c r="J50" s="23"/>
      <c r="K50" s="23"/>
      <c r="L50" s="23"/>
      <c r="M50" s="23"/>
      <c r="N50" s="23"/>
      <c r="O50" s="23"/>
      <c r="P50" s="23"/>
      <c r="Q50" s="23"/>
      <c r="R50" s="23"/>
      <c r="S50" s="23"/>
      <c r="T50" s="23"/>
      <c r="U50" s="23"/>
      <c r="V50" s="23"/>
      <c r="W50" s="23"/>
      <c r="X50" s="23"/>
      <c r="Y50" s="23"/>
      <c r="Z50" s="23"/>
    </row>
    <row r="51" spans="1:26">
      <c r="A51" s="26" t="s">
        <v>133</v>
      </c>
      <c r="B51" s="26" t="s">
        <v>134</v>
      </c>
      <c r="C51" s="26" t="s">
        <v>48</v>
      </c>
      <c r="D51" s="27" t="s">
        <v>82</v>
      </c>
      <c r="E51" s="28" t="s">
        <v>847</v>
      </c>
      <c r="F51" s="23"/>
      <c r="G51" s="23"/>
      <c r="H51" s="23"/>
      <c r="I51" s="23"/>
      <c r="J51" s="23"/>
      <c r="K51" s="23"/>
      <c r="L51" s="23"/>
      <c r="M51" s="23"/>
      <c r="N51" s="23"/>
      <c r="O51" s="23"/>
      <c r="P51" s="23"/>
      <c r="Q51" s="23"/>
      <c r="R51" s="23"/>
      <c r="S51" s="23"/>
      <c r="T51" s="23"/>
      <c r="U51" s="23"/>
      <c r="V51" s="23"/>
      <c r="W51" s="23"/>
      <c r="X51" s="23"/>
      <c r="Y51" s="23"/>
      <c r="Z51" s="23"/>
    </row>
    <row r="52" ht="28.5" customHeight="1" spans="1:26">
      <c r="A52" s="26" t="s">
        <v>118</v>
      </c>
      <c r="B52" s="26" t="s">
        <v>119</v>
      </c>
      <c r="C52" s="26" t="s">
        <v>48</v>
      </c>
      <c r="D52" s="27" t="s">
        <v>82</v>
      </c>
      <c r="E52" s="28" t="s">
        <v>847</v>
      </c>
      <c r="F52" s="23"/>
      <c r="G52" s="23"/>
      <c r="H52" s="23"/>
      <c r="I52" s="23"/>
      <c r="J52" s="23"/>
      <c r="K52" s="23"/>
      <c r="L52" s="23"/>
      <c r="M52" s="23"/>
      <c r="N52" s="23"/>
      <c r="O52" s="23"/>
      <c r="P52" s="23"/>
      <c r="Q52" s="23"/>
      <c r="R52" s="23"/>
      <c r="S52" s="23"/>
      <c r="T52" s="23"/>
      <c r="U52" s="23"/>
      <c r="V52" s="23"/>
      <c r="W52" s="23"/>
      <c r="X52" s="23"/>
      <c r="Y52" s="23"/>
      <c r="Z52" s="23"/>
    </row>
    <row r="53" spans="1:26">
      <c r="A53" s="26" t="s">
        <v>135</v>
      </c>
      <c r="B53" s="26"/>
      <c r="C53" s="26" t="s">
        <v>48</v>
      </c>
      <c r="D53" s="27" t="s">
        <v>82</v>
      </c>
      <c r="E53" s="28" t="s">
        <v>847</v>
      </c>
      <c r="F53" s="23"/>
      <c r="G53" s="23"/>
      <c r="H53" s="23"/>
      <c r="I53" s="23"/>
      <c r="J53" s="23"/>
      <c r="K53" s="23"/>
      <c r="L53" s="23"/>
      <c r="M53" s="23"/>
      <c r="N53" s="23"/>
      <c r="O53" s="23"/>
      <c r="P53" s="23"/>
      <c r="Q53" s="23"/>
      <c r="R53" s="23"/>
      <c r="S53" s="23"/>
      <c r="T53" s="23"/>
      <c r="U53" s="23"/>
      <c r="V53" s="23"/>
      <c r="W53" s="23"/>
      <c r="X53" s="23"/>
      <c r="Y53" s="23"/>
      <c r="Z53" s="23"/>
    </row>
    <row r="54" spans="1:26">
      <c r="A54" s="26" t="s">
        <v>140</v>
      </c>
      <c r="B54" s="26"/>
      <c r="C54" s="26" t="s">
        <v>48</v>
      </c>
      <c r="D54" s="27" t="s">
        <v>82</v>
      </c>
      <c r="E54" s="28" t="s">
        <v>847</v>
      </c>
      <c r="F54" s="23"/>
      <c r="G54" s="23"/>
      <c r="H54" s="23"/>
      <c r="I54" s="23"/>
      <c r="J54" s="23"/>
      <c r="K54" s="23"/>
      <c r="L54" s="23"/>
      <c r="M54" s="23"/>
      <c r="N54" s="23"/>
      <c r="O54" s="23"/>
      <c r="P54" s="23"/>
      <c r="Q54" s="23"/>
      <c r="R54" s="23"/>
      <c r="S54" s="23"/>
      <c r="T54" s="23"/>
      <c r="U54" s="23"/>
      <c r="V54" s="23"/>
      <c r="W54" s="23"/>
      <c r="X54" s="23"/>
      <c r="Y54" s="23"/>
      <c r="Z54" s="23"/>
    </row>
    <row r="55" spans="1:26">
      <c r="A55" s="26" t="s">
        <v>136</v>
      </c>
      <c r="B55" s="26"/>
      <c r="C55" s="26" t="s">
        <v>48</v>
      </c>
      <c r="D55" s="27" t="s">
        <v>82</v>
      </c>
      <c r="E55" s="28" t="s">
        <v>847</v>
      </c>
      <c r="F55" s="23"/>
      <c r="G55" s="23"/>
      <c r="H55" s="23"/>
      <c r="I55" s="23"/>
      <c r="J55" s="23"/>
      <c r="K55" s="23"/>
      <c r="L55" s="23"/>
      <c r="M55" s="23"/>
      <c r="N55" s="23"/>
      <c r="O55" s="23"/>
      <c r="P55" s="23"/>
      <c r="Q55" s="23"/>
      <c r="R55" s="23"/>
      <c r="S55" s="23"/>
      <c r="T55" s="23"/>
      <c r="U55" s="23"/>
      <c r="V55" s="23"/>
      <c r="W55" s="23"/>
      <c r="X55" s="23"/>
      <c r="Y55" s="23"/>
      <c r="Z55" s="23"/>
    </row>
    <row r="56" spans="1:26">
      <c r="A56" s="26" t="s">
        <v>137</v>
      </c>
      <c r="B56" s="26"/>
      <c r="C56" s="26" t="s">
        <v>48</v>
      </c>
      <c r="D56" s="27" t="s">
        <v>82</v>
      </c>
      <c r="E56" s="28" t="s">
        <v>847</v>
      </c>
      <c r="F56" s="23"/>
      <c r="G56" s="23"/>
      <c r="H56" s="23"/>
      <c r="I56" s="23"/>
      <c r="J56" s="23"/>
      <c r="K56" s="23"/>
      <c r="L56" s="23"/>
      <c r="M56" s="23"/>
      <c r="N56" s="23"/>
      <c r="O56" s="23"/>
      <c r="P56" s="23"/>
      <c r="Q56" s="23"/>
      <c r="R56" s="23"/>
      <c r="S56" s="23"/>
      <c r="T56" s="23"/>
      <c r="U56" s="23"/>
      <c r="V56" s="23"/>
      <c r="W56" s="23"/>
      <c r="X56" s="23"/>
      <c r="Y56" s="23"/>
      <c r="Z56" s="23"/>
    </row>
    <row r="57" spans="1:26">
      <c r="A57" s="26" t="s">
        <v>138</v>
      </c>
      <c r="B57" s="26"/>
      <c r="C57" s="26" t="s">
        <v>48</v>
      </c>
      <c r="D57" s="27" t="s">
        <v>82</v>
      </c>
      <c r="E57" s="28" t="s">
        <v>847</v>
      </c>
      <c r="F57" s="23"/>
      <c r="G57" s="23"/>
      <c r="H57" s="23"/>
      <c r="I57" s="23"/>
      <c r="J57" s="23"/>
      <c r="K57" s="23"/>
      <c r="L57" s="23"/>
      <c r="M57" s="23"/>
      <c r="N57" s="23"/>
      <c r="O57" s="23"/>
      <c r="P57" s="23"/>
      <c r="Q57" s="23"/>
      <c r="R57" s="23"/>
      <c r="S57" s="23"/>
      <c r="T57" s="23"/>
      <c r="U57" s="23"/>
      <c r="V57" s="23"/>
      <c r="W57" s="23"/>
      <c r="X57" s="23"/>
      <c r="Y57" s="23"/>
      <c r="Z57" s="23"/>
    </row>
    <row r="58" ht="43.5" customHeight="1" spans="1:26">
      <c r="A58" s="26" t="s">
        <v>110</v>
      </c>
      <c r="B58" s="26"/>
      <c r="C58" s="26" t="s">
        <v>48</v>
      </c>
      <c r="D58" s="27" t="s">
        <v>82</v>
      </c>
      <c r="E58" s="28" t="s">
        <v>847</v>
      </c>
      <c r="F58" s="23"/>
      <c r="G58" s="23"/>
      <c r="H58" s="23"/>
      <c r="I58" s="23"/>
      <c r="J58" s="23"/>
      <c r="K58" s="23"/>
      <c r="L58" s="23"/>
      <c r="M58" s="23"/>
      <c r="N58" s="23"/>
      <c r="O58" s="23"/>
      <c r="P58" s="23"/>
      <c r="Q58" s="23"/>
      <c r="R58" s="23"/>
      <c r="S58" s="23"/>
      <c r="T58" s="23"/>
      <c r="U58" s="23"/>
      <c r="V58" s="23"/>
      <c r="W58" s="23"/>
      <c r="X58" s="23"/>
      <c r="Y58" s="23"/>
      <c r="Z58" s="23"/>
    </row>
    <row r="59" spans="1:26">
      <c r="A59" s="26" t="s">
        <v>111</v>
      </c>
      <c r="B59" s="26"/>
      <c r="C59" s="26" t="s">
        <v>48</v>
      </c>
      <c r="D59" s="27" t="s">
        <v>82</v>
      </c>
      <c r="E59" s="28" t="s">
        <v>847</v>
      </c>
      <c r="F59" s="23"/>
      <c r="G59" s="23"/>
      <c r="H59" s="23"/>
      <c r="I59" s="23"/>
      <c r="J59" s="23"/>
      <c r="K59" s="23"/>
      <c r="L59" s="23"/>
      <c r="M59" s="23"/>
      <c r="N59" s="23"/>
      <c r="O59" s="23"/>
      <c r="P59" s="23"/>
      <c r="Q59" s="23"/>
      <c r="R59" s="23"/>
      <c r="S59" s="23"/>
      <c r="T59" s="23"/>
      <c r="U59" s="23"/>
      <c r="V59" s="23"/>
      <c r="W59" s="23"/>
      <c r="X59" s="23"/>
      <c r="Y59" s="23"/>
      <c r="Z59" s="23"/>
    </row>
    <row r="60" spans="1:26">
      <c r="A60" s="26" t="s">
        <v>112</v>
      </c>
      <c r="B60" s="26"/>
      <c r="C60" s="26" t="s">
        <v>48</v>
      </c>
      <c r="D60" s="27" t="s">
        <v>82</v>
      </c>
      <c r="E60" s="28" t="s">
        <v>847</v>
      </c>
      <c r="F60" s="23"/>
      <c r="G60" s="23"/>
      <c r="H60" s="23"/>
      <c r="I60" s="23"/>
      <c r="J60" s="23"/>
      <c r="K60" s="23"/>
      <c r="L60" s="23"/>
      <c r="M60" s="23"/>
      <c r="N60" s="23"/>
      <c r="O60" s="23"/>
      <c r="P60" s="23"/>
      <c r="Q60" s="23"/>
      <c r="R60" s="23"/>
      <c r="S60" s="23"/>
      <c r="T60" s="23"/>
      <c r="U60" s="23"/>
      <c r="V60" s="23"/>
      <c r="W60" s="23"/>
      <c r="X60" s="23"/>
      <c r="Y60" s="23"/>
      <c r="Z60" s="23"/>
    </row>
    <row r="61" spans="1:26">
      <c r="A61" s="26" t="s">
        <v>113</v>
      </c>
      <c r="B61" s="26"/>
      <c r="C61" s="26" t="s">
        <v>48</v>
      </c>
      <c r="D61" s="27" t="s">
        <v>82</v>
      </c>
      <c r="E61" s="28" t="s">
        <v>847</v>
      </c>
      <c r="F61" s="23"/>
      <c r="G61" s="23"/>
      <c r="H61" s="23"/>
      <c r="I61" s="23"/>
      <c r="J61" s="23"/>
      <c r="K61" s="23"/>
      <c r="L61" s="23"/>
      <c r="M61" s="23"/>
      <c r="N61" s="23"/>
      <c r="O61" s="23"/>
      <c r="P61" s="23"/>
      <c r="Q61" s="23"/>
      <c r="R61" s="23"/>
      <c r="S61" s="23"/>
      <c r="T61" s="23"/>
      <c r="U61" s="23"/>
      <c r="V61" s="23"/>
      <c r="W61" s="23"/>
      <c r="X61" s="23"/>
      <c r="Y61" s="23"/>
      <c r="Z61" s="23"/>
    </row>
    <row r="62" spans="1:26">
      <c r="A62" s="26" t="s">
        <v>858</v>
      </c>
      <c r="B62" s="26"/>
      <c r="C62" s="26" t="s">
        <v>48</v>
      </c>
      <c r="D62" s="27" t="s">
        <v>82</v>
      </c>
      <c r="E62" s="31" t="s">
        <v>849</v>
      </c>
      <c r="F62" s="23" t="s">
        <v>859</v>
      </c>
      <c r="G62" s="23"/>
      <c r="H62" s="23"/>
      <c r="I62" s="23"/>
      <c r="J62" s="23"/>
      <c r="K62" s="23"/>
      <c r="L62" s="23"/>
      <c r="M62" s="23"/>
      <c r="N62" s="23"/>
      <c r="O62" s="23"/>
      <c r="P62" s="23"/>
      <c r="Q62" s="23"/>
      <c r="R62" s="23"/>
      <c r="S62" s="23"/>
      <c r="T62" s="23"/>
      <c r="U62" s="23"/>
      <c r="V62" s="23"/>
      <c r="W62" s="23"/>
      <c r="X62" s="23"/>
      <c r="Y62" s="23"/>
      <c r="Z62" s="23"/>
    </row>
    <row r="63" spans="1:26">
      <c r="A63" s="26" t="s">
        <v>259</v>
      </c>
      <c r="B63" s="26" t="s">
        <v>260</v>
      </c>
      <c r="C63" s="26" t="s">
        <v>162</v>
      </c>
      <c r="D63" s="27" t="s">
        <v>82</v>
      </c>
      <c r="E63" s="28" t="s">
        <v>847</v>
      </c>
      <c r="F63" s="23"/>
      <c r="G63" s="23"/>
      <c r="H63" s="23"/>
      <c r="I63" s="23"/>
      <c r="J63" s="23"/>
      <c r="K63" s="23"/>
      <c r="L63" s="23"/>
      <c r="M63" s="23"/>
      <c r="N63" s="23"/>
      <c r="O63" s="23"/>
      <c r="P63" s="23"/>
      <c r="Q63" s="23"/>
      <c r="R63" s="23"/>
      <c r="S63" s="23"/>
      <c r="T63" s="23"/>
      <c r="U63" s="23"/>
      <c r="V63" s="23"/>
      <c r="W63" s="23"/>
      <c r="X63" s="23"/>
      <c r="Y63" s="23"/>
      <c r="Z63" s="23"/>
    </row>
    <row r="64" spans="1:26">
      <c r="A64" s="26" t="s">
        <v>143</v>
      </c>
      <c r="B64" s="26"/>
      <c r="C64" s="26" t="s">
        <v>14</v>
      </c>
      <c r="D64" s="27" t="s">
        <v>144</v>
      </c>
      <c r="E64" s="28" t="s">
        <v>847</v>
      </c>
      <c r="F64" s="23"/>
      <c r="G64" s="23"/>
      <c r="H64" s="23"/>
      <c r="I64" s="23"/>
      <c r="J64" s="23"/>
      <c r="K64" s="23"/>
      <c r="L64" s="23"/>
      <c r="M64" s="23"/>
      <c r="N64" s="23"/>
      <c r="O64" s="23"/>
      <c r="P64" s="23"/>
      <c r="Q64" s="23"/>
      <c r="R64" s="23"/>
      <c r="S64" s="23"/>
      <c r="T64" s="23"/>
      <c r="U64" s="23"/>
      <c r="V64" s="23"/>
      <c r="W64" s="23"/>
      <c r="X64" s="23"/>
      <c r="Y64" s="23"/>
      <c r="Z64" s="23"/>
    </row>
    <row r="65" ht="57.75" customHeight="1" spans="1:26">
      <c r="A65" s="26" t="s">
        <v>147</v>
      </c>
      <c r="B65" s="26" t="s">
        <v>148</v>
      </c>
      <c r="C65" s="26" t="s">
        <v>48</v>
      </c>
      <c r="D65" s="27" t="s">
        <v>144</v>
      </c>
      <c r="E65" s="28" t="s">
        <v>847</v>
      </c>
      <c r="F65" s="23"/>
      <c r="G65" s="23"/>
      <c r="H65" s="23"/>
      <c r="I65" s="23"/>
      <c r="J65" s="23"/>
      <c r="K65" s="23"/>
      <c r="L65" s="23"/>
      <c r="M65" s="23"/>
      <c r="N65" s="23"/>
      <c r="O65" s="23"/>
      <c r="P65" s="23"/>
      <c r="Q65" s="23"/>
      <c r="R65" s="23"/>
      <c r="S65" s="23"/>
      <c r="T65" s="23"/>
      <c r="U65" s="23"/>
      <c r="V65" s="23"/>
      <c r="W65" s="23"/>
      <c r="X65" s="23"/>
      <c r="Y65" s="23"/>
      <c r="Z65" s="23"/>
    </row>
    <row r="66" spans="1:26">
      <c r="A66" s="26" t="s">
        <v>154</v>
      </c>
      <c r="B66" s="26" t="s">
        <v>155</v>
      </c>
      <c r="C66" s="26" t="s">
        <v>48</v>
      </c>
      <c r="D66" s="27" t="s">
        <v>144</v>
      </c>
      <c r="E66" s="28" t="s">
        <v>847</v>
      </c>
      <c r="F66" s="23"/>
      <c r="G66" s="23"/>
      <c r="H66" s="23"/>
      <c r="I66" s="23"/>
      <c r="J66" s="23"/>
      <c r="K66" s="23"/>
      <c r="L66" s="23"/>
      <c r="M66" s="23"/>
      <c r="N66" s="23"/>
      <c r="O66" s="23"/>
      <c r="P66" s="23"/>
      <c r="Q66" s="23"/>
      <c r="R66" s="23"/>
      <c r="S66" s="23"/>
      <c r="T66" s="23"/>
      <c r="U66" s="23"/>
      <c r="V66" s="23"/>
      <c r="W66" s="23"/>
      <c r="X66" s="23"/>
      <c r="Y66" s="23"/>
      <c r="Z66" s="23"/>
    </row>
    <row r="67" spans="1:26">
      <c r="A67" s="26" t="s">
        <v>139</v>
      </c>
      <c r="B67" s="26"/>
      <c r="C67" s="26" t="s">
        <v>48</v>
      </c>
      <c r="D67" s="27" t="s">
        <v>144</v>
      </c>
      <c r="E67" s="28" t="s">
        <v>847</v>
      </c>
      <c r="F67" s="23"/>
      <c r="G67" s="23"/>
      <c r="H67" s="23"/>
      <c r="I67" s="23"/>
      <c r="J67" s="23"/>
      <c r="K67" s="23"/>
      <c r="L67" s="23"/>
      <c r="M67" s="23"/>
      <c r="N67" s="23"/>
      <c r="O67" s="23"/>
      <c r="P67" s="23"/>
      <c r="Q67" s="23"/>
      <c r="R67" s="23"/>
      <c r="S67" s="23"/>
      <c r="T67" s="23"/>
      <c r="U67" s="23"/>
      <c r="V67" s="23"/>
      <c r="W67" s="23"/>
      <c r="X67" s="23"/>
      <c r="Y67" s="23"/>
      <c r="Z67" s="23"/>
    </row>
    <row r="68" spans="1:26">
      <c r="A68" s="26" t="s">
        <v>150</v>
      </c>
      <c r="B68" s="26"/>
      <c r="C68" s="26" t="s">
        <v>48</v>
      </c>
      <c r="D68" s="27" t="s">
        <v>144</v>
      </c>
      <c r="E68" s="28" t="s">
        <v>847</v>
      </c>
      <c r="F68" s="23"/>
      <c r="G68" s="23"/>
      <c r="H68" s="23"/>
      <c r="I68" s="23"/>
      <c r="J68" s="23"/>
      <c r="K68" s="23"/>
      <c r="L68" s="23"/>
      <c r="M68" s="23"/>
      <c r="N68" s="23"/>
      <c r="O68" s="23"/>
      <c r="P68" s="23"/>
      <c r="Q68" s="23"/>
      <c r="R68" s="23"/>
      <c r="S68" s="23"/>
      <c r="T68" s="23"/>
      <c r="U68" s="23"/>
      <c r="V68" s="23"/>
      <c r="W68" s="23"/>
      <c r="X68" s="23"/>
      <c r="Y68" s="23"/>
      <c r="Z68" s="23"/>
    </row>
    <row r="69" spans="1:26">
      <c r="A69" s="26" t="s">
        <v>151</v>
      </c>
      <c r="B69" s="26"/>
      <c r="C69" s="26" t="s">
        <v>48</v>
      </c>
      <c r="D69" s="27" t="s">
        <v>144</v>
      </c>
      <c r="E69" s="28" t="s">
        <v>847</v>
      </c>
      <c r="F69" s="23"/>
      <c r="G69" s="23"/>
      <c r="H69" s="23"/>
      <c r="I69" s="23"/>
      <c r="J69" s="23"/>
      <c r="K69" s="23"/>
      <c r="L69" s="23"/>
      <c r="M69" s="23"/>
      <c r="N69" s="23"/>
      <c r="O69" s="23"/>
      <c r="P69" s="23"/>
      <c r="Q69" s="23"/>
      <c r="R69" s="23"/>
      <c r="S69" s="23"/>
      <c r="T69" s="23"/>
      <c r="U69" s="23"/>
      <c r="V69" s="23"/>
      <c r="W69" s="23"/>
      <c r="X69" s="23"/>
      <c r="Y69" s="23"/>
      <c r="Z69" s="23"/>
    </row>
    <row r="70" spans="1:26">
      <c r="A70" s="26" t="s">
        <v>146</v>
      </c>
      <c r="B70" s="26"/>
      <c r="C70" s="26" t="s">
        <v>48</v>
      </c>
      <c r="D70" s="27" t="s">
        <v>144</v>
      </c>
      <c r="E70" s="28" t="s">
        <v>847</v>
      </c>
      <c r="F70" s="23"/>
      <c r="G70" s="23"/>
      <c r="H70" s="23"/>
      <c r="I70" s="23"/>
      <c r="J70" s="23"/>
      <c r="K70" s="23"/>
      <c r="L70" s="23"/>
      <c r="M70" s="23"/>
      <c r="N70" s="23"/>
      <c r="O70" s="23"/>
      <c r="P70" s="23"/>
      <c r="Q70" s="23"/>
      <c r="R70" s="23"/>
      <c r="S70" s="23"/>
      <c r="T70" s="23"/>
      <c r="U70" s="23"/>
      <c r="V70" s="23"/>
      <c r="W70" s="23"/>
      <c r="X70" s="23"/>
      <c r="Y70" s="23"/>
      <c r="Z70" s="23"/>
    </row>
    <row r="71" spans="1:26">
      <c r="A71" s="26" t="s">
        <v>153</v>
      </c>
      <c r="B71" s="26"/>
      <c r="C71" s="26" t="s">
        <v>48</v>
      </c>
      <c r="D71" s="27" t="s">
        <v>144</v>
      </c>
      <c r="E71" s="28" t="s">
        <v>847</v>
      </c>
      <c r="F71" s="23"/>
      <c r="G71" s="23"/>
      <c r="H71" s="23"/>
      <c r="I71" s="23"/>
      <c r="J71" s="23"/>
      <c r="K71" s="23"/>
      <c r="L71" s="23"/>
      <c r="M71" s="23"/>
      <c r="N71" s="23"/>
      <c r="O71" s="23"/>
      <c r="P71" s="23"/>
      <c r="Q71" s="23"/>
      <c r="R71" s="23"/>
      <c r="S71" s="23"/>
      <c r="T71" s="23"/>
      <c r="U71" s="23"/>
      <c r="V71" s="23"/>
      <c r="W71" s="23"/>
      <c r="X71" s="23"/>
      <c r="Y71" s="23"/>
      <c r="Z71" s="23"/>
    </row>
    <row r="72" spans="1:26">
      <c r="A72" s="26" t="s">
        <v>154</v>
      </c>
      <c r="B72" s="26" t="s">
        <v>860</v>
      </c>
      <c r="C72" s="26" t="s">
        <v>48</v>
      </c>
      <c r="D72" s="27" t="s">
        <v>144</v>
      </c>
      <c r="E72" s="28" t="s">
        <v>847</v>
      </c>
      <c r="F72" s="23"/>
      <c r="G72" s="23"/>
      <c r="H72" s="23"/>
      <c r="I72" s="23"/>
      <c r="J72" s="23"/>
      <c r="K72" s="23"/>
      <c r="L72" s="23"/>
      <c r="M72" s="23"/>
      <c r="N72" s="23"/>
      <c r="O72" s="23"/>
      <c r="P72" s="23"/>
      <c r="Q72" s="23"/>
      <c r="R72" s="23"/>
      <c r="S72" s="23"/>
      <c r="T72" s="23"/>
      <c r="U72" s="23"/>
      <c r="V72" s="23"/>
      <c r="W72" s="23"/>
      <c r="X72" s="23"/>
      <c r="Y72" s="23"/>
      <c r="Z72" s="23"/>
    </row>
    <row r="73" spans="1:26">
      <c r="A73" s="26" t="s">
        <v>287</v>
      </c>
      <c r="B73" s="26"/>
      <c r="C73" s="26" t="s">
        <v>14</v>
      </c>
      <c r="D73" s="27" t="s">
        <v>167</v>
      </c>
      <c r="E73" s="28" t="s">
        <v>847</v>
      </c>
      <c r="F73" s="23"/>
      <c r="G73" s="23"/>
      <c r="H73" s="23"/>
      <c r="I73" s="23"/>
      <c r="J73" s="23"/>
      <c r="K73" s="23"/>
      <c r="L73" s="23"/>
      <c r="M73" s="23"/>
      <c r="N73" s="23"/>
      <c r="O73" s="23"/>
      <c r="P73" s="23"/>
      <c r="Q73" s="23"/>
      <c r="R73" s="23"/>
      <c r="S73" s="23"/>
      <c r="T73" s="23"/>
      <c r="U73" s="23"/>
      <c r="V73" s="23"/>
      <c r="W73" s="23"/>
      <c r="X73" s="23"/>
      <c r="Y73" s="23"/>
      <c r="Z73" s="23"/>
    </row>
    <row r="74" spans="1:26">
      <c r="A74" s="26" t="s">
        <v>307</v>
      </c>
      <c r="B74" s="26"/>
      <c r="C74" s="26" t="s">
        <v>14</v>
      </c>
      <c r="D74" s="27" t="s">
        <v>167</v>
      </c>
      <c r="E74" s="28" t="s">
        <v>847</v>
      </c>
      <c r="F74" s="23"/>
      <c r="G74" s="23"/>
      <c r="H74" s="23"/>
      <c r="I74" s="23"/>
      <c r="J74" s="23"/>
      <c r="K74" s="23"/>
      <c r="L74" s="23"/>
      <c r="M74" s="23"/>
      <c r="N74" s="23"/>
      <c r="O74" s="23"/>
      <c r="P74" s="23"/>
      <c r="Q74" s="23"/>
      <c r="R74" s="23"/>
      <c r="S74" s="23"/>
      <c r="T74" s="23"/>
      <c r="U74" s="23"/>
      <c r="V74" s="23"/>
      <c r="W74" s="23"/>
      <c r="X74" s="23"/>
      <c r="Y74" s="23"/>
      <c r="Z74" s="23"/>
    </row>
    <row r="75" spans="1:26">
      <c r="A75" s="26" t="s">
        <v>166</v>
      </c>
      <c r="B75" s="26"/>
      <c r="C75" s="26" t="s">
        <v>14</v>
      </c>
      <c r="D75" s="27" t="s">
        <v>167</v>
      </c>
      <c r="E75" s="28" t="s">
        <v>847</v>
      </c>
      <c r="F75" s="23"/>
      <c r="G75" s="23"/>
      <c r="H75" s="23"/>
      <c r="I75" s="23"/>
      <c r="J75" s="23"/>
      <c r="K75" s="23"/>
      <c r="L75" s="23"/>
      <c r="M75" s="23"/>
      <c r="N75" s="23"/>
      <c r="O75" s="23"/>
      <c r="P75" s="23"/>
      <c r="Q75" s="23"/>
      <c r="R75" s="23"/>
      <c r="S75" s="23"/>
      <c r="T75" s="23"/>
      <c r="U75" s="23"/>
      <c r="V75" s="23"/>
      <c r="W75" s="23"/>
      <c r="X75" s="23"/>
      <c r="Y75" s="23"/>
      <c r="Z75" s="23"/>
    </row>
    <row r="76" spans="1:26">
      <c r="A76" s="26" t="s">
        <v>169</v>
      </c>
      <c r="B76" s="26"/>
      <c r="C76" s="26" t="s">
        <v>14</v>
      </c>
      <c r="D76" s="27" t="s">
        <v>167</v>
      </c>
      <c r="E76" s="28" t="s">
        <v>847</v>
      </c>
      <c r="F76" s="23"/>
      <c r="G76" s="23"/>
      <c r="H76" s="23"/>
      <c r="I76" s="23"/>
      <c r="J76" s="23"/>
      <c r="K76" s="23"/>
      <c r="L76" s="23"/>
      <c r="M76" s="23"/>
      <c r="N76" s="23"/>
      <c r="O76" s="23"/>
      <c r="P76" s="23"/>
      <c r="Q76" s="23"/>
      <c r="R76" s="23"/>
      <c r="S76" s="23"/>
      <c r="T76" s="23"/>
      <c r="U76" s="23"/>
      <c r="V76" s="23"/>
      <c r="W76" s="23"/>
      <c r="X76" s="23"/>
      <c r="Y76" s="23"/>
      <c r="Z76" s="23"/>
    </row>
    <row r="77" spans="1:26">
      <c r="A77" s="26" t="s">
        <v>177</v>
      </c>
      <c r="B77" s="26"/>
      <c r="C77" s="26" t="s">
        <v>14</v>
      </c>
      <c r="D77" s="27" t="s">
        <v>167</v>
      </c>
      <c r="E77" s="28" t="s">
        <v>847</v>
      </c>
      <c r="F77" s="23"/>
      <c r="G77" s="23"/>
      <c r="H77" s="23"/>
      <c r="I77" s="23"/>
      <c r="J77" s="23"/>
      <c r="K77" s="23"/>
      <c r="L77" s="23"/>
      <c r="M77" s="23"/>
      <c r="N77" s="23"/>
      <c r="O77" s="23"/>
      <c r="P77" s="23"/>
      <c r="Q77" s="23"/>
      <c r="R77" s="23"/>
      <c r="S77" s="23"/>
      <c r="T77" s="23"/>
      <c r="U77" s="23"/>
      <c r="V77" s="23"/>
      <c r="W77" s="23"/>
      <c r="X77" s="23"/>
      <c r="Y77" s="23"/>
      <c r="Z77" s="23"/>
    </row>
    <row r="78" spans="1:26">
      <c r="A78" s="26" t="s">
        <v>191</v>
      </c>
      <c r="B78" s="26"/>
      <c r="C78" s="26" t="s">
        <v>14</v>
      </c>
      <c r="D78" s="27" t="s">
        <v>167</v>
      </c>
      <c r="E78" s="28" t="s">
        <v>847</v>
      </c>
      <c r="F78" s="23"/>
      <c r="G78" s="23"/>
      <c r="H78" s="23"/>
      <c r="I78" s="23"/>
      <c r="J78" s="23"/>
      <c r="K78" s="23"/>
      <c r="L78" s="23"/>
      <c r="M78" s="23"/>
      <c r="N78" s="23"/>
      <c r="O78" s="23"/>
      <c r="P78" s="23"/>
      <c r="Q78" s="23"/>
      <c r="R78" s="23"/>
      <c r="S78" s="23"/>
      <c r="T78" s="23"/>
      <c r="U78" s="23"/>
      <c r="V78" s="23"/>
      <c r="W78" s="23"/>
      <c r="X78" s="23"/>
      <c r="Y78" s="23"/>
      <c r="Z78" s="23"/>
    </row>
    <row r="79" spans="1:26">
      <c r="A79" s="26" t="s">
        <v>172</v>
      </c>
      <c r="B79" s="26"/>
      <c r="C79" s="26" t="s">
        <v>14</v>
      </c>
      <c r="D79" s="27" t="s">
        <v>167</v>
      </c>
      <c r="E79" s="28" t="s">
        <v>847</v>
      </c>
      <c r="F79" s="23"/>
      <c r="G79" s="23"/>
      <c r="H79" s="23"/>
      <c r="I79" s="23"/>
      <c r="J79" s="23"/>
      <c r="K79" s="23"/>
      <c r="L79" s="23"/>
      <c r="M79" s="23"/>
      <c r="N79" s="23"/>
      <c r="O79" s="23"/>
      <c r="P79" s="23"/>
      <c r="Q79" s="23"/>
      <c r="R79" s="23"/>
      <c r="S79" s="23"/>
      <c r="T79" s="23"/>
      <c r="U79" s="23"/>
      <c r="V79" s="23"/>
      <c r="W79" s="23"/>
      <c r="X79" s="23"/>
      <c r="Y79" s="23"/>
      <c r="Z79" s="23"/>
    </row>
    <row r="80" spans="1:26">
      <c r="A80" s="26" t="s">
        <v>170</v>
      </c>
      <c r="B80" s="26"/>
      <c r="C80" s="26" t="s">
        <v>14</v>
      </c>
      <c r="D80" s="27" t="s">
        <v>167</v>
      </c>
      <c r="E80" s="28" t="s">
        <v>847</v>
      </c>
      <c r="F80" s="23"/>
      <c r="G80" s="23"/>
      <c r="H80" s="23"/>
      <c r="I80" s="23"/>
      <c r="J80" s="23"/>
      <c r="K80" s="23"/>
      <c r="L80" s="23"/>
      <c r="M80" s="23"/>
      <c r="N80" s="23"/>
      <c r="O80" s="23"/>
      <c r="P80" s="23"/>
      <c r="Q80" s="23"/>
      <c r="R80" s="23"/>
      <c r="S80" s="23"/>
      <c r="T80" s="23"/>
      <c r="U80" s="23"/>
      <c r="V80" s="23"/>
      <c r="W80" s="23"/>
      <c r="X80" s="23"/>
      <c r="Y80" s="23"/>
      <c r="Z80" s="23"/>
    </row>
    <row r="81" ht="28.5" customHeight="1" spans="1:26">
      <c r="A81" s="26" t="s">
        <v>300</v>
      </c>
      <c r="B81" s="26" t="s">
        <v>301</v>
      </c>
      <c r="C81" s="26" t="s">
        <v>48</v>
      </c>
      <c r="D81" s="27" t="s">
        <v>167</v>
      </c>
      <c r="E81" s="28" t="s">
        <v>847</v>
      </c>
      <c r="F81" s="23"/>
      <c r="G81" s="23"/>
      <c r="H81" s="23"/>
      <c r="I81" s="23"/>
      <c r="J81" s="23"/>
      <c r="K81" s="23"/>
      <c r="L81" s="23"/>
      <c r="M81" s="23"/>
      <c r="N81" s="23"/>
      <c r="O81" s="23"/>
      <c r="P81" s="23"/>
      <c r="Q81" s="23"/>
      <c r="R81" s="23"/>
      <c r="S81" s="23"/>
      <c r="T81" s="23"/>
      <c r="U81" s="23"/>
      <c r="V81" s="23"/>
      <c r="W81" s="23"/>
      <c r="X81" s="23"/>
      <c r="Y81" s="23"/>
      <c r="Z81" s="23"/>
    </row>
    <row r="82" spans="1:26">
      <c r="A82" s="26" t="s">
        <v>418</v>
      </c>
      <c r="B82" s="26" t="s">
        <v>861</v>
      </c>
      <c r="C82" s="26" t="s">
        <v>48</v>
      </c>
      <c r="D82" s="27" t="s">
        <v>167</v>
      </c>
      <c r="E82" s="28" t="s">
        <v>847</v>
      </c>
      <c r="F82" s="23"/>
      <c r="G82" s="23"/>
      <c r="H82" s="23"/>
      <c r="I82" s="23"/>
      <c r="J82" s="23"/>
      <c r="K82" s="23"/>
      <c r="L82" s="23"/>
      <c r="M82" s="23"/>
      <c r="N82" s="23"/>
      <c r="O82" s="23"/>
      <c r="P82" s="23"/>
      <c r="Q82" s="23"/>
      <c r="R82" s="23"/>
      <c r="S82" s="23"/>
      <c r="T82" s="23"/>
      <c r="U82" s="23"/>
      <c r="V82" s="23"/>
      <c r="W82" s="23"/>
      <c r="X82" s="23"/>
      <c r="Y82" s="23"/>
      <c r="Z82" s="23"/>
    </row>
    <row r="83" spans="1:26">
      <c r="A83" s="26" t="s">
        <v>300</v>
      </c>
      <c r="B83" s="26"/>
      <c r="C83" s="26" t="s">
        <v>48</v>
      </c>
      <c r="D83" s="27" t="s">
        <v>167</v>
      </c>
      <c r="E83" s="28" t="s">
        <v>847</v>
      </c>
      <c r="F83" s="23"/>
      <c r="G83" s="23"/>
      <c r="H83" s="23"/>
      <c r="I83" s="23"/>
      <c r="J83" s="23"/>
      <c r="K83" s="23"/>
      <c r="L83" s="23"/>
      <c r="M83" s="23"/>
      <c r="N83" s="23"/>
      <c r="O83" s="23"/>
      <c r="P83" s="23"/>
      <c r="Q83" s="23"/>
      <c r="R83" s="23"/>
      <c r="S83" s="23"/>
      <c r="T83" s="23"/>
      <c r="U83" s="23"/>
      <c r="V83" s="23"/>
      <c r="W83" s="23"/>
      <c r="X83" s="23"/>
      <c r="Y83" s="23"/>
      <c r="Z83" s="23"/>
    </row>
    <row r="84" spans="1:26">
      <c r="A84" s="26" t="s">
        <v>303</v>
      </c>
      <c r="B84" s="26"/>
      <c r="C84" s="26" t="s">
        <v>48</v>
      </c>
      <c r="D84" s="27" t="s">
        <v>167</v>
      </c>
      <c r="E84" s="28" t="s">
        <v>847</v>
      </c>
      <c r="F84" s="23"/>
      <c r="G84" s="23"/>
      <c r="H84" s="23"/>
      <c r="I84" s="23"/>
      <c r="J84" s="23"/>
      <c r="K84" s="23"/>
      <c r="L84" s="23"/>
      <c r="M84" s="23"/>
      <c r="N84" s="23"/>
      <c r="O84" s="23"/>
      <c r="P84" s="23"/>
      <c r="Q84" s="23"/>
      <c r="R84" s="23"/>
      <c r="S84" s="23"/>
      <c r="T84" s="23"/>
      <c r="U84" s="23"/>
      <c r="V84" s="23"/>
      <c r="W84" s="23"/>
      <c r="X84" s="23"/>
      <c r="Y84" s="23"/>
      <c r="Z84" s="23"/>
    </row>
    <row r="85" ht="28.5" customHeight="1" spans="1:26">
      <c r="A85" s="26" t="s">
        <v>305</v>
      </c>
      <c r="B85" s="26" t="s">
        <v>862</v>
      </c>
      <c r="C85" s="26" t="s">
        <v>48</v>
      </c>
      <c r="D85" s="27" t="s">
        <v>167</v>
      </c>
      <c r="E85" s="31" t="s">
        <v>849</v>
      </c>
      <c r="F85" s="23" t="s">
        <v>863</v>
      </c>
      <c r="G85" s="23"/>
      <c r="H85" s="23"/>
      <c r="I85" s="23"/>
      <c r="J85" s="23"/>
      <c r="K85" s="23"/>
      <c r="L85" s="23"/>
      <c r="M85" s="23"/>
      <c r="N85" s="23"/>
      <c r="O85" s="23"/>
      <c r="P85" s="23"/>
      <c r="Q85" s="23"/>
      <c r="R85" s="23"/>
      <c r="S85" s="23"/>
      <c r="T85" s="23"/>
      <c r="U85" s="23"/>
      <c r="V85" s="23"/>
      <c r="W85" s="23"/>
      <c r="X85" s="23"/>
      <c r="Y85" s="23"/>
      <c r="Z85" s="23"/>
    </row>
    <row r="86" ht="28.5" customHeight="1" spans="1:26">
      <c r="A86" s="26" t="s">
        <v>864</v>
      </c>
      <c r="B86" s="26"/>
      <c r="C86" s="26" t="s">
        <v>48</v>
      </c>
      <c r="D86" s="27" t="s">
        <v>167</v>
      </c>
      <c r="E86" s="31" t="s">
        <v>849</v>
      </c>
      <c r="F86" s="23" t="s">
        <v>865</v>
      </c>
      <c r="G86" s="23"/>
      <c r="H86" s="23"/>
      <c r="I86" s="23"/>
      <c r="J86" s="23"/>
      <c r="K86" s="23"/>
      <c r="L86" s="23"/>
      <c r="M86" s="23"/>
      <c r="N86" s="23"/>
      <c r="O86" s="23"/>
      <c r="P86" s="23"/>
      <c r="Q86" s="23"/>
      <c r="R86" s="23"/>
      <c r="S86" s="23"/>
      <c r="T86" s="23"/>
      <c r="U86" s="23"/>
      <c r="V86" s="23"/>
      <c r="W86" s="23"/>
      <c r="X86" s="23"/>
      <c r="Y86" s="23"/>
      <c r="Z86" s="23"/>
    </row>
    <row r="87" spans="1:26">
      <c r="A87" s="26" t="s">
        <v>235</v>
      </c>
      <c r="B87" s="26" t="s">
        <v>866</v>
      </c>
      <c r="C87" s="26" t="s">
        <v>162</v>
      </c>
      <c r="D87" s="27" t="s">
        <v>167</v>
      </c>
      <c r="E87" s="28" t="s">
        <v>847</v>
      </c>
      <c r="F87" s="23"/>
      <c r="G87" s="23"/>
      <c r="H87" s="23"/>
      <c r="I87" s="23"/>
      <c r="J87" s="23"/>
      <c r="K87" s="23"/>
      <c r="L87" s="23"/>
      <c r="M87" s="23"/>
      <c r="N87" s="23"/>
      <c r="O87" s="23"/>
      <c r="P87" s="23"/>
      <c r="Q87" s="23"/>
      <c r="R87" s="23"/>
      <c r="S87" s="23"/>
      <c r="T87" s="23"/>
      <c r="U87" s="23"/>
      <c r="V87" s="23"/>
      <c r="W87" s="23"/>
      <c r="X87" s="23"/>
      <c r="Y87" s="23"/>
      <c r="Z87" s="23"/>
    </row>
    <row r="88" ht="28.5" customHeight="1" spans="1:26">
      <c r="A88" s="26" t="s">
        <v>243</v>
      </c>
      <c r="B88" s="26" t="s">
        <v>867</v>
      </c>
      <c r="C88" s="26" t="s">
        <v>162</v>
      </c>
      <c r="D88" s="27" t="s">
        <v>167</v>
      </c>
      <c r="E88" s="28" t="s">
        <v>847</v>
      </c>
      <c r="F88" s="23"/>
      <c r="G88" s="23"/>
      <c r="H88" s="23"/>
      <c r="I88" s="23"/>
      <c r="J88" s="23"/>
      <c r="K88" s="23"/>
      <c r="L88" s="23"/>
      <c r="M88" s="23"/>
      <c r="N88" s="23"/>
      <c r="O88" s="23"/>
      <c r="P88" s="23"/>
      <c r="Q88" s="23"/>
      <c r="R88" s="23"/>
      <c r="S88" s="23"/>
      <c r="T88" s="23"/>
      <c r="U88" s="23"/>
      <c r="V88" s="23"/>
      <c r="W88" s="23"/>
      <c r="X88" s="23"/>
      <c r="Y88" s="23"/>
      <c r="Z88" s="23"/>
    </row>
    <row r="89" ht="28.5" customHeight="1" spans="1:26">
      <c r="A89" s="26" t="s">
        <v>232</v>
      </c>
      <c r="B89" s="26" t="s">
        <v>868</v>
      </c>
      <c r="C89" s="26" t="s">
        <v>162</v>
      </c>
      <c r="D89" s="27" t="s">
        <v>167</v>
      </c>
      <c r="E89" s="28" t="s">
        <v>847</v>
      </c>
      <c r="F89" s="23"/>
      <c r="G89" s="23"/>
      <c r="H89" s="23"/>
      <c r="I89" s="23"/>
      <c r="J89" s="23"/>
      <c r="K89" s="23"/>
      <c r="L89" s="23"/>
      <c r="M89" s="23"/>
      <c r="N89" s="23"/>
      <c r="O89" s="23"/>
      <c r="P89" s="23"/>
      <c r="Q89" s="23"/>
      <c r="R89" s="23"/>
      <c r="S89" s="23"/>
      <c r="T89" s="23"/>
      <c r="U89" s="23"/>
      <c r="V89" s="23"/>
      <c r="W89" s="23"/>
      <c r="X89" s="23"/>
      <c r="Y89" s="23"/>
      <c r="Z89" s="23"/>
    </row>
    <row r="90" spans="1:26">
      <c r="A90" s="26" t="s">
        <v>241</v>
      </c>
      <c r="B90" s="26" t="s">
        <v>242</v>
      </c>
      <c r="C90" s="26" t="s">
        <v>162</v>
      </c>
      <c r="D90" s="27" t="s">
        <v>167</v>
      </c>
      <c r="E90" s="28" t="s">
        <v>847</v>
      </c>
      <c r="F90" s="23"/>
      <c r="G90" s="23"/>
      <c r="H90" s="23"/>
      <c r="I90" s="23"/>
      <c r="J90" s="23"/>
      <c r="K90" s="23"/>
      <c r="L90" s="23"/>
      <c r="M90" s="23"/>
      <c r="N90" s="23"/>
      <c r="O90" s="23"/>
      <c r="P90" s="23"/>
      <c r="Q90" s="23"/>
      <c r="R90" s="23"/>
      <c r="S90" s="23"/>
      <c r="T90" s="23"/>
      <c r="U90" s="23"/>
      <c r="V90" s="23"/>
      <c r="W90" s="23"/>
      <c r="X90" s="23"/>
      <c r="Y90" s="23"/>
      <c r="Z90" s="23"/>
    </row>
    <row r="91" ht="28.5" customHeight="1" spans="1:26">
      <c r="A91" s="26" t="s">
        <v>274</v>
      </c>
      <c r="B91" s="26" t="s">
        <v>275</v>
      </c>
      <c r="C91" s="26" t="s">
        <v>266</v>
      </c>
      <c r="D91" s="27" t="s">
        <v>167</v>
      </c>
      <c r="E91" s="28" t="s">
        <v>847</v>
      </c>
      <c r="F91" s="23"/>
      <c r="G91" s="23"/>
      <c r="H91" s="23"/>
      <c r="I91" s="23"/>
      <c r="J91" s="23"/>
      <c r="K91" s="23"/>
      <c r="L91" s="23"/>
      <c r="M91" s="23"/>
      <c r="N91" s="23"/>
      <c r="O91" s="23"/>
      <c r="P91" s="23"/>
      <c r="Q91" s="23"/>
      <c r="R91" s="23"/>
      <c r="S91" s="23"/>
      <c r="T91" s="23"/>
      <c r="U91" s="23"/>
      <c r="V91" s="23"/>
      <c r="W91" s="23"/>
      <c r="X91" s="23"/>
      <c r="Y91" s="23"/>
      <c r="Z91" s="23"/>
    </row>
    <row r="92" spans="1:26">
      <c r="A92" s="26" t="s">
        <v>213</v>
      </c>
      <c r="B92" s="26" t="s">
        <v>869</v>
      </c>
      <c r="C92" s="26" t="s">
        <v>162</v>
      </c>
      <c r="D92" s="27" t="s">
        <v>167</v>
      </c>
      <c r="E92" s="28" t="s">
        <v>847</v>
      </c>
      <c r="F92" s="23"/>
      <c r="G92" s="23"/>
      <c r="H92" s="23"/>
      <c r="I92" s="23"/>
      <c r="J92" s="23"/>
      <c r="K92" s="23"/>
      <c r="L92" s="23"/>
      <c r="M92" s="23"/>
      <c r="N92" s="23"/>
      <c r="O92" s="23"/>
      <c r="P92" s="23"/>
      <c r="Q92" s="23"/>
      <c r="R92" s="23"/>
      <c r="S92" s="23"/>
      <c r="T92" s="23"/>
      <c r="U92" s="23"/>
      <c r="V92" s="23"/>
      <c r="W92" s="23"/>
      <c r="X92" s="23"/>
      <c r="Y92" s="23"/>
      <c r="Z92" s="23"/>
    </row>
    <row r="93" spans="1:26">
      <c r="A93" s="26" t="s">
        <v>341</v>
      </c>
      <c r="B93" s="26" t="s">
        <v>342</v>
      </c>
      <c r="C93" s="26" t="s">
        <v>162</v>
      </c>
      <c r="D93" s="27" t="s">
        <v>167</v>
      </c>
      <c r="E93" s="28" t="s">
        <v>847</v>
      </c>
      <c r="F93" s="23"/>
      <c r="G93" s="23"/>
      <c r="H93" s="23"/>
      <c r="I93" s="23"/>
      <c r="J93" s="23"/>
      <c r="K93" s="23"/>
      <c r="L93" s="23"/>
      <c r="M93" s="23"/>
      <c r="N93" s="23"/>
      <c r="O93" s="23"/>
      <c r="P93" s="23"/>
      <c r="Q93" s="23"/>
      <c r="R93" s="23"/>
      <c r="S93" s="23"/>
      <c r="T93" s="23"/>
      <c r="U93" s="23"/>
      <c r="V93" s="23"/>
      <c r="W93" s="23"/>
      <c r="X93" s="23"/>
      <c r="Y93" s="23"/>
      <c r="Z93" s="23"/>
    </row>
    <row r="94" spans="1:26">
      <c r="A94" s="26" t="s">
        <v>280</v>
      </c>
      <c r="B94" s="26" t="s">
        <v>281</v>
      </c>
      <c r="C94" s="26" t="s">
        <v>266</v>
      </c>
      <c r="D94" s="27" t="s">
        <v>167</v>
      </c>
      <c r="E94" s="28" t="s">
        <v>847</v>
      </c>
      <c r="F94" s="23"/>
      <c r="G94" s="23"/>
      <c r="H94" s="23"/>
      <c r="I94" s="23"/>
      <c r="J94" s="23"/>
      <c r="K94" s="23"/>
      <c r="L94" s="23"/>
      <c r="M94" s="23"/>
      <c r="N94" s="23"/>
      <c r="O94" s="23"/>
      <c r="P94" s="23"/>
      <c r="Q94" s="23"/>
      <c r="R94" s="23"/>
      <c r="S94" s="23"/>
      <c r="T94" s="23"/>
      <c r="U94" s="23"/>
      <c r="V94" s="23"/>
      <c r="W94" s="23"/>
      <c r="X94" s="23"/>
      <c r="Y94" s="23"/>
      <c r="Z94" s="23"/>
    </row>
    <row r="95" spans="1:26">
      <c r="A95" s="26" t="s">
        <v>278</v>
      </c>
      <c r="B95" s="26" t="s">
        <v>279</v>
      </c>
      <c r="C95" s="26" t="s">
        <v>266</v>
      </c>
      <c r="D95" s="27" t="s">
        <v>167</v>
      </c>
      <c r="E95" s="28" t="s">
        <v>847</v>
      </c>
      <c r="F95" s="23"/>
      <c r="G95" s="23"/>
      <c r="H95" s="23"/>
      <c r="I95" s="23"/>
      <c r="J95" s="23"/>
      <c r="K95" s="23"/>
      <c r="L95" s="23"/>
      <c r="M95" s="23"/>
      <c r="N95" s="23"/>
      <c r="O95" s="23"/>
      <c r="P95" s="23"/>
      <c r="Q95" s="23"/>
      <c r="R95" s="23"/>
      <c r="S95" s="23"/>
      <c r="T95" s="23"/>
      <c r="U95" s="23"/>
      <c r="V95" s="23"/>
      <c r="W95" s="23"/>
      <c r="X95" s="23"/>
      <c r="Y95" s="23"/>
      <c r="Z95" s="23"/>
    </row>
    <row r="96" spans="1:26">
      <c r="A96" s="26" t="s">
        <v>238</v>
      </c>
      <c r="B96" s="26" t="s">
        <v>239</v>
      </c>
      <c r="C96" s="26" t="s">
        <v>162</v>
      </c>
      <c r="D96" s="27" t="s">
        <v>167</v>
      </c>
      <c r="E96" s="28" t="s">
        <v>847</v>
      </c>
      <c r="F96" s="23"/>
      <c r="G96" s="23"/>
      <c r="H96" s="23"/>
      <c r="I96" s="23"/>
      <c r="J96" s="23"/>
      <c r="K96" s="23"/>
      <c r="L96" s="23"/>
      <c r="M96" s="23"/>
      <c r="N96" s="23"/>
      <c r="O96" s="23"/>
      <c r="P96" s="23"/>
      <c r="Q96" s="23"/>
      <c r="R96" s="23"/>
      <c r="S96" s="23"/>
      <c r="T96" s="23"/>
      <c r="U96" s="23"/>
      <c r="V96" s="23"/>
      <c r="W96" s="23"/>
      <c r="X96" s="23"/>
      <c r="Y96" s="23"/>
      <c r="Z96" s="23"/>
    </row>
    <row r="97" spans="1:26">
      <c r="A97" s="26" t="s">
        <v>276</v>
      </c>
      <c r="B97" s="26" t="s">
        <v>277</v>
      </c>
      <c r="C97" s="26" t="s">
        <v>266</v>
      </c>
      <c r="D97" s="27" t="s">
        <v>167</v>
      </c>
      <c r="E97" s="28" t="s">
        <v>847</v>
      </c>
      <c r="F97" s="23"/>
      <c r="G97" s="23"/>
      <c r="H97" s="23"/>
      <c r="I97" s="23"/>
      <c r="J97" s="23"/>
      <c r="K97" s="23"/>
      <c r="L97" s="23"/>
      <c r="M97" s="23"/>
      <c r="N97" s="23"/>
      <c r="O97" s="23"/>
      <c r="P97" s="23"/>
      <c r="Q97" s="23"/>
      <c r="R97" s="23"/>
      <c r="S97" s="23"/>
      <c r="T97" s="23"/>
      <c r="U97" s="23"/>
      <c r="V97" s="23"/>
      <c r="W97" s="23"/>
      <c r="X97" s="23"/>
      <c r="Y97" s="23"/>
      <c r="Z97" s="23"/>
    </row>
    <row r="98" spans="1:26">
      <c r="A98" s="26" t="s">
        <v>264</v>
      </c>
      <c r="B98" s="26" t="s">
        <v>265</v>
      </c>
      <c r="C98" s="26" t="s">
        <v>266</v>
      </c>
      <c r="D98" s="27" t="s">
        <v>167</v>
      </c>
      <c r="E98" s="28" t="s">
        <v>847</v>
      </c>
      <c r="F98" s="23" t="s">
        <v>870</v>
      </c>
      <c r="G98" s="23"/>
      <c r="H98" s="23"/>
      <c r="I98" s="23"/>
      <c r="J98" s="23"/>
      <c r="K98" s="23"/>
      <c r="L98" s="23"/>
      <c r="M98" s="23"/>
      <c r="N98" s="23"/>
      <c r="O98" s="23"/>
      <c r="P98" s="23"/>
      <c r="Q98" s="23"/>
      <c r="R98" s="23"/>
      <c r="S98" s="23"/>
      <c r="T98" s="23"/>
      <c r="U98" s="23"/>
      <c r="V98" s="23"/>
      <c r="W98" s="23"/>
      <c r="X98" s="23"/>
      <c r="Y98" s="23"/>
      <c r="Z98" s="23"/>
    </row>
    <row r="99" ht="28.5" customHeight="1" spans="1:26">
      <c r="A99" s="26" t="s">
        <v>206</v>
      </c>
      <c r="B99" s="26" t="s">
        <v>871</v>
      </c>
      <c r="C99" s="26" t="s">
        <v>162</v>
      </c>
      <c r="D99" s="27" t="s">
        <v>167</v>
      </c>
      <c r="E99" s="28" t="s">
        <v>847</v>
      </c>
      <c r="F99" s="23"/>
      <c r="G99" s="23"/>
      <c r="H99" s="23"/>
      <c r="I99" s="23"/>
      <c r="J99" s="23"/>
      <c r="K99" s="23"/>
      <c r="L99" s="23"/>
      <c r="M99" s="23"/>
      <c r="N99" s="23"/>
      <c r="O99" s="23"/>
      <c r="P99" s="23"/>
      <c r="Q99" s="23"/>
      <c r="R99" s="23"/>
      <c r="S99" s="23"/>
      <c r="T99" s="23"/>
      <c r="U99" s="23"/>
      <c r="V99" s="23"/>
      <c r="W99" s="23"/>
      <c r="X99" s="23"/>
      <c r="Y99" s="23"/>
      <c r="Z99" s="23"/>
    </row>
    <row r="100" spans="1:26">
      <c r="A100" s="26" t="s">
        <v>246</v>
      </c>
      <c r="B100" s="26" t="s">
        <v>247</v>
      </c>
      <c r="C100" s="26" t="s">
        <v>162</v>
      </c>
      <c r="D100" s="27" t="s">
        <v>167</v>
      </c>
      <c r="E100" s="28" t="s">
        <v>847</v>
      </c>
      <c r="F100" s="23"/>
      <c r="G100" s="23"/>
      <c r="H100" s="23"/>
      <c r="I100" s="23"/>
      <c r="J100" s="23"/>
      <c r="K100" s="23"/>
      <c r="L100" s="23"/>
      <c r="M100" s="23"/>
      <c r="N100" s="23"/>
      <c r="O100" s="23"/>
      <c r="P100" s="23"/>
      <c r="Q100" s="23"/>
      <c r="R100" s="23"/>
      <c r="S100" s="23"/>
      <c r="T100" s="23"/>
      <c r="U100" s="23"/>
      <c r="V100" s="23"/>
      <c r="W100" s="23"/>
      <c r="X100" s="23"/>
      <c r="Y100" s="23"/>
      <c r="Z100" s="23"/>
    </row>
    <row r="101" spans="1:26">
      <c r="A101" s="26" t="s">
        <v>216</v>
      </c>
      <c r="B101" s="26" t="s">
        <v>217</v>
      </c>
      <c r="C101" s="26" t="s">
        <v>162</v>
      </c>
      <c r="D101" s="27" t="s">
        <v>167</v>
      </c>
      <c r="E101" s="28" t="s">
        <v>847</v>
      </c>
      <c r="F101" s="23"/>
      <c r="G101" s="23"/>
      <c r="H101" s="23"/>
      <c r="I101" s="23"/>
      <c r="J101" s="23"/>
      <c r="K101" s="23"/>
      <c r="L101" s="23"/>
      <c r="M101" s="23"/>
      <c r="N101" s="23"/>
      <c r="O101" s="23"/>
      <c r="P101" s="23"/>
      <c r="Q101" s="23"/>
      <c r="R101" s="23"/>
      <c r="S101" s="23"/>
      <c r="T101" s="23"/>
      <c r="U101" s="23"/>
      <c r="V101" s="23"/>
      <c r="W101" s="23"/>
      <c r="X101" s="23"/>
      <c r="Y101" s="23"/>
      <c r="Z101" s="23"/>
    </row>
    <row r="102" spans="1:26">
      <c r="A102" s="26" t="s">
        <v>202</v>
      </c>
      <c r="B102" s="26" t="s">
        <v>203</v>
      </c>
      <c r="C102" s="26" t="s">
        <v>162</v>
      </c>
      <c r="D102" s="27" t="s">
        <v>167</v>
      </c>
      <c r="E102" s="28" t="s">
        <v>847</v>
      </c>
      <c r="F102" s="23"/>
      <c r="G102" s="23"/>
      <c r="H102" s="23"/>
      <c r="I102" s="23"/>
      <c r="J102" s="23"/>
      <c r="K102" s="23"/>
      <c r="L102" s="23"/>
      <c r="M102" s="23"/>
      <c r="N102" s="23"/>
      <c r="O102" s="23"/>
      <c r="P102" s="23"/>
      <c r="Q102" s="23"/>
      <c r="R102" s="23"/>
      <c r="S102" s="23"/>
      <c r="T102" s="23"/>
      <c r="U102" s="23"/>
      <c r="V102" s="23"/>
      <c r="W102" s="23"/>
      <c r="X102" s="23"/>
      <c r="Y102" s="23"/>
      <c r="Z102" s="23"/>
    </row>
    <row r="103" ht="43.5" customHeight="1" spans="1:26">
      <c r="A103" s="26" t="s">
        <v>248</v>
      </c>
      <c r="B103" s="26" t="s">
        <v>249</v>
      </c>
      <c r="C103" s="26" t="s">
        <v>162</v>
      </c>
      <c r="D103" s="27" t="s">
        <v>167</v>
      </c>
      <c r="E103" s="28" t="s">
        <v>847</v>
      </c>
      <c r="F103" s="23"/>
      <c r="G103" s="23"/>
      <c r="H103" s="23"/>
      <c r="I103" s="23"/>
      <c r="J103" s="23"/>
      <c r="K103" s="23"/>
      <c r="L103" s="23"/>
      <c r="M103" s="23"/>
      <c r="N103" s="23"/>
      <c r="O103" s="23"/>
      <c r="P103" s="23"/>
      <c r="Q103" s="23"/>
      <c r="R103" s="23"/>
      <c r="S103" s="23"/>
      <c r="T103" s="23"/>
      <c r="U103" s="23"/>
      <c r="V103" s="23"/>
      <c r="W103" s="23"/>
      <c r="X103" s="23"/>
      <c r="Y103" s="23"/>
      <c r="Z103" s="23"/>
    </row>
    <row r="104" ht="28.5" customHeight="1" spans="1:26">
      <c r="A104" s="26" t="s">
        <v>252</v>
      </c>
      <c r="B104" s="26" t="s">
        <v>253</v>
      </c>
      <c r="C104" s="26" t="s">
        <v>266</v>
      </c>
      <c r="D104" s="27" t="s">
        <v>167</v>
      </c>
      <c r="E104" s="31" t="s">
        <v>849</v>
      </c>
      <c r="F104" s="23" t="s">
        <v>872</v>
      </c>
      <c r="G104" s="23"/>
      <c r="H104" s="23"/>
      <c r="I104" s="23"/>
      <c r="J104" s="23"/>
      <c r="K104" s="23"/>
      <c r="L104" s="23"/>
      <c r="M104" s="23"/>
      <c r="N104" s="23"/>
      <c r="O104" s="23"/>
      <c r="P104" s="23"/>
      <c r="Q104" s="23"/>
      <c r="R104" s="23"/>
      <c r="S104" s="23"/>
      <c r="T104" s="23"/>
      <c r="U104" s="23"/>
      <c r="V104" s="23"/>
      <c r="W104" s="23"/>
      <c r="X104" s="23"/>
      <c r="Y104" s="23"/>
      <c r="Z104" s="23"/>
    </row>
    <row r="105" ht="28.5" customHeight="1" spans="1:26">
      <c r="A105" s="26" t="s">
        <v>267</v>
      </c>
      <c r="B105" s="26" t="s">
        <v>268</v>
      </c>
      <c r="C105" s="26" t="s">
        <v>162</v>
      </c>
      <c r="D105" s="27" t="s">
        <v>167</v>
      </c>
      <c r="E105" s="28" t="s">
        <v>847</v>
      </c>
      <c r="F105" s="23"/>
      <c r="G105" s="23"/>
      <c r="H105" s="23"/>
      <c r="I105" s="23"/>
      <c r="J105" s="23"/>
      <c r="K105" s="23"/>
      <c r="L105" s="23"/>
      <c r="M105" s="23"/>
      <c r="N105" s="23"/>
      <c r="O105" s="23"/>
      <c r="P105" s="23"/>
      <c r="Q105" s="23"/>
      <c r="R105" s="23"/>
      <c r="S105" s="23"/>
      <c r="T105" s="23"/>
      <c r="U105" s="23"/>
      <c r="V105" s="23"/>
      <c r="W105" s="23"/>
      <c r="X105" s="23"/>
      <c r="Y105" s="23"/>
      <c r="Z105" s="23"/>
    </row>
    <row r="106" spans="1:26">
      <c r="A106" s="26" t="s">
        <v>257</v>
      </c>
      <c r="B106" s="26" t="s">
        <v>258</v>
      </c>
      <c r="C106" s="26" t="s">
        <v>162</v>
      </c>
      <c r="D106" s="27" t="s">
        <v>167</v>
      </c>
      <c r="E106" s="28" t="s">
        <v>847</v>
      </c>
      <c r="F106" s="23"/>
      <c r="G106" s="23"/>
      <c r="H106" s="23"/>
      <c r="I106" s="23"/>
      <c r="J106" s="23"/>
      <c r="K106" s="23"/>
      <c r="L106" s="23"/>
      <c r="M106" s="23"/>
      <c r="N106" s="23"/>
      <c r="O106" s="23"/>
      <c r="P106" s="23"/>
      <c r="Q106" s="23"/>
      <c r="R106" s="23"/>
      <c r="S106" s="23"/>
      <c r="T106" s="23"/>
      <c r="U106" s="23"/>
      <c r="V106" s="23"/>
      <c r="W106" s="23"/>
      <c r="X106" s="23"/>
      <c r="Y106" s="23"/>
      <c r="Z106" s="23"/>
    </row>
    <row r="107" spans="1:26">
      <c r="A107" s="26" t="s">
        <v>873</v>
      </c>
      <c r="B107" s="26" t="s">
        <v>874</v>
      </c>
      <c r="C107" s="26" t="s">
        <v>162</v>
      </c>
      <c r="D107" s="27" t="s">
        <v>167</v>
      </c>
      <c r="E107" s="31" t="s">
        <v>849</v>
      </c>
      <c r="F107" s="23" t="s">
        <v>870</v>
      </c>
      <c r="G107" s="23"/>
      <c r="H107" s="23"/>
      <c r="I107" s="23"/>
      <c r="J107" s="23"/>
      <c r="K107" s="23"/>
      <c r="L107" s="23"/>
      <c r="M107" s="23"/>
      <c r="N107" s="23"/>
      <c r="O107" s="23"/>
      <c r="P107" s="23"/>
      <c r="Q107" s="23"/>
      <c r="R107" s="23"/>
      <c r="S107" s="23"/>
      <c r="T107" s="23"/>
      <c r="U107" s="23"/>
      <c r="V107" s="23"/>
      <c r="W107" s="23"/>
      <c r="X107" s="23"/>
      <c r="Y107" s="23"/>
      <c r="Z107" s="23"/>
    </row>
    <row r="108" spans="1:26">
      <c r="A108" s="26" t="s">
        <v>254</v>
      </c>
      <c r="B108" s="26" t="s">
        <v>255</v>
      </c>
      <c r="C108" s="26" t="s">
        <v>162</v>
      </c>
      <c r="D108" s="27" t="s">
        <v>167</v>
      </c>
      <c r="E108" s="28" t="s">
        <v>847</v>
      </c>
      <c r="F108" s="23"/>
      <c r="G108" s="23"/>
      <c r="H108" s="23"/>
      <c r="I108" s="23"/>
      <c r="J108" s="23"/>
      <c r="K108" s="23"/>
      <c r="L108" s="23"/>
      <c r="M108" s="23"/>
      <c r="N108" s="23"/>
      <c r="O108" s="23"/>
      <c r="P108" s="23"/>
      <c r="Q108" s="23"/>
      <c r="R108" s="23"/>
      <c r="S108" s="23"/>
      <c r="T108" s="23"/>
      <c r="U108" s="23"/>
      <c r="V108" s="23"/>
      <c r="W108" s="23"/>
      <c r="X108" s="23"/>
      <c r="Y108" s="23"/>
      <c r="Z108" s="23"/>
    </row>
    <row r="109" spans="1:26">
      <c r="A109" s="26" t="s">
        <v>261</v>
      </c>
      <c r="B109" s="26" t="s">
        <v>262</v>
      </c>
      <c r="C109" s="26" t="s">
        <v>162</v>
      </c>
      <c r="D109" s="27" t="s">
        <v>167</v>
      </c>
      <c r="E109" s="28" t="s">
        <v>847</v>
      </c>
      <c r="F109" s="23"/>
      <c r="G109" s="23"/>
      <c r="H109" s="23"/>
      <c r="I109" s="23"/>
      <c r="J109" s="23"/>
      <c r="K109" s="23"/>
      <c r="L109" s="23"/>
      <c r="M109" s="23"/>
      <c r="N109" s="23"/>
      <c r="O109" s="23"/>
      <c r="P109" s="23"/>
      <c r="Q109" s="23"/>
      <c r="R109" s="23"/>
      <c r="S109" s="23"/>
      <c r="T109" s="23"/>
      <c r="U109" s="23"/>
      <c r="V109" s="23"/>
      <c r="W109" s="23"/>
      <c r="X109" s="23"/>
      <c r="Y109" s="23"/>
      <c r="Z109" s="23"/>
    </row>
    <row r="110" ht="28.5" customHeight="1" spans="1:26">
      <c r="A110" s="26" t="s">
        <v>211</v>
      </c>
      <c r="B110" s="26" t="s">
        <v>875</v>
      </c>
      <c r="C110" s="26" t="s">
        <v>162</v>
      </c>
      <c r="D110" s="27" t="s">
        <v>167</v>
      </c>
      <c r="E110" s="28" t="s">
        <v>847</v>
      </c>
      <c r="F110" s="23"/>
      <c r="G110" s="23"/>
      <c r="H110" s="23"/>
      <c r="I110" s="23"/>
      <c r="J110" s="23"/>
      <c r="K110" s="23"/>
      <c r="L110" s="23"/>
      <c r="M110" s="23"/>
      <c r="N110" s="23"/>
      <c r="O110" s="23"/>
      <c r="P110" s="23"/>
      <c r="Q110" s="23"/>
      <c r="R110" s="23"/>
      <c r="S110" s="23"/>
      <c r="T110" s="23"/>
      <c r="U110" s="23"/>
      <c r="V110" s="23"/>
      <c r="W110" s="23"/>
      <c r="X110" s="23"/>
      <c r="Y110" s="23"/>
      <c r="Z110" s="23"/>
    </row>
    <row r="111" spans="1:26">
      <c r="A111" s="26" t="s">
        <v>230</v>
      </c>
      <c r="B111" s="26"/>
      <c r="C111" s="26" t="s">
        <v>162</v>
      </c>
      <c r="D111" s="27" t="s">
        <v>167</v>
      </c>
      <c r="E111" s="28" t="s">
        <v>847</v>
      </c>
      <c r="F111" s="23"/>
      <c r="G111" s="23"/>
      <c r="H111" s="23"/>
      <c r="I111" s="23"/>
      <c r="J111" s="23"/>
      <c r="K111" s="23"/>
      <c r="L111" s="23"/>
      <c r="M111" s="23"/>
      <c r="N111" s="23"/>
      <c r="O111" s="23"/>
      <c r="P111" s="23"/>
      <c r="Q111" s="23"/>
      <c r="R111" s="23"/>
      <c r="S111" s="23"/>
      <c r="T111" s="23"/>
      <c r="U111" s="23"/>
      <c r="V111" s="23"/>
      <c r="W111" s="23"/>
      <c r="X111" s="23"/>
      <c r="Y111" s="23"/>
      <c r="Z111" s="23"/>
    </row>
    <row r="112" ht="43.5" customHeight="1" spans="1:26">
      <c r="A112" s="26" t="s">
        <v>876</v>
      </c>
      <c r="B112" s="26" t="s">
        <v>877</v>
      </c>
      <c r="C112" s="26" t="s">
        <v>48</v>
      </c>
      <c r="D112" s="27" t="s">
        <v>188</v>
      </c>
      <c r="E112" s="31" t="s">
        <v>849</v>
      </c>
      <c r="F112" s="23" t="s">
        <v>878</v>
      </c>
      <c r="G112" s="23"/>
      <c r="H112" s="23"/>
      <c r="I112" s="23"/>
      <c r="J112" s="23"/>
      <c r="K112" s="23"/>
      <c r="L112" s="23"/>
      <c r="M112" s="23"/>
      <c r="N112" s="23"/>
      <c r="O112" s="23"/>
      <c r="P112" s="23"/>
      <c r="Q112" s="23"/>
      <c r="R112" s="23"/>
      <c r="S112" s="23"/>
      <c r="T112" s="23"/>
      <c r="U112" s="23"/>
      <c r="V112" s="23"/>
      <c r="W112" s="23"/>
      <c r="X112" s="23"/>
      <c r="Y112" s="23"/>
      <c r="Z112" s="23"/>
    </row>
    <row r="113" spans="1:26">
      <c r="A113" s="26" t="s">
        <v>439</v>
      </c>
      <c r="B113" s="26" t="s">
        <v>440</v>
      </c>
      <c r="C113" s="26" t="s">
        <v>48</v>
      </c>
      <c r="D113" s="27" t="s">
        <v>188</v>
      </c>
      <c r="E113" s="28" t="s">
        <v>847</v>
      </c>
      <c r="F113" s="23"/>
      <c r="G113" s="23"/>
      <c r="H113" s="23"/>
      <c r="I113" s="23"/>
      <c r="J113" s="23"/>
      <c r="K113" s="23"/>
      <c r="L113" s="23"/>
      <c r="M113" s="23"/>
      <c r="N113" s="23"/>
      <c r="O113" s="23"/>
      <c r="P113" s="23"/>
      <c r="Q113" s="23"/>
      <c r="R113" s="23"/>
      <c r="S113" s="23"/>
      <c r="T113" s="23"/>
      <c r="U113" s="23"/>
      <c r="V113" s="23"/>
      <c r="W113" s="23"/>
      <c r="X113" s="23"/>
      <c r="Y113" s="23"/>
      <c r="Z113" s="23"/>
    </row>
    <row r="114" ht="28.5" customHeight="1" spans="1:26">
      <c r="A114" s="26" t="s">
        <v>186</v>
      </c>
      <c r="B114" s="26" t="s">
        <v>187</v>
      </c>
      <c r="C114" s="26" t="s">
        <v>48</v>
      </c>
      <c r="D114" s="27" t="s">
        <v>188</v>
      </c>
      <c r="E114" s="28" t="s">
        <v>847</v>
      </c>
      <c r="F114" s="23"/>
      <c r="G114" s="23"/>
      <c r="H114" s="23"/>
      <c r="I114" s="23"/>
      <c r="J114" s="23"/>
      <c r="K114" s="23"/>
      <c r="L114" s="23"/>
      <c r="M114" s="23"/>
      <c r="N114" s="23"/>
      <c r="O114" s="23"/>
      <c r="P114" s="23"/>
      <c r="Q114" s="23"/>
      <c r="R114" s="23"/>
      <c r="S114" s="23"/>
      <c r="T114" s="23"/>
      <c r="U114" s="23"/>
      <c r="V114" s="23"/>
      <c r="W114" s="23"/>
      <c r="X114" s="23"/>
      <c r="Y114" s="23"/>
      <c r="Z114" s="23"/>
    </row>
    <row r="115" ht="28.5" customHeight="1" spans="1:26">
      <c r="A115" s="26" t="s">
        <v>441</v>
      </c>
      <c r="B115" s="26" t="s">
        <v>442</v>
      </c>
      <c r="C115" s="26" t="s">
        <v>48</v>
      </c>
      <c r="D115" s="27" t="s">
        <v>188</v>
      </c>
      <c r="E115" s="28" t="s">
        <v>847</v>
      </c>
      <c r="F115" s="23"/>
      <c r="G115" s="23"/>
      <c r="H115" s="23"/>
      <c r="I115" s="23"/>
      <c r="J115" s="23"/>
      <c r="K115" s="23"/>
      <c r="L115" s="23"/>
      <c r="M115" s="23"/>
      <c r="N115" s="23"/>
      <c r="O115" s="23"/>
      <c r="P115" s="23"/>
      <c r="Q115" s="23"/>
      <c r="R115" s="23"/>
      <c r="S115" s="23"/>
      <c r="T115" s="23"/>
      <c r="U115" s="23"/>
      <c r="V115" s="23"/>
      <c r="W115" s="23"/>
      <c r="X115" s="23"/>
      <c r="Y115" s="23"/>
      <c r="Z115" s="23"/>
    </row>
    <row r="116" ht="43.5" customHeight="1" spans="1:26">
      <c r="A116" s="26" t="s">
        <v>437</v>
      </c>
      <c r="B116" s="26" t="s">
        <v>438</v>
      </c>
      <c r="C116" s="26" t="s">
        <v>48</v>
      </c>
      <c r="D116" s="27" t="s">
        <v>188</v>
      </c>
      <c r="E116" s="28" t="s">
        <v>847</v>
      </c>
      <c r="F116" s="23"/>
      <c r="G116" s="23"/>
      <c r="H116" s="23"/>
      <c r="I116" s="23"/>
      <c r="J116" s="23"/>
      <c r="K116" s="23"/>
      <c r="L116" s="23"/>
      <c r="M116" s="23"/>
      <c r="N116" s="23"/>
      <c r="O116" s="23"/>
      <c r="P116" s="23"/>
      <c r="Q116" s="23"/>
      <c r="R116" s="23"/>
      <c r="S116" s="23"/>
      <c r="T116" s="23"/>
      <c r="U116" s="23"/>
      <c r="V116" s="23"/>
      <c r="W116" s="23"/>
      <c r="X116" s="23"/>
      <c r="Y116" s="23"/>
      <c r="Z116" s="23"/>
    </row>
    <row r="117" spans="1:26">
      <c r="A117" s="26" t="s">
        <v>429</v>
      </c>
      <c r="B117" s="26" t="s">
        <v>879</v>
      </c>
      <c r="C117" s="26" t="s">
        <v>48</v>
      </c>
      <c r="D117" s="27" t="s">
        <v>188</v>
      </c>
      <c r="E117" s="28" t="s">
        <v>847</v>
      </c>
      <c r="F117" s="23"/>
      <c r="G117" s="23"/>
      <c r="H117" s="23"/>
      <c r="I117" s="23"/>
      <c r="J117" s="23"/>
      <c r="K117" s="23"/>
      <c r="L117" s="23"/>
      <c r="M117" s="23"/>
      <c r="N117" s="23"/>
      <c r="O117" s="23"/>
      <c r="P117" s="23"/>
      <c r="Q117" s="23"/>
      <c r="R117" s="23"/>
      <c r="S117" s="23"/>
      <c r="T117" s="23"/>
      <c r="U117" s="23"/>
      <c r="V117" s="23"/>
      <c r="W117" s="23"/>
      <c r="X117" s="23"/>
      <c r="Y117" s="23"/>
      <c r="Z117" s="23"/>
    </row>
    <row r="118" spans="1:26">
      <c r="A118" s="26" t="s">
        <v>443</v>
      </c>
      <c r="B118" s="26"/>
      <c r="C118" s="26" t="s">
        <v>48</v>
      </c>
      <c r="D118" s="27" t="s">
        <v>188</v>
      </c>
      <c r="E118" s="28" t="s">
        <v>847</v>
      </c>
      <c r="F118" s="23"/>
      <c r="G118" s="23"/>
      <c r="H118" s="23"/>
      <c r="I118" s="23"/>
      <c r="J118" s="23"/>
      <c r="K118" s="23"/>
      <c r="L118" s="23"/>
      <c r="M118" s="23"/>
      <c r="N118" s="23"/>
      <c r="O118" s="23"/>
      <c r="P118" s="23"/>
      <c r="Q118" s="23"/>
      <c r="R118" s="23"/>
      <c r="S118" s="23"/>
      <c r="T118" s="23"/>
      <c r="U118" s="23"/>
      <c r="V118" s="23"/>
      <c r="W118" s="23"/>
      <c r="X118" s="23"/>
      <c r="Y118" s="23"/>
      <c r="Z118" s="23"/>
    </row>
    <row r="119" spans="1:26">
      <c r="A119" s="26" t="s">
        <v>186</v>
      </c>
      <c r="B119" s="26"/>
      <c r="C119" s="26" t="s">
        <v>48</v>
      </c>
      <c r="D119" s="27" t="s">
        <v>188</v>
      </c>
      <c r="E119" s="28" t="s">
        <v>847</v>
      </c>
      <c r="F119" s="23"/>
      <c r="G119" s="23"/>
      <c r="H119" s="23"/>
      <c r="I119" s="23"/>
      <c r="J119" s="23"/>
      <c r="K119" s="23"/>
      <c r="L119" s="23"/>
      <c r="M119" s="23"/>
      <c r="N119" s="23"/>
      <c r="O119" s="23"/>
      <c r="P119" s="23"/>
      <c r="Q119" s="23"/>
      <c r="R119" s="23"/>
      <c r="S119" s="23"/>
      <c r="T119" s="23"/>
      <c r="U119" s="23"/>
      <c r="V119" s="23"/>
      <c r="W119" s="23"/>
      <c r="X119" s="23"/>
      <c r="Y119" s="23"/>
      <c r="Z119" s="23"/>
    </row>
    <row r="120" spans="1:26">
      <c r="A120" s="26" t="s">
        <v>444</v>
      </c>
      <c r="B120" s="26"/>
      <c r="C120" s="26" t="s">
        <v>48</v>
      </c>
      <c r="D120" s="27" t="s">
        <v>188</v>
      </c>
      <c r="E120" s="28" t="s">
        <v>847</v>
      </c>
      <c r="F120" s="23"/>
      <c r="G120" s="23"/>
      <c r="H120" s="23"/>
      <c r="I120" s="23"/>
      <c r="J120" s="23"/>
      <c r="K120" s="23"/>
      <c r="L120" s="23"/>
      <c r="M120" s="23"/>
      <c r="N120" s="23"/>
      <c r="O120" s="23"/>
      <c r="P120" s="23"/>
      <c r="Q120" s="23"/>
      <c r="R120" s="23"/>
      <c r="S120" s="23"/>
      <c r="T120" s="23"/>
      <c r="U120" s="23"/>
      <c r="V120" s="23"/>
      <c r="W120" s="23"/>
      <c r="X120" s="23"/>
      <c r="Y120" s="23"/>
      <c r="Z120" s="23"/>
    </row>
    <row r="121" spans="1:26">
      <c r="A121" s="26" t="s">
        <v>455</v>
      </c>
      <c r="B121" s="26"/>
      <c r="C121" s="26" t="s">
        <v>48</v>
      </c>
      <c r="D121" s="27" t="s">
        <v>188</v>
      </c>
      <c r="E121" s="28" t="s">
        <v>847</v>
      </c>
      <c r="F121" s="23"/>
      <c r="G121" s="23"/>
      <c r="H121" s="23"/>
      <c r="I121" s="23"/>
      <c r="J121" s="23"/>
      <c r="K121" s="23"/>
      <c r="L121" s="23"/>
      <c r="M121" s="23"/>
      <c r="N121" s="23"/>
      <c r="O121" s="23"/>
      <c r="P121" s="23"/>
      <c r="Q121" s="23"/>
      <c r="R121" s="23"/>
      <c r="S121" s="23"/>
      <c r="T121" s="23"/>
      <c r="U121" s="23"/>
      <c r="V121" s="23"/>
      <c r="W121" s="23"/>
      <c r="X121" s="23"/>
      <c r="Y121" s="23"/>
      <c r="Z121" s="23"/>
    </row>
    <row r="122" spans="1:26">
      <c r="A122" s="26" t="s">
        <v>445</v>
      </c>
      <c r="B122" s="26"/>
      <c r="C122" s="26" t="s">
        <v>48</v>
      </c>
      <c r="D122" s="27" t="s">
        <v>188</v>
      </c>
      <c r="E122" s="28" t="s">
        <v>847</v>
      </c>
      <c r="F122" s="23"/>
      <c r="G122" s="23"/>
      <c r="H122" s="23"/>
      <c r="I122" s="23"/>
      <c r="J122" s="23"/>
      <c r="K122" s="23"/>
      <c r="L122" s="23"/>
      <c r="M122" s="23"/>
      <c r="N122" s="23"/>
      <c r="O122" s="23"/>
      <c r="P122" s="23"/>
      <c r="Q122" s="23"/>
      <c r="R122" s="23"/>
      <c r="S122" s="23"/>
      <c r="T122" s="23"/>
      <c r="U122" s="23"/>
      <c r="V122" s="23"/>
      <c r="W122" s="23"/>
      <c r="X122" s="23"/>
      <c r="Y122" s="23"/>
      <c r="Z122" s="23"/>
    </row>
    <row r="123" spans="1:26">
      <c r="A123" s="26" t="s">
        <v>880</v>
      </c>
      <c r="B123" s="26"/>
      <c r="C123" s="26" t="s">
        <v>48</v>
      </c>
      <c r="D123" s="27" t="s">
        <v>188</v>
      </c>
      <c r="E123" s="31" t="s">
        <v>849</v>
      </c>
      <c r="F123" s="23" t="s">
        <v>881</v>
      </c>
      <c r="G123" s="23"/>
      <c r="H123" s="23"/>
      <c r="I123" s="23"/>
      <c r="J123" s="23"/>
      <c r="K123" s="23"/>
      <c r="L123" s="23"/>
      <c r="M123" s="23"/>
      <c r="N123" s="23"/>
      <c r="O123" s="23"/>
      <c r="P123" s="23"/>
      <c r="Q123" s="23"/>
      <c r="R123" s="23"/>
      <c r="S123" s="23"/>
      <c r="T123" s="23"/>
      <c r="U123" s="23"/>
      <c r="V123" s="23"/>
      <c r="W123" s="23"/>
      <c r="X123" s="23"/>
      <c r="Y123" s="23"/>
      <c r="Z123" s="23"/>
    </row>
    <row r="124" spans="1:26">
      <c r="A124" s="26" t="s">
        <v>882</v>
      </c>
      <c r="B124" s="26" t="s">
        <v>883</v>
      </c>
      <c r="C124" s="26" t="s">
        <v>48</v>
      </c>
      <c r="D124" s="27" t="s">
        <v>188</v>
      </c>
      <c r="E124" s="32" t="s">
        <v>884</v>
      </c>
      <c r="F124" s="23"/>
      <c r="G124" s="23"/>
      <c r="H124" s="23"/>
      <c r="I124" s="23"/>
      <c r="J124" s="23"/>
      <c r="K124" s="23"/>
      <c r="L124" s="23"/>
      <c r="M124" s="23"/>
      <c r="N124" s="23"/>
      <c r="O124" s="23"/>
      <c r="P124" s="23"/>
      <c r="Q124" s="23"/>
      <c r="R124" s="23"/>
      <c r="S124" s="23"/>
      <c r="T124" s="23"/>
      <c r="U124" s="23"/>
      <c r="V124" s="23"/>
      <c r="W124" s="23"/>
      <c r="X124" s="23"/>
      <c r="Y124" s="23"/>
      <c r="Z124" s="23"/>
    </row>
    <row r="125" ht="57.75" customHeight="1" spans="1:26">
      <c r="A125" s="26" t="s">
        <v>375</v>
      </c>
      <c r="B125" s="26" t="s">
        <v>376</v>
      </c>
      <c r="C125" s="26" t="s">
        <v>162</v>
      </c>
      <c r="D125" s="27" t="s">
        <v>188</v>
      </c>
      <c r="E125" s="28" t="s">
        <v>847</v>
      </c>
      <c r="F125" s="33"/>
      <c r="G125" s="33"/>
      <c r="H125" s="33"/>
      <c r="I125" s="33"/>
      <c r="J125" s="33"/>
      <c r="K125" s="33"/>
      <c r="L125" s="33"/>
      <c r="M125" s="33"/>
      <c r="N125" s="33"/>
      <c r="O125" s="33"/>
      <c r="P125" s="33"/>
      <c r="Q125" s="33"/>
      <c r="R125" s="33"/>
      <c r="S125" s="33"/>
      <c r="T125" s="33"/>
      <c r="U125" s="33"/>
      <c r="V125" s="33"/>
      <c r="W125" s="33"/>
      <c r="X125" s="33"/>
      <c r="Y125" s="33"/>
      <c r="Z125" s="33"/>
    </row>
    <row r="126" spans="1:26">
      <c r="A126" s="26" t="s">
        <v>426</v>
      </c>
      <c r="B126" s="26" t="s">
        <v>427</v>
      </c>
      <c r="C126" s="26" t="s">
        <v>266</v>
      </c>
      <c r="D126" s="27" t="s">
        <v>188</v>
      </c>
      <c r="E126" s="28" t="s">
        <v>847</v>
      </c>
      <c r="F126" s="33"/>
      <c r="G126" s="33"/>
      <c r="H126" s="33"/>
      <c r="I126" s="33"/>
      <c r="J126" s="33"/>
      <c r="K126" s="33"/>
      <c r="L126" s="33"/>
      <c r="M126" s="33"/>
      <c r="N126" s="33"/>
      <c r="O126" s="33"/>
      <c r="P126" s="33"/>
      <c r="Q126" s="33"/>
      <c r="R126" s="33"/>
      <c r="S126" s="33"/>
      <c r="T126" s="33"/>
      <c r="U126" s="33"/>
      <c r="V126" s="33"/>
      <c r="W126" s="33"/>
      <c r="X126" s="33"/>
      <c r="Y126" s="33"/>
      <c r="Z126" s="33"/>
    </row>
    <row r="127" spans="1:26">
      <c r="A127" s="26" t="s">
        <v>377</v>
      </c>
      <c r="B127" s="26" t="s">
        <v>378</v>
      </c>
      <c r="C127" s="26" t="s">
        <v>162</v>
      </c>
      <c r="D127" s="27" t="s">
        <v>188</v>
      </c>
      <c r="E127" s="28" t="s">
        <v>847</v>
      </c>
      <c r="F127" s="23"/>
      <c r="G127" s="23"/>
      <c r="H127" s="23"/>
      <c r="I127" s="23"/>
      <c r="J127" s="23"/>
      <c r="K127" s="23"/>
      <c r="L127" s="23"/>
      <c r="M127" s="23"/>
      <c r="N127" s="23"/>
      <c r="O127" s="23"/>
      <c r="P127" s="23"/>
      <c r="Q127" s="23"/>
      <c r="R127" s="23"/>
      <c r="S127" s="23"/>
      <c r="T127" s="23"/>
      <c r="U127" s="23"/>
      <c r="V127" s="23"/>
      <c r="W127" s="23"/>
      <c r="X127" s="23"/>
      <c r="Y127" s="23"/>
      <c r="Z127" s="23"/>
    </row>
    <row r="128" spans="1:26">
      <c r="A128" s="26" t="s">
        <v>362</v>
      </c>
      <c r="B128" s="26" t="s">
        <v>363</v>
      </c>
      <c r="C128" s="26" t="s">
        <v>162</v>
      </c>
      <c r="D128" s="27" t="s">
        <v>188</v>
      </c>
      <c r="E128" s="28" t="s">
        <v>847</v>
      </c>
      <c r="F128" s="23"/>
      <c r="G128" s="23"/>
      <c r="H128" s="23"/>
      <c r="I128" s="23"/>
      <c r="J128" s="23"/>
      <c r="K128" s="23"/>
      <c r="L128" s="23"/>
      <c r="M128" s="23"/>
      <c r="N128" s="23"/>
      <c r="O128" s="23"/>
      <c r="P128" s="23"/>
      <c r="Q128" s="23"/>
      <c r="R128" s="23"/>
      <c r="S128" s="23"/>
      <c r="T128" s="23"/>
      <c r="U128" s="23"/>
      <c r="V128" s="23"/>
      <c r="W128" s="23"/>
      <c r="X128" s="23"/>
      <c r="Y128" s="23"/>
      <c r="Z128" s="23"/>
    </row>
    <row r="129" spans="1:26">
      <c r="A129" s="26" t="s">
        <v>414</v>
      </c>
      <c r="B129" s="26" t="s">
        <v>415</v>
      </c>
      <c r="C129" s="26" t="s">
        <v>162</v>
      </c>
      <c r="D129" s="27" t="s">
        <v>188</v>
      </c>
      <c r="E129" s="28" t="s">
        <v>847</v>
      </c>
      <c r="F129" s="23"/>
      <c r="G129" s="23"/>
      <c r="H129" s="23"/>
      <c r="I129" s="23"/>
      <c r="J129" s="23"/>
      <c r="K129" s="23"/>
      <c r="L129" s="23"/>
      <c r="M129" s="23"/>
      <c r="N129" s="23"/>
      <c r="O129" s="23"/>
      <c r="P129" s="23"/>
      <c r="Q129" s="23"/>
      <c r="R129" s="23"/>
      <c r="S129" s="23"/>
      <c r="T129" s="23"/>
      <c r="U129" s="23"/>
      <c r="V129" s="23"/>
      <c r="W129" s="23"/>
      <c r="X129" s="23"/>
      <c r="Y129" s="23"/>
      <c r="Z129" s="23"/>
    </row>
    <row r="130" ht="57.75" customHeight="1" spans="1:26">
      <c r="A130" s="26" t="s">
        <v>411</v>
      </c>
      <c r="B130" s="26" t="s">
        <v>412</v>
      </c>
      <c r="C130" s="26" t="s">
        <v>162</v>
      </c>
      <c r="D130" s="27" t="s">
        <v>188</v>
      </c>
      <c r="E130" s="28" t="s">
        <v>847</v>
      </c>
      <c r="F130" s="23"/>
      <c r="G130" s="23"/>
      <c r="H130" s="23"/>
      <c r="I130" s="23"/>
      <c r="J130" s="23"/>
      <c r="K130" s="23"/>
      <c r="L130" s="23"/>
      <c r="M130" s="23"/>
      <c r="N130" s="23"/>
      <c r="O130" s="23"/>
      <c r="P130" s="23"/>
      <c r="Q130" s="23"/>
      <c r="R130" s="23"/>
      <c r="S130" s="23"/>
      <c r="T130" s="23"/>
      <c r="U130" s="23"/>
      <c r="V130" s="23"/>
      <c r="W130" s="23"/>
      <c r="X130" s="23"/>
      <c r="Y130" s="23"/>
      <c r="Z130" s="23"/>
    </row>
    <row r="131" spans="1:26">
      <c r="A131" s="26" t="s">
        <v>385</v>
      </c>
      <c r="B131" s="26" t="s">
        <v>386</v>
      </c>
      <c r="C131" s="26" t="s">
        <v>162</v>
      </c>
      <c r="D131" s="27" t="s">
        <v>188</v>
      </c>
      <c r="E131" s="28" t="s">
        <v>847</v>
      </c>
      <c r="F131" s="23"/>
      <c r="G131" s="23"/>
      <c r="H131" s="23"/>
      <c r="I131" s="23"/>
      <c r="J131" s="23"/>
      <c r="K131" s="23"/>
      <c r="L131" s="23"/>
      <c r="M131" s="23"/>
      <c r="N131" s="23"/>
      <c r="O131" s="23"/>
      <c r="P131" s="23"/>
      <c r="Q131" s="23"/>
      <c r="R131" s="23"/>
      <c r="S131" s="23"/>
      <c r="T131" s="23"/>
      <c r="U131" s="23"/>
      <c r="V131" s="23"/>
      <c r="W131" s="23"/>
      <c r="X131" s="23"/>
      <c r="Y131" s="23"/>
      <c r="Z131" s="23"/>
    </row>
    <row r="132" ht="28.5" customHeight="1" spans="1:26">
      <c r="A132" s="26" t="s">
        <v>309</v>
      </c>
      <c r="B132" s="26" t="s">
        <v>310</v>
      </c>
      <c r="C132" s="26" t="s">
        <v>266</v>
      </c>
      <c r="D132" s="27" t="s">
        <v>188</v>
      </c>
      <c r="E132" s="28" t="s">
        <v>847</v>
      </c>
      <c r="F132" s="23" t="s">
        <v>885</v>
      </c>
      <c r="G132" s="23"/>
      <c r="H132" s="23"/>
      <c r="I132" s="23"/>
      <c r="J132" s="23"/>
      <c r="K132" s="23"/>
      <c r="L132" s="23"/>
      <c r="M132" s="23"/>
      <c r="N132" s="23"/>
      <c r="O132" s="23"/>
      <c r="P132" s="23"/>
      <c r="Q132" s="23"/>
      <c r="R132" s="23"/>
      <c r="S132" s="23"/>
      <c r="T132" s="23"/>
      <c r="U132" s="23"/>
      <c r="V132" s="23"/>
      <c r="W132" s="23"/>
      <c r="X132" s="23"/>
      <c r="Y132" s="23"/>
      <c r="Z132" s="23"/>
    </row>
    <row r="133" ht="28.5" customHeight="1" spans="1:26">
      <c r="A133" s="26" t="s">
        <v>389</v>
      </c>
      <c r="B133" s="26" t="s">
        <v>886</v>
      </c>
      <c r="C133" s="26" t="s">
        <v>266</v>
      </c>
      <c r="D133" s="27" t="s">
        <v>188</v>
      </c>
      <c r="E133" s="28" t="s">
        <v>847</v>
      </c>
      <c r="F133" s="23"/>
      <c r="G133" s="23"/>
      <c r="H133" s="23"/>
      <c r="I133" s="23"/>
      <c r="J133" s="23"/>
      <c r="K133" s="23"/>
      <c r="L133" s="23"/>
      <c r="M133" s="23"/>
      <c r="N133" s="23"/>
      <c r="O133" s="23"/>
      <c r="P133" s="23"/>
      <c r="Q133" s="23"/>
      <c r="R133" s="23"/>
      <c r="S133" s="23"/>
      <c r="T133" s="23"/>
      <c r="U133" s="23"/>
      <c r="V133" s="23"/>
      <c r="W133" s="23"/>
      <c r="X133" s="23"/>
      <c r="Y133" s="23"/>
      <c r="Z133" s="23"/>
    </row>
    <row r="134" spans="1:26">
      <c r="A134" s="26" t="s">
        <v>431</v>
      </c>
      <c r="B134" s="26" t="s">
        <v>432</v>
      </c>
      <c r="C134" s="26" t="s">
        <v>266</v>
      </c>
      <c r="D134" s="27" t="s">
        <v>188</v>
      </c>
      <c r="E134" s="28" t="s">
        <v>847</v>
      </c>
      <c r="F134" s="23"/>
      <c r="G134" s="23"/>
      <c r="H134" s="23"/>
      <c r="I134" s="23"/>
      <c r="J134" s="23"/>
      <c r="K134" s="23"/>
      <c r="L134" s="23"/>
      <c r="M134" s="23"/>
      <c r="N134" s="23"/>
      <c r="O134" s="23"/>
      <c r="P134" s="23"/>
      <c r="Q134" s="23"/>
      <c r="R134" s="23"/>
      <c r="S134" s="23"/>
      <c r="T134" s="23"/>
      <c r="U134" s="23"/>
      <c r="V134" s="23"/>
      <c r="W134" s="23"/>
      <c r="X134" s="23"/>
      <c r="Y134" s="23"/>
      <c r="Z134" s="23"/>
    </row>
    <row r="135" spans="1:26">
      <c r="A135" s="26" t="s">
        <v>406</v>
      </c>
      <c r="B135" s="26" t="s">
        <v>407</v>
      </c>
      <c r="C135" s="26" t="s">
        <v>162</v>
      </c>
      <c r="D135" s="27" t="s">
        <v>188</v>
      </c>
      <c r="E135" s="28" t="s">
        <v>847</v>
      </c>
      <c r="F135" s="23"/>
      <c r="G135" s="23"/>
      <c r="H135" s="23"/>
      <c r="I135" s="23"/>
      <c r="J135" s="23"/>
      <c r="K135" s="23"/>
      <c r="L135" s="23"/>
      <c r="M135" s="23"/>
      <c r="N135" s="23"/>
      <c r="O135" s="23"/>
      <c r="P135" s="23"/>
      <c r="Q135" s="23"/>
      <c r="R135" s="23"/>
      <c r="S135" s="23"/>
      <c r="T135" s="23"/>
      <c r="U135" s="23"/>
      <c r="V135" s="23"/>
      <c r="W135" s="23"/>
      <c r="X135" s="23"/>
      <c r="Y135" s="23"/>
      <c r="Z135" s="23"/>
    </row>
    <row r="136" spans="1:26">
      <c r="A136" s="26" t="s">
        <v>409</v>
      </c>
      <c r="B136" s="26" t="s">
        <v>410</v>
      </c>
      <c r="C136" s="26" t="s">
        <v>162</v>
      </c>
      <c r="D136" s="27" t="s">
        <v>188</v>
      </c>
      <c r="E136" s="28" t="s">
        <v>847</v>
      </c>
      <c r="F136" s="23"/>
      <c r="G136" s="23"/>
      <c r="H136" s="23"/>
      <c r="I136" s="23"/>
      <c r="J136" s="23"/>
      <c r="K136" s="23"/>
      <c r="L136" s="23"/>
      <c r="M136" s="23"/>
      <c r="N136" s="23"/>
      <c r="O136" s="23"/>
      <c r="P136" s="23"/>
      <c r="Q136" s="23"/>
      <c r="R136" s="23"/>
      <c r="S136" s="23"/>
      <c r="T136" s="23"/>
      <c r="U136" s="23"/>
      <c r="V136" s="23"/>
      <c r="W136" s="23"/>
      <c r="X136" s="23"/>
      <c r="Y136" s="23"/>
      <c r="Z136" s="23"/>
    </row>
    <row r="137" ht="43.5" customHeight="1" spans="1:26">
      <c r="A137" s="26" t="s">
        <v>368</v>
      </c>
      <c r="B137" s="26" t="s">
        <v>369</v>
      </c>
      <c r="C137" s="26" t="s">
        <v>162</v>
      </c>
      <c r="D137" s="27" t="s">
        <v>188</v>
      </c>
      <c r="E137" s="28" t="s">
        <v>847</v>
      </c>
      <c r="F137" s="23"/>
      <c r="G137" s="23"/>
      <c r="H137" s="23"/>
      <c r="I137" s="23"/>
      <c r="J137" s="23"/>
      <c r="K137" s="23"/>
      <c r="L137" s="23"/>
      <c r="M137" s="23"/>
      <c r="N137" s="23"/>
      <c r="O137" s="23"/>
      <c r="P137" s="23"/>
      <c r="Q137" s="23"/>
      <c r="R137" s="23"/>
      <c r="S137" s="23"/>
      <c r="T137" s="23"/>
      <c r="U137" s="23"/>
      <c r="V137" s="23"/>
      <c r="W137" s="23"/>
      <c r="X137" s="23"/>
      <c r="Y137" s="23"/>
      <c r="Z137" s="23"/>
    </row>
    <row r="138" spans="1:26">
      <c r="A138" s="26" t="s">
        <v>365</v>
      </c>
      <c r="B138" s="26" t="s">
        <v>366</v>
      </c>
      <c r="C138" s="26" t="s">
        <v>162</v>
      </c>
      <c r="D138" s="27" t="s">
        <v>188</v>
      </c>
      <c r="E138" s="28" t="s">
        <v>847</v>
      </c>
      <c r="F138" s="23"/>
      <c r="G138" s="23"/>
      <c r="H138" s="23"/>
      <c r="I138" s="23"/>
      <c r="J138" s="23"/>
      <c r="K138" s="23"/>
      <c r="L138" s="23"/>
      <c r="M138" s="23"/>
      <c r="N138" s="23"/>
      <c r="O138" s="23"/>
      <c r="P138" s="23"/>
      <c r="Q138" s="23"/>
      <c r="R138" s="23"/>
      <c r="S138" s="23"/>
      <c r="T138" s="23"/>
      <c r="U138" s="23"/>
      <c r="V138" s="23"/>
      <c r="W138" s="23"/>
      <c r="X138" s="23"/>
      <c r="Y138" s="23"/>
      <c r="Z138" s="23"/>
    </row>
    <row r="139" spans="1:26">
      <c r="A139" s="26" t="s">
        <v>416</v>
      </c>
      <c r="B139" s="26" t="s">
        <v>417</v>
      </c>
      <c r="C139" s="26" t="s">
        <v>162</v>
      </c>
      <c r="D139" s="27" t="s">
        <v>188</v>
      </c>
      <c r="E139" s="28" t="s">
        <v>847</v>
      </c>
      <c r="F139" s="23"/>
      <c r="G139" s="23"/>
      <c r="H139" s="23"/>
      <c r="I139" s="23"/>
      <c r="J139" s="23"/>
      <c r="K139" s="23"/>
      <c r="L139" s="23"/>
      <c r="M139" s="23"/>
      <c r="N139" s="23"/>
      <c r="O139" s="23"/>
      <c r="P139" s="23"/>
      <c r="Q139" s="23"/>
      <c r="R139" s="23"/>
      <c r="S139" s="23"/>
      <c r="T139" s="23"/>
      <c r="U139" s="23"/>
      <c r="V139" s="23"/>
      <c r="W139" s="23"/>
      <c r="X139" s="23"/>
      <c r="Y139" s="23"/>
      <c r="Z139" s="23"/>
    </row>
    <row r="140" spans="1:26">
      <c r="A140" s="26" t="s">
        <v>416</v>
      </c>
      <c r="B140" s="26" t="s">
        <v>423</v>
      </c>
      <c r="C140" s="26" t="s">
        <v>162</v>
      </c>
      <c r="D140" s="27" t="s">
        <v>188</v>
      </c>
      <c r="E140" s="28" t="s">
        <v>847</v>
      </c>
      <c r="F140" s="23"/>
      <c r="G140" s="23"/>
      <c r="H140" s="23"/>
      <c r="I140" s="23"/>
      <c r="J140" s="23"/>
      <c r="K140" s="23"/>
      <c r="L140" s="23"/>
      <c r="M140" s="23"/>
      <c r="N140" s="23"/>
      <c r="O140" s="23"/>
      <c r="P140" s="23"/>
      <c r="Q140" s="23"/>
      <c r="R140" s="23"/>
      <c r="S140" s="23"/>
      <c r="T140" s="23"/>
      <c r="U140" s="23"/>
      <c r="V140" s="23"/>
      <c r="W140" s="23"/>
      <c r="X140" s="23"/>
      <c r="Y140" s="23"/>
      <c r="Z140" s="23"/>
    </row>
    <row r="141" spans="1:26">
      <c r="A141" s="26" t="s">
        <v>392</v>
      </c>
      <c r="B141" s="26" t="s">
        <v>393</v>
      </c>
      <c r="C141" s="26" t="s">
        <v>162</v>
      </c>
      <c r="D141" s="27" t="s">
        <v>188</v>
      </c>
      <c r="E141" s="28" t="s">
        <v>847</v>
      </c>
      <c r="F141" s="23"/>
      <c r="G141" s="23"/>
      <c r="H141" s="23"/>
      <c r="I141" s="23"/>
      <c r="J141" s="23"/>
      <c r="K141" s="23"/>
      <c r="L141" s="23"/>
      <c r="M141" s="23"/>
      <c r="N141" s="23"/>
      <c r="O141" s="23"/>
      <c r="P141" s="23"/>
      <c r="Q141" s="23"/>
      <c r="R141" s="23"/>
      <c r="S141" s="23"/>
      <c r="T141" s="23"/>
      <c r="U141" s="23"/>
      <c r="V141" s="23"/>
      <c r="W141" s="23"/>
      <c r="X141" s="23"/>
      <c r="Y141" s="23"/>
      <c r="Z141" s="23"/>
    </row>
    <row r="142" spans="1:26">
      <c r="A142" s="26" t="s">
        <v>693</v>
      </c>
      <c r="B142" s="26" t="s">
        <v>694</v>
      </c>
      <c r="C142" s="26" t="s">
        <v>162</v>
      </c>
      <c r="D142" s="27" t="s">
        <v>188</v>
      </c>
      <c r="E142" s="28" t="s">
        <v>847</v>
      </c>
      <c r="F142" s="23"/>
      <c r="G142" s="23"/>
      <c r="H142" s="23"/>
      <c r="I142" s="23"/>
      <c r="J142" s="23"/>
      <c r="K142" s="23"/>
      <c r="L142" s="23"/>
      <c r="M142" s="23"/>
      <c r="N142" s="23"/>
      <c r="O142" s="23"/>
      <c r="P142" s="23"/>
      <c r="Q142" s="23"/>
      <c r="R142" s="23"/>
      <c r="S142" s="23"/>
      <c r="T142" s="23"/>
      <c r="U142" s="23"/>
      <c r="V142" s="23"/>
      <c r="W142" s="23"/>
      <c r="X142" s="23"/>
      <c r="Y142" s="23"/>
      <c r="Z142" s="23"/>
    </row>
    <row r="143" spans="1:26">
      <c r="A143" s="26" t="s">
        <v>887</v>
      </c>
      <c r="B143" s="26" t="s">
        <v>888</v>
      </c>
      <c r="C143" s="26" t="s">
        <v>162</v>
      </c>
      <c r="D143" s="27" t="s">
        <v>188</v>
      </c>
      <c r="E143" s="31" t="s">
        <v>849</v>
      </c>
      <c r="F143" s="23" t="s">
        <v>889</v>
      </c>
      <c r="G143" s="23"/>
      <c r="H143" s="23"/>
      <c r="I143" s="23"/>
      <c r="J143" s="23"/>
      <c r="K143" s="23"/>
      <c r="L143" s="23"/>
      <c r="M143" s="23"/>
      <c r="N143" s="23"/>
      <c r="O143" s="23"/>
      <c r="P143" s="23"/>
      <c r="Q143" s="23"/>
      <c r="R143" s="23"/>
      <c r="S143" s="23"/>
      <c r="T143" s="23"/>
      <c r="U143" s="23"/>
      <c r="V143" s="23"/>
      <c r="W143" s="23"/>
      <c r="X143" s="23"/>
      <c r="Y143" s="23"/>
      <c r="Z143" s="23"/>
    </row>
    <row r="144" spans="1:26">
      <c r="A144" s="26" t="s">
        <v>890</v>
      </c>
      <c r="B144" s="26" t="s">
        <v>891</v>
      </c>
      <c r="C144" s="26" t="s">
        <v>162</v>
      </c>
      <c r="D144" s="27" t="s">
        <v>188</v>
      </c>
      <c r="E144" s="31" t="s">
        <v>849</v>
      </c>
      <c r="F144" s="23" t="s">
        <v>889</v>
      </c>
      <c r="G144" s="23"/>
      <c r="H144" s="23"/>
      <c r="I144" s="23"/>
      <c r="J144" s="23"/>
      <c r="K144" s="23"/>
      <c r="L144" s="23"/>
      <c r="M144" s="23"/>
      <c r="N144" s="23"/>
      <c r="O144" s="23"/>
      <c r="P144" s="23"/>
      <c r="Q144" s="23"/>
      <c r="R144" s="23"/>
      <c r="S144" s="23"/>
      <c r="T144" s="23"/>
      <c r="U144" s="23"/>
      <c r="V144" s="23"/>
      <c r="W144" s="23"/>
      <c r="X144" s="23"/>
      <c r="Y144" s="23"/>
      <c r="Z144" s="23"/>
    </row>
    <row r="145" spans="1:26">
      <c r="A145" s="26" t="s">
        <v>892</v>
      </c>
      <c r="B145" s="26" t="s">
        <v>893</v>
      </c>
      <c r="C145" s="26" t="s">
        <v>266</v>
      </c>
      <c r="D145" s="27" t="s">
        <v>188</v>
      </c>
      <c r="E145" s="31" t="s">
        <v>849</v>
      </c>
      <c r="F145" s="23" t="s">
        <v>889</v>
      </c>
      <c r="G145" s="23"/>
      <c r="H145" s="23"/>
      <c r="I145" s="23"/>
      <c r="J145" s="23"/>
      <c r="K145" s="23"/>
      <c r="L145" s="23"/>
      <c r="M145" s="23"/>
      <c r="N145" s="23"/>
      <c r="O145" s="23"/>
      <c r="P145" s="23"/>
      <c r="Q145" s="23"/>
      <c r="R145" s="23"/>
      <c r="S145" s="23"/>
      <c r="T145" s="23"/>
      <c r="U145" s="23"/>
      <c r="V145" s="23"/>
      <c r="W145" s="23"/>
      <c r="X145" s="23"/>
      <c r="Y145" s="23"/>
      <c r="Z145" s="23"/>
    </row>
    <row r="146" ht="28.5" customHeight="1" spans="1:26">
      <c r="A146" s="26" t="s">
        <v>312</v>
      </c>
      <c r="B146" s="26" t="s">
        <v>313</v>
      </c>
      <c r="C146" s="26" t="s">
        <v>162</v>
      </c>
      <c r="D146" s="27" t="s">
        <v>188</v>
      </c>
      <c r="E146" s="28" t="s">
        <v>847</v>
      </c>
      <c r="F146" s="23"/>
      <c r="G146" s="23"/>
      <c r="H146" s="23"/>
      <c r="I146" s="23"/>
      <c r="J146" s="23"/>
      <c r="K146" s="23"/>
      <c r="L146" s="23"/>
      <c r="M146" s="23"/>
      <c r="N146" s="23"/>
      <c r="O146" s="23"/>
      <c r="P146" s="23"/>
      <c r="Q146" s="23"/>
      <c r="R146" s="23"/>
      <c r="S146" s="23"/>
      <c r="T146" s="23"/>
      <c r="U146" s="23"/>
      <c r="V146" s="23"/>
      <c r="W146" s="23"/>
      <c r="X146" s="23"/>
      <c r="Y146" s="23"/>
      <c r="Z146" s="23"/>
    </row>
    <row r="147" spans="1:26">
      <c r="A147" s="26" t="s">
        <v>383</v>
      </c>
      <c r="B147" s="26" t="s">
        <v>384</v>
      </c>
      <c r="C147" s="26" t="s">
        <v>162</v>
      </c>
      <c r="D147" s="27" t="s">
        <v>188</v>
      </c>
      <c r="E147" s="28" t="s">
        <v>847</v>
      </c>
      <c r="F147" s="23"/>
      <c r="G147" s="23"/>
      <c r="H147" s="23"/>
      <c r="I147" s="23"/>
      <c r="J147" s="23"/>
      <c r="K147" s="23"/>
      <c r="L147" s="23"/>
      <c r="M147" s="23"/>
      <c r="N147" s="23"/>
      <c r="O147" s="23"/>
      <c r="P147" s="23"/>
      <c r="Q147" s="23"/>
      <c r="R147" s="23"/>
      <c r="S147" s="23"/>
      <c r="T147" s="23"/>
      <c r="U147" s="23"/>
      <c r="V147" s="23"/>
      <c r="W147" s="23"/>
      <c r="X147" s="23"/>
      <c r="Y147" s="23"/>
      <c r="Z147" s="23"/>
    </row>
    <row r="148" ht="28.5" customHeight="1" spans="1:26">
      <c r="A148" s="26" t="s">
        <v>359</v>
      </c>
      <c r="B148" s="26" t="s">
        <v>360</v>
      </c>
      <c r="C148" s="26" t="s">
        <v>162</v>
      </c>
      <c r="D148" s="27" t="s">
        <v>188</v>
      </c>
      <c r="E148" s="28" t="s">
        <v>847</v>
      </c>
      <c r="F148" s="23"/>
      <c r="G148" s="23"/>
      <c r="H148" s="23"/>
      <c r="I148" s="23"/>
      <c r="J148" s="23"/>
      <c r="K148" s="23"/>
      <c r="L148" s="23"/>
      <c r="M148" s="23"/>
      <c r="N148" s="23"/>
      <c r="O148" s="23"/>
      <c r="P148" s="23"/>
      <c r="Q148" s="23"/>
      <c r="R148" s="23"/>
      <c r="S148" s="23"/>
      <c r="T148" s="23"/>
      <c r="U148" s="23"/>
      <c r="V148" s="23"/>
      <c r="W148" s="23"/>
      <c r="X148" s="23"/>
      <c r="Y148" s="23"/>
      <c r="Z148" s="23"/>
    </row>
    <row r="149" spans="1:26">
      <c r="A149" s="26" t="s">
        <v>894</v>
      </c>
      <c r="B149" s="26" t="s">
        <v>895</v>
      </c>
      <c r="C149" s="26" t="s">
        <v>162</v>
      </c>
      <c r="D149" s="27" t="s">
        <v>188</v>
      </c>
      <c r="E149" s="31" t="s">
        <v>849</v>
      </c>
      <c r="F149" s="23" t="s">
        <v>896</v>
      </c>
      <c r="G149" s="23"/>
      <c r="H149" s="23"/>
      <c r="I149" s="23"/>
      <c r="J149" s="23"/>
      <c r="K149" s="23"/>
      <c r="L149" s="23"/>
      <c r="M149" s="23"/>
      <c r="N149" s="23"/>
      <c r="O149" s="23"/>
      <c r="P149" s="23"/>
      <c r="Q149" s="23"/>
      <c r="R149" s="23"/>
      <c r="S149" s="23"/>
      <c r="T149" s="23"/>
      <c r="U149" s="23"/>
      <c r="V149" s="23"/>
      <c r="W149" s="23"/>
      <c r="X149" s="23"/>
      <c r="Y149" s="23"/>
      <c r="Z149" s="23"/>
    </row>
    <row r="150" spans="1:26">
      <c r="A150" s="26" t="s">
        <v>372</v>
      </c>
      <c r="B150" s="26" t="s">
        <v>373</v>
      </c>
      <c r="C150" s="26" t="s">
        <v>162</v>
      </c>
      <c r="D150" s="27" t="s">
        <v>188</v>
      </c>
      <c r="E150" s="28" t="s">
        <v>847</v>
      </c>
      <c r="F150" s="23"/>
      <c r="G150" s="23"/>
      <c r="H150" s="23"/>
      <c r="I150" s="23"/>
      <c r="J150" s="23"/>
      <c r="K150" s="23"/>
      <c r="L150" s="23"/>
      <c r="M150" s="23"/>
      <c r="N150" s="23"/>
      <c r="O150" s="23"/>
      <c r="P150" s="23"/>
      <c r="Q150" s="23"/>
      <c r="R150" s="23"/>
      <c r="S150" s="23"/>
      <c r="T150" s="23"/>
      <c r="U150" s="23"/>
      <c r="V150" s="23"/>
      <c r="W150" s="23"/>
      <c r="X150" s="23"/>
      <c r="Y150" s="23"/>
      <c r="Z150" s="23"/>
    </row>
    <row r="151" ht="28.5" customHeight="1" spans="1:26">
      <c r="A151" s="26" t="s">
        <v>353</v>
      </c>
      <c r="B151" s="26" t="s">
        <v>897</v>
      </c>
      <c r="C151" s="26" t="s">
        <v>162</v>
      </c>
      <c r="D151" s="27" t="s">
        <v>188</v>
      </c>
      <c r="E151" s="28" t="s">
        <v>847</v>
      </c>
      <c r="F151" s="23"/>
      <c r="G151" s="23"/>
      <c r="H151" s="23"/>
      <c r="I151" s="23"/>
      <c r="J151" s="23"/>
      <c r="K151" s="23"/>
      <c r="L151" s="23"/>
      <c r="M151" s="23"/>
      <c r="N151" s="23"/>
      <c r="O151" s="23"/>
      <c r="P151" s="23"/>
      <c r="Q151" s="23"/>
      <c r="R151" s="23"/>
      <c r="S151" s="23"/>
      <c r="T151" s="23"/>
      <c r="U151" s="23"/>
      <c r="V151" s="23"/>
      <c r="W151" s="23"/>
      <c r="X151" s="23"/>
      <c r="Y151" s="23"/>
      <c r="Z151" s="23"/>
    </row>
    <row r="152" ht="28.5" customHeight="1" spans="1:26">
      <c r="A152" s="26" t="s">
        <v>395</v>
      </c>
      <c r="B152" s="26" t="s">
        <v>396</v>
      </c>
      <c r="C152" s="26" t="s">
        <v>162</v>
      </c>
      <c r="D152" s="27" t="s">
        <v>188</v>
      </c>
      <c r="E152" s="28" t="s">
        <v>847</v>
      </c>
      <c r="F152" s="23"/>
      <c r="G152" s="23"/>
      <c r="H152" s="23"/>
      <c r="I152" s="23"/>
      <c r="J152" s="23"/>
      <c r="K152" s="23"/>
      <c r="L152" s="23"/>
      <c r="M152" s="23"/>
      <c r="N152" s="23"/>
      <c r="O152" s="23"/>
      <c r="P152" s="23"/>
      <c r="Q152" s="23"/>
      <c r="R152" s="23"/>
      <c r="S152" s="23"/>
      <c r="T152" s="23"/>
      <c r="U152" s="23"/>
      <c r="V152" s="23"/>
      <c r="W152" s="23"/>
      <c r="X152" s="23"/>
      <c r="Y152" s="23"/>
      <c r="Z152" s="23"/>
    </row>
    <row r="153" ht="57.75" customHeight="1" spans="1:26">
      <c r="A153" s="26" t="s">
        <v>398</v>
      </c>
      <c r="B153" s="26" t="s">
        <v>399</v>
      </c>
      <c r="C153" s="26" t="s">
        <v>162</v>
      </c>
      <c r="D153" s="27" t="s">
        <v>188</v>
      </c>
      <c r="E153" s="28" t="s">
        <v>847</v>
      </c>
      <c r="F153" s="23"/>
      <c r="G153" s="23"/>
      <c r="H153" s="23"/>
      <c r="I153" s="23"/>
      <c r="J153" s="23"/>
      <c r="K153" s="23"/>
      <c r="L153" s="23"/>
      <c r="M153" s="23"/>
      <c r="N153" s="23"/>
      <c r="O153" s="23"/>
      <c r="P153" s="23"/>
      <c r="Q153" s="23"/>
      <c r="R153" s="23"/>
      <c r="S153" s="23"/>
      <c r="T153" s="23"/>
      <c r="U153" s="23"/>
      <c r="V153" s="23"/>
      <c r="W153" s="23"/>
      <c r="X153" s="23"/>
      <c r="Y153" s="23"/>
      <c r="Z153" s="23"/>
    </row>
    <row r="154" spans="1:26">
      <c r="A154" s="26" t="s">
        <v>348</v>
      </c>
      <c r="B154" s="26" t="s">
        <v>349</v>
      </c>
      <c r="C154" s="26" t="s">
        <v>162</v>
      </c>
      <c r="D154" s="27" t="s">
        <v>188</v>
      </c>
      <c r="E154" s="28" t="s">
        <v>847</v>
      </c>
      <c r="F154" s="23"/>
      <c r="G154" s="23"/>
      <c r="H154" s="23"/>
      <c r="I154" s="23"/>
      <c r="J154" s="23"/>
      <c r="K154" s="23"/>
      <c r="L154" s="23"/>
      <c r="M154" s="23"/>
      <c r="N154" s="23"/>
      <c r="O154" s="23"/>
      <c r="P154" s="23"/>
      <c r="Q154" s="23"/>
      <c r="R154" s="23"/>
      <c r="S154" s="23"/>
      <c r="T154" s="23"/>
      <c r="U154" s="23"/>
      <c r="V154" s="23"/>
      <c r="W154" s="23"/>
      <c r="X154" s="23"/>
      <c r="Y154" s="23"/>
      <c r="Z154" s="23"/>
    </row>
    <row r="155" ht="43.5" customHeight="1" spans="1:26">
      <c r="A155" s="26" t="s">
        <v>380</v>
      </c>
      <c r="B155" s="26" t="s">
        <v>381</v>
      </c>
      <c r="C155" s="26" t="s">
        <v>162</v>
      </c>
      <c r="D155" s="27" t="s">
        <v>188</v>
      </c>
      <c r="E155" s="32" t="s">
        <v>884</v>
      </c>
      <c r="F155" s="23"/>
      <c r="G155" s="23"/>
      <c r="H155" s="23"/>
      <c r="I155" s="23"/>
      <c r="J155" s="23"/>
      <c r="K155" s="23"/>
      <c r="L155" s="23"/>
      <c r="M155" s="23"/>
      <c r="N155" s="23"/>
      <c r="O155" s="23"/>
      <c r="P155" s="23"/>
      <c r="Q155" s="23"/>
      <c r="R155" s="23"/>
      <c r="S155" s="23"/>
      <c r="T155" s="23"/>
      <c r="U155" s="23"/>
      <c r="V155" s="23"/>
      <c r="W155" s="23"/>
      <c r="X155" s="23"/>
      <c r="Y155" s="23"/>
      <c r="Z155" s="23"/>
    </row>
    <row r="156" ht="28.5" customHeight="1" spans="1:26">
      <c r="A156" s="26" t="s">
        <v>351</v>
      </c>
      <c r="B156" s="26" t="s">
        <v>352</v>
      </c>
      <c r="C156" s="26" t="s">
        <v>162</v>
      </c>
      <c r="D156" s="27" t="s">
        <v>188</v>
      </c>
      <c r="E156" s="28" t="s">
        <v>847</v>
      </c>
      <c r="F156" s="23"/>
      <c r="G156" s="23"/>
      <c r="H156" s="23"/>
      <c r="I156" s="23"/>
      <c r="J156" s="23"/>
      <c r="K156" s="23"/>
      <c r="L156" s="23"/>
      <c r="M156" s="23"/>
      <c r="N156" s="23"/>
      <c r="O156" s="23"/>
      <c r="P156" s="23"/>
      <c r="Q156" s="23"/>
      <c r="R156" s="23"/>
      <c r="S156" s="23"/>
      <c r="T156" s="23"/>
      <c r="U156" s="23"/>
      <c r="V156" s="23"/>
      <c r="W156" s="23"/>
      <c r="X156" s="23"/>
      <c r="Y156" s="23"/>
      <c r="Z156" s="23"/>
    </row>
    <row r="157" spans="1:26">
      <c r="A157" s="26" t="s">
        <v>344</v>
      </c>
      <c r="B157" s="26" t="s">
        <v>345</v>
      </c>
      <c r="C157" s="26" t="s">
        <v>162</v>
      </c>
      <c r="D157" s="27" t="s">
        <v>188</v>
      </c>
      <c r="E157" s="28" t="s">
        <v>847</v>
      </c>
      <c r="F157" s="23"/>
      <c r="G157" s="23"/>
      <c r="H157" s="23"/>
      <c r="I157" s="23"/>
      <c r="J157" s="23"/>
      <c r="K157" s="23"/>
      <c r="L157" s="23"/>
      <c r="M157" s="23"/>
      <c r="N157" s="23"/>
      <c r="O157" s="23"/>
      <c r="P157" s="23"/>
      <c r="Q157" s="23"/>
      <c r="R157" s="23"/>
      <c r="S157" s="23"/>
      <c r="T157" s="23"/>
      <c r="U157" s="23"/>
      <c r="V157" s="23"/>
      <c r="W157" s="23"/>
      <c r="X157" s="23"/>
      <c r="Y157" s="23"/>
      <c r="Z157" s="23"/>
    </row>
    <row r="158" spans="1:26">
      <c r="A158" s="26" t="s">
        <v>697</v>
      </c>
      <c r="B158" s="26" t="s">
        <v>698</v>
      </c>
      <c r="C158" s="26" t="s">
        <v>162</v>
      </c>
      <c r="D158" s="27" t="s">
        <v>188</v>
      </c>
      <c r="E158" s="28" t="s">
        <v>847</v>
      </c>
      <c r="F158" s="33"/>
      <c r="G158" s="33"/>
      <c r="H158" s="33"/>
      <c r="I158" s="33"/>
      <c r="J158" s="33"/>
      <c r="K158" s="33"/>
      <c r="L158" s="33"/>
      <c r="M158" s="33"/>
      <c r="N158" s="33"/>
      <c r="O158" s="33"/>
      <c r="P158" s="33"/>
      <c r="Q158" s="33"/>
      <c r="R158" s="33"/>
      <c r="S158" s="33"/>
      <c r="T158" s="33"/>
      <c r="U158" s="33"/>
      <c r="V158" s="33"/>
      <c r="W158" s="33"/>
      <c r="X158" s="33"/>
      <c r="Y158" s="33"/>
      <c r="Z158" s="33"/>
    </row>
    <row r="159" spans="1:26">
      <c r="A159" s="26" t="s">
        <v>355</v>
      </c>
      <c r="B159" s="26" t="s">
        <v>356</v>
      </c>
      <c r="C159" s="26" t="s">
        <v>162</v>
      </c>
      <c r="D159" s="27" t="s">
        <v>188</v>
      </c>
      <c r="E159" s="28" t="s">
        <v>847</v>
      </c>
      <c r="F159" s="23"/>
      <c r="G159" s="23"/>
      <c r="H159" s="23"/>
      <c r="I159" s="23"/>
      <c r="J159" s="23"/>
      <c r="K159" s="23"/>
      <c r="L159" s="23"/>
      <c r="M159" s="23"/>
      <c r="N159" s="23"/>
      <c r="O159" s="23"/>
      <c r="P159" s="23"/>
      <c r="Q159" s="23"/>
      <c r="R159" s="23"/>
      <c r="S159" s="23"/>
      <c r="T159" s="23"/>
      <c r="U159" s="23"/>
      <c r="V159" s="23"/>
      <c r="W159" s="23"/>
      <c r="X159" s="23"/>
      <c r="Y159" s="23"/>
      <c r="Z159" s="23"/>
    </row>
    <row r="160" ht="14.25" customHeight="1" spans="1:26">
      <c r="A160" s="34"/>
      <c r="B160" s="35"/>
      <c r="C160" s="35"/>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4.25" customHeight="1" spans="1:26">
      <c r="A161" s="34"/>
      <c r="B161" s="35"/>
      <c r="C161" s="35"/>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4.25" customHeight="1" spans="1:26">
      <c r="A162" s="34"/>
      <c r="B162" s="35"/>
      <c r="C162" s="35"/>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4.25" customHeight="1" spans="1:26">
      <c r="A163" s="34"/>
      <c r="B163" s="35"/>
      <c r="C163" s="35"/>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4.25" customHeight="1" spans="1:26">
      <c r="A164" s="34"/>
      <c r="B164" s="35"/>
      <c r="C164" s="35"/>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4.25" customHeight="1" spans="1:26">
      <c r="A165" s="34"/>
      <c r="B165" s="35"/>
      <c r="C165" s="35"/>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4.25" customHeight="1" spans="1:26">
      <c r="A166" s="34"/>
      <c r="B166" s="35"/>
      <c r="C166" s="35"/>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4.25" customHeight="1" spans="1:26">
      <c r="A167" s="34"/>
      <c r="B167" s="35"/>
      <c r="C167" s="35"/>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4.25" customHeight="1" spans="1:26">
      <c r="A168" s="34"/>
      <c r="B168" s="35"/>
      <c r="C168" s="35"/>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4.25" customHeight="1" spans="1:26">
      <c r="A169" s="34"/>
      <c r="B169" s="35"/>
      <c r="C169" s="35"/>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4.25" customHeight="1" spans="1:26">
      <c r="A170" s="34"/>
      <c r="B170" s="35"/>
      <c r="C170" s="35"/>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4.25" customHeight="1" spans="1:26">
      <c r="A171" s="34"/>
      <c r="B171" s="35"/>
      <c r="C171" s="35"/>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4.25" customHeight="1" spans="1:26">
      <c r="A172" s="34"/>
      <c r="B172" s="35"/>
      <c r="C172" s="35"/>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4.25" customHeight="1" spans="1:26">
      <c r="A173" s="34"/>
      <c r="B173" s="35"/>
      <c r="C173" s="35"/>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4.25" customHeight="1" spans="1:26">
      <c r="A174" s="34"/>
      <c r="B174" s="35"/>
      <c r="C174" s="35"/>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4.25" customHeight="1" spans="1:26">
      <c r="A175" s="34"/>
      <c r="B175" s="35"/>
      <c r="C175" s="35"/>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4.25" customHeight="1" spans="1:26">
      <c r="A176" s="34"/>
      <c r="B176" s="35"/>
      <c r="C176" s="35"/>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4.25" customHeight="1" spans="1:26">
      <c r="A177" s="34"/>
      <c r="B177" s="35"/>
      <c r="C177" s="35"/>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4.25" customHeight="1" spans="1:26">
      <c r="A178" s="34"/>
      <c r="B178" s="35"/>
      <c r="C178" s="35"/>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4.25" customHeight="1" spans="1:26">
      <c r="A179" s="34"/>
      <c r="B179" s="35"/>
      <c r="C179" s="35"/>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4.25" customHeight="1" spans="1:26">
      <c r="A180" s="34"/>
      <c r="B180" s="35"/>
      <c r="C180" s="35"/>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4.25" customHeight="1" spans="1:26">
      <c r="A181" s="34"/>
      <c r="B181" s="35"/>
      <c r="C181" s="35"/>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4.25" customHeight="1" spans="1:26">
      <c r="A182" s="34"/>
      <c r="B182" s="35"/>
      <c r="C182" s="35"/>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4.25" customHeight="1" spans="1:26">
      <c r="A183" s="34"/>
      <c r="B183" s="35"/>
      <c r="C183" s="35"/>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4.25" customHeight="1" spans="1:26">
      <c r="A184" s="34"/>
      <c r="B184" s="35"/>
      <c r="C184" s="35"/>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4.25" customHeight="1" spans="1:26">
      <c r="A185" s="34"/>
      <c r="B185" s="35"/>
      <c r="C185" s="35"/>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4.25" customHeight="1" spans="1:26">
      <c r="A186" s="34"/>
      <c r="B186" s="35"/>
      <c r="C186" s="35"/>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4.25" customHeight="1" spans="1:26">
      <c r="A187" s="34"/>
      <c r="B187" s="35"/>
      <c r="C187" s="35"/>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4.25" customHeight="1" spans="1:26">
      <c r="A188" s="34"/>
      <c r="B188" s="35"/>
      <c r="C188" s="35"/>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spans="1:26">
      <c r="A189" s="34"/>
      <c r="B189" s="35"/>
      <c r="C189" s="35"/>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spans="1:26">
      <c r="A190" s="34"/>
      <c r="B190" s="35"/>
      <c r="C190" s="35"/>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4.25" customHeight="1" spans="1:26">
      <c r="A191" s="34"/>
      <c r="B191" s="35"/>
      <c r="C191" s="35"/>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4.25" customHeight="1" spans="1:26">
      <c r="A192" s="34"/>
      <c r="B192" s="35"/>
      <c r="C192" s="35"/>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4.25" customHeight="1" spans="1:26">
      <c r="A193" s="34"/>
      <c r="B193" s="35"/>
      <c r="C193" s="35"/>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4.25" customHeight="1" spans="1:26">
      <c r="A194" s="34"/>
      <c r="B194" s="35"/>
      <c r="C194" s="35"/>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4.25" customHeight="1" spans="1:26">
      <c r="A195" s="34"/>
      <c r="B195" s="35"/>
      <c r="C195" s="35"/>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4.25" customHeight="1" spans="1:26">
      <c r="A196" s="34"/>
      <c r="B196" s="35"/>
      <c r="C196" s="35"/>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spans="1:26">
      <c r="A197" s="34"/>
      <c r="B197" s="35"/>
      <c r="C197" s="35"/>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spans="1:26">
      <c r="A198" s="34"/>
      <c r="B198" s="35"/>
      <c r="C198" s="35"/>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4.25" customHeight="1" spans="1:26">
      <c r="A199" s="34"/>
      <c r="B199" s="35"/>
      <c r="C199" s="35"/>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spans="1:26">
      <c r="A200" s="34"/>
      <c r="B200" s="35"/>
      <c r="C200" s="35"/>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spans="1:26">
      <c r="A201" s="34"/>
      <c r="B201" s="35"/>
      <c r="C201" s="35"/>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4.25" customHeight="1" spans="1:26">
      <c r="A202" s="34"/>
      <c r="B202" s="35"/>
      <c r="C202" s="35"/>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4.25" customHeight="1" spans="1:26">
      <c r="A203" s="34"/>
      <c r="B203" s="35"/>
      <c r="C203" s="35"/>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4.25" customHeight="1" spans="1:26">
      <c r="A204" s="34"/>
      <c r="B204" s="35"/>
      <c r="C204" s="35"/>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4.25" customHeight="1" spans="1:26">
      <c r="A205" s="34"/>
      <c r="B205" s="35"/>
      <c r="C205" s="35"/>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4.25" customHeight="1" spans="1:26">
      <c r="A206" s="34"/>
      <c r="B206" s="35"/>
      <c r="C206" s="35"/>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4.25" customHeight="1" spans="1:26">
      <c r="A207" s="34"/>
      <c r="B207" s="35"/>
      <c r="C207" s="35"/>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4.25" customHeight="1" spans="1:26">
      <c r="A208" s="34"/>
      <c r="B208" s="35"/>
      <c r="C208" s="35"/>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4.25" customHeight="1" spans="1:26">
      <c r="A209" s="34"/>
      <c r="B209" s="35"/>
      <c r="C209" s="35"/>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4.25" customHeight="1" spans="1:26">
      <c r="A210" s="34"/>
      <c r="B210" s="35"/>
      <c r="C210" s="35"/>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4.25" customHeight="1" spans="1:26">
      <c r="A211" s="34"/>
      <c r="B211" s="35"/>
      <c r="C211" s="35"/>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4.25" customHeight="1" spans="1:26">
      <c r="A212" s="34"/>
      <c r="B212" s="35"/>
      <c r="C212" s="35"/>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spans="1:26">
      <c r="A213" s="34"/>
      <c r="B213" s="35"/>
      <c r="C213" s="35"/>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4.25" customHeight="1" spans="1:26">
      <c r="A214" s="34"/>
      <c r="B214" s="35"/>
      <c r="C214" s="35"/>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4.25" customHeight="1" spans="1:26">
      <c r="A215" s="34"/>
      <c r="B215" s="35"/>
      <c r="C215" s="35"/>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4.25" customHeight="1" spans="1:26">
      <c r="A216" s="34"/>
      <c r="B216" s="35"/>
      <c r="C216" s="35"/>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4.25" customHeight="1" spans="1:26">
      <c r="A217" s="34"/>
      <c r="B217" s="35"/>
      <c r="C217" s="35"/>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4.25" customHeight="1" spans="1:26">
      <c r="A218" s="34"/>
      <c r="B218" s="35"/>
      <c r="C218" s="35"/>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4.25" customHeight="1" spans="1:26">
      <c r="A219" s="34"/>
      <c r="B219" s="35"/>
      <c r="C219" s="35"/>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4.25" customHeight="1" spans="1:26">
      <c r="A220" s="34"/>
      <c r="B220" s="35"/>
      <c r="C220" s="35"/>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4.25" customHeight="1" spans="1:26">
      <c r="A221" s="34"/>
      <c r="B221" s="35"/>
      <c r="C221" s="35"/>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4.25" customHeight="1" spans="1:26">
      <c r="A222" s="34"/>
      <c r="B222" s="35"/>
      <c r="C222" s="35"/>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4.25" customHeight="1" spans="1:26">
      <c r="A223" s="34"/>
      <c r="B223" s="35"/>
      <c r="C223" s="35"/>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4.25" customHeight="1" spans="1:26">
      <c r="A224" s="34"/>
      <c r="B224" s="35"/>
      <c r="C224" s="35"/>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4.25" customHeight="1" spans="1:26">
      <c r="A225" s="34"/>
      <c r="B225" s="35"/>
      <c r="C225" s="35"/>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4.25" customHeight="1" spans="1:26">
      <c r="A226" s="34"/>
      <c r="B226" s="35"/>
      <c r="C226" s="35"/>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4.25" customHeight="1" spans="1:26">
      <c r="A227" s="34"/>
      <c r="B227" s="35"/>
      <c r="C227" s="35"/>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4.25" customHeight="1" spans="1:26">
      <c r="A228" s="34"/>
      <c r="B228" s="35"/>
      <c r="C228" s="35"/>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4.25" customHeight="1" spans="1:26">
      <c r="A229" s="34"/>
      <c r="B229" s="35"/>
      <c r="C229" s="35"/>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4.25" customHeight="1" spans="1:26">
      <c r="A230" s="34"/>
      <c r="B230" s="35"/>
      <c r="C230" s="35"/>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4.25" customHeight="1" spans="1:26">
      <c r="A231" s="34"/>
      <c r="B231" s="35"/>
      <c r="C231" s="35"/>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4.25" customHeight="1" spans="1:26">
      <c r="A232" s="34"/>
      <c r="B232" s="35"/>
      <c r="C232" s="35"/>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4.25" customHeight="1" spans="1:26">
      <c r="A233" s="34"/>
      <c r="B233" s="35"/>
      <c r="C233" s="35"/>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4.25" customHeight="1" spans="1:26">
      <c r="A234" s="34"/>
      <c r="B234" s="35"/>
      <c r="C234" s="35"/>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4.25" customHeight="1" spans="1:26">
      <c r="A235" s="34"/>
      <c r="B235" s="35"/>
      <c r="C235" s="35"/>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4.25" customHeight="1" spans="1:26">
      <c r="A236" s="34"/>
      <c r="B236" s="35"/>
      <c r="C236" s="35"/>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4.25" customHeight="1" spans="1:26">
      <c r="A237" s="34"/>
      <c r="B237" s="35"/>
      <c r="C237" s="35"/>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4.25" customHeight="1" spans="1:26">
      <c r="A238" s="34"/>
      <c r="B238" s="35"/>
      <c r="C238" s="35"/>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4.25" customHeight="1" spans="1:26">
      <c r="A239" s="34"/>
      <c r="B239" s="35"/>
      <c r="C239" s="35"/>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4.25" customHeight="1" spans="1:26">
      <c r="A240" s="34"/>
      <c r="B240" s="35"/>
      <c r="C240" s="35"/>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4.25" customHeight="1" spans="1:26">
      <c r="A241" s="34"/>
      <c r="B241" s="35"/>
      <c r="C241" s="35"/>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4.25" customHeight="1" spans="1:26">
      <c r="A242" s="34"/>
      <c r="B242" s="35"/>
      <c r="C242" s="35"/>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4.25" customHeight="1" spans="1:26">
      <c r="A243" s="34"/>
      <c r="B243" s="35"/>
      <c r="C243" s="35"/>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4.25" customHeight="1" spans="1:26">
      <c r="A244" s="34"/>
      <c r="B244" s="35"/>
      <c r="C244" s="35"/>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4.25" customHeight="1" spans="1:26">
      <c r="A245" s="34"/>
      <c r="B245" s="35"/>
      <c r="C245" s="35"/>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4.25" customHeight="1" spans="1:26">
      <c r="A246" s="34"/>
      <c r="B246" s="35"/>
      <c r="C246" s="35"/>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4.25" customHeight="1" spans="1:26">
      <c r="A247" s="34"/>
      <c r="B247" s="35"/>
      <c r="C247" s="35"/>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4.25" customHeight="1" spans="1:26">
      <c r="A248" s="34"/>
      <c r="B248" s="35"/>
      <c r="C248" s="35"/>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4.25" customHeight="1" spans="1:26">
      <c r="A249" s="34"/>
      <c r="B249" s="35"/>
      <c r="C249" s="35"/>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4.25" customHeight="1" spans="1:26">
      <c r="A250" s="34"/>
      <c r="B250" s="35"/>
      <c r="C250" s="35"/>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4.25" customHeight="1" spans="1:26">
      <c r="A251" s="34"/>
      <c r="B251" s="35"/>
      <c r="C251" s="35"/>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4.25" customHeight="1" spans="1:26">
      <c r="A252" s="34"/>
      <c r="B252" s="35"/>
      <c r="C252" s="35"/>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spans="1:26">
      <c r="A253" s="34"/>
      <c r="B253" s="35"/>
      <c r="C253" s="35"/>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spans="1:26">
      <c r="A254" s="34"/>
      <c r="B254" s="35"/>
      <c r="C254" s="35"/>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spans="1:26">
      <c r="A255" s="34"/>
      <c r="B255" s="35"/>
      <c r="C255" s="35"/>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4.25" customHeight="1" spans="1:26">
      <c r="A256" s="34"/>
      <c r="B256" s="35"/>
      <c r="C256" s="35"/>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4.25" customHeight="1" spans="1:26">
      <c r="A257" s="34"/>
      <c r="B257" s="35"/>
      <c r="C257" s="35"/>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4.25" customHeight="1" spans="1:26">
      <c r="A258" s="34"/>
      <c r="B258" s="35"/>
      <c r="C258" s="35"/>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4.25" customHeight="1" spans="1:26">
      <c r="A259" s="34"/>
      <c r="B259" s="35"/>
      <c r="C259" s="35"/>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4.25" customHeight="1" spans="1:26">
      <c r="A260" s="34"/>
      <c r="B260" s="35"/>
      <c r="C260" s="35"/>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4.25" customHeight="1" spans="1:26">
      <c r="A261" s="34"/>
      <c r="B261" s="35"/>
      <c r="C261" s="35"/>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4.25" customHeight="1" spans="1:26">
      <c r="A262" s="34"/>
      <c r="B262" s="35"/>
      <c r="C262" s="35"/>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4.25" customHeight="1" spans="1:26">
      <c r="A263" s="34"/>
      <c r="B263" s="35"/>
      <c r="C263" s="35"/>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4.25" customHeight="1" spans="1:26">
      <c r="A264" s="34"/>
      <c r="B264" s="35"/>
      <c r="C264" s="35"/>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4.25" customHeight="1" spans="1:26">
      <c r="A265" s="34"/>
      <c r="B265" s="35"/>
      <c r="C265" s="35"/>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4.25" customHeight="1" spans="1:26">
      <c r="A266" s="34"/>
      <c r="B266" s="35"/>
      <c r="C266" s="35"/>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4.25" customHeight="1" spans="1:26">
      <c r="A267" s="34"/>
      <c r="B267" s="35"/>
      <c r="C267" s="35"/>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4.25" customHeight="1" spans="1:26">
      <c r="A268" s="34"/>
      <c r="B268" s="35"/>
      <c r="C268" s="35"/>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4.25" customHeight="1" spans="1:26">
      <c r="A269" s="34"/>
      <c r="B269" s="35"/>
      <c r="C269" s="35"/>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4.25" customHeight="1" spans="1:26">
      <c r="A270" s="34"/>
      <c r="B270" s="35"/>
      <c r="C270" s="35"/>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4.25" customHeight="1" spans="1:26">
      <c r="A271" s="34"/>
      <c r="B271" s="35"/>
      <c r="C271" s="35"/>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4.25" customHeight="1" spans="1:26">
      <c r="A272" s="34"/>
      <c r="B272" s="35"/>
      <c r="C272" s="35"/>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4.25" customHeight="1" spans="1:26">
      <c r="A273" s="34"/>
      <c r="B273" s="35"/>
      <c r="C273" s="35"/>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4.25" customHeight="1" spans="1:26">
      <c r="A274" s="34"/>
      <c r="B274" s="35"/>
      <c r="C274" s="35"/>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4.25" customHeight="1" spans="1:26">
      <c r="A275" s="34"/>
      <c r="B275" s="35"/>
      <c r="C275" s="35"/>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4.25" customHeight="1" spans="1:26">
      <c r="A276" s="34"/>
      <c r="B276" s="35"/>
      <c r="C276" s="35"/>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4.25" customHeight="1" spans="1:26">
      <c r="A277" s="34"/>
      <c r="B277" s="35"/>
      <c r="C277" s="35"/>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4.25" customHeight="1" spans="1:26">
      <c r="A278" s="34"/>
      <c r="B278" s="35"/>
      <c r="C278" s="35"/>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4.25" customHeight="1" spans="1:26">
      <c r="A279" s="34"/>
      <c r="B279" s="35"/>
      <c r="C279" s="35"/>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4.25" customHeight="1" spans="1:26">
      <c r="A280" s="34"/>
      <c r="B280" s="35"/>
      <c r="C280" s="35"/>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4.25" customHeight="1" spans="1:26">
      <c r="A281" s="34"/>
      <c r="B281" s="35"/>
      <c r="C281" s="35"/>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4.25" customHeight="1" spans="1:26">
      <c r="A282" s="34"/>
      <c r="B282" s="35"/>
      <c r="C282" s="35"/>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4.25" customHeight="1" spans="1:26">
      <c r="A283" s="34"/>
      <c r="B283" s="35"/>
      <c r="C283" s="35"/>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4.25" customHeight="1" spans="1:26">
      <c r="A284" s="34"/>
      <c r="B284" s="35"/>
      <c r="C284" s="35"/>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4.25" customHeight="1" spans="1:26">
      <c r="A285" s="34"/>
      <c r="B285" s="35"/>
      <c r="C285" s="35"/>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4.25" customHeight="1" spans="1:26">
      <c r="A286" s="34"/>
      <c r="B286" s="35"/>
      <c r="C286" s="35"/>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4.25" customHeight="1" spans="1:26">
      <c r="A287" s="34"/>
      <c r="B287" s="35"/>
      <c r="C287" s="35"/>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4.25" customHeight="1" spans="1:26">
      <c r="A288" s="34"/>
      <c r="B288" s="35"/>
      <c r="C288" s="35"/>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4.25" customHeight="1" spans="1:26">
      <c r="A289" s="34"/>
      <c r="B289" s="35"/>
      <c r="C289" s="35"/>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4.25" customHeight="1" spans="1:26">
      <c r="A290" s="34"/>
      <c r="B290" s="35"/>
      <c r="C290" s="35"/>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4.25" customHeight="1" spans="1:26">
      <c r="A291" s="34"/>
      <c r="B291" s="35"/>
      <c r="C291" s="35"/>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4.25" customHeight="1" spans="1:26">
      <c r="A292" s="34"/>
      <c r="B292" s="35"/>
      <c r="C292" s="35"/>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4.25" customHeight="1" spans="1:26">
      <c r="A293" s="34"/>
      <c r="B293" s="35"/>
      <c r="C293" s="35"/>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4.25" customHeight="1" spans="1:26">
      <c r="A294" s="34"/>
      <c r="B294" s="35"/>
      <c r="C294" s="35"/>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4.25" customHeight="1" spans="1:26">
      <c r="A295" s="34"/>
      <c r="B295" s="35"/>
      <c r="C295" s="35"/>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4.25" customHeight="1" spans="1:26">
      <c r="A296" s="34"/>
      <c r="B296" s="35"/>
      <c r="C296" s="35"/>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4.25" customHeight="1" spans="1:26">
      <c r="A297" s="34"/>
      <c r="B297" s="35"/>
      <c r="C297" s="35"/>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4.25" customHeight="1" spans="1:26">
      <c r="A298" s="34"/>
      <c r="B298" s="35"/>
      <c r="C298" s="35"/>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4.25" customHeight="1" spans="1:26">
      <c r="A299" s="34"/>
      <c r="B299" s="35"/>
      <c r="C299" s="35"/>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4.25" customHeight="1" spans="1:26">
      <c r="A300" s="34"/>
      <c r="B300" s="35"/>
      <c r="C300" s="35"/>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4.25" customHeight="1" spans="1:26">
      <c r="A301" s="34"/>
      <c r="B301" s="35"/>
      <c r="C301" s="35"/>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4.25" customHeight="1" spans="1:26">
      <c r="A302" s="34"/>
      <c r="B302" s="35"/>
      <c r="C302" s="35"/>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4.25" customHeight="1" spans="1:26">
      <c r="A303" s="34"/>
      <c r="B303" s="35"/>
      <c r="C303" s="35"/>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4.25" customHeight="1" spans="1:26">
      <c r="A304" s="34"/>
      <c r="B304" s="35"/>
      <c r="C304" s="35"/>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4.25" customHeight="1" spans="1:26">
      <c r="A305" s="34"/>
      <c r="B305" s="35"/>
      <c r="C305" s="35"/>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4.25" customHeight="1" spans="1:26">
      <c r="A306" s="34"/>
      <c r="B306" s="35"/>
      <c r="C306" s="35"/>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4.25" customHeight="1" spans="1:26">
      <c r="A307" s="34"/>
      <c r="B307" s="35"/>
      <c r="C307" s="35"/>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4.25" customHeight="1" spans="1:26">
      <c r="A308" s="34"/>
      <c r="B308" s="35"/>
      <c r="C308" s="35"/>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4.25" customHeight="1" spans="1:26">
      <c r="A309" s="34"/>
      <c r="B309" s="35"/>
      <c r="C309" s="35"/>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spans="1:26">
      <c r="A310" s="34"/>
      <c r="B310" s="35"/>
      <c r="C310" s="35"/>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spans="1:26">
      <c r="A311" s="34"/>
      <c r="B311" s="35"/>
      <c r="C311" s="35"/>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4.25" customHeight="1" spans="1:26">
      <c r="A312" s="34"/>
      <c r="B312" s="35"/>
      <c r="C312" s="35"/>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4.25" customHeight="1" spans="1:26">
      <c r="A313" s="34"/>
      <c r="B313" s="35"/>
      <c r="C313" s="35"/>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4.25" customHeight="1" spans="1:26">
      <c r="A314" s="34"/>
      <c r="B314" s="35"/>
      <c r="C314" s="35"/>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4.25" customHeight="1" spans="1:26">
      <c r="A315" s="34"/>
      <c r="B315" s="35"/>
      <c r="C315" s="35"/>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4.25" customHeight="1" spans="1:26">
      <c r="A316" s="34"/>
      <c r="B316" s="35"/>
      <c r="C316" s="35"/>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4.25" customHeight="1" spans="1:26">
      <c r="A317" s="34"/>
      <c r="B317" s="35"/>
      <c r="C317" s="35"/>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4.25" customHeight="1" spans="1:26">
      <c r="A318" s="34"/>
      <c r="B318" s="35"/>
      <c r="C318" s="35"/>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4.25" customHeight="1" spans="1:26">
      <c r="A319" s="34"/>
      <c r="B319" s="35"/>
      <c r="C319" s="35"/>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4.25" customHeight="1" spans="1:26">
      <c r="A320" s="34"/>
      <c r="B320" s="35"/>
      <c r="C320" s="35"/>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4.25" customHeight="1" spans="1:26">
      <c r="A321" s="34"/>
      <c r="B321" s="35"/>
      <c r="C321" s="35"/>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4.25" customHeight="1" spans="1:26">
      <c r="A322" s="34"/>
      <c r="B322" s="35"/>
      <c r="C322" s="35"/>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4.25" customHeight="1" spans="1:26">
      <c r="A323" s="34"/>
      <c r="B323" s="35"/>
      <c r="C323" s="35"/>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4.25" customHeight="1" spans="1:26">
      <c r="A324" s="34"/>
      <c r="B324" s="35"/>
      <c r="C324" s="35"/>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4.25" customHeight="1" spans="1:26">
      <c r="A325" s="34"/>
      <c r="B325" s="35"/>
      <c r="C325" s="35"/>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4.25" customHeight="1" spans="1:26">
      <c r="A326" s="34"/>
      <c r="B326" s="35"/>
      <c r="C326" s="35"/>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4.25" customHeight="1" spans="1:26">
      <c r="A327" s="34"/>
      <c r="B327" s="35"/>
      <c r="C327" s="35"/>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4.25" customHeight="1" spans="1:26">
      <c r="A328" s="34"/>
      <c r="B328" s="35"/>
      <c r="C328" s="35"/>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4.25" customHeight="1" spans="1:26">
      <c r="A329" s="34"/>
      <c r="B329" s="35"/>
      <c r="C329" s="35"/>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4.25" customHeight="1" spans="1:26">
      <c r="A330" s="34"/>
      <c r="B330" s="35"/>
      <c r="C330" s="35"/>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4.25" customHeight="1" spans="1:26">
      <c r="A331" s="34"/>
      <c r="B331" s="35"/>
      <c r="C331" s="35"/>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4.25" customHeight="1" spans="1:26">
      <c r="A332" s="34"/>
      <c r="B332" s="35"/>
      <c r="C332" s="35"/>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4.25" customHeight="1" spans="1:26">
      <c r="A333" s="34"/>
      <c r="B333" s="35"/>
      <c r="C333" s="35"/>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4.25" customHeight="1" spans="1:26">
      <c r="A334" s="34"/>
      <c r="B334" s="35"/>
      <c r="C334" s="35"/>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4.25" customHeight="1" spans="1:26">
      <c r="A335" s="34"/>
      <c r="B335" s="35"/>
      <c r="C335" s="35"/>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4.25" customHeight="1" spans="1:26">
      <c r="A336" s="34"/>
      <c r="B336" s="35"/>
      <c r="C336" s="35"/>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4.25" customHeight="1" spans="1:26">
      <c r="A337" s="34"/>
      <c r="B337" s="35"/>
      <c r="C337" s="35"/>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4.25" customHeight="1" spans="1:26">
      <c r="A338" s="34"/>
      <c r="B338" s="35"/>
      <c r="C338" s="35"/>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4.25" customHeight="1" spans="1:26">
      <c r="A339" s="34"/>
      <c r="B339" s="35"/>
      <c r="C339" s="35"/>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4.25" customHeight="1" spans="1:26">
      <c r="A340" s="34"/>
      <c r="B340" s="35"/>
      <c r="C340" s="35"/>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4.25" customHeight="1" spans="1:26">
      <c r="A341" s="34"/>
      <c r="B341" s="35"/>
      <c r="C341" s="35"/>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4.25" customHeight="1" spans="1:26">
      <c r="A342" s="34"/>
      <c r="B342" s="35"/>
      <c r="C342" s="35"/>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4.25" customHeight="1" spans="1:26">
      <c r="A343" s="34"/>
      <c r="B343" s="35"/>
      <c r="C343" s="35"/>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4.25" customHeight="1" spans="1:26">
      <c r="A344" s="34"/>
      <c r="B344" s="35"/>
      <c r="C344" s="35"/>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4.25" customHeight="1" spans="1:26">
      <c r="A345" s="34"/>
      <c r="B345" s="35"/>
      <c r="C345" s="35"/>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4.25" customHeight="1" spans="1:26">
      <c r="A346" s="34"/>
      <c r="B346" s="35"/>
      <c r="C346" s="35"/>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4.25" customHeight="1" spans="1:26">
      <c r="A347" s="34"/>
      <c r="B347" s="35"/>
      <c r="C347" s="35"/>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4.25" customHeight="1" spans="1:26">
      <c r="A348" s="34"/>
      <c r="B348" s="35"/>
      <c r="C348" s="35"/>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4.25" customHeight="1" spans="1:26">
      <c r="A349" s="34"/>
      <c r="B349" s="35"/>
      <c r="C349" s="35"/>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4.25" customHeight="1" spans="1:26">
      <c r="A350" s="34"/>
      <c r="B350" s="35"/>
      <c r="C350" s="35"/>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4.25" customHeight="1" spans="1:26">
      <c r="A351" s="34"/>
      <c r="B351" s="35"/>
      <c r="C351" s="35"/>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4.25" customHeight="1" spans="1:26">
      <c r="A352" s="34"/>
      <c r="B352" s="35"/>
      <c r="C352" s="35"/>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4.25" customHeight="1" spans="1:26">
      <c r="A353" s="34"/>
      <c r="B353" s="35"/>
      <c r="C353" s="35"/>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4.25" customHeight="1" spans="1:26">
      <c r="A354" s="34"/>
      <c r="B354" s="35"/>
      <c r="C354" s="35"/>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4.25" customHeight="1" spans="1:26">
      <c r="A355" s="34"/>
      <c r="B355" s="35"/>
      <c r="C355" s="35"/>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4.25" customHeight="1" spans="1:26">
      <c r="A356" s="34"/>
      <c r="B356" s="35"/>
      <c r="C356" s="35"/>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4.25" customHeight="1" spans="1:26">
      <c r="A357" s="34"/>
      <c r="B357" s="35"/>
      <c r="C357" s="35"/>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4.25" customHeight="1" spans="1:26">
      <c r="A358" s="34"/>
      <c r="B358" s="35"/>
      <c r="C358" s="35"/>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4.25" customHeight="1" spans="1:26">
      <c r="A359" s="34"/>
      <c r="B359" s="35"/>
      <c r="C359" s="35"/>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4.25" customHeight="1" spans="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4.25" customHeight="1" spans="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4.25" customHeight="1" spans="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4.25" customHeight="1" spans="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4.25" customHeight="1" spans="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4.25" customHeight="1" spans="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4.25" customHeight="1" spans="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4.25" customHeight="1" spans="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4.25" customHeight="1" spans="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4.25" customHeight="1" spans="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4.25" customHeight="1" spans="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4.25" customHeight="1" spans="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4.25" customHeight="1" spans="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4.25" customHeight="1" spans="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4.25" customHeight="1" spans="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4.25" customHeight="1" spans="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4.25" customHeight="1" spans="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4.25" customHeight="1" spans="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4.25" customHeight="1" spans="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4.25" customHeight="1" spans="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4.25" customHeight="1" spans="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4.25" customHeight="1" spans="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4.25" customHeight="1" spans="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4.25" customHeight="1" spans="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4.25" customHeight="1" spans="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4.25" customHeight="1" spans="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4.25" customHeight="1" spans="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4.25" customHeight="1" spans="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4.25" customHeight="1" spans="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4.25" customHeight="1" spans="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4.25" customHeight="1" spans="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4.25" customHeight="1" spans="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4.25" customHeight="1" spans="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4.25" customHeight="1" spans="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4.25" customHeight="1" spans="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4.25" customHeight="1" spans="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4.25" customHeight="1" spans="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4.25" customHeight="1" spans="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4.25" customHeight="1" spans="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4.25" customHeight="1" spans="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4.25" customHeight="1" spans="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4.25" customHeight="1" spans="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4.25" customHeight="1" spans="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4.25" customHeight="1" spans="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4.25" customHeight="1" spans="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4.25" customHeight="1" spans="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4.25" customHeight="1" spans="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4.25" customHeight="1" spans="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4.25" customHeight="1" spans="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4.25" customHeight="1" spans="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4.25" customHeight="1" spans="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4.25" customHeight="1" spans="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4.25" customHeight="1" spans="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4.25" customHeight="1" spans="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4.25" customHeight="1" spans="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4.25" customHeight="1" spans="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4.25" customHeight="1" spans="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4.25" customHeight="1" spans="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4.25" customHeight="1" spans="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4.25" customHeight="1" spans="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4.25" customHeight="1" spans="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4.25" customHeight="1" spans="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4.25" customHeight="1" spans="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4.25" customHeight="1" spans="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4.25" customHeight="1" spans="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4.25" customHeight="1" spans="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4.25" customHeight="1" spans="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4.25" customHeight="1" spans="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4.25" customHeight="1" spans="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4.25" customHeight="1" spans="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4.25" customHeight="1" spans="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4.25" customHeight="1" spans="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4.25" customHeight="1" spans="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4.25" customHeight="1" spans="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4.25" customHeight="1" spans="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4.25" customHeight="1" spans="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4.25" customHeight="1" spans="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4.25" customHeight="1" spans="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4.25" customHeight="1" spans="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4.25" customHeight="1" spans="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4.25" customHeight="1" spans="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4.25" customHeight="1" spans="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4.25" customHeight="1" spans="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4.25" customHeight="1" spans="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4.25" customHeight="1" spans="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4.25" customHeight="1" spans="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4.25" customHeight="1" spans="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4.25" customHeight="1" spans="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4.25" customHeight="1" spans="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4.25" customHeight="1" spans="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4.25" customHeight="1" spans="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4.25" customHeight="1" spans="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4.25" customHeight="1" spans="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4.25" customHeight="1" spans="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4.25" customHeight="1" spans="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4.25" customHeight="1" spans="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4.25" customHeight="1" spans="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4.25" customHeight="1" spans="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4.25" customHeight="1" spans="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4.25" customHeight="1" spans="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4.25" customHeight="1" spans="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4.25" customHeight="1" spans="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4.25" customHeight="1" spans="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4.25" customHeight="1" spans="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4.25" customHeight="1" spans="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4.25" customHeight="1" spans="1:26">
      <c r="A465" s="37"/>
      <c r="B465" s="37"/>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4.25" customHeight="1" spans="1:26">
      <c r="A466" s="37"/>
      <c r="B466" s="37"/>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4.25" customHeight="1" spans="1:26">
      <c r="A467" s="37"/>
      <c r="B467" s="37"/>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4.25" customHeight="1" spans="1:26">
      <c r="A468" s="37"/>
      <c r="B468" s="37"/>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4.25" customHeight="1" spans="1:26">
      <c r="A469" s="37"/>
      <c r="B469" s="37"/>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4.25" customHeight="1" spans="1:26">
      <c r="A470" s="37"/>
      <c r="B470" s="37"/>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4.25" customHeight="1" spans="1:26">
      <c r="A471" s="37"/>
      <c r="B471" s="37"/>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4.25" customHeight="1" spans="1:26">
      <c r="A472" s="37"/>
      <c r="B472" s="37"/>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4.25" customHeight="1" spans="1:26">
      <c r="A473" s="37"/>
      <c r="B473" s="37"/>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4.25" customHeight="1" spans="1:26">
      <c r="A474" s="37"/>
      <c r="B474" s="37"/>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4.25" customHeight="1" spans="1:26">
      <c r="A475" s="37"/>
      <c r="B475" s="37"/>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4.25" customHeight="1" spans="1:26">
      <c r="A476" s="37"/>
      <c r="B476" s="37"/>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4.25" customHeight="1" spans="1:26">
      <c r="A477" s="37"/>
      <c r="B477" s="37"/>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4.25" customHeight="1" spans="1:26">
      <c r="A478" s="37"/>
      <c r="B478" s="37"/>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4.25" customHeight="1" spans="1:26">
      <c r="A479" s="37"/>
      <c r="B479" s="37"/>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4.25" customHeight="1" spans="1:26">
      <c r="A480" s="37"/>
      <c r="B480" s="37"/>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4.25" customHeight="1" spans="1:26">
      <c r="A481" s="37"/>
      <c r="B481" s="37"/>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4.25" customHeight="1" spans="1:26">
      <c r="A482" s="37"/>
      <c r="B482" s="37"/>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4.25" customHeight="1" spans="1:26">
      <c r="A483" s="37"/>
      <c r="B483" s="37"/>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4.25" customHeight="1" spans="1:26">
      <c r="A484" s="37"/>
      <c r="B484" s="37"/>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4.25" customHeight="1" spans="1:26">
      <c r="A485" s="37"/>
      <c r="B485" s="37"/>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4.25" customHeight="1" spans="1:26">
      <c r="A486" s="37"/>
      <c r="B486" s="37"/>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4.25" customHeight="1" spans="1:26">
      <c r="A487" s="37"/>
      <c r="B487" s="37"/>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4.25" customHeight="1" spans="1:26">
      <c r="A488" s="37"/>
      <c r="B488" s="37"/>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4.25" customHeight="1" spans="1:26">
      <c r="A489" s="37"/>
      <c r="B489" s="37"/>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4.25" customHeight="1" spans="1:26">
      <c r="A490" s="37"/>
      <c r="B490" s="37"/>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4.25" customHeight="1" spans="1:26">
      <c r="A491" s="37"/>
      <c r="B491" s="37"/>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4.25" customHeight="1" spans="1:26">
      <c r="A492" s="37"/>
      <c r="B492" s="37"/>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4.25" customHeight="1" spans="1:26">
      <c r="A493" s="37"/>
      <c r="B493" s="37"/>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4.25" customHeight="1" spans="1:26">
      <c r="A494" s="37"/>
      <c r="B494" s="37"/>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4.25" customHeight="1" spans="1:26">
      <c r="A495" s="37"/>
      <c r="B495" s="37"/>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4.25" customHeight="1" spans="1:26">
      <c r="A496" s="37"/>
      <c r="B496" s="37"/>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4.25" customHeight="1" spans="1:26">
      <c r="A497" s="37"/>
      <c r="B497" s="37"/>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4.25" customHeight="1" spans="1:26">
      <c r="A498" s="37"/>
      <c r="B498" s="37"/>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4.25" customHeight="1" spans="1:26">
      <c r="A499" s="37"/>
      <c r="B499" s="37"/>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4.25" customHeight="1" spans="1:26">
      <c r="A500" s="37"/>
      <c r="B500" s="37"/>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4.25" customHeight="1" spans="1:26">
      <c r="A501" s="37"/>
      <c r="B501" s="37"/>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4.25" customHeight="1" spans="1:26">
      <c r="A502" s="37"/>
      <c r="B502" s="37"/>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4.25" customHeight="1" spans="1:26">
      <c r="A503" s="37"/>
      <c r="B503" s="37"/>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4.25" customHeight="1" spans="1:26">
      <c r="A504" s="37"/>
      <c r="B504" s="37"/>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4.25" customHeight="1" spans="1:26">
      <c r="A505" s="37"/>
      <c r="B505" s="37"/>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4.25" customHeight="1" spans="1:26">
      <c r="A506" s="37"/>
      <c r="B506" s="37"/>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4.25" customHeight="1" spans="1:26">
      <c r="A507" s="37"/>
      <c r="B507" s="37"/>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4.25" customHeight="1" spans="1:26">
      <c r="A508" s="37"/>
      <c r="B508" s="37"/>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4.25" customHeight="1" spans="1:26">
      <c r="A509" s="37"/>
      <c r="B509" s="37"/>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4.25" customHeight="1" spans="1:26">
      <c r="A510" s="37"/>
      <c r="B510" s="37"/>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4.25" customHeight="1" spans="1:26">
      <c r="A511" s="37"/>
      <c r="B511" s="37"/>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4.25" customHeight="1" spans="1:26">
      <c r="A512" s="37"/>
      <c r="B512" s="37"/>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4.25" customHeight="1" spans="1:26">
      <c r="A513" s="37"/>
      <c r="B513" s="37"/>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4.25" customHeight="1" spans="1:26">
      <c r="A514" s="37"/>
      <c r="B514" s="37"/>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4.25" customHeight="1" spans="1:26">
      <c r="A515" s="37"/>
      <c r="B515" s="37"/>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4.25" customHeight="1" spans="1:26">
      <c r="A516" s="37"/>
      <c r="B516" s="37"/>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4.25" customHeight="1" spans="1:26">
      <c r="A517" s="37"/>
      <c r="B517" s="37"/>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4.25" customHeight="1" spans="1:26">
      <c r="A518" s="37"/>
      <c r="B518" s="37"/>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4.25" customHeight="1" spans="1:26">
      <c r="A519" s="37"/>
      <c r="B519" s="37"/>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4.25" customHeight="1" spans="1:26">
      <c r="A520" s="37"/>
      <c r="B520" s="37"/>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4.25" customHeight="1" spans="1:26">
      <c r="A521" s="37"/>
      <c r="B521" s="37"/>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4.25" customHeight="1" spans="1:26">
      <c r="A522" s="37"/>
      <c r="B522" s="37"/>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4.25" customHeight="1" spans="1:26">
      <c r="A523" s="37"/>
      <c r="B523" s="37"/>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4.25" customHeight="1" spans="1:26">
      <c r="A524" s="37"/>
      <c r="B524" s="37"/>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4.25" customHeight="1" spans="1:26">
      <c r="A525" s="37"/>
      <c r="B525" s="37"/>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4.25" customHeight="1" spans="1:26">
      <c r="A526" s="37"/>
      <c r="B526" s="37"/>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4.25" customHeight="1" spans="1:26">
      <c r="A527" s="37"/>
      <c r="B527" s="37"/>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4.25" customHeight="1" spans="1:26">
      <c r="A528" s="37"/>
      <c r="B528" s="37"/>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4.25" customHeight="1" spans="1:26">
      <c r="A529" s="37"/>
      <c r="B529" s="37"/>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4.25" customHeight="1" spans="1:26">
      <c r="A530" s="37"/>
      <c r="B530" s="37"/>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4.25" customHeight="1" spans="1:26">
      <c r="A531" s="37"/>
      <c r="B531" s="37"/>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4.25" customHeight="1" spans="1:26">
      <c r="A532" s="37"/>
      <c r="B532" s="37"/>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4.25" customHeight="1" spans="1:26">
      <c r="A533" s="37"/>
      <c r="B533" s="37"/>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4.25" customHeight="1" spans="1:26">
      <c r="A534" s="37"/>
      <c r="B534" s="37"/>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4.25" customHeight="1" spans="1:26">
      <c r="A535" s="37"/>
      <c r="B535" s="37"/>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4.25" customHeight="1" spans="1:26">
      <c r="A536" s="37"/>
      <c r="B536" s="37"/>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4.25" customHeight="1" spans="1:26">
      <c r="A537" s="37"/>
      <c r="B537" s="37"/>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4.25" customHeight="1" spans="1:26">
      <c r="A538" s="37"/>
      <c r="B538" s="37"/>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4.25" customHeight="1" spans="1:26">
      <c r="A539" s="37"/>
      <c r="B539" s="37"/>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4.25" customHeight="1" spans="1:26">
      <c r="A540" s="37"/>
      <c r="B540" s="37"/>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4.25" customHeight="1" spans="1:26">
      <c r="A541" s="37"/>
      <c r="B541" s="37"/>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4.25" customHeight="1" spans="1:26">
      <c r="A542" s="37"/>
      <c r="B542" s="37"/>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4.25" customHeight="1" spans="1:26">
      <c r="A543" s="37"/>
      <c r="B543" s="37"/>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4.25" customHeight="1" spans="1:26">
      <c r="A544" s="37"/>
      <c r="B544" s="37"/>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4.25" customHeight="1" spans="1:26">
      <c r="A545" s="37"/>
      <c r="B545" s="37"/>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4.25" customHeight="1" spans="1:26">
      <c r="A546" s="37"/>
      <c r="B546" s="37"/>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4.25" customHeight="1" spans="1:26">
      <c r="A547" s="37"/>
      <c r="B547" s="37"/>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4.25" customHeight="1" spans="1:26">
      <c r="A548" s="37"/>
      <c r="B548" s="37"/>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4.25" customHeight="1" spans="1:26">
      <c r="A549" s="37"/>
      <c r="B549" s="37"/>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4.25" customHeight="1" spans="1:26">
      <c r="A550" s="37"/>
      <c r="B550" s="37"/>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4.25" customHeight="1" spans="1:26">
      <c r="A551" s="37"/>
      <c r="B551" s="37"/>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4.25" customHeight="1" spans="1:26">
      <c r="A552" s="37"/>
      <c r="B552" s="37"/>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4.25" customHeight="1" spans="1:26">
      <c r="A553" s="37"/>
      <c r="B553" s="37"/>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4.25" customHeight="1" spans="1:26">
      <c r="A554" s="37"/>
      <c r="B554" s="37"/>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4.25" customHeight="1" spans="1:26">
      <c r="A555" s="37"/>
      <c r="B555" s="37"/>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4.25" customHeight="1" spans="1:26">
      <c r="A556" s="37"/>
      <c r="B556" s="37"/>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4.25" customHeight="1" spans="1:26">
      <c r="A557" s="37"/>
      <c r="B557" s="37"/>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4.25" customHeight="1" spans="1:26">
      <c r="A558" s="37"/>
      <c r="B558" s="37"/>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4.25" customHeight="1" spans="1:26">
      <c r="A559" s="37"/>
      <c r="B559" s="37"/>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4.25" customHeight="1" spans="1:26">
      <c r="A560" s="37"/>
      <c r="B560" s="37"/>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4.25" customHeight="1" spans="1:26">
      <c r="A561" s="37"/>
      <c r="B561" s="37"/>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4.25" customHeight="1" spans="1:26">
      <c r="A562" s="37"/>
      <c r="B562" s="37"/>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4.25" customHeight="1" spans="1:26">
      <c r="A563" s="37"/>
      <c r="B563" s="37"/>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4.25" customHeight="1" spans="1:26">
      <c r="A564" s="37"/>
      <c r="B564" s="37"/>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4.25" customHeight="1" spans="1:26">
      <c r="A565" s="37"/>
      <c r="B565" s="37"/>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4.25" customHeight="1" spans="1:26">
      <c r="A566" s="37"/>
      <c r="B566" s="37"/>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4.25" customHeight="1" spans="1:26">
      <c r="A567" s="37"/>
      <c r="B567" s="37"/>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4.25" customHeight="1" spans="1:26">
      <c r="A568" s="37"/>
      <c r="B568" s="37"/>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4.25" customHeight="1" spans="1:26">
      <c r="A569" s="37"/>
      <c r="B569" s="37"/>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4.25" customHeight="1" spans="1:26">
      <c r="A570" s="37"/>
      <c r="B570" s="37"/>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4.25" customHeight="1" spans="1:26">
      <c r="A571" s="37"/>
      <c r="B571" s="37"/>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4.25" customHeight="1" spans="1:26">
      <c r="A572" s="37"/>
      <c r="B572" s="37"/>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4.25" customHeight="1" spans="1:26">
      <c r="A573" s="37"/>
      <c r="B573" s="37"/>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4.25" customHeight="1" spans="1:26">
      <c r="A574" s="37"/>
      <c r="B574" s="37"/>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4.25" customHeight="1" spans="1:26">
      <c r="A575" s="37"/>
      <c r="B575" s="37"/>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4.25" customHeight="1" spans="1:26">
      <c r="A576" s="37"/>
      <c r="B576" s="37"/>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4.25" customHeight="1" spans="1:26">
      <c r="A577" s="37"/>
      <c r="B577" s="37"/>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4.25" customHeight="1" spans="1:26">
      <c r="A578" s="37"/>
      <c r="B578" s="37"/>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4.25" customHeight="1" spans="1:26">
      <c r="A579" s="37"/>
      <c r="B579" s="37"/>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4.25" customHeight="1" spans="1:26">
      <c r="A580" s="37"/>
      <c r="B580" s="37"/>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4.25" customHeight="1" spans="1:26">
      <c r="A581" s="37"/>
      <c r="B581" s="37"/>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4.25" customHeight="1" spans="1:26">
      <c r="A582" s="37"/>
      <c r="B582" s="37"/>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4.25" customHeight="1" spans="1:26">
      <c r="A583" s="37"/>
      <c r="B583" s="37"/>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4.25" customHeight="1" spans="1:26">
      <c r="A584" s="37"/>
      <c r="B584" s="37"/>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4.25" customHeight="1" spans="1:26">
      <c r="A585" s="37"/>
      <c r="B585" s="37"/>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4.25" customHeight="1" spans="1:26">
      <c r="A586" s="37"/>
      <c r="B586" s="37"/>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4.25" customHeight="1" spans="1:26">
      <c r="A587" s="37"/>
      <c r="B587" s="37"/>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4.25" customHeight="1" spans="1:26">
      <c r="A588" s="37"/>
      <c r="B588" s="37"/>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4.25" customHeight="1" spans="1:26">
      <c r="A589" s="37"/>
      <c r="B589" s="37"/>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4.25" customHeight="1" spans="1:26">
      <c r="A590" s="37"/>
      <c r="B590" s="37"/>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4.25" customHeight="1" spans="1:26">
      <c r="A591" s="37"/>
      <c r="B591" s="37"/>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4.25" customHeight="1" spans="1:26">
      <c r="A592" s="37"/>
      <c r="B592" s="37"/>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4.25" customHeight="1" spans="1:26">
      <c r="A593" s="37"/>
      <c r="B593" s="37"/>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4.25" customHeight="1" spans="1:26">
      <c r="A594" s="37"/>
      <c r="B594" s="37"/>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4.25" customHeight="1" spans="1:26">
      <c r="A595" s="37"/>
      <c r="B595" s="37"/>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4.25" customHeight="1" spans="1:26">
      <c r="A596" s="37"/>
      <c r="B596" s="37"/>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4.25" customHeight="1" spans="1:26">
      <c r="A597" s="37"/>
      <c r="B597" s="37"/>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4.25" customHeight="1" spans="1:26">
      <c r="A598" s="37"/>
      <c r="B598" s="37"/>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4.25" customHeight="1" spans="1:26">
      <c r="A599" s="37"/>
      <c r="B599" s="37"/>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4.25" customHeight="1" spans="1:26">
      <c r="A600" s="37"/>
      <c r="B600" s="37"/>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4.25" customHeight="1" spans="1:26">
      <c r="A601" s="37"/>
      <c r="B601" s="37"/>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4.25" customHeight="1" spans="1:26">
      <c r="A602" s="37"/>
      <c r="B602" s="37"/>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4.25" customHeight="1" spans="1:26">
      <c r="A603" s="37"/>
      <c r="B603" s="37"/>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4.25" customHeight="1" spans="1:26">
      <c r="A604" s="37"/>
      <c r="B604" s="37"/>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4.25" customHeight="1" spans="1:26">
      <c r="A605" s="37"/>
      <c r="B605" s="37"/>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4.25" customHeight="1" spans="1:26">
      <c r="A606" s="37"/>
      <c r="B606" s="37"/>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4.25" customHeight="1" spans="1:26">
      <c r="A607" s="37"/>
      <c r="B607" s="37"/>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4.25" customHeight="1" spans="1:26">
      <c r="A608" s="37"/>
      <c r="B608" s="37"/>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4.25" customHeight="1" spans="1:26">
      <c r="A609" s="37"/>
      <c r="B609" s="37"/>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4.25" customHeight="1" spans="1:26">
      <c r="A610" s="37"/>
      <c r="B610" s="37"/>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4.25" customHeight="1" spans="1:26">
      <c r="A611" s="37"/>
      <c r="B611" s="37"/>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4.25" customHeight="1" spans="1:26">
      <c r="A612" s="37"/>
      <c r="B612" s="37"/>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4.25" customHeight="1" spans="1:26">
      <c r="A613" s="37"/>
      <c r="B613" s="37"/>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4.25" customHeight="1" spans="1:26">
      <c r="A614" s="37"/>
      <c r="B614" s="37"/>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4.25" customHeight="1" spans="1:26">
      <c r="A615" s="37"/>
      <c r="B615" s="37"/>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4.25" customHeight="1" spans="1:26">
      <c r="A616" s="37"/>
      <c r="B616" s="37"/>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4.25" customHeight="1" spans="1:26">
      <c r="A617" s="37"/>
      <c r="B617" s="37"/>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4.25" customHeight="1" spans="1:26">
      <c r="A618" s="37"/>
      <c r="B618" s="37"/>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4.25" customHeight="1" spans="1:26">
      <c r="A619" s="37"/>
      <c r="B619" s="37"/>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4.25" customHeight="1" spans="1:26">
      <c r="A620" s="37"/>
      <c r="B620" s="37"/>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4.25" customHeight="1" spans="1:26">
      <c r="A621" s="37"/>
      <c r="B621" s="37"/>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4.25" customHeight="1" spans="1:26">
      <c r="A622" s="37"/>
      <c r="B622" s="37"/>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4.25" customHeight="1" spans="1:26">
      <c r="A623" s="37"/>
      <c r="B623" s="37"/>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4.25" customHeight="1" spans="1:26">
      <c r="A624" s="37"/>
      <c r="B624" s="37"/>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4.25" customHeight="1" spans="1:26">
      <c r="A625" s="37"/>
      <c r="B625" s="37"/>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4.25" customHeight="1" spans="1:26">
      <c r="A626" s="37"/>
      <c r="B626" s="37"/>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4.25" customHeight="1" spans="1:26">
      <c r="A627" s="37"/>
      <c r="B627" s="37"/>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4.25" customHeight="1" spans="1:26">
      <c r="A628" s="37"/>
      <c r="B628" s="37"/>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4.25" customHeight="1" spans="1:26">
      <c r="A629" s="37"/>
      <c r="B629" s="37"/>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4.25" customHeight="1" spans="1:26">
      <c r="A630" s="37"/>
      <c r="B630" s="37"/>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4.25" customHeight="1" spans="1:26">
      <c r="A631" s="37"/>
      <c r="B631" s="37"/>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4.25" customHeight="1" spans="1:26">
      <c r="A632" s="37"/>
      <c r="B632" s="37"/>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4.25" customHeight="1" spans="1:26">
      <c r="A633" s="37"/>
      <c r="B633" s="37"/>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4.25" customHeight="1" spans="1:26">
      <c r="A634" s="37"/>
      <c r="B634" s="37"/>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4.25" customHeight="1" spans="1:26">
      <c r="A635" s="37"/>
      <c r="B635" s="37"/>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4.25" customHeight="1" spans="1:26">
      <c r="A636" s="37"/>
      <c r="B636" s="37"/>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4.25" customHeight="1" spans="1:26">
      <c r="A637" s="37"/>
      <c r="B637" s="37"/>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4.25" customHeight="1" spans="1:26">
      <c r="A638" s="37"/>
      <c r="B638" s="37"/>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4.25" customHeight="1" spans="1:26">
      <c r="A639" s="37"/>
      <c r="B639" s="37"/>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4.25" customHeight="1" spans="1:26">
      <c r="A640" s="37"/>
      <c r="B640" s="37"/>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4.25" customHeight="1" spans="1:26">
      <c r="A641" s="37"/>
      <c r="B641" s="37"/>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4.25" customHeight="1" spans="1:26">
      <c r="A642" s="37"/>
      <c r="B642" s="37"/>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4.25" customHeight="1" spans="1:26">
      <c r="A643" s="37"/>
      <c r="B643" s="37"/>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4.25" customHeight="1" spans="1:26">
      <c r="A644" s="37"/>
      <c r="B644" s="37"/>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4.25" customHeight="1" spans="1:26">
      <c r="A645" s="37"/>
      <c r="B645" s="37"/>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4.25" customHeight="1" spans="1:26">
      <c r="A646" s="37"/>
      <c r="B646" s="37"/>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4.25" customHeight="1" spans="1:26">
      <c r="A647" s="37"/>
      <c r="B647" s="37"/>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4.25" customHeight="1" spans="1:26">
      <c r="A648" s="37"/>
      <c r="B648" s="37"/>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4.25" customHeight="1" spans="1:26">
      <c r="A649" s="37"/>
      <c r="B649" s="37"/>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4.25" customHeight="1" spans="1:26">
      <c r="A650" s="37"/>
      <c r="B650" s="37"/>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4.25" customHeight="1" spans="1:26">
      <c r="A651" s="37"/>
      <c r="B651" s="37"/>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4.25" customHeight="1" spans="1:26">
      <c r="A652" s="37"/>
      <c r="B652" s="37"/>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4.25" customHeight="1" spans="1:26">
      <c r="A653" s="37"/>
      <c r="B653" s="37"/>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4.25" customHeight="1" spans="1:26">
      <c r="A654" s="37"/>
      <c r="B654" s="37"/>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4.25" customHeight="1" spans="1:26">
      <c r="A655" s="37"/>
      <c r="B655" s="37"/>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4.25" customHeight="1" spans="1:26">
      <c r="A656" s="37"/>
      <c r="B656" s="37"/>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4.25" customHeight="1" spans="1:26">
      <c r="A657" s="37"/>
      <c r="B657" s="37"/>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4.25" customHeight="1" spans="1:26">
      <c r="A658" s="37"/>
      <c r="B658" s="37"/>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4.25" customHeight="1" spans="1:26">
      <c r="A659" s="37"/>
      <c r="B659" s="37"/>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4.25" customHeight="1" spans="1:26">
      <c r="A660" s="37"/>
      <c r="B660" s="37"/>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4.25" customHeight="1" spans="1:26">
      <c r="A661" s="37"/>
      <c r="B661" s="37"/>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4.25" customHeight="1" spans="1:26">
      <c r="A662" s="37"/>
      <c r="B662" s="37"/>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4.25" customHeight="1" spans="1:26">
      <c r="A663" s="37"/>
      <c r="B663" s="37"/>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4.25" customHeight="1" spans="1:26">
      <c r="A664" s="37"/>
      <c r="B664" s="37"/>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4.25" customHeight="1" spans="1:26">
      <c r="A665" s="37"/>
      <c r="B665" s="37"/>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4.25" customHeight="1" spans="1:26">
      <c r="A666" s="37"/>
      <c r="B666" s="37"/>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4.25" customHeight="1" spans="1:26">
      <c r="A667" s="37"/>
      <c r="B667" s="37"/>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4.25" customHeight="1" spans="1:26">
      <c r="A668" s="37"/>
      <c r="B668" s="37"/>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4.25" customHeight="1" spans="1:26">
      <c r="A669" s="37"/>
      <c r="B669" s="37"/>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4.25" customHeight="1" spans="1:26">
      <c r="A670" s="37"/>
      <c r="B670" s="37"/>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4.25" customHeight="1" spans="1:26">
      <c r="A671" s="37"/>
      <c r="B671" s="37"/>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4.25" customHeight="1" spans="1:26">
      <c r="A672" s="37"/>
      <c r="B672" s="37"/>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4.25" customHeight="1" spans="1:26">
      <c r="A673" s="37"/>
      <c r="B673" s="37"/>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4.25" customHeight="1" spans="1:26">
      <c r="A674" s="37"/>
      <c r="B674" s="37"/>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4.25" customHeight="1" spans="1:26">
      <c r="A675" s="37"/>
      <c r="B675" s="37"/>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4.25" customHeight="1" spans="1:26">
      <c r="A676" s="37"/>
      <c r="B676" s="37"/>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4.25" customHeight="1" spans="1:26">
      <c r="A677" s="37"/>
      <c r="B677" s="37"/>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4.25" customHeight="1" spans="1:26">
      <c r="A678" s="37"/>
      <c r="B678" s="37"/>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4.25" customHeight="1" spans="1:26">
      <c r="A679" s="37"/>
      <c r="B679" s="37"/>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4.25" customHeight="1" spans="1:26">
      <c r="A680" s="37"/>
      <c r="B680" s="37"/>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4.25" customHeight="1" spans="1:26">
      <c r="A681" s="37"/>
      <c r="B681" s="37"/>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4.25" customHeight="1" spans="1:26">
      <c r="A682" s="37"/>
      <c r="B682" s="37"/>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4.25" customHeight="1" spans="1:26">
      <c r="A683" s="37"/>
      <c r="B683" s="37"/>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4.25" customHeight="1" spans="1:26">
      <c r="A684" s="37"/>
      <c r="B684" s="37"/>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4.25" customHeight="1" spans="1:26">
      <c r="A685" s="37"/>
      <c r="B685" s="37"/>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4.25" customHeight="1" spans="1:26">
      <c r="A686" s="37"/>
      <c r="B686" s="37"/>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4.25" customHeight="1" spans="1:26">
      <c r="A687" s="37"/>
      <c r="B687" s="37"/>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4.25" customHeight="1" spans="1:26">
      <c r="A688" s="37"/>
      <c r="B688" s="37"/>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4.25" customHeight="1" spans="1:26">
      <c r="A689" s="37"/>
      <c r="B689" s="37"/>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4.25" customHeight="1" spans="1:26">
      <c r="A690" s="37"/>
      <c r="B690" s="37"/>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4.25" customHeight="1" spans="1:26">
      <c r="A691" s="37"/>
      <c r="B691" s="37"/>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4.25" customHeight="1" spans="1:26">
      <c r="A692" s="37"/>
      <c r="B692" s="37"/>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4.25" customHeight="1" spans="1:26">
      <c r="A693" s="37"/>
      <c r="B693" s="37"/>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4.25" customHeight="1" spans="1:26">
      <c r="A694" s="37"/>
      <c r="B694" s="37"/>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4.25" customHeight="1" spans="1:26">
      <c r="A695" s="37"/>
      <c r="B695" s="37"/>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4.25" customHeight="1" spans="1:26">
      <c r="A696" s="37"/>
      <c r="B696" s="37"/>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4.25" customHeight="1" spans="1:26">
      <c r="A697" s="37"/>
      <c r="B697" s="37"/>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4.25" customHeight="1" spans="1:26">
      <c r="A698" s="37"/>
      <c r="B698" s="37"/>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4.25" customHeight="1" spans="1:26">
      <c r="A699" s="37"/>
      <c r="B699" s="37"/>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4.25" customHeight="1" spans="1:26">
      <c r="A700" s="37"/>
      <c r="B700" s="37"/>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4.25" customHeight="1" spans="1:26">
      <c r="A701" s="37"/>
      <c r="B701" s="37"/>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4.25" customHeight="1" spans="1:26">
      <c r="A702" s="37"/>
      <c r="B702" s="37"/>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4.25" customHeight="1" spans="1:26">
      <c r="A703" s="37"/>
      <c r="B703" s="37"/>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4.25" customHeight="1" spans="1:26">
      <c r="A704" s="37"/>
      <c r="B704" s="37"/>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4.25" customHeight="1" spans="1:26">
      <c r="A705" s="37"/>
      <c r="B705" s="37"/>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4.25" customHeight="1" spans="1:26">
      <c r="A706" s="37"/>
      <c r="B706" s="37"/>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4.25" customHeight="1" spans="1:26">
      <c r="A707" s="37"/>
      <c r="B707" s="37"/>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4.25" customHeight="1" spans="1:26">
      <c r="A708" s="37"/>
      <c r="B708" s="37"/>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4.25" customHeight="1" spans="1:26">
      <c r="A709" s="37"/>
      <c r="B709" s="37"/>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4.25" customHeight="1" spans="1:26">
      <c r="A710" s="37"/>
      <c r="B710" s="37"/>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4.25" customHeight="1" spans="1:26">
      <c r="A711" s="37"/>
      <c r="B711" s="37"/>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4.25" customHeight="1" spans="1:26">
      <c r="A712" s="37"/>
      <c r="B712" s="37"/>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4.25" customHeight="1" spans="1:26">
      <c r="A713" s="37"/>
      <c r="B713" s="37"/>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4.25" customHeight="1" spans="1:26">
      <c r="A714" s="37"/>
      <c r="B714" s="37"/>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4.25" customHeight="1" spans="1:26">
      <c r="A715" s="37"/>
      <c r="B715" s="37"/>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4.25" customHeight="1" spans="1:26">
      <c r="A716" s="37"/>
      <c r="B716" s="37"/>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4.25" customHeight="1" spans="1:26">
      <c r="A717" s="37"/>
      <c r="B717" s="37"/>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4.25" customHeight="1" spans="1:26">
      <c r="A718" s="37"/>
      <c r="B718" s="37"/>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4.25" customHeight="1" spans="1:26">
      <c r="A719" s="37"/>
      <c r="B719" s="37"/>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4.25" customHeight="1" spans="1:26">
      <c r="A720" s="37"/>
      <c r="B720" s="37"/>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4.25" customHeight="1" spans="1:26">
      <c r="A721" s="37"/>
      <c r="B721" s="37"/>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4.25" customHeight="1" spans="1:26">
      <c r="A722" s="37"/>
      <c r="B722" s="37"/>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4.25" customHeight="1" spans="1:26">
      <c r="A723" s="37"/>
      <c r="B723" s="37"/>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4.25" customHeight="1" spans="1:26">
      <c r="A724" s="37"/>
      <c r="B724" s="37"/>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4.25" customHeight="1" spans="1:26">
      <c r="A725" s="37"/>
      <c r="B725" s="37"/>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4.25" customHeight="1" spans="1:26">
      <c r="A726" s="37"/>
      <c r="B726" s="37"/>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4.25" customHeight="1" spans="1:26">
      <c r="A727" s="37"/>
      <c r="B727" s="37"/>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4.25" customHeight="1" spans="1:26">
      <c r="A728" s="37"/>
      <c r="B728" s="37"/>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4.25" customHeight="1" spans="1:26">
      <c r="A729" s="37"/>
      <c r="B729" s="37"/>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4.25" customHeight="1" spans="1:26">
      <c r="A730" s="37"/>
      <c r="B730" s="37"/>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4.25" customHeight="1" spans="1:26">
      <c r="A731" s="37"/>
      <c r="B731" s="37"/>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4.25" customHeight="1" spans="1:26">
      <c r="A732" s="37"/>
      <c r="B732" s="37"/>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4.25" customHeight="1" spans="1:26">
      <c r="A733" s="37"/>
      <c r="B733" s="37"/>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4.25" customHeight="1" spans="1:26">
      <c r="A734" s="37"/>
      <c r="B734" s="37"/>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4.25" customHeight="1" spans="1:26">
      <c r="A735" s="37"/>
      <c r="B735" s="37"/>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4.25" customHeight="1" spans="1:26">
      <c r="A736" s="37"/>
      <c r="B736" s="37"/>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4.25" customHeight="1" spans="1:26">
      <c r="A737" s="37"/>
      <c r="B737" s="37"/>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4.25" customHeight="1" spans="1:26">
      <c r="A738" s="37"/>
      <c r="B738" s="37"/>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4.25" customHeight="1" spans="1:26">
      <c r="A739" s="37"/>
      <c r="B739" s="37"/>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4.25" customHeight="1" spans="1:26">
      <c r="A740" s="37"/>
      <c r="B740" s="37"/>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4.25" customHeight="1" spans="1:26">
      <c r="A741" s="37"/>
      <c r="B741" s="37"/>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4.25" customHeight="1" spans="1:26">
      <c r="A742" s="37"/>
      <c r="B742" s="37"/>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4.25" customHeight="1" spans="1:26">
      <c r="A743" s="37"/>
      <c r="B743" s="37"/>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4.25" customHeight="1" spans="1:26">
      <c r="A744" s="37"/>
      <c r="B744" s="37"/>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4.25" customHeight="1" spans="1:26">
      <c r="A745" s="37"/>
      <c r="B745" s="37"/>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4.25" customHeight="1" spans="1:26">
      <c r="A746" s="37"/>
      <c r="B746" s="37"/>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4.25" customHeight="1" spans="1:26">
      <c r="A747" s="37"/>
      <c r="B747" s="37"/>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4.25" customHeight="1" spans="1:26">
      <c r="A748" s="37"/>
      <c r="B748" s="37"/>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4.25" customHeight="1" spans="1:26">
      <c r="A749" s="37"/>
      <c r="B749" s="37"/>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4.25" customHeight="1" spans="1:26">
      <c r="A750" s="37"/>
      <c r="B750" s="37"/>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4.25" customHeight="1" spans="1:26">
      <c r="A751" s="37"/>
      <c r="B751" s="37"/>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4.25" customHeight="1" spans="1:26">
      <c r="A752" s="37"/>
      <c r="B752" s="37"/>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4.25" customHeight="1" spans="1:26">
      <c r="A753" s="37"/>
      <c r="B753" s="37"/>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4.25" customHeight="1" spans="1:26">
      <c r="A754" s="37"/>
      <c r="B754" s="37"/>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4.25" customHeight="1" spans="1:26">
      <c r="A755" s="37"/>
      <c r="B755" s="37"/>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4.25" customHeight="1" spans="1:26">
      <c r="A756" s="37"/>
      <c r="B756" s="37"/>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4.25" customHeight="1" spans="1:26">
      <c r="A757" s="37"/>
      <c r="B757" s="37"/>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4.25" customHeight="1" spans="1:26">
      <c r="A758" s="37"/>
      <c r="B758" s="37"/>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4.25" customHeight="1" spans="1:26">
      <c r="A759" s="37"/>
      <c r="B759" s="37"/>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4.25" customHeight="1" spans="1:26">
      <c r="A760" s="37"/>
      <c r="B760" s="37"/>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4.25" customHeight="1" spans="1:26">
      <c r="A761" s="37"/>
      <c r="B761" s="37"/>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4.25" customHeight="1" spans="1:26">
      <c r="A762" s="37"/>
      <c r="B762" s="37"/>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4.25" customHeight="1" spans="1:26">
      <c r="A763" s="37"/>
      <c r="B763" s="37"/>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4.25" customHeight="1" spans="1:26">
      <c r="A764" s="37"/>
      <c r="B764" s="37"/>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4.25" customHeight="1" spans="1:26">
      <c r="A765" s="37"/>
      <c r="B765" s="37"/>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4.25" customHeight="1" spans="1:26">
      <c r="A766" s="37"/>
      <c r="B766" s="37"/>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4.25" customHeight="1" spans="1:26">
      <c r="A767" s="37"/>
      <c r="B767" s="37"/>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4.25" customHeight="1" spans="1:26">
      <c r="A768" s="37"/>
      <c r="B768" s="37"/>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4.25" customHeight="1" spans="1:26">
      <c r="A769" s="37"/>
      <c r="B769" s="37"/>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4.25" customHeight="1" spans="1:26">
      <c r="A770" s="37"/>
      <c r="B770" s="37"/>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4.25" customHeight="1" spans="1:26">
      <c r="A771" s="37"/>
      <c r="B771" s="37"/>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4.25" customHeight="1" spans="1:26">
      <c r="A772" s="37"/>
      <c r="B772" s="37"/>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4.25" customHeight="1" spans="1:26">
      <c r="A773" s="37"/>
      <c r="B773" s="37"/>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4.25" customHeight="1" spans="1:26">
      <c r="A774" s="37"/>
      <c r="B774" s="37"/>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4.25" customHeight="1" spans="1:26">
      <c r="A775" s="37"/>
      <c r="B775" s="37"/>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4.25" customHeight="1" spans="1:26">
      <c r="A776" s="37"/>
      <c r="B776" s="37"/>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4.25" customHeight="1" spans="1:26">
      <c r="A777" s="37"/>
      <c r="B777" s="37"/>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4.25" customHeight="1" spans="1:26">
      <c r="A778" s="37"/>
      <c r="B778" s="37"/>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4.25" customHeight="1" spans="1:26">
      <c r="A779" s="37"/>
      <c r="B779" s="37"/>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4.25" customHeight="1" spans="1:26">
      <c r="A780" s="37"/>
      <c r="B780" s="37"/>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4.25" customHeight="1" spans="1:26">
      <c r="A781" s="37"/>
      <c r="B781" s="37"/>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4.25" customHeight="1" spans="1:26">
      <c r="A782" s="37"/>
      <c r="B782" s="37"/>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4.25" customHeight="1" spans="1:26">
      <c r="A783" s="37"/>
      <c r="B783" s="37"/>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4.25" customHeight="1" spans="1:26">
      <c r="A784" s="37"/>
      <c r="B784" s="37"/>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4.25" customHeight="1" spans="1:26">
      <c r="A785" s="37"/>
      <c r="B785" s="37"/>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4.25" customHeight="1" spans="1:26">
      <c r="A786" s="37"/>
      <c r="B786" s="37"/>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4.25" customHeight="1" spans="1:26">
      <c r="A787" s="37"/>
      <c r="B787" s="37"/>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4.25" customHeight="1" spans="1:26">
      <c r="A788" s="37"/>
      <c r="B788" s="37"/>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4.25" customHeight="1" spans="1:26">
      <c r="A789" s="37"/>
      <c r="B789" s="37"/>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4.25" customHeight="1" spans="1:26">
      <c r="A790" s="37"/>
      <c r="B790" s="37"/>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4.25" customHeight="1" spans="1:26">
      <c r="A791" s="37"/>
      <c r="B791" s="37"/>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4.25" customHeight="1" spans="1:26">
      <c r="A792" s="37"/>
      <c r="B792" s="37"/>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4.25" customHeight="1" spans="1:26">
      <c r="A793" s="37"/>
      <c r="B793" s="37"/>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4.25" customHeight="1" spans="1:26">
      <c r="A794" s="37"/>
      <c r="B794" s="37"/>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4.25" customHeight="1" spans="1:26">
      <c r="A795" s="37"/>
      <c r="B795" s="37"/>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4.25" customHeight="1" spans="1:26">
      <c r="A796" s="37"/>
      <c r="B796" s="37"/>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4.25" customHeight="1" spans="1:26">
      <c r="A797" s="37"/>
      <c r="B797" s="37"/>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4.25" customHeight="1" spans="1:26">
      <c r="A798" s="37"/>
      <c r="B798" s="37"/>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4.25" customHeight="1" spans="1:26">
      <c r="A799" s="37"/>
      <c r="B799" s="37"/>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4.25" customHeight="1" spans="1:26">
      <c r="A800" s="37"/>
      <c r="B800" s="37"/>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4.25" customHeight="1" spans="1:26">
      <c r="A801" s="37"/>
      <c r="B801" s="37"/>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4.25" customHeight="1" spans="1:26">
      <c r="A802" s="37"/>
      <c r="B802" s="37"/>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4.25" customHeight="1" spans="1:26">
      <c r="A803" s="37"/>
      <c r="B803" s="37"/>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4.25" customHeight="1" spans="1:26">
      <c r="A804" s="37"/>
      <c r="B804" s="37"/>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4.25" customHeight="1" spans="1:26">
      <c r="A805" s="37"/>
      <c r="B805" s="37"/>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4.25" customHeight="1" spans="1:26">
      <c r="A806" s="37"/>
      <c r="B806" s="37"/>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4.25" customHeight="1" spans="1:26">
      <c r="A807" s="37"/>
      <c r="B807" s="37"/>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4.25" customHeight="1" spans="1:26">
      <c r="A808" s="37"/>
      <c r="B808" s="37"/>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4.25" customHeight="1" spans="1:26">
      <c r="A809" s="37"/>
      <c r="B809" s="37"/>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4.25" customHeight="1" spans="1:26">
      <c r="A810" s="37"/>
      <c r="B810" s="37"/>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4.25" customHeight="1" spans="1:26">
      <c r="A811" s="37"/>
      <c r="B811" s="37"/>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4.25" customHeight="1" spans="1:26">
      <c r="A812" s="37"/>
      <c r="B812" s="37"/>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4.25" customHeight="1" spans="1:26">
      <c r="A813" s="37"/>
      <c r="B813" s="37"/>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4.25" customHeight="1" spans="1:26">
      <c r="A814" s="37"/>
      <c r="B814" s="37"/>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4.25" customHeight="1" spans="1:26">
      <c r="A815" s="37"/>
      <c r="B815" s="37"/>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4.25" customHeight="1" spans="1:26">
      <c r="A816" s="37"/>
      <c r="B816" s="37"/>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4.25" customHeight="1" spans="1:26">
      <c r="A817" s="37"/>
      <c r="B817" s="37"/>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4.25" customHeight="1" spans="1:26">
      <c r="A818" s="37"/>
      <c r="B818" s="37"/>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4.25" customHeight="1" spans="1:26">
      <c r="A819" s="37"/>
      <c r="B819" s="37"/>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4.25" customHeight="1" spans="1:26">
      <c r="A820" s="37"/>
      <c r="B820" s="37"/>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4.25" customHeight="1" spans="1:26">
      <c r="A821" s="37"/>
      <c r="B821" s="37"/>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4.25" customHeight="1" spans="1:26">
      <c r="A822" s="37"/>
      <c r="B822" s="37"/>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4.25" customHeight="1" spans="1:26">
      <c r="A823" s="37"/>
      <c r="B823" s="37"/>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4.25" customHeight="1" spans="1:26">
      <c r="A824" s="37"/>
      <c r="B824" s="37"/>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4.25" customHeight="1" spans="1:26">
      <c r="A825" s="37"/>
      <c r="B825" s="37"/>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4.25" customHeight="1" spans="1:26">
      <c r="A826" s="37"/>
      <c r="B826" s="37"/>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4.25" customHeight="1" spans="1:26">
      <c r="A827" s="37"/>
      <c r="B827" s="37"/>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4.25" customHeight="1" spans="1:26">
      <c r="A828" s="37"/>
      <c r="B828" s="37"/>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4.25" customHeight="1" spans="1:26">
      <c r="A829" s="37"/>
      <c r="B829" s="37"/>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4.25" customHeight="1" spans="1:26">
      <c r="A830" s="37"/>
      <c r="B830" s="37"/>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4.25" customHeight="1" spans="1:26">
      <c r="A831" s="37"/>
      <c r="B831" s="37"/>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4.25" customHeight="1" spans="1:26">
      <c r="A832" s="37"/>
      <c r="B832" s="37"/>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4.25" customHeight="1" spans="1:26">
      <c r="A833" s="37"/>
      <c r="B833" s="37"/>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4.25" customHeight="1" spans="1:26">
      <c r="A834" s="37"/>
      <c r="B834" s="37"/>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4.25" customHeight="1" spans="1:26">
      <c r="A835" s="37"/>
      <c r="B835" s="37"/>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4.25" customHeight="1" spans="1:26">
      <c r="A836" s="37"/>
      <c r="B836" s="37"/>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4.25" customHeight="1" spans="1:26">
      <c r="A837" s="37"/>
      <c r="B837" s="37"/>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4.25" customHeight="1" spans="1:26">
      <c r="A838" s="37"/>
      <c r="B838" s="37"/>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4.25" customHeight="1" spans="1:26">
      <c r="A839" s="37"/>
      <c r="B839" s="37"/>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4.25" customHeight="1" spans="1:26">
      <c r="A840" s="37"/>
      <c r="B840" s="37"/>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4.25" customHeight="1" spans="1:26">
      <c r="A841" s="37"/>
      <c r="B841" s="37"/>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4.25" customHeight="1" spans="1:26">
      <c r="A842" s="37"/>
      <c r="B842" s="37"/>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4.25" customHeight="1" spans="1:26">
      <c r="A843" s="37"/>
      <c r="B843" s="37"/>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4.25" customHeight="1" spans="1:26">
      <c r="A844" s="37"/>
      <c r="B844" s="37"/>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4.25" customHeight="1" spans="1:26">
      <c r="A845" s="37"/>
      <c r="B845" s="37"/>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4.25" customHeight="1" spans="1:26">
      <c r="A846" s="37"/>
      <c r="B846" s="37"/>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4.25" customHeight="1" spans="1:26">
      <c r="A847" s="37"/>
      <c r="B847" s="37"/>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4.25" customHeight="1" spans="1:26">
      <c r="A848" s="37"/>
      <c r="B848" s="37"/>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4.25" customHeight="1" spans="1:26">
      <c r="A849" s="37"/>
      <c r="B849" s="37"/>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4.25" customHeight="1" spans="1:26">
      <c r="A850" s="37"/>
      <c r="B850" s="37"/>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4.25" customHeight="1" spans="1:26">
      <c r="A851" s="37"/>
      <c r="B851" s="37"/>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4.25" customHeight="1" spans="1:26">
      <c r="A852" s="37"/>
      <c r="B852" s="37"/>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4.25" customHeight="1" spans="1:26">
      <c r="A853" s="37"/>
      <c r="B853" s="37"/>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4.25" customHeight="1" spans="1:26">
      <c r="A854" s="37"/>
      <c r="B854" s="37"/>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4.25" customHeight="1" spans="1:26">
      <c r="A855" s="37"/>
      <c r="B855" s="37"/>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4.25" customHeight="1" spans="1:26">
      <c r="A856" s="37"/>
      <c r="B856" s="37"/>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4.25" customHeight="1" spans="1:26">
      <c r="A857" s="37"/>
      <c r="B857" s="37"/>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4.25" customHeight="1" spans="1:26">
      <c r="A858" s="37"/>
      <c r="B858" s="37"/>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4.25" customHeight="1" spans="1:26">
      <c r="A859" s="37"/>
      <c r="B859" s="37"/>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4.25" customHeight="1" spans="1:26">
      <c r="A860" s="37"/>
      <c r="B860" s="37"/>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4.25" customHeight="1" spans="1:26">
      <c r="A861" s="37"/>
      <c r="B861" s="37"/>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4.25" customHeight="1" spans="1:26">
      <c r="A862" s="37"/>
      <c r="B862" s="37"/>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4.25" customHeight="1" spans="1:26">
      <c r="A863" s="37"/>
      <c r="B863" s="37"/>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4.25" customHeight="1" spans="1:26">
      <c r="A864" s="37"/>
      <c r="B864" s="37"/>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4.25" customHeight="1" spans="1:26">
      <c r="A865" s="37"/>
      <c r="B865" s="37"/>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4.25" customHeight="1" spans="1:26">
      <c r="A866" s="37"/>
      <c r="B866" s="37"/>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4.25" customHeight="1" spans="1:26">
      <c r="A867" s="37"/>
      <c r="B867" s="37"/>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4.25" customHeight="1" spans="1:26">
      <c r="A868" s="37"/>
      <c r="B868" s="37"/>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4.25" customHeight="1" spans="1:26">
      <c r="A869" s="37"/>
      <c r="B869" s="37"/>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4.25" customHeight="1" spans="1:26">
      <c r="A870" s="37"/>
      <c r="B870" s="37"/>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4.25" customHeight="1" spans="1:26">
      <c r="A871" s="37"/>
      <c r="B871" s="37"/>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4.25" customHeight="1" spans="1:26">
      <c r="A872" s="37"/>
      <c r="B872" s="37"/>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4.25" customHeight="1" spans="1:26">
      <c r="A873" s="37"/>
      <c r="B873" s="37"/>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4.25" customHeight="1" spans="1:26">
      <c r="A874" s="37"/>
      <c r="B874" s="37"/>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4.25" customHeight="1" spans="1:26">
      <c r="A875" s="37"/>
      <c r="B875" s="37"/>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4.25" customHeight="1" spans="1:26">
      <c r="A876" s="37"/>
      <c r="B876" s="37"/>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4.25" customHeight="1" spans="1:26">
      <c r="A877" s="37"/>
      <c r="B877" s="37"/>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4.25" customHeight="1" spans="1:26">
      <c r="A878" s="37"/>
      <c r="B878" s="37"/>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4.25" customHeight="1" spans="1:26">
      <c r="A879" s="37"/>
      <c r="B879" s="37"/>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4.25" customHeight="1" spans="1:26">
      <c r="A880" s="37"/>
      <c r="B880" s="37"/>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4.25" customHeight="1" spans="1:26">
      <c r="A881" s="37"/>
      <c r="B881" s="37"/>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4.25" customHeight="1" spans="1:26">
      <c r="A882" s="37"/>
      <c r="B882" s="37"/>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4.25" customHeight="1" spans="1:26">
      <c r="A883" s="37"/>
      <c r="B883" s="37"/>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4.25" customHeight="1" spans="1:26">
      <c r="A884" s="37"/>
      <c r="B884" s="37"/>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4.25" customHeight="1" spans="1:26">
      <c r="A885" s="37"/>
      <c r="B885" s="37"/>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4.25" customHeight="1" spans="1:26">
      <c r="A886" s="37"/>
      <c r="B886" s="37"/>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4.25" customHeight="1" spans="1:26">
      <c r="A887" s="37"/>
      <c r="B887" s="37"/>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4.25" customHeight="1" spans="1:26">
      <c r="A888" s="37"/>
      <c r="B888" s="37"/>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4.25" customHeight="1" spans="1:26">
      <c r="A889" s="37"/>
      <c r="B889" s="37"/>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4.25" customHeight="1" spans="1:26">
      <c r="A890" s="37"/>
      <c r="B890" s="37"/>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4.25" customHeight="1" spans="1:26">
      <c r="A891" s="37"/>
      <c r="B891" s="37"/>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4.25" customHeight="1" spans="1:26">
      <c r="A892" s="37"/>
      <c r="B892" s="37"/>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4.25" customHeight="1" spans="1:26">
      <c r="A893" s="37"/>
      <c r="B893" s="37"/>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4.25" customHeight="1" spans="1:26">
      <c r="A894" s="37"/>
      <c r="B894" s="37"/>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4.25" customHeight="1" spans="1:26">
      <c r="A895" s="37"/>
      <c r="B895" s="37"/>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4.25" customHeight="1" spans="1:26">
      <c r="A896" s="37"/>
      <c r="B896" s="37"/>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4.25" customHeight="1" spans="1:26">
      <c r="A897" s="37"/>
      <c r="B897" s="37"/>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4.25" customHeight="1" spans="1:26">
      <c r="A898" s="37"/>
      <c r="B898" s="37"/>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4.25" customHeight="1" spans="1:26">
      <c r="A899" s="37"/>
      <c r="B899" s="37"/>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4.25" customHeight="1" spans="1:26">
      <c r="A900" s="37"/>
      <c r="B900" s="37"/>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4.25" customHeight="1" spans="1:26">
      <c r="A901" s="37"/>
      <c r="B901" s="37"/>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4.25" customHeight="1" spans="1:26">
      <c r="A902" s="37"/>
      <c r="B902" s="37"/>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4.25" customHeight="1" spans="1:26">
      <c r="A903" s="37"/>
      <c r="B903" s="37"/>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4.25" customHeight="1" spans="1:26">
      <c r="A904" s="37"/>
      <c r="B904" s="37"/>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4.25" customHeight="1" spans="1:26">
      <c r="A905" s="37"/>
      <c r="B905" s="37"/>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4.25" customHeight="1" spans="1:26">
      <c r="A906" s="37"/>
      <c r="B906" s="37"/>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4.25" customHeight="1" spans="1:26">
      <c r="A907" s="37"/>
      <c r="B907" s="37"/>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4.25" customHeight="1" spans="1:26">
      <c r="A908" s="37"/>
      <c r="B908" s="37"/>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4.25" customHeight="1" spans="1:26">
      <c r="A909" s="37"/>
      <c r="B909" s="37"/>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4.25" customHeight="1" spans="1:26">
      <c r="A910" s="37"/>
      <c r="B910" s="37"/>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4.25" customHeight="1" spans="1:26">
      <c r="A911" s="37"/>
      <c r="B911" s="37"/>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4.25" customHeight="1" spans="1:26">
      <c r="A912" s="37"/>
      <c r="B912" s="37"/>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4.25" customHeight="1" spans="1:26">
      <c r="A913" s="37"/>
      <c r="B913" s="37"/>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4.25" customHeight="1" spans="1:26">
      <c r="A914" s="37"/>
      <c r="B914" s="37"/>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4.25" customHeight="1" spans="1:26">
      <c r="A915" s="37"/>
      <c r="B915" s="37"/>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4.25" customHeight="1" spans="1:26">
      <c r="A916" s="37"/>
      <c r="B916" s="37"/>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4.25" customHeight="1" spans="1:26">
      <c r="A917" s="37"/>
      <c r="B917" s="37"/>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4.25" customHeight="1" spans="1:26">
      <c r="A918" s="37"/>
      <c r="B918" s="37"/>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4.25" customHeight="1" spans="1:26">
      <c r="A919" s="37"/>
      <c r="B919" s="37"/>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4.25" customHeight="1" spans="1:26">
      <c r="A920" s="37"/>
      <c r="B920" s="37"/>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4.25" customHeight="1" spans="1:26">
      <c r="A921" s="37"/>
      <c r="B921" s="37"/>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4.25" customHeight="1" spans="1:26">
      <c r="A922" s="37"/>
      <c r="B922" s="37"/>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4.25" customHeight="1" spans="1:26">
      <c r="A923" s="37"/>
      <c r="B923" s="37"/>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4.25" customHeight="1" spans="1:26">
      <c r="A924" s="37"/>
      <c r="B924" s="37"/>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4.25" customHeight="1" spans="1:26">
      <c r="A925" s="37"/>
      <c r="B925" s="37"/>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4.25" customHeight="1" spans="1:26">
      <c r="A926" s="37"/>
      <c r="B926" s="37"/>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4.25" customHeight="1" spans="1:26">
      <c r="A927" s="37"/>
      <c r="B927" s="37"/>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4.25" customHeight="1" spans="1:26">
      <c r="A928" s="37"/>
      <c r="B928" s="37"/>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4.25" customHeight="1" spans="1:26">
      <c r="A929" s="37"/>
      <c r="B929" s="37"/>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4.25" customHeight="1" spans="1:26">
      <c r="A930" s="37"/>
      <c r="B930" s="37"/>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4.25" customHeight="1" spans="1:26">
      <c r="A931" s="37"/>
      <c r="B931" s="37"/>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4.25" customHeight="1" spans="1:26">
      <c r="A932" s="37"/>
      <c r="B932" s="37"/>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4.25" customHeight="1" spans="1:26">
      <c r="A933" s="37"/>
      <c r="B933" s="37"/>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4.25" customHeight="1" spans="1:26">
      <c r="A934" s="37"/>
      <c r="B934" s="37"/>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4.25" customHeight="1" spans="1:26">
      <c r="A935" s="37"/>
      <c r="B935" s="37"/>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4.25" customHeight="1" spans="1:26">
      <c r="A936" s="37"/>
      <c r="B936" s="37"/>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4.25" customHeight="1" spans="1:26">
      <c r="A937" s="37"/>
      <c r="B937" s="37"/>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4.25" customHeight="1" spans="1:26">
      <c r="A938" s="37"/>
      <c r="B938" s="37"/>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4.25" customHeight="1" spans="1:26">
      <c r="A939" s="37"/>
      <c r="B939" s="37"/>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4.25" customHeight="1" spans="1:26">
      <c r="A940" s="37"/>
      <c r="B940" s="37"/>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4.25" customHeight="1" spans="1:26">
      <c r="A941" s="37"/>
      <c r="B941" s="37"/>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4.25" customHeight="1" spans="1:26">
      <c r="A942" s="37"/>
      <c r="B942" s="37"/>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4.25" customHeight="1" spans="1:26">
      <c r="A943" s="37"/>
      <c r="B943" s="37"/>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4.25" customHeight="1" spans="1:26">
      <c r="A944" s="37"/>
      <c r="B944" s="37"/>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4.25" customHeight="1" spans="1:26">
      <c r="A945" s="37"/>
      <c r="B945" s="37"/>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4.25" customHeight="1" spans="1:26">
      <c r="A946" s="37"/>
      <c r="B946" s="37"/>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4.25" customHeight="1" spans="1:26">
      <c r="A947" s="37"/>
      <c r="B947" s="37"/>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4.25" customHeight="1" spans="1:26">
      <c r="A948" s="37"/>
      <c r="B948" s="37"/>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4.25" customHeight="1" spans="1:26">
      <c r="A949" s="37"/>
      <c r="B949" s="37"/>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4.25" customHeight="1" spans="1:26">
      <c r="A950" s="37"/>
      <c r="B950" s="37"/>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4.25" customHeight="1" spans="1:26">
      <c r="A951" s="37"/>
      <c r="B951" s="37"/>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4.25" customHeight="1" spans="1:26">
      <c r="A952" s="37"/>
      <c r="B952" s="37"/>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4.25" customHeight="1" spans="1:26">
      <c r="A953" s="37"/>
      <c r="B953" s="37"/>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4.25" customHeight="1" spans="1:26">
      <c r="A954" s="37"/>
      <c r="B954" s="37"/>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4.25" customHeight="1" spans="1:26">
      <c r="A955" s="37"/>
      <c r="B955" s="37"/>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4.25" customHeight="1" spans="1:26">
      <c r="A956" s="37"/>
      <c r="B956" s="37"/>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4.25" customHeight="1" spans="1:26">
      <c r="A957" s="37"/>
      <c r="B957" s="37"/>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4.25" customHeight="1" spans="1:26">
      <c r="A958" s="37"/>
      <c r="B958" s="37"/>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4.25" customHeight="1" spans="1:26">
      <c r="A959" s="37"/>
      <c r="B959" s="37"/>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4.25" customHeight="1" spans="1:26">
      <c r="A960" s="37"/>
      <c r="B960" s="37"/>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4.25" customHeight="1" spans="1:26">
      <c r="A961" s="37"/>
      <c r="B961" s="37"/>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4.25" customHeight="1" spans="1:26">
      <c r="A962" s="37"/>
      <c r="B962" s="37"/>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4.25" customHeight="1" spans="1:26">
      <c r="A963" s="37"/>
      <c r="B963" s="37"/>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4.25" customHeight="1" spans="1:26">
      <c r="A964" s="37"/>
      <c r="B964" s="37"/>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4.25" customHeight="1" spans="1:26">
      <c r="A965" s="37"/>
      <c r="B965" s="37"/>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4.25" customHeight="1" spans="1:26">
      <c r="A966" s="37"/>
      <c r="B966" s="37"/>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4.25" customHeight="1" spans="1:26">
      <c r="A967" s="37"/>
      <c r="B967" s="37"/>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4.25" customHeight="1" spans="1:26">
      <c r="A968" s="37"/>
      <c r="B968" s="37"/>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4.25" customHeight="1" spans="1:26">
      <c r="A969" s="37"/>
      <c r="B969" s="37"/>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4.25" customHeight="1" spans="1:26">
      <c r="A970" s="37"/>
      <c r="B970" s="37"/>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4.25" customHeight="1" spans="1:26">
      <c r="A971" s="37"/>
      <c r="B971" s="37"/>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4.25" customHeight="1" spans="1:26">
      <c r="A972" s="37"/>
      <c r="B972" s="37"/>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4.25" customHeight="1" spans="1:26">
      <c r="A973" s="37"/>
      <c r="B973" s="37"/>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4.25" customHeight="1" spans="1:26">
      <c r="A974" s="37"/>
      <c r="B974" s="37"/>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4.25" customHeight="1" spans="1:26">
      <c r="A975" s="37"/>
      <c r="B975" s="37"/>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4.25" customHeight="1" spans="1:26">
      <c r="A976" s="37"/>
      <c r="B976" s="37"/>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4.25" customHeight="1" spans="1:26">
      <c r="A977" s="37"/>
      <c r="B977" s="37"/>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4.25" customHeight="1" spans="1:26">
      <c r="A978" s="37"/>
      <c r="B978" s="37"/>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4.25" customHeight="1" spans="1:26">
      <c r="A979" s="37"/>
      <c r="B979" s="37"/>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4.25" customHeight="1" spans="1:26">
      <c r="A980" s="37"/>
      <c r="B980" s="37"/>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4.25" customHeight="1" spans="1:26">
      <c r="A981" s="37"/>
      <c r="B981" s="37"/>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4.25" customHeight="1" spans="1:26">
      <c r="A982" s="37"/>
      <c r="B982" s="37"/>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4.25" customHeight="1" spans="1:26">
      <c r="A983" s="37"/>
      <c r="B983" s="37"/>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4.25" customHeight="1" spans="1:26">
      <c r="A984" s="37"/>
      <c r="B984" s="37"/>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4.25" customHeight="1" spans="1:26">
      <c r="A985" s="37"/>
      <c r="B985" s="37"/>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4.25" customHeight="1" spans="1:26">
      <c r="A986" s="37"/>
      <c r="B986" s="37"/>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4.25" customHeight="1" spans="1:26">
      <c r="A987" s="37"/>
      <c r="B987" s="37"/>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4.25" customHeight="1" spans="1:26">
      <c r="A988" s="37"/>
      <c r="B988" s="37"/>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4.25" customHeight="1" spans="1:26">
      <c r="A989" s="37"/>
      <c r="B989" s="37"/>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4.25" customHeight="1" spans="1:26">
      <c r="A990" s="37"/>
      <c r="B990" s="37"/>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4.25" customHeight="1" spans="1:26">
      <c r="A991" s="37"/>
      <c r="B991" s="37"/>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4.25" customHeight="1" spans="1:26">
      <c r="A992" s="37"/>
      <c r="B992" s="37"/>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4.25" customHeight="1" spans="1:26">
      <c r="A993" s="37"/>
      <c r="B993" s="37"/>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4.25" customHeight="1" spans="1:26">
      <c r="A994" s="37"/>
      <c r="B994" s="37"/>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4.25" customHeight="1" spans="1:26">
      <c r="A995" s="37"/>
      <c r="B995" s="37"/>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4.25" customHeight="1" spans="1:26">
      <c r="A996" s="37"/>
      <c r="B996" s="37"/>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4.25" customHeight="1" spans="1:26">
      <c r="A997" s="37"/>
      <c r="B997" s="37"/>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4.25" customHeight="1" spans="1:26">
      <c r="A998" s="37"/>
      <c r="B998" s="37"/>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4.25" customHeight="1" spans="1:26">
      <c r="A999" s="37"/>
      <c r="B999" s="37"/>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4.25" customHeight="1" spans="1:26">
      <c r="A1000" s="37"/>
      <c r="B1000" s="37"/>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autoFilter xmlns:etc="http://www.wps.cn/officeDocument/2017/etCustomData" ref="A1:F159" etc:filterBottomFollowUsedRange="0">
    <extLst/>
  </autoFilter>
  <dataValidations count="1">
    <dataValidation type="list" allowBlank="1" showErrorMessage="1" sqref="D2:D159">
      <formula1>"Milestone 1,Milestone 2,Milestone 3,Milestone 4,Milestone 5,Phase 5,Phase 6"</formula1>
    </dataValidation>
  </dataValidations>
  <pageMargins left="0.75" right="0.75" top="1" bottom="1"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1" workbookViewId="0">
      <pane ySplit="2" topLeftCell="A3" activePane="bottomLeft" state="frozen"/>
      <selection/>
      <selection pane="bottomLeft" activeCell="A1" sqref="A1:J1"/>
    </sheetView>
  </sheetViews>
  <sheetFormatPr defaultColWidth="9" defaultRowHeight="16.8"/>
  <cols>
    <col min="1" max="1" width="5.4296875" customWidth="1"/>
    <col min="2" max="2" width="11.4296875" customWidth="1"/>
    <col min="3" max="3" width="13.140625" customWidth="1"/>
    <col min="4" max="4" width="89.2890625" customWidth="1"/>
    <col min="5" max="5" width="14" customWidth="1"/>
    <col min="6" max="6" width="13.5703125" customWidth="1"/>
    <col min="7" max="7" width="11.140625" customWidth="1"/>
    <col min="8" max="8" width="13.2890625" customWidth="1"/>
    <col min="9" max="9" width="12" customWidth="1"/>
    <col min="10" max="10" width="17" customWidth="1"/>
  </cols>
  <sheetData>
    <row r="1" spans="1:10">
      <c r="A1" s="2" t="s">
        <v>898</v>
      </c>
      <c r="B1" s="3"/>
      <c r="C1" s="3"/>
      <c r="D1" s="3"/>
      <c r="E1" s="3"/>
      <c r="F1" s="3"/>
      <c r="G1" s="3"/>
      <c r="H1" s="3"/>
      <c r="I1" s="3"/>
      <c r="J1" s="4"/>
    </row>
    <row r="2" ht="17" spans="1:10">
      <c r="A2" s="5" t="s">
        <v>899</v>
      </c>
      <c r="B2" s="6" t="s">
        <v>3</v>
      </c>
      <c r="C2" s="7" t="s">
        <v>900</v>
      </c>
      <c r="D2" s="8" t="s">
        <v>901</v>
      </c>
      <c r="E2" s="5" t="s">
        <v>902</v>
      </c>
      <c r="F2" s="6" t="s">
        <v>903</v>
      </c>
      <c r="G2" s="6" t="s">
        <v>5</v>
      </c>
      <c r="H2" s="6" t="s">
        <v>904</v>
      </c>
      <c r="I2" s="6" t="s">
        <v>905</v>
      </c>
      <c r="J2" s="6" t="s">
        <v>7</v>
      </c>
    </row>
    <row r="3" ht="34" spans="1:10">
      <c r="A3" s="9">
        <v>1</v>
      </c>
      <c r="B3" s="10" t="s">
        <v>623</v>
      </c>
      <c r="C3" s="11"/>
      <c r="D3" s="12" t="s">
        <v>906</v>
      </c>
      <c r="E3" s="11"/>
      <c r="F3" s="10"/>
      <c r="G3" s="10"/>
      <c r="H3" s="10"/>
      <c r="I3" s="10"/>
      <c r="J3" s="10"/>
    </row>
    <row r="4" ht="17" spans="1:10">
      <c r="A4" s="13"/>
      <c r="B4" s="10" t="s">
        <v>623</v>
      </c>
      <c r="C4" s="14" t="s">
        <v>907</v>
      </c>
      <c r="D4" s="12" t="s">
        <v>908</v>
      </c>
      <c r="E4" s="11">
        <v>2</v>
      </c>
      <c r="F4" s="10" t="s">
        <v>909</v>
      </c>
      <c r="G4" s="10" t="s">
        <v>164</v>
      </c>
      <c r="H4" s="15">
        <v>46237</v>
      </c>
      <c r="I4" s="15">
        <v>46237</v>
      </c>
      <c r="J4" s="15">
        <v>46234</v>
      </c>
    </row>
    <row r="5" ht="17" spans="1:10">
      <c r="A5" s="13"/>
      <c r="B5" s="10" t="s">
        <v>623</v>
      </c>
      <c r="C5" s="13"/>
      <c r="D5" s="12" t="s">
        <v>910</v>
      </c>
      <c r="E5" s="11">
        <v>10</v>
      </c>
      <c r="F5" s="10" t="s">
        <v>909</v>
      </c>
      <c r="G5" s="10" t="s">
        <v>164</v>
      </c>
      <c r="H5" s="15">
        <v>46237</v>
      </c>
      <c r="I5" s="15">
        <v>46238</v>
      </c>
      <c r="J5" s="15">
        <v>46234</v>
      </c>
    </row>
    <row r="6" ht="17" spans="1:10">
      <c r="A6" s="13"/>
      <c r="B6" s="10" t="s">
        <v>623</v>
      </c>
      <c r="C6" s="13"/>
      <c r="D6" s="12" t="s">
        <v>911</v>
      </c>
      <c r="E6" s="11">
        <v>8</v>
      </c>
      <c r="F6" s="10" t="s">
        <v>909</v>
      </c>
      <c r="G6" s="10" t="s">
        <v>164</v>
      </c>
      <c r="H6" s="15">
        <v>46238</v>
      </c>
      <c r="I6" s="15">
        <v>46239</v>
      </c>
      <c r="J6" s="15">
        <v>46234</v>
      </c>
    </row>
    <row r="7" ht="17" spans="1:10">
      <c r="A7" s="13"/>
      <c r="B7" s="10" t="s">
        <v>623</v>
      </c>
      <c r="C7" s="16"/>
      <c r="D7" s="12" t="s">
        <v>912</v>
      </c>
      <c r="E7" s="11">
        <v>4</v>
      </c>
      <c r="F7" s="10" t="s">
        <v>909</v>
      </c>
      <c r="G7" s="10" t="s">
        <v>164</v>
      </c>
      <c r="H7" s="15">
        <v>46239</v>
      </c>
      <c r="I7" s="15">
        <v>46239</v>
      </c>
      <c r="J7" s="15">
        <v>46234</v>
      </c>
    </row>
    <row r="8" ht="17" spans="1:10">
      <c r="A8" s="13"/>
      <c r="B8" s="10" t="s">
        <v>623</v>
      </c>
      <c r="C8" s="17" t="s">
        <v>913</v>
      </c>
      <c r="D8" s="12" t="s">
        <v>914</v>
      </c>
      <c r="E8" s="11">
        <v>16</v>
      </c>
      <c r="F8" s="10" t="s">
        <v>915</v>
      </c>
      <c r="G8" s="10" t="s">
        <v>164</v>
      </c>
      <c r="H8" s="15">
        <v>46237</v>
      </c>
      <c r="I8" s="15">
        <v>46238</v>
      </c>
      <c r="J8" s="15">
        <v>46234</v>
      </c>
    </row>
    <row r="9" ht="34" spans="1:10">
      <c r="A9" s="13"/>
      <c r="B9" s="10" t="s">
        <v>129</v>
      </c>
      <c r="C9" s="14" t="s">
        <v>916</v>
      </c>
      <c r="D9" s="12" t="s">
        <v>917</v>
      </c>
      <c r="E9" s="11">
        <v>8</v>
      </c>
      <c r="F9" s="10" t="s">
        <v>269</v>
      </c>
      <c r="G9" s="10" t="s">
        <v>325</v>
      </c>
      <c r="H9" s="15">
        <v>46237</v>
      </c>
      <c r="I9" s="15">
        <v>46237</v>
      </c>
      <c r="J9" s="15">
        <v>46234</v>
      </c>
    </row>
    <row r="10" ht="17" spans="1:10">
      <c r="A10" s="13"/>
      <c r="B10" s="10" t="s">
        <v>129</v>
      </c>
      <c r="C10" s="16"/>
      <c r="D10" s="12" t="s">
        <v>918</v>
      </c>
      <c r="E10" s="11">
        <v>16</v>
      </c>
      <c r="F10" s="10" t="s">
        <v>269</v>
      </c>
      <c r="G10" s="10" t="s">
        <v>164</v>
      </c>
      <c r="H10" s="15">
        <v>46238</v>
      </c>
      <c r="I10" s="15">
        <v>46239</v>
      </c>
      <c r="J10" s="15">
        <v>46234</v>
      </c>
    </row>
    <row r="11" ht="17" spans="1:10">
      <c r="A11" s="16"/>
      <c r="B11" s="10" t="s">
        <v>623</v>
      </c>
      <c r="C11" s="14" t="s">
        <v>919</v>
      </c>
      <c r="D11" s="12" t="s">
        <v>920</v>
      </c>
      <c r="E11" s="11">
        <v>0</v>
      </c>
      <c r="F11" s="10" t="s">
        <v>185</v>
      </c>
      <c r="G11" s="10" t="s">
        <v>164</v>
      </c>
      <c r="H11" s="15">
        <v>46237</v>
      </c>
      <c r="I11" s="15">
        <v>46237</v>
      </c>
      <c r="J11" s="15">
        <v>46234</v>
      </c>
    </row>
    <row r="12" ht="34" spans="1:10">
      <c r="A12" s="11">
        <v>2</v>
      </c>
      <c r="B12" s="10" t="s">
        <v>129</v>
      </c>
      <c r="C12" s="11"/>
      <c r="D12" s="12" t="s">
        <v>921</v>
      </c>
      <c r="E12" s="11"/>
      <c r="F12" s="10"/>
      <c r="G12" s="10" t="s">
        <v>164</v>
      </c>
      <c r="H12" s="10"/>
      <c r="I12" s="10"/>
      <c r="J12" s="15">
        <v>46234</v>
      </c>
    </row>
    <row r="13" spans="1:10">
      <c r="A13" s="18">
        <v>3</v>
      </c>
      <c r="B13" s="10" t="s">
        <v>922</v>
      </c>
      <c r="C13" s="11"/>
      <c r="D13" s="19" t="s">
        <v>923</v>
      </c>
      <c r="E13" s="11"/>
      <c r="F13" s="10"/>
      <c r="G13" s="10"/>
      <c r="H13" s="10"/>
      <c r="I13" s="10"/>
      <c r="J13" s="10"/>
    </row>
    <row r="14" spans="1:10">
      <c r="A14" s="13"/>
      <c r="B14" s="10" t="s">
        <v>922</v>
      </c>
      <c r="C14" s="11" t="s">
        <v>924</v>
      </c>
      <c r="D14" s="19" t="s">
        <v>925</v>
      </c>
      <c r="E14" s="11"/>
      <c r="F14" s="10"/>
      <c r="G14" s="10"/>
      <c r="H14" s="10"/>
      <c r="I14" s="10"/>
      <c r="J14" s="10"/>
    </row>
    <row r="15" spans="1:10">
      <c r="A15" s="13"/>
      <c r="B15" s="10" t="s">
        <v>922</v>
      </c>
      <c r="C15" s="11" t="s">
        <v>926</v>
      </c>
      <c r="D15" s="19" t="s">
        <v>927</v>
      </c>
      <c r="E15" s="11"/>
      <c r="F15" s="10"/>
      <c r="G15" s="10"/>
      <c r="H15" s="10"/>
      <c r="I15" s="10"/>
      <c r="J15" s="10"/>
    </row>
    <row r="16" spans="1:10">
      <c r="A16" s="13"/>
      <c r="B16" s="10" t="s">
        <v>922</v>
      </c>
      <c r="C16" s="11" t="s">
        <v>928</v>
      </c>
      <c r="D16" s="10" t="s">
        <v>929</v>
      </c>
      <c r="E16" s="11"/>
      <c r="F16" s="10"/>
      <c r="G16" s="10"/>
      <c r="H16" s="10"/>
      <c r="I16" s="10"/>
      <c r="J16" s="10"/>
    </row>
    <row r="17" spans="1:10">
      <c r="A17" s="13"/>
      <c r="B17" s="10" t="s">
        <v>922</v>
      </c>
      <c r="C17" s="11" t="s">
        <v>930</v>
      </c>
      <c r="D17" s="10"/>
      <c r="E17" s="11"/>
      <c r="F17" s="10"/>
      <c r="G17" s="10"/>
      <c r="H17" s="10"/>
      <c r="I17" s="10"/>
      <c r="J17" s="10"/>
    </row>
    <row r="18" spans="1:10">
      <c r="A18" s="13"/>
      <c r="B18" s="10" t="s">
        <v>922</v>
      </c>
      <c r="C18" s="11" t="s">
        <v>931</v>
      </c>
      <c r="D18" s="10"/>
      <c r="E18" s="11"/>
      <c r="F18" s="10"/>
      <c r="G18" s="10"/>
      <c r="H18" s="10"/>
      <c r="I18" s="10"/>
      <c r="J18" s="10"/>
    </row>
    <row r="19" spans="1:10">
      <c r="A19" s="13"/>
      <c r="B19" s="10" t="s">
        <v>922</v>
      </c>
      <c r="C19" s="11" t="s">
        <v>932</v>
      </c>
      <c r="D19" s="10"/>
      <c r="E19" s="11"/>
      <c r="F19" s="10"/>
      <c r="G19" s="10"/>
      <c r="H19" s="10"/>
      <c r="I19" s="10"/>
      <c r="J19" s="10"/>
    </row>
    <row r="20" spans="1:10">
      <c r="A20" s="13"/>
      <c r="B20" s="10" t="s">
        <v>922</v>
      </c>
      <c r="C20" s="11" t="s">
        <v>933</v>
      </c>
      <c r="D20" s="10"/>
      <c r="E20" s="11"/>
      <c r="F20" s="10"/>
      <c r="G20" s="10"/>
      <c r="H20" s="10"/>
      <c r="I20" s="10"/>
      <c r="J20" s="10"/>
    </row>
    <row r="21" spans="1:10">
      <c r="A21" s="16"/>
      <c r="B21" s="10" t="s">
        <v>922</v>
      </c>
      <c r="C21" s="11" t="s">
        <v>934</v>
      </c>
      <c r="D21" s="10"/>
      <c r="E21" s="11"/>
      <c r="F21" s="10"/>
      <c r="G21" s="10"/>
      <c r="H21" s="10"/>
      <c r="I21" s="10"/>
      <c r="J21" s="10"/>
    </row>
    <row r="22" spans="1:10">
      <c r="A22" s="11">
        <v>4</v>
      </c>
      <c r="B22" s="10"/>
      <c r="C22" s="11"/>
      <c r="D22" s="10"/>
      <c r="E22" s="11"/>
      <c r="F22" s="10"/>
      <c r="G22" s="10"/>
      <c r="H22" s="10"/>
      <c r="I22" s="10"/>
      <c r="J22" s="10"/>
    </row>
    <row r="23" spans="1:10">
      <c r="A23" s="11">
        <v>5</v>
      </c>
      <c r="B23" s="10"/>
      <c r="C23" s="11"/>
      <c r="D23" s="10"/>
      <c r="E23" s="11"/>
      <c r="F23" s="10"/>
      <c r="G23" s="10"/>
      <c r="H23" s="10"/>
      <c r="I23" s="10"/>
      <c r="J23" s="10"/>
    </row>
    <row r="24" spans="1:10">
      <c r="A24" s="11">
        <v>6</v>
      </c>
      <c r="B24" s="10"/>
      <c r="C24" s="11"/>
      <c r="D24" s="10"/>
      <c r="E24" s="11"/>
      <c r="F24" s="10"/>
      <c r="G24" s="10"/>
      <c r="H24" s="10"/>
      <c r="I24" s="10"/>
      <c r="J24" s="10"/>
    </row>
    <row r="25" spans="1:10">
      <c r="A25" s="11">
        <v>7</v>
      </c>
      <c r="B25" s="10"/>
      <c r="C25" s="11"/>
      <c r="D25" s="10"/>
      <c r="E25" s="11"/>
      <c r="F25" s="10"/>
      <c r="G25" s="10"/>
      <c r="H25" s="10"/>
      <c r="I25" s="10"/>
      <c r="J25" s="10"/>
    </row>
    <row r="26" spans="1:10">
      <c r="A26" s="11">
        <v>8</v>
      </c>
      <c r="B26" s="10"/>
      <c r="C26" s="11"/>
      <c r="D26" s="10"/>
      <c r="E26" s="11"/>
      <c r="F26" s="10"/>
      <c r="G26" s="10"/>
      <c r="H26" s="10"/>
      <c r="I26" s="10"/>
      <c r="J26" s="10"/>
    </row>
    <row r="27" spans="1:10">
      <c r="A27" s="11">
        <v>9</v>
      </c>
      <c r="B27" s="10"/>
      <c r="C27" s="11"/>
      <c r="D27" s="10"/>
      <c r="E27" s="11"/>
      <c r="F27" s="10"/>
      <c r="G27" s="10"/>
      <c r="H27" s="10"/>
      <c r="I27" s="10"/>
      <c r="J27" s="10"/>
    </row>
    <row r="28" spans="1:10">
      <c r="A28" s="11">
        <v>10</v>
      </c>
      <c r="B28" s="10"/>
      <c r="C28" s="11"/>
      <c r="D28" s="10"/>
      <c r="E28" s="11"/>
      <c r="F28" s="10"/>
      <c r="G28" s="10"/>
      <c r="H28" s="10"/>
      <c r="I28" s="10"/>
      <c r="J28" s="10"/>
    </row>
  </sheetData>
  <mergeCells count="5">
    <mergeCell ref="A1:J1"/>
    <mergeCell ref="A3:A11"/>
    <mergeCell ref="A13:A21"/>
    <mergeCell ref="C4:C7"/>
    <mergeCell ref="C9:C1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
  <sheetViews>
    <sheetView workbookViewId="0">
      <selection activeCell="A1" sqref="A1"/>
    </sheetView>
  </sheetViews>
  <sheetFormatPr defaultColWidth="9" defaultRowHeight="16.8" outlineLevelCol="7"/>
  <cols>
    <col min="1" max="1" width="5.0625" customWidth="1"/>
    <col min="2" max="2" width="6.9375" customWidth="1"/>
    <col min="3" max="3" width="10.5625" customWidth="1"/>
    <col min="4" max="4" width="9.4375" customWidth="1"/>
    <col min="5" max="5" width="6.875" customWidth="1"/>
    <col min="6" max="6" width="8.875" customWidth="1"/>
    <col min="7" max="7" width="8.1875" customWidth="1"/>
    <col min="8" max="8" width="7.0625" customWidth="1"/>
  </cols>
  <sheetData>
    <row r="1" spans="1:8">
      <c r="A1" s="1" t="s">
        <v>899</v>
      </c>
      <c r="B1" s="1" t="s">
        <v>10</v>
      </c>
      <c r="C1" s="1" t="s">
        <v>935</v>
      </c>
      <c r="D1" s="1" t="s">
        <v>936</v>
      </c>
      <c r="E1" s="1" t="s">
        <v>5</v>
      </c>
      <c r="F1" s="1" t="s">
        <v>937</v>
      </c>
      <c r="G1" s="1" t="s">
        <v>938</v>
      </c>
      <c r="H1" s="1" t="s">
        <v>939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5"/>
  <sheetViews>
    <sheetView workbookViewId="0">
      <selection activeCell="A1" sqref="A1"/>
    </sheetView>
  </sheetViews>
  <sheetFormatPr defaultColWidth="9" defaultRowHeight="16.8" outlineLevelCol="5"/>
  <sheetData>
    <row r="1" spans="1:6">
      <c r="A1" t="s">
        <v>3</v>
      </c>
      <c r="B1" t="s">
        <v>4</v>
      </c>
      <c r="C1" t="s">
        <v>5</v>
      </c>
      <c r="D1" t="s">
        <v>940</v>
      </c>
      <c r="E1" t="s">
        <v>941</v>
      </c>
      <c r="F1" t="s">
        <v>942</v>
      </c>
    </row>
    <row r="2" spans="1:6">
      <c r="A2" t="str">
        <f>'SOW, Feedbacks-Bug &amp; CR_Items'!D2</f>
        <v>Framework</v>
      </c>
      <c r="B2" t="str">
        <f>'SOW, Feedbacks-Bug &amp; CR_Items'!E2</f>
        <v>Milestone 1</v>
      </c>
      <c r="C2" t="str">
        <f>'SOW, Feedbacks-Bug &amp; CR_Items'!F2</f>
        <v>Delivered</v>
      </c>
      <c r="D2" t="str">
        <f>IFERROR(VLOOKUP(C2,Config!$A:$B,2,0),"Unknown")</f>
        <v>Delivered</v>
      </c>
      <c r="E2" t="str">
        <f>IFERROR(VLOOKUP(C2,Config!$A:$C,3,0),"N/A")</f>
        <v>Delivered</v>
      </c>
      <c r="F2">
        <f>IF('SOW, Feedbacks-Bug &amp; CR_Items'!H2="","",'SOW, Feedbacks-Bug &amp; CR_Items'!H2)</f>
        <v>45717</v>
      </c>
    </row>
    <row r="3" spans="1:6">
      <c r="A3" t="str">
        <f>'SOW, Feedbacks-Bug &amp; CR_Items'!D3</f>
        <v>Framework</v>
      </c>
      <c r="B3" t="str">
        <f>'SOW, Feedbacks-Bug &amp; CR_Items'!E3</f>
        <v>Milestone 1</v>
      </c>
      <c r="C3" t="str">
        <f>'SOW, Feedbacks-Bug &amp; CR_Items'!F3</f>
        <v>Delivered</v>
      </c>
      <c r="D3" t="str">
        <f>IFERROR(VLOOKUP(C3,Config!$A:$B,2,0),"Unknown")</f>
        <v>Delivered</v>
      </c>
      <c r="E3" t="str">
        <f>IFERROR(VLOOKUP(C3,Config!$A:$C,3,0),"N/A")</f>
        <v>Delivered</v>
      </c>
      <c r="F3">
        <f>IF('SOW, Feedbacks-Bug &amp; CR_Items'!H3="","",'SOW, Feedbacks-Bug &amp; CR_Items'!H3)</f>
        <v>45717</v>
      </c>
    </row>
    <row r="4" spans="1:6">
      <c r="A4" t="str">
        <f>'SOW, Feedbacks-Bug &amp; CR_Items'!D4</f>
        <v>Framework</v>
      </c>
      <c r="B4" t="str">
        <f>'SOW, Feedbacks-Bug &amp; CR_Items'!E4</f>
        <v>Milestone 1</v>
      </c>
      <c r="C4" t="str">
        <f>'SOW, Feedbacks-Bug &amp; CR_Items'!F4</f>
        <v>Delivered</v>
      </c>
      <c r="D4" t="str">
        <f>IFERROR(VLOOKUP(C4,Config!$A:$B,2,0),"Unknown")</f>
        <v>Delivered</v>
      </c>
      <c r="E4" t="str">
        <f>IFERROR(VLOOKUP(C4,Config!$A:$C,3,0),"N/A")</f>
        <v>Delivered</v>
      </c>
      <c r="F4">
        <f>IF('SOW, Feedbacks-Bug &amp; CR_Items'!H4="","",'SOW, Feedbacks-Bug &amp; CR_Items'!H4)</f>
        <v>45717</v>
      </c>
    </row>
    <row r="5" spans="1:6">
      <c r="A5" t="str">
        <f>'SOW, Feedbacks-Bug &amp; CR_Items'!D5</f>
        <v>Framework</v>
      </c>
      <c r="B5" t="str">
        <f>'SOW, Feedbacks-Bug &amp; CR_Items'!E5</f>
        <v>Milestone 1</v>
      </c>
      <c r="C5" t="str">
        <f>'SOW, Feedbacks-Bug &amp; CR_Items'!F5</f>
        <v>Delivered</v>
      </c>
      <c r="D5" t="str">
        <f>IFERROR(VLOOKUP(C5,Config!$A:$B,2,0),"Unknown")</f>
        <v>Delivered</v>
      </c>
      <c r="E5" t="str">
        <f>IFERROR(VLOOKUP(C5,Config!$A:$C,3,0),"N/A")</f>
        <v>Delivered</v>
      </c>
      <c r="F5">
        <f>IF('SOW, Feedbacks-Bug &amp; CR_Items'!H5="","",'SOW, Feedbacks-Bug &amp; CR_Items'!H5)</f>
        <v>45717</v>
      </c>
    </row>
    <row r="6" spans="1:6">
      <c r="A6" t="str">
        <f>'SOW, Feedbacks-Bug &amp; CR_Items'!D6</f>
        <v>Framework</v>
      </c>
      <c r="B6" t="str">
        <f>'SOW, Feedbacks-Bug &amp; CR_Items'!E6</f>
        <v>Milestone 1</v>
      </c>
      <c r="C6" t="str">
        <f>'SOW, Feedbacks-Bug &amp; CR_Items'!F6</f>
        <v>Delivered</v>
      </c>
      <c r="D6" t="str">
        <f>IFERROR(VLOOKUP(C6,Config!$A:$B,2,0),"Unknown")</f>
        <v>Delivered</v>
      </c>
      <c r="E6" t="str">
        <f>IFERROR(VLOOKUP(C6,Config!$A:$C,3,0),"N/A")</f>
        <v>Delivered</v>
      </c>
      <c r="F6">
        <f>IF('SOW, Feedbacks-Bug &amp; CR_Items'!H6="","",'SOW, Feedbacks-Bug &amp; CR_Items'!H6)</f>
        <v>45717</v>
      </c>
    </row>
    <row r="7" spans="1:6">
      <c r="A7" t="str">
        <f>'SOW, Feedbacks-Bug &amp; CR_Items'!D7</f>
        <v>Framework</v>
      </c>
      <c r="B7" t="str">
        <f>'SOW, Feedbacks-Bug &amp; CR_Items'!E7</f>
        <v>Milestone 1</v>
      </c>
      <c r="C7" t="str">
        <f>'SOW, Feedbacks-Bug &amp; CR_Items'!F7</f>
        <v>Delivered</v>
      </c>
      <c r="D7" t="str">
        <f>IFERROR(VLOOKUP(C7,Config!$A:$B,2,0),"Unknown")</f>
        <v>Delivered</v>
      </c>
      <c r="E7" t="str">
        <f>IFERROR(VLOOKUP(C7,Config!$A:$C,3,0),"N/A")</f>
        <v>Delivered</v>
      </c>
      <c r="F7">
        <f>IF('SOW, Feedbacks-Bug &amp; CR_Items'!H7="","",'SOW, Feedbacks-Bug &amp; CR_Items'!H7)</f>
        <v>45717</v>
      </c>
    </row>
    <row r="8" spans="1:6">
      <c r="A8" t="str">
        <f>'SOW, Feedbacks-Bug &amp; CR_Items'!D8</f>
        <v>Framework</v>
      </c>
      <c r="B8" t="str">
        <f>'SOW, Feedbacks-Bug &amp; CR_Items'!E8</f>
        <v>Milestone 1</v>
      </c>
      <c r="C8" t="str">
        <f>'SOW, Feedbacks-Bug &amp; CR_Items'!F8</f>
        <v>Delivered</v>
      </c>
      <c r="D8" t="str">
        <f>IFERROR(VLOOKUP(C8,Config!$A:$B,2,0),"Unknown")</f>
        <v>Delivered</v>
      </c>
      <c r="E8" t="str">
        <f>IFERROR(VLOOKUP(C8,Config!$A:$C,3,0),"N/A")</f>
        <v>Delivered</v>
      </c>
      <c r="F8">
        <f>IF('SOW, Feedbacks-Bug &amp; CR_Items'!H8="","",'SOW, Feedbacks-Bug &amp; CR_Items'!H8)</f>
        <v>45717</v>
      </c>
    </row>
    <row r="9" spans="1:6">
      <c r="A9" t="str">
        <f>'SOW, Feedbacks-Bug &amp; CR_Items'!D9</f>
        <v>Framework</v>
      </c>
      <c r="B9" t="str">
        <f>'SOW, Feedbacks-Bug &amp; CR_Items'!E9</f>
        <v>Milestone 1</v>
      </c>
      <c r="C9" t="str">
        <f>'SOW, Feedbacks-Bug &amp; CR_Items'!F9</f>
        <v>Delivered</v>
      </c>
      <c r="D9" t="str">
        <f>IFERROR(VLOOKUP(C9,Config!$A:$B,2,0),"Unknown")</f>
        <v>Delivered</v>
      </c>
      <c r="E9" t="str">
        <f>IFERROR(VLOOKUP(C9,Config!$A:$C,3,0),"N/A")</f>
        <v>Delivered</v>
      </c>
      <c r="F9">
        <f>IF('SOW, Feedbacks-Bug &amp; CR_Items'!H9="","",'SOW, Feedbacks-Bug &amp; CR_Items'!H9)</f>
        <v>45717</v>
      </c>
    </row>
    <row r="10" spans="1:6">
      <c r="A10" t="str">
        <f>'SOW, Feedbacks-Bug &amp; CR_Items'!D10</f>
        <v>Framework</v>
      </c>
      <c r="B10" t="str">
        <f>'SOW, Feedbacks-Bug &amp; CR_Items'!E10</f>
        <v>Milestone 1</v>
      </c>
      <c r="C10" t="str">
        <f>'SOW, Feedbacks-Bug &amp; CR_Items'!F10</f>
        <v>Delivered</v>
      </c>
      <c r="D10" t="str">
        <f>IFERROR(VLOOKUP(C10,Config!$A:$B,2,0),"Unknown")</f>
        <v>Delivered</v>
      </c>
      <c r="E10" t="str">
        <f>IFERROR(VLOOKUP(C10,Config!$A:$C,3,0),"N/A")</f>
        <v>Delivered</v>
      </c>
      <c r="F10">
        <f>IF('SOW, Feedbacks-Bug &amp; CR_Items'!H10="","",'SOW, Feedbacks-Bug &amp; CR_Items'!H10)</f>
        <v>45717</v>
      </c>
    </row>
    <row r="11" spans="1:6">
      <c r="A11" t="str">
        <f>'SOW, Feedbacks-Bug &amp; CR_Items'!D11</f>
        <v>Framework</v>
      </c>
      <c r="B11" t="str">
        <f>'SOW, Feedbacks-Bug &amp; CR_Items'!E11</f>
        <v>Milestone 1</v>
      </c>
      <c r="C11" t="str">
        <f>'SOW, Feedbacks-Bug &amp; CR_Items'!F11</f>
        <v>Delivered</v>
      </c>
      <c r="D11" t="str">
        <f>IFERROR(VLOOKUP(C11,Config!$A:$B,2,0),"Unknown")</f>
        <v>Delivered</v>
      </c>
      <c r="E11" t="str">
        <f>IFERROR(VLOOKUP(C11,Config!$A:$C,3,0),"N/A")</f>
        <v>Delivered</v>
      </c>
      <c r="F11">
        <f>IF('SOW, Feedbacks-Bug &amp; CR_Items'!H11="","",'SOW, Feedbacks-Bug &amp; CR_Items'!H11)</f>
        <v>45717</v>
      </c>
    </row>
    <row r="12" spans="1:6">
      <c r="A12" t="str">
        <f>'SOW, Feedbacks-Bug &amp; CR_Items'!D12</f>
        <v>Framework</v>
      </c>
      <c r="B12" t="str">
        <f>'SOW, Feedbacks-Bug &amp; CR_Items'!E12</f>
        <v>Milestone 1</v>
      </c>
      <c r="C12" t="str">
        <f>'SOW, Feedbacks-Bug &amp; CR_Items'!F12</f>
        <v>Delivered</v>
      </c>
      <c r="D12" t="str">
        <f>IFERROR(VLOOKUP(C12,Config!$A:$B,2,0),"Unknown")</f>
        <v>Delivered</v>
      </c>
      <c r="E12" t="str">
        <f>IFERROR(VLOOKUP(C12,Config!$A:$C,3,0),"N/A")</f>
        <v>Delivered</v>
      </c>
      <c r="F12">
        <f>IF('SOW, Feedbacks-Bug &amp; CR_Items'!H12="","",'SOW, Feedbacks-Bug &amp; CR_Items'!H12)</f>
        <v>45717</v>
      </c>
    </row>
    <row r="13" spans="1:6">
      <c r="A13" t="str">
        <f>'SOW, Feedbacks-Bug &amp; CR_Items'!D13</f>
        <v>Framework</v>
      </c>
      <c r="B13" t="str">
        <f>'SOW, Feedbacks-Bug &amp; CR_Items'!E13</f>
        <v>Milestone 1</v>
      </c>
      <c r="C13" t="str">
        <f>'SOW, Feedbacks-Bug &amp; CR_Items'!F13</f>
        <v>Delivered</v>
      </c>
      <c r="D13" t="str">
        <f>IFERROR(VLOOKUP(C13,Config!$A:$B,2,0),"Unknown")</f>
        <v>Delivered</v>
      </c>
      <c r="E13" t="str">
        <f>IFERROR(VLOOKUP(C13,Config!$A:$C,3,0),"N/A")</f>
        <v>Delivered</v>
      </c>
      <c r="F13">
        <f>IF('SOW, Feedbacks-Bug &amp; CR_Items'!H13="","",'SOW, Feedbacks-Bug &amp; CR_Items'!H13)</f>
        <v>45717</v>
      </c>
    </row>
    <row r="14" spans="1:6">
      <c r="A14" t="str">
        <f>'SOW, Feedbacks-Bug &amp; CR_Items'!D14</f>
        <v>Framework</v>
      </c>
      <c r="B14" t="str">
        <f>'SOW, Feedbacks-Bug &amp; CR_Items'!E14</f>
        <v>Milestone 1</v>
      </c>
      <c r="C14" t="str">
        <f>'SOW, Feedbacks-Bug &amp; CR_Items'!F14</f>
        <v>Delivered</v>
      </c>
      <c r="D14" t="str">
        <f>IFERROR(VLOOKUP(C14,Config!$A:$B,2,0),"Unknown")</f>
        <v>Delivered</v>
      </c>
      <c r="E14" t="str">
        <f>IFERROR(VLOOKUP(C14,Config!$A:$C,3,0),"N/A")</f>
        <v>Delivered</v>
      </c>
      <c r="F14">
        <f>IF('SOW, Feedbacks-Bug &amp; CR_Items'!H14="","",'SOW, Feedbacks-Bug &amp; CR_Items'!H14)</f>
        <v>45717</v>
      </c>
    </row>
    <row r="15" spans="1:6">
      <c r="A15" t="str">
        <f>'SOW, Feedbacks-Bug &amp; CR_Items'!D15</f>
        <v>iWork</v>
      </c>
      <c r="B15" t="str">
        <f>'SOW, Feedbacks-Bug &amp; CR_Items'!E15</f>
        <v>Milestone 1</v>
      </c>
      <c r="C15" t="str">
        <f>'SOW, Feedbacks-Bug &amp; CR_Items'!F15</f>
        <v>Delivered</v>
      </c>
      <c r="D15" t="str">
        <f>IFERROR(VLOOKUP(C15,Config!$A:$B,2,0),"Unknown")</f>
        <v>Delivered</v>
      </c>
      <c r="E15" t="str">
        <f>IFERROR(VLOOKUP(C15,Config!$A:$C,3,0),"N/A")</f>
        <v>Delivered</v>
      </c>
      <c r="F15">
        <f>IF('SOW, Feedbacks-Bug &amp; CR_Items'!H15="","",'SOW, Feedbacks-Bug &amp; CR_Items'!H15)</f>
        <v>45717</v>
      </c>
    </row>
    <row r="16" spans="1:6">
      <c r="A16" t="str">
        <f>'SOW, Feedbacks-Bug &amp; CR_Items'!D16</f>
        <v>iWork</v>
      </c>
      <c r="B16" t="str">
        <f>'SOW, Feedbacks-Bug &amp; CR_Items'!E16</f>
        <v>Milestone 1</v>
      </c>
      <c r="C16" t="str">
        <f>'SOW, Feedbacks-Bug &amp; CR_Items'!F16</f>
        <v>Delivered</v>
      </c>
      <c r="D16" t="str">
        <f>IFERROR(VLOOKUP(C16,Config!$A:$B,2,0),"Unknown")</f>
        <v>Delivered</v>
      </c>
      <c r="E16" t="str">
        <f>IFERROR(VLOOKUP(C16,Config!$A:$C,3,0),"N/A")</f>
        <v>Delivered</v>
      </c>
      <c r="F16">
        <f>IF('SOW, Feedbacks-Bug &amp; CR_Items'!H16="","",'SOW, Feedbacks-Bug &amp; CR_Items'!H16)</f>
        <v>45717</v>
      </c>
    </row>
    <row r="17" spans="1:6">
      <c r="A17" t="str">
        <f>'SOW, Feedbacks-Bug &amp; CR_Items'!D17</f>
        <v>iWork</v>
      </c>
      <c r="B17" t="str">
        <f>'SOW, Feedbacks-Bug &amp; CR_Items'!E17</f>
        <v>Milestone 1</v>
      </c>
      <c r="C17" t="str">
        <f>'SOW, Feedbacks-Bug &amp; CR_Items'!F17</f>
        <v>Delivered</v>
      </c>
      <c r="D17" t="str">
        <f>IFERROR(VLOOKUP(C17,Config!$A:$B,2,0),"Unknown")</f>
        <v>Delivered</v>
      </c>
      <c r="E17" t="str">
        <f>IFERROR(VLOOKUP(C17,Config!$A:$C,3,0),"N/A")</f>
        <v>Delivered</v>
      </c>
      <c r="F17">
        <f>IF('SOW, Feedbacks-Bug &amp; CR_Items'!H17="","",'SOW, Feedbacks-Bug &amp; CR_Items'!H17)</f>
        <v>45717</v>
      </c>
    </row>
    <row r="18" spans="1:6">
      <c r="A18" t="str">
        <f>'SOW, Feedbacks-Bug &amp; CR_Items'!D18</f>
        <v>iWork</v>
      </c>
      <c r="B18" t="str">
        <f>'SOW, Feedbacks-Bug &amp; CR_Items'!E18</f>
        <v>Milestone 1</v>
      </c>
      <c r="C18" t="str">
        <f>'SOW, Feedbacks-Bug &amp; CR_Items'!F18</f>
        <v>Delivered</v>
      </c>
      <c r="D18" t="str">
        <f>IFERROR(VLOOKUP(C18,Config!$A:$B,2,0),"Unknown")</f>
        <v>Delivered</v>
      </c>
      <c r="E18" t="str">
        <f>IFERROR(VLOOKUP(C18,Config!$A:$C,3,0),"N/A")</f>
        <v>Delivered</v>
      </c>
      <c r="F18">
        <f>IF('SOW, Feedbacks-Bug &amp; CR_Items'!H18="","",'SOW, Feedbacks-Bug &amp; CR_Items'!H18)</f>
        <v>45717</v>
      </c>
    </row>
    <row r="19" spans="1:6">
      <c r="A19" t="str">
        <f>'SOW, Feedbacks-Bug &amp; CR_Items'!D19</f>
        <v>iWork</v>
      </c>
      <c r="B19" t="str">
        <f>'SOW, Feedbacks-Bug &amp; CR_Items'!E19</f>
        <v>Milestone 1</v>
      </c>
      <c r="C19" t="str">
        <f>'SOW, Feedbacks-Bug &amp; CR_Items'!F19</f>
        <v>Delivered</v>
      </c>
      <c r="D19" t="str">
        <f>IFERROR(VLOOKUP(C19,Config!$A:$B,2,0),"Unknown")</f>
        <v>Delivered</v>
      </c>
      <c r="E19" t="str">
        <f>IFERROR(VLOOKUP(C19,Config!$A:$C,3,0),"N/A")</f>
        <v>Delivered</v>
      </c>
      <c r="F19">
        <f>IF('SOW, Feedbacks-Bug &amp; CR_Items'!H19="","",'SOW, Feedbacks-Bug &amp; CR_Items'!H19)</f>
        <v>45717</v>
      </c>
    </row>
    <row r="20" spans="1:6">
      <c r="A20" t="str">
        <f>'SOW, Feedbacks-Bug &amp; CR_Items'!D20</f>
        <v>iWork</v>
      </c>
      <c r="B20" t="str">
        <f>'SOW, Feedbacks-Bug &amp; CR_Items'!E20</f>
        <v>Milestone 1</v>
      </c>
      <c r="C20" t="str">
        <f>'SOW, Feedbacks-Bug &amp; CR_Items'!F20</f>
        <v>Delivered</v>
      </c>
      <c r="D20" t="str">
        <f>IFERROR(VLOOKUP(C20,Config!$A:$B,2,0),"Unknown")</f>
        <v>Delivered</v>
      </c>
      <c r="E20" t="str">
        <f>IFERROR(VLOOKUP(C20,Config!$A:$C,3,0),"N/A")</f>
        <v>Delivered</v>
      </c>
      <c r="F20">
        <f>IF('SOW, Feedbacks-Bug &amp; CR_Items'!H20="","",'SOW, Feedbacks-Bug &amp; CR_Items'!H20)</f>
        <v>45717</v>
      </c>
    </row>
    <row r="21" spans="1:6">
      <c r="A21" t="str">
        <f>'SOW, Feedbacks-Bug &amp; CR_Items'!D21</f>
        <v>iWork</v>
      </c>
      <c r="B21" t="str">
        <f>'SOW, Feedbacks-Bug &amp; CR_Items'!E21</f>
        <v>Milestone 1</v>
      </c>
      <c r="C21" t="str">
        <f>'SOW, Feedbacks-Bug &amp; CR_Items'!F21</f>
        <v>Delivered</v>
      </c>
      <c r="D21" t="str">
        <f>IFERROR(VLOOKUP(C21,Config!$A:$B,2,0),"Unknown")</f>
        <v>Delivered</v>
      </c>
      <c r="E21" t="str">
        <f>IFERROR(VLOOKUP(C21,Config!$A:$C,3,0),"N/A")</f>
        <v>Delivered</v>
      </c>
      <c r="F21">
        <f>IF('SOW, Feedbacks-Bug &amp; CR_Items'!H21="","",'SOW, Feedbacks-Bug &amp; CR_Items'!H21)</f>
        <v>45717</v>
      </c>
    </row>
    <row r="22" spans="1:6">
      <c r="A22" t="str">
        <f>'SOW, Feedbacks-Bug &amp; CR_Items'!D22</f>
        <v>iWork</v>
      </c>
      <c r="B22" t="str">
        <f>'SOW, Feedbacks-Bug &amp; CR_Items'!E22</f>
        <v>Milestone 1</v>
      </c>
      <c r="C22" t="str">
        <f>'SOW, Feedbacks-Bug &amp; CR_Items'!F22</f>
        <v>Delivered</v>
      </c>
      <c r="D22" t="str">
        <f>IFERROR(VLOOKUP(C22,Config!$A:$B,2,0),"Unknown")</f>
        <v>Delivered</v>
      </c>
      <c r="E22" t="str">
        <f>IFERROR(VLOOKUP(C22,Config!$A:$C,3,0),"N/A")</f>
        <v>Delivered</v>
      </c>
      <c r="F22">
        <f>IF('SOW, Feedbacks-Bug &amp; CR_Items'!H22="","",'SOW, Feedbacks-Bug &amp; CR_Items'!H22)</f>
        <v>45717</v>
      </c>
    </row>
    <row r="23" spans="1:6">
      <c r="A23" t="str">
        <f>'SOW, Feedbacks-Bug &amp; CR_Items'!D23</f>
        <v>iWork</v>
      </c>
      <c r="B23" t="str">
        <f>'SOW, Feedbacks-Bug &amp; CR_Items'!E23</f>
        <v>Milestone 1</v>
      </c>
      <c r="C23" t="str">
        <f>'SOW, Feedbacks-Bug &amp; CR_Items'!F23</f>
        <v>Delivered</v>
      </c>
      <c r="D23" t="str">
        <f>IFERROR(VLOOKUP(C23,Config!$A:$B,2,0),"Unknown")</f>
        <v>Delivered</v>
      </c>
      <c r="E23" t="str">
        <f>IFERROR(VLOOKUP(C23,Config!$A:$C,3,0),"N/A")</f>
        <v>Delivered</v>
      </c>
      <c r="F23">
        <f>IF('SOW, Feedbacks-Bug &amp; CR_Items'!H23="","",'SOW, Feedbacks-Bug &amp; CR_Items'!H23)</f>
        <v>45717</v>
      </c>
    </row>
    <row r="24" spans="1:6">
      <c r="A24" t="str">
        <f>'SOW, Feedbacks-Bug &amp; CR_Items'!D24</f>
        <v>iWork</v>
      </c>
      <c r="B24" t="str">
        <f>'SOW, Feedbacks-Bug &amp; CR_Items'!E24</f>
        <v>Milestone 1</v>
      </c>
      <c r="C24" t="str">
        <f>'SOW, Feedbacks-Bug &amp; CR_Items'!F24</f>
        <v>Delivered</v>
      </c>
      <c r="D24" t="str">
        <f>IFERROR(VLOOKUP(C24,Config!$A:$B,2,0),"Unknown")</f>
        <v>Delivered</v>
      </c>
      <c r="E24" t="str">
        <f>IFERROR(VLOOKUP(C24,Config!$A:$C,3,0),"N/A")</f>
        <v>Delivered</v>
      </c>
      <c r="F24">
        <f>IF('SOW, Feedbacks-Bug &amp; CR_Items'!H24="","",'SOW, Feedbacks-Bug &amp; CR_Items'!H24)</f>
        <v>45717</v>
      </c>
    </row>
    <row r="25" spans="1:6">
      <c r="A25" t="str">
        <f>'SOW, Feedbacks-Bug &amp; CR_Items'!D25</f>
        <v>iWork</v>
      </c>
      <c r="B25" t="str">
        <f>'SOW, Feedbacks-Bug &amp; CR_Items'!E25</f>
        <v>Milestone 1</v>
      </c>
      <c r="C25" t="str">
        <f>'SOW, Feedbacks-Bug &amp; CR_Items'!F25</f>
        <v>Delivered</v>
      </c>
      <c r="D25" t="str">
        <f>IFERROR(VLOOKUP(C25,Config!$A:$B,2,0),"Unknown")</f>
        <v>Delivered</v>
      </c>
      <c r="E25" t="str">
        <f>IFERROR(VLOOKUP(C25,Config!$A:$C,3,0),"N/A")</f>
        <v>Delivered</v>
      </c>
      <c r="F25">
        <f>IF('SOW, Feedbacks-Bug &amp; CR_Items'!H25="","",'SOW, Feedbacks-Bug &amp; CR_Items'!H25)</f>
        <v>45717</v>
      </c>
    </row>
    <row r="26" spans="1:6">
      <c r="A26" t="str">
        <f>'SOW, Feedbacks-Bug &amp; CR_Items'!D26</f>
        <v>iWork</v>
      </c>
      <c r="B26" t="str">
        <f>'SOW, Feedbacks-Bug &amp; CR_Items'!E26</f>
        <v>Milestone 1</v>
      </c>
      <c r="C26" t="str">
        <f>'SOW, Feedbacks-Bug &amp; CR_Items'!F26</f>
        <v>Delivered</v>
      </c>
      <c r="D26" t="str">
        <f>IFERROR(VLOOKUP(C26,Config!$A:$B,2,0),"Unknown")</f>
        <v>Delivered</v>
      </c>
      <c r="E26" t="str">
        <f>IFERROR(VLOOKUP(C26,Config!$A:$C,3,0),"N/A")</f>
        <v>Delivered</v>
      </c>
      <c r="F26">
        <f>IF('SOW, Feedbacks-Bug &amp; CR_Items'!H26="","",'SOW, Feedbacks-Bug &amp; CR_Items'!H26)</f>
        <v>45717</v>
      </c>
    </row>
    <row r="27" spans="1:6">
      <c r="A27" t="str">
        <f>'SOW, Feedbacks-Bug &amp; CR_Items'!D27</f>
        <v>iWork</v>
      </c>
      <c r="B27" t="str">
        <f>'SOW, Feedbacks-Bug &amp; CR_Items'!E27</f>
        <v>Milestone 1</v>
      </c>
      <c r="C27" t="str">
        <f>'SOW, Feedbacks-Bug &amp; CR_Items'!F27</f>
        <v>Delivered</v>
      </c>
      <c r="D27" t="str">
        <f>IFERROR(VLOOKUP(C27,Config!$A:$B,2,0),"Unknown")</f>
        <v>Delivered</v>
      </c>
      <c r="E27" t="str">
        <f>IFERROR(VLOOKUP(C27,Config!$A:$C,3,0),"N/A")</f>
        <v>Delivered</v>
      </c>
      <c r="F27">
        <f>IF('SOW, Feedbacks-Bug &amp; CR_Items'!H27="","",'SOW, Feedbacks-Bug &amp; CR_Items'!H27)</f>
        <v>45717</v>
      </c>
    </row>
    <row r="28" spans="1:6">
      <c r="A28" t="str">
        <f>'SOW, Feedbacks-Bug &amp; CR_Items'!D28</f>
        <v>iWork</v>
      </c>
      <c r="B28" t="str">
        <f>'SOW, Feedbacks-Bug &amp; CR_Items'!E28</f>
        <v>Milestone 1</v>
      </c>
      <c r="C28" t="str">
        <f>'SOW, Feedbacks-Bug &amp; CR_Items'!F28</f>
        <v>Delivered</v>
      </c>
      <c r="D28" t="str">
        <f>IFERROR(VLOOKUP(C28,Config!$A:$B,2,0),"Unknown")</f>
        <v>Delivered</v>
      </c>
      <c r="E28" t="str">
        <f>IFERROR(VLOOKUP(C28,Config!$A:$C,3,0),"N/A")</f>
        <v>Delivered</v>
      </c>
      <c r="F28">
        <f>IF('SOW, Feedbacks-Bug &amp; CR_Items'!H28="","",'SOW, Feedbacks-Bug &amp; CR_Items'!H28)</f>
        <v>45717</v>
      </c>
    </row>
    <row r="29" spans="1:6">
      <c r="A29" t="str">
        <f>'SOW, Feedbacks-Bug &amp; CR_Items'!D29</f>
        <v>iWork</v>
      </c>
      <c r="B29" t="str">
        <f>'SOW, Feedbacks-Bug &amp; CR_Items'!E29</f>
        <v>Milestone 1</v>
      </c>
      <c r="C29" t="str">
        <f>'SOW, Feedbacks-Bug &amp; CR_Items'!F29</f>
        <v>Delivered</v>
      </c>
      <c r="D29" t="str">
        <f>IFERROR(VLOOKUP(C29,Config!$A:$B,2,0),"Unknown")</f>
        <v>Delivered</v>
      </c>
      <c r="E29" t="str">
        <f>IFERROR(VLOOKUP(C29,Config!$A:$C,3,0),"N/A")</f>
        <v>Delivered</v>
      </c>
      <c r="F29">
        <f>IF('SOW, Feedbacks-Bug &amp; CR_Items'!H29="","",'SOW, Feedbacks-Bug &amp; CR_Items'!H29)</f>
        <v>45717</v>
      </c>
    </row>
    <row r="30" spans="1:6">
      <c r="A30" t="str">
        <f>'SOW, Feedbacks-Bug &amp; CR_Items'!D30</f>
        <v>iWork</v>
      </c>
      <c r="B30" t="str">
        <f>'SOW, Feedbacks-Bug &amp; CR_Items'!E30</f>
        <v>Milestone 1</v>
      </c>
      <c r="C30" t="str">
        <f>'SOW, Feedbacks-Bug &amp; CR_Items'!F30</f>
        <v>Delivered</v>
      </c>
      <c r="D30" t="str">
        <f>IFERROR(VLOOKUP(C30,Config!$A:$B,2,0),"Unknown")</f>
        <v>Delivered</v>
      </c>
      <c r="E30" t="str">
        <f>IFERROR(VLOOKUP(C30,Config!$A:$C,3,0),"N/A")</f>
        <v>Delivered</v>
      </c>
      <c r="F30">
        <f>IF('SOW, Feedbacks-Bug &amp; CR_Items'!H30="","",'SOW, Feedbacks-Bug &amp; CR_Items'!H30)</f>
        <v>45717</v>
      </c>
    </row>
    <row r="31" spans="1:6">
      <c r="A31" t="str">
        <f>'SOW, Feedbacks-Bug &amp; CR_Items'!D31</f>
        <v>Framework</v>
      </c>
      <c r="B31" t="str">
        <f>'SOW, Feedbacks-Bug &amp; CR_Items'!E31</f>
        <v>Milestone 2</v>
      </c>
      <c r="C31" t="str">
        <f>'SOW, Feedbacks-Bug &amp; CR_Items'!F31</f>
        <v>Delivered</v>
      </c>
      <c r="D31" t="str">
        <f>IFERROR(VLOOKUP(C31,Config!$A:$B,2,0),"Unknown")</f>
        <v>Delivered</v>
      </c>
      <c r="E31" t="str">
        <f>IFERROR(VLOOKUP(C31,Config!$A:$C,3,0),"N/A")</f>
        <v>Delivered</v>
      </c>
      <c r="F31">
        <f>IF('SOW, Feedbacks-Bug &amp; CR_Items'!H31="","",'SOW, Feedbacks-Bug &amp; CR_Items'!H31)</f>
        <v>45763</v>
      </c>
    </row>
    <row r="32" spans="1:6">
      <c r="A32" t="str">
        <f>'SOW, Feedbacks-Bug &amp; CR_Items'!D32</f>
        <v>Framework</v>
      </c>
      <c r="B32" t="str">
        <f>'SOW, Feedbacks-Bug &amp; CR_Items'!E32</f>
        <v>Milestone 2</v>
      </c>
      <c r="C32" t="str">
        <f>'SOW, Feedbacks-Bug &amp; CR_Items'!F32</f>
        <v>Delivered</v>
      </c>
      <c r="D32" t="str">
        <f>IFERROR(VLOOKUP(C32,Config!$A:$B,2,0),"Unknown")</f>
        <v>Delivered</v>
      </c>
      <c r="E32" t="str">
        <f>IFERROR(VLOOKUP(C32,Config!$A:$C,3,0),"N/A")</f>
        <v>Delivered</v>
      </c>
      <c r="F32">
        <f>IF('SOW, Feedbacks-Bug &amp; CR_Items'!H32="","",'SOW, Feedbacks-Bug &amp; CR_Items'!H32)</f>
        <v>45763</v>
      </c>
    </row>
    <row r="33" spans="1:6">
      <c r="A33" t="str">
        <f>'SOW, Feedbacks-Bug &amp; CR_Items'!D33</f>
        <v>Framework</v>
      </c>
      <c r="B33" t="str">
        <f>'SOW, Feedbacks-Bug &amp; CR_Items'!E33</f>
        <v>Milestone 2</v>
      </c>
      <c r="C33" t="str">
        <f>'SOW, Feedbacks-Bug &amp; CR_Items'!F33</f>
        <v>Delivered</v>
      </c>
      <c r="D33" t="str">
        <f>IFERROR(VLOOKUP(C33,Config!$A:$B,2,0),"Unknown")</f>
        <v>Delivered</v>
      </c>
      <c r="E33" t="str">
        <f>IFERROR(VLOOKUP(C33,Config!$A:$C,3,0),"N/A")</f>
        <v>Delivered</v>
      </c>
      <c r="F33">
        <f>IF('SOW, Feedbacks-Bug &amp; CR_Items'!H33="","",'SOW, Feedbacks-Bug &amp; CR_Items'!H33)</f>
        <v>45763</v>
      </c>
    </row>
    <row r="34" spans="1:6">
      <c r="A34" t="str">
        <f>'SOW, Feedbacks-Bug &amp; CR_Items'!D34</f>
        <v>Framework</v>
      </c>
      <c r="B34" t="str">
        <f>'SOW, Feedbacks-Bug &amp; CR_Items'!E34</f>
        <v>Milestone 2</v>
      </c>
      <c r="C34" t="str">
        <f>'SOW, Feedbacks-Bug &amp; CR_Items'!F34</f>
        <v>Delivered</v>
      </c>
      <c r="D34" t="str">
        <f>IFERROR(VLOOKUP(C34,Config!$A:$B,2,0),"Unknown")</f>
        <v>Delivered</v>
      </c>
      <c r="E34" t="str">
        <f>IFERROR(VLOOKUP(C34,Config!$A:$C,3,0),"N/A")</f>
        <v>Delivered</v>
      </c>
      <c r="F34">
        <f>IF('SOW, Feedbacks-Bug &amp; CR_Items'!H34="","",'SOW, Feedbacks-Bug &amp; CR_Items'!H34)</f>
        <v>45763</v>
      </c>
    </row>
    <row r="35" spans="1:6">
      <c r="A35" t="str">
        <f>'SOW, Feedbacks-Bug &amp; CR_Items'!D35</f>
        <v>Framework</v>
      </c>
      <c r="B35" t="str">
        <f>'SOW, Feedbacks-Bug &amp; CR_Items'!E35</f>
        <v>Milestone 2</v>
      </c>
      <c r="C35" t="str">
        <f>'SOW, Feedbacks-Bug &amp; CR_Items'!F35</f>
        <v>Delivered</v>
      </c>
      <c r="D35" t="str">
        <f>IFERROR(VLOOKUP(C35,Config!$A:$B,2,0),"Unknown")</f>
        <v>Delivered</v>
      </c>
      <c r="E35" t="str">
        <f>IFERROR(VLOOKUP(C35,Config!$A:$C,3,0),"N/A")</f>
        <v>Delivered</v>
      </c>
      <c r="F35">
        <f>IF('SOW, Feedbacks-Bug &amp; CR_Items'!H35="","",'SOW, Feedbacks-Bug &amp; CR_Items'!H35)</f>
        <v>45763</v>
      </c>
    </row>
    <row r="36" spans="1:6">
      <c r="A36" t="str">
        <f>'SOW, Feedbacks-Bug &amp; CR_Items'!D36</f>
        <v>Framework</v>
      </c>
      <c r="B36" t="str">
        <f>'SOW, Feedbacks-Bug &amp; CR_Items'!E36</f>
        <v>Milestone 2</v>
      </c>
      <c r="C36" t="str">
        <f>'SOW, Feedbacks-Bug &amp; CR_Items'!F36</f>
        <v>Delivered</v>
      </c>
      <c r="D36" t="str">
        <f>IFERROR(VLOOKUP(C36,Config!$A:$B,2,0),"Unknown")</f>
        <v>Delivered</v>
      </c>
      <c r="E36" t="str">
        <f>IFERROR(VLOOKUP(C36,Config!$A:$C,3,0),"N/A")</f>
        <v>Delivered</v>
      </c>
      <c r="F36">
        <f>IF('SOW, Feedbacks-Bug &amp; CR_Items'!H36="","",'SOW, Feedbacks-Bug &amp; CR_Items'!H36)</f>
        <v>45763</v>
      </c>
    </row>
    <row r="37" spans="1:6">
      <c r="A37" t="str">
        <f>'SOW, Feedbacks-Bug &amp; CR_Items'!D37</f>
        <v>Framework</v>
      </c>
      <c r="B37" t="str">
        <f>'SOW, Feedbacks-Bug &amp; CR_Items'!E37</f>
        <v>Milestone 2</v>
      </c>
      <c r="C37" t="str">
        <f>'SOW, Feedbacks-Bug &amp; CR_Items'!F37</f>
        <v>Delivered</v>
      </c>
      <c r="D37" t="str">
        <f>IFERROR(VLOOKUP(C37,Config!$A:$B,2,0),"Unknown")</f>
        <v>Delivered</v>
      </c>
      <c r="E37" t="str">
        <f>IFERROR(VLOOKUP(C37,Config!$A:$C,3,0),"N/A")</f>
        <v>Delivered</v>
      </c>
      <c r="F37">
        <f>IF('SOW, Feedbacks-Bug &amp; CR_Items'!H37="","",'SOW, Feedbacks-Bug &amp; CR_Items'!H37)</f>
        <v>45763</v>
      </c>
    </row>
    <row r="38" spans="1:6">
      <c r="A38" t="str">
        <f>'SOW, Feedbacks-Bug &amp; CR_Items'!D38</f>
        <v>Framework</v>
      </c>
      <c r="B38" t="str">
        <f>'SOW, Feedbacks-Bug &amp; CR_Items'!E38</f>
        <v>Milestone 2</v>
      </c>
      <c r="C38" t="str">
        <f>'SOW, Feedbacks-Bug &amp; CR_Items'!F38</f>
        <v>Delivered</v>
      </c>
      <c r="D38" t="str">
        <f>IFERROR(VLOOKUP(C38,Config!$A:$B,2,0),"Unknown")</f>
        <v>Delivered</v>
      </c>
      <c r="E38" t="str">
        <f>IFERROR(VLOOKUP(C38,Config!$A:$C,3,0),"N/A")</f>
        <v>Delivered</v>
      </c>
      <c r="F38">
        <f>IF('SOW, Feedbacks-Bug &amp; CR_Items'!H38="","",'SOW, Feedbacks-Bug &amp; CR_Items'!H38)</f>
        <v>45763</v>
      </c>
    </row>
    <row r="39" spans="1:6">
      <c r="A39" t="str">
        <f>'SOW, Feedbacks-Bug &amp; CR_Items'!D39</f>
        <v>Framework</v>
      </c>
      <c r="B39" t="str">
        <f>'SOW, Feedbacks-Bug &amp; CR_Items'!E39</f>
        <v>Milestone 2</v>
      </c>
      <c r="C39" t="str">
        <f>'SOW, Feedbacks-Bug &amp; CR_Items'!F39</f>
        <v>Delivered</v>
      </c>
      <c r="D39" t="str">
        <f>IFERROR(VLOOKUP(C39,Config!$A:$B,2,0),"Unknown")</f>
        <v>Delivered</v>
      </c>
      <c r="E39" t="str">
        <f>IFERROR(VLOOKUP(C39,Config!$A:$C,3,0),"N/A")</f>
        <v>Delivered</v>
      </c>
      <c r="F39">
        <f>IF('SOW, Feedbacks-Bug &amp; CR_Items'!H39="","",'SOW, Feedbacks-Bug &amp; CR_Items'!H39)</f>
        <v>45763</v>
      </c>
    </row>
    <row r="40" spans="1:6">
      <c r="A40" t="str">
        <f>'SOW, Feedbacks-Bug &amp; CR_Items'!D40</f>
        <v>Framework</v>
      </c>
      <c r="B40" t="str">
        <f>'SOW, Feedbacks-Bug &amp; CR_Items'!E40</f>
        <v>Milestone 2</v>
      </c>
      <c r="C40" t="str">
        <f>'SOW, Feedbacks-Bug &amp; CR_Items'!F40</f>
        <v>Delivered</v>
      </c>
      <c r="D40" t="str">
        <f>IFERROR(VLOOKUP(C40,Config!$A:$B,2,0),"Unknown")</f>
        <v>Delivered</v>
      </c>
      <c r="E40" t="str">
        <f>IFERROR(VLOOKUP(C40,Config!$A:$C,3,0),"N/A")</f>
        <v>Delivered</v>
      </c>
      <c r="F40">
        <f>IF('SOW, Feedbacks-Bug &amp; CR_Items'!H40="","",'SOW, Feedbacks-Bug &amp; CR_Items'!H40)</f>
        <v>45763</v>
      </c>
    </row>
    <row r="41" spans="1:6">
      <c r="A41" t="str">
        <f>'SOW, Feedbacks-Bug &amp; CR_Items'!D41</f>
        <v>Framework</v>
      </c>
      <c r="B41" t="str">
        <f>'SOW, Feedbacks-Bug &amp; CR_Items'!E41</f>
        <v>Milestone 2</v>
      </c>
      <c r="C41" t="str">
        <f>'SOW, Feedbacks-Bug &amp; CR_Items'!F41</f>
        <v>Delivered</v>
      </c>
      <c r="D41" t="str">
        <f>IFERROR(VLOOKUP(C41,Config!$A:$B,2,0),"Unknown")</f>
        <v>Delivered</v>
      </c>
      <c r="E41" t="str">
        <f>IFERROR(VLOOKUP(C41,Config!$A:$C,3,0),"N/A")</f>
        <v>Delivered</v>
      </c>
      <c r="F41">
        <f>IF('SOW, Feedbacks-Bug &amp; CR_Items'!H41="","",'SOW, Feedbacks-Bug &amp; CR_Items'!H41)</f>
        <v>45763</v>
      </c>
    </row>
    <row r="42" spans="1:6">
      <c r="A42" t="str">
        <f>'SOW, Feedbacks-Bug &amp; CR_Items'!D42</f>
        <v>iWork</v>
      </c>
      <c r="B42" t="str">
        <f>'SOW, Feedbacks-Bug &amp; CR_Items'!E42</f>
        <v>Milestone 2</v>
      </c>
      <c r="C42" t="str">
        <f>'SOW, Feedbacks-Bug &amp; CR_Items'!F42</f>
        <v>Delivered</v>
      </c>
      <c r="D42" t="str">
        <f>IFERROR(VLOOKUP(C42,Config!$A:$B,2,0),"Unknown")</f>
        <v>Delivered</v>
      </c>
      <c r="E42" t="str">
        <f>IFERROR(VLOOKUP(C42,Config!$A:$C,3,0),"N/A")</f>
        <v>Delivered</v>
      </c>
      <c r="F42">
        <f>IF('SOW, Feedbacks-Bug &amp; CR_Items'!H42="","",'SOW, Feedbacks-Bug &amp; CR_Items'!H42)</f>
        <v>45763</v>
      </c>
    </row>
    <row r="43" spans="1:6">
      <c r="A43" t="str">
        <f>'SOW, Feedbacks-Bug &amp; CR_Items'!D43</f>
        <v>iWork</v>
      </c>
      <c r="B43" t="str">
        <f>'SOW, Feedbacks-Bug &amp; CR_Items'!E43</f>
        <v>Milestone 2</v>
      </c>
      <c r="C43" t="str">
        <f>'SOW, Feedbacks-Bug &amp; CR_Items'!F43</f>
        <v>Delivered</v>
      </c>
      <c r="D43" t="str">
        <f>IFERROR(VLOOKUP(C43,Config!$A:$B,2,0),"Unknown")</f>
        <v>Delivered</v>
      </c>
      <c r="E43" t="str">
        <f>IFERROR(VLOOKUP(C43,Config!$A:$C,3,0),"N/A")</f>
        <v>Delivered</v>
      </c>
      <c r="F43">
        <f>IF('SOW, Feedbacks-Bug &amp; CR_Items'!H43="","",'SOW, Feedbacks-Bug &amp; CR_Items'!H43)</f>
        <v>45763</v>
      </c>
    </row>
    <row r="44" spans="1:6">
      <c r="A44" t="str">
        <f>'SOW, Feedbacks-Bug &amp; CR_Items'!D44</f>
        <v>iWork</v>
      </c>
      <c r="B44" t="str">
        <f>'SOW, Feedbacks-Bug &amp; CR_Items'!E44</f>
        <v>Milestone 2</v>
      </c>
      <c r="C44" t="str">
        <f>'SOW, Feedbacks-Bug &amp; CR_Items'!F44</f>
        <v>Delivered</v>
      </c>
      <c r="D44" t="str">
        <f>IFERROR(VLOOKUP(C44,Config!$A:$B,2,0),"Unknown")</f>
        <v>Delivered</v>
      </c>
      <c r="E44" t="str">
        <f>IFERROR(VLOOKUP(C44,Config!$A:$C,3,0),"N/A")</f>
        <v>Delivered</v>
      </c>
      <c r="F44">
        <f>IF('SOW, Feedbacks-Bug &amp; CR_Items'!H44="","",'SOW, Feedbacks-Bug &amp; CR_Items'!H44)</f>
        <v>45763</v>
      </c>
    </row>
    <row r="45" spans="1:6">
      <c r="A45" t="str">
        <f>'SOW, Feedbacks-Bug &amp; CR_Items'!D45</f>
        <v>iWork</v>
      </c>
      <c r="B45" t="str">
        <f>'SOW, Feedbacks-Bug &amp; CR_Items'!E45</f>
        <v>Milestone 2</v>
      </c>
      <c r="C45" t="str">
        <f>'SOW, Feedbacks-Bug &amp; CR_Items'!F45</f>
        <v>Delivered</v>
      </c>
      <c r="D45" t="str">
        <f>IFERROR(VLOOKUP(C45,Config!$A:$B,2,0),"Unknown")</f>
        <v>Delivered</v>
      </c>
      <c r="E45" t="str">
        <f>IFERROR(VLOOKUP(C45,Config!$A:$C,3,0),"N/A")</f>
        <v>Delivered</v>
      </c>
      <c r="F45">
        <f>IF('SOW, Feedbacks-Bug &amp; CR_Items'!H45="","",'SOW, Feedbacks-Bug &amp; CR_Items'!H45)</f>
        <v>45763</v>
      </c>
    </row>
    <row r="46" spans="1:6">
      <c r="A46" t="str">
        <f>'SOW, Feedbacks-Bug &amp; CR_Items'!D46</f>
        <v>iWork</v>
      </c>
      <c r="B46" t="str">
        <f>'SOW, Feedbacks-Bug &amp; CR_Items'!E46</f>
        <v>Milestone 2</v>
      </c>
      <c r="C46" t="str">
        <f>'SOW, Feedbacks-Bug &amp; CR_Items'!F46</f>
        <v>Delivered</v>
      </c>
      <c r="D46" t="str">
        <f>IFERROR(VLOOKUP(C46,Config!$A:$B,2,0),"Unknown")</f>
        <v>Delivered</v>
      </c>
      <c r="E46" t="str">
        <f>IFERROR(VLOOKUP(C46,Config!$A:$C,3,0),"N/A")</f>
        <v>Delivered</v>
      </c>
      <c r="F46">
        <f>IF('SOW, Feedbacks-Bug &amp; CR_Items'!H46="","",'SOW, Feedbacks-Bug &amp; CR_Items'!H46)</f>
        <v>45763</v>
      </c>
    </row>
    <row r="47" spans="1:6">
      <c r="A47" t="str">
        <f>'SOW, Feedbacks-Bug &amp; CR_Items'!D47</f>
        <v>iWork</v>
      </c>
      <c r="B47" t="str">
        <f>'SOW, Feedbacks-Bug &amp; CR_Items'!E47</f>
        <v>Milestone 2</v>
      </c>
      <c r="C47" t="str">
        <f>'SOW, Feedbacks-Bug &amp; CR_Items'!F47</f>
        <v>Delivered</v>
      </c>
      <c r="D47" t="str">
        <f>IFERROR(VLOOKUP(C47,Config!$A:$B,2,0),"Unknown")</f>
        <v>Delivered</v>
      </c>
      <c r="E47" t="str">
        <f>IFERROR(VLOOKUP(C47,Config!$A:$C,3,0),"N/A")</f>
        <v>Delivered</v>
      </c>
      <c r="F47">
        <f>IF('SOW, Feedbacks-Bug &amp; CR_Items'!H47="","",'SOW, Feedbacks-Bug &amp; CR_Items'!H47)</f>
        <v>45763</v>
      </c>
    </row>
    <row r="48" spans="1:6">
      <c r="A48" t="str">
        <f>'SOW, Feedbacks-Bug &amp; CR_Items'!D48</f>
        <v>iWork</v>
      </c>
      <c r="B48" t="str">
        <f>'SOW, Feedbacks-Bug &amp; CR_Items'!E48</f>
        <v>Milestone 2</v>
      </c>
      <c r="C48" t="str">
        <f>'SOW, Feedbacks-Bug &amp; CR_Items'!F48</f>
        <v>Delivered</v>
      </c>
      <c r="D48" t="str">
        <f>IFERROR(VLOOKUP(C48,Config!$A:$B,2,0),"Unknown")</f>
        <v>Delivered</v>
      </c>
      <c r="E48" t="str">
        <f>IFERROR(VLOOKUP(C48,Config!$A:$C,3,0),"N/A")</f>
        <v>Delivered</v>
      </c>
      <c r="F48">
        <f>IF('SOW, Feedbacks-Bug &amp; CR_Items'!H48="","",'SOW, Feedbacks-Bug &amp; CR_Items'!H48)</f>
        <v>45763</v>
      </c>
    </row>
    <row r="49" spans="1:6">
      <c r="A49" t="str">
        <f>'SOW, Feedbacks-Bug &amp; CR_Items'!D49</f>
        <v>iWork</v>
      </c>
      <c r="B49" t="str">
        <f>'SOW, Feedbacks-Bug &amp; CR_Items'!E49</f>
        <v>Milestone 2</v>
      </c>
      <c r="C49" t="str">
        <f>'SOW, Feedbacks-Bug &amp; CR_Items'!F49</f>
        <v>Delivered</v>
      </c>
      <c r="D49" t="str">
        <f>IFERROR(VLOOKUP(C49,Config!$A:$B,2,0),"Unknown")</f>
        <v>Delivered</v>
      </c>
      <c r="E49" t="str">
        <f>IFERROR(VLOOKUP(C49,Config!$A:$C,3,0),"N/A")</f>
        <v>Delivered</v>
      </c>
      <c r="F49">
        <f>IF('SOW, Feedbacks-Bug &amp; CR_Items'!H49="","",'SOW, Feedbacks-Bug &amp; CR_Items'!H49)</f>
        <v>45763</v>
      </c>
    </row>
    <row r="50" spans="1:6">
      <c r="A50" t="str">
        <f>'SOW, Feedbacks-Bug &amp; CR_Items'!D50</f>
        <v>iWork</v>
      </c>
      <c r="B50" t="str">
        <f>'SOW, Feedbacks-Bug &amp; CR_Items'!E50</f>
        <v>Milestone 2</v>
      </c>
      <c r="C50" t="str">
        <f>'SOW, Feedbacks-Bug &amp; CR_Items'!F50</f>
        <v>Delivered</v>
      </c>
      <c r="D50" t="str">
        <f>IFERROR(VLOOKUP(C50,Config!$A:$B,2,0),"Unknown")</f>
        <v>Delivered</v>
      </c>
      <c r="E50" t="str">
        <f>IFERROR(VLOOKUP(C50,Config!$A:$C,3,0),"N/A")</f>
        <v>Delivered</v>
      </c>
      <c r="F50">
        <f>IF('SOW, Feedbacks-Bug &amp; CR_Items'!H50="","",'SOW, Feedbacks-Bug &amp; CR_Items'!H50)</f>
        <v>45763</v>
      </c>
    </row>
    <row r="51" spans="1:6">
      <c r="A51" t="str">
        <f>'SOW, Feedbacks-Bug &amp; CR_Items'!D51</f>
        <v>iWork</v>
      </c>
      <c r="B51" t="str">
        <f>'SOW, Feedbacks-Bug &amp; CR_Items'!E51</f>
        <v>Milestone 2</v>
      </c>
      <c r="C51" t="str">
        <f>'SOW, Feedbacks-Bug &amp; CR_Items'!F51</f>
        <v>Delivered</v>
      </c>
      <c r="D51" t="str">
        <f>IFERROR(VLOOKUP(C51,Config!$A:$B,2,0),"Unknown")</f>
        <v>Delivered</v>
      </c>
      <c r="E51" t="str">
        <f>IFERROR(VLOOKUP(C51,Config!$A:$C,3,0),"N/A")</f>
        <v>Delivered</v>
      </c>
      <c r="F51">
        <f>IF('SOW, Feedbacks-Bug &amp; CR_Items'!H51="","",'SOW, Feedbacks-Bug &amp; CR_Items'!H51)</f>
        <v>45763</v>
      </c>
    </row>
    <row r="52" spans="1:6">
      <c r="A52" t="str">
        <f>'SOW, Feedbacks-Bug &amp; CR_Items'!D52</f>
        <v>iWork</v>
      </c>
      <c r="B52" t="str">
        <f>'SOW, Feedbacks-Bug &amp; CR_Items'!E52</f>
        <v>Milestone 2</v>
      </c>
      <c r="C52" t="str">
        <f>'SOW, Feedbacks-Bug &amp; CR_Items'!F52</f>
        <v>Delivered</v>
      </c>
      <c r="D52" t="str">
        <f>IFERROR(VLOOKUP(C52,Config!$A:$B,2,0),"Unknown")</f>
        <v>Delivered</v>
      </c>
      <c r="E52" t="str">
        <f>IFERROR(VLOOKUP(C52,Config!$A:$C,3,0),"N/A")</f>
        <v>Delivered</v>
      </c>
      <c r="F52">
        <f>IF('SOW, Feedbacks-Bug &amp; CR_Items'!H52="","",'SOW, Feedbacks-Bug &amp; CR_Items'!H52)</f>
        <v>45763</v>
      </c>
    </row>
    <row r="53" spans="1:6">
      <c r="A53" t="str">
        <f>'SOW, Feedbacks-Bug &amp; CR_Items'!D53</f>
        <v>iWork</v>
      </c>
      <c r="B53" t="str">
        <f>'SOW, Feedbacks-Bug &amp; CR_Items'!E53</f>
        <v>Milestone 2</v>
      </c>
      <c r="C53" t="str">
        <f>'SOW, Feedbacks-Bug &amp; CR_Items'!F53</f>
        <v>Delivered</v>
      </c>
      <c r="D53" t="str">
        <f>IFERROR(VLOOKUP(C53,Config!$A:$B,2,0),"Unknown")</f>
        <v>Delivered</v>
      </c>
      <c r="E53" t="str">
        <f>IFERROR(VLOOKUP(C53,Config!$A:$C,3,0),"N/A")</f>
        <v>Delivered</v>
      </c>
      <c r="F53">
        <f>IF('SOW, Feedbacks-Bug &amp; CR_Items'!H53="","",'SOW, Feedbacks-Bug &amp; CR_Items'!H53)</f>
        <v>45763</v>
      </c>
    </row>
    <row r="54" spans="1:6">
      <c r="A54" t="str">
        <f>'SOW, Feedbacks-Bug &amp; CR_Items'!D54</f>
        <v>iWork</v>
      </c>
      <c r="B54" t="str">
        <f>'SOW, Feedbacks-Bug &amp; CR_Items'!E54</f>
        <v>Milestone 2</v>
      </c>
      <c r="C54" t="str">
        <f>'SOW, Feedbacks-Bug &amp; CR_Items'!F54</f>
        <v>Delivered</v>
      </c>
      <c r="D54" t="str">
        <f>IFERROR(VLOOKUP(C54,Config!$A:$B,2,0),"Unknown")</f>
        <v>Delivered</v>
      </c>
      <c r="E54" t="str">
        <f>IFERROR(VLOOKUP(C54,Config!$A:$C,3,0),"N/A")</f>
        <v>Delivered</v>
      </c>
      <c r="F54">
        <f>IF('SOW, Feedbacks-Bug &amp; CR_Items'!H54="","",'SOW, Feedbacks-Bug &amp; CR_Items'!H54)</f>
        <v>45763</v>
      </c>
    </row>
    <row r="55" spans="1:6">
      <c r="A55" t="str">
        <f>'SOW, Feedbacks-Bug &amp; CR_Items'!D55</f>
        <v>iWork</v>
      </c>
      <c r="B55" t="str">
        <f>'SOW, Feedbacks-Bug &amp; CR_Items'!E55</f>
        <v>Milestone 2</v>
      </c>
      <c r="C55" t="str">
        <f>'SOW, Feedbacks-Bug &amp; CR_Items'!F55</f>
        <v>Delivered</v>
      </c>
      <c r="D55" t="str">
        <f>IFERROR(VLOOKUP(C55,Config!$A:$B,2,0),"Unknown")</f>
        <v>Delivered</v>
      </c>
      <c r="E55" t="str">
        <f>IFERROR(VLOOKUP(C55,Config!$A:$C,3,0),"N/A")</f>
        <v>Delivered</v>
      </c>
      <c r="F55">
        <f>IF('SOW, Feedbacks-Bug &amp; CR_Items'!H55="","",'SOW, Feedbacks-Bug &amp; CR_Items'!H55)</f>
        <v>45763</v>
      </c>
    </row>
    <row r="56" spans="1:6">
      <c r="A56" t="str">
        <f>'SOW, Feedbacks-Bug &amp; CR_Items'!D56</f>
        <v>iWork</v>
      </c>
      <c r="B56" t="str">
        <f>'SOW, Feedbacks-Bug &amp; CR_Items'!E56</f>
        <v>Milestone 2</v>
      </c>
      <c r="C56" t="str">
        <f>'SOW, Feedbacks-Bug &amp; CR_Items'!F56</f>
        <v>Delivered</v>
      </c>
      <c r="D56" t="str">
        <f>IFERROR(VLOOKUP(C56,Config!$A:$B,2,0),"Unknown")</f>
        <v>Delivered</v>
      </c>
      <c r="E56" t="str">
        <f>IFERROR(VLOOKUP(C56,Config!$A:$C,3,0),"N/A")</f>
        <v>Delivered</v>
      </c>
      <c r="F56">
        <f>IF('SOW, Feedbacks-Bug &amp; CR_Items'!H56="","",'SOW, Feedbacks-Bug &amp; CR_Items'!H56)</f>
        <v>45763</v>
      </c>
    </row>
    <row r="57" spans="1:6">
      <c r="A57" t="str">
        <f>'SOW, Feedbacks-Bug &amp; CR_Items'!D57</f>
        <v>iWork</v>
      </c>
      <c r="B57" t="str">
        <f>'SOW, Feedbacks-Bug &amp; CR_Items'!E57</f>
        <v>Milestone 2</v>
      </c>
      <c r="C57" t="str">
        <f>'SOW, Feedbacks-Bug &amp; CR_Items'!F57</f>
        <v>Delivered</v>
      </c>
      <c r="D57" t="str">
        <f>IFERROR(VLOOKUP(C57,Config!$A:$B,2,0),"Unknown")</f>
        <v>Delivered</v>
      </c>
      <c r="E57" t="str">
        <f>IFERROR(VLOOKUP(C57,Config!$A:$C,3,0),"N/A")</f>
        <v>Delivered</v>
      </c>
      <c r="F57">
        <f>IF('SOW, Feedbacks-Bug &amp; CR_Items'!H57="","",'SOW, Feedbacks-Bug &amp; CR_Items'!H57)</f>
        <v>45763</v>
      </c>
    </row>
    <row r="58" spans="1:6">
      <c r="A58" t="str">
        <f>'SOW, Feedbacks-Bug &amp; CR_Items'!D58</f>
        <v>iWork</v>
      </c>
      <c r="B58" t="str">
        <f>'SOW, Feedbacks-Bug &amp; CR_Items'!E58</f>
        <v>Milestone 2</v>
      </c>
      <c r="C58" t="str">
        <f>'SOW, Feedbacks-Bug &amp; CR_Items'!F58</f>
        <v>Delivered</v>
      </c>
      <c r="D58" t="str">
        <f>IFERROR(VLOOKUP(C58,Config!$A:$B,2,0),"Unknown")</f>
        <v>Delivered</v>
      </c>
      <c r="E58" t="str">
        <f>IFERROR(VLOOKUP(C58,Config!$A:$C,3,0),"N/A")</f>
        <v>Delivered</v>
      </c>
      <c r="F58">
        <f>IF('SOW, Feedbacks-Bug &amp; CR_Items'!H58="","",'SOW, Feedbacks-Bug &amp; CR_Items'!H58)</f>
        <v>45763</v>
      </c>
    </row>
    <row r="59" spans="1:6">
      <c r="A59" t="str">
        <f>'SOW, Feedbacks-Bug &amp; CR_Items'!D59</f>
        <v>iWork</v>
      </c>
      <c r="B59" t="str">
        <f>'SOW, Feedbacks-Bug &amp; CR_Items'!E59</f>
        <v>Milestone 2</v>
      </c>
      <c r="C59" t="str">
        <f>'SOW, Feedbacks-Bug &amp; CR_Items'!F59</f>
        <v>Delivered</v>
      </c>
      <c r="D59" t="str">
        <f>IFERROR(VLOOKUP(C59,Config!$A:$B,2,0),"Unknown")</f>
        <v>Delivered</v>
      </c>
      <c r="E59" t="str">
        <f>IFERROR(VLOOKUP(C59,Config!$A:$C,3,0),"N/A")</f>
        <v>Delivered</v>
      </c>
      <c r="F59">
        <f>IF('SOW, Feedbacks-Bug &amp; CR_Items'!H59="","",'SOW, Feedbacks-Bug &amp; CR_Items'!H59)</f>
        <v>45763</v>
      </c>
    </row>
    <row r="60" spans="1:6">
      <c r="A60" t="str">
        <f>'SOW, Feedbacks-Bug &amp; CR_Items'!D60</f>
        <v>iWork</v>
      </c>
      <c r="B60" t="str">
        <f>'SOW, Feedbacks-Bug &amp; CR_Items'!E60</f>
        <v>Milestone 2</v>
      </c>
      <c r="C60" t="str">
        <f>'SOW, Feedbacks-Bug &amp; CR_Items'!F60</f>
        <v>Delivered</v>
      </c>
      <c r="D60" t="str">
        <f>IFERROR(VLOOKUP(C60,Config!$A:$B,2,0),"Unknown")</f>
        <v>Delivered</v>
      </c>
      <c r="E60" t="str">
        <f>IFERROR(VLOOKUP(C60,Config!$A:$C,3,0),"N/A")</f>
        <v>Delivered</v>
      </c>
      <c r="F60">
        <f>IF('SOW, Feedbacks-Bug &amp; CR_Items'!H60="","",'SOW, Feedbacks-Bug &amp; CR_Items'!H60)</f>
        <v>45763</v>
      </c>
    </row>
    <row r="61" spans="1:6">
      <c r="A61" t="str">
        <f>'SOW, Feedbacks-Bug &amp; CR_Items'!D61</f>
        <v>iWork</v>
      </c>
      <c r="B61" t="str">
        <f>'SOW, Feedbacks-Bug &amp; CR_Items'!E61</f>
        <v>Milestone 2</v>
      </c>
      <c r="C61" t="str">
        <f>'SOW, Feedbacks-Bug &amp; CR_Items'!F61</f>
        <v>Delivered</v>
      </c>
      <c r="D61" t="str">
        <f>IFERROR(VLOOKUP(C61,Config!$A:$B,2,0),"Unknown")</f>
        <v>Delivered</v>
      </c>
      <c r="E61" t="str">
        <f>IFERROR(VLOOKUP(C61,Config!$A:$C,3,0),"N/A")</f>
        <v>Delivered</v>
      </c>
      <c r="F61">
        <f>IF('SOW, Feedbacks-Bug &amp; CR_Items'!H61="","",'SOW, Feedbacks-Bug &amp; CR_Items'!H61)</f>
        <v>45763</v>
      </c>
    </row>
    <row r="62" spans="1:6">
      <c r="A62" t="str">
        <f>'SOW, Feedbacks-Bug &amp; CR_Items'!D62</f>
        <v>iWork</v>
      </c>
      <c r="B62" t="str">
        <f>'SOW, Feedbacks-Bug &amp; CR_Items'!E62</f>
        <v>Milestone 2</v>
      </c>
      <c r="C62" t="str">
        <f>'SOW, Feedbacks-Bug &amp; CR_Items'!F62</f>
        <v>Pre-PROD</v>
      </c>
      <c r="D62" t="str">
        <f>IFERROR(VLOOKUP(C62,Config!$A:$B,2,0),"Unknown")</f>
        <v>Pre-PROD / UAT</v>
      </c>
      <c r="E62" t="str">
        <f>IFERROR(VLOOKUP(C62,Config!$A:$C,3,0),"N/A")</f>
        <v>Pending</v>
      </c>
      <c r="F62">
        <f>IF('SOW, Feedbacks-Bug &amp; CR_Items'!H62="","",'SOW, Feedbacks-Bug &amp; CR_Items'!H62)</f>
        <v>45763</v>
      </c>
    </row>
    <row r="63" spans="1:6">
      <c r="A63" t="str">
        <f>'SOW, Feedbacks-Bug &amp; CR_Items'!D63</f>
        <v>Framework</v>
      </c>
      <c r="B63" t="str">
        <f>'SOW, Feedbacks-Bug &amp; CR_Items'!E63</f>
        <v>Milestone 3</v>
      </c>
      <c r="C63" t="str">
        <f>'SOW, Feedbacks-Bug &amp; CR_Items'!F63</f>
        <v>Delivered</v>
      </c>
      <c r="D63" t="str">
        <f>IFERROR(VLOOKUP(C63,Config!$A:$B,2,0),"Unknown")</f>
        <v>Delivered</v>
      </c>
      <c r="E63" t="str">
        <f>IFERROR(VLOOKUP(C63,Config!$A:$C,3,0),"N/A")</f>
        <v>Delivered</v>
      </c>
      <c r="F63">
        <f>IF('SOW, Feedbacks-Bug &amp; CR_Items'!H63="","",'SOW, Feedbacks-Bug &amp; CR_Items'!H63)</f>
        <v>45793</v>
      </c>
    </row>
    <row r="64" spans="1:6">
      <c r="A64" t="str">
        <f>'SOW, Feedbacks-Bug &amp; CR_Items'!D64</f>
        <v>iWork</v>
      </c>
      <c r="B64" t="str">
        <f>'SOW, Feedbacks-Bug &amp; CR_Items'!E64</f>
        <v>Milestone 3</v>
      </c>
      <c r="C64" t="str">
        <f>'SOW, Feedbacks-Bug &amp; CR_Items'!F64</f>
        <v>Delivered</v>
      </c>
      <c r="D64" t="str">
        <f>IFERROR(VLOOKUP(C64,Config!$A:$B,2,0),"Unknown")</f>
        <v>Delivered</v>
      </c>
      <c r="E64" t="str">
        <f>IFERROR(VLOOKUP(C64,Config!$A:$C,3,0),"N/A")</f>
        <v>Delivered</v>
      </c>
      <c r="F64">
        <f>IF('SOW, Feedbacks-Bug &amp; CR_Items'!H64="","",'SOW, Feedbacks-Bug &amp; CR_Items'!H64)</f>
        <v>45793</v>
      </c>
    </row>
    <row r="65" spans="1:6">
      <c r="A65" t="str">
        <f>'SOW, Feedbacks-Bug &amp; CR_Items'!D65</f>
        <v>iWork</v>
      </c>
      <c r="B65" t="str">
        <f>'SOW, Feedbacks-Bug &amp; CR_Items'!E65</f>
        <v>Milestone 3</v>
      </c>
      <c r="C65" t="str">
        <f>'SOW, Feedbacks-Bug &amp; CR_Items'!F65</f>
        <v>Delivered</v>
      </c>
      <c r="D65" t="str">
        <f>IFERROR(VLOOKUP(C65,Config!$A:$B,2,0),"Unknown")</f>
        <v>Delivered</v>
      </c>
      <c r="E65" t="str">
        <f>IFERROR(VLOOKUP(C65,Config!$A:$C,3,0),"N/A")</f>
        <v>Delivered</v>
      </c>
      <c r="F65">
        <f>IF('SOW, Feedbacks-Bug &amp; CR_Items'!H65="","",'SOW, Feedbacks-Bug &amp; CR_Items'!H65)</f>
        <v>45793</v>
      </c>
    </row>
    <row r="66" spans="1:6">
      <c r="A66" t="str">
        <f>'SOW, Feedbacks-Bug &amp; CR_Items'!D66</f>
        <v>iWork</v>
      </c>
      <c r="B66" t="str">
        <f>'SOW, Feedbacks-Bug &amp; CR_Items'!E66</f>
        <v>Milestone 3</v>
      </c>
      <c r="C66" t="str">
        <f>'SOW, Feedbacks-Bug &amp; CR_Items'!F66</f>
        <v>Delivered</v>
      </c>
      <c r="D66" t="str">
        <f>IFERROR(VLOOKUP(C66,Config!$A:$B,2,0),"Unknown")</f>
        <v>Delivered</v>
      </c>
      <c r="E66" t="str">
        <f>IFERROR(VLOOKUP(C66,Config!$A:$C,3,0),"N/A")</f>
        <v>Delivered</v>
      </c>
      <c r="F66">
        <f>IF('SOW, Feedbacks-Bug &amp; CR_Items'!H66="","",'SOW, Feedbacks-Bug &amp; CR_Items'!H66)</f>
        <v>45793</v>
      </c>
    </row>
    <row r="67" spans="1:6">
      <c r="A67" t="str">
        <f>'SOW, Feedbacks-Bug &amp; CR_Items'!D67</f>
        <v>iWork</v>
      </c>
      <c r="B67" t="str">
        <f>'SOW, Feedbacks-Bug &amp; CR_Items'!E67</f>
        <v>Milestone 3</v>
      </c>
      <c r="C67" t="str">
        <f>'SOW, Feedbacks-Bug &amp; CR_Items'!F67</f>
        <v>Delivered</v>
      </c>
      <c r="D67" t="str">
        <f>IFERROR(VLOOKUP(C67,Config!$A:$B,2,0),"Unknown")</f>
        <v>Delivered</v>
      </c>
      <c r="E67" t="str">
        <f>IFERROR(VLOOKUP(C67,Config!$A:$C,3,0),"N/A")</f>
        <v>Delivered</v>
      </c>
      <c r="F67">
        <f>IF('SOW, Feedbacks-Bug &amp; CR_Items'!H67="","",'SOW, Feedbacks-Bug &amp; CR_Items'!H67)</f>
        <v>45793</v>
      </c>
    </row>
    <row r="68" spans="1:6">
      <c r="A68" t="str">
        <f>'SOW, Feedbacks-Bug &amp; CR_Items'!D68</f>
        <v>iWork</v>
      </c>
      <c r="B68" t="str">
        <f>'SOW, Feedbacks-Bug &amp; CR_Items'!E68</f>
        <v>Milestone 3</v>
      </c>
      <c r="C68" t="str">
        <f>'SOW, Feedbacks-Bug &amp; CR_Items'!F68</f>
        <v>Delivered</v>
      </c>
      <c r="D68" t="str">
        <f>IFERROR(VLOOKUP(C68,Config!$A:$B,2,0),"Unknown")</f>
        <v>Delivered</v>
      </c>
      <c r="E68" t="str">
        <f>IFERROR(VLOOKUP(C68,Config!$A:$C,3,0),"N/A")</f>
        <v>Delivered</v>
      </c>
      <c r="F68">
        <f>IF('SOW, Feedbacks-Bug &amp; CR_Items'!H68="","",'SOW, Feedbacks-Bug &amp; CR_Items'!H68)</f>
        <v>45793</v>
      </c>
    </row>
    <row r="69" spans="1:6">
      <c r="A69" t="str">
        <f>'SOW, Feedbacks-Bug &amp; CR_Items'!D69</f>
        <v>iWork</v>
      </c>
      <c r="B69" t="str">
        <f>'SOW, Feedbacks-Bug &amp; CR_Items'!E69</f>
        <v>Milestone 3</v>
      </c>
      <c r="C69" t="str">
        <f>'SOW, Feedbacks-Bug &amp; CR_Items'!F69</f>
        <v>Delivered</v>
      </c>
      <c r="D69" t="str">
        <f>IFERROR(VLOOKUP(C69,Config!$A:$B,2,0),"Unknown")</f>
        <v>Delivered</v>
      </c>
      <c r="E69" t="str">
        <f>IFERROR(VLOOKUP(C69,Config!$A:$C,3,0),"N/A")</f>
        <v>Delivered</v>
      </c>
      <c r="F69">
        <f>IF('SOW, Feedbacks-Bug &amp; CR_Items'!H69="","",'SOW, Feedbacks-Bug &amp; CR_Items'!H69)</f>
        <v>45793</v>
      </c>
    </row>
    <row r="70" spans="1:6">
      <c r="A70" t="str">
        <f>'SOW, Feedbacks-Bug &amp; CR_Items'!D70</f>
        <v>iWork</v>
      </c>
      <c r="B70" t="str">
        <f>'SOW, Feedbacks-Bug &amp; CR_Items'!E70</f>
        <v>Milestone 3</v>
      </c>
      <c r="C70" t="str">
        <f>'SOW, Feedbacks-Bug &amp; CR_Items'!F70</f>
        <v>Delivered</v>
      </c>
      <c r="D70" t="str">
        <f>IFERROR(VLOOKUP(C70,Config!$A:$B,2,0),"Unknown")</f>
        <v>Delivered</v>
      </c>
      <c r="E70" t="str">
        <f>IFERROR(VLOOKUP(C70,Config!$A:$C,3,0),"N/A")</f>
        <v>Delivered</v>
      </c>
      <c r="F70">
        <f>IF('SOW, Feedbacks-Bug &amp; CR_Items'!H70="","",'SOW, Feedbacks-Bug &amp; CR_Items'!H70)</f>
        <v>45793</v>
      </c>
    </row>
    <row r="71" spans="1:6">
      <c r="A71" t="str">
        <f>'SOW, Feedbacks-Bug &amp; CR_Items'!D71</f>
        <v>IBP</v>
      </c>
      <c r="B71" t="str">
        <f>'SOW, Feedbacks-Bug &amp; CR_Items'!E71</f>
        <v>Milestone 6</v>
      </c>
      <c r="C71" t="str">
        <f>'SOW, Feedbacks-Bug &amp; CR_Items'!F71</f>
        <v>Yet to start</v>
      </c>
      <c r="D71" t="str">
        <f>IFERROR(VLOOKUP(C71,Config!$A:$B,2,0),"Unknown")</f>
        <v>Not Started</v>
      </c>
      <c r="E71" t="str">
        <f>IFERROR(VLOOKUP(C71,Config!$A:$C,3,0),"N/A")</f>
        <v>Pending</v>
      </c>
      <c r="F71">
        <f>IF('SOW, Feedbacks-Bug &amp; CR_Items'!H71="","",'SOW, Feedbacks-Bug &amp; CR_Items'!H71)</f>
        <v>46232</v>
      </c>
    </row>
    <row r="72" spans="1:6">
      <c r="A72" t="str">
        <f>'SOW, Feedbacks-Bug &amp; CR_Items'!D72</f>
        <v>Framework</v>
      </c>
      <c r="B72" t="str">
        <f>'SOW, Feedbacks-Bug &amp; CR_Items'!E72</f>
        <v>Milestone 4</v>
      </c>
      <c r="C72" t="str">
        <f>'SOW, Feedbacks-Bug &amp; CR_Items'!F72</f>
        <v>Delivered</v>
      </c>
      <c r="D72" t="str">
        <f>IFERROR(VLOOKUP(C72,Config!$A:$B,2,0),"Unknown")</f>
        <v>Delivered</v>
      </c>
      <c r="E72" t="str">
        <f>IFERROR(VLOOKUP(C72,Config!$A:$C,3,0),"N/A")</f>
        <v>Delivered</v>
      </c>
      <c r="F72">
        <f>IF('SOW, Feedbacks-Bug &amp; CR_Items'!H72="","",'SOW, Feedbacks-Bug &amp; CR_Items'!H72)</f>
        <v>45818</v>
      </c>
    </row>
    <row r="73" spans="1:6">
      <c r="A73" t="str">
        <f>'SOW, Feedbacks-Bug &amp; CR_Items'!D73</f>
        <v>Framework</v>
      </c>
      <c r="B73" t="str">
        <f>'SOW, Feedbacks-Bug &amp; CR_Items'!E73</f>
        <v>Milestone 4</v>
      </c>
      <c r="C73" t="str">
        <f>'SOW, Feedbacks-Bug &amp; CR_Items'!F73</f>
        <v>Delivered</v>
      </c>
      <c r="D73" t="str">
        <f>IFERROR(VLOOKUP(C73,Config!$A:$B,2,0),"Unknown")</f>
        <v>Delivered</v>
      </c>
      <c r="E73" t="str">
        <f>IFERROR(VLOOKUP(C73,Config!$A:$C,3,0),"N/A")</f>
        <v>Delivered</v>
      </c>
      <c r="F73">
        <f>IF('SOW, Feedbacks-Bug &amp; CR_Items'!H73="","",'SOW, Feedbacks-Bug &amp; CR_Items'!H73)</f>
        <v>45818</v>
      </c>
    </row>
    <row r="74" spans="1:6">
      <c r="A74" t="str">
        <f>'SOW, Feedbacks-Bug &amp; CR_Items'!D74</f>
        <v>Framework</v>
      </c>
      <c r="B74" t="str">
        <f>'SOW, Feedbacks-Bug &amp; CR_Items'!E74</f>
        <v>Milestone 4</v>
      </c>
      <c r="C74" t="str">
        <f>'SOW, Feedbacks-Bug &amp; CR_Items'!F74</f>
        <v>Delivered</v>
      </c>
      <c r="D74" t="str">
        <f>IFERROR(VLOOKUP(C74,Config!$A:$B,2,0),"Unknown")</f>
        <v>Delivered</v>
      </c>
      <c r="E74" t="str">
        <f>IFERROR(VLOOKUP(C74,Config!$A:$C,3,0),"N/A")</f>
        <v>Delivered</v>
      </c>
      <c r="F74">
        <f>IF('SOW, Feedbacks-Bug &amp; CR_Items'!H74="","",'SOW, Feedbacks-Bug &amp; CR_Items'!H74)</f>
        <v>45818</v>
      </c>
    </row>
    <row r="75" spans="1:6">
      <c r="A75" t="str">
        <f>'SOW, Feedbacks-Bug &amp; CR_Items'!D75</f>
        <v>Framework</v>
      </c>
      <c r="B75" t="str">
        <f>'SOW, Feedbacks-Bug &amp; CR_Items'!E75</f>
        <v>Milestone 4</v>
      </c>
      <c r="C75" t="str">
        <f>'SOW, Feedbacks-Bug &amp; CR_Items'!F75</f>
        <v>Delivered</v>
      </c>
      <c r="D75" t="str">
        <f>IFERROR(VLOOKUP(C75,Config!$A:$B,2,0),"Unknown")</f>
        <v>Delivered</v>
      </c>
      <c r="E75" t="str">
        <f>IFERROR(VLOOKUP(C75,Config!$A:$C,3,0),"N/A")</f>
        <v>Delivered</v>
      </c>
      <c r="F75">
        <f>IF('SOW, Feedbacks-Bug &amp; CR_Items'!H75="","",'SOW, Feedbacks-Bug &amp; CR_Items'!H75)</f>
        <v>45818</v>
      </c>
    </row>
    <row r="76" spans="1:6">
      <c r="A76" t="str">
        <f>'SOW, Feedbacks-Bug &amp; CR_Items'!D76</f>
        <v>Framework</v>
      </c>
      <c r="B76" t="str">
        <f>'SOW, Feedbacks-Bug &amp; CR_Items'!E76</f>
        <v>Milestone 4</v>
      </c>
      <c r="C76" t="str">
        <f>'SOW, Feedbacks-Bug &amp; CR_Items'!F76</f>
        <v>Pre-PROD</v>
      </c>
      <c r="D76" t="str">
        <f>IFERROR(VLOOKUP(C76,Config!$A:$B,2,0),"Unknown")</f>
        <v>Pre-PROD / UAT</v>
      </c>
      <c r="E76" t="str">
        <f>IFERROR(VLOOKUP(C76,Config!$A:$C,3,0),"N/A")</f>
        <v>Pending</v>
      </c>
      <c r="F76">
        <f>IF('SOW, Feedbacks-Bug &amp; CR_Items'!H76="","",'SOW, Feedbacks-Bug &amp; CR_Items'!H76)</f>
        <v>45818</v>
      </c>
    </row>
    <row r="77" spans="1:6">
      <c r="A77" t="str">
        <f>'SOW, Feedbacks-Bug &amp; CR_Items'!D77</f>
        <v>Framework</v>
      </c>
      <c r="B77" t="str">
        <f>'SOW, Feedbacks-Bug &amp; CR_Items'!E77</f>
        <v>Milestone 4</v>
      </c>
      <c r="C77" t="str">
        <f>'SOW, Feedbacks-Bug &amp; CR_Items'!F77</f>
        <v>Not in scope</v>
      </c>
      <c r="D77" t="str">
        <f>IFERROR(VLOOKUP(C77,Config!$A:$B,2,0),"Unknown")</f>
        <v>Delivered</v>
      </c>
      <c r="E77" t="str">
        <f>IFERROR(VLOOKUP(C77,Config!$A:$C,3,0),"N/A")</f>
        <v>Delivered</v>
      </c>
      <c r="F77">
        <f>IF('SOW, Feedbacks-Bug &amp; CR_Items'!H77="","",'SOW, Feedbacks-Bug &amp; CR_Items'!H77)</f>
        <v>45818</v>
      </c>
    </row>
    <row r="78" spans="1:6">
      <c r="A78" t="str">
        <f>'SOW, Feedbacks-Bug &amp; CR_Items'!D78</f>
        <v>DPDP</v>
      </c>
      <c r="B78" t="str">
        <f>'SOW, Feedbacks-Bug &amp; CR_Items'!E78</f>
        <v>Milestone 4</v>
      </c>
      <c r="C78" t="str">
        <f>'SOW, Feedbacks-Bug &amp; CR_Items'!F78</f>
        <v>Yet to start</v>
      </c>
      <c r="D78" t="str">
        <f>IFERROR(VLOOKUP(C78,Config!$A:$B,2,0),"Unknown")</f>
        <v>Not Started</v>
      </c>
      <c r="E78" t="str">
        <f>IFERROR(VLOOKUP(C78,Config!$A:$C,3,0),"N/A")</f>
        <v>Pending</v>
      </c>
      <c r="F78">
        <f>IF('SOW, Feedbacks-Bug &amp; CR_Items'!H78="","",'SOW, Feedbacks-Bug &amp; CR_Items'!H78)</f>
        <v>45818</v>
      </c>
    </row>
    <row r="79" spans="1:6">
      <c r="A79" t="str">
        <f>'SOW, Feedbacks-Bug &amp; CR_Items'!D79</f>
        <v>iWork</v>
      </c>
      <c r="B79" t="str">
        <f>'SOW, Feedbacks-Bug &amp; CR_Items'!E79</f>
        <v>Milestone 5</v>
      </c>
      <c r="C79" t="str">
        <f>'SOW, Feedbacks-Bug &amp; CR_Items'!F79</f>
        <v>Delivered - Deficit</v>
      </c>
      <c r="D79" t="str">
        <f>IFERROR(VLOOKUP(C79,Config!$A:$B,2,0),"Unknown")</f>
        <v>Partial Delivery</v>
      </c>
      <c r="E79" t="str">
        <f>IFERROR(VLOOKUP(C79,Config!$A:$C,3,0),"N/A")</f>
        <v>Pending</v>
      </c>
      <c r="F79">
        <f>IF('SOW, Feedbacks-Bug &amp; CR_Items'!H79="","",'SOW, Feedbacks-Bug &amp; CR_Items'!H79)</f>
        <v>45869</v>
      </c>
    </row>
    <row r="80" spans="1:6">
      <c r="A80" t="str">
        <f>'SOW, Feedbacks-Bug &amp; CR_Items'!D80</f>
        <v>Framework</v>
      </c>
      <c r="B80" t="str">
        <f>'SOW, Feedbacks-Bug &amp; CR_Items'!E80</f>
        <v>Milestone 4</v>
      </c>
      <c r="C80" t="str">
        <f>'SOW, Feedbacks-Bug &amp; CR_Items'!F80</f>
        <v>Not in scope</v>
      </c>
      <c r="D80" t="str">
        <f>IFERROR(VLOOKUP(C80,Config!$A:$B,2,0),"Unknown")</f>
        <v>Delivered</v>
      </c>
      <c r="E80" t="str">
        <f>IFERROR(VLOOKUP(C80,Config!$A:$C,3,0),"N/A")</f>
        <v>Delivered</v>
      </c>
      <c r="F80">
        <f>IF('SOW, Feedbacks-Bug &amp; CR_Items'!H80="","",'SOW, Feedbacks-Bug &amp; CR_Items'!H80)</f>
        <v>45818</v>
      </c>
    </row>
    <row r="81" spans="1:6">
      <c r="A81" t="str">
        <f>'SOW, Feedbacks-Bug &amp; CR_Items'!D81</f>
        <v>IBP</v>
      </c>
      <c r="B81" t="str">
        <f>'SOW, Feedbacks-Bug &amp; CR_Items'!E81</f>
        <v>Milestone 4</v>
      </c>
      <c r="C81" t="str">
        <f>'SOW, Feedbacks-Bug &amp; CR_Items'!F81</f>
        <v>Delivered</v>
      </c>
      <c r="D81" t="str">
        <f>IFERROR(VLOOKUP(C81,Config!$A:$B,2,0),"Unknown")</f>
        <v>Delivered</v>
      </c>
      <c r="E81" t="str">
        <f>IFERROR(VLOOKUP(C81,Config!$A:$C,3,0),"N/A")</f>
        <v>Delivered</v>
      </c>
      <c r="F81">
        <f>IF('SOW, Feedbacks-Bug &amp; CR_Items'!H81="","",'SOW, Feedbacks-Bug &amp; CR_Items'!H81)</f>
        <v>45818</v>
      </c>
    </row>
    <row r="82" spans="1:6">
      <c r="A82" t="str">
        <f>'SOW, Feedbacks-Bug &amp; CR_Items'!D82</f>
        <v>IBP</v>
      </c>
      <c r="B82" t="str">
        <f>'SOW, Feedbacks-Bug &amp; CR_Items'!E82</f>
        <v>Milestone 4</v>
      </c>
      <c r="C82" t="str">
        <f>'SOW, Feedbacks-Bug &amp; CR_Items'!F82</f>
        <v>Delivered</v>
      </c>
      <c r="D82" t="str">
        <f>IFERROR(VLOOKUP(C82,Config!$A:$B,2,0),"Unknown")</f>
        <v>Delivered</v>
      </c>
      <c r="E82" t="str">
        <f>IFERROR(VLOOKUP(C82,Config!$A:$C,3,0),"N/A")</f>
        <v>Delivered</v>
      </c>
      <c r="F82">
        <f>IF('SOW, Feedbacks-Bug &amp; CR_Items'!H82="","",'SOW, Feedbacks-Bug &amp; CR_Items'!H82)</f>
        <v>45818</v>
      </c>
    </row>
    <row r="83" spans="1:6">
      <c r="A83" t="str">
        <f>'SOW, Feedbacks-Bug &amp; CR_Items'!D83</f>
        <v>IBP</v>
      </c>
      <c r="B83" t="str">
        <f>'SOW, Feedbacks-Bug &amp; CR_Items'!E83</f>
        <v>Milestone 4</v>
      </c>
      <c r="C83" t="str">
        <f>'SOW, Feedbacks-Bug &amp; CR_Items'!F83</f>
        <v>Delivered</v>
      </c>
      <c r="D83" t="str">
        <f>IFERROR(VLOOKUP(C83,Config!$A:$B,2,0),"Unknown")</f>
        <v>Delivered</v>
      </c>
      <c r="E83" t="str">
        <f>IFERROR(VLOOKUP(C83,Config!$A:$C,3,0),"N/A")</f>
        <v>Delivered</v>
      </c>
      <c r="F83">
        <f>IF('SOW, Feedbacks-Bug &amp; CR_Items'!H83="","",'SOW, Feedbacks-Bug &amp; CR_Items'!H83)</f>
        <v>45818</v>
      </c>
    </row>
    <row r="84" spans="1:6">
      <c r="A84" t="str">
        <f>'SOW, Feedbacks-Bug &amp; CR_Items'!D84</f>
        <v>IBP</v>
      </c>
      <c r="B84" t="str">
        <f>'SOW, Feedbacks-Bug &amp; CR_Items'!E84</f>
        <v>Milestone 4</v>
      </c>
      <c r="C84" t="str">
        <f>'SOW, Feedbacks-Bug &amp; CR_Items'!F84</f>
        <v>Delivered</v>
      </c>
      <c r="D84" t="str">
        <f>IFERROR(VLOOKUP(C84,Config!$A:$B,2,0),"Unknown")</f>
        <v>Delivered</v>
      </c>
      <c r="E84" t="str">
        <f>IFERROR(VLOOKUP(C84,Config!$A:$C,3,0),"N/A")</f>
        <v>Delivered</v>
      </c>
      <c r="F84">
        <f>IF('SOW, Feedbacks-Bug &amp; CR_Items'!H84="","",'SOW, Feedbacks-Bug &amp; CR_Items'!H84)</f>
        <v>45818</v>
      </c>
    </row>
    <row r="85" spans="1:6">
      <c r="A85" t="str">
        <f>'SOW, Feedbacks-Bug &amp; CR_Items'!D85</f>
        <v>IBP</v>
      </c>
      <c r="B85" t="str">
        <f>'SOW, Feedbacks-Bug &amp; CR_Items'!E85</f>
        <v>Milestone 4</v>
      </c>
      <c r="C85" t="str">
        <f>'SOW, Feedbacks-Bug &amp; CR_Items'!F85</f>
        <v>Delivered</v>
      </c>
      <c r="D85" t="str">
        <f>IFERROR(VLOOKUP(C85,Config!$A:$B,2,0),"Unknown")</f>
        <v>Delivered</v>
      </c>
      <c r="E85" t="str">
        <f>IFERROR(VLOOKUP(C85,Config!$A:$C,3,0),"N/A")</f>
        <v>Delivered</v>
      </c>
      <c r="F85">
        <f>IF('SOW, Feedbacks-Bug &amp; CR_Items'!H85="","",'SOW, Feedbacks-Bug &amp; CR_Items'!H85)</f>
        <v>45818</v>
      </c>
    </row>
    <row r="86" spans="1:6">
      <c r="A86" t="str">
        <f>'SOW, Feedbacks-Bug &amp; CR_Items'!D86</f>
        <v>IBP</v>
      </c>
      <c r="B86" t="str">
        <f>'SOW, Feedbacks-Bug &amp; CR_Items'!E86</f>
        <v>Milestone 4</v>
      </c>
      <c r="C86" t="str">
        <f>'SOW, Feedbacks-Bug &amp; CR_Items'!F86</f>
        <v>Delivered</v>
      </c>
      <c r="D86" t="str">
        <f>IFERROR(VLOOKUP(C86,Config!$A:$B,2,0),"Unknown")</f>
        <v>Delivered</v>
      </c>
      <c r="E86" t="str">
        <f>IFERROR(VLOOKUP(C86,Config!$A:$C,3,0),"N/A")</f>
        <v>Delivered</v>
      </c>
      <c r="F86">
        <f>IF('SOW, Feedbacks-Bug &amp; CR_Items'!H86="","",'SOW, Feedbacks-Bug &amp; CR_Items'!H86)</f>
        <v>45818</v>
      </c>
    </row>
    <row r="87" spans="1:6">
      <c r="A87" t="str">
        <f>'SOW, Feedbacks-Bug &amp; CR_Items'!D87</f>
        <v>IBP</v>
      </c>
      <c r="B87" t="str">
        <f>'SOW, Feedbacks-Bug &amp; CR_Items'!E87</f>
        <v>Milestone 4</v>
      </c>
      <c r="C87" t="str">
        <f>'SOW, Feedbacks-Bug &amp; CR_Items'!F87</f>
        <v>Delivered</v>
      </c>
      <c r="D87" t="str">
        <f>IFERROR(VLOOKUP(C87,Config!$A:$B,2,0),"Unknown")</f>
        <v>Delivered</v>
      </c>
      <c r="E87" t="str">
        <f>IFERROR(VLOOKUP(C87,Config!$A:$C,3,0),"N/A")</f>
        <v>Delivered</v>
      </c>
      <c r="F87">
        <f>IF('SOW, Feedbacks-Bug &amp; CR_Items'!H87="","",'SOW, Feedbacks-Bug &amp; CR_Items'!H87)</f>
        <v>45818</v>
      </c>
    </row>
    <row r="88" spans="1:6">
      <c r="A88" t="str">
        <f>'SOW, Feedbacks-Bug &amp; CR_Items'!D88</f>
        <v>IBP</v>
      </c>
      <c r="B88" t="str">
        <f>'SOW, Feedbacks-Bug &amp; CR_Items'!E88</f>
        <v>Milestone 4</v>
      </c>
      <c r="C88" t="str">
        <f>'SOW, Feedbacks-Bug &amp; CR_Items'!F88</f>
        <v>Delivered</v>
      </c>
      <c r="D88" t="str">
        <f>IFERROR(VLOOKUP(C88,Config!$A:$B,2,0),"Unknown")</f>
        <v>Delivered</v>
      </c>
      <c r="E88" t="str">
        <f>IFERROR(VLOOKUP(C88,Config!$A:$C,3,0),"N/A")</f>
        <v>Delivered</v>
      </c>
      <c r="F88">
        <f>IF('SOW, Feedbacks-Bug &amp; CR_Items'!H88="","",'SOW, Feedbacks-Bug &amp; CR_Items'!H88)</f>
        <v>45818</v>
      </c>
    </row>
    <row r="89" spans="1:6">
      <c r="A89" t="str">
        <f>'SOW, Feedbacks-Bug &amp; CR_Items'!D89</f>
        <v>IBP</v>
      </c>
      <c r="B89" t="str">
        <f>'SOW, Feedbacks-Bug &amp; CR_Items'!E89</f>
        <v>Milestone 4</v>
      </c>
      <c r="C89" t="str">
        <f>'SOW, Feedbacks-Bug &amp; CR_Items'!F89</f>
        <v>Delivered</v>
      </c>
      <c r="D89" t="str">
        <f>IFERROR(VLOOKUP(C89,Config!$A:$B,2,0),"Unknown")</f>
        <v>Delivered</v>
      </c>
      <c r="E89" t="str">
        <f>IFERROR(VLOOKUP(C89,Config!$A:$C,3,0),"N/A")</f>
        <v>Delivered</v>
      </c>
      <c r="F89">
        <f>IF('SOW, Feedbacks-Bug &amp; CR_Items'!H89="","",'SOW, Feedbacks-Bug &amp; CR_Items'!H89)</f>
        <v>45818</v>
      </c>
    </row>
    <row r="90" spans="1:6">
      <c r="A90" t="str">
        <f>'SOW, Feedbacks-Bug &amp; CR_Items'!D90</f>
        <v>IBP</v>
      </c>
      <c r="B90" t="str">
        <f>'SOW, Feedbacks-Bug &amp; CR_Items'!E90</f>
        <v>Milestone 4</v>
      </c>
      <c r="C90" t="str">
        <f>'SOW, Feedbacks-Bug &amp; CR_Items'!F90</f>
        <v>Delivered</v>
      </c>
      <c r="D90" t="str">
        <f>IFERROR(VLOOKUP(C90,Config!$A:$B,2,0),"Unknown")</f>
        <v>Delivered</v>
      </c>
      <c r="E90" t="str">
        <f>IFERROR(VLOOKUP(C90,Config!$A:$C,3,0),"N/A")</f>
        <v>Delivered</v>
      </c>
      <c r="F90">
        <f>IF('SOW, Feedbacks-Bug &amp; CR_Items'!H90="","",'SOW, Feedbacks-Bug &amp; CR_Items'!H90)</f>
        <v>45818</v>
      </c>
    </row>
    <row r="91" spans="1:6">
      <c r="A91" t="str">
        <f>'SOW, Feedbacks-Bug &amp; CR_Items'!D91</f>
        <v>IBP</v>
      </c>
      <c r="B91" t="str">
        <f>'SOW, Feedbacks-Bug &amp; CR_Items'!E91</f>
        <v>Milestone 4</v>
      </c>
      <c r="C91" t="str">
        <f>'SOW, Feedbacks-Bug &amp; CR_Items'!F91</f>
        <v>Delivered</v>
      </c>
      <c r="D91" t="str">
        <f>IFERROR(VLOOKUP(C91,Config!$A:$B,2,0),"Unknown")</f>
        <v>Delivered</v>
      </c>
      <c r="E91" t="str">
        <f>IFERROR(VLOOKUP(C91,Config!$A:$C,3,0),"N/A")</f>
        <v>Delivered</v>
      </c>
      <c r="F91">
        <f>IF('SOW, Feedbacks-Bug &amp; CR_Items'!H91="","",'SOW, Feedbacks-Bug &amp; CR_Items'!H91)</f>
        <v>45818</v>
      </c>
    </row>
    <row r="92" spans="1:6">
      <c r="A92" t="str">
        <f>'SOW, Feedbacks-Bug &amp; CR_Items'!D92</f>
        <v>IBP</v>
      </c>
      <c r="B92" t="str">
        <f>'SOW, Feedbacks-Bug &amp; CR_Items'!E92</f>
        <v>Milestone 4</v>
      </c>
      <c r="C92" t="str">
        <f>'SOW, Feedbacks-Bug &amp; CR_Items'!F92</f>
        <v>Delivered</v>
      </c>
      <c r="D92" t="str">
        <f>IFERROR(VLOOKUP(C92,Config!$A:$B,2,0),"Unknown")</f>
        <v>Delivered</v>
      </c>
      <c r="E92" t="str">
        <f>IFERROR(VLOOKUP(C92,Config!$A:$C,3,0),"N/A")</f>
        <v>Delivered</v>
      </c>
      <c r="F92">
        <f>IF('SOW, Feedbacks-Bug &amp; CR_Items'!H92="","",'SOW, Feedbacks-Bug &amp; CR_Items'!H92)</f>
        <v>45818</v>
      </c>
    </row>
    <row r="93" spans="1:6">
      <c r="A93" t="str">
        <f>'SOW, Feedbacks-Bug &amp; CR_Items'!D93</f>
        <v>IBP</v>
      </c>
      <c r="B93" t="str">
        <f>'SOW, Feedbacks-Bug &amp; CR_Items'!E93</f>
        <v>Milestone 4</v>
      </c>
      <c r="C93" t="str">
        <f>'SOW, Feedbacks-Bug &amp; CR_Items'!F93</f>
        <v>Delivered</v>
      </c>
      <c r="D93" t="str">
        <f>IFERROR(VLOOKUP(C93,Config!$A:$B,2,0),"Unknown")</f>
        <v>Delivered</v>
      </c>
      <c r="E93" t="str">
        <f>IFERROR(VLOOKUP(C93,Config!$A:$C,3,0),"N/A")</f>
        <v>Delivered</v>
      </c>
      <c r="F93">
        <f>IF('SOW, Feedbacks-Bug &amp; CR_Items'!H93="","",'SOW, Feedbacks-Bug &amp; CR_Items'!H93)</f>
        <v>45818</v>
      </c>
    </row>
    <row r="94" spans="1:6">
      <c r="A94" t="str">
        <f>'SOW, Feedbacks-Bug &amp; CR_Items'!D94</f>
        <v>IBP</v>
      </c>
      <c r="B94" t="str">
        <f>'SOW, Feedbacks-Bug &amp; CR_Items'!E94</f>
        <v>Milestone 4</v>
      </c>
      <c r="C94" t="str">
        <f>'SOW, Feedbacks-Bug &amp; CR_Items'!F94</f>
        <v>Delivered</v>
      </c>
      <c r="D94" t="str">
        <f>IFERROR(VLOOKUP(C94,Config!$A:$B,2,0),"Unknown")</f>
        <v>Delivered</v>
      </c>
      <c r="E94" t="str">
        <f>IFERROR(VLOOKUP(C94,Config!$A:$C,3,0),"N/A")</f>
        <v>Delivered</v>
      </c>
      <c r="F94">
        <f>IF('SOW, Feedbacks-Bug &amp; CR_Items'!H94="","",'SOW, Feedbacks-Bug &amp; CR_Items'!H94)</f>
        <v>45818</v>
      </c>
    </row>
    <row r="95" spans="1:6">
      <c r="A95" t="str">
        <f>'SOW, Feedbacks-Bug &amp; CR_Items'!D95</f>
        <v>IBP</v>
      </c>
      <c r="B95" t="str">
        <f>'SOW, Feedbacks-Bug &amp; CR_Items'!E95</f>
        <v>Milestone 4</v>
      </c>
      <c r="C95" t="str">
        <f>'SOW, Feedbacks-Bug &amp; CR_Items'!F95</f>
        <v>Delivered</v>
      </c>
      <c r="D95" t="str">
        <f>IFERROR(VLOOKUP(C95,Config!$A:$B,2,0),"Unknown")</f>
        <v>Delivered</v>
      </c>
      <c r="E95" t="str">
        <f>IFERROR(VLOOKUP(C95,Config!$A:$C,3,0),"N/A")</f>
        <v>Delivered</v>
      </c>
      <c r="F95">
        <f>IF('SOW, Feedbacks-Bug &amp; CR_Items'!H95="","",'SOW, Feedbacks-Bug &amp; CR_Items'!H95)</f>
        <v>45818</v>
      </c>
    </row>
    <row r="96" spans="1:6">
      <c r="A96" t="str">
        <f>'SOW, Feedbacks-Bug &amp; CR_Items'!D96</f>
        <v>IBP</v>
      </c>
      <c r="B96" t="str">
        <f>'SOW, Feedbacks-Bug &amp; CR_Items'!E96</f>
        <v>Milestone 4</v>
      </c>
      <c r="C96" t="str">
        <f>'SOW, Feedbacks-Bug &amp; CR_Items'!F96</f>
        <v>Delivered</v>
      </c>
      <c r="D96" t="str">
        <f>IFERROR(VLOOKUP(C96,Config!$A:$B,2,0),"Unknown")</f>
        <v>Delivered</v>
      </c>
      <c r="E96" t="str">
        <f>IFERROR(VLOOKUP(C96,Config!$A:$C,3,0),"N/A")</f>
        <v>Delivered</v>
      </c>
      <c r="F96">
        <f>IF('SOW, Feedbacks-Bug &amp; CR_Items'!H96="","",'SOW, Feedbacks-Bug &amp; CR_Items'!H96)</f>
        <v>45818</v>
      </c>
    </row>
    <row r="97" spans="1:6">
      <c r="A97" t="str">
        <f>'SOW, Feedbacks-Bug &amp; CR_Items'!D97</f>
        <v>IBP</v>
      </c>
      <c r="B97" t="str">
        <f>'SOW, Feedbacks-Bug &amp; CR_Items'!E97</f>
        <v>Milestone 4</v>
      </c>
      <c r="C97" t="str">
        <f>'SOW, Feedbacks-Bug &amp; CR_Items'!F97</f>
        <v>Delivered</v>
      </c>
      <c r="D97" t="str">
        <f>IFERROR(VLOOKUP(C97,Config!$A:$B,2,0),"Unknown")</f>
        <v>Delivered</v>
      </c>
      <c r="E97" t="str">
        <f>IFERROR(VLOOKUP(C97,Config!$A:$C,3,0),"N/A")</f>
        <v>Delivered</v>
      </c>
      <c r="F97">
        <f>IF('SOW, Feedbacks-Bug &amp; CR_Items'!H97="","",'SOW, Feedbacks-Bug &amp; CR_Items'!H97)</f>
        <v>45818</v>
      </c>
    </row>
    <row r="98" spans="1:6">
      <c r="A98" t="str">
        <f>'SOW, Feedbacks-Bug &amp; CR_Items'!D98</f>
        <v>IBP</v>
      </c>
      <c r="B98" t="str">
        <f>'SOW, Feedbacks-Bug &amp; CR_Items'!E98</f>
        <v>Milestone 4</v>
      </c>
      <c r="C98" t="str">
        <f>'SOW, Feedbacks-Bug &amp; CR_Items'!F98</f>
        <v>Delivered</v>
      </c>
      <c r="D98" t="str">
        <f>IFERROR(VLOOKUP(C98,Config!$A:$B,2,0),"Unknown")</f>
        <v>Delivered</v>
      </c>
      <c r="E98" t="str">
        <f>IFERROR(VLOOKUP(C98,Config!$A:$C,3,0),"N/A")</f>
        <v>Delivered</v>
      </c>
      <c r="F98">
        <f>IF('SOW, Feedbacks-Bug &amp; CR_Items'!H98="","",'SOW, Feedbacks-Bug &amp; CR_Items'!H98)</f>
        <v>45818</v>
      </c>
    </row>
    <row r="99" spans="1:6">
      <c r="A99" t="str">
        <f>'SOW, Feedbacks-Bug &amp; CR_Items'!D99</f>
        <v>IBP</v>
      </c>
      <c r="B99" t="str">
        <f>'SOW, Feedbacks-Bug &amp; CR_Items'!E99</f>
        <v>Milestone 4</v>
      </c>
      <c r="C99" t="str">
        <f>'SOW, Feedbacks-Bug &amp; CR_Items'!F99</f>
        <v>Delivered</v>
      </c>
      <c r="D99" t="str">
        <f>IFERROR(VLOOKUP(C99,Config!$A:$B,2,0),"Unknown")</f>
        <v>Delivered</v>
      </c>
      <c r="E99" t="str">
        <f>IFERROR(VLOOKUP(C99,Config!$A:$C,3,0),"N/A")</f>
        <v>Delivered</v>
      </c>
      <c r="F99">
        <f>IF('SOW, Feedbacks-Bug &amp; CR_Items'!H99="","",'SOW, Feedbacks-Bug &amp; CR_Items'!H99)</f>
        <v>45818</v>
      </c>
    </row>
    <row r="100" spans="1:6">
      <c r="A100" t="str">
        <f>'SOW, Feedbacks-Bug &amp; CR_Items'!D100</f>
        <v>IBP</v>
      </c>
      <c r="B100" t="str">
        <f>'SOW, Feedbacks-Bug &amp; CR_Items'!E100</f>
        <v>Milestone 4</v>
      </c>
      <c r="C100" t="str">
        <f>'SOW, Feedbacks-Bug &amp; CR_Items'!F100</f>
        <v>Delivered</v>
      </c>
      <c r="D100" t="str">
        <f>IFERROR(VLOOKUP(C100,Config!$A:$B,2,0),"Unknown")</f>
        <v>Delivered</v>
      </c>
      <c r="E100" t="str">
        <f>IFERROR(VLOOKUP(C100,Config!$A:$C,3,0),"N/A")</f>
        <v>Delivered</v>
      </c>
      <c r="F100">
        <f>IF('SOW, Feedbacks-Bug &amp; CR_Items'!H100="","",'SOW, Feedbacks-Bug &amp; CR_Items'!H100)</f>
        <v>45818</v>
      </c>
    </row>
    <row r="101" spans="1:6">
      <c r="A101" t="str">
        <f>'SOW, Feedbacks-Bug &amp; CR_Items'!D101</f>
        <v>IBP</v>
      </c>
      <c r="B101" t="str">
        <f>'SOW, Feedbacks-Bug &amp; CR_Items'!E101</f>
        <v>Milestone 4</v>
      </c>
      <c r="C101" t="str">
        <f>'SOW, Feedbacks-Bug &amp; CR_Items'!F101</f>
        <v>Delivered</v>
      </c>
      <c r="D101" t="str">
        <f>IFERROR(VLOOKUP(C101,Config!$A:$B,2,0),"Unknown")</f>
        <v>Delivered</v>
      </c>
      <c r="E101" t="str">
        <f>IFERROR(VLOOKUP(C101,Config!$A:$C,3,0),"N/A")</f>
        <v>Delivered</v>
      </c>
      <c r="F101">
        <f>IF('SOW, Feedbacks-Bug &amp; CR_Items'!H101="","",'SOW, Feedbacks-Bug &amp; CR_Items'!H101)</f>
        <v>45818</v>
      </c>
    </row>
    <row r="102" spans="1:6">
      <c r="A102" t="str">
        <f>'SOW, Feedbacks-Bug &amp; CR_Items'!D102</f>
        <v>IBP</v>
      </c>
      <c r="B102" t="str">
        <f>'SOW, Feedbacks-Bug &amp; CR_Items'!E102</f>
        <v>Milestone 4</v>
      </c>
      <c r="C102" t="str">
        <f>'SOW, Feedbacks-Bug &amp; CR_Items'!F102</f>
        <v>Delivered</v>
      </c>
      <c r="D102" t="str">
        <f>IFERROR(VLOOKUP(C102,Config!$A:$B,2,0),"Unknown")</f>
        <v>Delivered</v>
      </c>
      <c r="E102" t="str">
        <f>IFERROR(VLOOKUP(C102,Config!$A:$C,3,0),"N/A")</f>
        <v>Delivered</v>
      </c>
      <c r="F102">
        <f>IF('SOW, Feedbacks-Bug &amp; CR_Items'!H102="","",'SOW, Feedbacks-Bug &amp; CR_Items'!H102)</f>
        <v>45818</v>
      </c>
    </row>
    <row r="103" spans="1:6">
      <c r="A103" t="str">
        <f>'SOW, Feedbacks-Bug &amp; CR_Items'!D103</f>
        <v>IBP</v>
      </c>
      <c r="B103" t="str">
        <f>'SOW, Feedbacks-Bug &amp; CR_Items'!E103</f>
        <v>Milestone 4</v>
      </c>
      <c r="C103" t="str">
        <f>'SOW, Feedbacks-Bug &amp; CR_Items'!F103</f>
        <v>Delivered</v>
      </c>
      <c r="D103" t="str">
        <f>IFERROR(VLOOKUP(C103,Config!$A:$B,2,0),"Unknown")</f>
        <v>Delivered</v>
      </c>
      <c r="E103" t="str">
        <f>IFERROR(VLOOKUP(C103,Config!$A:$C,3,0),"N/A")</f>
        <v>Delivered</v>
      </c>
      <c r="F103">
        <f>IF('SOW, Feedbacks-Bug &amp; CR_Items'!H103="","",'SOW, Feedbacks-Bug &amp; CR_Items'!H103)</f>
        <v>45818</v>
      </c>
    </row>
    <row r="104" spans="1:6">
      <c r="A104" t="str">
        <f>'SOW, Feedbacks-Bug &amp; CR_Items'!D104</f>
        <v>IBP</v>
      </c>
      <c r="B104" t="str">
        <f>'SOW, Feedbacks-Bug &amp; CR_Items'!E104</f>
        <v>Milestone 4</v>
      </c>
      <c r="C104" t="str">
        <f>'SOW, Feedbacks-Bug &amp; CR_Items'!F104</f>
        <v>Delivered</v>
      </c>
      <c r="D104" t="str">
        <f>IFERROR(VLOOKUP(C104,Config!$A:$B,2,0),"Unknown")</f>
        <v>Delivered</v>
      </c>
      <c r="E104" t="str">
        <f>IFERROR(VLOOKUP(C104,Config!$A:$C,3,0),"N/A")</f>
        <v>Delivered</v>
      </c>
      <c r="F104">
        <f>IF('SOW, Feedbacks-Bug &amp; CR_Items'!H104="","",'SOW, Feedbacks-Bug &amp; CR_Items'!H104)</f>
        <v>45818</v>
      </c>
    </row>
    <row r="105" spans="1:6">
      <c r="A105" t="str">
        <f>'SOW, Feedbacks-Bug &amp; CR_Items'!D105</f>
        <v>IBP</v>
      </c>
      <c r="B105" t="str">
        <f>'SOW, Feedbacks-Bug &amp; CR_Items'!E105</f>
        <v>Milestone 4</v>
      </c>
      <c r="C105" t="str">
        <f>'SOW, Feedbacks-Bug &amp; CR_Items'!F105</f>
        <v>Delivered</v>
      </c>
      <c r="D105" t="str">
        <f>IFERROR(VLOOKUP(C105,Config!$A:$B,2,0),"Unknown")</f>
        <v>Delivered</v>
      </c>
      <c r="E105" t="str">
        <f>IFERROR(VLOOKUP(C105,Config!$A:$C,3,0),"N/A")</f>
        <v>Delivered</v>
      </c>
      <c r="F105">
        <f>IF('SOW, Feedbacks-Bug &amp; CR_Items'!H105="","",'SOW, Feedbacks-Bug &amp; CR_Items'!H105)</f>
        <v>45818</v>
      </c>
    </row>
    <row r="106" spans="1:6">
      <c r="A106" t="str">
        <f>'SOW, Feedbacks-Bug &amp; CR_Items'!D106</f>
        <v>IBP/iWork</v>
      </c>
      <c r="B106" t="str">
        <f>'SOW, Feedbacks-Bug &amp; CR_Items'!E106</f>
        <v>Milestone 4</v>
      </c>
      <c r="C106" t="str">
        <f>'SOW, Feedbacks-Bug &amp; CR_Items'!F106</f>
        <v>Pre-PROD</v>
      </c>
      <c r="D106" t="str">
        <f>IFERROR(VLOOKUP(C106,Config!$A:$B,2,0),"Unknown")</f>
        <v>Pre-PROD / UAT</v>
      </c>
      <c r="E106" t="str">
        <f>IFERROR(VLOOKUP(C106,Config!$A:$C,3,0),"N/A")</f>
        <v>Pending</v>
      </c>
      <c r="F106">
        <f>IF('SOW, Feedbacks-Bug &amp; CR_Items'!H106="","",'SOW, Feedbacks-Bug &amp; CR_Items'!H106)</f>
        <v>45818</v>
      </c>
    </row>
    <row r="107" spans="1:6">
      <c r="A107" t="str">
        <f>'SOW, Feedbacks-Bug &amp; CR_Items'!D107</f>
        <v>IBP</v>
      </c>
      <c r="B107" t="str">
        <f>'SOW, Feedbacks-Bug &amp; CR_Items'!E107</f>
        <v>Milestone 4</v>
      </c>
      <c r="C107" t="str">
        <f>'SOW, Feedbacks-Bug &amp; CR_Items'!F107</f>
        <v>Delivered</v>
      </c>
      <c r="D107" t="str">
        <f>IFERROR(VLOOKUP(C107,Config!$A:$B,2,0),"Unknown")</f>
        <v>Delivered</v>
      </c>
      <c r="E107" t="str">
        <f>IFERROR(VLOOKUP(C107,Config!$A:$C,3,0),"N/A")</f>
        <v>Delivered</v>
      </c>
      <c r="F107">
        <f>IF('SOW, Feedbacks-Bug &amp; CR_Items'!H107="","",'SOW, Feedbacks-Bug &amp; CR_Items'!H107)</f>
        <v>45818</v>
      </c>
    </row>
    <row r="108" spans="1:6">
      <c r="A108" t="str">
        <f>'SOW, Feedbacks-Bug &amp; CR_Items'!D108</f>
        <v>IBP/iWork</v>
      </c>
      <c r="B108" t="str">
        <f>'SOW, Feedbacks-Bug &amp; CR_Items'!E108</f>
        <v>Milestone 4</v>
      </c>
      <c r="C108" t="str">
        <f>'SOW, Feedbacks-Bug &amp; CR_Items'!F108</f>
        <v>Delivered</v>
      </c>
      <c r="D108" t="str">
        <f>IFERROR(VLOOKUP(C108,Config!$A:$B,2,0),"Unknown")</f>
        <v>Delivered</v>
      </c>
      <c r="E108" t="str">
        <f>IFERROR(VLOOKUP(C108,Config!$A:$C,3,0),"N/A")</f>
        <v>Delivered</v>
      </c>
      <c r="F108">
        <f>IF('SOW, Feedbacks-Bug &amp; CR_Items'!H108="","",'SOW, Feedbacks-Bug &amp; CR_Items'!H108)</f>
        <v>45818</v>
      </c>
    </row>
    <row r="109" spans="1:6">
      <c r="A109" t="str">
        <f>'SOW, Feedbacks-Bug &amp; CR_Items'!D109</f>
        <v>IBP/iWork</v>
      </c>
      <c r="B109" t="str">
        <f>'SOW, Feedbacks-Bug &amp; CR_Items'!E109</f>
        <v>Milestone 4</v>
      </c>
      <c r="C109" t="str">
        <f>'SOW, Feedbacks-Bug &amp; CR_Items'!F109</f>
        <v>Delivered</v>
      </c>
      <c r="D109" t="str">
        <f>IFERROR(VLOOKUP(C109,Config!$A:$B,2,0),"Unknown")</f>
        <v>Delivered</v>
      </c>
      <c r="E109" t="str">
        <f>IFERROR(VLOOKUP(C109,Config!$A:$C,3,0),"N/A")</f>
        <v>Delivered</v>
      </c>
      <c r="F109">
        <f>IF('SOW, Feedbacks-Bug &amp; CR_Items'!H109="","",'SOW, Feedbacks-Bug &amp; CR_Items'!H109)</f>
        <v>45818</v>
      </c>
    </row>
    <row r="110" spans="1:6">
      <c r="A110" t="str">
        <f>'SOW, Feedbacks-Bug &amp; CR_Items'!D110</f>
        <v>IBP/iWork</v>
      </c>
      <c r="B110" t="str">
        <f>'SOW, Feedbacks-Bug &amp; CR_Items'!E110</f>
        <v>Milestone 4</v>
      </c>
      <c r="C110" t="str">
        <f>'SOW, Feedbacks-Bug &amp; CR_Items'!F110</f>
        <v>Delivered</v>
      </c>
      <c r="D110" t="str">
        <f>IFERROR(VLOOKUP(C110,Config!$A:$B,2,0),"Unknown")</f>
        <v>Delivered</v>
      </c>
      <c r="E110" t="str">
        <f>IFERROR(VLOOKUP(C110,Config!$A:$C,3,0),"N/A")</f>
        <v>Delivered</v>
      </c>
      <c r="F110">
        <f>IF('SOW, Feedbacks-Bug &amp; CR_Items'!H110="","",'SOW, Feedbacks-Bug &amp; CR_Items'!H110)</f>
        <v>45818</v>
      </c>
    </row>
    <row r="111" spans="1:6">
      <c r="A111" t="str">
        <f>'SOW, Feedbacks-Bug &amp; CR_Items'!D111</f>
        <v>IBP/iWork</v>
      </c>
      <c r="B111" t="str">
        <f>'SOW, Feedbacks-Bug &amp; CR_Items'!E111</f>
        <v>Milestone 4</v>
      </c>
      <c r="C111" t="str">
        <f>'SOW, Feedbacks-Bug &amp; CR_Items'!F111</f>
        <v>Delivered</v>
      </c>
      <c r="D111" t="str">
        <f>IFERROR(VLOOKUP(C111,Config!$A:$B,2,0),"Unknown")</f>
        <v>Delivered</v>
      </c>
      <c r="E111" t="str">
        <f>IFERROR(VLOOKUP(C111,Config!$A:$C,3,0),"N/A")</f>
        <v>Delivered</v>
      </c>
      <c r="F111">
        <f>IF('SOW, Feedbacks-Bug &amp; CR_Items'!H111="","",'SOW, Feedbacks-Bug &amp; CR_Items'!H111)</f>
        <v>45818</v>
      </c>
    </row>
    <row r="112" spans="1:6">
      <c r="A112" t="str">
        <f>'SOW, Feedbacks-Bug &amp; CR_Items'!D112</f>
        <v>IBP/iWork</v>
      </c>
      <c r="B112" t="str">
        <f>'SOW, Feedbacks-Bug &amp; CR_Items'!E112</f>
        <v>Milestone 4</v>
      </c>
      <c r="C112" t="str">
        <f>'SOW, Feedbacks-Bug &amp; CR_Items'!F112</f>
        <v>Delivered</v>
      </c>
      <c r="D112" t="str">
        <f>IFERROR(VLOOKUP(C112,Config!$A:$B,2,0),"Unknown")</f>
        <v>Delivered</v>
      </c>
      <c r="E112" t="str">
        <f>IFERROR(VLOOKUP(C112,Config!$A:$C,3,0),"N/A")</f>
        <v>Delivered</v>
      </c>
      <c r="F112">
        <f>IF('SOW, Feedbacks-Bug &amp; CR_Items'!H112="","",'SOW, Feedbacks-Bug &amp; CR_Items'!H112)</f>
        <v>45818</v>
      </c>
    </row>
    <row r="113" spans="1:6">
      <c r="A113" t="str">
        <f>'SOW, Feedbacks-Bug &amp; CR_Items'!D113</f>
        <v>IBP/iWork</v>
      </c>
      <c r="B113" t="str">
        <f>'SOW, Feedbacks-Bug &amp; CR_Items'!E113</f>
        <v>Milestone 4</v>
      </c>
      <c r="C113" t="str">
        <f>'SOW, Feedbacks-Bug &amp; CR_Items'!F113</f>
        <v>Delivered</v>
      </c>
      <c r="D113" t="str">
        <f>IFERROR(VLOOKUP(C113,Config!$A:$B,2,0),"Unknown")</f>
        <v>Delivered</v>
      </c>
      <c r="E113" t="str">
        <f>IFERROR(VLOOKUP(C113,Config!$A:$C,3,0),"N/A")</f>
        <v>Delivered</v>
      </c>
      <c r="F113">
        <f>IF('SOW, Feedbacks-Bug &amp; CR_Items'!H113="","",'SOW, Feedbacks-Bug &amp; CR_Items'!H113)</f>
        <v>45818</v>
      </c>
    </row>
    <row r="114" spans="1:6">
      <c r="A114" t="str">
        <f>'SOW, Feedbacks-Bug &amp; CR_Items'!D114</f>
        <v>IBP/iWork</v>
      </c>
      <c r="B114" t="str">
        <f>'SOW, Feedbacks-Bug &amp; CR_Items'!E114</f>
        <v>Milestone 4</v>
      </c>
      <c r="C114" t="str">
        <f>'SOW, Feedbacks-Bug &amp; CR_Items'!F114</f>
        <v>Delivered</v>
      </c>
      <c r="D114" t="str">
        <f>IFERROR(VLOOKUP(C114,Config!$A:$B,2,0),"Unknown")</f>
        <v>Delivered</v>
      </c>
      <c r="E114" t="str">
        <f>IFERROR(VLOOKUP(C114,Config!$A:$C,3,0),"N/A")</f>
        <v>Delivered</v>
      </c>
      <c r="F114">
        <f>IF('SOW, Feedbacks-Bug &amp; CR_Items'!H114="","",'SOW, Feedbacks-Bug &amp; CR_Items'!H114)</f>
        <v>45818</v>
      </c>
    </row>
    <row r="115" spans="1:6">
      <c r="A115" t="str">
        <f>'SOW, Feedbacks-Bug &amp; CR_Items'!D115</f>
        <v>Framework</v>
      </c>
      <c r="B115" t="str">
        <f>'SOW, Feedbacks-Bug &amp; CR_Items'!E115</f>
        <v>Milestone 4</v>
      </c>
      <c r="C115" t="str">
        <f>'SOW, Feedbacks-Bug &amp; CR_Items'!F115</f>
        <v>Yet to start</v>
      </c>
      <c r="D115" t="str">
        <f>IFERROR(VLOOKUP(C115,Config!$A:$B,2,0),"Unknown")</f>
        <v>Not Started</v>
      </c>
      <c r="E115" t="str">
        <f>IFERROR(VLOOKUP(C115,Config!$A:$C,3,0),"N/A")</f>
        <v>Pending</v>
      </c>
      <c r="F115">
        <f>IF('SOW, Feedbacks-Bug &amp; CR_Items'!H115="","",'SOW, Feedbacks-Bug &amp; CR_Items'!H115)</f>
        <v>45818</v>
      </c>
    </row>
    <row r="116" spans="1:6">
      <c r="A116" t="str">
        <f>'SOW, Feedbacks-Bug &amp; CR_Items'!D116</f>
        <v>iWork</v>
      </c>
      <c r="B116" t="str">
        <f>'SOW, Feedbacks-Bug &amp; CR_Items'!E116</f>
        <v>Milestone 6</v>
      </c>
      <c r="C116" t="str">
        <f>'SOW, Feedbacks-Bug &amp; CR_Items'!F116</f>
        <v>Delivered</v>
      </c>
      <c r="D116" t="str">
        <f>IFERROR(VLOOKUP(C116,Config!$A:$B,2,0),"Unknown")</f>
        <v>Delivered</v>
      </c>
      <c r="E116" t="str">
        <f>IFERROR(VLOOKUP(C116,Config!$A:$C,3,0),"N/A")</f>
        <v>Delivered</v>
      </c>
      <c r="F116">
        <f>IF('SOW, Feedbacks-Bug &amp; CR_Items'!H116="","",'SOW, Feedbacks-Bug &amp; CR_Items'!H116)</f>
        <v>46230</v>
      </c>
    </row>
    <row r="117" spans="1:6">
      <c r="A117" t="str">
        <f>'SOW, Feedbacks-Bug &amp; CR_Items'!D117</f>
        <v>iWork</v>
      </c>
      <c r="B117" t="str">
        <f>'SOW, Feedbacks-Bug &amp; CR_Items'!E117</f>
        <v>Milestone 4</v>
      </c>
      <c r="C117" t="str">
        <f>'SOW, Feedbacks-Bug &amp; CR_Items'!F117</f>
        <v>Delivered</v>
      </c>
      <c r="D117" t="str">
        <f>IFERROR(VLOOKUP(C117,Config!$A:$B,2,0),"Unknown")</f>
        <v>Delivered</v>
      </c>
      <c r="E117" t="str">
        <f>IFERROR(VLOOKUP(C117,Config!$A:$C,3,0),"N/A")</f>
        <v>Delivered</v>
      </c>
      <c r="F117">
        <f>IF('SOW, Feedbacks-Bug &amp; CR_Items'!H117="","",'SOW, Feedbacks-Bug &amp; CR_Items'!H117)</f>
        <v>45818</v>
      </c>
    </row>
    <row r="118" spans="1:6">
      <c r="A118" t="str">
        <f>'SOW, Feedbacks-Bug &amp; CR_Items'!D118</f>
        <v>iWork</v>
      </c>
      <c r="B118" t="str">
        <f>'SOW, Feedbacks-Bug &amp; CR_Items'!E118</f>
        <v>Milestone 4</v>
      </c>
      <c r="C118" t="str">
        <f>'SOW, Feedbacks-Bug &amp; CR_Items'!F118</f>
        <v>Delivered</v>
      </c>
      <c r="D118" t="str">
        <f>IFERROR(VLOOKUP(C118,Config!$A:$B,2,0),"Unknown")</f>
        <v>Delivered</v>
      </c>
      <c r="E118" t="str">
        <f>IFERROR(VLOOKUP(C118,Config!$A:$C,3,0),"N/A")</f>
        <v>Delivered</v>
      </c>
      <c r="F118">
        <f>IF('SOW, Feedbacks-Bug &amp; CR_Items'!H118="","",'SOW, Feedbacks-Bug &amp; CR_Items'!H118)</f>
        <v>45818</v>
      </c>
    </row>
    <row r="119" spans="1:6">
      <c r="A119" t="str">
        <f>'SOW, Feedbacks-Bug &amp; CR_Items'!D119</f>
        <v>iWork</v>
      </c>
      <c r="B119" t="str">
        <f>'SOW, Feedbacks-Bug &amp; CR_Items'!E119</f>
        <v>Milestone 4</v>
      </c>
      <c r="C119" t="str">
        <f>'SOW, Feedbacks-Bug &amp; CR_Items'!F119</f>
        <v>Delivered</v>
      </c>
      <c r="D119" t="str">
        <f>IFERROR(VLOOKUP(C119,Config!$A:$B,2,0),"Unknown")</f>
        <v>Delivered</v>
      </c>
      <c r="E119" t="str">
        <f>IFERROR(VLOOKUP(C119,Config!$A:$C,3,0),"N/A")</f>
        <v>Delivered</v>
      </c>
      <c r="F119">
        <f>IF('SOW, Feedbacks-Bug &amp; CR_Items'!H119="","",'SOW, Feedbacks-Bug &amp; CR_Items'!H119)</f>
        <v>45818</v>
      </c>
    </row>
    <row r="120" spans="1:6">
      <c r="A120" t="str">
        <f>'SOW, Feedbacks-Bug &amp; CR_Items'!D120</f>
        <v>iWork</v>
      </c>
      <c r="B120" t="str">
        <f>'SOW, Feedbacks-Bug &amp; CR_Items'!E120</f>
        <v>Milestone 4</v>
      </c>
      <c r="C120" t="str">
        <f>'SOW, Feedbacks-Bug &amp; CR_Items'!F120</f>
        <v>Delivered</v>
      </c>
      <c r="D120" t="str">
        <f>IFERROR(VLOOKUP(C120,Config!$A:$B,2,0),"Unknown")</f>
        <v>Delivered</v>
      </c>
      <c r="E120" t="str">
        <f>IFERROR(VLOOKUP(C120,Config!$A:$C,3,0),"N/A")</f>
        <v>Delivered</v>
      </c>
      <c r="F120">
        <f>IF('SOW, Feedbacks-Bug &amp; CR_Items'!H120="","",'SOW, Feedbacks-Bug &amp; CR_Items'!H120)</f>
        <v>45818</v>
      </c>
    </row>
    <row r="121" spans="1:6">
      <c r="A121" t="str">
        <f>'SOW, Feedbacks-Bug &amp; CR_Items'!D121</f>
        <v>iWork</v>
      </c>
      <c r="B121" t="str">
        <f>'SOW, Feedbacks-Bug &amp; CR_Items'!E121</f>
        <v>Milestone 4</v>
      </c>
      <c r="C121" t="str">
        <f>'SOW, Feedbacks-Bug &amp; CR_Items'!F121</f>
        <v>Delivered</v>
      </c>
      <c r="D121" t="str">
        <f>IFERROR(VLOOKUP(C121,Config!$A:$B,2,0),"Unknown")</f>
        <v>Delivered</v>
      </c>
      <c r="E121" t="str">
        <f>IFERROR(VLOOKUP(C121,Config!$A:$C,3,0),"N/A")</f>
        <v>Delivered</v>
      </c>
      <c r="F121">
        <f>IF('SOW, Feedbacks-Bug &amp; CR_Items'!H121="","",'SOW, Feedbacks-Bug &amp; CR_Items'!H121)</f>
        <v>45818</v>
      </c>
    </row>
    <row r="122" spans="1:6">
      <c r="A122" t="str">
        <f>'SOW, Feedbacks-Bug &amp; CR_Items'!D122</f>
        <v>iWork</v>
      </c>
      <c r="B122" t="str">
        <f>'SOW, Feedbacks-Bug &amp; CR_Items'!E122</f>
        <v>Milestone 4</v>
      </c>
      <c r="C122" t="str">
        <f>'SOW, Feedbacks-Bug &amp; CR_Items'!F122</f>
        <v>Delivered</v>
      </c>
      <c r="D122" t="str">
        <f>IFERROR(VLOOKUP(C122,Config!$A:$B,2,0),"Unknown")</f>
        <v>Delivered</v>
      </c>
      <c r="E122" t="str">
        <f>IFERROR(VLOOKUP(C122,Config!$A:$C,3,0),"N/A")</f>
        <v>Delivered</v>
      </c>
      <c r="F122">
        <f>IF('SOW, Feedbacks-Bug &amp; CR_Items'!H122="","",'SOW, Feedbacks-Bug &amp; CR_Items'!H122)</f>
        <v>45818</v>
      </c>
    </row>
    <row r="123" spans="1:6">
      <c r="A123" t="str">
        <f>'SOW, Feedbacks-Bug &amp; CR_Items'!D123</f>
        <v>iWork</v>
      </c>
      <c r="B123" t="str">
        <f>'SOW, Feedbacks-Bug &amp; CR_Items'!E123</f>
        <v>Milestone 4</v>
      </c>
      <c r="C123" t="str">
        <f>'SOW, Feedbacks-Bug &amp; CR_Items'!F123</f>
        <v>Delivered</v>
      </c>
      <c r="D123" t="str">
        <f>IFERROR(VLOOKUP(C123,Config!$A:$B,2,0),"Unknown")</f>
        <v>Delivered</v>
      </c>
      <c r="E123" t="str">
        <f>IFERROR(VLOOKUP(C123,Config!$A:$C,3,0),"N/A")</f>
        <v>Delivered</v>
      </c>
      <c r="F123">
        <f>IF('SOW, Feedbacks-Bug &amp; CR_Items'!H123="","",'SOW, Feedbacks-Bug &amp; CR_Items'!H123)</f>
        <v>45818</v>
      </c>
    </row>
    <row r="124" spans="1:6">
      <c r="A124" t="str">
        <f>'SOW, Feedbacks-Bug &amp; CR_Items'!D124</f>
        <v>IBP/iWork</v>
      </c>
      <c r="B124" t="str">
        <f>'SOW, Feedbacks-Bug &amp; CR_Items'!E124</f>
        <v>Milestone 4</v>
      </c>
      <c r="C124" t="str">
        <f>'SOW, Feedbacks-Bug &amp; CR_Items'!F124</f>
        <v>Yet to start</v>
      </c>
      <c r="D124" t="str">
        <f>IFERROR(VLOOKUP(C124,Config!$A:$B,2,0),"Unknown")</f>
        <v>Not Started</v>
      </c>
      <c r="E124" t="str">
        <f>IFERROR(VLOOKUP(C124,Config!$A:$C,3,0),"N/A")</f>
        <v>Pending</v>
      </c>
      <c r="F124">
        <f>IF('SOW, Feedbacks-Bug &amp; CR_Items'!H124="","",'SOW, Feedbacks-Bug &amp; CR_Items'!H124)</f>
        <v>45818</v>
      </c>
    </row>
    <row r="125" spans="1:6">
      <c r="A125" t="str">
        <f>'SOW, Feedbacks-Bug &amp; CR_Items'!D125</f>
        <v>Framework</v>
      </c>
      <c r="B125" t="str">
        <f>'SOW, Feedbacks-Bug &amp; CR_Items'!E125</f>
        <v>Milestone 4</v>
      </c>
      <c r="C125" t="str">
        <f>'SOW, Feedbacks-Bug &amp; CR_Items'!F125</f>
        <v>Delivered - Deficit</v>
      </c>
      <c r="D125" t="str">
        <f>IFERROR(VLOOKUP(C125,Config!$A:$B,2,0),"Unknown")</f>
        <v>Partial Delivery</v>
      </c>
      <c r="E125" t="str">
        <f>IFERROR(VLOOKUP(C125,Config!$A:$C,3,0),"N/A")</f>
        <v>Pending</v>
      </c>
      <c r="F125">
        <f>IF('SOW, Feedbacks-Bug &amp; CR_Items'!H125="","",'SOW, Feedbacks-Bug &amp; CR_Items'!H125)</f>
        <v>45818</v>
      </c>
    </row>
    <row r="126" spans="1:6">
      <c r="A126" t="str">
        <f>'SOW, Feedbacks-Bug &amp; CR_Items'!D126</f>
        <v>IBP/iWork</v>
      </c>
      <c r="B126" t="str">
        <f>'SOW, Feedbacks-Bug &amp; CR_Items'!E126</f>
        <v>Milestone 4</v>
      </c>
      <c r="C126" t="str">
        <f>'SOW, Feedbacks-Bug &amp; CR_Items'!F126</f>
        <v>Pre-PROD</v>
      </c>
      <c r="D126" t="str">
        <f>IFERROR(VLOOKUP(C126,Config!$A:$B,2,0),"Unknown")</f>
        <v>Pre-PROD / UAT</v>
      </c>
      <c r="E126" t="str">
        <f>IFERROR(VLOOKUP(C126,Config!$A:$C,3,0),"N/A")</f>
        <v>Pending</v>
      </c>
      <c r="F126">
        <f>IF('SOW, Feedbacks-Bug &amp; CR_Items'!H126="","",'SOW, Feedbacks-Bug &amp; CR_Items'!H126)</f>
        <v>45818</v>
      </c>
    </row>
    <row r="127" spans="1:6">
      <c r="A127" t="str">
        <f>'SOW, Feedbacks-Bug &amp; CR_Items'!D127</f>
        <v>IBP</v>
      </c>
      <c r="B127" t="str">
        <f>'SOW, Feedbacks-Bug &amp; CR_Items'!E127</f>
        <v>Milestone 5</v>
      </c>
      <c r="C127" t="str">
        <f>'SOW, Feedbacks-Bug &amp; CR_Items'!F127</f>
        <v>Pre-PROD</v>
      </c>
      <c r="D127" t="str">
        <f>IFERROR(VLOOKUP(C127,Config!$A:$B,2,0),"Unknown")</f>
        <v>Pre-PROD / UAT</v>
      </c>
      <c r="E127" t="str">
        <f>IFERROR(VLOOKUP(C127,Config!$A:$C,3,0),"N/A")</f>
        <v>Pending</v>
      </c>
      <c r="F127">
        <f>IF('SOW, Feedbacks-Bug &amp; CR_Items'!H127="","",'SOW, Feedbacks-Bug &amp; CR_Items'!H127)</f>
        <v>45869</v>
      </c>
    </row>
    <row r="128" spans="1:6">
      <c r="A128" t="str">
        <f>'SOW, Feedbacks-Bug &amp; CR_Items'!D128</f>
        <v>DPDP</v>
      </c>
      <c r="B128" t="str">
        <f>'SOW, Feedbacks-Bug &amp; CR_Items'!E128</f>
        <v>Milestone 5</v>
      </c>
      <c r="C128" t="str">
        <f>'SOW, Feedbacks-Bug &amp; CR_Items'!F128</f>
        <v>Delivered</v>
      </c>
      <c r="D128" t="str">
        <f>IFERROR(VLOOKUP(C128,Config!$A:$B,2,0),"Unknown")</f>
        <v>Delivered</v>
      </c>
      <c r="E128" t="str">
        <f>IFERROR(VLOOKUP(C128,Config!$A:$C,3,0),"N/A")</f>
        <v>Delivered</v>
      </c>
      <c r="F128">
        <f>IF('SOW, Feedbacks-Bug &amp; CR_Items'!H128="","",'SOW, Feedbacks-Bug &amp; CR_Items'!H128)</f>
        <v>45869</v>
      </c>
    </row>
    <row r="129" spans="1:6">
      <c r="A129" t="str">
        <f>'SOW, Feedbacks-Bug &amp; CR_Items'!D129</f>
        <v>DPDP</v>
      </c>
      <c r="B129" t="str">
        <f>'SOW, Feedbacks-Bug &amp; CR_Items'!E129</f>
        <v>Milestone 5</v>
      </c>
      <c r="C129" t="str">
        <f>'SOW, Feedbacks-Bug &amp; CR_Items'!F129</f>
        <v>Delivered</v>
      </c>
      <c r="D129" t="str">
        <f>IFERROR(VLOOKUP(C129,Config!$A:$B,2,0),"Unknown")</f>
        <v>Delivered</v>
      </c>
      <c r="E129" t="str">
        <f>IFERROR(VLOOKUP(C129,Config!$A:$C,3,0),"N/A")</f>
        <v>Delivered</v>
      </c>
      <c r="F129">
        <f>IF('SOW, Feedbacks-Bug &amp; CR_Items'!H129="","",'SOW, Feedbacks-Bug &amp; CR_Items'!H129)</f>
        <v>45869</v>
      </c>
    </row>
    <row r="130" spans="1:6">
      <c r="A130" t="str">
        <f>'SOW, Feedbacks-Bug &amp; CR_Items'!D130</f>
        <v>DPDP</v>
      </c>
      <c r="B130" t="str">
        <f>'SOW, Feedbacks-Bug &amp; CR_Items'!E130</f>
        <v>Milestone 5</v>
      </c>
      <c r="C130" t="str">
        <f>'SOW, Feedbacks-Bug &amp; CR_Items'!F130</f>
        <v>Delivered</v>
      </c>
      <c r="D130" t="str">
        <f>IFERROR(VLOOKUP(C130,Config!$A:$B,2,0),"Unknown")</f>
        <v>Delivered</v>
      </c>
      <c r="E130" t="str">
        <f>IFERROR(VLOOKUP(C130,Config!$A:$C,3,0),"N/A")</f>
        <v>Delivered</v>
      </c>
      <c r="F130">
        <f>IF('SOW, Feedbacks-Bug &amp; CR_Items'!H130="","",'SOW, Feedbacks-Bug &amp; CR_Items'!H130)</f>
        <v>45869</v>
      </c>
    </row>
    <row r="131" spans="1:6">
      <c r="A131" t="str">
        <f>'SOW, Feedbacks-Bug &amp; CR_Items'!D131</f>
        <v>DPDP</v>
      </c>
      <c r="B131" t="str">
        <f>'SOW, Feedbacks-Bug &amp; CR_Items'!E131</f>
        <v>Milestone 5</v>
      </c>
      <c r="C131" t="str">
        <f>'SOW, Feedbacks-Bug &amp; CR_Items'!F131</f>
        <v>Delivered</v>
      </c>
      <c r="D131" t="str">
        <f>IFERROR(VLOOKUP(C131,Config!$A:$B,2,0),"Unknown")</f>
        <v>Delivered</v>
      </c>
      <c r="E131" t="str">
        <f>IFERROR(VLOOKUP(C131,Config!$A:$C,3,0),"N/A")</f>
        <v>Delivered</v>
      </c>
      <c r="F131">
        <f>IF('SOW, Feedbacks-Bug &amp; CR_Items'!H131="","",'SOW, Feedbacks-Bug &amp; CR_Items'!H131)</f>
        <v>45869</v>
      </c>
    </row>
    <row r="132" spans="1:6">
      <c r="A132" t="str">
        <f>'SOW, Feedbacks-Bug &amp; CR_Items'!D132</f>
        <v>DPDP</v>
      </c>
      <c r="B132" t="str">
        <f>'SOW, Feedbacks-Bug &amp; CR_Items'!E132</f>
        <v>Milestone 5</v>
      </c>
      <c r="C132" t="str">
        <f>'SOW, Feedbacks-Bug &amp; CR_Items'!F132</f>
        <v>Delivered</v>
      </c>
      <c r="D132" t="str">
        <f>IFERROR(VLOOKUP(C132,Config!$A:$B,2,0),"Unknown")</f>
        <v>Delivered</v>
      </c>
      <c r="E132" t="str">
        <f>IFERROR(VLOOKUP(C132,Config!$A:$C,3,0),"N/A")</f>
        <v>Delivered</v>
      </c>
      <c r="F132">
        <f>IF('SOW, Feedbacks-Bug &amp; CR_Items'!H132="","",'SOW, Feedbacks-Bug &amp; CR_Items'!H132)</f>
        <v>45869</v>
      </c>
    </row>
    <row r="133" spans="1:6">
      <c r="A133" t="str">
        <f>'SOW, Feedbacks-Bug &amp; CR_Items'!D133</f>
        <v>DPDP</v>
      </c>
      <c r="B133" t="str">
        <f>'SOW, Feedbacks-Bug &amp; CR_Items'!E133</f>
        <v>Milestone 5</v>
      </c>
      <c r="C133" t="str">
        <f>'SOW, Feedbacks-Bug &amp; CR_Items'!F133</f>
        <v>Delivered</v>
      </c>
      <c r="D133" t="str">
        <f>IFERROR(VLOOKUP(C133,Config!$A:$B,2,0),"Unknown")</f>
        <v>Delivered</v>
      </c>
      <c r="E133" t="str">
        <f>IFERROR(VLOOKUP(C133,Config!$A:$C,3,0),"N/A")</f>
        <v>Delivered</v>
      </c>
      <c r="F133">
        <f>IF('SOW, Feedbacks-Bug &amp; CR_Items'!H133="","",'SOW, Feedbacks-Bug &amp; CR_Items'!H133)</f>
        <v>45869</v>
      </c>
    </row>
    <row r="134" spans="1:6">
      <c r="A134" t="str">
        <f>'SOW, Feedbacks-Bug &amp; CR_Items'!D134</f>
        <v>IBP/iWork - CR</v>
      </c>
      <c r="B134" t="str">
        <f>'SOW, Feedbacks-Bug &amp; CR_Items'!E134</f>
        <v>Milestone 6</v>
      </c>
      <c r="C134" t="str">
        <f>'SOW, Feedbacks-Bug &amp; CR_Items'!F134</f>
        <v>DEV - WIP</v>
      </c>
      <c r="D134" t="str">
        <f>IFERROR(VLOOKUP(C134,Config!$A:$B,2,0),"Unknown")</f>
        <v>In Development</v>
      </c>
      <c r="E134" t="str">
        <f>IFERROR(VLOOKUP(C134,Config!$A:$C,3,0),"N/A")</f>
        <v>Pending</v>
      </c>
      <c r="F134">
        <f>IF('SOW, Feedbacks-Bug &amp; CR_Items'!H134="","",'SOW, Feedbacks-Bug &amp; CR_Items'!H134)</f>
        <v>46204</v>
      </c>
    </row>
    <row r="135" spans="1:6">
      <c r="A135" t="str">
        <f>'SOW, Feedbacks-Bug &amp; CR_Items'!D135</f>
        <v>DPDP</v>
      </c>
      <c r="B135" t="str">
        <f>'SOW, Feedbacks-Bug &amp; CR_Items'!E135</f>
        <v>Milestone 5</v>
      </c>
      <c r="C135" t="str">
        <f>'SOW, Feedbacks-Bug &amp; CR_Items'!F135</f>
        <v>Dev - WIP</v>
      </c>
      <c r="D135" t="str">
        <f>IFERROR(VLOOKUP(C135,Config!$A:$B,2,0),"Unknown")</f>
        <v>In Development</v>
      </c>
      <c r="E135" t="str">
        <f>IFERROR(VLOOKUP(C135,Config!$A:$C,3,0),"N/A")</f>
        <v>Pending</v>
      </c>
      <c r="F135">
        <f>IF('SOW, Feedbacks-Bug &amp; CR_Items'!H135="","",'SOW, Feedbacks-Bug &amp; CR_Items'!H135)</f>
        <v>45869</v>
      </c>
    </row>
    <row r="136" spans="1:6">
      <c r="A136" t="str">
        <f>'SOW, Feedbacks-Bug &amp; CR_Items'!D136</f>
        <v>DPDP</v>
      </c>
      <c r="B136" t="str">
        <f>'SOW, Feedbacks-Bug &amp; CR_Items'!E136</f>
        <v>Milestone 5</v>
      </c>
      <c r="C136" t="str">
        <f>'SOW, Feedbacks-Bug &amp; CR_Items'!F136</f>
        <v>Dev - WIP</v>
      </c>
      <c r="D136" t="str">
        <f>IFERROR(VLOOKUP(C136,Config!$A:$B,2,0),"Unknown")</f>
        <v>In Development</v>
      </c>
      <c r="E136" t="str">
        <f>IFERROR(VLOOKUP(C136,Config!$A:$C,3,0),"N/A")</f>
        <v>Pending</v>
      </c>
      <c r="F136">
        <f>IF('SOW, Feedbacks-Bug &amp; CR_Items'!H136="","",'SOW, Feedbacks-Bug &amp; CR_Items'!H136)</f>
        <v>45869</v>
      </c>
    </row>
    <row r="137" spans="1:6">
      <c r="A137" t="str">
        <f>'SOW, Feedbacks-Bug &amp; CR_Items'!D137</f>
        <v>DPDP</v>
      </c>
      <c r="B137" t="str">
        <f>'SOW, Feedbacks-Bug &amp; CR_Items'!E137</f>
        <v>Milestone 5</v>
      </c>
      <c r="C137" t="str">
        <f>'SOW, Feedbacks-Bug &amp; CR_Items'!F137</f>
        <v>Dev - WIP</v>
      </c>
      <c r="D137" t="str">
        <f>IFERROR(VLOOKUP(C137,Config!$A:$B,2,0),"Unknown")</f>
        <v>In Development</v>
      </c>
      <c r="E137" t="str">
        <f>IFERROR(VLOOKUP(C137,Config!$A:$C,3,0),"N/A")</f>
        <v>Pending</v>
      </c>
      <c r="F137">
        <f>IF('SOW, Feedbacks-Bug &amp; CR_Items'!H137="","",'SOW, Feedbacks-Bug &amp; CR_Items'!H137)</f>
        <v>45869</v>
      </c>
    </row>
    <row r="138" spans="1:6">
      <c r="A138" t="str">
        <f>'SOW, Feedbacks-Bug &amp; CR_Items'!D138</f>
        <v>DPDP</v>
      </c>
      <c r="B138" t="str">
        <f>'SOW, Feedbacks-Bug &amp; CR_Items'!E138</f>
        <v>Milestone 5</v>
      </c>
      <c r="C138" t="str">
        <f>'SOW, Feedbacks-Bug &amp; CR_Items'!F138</f>
        <v>Dev - Done</v>
      </c>
      <c r="D138" t="str">
        <f>IFERROR(VLOOKUP(C138,Config!$A:$B,2,0),"Unknown")</f>
        <v>Dev Complete</v>
      </c>
      <c r="E138" t="str">
        <f>IFERROR(VLOOKUP(C138,Config!$A:$C,3,0),"N/A")</f>
        <v>Delivered</v>
      </c>
      <c r="F138">
        <f>IF('SOW, Feedbacks-Bug &amp; CR_Items'!H138="","",'SOW, Feedbacks-Bug &amp; CR_Items'!H138)</f>
        <v>45869</v>
      </c>
    </row>
    <row r="139" spans="1:6">
      <c r="A139" t="str">
        <f>'SOW, Feedbacks-Bug &amp; CR_Items'!D139</f>
        <v>DPDP</v>
      </c>
      <c r="B139" t="str">
        <f>'SOW, Feedbacks-Bug &amp; CR_Items'!E139</f>
        <v>Milestone 5</v>
      </c>
      <c r="C139" t="str">
        <f>'SOW, Feedbacks-Bug &amp; CR_Items'!F139</f>
        <v>Dev - WIP</v>
      </c>
      <c r="D139" t="str">
        <f>IFERROR(VLOOKUP(C139,Config!$A:$B,2,0),"Unknown")</f>
        <v>In Development</v>
      </c>
      <c r="E139" t="str">
        <f>IFERROR(VLOOKUP(C139,Config!$A:$C,3,0),"N/A")</f>
        <v>Pending</v>
      </c>
      <c r="F139">
        <f>IF('SOW, Feedbacks-Bug &amp; CR_Items'!H139="","",'SOW, Feedbacks-Bug &amp; CR_Items'!H139)</f>
        <v>45869</v>
      </c>
    </row>
    <row r="140" spans="1:6">
      <c r="A140" t="str">
        <f>'SOW, Feedbacks-Bug &amp; CR_Items'!D140</f>
        <v>DPDP</v>
      </c>
      <c r="B140" t="str">
        <f>'SOW, Feedbacks-Bug &amp; CR_Items'!E140</f>
        <v>Milestone 5</v>
      </c>
      <c r="C140" t="str">
        <f>'SOW, Feedbacks-Bug &amp; CR_Items'!F140</f>
        <v>Dev - WIP</v>
      </c>
      <c r="D140" t="str">
        <f>IFERROR(VLOOKUP(C140,Config!$A:$B,2,0),"Unknown")</f>
        <v>In Development</v>
      </c>
      <c r="E140" t="str">
        <f>IFERROR(VLOOKUP(C140,Config!$A:$C,3,0),"N/A")</f>
        <v>Pending</v>
      </c>
      <c r="F140">
        <f>IF('SOW, Feedbacks-Bug &amp; CR_Items'!H140="","",'SOW, Feedbacks-Bug &amp; CR_Items'!H140)</f>
        <v>45869</v>
      </c>
    </row>
    <row r="141" spans="1:6">
      <c r="A141" t="str">
        <f>'SOW, Feedbacks-Bug &amp; CR_Items'!D141</f>
        <v>DPDP</v>
      </c>
      <c r="B141" t="str">
        <f>'SOW, Feedbacks-Bug &amp; CR_Items'!E141</f>
        <v>Milestone 5</v>
      </c>
      <c r="C141" t="str">
        <f>'SOW, Feedbacks-Bug &amp; CR_Items'!F141</f>
        <v>Dev - WIP</v>
      </c>
      <c r="D141" t="str">
        <f>IFERROR(VLOOKUP(C141,Config!$A:$B,2,0),"Unknown")</f>
        <v>In Development</v>
      </c>
      <c r="E141" t="str">
        <f>IFERROR(VLOOKUP(C141,Config!$A:$C,3,0),"N/A")</f>
        <v>Pending</v>
      </c>
      <c r="F141">
        <f>IF('SOW, Feedbacks-Bug &amp; CR_Items'!H141="","",'SOW, Feedbacks-Bug &amp; CR_Items'!H141)</f>
        <v>45869</v>
      </c>
    </row>
    <row r="142" spans="1:6">
      <c r="A142" t="str">
        <f>'SOW, Feedbacks-Bug &amp; CR_Items'!D142</f>
        <v>DPDP</v>
      </c>
      <c r="B142" t="str">
        <f>'SOW, Feedbacks-Bug &amp; CR_Items'!E142</f>
        <v>Milestone 5</v>
      </c>
      <c r="C142" t="str">
        <f>'SOW, Feedbacks-Bug &amp; CR_Items'!F142</f>
        <v>QA - WIP</v>
      </c>
      <c r="D142" t="str">
        <f>IFERROR(VLOOKUP(C142,Config!$A:$B,2,0),"Unknown")</f>
        <v>In QA</v>
      </c>
      <c r="E142" t="str">
        <f>IFERROR(VLOOKUP(C142,Config!$A:$C,3,0),"N/A")</f>
        <v>Pending</v>
      </c>
      <c r="F142">
        <f>IF('SOW, Feedbacks-Bug &amp; CR_Items'!H142="","",'SOW, Feedbacks-Bug &amp; CR_Items'!H142)</f>
        <v>45869</v>
      </c>
    </row>
    <row r="143" spans="1:6">
      <c r="A143" t="str">
        <f>'SOW, Feedbacks-Bug &amp; CR_Items'!D143</f>
        <v>iWork</v>
      </c>
      <c r="B143" t="str">
        <f>'SOW, Feedbacks-Bug &amp; CR_Items'!E143</f>
        <v>Milestone 4</v>
      </c>
      <c r="C143" t="str">
        <f>'SOW, Feedbacks-Bug &amp; CR_Items'!F143</f>
        <v>Yet to start</v>
      </c>
      <c r="D143" t="str">
        <f>IFERROR(VLOOKUP(C143,Config!$A:$B,2,0),"Unknown")</f>
        <v>Not Started</v>
      </c>
      <c r="E143" t="str">
        <f>IFERROR(VLOOKUP(C143,Config!$A:$C,3,0),"N/A")</f>
        <v>Pending</v>
      </c>
      <c r="F143">
        <f>IF('SOW, Feedbacks-Bug &amp; CR_Items'!H143="","",'SOW, Feedbacks-Bug &amp; CR_Items'!H143)</f>
        <v>45818</v>
      </c>
    </row>
    <row r="144" spans="1:6">
      <c r="A144" t="str">
        <f>'SOW, Feedbacks-Bug &amp; CR_Items'!D144</f>
        <v>DPDP</v>
      </c>
      <c r="B144" t="str">
        <f>'SOW, Feedbacks-Bug &amp; CR_Items'!E144</f>
        <v>Milestone 5</v>
      </c>
      <c r="C144" t="str">
        <f>'SOW, Feedbacks-Bug &amp; CR_Items'!F144</f>
        <v>Yet to start</v>
      </c>
      <c r="D144" t="str">
        <f>IFERROR(VLOOKUP(C144,Config!$A:$B,2,0),"Unknown")</f>
        <v>Not Started</v>
      </c>
      <c r="E144" t="str">
        <f>IFERROR(VLOOKUP(C144,Config!$A:$C,3,0),"N/A")</f>
        <v>Pending</v>
      </c>
      <c r="F144">
        <f>IF('SOW, Feedbacks-Bug &amp; CR_Items'!H144="","",'SOW, Feedbacks-Bug &amp; CR_Items'!H144)</f>
        <v>45869</v>
      </c>
    </row>
    <row r="145" spans="1:6">
      <c r="A145" t="str">
        <f>'SOW, Feedbacks-Bug &amp; CR_Items'!D145</f>
        <v>IBP</v>
      </c>
      <c r="B145" t="str">
        <f>'SOW, Feedbacks-Bug &amp; CR_Items'!E145</f>
        <v>Milestone 5</v>
      </c>
      <c r="C145" t="str">
        <f>'SOW, Feedbacks-Bug &amp; CR_Items'!F145</f>
        <v>Pre-PROD</v>
      </c>
      <c r="D145" t="str">
        <f>IFERROR(VLOOKUP(C145,Config!$A:$B,2,0),"Unknown")</f>
        <v>Pre-PROD / UAT</v>
      </c>
      <c r="E145" t="str">
        <f>IFERROR(VLOOKUP(C145,Config!$A:$C,3,0),"N/A")</f>
        <v>Pending</v>
      </c>
      <c r="F145">
        <f>IF('SOW, Feedbacks-Bug &amp; CR_Items'!H145="","",'SOW, Feedbacks-Bug &amp; CR_Items'!H145)</f>
        <v>45869</v>
      </c>
    </row>
    <row r="146" spans="1:6">
      <c r="A146" t="str">
        <f>'SOW, Feedbacks-Bug &amp; CR_Items'!D146</f>
        <v>IBP</v>
      </c>
      <c r="B146" t="str">
        <f>'SOW, Feedbacks-Bug &amp; CR_Items'!E146</f>
        <v>Milestone 5</v>
      </c>
      <c r="C146" t="str">
        <f>'SOW, Feedbacks-Bug &amp; CR_Items'!F146</f>
        <v>Pre-PROD</v>
      </c>
      <c r="D146" t="str">
        <f>IFERROR(VLOOKUP(C146,Config!$A:$B,2,0),"Unknown")</f>
        <v>Pre-PROD / UAT</v>
      </c>
      <c r="E146" t="str">
        <f>IFERROR(VLOOKUP(C146,Config!$A:$C,3,0),"N/A")</f>
        <v>Pending</v>
      </c>
      <c r="F146">
        <f>IF('SOW, Feedbacks-Bug &amp; CR_Items'!H146="","",'SOW, Feedbacks-Bug &amp; CR_Items'!H146)</f>
        <v>45869</v>
      </c>
    </row>
    <row r="147" spans="1:6">
      <c r="A147" t="str">
        <f>'SOW, Feedbacks-Bug &amp; CR_Items'!D147</f>
        <v>DPDP</v>
      </c>
      <c r="B147" t="str">
        <f>'SOW, Feedbacks-Bug &amp; CR_Items'!E147</f>
        <v>Milestone 5</v>
      </c>
      <c r="C147" t="str">
        <f>'SOW, Feedbacks-Bug &amp; CR_Items'!F147</f>
        <v>Yet to start</v>
      </c>
      <c r="D147" t="str">
        <f>IFERROR(VLOOKUP(C147,Config!$A:$B,2,0),"Unknown")</f>
        <v>Not Started</v>
      </c>
      <c r="E147" t="str">
        <f>IFERROR(VLOOKUP(C147,Config!$A:$C,3,0),"N/A")</f>
        <v>Pending</v>
      </c>
      <c r="F147">
        <f>IF('SOW, Feedbacks-Bug &amp; CR_Items'!H147="","",'SOW, Feedbacks-Bug &amp; CR_Items'!H147)</f>
        <v>45869</v>
      </c>
    </row>
    <row r="148" spans="1:6">
      <c r="A148" t="str">
        <f>'SOW, Feedbacks-Bug &amp; CR_Items'!D148</f>
        <v>IBP</v>
      </c>
      <c r="B148" t="str">
        <f>'SOW, Feedbacks-Bug &amp; CR_Items'!E148</f>
        <v>Milestone 5</v>
      </c>
      <c r="C148" t="str">
        <f>'SOW, Feedbacks-Bug &amp; CR_Items'!F148</f>
        <v>Yet to start</v>
      </c>
      <c r="D148" t="str">
        <f>IFERROR(VLOOKUP(C148,Config!$A:$B,2,0),"Unknown")</f>
        <v>Not Started</v>
      </c>
      <c r="E148" t="str">
        <f>IFERROR(VLOOKUP(C148,Config!$A:$C,3,0),"N/A")</f>
        <v>Pending</v>
      </c>
      <c r="F148">
        <f>IF('SOW, Feedbacks-Bug &amp; CR_Items'!H148="","",'SOW, Feedbacks-Bug &amp; CR_Items'!H148)</f>
        <v>45869</v>
      </c>
    </row>
    <row r="149" spans="1:6">
      <c r="A149" t="str">
        <f>'SOW, Feedbacks-Bug &amp; CR_Items'!D149</f>
        <v>IBP</v>
      </c>
      <c r="B149" t="str">
        <f>'SOW, Feedbacks-Bug &amp; CR_Items'!E149</f>
        <v>Milestone 5</v>
      </c>
      <c r="C149" t="str">
        <f>'SOW, Feedbacks-Bug &amp; CR_Items'!F149</f>
        <v>Yet to start</v>
      </c>
      <c r="D149" t="str">
        <f>IFERROR(VLOOKUP(C149,Config!$A:$B,2,0),"Unknown")</f>
        <v>Not Started</v>
      </c>
      <c r="E149" t="str">
        <f>IFERROR(VLOOKUP(C149,Config!$A:$C,3,0),"N/A")</f>
        <v>Pending</v>
      </c>
      <c r="F149">
        <f>IF('SOW, Feedbacks-Bug &amp; CR_Items'!H149="","",'SOW, Feedbacks-Bug &amp; CR_Items'!H149)</f>
        <v>45869</v>
      </c>
    </row>
    <row r="150" spans="1:6">
      <c r="A150" t="str">
        <f>'SOW, Feedbacks-Bug &amp; CR_Items'!D150</f>
        <v>IBP</v>
      </c>
      <c r="B150" t="str">
        <f>'SOW, Feedbacks-Bug &amp; CR_Items'!E150</f>
        <v>Milestone 5</v>
      </c>
      <c r="C150" t="str">
        <f>'SOW, Feedbacks-Bug &amp; CR_Items'!F150</f>
        <v>Yet to start</v>
      </c>
      <c r="D150" t="str">
        <f>IFERROR(VLOOKUP(C150,Config!$A:$B,2,0),"Unknown")</f>
        <v>Not Started</v>
      </c>
      <c r="E150" t="str">
        <f>IFERROR(VLOOKUP(C150,Config!$A:$C,3,0),"N/A")</f>
        <v>Pending</v>
      </c>
      <c r="F150">
        <f>IF('SOW, Feedbacks-Bug &amp; CR_Items'!H150="","",'SOW, Feedbacks-Bug &amp; CR_Items'!H150)</f>
        <v>45869</v>
      </c>
    </row>
    <row r="151" spans="1:6">
      <c r="A151" t="str">
        <f>'SOW, Feedbacks-Bug &amp; CR_Items'!D151</f>
        <v>IBP</v>
      </c>
      <c r="B151" t="str">
        <f>'SOW, Feedbacks-Bug &amp; CR_Items'!E151</f>
        <v>Milestone 5</v>
      </c>
      <c r="C151" t="str">
        <f>'SOW, Feedbacks-Bug &amp; CR_Items'!F151</f>
        <v>Delivered</v>
      </c>
      <c r="D151" t="str">
        <f>IFERROR(VLOOKUP(C151,Config!$A:$B,2,0),"Unknown")</f>
        <v>Delivered</v>
      </c>
      <c r="E151" t="str">
        <f>IFERROR(VLOOKUP(C151,Config!$A:$C,3,0),"N/A")</f>
        <v>Delivered</v>
      </c>
      <c r="F151">
        <f>IF('SOW, Feedbacks-Bug &amp; CR_Items'!H151="","",'SOW, Feedbacks-Bug &amp; CR_Items'!H151)</f>
        <v>45869</v>
      </c>
    </row>
    <row r="152" spans="1:6">
      <c r="A152" t="str">
        <f>'SOW, Feedbacks-Bug &amp; CR_Items'!D152</f>
        <v>IBP</v>
      </c>
      <c r="B152" t="str">
        <f>'SOW, Feedbacks-Bug &amp; CR_Items'!E152</f>
        <v>Milestone 5</v>
      </c>
      <c r="C152" t="str">
        <f>'SOW, Feedbacks-Bug &amp; CR_Items'!F152</f>
        <v>Delivered</v>
      </c>
      <c r="D152" t="str">
        <f>IFERROR(VLOOKUP(C152,Config!$A:$B,2,0),"Unknown")</f>
        <v>Delivered</v>
      </c>
      <c r="E152" t="str">
        <f>IFERROR(VLOOKUP(C152,Config!$A:$C,3,0),"N/A")</f>
        <v>Delivered</v>
      </c>
      <c r="F152">
        <f>IF('SOW, Feedbacks-Bug &amp; CR_Items'!H152="","",'SOW, Feedbacks-Bug &amp; CR_Items'!H152)</f>
        <v>45869</v>
      </c>
    </row>
    <row r="153" spans="1:6">
      <c r="A153" t="str">
        <f>'SOW, Feedbacks-Bug &amp; CR_Items'!D153</f>
        <v>IBP</v>
      </c>
      <c r="B153" t="str">
        <f>'SOW, Feedbacks-Bug &amp; CR_Items'!E153</f>
        <v>Milestone 5</v>
      </c>
      <c r="C153" t="str">
        <f>'SOW, Feedbacks-Bug &amp; CR_Items'!F153</f>
        <v>Delivered</v>
      </c>
      <c r="D153" t="str">
        <f>IFERROR(VLOOKUP(C153,Config!$A:$B,2,0),"Unknown")</f>
        <v>Delivered</v>
      </c>
      <c r="E153" t="str">
        <f>IFERROR(VLOOKUP(C153,Config!$A:$C,3,0),"N/A")</f>
        <v>Delivered</v>
      </c>
      <c r="F153">
        <f>IF('SOW, Feedbacks-Bug &amp; CR_Items'!H153="","",'SOW, Feedbacks-Bug &amp; CR_Items'!H153)</f>
        <v>45869</v>
      </c>
    </row>
    <row r="154" spans="1:6">
      <c r="A154" t="str">
        <f>'SOW, Feedbacks-Bug &amp; CR_Items'!D154</f>
        <v>IBP</v>
      </c>
      <c r="B154" t="str">
        <f>'SOW, Feedbacks-Bug &amp; CR_Items'!E154</f>
        <v>Milestone 5</v>
      </c>
      <c r="C154" t="str">
        <f>'SOW, Feedbacks-Bug &amp; CR_Items'!F154</f>
        <v>Delivered</v>
      </c>
      <c r="D154" t="str">
        <f>IFERROR(VLOOKUP(C154,Config!$A:$B,2,0),"Unknown")</f>
        <v>Delivered</v>
      </c>
      <c r="E154" t="str">
        <f>IFERROR(VLOOKUP(C154,Config!$A:$C,3,0),"N/A")</f>
        <v>Delivered</v>
      </c>
      <c r="F154">
        <f>IF('SOW, Feedbacks-Bug &amp; CR_Items'!H154="","",'SOW, Feedbacks-Bug &amp; CR_Items'!H154)</f>
        <v>45869</v>
      </c>
    </row>
    <row r="155" spans="1:6">
      <c r="A155" t="str">
        <f>'SOW, Feedbacks-Bug &amp; CR_Items'!D155</f>
        <v>IBP</v>
      </c>
      <c r="B155" t="str">
        <f>'SOW, Feedbacks-Bug &amp; CR_Items'!E155</f>
        <v>Milestone 5</v>
      </c>
      <c r="C155" t="str">
        <f>'SOW, Feedbacks-Bug &amp; CR_Items'!F155</f>
        <v>Delivered</v>
      </c>
      <c r="D155" t="str">
        <f>IFERROR(VLOOKUP(C155,Config!$A:$B,2,0),"Unknown")</f>
        <v>Delivered</v>
      </c>
      <c r="E155" t="str">
        <f>IFERROR(VLOOKUP(C155,Config!$A:$C,3,0),"N/A")</f>
        <v>Delivered</v>
      </c>
      <c r="F155">
        <f>IF('SOW, Feedbacks-Bug &amp; CR_Items'!H155="","",'SOW, Feedbacks-Bug &amp; CR_Items'!H155)</f>
        <v>45869</v>
      </c>
    </row>
    <row r="156" spans="1:6">
      <c r="A156" t="str">
        <f>'SOW, Feedbacks-Bug &amp; CR_Items'!D156</f>
        <v>IBP</v>
      </c>
      <c r="B156" t="str">
        <f>'SOW, Feedbacks-Bug &amp; CR_Items'!E156</f>
        <v>Milestone 5</v>
      </c>
      <c r="C156" t="str">
        <f>'SOW, Feedbacks-Bug &amp; CR_Items'!F156</f>
        <v>Delivered</v>
      </c>
      <c r="D156" t="str">
        <f>IFERROR(VLOOKUP(C156,Config!$A:$B,2,0),"Unknown")</f>
        <v>Delivered</v>
      </c>
      <c r="E156" t="str">
        <f>IFERROR(VLOOKUP(C156,Config!$A:$C,3,0),"N/A")</f>
        <v>Delivered</v>
      </c>
      <c r="F156">
        <f>IF('SOW, Feedbacks-Bug &amp; CR_Items'!H156="","",'SOW, Feedbacks-Bug &amp; CR_Items'!H156)</f>
        <v>45869</v>
      </c>
    </row>
    <row r="157" spans="1:6">
      <c r="A157" t="str">
        <f>'SOW, Feedbacks-Bug &amp; CR_Items'!D157</f>
        <v>IBP</v>
      </c>
      <c r="B157" t="str">
        <f>'SOW, Feedbacks-Bug &amp; CR_Items'!E157</f>
        <v>Milestone 5</v>
      </c>
      <c r="C157" t="str">
        <f>'SOW, Feedbacks-Bug &amp; CR_Items'!F157</f>
        <v>Delivered</v>
      </c>
      <c r="D157" t="str">
        <f>IFERROR(VLOOKUP(C157,Config!$A:$B,2,0),"Unknown")</f>
        <v>Delivered</v>
      </c>
      <c r="E157" t="str">
        <f>IFERROR(VLOOKUP(C157,Config!$A:$C,3,0),"N/A")</f>
        <v>Delivered</v>
      </c>
      <c r="F157">
        <f>IF('SOW, Feedbacks-Bug &amp; CR_Items'!H157="","",'SOW, Feedbacks-Bug &amp; CR_Items'!H157)</f>
        <v>45869</v>
      </c>
    </row>
    <row r="158" spans="1:6">
      <c r="A158" t="str">
        <f>'SOW, Feedbacks-Bug &amp; CR_Items'!D158</f>
        <v>IBP</v>
      </c>
      <c r="B158" t="str">
        <f>'SOW, Feedbacks-Bug &amp; CR_Items'!E158</f>
        <v>Milestone 5</v>
      </c>
      <c r="C158" t="str">
        <f>'SOW, Feedbacks-Bug &amp; CR_Items'!F158</f>
        <v>Delivered</v>
      </c>
      <c r="D158" t="str">
        <f>IFERROR(VLOOKUP(C158,Config!$A:$B,2,0),"Unknown")</f>
        <v>Delivered</v>
      </c>
      <c r="E158" t="str">
        <f>IFERROR(VLOOKUP(C158,Config!$A:$C,3,0),"N/A")</f>
        <v>Delivered</v>
      </c>
      <c r="F158">
        <f>IF('SOW, Feedbacks-Bug &amp; CR_Items'!H158="","",'SOW, Feedbacks-Bug &amp; CR_Items'!H158)</f>
        <v>45869</v>
      </c>
    </row>
    <row r="159" spans="1:6">
      <c r="A159" t="str">
        <f>'SOW, Feedbacks-Bug &amp; CR_Items'!D159</f>
        <v>IBP</v>
      </c>
      <c r="B159" t="str">
        <f>'SOW, Feedbacks-Bug &amp; CR_Items'!E159</f>
        <v>Milestone 5</v>
      </c>
      <c r="C159" t="str">
        <f>'SOW, Feedbacks-Bug &amp; CR_Items'!F159</f>
        <v>Delivered</v>
      </c>
      <c r="D159" t="str">
        <f>IFERROR(VLOOKUP(C159,Config!$A:$B,2,0),"Unknown")</f>
        <v>Delivered</v>
      </c>
      <c r="E159" t="str">
        <f>IFERROR(VLOOKUP(C159,Config!$A:$C,3,0),"N/A")</f>
        <v>Delivered</v>
      </c>
      <c r="F159">
        <f>IF('SOW, Feedbacks-Bug &amp; CR_Items'!H159="","",'SOW, Feedbacks-Bug &amp; CR_Items'!H159)</f>
        <v>45869</v>
      </c>
    </row>
    <row r="160" spans="1:6">
      <c r="A160" t="str">
        <f>'SOW, Feedbacks-Bug &amp; CR_Items'!D160</f>
        <v>IBP/iWork</v>
      </c>
      <c r="B160" t="str">
        <f>'SOW, Feedbacks-Bug &amp; CR_Items'!E160</f>
        <v>Milestone 5</v>
      </c>
      <c r="C160" t="str">
        <f>'SOW, Feedbacks-Bug &amp; CR_Items'!F160</f>
        <v>Pre-PROD</v>
      </c>
      <c r="D160" t="str">
        <f>IFERROR(VLOOKUP(C160,Config!$A:$B,2,0),"Unknown")</f>
        <v>Pre-PROD / UAT</v>
      </c>
      <c r="E160" t="str">
        <f>IFERROR(VLOOKUP(C160,Config!$A:$C,3,0),"N/A")</f>
        <v>Pending</v>
      </c>
      <c r="F160">
        <f>IF('SOW, Feedbacks-Bug &amp; CR_Items'!H160="","",'SOW, Feedbacks-Bug &amp; CR_Items'!H160)</f>
        <v>45869</v>
      </c>
    </row>
    <row r="161" spans="1:6">
      <c r="A161" t="str">
        <f>'SOW, Feedbacks-Bug &amp; CR_Items'!D161</f>
        <v>IBP</v>
      </c>
      <c r="B161" t="str">
        <f>'SOW, Feedbacks-Bug &amp; CR_Items'!E161</f>
        <v>Milestone 5</v>
      </c>
      <c r="C161" t="str">
        <f>'SOW, Feedbacks-Bug &amp; CR_Items'!F161</f>
        <v>Pre-PROD</v>
      </c>
      <c r="D161" t="str">
        <f>IFERROR(VLOOKUP(C161,Config!$A:$B,2,0),"Unknown")</f>
        <v>Pre-PROD / UAT</v>
      </c>
      <c r="E161" t="str">
        <f>IFERROR(VLOOKUP(C161,Config!$A:$C,3,0),"N/A")</f>
        <v>Pending</v>
      </c>
      <c r="F161">
        <f>IF('SOW, Feedbacks-Bug &amp; CR_Items'!H161="","",'SOW, Feedbacks-Bug &amp; CR_Items'!H161)</f>
        <v>45869</v>
      </c>
    </row>
    <row r="162" spans="1:6">
      <c r="A162" t="str">
        <f>'SOW, Feedbacks-Bug &amp; CR_Items'!D162</f>
        <v>IBP</v>
      </c>
      <c r="B162" t="str">
        <f>'SOW, Feedbacks-Bug &amp; CR_Items'!E162</f>
        <v>Milestone 5</v>
      </c>
      <c r="C162" t="str">
        <f>'SOW, Feedbacks-Bug &amp; CR_Items'!F162</f>
        <v>Pre-PROD</v>
      </c>
      <c r="D162" t="str">
        <f>IFERROR(VLOOKUP(C162,Config!$A:$B,2,0),"Unknown")</f>
        <v>Pre-PROD / UAT</v>
      </c>
      <c r="E162" t="str">
        <f>IFERROR(VLOOKUP(C162,Config!$A:$C,3,0),"N/A")</f>
        <v>Pending</v>
      </c>
      <c r="F162">
        <f>IF('SOW, Feedbacks-Bug &amp; CR_Items'!H162="","",'SOW, Feedbacks-Bug &amp; CR_Items'!H162)</f>
        <v>45869</v>
      </c>
    </row>
    <row r="163" spans="1:6">
      <c r="A163" t="str">
        <f>'SOW, Feedbacks-Bug &amp; CR_Items'!D163</f>
        <v>IBP/iWork</v>
      </c>
      <c r="B163" t="str">
        <f>'SOW, Feedbacks-Bug &amp; CR_Items'!E163</f>
        <v>Milestone 5</v>
      </c>
      <c r="C163" t="str">
        <f>'SOW, Feedbacks-Bug &amp; CR_Items'!F163</f>
        <v>Pre-PROD</v>
      </c>
      <c r="D163" t="str">
        <f>IFERROR(VLOOKUP(C163,Config!$A:$B,2,0),"Unknown")</f>
        <v>Pre-PROD / UAT</v>
      </c>
      <c r="E163" t="str">
        <f>IFERROR(VLOOKUP(C163,Config!$A:$C,3,0),"N/A")</f>
        <v>Pending</v>
      </c>
      <c r="F163">
        <f>IF('SOW, Feedbacks-Bug &amp; CR_Items'!H163="","",'SOW, Feedbacks-Bug &amp; CR_Items'!H163)</f>
        <v>45869</v>
      </c>
    </row>
    <row r="164" spans="1:6">
      <c r="A164" t="str">
        <f>'SOW, Feedbacks-Bug &amp; CR_Items'!D164</f>
        <v>IBP</v>
      </c>
      <c r="B164" t="str">
        <f>'SOW, Feedbacks-Bug &amp; CR_Items'!E164</f>
        <v>Milestone 5</v>
      </c>
      <c r="C164" t="str">
        <f>'SOW, Feedbacks-Bug &amp; CR_Items'!F164</f>
        <v>Not in scope</v>
      </c>
      <c r="D164" t="str">
        <f>IFERROR(VLOOKUP(C164,Config!$A:$B,2,0),"Unknown")</f>
        <v>Delivered</v>
      </c>
      <c r="E164" t="str">
        <f>IFERROR(VLOOKUP(C164,Config!$A:$C,3,0),"N/A")</f>
        <v>Delivered</v>
      </c>
      <c r="F164">
        <f>IF('SOW, Feedbacks-Bug &amp; CR_Items'!H164="","",'SOW, Feedbacks-Bug &amp; CR_Items'!H164)</f>
        <v>45869</v>
      </c>
    </row>
    <row r="165" spans="1:6">
      <c r="A165" t="str">
        <f>'SOW, Feedbacks-Bug &amp; CR_Items'!D165</f>
        <v>iWork</v>
      </c>
      <c r="B165" t="str">
        <f>'SOW, Feedbacks-Bug &amp; CR_Items'!E165</f>
        <v>Milestone 6</v>
      </c>
      <c r="C165" t="str">
        <f>'SOW, Feedbacks-Bug &amp; CR_Items'!F165</f>
        <v>Delivered</v>
      </c>
      <c r="D165" t="str">
        <f>IFERROR(VLOOKUP(C165,Config!$A:$B,2,0),"Unknown")</f>
        <v>Delivered</v>
      </c>
      <c r="E165" t="str">
        <f>IFERROR(VLOOKUP(C165,Config!$A:$C,3,0),"N/A")</f>
        <v>Delivered</v>
      </c>
      <c r="F165">
        <f>IF('SOW, Feedbacks-Bug &amp; CR_Items'!H165="","",'SOW, Feedbacks-Bug &amp; CR_Items'!H165)</f>
        <v>46231</v>
      </c>
    </row>
    <row r="166" spans="1:6">
      <c r="A166" t="str">
        <f>'SOW, Feedbacks-Bug &amp; CR_Items'!D166</f>
        <v>IBP</v>
      </c>
      <c r="B166" t="str">
        <f>'SOW, Feedbacks-Bug &amp; CR_Items'!E166</f>
        <v>Milestone 5</v>
      </c>
      <c r="C166" t="str">
        <f>'SOW, Feedbacks-Bug &amp; CR_Items'!F166</f>
        <v>Not in scope</v>
      </c>
      <c r="D166" t="str">
        <f>IFERROR(VLOOKUP(C166,Config!$A:$B,2,0),"Unknown")</f>
        <v>Delivered</v>
      </c>
      <c r="E166" t="str">
        <f>IFERROR(VLOOKUP(C166,Config!$A:$C,3,0),"N/A")</f>
        <v>Delivered</v>
      </c>
      <c r="F166">
        <f>IF('SOW, Feedbacks-Bug &amp; CR_Items'!H166="","",'SOW, Feedbacks-Bug &amp; CR_Items'!H166)</f>
        <v>45869</v>
      </c>
    </row>
    <row r="167" spans="1:6">
      <c r="A167" t="str">
        <f>'SOW, Feedbacks-Bug &amp; CR_Items'!D167</f>
        <v>IBP</v>
      </c>
      <c r="B167" t="str">
        <f>'SOW, Feedbacks-Bug &amp; CR_Items'!E167</f>
        <v>Milestone 5</v>
      </c>
      <c r="C167" t="str">
        <f>'SOW, Feedbacks-Bug &amp; CR_Items'!F167</f>
        <v>Yet to start</v>
      </c>
      <c r="D167" t="str">
        <f>IFERROR(VLOOKUP(C167,Config!$A:$B,2,0),"Unknown")</f>
        <v>Not Started</v>
      </c>
      <c r="E167" t="str">
        <f>IFERROR(VLOOKUP(C167,Config!$A:$C,3,0),"N/A")</f>
        <v>Pending</v>
      </c>
      <c r="F167">
        <f>IF('SOW, Feedbacks-Bug &amp; CR_Items'!H167="","",'SOW, Feedbacks-Bug &amp; CR_Items'!H167)</f>
        <v>45869</v>
      </c>
    </row>
    <row r="168" spans="1:6">
      <c r="A168" t="str">
        <f>'SOW, Feedbacks-Bug &amp; CR_Items'!D168</f>
        <v>IBP - CR</v>
      </c>
      <c r="B168" t="str">
        <f>'SOW, Feedbacks-Bug &amp; CR_Items'!E168</f>
        <v>Milestone 6</v>
      </c>
      <c r="C168" t="str">
        <f>'SOW, Feedbacks-Bug &amp; CR_Items'!F168</f>
        <v>Pre-PROD</v>
      </c>
      <c r="D168" t="str">
        <f>IFERROR(VLOOKUP(C168,Config!$A:$B,2,0),"Unknown")</f>
        <v>Pre-PROD / UAT</v>
      </c>
      <c r="E168" t="str">
        <f>IFERROR(VLOOKUP(C168,Config!$A:$C,3,0),"N/A")</f>
        <v>Pending</v>
      </c>
      <c r="F168">
        <f>IF('SOW, Feedbacks-Bug &amp; CR_Items'!H168="","",'SOW, Feedbacks-Bug &amp; CR_Items'!H168)</f>
        <v>46150</v>
      </c>
    </row>
    <row r="169" spans="1:6">
      <c r="A169" t="str">
        <f>'SOW, Feedbacks-Bug &amp; CR_Items'!D169</f>
        <v>IBP</v>
      </c>
      <c r="B169" t="str">
        <f>'SOW, Feedbacks-Bug &amp; CR_Items'!E169</f>
        <v>Milestone 5</v>
      </c>
      <c r="C169" t="str">
        <f>'SOW, Feedbacks-Bug &amp; CR_Items'!F169</f>
        <v>Yet to start</v>
      </c>
      <c r="D169" t="str">
        <f>IFERROR(VLOOKUP(C169,Config!$A:$B,2,0),"Unknown")</f>
        <v>Not Started</v>
      </c>
      <c r="E169" t="str">
        <f>IFERROR(VLOOKUP(C169,Config!$A:$C,3,0),"N/A")</f>
        <v>Pending</v>
      </c>
      <c r="F169">
        <f>IF('SOW, Feedbacks-Bug &amp; CR_Items'!H169="","",'SOW, Feedbacks-Bug &amp; CR_Items'!H169)</f>
        <v>45869</v>
      </c>
    </row>
    <row r="170" spans="1:6">
      <c r="A170" t="str">
        <f>'SOW, Feedbacks-Bug &amp; CR_Items'!D170</f>
        <v>IBP</v>
      </c>
      <c r="B170" t="str">
        <f>'SOW, Feedbacks-Bug &amp; CR_Items'!E170</f>
        <v>Milestone 5</v>
      </c>
      <c r="C170" t="str">
        <f>'SOW, Feedbacks-Bug &amp; CR_Items'!F170</f>
        <v>Yet to start</v>
      </c>
      <c r="D170" t="str">
        <f>IFERROR(VLOOKUP(C170,Config!$A:$B,2,0),"Unknown")</f>
        <v>Not Started</v>
      </c>
      <c r="E170" t="str">
        <f>IFERROR(VLOOKUP(C170,Config!$A:$C,3,0),"N/A")</f>
        <v>Pending</v>
      </c>
      <c r="F170">
        <f>IF('SOW, Feedbacks-Bug &amp; CR_Items'!H170="","",'SOW, Feedbacks-Bug &amp; CR_Items'!H170)</f>
        <v>45869</v>
      </c>
    </row>
    <row r="171" spans="1:6">
      <c r="A171" t="str">
        <f>'SOW, Feedbacks-Bug &amp; CR_Items'!D171</f>
        <v>IBP</v>
      </c>
      <c r="B171" t="str">
        <f>'SOW, Feedbacks-Bug &amp; CR_Items'!E171</f>
        <v>Milestone 5</v>
      </c>
      <c r="C171" t="str">
        <f>'SOW, Feedbacks-Bug &amp; CR_Items'!F171</f>
        <v>Yet to start</v>
      </c>
      <c r="D171" t="str">
        <f>IFERROR(VLOOKUP(C171,Config!$A:$B,2,0),"Unknown")</f>
        <v>Not Started</v>
      </c>
      <c r="E171" t="str">
        <f>IFERROR(VLOOKUP(C171,Config!$A:$C,3,0),"N/A")</f>
        <v>Pending</v>
      </c>
      <c r="F171">
        <f>IF('SOW, Feedbacks-Bug &amp; CR_Items'!H171="","",'SOW, Feedbacks-Bug &amp; CR_Items'!H171)</f>
        <v>45869</v>
      </c>
    </row>
    <row r="172" spans="1:6">
      <c r="A172" t="str">
        <f>'SOW, Feedbacks-Bug &amp; CR_Items'!D172</f>
        <v>IBP</v>
      </c>
      <c r="B172" t="str">
        <f>'SOW, Feedbacks-Bug &amp; CR_Items'!E172</f>
        <v>Milestone 5</v>
      </c>
      <c r="C172" t="str">
        <f>'SOW, Feedbacks-Bug &amp; CR_Items'!F172</f>
        <v>Yet to start</v>
      </c>
      <c r="D172" t="str">
        <f>IFERROR(VLOOKUP(C172,Config!$A:$B,2,0),"Unknown")</f>
        <v>Not Started</v>
      </c>
      <c r="E172" t="str">
        <f>IFERROR(VLOOKUP(C172,Config!$A:$C,3,0),"N/A")</f>
        <v>Pending</v>
      </c>
      <c r="F172">
        <f>IF('SOW, Feedbacks-Bug &amp; CR_Items'!H172="","",'SOW, Feedbacks-Bug &amp; CR_Items'!H172)</f>
        <v>45869</v>
      </c>
    </row>
    <row r="173" spans="1:6">
      <c r="A173" t="str">
        <f>'SOW, Feedbacks-Bug &amp; CR_Items'!D173</f>
        <v>iWork</v>
      </c>
      <c r="B173" t="str">
        <f>'SOW, Feedbacks-Bug &amp; CR_Items'!E173</f>
        <v>Milestone 6</v>
      </c>
      <c r="C173" t="str">
        <f>'SOW, Feedbacks-Bug &amp; CR_Items'!F173</f>
        <v>Delivered</v>
      </c>
      <c r="D173" t="str">
        <f>IFERROR(VLOOKUP(C173,Config!$A:$B,2,0),"Unknown")</f>
        <v>Delivered</v>
      </c>
      <c r="E173" t="str">
        <f>IFERROR(VLOOKUP(C173,Config!$A:$C,3,0),"N/A")</f>
        <v>Delivered</v>
      </c>
      <c r="F173">
        <f>IF('SOW, Feedbacks-Bug &amp; CR_Items'!H173="","",'SOW, Feedbacks-Bug &amp; CR_Items'!H173)</f>
        <v>46231</v>
      </c>
    </row>
    <row r="174" spans="1:6">
      <c r="A174" t="str">
        <f>'SOW, Feedbacks-Bug &amp; CR_Items'!D174</f>
        <v>IBP</v>
      </c>
      <c r="B174" t="str">
        <f>'SOW, Feedbacks-Bug &amp; CR_Items'!E174</f>
        <v>Milestone 5</v>
      </c>
      <c r="C174" t="str">
        <f>'SOW, Feedbacks-Bug &amp; CR_Items'!F174</f>
        <v>Yet to start</v>
      </c>
      <c r="D174" t="str">
        <f>IFERROR(VLOOKUP(C174,Config!$A:$B,2,0),"Unknown")</f>
        <v>Not Started</v>
      </c>
      <c r="E174" t="str">
        <f>IFERROR(VLOOKUP(C174,Config!$A:$C,3,0),"N/A")</f>
        <v>Pending</v>
      </c>
      <c r="F174">
        <f>IF('SOW, Feedbacks-Bug &amp; CR_Items'!H174="","",'SOW, Feedbacks-Bug &amp; CR_Items'!H174)</f>
        <v>45869</v>
      </c>
    </row>
    <row r="175" spans="1:6">
      <c r="A175" t="str">
        <f>'SOW, Feedbacks-Bug &amp; CR_Items'!D175</f>
        <v>IBP</v>
      </c>
      <c r="B175" t="str">
        <f>'SOW, Feedbacks-Bug &amp; CR_Items'!E175</f>
        <v>Milestone 5</v>
      </c>
      <c r="C175" t="str">
        <f>'SOW, Feedbacks-Bug &amp; CR_Items'!F175</f>
        <v>Yet to start</v>
      </c>
      <c r="D175" t="str">
        <f>IFERROR(VLOOKUP(C175,Config!$A:$B,2,0),"Unknown")</f>
        <v>Not Started</v>
      </c>
      <c r="E175" t="str">
        <f>IFERROR(VLOOKUP(C175,Config!$A:$C,3,0),"N/A")</f>
        <v>Pending</v>
      </c>
      <c r="F175">
        <f>IF('SOW, Feedbacks-Bug &amp; CR_Items'!H175="","",'SOW, Feedbacks-Bug &amp; CR_Items'!H175)</f>
        <v>45869</v>
      </c>
    </row>
    <row r="176" spans="1:6">
      <c r="A176" t="str">
        <f>'SOW, Feedbacks-Bug &amp; CR_Items'!D176</f>
        <v>iWork</v>
      </c>
      <c r="B176" t="str">
        <f>'SOW, Feedbacks-Bug &amp; CR_Items'!E176</f>
        <v>Milestone 4</v>
      </c>
      <c r="C176" t="str">
        <f>'SOW, Feedbacks-Bug &amp; CR_Items'!F176</f>
        <v>Delivered</v>
      </c>
      <c r="D176" t="str">
        <f>IFERROR(VLOOKUP(C176,Config!$A:$B,2,0),"Unknown")</f>
        <v>Delivered</v>
      </c>
      <c r="E176" t="str">
        <f>IFERROR(VLOOKUP(C176,Config!$A:$C,3,0),"N/A")</f>
        <v>Delivered</v>
      </c>
      <c r="F176">
        <f>IF('SOW, Feedbacks-Bug &amp; CR_Items'!H176="","",'SOW, Feedbacks-Bug &amp; CR_Items'!H176)</f>
        <v>45818</v>
      </c>
    </row>
    <row r="177" spans="1:6">
      <c r="A177" t="str">
        <f>'SOW, Feedbacks-Bug &amp; CR_Items'!D177</f>
        <v>iWork</v>
      </c>
      <c r="B177" t="str">
        <f>'SOW, Feedbacks-Bug &amp; CR_Items'!E177</f>
        <v>Milestone 6</v>
      </c>
      <c r="C177" t="str">
        <f>'SOW, Feedbacks-Bug &amp; CR_Items'!F177</f>
        <v>Pre-PROD</v>
      </c>
      <c r="D177" t="str">
        <f>IFERROR(VLOOKUP(C177,Config!$A:$B,2,0),"Unknown")</f>
        <v>Pre-PROD / UAT</v>
      </c>
      <c r="E177" t="str">
        <f>IFERROR(VLOOKUP(C177,Config!$A:$C,3,0),"N/A")</f>
        <v>Pending</v>
      </c>
      <c r="F177">
        <f>IF('SOW, Feedbacks-Bug &amp; CR_Items'!H177="","",'SOW, Feedbacks-Bug &amp; CR_Items'!H177)</f>
        <v>46230</v>
      </c>
    </row>
    <row r="178" spans="1:6">
      <c r="A178" t="str">
        <f>'SOW, Feedbacks-Bug &amp; CR_Items'!D178</f>
        <v>IBP</v>
      </c>
      <c r="B178" t="str">
        <f>'SOW, Feedbacks-Bug &amp; CR_Items'!E178</f>
        <v>Milestone 5</v>
      </c>
      <c r="C178" t="str">
        <f>'SOW, Feedbacks-Bug &amp; CR_Items'!F178</f>
        <v>Yet to start</v>
      </c>
      <c r="D178" t="str">
        <f>IFERROR(VLOOKUP(C178,Config!$A:$B,2,0),"Unknown")</f>
        <v>Not Started</v>
      </c>
      <c r="E178" t="str">
        <f>IFERROR(VLOOKUP(C178,Config!$A:$C,3,0),"N/A")</f>
        <v>Pending</v>
      </c>
      <c r="F178">
        <f>IF('SOW, Feedbacks-Bug &amp; CR_Items'!H178="","",'SOW, Feedbacks-Bug &amp; CR_Items'!H178)</f>
        <v>45869</v>
      </c>
    </row>
    <row r="179" spans="1:6">
      <c r="A179" t="str">
        <f>'SOW, Feedbacks-Bug &amp; CR_Items'!D179</f>
        <v>IBP/iWork</v>
      </c>
      <c r="B179" t="str">
        <f>'SOW, Feedbacks-Bug &amp; CR_Items'!E179</f>
        <v>Milestone 5</v>
      </c>
      <c r="C179" t="str">
        <f>'SOW, Feedbacks-Bug &amp; CR_Items'!F179</f>
        <v>Delivered</v>
      </c>
      <c r="D179" t="str">
        <f>IFERROR(VLOOKUP(C179,Config!$A:$B,2,0),"Unknown")</f>
        <v>Delivered</v>
      </c>
      <c r="E179" t="str">
        <f>IFERROR(VLOOKUP(C179,Config!$A:$C,3,0),"N/A")</f>
        <v>Delivered</v>
      </c>
      <c r="F179">
        <f>IF('SOW, Feedbacks-Bug &amp; CR_Items'!H179="","",'SOW, Feedbacks-Bug &amp; CR_Items'!H179)</f>
        <v>45869</v>
      </c>
    </row>
    <row r="180" spans="1:6">
      <c r="A180" t="str">
        <f>'SOW, Feedbacks-Bug &amp; CR_Items'!D180</f>
        <v>IBP/iWork</v>
      </c>
      <c r="B180" t="str">
        <f>'SOW, Feedbacks-Bug &amp; CR_Items'!E180</f>
        <v>Milestone 5</v>
      </c>
      <c r="C180" t="str">
        <f>'SOW, Feedbacks-Bug &amp; CR_Items'!F180</f>
        <v>Delivered</v>
      </c>
      <c r="D180" t="str">
        <f>IFERROR(VLOOKUP(C180,Config!$A:$B,2,0),"Unknown")</f>
        <v>Delivered</v>
      </c>
      <c r="E180" t="str">
        <f>IFERROR(VLOOKUP(C180,Config!$A:$C,3,0),"N/A")</f>
        <v>Delivered</v>
      </c>
      <c r="F180">
        <f>IF('SOW, Feedbacks-Bug &amp; CR_Items'!H180="","",'SOW, Feedbacks-Bug &amp; CR_Items'!H180)</f>
        <v>45869</v>
      </c>
    </row>
    <row r="181" spans="1:6">
      <c r="A181" t="str">
        <f>'SOW, Feedbacks-Bug &amp; CR_Items'!D181</f>
        <v>iWork</v>
      </c>
      <c r="B181" t="str">
        <f>'SOW, Feedbacks-Bug &amp; CR_Items'!E181</f>
        <v>Milestone 5</v>
      </c>
      <c r="C181" t="str">
        <f>'SOW, Feedbacks-Bug &amp; CR_Items'!F181</f>
        <v>Delivered</v>
      </c>
      <c r="D181" t="str">
        <f>IFERROR(VLOOKUP(C181,Config!$A:$B,2,0),"Unknown")</f>
        <v>Delivered</v>
      </c>
      <c r="E181" t="str">
        <f>IFERROR(VLOOKUP(C181,Config!$A:$C,3,0),"N/A")</f>
        <v>Delivered</v>
      </c>
      <c r="F181">
        <f>IF('SOW, Feedbacks-Bug &amp; CR_Items'!H181="","",'SOW, Feedbacks-Bug &amp; CR_Items'!H181)</f>
        <v>45869</v>
      </c>
    </row>
    <row r="182" spans="1:6">
      <c r="A182" t="str">
        <f>'SOW, Feedbacks-Bug &amp; CR_Items'!D182</f>
        <v>IBP/iWork</v>
      </c>
      <c r="B182" t="str">
        <f>'SOW, Feedbacks-Bug &amp; CR_Items'!E182</f>
        <v>Milestone 5</v>
      </c>
      <c r="C182" t="str">
        <f>'SOW, Feedbacks-Bug &amp; CR_Items'!F182</f>
        <v>Yet to start</v>
      </c>
      <c r="D182" t="str">
        <f>IFERROR(VLOOKUP(C182,Config!$A:$B,2,0),"Unknown")</f>
        <v>Not Started</v>
      </c>
      <c r="E182" t="str">
        <f>IFERROR(VLOOKUP(C182,Config!$A:$C,3,0),"N/A")</f>
        <v>Pending</v>
      </c>
      <c r="F182">
        <f>IF('SOW, Feedbacks-Bug &amp; CR_Items'!H182="","",'SOW, Feedbacks-Bug &amp; CR_Items'!H182)</f>
        <v>45869</v>
      </c>
    </row>
    <row r="183" spans="1:6">
      <c r="A183" t="str">
        <f>'SOW, Feedbacks-Bug &amp; CR_Items'!D183</f>
        <v>NFR</v>
      </c>
      <c r="B183" t="str">
        <f>'SOW, Feedbacks-Bug &amp; CR_Items'!E183</f>
        <v>Milestone 4</v>
      </c>
      <c r="C183" t="str">
        <f>'SOW, Feedbacks-Bug &amp; CR_Items'!F183</f>
        <v>Delivered - Deficit</v>
      </c>
      <c r="D183" t="str">
        <f>IFERROR(VLOOKUP(C183,Config!$A:$B,2,0),"Unknown")</f>
        <v>Partial Delivery</v>
      </c>
      <c r="E183" t="str">
        <f>IFERROR(VLOOKUP(C183,Config!$A:$C,3,0),"N/A")</f>
        <v>Pending</v>
      </c>
      <c r="F183">
        <f>IF('SOW, Feedbacks-Bug &amp; CR_Items'!H183="","",'SOW, Feedbacks-Bug &amp; CR_Items'!H183)</f>
        <v>45818</v>
      </c>
    </row>
    <row r="184" spans="1:6">
      <c r="A184" t="str">
        <f>'SOW, Feedbacks-Bug &amp; CR_Items'!D184</f>
        <v>iWork</v>
      </c>
      <c r="B184" t="str">
        <f>'SOW, Feedbacks-Bug &amp; CR_Items'!E184</f>
        <v>Milestone 5</v>
      </c>
      <c r="C184" t="str">
        <f>'SOW, Feedbacks-Bug &amp; CR_Items'!F184</f>
        <v>Delivered</v>
      </c>
      <c r="D184" t="str">
        <f>IFERROR(VLOOKUP(C184,Config!$A:$B,2,0),"Unknown")</f>
        <v>Delivered</v>
      </c>
      <c r="E184" t="str">
        <f>IFERROR(VLOOKUP(C184,Config!$A:$C,3,0),"N/A")</f>
        <v>Delivered</v>
      </c>
      <c r="F184">
        <f>IF('SOW, Feedbacks-Bug &amp; CR_Items'!H184="","",'SOW, Feedbacks-Bug &amp; CR_Items'!H184)</f>
        <v>45869</v>
      </c>
    </row>
    <row r="185" spans="1:6">
      <c r="A185" t="str">
        <f>'SOW, Feedbacks-Bug &amp; CR_Items'!D185</f>
        <v>iWork</v>
      </c>
      <c r="B185" t="str">
        <f>'SOW, Feedbacks-Bug &amp; CR_Items'!E185</f>
        <v>Milestone 5</v>
      </c>
      <c r="C185" t="str">
        <f>'SOW, Feedbacks-Bug &amp; CR_Items'!F185</f>
        <v>Delivered</v>
      </c>
      <c r="D185" t="str">
        <f>IFERROR(VLOOKUP(C185,Config!$A:$B,2,0),"Unknown")</f>
        <v>Delivered</v>
      </c>
      <c r="E185" t="str">
        <f>IFERROR(VLOOKUP(C185,Config!$A:$C,3,0),"N/A")</f>
        <v>Delivered</v>
      </c>
      <c r="F185">
        <f>IF('SOW, Feedbacks-Bug &amp; CR_Items'!H185="","",'SOW, Feedbacks-Bug &amp; CR_Items'!H185)</f>
        <v>45869</v>
      </c>
    </row>
    <row r="186" spans="1:6">
      <c r="A186" t="str">
        <f>'SOW, Feedbacks-Bug &amp; CR_Items'!D186</f>
        <v>iWork</v>
      </c>
      <c r="B186" t="str">
        <f>'SOW, Feedbacks-Bug &amp; CR_Items'!E186</f>
        <v>Milestone 5</v>
      </c>
      <c r="C186" t="str">
        <f>'SOW, Feedbacks-Bug &amp; CR_Items'!F186</f>
        <v>Delivered</v>
      </c>
      <c r="D186" t="str">
        <f>IFERROR(VLOOKUP(C186,Config!$A:$B,2,0),"Unknown")</f>
        <v>Delivered</v>
      </c>
      <c r="E186" t="str">
        <f>IFERROR(VLOOKUP(C186,Config!$A:$C,3,0),"N/A")</f>
        <v>Delivered</v>
      </c>
      <c r="F186">
        <f>IF('SOW, Feedbacks-Bug &amp; CR_Items'!H186="","",'SOW, Feedbacks-Bug &amp; CR_Items'!H186)</f>
        <v>45869</v>
      </c>
    </row>
    <row r="187" spans="1:6">
      <c r="A187" t="str">
        <f>'SOW, Feedbacks-Bug &amp; CR_Items'!D187</f>
        <v>iWork</v>
      </c>
      <c r="B187" t="str">
        <f>'SOW, Feedbacks-Bug &amp; CR_Items'!E187</f>
        <v>Milestone 5</v>
      </c>
      <c r="C187" t="str">
        <f>'SOW, Feedbacks-Bug &amp; CR_Items'!F187</f>
        <v>Delivered</v>
      </c>
      <c r="D187" t="str">
        <f>IFERROR(VLOOKUP(C187,Config!$A:$B,2,0),"Unknown")</f>
        <v>Delivered</v>
      </c>
      <c r="E187" t="str">
        <f>IFERROR(VLOOKUP(C187,Config!$A:$C,3,0),"N/A")</f>
        <v>Delivered</v>
      </c>
      <c r="F187">
        <f>IF('SOW, Feedbacks-Bug &amp; CR_Items'!H187="","",'SOW, Feedbacks-Bug &amp; CR_Items'!H187)</f>
        <v>45869</v>
      </c>
    </row>
    <row r="188" spans="1:6">
      <c r="A188" t="str">
        <f>'SOW, Feedbacks-Bug &amp; CR_Items'!D188</f>
        <v>iWork</v>
      </c>
      <c r="B188" t="str">
        <f>'SOW, Feedbacks-Bug &amp; CR_Items'!E188</f>
        <v>Milestone 5</v>
      </c>
      <c r="C188" t="str">
        <f>'SOW, Feedbacks-Bug &amp; CR_Items'!F188</f>
        <v>Delivered</v>
      </c>
      <c r="D188" t="str">
        <f>IFERROR(VLOOKUP(C188,Config!$A:$B,2,0),"Unknown")</f>
        <v>Delivered</v>
      </c>
      <c r="E188" t="str">
        <f>IFERROR(VLOOKUP(C188,Config!$A:$C,3,0),"N/A")</f>
        <v>Delivered</v>
      </c>
      <c r="F188">
        <f>IF('SOW, Feedbacks-Bug &amp; CR_Items'!H188="","",'SOW, Feedbacks-Bug &amp; CR_Items'!H188)</f>
        <v>45869</v>
      </c>
    </row>
    <row r="189" spans="1:6">
      <c r="A189" t="str">
        <f>'SOW, Feedbacks-Bug &amp; CR_Items'!D189</f>
        <v>iWork</v>
      </c>
      <c r="B189" t="str">
        <f>'SOW, Feedbacks-Bug &amp; CR_Items'!E189</f>
        <v>Milestone 5</v>
      </c>
      <c r="C189" t="str">
        <f>'SOW, Feedbacks-Bug &amp; CR_Items'!F189</f>
        <v>Delivered</v>
      </c>
      <c r="D189" t="str">
        <f>IFERROR(VLOOKUP(C189,Config!$A:$B,2,0),"Unknown")</f>
        <v>Delivered</v>
      </c>
      <c r="E189" t="str">
        <f>IFERROR(VLOOKUP(C189,Config!$A:$C,3,0),"N/A")</f>
        <v>Delivered</v>
      </c>
      <c r="F189">
        <f>IF('SOW, Feedbacks-Bug &amp; CR_Items'!H189="","",'SOW, Feedbacks-Bug &amp; CR_Items'!H189)</f>
        <v>45869</v>
      </c>
    </row>
    <row r="190" spans="1:6">
      <c r="A190" t="str">
        <f>'SOW, Feedbacks-Bug &amp; CR_Items'!D190</f>
        <v>iWork</v>
      </c>
      <c r="B190" t="str">
        <f>'SOW, Feedbacks-Bug &amp; CR_Items'!E190</f>
        <v>Milestone 5</v>
      </c>
      <c r="C190" t="str">
        <f>'SOW, Feedbacks-Bug &amp; CR_Items'!F190</f>
        <v>Yet to start</v>
      </c>
      <c r="D190" t="str">
        <f>IFERROR(VLOOKUP(C190,Config!$A:$B,2,0),"Unknown")</f>
        <v>Not Started</v>
      </c>
      <c r="E190" t="str">
        <f>IFERROR(VLOOKUP(C190,Config!$A:$C,3,0),"N/A")</f>
        <v>Pending</v>
      </c>
      <c r="F190">
        <f>IF('SOW, Feedbacks-Bug &amp; CR_Items'!H190="","",'SOW, Feedbacks-Bug &amp; CR_Items'!H190)</f>
        <v>45869</v>
      </c>
    </row>
    <row r="191" spans="1:6">
      <c r="A191" t="str">
        <f>'SOW, Feedbacks-Bug &amp; CR_Items'!D191</f>
        <v>iWork</v>
      </c>
      <c r="B191" t="str">
        <f>'SOW, Feedbacks-Bug &amp; CR_Items'!E191</f>
        <v>Milestone 5</v>
      </c>
      <c r="C191" t="str">
        <f>'SOW, Feedbacks-Bug &amp; CR_Items'!F191</f>
        <v>Yet to start</v>
      </c>
      <c r="D191" t="str">
        <f>IFERROR(VLOOKUP(C191,Config!$A:$B,2,0),"Unknown")</f>
        <v>Not Started</v>
      </c>
      <c r="E191" t="str">
        <f>IFERROR(VLOOKUP(C191,Config!$A:$C,3,0),"N/A")</f>
        <v>Pending</v>
      </c>
      <c r="F191">
        <f>IF('SOW, Feedbacks-Bug &amp; CR_Items'!H191="","",'SOW, Feedbacks-Bug &amp; CR_Items'!H191)</f>
        <v>45869</v>
      </c>
    </row>
    <row r="192" spans="1:6">
      <c r="A192" t="str">
        <f>'SOW, Feedbacks-Bug &amp; CR_Items'!D192</f>
        <v>iWork</v>
      </c>
      <c r="B192" t="str">
        <f>'SOW, Feedbacks-Bug &amp; CR_Items'!E192</f>
        <v>Milestone 6</v>
      </c>
      <c r="C192" t="str">
        <f>'SOW, Feedbacks-Bug &amp; CR_Items'!F192</f>
        <v>Delivered</v>
      </c>
      <c r="D192" t="str">
        <f>IFERROR(VLOOKUP(C192,Config!$A:$B,2,0),"Unknown")</f>
        <v>Delivered</v>
      </c>
      <c r="E192" t="str">
        <f>IFERROR(VLOOKUP(C192,Config!$A:$C,3,0),"N/A")</f>
        <v>Delivered</v>
      </c>
      <c r="F192">
        <f>IF('SOW, Feedbacks-Bug &amp; CR_Items'!H192="","",'SOW, Feedbacks-Bug &amp; CR_Items'!H192)</f>
        <v>46232</v>
      </c>
    </row>
    <row r="193" spans="1:6">
      <c r="A193" t="str">
        <f>'SOW, Feedbacks-Bug &amp; CR_Items'!D193</f>
        <v>DPDP</v>
      </c>
      <c r="B193" t="str">
        <f>'SOW, Feedbacks-Bug &amp; CR_Items'!E193</f>
        <v>Milestone 5</v>
      </c>
      <c r="C193" t="str">
        <f>'SOW, Feedbacks-Bug &amp; CR_Items'!F193</f>
        <v>Dev - WIP</v>
      </c>
      <c r="D193" t="str">
        <f>IFERROR(VLOOKUP(C193,Config!$A:$B,2,0),"Unknown")</f>
        <v>In Development</v>
      </c>
      <c r="E193" t="str">
        <f>IFERROR(VLOOKUP(C193,Config!$A:$C,3,0),"N/A")</f>
        <v>Pending</v>
      </c>
      <c r="F193">
        <f>IF('SOW, Feedbacks-Bug &amp; CR_Items'!H193="","",'SOW, Feedbacks-Bug &amp; CR_Items'!H193)</f>
        <v>45869</v>
      </c>
    </row>
    <row r="194" spans="1:6">
      <c r="A194" t="str">
        <f>'SOW, Feedbacks-Bug &amp; CR_Items'!D194</f>
        <v>NFR</v>
      </c>
      <c r="B194" t="str">
        <f>'SOW, Feedbacks-Bug &amp; CR_Items'!E194</f>
        <v>Milestone 5</v>
      </c>
      <c r="C194" t="str">
        <f>'SOW, Feedbacks-Bug &amp; CR_Items'!F194</f>
        <v>Delivered</v>
      </c>
      <c r="D194" t="str">
        <f>IFERROR(VLOOKUP(C194,Config!$A:$B,2,0),"Unknown")</f>
        <v>Delivered</v>
      </c>
      <c r="E194" t="str">
        <f>IFERROR(VLOOKUP(C194,Config!$A:$C,3,0),"N/A")</f>
        <v>Delivered</v>
      </c>
      <c r="F194">
        <f>IF('SOW, Feedbacks-Bug &amp; CR_Items'!H194="","",'SOW, Feedbacks-Bug &amp; CR_Items'!H194)</f>
        <v>45869</v>
      </c>
    </row>
    <row r="195" spans="1:6">
      <c r="A195" t="str">
        <f>'SOW, Feedbacks-Bug &amp; CR_Items'!D195</f>
        <v>iWork</v>
      </c>
      <c r="B195" t="str">
        <f>'SOW, Feedbacks-Bug &amp; CR_Items'!E195</f>
        <v>Milestone 5</v>
      </c>
      <c r="C195" t="str">
        <f>'SOW, Feedbacks-Bug &amp; CR_Items'!F195</f>
        <v>Yet to start</v>
      </c>
      <c r="D195" t="str">
        <f>IFERROR(VLOOKUP(C195,Config!$A:$B,2,0),"Unknown")</f>
        <v>Not Started</v>
      </c>
      <c r="E195" t="str">
        <f>IFERROR(VLOOKUP(C195,Config!$A:$C,3,0),"N/A")</f>
        <v>Pending</v>
      </c>
      <c r="F195">
        <f>IF('SOW, Feedbacks-Bug &amp; CR_Items'!H195="","",'SOW, Feedbacks-Bug &amp; CR_Items'!H195)</f>
        <v>45869</v>
      </c>
    </row>
    <row r="196" spans="1:6">
      <c r="A196" t="str">
        <f>'SOW, Feedbacks-Bug &amp; CR_Items'!D196</f>
        <v>iWork - CR</v>
      </c>
      <c r="B196" t="str">
        <f>'SOW, Feedbacks-Bug &amp; CR_Items'!E196</f>
        <v>Milestone 6</v>
      </c>
      <c r="C196" t="str">
        <f>'SOW, Feedbacks-Bug &amp; CR_Items'!F196</f>
        <v>Delivered</v>
      </c>
      <c r="D196" t="str">
        <f>IFERROR(VLOOKUP(C196,Config!$A:$B,2,0),"Unknown")</f>
        <v>Delivered</v>
      </c>
      <c r="E196" t="str">
        <f>IFERROR(VLOOKUP(C196,Config!$A:$C,3,0),"N/A")</f>
        <v>Delivered</v>
      </c>
      <c r="F196">
        <f>IF('SOW, Feedbacks-Bug &amp; CR_Items'!H196="","",'SOW, Feedbacks-Bug &amp; CR_Items'!H196)</f>
        <v>46070</v>
      </c>
    </row>
    <row r="197" spans="1:6">
      <c r="A197" t="str">
        <f>'SOW, Feedbacks-Bug &amp; CR_Items'!D197</f>
        <v>iWork - CR</v>
      </c>
      <c r="B197" t="str">
        <f>'SOW, Feedbacks-Bug &amp; CR_Items'!E197</f>
        <v>Milestone 6</v>
      </c>
      <c r="C197" t="str">
        <f>'SOW, Feedbacks-Bug &amp; CR_Items'!F197</f>
        <v>Delivered</v>
      </c>
      <c r="D197" t="str">
        <f>IFERROR(VLOOKUP(C197,Config!$A:$B,2,0),"Unknown")</f>
        <v>Delivered</v>
      </c>
      <c r="E197" t="str">
        <f>IFERROR(VLOOKUP(C197,Config!$A:$C,3,0),"N/A")</f>
        <v>Delivered</v>
      </c>
      <c r="F197">
        <f>IF('SOW, Feedbacks-Bug &amp; CR_Items'!H197="","",'SOW, Feedbacks-Bug &amp; CR_Items'!H197)</f>
        <v>46119</v>
      </c>
    </row>
    <row r="198" spans="1:6">
      <c r="A198" t="str">
        <f>'SOW, Feedbacks-Bug &amp; CR_Items'!D198</f>
        <v>NFR</v>
      </c>
      <c r="B198" t="str">
        <f>'SOW, Feedbacks-Bug &amp; CR_Items'!E198</f>
        <v>Milestone 5</v>
      </c>
      <c r="C198" t="str">
        <f>'SOW, Feedbacks-Bug &amp; CR_Items'!F198</f>
        <v>Yet to start</v>
      </c>
      <c r="D198" t="str">
        <f>IFERROR(VLOOKUP(C198,Config!$A:$B,2,0),"Unknown")</f>
        <v>Not Started</v>
      </c>
      <c r="E198" t="str">
        <f>IFERROR(VLOOKUP(C198,Config!$A:$C,3,0),"N/A")</f>
        <v>Pending</v>
      </c>
      <c r="F198">
        <f>IF('SOW, Feedbacks-Bug &amp; CR_Items'!H198="","",'SOW, Feedbacks-Bug &amp; CR_Items'!H198)</f>
        <v>45869</v>
      </c>
    </row>
    <row r="199" spans="1:6">
      <c r="A199" t="str">
        <f>'SOW, Feedbacks-Bug &amp; CR_Items'!D199</f>
        <v>iWork</v>
      </c>
      <c r="B199" t="str">
        <f>'SOW, Feedbacks-Bug &amp; CR_Items'!E199</f>
        <v>Milestone 6</v>
      </c>
      <c r="C199" t="str">
        <f>'SOW, Feedbacks-Bug &amp; CR_Items'!F199</f>
        <v>Delivered</v>
      </c>
      <c r="D199" t="str">
        <f>IFERROR(VLOOKUP(C199,Config!$A:$B,2,0),"Unknown")</f>
        <v>Delivered</v>
      </c>
      <c r="E199" t="str">
        <f>IFERROR(VLOOKUP(C199,Config!$A:$C,3,0),"N/A")</f>
        <v>Delivered</v>
      </c>
      <c r="F199">
        <f>IF('SOW, Feedbacks-Bug &amp; CR_Items'!H199="","",'SOW, Feedbacks-Bug &amp; CR_Items'!H199)</f>
        <v>46143</v>
      </c>
    </row>
    <row r="200" spans="1:6">
      <c r="A200" t="str">
        <f>'SOW, Feedbacks-Bug &amp; CR_Items'!D200</f>
        <v>iWork</v>
      </c>
      <c r="B200" t="str">
        <f>'SOW, Feedbacks-Bug &amp; CR_Items'!E200</f>
        <v>Milestone 6</v>
      </c>
      <c r="C200" t="str">
        <f>'SOW, Feedbacks-Bug &amp; CR_Items'!F200</f>
        <v>Delivered</v>
      </c>
      <c r="D200" t="str">
        <f>IFERROR(VLOOKUP(C200,Config!$A:$B,2,0),"Unknown")</f>
        <v>Delivered</v>
      </c>
      <c r="E200" t="str">
        <f>IFERROR(VLOOKUP(C200,Config!$A:$C,3,0),"N/A")</f>
        <v>Delivered</v>
      </c>
      <c r="F200">
        <f>IF('SOW, Feedbacks-Bug &amp; CR_Items'!H200="","",'SOW, Feedbacks-Bug &amp; CR_Items'!H200)</f>
        <v>46143</v>
      </c>
    </row>
    <row r="201" spans="1:6">
      <c r="A201" t="str">
        <f>'SOW, Feedbacks-Bug &amp; CR_Items'!D201</f>
        <v>iWork - CR</v>
      </c>
      <c r="B201" t="str">
        <f>'SOW, Feedbacks-Bug &amp; CR_Items'!E201</f>
        <v>Milestone 6</v>
      </c>
      <c r="C201" t="str">
        <f>'SOW, Feedbacks-Bug &amp; CR_Items'!F201</f>
        <v>Delivered</v>
      </c>
      <c r="D201" t="str">
        <f>IFERROR(VLOOKUP(C201,Config!$A:$B,2,0),"Unknown")</f>
        <v>Delivered</v>
      </c>
      <c r="E201" t="str">
        <f>IFERROR(VLOOKUP(C201,Config!$A:$C,3,0),"N/A")</f>
        <v>Delivered</v>
      </c>
      <c r="F201">
        <f>IF('SOW, Feedbacks-Bug &amp; CR_Items'!H201="","",'SOW, Feedbacks-Bug &amp; CR_Items'!H201)</f>
        <v>46143</v>
      </c>
    </row>
    <row r="202" spans="1:6">
      <c r="A202" t="str">
        <f>'SOW, Feedbacks-Bug &amp; CR_Items'!D202</f>
        <v>iWork - CR</v>
      </c>
      <c r="B202" t="str">
        <f>'SOW, Feedbacks-Bug &amp; CR_Items'!E202</f>
        <v>Milestone 6</v>
      </c>
      <c r="C202" t="str">
        <f>'SOW, Feedbacks-Bug &amp; CR_Items'!F202</f>
        <v>Yet to start</v>
      </c>
      <c r="D202" t="str">
        <f>IFERROR(VLOOKUP(C202,Config!$A:$B,2,0),"Unknown")</f>
        <v>Not Started</v>
      </c>
      <c r="E202" t="str">
        <f>IFERROR(VLOOKUP(C202,Config!$A:$C,3,0),"N/A")</f>
        <v>Pending</v>
      </c>
      <c r="F202">
        <f>IF('SOW, Feedbacks-Bug &amp; CR_Items'!H202="","",'SOW, Feedbacks-Bug &amp; CR_Items'!H202)</f>
        <v>46133</v>
      </c>
    </row>
    <row r="203" spans="1:6">
      <c r="A203" t="str">
        <f>'SOW, Feedbacks-Bug &amp; CR_Items'!D203</f>
        <v>iWork - CR</v>
      </c>
      <c r="B203" t="str">
        <f>'SOW, Feedbacks-Bug &amp; CR_Items'!E203</f>
        <v>Milestone 6</v>
      </c>
      <c r="C203" t="str">
        <f>'SOW, Feedbacks-Bug &amp; CR_Items'!F203</f>
        <v>Delivered</v>
      </c>
      <c r="D203" t="str">
        <f>IFERROR(VLOOKUP(C203,Config!$A:$B,2,0),"Unknown")</f>
        <v>Delivered</v>
      </c>
      <c r="E203" t="str">
        <f>IFERROR(VLOOKUP(C203,Config!$A:$C,3,0),"N/A")</f>
        <v>Delivered</v>
      </c>
      <c r="F203">
        <f>IF('SOW, Feedbacks-Bug &amp; CR_Items'!H203="","",'SOW, Feedbacks-Bug &amp; CR_Items'!H203)</f>
        <v>46143</v>
      </c>
    </row>
    <row r="204" spans="1:6">
      <c r="A204" t="str">
        <f>'SOW, Feedbacks-Bug &amp; CR_Items'!D204</f>
        <v>IBP/iWork</v>
      </c>
      <c r="B204" t="str">
        <f>'SOW, Feedbacks-Bug &amp; CR_Items'!E204</f>
        <v>Milestone 6</v>
      </c>
      <c r="C204" t="str">
        <f>'SOW, Feedbacks-Bug &amp; CR_Items'!F204</f>
        <v>Pre-PROD</v>
      </c>
      <c r="D204" t="str">
        <f>IFERROR(VLOOKUP(C204,Config!$A:$B,2,0),"Unknown")</f>
        <v>Pre-PROD / UAT</v>
      </c>
      <c r="E204" t="str">
        <f>IFERROR(VLOOKUP(C204,Config!$A:$C,3,0),"N/A")</f>
        <v>Pending</v>
      </c>
      <c r="F204">
        <f>IF('SOW, Feedbacks-Bug &amp; CR_Items'!H204="","",'SOW, Feedbacks-Bug &amp; CR_Items'!H204)</f>
        <v>46228</v>
      </c>
    </row>
    <row r="205" spans="1:6">
      <c r="A205" t="str">
        <f>'SOW, Feedbacks-Bug &amp; CR_Items'!D205</f>
        <v>iWork - CR</v>
      </c>
      <c r="B205" t="str">
        <f>'SOW, Feedbacks-Bug &amp; CR_Items'!E205</f>
        <v>Milestone 6</v>
      </c>
      <c r="C205" t="str">
        <f>'SOW, Feedbacks-Bug &amp; CR_Items'!F205</f>
        <v>Delivered</v>
      </c>
      <c r="D205" t="str">
        <f>IFERROR(VLOOKUP(C205,Config!$A:$B,2,0),"Unknown")</f>
        <v>Delivered</v>
      </c>
      <c r="E205" t="str">
        <f>IFERROR(VLOOKUP(C205,Config!$A:$C,3,0),"N/A")</f>
        <v>Delivered</v>
      </c>
      <c r="F205">
        <f>IF('SOW, Feedbacks-Bug &amp; CR_Items'!H205="","",'SOW, Feedbacks-Bug &amp; CR_Items'!H205)</f>
        <v>46150</v>
      </c>
    </row>
    <row r="206" spans="1:6">
      <c r="A206" t="str">
        <f>'SOW, Feedbacks-Bug &amp; CR_Items'!D206</f>
        <v>iWork - CR</v>
      </c>
      <c r="B206" t="str">
        <f>'SOW, Feedbacks-Bug &amp; CR_Items'!E206</f>
        <v>Milestone 6</v>
      </c>
      <c r="C206" t="str">
        <f>'SOW, Feedbacks-Bug &amp; CR_Items'!F206</f>
        <v>Yet to start</v>
      </c>
      <c r="D206" t="str">
        <f>IFERROR(VLOOKUP(C206,Config!$A:$B,2,0),"Unknown")</f>
        <v>Not Started</v>
      </c>
      <c r="E206" t="str">
        <f>IFERROR(VLOOKUP(C206,Config!$A:$C,3,0),"N/A")</f>
        <v>Pending</v>
      </c>
      <c r="F206">
        <f>IF('SOW, Feedbacks-Bug &amp; CR_Items'!H206="","",'SOW, Feedbacks-Bug &amp; CR_Items'!H206)</f>
        <v>46143</v>
      </c>
    </row>
    <row r="207" spans="1:6">
      <c r="A207" t="str">
        <f>'SOW, Feedbacks-Bug &amp; CR_Items'!D207</f>
        <v>iWork - CR</v>
      </c>
      <c r="B207" t="str">
        <f>'SOW, Feedbacks-Bug &amp; CR_Items'!E207</f>
        <v>Milestone 6</v>
      </c>
      <c r="C207" t="str">
        <f>'SOW, Feedbacks-Bug &amp; CR_Items'!F207</f>
        <v>Delivered</v>
      </c>
      <c r="D207" t="str">
        <f>IFERROR(VLOOKUP(C207,Config!$A:$B,2,0),"Unknown")</f>
        <v>Delivered</v>
      </c>
      <c r="E207" t="str">
        <f>IFERROR(VLOOKUP(C207,Config!$A:$C,3,0),"N/A")</f>
        <v>Delivered</v>
      </c>
      <c r="F207">
        <f>IF('SOW, Feedbacks-Bug &amp; CR_Items'!H207="","",'SOW, Feedbacks-Bug &amp; CR_Items'!H207)</f>
        <v>46163</v>
      </c>
    </row>
    <row r="208" spans="1:6">
      <c r="A208" t="str">
        <f>'SOW, Feedbacks-Bug &amp; CR_Items'!D208</f>
        <v>iWork</v>
      </c>
      <c r="B208" t="str">
        <f>'SOW, Feedbacks-Bug &amp; CR_Items'!E208</f>
        <v>Milestone 6</v>
      </c>
      <c r="C208" t="str">
        <f>'SOW, Feedbacks-Bug &amp; CR_Items'!F208</f>
        <v>Delivered</v>
      </c>
      <c r="D208" t="str">
        <f>IFERROR(VLOOKUP(C208,Config!$A:$B,2,0),"Unknown")</f>
        <v>Delivered</v>
      </c>
      <c r="E208" t="str">
        <f>IFERROR(VLOOKUP(C208,Config!$A:$C,3,0),"N/A")</f>
        <v>Delivered</v>
      </c>
      <c r="F208">
        <f>IF('SOW, Feedbacks-Bug &amp; CR_Items'!H208="","",'SOW, Feedbacks-Bug &amp; CR_Items'!H208)</f>
        <v>46167</v>
      </c>
    </row>
    <row r="209" spans="1:6">
      <c r="A209" t="str">
        <f>'SOW, Feedbacks-Bug &amp; CR_Items'!D209</f>
        <v>iWork</v>
      </c>
      <c r="B209" t="str">
        <f>'SOW, Feedbacks-Bug &amp; CR_Items'!E209</f>
        <v>Milestone 6</v>
      </c>
      <c r="C209" t="str">
        <f>'SOW, Feedbacks-Bug &amp; CR_Items'!F209</f>
        <v>Delivered</v>
      </c>
      <c r="D209" t="str">
        <f>IFERROR(VLOOKUP(C209,Config!$A:$B,2,0),"Unknown")</f>
        <v>Delivered</v>
      </c>
      <c r="E209" t="str">
        <f>IFERROR(VLOOKUP(C209,Config!$A:$C,3,0),"N/A")</f>
        <v>Delivered</v>
      </c>
      <c r="F209">
        <f>IF('SOW, Feedbacks-Bug &amp; CR_Items'!H209="","",'SOW, Feedbacks-Bug &amp; CR_Items'!H209)</f>
        <v>46167</v>
      </c>
    </row>
    <row r="210" spans="1:6">
      <c r="A210" t="str">
        <f>'SOW, Feedbacks-Bug &amp; CR_Items'!D210</f>
        <v>iWork</v>
      </c>
      <c r="B210" t="str">
        <f>'SOW, Feedbacks-Bug &amp; CR_Items'!E210</f>
        <v>Milestone 6</v>
      </c>
      <c r="C210" t="str">
        <f>'SOW, Feedbacks-Bug &amp; CR_Items'!F210</f>
        <v>Delivered</v>
      </c>
      <c r="D210" t="str">
        <f>IFERROR(VLOOKUP(C210,Config!$A:$B,2,0),"Unknown")</f>
        <v>Delivered</v>
      </c>
      <c r="E210" t="str">
        <f>IFERROR(VLOOKUP(C210,Config!$A:$C,3,0),"N/A")</f>
        <v>Delivered</v>
      </c>
      <c r="F210">
        <f>IF('SOW, Feedbacks-Bug &amp; CR_Items'!H210="","",'SOW, Feedbacks-Bug &amp; CR_Items'!H210)</f>
        <v>46170</v>
      </c>
    </row>
    <row r="211" spans="1:6">
      <c r="A211" t="str">
        <f>'SOW, Feedbacks-Bug &amp; CR_Items'!D211</f>
        <v>IBP/iWork</v>
      </c>
      <c r="B211" t="str">
        <f>'SOW, Feedbacks-Bug &amp; CR_Items'!E211</f>
        <v>Milestone 6</v>
      </c>
      <c r="C211" t="str">
        <f>'SOW, Feedbacks-Bug &amp; CR_Items'!F211</f>
        <v>Delivered</v>
      </c>
      <c r="D211" t="str">
        <f>IFERROR(VLOOKUP(C211,Config!$A:$B,2,0),"Unknown")</f>
        <v>Delivered</v>
      </c>
      <c r="E211" t="str">
        <f>IFERROR(VLOOKUP(C211,Config!$A:$C,3,0),"N/A")</f>
        <v>Delivered</v>
      </c>
      <c r="F211">
        <f>IF('SOW, Feedbacks-Bug &amp; CR_Items'!H211="","",'SOW, Feedbacks-Bug &amp; CR_Items'!H211)</f>
        <v>46174</v>
      </c>
    </row>
    <row r="212" spans="1:6">
      <c r="A212" t="str">
        <f>'SOW, Feedbacks-Bug &amp; CR_Items'!D212</f>
        <v>IBP</v>
      </c>
      <c r="B212" t="str">
        <f>'SOW, Feedbacks-Bug &amp; CR_Items'!E212</f>
        <v>Milestone 6</v>
      </c>
      <c r="C212" t="str">
        <f>'SOW, Feedbacks-Bug &amp; CR_Items'!F212</f>
        <v>Delivered</v>
      </c>
      <c r="D212" t="str">
        <f>IFERROR(VLOOKUP(C212,Config!$A:$B,2,0),"Unknown")</f>
        <v>Delivered</v>
      </c>
      <c r="E212" t="str">
        <f>IFERROR(VLOOKUP(C212,Config!$A:$C,3,0),"N/A")</f>
        <v>Delivered</v>
      </c>
      <c r="F212">
        <f>IF('SOW, Feedbacks-Bug &amp; CR_Items'!H212="","",'SOW, Feedbacks-Bug &amp; CR_Items'!H212)</f>
        <v>46176</v>
      </c>
    </row>
    <row r="213" spans="1:6">
      <c r="A213" t="str">
        <f>'SOW, Feedbacks-Bug &amp; CR_Items'!D213</f>
        <v>iWork</v>
      </c>
      <c r="B213" t="str">
        <f>'SOW, Feedbacks-Bug &amp; CR_Items'!E213</f>
        <v>Milestone 6</v>
      </c>
      <c r="C213" t="str">
        <f>'SOW, Feedbacks-Bug &amp; CR_Items'!F213</f>
        <v>Delivered</v>
      </c>
      <c r="D213" t="str">
        <f>IFERROR(VLOOKUP(C213,Config!$A:$B,2,0),"Unknown")</f>
        <v>Delivered</v>
      </c>
      <c r="E213" t="str">
        <f>IFERROR(VLOOKUP(C213,Config!$A:$C,3,0),"N/A")</f>
        <v>Delivered</v>
      </c>
      <c r="F213">
        <f>IF('SOW, Feedbacks-Bug &amp; CR_Items'!H213="","",'SOW, Feedbacks-Bug &amp; CR_Items'!H213)</f>
        <v>46178</v>
      </c>
    </row>
    <row r="214" spans="1:6">
      <c r="A214" t="str">
        <f>'SOW, Feedbacks-Bug &amp; CR_Items'!D214</f>
        <v>NFR</v>
      </c>
      <c r="B214" t="str">
        <f>'SOW, Feedbacks-Bug &amp; CR_Items'!E214</f>
        <v>Milestone 5</v>
      </c>
      <c r="C214" t="str">
        <f>'SOW, Feedbacks-Bug &amp; CR_Items'!F214</f>
        <v>Dev - WIP</v>
      </c>
      <c r="D214" t="str">
        <f>IFERROR(VLOOKUP(C214,Config!$A:$B,2,0),"Unknown")</f>
        <v>In Development</v>
      </c>
      <c r="E214" t="str">
        <f>IFERROR(VLOOKUP(C214,Config!$A:$C,3,0),"N/A")</f>
        <v>Pending</v>
      </c>
      <c r="F214">
        <f>IF('SOW, Feedbacks-Bug &amp; CR_Items'!H214="","",'SOW, Feedbacks-Bug &amp; CR_Items'!H214)</f>
        <v>45869</v>
      </c>
    </row>
    <row r="215" spans="1:6">
      <c r="A215" t="str">
        <f>'SOW, Feedbacks-Bug &amp; CR_Items'!D215</f>
        <v>IBP/iWork</v>
      </c>
      <c r="B215" t="str">
        <f>'SOW, Feedbacks-Bug &amp; CR_Items'!E215</f>
        <v>Milestone 6</v>
      </c>
      <c r="C215" t="str">
        <f>'SOW, Feedbacks-Bug &amp; CR_Items'!F215</f>
        <v>Delivered</v>
      </c>
      <c r="D215" t="str">
        <f>IFERROR(VLOOKUP(C215,Config!$A:$B,2,0),"Unknown")</f>
        <v>Delivered</v>
      </c>
      <c r="E215" t="str">
        <f>IFERROR(VLOOKUP(C215,Config!$A:$C,3,0),"N/A")</f>
        <v>Delivered</v>
      </c>
      <c r="F215">
        <f>IF('SOW, Feedbacks-Bug &amp; CR_Items'!H215="","",'SOW, Feedbacks-Bug &amp; CR_Items'!H215)</f>
        <v>46179</v>
      </c>
    </row>
    <row r="216" spans="1:6">
      <c r="A216" t="str">
        <f>'SOW, Feedbacks-Bug &amp; CR_Items'!D216</f>
        <v>iWork</v>
      </c>
      <c r="B216" t="str">
        <f>'SOW, Feedbacks-Bug &amp; CR_Items'!E216</f>
        <v>Milestone 6</v>
      </c>
      <c r="C216" t="str">
        <f>'SOW, Feedbacks-Bug &amp; CR_Items'!F216</f>
        <v>Delivered</v>
      </c>
      <c r="D216" t="str">
        <f>IFERROR(VLOOKUP(C216,Config!$A:$B,2,0),"Unknown")</f>
        <v>Delivered</v>
      </c>
      <c r="E216" t="str">
        <f>IFERROR(VLOOKUP(C216,Config!$A:$C,3,0),"N/A")</f>
        <v>Delivered</v>
      </c>
      <c r="F216">
        <f>IF('SOW, Feedbacks-Bug &amp; CR_Items'!H216="","",'SOW, Feedbacks-Bug &amp; CR_Items'!H216)</f>
        <v>46181</v>
      </c>
    </row>
    <row r="217" spans="1:6">
      <c r="A217" t="str">
        <f>'SOW, Feedbacks-Bug &amp; CR_Items'!D217</f>
        <v>iWork</v>
      </c>
      <c r="B217" t="str">
        <f>'SOW, Feedbacks-Bug &amp; CR_Items'!E217</f>
        <v>Milestone 6</v>
      </c>
      <c r="C217" t="str">
        <f>'SOW, Feedbacks-Bug &amp; CR_Items'!F217</f>
        <v>Delivered</v>
      </c>
      <c r="D217" t="str">
        <f>IFERROR(VLOOKUP(C217,Config!$A:$B,2,0),"Unknown")</f>
        <v>Delivered</v>
      </c>
      <c r="E217" t="str">
        <f>IFERROR(VLOOKUP(C217,Config!$A:$C,3,0),"N/A")</f>
        <v>Delivered</v>
      </c>
      <c r="F217">
        <f>IF('SOW, Feedbacks-Bug &amp; CR_Items'!H217="","",'SOW, Feedbacks-Bug &amp; CR_Items'!H217)</f>
        <v>46181</v>
      </c>
    </row>
    <row r="218" spans="1:6">
      <c r="A218" t="str">
        <f>'SOW, Feedbacks-Bug &amp; CR_Items'!D218</f>
        <v>iWork</v>
      </c>
      <c r="B218" t="str">
        <f>'SOW, Feedbacks-Bug &amp; CR_Items'!E218</f>
        <v>Milestone 6</v>
      </c>
      <c r="C218" t="str">
        <f>'SOW, Feedbacks-Bug &amp; CR_Items'!F218</f>
        <v>Delivered</v>
      </c>
      <c r="D218" t="str">
        <f>IFERROR(VLOOKUP(C218,Config!$A:$B,2,0),"Unknown")</f>
        <v>Delivered</v>
      </c>
      <c r="E218" t="str">
        <f>IFERROR(VLOOKUP(C218,Config!$A:$C,3,0),"N/A")</f>
        <v>Delivered</v>
      </c>
      <c r="F218">
        <f>IF('SOW, Feedbacks-Bug &amp; CR_Items'!H218="","",'SOW, Feedbacks-Bug &amp; CR_Items'!H218)</f>
        <v>46181</v>
      </c>
    </row>
    <row r="219" spans="1:6">
      <c r="A219" t="str">
        <f>'SOW, Feedbacks-Bug &amp; CR_Items'!D219</f>
        <v>iWork</v>
      </c>
      <c r="B219" t="str">
        <f>'SOW, Feedbacks-Bug &amp; CR_Items'!E219</f>
        <v>Milestone 6</v>
      </c>
      <c r="C219" t="str">
        <f>'SOW, Feedbacks-Bug &amp; CR_Items'!F219</f>
        <v>Delivered</v>
      </c>
      <c r="D219" t="str">
        <f>IFERROR(VLOOKUP(C219,Config!$A:$B,2,0),"Unknown")</f>
        <v>Delivered</v>
      </c>
      <c r="E219" t="str">
        <f>IFERROR(VLOOKUP(C219,Config!$A:$C,3,0),"N/A")</f>
        <v>Delivered</v>
      </c>
      <c r="F219">
        <f>IF('SOW, Feedbacks-Bug &amp; CR_Items'!H219="","",'SOW, Feedbacks-Bug &amp; CR_Items'!H219)</f>
        <v>46181</v>
      </c>
    </row>
    <row r="220" spans="1:6">
      <c r="A220" t="str">
        <f>'SOW, Feedbacks-Bug &amp; CR_Items'!D220</f>
        <v>iWork</v>
      </c>
      <c r="B220" t="str">
        <f>'SOW, Feedbacks-Bug &amp; CR_Items'!E220</f>
        <v>Milestone 6</v>
      </c>
      <c r="C220" t="str">
        <f>'SOW, Feedbacks-Bug &amp; CR_Items'!F220</f>
        <v>Delivered</v>
      </c>
      <c r="D220" t="str">
        <f>IFERROR(VLOOKUP(C220,Config!$A:$B,2,0),"Unknown")</f>
        <v>Delivered</v>
      </c>
      <c r="E220" t="str">
        <f>IFERROR(VLOOKUP(C220,Config!$A:$C,3,0),"N/A")</f>
        <v>Delivered</v>
      </c>
      <c r="F220">
        <f>IF('SOW, Feedbacks-Bug &amp; CR_Items'!H220="","",'SOW, Feedbacks-Bug &amp; CR_Items'!H220)</f>
        <v>46181</v>
      </c>
    </row>
    <row r="221" spans="1:6">
      <c r="A221" t="str">
        <f>'SOW, Feedbacks-Bug &amp; CR_Items'!D221</f>
        <v>iWork</v>
      </c>
      <c r="B221" t="str">
        <f>'SOW, Feedbacks-Bug &amp; CR_Items'!E221</f>
        <v>Milestone 6</v>
      </c>
      <c r="C221" t="str">
        <f>'SOW, Feedbacks-Bug &amp; CR_Items'!F221</f>
        <v>Delivered</v>
      </c>
      <c r="D221" t="str">
        <f>IFERROR(VLOOKUP(C221,Config!$A:$B,2,0),"Unknown")</f>
        <v>Delivered</v>
      </c>
      <c r="E221" t="str">
        <f>IFERROR(VLOOKUP(C221,Config!$A:$C,3,0),"N/A")</f>
        <v>Delivered</v>
      </c>
      <c r="F221">
        <f>IF('SOW, Feedbacks-Bug &amp; CR_Items'!H221="","",'SOW, Feedbacks-Bug &amp; CR_Items'!H221)</f>
        <v>46181</v>
      </c>
    </row>
    <row r="222" spans="1:6">
      <c r="A222" t="str">
        <f>'SOW, Feedbacks-Bug &amp; CR_Items'!D222</f>
        <v>iWork</v>
      </c>
      <c r="B222" t="str">
        <f>'SOW, Feedbacks-Bug &amp; CR_Items'!E222</f>
        <v>Milestone 6</v>
      </c>
      <c r="C222" t="str">
        <f>'SOW, Feedbacks-Bug &amp; CR_Items'!F222</f>
        <v>Delivered</v>
      </c>
      <c r="D222" t="str">
        <f>IFERROR(VLOOKUP(C222,Config!$A:$B,2,0),"Unknown")</f>
        <v>Delivered</v>
      </c>
      <c r="E222" t="str">
        <f>IFERROR(VLOOKUP(C222,Config!$A:$C,3,0),"N/A")</f>
        <v>Delivered</v>
      </c>
      <c r="F222">
        <f>IF('SOW, Feedbacks-Bug &amp; CR_Items'!H222="","",'SOW, Feedbacks-Bug &amp; CR_Items'!H222)</f>
        <v>46181</v>
      </c>
    </row>
    <row r="223" spans="1:6">
      <c r="A223" t="str">
        <f>'SOW, Feedbacks-Bug &amp; CR_Items'!D223</f>
        <v>iWork</v>
      </c>
      <c r="B223" t="str">
        <f>'SOW, Feedbacks-Bug &amp; CR_Items'!E223</f>
        <v>Milestone 6</v>
      </c>
      <c r="C223" t="str">
        <f>'SOW, Feedbacks-Bug &amp; CR_Items'!F223</f>
        <v>Delivered</v>
      </c>
      <c r="D223" t="str">
        <f>IFERROR(VLOOKUP(C223,Config!$A:$B,2,0),"Unknown")</f>
        <v>Delivered</v>
      </c>
      <c r="E223" t="str">
        <f>IFERROR(VLOOKUP(C223,Config!$A:$C,3,0),"N/A")</f>
        <v>Delivered</v>
      </c>
      <c r="F223">
        <f>IF('SOW, Feedbacks-Bug &amp; CR_Items'!H223="","",'SOW, Feedbacks-Bug &amp; CR_Items'!H223)</f>
        <v>46181</v>
      </c>
    </row>
    <row r="224" spans="1:6">
      <c r="A224" t="str">
        <f>'SOW, Feedbacks-Bug &amp; CR_Items'!D224</f>
        <v>iWork</v>
      </c>
      <c r="B224" t="str">
        <f>'SOW, Feedbacks-Bug &amp; CR_Items'!E224</f>
        <v>Milestone 6</v>
      </c>
      <c r="C224" t="str">
        <f>'SOW, Feedbacks-Bug &amp; CR_Items'!F224</f>
        <v>Delivered</v>
      </c>
      <c r="D224" t="str">
        <f>IFERROR(VLOOKUP(C224,Config!$A:$B,2,0),"Unknown")</f>
        <v>Delivered</v>
      </c>
      <c r="E224" t="str">
        <f>IFERROR(VLOOKUP(C224,Config!$A:$C,3,0),"N/A")</f>
        <v>Delivered</v>
      </c>
      <c r="F224">
        <f>IF('SOW, Feedbacks-Bug &amp; CR_Items'!H224="","",'SOW, Feedbacks-Bug &amp; CR_Items'!H224)</f>
        <v>46181</v>
      </c>
    </row>
    <row r="225" spans="1:6">
      <c r="A225" t="str">
        <f>'SOW, Feedbacks-Bug &amp; CR_Items'!D225</f>
        <v>iWork</v>
      </c>
      <c r="B225" t="str">
        <f>'SOW, Feedbacks-Bug &amp; CR_Items'!E225</f>
        <v>Milestone 6</v>
      </c>
      <c r="C225" t="str">
        <f>'SOW, Feedbacks-Bug &amp; CR_Items'!F225</f>
        <v>Delivered</v>
      </c>
      <c r="D225" t="str">
        <f>IFERROR(VLOOKUP(C225,Config!$A:$B,2,0),"Unknown")</f>
        <v>Delivered</v>
      </c>
      <c r="E225" t="str">
        <f>IFERROR(VLOOKUP(C225,Config!$A:$C,3,0),"N/A")</f>
        <v>Delivered</v>
      </c>
      <c r="F225">
        <f>IF('SOW, Feedbacks-Bug &amp; CR_Items'!H225="","",'SOW, Feedbacks-Bug &amp; CR_Items'!H225)</f>
        <v>46181</v>
      </c>
    </row>
    <row r="226" spans="1:6">
      <c r="A226" t="str">
        <f>'SOW, Feedbacks-Bug &amp; CR_Items'!D226</f>
        <v>iWork</v>
      </c>
      <c r="B226" t="str">
        <f>'SOW, Feedbacks-Bug &amp; CR_Items'!E226</f>
        <v>Milestone 6</v>
      </c>
      <c r="C226" t="str">
        <f>'SOW, Feedbacks-Bug &amp; CR_Items'!F226</f>
        <v>Delivered</v>
      </c>
      <c r="D226" t="str">
        <f>IFERROR(VLOOKUP(C226,Config!$A:$B,2,0),"Unknown")</f>
        <v>Delivered</v>
      </c>
      <c r="E226" t="str">
        <f>IFERROR(VLOOKUP(C226,Config!$A:$C,3,0),"N/A")</f>
        <v>Delivered</v>
      </c>
      <c r="F226">
        <f>IF('SOW, Feedbacks-Bug &amp; CR_Items'!H226="","",'SOW, Feedbacks-Bug &amp; CR_Items'!H226)</f>
        <v>46181</v>
      </c>
    </row>
    <row r="227" spans="1:6">
      <c r="A227" t="str">
        <f>'SOW, Feedbacks-Bug &amp; CR_Items'!D227</f>
        <v>iWork</v>
      </c>
      <c r="B227" t="str">
        <f>'SOW, Feedbacks-Bug &amp; CR_Items'!E227</f>
        <v>Milestone 6</v>
      </c>
      <c r="C227" t="str">
        <f>'SOW, Feedbacks-Bug &amp; CR_Items'!F227</f>
        <v>Delivered</v>
      </c>
      <c r="D227" t="str">
        <f>IFERROR(VLOOKUP(C227,Config!$A:$B,2,0),"Unknown")</f>
        <v>Delivered</v>
      </c>
      <c r="E227" t="str">
        <f>IFERROR(VLOOKUP(C227,Config!$A:$C,3,0),"N/A")</f>
        <v>Delivered</v>
      </c>
      <c r="F227">
        <f>IF('SOW, Feedbacks-Bug &amp; CR_Items'!H227="","",'SOW, Feedbacks-Bug &amp; CR_Items'!H227)</f>
        <v>46181</v>
      </c>
    </row>
    <row r="228" spans="1:6">
      <c r="A228" t="str">
        <f>'SOW, Feedbacks-Bug &amp; CR_Items'!D228</f>
        <v>iWork</v>
      </c>
      <c r="B228" t="str">
        <f>'SOW, Feedbacks-Bug &amp; CR_Items'!E228</f>
        <v>Milestone 6</v>
      </c>
      <c r="C228" t="str">
        <f>'SOW, Feedbacks-Bug &amp; CR_Items'!F228</f>
        <v>Delivered</v>
      </c>
      <c r="D228" t="str">
        <f>IFERROR(VLOOKUP(C228,Config!$A:$B,2,0),"Unknown")</f>
        <v>Delivered</v>
      </c>
      <c r="E228" t="str">
        <f>IFERROR(VLOOKUP(C228,Config!$A:$C,3,0),"N/A")</f>
        <v>Delivered</v>
      </c>
      <c r="F228">
        <f>IF('SOW, Feedbacks-Bug &amp; CR_Items'!H228="","",'SOW, Feedbacks-Bug &amp; CR_Items'!H228)</f>
        <v>46181</v>
      </c>
    </row>
    <row r="229" spans="1:6">
      <c r="A229" t="str">
        <f>'SOW, Feedbacks-Bug &amp; CR_Items'!D229</f>
        <v>iWork</v>
      </c>
      <c r="B229" t="str">
        <f>'SOW, Feedbacks-Bug &amp; CR_Items'!E229</f>
        <v>Milestone 6</v>
      </c>
      <c r="C229" t="str">
        <f>'SOW, Feedbacks-Bug &amp; CR_Items'!F229</f>
        <v>Delivered</v>
      </c>
      <c r="D229" t="str">
        <f>IFERROR(VLOOKUP(C229,Config!$A:$B,2,0),"Unknown")</f>
        <v>Delivered</v>
      </c>
      <c r="E229" t="str">
        <f>IFERROR(VLOOKUP(C229,Config!$A:$C,3,0),"N/A")</f>
        <v>Delivered</v>
      </c>
      <c r="F229">
        <f>IF('SOW, Feedbacks-Bug &amp; CR_Items'!H229="","",'SOW, Feedbacks-Bug &amp; CR_Items'!H229)</f>
        <v>46181</v>
      </c>
    </row>
    <row r="230" spans="1:6">
      <c r="A230" t="str">
        <f>'SOW, Feedbacks-Bug &amp; CR_Items'!D230</f>
        <v>iWork</v>
      </c>
      <c r="B230" t="str">
        <f>'SOW, Feedbacks-Bug &amp; CR_Items'!E230</f>
        <v>Milestone 6</v>
      </c>
      <c r="C230" t="str">
        <f>'SOW, Feedbacks-Bug &amp; CR_Items'!F230</f>
        <v>Delivered</v>
      </c>
      <c r="D230" t="str">
        <f>IFERROR(VLOOKUP(C230,Config!$A:$B,2,0),"Unknown")</f>
        <v>Delivered</v>
      </c>
      <c r="E230" t="str">
        <f>IFERROR(VLOOKUP(C230,Config!$A:$C,3,0),"N/A")</f>
        <v>Delivered</v>
      </c>
      <c r="F230">
        <f>IF('SOW, Feedbacks-Bug &amp; CR_Items'!H230="","",'SOW, Feedbacks-Bug &amp; CR_Items'!H230)</f>
        <v>46181</v>
      </c>
    </row>
    <row r="231" spans="1:6">
      <c r="A231" t="str">
        <f>'SOW, Feedbacks-Bug &amp; CR_Items'!D231</f>
        <v>iWork</v>
      </c>
      <c r="B231" t="str">
        <f>'SOW, Feedbacks-Bug &amp; CR_Items'!E231</f>
        <v>Milestone 6</v>
      </c>
      <c r="C231" t="str">
        <f>'SOW, Feedbacks-Bug &amp; CR_Items'!F231</f>
        <v>Delivered</v>
      </c>
      <c r="D231" t="str">
        <f>IFERROR(VLOOKUP(C231,Config!$A:$B,2,0),"Unknown")</f>
        <v>Delivered</v>
      </c>
      <c r="E231" t="str">
        <f>IFERROR(VLOOKUP(C231,Config!$A:$C,3,0),"N/A")</f>
        <v>Delivered</v>
      </c>
      <c r="F231">
        <f>IF('SOW, Feedbacks-Bug &amp; CR_Items'!H231="","",'SOW, Feedbacks-Bug &amp; CR_Items'!H231)</f>
        <v>46181</v>
      </c>
    </row>
    <row r="232" spans="1:6">
      <c r="A232" t="str">
        <f>'SOW, Feedbacks-Bug &amp; CR_Items'!D232</f>
        <v>iWork</v>
      </c>
      <c r="B232" t="str">
        <f>'SOW, Feedbacks-Bug &amp; CR_Items'!E232</f>
        <v>Milestone 6</v>
      </c>
      <c r="C232" t="str">
        <f>'SOW, Feedbacks-Bug &amp; CR_Items'!F232</f>
        <v>Delivered</v>
      </c>
      <c r="D232" t="str">
        <f>IFERROR(VLOOKUP(C232,Config!$A:$B,2,0),"Unknown")</f>
        <v>Delivered</v>
      </c>
      <c r="E232" t="str">
        <f>IFERROR(VLOOKUP(C232,Config!$A:$C,3,0),"N/A")</f>
        <v>Delivered</v>
      </c>
      <c r="F232">
        <f>IF('SOW, Feedbacks-Bug &amp; CR_Items'!H232="","",'SOW, Feedbacks-Bug &amp; CR_Items'!H232)</f>
        <v>46181</v>
      </c>
    </row>
    <row r="233" spans="1:6">
      <c r="A233" t="str">
        <f>'SOW, Feedbacks-Bug &amp; CR_Items'!D233</f>
        <v>iWork</v>
      </c>
      <c r="B233" t="str">
        <f>'SOW, Feedbacks-Bug &amp; CR_Items'!E233</f>
        <v>Milestone 6</v>
      </c>
      <c r="C233" t="str">
        <f>'SOW, Feedbacks-Bug &amp; CR_Items'!F233</f>
        <v>Delivered</v>
      </c>
      <c r="D233" t="str">
        <f>IFERROR(VLOOKUP(C233,Config!$A:$B,2,0),"Unknown")</f>
        <v>Delivered</v>
      </c>
      <c r="E233" t="str">
        <f>IFERROR(VLOOKUP(C233,Config!$A:$C,3,0),"N/A")</f>
        <v>Delivered</v>
      </c>
      <c r="F233">
        <f>IF('SOW, Feedbacks-Bug &amp; CR_Items'!H233="","",'SOW, Feedbacks-Bug &amp; CR_Items'!H233)</f>
        <v>46181</v>
      </c>
    </row>
    <row r="234" spans="1:6">
      <c r="A234" t="str">
        <f>'SOW, Feedbacks-Bug &amp; CR_Items'!D234</f>
        <v>iWork</v>
      </c>
      <c r="B234" t="str">
        <f>'SOW, Feedbacks-Bug &amp; CR_Items'!E234</f>
        <v>Milestone 6</v>
      </c>
      <c r="C234" t="str">
        <f>'SOW, Feedbacks-Bug &amp; CR_Items'!F234</f>
        <v>Not a bug</v>
      </c>
      <c r="D234" t="str">
        <f>IFERROR(VLOOKUP(C234,Config!$A:$B,2,0),"Unknown")</f>
        <v>Delivered</v>
      </c>
      <c r="E234" t="str">
        <f>IFERROR(VLOOKUP(C234,Config!$A:$C,3,0),"N/A")</f>
        <v>Delivered</v>
      </c>
      <c r="F234">
        <f>IF('SOW, Feedbacks-Bug &amp; CR_Items'!H234="","",'SOW, Feedbacks-Bug &amp; CR_Items'!H234)</f>
        <v>46181</v>
      </c>
    </row>
    <row r="235" spans="1:6">
      <c r="A235" t="str">
        <f>'SOW, Feedbacks-Bug &amp; CR_Items'!D235</f>
        <v>iWork</v>
      </c>
      <c r="B235" t="str">
        <f>'SOW, Feedbacks-Bug &amp; CR_Items'!E235</f>
        <v>Milestone 6</v>
      </c>
      <c r="C235" t="str">
        <f>'SOW, Feedbacks-Bug &amp; CR_Items'!F235</f>
        <v>Delivered</v>
      </c>
      <c r="D235" t="str">
        <f>IFERROR(VLOOKUP(C235,Config!$A:$B,2,0),"Unknown")</f>
        <v>Delivered</v>
      </c>
      <c r="E235" t="str">
        <f>IFERROR(VLOOKUP(C235,Config!$A:$C,3,0),"N/A")</f>
        <v>Delivered</v>
      </c>
      <c r="F235">
        <f>IF('SOW, Feedbacks-Bug &amp; CR_Items'!H235="","",'SOW, Feedbacks-Bug &amp; CR_Items'!H235)</f>
        <v>46181</v>
      </c>
    </row>
    <row r="236" spans="1:6">
      <c r="A236" t="str">
        <f>'SOW, Feedbacks-Bug &amp; CR_Items'!D236</f>
        <v>iWork</v>
      </c>
      <c r="B236" t="str">
        <f>'SOW, Feedbacks-Bug &amp; CR_Items'!E236</f>
        <v>Milestone 6</v>
      </c>
      <c r="C236" t="str">
        <f>'SOW, Feedbacks-Bug &amp; CR_Items'!F236</f>
        <v>Delivered</v>
      </c>
      <c r="D236" t="str">
        <f>IFERROR(VLOOKUP(C236,Config!$A:$B,2,0),"Unknown")</f>
        <v>Delivered</v>
      </c>
      <c r="E236" t="str">
        <f>IFERROR(VLOOKUP(C236,Config!$A:$C,3,0),"N/A")</f>
        <v>Delivered</v>
      </c>
      <c r="F236">
        <f>IF('SOW, Feedbacks-Bug &amp; CR_Items'!H236="","",'SOW, Feedbacks-Bug &amp; CR_Items'!H236)</f>
        <v>46181</v>
      </c>
    </row>
    <row r="237" spans="1:6">
      <c r="A237" t="str">
        <f>'SOW, Feedbacks-Bug &amp; CR_Items'!D237</f>
        <v>iWork</v>
      </c>
      <c r="B237" t="str">
        <f>'SOW, Feedbacks-Bug &amp; CR_Items'!E237</f>
        <v>Milestone 6</v>
      </c>
      <c r="C237" t="str">
        <f>'SOW, Feedbacks-Bug &amp; CR_Items'!F237</f>
        <v>Not a bug</v>
      </c>
      <c r="D237" t="str">
        <f>IFERROR(VLOOKUP(C237,Config!$A:$B,2,0),"Unknown")</f>
        <v>Delivered</v>
      </c>
      <c r="E237" t="str">
        <f>IFERROR(VLOOKUP(C237,Config!$A:$C,3,0),"N/A")</f>
        <v>Delivered</v>
      </c>
      <c r="F237">
        <f>IF('SOW, Feedbacks-Bug &amp; CR_Items'!H237="","",'SOW, Feedbacks-Bug &amp; CR_Items'!H237)</f>
        <v>46181</v>
      </c>
    </row>
    <row r="238" spans="1:6">
      <c r="A238" t="str">
        <f>'SOW, Feedbacks-Bug &amp; CR_Items'!D238</f>
        <v>iWork</v>
      </c>
      <c r="B238" t="str">
        <f>'SOW, Feedbacks-Bug &amp; CR_Items'!E238</f>
        <v>Milestone 6</v>
      </c>
      <c r="C238" t="str">
        <f>'SOW, Feedbacks-Bug &amp; CR_Items'!F238</f>
        <v>Pre-PROD</v>
      </c>
      <c r="D238" t="str">
        <f>IFERROR(VLOOKUP(C238,Config!$A:$B,2,0),"Unknown")</f>
        <v>Pre-PROD / UAT</v>
      </c>
      <c r="E238" t="str">
        <f>IFERROR(VLOOKUP(C238,Config!$A:$C,3,0),"N/A")</f>
        <v>Pending</v>
      </c>
      <c r="F238">
        <f>IF('SOW, Feedbacks-Bug &amp; CR_Items'!H238="","",'SOW, Feedbacks-Bug &amp; CR_Items'!H238)</f>
        <v>46182</v>
      </c>
    </row>
    <row r="239" spans="1:6">
      <c r="A239" t="str">
        <f>'SOW, Feedbacks-Bug &amp; CR_Items'!D239</f>
        <v>iWork</v>
      </c>
      <c r="B239" t="str">
        <f>'SOW, Feedbacks-Bug &amp; CR_Items'!E239</f>
        <v>Milestone 6</v>
      </c>
      <c r="C239" t="str">
        <f>'SOW, Feedbacks-Bug &amp; CR_Items'!F239</f>
        <v>Delivered</v>
      </c>
      <c r="D239" t="str">
        <f>IFERROR(VLOOKUP(C239,Config!$A:$B,2,0),"Unknown")</f>
        <v>Delivered</v>
      </c>
      <c r="E239" t="str">
        <f>IFERROR(VLOOKUP(C239,Config!$A:$C,3,0),"N/A")</f>
        <v>Delivered</v>
      </c>
      <c r="F239">
        <f>IF('SOW, Feedbacks-Bug &amp; CR_Items'!H239="","",'SOW, Feedbacks-Bug &amp; CR_Items'!H239)</f>
        <v>46182</v>
      </c>
    </row>
    <row r="240" spans="1:6">
      <c r="A240" t="str">
        <f>'SOW, Feedbacks-Bug &amp; CR_Items'!D240</f>
        <v>iWork</v>
      </c>
      <c r="B240" t="str">
        <f>'SOW, Feedbacks-Bug &amp; CR_Items'!E240</f>
        <v>Milestone 6</v>
      </c>
      <c r="C240" t="str">
        <f>'SOW, Feedbacks-Bug &amp; CR_Items'!F240</f>
        <v>Delivered</v>
      </c>
      <c r="D240" t="str">
        <f>IFERROR(VLOOKUP(C240,Config!$A:$B,2,0),"Unknown")</f>
        <v>Delivered</v>
      </c>
      <c r="E240" t="str">
        <f>IFERROR(VLOOKUP(C240,Config!$A:$C,3,0),"N/A")</f>
        <v>Delivered</v>
      </c>
      <c r="F240">
        <f>IF('SOW, Feedbacks-Bug &amp; CR_Items'!H240="","",'SOW, Feedbacks-Bug &amp; CR_Items'!H240)</f>
        <v>46182</v>
      </c>
    </row>
    <row r="241" spans="1:6">
      <c r="A241" t="str">
        <f>'SOW, Feedbacks-Bug &amp; CR_Items'!D241</f>
        <v>iWork</v>
      </c>
      <c r="B241" t="str">
        <f>'SOW, Feedbacks-Bug &amp; CR_Items'!E241</f>
        <v>Milestone 6</v>
      </c>
      <c r="C241" t="str">
        <f>'SOW, Feedbacks-Bug &amp; CR_Items'!F241</f>
        <v>Delivered</v>
      </c>
      <c r="D241" t="str">
        <f>IFERROR(VLOOKUP(C241,Config!$A:$B,2,0),"Unknown")</f>
        <v>Delivered</v>
      </c>
      <c r="E241" t="str">
        <f>IFERROR(VLOOKUP(C241,Config!$A:$C,3,0),"N/A")</f>
        <v>Delivered</v>
      </c>
      <c r="F241">
        <f>IF('SOW, Feedbacks-Bug &amp; CR_Items'!H241="","",'SOW, Feedbacks-Bug &amp; CR_Items'!H241)</f>
        <v>46182</v>
      </c>
    </row>
    <row r="242" spans="1:6">
      <c r="A242" t="str">
        <f>'SOW, Feedbacks-Bug &amp; CR_Items'!D242</f>
        <v>iWork</v>
      </c>
      <c r="B242" t="str">
        <f>'SOW, Feedbacks-Bug &amp; CR_Items'!E242</f>
        <v>Milestone 6</v>
      </c>
      <c r="C242" t="str">
        <f>'SOW, Feedbacks-Bug &amp; CR_Items'!F242</f>
        <v>Delivered</v>
      </c>
      <c r="D242" t="str">
        <f>IFERROR(VLOOKUP(C242,Config!$A:$B,2,0),"Unknown")</f>
        <v>Delivered</v>
      </c>
      <c r="E242" t="str">
        <f>IFERROR(VLOOKUP(C242,Config!$A:$C,3,0),"N/A")</f>
        <v>Delivered</v>
      </c>
      <c r="F242">
        <f>IF('SOW, Feedbacks-Bug &amp; CR_Items'!H242="","",'SOW, Feedbacks-Bug &amp; CR_Items'!H242)</f>
        <v>46182</v>
      </c>
    </row>
    <row r="243" spans="1:6">
      <c r="A243" t="str">
        <f>'SOW, Feedbacks-Bug &amp; CR_Items'!D243</f>
        <v>iWork</v>
      </c>
      <c r="B243" t="str">
        <f>'SOW, Feedbacks-Bug &amp; CR_Items'!E243</f>
        <v>Milestone 6</v>
      </c>
      <c r="C243" t="str">
        <f>'SOW, Feedbacks-Bug &amp; CR_Items'!F243</f>
        <v>Delivered</v>
      </c>
      <c r="D243" t="str">
        <f>IFERROR(VLOOKUP(C243,Config!$A:$B,2,0),"Unknown")</f>
        <v>Delivered</v>
      </c>
      <c r="E243" t="str">
        <f>IFERROR(VLOOKUP(C243,Config!$A:$C,3,0),"N/A")</f>
        <v>Delivered</v>
      </c>
      <c r="F243">
        <f>IF('SOW, Feedbacks-Bug &amp; CR_Items'!H243="","",'SOW, Feedbacks-Bug &amp; CR_Items'!H243)</f>
        <v>46182</v>
      </c>
    </row>
    <row r="244" spans="1:6">
      <c r="A244" t="str">
        <f>'SOW, Feedbacks-Bug &amp; CR_Items'!D244</f>
        <v>iWork</v>
      </c>
      <c r="B244" t="str">
        <f>'SOW, Feedbacks-Bug &amp; CR_Items'!E244</f>
        <v>Milestone 6</v>
      </c>
      <c r="C244" t="str">
        <f>'SOW, Feedbacks-Bug &amp; CR_Items'!F244</f>
        <v>Delivered</v>
      </c>
      <c r="D244" t="str">
        <f>IFERROR(VLOOKUP(C244,Config!$A:$B,2,0),"Unknown")</f>
        <v>Delivered</v>
      </c>
      <c r="E244" t="str">
        <f>IFERROR(VLOOKUP(C244,Config!$A:$C,3,0),"N/A")</f>
        <v>Delivered</v>
      </c>
      <c r="F244">
        <f>IF('SOW, Feedbacks-Bug &amp; CR_Items'!H244="","",'SOW, Feedbacks-Bug &amp; CR_Items'!H244)</f>
        <v>46182</v>
      </c>
    </row>
    <row r="245" spans="1:6">
      <c r="A245" t="str">
        <f>'SOW, Feedbacks-Bug &amp; CR_Items'!D245</f>
        <v>iWork</v>
      </c>
      <c r="B245" t="str">
        <f>'SOW, Feedbacks-Bug &amp; CR_Items'!E245</f>
        <v>Milestone 6</v>
      </c>
      <c r="C245" t="str">
        <f>'SOW, Feedbacks-Bug &amp; CR_Items'!F245</f>
        <v>Delivered</v>
      </c>
      <c r="D245" t="str">
        <f>IFERROR(VLOOKUP(C245,Config!$A:$B,2,0),"Unknown")</f>
        <v>Delivered</v>
      </c>
      <c r="E245" t="str">
        <f>IFERROR(VLOOKUP(C245,Config!$A:$C,3,0),"N/A")</f>
        <v>Delivered</v>
      </c>
      <c r="F245">
        <f>IF('SOW, Feedbacks-Bug &amp; CR_Items'!H245="","",'SOW, Feedbacks-Bug &amp; CR_Items'!H245)</f>
        <v>46182</v>
      </c>
    </row>
    <row r="246" spans="1:6">
      <c r="A246" t="str">
        <f>'SOW, Feedbacks-Bug &amp; CR_Items'!D246</f>
        <v>iWork</v>
      </c>
      <c r="B246" t="str">
        <f>'SOW, Feedbacks-Bug &amp; CR_Items'!E246</f>
        <v>Milestone 6</v>
      </c>
      <c r="C246" t="str">
        <f>'SOW, Feedbacks-Bug &amp; CR_Items'!F246</f>
        <v>Delivered</v>
      </c>
      <c r="D246" t="str">
        <f>IFERROR(VLOOKUP(C246,Config!$A:$B,2,0),"Unknown")</f>
        <v>Delivered</v>
      </c>
      <c r="E246" t="str">
        <f>IFERROR(VLOOKUP(C246,Config!$A:$C,3,0),"N/A")</f>
        <v>Delivered</v>
      </c>
      <c r="F246">
        <f>IF('SOW, Feedbacks-Bug &amp; CR_Items'!H246="","",'SOW, Feedbacks-Bug &amp; CR_Items'!H246)</f>
        <v>46182</v>
      </c>
    </row>
    <row r="247" spans="1:6">
      <c r="A247" t="str">
        <f>'SOW, Feedbacks-Bug &amp; CR_Items'!D247</f>
        <v>iWork</v>
      </c>
      <c r="B247" t="str">
        <f>'SOW, Feedbacks-Bug &amp; CR_Items'!E247</f>
        <v>Milestone 6</v>
      </c>
      <c r="C247" t="str">
        <f>'SOW, Feedbacks-Bug &amp; CR_Items'!F247</f>
        <v>Delivered</v>
      </c>
      <c r="D247" t="str">
        <f>IFERROR(VLOOKUP(C247,Config!$A:$B,2,0),"Unknown")</f>
        <v>Delivered</v>
      </c>
      <c r="E247" t="str">
        <f>IFERROR(VLOOKUP(C247,Config!$A:$C,3,0),"N/A")</f>
        <v>Delivered</v>
      </c>
      <c r="F247">
        <f>IF('SOW, Feedbacks-Bug &amp; CR_Items'!H247="","",'SOW, Feedbacks-Bug &amp; CR_Items'!H247)</f>
        <v>46182</v>
      </c>
    </row>
    <row r="248" spans="1:6">
      <c r="A248" t="str">
        <f>'SOW, Feedbacks-Bug &amp; CR_Items'!D248</f>
        <v>iWork</v>
      </c>
      <c r="B248" t="str">
        <f>'SOW, Feedbacks-Bug &amp; CR_Items'!E248</f>
        <v>Milestone 6</v>
      </c>
      <c r="C248" t="str">
        <f>'SOW, Feedbacks-Bug &amp; CR_Items'!F248</f>
        <v>Delivered</v>
      </c>
      <c r="D248" t="str">
        <f>IFERROR(VLOOKUP(C248,Config!$A:$B,2,0),"Unknown")</f>
        <v>Delivered</v>
      </c>
      <c r="E248" t="str">
        <f>IFERROR(VLOOKUP(C248,Config!$A:$C,3,0),"N/A")</f>
        <v>Delivered</v>
      </c>
      <c r="F248">
        <f>IF('SOW, Feedbacks-Bug &amp; CR_Items'!H248="","",'SOW, Feedbacks-Bug &amp; CR_Items'!H248)</f>
        <v>46182</v>
      </c>
    </row>
    <row r="249" spans="1:6">
      <c r="A249" t="str">
        <f>'SOW, Feedbacks-Bug &amp; CR_Items'!D249</f>
        <v>iWork</v>
      </c>
      <c r="B249" t="str">
        <f>'SOW, Feedbacks-Bug &amp; CR_Items'!E249</f>
        <v>Milestone 6</v>
      </c>
      <c r="C249" t="str">
        <f>'SOW, Feedbacks-Bug &amp; CR_Items'!F249</f>
        <v>Delivered</v>
      </c>
      <c r="D249" t="str">
        <f>IFERROR(VLOOKUP(C249,Config!$A:$B,2,0),"Unknown")</f>
        <v>Delivered</v>
      </c>
      <c r="E249" t="str">
        <f>IFERROR(VLOOKUP(C249,Config!$A:$C,3,0),"N/A")</f>
        <v>Delivered</v>
      </c>
      <c r="F249">
        <f>IF('SOW, Feedbacks-Bug &amp; CR_Items'!H249="","",'SOW, Feedbacks-Bug &amp; CR_Items'!H249)</f>
        <v>46182</v>
      </c>
    </row>
    <row r="250" spans="1:6">
      <c r="A250" t="str">
        <f>'SOW, Feedbacks-Bug &amp; CR_Items'!D250</f>
        <v>iWork</v>
      </c>
      <c r="B250" t="str">
        <f>'SOW, Feedbacks-Bug &amp; CR_Items'!E250</f>
        <v>Milestone 6</v>
      </c>
      <c r="C250" t="str">
        <f>'SOW, Feedbacks-Bug &amp; CR_Items'!F250</f>
        <v>Delivered</v>
      </c>
      <c r="D250" t="str">
        <f>IFERROR(VLOOKUP(C250,Config!$A:$B,2,0),"Unknown")</f>
        <v>Delivered</v>
      </c>
      <c r="E250" t="str">
        <f>IFERROR(VLOOKUP(C250,Config!$A:$C,3,0),"N/A")</f>
        <v>Delivered</v>
      </c>
      <c r="F250">
        <f>IF('SOW, Feedbacks-Bug &amp; CR_Items'!H250="","",'SOW, Feedbacks-Bug &amp; CR_Items'!H250)</f>
        <v>46182</v>
      </c>
    </row>
    <row r="251" spans="1:6">
      <c r="A251" t="str">
        <f>'SOW, Feedbacks-Bug &amp; CR_Items'!D251</f>
        <v>iWork</v>
      </c>
      <c r="B251" t="str">
        <f>'SOW, Feedbacks-Bug &amp; CR_Items'!E251</f>
        <v>Milestone 6</v>
      </c>
      <c r="C251" t="str">
        <f>'SOW, Feedbacks-Bug &amp; CR_Items'!F251</f>
        <v>Delivered</v>
      </c>
      <c r="D251" t="str">
        <f>IFERROR(VLOOKUP(C251,Config!$A:$B,2,0),"Unknown")</f>
        <v>Delivered</v>
      </c>
      <c r="E251" t="str">
        <f>IFERROR(VLOOKUP(C251,Config!$A:$C,3,0),"N/A")</f>
        <v>Delivered</v>
      </c>
      <c r="F251">
        <f>IF('SOW, Feedbacks-Bug &amp; CR_Items'!H251="","",'SOW, Feedbacks-Bug &amp; CR_Items'!H251)</f>
        <v>46182</v>
      </c>
    </row>
    <row r="252" spans="1:6">
      <c r="A252" t="str">
        <f>'SOW, Feedbacks-Bug &amp; CR_Items'!D252</f>
        <v>iWork</v>
      </c>
      <c r="B252" t="str">
        <f>'SOW, Feedbacks-Bug &amp; CR_Items'!E252</f>
        <v>Milestone 6</v>
      </c>
      <c r="C252" t="str">
        <f>'SOW, Feedbacks-Bug &amp; CR_Items'!F252</f>
        <v>Delivered</v>
      </c>
      <c r="D252" t="str">
        <f>IFERROR(VLOOKUP(C252,Config!$A:$B,2,0),"Unknown")</f>
        <v>Delivered</v>
      </c>
      <c r="E252" t="str">
        <f>IFERROR(VLOOKUP(C252,Config!$A:$C,3,0),"N/A")</f>
        <v>Delivered</v>
      </c>
      <c r="F252">
        <f>IF('SOW, Feedbacks-Bug &amp; CR_Items'!H252="","",'SOW, Feedbacks-Bug &amp; CR_Items'!H252)</f>
        <v>46182</v>
      </c>
    </row>
    <row r="253" spans="1:6">
      <c r="A253" t="str">
        <f>'SOW, Feedbacks-Bug &amp; CR_Items'!D253</f>
        <v>iWork</v>
      </c>
      <c r="B253" t="str">
        <f>'SOW, Feedbacks-Bug &amp; CR_Items'!E253</f>
        <v>Milestone 6</v>
      </c>
      <c r="C253" t="str">
        <f>'SOW, Feedbacks-Bug &amp; CR_Items'!F253</f>
        <v>Delivered</v>
      </c>
      <c r="D253" t="str">
        <f>IFERROR(VLOOKUP(C253,Config!$A:$B,2,0),"Unknown")</f>
        <v>Delivered</v>
      </c>
      <c r="E253" t="str">
        <f>IFERROR(VLOOKUP(C253,Config!$A:$C,3,0),"N/A")</f>
        <v>Delivered</v>
      </c>
      <c r="F253">
        <f>IF('SOW, Feedbacks-Bug &amp; CR_Items'!H253="","",'SOW, Feedbacks-Bug &amp; CR_Items'!H253)</f>
        <v>46182</v>
      </c>
    </row>
    <row r="254" spans="1:6">
      <c r="A254" t="str">
        <f>'SOW, Feedbacks-Bug &amp; CR_Items'!D254</f>
        <v>iWork</v>
      </c>
      <c r="B254" t="str">
        <f>'SOW, Feedbacks-Bug &amp; CR_Items'!E254</f>
        <v>Milestone 6</v>
      </c>
      <c r="C254" t="str">
        <f>'SOW, Feedbacks-Bug &amp; CR_Items'!F254</f>
        <v>Delivered</v>
      </c>
      <c r="D254" t="str">
        <f>IFERROR(VLOOKUP(C254,Config!$A:$B,2,0),"Unknown")</f>
        <v>Delivered</v>
      </c>
      <c r="E254" t="str">
        <f>IFERROR(VLOOKUP(C254,Config!$A:$C,3,0),"N/A")</f>
        <v>Delivered</v>
      </c>
      <c r="F254">
        <f>IF('SOW, Feedbacks-Bug &amp; CR_Items'!H254="","",'SOW, Feedbacks-Bug &amp; CR_Items'!H254)</f>
        <v>46182</v>
      </c>
    </row>
    <row r="255" spans="1:6">
      <c r="A255" t="str">
        <f>'SOW, Feedbacks-Bug &amp; CR_Items'!D255</f>
        <v>IBP</v>
      </c>
      <c r="B255" t="str">
        <f>'SOW, Feedbacks-Bug &amp; CR_Items'!E255</f>
        <v>Milestone 6</v>
      </c>
      <c r="C255" t="str">
        <f>'SOW, Feedbacks-Bug &amp; CR_Items'!F255</f>
        <v>Delivered</v>
      </c>
      <c r="D255" t="str">
        <f>IFERROR(VLOOKUP(C255,Config!$A:$B,2,0),"Unknown")</f>
        <v>Delivered</v>
      </c>
      <c r="E255" t="str">
        <f>IFERROR(VLOOKUP(C255,Config!$A:$C,3,0),"N/A")</f>
        <v>Delivered</v>
      </c>
      <c r="F255">
        <f>IF('SOW, Feedbacks-Bug &amp; CR_Items'!H255="","",'SOW, Feedbacks-Bug &amp; CR_Items'!H255)</f>
        <v>46183</v>
      </c>
    </row>
    <row r="256" spans="1:6">
      <c r="A256" t="str">
        <f>'SOW, Feedbacks-Bug &amp; CR_Items'!D256</f>
        <v>IBP</v>
      </c>
      <c r="B256" t="str">
        <f>'SOW, Feedbacks-Bug &amp; CR_Items'!E256</f>
        <v>Milestone 6</v>
      </c>
      <c r="C256" t="str">
        <f>'SOW, Feedbacks-Bug &amp; CR_Items'!F256</f>
        <v>Delivered</v>
      </c>
      <c r="D256" t="str">
        <f>IFERROR(VLOOKUP(C256,Config!$A:$B,2,0),"Unknown")</f>
        <v>Delivered</v>
      </c>
      <c r="E256" t="str">
        <f>IFERROR(VLOOKUP(C256,Config!$A:$C,3,0),"N/A")</f>
        <v>Delivered</v>
      </c>
      <c r="F256">
        <f>IF('SOW, Feedbacks-Bug &amp; CR_Items'!H256="","",'SOW, Feedbacks-Bug &amp; CR_Items'!H256)</f>
        <v>46183</v>
      </c>
    </row>
    <row r="257" spans="1:6">
      <c r="A257" t="str">
        <f>'SOW, Feedbacks-Bug &amp; CR_Items'!D257</f>
        <v>IBP/iWork</v>
      </c>
      <c r="B257" t="str">
        <f>'SOW, Feedbacks-Bug &amp; CR_Items'!E257</f>
        <v>Milestone 6</v>
      </c>
      <c r="C257" t="str">
        <f>'SOW, Feedbacks-Bug &amp; CR_Items'!F257</f>
        <v>Delivered</v>
      </c>
      <c r="D257" t="str">
        <f>IFERROR(VLOOKUP(C257,Config!$A:$B,2,0),"Unknown")</f>
        <v>Delivered</v>
      </c>
      <c r="E257" t="str">
        <f>IFERROR(VLOOKUP(C257,Config!$A:$C,3,0),"N/A")</f>
        <v>Delivered</v>
      </c>
      <c r="F257">
        <f>IF('SOW, Feedbacks-Bug &amp; CR_Items'!H257="","",'SOW, Feedbacks-Bug &amp; CR_Items'!H257)</f>
        <v>46184</v>
      </c>
    </row>
    <row r="258" spans="1:6">
      <c r="A258" t="str">
        <f>'SOW, Feedbacks-Bug &amp; CR_Items'!D258</f>
        <v>IBP/iWork - CR</v>
      </c>
      <c r="B258" t="str">
        <f>'SOW, Feedbacks-Bug &amp; CR_Items'!E258</f>
        <v>Milestone 6</v>
      </c>
      <c r="C258" t="str">
        <f>'SOW, Feedbacks-Bug &amp; CR_Items'!F258</f>
        <v>Delivered</v>
      </c>
      <c r="D258" t="str">
        <f>IFERROR(VLOOKUP(C258,Config!$A:$B,2,0),"Unknown")</f>
        <v>Delivered</v>
      </c>
      <c r="E258" t="str">
        <f>IFERROR(VLOOKUP(C258,Config!$A:$C,3,0),"N/A")</f>
        <v>Delivered</v>
      </c>
      <c r="F258">
        <f>IF('SOW, Feedbacks-Bug &amp; CR_Items'!H258="","",'SOW, Feedbacks-Bug &amp; CR_Items'!H258)</f>
        <v>46184</v>
      </c>
    </row>
    <row r="259" spans="1:6">
      <c r="A259" t="str">
        <f>'SOW, Feedbacks-Bug &amp; CR_Items'!D259</f>
        <v>IBP/iWork - CR</v>
      </c>
      <c r="B259" t="str">
        <f>'SOW, Feedbacks-Bug &amp; CR_Items'!E259</f>
        <v>Milestone 6</v>
      </c>
      <c r="C259" t="str">
        <f>'SOW, Feedbacks-Bug &amp; CR_Items'!F259</f>
        <v>Delivered</v>
      </c>
      <c r="D259" t="str">
        <f>IFERROR(VLOOKUP(C259,Config!$A:$B,2,0),"Unknown")</f>
        <v>Delivered</v>
      </c>
      <c r="E259" t="str">
        <f>IFERROR(VLOOKUP(C259,Config!$A:$C,3,0),"N/A")</f>
        <v>Delivered</v>
      </c>
      <c r="F259">
        <f>IF('SOW, Feedbacks-Bug &amp; CR_Items'!H259="","",'SOW, Feedbacks-Bug &amp; CR_Items'!H259)</f>
        <v>46188</v>
      </c>
    </row>
    <row r="260" spans="1:6">
      <c r="A260" t="str">
        <f>'SOW, Feedbacks-Bug &amp; CR_Items'!D260</f>
        <v>iWork - CR</v>
      </c>
      <c r="B260" t="str">
        <f>'SOW, Feedbacks-Bug &amp; CR_Items'!E260</f>
        <v>Milestone 6</v>
      </c>
      <c r="C260" t="str">
        <f>'SOW, Feedbacks-Bug &amp; CR_Items'!F260</f>
        <v>Yet to start</v>
      </c>
      <c r="D260" t="str">
        <f>IFERROR(VLOOKUP(C260,Config!$A:$B,2,0),"Unknown")</f>
        <v>Not Started</v>
      </c>
      <c r="E260" t="str">
        <f>IFERROR(VLOOKUP(C260,Config!$A:$C,3,0),"N/A")</f>
        <v>Pending</v>
      </c>
      <c r="F260">
        <f>IF('SOW, Feedbacks-Bug &amp; CR_Items'!H260="","",'SOW, Feedbacks-Bug &amp; CR_Items'!H260)</f>
        <v>46150</v>
      </c>
    </row>
    <row r="261" spans="1:6">
      <c r="A261" t="str">
        <f>'SOW, Feedbacks-Bug &amp; CR_Items'!D261</f>
        <v>iWork</v>
      </c>
      <c r="B261" t="str">
        <f>'SOW, Feedbacks-Bug &amp; CR_Items'!E261</f>
        <v>Milestone 6</v>
      </c>
      <c r="C261" t="str">
        <f>'SOW, Feedbacks-Bug &amp; CR_Items'!F261</f>
        <v>Yet to start</v>
      </c>
      <c r="D261" t="str">
        <f>IFERROR(VLOOKUP(C261,Config!$A:$B,2,0),"Unknown")</f>
        <v>Not Started</v>
      </c>
      <c r="E261" t="str">
        <f>IFERROR(VLOOKUP(C261,Config!$A:$C,3,0),"N/A")</f>
        <v>Pending</v>
      </c>
      <c r="F261">
        <f>IF('SOW, Feedbacks-Bug &amp; CR_Items'!H261="","",'SOW, Feedbacks-Bug &amp; CR_Items'!H261)</f>
        <v>46188</v>
      </c>
    </row>
    <row r="262" spans="1:6">
      <c r="A262" t="str">
        <f>'SOW, Feedbacks-Bug &amp; CR_Items'!D262</f>
        <v>IBP/iWork - CR</v>
      </c>
      <c r="B262" t="str">
        <f>'SOW, Feedbacks-Bug &amp; CR_Items'!E262</f>
        <v>Milestone 6</v>
      </c>
      <c r="C262" t="str">
        <f>'SOW, Feedbacks-Bug &amp; CR_Items'!F262</f>
        <v>Yet to start</v>
      </c>
      <c r="D262" t="str">
        <f>IFERROR(VLOOKUP(C262,Config!$A:$B,2,0),"Unknown")</f>
        <v>Not Started</v>
      </c>
      <c r="E262" t="str">
        <f>IFERROR(VLOOKUP(C262,Config!$A:$C,3,0),"N/A")</f>
        <v>Pending</v>
      </c>
      <c r="F262">
        <f>IF('SOW, Feedbacks-Bug &amp; CR_Items'!H262="","",'SOW, Feedbacks-Bug &amp; CR_Items'!H262)</f>
        <v>46188</v>
      </c>
    </row>
    <row r="263" spans="1:6">
      <c r="A263" t="str">
        <f>'SOW, Feedbacks-Bug &amp; CR_Items'!D263</f>
        <v>IBP/iWork - CR</v>
      </c>
      <c r="B263" t="str">
        <f>'SOW, Feedbacks-Bug &amp; CR_Items'!E263</f>
        <v>Milestone 6</v>
      </c>
      <c r="C263" t="str">
        <f>'SOW, Feedbacks-Bug &amp; CR_Items'!F263</f>
        <v>Yet to start</v>
      </c>
      <c r="D263" t="str">
        <f>IFERROR(VLOOKUP(C263,Config!$A:$B,2,0),"Unknown")</f>
        <v>Not Started</v>
      </c>
      <c r="E263" t="str">
        <f>IFERROR(VLOOKUP(C263,Config!$A:$C,3,0),"N/A")</f>
        <v>Pending</v>
      </c>
      <c r="F263">
        <f>IF('SOW, Feedbacks-Bug &amp; CR_Items'!H263="","",'SOW, Feedbacks-Bug &amp; CR_Items'!H263)</f>
        <v>46188</v>
      </c>
    </row>
    <row r="264" spans="1:6">
      <c r="A264" t="str">
        <f>'SOW, Feedbacks-Bug &amp; CR_Items'!D264</f>
        <v>iWork</v>
      </c>
      <c r="B264" t="str">
        <f>'SOW, Feedbacks-Bug &amp; CR_Items'!E264</f>
        <v>Milestone 6</v>
      </c>
      <c r="C264" t="str">
        <f>'SOW, Feedbacks-Bug &amp; CR_Items'!F264</f>
        <v>Delivered</v>
      </c>
      <c r="D264" t="str">
        <f>IFERROR(VLOOKUP(C264,Config!$A:$B,2,0),"Unknown")</f>
        <v>Delivered</v>
      </c>
      <c r="E264" t="str">
        <f>IFERROR(VLOOKUP(C264,Config!$A:$C,3,0),"N/A")</f>
        <v>Delivered</v>
      </c>
      <c r="F264">
        <f>IF('SOW, Feedbacks-Bug &amp; CR_Items'!H264="","",'SOW, Feedbacks-Bug &amp; CR_Items'!H264)</f>
        <v>46188</v>
      </c>
    </row>
    <row r="265" spans="1:6">
      <c r="A265" t="str">
        <f>'SOW, Feedbacks-Bug &amp; CR_Items'!D265</f>
        <v>iWork</v>
      </c>
      <c r="B265" t="str">
        <f>'SOW, Feedbacks-Bug &amp; CR_Items'!E265</f>
        <v>Milestone 6</v>
      </c>
      <c r="C265" t="str">
        <f>'SOW, Feedbacks-Bug &amp; CR_Items'!F265</f>
        <v>Yet to start</v>
      </c>
      <c r="D265" t="str">
        <f>IFERROR(VLOOKUP(C265,Config!$A:$B,2,0),"Unknown")</f>
        <v>Not Started</v>
      </c>
      <c r="E265" t="str">
        <f>IFERROR(VLOOKUP(C265,Config!$A:$C,3,0),"N/A")</f>
        <v>Pending</v>
      </c>
      <c r="F265">
        <f>IF('SOW, Feedbacks-Bug &amp; CR_Items'!H265="","",'SOW, Feedbacks-Bug &amp; CR_Items'!H265)</f>
        <v>46188</v>
      </c>
    </row>
    <row r="266" spans="1:6">
      <c r="A266" t="str">
        <f>'SOW, Feedbacks-Bug &amp; CR_Items'!D266</f>
        <v>iWork</v>
      </c>
      <c r="B266" t="str">
        <f>'SOW, Feedbacks-Bug &amp; CR_Items'!E266</f>
        <v>Milestone 6</v>
      </c>
      <c r="C266" t="str">
        <f>'SOW, Feedbacks-Bug &amp; CR_Items'!F266</f>
        <v>Delivered</v>
      </c>
      <c r="D266" t="str">
        <f>IFERROR(VLOOKUP(C266,Config!$A:$B,2,0),"Unknown")</f>
        <v>Delivered</v>
      </c>
      <c r="E266" t="str">
        <f>IFERROR(VLOOKUP(C266,Config!$A:$C,3,0),"N/A")</f>
        <v>Delivered</v>
      </c>
      <c r="F266">
        <f>IF('SOW, Feedbacks-Bug &amp; CR_Items'!H266="","",'SOW, Feedbacks-Bug &amp; CR_Items'!H266)</f>
        <v>46191</v>
      </c>
    </row>
    <row r="267" spans="1:6">
      <c r="A267" t="str">
        <f>'SOW, Feedbacks-Bug &amp; CR_Items'!D267</f>
        <v>IBP</v>
      </c>
      <c r="B267" t="str">
        <f>'SOW, Feedbacks-Bug &amp; CR_Items'!E267</f>
        <v>Milestone 6</v>
      </c>
      <c r="C267" t="str">
        <f>'SOW, Feedbacks-Bug &amp; CR_Items'!F267</f>
        <v>Delivered</v>
      </c>
      <c r="D267" t="str">
        <f>IFERROR(VLOOKUP(C267,Config!$A:$B,2,0),"Unknown")</f>
        <v>Delivered</v>
      </c>
      <c r="E267" t="str">
        <f>IFERROR(VLOOKUP(C267,Config!$A:$C,3,0),"N/A")</f>
        <v>Delivered</v>
      </c>
      <c r="F267">
        <f>IF('SOW, Feedbacks-Bug &amp; CR_Items'!H267="","",'SOW, Feedbacks-Bug &amp; CR_Items'!H267)</f>
        <v>46192</v>
      </c>
    </row>
    <row r="268" spans="1:6">
      <c r="A268" t="str">
        <f>'SOW, Feedbacks-Bug &amp; CR_Items'!D268</f>
        <v>IBP</v>
      </c>
      <c r="B268" t="str">
        <f>'SOW, Feedbacks-Bug &amp; CR_Items'!E268</f>
        <v>Milestone 6</v>
      </c>
      <c r="C268" t="str">
        <f>'SOW, Feedbacks-Bug &amp; CR_Items'!F268</f>
        <v>Delivered</v>
      </c>
      <c r="D268" t="str">
        <f>IFERROR(VLOOKUP(C268,Config!$A:$B,2,0),"Unknown")</f>
        <v>Delivered</v>
      </c>
      <c r="E268" t="str">
        <f>IFERROR(VLOOKUP(C268,Config!$A:$C,3,0),"N/A")</f>
        <v>Delivered</v>
      </c>
      <c r="F268">
        <f>IF('SOW, Feedbacks-Bug &amp; CR_Items'!H268="","",'SOW, Feedbacks-Bug &amp; CR_Items'!H268)</f>
        <v>46192</v>
      </c>
    </row>
    <row r="269" spans="1:6">
      <c r="A269" t="str">
        <f>'SOW, Feedbacks-Bug &amp; CR_Items'!D269</f>
        <v>iWork - CR</v>
      </c>
      <c r="B269" t="str">
        <f>'SOW, Feedbacks-Bug &amp; CR_Items'!E269</f>
        <v>Milestone 6</v>
      </c>
      <c r="C269" t="str">
        <f>'SOW, Feedbacks-Bug &amp; CR_Items'!F269</f>
        <v>DEV - WIP</v>
      </c>
      <c r="D269" t="str">
        <f>IFERROR(VLOOKUP(C269,Config!$A:$B,2,0),"Unknown")</f>
        <v>In Development</v>
      </c>
      <c r="E269" t="str">
        <f>IFERROR(VLOOKUP(C269,Config!$A:$C,3,0),"N/A")</f>
        <v>Pending</v>
      </c>
      <c r="F269">
        <f>IF('SOW, Feedbacks-Bug &amp; CR_Items'!H269="","",'SOW, Feedbacks-Bug &amp; CR_Items'!H269)</f>
        <v>46178</v>
      </c>
    </row>
    <row r="270" spans="1:6">
      <c r="A270" t="str">
        <f>'SOW, Feedbacks-Bug &amp; CR_Items'!D270</f>
        <v>iWork</v>
      </c>
      <c r="B270" t="str">
        <f>'SOW, Feedbacks-Bug &amp; CR_Items'!E270</f>
        <v>Milestone 6</v>
      </c>
      <c r="C270" t="str">
        <f>'SOW, Feedbacks-Bug &amp; CR_Items'!F270</f>
        <v>Yet to start</v>
      </c>
      <c r="D270" t="str">
        <f>IFERROR(VLOOKUP(C270,Config!$A:$B,2,0),"Unknown")</f>
        <v>Not Started</v>
      </c>
      <c r="E270" t="str">
        <f>IFERROR(VLOOKUP(C270,Config!$A:$C,3,0),"N/A")</f>
        <v>Pending</v>
      </c>
      <c r="F270">
        <f>IF('SOW, Feedbacks-Bug &amp; CR_Items'!H270="","",'SOW, Feedbacks-Bug &amp; CR_Items'!H270)</f>
        <v>46188</v>
      </c>
    </row>
    <row r="271" spans="1:6">
      <c r="A271" t="str">
        <f>'SOW, Feedbacks-Bug &amp; CR_Items'!D271</f>
        <v>IBP</v>
      </c>
      <c r="B271" t="str">
        <f>'SOW, Feedbacks-Bug &amp; CR_Items'!E271</f>
        <v>Milestone 6</v>
      </c>
      <c r="C271" t="str">
        <f>'SOW, Feedbacks-Bug &amp; CR_Items'!F271</f>
        <v>Delivered</v>
      </c>
      <c r="D271" t="str">
        <f>IFERROR(VLOOKUP(C271,Config!$A:$B,2,0),"Unknown")</f>
        <v>Delivered</v>
      </c>
      <c r="E271" t="str">
        <f>IFERROR(VLOOKUP(C271,Config!$A:$C,3,0),"N/A")</f>
        <v>Delivered</v>
      </c>
      <c r="F271">
        <f>IF('SOW, Feedbacks-Bug &amp; CR_Items'!H271="","",'SOW, Feedbacks-Bug &amp; CR_Items'!H271)</f>
        <v>46195</v>
      </c>
    </row>
    <row r="272" spans="1:6">
      <c r="A272" t="str">
        <f>'SOW, Feedbacks-Bug &amp; CR_Items'!D272</f>
        <v>iWork - CR</v>
      </c>
      <c r="B272" t="str">
        <f>'SOW, Feedbacks-Bug &amp; CR_Items'!E272</f>
        <v>Milestone 6</v>
      </c>
      <c r="C272" t="str">
        <f>'SOW, Feedbacks-Bug &amp; CR_Items'!F272</f>
        <v>Delivered</v>
      </c>
      <c r="D272" t="str">
        <f>IFERROR(VLOOKUP(C272,Config!$A:$B,2,0),"Unknown")</f>
        <v>Delivered</v>
      </c>
      <c r="E272" t="str">
        <f>IFERROR(VLOOKUP(C272,Config!$A:$C,3,0),"N/A")</f>
        <v>Delivered</v>
      </c>
      <c r="F272">
        <f>IF('SOW, Feedbacks-Bug &amp; CR_Items'!H272="","",'SOW, Feedbacks-Bug &amp; CR_Items'!H272)</f>
        <v>46195</v>
      </c>
    </row>
    <row r="273" spans="1:6">
      <c r="A273" t="str">
        <f>'SOW, Feedbacks-Bug &amp; CR_Items'!D273</f>
        <v>IBP/iWork - CR</v>
      </c>
      <c r="B273" t="str">
        <f>'SOW, Feedbacks-Bug &amp; CR_Items'!E273</f>
        <v>Milestone 6</v>
      </c>
      <c r="C273" t="str">
        <f>'SOW, Feedbacks-Bug &amp; CR_Items'!F273</f>
        <v>Delivered</v>
      </c>
      <c r="D273" t="str">
        <f>IFERROR(VLOOKUP(C273,Config!$A:$B,2,0),"Unknown")</f>
        <v>Delivered</v>
      </c>
      <c r="E273" t="str">
        <f>IFERROR(VLOOKUP(C273,Config!$A:$C,3,0),"N/A")</f>
        <v>Delivered</v>
      </c>
      <c r="F273">
        <f>IF('SOW, Feedbacks-Bug &amp; CR_Items'!H273="","",'SOW, Feedbacks-Bug &amp; CR_Items'!H273)</f>
        <v>46196</v>
      </c>
    </row>
    <row r="274" spans="1:6">
      <c r="A274" t="str">
        <f>'SOW, Feedbacks-Bug &amp; CR_Items'!D274</f>
        <v>iWork - CR</v>
      </c>
      <c r="B274" t="str">
        <f>'SOW, Feedbacks-Bug &amp; CR_Items'!E274</f>
        <v>Milestone 6</v>
      </c>
      <c r="C274" t="str">
        <f>'SOW, Feedbacks-Bug &amp; CR_Items'!F274</f>
        <v>Delivered</v>
      </c>
      <c r="D274" t="str">
        <f>IFERROR(VLOOKUP(C274,Config!$A:$B,2,0),"Unknown")</f>
        <v>Delivered</v>
      </c>
      <c r="E274" t="str">
        <f>IFERROR(VLOOKUP(C274,Config!$A:$C,3,0),"N/A")</f>
        <v>Delivered</v>
      </c>
      <c r="F274">
        <f>IF('SOW, Feedbacks-Bug &amp; CR_Items'!H274="","",'SOW, Feedbacks-Bug &amp; CR_Items'!H274)</f>
        <v>46196</v>
      </c>
    </row>
    <row r="275" spans="1:6">
      <c r="A275" t="str">
        <f>'SOW, Feedbacks-Bug &amp; CR_Items'!D275</f>
        <v>iWork - CR</v>
      </c>
      <c r="B275" t="str">
        <f>'SOW, Feedbacks-Bug &amp; CR_Items'!E275</f>
        <v>Milestone 6</v>
      </c>
      <c r="C275" t="str">
        <f>'SOW, Feedbacks-Bug &amp; CR_Items'!F275</f>
        <v>Delivered</v>
      </c>
      <c r="D275" t="str">
        <f>IFERROR(VLOOKUP(C275,Config!$A:$B,2,0),"Unknown")</f>
        <v>Delivered</v>
      </c>
      <c r="E275" t="str">
        <f>IFERROR(VLOOKUP(C275,Config!$A:$C,3,0),"N/A")</f>
        <v>Delivered</v>
      </c>
      <c r="F275">
        <f>IF('SOW, Feedbacks-Bug &amp; CR_Items'!H275="","",'SOW, Feedbacks-Bug &amp; CR_Items'!H275)</f>
        <v>46196</v>
      </c>
    </row>
    <row r="276" spans="1:6">
      <c r="A276" t="str">
        <f>'SOW, Feedbacks-Bug &amp; CR_Items'!D276</f>
        <v>iWork - CR</v>
      </c>
      <c r="B276" t="str">
        <f>'SOW, Feedbacks-Bug &amp; CR_Items'!E276</f>
        <v>Milestone 6</v>
      </c>
      <c r="C276" t="str">
        <f>'SOW, Feedbacks-Bug &amp; CR_Items'!F276</f>
        <v>Delivered</v>
      </c>
      <c r="D276" t="str">
        <f>IFERROR(VLOOKUP(C276,Config!$A:$B,2,0),"Unknown")</f>
        <v>Delivered</v>
      </c>
      <c r="E276" t="str">
        <f>IFERROR(VLOOKUP(C276,Config!$A:$C,3,0),"N/A")</f>
        <v>Delivered</v>
      </c>
      <c r="F276">
        <f>IF('SOW, Feedbacks-Bug &amp; CR_Items'!H276="","",'SOW, Feedbacks-Bug &amp; CR_Items'!H276)</f>
        <v>46196</v>
      </c>
    </row>
    <row r="277" spans="1:6">
      <c r="A277" t="str">
        <f>'SOW, Feedbacks-Bug &amp; CR_Items'!D277</f>
        <v>iWork - CR</v>
      </c>
      <c r="B277" t="str">
        <f>'SOW, Feedbacks-Bug &amp; CR_Items'!E277</f>
        <v>Milestone 6</v>
      </c>
      <c r="C277" t="str">
        <f>'SOW, Feedbacks-Bug &amp; CR_Items'!F277</f>
        <v>Delivered</v>
      </c>
      <c r="D277" t="str">
        <f>IFERROR(VLOOKUP(C277,Config!$A:$B,2,0),"Unknown")</f>
        <v>Delivered</v>
      </c>
      <c r="E277" t="str">
        <f>IFERROR(VLOOKUP(C277,Config!$A:$C,3,0),"N/A")</f>
        <v>Delivered</v>
      </c>
      <c r="F277">
        <f>IF('SOW, Feedbacks-Bug &amp; CR_Items'!H277="","",'SOW, Feedbacks-Bug &amp; CR_Items'!H277)</f>
        <v>46196</v>
      </c>
    </row>
    <row r="278" spans="1:6">
      <c r="A278" t="str">
        <f>'SOW, Feedbacks-Bug &amp; CR_Items'!D278</f>
        <v>iWork - CR</v>
      </c>
      <c r="B278" t="str">
        <f>'SOW, Feedbacks-Bug &amp; CR_Items'!E278</f>
        <v>Milestone 6</v>
      </c>
      <c r="C278" t="str">
        <f>'SOW, Feedbacks-Bug &amp; CR_Items'!F278</f>
        <v>Delivered</v>
      </c>
      <c r="D278" t="str">
        <f>IFERROR(VLOOKUP(C278,Config!$A:$B,2,0),"Unknown")</f>
        <v>Delivered</v>
      </c>
      <c r="E278" t="str">
        <f>IFERROR(VLOOKUP(C278,Config!$A:$C,3,0),"N/A")</f>
        <v>Delivered</v>
      </c>
      <c r="F278">
        <f>IF('SOW, Feedbacks-Bug &amp; CR_Items'!H278="","",'SOW, Feedbacks-Bug &amp; CR_Items'!H278)</f>
        <v>46196</v>
      </c>
    </row>
    <row r="279" spans="1:6">
      <c r="A279" t="str">
        <f>'SOW, Feedbacks-Bug &amp; CR_Items'!D279</f>
        <v>iWork - CR</v>
      </c>
      <c r="B279" t="str">
        <f>'SOW, Feedbacks-Bug &amp; CR_Items'!E279</f>
        <v>Milestone 6</v>
      </c>
      <c r="C279" t="str">
        <f>'SOW, Feedbacks-Bug &amp; CR_Items'!F279</f>
        <v>Delivered</v>
      </c>
      <c r="D279" t="str">
        <f>IFERROR(VLOOKUP(C279,Config!$A:$B,2,0),"Unknown")</f>
        <v>Delivered</v>
      </c>
      <c r="E279" t="str">
        <f>IFERROR(VLOOKUP(C279,Config!$A:$C,3,0),"N/A")</f>
        <v>Delivered</v>
      </c>
      <c r="F279">
        <f>IF('SOW, Feedbacks-Bug &amp; CR_Items'!H279="","",'SOW, Feedbacks-Bug &amp; CR_Items'!H279)</f>
        <v>46196</v>
      </c>
    </row>
    <row r="280" spans="1:6">
      <c r="A280" t="str">
        <f>'SOW, Feedbacks-Bug &amp; CR_Items'!D280</f>
        <v>iWork - CR</v>
      </c>
      <c r="B280" t="str">
        <f>'SOW, Feedbacks-Bug &amp; CR_Items'!E280</f>
        <v>Milestone 6</v>
      </c>
      <c r="C280" t="str">
        <f>'SOW, Feedbacks-Bug &amp; CR_Items'!F280</f>
        <v>Delivered</v>
      </c>
      <c r="D280" t="str">
        <f>IFERROR(VLOOKUP(C280,Config!$A:$B,2,0),"Unknown")</f>
        <v>Delivered</v>
      </c>
      <c r="E280" t="str">
        <f>IFERROR(VLOOKUP(C280,Config!$A:$C,3,0),"N/A")</f>
        <v>Delivered</v>
      </c>
      <c r="F280">
        <f>IF('SOW, Feedbacks-Bug &amp; CR_Items'!H280="","",'SOW, Feedbacks-Bug &amp; CR_Items'!H280)</f>
        <v>46196</v>
      </c>
    </row>
    <row r="281" spans="1:6">
      <c r="A281" t="str">
        <f>'SOW, Feedbacks-Bug &amp; CR_Items'!D281</f>
        <v>iWork - CR</v>
      </c>
      <c r="B281" t="str">
        <f>'SOW, Feedbacks-Bug &amp; CR_Items'!E281</f>
        <v>Milestone 6</v>
      </c>
      <c r="C281" t="str">
        <f>'SOW, Feedbacks-Bug &amp; CR_Items'!F281</f>
        <v>Delivered</v>
      </c>
      <c r="D281" t="str">
        <f>IFERROR(VLOOKUP(C281,Config!$A:$B,2,0),"Unknown")</f>
        <v>Delivered</v>
      </c>
      <c r="E281" t="str">
        <f>IFERROR(VLOOKUP(C281,Config!$A:$C,3,0),"N/A")</f>
        <v>Delivered</v>
      </c>
      <c r="F281">
        <f>IF('SOW, Feedbacks-Bug &amp; CR_Items'!H281="","",'SOW, Feedbacks-Bug &amp; CR_Items'!H281)</f>
        <v>46196</v>
      </c>
    </row>
    <row r="282" spans="1:6">
      <c r="A282" t="str">
        <f>'SOW, Feedbacks-Bug &amp; CR_Items'!D282</f>
        <v>iWork - CR</v>
      </c>
      <c r="B282" t="str">
        <f>'SOW, Feedbacks-Bug &amp; CR_Items'!E282</f>
        <v>Milestone 6</v>
      </c>
      <c r="C282" t="str">
        <f>'SOW, Feedbacks-Bug &amp; CR_Items'!F282</f>
        <v>Delivered</v>
      </c>
      <c r="D282" t="str">
        <f>IFERROR(VLOOKUP(C282,Config!$A:$B,2,0),"Unknown")</f>
        <v>Delivered</v>
      </c>
      <c r="E282" t="str">
        <f>IFERROR(VLOOKUP(C282,Config!$A:$C,3,0),"N/A")</f>
        <v>Delivered</v>
      </c>
      <c r="F282">
        <f>IF('SOW, Feedbacks-Bug &amp; CR_Items'!H282="","",'SOW, Feedbacks-Bug &amp; CR_Items'!H282)</f>
        <v>46196</v>
      </c>
    </row>
    <row r="283" spans="1:6">
      <c r="A283" t="str">
        <f>'SOW, Feedbacks-Bug &amp; CR_Items'!D283</f>
        <v>iWork - CR</v>
      </c>
      <c r="B283" t="str">
        <f>'SOW, Feedbacks-Bug &amp; CR_Items'!E283</f>
        <v>Milestone 6</v>
      </c>
      <c r="C283" t="str">
        <f>'SOW, Feedbacks-Bug &amp; CR_Items'!F283</f>
        <v>Delivered</v>
      </c>
      <c r="D283" t="str">
        <f>IFERROR(VLOOKUP(C283,Config!$A:$B,2,0),"Unknown")</f>
        <v>Delivered</v>
      </c>
      <c r="E283" t="str">
        <f>IFERROR(VLOOKUP(C283,Config!$A:$C,3,0),"N/A")</f>
        <v>Delivered</v>
      </c>
      <c r="F283">
        <f>IF('SOW, Feedbacks-Bug &amp; CR_Items'!H283="","",'SOW, Feedbacks-Bug &amp; CR_Items'!H283)</f>
        <v>46196</v>
      </c>
    </row>
    <row r="284" spans="1:6">
      <c r="A284" t="str">
        <f>'SOW, Feedbacks-Bug &amp; CR_Items'!D284</f>
        <v>iWork - CR</v>
      </c>
      <c r="B284" t="str">
        <f>'SOW, Feedbacks-Bug &amp; CR_Items'!E284</f>
        <v>Milestone 6</v>
      </c>
      <c r="C284" t="str">
        <f>'SOW, Feedbacks-Bug &amp; CR_Items'!F284</f>
        <v>Delivered</v>
      </c>
      <c r="D284" t="str">
        <f>IFERROR(VLOOKUP(C284,Config!$A:$B,2,0),"Unknown")</f>
        <v>Delivered</v>
      </c>
      <c r="E284" t="str">
        <f>IFERROR(VLOOKUP(C284,Config!$A:$C,3,0),"N/A")</f>
        <v>Delivered</v>
      </c>
      <c r="F284">
        <f>IF('SOW, Feedbacks-Bug &amp; CR_Items'!H284="","",'SOW, Feedbacks-Bug &amp; CR_Items'!H284)</f>
        <v>46196</v>
      </c>
    </row>
    <row r="285" spans="1:6">
      <c r="A285" t="str">
        <f>'SOW, Feedbacks-Bug &amp; CR_Items'!D285</f>
        <v>iWork - CR</v>
      </c>
      <c r="B285" t="str">
        <f>'SOW, Feedbacks-Bug &amp; CR_Items'!E285</f>
        <v>Milestone 6</v>
      </c>
      <c r="C285" t="str">
        <f>'SOW, Feedbacks-Bug &amp; CR_Items'!F285</f>
        <v>Delivered</v>
      </c>
      <c r="D285" t="str">
        <f>IFERROR(VLOOKUP(C285,Config!$A:$B,2,0),"Unknown")</f>
        <v>Delivered</v>
      </c>
      <c r="E285" t="str">
        <f>IFERROR(VLOOKUP(C285,Config!$A:$C,3,0),"N/A")</f>
        <v>Delivered</v>
      </c>
      <c r="F285">
        <f>IF('SOW, Feedbacks-Bug &amp; CR_Items'!H285="","",'SOW, Feedbacks-Bug &amp; CR_Items'!H285)</f>
        <v>46196</v>
      </c>
    </row>
    <row r="286" spans="1:6">
      <c r="A286" t="str">
        <f>'SOW, Feedbacks-Bug &amp; CR_Items'!D286</f>
        <v>IBP</v>
      </c>
      <c r="B286" t="str">
        <f>'SOW, Feedbacks-Bug &amp; CR_Items'!E286</f>
        <v>Milestone 6</v>
      </c>
      <c r="C286" t="str">
        <f>'SOW, Feedbacks-Bug &amp; CR_Items'!F286</f>
        <v>Yet to start</v>
      </c>
      <c r="D286" t="str">
        <f>IFERROR(VLOOKUP(C286,Config!$A:$B,2,0),"Unknown")</f>
        <v>Not Started</v>
      </c>
      <c r="E286" t="str">
        <f>IFERROR(VLOOKUP(C286,Config!$A:$C,3,0),"N/A")</f>
        <v>Pending</v>
      </c>
      <c r="F286">
        <f>IF('SOW, Feedbacks-Bug &amp; CR_Items'!H286="","",'SOW, Feedbacks-Bug &amp; CR_Items'!H286)</f>
        <v>46194</v>
      </c>
    </row>
    <row r="287" spans="1:6">
      <c r="A287" t="str">
        <f>'SOW, Feedbacks-Bug &amp; CR_Items'!D287</f>
        <v>iWork - CR</v>
      </c>
      <c r="B287" t="str">
        <f>'SOW, Feedbacks-Bug &amp; CR_Items'!E287</f>
        <v>Milestone 6</v>
      </c>
      <c r="C287" t="str">
        <f>'SOW, Feedbacks-Bug &amp; CR_Items'!F287</f>
        <v>Yet to start</v>
      </c>
      <c r="D287" t="str">
        <f>IFERROR(VLOOKUP(C287,Config!$A:$B,2,0),"Unknown")</f>
        <v>Not Started</v>
      </c>
      <c r="E287" t="str">
        <f>IFERROR(VLOOKUP(C287,Config!$A:$C,3,0),"N/A")</f>
        <v>Pending</v>
      </c>
      <c r="F287">
        <f>IF('SOW, Feedbacks-Bug &amp; CR_Items'!H287="","",'SOW, Feedbacks-Bug &amp; CR_Items'!H287)</f>
        <v>46196</v>
      </c>
    </row>
    <row r="288" spans="1:6">
      <c r="A288" t="str">
        <f>'SOW, Feedbacks-Bug &amp; CR_Items'!D288</f>
        <v>IBP/iWork - CR</v>
      </c>
      <c r="B288" t="str">
        <f>'SOW, Feedbacks-Bug &amp; CR_Items'!E288</f>
        <v>Milestone 6</v>
      </c>
      <c r="C288" t="str">
        <f>'SOW, Feedbacks-Bug &amp; CR_Items'!F288</f>
        <v>Yet to start</v>
      </c>
      <c r="D288" t="str">
        <f>IFERROR(VLOOKUP(C288,Config!$A:$B,2,0),"Unknown")</f>
        <v>Not Started</v>
      </c>
      <c r="E288" t="str">
        <f>IFERROR(VLOOKUP(C288,Config!$A:$C,3,0),"N/A")</f>
        <v>Pending</v>
      </c>
      <c r="F288">
        <f>IF('SOW, Feedbacks-Bug &amp; CR_Items'!H288="","",'SOW, Feedbacks-Bug &amp; CR_Items'!H288)</f>
        <v>46198</v>
      </c>
    </row>
    <row r="289" spans="1:6">
      <c r="A289" t="str">
        <f>'SOW, Feedbacks-Bug &amp; CR_Items'!D289</f>
        <v>iWork</v>
      </c>
      <c r="B289" t="str">
        <f>'SOW, Feedbacks-Bug &amp; CR_Items'!E289</f>
        <v>Milestone 6</v>
      </c>
      <c r="C289" t="str">
        <f>'SOW, Feedbacks-Bug &amp; CR_Items'!F289</f>
        <v>Yet to start</v>
      </c>
      <c r="D289" t="str">
        <f>IFERROR(VLOOKUP(C289,Config!$A:$B,2,0),"Unknown")</f>
        <v>Not Started</v>
      </c>
      <c r="E289" t="str">
        <f>IFERROR(VLOOKUP(C289,Config!$A:$C,3,0),"N/A")</f>
        <v>Pending</v>
      </c>
      <c r="F289">
        <f>IF('SOW, Feedbacks-Bug &amp; CR_Items'!H289="","",'SOW, Feedbacks-Bug &amp; CR_Items'!H289)</f>
        <v>46198</v>
      </c>
    </row>
    <row r="290" spans="1:6">
      <c r="A290" t="str">
        <f>'SOW, Feedbacks-Bug &amp; CR_Items'!D290</f>
        <v>IBP</v>
      </c>
      <c r="B290" t="str">
        <f>'SOW, Feedbacks-Bug &amp; CR_Items'!E290</f>
        <v>Milestone 6</v>
      </c>
      <c r="C290" t="str">
        <f>'SOW, Feedbacks-Bug &amp; CR_Items'!F290</f>
        <v>Dev - WIP</v>
      </c>
      <c r="D290" t="str">
        <f>IFERROR(VLOOKUP(C290,Config!$A:$B,2,0),"Unknown")</f>
        <v>In Development</v>
      </c>
      <c r="E290" t="str">
        <f>IFERROR(VLOOKUP(C290,Config!$A:$C,3,0),"N/A")</f>
        <v>Pending</v>
      </c>
      <c r="F290">
        <f>IF('SOW, Feedbacks-Bug &amp; CR_Items'!H290="","",'SOW, Feedbacks-Bug &amp; CR_Items'!H290)</f>
        <v>46194</v>
      </c>
    </row>
    <row r="291" spans="1:6">
      <c r="A291" t="str">
        <f>'SOW, Feedbacks-Bug &amp; CR_Items'!D291</f>
        <v>iWork</v>
      </c>
      <c r="B291" t="str">
        <f>'SOW, Feedbacks-Bug &amp; CR_Items'!E291</f>
        <v>Milestone 6</v>
      </c>
      <c r="C291" t="str">
        <f>'SOW, Feedbacks-Bug &amp; CR_Items'!F291</f>
        <v>Yet to start</v>
      </c>
      <c r="D291" t="str">
        <f>IFERROR(VLOOKUP(C291,Config!$A:$B,2,0),"Unknown")</f>
        <v>Not Started</v>
      </c>
      <c r="E291" t="str">
        <f>IFERROR(VLOOKUP(C291,Config!$A:$C,3,0),"N/A")</f>
        <v>Pending</v>
      </c>
      <c r="F291">
        <f>IF('SOW, Feedbacks-Bug &amp; CR_Items'!H291="","",'SOW, Feedbacks-Bug &amp; CR_Items'!H291)</f>
        <v>46198</v>
      </c>
    </row>
    <row r="292" spans="1:6">
      <c r="A292" t="str">
        <f>'SOW, Feedbacks-Bug &amp; CR_Items'!D292</f>
        <v>IBP/iWork</v>
      </c>
      <c r="B292" t="str">
        <f>'SOW, Feedbacks-Bug &amp; CR_Items'!E292</f>
        <v>Milestone 6</v>
      </c>
      <c r="C292" t="str">
        <f>'SOW, Feedbacks-Bug &amp; CR_Items'!F292</f>
        <v>Pre-PROD</v>
      </c>
      <c r="D292" t="str">
        <f>IFERROR(VLOOKUP(C292,Config!$A:$B,2,0),"Unknown")</f>
        <v>Pre-PROD / UAT</v>
      </c>
      <c r="E292" t="str">
        <f>IFERROR(VLOOKUP(C292,Config!$A:$C,3,0),"N/A")</f>
        <v>Pending</v>
      </c>
      <c r="F292">
        <f>IF('SOW, Feedbacks-Bug &amp; CR_Items'!H292="","",'SOW, Feedbacks-Bug &amp; CR_Items'!H292)</f>
        <v>46204</v>
      </c>
    </row>
    <row r="293" spans="1:6">
      <c r="A293" t="str">
        <f>'SOW, Feedbacks-Bug &amp; CR_Items'!D293</f>
        <v>IBP/iWork</v>
      </c>
      <c r="B293" t="str">
        <f>'SOW, Feedbacks-Bug &amp; CR_Items'!E293</f>
        <v>Milestone 6</v>
      </c>
      <c r="C293" t="str">
        <f>'SOW, Feedbacks-Bug &amp; CR_Items'!F293</f>
        <v>Delivered</v>
      </c>
      <c r="D293" t="str">
        <f>IFERROR(VLOOKUP(C293,Config!$A:$B,2,0),"Unknown")</f>
        <v>Delivered</v>
      </c>
      <c r="E293" t="str">
        <f>IFERROR(VLOOKUP(C293,Config!$A:$C,3,0),"N/A")</f>
        <v>Delivered</v>
      </c>
      <c r="F293">
        <f>IF('SOW, Feedbacks-Bug &amp; CR_Items'!H293="","",'SOW, Feedbacks-Bug &amp; CR_Items'!H293)</f>
        <v>46204</v>
      </c>
    </row>
    <row r="294" spans="1:6">
      <c r="A294" t="str">
        <f>'SOW, Feedbacks-Bug &amp; CR_Items'!D294</f>
        <v>iWork</v>
      </c>
      <c r="B294" t="str">
        <f>'SOW, Feedbacks-Bug &amp; CR_Items'!E294</f>
        <v>Milestone 6</v>
      </c>
      <c r="C294" t="str">
        <f>'SOW, Feedbacks-Bug &amp; CR_Items'!F294</f>
        <v>Dev - WIP</v>
      </c>
      <c r="D294" t="str">
        <f>IFERROR(VLOOKUP(C294,Config!$A:$B,2,0),"Unknown")</f>
        <v>In Development</v>
      </c>
      <c r="E294" t="str">
        <f>IFERROR(VLOOKUP(C294,Config!$A:$C,3,0),"N/A")</f>
        <v>Pending</v>
      </c>
      <c r="F294">
        <f>IF('SOW, Feedbacks-Bug &amp; CR_Items'!H294="","",'SOW, Feedbacks-Bug &amp; CR_Items'!H294)</f>
        <v>46198</v>
      </c>
    </row>
    <row r="295" spans="1:6">
      <c r="A295" t="str">
        <f>'SOW, Feedbacks-Bug &amp; CR_Items'!D295</f>
        <v>IBP - CR</v>
      </c>
      <c r="B295" t="str">
        <f>'SOW, Feedbacks-Bug &amp; CR_Items'!E295</f>
        <v>Milestone 6</v>
      </c>
      <c r="C295" t="str">
        <f>'SOW, Feedbacks-Bug &amp; CR_Items'!F295</f>
        <v>Delivered</v>
      </c>
      <c r="D295" t="str">
        <f>IFERROR(VLOOKUP(C295,Config!$A:$B,2,0),"Unknown")</f>
        <v>Delivered</v>
      </c>
      <c r="E295" t="str">
        <f>IFERROR(VLOOKUP(C295,Config!$A:$C,3,0),"N/A")</f>
        <v>Delivered</v>
      </c>
      <c r="F295">
        <f>IF('SOW, Feedbacks-Bug &amp; CR_Items'!H295="","",'SOW, Feedbacks-Bug &amp; CR_Items'!H295)</f>
        <v>46206</v>
      </c>
    </row>
    <row r="296" spans="1:6">
      <c r="A296" t="str">
        <f>'SOW, Feedbacks-Bug &amp; CR_Items'!D296</f>
        <v>IBP/iWork - CR</v>
      </c>
      <c r="B296" t="str">
        <f>'SOW, Feedbacks-Bug &amp; CR_Items'!E296</f>
        <v>Milestone 6</v>
      </c>
      <c r="C296" t="str">
        <f>'SOW, Feedbacks-Bug &amp; CR_Items'!F296</f>
        <v>Dev - WIP</v>
      </c>
      <c r="D296" t="str">
        <f>IFERROR(VLOOKUP(C296,Config!$A:$B,2,0),"Unknown")</f>
        <v>In Development</v>
      </c>
      <c r="E296" t="str">
        <f>IFERROR(VLOOKUP(C296,Config!$A:$C,3,0),"N/A")</f>
        <v>Pending</v>
      </c>
      <c r="F296">
        <f>IF('SOW, Feedbacks-Bug &amp; CR_Items'!H296="","",'SOW, Feedbacks-Bug &amp; CR_Items'!H296)</f>
        <v>46207</v>
      </c>
    </row>
    <row r="297" spans="1:6">
      <c r="A297" t="str">
        <f>'SOW, Feedbacks-Bug &amp; CR_Items'!D297</f>
        <v>iWork</v>
      </c>
      <c r="B297" t="str">
        <f>'SOW, Feedbacks-Bug &amp; CR_Items'!E297</f>
        <v>Milestone 6</v>
      </c>
      <c r="C297" t="str">
        <f>'SOW, Feedbacks-Bug &amp; CR_Items'!F297</f>
        <v>Delivered</v>
      </c>
      <c r="D297" t="str">
        <f>IFERROR(VLOOKUP(C297,Config!$A:$B,2,0),"Unknown")</f>
        <v>Delivered</v>
      </c>
      <c r="E297" t="str">
        <f>IFERROR(VLOOKUP(C297,Config!$A:$C,3,0),"N/A")</f>
        <v>Delivered</v>
      </c>
      <c r="F297">
        <f>IF('SOW, Feedbacks-Bug &amp; CR_Items'!H297="","",'SOW, Feedbacks-Bug &amp; CR_Items'!H297)</f>
        <v>46209</v>
      </c>
    </row>
    <row r="298" spans="1:6">
      <c r="A298" t="str">
        <f>'SOW, Feedbacks-Bug &amp; CR_Items'!D298</f>
        <v>iWork</v>
      </c>
      <c r="B298" t="str">
        <f>'SOW, Feedbacks-Bug &amp; CR_Items'!E298</f>
        <v>Milestone 6</v>
      </c>
      <c r="C298" t="str">
        <f>'SOW, Feedbacks-Bug &amp; CR_Items'!F298</f>
        <v>Delivered</v>
      </c>
      <c r="D298" t="str">
        <f>IFERROR(VLOOKUP(C298,Config!$A:$B,2,0),"Unknown")</f>
        <v>Delivered</v>
      </c>
      <c r="E298" t="str">
        <f>IFERROR(VLOOKUP(C298,Config!$A:$C,3,0),"N/A")</f>
        <v>Delivered</v>
      </c>
      <c r="F298">
        <f>IF('SOW, Feedbacks-Bug &amp; CR_Items'!H298="","",'SOW, Feedbacks-Bug &amp; CR_Items'!H298)</f>
        <v>46209</v>
      </c>
    </row>
    <row r="299" spans="1:6">
      <c r="A299" t="str">
        <f>'SOW, Feedbacks-Bug &amp; CR_Items'!D299</f>
        <v>IBP</v>
      </c>
      <c r="B299" t="str">
        <f>'SOW, Feedbacks-Bug &amp; CR_Items'!E299</f>
        <v>Milestone 6</v>
      </c>
      <c r="C299" t="str">
        <f>'SOW, Feedbacks-Bug &amp; CR_Items'!F299</f>
        <v>Delivered</v>
      </c>
      <c r="D299" t="str">
        <f>IFERROR(VLOOKUP(C299,Config!$A:$B,2,0),"Unknown")</f>
        <v>Delivered</v>
      </c>
      <c r="E299" t="str">
        <f>IFERROR(VLOOKUP(C299,Config!$A:$C,3,0),"N/A")</f>
        <v>Delivered</v>
      </c>
      <c r="F299">
        <f>IF('SOW, Feedbacks-Bug &amp; CR_Items'!H299="","",'SOW, Feedbacks-Bug &amp; CR_Items'!H299)</f>
        <v>46210</v>
      </c>
    </row>
    <row r="300" spans="1:6">
      <c r="A300" t="str">
        <f>'SOW, Feedbacks-Bug &amp; CR_Items'!D300</f>
        <v>IBP</v>
      </c>
      <c r="B300" t="str">
        <f>'SOW, Feedbacks-Bug &amp; CR_Items'!E300</f>
        <v>Milestone 6</v>
      </c>
      <c r="C300" t="str">
        <f>'SOW, Feedbacks-Bug &amp; CR_Items'!F300</f>
        <v>Delivered</v>
      </c>
      <c r="D300" t="str">
        <f>IFERROR(VLOOKUP(C300,Config!$A:$B,2,0),"Unknown")</f>
        <v>Delivered</v>
      </c>
      <c r="E300" t="str">
        <f>IFERROR(VLOOKUP(C300,Config!$A:$C,3,0),"N/A")</f>
        <v>Delivered</v>
      </c>
      <c r="F300">
        <f>IF('SOW, Feedbacks-Bug &amp; CR_Items'!H300="","",'SOW, Feedbacks-Bug &amp; CR_Items'!H300)</f>
        <v>46210</v>
      </c>
    </row>
    <row r="301" spans="1:6">
      <c r="A301" t="str">
        <f>'SOW, Feedbacks-Bug &amp; CR_Items'!D301</f>
        <v>IBP</v>
      </c>
      <c r="B301" t="str">
        <f>'SOW, Feedbacks-Bug &amp; CR_Items'!E301</f>
        <v>Milestone 6</v>
      </c>
      <c r="C301" t="str">
        <f>'SOW, Feedbacks-Bug &amp; CR_Items'!F301</f>
        <v>Delivered</v>
      </c>
      <c r="D301" t="str">
        <f>IFERROR(VLOOKUP(C301,Config!$A:$B,2,0),"Unknown")</f>
        <v>Delivered</v>
      </c>
      <c r="E301" t="str">
        <f>IFERROR(VLOOKUP(C301,Config!$A:$C,3,0),"N/A")</f>
        <v>Delivered</v>
      </c>
      <c r="F301">
        <f>IF('SOW, Feedbacks-Bug &amp; CR_Items'!H301="","",'SOW, Feedbacks-Bug &amp; CR_Items'!H301)</f>
        <v>46211</v>
      </c>
    </row>
    <row r="302" spans="1:6">
      <c r="A302" t="str">
        <f>'SOW, Feedbacks-Bug &amp; CR_Items'!D302</f>
        <v>iWork - CR</v>
      </c>
      <c r="B302" t="str">
        <f>'SOW, Feedbacks-Bug &amp; CR_Items'!E302</f>
        <v>Milestone 6</v>
      </c>
      <c r="C302" t="str">
        <f>'SOW, Feedbacks-Bug &amp; CR_Items'!F302</f>
        <v>Yet to start</v>
      </c>
      <c r="D302" t="str">
        <f>IFERROR(VLOOKUP(C302,Config!$A:$B,2,0),"Unknown")</f>
        <v>Not Started</v>
      </c>
      <c r="E302" t="str">
        <f>IFERROR(VLOOKUP(C302,Config!$A:$C,3,0),"N/A")</f>
        <v>Pending</v>
      </c>
      <c r="F302">
        <f>IF('SOW, Feedbacks-Bug &amp; CR_Items'!H302="","",'SOW, Feedbacks-Bug &amp; CR_Items'!H302)</f>
        <v>46198</v>
      </c>
    </row>
    <row r="303" spans="1:6">
      <c r="A303" t="str">
        <f>'SOW, Feedbacks-Bug &amp; CR_Items'!D303</f>
        <v>IBP - CR</v>
      </c>
      <c r="B303" t="str">
        <f>'SOW, Feedbacks-Bug &amp; CR_Items'!E303</f>
        <v>Milestone 6</v>
      </c>
      <c r="C303" t="str">
        <f>'SOW, Feedbacks-Bug &amp; CR_Items'!F303</f>
        <v>Delivered</v>
      </c>
      <c r="D303" t="str">
        <f>IFERROR(VLOOKUP(C303,Config!$A:$B,2,0),"Unknown")</f>
        <v>Delivered</v>
      </c>
      <c r="E303" t="str">
        <f>IFERROR(VLOOKUP(C303,Config!$A:$C,3,0),"N/A")</f>
        <v>Delivered</v>
      </c>
      <c r="F303">
        <f>IF('SOW, Feedbacks-Bug &amp; CR_Items'!H303="","",'SOW, Feedbacks-Bug &amp; CR_Items'!H303)</f>
        <v>46213</v>
      </c>
    </row>
    <row r="304" spans="1:6">
      <c r="A304" t="str">
        <f>'SOW, Feedbacks-Bug &amp; CR_Items'!D304</f>
        <v>IBP</v>
      </c>
      <c r="B304" t="str">
        <f>'SOW, Feedbacks-Bug &amp; CR_Items'!E304</f>
        <v>Milestone 6</v>
      </c>
      <c r="C304" t="str">
        <f>'SOW, Feedbacks-Bug &amp; CR_Items'!F304</f>
        <v>Delivered</v>
      </c>
      <c r="D304" t="str">
        <f>IFERROR(VLOOKUP(C304,Config!$A:$B,2,0),"Unknown")</f>
        <v>Delivered</v>
      </c>
      <c r="E304" t="str">
        <f>IFERROR(VLOOKUP(C304,Config!$A:$C,3,0),"N/A")</f>
        <v>Delivered</v>
      </c>
      <c r="F304">
        <f>IF('SOW, Feedbacks-Bug &amp; CR_Items'!H304="","",'SOW, Feedbacks-Bug &amp; CR_Items'!H304)</f>
        <v>46214</v>
      </c>
    </row>
    <row r="305" spans="1:6">
      <c r="A305" t="str">
        <f>'SOW, Feedbacks-Bug &amp; CR_Items'!D305</f>
        <v>iWork</v>
      </c>
      <c r="B305" t="str">
        <f>'SOW, Feedbacks-Bug &amp; CR_Items'!E305</f>
        <v>Milestone 6</v>
      </c>
      <c r="C305" t="str">
        <f>'SOW, Feedbacks-Bug &amp; CR_Items'!F305</f>
        <v>Delivered</v>
      </c>
      <c r="D305" t="str">
        <f>IFERROR(VLOOKUP(C305,Config!$A:$B,2,0),"Unknown")</f>
        <v>Delivered</v>
      </c>
      <c r="E305" t="str">
        <f>IFERROR(VLOOKUP(C305,Config!$A:$C,3,0),"N/A")</f>
        <v>Delivered</v>
      </c>
      <c r="F305">
        <f>IF('SOW, Feedbacks-Bug &amp; CR_Items'!H305="","",'SOW, Feedbacks-Bug &amp; CR_Items'!H305)</f>
        <v>46216</v>
      </c>
    </row>
    <row r="306" spans="1:6">
      <c r="A306" t="str">
        <f>'SOW, Feedbacks-Bug &amp; CR_Items'!D306</f>
        <v>iWork</v>
      </c>
      <c r="B306" t="str">
        <f>'SOW, Feedbacks-Bug &amp; CR_Items'!E306</f>
        <v>Milestone 6</v>
      </c>
      <c r="C306" t="str">
        <f>'SOW, Feedbacks-Bug &amp; CR_Items'!F306</f>
        <v>Delivered</v>
      </c>
      <c r="D306" t="str">
        <f>IFERROR(VLOOKUP(C306,Config!$A:$B,2,0),"Unknown")</f>
        <v>Delivered</v>
      </c>
      <c r="E306" t="str">
        <f>IFERROR(VLOOKUP(C306,Config!$A:$C,3,0),"N/A")</f>
        <v>Delivered</v>
      </c>
      <c r="F306">
        <f>IF('SOW, Feedbacks-Bug &amp; CR_Items'!H306="","",'SOW, Feedbacks-Bug &amp; CR_Items'!H306)</f>
        <v>46216</v>
      </c>
    </row>
    <row r="307" spans="1:6">
      <c r="A307" t="str">
        <f>'SOW, Feedbacks-Bug &amp; CR_Items'!D307</f>
        <v>iWork - CR</v>
      </c>
      <c r="B307" t="str">
        <f>'SOW, Feedbacks-Bug &amp; CR_Items'!E307</f>
        <v>Milestone 6</v>
      </c>
      <c r="C307" t="str">
        <f>'SOW, Feedbacks-Bug &amp; CR_Items'!F307</f>
        <v>Delivered</v>
      </c>
      <c r="D307" t="str">
        <f>IFERROR(VLOOKUP(C307,Config!$A:$B,2,0),"Unknown")</f>
        <v>Delivered</v>
      </c>
      <c r="E307" t="str">
        <f>IFERROR(VLOOKUP(C307,Config!$A:$C,3,0),"N/A")</f>
        <v>Delivered</v>
      </c>
      <c r="F307">
        <f>IF('SOW, Feedbacks-Bug &amp; CR_Items'!H307="","",'SOW, Feedbacks-Bug &amp; CR_Items'!H307)</f>
        <v>46216</v>
      </c>
    </row>
    <row r="308" spans="1:6">
      <c r="A308" t="str">
        <f>'SOW, Feedbacks-Bug &amp; CR_Items'!D308</f>
        <v>iWork - CR</v>
      </c>
      <c r="B308" t="str">
        <f>'SOW, Feedbacks-Bug &amp; CR_Items'!E308</f>
        <v>Milestone 6</v>
      </c>
      <c r="C308" t="str">
        <f>'SOW, Feedbacks-Bug &amp; CR_Items'!F308</f>
        <v>Delivered</v>
      </c>
      <c r="D308" t="str">
        <f>IFERROR(VLOOKUP(C308,Config!$A:$B,2,0),"Unknown")</f>
        <v>Delivered</v>
      </c>
      <c r="E308" t="str">
        <f>IFERROR(VLOOKUP(C308,Config!$A:$C,3,0),"N/A")</f>
        <v>Delivered</v>
      </c>
      <c r="F308">
        <f>IF('SOW, Feedbacks-Bug &amp; CR_Items'!H308="","",'SOW, Feedbacks-Bug &amp; CR_Items'!H308)</f>
        <v>46216</v>
      </c>
    </row>
    <row r="309" spans="1:6">
      <c r="A309" t="str">
        <f>'SOW, Feedbacks-Bug &amp; CR_Items'!D309</f>
        <v>iWork - CR</v>
      </c>
      <c r="B309" t="str">
        <f>'SOW, Feedbacks-Bug &amp; CR_Items'!E309</f>
        <v>Milestone 6</v>
      </c>
      <c r="C309" t="str">
        <f>'SOW, Feedbacks-Bug &amp; CR_Items'!F309</f>
        <v>Not in scope</v>
      </c>
      <c r="D309" t="str">
        <f>IFERROR(VLOOKUP(C309,Config!$A:$B,2,0),"Unknown")</f>
        <v>Delivered</v>
      </c>
      <c r="E309" t="str">
        <f>IFERROR(VLOOKUP(C309,Config!$A:$C,3,0),"N/A")</f>
        <v>Delivered</v>
      </c>
      <c r="F309">
        <f>IF('SOW, Feedbacks-Bug &amp; CR_Items'!H309="","",'SOW, Feedbacks-Bug &amp; CR_Items'!H309)</f>
        <v>46216</v>
      </c>
    </row>
    <row r="310" spans="1:6">
      <c r="A310" t="str">
        <f>'SOW, Feedbacks-Bug &amp; CR_Items'!D310</f>
        <v>iWork - CR</v>
      </c>
      <c r="B310" t="str">
        <f>'SOW, Feedbacks-Bug &amp; CR_Items'!E310</f>
        <v>Milestone 6</v>
      </c>
      <c r="C310" t="str">
        <f>'SOW, Feedbacks-Bug &amp; CR_Items'!F310</f>
        <v>Delivered</v>
      </c>
      <c r="D310" t="str">
        <f>IFERROR(VLOOKUP(C310,Config!$A:$B,2,0),"Unknown")</f>
        <v>Delivered</v>
      </c>
      <c r="E310" t="str">
        <f>IFERROR(VLOOKUP(C310,Config!$A:$C,3,0),"N/A")</f>
        <v>Delivered</v>
      </c>
      <c r="F310">
        <f>IF('SOW, Feedbacks-Bug &amp; CR_Items'!H310="","",'SOW, Feedbacks-Bug &amp; CR_Items'!H310)</f>
        <v>46216</v>
      </c>
    </row>
    <row r="311" spans="1:6">
      <c r="A311" t="str">
        <f>'SOW, Feedbacks-Bug &amp; CR_Items'!D311</f>
        <v>iWork - CR</v>
      </c>
      <c r="B311" t="str">
        <f>'SOW, Feedbacks-Bug &amp; CR_Items'!E311</f>
        <v>Milestone 6</v>
      </c>
      <c r="C311" t="str">
        <f>'SOW, Feedbacks-Bug &amp; CR_Items'!F311</f>
        <v>Delivered</v>
      </c>
      <c r="D311" t="str">
        <f>IFERROR(VLOOKUP(C311,Config!$A:$B,2,0),"Unknown")</f>
        <v>Delivered</v>
      </c>
      <c r="E311" t="str">
        <f>IFERROR(VLOOKUP(C311,Config!$A:$C,3,0),"N/A")</f>
        <v>Delivered</v>
      </c>
      <c r="F311">
        <f>IF('SOW, Feedbacks-Bug &amp; CR_Items'!H311="","",'SOW, Feedbacks-Bug &amp; CR_Items'!H311)</f>
        <v>46216</v>
      </c>
    </row>
    <row r="312" spans="1:6">
      <c r="A312" t="str">
        <f>'SOW, Feedbacks-Bug &amp; CR_Items'!D312</f>
        <v>iWork - CR</v>
      </c>
      <c r="B312" t="str">
        <f>'SOW, Feedbacks-Bug &amp; CR_Items'!E312</f>
        <v>Milestone 6</v>
      </c>
      <c r="C312" t="str">
        <f>'SOW, Feedbacks-Bug &amp; CR_Items'!F312</f>
        <v>Delivered</v>
      </c>
      <c r="D312" t="str">
        <f>IFERROR(VLOOKUP(C312,Config!$A:$B,2,0),"Unknown")</f>
        <v>Delivered</v>
      </c>
      <c r="E312" t="str">
        <f>IFERROR(VLOOKUP(C312,Config!$A:$C,3,0),"N/A")</f>
        <v>Delivered</v>
      </c>
      <c r="F312">
        <f>IF('SOW, Feedbacks-Bug &amp; CR_Items'!H312="","",'SOW, Feedbacks-Bug &amp; CR_Items'!H312)</f>
        <v>46216</v>
      </c>
    </row>
    <row r="313" spans="1:6">
      <c r="A313" t="str">
        <f>'SOW, Feedbacks-Bug &amp; CR_Items'!D313</f>
        <v>iWork - CR</v>
      </c>
      <c r="B313" t="str">
        <f>'SOW, Feedbacks-Bug &amp; CR_Items'!E313</f>
        <v>Milestone 6</v>
      </c>
      <c r="C313" t="str">
        <f>'SOW, Feedbacks-Bug &amp; CR_Items'!F313</f>
        <v>Delivered</v>
      </c>
      <c r="D313" t="str">
        <f>IFERROR(VLOOKUP(C313,Config!$A:$B,2,0),"Unknown")</f>
        <v>Delivered</v>
      </c>
      <c r="E313" t="str">
        <f>IFERROR(VLOOKUP(C313,Config!$A:$C,3,0),"N/A")</f>
        <v>Delivered</v>
      </c>
      <c r="F313">
        <f>IF('SOW, Feedbacks-Bug &amp; CR_Items'!H313="","",'SOW, Feedbacks-Bug &amp; CR_Items'!H313)</f>
        <v>46216</v>
      </c>
    </row>
    <row r="314" spans="1:6">
      <c r="A314" t="str">
        <f>'SOW, Feedbacks-Bug &amp; CR_Items'!D314</f>
        <v>iWork - CR</v>
      </c>
      <c r="B314" t="str">
        <f>'SOW, Feedbacks-Bug &amp; CR_Items'!E314</f>
        <v>Milestone 6</v>
      </c>
      <c r="C314" t="str">
        <f>'SOW, Feedbacks-Bug &amp; CR_Items'!F314</f>
        <v>Delivered</v>
      </c>
      <c r="D314" t="str">
        <f>IFERROR(VLOOKUP(C314,Config!$A:$B,2,0),"Unknown")</f>
        <v>Delivered</v>
      </c>
      <c r="E314" t="str">
        <f>IFERROR(VLOOKUP(C314,Config!$A:$C,3,0),"N/A")</f>
        <v>Delivered</v>
      </c>
      <c r="F314">
        <f>IF('SOW, Feedbacks-Bug &amp; CR_Items'!H314="","",'SOW, Feedbacks-Bug &amp; CR_Items'!H314)</f>
        <v>46216</v>
      </c>
    </row>
    <row r="315" spans="1:6">
      <c r="A315" t="str">
        <f>'SOW, Feedbacks-Bug &amp; CR_Items'!D315</f>
        <v>iWork - CR</v>
      </c>
      <c r="B315" t="str">
        <f>'SOW, Feedbacks-Bug &amp; CR_Items'!E315</f>
        <v>Milestone 6</v>
      </c>
      <c r="C315" t="str">
        <f>'SOW, Feedbacks-Bug &amp; CR_Items'!F315</f>
        <v>Delivered</v>
      </c>
      <c r="D315" t="str">
        <f>IFERROR(VLOOKUP(C315,Config!$A:$B,2,0),"Unknown")</f>
        <v>Delivered</v>
      </c>
      <c r="E315" t="str">
        <f>IFERROR(VLOOKUP(C315,Config!$A:$C,3,0),"N/A")</f>
        <v>Delivered</v>
      </c>
      <c r="F315">
        <f>IF('SOW, Feedbacks-Bug &amp; CR_Items'!H315="","",'SOW, Feedbacks-Bug &amp; CR_Items'!H315)</f>
        <v>46216</v>
      </c>
    </row>
    <row r="316" spans="1:6">
      <c r="A316" t="str">
        <f>'SOW, Feedbacks-Bug &amp; CR_Items'!D316</f>
        <v>iWork - CR</v>
      </c>
      <c r="B316" t="str">
        <f>'SOW, Feedbacks-Bug &amp; CR_Items'!E316</f>
        <v>Milestone 6</v>
      </c>
      <c r="C316" t="str">
        <f>'SOW, Feedbacks-Bug &amp; CR_Items'!F316</f>
        <v>Delivered</v>
      </c>
      <c r="D316" t="str">
        <f>IFERROR(VLOOKUP(C316,Config!$A:$B,2,0),"Unknown")</f>
        <v>Delivered</v>
      </c>
      <c r="E316" t="str">
        <f>IFERROR(VLOOKUP(C316,Config!$A:$C,3,0),"N/A")</f>
        <v>Delivered</v>
      </c>
      <c r="F316">
        <f>IF('SOW, Feedbacks-Bug &amp; CR_Items'!H316="","",'SOW, Feedbacks-Bug &amp; CR_Items'!H316)</f>
        <v>46216</v>
      </c>
    </row>
    <row r="317" spans="1:6">
      <c r="A317" t="str">
        <f>'SOW, Feedbacks-Bug &amp; CR_Items'!D317</f>
        <v>iWork - CR</v>
      </c>
      <c r="B317" t="str">
        <f>'SOW, Feedbacks-Bug &amp; CR_Items'!E317</f>
        <v>Milestone 6</v>
      </c>
      <c r="C317" t="str">
        <f>'SOW, Feedbacks-Bug &amp; CR_Items'!F317</f>
        <v>Delivered</v>
      </c>
      <c r="D317" t="str">
        <f>IFERROR(VLOOKUP(C317,Config!$A:$B,2,0),"Unknown")</f>
        <v>Delivered</v>
      </c>
      <c r="E317" t="str">
        <f>IFERROR(VLOOKUP(C317,Config!$A:$C,3,0),"N/A")</f>
        <v>Delivered</v>
      </c>
      <c r="F317">
        <f>IF('SOW, Feedbacks-Bug &amp; CR_Items'!H317="","",'SOW, Feedbacks-Bug &amp; CR_Items'!H317)</f>
        <v>46216</v>
      </c>
    </row>
    <row r="318" spans="1:6">
      <c r="A318" t="str">
        <f>'SOW, Feedbacks-Bug &amp; CR_Items'!D318</f>
        <v>iWork - CR</v>
      </c>
      <c r="B318" t="str">
        <f>'SOW, Feedbacks-Bug &amp; CR_Items'!E318</f>
        <v>Milestone 6</v>
      </c>
      <c r="C318" t="str">
        <f>'SOW, Feedbacks-Bug &amp; CR_Items'!F318</f>
        <v>Delivered</v>
      </c>
      <c r="D318" t="str">
        <f>IFERROR(VLOOKUP(C318,Config!$A:$B,2,0),"Unknown")</f>
        <v>Delivered</v>
      </c>
      <c r="E318" t="str">
        <f>IFERROR(VLOOKUP(C318,Config!$A:$C,3,0),"N/A")</f>
        <v>Delivered</v>
      </c>
      <c r="F318">
        <f>IF('SOW, Feedbacks-Bug &amp; CR_Items'!H318="","",'SOW, Feedbacks-Bug &amp; CR_Items'!H318)</f>
        <v>46216</v>
      </c>
    </row>
    <row r="319" spans="1:6">
      <c r="A319" t="str">
        <f>'SOW, Feedbacks-Bug &amp; CR_Items'!D319</f>
        <v>iWork - CR</v>
      </c>
      <c r="B319" t="str">
        <f>'SOW, Feedbacks-Bug &amp; CR_Items'!E319</f>
        <v>Milestone 6</v>
      </c>
      <c r="C319" t="str">
        <f>'SOW, Feedbacks-Bug &amp; CR_Items'!F319</f>
        <v>Delivered</v>
      </c>
      <c r="D319" t="str">
        <f>IFERROR(VLOOKUP(C319,Config!$A:$B,2,0),"Unknown")</f>
        <v>Delivered</v>
      </c>
      <c r="E319" t="str">
        <f>IFERROR(VLOOKUP(C319,Config!$A:$C,3,0),"N/A")</f>
        <v>Delivered</v>
      </c>
      <c r="F319">
        <f>IF('SOW, Feedbacks-Bug &amp; CR_Items'!H319="","",'SOW, Feedbacks-Bug &amp; CR_Items'!H319)</f>
        <v>46216</v>
      </c>
    </row>
    <row r="320" spans="1:6">
      <c r="A320" t="str">
        <f>'SOW, Feedbacks-Bug &amp; CR_Items'!D320</f>
        <v>iWork - CR</v>
      </c>
      <c r="B320" t="str">
        <f>'SOW, Feedbacks-Bug &amp; CR_Items'!E320</f>
        <v>Milestone 6</v>
      </c>
      <c r="C320" t="str">
        <f>'SOW, Feedbacks-Bug &amp; CR_Items'!F320</f>
        <v>Delivered</v>
      </c>
      <c r="D320" t="str">
        <f>IFERROR(VLOOKUP(C320,Config!$A:$B,2,0),"Unknown")</f>
        <v>Delivered</v>
      </c>
      <c r="E320" t="str">
        <f>IFERROR(VLOOKUP(C320,Config!$A:$C,3,0),"N/A")</f>
        <v>Delivered</v>
      </c>
      <c r="F320">
        <f>IF('SOW, Feedbacks-Bug &amp; CR_Items'!H320="","",'SOW, Feedbacks-Bug &amp; CR_Items'!H320)</f>
        <v>46216</v>
      </c>
    </row>
    <row r="321" spans="1:6">
      <c r="A321" t="str">
        <f>'SOW, Feedbacks-Bug &amp; CR_Items'!D321</f>
        <v>iWork - CR</v>
      </c>
      <c r="B321" t="str">
        <f>'SOW, Feedbacks-Bug &amp; CR_Items'!E321</f>
        <v>Milestone 6</v>
      </c>
      <c r="C321" t="str">
        <f>'SOW, Feedbacks-Bug &amp; CR_Items'!F321</f>
        <v>Delivered</v>
      </c>
      <c r="D321" t="str">
        <f>IFERROR(VLOOKUP(C321,Config!$A:$B,2,0),"Unknown")</f>
        <v>Delivered</v>
      </c>
      <c r="E321" t="str">
        <f>IFERROR(VLOOKUP(C321,Config!$A:$C,3,0),"N/A")</f>
        <v>Delivered</v>
      </c>
      <c r="F321">
        <f>IF('SOW, Feedbacks-Bug &amp; CR_Items'!H321="","",'SOW, Feedbacks-Bug &amp; CR_Items'!H321)</f>
        <v>46216</v>
      </c>
    </row>
    <row r="322" spans="1:6">
      <c r="A322" t="str">
        <f>'SOW, Feedbacks-Bug &amp; CR_Items'!D322</f>
        <v>IBP/iWork</v>
      </c>
      <c r="B322" t="str">
        <f>'SOW, Feedbacks-Bug &amp; CR_Items'!E322</f>
        <v>Milestone 6</v>
      </c>
      <c r="C322" t="str">
        <f>'SOW, Feedbacks-Bug &amp; CR_Items'!F322</f>
        <v>Yet to start</v>
      </c>
      <c r="D322" t="str">
        <f>IFERROR(VLOOKUP(C322,Config!$A:$B,2,0),"Unknown")</f>
        <v>Not Started</v>
      </c>
      <c r="E322" t="str">
        <f>IFERROR(VLOOKUP(C322,Config!$A:$C,3,0),"N/A")</f>
        <v>Pending</v>
      </c>
      <c r="F322">
        <f>IF('SOW, Feedbacks-Bug &amp; CR_Items'!H322="","",'SOW, Feedbacks-Bug &amp; CR_Items'!H322)</f>
        <v>46212</v>
      </c>
    </row>
    <row r="323" spans="1:6">
      <c r="A323" t="str">
        <f>'SOW, Feedbacks-Bug &amp; CR_Items'!D323</f>
        <v>iWork</v>
      </c>
      <c r="B323" t="str">
        <f>'SOW, Feedbacks-Bug &amp; CR_Items'!E323</f>
        <v>Milestone 6</v>
      </c>
      <c r="C323" t="str">
        <f>'SOW, Feedbacks-Bug &amp; CR_Items'!F323</f>
        <v>Delivered</v>
      </c>
      <c r="D323" t="str">
        <f>IFERROR(VLOOKUP(C323,Config!$A:$B,2,0),"Unknown")</f>
        <v>Delivered</v>
      </c>
      <c r="E323" t="str">
        <f>IFERROR(VLOOKUP(C323,Config!$A:$C,3,0),"N/A")</f>
        <v>Delivered</v>
      </c>
      <c r="F323">
        <f>IF('SOW, Feedbacks-Bug &amp; CR_Items'!H323="","",'SOW, Feedbacks-Bug &amp; CR_Items'!H323)</f>
        <v>46217</v>
      </c>
    </row>
    <row r="324" spans="1:6">
      <c r="A324" t="str">
        <f>'SOW, Feedbacks-Bug &amp; CR_Items'!D324</f>
        <v>iWork</v>
      </c>
      <c r="B324" t="str">
        <f>'SOW, Feedbacks-Bug &amp; CR_Items'!E324</f>
        <v>Milestone 6</v>
      </c>
      <c r="C324" t="str">
        <f>'SOW, Feedbacks-Bug &amp; CR_Items'!F324</f>
        <v>Delivered</v>
      </c>
      <c r="D324" t="str">
        <f>IFERROR(VLOOKUP(C324,Config!$A:$B,2,0),"Unknown")</f>
        <v>Delivered</v>
      </c>
      <c r="E324" t="str">
        <f>IFERROR(VLOOKUP(C324,Config!$A:$C,3,0),"N/A")</f>
        <v>Delivered</v>
      </c>
      <c r="F324">
        <f>IF('SOW, Feedbacks-Bug &amp; CR_Items'!H324="","",'SOW, Feedbacks-Bug &amp; CR_Items'!H324)</f>
        <v>46220</v>
      </c>
    </row>
    <row r="325" spans="1:6">
      <c r="A325" t="str">
        <f>'SOW, Feedbacks-Bug &amp; CR_Items'!D325</f>
        <v>IBP/iWork - CR</v>
      </c>
      <c r="B325" t="str">
        <f>'SOW, Feedbacks-Bug &amp; CR_Items'!E325</f>
        <v>Milestone 6</v>
      </c>
      <c r="C325" t="str">
        <f>'SOW, Feedbacks-Bug &amp; CR_Items'!F325</f>
        <v>Yet to start</v>
      </c>
      <c r="D325" t="str">
        <f>IFERROR(VLOOKUP(C325,Config!$A:$B,2,0),"Unknown")</f>
        <v>Not Started</v>
      </c>
      <c r="E325" t="str">
        <f>IFERROR(VLOOKUP(C325,Config!$A:$C,3,0),"N/A")</f>
        <v>Pending</v>
      </c>
      <c r="F325">
        <f>IF('SOW, Feedbacks-Bug &amp; CR_Items'!H325="","",'SOW, Feedbacks-Bug &amp; CR_Items'!H325)</f>
        <v>46217</v>
      </c>
    </row>
    <row r="326" spans="1:6">
      <c r="A326" t="str">
        <f>'SOW, Feedbacks-Bug &amp; CR_Items'!D326</f>
        <v>iWork</v>
      </c>
      <c r="B326" t="str">
        <f>'SOW, Feedbacks-Bug &amp; CR_Items'!E326</f>
        <v>Milestone 6</v>
      </c>
      <c r="C326" t="str">
        <f>'SOW, Feedbacks-Bug &amp; CR_Items'!F326</f>
        <v>Delivered</v>
      </c>
      <c r="D326" t="str">
        <f>IFERROR(VLOOKUP(C326,Config!$A:$B,2,0),"Unknown")</f>
        <v>Delivered</v>
      </c>
      <c r="E326" t="str">
        <f>IFERROR(VLOOKUP(C326,Config!$A:$C,3,0),"N/A")</f>
        <v>Delivered</v>
      </c>
      <c r="F326">
        <f>IF('SOW, Feedbacks-Bug &amp; CR_Items'!H326="","",'SOW, Feedbacks-Bug &amp; CR_Items'!H326)</f>
        <v>46223</v>
      </c>
    </row>
    <row r="327" spans="1:6">
      <c r="A327" t="str">
        <f>'SOW, Feedbacks-Bug &amp; CR_Items'!D327</f>
        <v>iWork</v>
      </c>
      <c r="B327" t="str">
        <f>'SOW, Feedbacks-Bug &amp; CR_Items'!E327</f>
        <v>Milestone 6</v>
      </c>
      <c r="C327" t="str">
        <f>'SOW, Feedbacks-Bug &amp; CR_Items'!F327</f>
        <v>Delivered</v>
      </c>
      <c r="D327" t="str">
        <f>IFERROR(VLOOKUP(C327,Config!$A:$B,2,0),"Unknown")</f>
        <v>Delivered</v>
      </c>
      <c r="E327" t="str">
        <f>IFERROR(VLOOKUP(C327,Config!$A:$C,3,0),"N/A")</f>
        <v>Delivered</v>
      </c>
      <c r="F327">
        <f>IF('SOW, Feedbacks-Bug &amp; CR_Items'!H327="","",'SOW, Feedbacks-Bug &amp; CR_Items'!H327)</f>
        <v>46223</v>
      </c>
    </row>
    <row r="328" spans="1:6">
      <c r="A328" t="str">
        <f>'SOW, Feedbacks-Bug &amp; CR_Items'!D328</f>
        <v>iWork</v>
      </c>
      <c r="B328" t="str">
        <f>'SOW, Feedbacks-Bug &amp; CR_Items'!E328</f>
        <v>Milestone 6</v>
      </c>
      <c r="C328" t="str">
        <f>'SOW, Feedbacks-Bug &amp; CR_Items'!F328</f>
        <v>Delivered</v>
      </c>
      <c r="D328" t="str">
        <f>IFERROR(VLOOKUP(C328,Config!$A:$B,2,0),"Unknown")</f>
        <v>Delivered</v>
      </c>
      <c r="E328" t="str">
        <f>IFERROR(VLOOKUP(C328,Config!$A:$C,3,0),"N/A")</f>
        <v>Delivered</v>
      </c>
      <c r="F328">
        <f>IF('SOW, Feedbacks-Bug &amp; CR_Items'!H328="","",'SOW, Feedbacks-Bug &amp; CR_Items'!H328)</f>
        <v>46223</v>
      </c>
    </row>
    <row r="329" spans="1:6">
      <c r="A329" t="str">
        <f>'SOW, Feedbacks-Bug &amp; CR_Items'!D329</f>
        <v>iWork</v>
      </c>
      <c r="B329" t="str">
        <f>'SOW, Feedbacks-Bug &amp; CR_Items'!E329</f>
        <v>Milestone 6</v>
      </c>
      <c r="C329" t="str">
        <f>'SOW, Feedbacks-Bug &amp; CR_Items'!F329</f>
        <v>Delivered</v>
      </c>
      <c r="D329" t="str">
        <f>IFERROR(VLOOKUP(C329,Config!$A:$B,2,0),"Unknown")</f>
        <v>Delivered</v>
      </c>
      <c r="E329" t="str">
        <f>IFERROR(VLOOKUP(C329,Config!$A:$C,3,0),"N/A")</f>
        <v>Delivered</v>
      </c>
      <c r="F329">
        <f>IF('SOW, Feedbacks-Bug &amp; CR_Items'!H329="","",'SOW, Feedbacks-Bug &amp; CR_Items'!H329)</f>
        <v>46223</v>
      </c>
    </row>
    <row r="330" spans="1:6">
      <c r="A330" t="str">
        <f>'SOW, Feedbacks-Bug &amp; CR_Items'!D330</f>
        <v>iWork</v>
      </c>
      <c r="B330" t="str">
        <f>'SOW, Feedbacks-Bug &amp; CR_Items'!E330</f>
        <v>Milestone 6</v>
      </c>
      <c r="C330" t="str">
        <f>'SOW, Feedbacks-Bug &amp; CR_Items'!F330</f>
        <v>Delivered</v>
      </c>
      <c r="D330" t="str">
        <f>IFERROR(VLOOKUP(C330,Config!$A:$B,2,0),"Unknown")</f>
        <v>Delivered</v>
      </c>
      <c r="E330" t="str">
        <f>IFERROR(VLOOKUP(C330,Config!$A:$C,3,0),"N/A")</f>
        <v>Delivered</v>
      </c>
      <c r="F330">
        <f>IF('SOW, Feedbacks-Bug &amp; CR_Items'!H330="","",'SOW, Feedbacks-Bug &amp; CR_Items'!H330)</f>
        <v>46223</v>
      </c>
    </row>
    <row r="331" spans="1:6">
      <c r="A331" t="str">
        <f>'SOW, Feedbacks-Bug &amp; CR_Items'!D331</f>
        <v>iWork</v>
      </c>
      <c r="B331" t="str">
        <f>'SOW, Feedbacks-Bug &amp; CR_Items'!E331</f>
        <v>Milestone 6</v>
      </c>
      <c r="C331" t="str">
        <f>'SOW, Feedbacks-Bug &amp; CR_Items'!F331</f>
        <v>Delivered</v>
      </c>
      <c r="D331" t="str">
        <f>IFERROR(VLOOKUP(C331,Config!$A:$B,2,0),"Unknown")</f>
        <v>Delivered</v>
      </c>
      <c r="E331" t="str">
        <f>IFERROR(VLOOKUP(C331,Config!$A:$C,3,0),"N/A")</f>
        <v>Delivered</v>
      </c>
      <c r="F331">
        <f>IF('SOW, Feedbacks-Bug &amp; CR_Items'!H331="","",'SOW, Feedbacks-Bug &amp; CR_Items'!H331)</f>
        <v>46223</v>
      </c>
    </row>
    <row r="332" spans="1:6">
      <c r="A332" t="str">
        <f>'SOW, Feedbacks-Bug &amp; CR_Items'!D332</f>
        <v>iWork</v>
      </c>
      <c r="B332" t="str">
        <f>'SOW, Feedbacks-Bug &amp; CR_Items'!E332</f>
        <v>Milestone 6</v>
      </c>
      <c r="C332" t="str">
        <f>'SOW, Feedbacks-Bug &amp; CR_Items'!F332</f>
        <v>Delivered</v>
      </c>
      <c r="D332" t="str">
        <f>IFERROR(VLOOKUP(C332,Config!$A:$B,2,0),"Unknown")</f>
        <v>Delivered</v>
      </c>
      <c r="E332" t="str">
        <f>IFERROR(VLOOKUP(C332,Config!$A:$C,3,0),"N/A")</f>
        <v>Delivered</v>
      </c>
      <c r="F332">
        <f>IF('SOW, Feedbacks-Bug &amp; CR_Items'!H332="","",'SOW, Feedbacks-Bug &amp; CR_Items'!H332)</f>
        <v>46223</v>
      </c>
    </row>
    <row r="333" spans="1:6">
      <c r="A333" t="str">
        <f>'SOW, Feedbacks-Bug &amp; CR_Items'!D333</f>
        <v>iWork</v>
      </c>
      <c r="B333" t="str">
        <f>'SOW, Feedbacks-Bug &amp; CR_Items'!E333</f>
        <v>Milestone 6</v>
      </c>
      <c r="C333" t="str">
        <f>'SOW, Feedbacks-Bug &amp; CR_Items'!F333</f>
        <v>Delivered</v>
      </c>
      <c r="D333" t="str">
        <f>IFERROR(VLOOKUP(C333,Config!$A:$B,2,0),"Unknown")</f>
        <v>Delivered</v>
      </c>
      <c r="E333" t="str">
        <f>IFERROR(VLOOKUP(C333,Config!$A:$C,3,0),"N/A")</f>
        <v>Delivered</v>
      </c>
      <c r="F333">
        <f>IF('SOW, Feedbacks-Bug &amp; CR_Items'!H333="","",'SOW, Feedbacks-Bug &amp; CR_Items'!H333)</f>
        <v>46224</v>
      </c>
    </row>
    <row r="334" spans="1:6">
      <c r="A334" t="str">
        <f>'SOW, Feedbacks-Bug &amp; CR_Items'!D334</f>
        <v>iWork</v>
      </c>
      <c r="B334" t="str">
        <f>'SOW, Feedbacks-Bug &amp; CR_Items'!E334</f>
        <v>Milestone 6</v>
      </c>
      <c r="C334" t="str">
        <f>'SOW, Feedbacks-Bug &amp; CR_Items'!F334</f>
        <v>Delivered</v>
      </c>
      <c r="D334" t="str">
        <f>IFERROR(VLOOKUP(C334,Config!$A:$B,2,0),"Unknown")</f>
        <v>Delivered</v>
      </c>
      <c r="E334" t="str">
        <f>IFERROR(VLOOKUP(C334,Config!$A:$C,3,0),"N/A")</f>
        <v>Delivered</v>
      </c>
      <c r="F334">
        <f>IF('SOW, Feedbacks-Bug &amp; CR_Items'!H334="","",'SOW, Feedbacks-Bug &amp; CR_Items'!H334)</f>
        <v>46224</v>
      </c>
    </row>
    <row r="335" spans="1:6">
      <c r="A335" t="str">
        <f>'SOW, Feedbacks-Bug &amp; CR_Items'!D335</f>
        <v>iWork</v>
      </c>
      <c r="B335" t="str">
        <f>'SOW, Feedbacks-Bug &amp; CR_Items'!E335</f>
        <v>Milestone 6</v>
      </c>
      <c r="C335" t="str">
        <f>'SOW, Feedbacks-Bug &amp; CR_Items'!F335</f>
        <v>Delivered</v>
      </c>
      <c r="D335" t="str">
        <f>IFERROR(VLOOKUP(C335,Config!$A:$B,2,0),"Unknown")</f>
        <v>Delivered</v>
      </c>
      <c r="E335" t="str">
        <f>IFERROR(VLOOKUP(C335,Config!$A:$C,3,0),"N/A")</f>
        <v>Delivered</v>
      </c>
      <c r="F335">
        <f>IF('SOW, Feedbacks-Bug &amp; CR_Items'!H335="","",'SOW, Feedbacks-Bug &amp; CR_Items'!H335)</f>
        <v>46225</v>
      </c>
    </row>
    <row r="336" spans="1:6">
      <c r="A336" t="str">
        <f>'SOW, Feedbacks-Bug &amp; CR_Items'!D336</f>
        <v>iWork</v>
      </c>
      <c r="B336" t="str">
        <f>'SOW, Feedbacks-Bug &amp; CR_Items'!E336</f>
        <v>Milestone 6</v>
      </c>
      <c r="C336" t="str">
        <f>'SOW, Feedbacks-Bug &amp; CR_Items'!F336</f>
        <v>Delivered</v>
      </c>
      <c r="D336" t="str">
        <f>IFERROR(VLOOKUP(C336,Config!$A:$B,2,0),"Unknown")</f>
        <v>Delivered</v>
      </c>
      <c r="E336" t="str">
        <f>IFERROR(VLOOKUP(C336,Config!$A:$C,3,0),"N/A")</f>
        <v>Delivered</v>
      </c>
      <c r="F336">
        <f>IF('SOW, Feedbacks-Bug &amp; CR_Items'!H336="","",'SOW, Feedbacks-Bug &amp; CR_Items'!H336)</f>
        <v>46226</v>
      </c>
    </row>
    <row r="337" spans="1:6">
      <c r="A337" t="str">
        <f>'SOW, Feedbacks-Bug &amp; CR_Items'!D337</f>
        <v>iWork</v>
      </c>
      <c r="B337" t="str">
        <f>'SOW, Feedbacks-Bug &amp; CR_Items'!E337</f>
        <v>Milestone 6</v>
      </c>
      <c r="C337" t="str">
        <f>'SOW, Feedbacks-Bug &amp; CR_Items'!F337</f>
        <v>Delivered</v>
      </c>
      <c r="D337" t="str">
        <f>IFERROR(VLOOKUP(C337,Config!$A:$B,2,0),"Unknown")</f>
        <v>Delivered</v>
      </c>
      <c r="E337" t="str">
        <f>IFERROR(VLOOKUP(C337,Config!$A:$C,3,0),"N/A")</f>
        <v>Delivered</v>
      </c>
      <c r="F337">
        <f>IF('SOW, Feedbacks-Bug &amp; CR_Items'!H337="","",'SOW, Feedbacks-Bug &amp; CR_Items'!H337)</f>
        <v>46226</v>
      </c>
    </row>
    <row r="338" spans="1:6">
      <c r="A338" t="str">
        <f>'SOW, Feedbacks-Bug &amp; CR_Items'!D338</f>
        <v>iWork</v>
      </c>
      <c r="B338" t="str">
        <f>'SOW, Feedbacks-Bug &amp; CR_Items'!E338</f>
        <v>Milestone 6</v>
      </c>
      <c r="C338" t="str">
        <f>'SOW, Feedbacks-Bug &amp; CR_Items'!F338</f>
        <v>Delivered</v>
      </c>
      <c r="D338" t="str">
        <f>IFERROR(VLOOKUP(C338,Config!$A:$B,2,0),"Unknown")</f>
        <v>Delivered</v>
      </c>
      <c r="E338" t="str">
        <f>IFERROR(VLOOKUP(C338,Config!$A:$C,3,0),"N/A")</f>
        <v>Delivered</v>
      </c>
      <c r="F338">
        <f>IF('SOW, Feedbacks-Bug &amp; CR_Items'!H338="","",'SOW, Feedbacks-Bug &amp; CR_Items'!H338)</f>
        <v>46226</v>
      </c>
    </row>
    <row r="339" spans="1:6">
      <c r="A339" t="str">
        <f>'SOW, Feedbacks-Bug &amp; CR_Items'!D339</f>
        <v>iWork</v>
      </c>
      <c r="B339" t="str">
        <f>'SOW, Feedbacks-Bug &amp; CR_Items'!E339</f>
        <v>Milestone 6</v>
      </c>
      <c r="C339" t="str">
        <f>'SOW, Feedbacks-Bug &amp; CR_Items'!F339</f>
        <v>Delivered</v>
      </c>
      <c r="D339" t="str">
        <f>IFERROR(VLOOKUP(C339,Config!$A:$B,2,0),"Unknown")</f>
        <v>Delivered</v>
      </c>
      <c r="E339" t="str">
        <f>IFERROR(VLOOKUP(C339,Config!$A:$C,3,0),"N/A")</f>
        <v>Delivered</v>
      </c>
      <c r="F339">
        <f>IF('SOW, Feedbacks-Bug &amp; CR_Items'!H339="","",'SOW, Feedbacks-Bug &amp; CR_Items'!H339)</f>
        <v>46226</v>
      </c>
    </row>
    <row r="340" spans="1:6">
      <c r="A340" t="str">
        <f>'SOW, Feedbacks-Bug &amp; CR_Items'!D340</f>
        <v>iWork</v>
      </c>
      <c r="B340" t="str">
        <f>'SOW, Feedbacks-Bug &amp; CR_Items'!E340</f>
        <v>Milestone 6</v>
      </c>
      <c r="C340" t="str">
        <f>'SOW, Feedbacks-Bug &amp; CR_Items'!F340</f>
        <v>Delivered</v>
      </c>
      <c r="D340" t="str">
        <f>IFERROR(VLOOKUP(C340,Config!$A:$B,2,0),"Unknown")</f>
        <v>Delivered</v>
      </c>
      <c r="E340" t="str">
        <f>IFERROR(VLOOKUP(C340,Config!$A:$C,3,0),"N/A")</f>
        <v>Delivered</v>
      </c>
      <c r="F340">
        <f>IF('SOW, Feedbacks-Bug &amp; CR_Items'!H340="","",'SOW, Feedbacks-Bug &amp; CR_Items'!H340)</f>
        <v>46226</v>
      </c>
    </row>
    <row r="341" spans="1:6">
      <c r="A341" t="str">
        <f>'SOW, Feedbacks-Bug &amp; CR_Items'!D341</f>
        <v>iWork</v>
      </c>
      <c r="B341" t="str">
        <f>'SOW, Feedbacks-Bug &amp; CR_Items'!E341</f>
        <v>Milestone 6</v>
      </c>
      <c r="C341" t="str">
        <f>'SOW, Feedbacks-Bug &amp; CR_Items'!F341</f>
        <v>Delivered</v>
      </c>
      <c r="D341" t="str">
        <f>IFERROR(VLOOKUP(C341,Config!$A:$B,2,0),"Unknown")</f>
        <v>Delivered</v>
      </c>
      <c r="E341" t="str">
        <f>IFERROR(VLOOKUP(C341,Config!$A:$C,3,0),"N/A")</f>
        <v>Delivered</v>
      </c>
      <c r="F341">
        <f>IF('SOW, Feedbacks-Bug &amp; CR_Items'!H341="","",'SOW, Feedbacks-Bug &amp; CR_Items'!H341)</f>
        <v>46227</v>
      </c>
    </row>
    <row r="342" spans="1:6">
      <c r="A342" t="str">
        <f>'SOW, Feedbacks-Bug &amp; CR_Items'!D342</f>
        <v>iWork</v>
      </c>
      <c r="B342" t="str">
        <f>'SOW, Feedbacks-Bug &amp; CR_Items'!E342</f>
        <v>Milestone 6</v>
      </c>
      <c r="C342" t="str">
        <f>'SOW, Feedbacks-Bug &amp; CR_Items'!F342</f>
        <v>Delivered</v>
      </c>
      <c r="D342" t="str">
        <f>IFERROR(VLOOKUP(C342,Config!$A:$B,2,0),"Unknown")</f>
        <v>Delivered</v>
      </c>
      <c r="E342" t="str">
        <f>IFERROR(VLOOKUP(C342,Config!$A:$C,3,0),"N/A")</f>
        <v>Delivered</v>
      </c>
      <c r="F342">
        <f>IF('SOW, Feedbacks-Bug &amp; CR_Items'!H342="","",'SOW, Feedbacks-Bug &amp; CR_Items'!H342)</f>
        <v>46227</v>
      </c>
    </row>
    <row r="343" spans="1:6">
      <c r="A343" t="str">
        <f>'SOW, Feedbacks-Bug &amp; CR_Items'!D343</f>
        <v>iWork - CR</v>
      </c>
      <c r="B343" t="str">
        <f>'SOW, Feedbacks-Bug &amp; CR_Items'!E343</f>
        <v>Milestone 6</v>
      </c>
      <c r="C343" t="str">
        <f>'SOW, Feedbacks-Bug &amp; CR_Items'!F343</f>
        <v>Yet to start</v>
      </c>
      <c r="D343" t="str">
        <f>IFERROR(VLOOKUP(C343,Config!$A:$B,2,0),"Unknown")</f>
        <v>Not Started</v>
      </c>
      <c r="E343" t="str">
        <f>IFERROR(VLOOKUP(C343,Config!$A:$C,3,0),"N/A")</f>
        <v>Pending</v>
      </c>
      <c r="F343">
        <f>IF('SOW, Feedbacks-Bug &amp; CR_Items'!H343="","",'SOW, Feedbacks-Bug &amp; CR_Items'!H343)</f>
        <v>46220</v>
      </c>
    </row>
    <row r="344" spans="1:6">
      <c r="A344" t="str">
        <f>'SOW, Feedbacks-Bug &amp; CR_Items'!D344</f>
        <v>IBP</v>
      </c>
      <c r="B344" t="str">
        <f>'SOW, Feedbacks-Bug &amp; CR_Items'!E344</f>
        <v>Milestone 4</v>
      </c>
      <c r="C344" t="str">
        <f>'SOW, Feedbacks-Bug &amp; CR_Items'!F344</f>
        <v>Pre-PROD</v>
      </c>
      <c r="D344" t="str">
        <f>IFERROR(VLOOKUP(C344,Config!$A:$B,2,0),"Unknown")</f>
        <v>Pre-PROD / UAT</v>
      </c>
      <c r="E344" t="str">
        <f>IFERROR(VLOOKUP(C344,Config!$A:$C,3,0),"N/A")</f>
        <v>Pending</v>
      </c>
      <c r="F344">
        <f>IF('SOW, Feedbacks-Bug &amp; CR_Items'!H344="","",'SOW, Feedbacks-Bug &amp; CR_Items'!H344)</f>
        <v>45818</v>
      </c>
    </row>
    <row r="345" spans="1:6">
      <c r="A345" t="str">
        <f>'SOW, Feedbacks-Bug &amp; CR_Items'!D345</f>
        <v>IBP/iWork</v>
      </c>
      <c r="B345" t="str">
        <f>'SOW, Feedbacks-Bug &amp; CR_Items'!E345</f>
        <v>Milestone 6</v>
      </c>
      <c r="C345" t="str">
        <f>'SOW, Feedbacks-Bug &amp; CR_Items'!F345</f>
        <v>Yet to start</v>
      </c>
      <c r="D345" t="str">
        <f>IFERROR(VLOOKUP(C345,Config!$A:$B,2,0),"Unknown")</f>
        <v>Not Started</v>
      </c>
      <c r="E345" t="str">
        <f>IFERROR(VLOOKUP(C345,Config!$A:$C,3,0),"N/A")</f>
        <v>Pending</v>
      </c>
      <c r="F345">
        <f>IF('SOW, Feedbacks-Bug &amp; CR_Items'!H345="","",'SOW, Feedbacks-Bug &amp; CR_Items'!H345)</f>
        <v>46227</v>
      </c>
    </row>
    <row r="346" spans="1:6">
      <c r="A346" t="str">
        <f>'SOW, Feedbacks-Bug &amp; CR_Items'!D346</f>
        <v>DPDP</v>
      </c>
      <c r="B346" t="str">
        <f>'SOW, Feedbacks-Bug &amp; CR_Items'!E346</f>
        <v>Milestone 5</v>
      </c>
      <c r="C346" t="str">
        <f>'SOW, Feedbacks-Bug &amp; CR_Items'!F346</f>
        <v>Pre-PROD</v>
      </c>
      <c r="D346" t="str">
        <f>IFERROR(VLOOKUP(C346,Config!$A:$B,2,0),"Unknown")</f>
        <v>Pre-PROD / UAT</v>
      </c>
      <c r="E346" t="str">
        <f>IFERROR(VLOOKUP(C346,Config!$A:$C,3,0),"N/A")</f>
        <v>Pending</v>
      </c>
      <c r="F346">
        <f>IF('SOW, Feedbacks-Bug &amp; CR_Items'!H346="","",'SOW, Feedbacks-Bug &amp; CR_Items'!H346)</f>
        <v>45869</v>
      </c>
    </row>
    <row r="347" spans="1:6">
      <c r="A347" t="str">
        <f>'SOW, Feedbacks-Bug &amp; CR_Items'!D347</f>
        <v>IBP/iWork</v>
      </c>
      <c r="B347" t="str">
        <f>'SOW, Feedbacks-Bug &amp; CR_Items'!E347</f>
        <v>Milestone 6</v>
      </c>
      <c r="C347" t="str">
        <f>'SOW, Feedbacks-Bug &amp; CR_Items'!F347</f>
        <v>Delivered</v>
      </c>
      <c r="D347" t="str">
        <f>IFERROR(VLOOKUP(C347,Config!$A:$B,2,0),"Unknown")</f>
        <v>Delivered</v>
      </c>
      <c r="E347" t="str">
        <f>IFERROR(VLOOKUP(C347,Config!$A:$C,3,0),"N/A")</f>
        <v>Delivered</v>
      </c>
      <c r="F347">
        <f>IF('SOW, Feedbacks-Bug &amp; CR_Items'!H347="","",'SOW, Feedbacks-Bug &amp; CR_Items'!H347)</f>
        <v>46230</v>
      </c>
    </row>
    <row r="348" spans="1:6">
      <c r="A348" t="str">
        <f>'SOW, Feedbacks-Bug &amp; CR_Items'!D348</f>
        <v>iWork - CR</v>
      </c>
      <c r="B348" t="str">
        <f>'SOW, Feedbacks-Bug &amp; CR_Items'!E348</f>
        <v>Milestone 6</v>
      </c>
      <c r="C348" t="str">
        <f>'SOW, Feedbacks-Bug &amp; CR_Items'!F348</f>
        <v>Delivered</v>
      </c>
      <c r="D348" t="str">
        <f>IFERROR(VLOOKUP(C348,Config!$A:$B,2,0),"Unknown")</f>
        <v>Delivered</v>
      </c>
      <c r="E348" t="str">
        <f>IFERROR(VLOOKUP(C348,Config!$A:$C,3,0),"N/A")</f>
        <v>Delivered</v>
      </c>
      <c r="F348">
        <f>IF('SOW, Feedbacks-Bug &amp; CR_Items'!H348="","",'SOW, Feedbacks-Bug &amp; CR_Items'!H348)</f>
        <v>46230</v>
      </c>
    </row>
    <row r="349" spans="1:6">
      <c r="A349" t="str">
        <f>'SOW, Feedbacks-Bug &amp; CR_Items'!D349</f>
        <v>IBP</v>
      </c>
      <c r="B349" t="str">
        <f>'SOW, Feedbacks-Bug &amp; CR_Items'!E349</f>
        <v>Milestone 5</v>
      </c>
      <c r="C349" t="str">
        <f>'SOW, Feedbacks-Bug &amp; CR_Items'!F349</f>
        <v>Delivered</v>
      </c>
      <c r="D349" t="str">
        <f>IFERROR(VLOOKUP(C349,Config!$A:$B,2,0),"Unknown")</f>
        <v>Delivered</v>
      </c>
      <c r="E349" t="str">
        <f>IFERROR(VLOOKUP(C349,Config!$A:$C,3,0),"N/A")</f>
        <v>Delivered</v>
      </c>
      <c r="F349">
        <f>IF('SOW, Feedbacks-Bug &amp; CR_Items'!H349="","",'SOW, Feedbacks-Bug &amp; CR_Items'!H349)</f>
        <v>45869</v>
      </c>
    </row>
    <row r="350" spans="1:6">
      <c r="A350" t="str">
        <f>'SOW, Feedbacks-Bug &amp; CR_Items'!D350</f>
        <v>IBP</v>
      </c>
      <c r="B350" t="str">
        <f>'SOW, Feedbacks-Bug &amp; CR_Items'!E350</f>
        <v>Milestone 5</v>
      </c>
      <c r="C350" t="str">
        <f>'SOW, Feedbacks-Bug &amp; CR_Items'!F350</f>
        <v>Delivered</v>
      </c>
      <c r="D350" t="str">
        <f>IFERROR(VLOOKUP(C350,Config!$A:$B,2,0),"Unknown")</f>
        <v>Delivered</v>
      </c>
      <c r="E350" t="str">
        <f>IFERROR(VLOOKUP(C350,Config!$A:$C,3,0),"N/A")</f>
        <v>Delivered</v>
      </c>
      <c r="F350">
        <f>IF('SOW, Feedbacks-Bug &amp; CR_Items'!H350="","",'SOW, Feedbacks-Bug &amp; CR_Items'!H350)</f>
        <v>45869</v>
      </c>
    </row>
    <row r="351" spans="1:6">
      <c r="A351" t="str">
        <f>'SOW, Feedbacks-Bug &amp; CR_Items'!D351</f>
        <v>IBP/iWork</v>
      </c>
      <c r="B351" t="str">
        <f>'SOW, Feedbacks-Bug &amp; CR_Items'!E351</f>
        <v>Milestone 5</v>
      </c>
      <c r="C351" t="str">
        <f>'SOW, Feedbacks-Bug &amp; CR_Items'!F351</f>
        <v>Delivered</v>
      </c>
      <c r="D351" t="str">
        <f>IFERROR(VLOOKUP(C351,Config!$A:$B,2,0),"Unknown")</f>
        <v>Delivered</v>
      </c>
      <c r="E351" t="str">
        <f>IFERROR(VLOOKUP(C351,Config!$A:$C,3,0),"N/A")</f>
        <v>Delivered</v>
      </c>
      <c r="F351">
        <f>IF('SOW, Feedbacks-Bug &amp; CR_Items'!H351="","",'SOW, Feedbacks-Bug &amp; CR_Items'!H351)</f>
        <v>45869</v>
      </c>
    </row>
    <row r="352" spans="1:6">
      <c r="A352" t="str">
        <f>'SOW, Feedbacks-Bug &amp; CR_Items'!D352</f>
        <v>iWork</v>
      </c>
      <c r="B352" t="str">
        <f>'SOW, Feedbacks-Bug &amp; CR_Items'!E352</f>
        <v>Milestone 5</v>
      </c>
      <c r="C352" t="str">
        <f>'SOW, Feedbacks-Bug &amp; CR_Items'!F352</f>
        <v>Delivered</v>
      </c>
      <c r="D352" t="str">
        <f>IFERROR(VLOOKUP(C352,Config!$A:$B,2,0),"Unknown")</f>
        <v>Delivered</v>
      </c>
      <c r="E352" t="str">
        <f>IFERROR(VLOOKUP(C352,Config!$A:$C,3,0),"N/A")</f>
        <v>Delivered</v>
      </c>
      <c r="F352">
        <f>IF('SOW, Feedbacks-Bug &amp; CR_Items'!H352="","",'SOW, Feedbacks-Bug &amp; CR_Items'!H352)</f>
        <v>45869</v>
      </c>
    </row>
    <row r="353" spans="1:6">
      <c r="A353" t="str">
        <f>'SOW, Feedbacks-Bug &amp; CR_Items'!D353</f>
        <v>iWork</v>
      </c>
      <c r="B353" t="str">
        <f>'SOW, Feedbacks-Bug &amp; CR_Items'!E353</f>
        <v>Milestone 6</v>
      </c>
      <c r="C353" t="str">
        <f>'SOW, Feedbacks-Bug &amp; CR_Items'!F353</f>
        <v>Yet to start</v>
      </c>
      <c r="D353" t="str">
        <f>IFERROR(VLOOKUP(C353,Config!$A:$B,2,0),"Unknown")</f>
        <v>Not Started</v>
      </c>
      <c r="E353" t="str">
        <f>IFERROR(VLOOKUP(C353,Config!$A:$C,3,0),"N/A")</f>
        <v>Pending</v>
      </c>
      <c r="F353">
        <f>IF('SOW, Feedbacks-Bug &amp; CR_Items'!H353="","",'SOW, Feedbacks-Bug &amp; CR_Items'!H353)</f>
        <v>46228</v>
      </c>
    </row>
    <row r="354" spans="1:6">
      <c r="A354" t="str">
        <f>'SOW, Feedbacks-Bug &amp; CR_Items'!D354</f>
        <v>IBP/iWork</v>
      </c>
      <c r="B354" t="str">
        <f>'SOW, Feedbacks-Bug &amp; CR_Items'!E354</f>
        <v>Milestone 6</v>
      </c>
      <c r="C354" t="str">
        <f>'SOW, Feedbacks-Bug &amp; CR_Items'!F354</f>
        <v>Delivered</v>
      </c>
      <c r="D354" t="str">
        <f>IFERROR(VLOOKUP(C354,Config!$A:$B,2,0),"Unknown")</f>
        <v>Delivered</v>
      </c>
      <c r="E354" t="str">
        <f>IFERROR(VLOOKUP(C354,Config!$A:$C,3,0),"N/A")</f>
        <v>Delivered</v>
      </c>
      <c r="F354">
        <f>IF('SOW, Feedbacks-Bug &amp; CR_Items'!H354="","",'SOW, Feedbacks-Bug &amp; CR_Items'!H354)</f>
        <v>46232</v>
      </c>
    </row>
    <row r="355" spans="1:6">
      <c r="A355" t="str">
        <f>'SOW, Feedbacks-Bug &amp; CR_Items'!D355</f>
        <v>iWork</v>
      </c>
      <c r="B355" t="str">
        <f>'SOW, Feedbacks-Bug &amp; CR_Items'!E355</f>
        <v>Milestone 6</v>
      </c>
      <c r="C355" t="str">
        <f>'SOW, Feedbacks-Bug &amp; CR_Items'!F355</f>
        <v>Delivered</v>
      </c>
      <c r="D355" t="str">
        <f>IFERROR(VLOOKUP(C355,Config!$A:$B,2,0),"Unknown")</f>
        <v>Delivered</v>
      </c>
      <c r="E355" t="str">
        <f>IFERROR(VLOOKUP(C355,Config!$A:$C,3,0),"N/A")</f>
        <v>Delivered</v>
      </c>
      <c r="F355">
        <f>IF('SOW, Feedbacks-Bug &amp; CR_Items'!H355="","",'SOW, Feedbacks-Bug &amp; CR_Items'!H355)</f>
        <v>46233</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A1" sqref="A1"/>
    </sheetView>
  </sheetViews>
  <sheetFormatPr defaultColWidth="9" defaultRowHeight="16.8" outlineLevelCol="2"/>
  <sheetData>
    <row r="1" spans="1:3">
      <c r="A1" t="s">
        <v>943</v>
      </c>
      <c r="B1" t="s">
        <v>940</v>
      </c>
      <c r="C1" t="s">
        <v>941</v>
      </c>
    </row>
    <row r="2" spans="1:3">
      <c r="A2" t="s">
        <v>16</v>
      </c>
      <c r="B2" t="s">
        <v>16</v>
      </c>
      <c r="C2" t="s">
        <v>16</v>
      </c>
    </row>
    <row r="3" spans="1:3">
      <c r="A3" t="s">
        <v>331</v>
      </c>
      <c r="B3" t="s">
        <v>748</v>
      </c>
      <c r="C3" t="s">
        <v>16</v>
      </c>
    </row>
    <row r="4" spans="1:3">
      <c r="A4" t="s">
        <v>327</v>
      </c>
      <c r="B4" t="s">
        <v>749</v>
      </c>
      <c r="C4" t="s">
        <v>732</v>
      </c>
    </row>
    <row r="5" spans="1:3">
      <c r="A5" t="s">
        <v>325</v>
      </c>
      <c r="B5" t="s">
        <v>749</v>
      </c>
      <c r="C5" t="s">
        <v>732</v>
      </c>
    </row>
    <row r="6" spans="1:3">
      <c r="A6" t="s">
        <v>336</v>
      </c>
      <c r="B6" t="s">
        <v>750</v>
      </c>
      <c r="C6" t="s">
        <v>732</v>
      </c>
    </row>
    <row r="7" spans="1:3">
      <c r="A7" t="s">
        <v>141</v>
      </c>
      <c r="B7" t="s">
        <v>751</v>
      </c>
      <c r="C7" t="s">
        <v>732</v>
      </c>
    </row>
    <row r="8" spans="1:3">
      <c r="A8" t="s">
        <v>164</v>
      </c>
      <c r="B8" t="s">
        <v>752</v>
      </c>
      <c r="C8" t="s">
        <v>732</v>
      </c>
    </row>
    <row r="9" spans="1:3">
      <c r="A9" t="s">
        <v>189</v>
      </c>
      <c r="B9" t="s">
        <v>753</v>
      </c>
      <c r="C9" t="s">
        <v>732</v>
      </c>
    </row>
    <row r="10" spans="1:3">
      <c r="A10" t="s">
        <v>944</v>
      </c>
      <c r="B10" t="s">
        <v>754</v>
      </c>
      <c r="C10" t="s">
        <v>754</v>
      </c>
    </row>
    <row r="11" spans="1:3">
      <c r="A11" t="s">
        <v>518</v>
      </c>
      <c r="B11" t="s">
        <v>16</v>
      </c>
      <c r="C11" t="s">
        <v>16</v>
      </c>
    </row>
    <row r="12" spans="1:3">
      <c r="A12" t="s">
        <v>179</v>
      </c>
      <c r="B12" t="s">
        <v>16</v>
      </c>
      <c r="C12"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SOW, Feedbacks-Bug &amp; CR_Items</vt:lpstr>
      <vt:lpstr>① Executive Summary</vt:lpstr>
      <vt:lpstr>📅 20-Jul</vt:lpstr>
      <vt:lpstr>📍 27-Jul</vt:lpstr>
      <vt:lpstr>📅 03-Aug</vt:lpstr>
      <vt:lpstr>📅 Upcoming</vt:lpstr>
      <vt:lpstr>VRK Feedbacks</vt:lpstr>
      <vt:lpstr>SOW - Actual Items</vt:lpstr>
      <vt:lpstr>Stablization Items</vt:lpstr>
      <vt:lpstr>Jira Report</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dcterms:created xsi:type="dcterms:W3CDTF">2026-03-16T18:39:00Z</dcterms:created>
  <dcterms:modified xsi:type="dcterms:W3CDTF">2026-08-03T13:51:26Z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1033-12.1.26035.26035</vt:lpwstr>
  </property>
</Properties>
</file>