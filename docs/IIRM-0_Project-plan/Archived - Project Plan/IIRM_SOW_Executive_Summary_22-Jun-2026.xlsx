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60" tabRatio="896"/>
  </bookViews>
  <sheets>
    <sheet name="iWork,IBP &amp; Framework_SOW Items" sheetId="1" r:id="rId1"/>
    <sheet name="① Executive Summary" sheetId="2" r:id="rId2"/>
    <sheet name="📋 iWork" sheetId="3" r:id="rId3"/>
    <sheet name="📋 iWork CRs" sheetId="4" r:id="rId4"/>
    <sheet name="📋 IBP" sheetId="5" r:id="rId5"/>
    <sheet name="📋 IBP CRs" sheetId="6" r:id="rId6"/>
    <sheet name="📋 IBP-iWork" sheetId="7" r:id="rId7"/>
    <sheet name="📋 Framework" sheetId="8" r:id="rId8"/>
    <sheet name="📋 DPDP" sheetId="9" r:id="rId9"/>
    <sheet name="📋 NFR" sheetId="10" r:id="rId10"/>
    <sheet name="③ Milestone Summary" sheetId="11" r:id="rId11"/>
    <sheet name="Helper" sheetId="12" state="hidden" r:id="rId12"/>
    <sheet name="Config" sheetId="13" state="hidden" r:id="rId13"/>
    <sheet name="② Pending Roadmap" sheetId="14" r:id="rId14"/>
    <sheet name="Config1" sheetId="15" state="hidden" r:id="rId15"/>
    <sheet name="Helper1" sheetId="16" state="hidden" r:id="rId16"/>
    <sheet name="① Executive Summary1" sheetId="17" r:id="rId17"/>
    <sheet name="③ Milestone Summary1" sheetId="18" r:id="rId18"/>
  </sheets>
  <definedNames>
    <definedName name="_xlnm._FilterDatabase" localSheetId="13" hidden="1">'② Pending Roadmap'!$A$5:$I$265</definedName>
    <definedName name="_xlnm._FilterDatabase" localSheetId="0" hidden="1">'iWork,IBP &amp; Framework_SOW Items'!$A$1:$J$266</definedName>
    <definedName name="Z_52716687_9CA3_4813_9984_D2DFBCD9F0E3_.wvu.FilterData" localSheetId="0" hidden="1">'iWork,IBP &amp; Framework_SOW Items'!$A$1:$K$896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<sst xmlns="http://schemas.openxmlformats.org/spreadsheetml/2006/main" count="2330" uniqueCount="579">
  <si>
    <t>Area</t>
  </si>
  <si>
    <t>Feature</t>
  </si>
  <si>
    <t>Functionality</t>
  </si>
  <si>
    <t>Module</t>
  </si>
  <si>
    <t>Phase</t>
  </si>
  <si>
    <t>Status</t>
  </si>
  <si>
    <t>Remarks</t>
  </si>
  <si>
    <t>Need Design Approval</t>
  </si>
  <si>
    <t>ETA</t>
  </si>
  <si>
    <t>Resource</t>
  </si>
  <si>
    <t>FRAMEWORK: Frontend</t>
  </si>
  <si>
    <t>Project setup</t>
  </si>
  <si>
    <t>Basic project / Development environment setup</t>
  </si>
  <si>
    <t>Framework</t>
  </si>
  <si>
    <t>Milestone 1</t>
  </si>
  <si>
    <t>Delivered</t>
  </si>
  <si>
    <t>UI Approach Design System</t>
  </si>
  <si>
    <t>Building Design System</t>
  </si>
  <si>
    <t>Core Infrastructure</t>
  </si>
  <si>
    <t>Core Infra</t>
  </si>
  <si>
    <t>Build UI components</t>
  </si>
  <si>
    <t>This includes all the UI componnets to compose the application and module definitions: 
Form, Toast, Filter, Cards, Visualisation, Grid, Menu, Header, Footer,
Maps Integration</t>
  </si>
  <si>
    <t>UI Approach Style Establishment</t>
  </si>
  <si>
    <t>UI Style Establishment</t>
  </si>
  <si>
    <t>Service Workers Implementation</t>
  </si>
  <si>
    <t>Core System</t>
  </si>
  <si>
    <t>ACL &amp; RBAC Control Framework</t>
  </si>
  <si>
    <t>Micro Frontend Setup</t>
  </si>
  <si>
    <t>Landing Page</t>
  </si>
  <si>
    <t>FRAMEWORK: Services - Basic Modules</t>
  </si>
  <si>
    <t>Access Control Management</t>
  </si>
  <si>
    <t>FRAMEWORK: Services - Larger Modules</t>
  </si>
  <si>
    <t>Auth Module (Simple Auth)</t>
  </si>
  <si>
    <t>Micro Service Framework Setup</t>
  </si>
  <si>
    <t>iWORK: Services - Basic Modules</t>
  </si>
  <si>
    <t>Employee Mgmt</t>
  </si>
  <si>
    <t>iWork</t>
  </si>
  <si>
    <t>User deletion need to be handled</t>
  </si>
  <si>
    <t>iWORK: Common Components</t>
  </si>
  <si>
    <t>Common - Audit Trail Mgmt - Becomes critical in this phase iteself</t>
  </si>
  <si>
    <t>iWORK: Frontend</t>
  </si>
  <si>
    <t>Add/View/Edit Opportunity</t>
  </si>
  <si>
    <t>Add Medium size form with 1-&gt;N list of Claims; Multiple drop downs
Large View with several widgets, Simple Edit</t>
  </si>
  <si>
    <t>Manage TPA/Insurer</t>
  </si>
  <si>
    <t>Basic Add, View with edit of basic data, with lists of policies/companies</t>
  </si>
  <si>
    <t>Infrastructure</t>
  </si>
  <si>
    <t>Add/View/Edit Company</t>
  </si>
  <si>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</si>
  <si>
    <t>Insurer/TPA Hub</t>
  </si>
  <si>
    <t>List with Filter/Search</t>
  </si>
  <si>
    <t>Add/View/Edit Contact</t>
  </si>
  <si>
    <t>Simple edit like Add
Contacts should maintain Company history although only 1 Company active with 1 contact; Medium size form with fields, linked in connect</t>
  </si>
  <si>
    <t>Company (Prospect) Hub</t>
  </si>
  <si>
    <t>Top 10/Latest companies, with search/filter, Table of basic attributes with GPS etc.</t>
  </si>
  <si>
    <t>Contact Hub</t>
  </si>
  <si>
    <t>Top 10/Latest Contacts, with search/filter, list with basic attributes</t>
  </si>
  <si>
    <t>Opportunity Hub</t>
  </si>
  <si>
    <t>Top Opportunities with search/filter, List of opportunities with high level summaries</t>
  </si>
  <si>
    <t>Contact /Company/Insurer/TPA Mgmt</t>
  </si>
  <si>
    <t>Task Mgmt</t>
  </si>
  <si>
    <t>Meeting Mgmt</t>
  </si>
  <si>
    <t>RBAC and ACL setup for Iwork Module</t>
  </si>
  <si>
    <t>Opportunity Mgmt</t>
  </si>
  <si>
    <t>Master Data Management</t>
  </si>
  <si>
    <t>Milestone 2</t>
  </si>
  <si>
    <t>User Management</t>
  </si>
  <si>
    <t>22-May: Other than iWork employee</t>
  </si>
  <si>
    <t>Pending: User deletion</t>
  </si>
  <si>
    <t>Notification and Communication Management</t>
  </si>
  <si>
    <t>23-May: In-App, Emails, SMS, both or all. Template vs Channel</t>
  </si>
  <si>
    <t>Delivered - Deficit</t>
  </si>
  <si>
    <t>Pending: Configuration UI</t>
  </si>
  <si>
    <t>Usage Tracking System (Reports)</t>
  </si>
  <si>
    <t>23-May: Handle as a part of Reports</t>
  </si>
  <si>
    <t>Pending: IBP usage</t>
  </si>
  <si>
    <t>Data Security Considerations</t>
  </si>
  <si>
    <t>Duplicate of Covers in DPDP items</t>
  </si>
  <si>
    <t>Visualization framework</t>
  </si>
  <si>
    <t>Charts and KPIs</t>
  </si>
  <si>
    <t>Document Management</t>
  </si>
  <si>
    <t>Create, Upload, Seach, Download</t>
  </si>
  <si>
    <t>Caching of API Data</t>
  </si>
  <si>
    <t>Audit Data Capturing</t>
  </si>
  <si>
    <t>CMS</t>
  </si>
  <si>
    <t>Used in IBP</t>
  </si>
  <si>
    <t>Common Data Mapping Component</t>
  </si>
  <si>
    <t>Map input fields to output fields &amp; Order</t>
  </si>
  <si>
    <t>Pending: Additional/Dynamic columns</t>
  </si>
  <si>
    <t>Cut Off Mgmt</t>
  </si>
  <si>
    <t>Yet to start</t>
  </si>
  <si>
    <t>Need inputs related to the implementation</t>
  </si>
  <si>
    <t>iWORK: AI Components</t>
  </si>
  <si>
    <t>AI - (Non-OCR) Digital Document Processing for Content recognition (Company/Opportunity/Contact Creation from Previous Policy Document, Bizcard document)</t>
  </si>
  <si>
    <t>AI - OCR for Content Collection</t>
  </si>
  <si>
    <t>AI - Company Information by AI Search</t>
  </si>
  <si>
    <t>Common, Contexual Upload Component</t>
  </si>
  <si>
    <t>Common, Contexual Read and Spread Component (Utility)</t>
  </si>
  <si>
    <t>Manage Stage Planning/Performance/Approval</t>
  </si>
  <si>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</si>
  <si>
    <t>Smart Add Component</t>
  </si>
  <si>
    <t>Allow Upload of Document/Image, select what to create (Company/Contact/Opportunity)</t>
  </si>
  <si>
    <t>Dashboard - Drilldowns</t>
  </si>
  <si>
    <t>Drill down from the Tables (Targets vs. Actuals, Pending Activities, Followups, AR Report, Schedule)</t>
  </si>
  <si>
    <t>Sales Team Hierarchy</t>
  </si>
  <si>
    <t>Hierarchy / Org chart tied to Platform Users</t>
  </si>
  <si>
    <t>View Policy</t>
  </si>
  <si>
    <t>Long View, multiple widgets/entities, endorsements (each month), Claims, etc.</t>
  </si>
  <si>
    <t>Dashboard</t>
  </si>
  <si>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</si>
  <si>
    <t>Dashboard - Pending tasks, approvals</t>
  </si>
  <si>
    <t>Pending tasks/approvals,</t>
  </si>
  <si>
    <t>Reports - Biz Done</t>
  </si>
  <si>
    <t>Report View, Download, List of earlier snaps of the report, Search and Filter</t>
  </si>
  <si>
    <t>Organisation, Branch, Employee, &amp; Hierarchy Mgmt</t>
  </si>
  <si>
    <t>Dashboard (Place Holder)</t>
  </si>
  <si>
    <t>Planning, Perform and Approval Mgmt</t>
  </si>
  <si>
    <t>Policy Mgmt</t>
  </si>
  <si>
    <t>Master Data Mgmt {Common, Contexual Master Data Mgmt}</t>
  </si>
  <si>
    <t>Document Generation</t>
  </si>
  <si>
    <t>Milestone 3</t>
  </si>
  <si>
    <t>Risk Watch: Showing policy feature documents at each policy</t>
  </si>
  <si>
    <t>IBP</t>
  </si>
  <si>
    <t>Ravi</t>
  </si>
  <si>
    <t>Cover Mgmt</t>
  </si>
  <si>
    <t>Karan</t>
  </si>
  <si>
    <t>MIR Entry Mgmt</t>
  </si>
  <si>
    <t>Entry Form, Print to Document, List of Earlier MIRs, Search on MIRs</t>
  </si>
  <si>
    <t>Pushyami</t>
  </si>
  <si>
    <t>Module to manage MIR {Monthly Infomatiom Report}</t>
  </si>
  <si>
    <t>Manage Policy (Endorsements)</t>
  </si>
  <si>
    <t>Add Endorsement - basic form with uploads of excel/document
Validations of endorsement format - Map customer fields to internal fields
Map internal fields to TPA fields (occasional per TPA)
View/Update Endorsement, List View, Endorsement Performance</t>
  </si>
  <si>
    <t>Stage Mgmt (Activity/Transaction/Quote)</t>
  </si>
  <si>
    <t>Asset/Member Data Mgmt</t>
  </si>
  <si>
    <t>Endorsement Mgmt</t>
  </si>
  <si>
    <t>Archived Oppurtunity, Policy Mgmt {Archived Biz Data and Retrieval on need} - DPDP</t>
  </si>
  <si>
    <t>DPDP</t>
  </si>
  <si>
    <t>Milestone 4</t>
  </si>
  <si>
    <t>Duplicate of Archival from NFR &amp; DPDP</t>
  </si>
  <si>
    <t>Accessibility</t>
  </si>
  <si>
    <t>Localisation</t>
  </si>
  <si>
    <t>Pending: Service Flow &amp; IBP</t>
  </si>
  <si>
    <t>Workflow Management</t>
  </si>
  <si>
    <t>23-May: Integrate the 3'rd party libraries</t>
  </si>
  <si>
    <t>Nithin</t>
  </si>
  <si>
    <t>Rule Definition Management</t>
  </si>
  <si>
    <t>Notifications Management</t>
  </si>
  <si>
    <t>Configuration Management</t>
  </si>
  <si>
    <t>Considered Policy Config</t>
  </si>
  <si>
    <t>Feature Flag Control Management</t>
  </si>
  <si>
    <t>Localistation Management</t>
  </si>
  <si>
    <t>Caching Implementation</t>
  </si>
  <si>
    <t>IBP: Services - Larger Modules</t>
  </si>
  <si>
    <t>IBP - User Management</t>
  </si>
  <si>
    <t>IBP: HR Portal - Company-Scoped Employee Access for Client HR (Ex. TeamLease's Customer)</t>
  </si>
  <si>
    <t>IBP - Portal Setup</t>
  </si>
  <si>
    <t>Post policy creation, create default IBP Portal Config for all the company-policy(ies)</t>
  </si>
  <si>
    <t>Pre-PROD</t>
  </si>
  <si>
    <t>Manjusha</t>
  </si>
  <si>
    <t>IBP: SERVICES - Basic Modules</t>
  </si>
  <si>
    <t>Personal Profile Mgmt</t>
  </si>
  <si>
    <t>Profile settings</t>
  </si>
  <si>
    <t>Pending:Add Dependents</t>
  </si>
  <si>
    <t>IBP: FRONTEND</t>
  </si>
  <si>
    <t>HR Portal View</t>
  </si>
  <si>
    <t>Employee Search, Resend Email, Delete Employees, Extend Enrollment Windows, Reports, Bulk Email</t>
  </si>
  <si>
    <t>Abhilash</t>
  </si>
  <si>
    <t>IBP: Common Components</t>
  </si>
  <si>
    <t>Simple Auth</t>
  </si>
  <si>
    <t>Username and Password based authentication and RBAC on simple-auth users. Auth rules needs configuration capability.
IBP - HR User Management</t>
  </si>
  <si>
    <t>My Documents</t>
  </si>
  <si>
    <t>Document Hub - Covers Policies, Prescriptions, Reports</t>
  </si>
  <si>
    <t>Pending: Design</t>
  </si>
  <si>
    <t>Document Mgmt for End User</t>
  </si>
  <si>
    <t>Insurance, Health Reports and Prescriptions {No automatic pull from Partners}</t>
  </si>
  <si>
    <t>NFR_Usability</t>
  </si>
  <si>
    <t>NFR-USA-018: The session management should be configurable from UI
23-May: Configure from UI &amp; store in DB; When changed then restart server</t>
  </si>
  <si>
    <t>Policy Document</t>
  </si>
  <si>
    <t>IBP-Risk Watch: Show the each policy document</t>
  </si>
  <si>
    <t>Tharun</t>
  </si>
  <si>
    <t>Admin Reports</t>
  </si>
  <si>
    <t>Services for multiple reports</t>
  </si>
  <si>
    <t>NFR-USA-011: The system should support at least 100 concurrent users without performance degradation.</t>
  </si>
  <si>
    <t>Akhila</t>
  </si>
  <si>
    <t>Group Policy Mgmt - Data Load</t>
  </si>
  <si>
    <t>End User data load {Similar to inception data load only but this time it is from the policy definition stage and confiemd by HR of the Company}. Reuse of the inception data load</t>
  </si>
  <si>
    <t>Pending: HR Module - Endorsement</t>
  </si>
  <si>
    <t>NFR_Security</t>
  </si>
  <si>
    <t>DPDP NFR</t>
  </si>
  <si>
    <t>NFR-USA-015: The system must show personalized welcome messages and profile information based on locale.</t>
  </si>
  <si>
    <t>NFR-USA-016: Notification banners must be dismissible and configurable based on role.</t>
  </si>
  <si>
    <t>No notifications in IBP</t>
  </si>
  <si>
    <t>Whitelabelling Support</t>
  </si>
  <si>
    <t>Company Plans</t>
  </si>
  <si>
    <t>6 Policies - GMC, GPA, GTL, Parental Plicy, Top-ups, OPD Policy (Summary view of policies)</t>
  </si>
  <si>
    <t>IBP Landing Page - Basic</t>
  </si>
  <si>
    <t>Basic Landing Page with only company plans and summart</t>
  </si>
  <si>
    <t>Contact Matrix View</t>
  </si>
  <si>
    <t>Contact Matrix View for end user</t>
  </si>
  <si>
    <t>Per-policy Enrolment</t>
  </si>
  <si>
    <t>Enrolment and addon policy selection</t>
  </si>
  <si>
    <t>My Insurance</t>
  </si>
  <si>
    <t>Part-1: Hub of all plans I have as an employee - Company provided. Mostly a navigational page</t>
  </si>
  <si>
    <t>IBP: Services - Basic Modules</t>
  </si>
  <si>
    <t>Basic Landing Page Services</t>
  </si>
  <si>
    <t>Company provided plans only</t>
  </si>
  <si>
    <t>Group Policy Mgmt - Enrollment</t>
  </si>
  <si>
    <t>Enrollment (Adding Dependents, Choosing Options available). Submit the enrollment to Insurer or TPA
6 Types of Policies to be considered</t>
  </si>
  <si>
    <t>Need Confirmation: If scope has, Insurer &amp; TPA integrations, then they are pending</t>
  </si>
  <si>
    <t>Group Policy Mgmt - Enrollment Configurator</t>
  </si>
  <si>
    <t>Enrollment Configurator (Set of benefits and type of Dependent combinations allowed etc). This is more of an Iwork feature to configure the policy</t>
  </si>
  <si>
    <t>End User onboarding</t>
  </si>
  <si>
    <t>Generate Users, Send Emails, Password Rest</t>
  </si>
  <si>
    <t>Contact Matrix Configuration</t>
  </si>
  <si>
    <t>Matrix of Contact Infomration</t>
  </si>
  <si>
    <t>HR/Admin Portal View</t>
  </si>
  <si>
    <t>Supporting services for Admin Portal</t>
  </si>
  <si>
    <t>iWork: Services - Basic Modules</t>
  </si>
  <si>
    <t>Client - Associated Location (IBP HR Module)</t>
  </si>
  <si>
    <t>IBP - HR: Policy Location - Add Company Associated Locations, Flow to Opty., Policy &amp; Policy Config</t>
  </si>
  <si>
    <t>IBP/iWork</t>
  </si>
  <si>
    <t>Security</t>
  </si>
  <si>
    <t>InfoSec - IBP Portal (Security Issue)
19-Jun:
Critical - 0
High - 3 Pending
Medium - 24 pending
Low - 2 pending</t>
  </si>
  <si>
    <t>Dev - WIP</t>
  </si>
  <si>
    <t>NFR-USA-021: Guidelines for document management should be provided</t>
  </si>
  <si>
    <t>Pending: Provide the document on how do we store and view it</t>
  </si>
  <si>
    <t>Country Handling {Data Source Mgmt}</t>
  </si>
  <si>
    <t>23-May: Respective org. data should reside in the same country.</t>
  </si>
  <si>
    <t>Check with Gopal</t>
  </si>
  <si>
    <t>Company Plan Configurator</t>
  </si>
  <si>
    <t>Admin side of IBP should configure (per Corporate) how to define a Policy and determine how it breaks down the Premium and Coverage rules</t>
  </si>
  <si>
    <t>Auth Config UI</t>
  </si>
  <si>
    <t>Config for Auth Rules setup</t>
  </si>
  <si>
    <t>Contact Matrix</t>
  </si>
  <si>
    <t>Configure the Conact Info Matrix (IBP Admin)</t>
  </si>
  <si>
    <t>Whitelabelling</t>
  </si>
  <si>
    <t>Whitelabelling based on Org needs (IBP Admin)</t>
  </si>
  <si>
    <t>Bizonde filter/table - Add "Income type"</t>
  </si>
  <si>
    <t>Opportunity</t>
  </si>
  <si>
    <t>Opportunity History details are unavailable for the end user to view.
Show TAT section (Planned date, Performed/Completed date, Approved date) for planned acitivites</t>
  </si>
  <si>
    <t>Additional columns in file like Department, DOJ, Emp. Location, Vertical, Others</t>
  </si>
  <si>
    <t>RO Scheduler Enhancements</t>
  </si>
  <si>
    <t>Jagadeesh</t>
  </si>
  <si>
    <t>Dashboard - FinOps Data</t>
  </si>
  <si>
    <t>Premium vs Brokerage Invoice vs Brokerage Collected; Data from Finops</t>
  </si>
  <si>
    <t>Duplicate of reconcilation</t>
  </si>
  <si>
    <t>BizDone - Finance Team to see the respective Org. data similar to VRK</t>
  </si>
  <si>
    <t>View Service Score</t>
  </si>
  <si>
    <t>Servicing Stats Dashboard - Single Table (drillable) to calculate an overall score</t>
  </si>
  <si>
    <t>Pending: Meeting, MIR calculation</t>
  </si>
  <si>
    <t>iWork: Services - Larger Modules</t>
  </si>
  <si>
    <t>Teams Integration</t>
  </si>
  <si>
    <t>MS Teams - Meetings &amp; Tasks integration into iWork</t>
  </si>
  <si>
    <t>Rama</t>
  </si>
  <si>
    <t>Knowledge Central</t>
  </si>
  <si>
    <t>Grouped list of Documents/Resources, Add a Document, Remove a Document (Add/remove only for admins)</t>
  </si>
  <si>
    <t>TAT/SLA Mgmt (Including Service Score)</t>
  </si>
  <si>
    <t>Framework: DPDP</t>
  </si>
  <si>
    <t>Integrate SSO / MFA</t>
  </si>
  <si>
    <t>Milestone 5</t>
  </si>
  <si>
    <t>Dev - Done</t>
  </si>
  <si>
    <t>Sunil</t>
  </si>
  <si>
    <t>Capture consent within app</t>
  </si>
  <si>
    <t>Allow easy consent withdrawal</t>
  </si>
  <si>
    <t>Approval workflow</t>
  </si>
  <si>
    <t>Show privacy notice with purpose, retention, rights</t>
  </si>
  <si>
    <t>App vulnerability scans</t>
  </si>
  <si>
    <t>Quarterly restore tests</t>
  </si>
  <si>
    <t>Document Flows</t>
  </si>
  <si>
    <t>Perform security UAT</t>
  </si>
  <si>
    <t>Enforce business logic to restrict purpose</t>
  </si>
  <si>
    <t>Remove unnecessary fields</t>
  </si>
  <si>
    <t>Map PII tables</t>
  </si>
  <si>
    <t>QA - WIP</t>
  </si>
  <si>
    <t>Enable delete pipeline</t>
  </si>
  <si>
    <t>Allow user corrections</t>
  </si>
  <si>
    <t>Delete expired data</t>
  </si>
  <si>
    <t>Sign DPDP clauses</t>
  </si>
  <si>
    <t>Define archival</t>
  </si>
  <si>
    <t>Enable SAST</t>
  </si>
  <si>
    <t>3rd Party SSO</t>
  </si>
  <si>
    <t>Props based SSO links to 3rd Parties</t>
  </si>
  <si>
    <t>SSO Framework implemented fro TPA</t>
  </si>
  <si>
    <t>Wellness Banner &amp; SSO</t>
  </si>
  <si>
    <t>Add banner and SSO to Alyve Wellness (Only Banner)</t>
  </si>
  <si>
    <t>Hospital Network Mgmt</t>
  </si>
  <si>
    <t>Based on the Insurer and TPA, network of hospitals needs to be presented in a consolidated view</t>
  </si>
  <si>
    <t>Part-2: Hub of all plans I have as an employee - individually signed up. Mostly a navigational page</t>
  </si>
  <si>
    <t>Retail insurance(facility to load user insurance policies)</t>
  </si>
  <si>
    <t>Static Info Sections - Landing</t>
  </si>
  <si>
    <t>Benefits Guide, FAQs, Help</t>
  </si>
  <si>
    <t>Initiate Claim</t>
  </si>
  <si>
    <t>Initiate claim for GMC (non-cashless), upload docs etc.</t>
  </si>
  <si>
    <t>Pending: TPA &amp; Insurer API integrations</t>
  </si>
  <si>
    <t>Claims Corner</t>
  </si>
  <si>
    <t>View Claim Data for Individual Plans (if available), Track Status for Claims initiated from IBP for Group Plans, Track Status for Claims initiated with TPA directly, TAT reporting for Cashless (for Preauth and Discharge)</t>
  </si>
  <si>
    <t>Claims Mgmt</t>
  </si>
  <si>
    <t>Part-1: Company Provided Policy based claim mgmt, Tracking status, Document Mgmt related to claims</t>
  </si>
  <si>
    <t>IBP Landing Page - Advanced</t>
  </si>
  <si>
    <t>Advanced Landing Page with individual plans &amp; wellness programs introduced
Quick Links, Promotional, high level dashboard, my plans, individual policies, company benefits, etc. Whitelabelling may be required (only Company Logo), but for future, theming may have to be supported</t>
  </si>
  <si>
    <t>Pending: Wellness Program related</t>
  </si>
  <si>
    <t>Dynamic Info Sections - Landing</t>
  </si>
  <si>
    <t>Hospital network, Offers and Discounts, Benfits at Glance, Quick Links</t>
  </si>
  <si>
    <t>Pending: Offers &amp; Discuounts</t>
  </si>
  <si>
    <t>User Profile</t>
  </si>
  <si>
    <t>Profile, Service Subscriptions, Feedback</t>
  </si>
  <si>
    <t>Pending: Service Subscriptions, Feedback</t>
  </si>
  <si>
    <t>Benefits Summary</t>
  </si>
  <si>
    <t>End User's Summary View</t>
  </si>
  <si>
    <t>Pending: Retail Insurance</t>
  </si>
  <si>
    <t>End User Portal Configurator</t>
  </si>
  <si>
    <t>What set of features to be enabled or disabled, Offers, Benefits etc. More or less how portal should contain and visible to end user needs to be configured (per Corporate Configuration)</t>
  </si>
  <si>
    <t>Pending: Offer, Feature flagging (UI)</t>
  </si>
  <si>
    <t>Basic Wellness Hub</t>
  </si>
  <si>
    <t>Basic wellness hub - Currently only 3 wellness programs (3rd parties) supported</t>
  </si>
  <si>
    <t>Book Ambulance</t>
  </si>
  <si>
    <t>Floater on the screen - Integrate to Ambulance Service</t>
  </si>
  <si>
    <t>Chat Interface</t>
  </si>
  <si>
    <t>Floater on the screen - Integrate with AI Component and IWork support channel</t>
  </si>
  <si>
    <t>Wellness HR View</t>
  </si>
  <si>
    <t>HR View of Wellness usage by Employees</t>
  </si>
  <si>
    <t>Wellness Partner View</t>
  </si>
  <si>
    <t>Partner/service provider view of the usage of their corresponding services</t>
  </si>
  <si>
    <t>Individual Plans</t>
  </si>
  <si>
    <t>Quotation flow of a new insurance - multple products; quotation ranges after basic data collection; cross-sells and finally an summary page that someone will get back to you. About 7 individual products - could be 4-5 screens in the flow of which 2 screens may be product-specific.</t>
  </si>
  <si>
    <t>Pending: Retail insurance</t>
  </si>
  <si>
    <t>Profile Migration</t>
  </si>
  <si>
    <t>Request migration of Corporate Profile to Individual</t>
  </si>
  <si>
    <t>Request migration of Individual Profile to Corporate</t>
  </si>
  <si>
    <t>Individual Plan Summary</t>
  </si>
  <si>
    <t>View of individual Plans currently owned with renewal dates, premiums etc.</t>
  </si>
  <si>
    <t>IBP: Services - AI Components</t>
  </si>
  <si>
    <t>Chat for End Users</t>
  </si>
  <si>
    <t>Chat Module to interact with Chat Bot and Customer Support Representative</t>
  </si>
  <si>
    <t>External chatbot integration?</t>
  </si>
  <si>
    <t>Landing Page Services</t>
  </si>
  <si>
    <t>Benefits Summary View, Upcoming welness appointment, Policy renewals, Individual Plans Summary views</t>
  </si>
  <si>
    <t>Feedback Mgmt</t>
  </si>
  <si>
    <t>User Feedback capture service</t>
  </si>
  <si>
    <t>IBP support is already in place</t>
  </si>
  <si>
    <t>Premium Range Calculator</t>
  </si>
  <si>
    <t>Calculate insurance premium range. Calculate the IDV of various assets</t>
  </si>
  <si>
    <t>Multiple 3rd Party Service Mgmt</t>
  </si>
  <si>
    <t>Elderly Services, Dental Services etc. 3rd Party integrations. Multiple providers
3 such services are in scope at this stage {Redhealth, MyDental, AkinCare}</t>
  </si>
  <si>
    <t>Online Pharmacy Integration</t>
  </si>
  <si>
    <t>External Pharmacy integration(s), more than one pharmacy capability. SSO to the pharmacy.</t>
  </si>
  <si>
    <t>Evexia Club Integration</t>
  </si>
  <si>
    <t>Integration to Evexia</t>
  </si>
  <si>
    <t>Part-2: Personal Policy based claim mgmt, Tracking status, Document Mgmt related to claims</t>
  </si>
  <si>
    <t>Individual Insurance Plan Mgmt</t>
  </si>
  <si>
    <t>Support for multiple categories of plans. Configuration Mgmt for Infomration capture, Flow and Summaries. Add on configuration, Insurer configuration, Offer configuration, Post the request to Sales Channel (Iwork)
7 Policy Types to be taken care of</t>
  </si>
  <si>
    <t>TPA Integration Mgmt [GHPL]</t>
  </si>
  <si>
    <t>Launch TPA - SSO
Ecards API - Read &amp; View Details
Hospital Network
Claims Status API - Read, Store &amp; View Details
Claim Intimation API
Claim Live Status - Single Claim</t>
  </si>
  <si>
    <t>TPA Integration Mgmt [Framework]</t>
  </si>
  <si>
    <t>1. Framework - KIT
2. WBS - with details
-Medi Assist India Pvt. Ltd.
-Family Health Plan Ltd.
-Health India
-MD India Healthcare Services (Pvt.) Ltd.
-Vidal Health TPA Private Limited
-Paramount Health Services Pvt. Ltd.</t>
  </si>
  <si>
    <t>9-Jun:
Shared errors to Neeraj</t>
  </si>
  <si>
    <t>IBP Landing Page - Customization</t>
  </si>
  <si>
    <t>Landing Page customization in Admin side of IBP - available in iWork (per Corporate)</t>
  </si>
  <si>
    <t>Pending: Mobile responsive</t>
  </si>
  <si>
    <t>Wellness Admin Configurator</t>
  </si>
  <si>
    <t>Admin side of IBP (in iWork) needs to customize/configure the offerings/page per Corporate.</t>
  </si>
  <si>
    <t>Wellness IIRM View</t>
  </si>
  <si>
    <t>IIRM View of Wellness usage by Corporates/Employees (IBP Admin)</t>
  </si>
  <si>
    <t>Integration UI Component</t>
  </si>
  <si>
    <t>Integration UI Component (for TPA, HRMS, Insurer)</t>
  </si>
  <si>
    <t>Reconciliation Management
Upload Commission Statement</t>
  </si>
  <si>
    <t>Upload commission statement, reconcile against issued policies; 
Upload invoice &amp; reconcile against commission stmt; 
Upload invoice statuses and reconcile paid/unpaid</t>
  </si>
  <si>
    <t>Reconciliation Mgmt</t>
  </si>
  <si>
    <t>Insurer Integration Mgmt</t>
  </si>
  <si>
    <t>Claim Management (Add Claim, Import Claims &amp; Claim Activities)</t>
  </si>
  <si>
    <t>Basic Form with fields and upload for adding claim
Bulk import to validate and map from TPA format to internal fields
3 stage workflow - each stage, update data on claim form</t>
  </si>
  <si>
    <t>Report Hub</t>
  </si>
  <si>
    <t>Landing Page and generic hub</t>
  </si>
  <si>
    <t>CD Creation</t>
  </si>
  <si>
    <t>Show current CD Balance against pooled/individual policies / Allow new CD creation, 
update CD balance and map policies to CD balances</t>
  </si>
  <si>
    <t>CD Mgmt</t>
  </si>
  <si>
    <t>Reports</t>
  </si>
  <si>
    <t>Claim Mgmt</t>
  </si>
  <si>
    <t>Generic template for all the reports, Bizdone Report, Missing entries from commission statement against policies</t>
  </si>
  <si>
    <t>HRMS Integration Mgmt</t>
  </si>
  <si>
    <t>Base framework needs to be built and actual integration should be on need
- Need to create the API's for each service flow process (Endorsement - Add/Delete)
- Endorsement process - What is the process for this?</t>
  </si>
  <si>
    <t>Framework: NFR</t>
  </si>
  <si>
    <t>NFR-OTH-015: The application must cryptographic Failures, previously known as Sensitive Data Exposure, which was broad symptom rather than a root cause. The renewed focus here is on failures related to cryptography which often leads to sensitive data exposure or system compromise.</t>
  </si>
  <si>
    <t>NFR</t>
  </si>
  <si>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</si>
  <si>
    <t>NFR-OTH-022: A self-service report generator must be available for dynamic query/report creation.</t>
  </si>
  <si>
    <t>Need clarity</t>
  </si>
  <si>
    <t>IIRM-10591</t>
  </si>
  <si>
    <t>IBP - Enrolment Journey - Reset</t>
  </si>
  <si>
    <t>Milestone 6</t>
  </si>
  <si>
    <t>Claims Corner - Screen Re-design</t>
  </si>
  <si>
    <t>Claim Intimation &amp; Submission</t>
  </si>
  <si>
    <t>POC - Using AI(Amazon Textract) - Extract Claim documents and populate the data</t>
  </si>
  <si>
    <t>IBP - CR</t>
  </si>
  <si>
    <t>Based on recent billing - Identifying the gaps in Redis data storage and gaps in implementation</t>
  </si>
  <si>
    <t>Policy Config</t>
  </si>
  <si>
    <t>New Policy constraints
1. Allow first child as Twin
2. Allow second child as Triplet
3. SI per Dependent
4. Parent Lock-in period</t>
  </si>
  <si>
    <t>One URL multiple companies</t>
  </si>
  <si>
    <t>Flexibility to configure multiple companies on a single domain</t>
  </si>
  <si>
    <t>VRK - PROD Feedback: 8-Jun-2026</t>
  </si>
  <si>
    <t>TPA Integration for other TPA's - Approach/Prerequisites to initiate the process.</t>
  </si>
  <si>
    <t>PROD Bug: Data Discrepancy - Inception/Endorsement vs Send to Client/Insurer (Preview &amp; Excel)</t>
  </si>
  <si>
    <t>Prathiphala</t>
  </si>
  <si>
    <t>PROD Bug: When download the TPA file, dependents are Missing in the file</t>
  </si>
  <si>
    <t>VRK - PROD Feedback: 9-Jun-2026</t>
  </si>
  <si>
    <t>BD/ISG planning dates should be empty and mandatory - should be mandatory to start the journey.</t>
  </si>
  <si>
    <t>Critical: SO expiry logic and date validation should allow within 365 days at the time so creation.</t>
  </si>
  <si>
    <t>Dashboard - Save View button to be moved to Run button --&gt; Move the Save View button beside Reset</t>
  </si>
  <si>
    <t>Dont display CD management in menu link - move under Admin</t>
  </si>
  <si>
    <t>filter out support services from the dashboard</t>
  </si>
  <si>
    <t>funnels - hide Overall conversion values</t>
  </si>
  <si>
    <t>In My RO, "BD planning" title should change to "Renewal Planning" for RO</t>
  </si>
  <si>
    <t>VRK - PROD Feedback: 5-Jun-2026</t>
  </si>
  <si>
    <t>Manage SO - Update the date filters to "SO Expiry Date"</t>
  </si>
  <si>
    <t>Manage TPA/BRoker/Insurer should be moved to Admin Module</t>
  </si>
  <si>
    <t>My Follow Up - hide "All" option - RO should be default</t>
  </si>
  <si>
    <t>Policy Expiry Timeline by SBU - change to "Renewal Schedule by SBU" and move under renewal funnel</t>
  </si>
  <si>
    <t>Ribbon level reports link should be hidden --&gt; Hide "Reports" on the header menu. And also move the "Utilization report" to Admin Module.</t>
  </si>
  <si>
    <t>IIRM-10588</t>
  </si>
  <si>
    <t>Hide "Manage Policy" in "Manage Placements" link.</t>
  </si>
  <si>
    <t>In "Manage Quotes"/"Manage SO" page, a link should be provided on the activity name, it should get redirected to respective activity stage.</t>
  </si>
  <si>
    <t>Issue in Bizdone search results - Company name not visible</t>
  </si>
  <si>
    <t>VRK - PROD Feedback</t>
  </si>
  <si>
    <t>Manage Insurer - Add Insurer Flow</t>
  </si>
  <si>
    <t>VRK - PROD Feedback: 8-Jun-2026
IIRM-10589</t>
  </si>
  <si>
    <t>My client portfolio - Period (Company created) change to - Period (policies created) --- Show the same filters of Manage Policy</t>
  </si>
  <si>
    <t>VRK - PROD Feedback: 9-Jun-2026
IIRM-10588</t>
  </si>
  <si>
    <t>Rename "My SO" to "Manage SO" in the sales portfolio.</t>
  </si>
  <si>
    <t>SO creation process: SO Expiry field title should be changed to "Opportunity/Existing Policy Expiry" - label to be changed.
Nithin --&gt; Also, change in SO details page as well</t>
  </si>
  <si>
    <t>My followup section in the dashboard - should display default Activity names and show the values even there are zeros for each activity.</t>
  </si>
  <si>
    <t>My RO clicked should not get highlighted to My SO menu link.</t>
  </si>
  <si>
    <t>Opportunity lost logic:- if placement slip is not crossed, instantly mark the opportunity as "Lost" based on Opty. Expiry date</t>
  </si>
  <si>
    <t>Opportunity lost logic:- if the activity crossed "Placement Slip", premium calculation and crossed 5 days, then mark the opportunity as "Lost" based on Opty. expiry date+5 days</t>
  </si>
  <si>
    <t>BDR results list should display the link of policy ID and Opty ID.</t>
  </si>
  <si>
    <t>My client portfolio - list of all companies for Active policies only</t>
  </si>
  <si>
    <t>Opty. Flow - Add new Insurer Branch Details</t>
  </si>
  <si>
    <t>Policy Expiry Timeline by SBU - when clicked, redirect to RO screen with the counts.</t>
  </si>
  <si>
    <t>IIRM-10590</t>
  </si>
  <si>
    <t>Policy Config: Dependent Based Configurations
- Per life depedent addition &amp; increase SI
- Apply Policy Parameters for dependents</t>
  </si>
  <si>
    <t>VRK - PROD Feedback: 9-Jun-2026
IIRM-10589</t>
  </si>
  <si>
    <t>All SO and RO items should be displayed order by Expiry Date (ascending) in the same page once "Manage Quotes" is clicked by the user.</t>
  </si>
  <si>
    <t>ISG users should be able to view ISG activities only and BD related activities should be collapsable and hidden; accordingly manage the breadcrums. Similarly, vice versa for BD users.</t>
  </si>
  <si>
    <t>Manage Quote RO and Manager Quote SO should be clubbed to "Manage Quotes" link for ISG team only.
--&gt; 10-Jun: Surya -&gt; Show the data only when opty. is in ISG Activity.</t>
  </si>
  <si>
    <t>My client portfolio: There must be a provision of "Past company" view in the Client Portfolio.</t>
  </si>
  <si>
    <t>Nithin -&gt; Add the filters required to handle both SO &amp; RO in "Manage Quotes"</t>
  </si>
  <si>
    <t>Hide "My RO" from the Sales portfolio. Add in the "My Client Portfolio"</t>
  </si>
  <si>
    <t>All Stage/Activity-wise wherever Document upload option is there, should be a mandatory</t>
  </si>
  <si>
    <t>IIRM-10587</t>
  </si>
  <si>
    <t>Add new fields - Business Month &amp; Date of Business - Capture in Opty. &amp; Flow to Policy and add filters in BizDone
--&gt; Refer to Madhav email "Business Month Requirement"</t>
  </si>
  <si>
    <t>Pending: Additional filters</t>
  </si>
  <si>
    <t>Commercial lines 25-26 numbers should be rectified; it should be 24.99</t>
  </si>
  <si>
    <t>funnels - alignment graph issues with grid;</t>
  </si>
  <si>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</si>
  <si>
    <t>Dual approval mechanism - current logic and recommendation to enable as per the current CRM hierarchy</t>
  </si>
  <si>
    <t>isg roles: manage quotes screen should display the opportunities which are related to ISG only.</t>
  </si>
  <si>
    <t>My client portfolio: List of Companies should be displayed for which there are active RO's. The premium and brokerage should be displayed as per RO cards.
--&gt; Que: Yesterday it was asked to get the data related to Active Policies????</t>
  </si>
  <si>
    <t>10-Jun: As per Surya/Kapil Sir. It's Active Policies only</t>
  </si>
  <si>
    <t>PROD-Bug</t>
  </si>
  <si>
    <t>Export to Excel</t>
  </si>
  <si>
    <t>Export to excel - iWork all the results table; Download is on Previlage</t>
  </si>
  <si>
    <t>Filter stickyness is not working for Bizdone and check with all the other screens.
(Filters Persistence in all the screens)</t>
  </si>
  <si>
    <t>my followup should be added into my actionalables with default display instead of "All" tab.</t>
  </si>
  <si>
    <t>Rewards</t>
  </si>
  <si>
    <t>Rewards - Specific &amp; Generic Rewards - Start with a form and collect data</t>
  </si>
  <si>
    <t>Endorsement Mgmt (Non-Group / Non-GMC / Non-EB)</t>
  </si>
  <si>
    <t>Enhance the Non-GMC Process (Based on Kishore feedback)</t>
  </si>
  <si>
    <t>iWork - CR</t>
  </si>
  <si>
    <t>Insurer Management</t>
  </si>
  <si>
    <t>Enhance Insurer - Add, Edit, &amp; Contacts</t>
  </si>
  <si>
    <t>End-2-End: Automation of IBP Go-live Setup</t>
  </si>
  <si>
    <t>1. Form based data collection
2. Default CMS details
3. Configure the sub-domain in AWS (any API)</t>
  </si>
  <si>
    <t>SSO - MS AD Account</t>
  </si>
  <si>
    <t>VRK - PROD Feedback: 10-Jun-2026</t>
  </si>
  <si>
    <t>iWork - SSO with Microsoft AD (POC)</t>
  </si>
  <si>
    <t>Showed Demo to Venu</t>
  </si>
  <si>
    <t>Policy Configuration</t>
  </si>
  <si>
    <t>Using AI - Extract the Policy document and perform Policy Configuration (Premium, Family, Parameters, &amp; Others)</t>
  </si>
  <si>
    <t>Enable Parent-Child Policy Mapping for GMC and Sub-Plans (Parental, OPD, Dental, Others)
- How to view config from Base to Child Policiy?
- How to handle endorsement &amp; Claims? (Entire Service Flow)</t>
  </si>
  <si>
    <t>iWork: AI Components</t>
  </si>
  <si>
    <t>Opportunity - Validate uploaded documents</t>
  </si>
  <si>
    <t>Using AI - Extract the documents, validate, populate the data in the Opty. flow (Ex. KDM Meeting, Policy Hard Copy, &amp; Others)</t>
  </si>
  <si>
    <t>Need some information about the document rules that defines the idenity of it</t>
  </si>
  <si>
    <t>Asset fields which are captured at Broking slip, few of the asset fields should not be printed at the time of Placement slip (example, no of members at inception, total lives, prev policy expiring year etc.) only for GMC</t>
  </si>
  <si>
    <t>IIRM-10666</t>
  </si>
  <si>
    <t>IBP - Policy Component Card Re-design</t>
  </si>
  <si>
    <t>IIRM-10667</t>
  </si>
  <si>
    <t>iWork - Knowledge Central Re-Design</t>
  </si>
  <si>
    <t>IIRM-10668</t>
  </si>
  <si>
    <t>iLearn: Document Preview in-app</t>
  </si>
  <si>
    <t>Policy Component - Strapi</t>
  </si>
  <si>
    <t>IBP Portal - Each card should have sepeare points &amp; Policy feature documents</t>
  </si>
  <si>
    <t>Discuss with Madhav</t>
  </si>
  <si>
    <t>Financial Impact fields should be seperated from actual fields. These fields should NOT be populated on their own. (Mainly BizDone &amp; Dashboard)</t>
  </si>
  <si>
    <t>Also, check if we are there are any data loads for 2025-26</t>
  </si>
  <si>
    <t>Find a better way to get the details from Service team for Policy config</t>
  </si>
  <si>
    <t>External API integration - Framework with utiliity transformation</t>
  </si>
  <si>
    <t>Utility - Transformation - Make it Generic for Source to Destination columns</t>
  </si>
  <si>
    <t>Sagar - Provide access after the call.</t>
  </si>
  <si>
    <t>Dashboard - Hide the widgets where there is NO data in the cards</t>
  </si>
  <si>
    <t>BizDone - Export feature is should be Previlage</t>
  </si>
  <si>
    <t>BizDone - New Role or Previlage - Show org. full data</t>
  </si>
  <si>
    <t>PROJECT DELIVERY PLAN</t>
  </si>
  <si>
    <t>iWork · IBP · Framework  (IIRM SOW)   |   Status Overview &amp; Forward Roadmap   ·   As of 21-May-2026</t>
  </si>
  <si>
    <t>OVERALL COMPLETION</t>
  </si>
  <si>
    <t>REMAINING WORK</t>
  </si>
  <si>
    <t>items still to deliver across all modules — broken down by milestone in the Pending Roadmap sheet</t>
  </si>
  <si>
    <t>STATUS BREAKDOWN  (all items)</t>
  </si>
  <si>
    <t>Dev Complete</t>
  </si>
  <si>
    <t>In Development</t>
  </si>
  <si>
    <t>In QA</t>
  </si>
  <si>
    <t>Pre-PROD / UAT</t>
  </si>
  <si>
    <t>Not Started</t>
  </si>
  <si>
    <t>Partial Delivery</t>
  </si>
  <si>
    <t>N/A</t>
  </si>
  <si>
    <t>PROGRESS BY MODULE</t>
  </si>
  <si>
    <t>Type</t>
  </si>
  <si>
    <t>Total</t>
  </si>
  <si>
    <t>Pending</t>
  </si>
  <si>
    <t>% Complete</t>
  </si>
  <si>
    <t>Progress</t>
  </si>
  <si>
    <t>iWork (Backlog)</t>
  </si>
  <si>
    <t>Backlog</t>
  </si>
  <si>
    <t>iWork (Change Requests)</t>
  </si>
  <si>
    <t>Change Request</t>
  </si>
  <si>
    <t>IBP (Backlog)</t>
  </si>
  <si>
    <t>IBP (Change Requests)</t>
  </si>
  <si>
    <t>IBP / iWork (Shared)</t>
  </si>
  <si>
    <t>TOTAL</t>
  </si>
  <si>
    <t>All</t>
  </si>
  <si>
    <t>% Complete = Delivered ÷ (Delivered + Pending).  N/A items (duplicates) are excluded.  All figures update live from the 'iWork,IBP &amp; Framework_SOW Items' sheet.</t>
  </si>
  <si>
    <t>IWORK (BACKLOG)  —  PENDING WEEKLY PLAN</t>
  </si>
  <si>
    <t>⚠️  This sheet is a static snapshot.  To update: edit STATUS in the source sheet, then re-run build_iirm_summary.py</t>
  </si>
  <si>
    <t>#</t>
  </si>
  <si>
    <t>Milestone</t>
  </si>
  <si>
    <t xml:space="preserve">  📅  08 Jun 2026  →  14 Jun 2026     ·     1 item</t>
  </si>
  <si>
    <t>12-Jun-2026</t>
  </si>
  <si>
    <t xml:space="preserve">  📅  15 Jun 2026  →  21 Jun 2026     ·     1 item</t>
  </si>
  <si>
    <t>16-Jun-2026</t>
  </si>
  <si>
    <t xml:space="preserve">  📅  22 Jun 2026  →  28 Jun 2026     ·     13 items</t>
  </si>
  <si>
    <t>22-Jun-2026</t>
  </si>
  <si>
    <t>24-Jun-2026</t>
  </si>
  <si>
    <t>26-Jun-2026</t>
  </si>
  <si>
    <t xml:space="preserve">  📅  29 Jun 2026  →  05 Jul 2026     ·     1 item</t>
  </si>
  <si>
    <t>30-Jun-2026</t>
  </si>
  <si>
    <t xml:space="preserve">  ⏳  Unscheduled  (no ETA assigned)     ·     6 items</t>
  </si>
  <si>
    <t>IWORK (CHANGE REQUESTS)  —  PENDING WEEKLY PLAN</t>
  </si>
  <si>
    <t xml:space="preserve">  📅  22 Jun 2026  →  28 Jun 2026     ·     3 items</t>
  </si>
  <si>
    <t>IBP (BACKLOG)  —  PENDING WEEKLY PLAN</t>
  </si>
  <si>
    <t xml:space="preserve">  📅  08 Jun 2026  →  14 Jun 2026     ·     2 items</t>
  </si>
  <si>
    <t>09-Jun-2026</t>
  </si>
  <si>
    <t>10-Jun-2026</t>
  </si>
  <si>
    <t xml:space="preserve">  📅  15 Jun 2026  →  21 Jun 2026     ·     2 items</t>
  </si>
  <si>
    <t>17-Jun-2026</t>
  </si>
  <si>
    <t>19-Jun-2026</t>
  </si>
  <si>
    <t xml:space="preserve">  📅  22 Jun 2026  →  28 Jun 2026     ·     4 items</t>
  </si>
  <si>
    <t>23-Jun-2026</t>
  </si>
  <si>
    <t xml:space="preserve">  ⏳  Unscheduled  (no ETA assigned)     ·     23 items</t>
  </si>
  <si>
    <t>IBP (CHANGE REQUESTS)  —  PENDING WEEKLY PLAN</t>
  </si>
  <si>
    <t xml:space="preserve">  📅  22 Jun 2026  →  28 Jun 2026     ·     1 item</t>
  </si>
  <si>
    <t>IBP / IWORK (SHARED)  —  PENDING WEEKLY PLAN</t>
  </si>
  <si>
    <t xml:space="preserve">  ⏳  Unscheduled  (no ETA assigned)     ·     4 items</t>
  </si>
  <si>
    <t>FRAMEWORK  —  PENDING WEEKLY PLAN</t>
  </si>
  <si>
    <t xml:space="preserve">  📅  22 Jun 2026  →  28 Jun 2026     ·     6 items</t>
  </si>
  <si>
    <t>25-Jun-2026</t>
  </si>
  <si>
    <t>DPDP  —  PENDING WEEKLY PLAN</t>
  </si>
  <si>
    <t xml:space="preserve">  📅  22 Jun 2026  →  28 Jun 2026     ·     11 items</t>
  </si>
  <si>
    <t xml:space="preserve">  📅  29 Jun 2026  →  05 Jul 2026     ·     2 items</t>
  </si>
  <si>
    <t xml:space="preserve">  ⏳  Unscheduled  (no ETA assigned)     ·     1 item</t>
  </si>
  <si>
    <t>NFR  —  PENDING WEEKLY PLAN</t>
  </si>
  <si>
    <t>MILESTONE SUMMARY  —  Pending Items by Milestone &amp; Module</t>
  </si>
  <si>
    <t>Counts show PENDING items only (Delivered &amp; N/A excluded). Live from the SOW sheet.</t>
  </si>
  <si>
    <t>TOTAL PENDING</t>
  </si>
  <si>
    <t>Category</t>
  </si>
  <si>
    <t>Bucket</t>
  </si>
  <si>
    <t>Status_Raw</t>
  </si>
  <si>
    <t>Duplicate</t>
  </si>
  <si>
    <t>PENDING ROADMAP  —  Remaining Deliverables (live from SOW sheet)</t>
  </si>
  <si>
    <t>🔎  Delivered &amp; N/A items are filtered out by default. Click the filter arrow on the 'Delivery' column (F5) → tick 'Delivered' or 'Select All' to show them.</t>
  </si>
  <si>
    <t>Delivery</t>
  </si>
  <si>
    <t>% Complete = Delivered ÷ (Delivered + Pending).  N/A items (duplicates) are excluded from the calculation.  All figures update live from the 'iWork,IBP &amp; Framework_SOW Items' sheet.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</si>
</sst>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mmm\-yyyy"/>
    <numFmt numFmtId="177" formatCode="d\-mmmm\-yyyy"/>
    <numFmt numFmtId="178" formatCode="dd\-mmm\-yyyy"/>
    <numFmt numFmtId="179" formatCode="dd\-mmm\-yy"/>
  </numFmts>
  <fonts count="71">
    <font>
      <sz val="11"/>
      <color theme="1"/>
      <name val="Calibri"/>
      <charset val="134"/>
    </font>
    <font>
      <b/>
      <sz val="14"/>
      <color rgb="FFFFFFFF"/>
      <name val="Arial"/>
      <charset val="1"/>
    </font>
    <font>
      <sz val="9"/>
      <color rgb="FF7A7A7A"/>
      <name val="Arial"/>
      <charset val="1"/>
    </font>
    <font>
      <b/>
      <sz val="9"/>
      <color rgb="FFFFFFFF"/>
      <name val="Arial"/>
      <charset val="1"/>
    </font>
    <font>
      <b/>
      <sz val="8"/>
      <color rgb="FFFFFFFF"/>
      <name val="Arial"/>
      <charset val="1"/>
    </font>
    <font>
      <b/>
      <sz val="9"/>
      <color rgb="FF3D3D3D"/>
      <name val="Arial"/>
      <charset val="1"/>
    </font>
    <font>
      <sz val="9"/>
      <color rgb="FF3D3D3D"/>
      <name val="Arial"/>
      <charset val="1"/>
    </font>
    <font>
      <b/>
      <sz val="9"/>
      <color rgb="FF7F6000"/>
      <name val="Arial"/>
      <charset val="1"/>
    </font>
    <font>
      <b/>
      <sz val="22"/>
      <color rgb="FFFFFFFF"/>
      <name val="Arial"/>
      <charset val="1"/>
    </font>
    <font>
      <sz val="10"/>
      <color rgb="FFC9D3DD"/>
      <name val="Arial"/>
      <charset val="1"/>
    </font>
    <font>
      <b/>
      <sz val="11"/>
      <color rgb="FF3D3D3D"/>
      <name val="Arial"/>
      <charset val="1"/>
    </font>
    <font>
      <b/>
      <sz val="44"/>
      <color rgb="FF375623"/>
      <name val="Arial"/>
      <charset val="1"/>
    </font>
    <font>
      <b/>
      <sz val="13"/>
      <color rgb="FF3D3D3D"/>
      <name val="Arial"/>
      <charset val="1"/>
    </font>
    <font>
      <b/>
      <sz val="44"/>
      <color rgb="FF9C0006"/>
      <name val="Arial"/>
      <charset val="1"/>
    </font>
    <font>
      <b/>
      <sz val="11"/>
      <color rgb="FFFFFFFF"/>
      <name val="Arial"/>
      <charset val="1"/>
    </font>
    <font>
      <b/>
      <sz val="20"/>
      <color rgb="FF375623"/>
      <name val="Arial"/>
      <charset val="1"/>
    </font>
    <font>
      <b/>
      <sz val="20"/>
      <color rgb="FF006B6B"/>
      <name val="Arial"/>
      <charset val="1"/>
    </font>
    <font>
      <b/>
      <sz val="20"/>
      <color rgb="FF1F4E79"/>
      <name val="Arial"/>
      <charset val="1"/>
    </font>
    <font>
      <b/>
      <sz val="20"/>
      <color rgb="FF2E5F8A"/>
      <name val="Arial"/>
      <charset val="1"/>
    </font>
    <font>
      <b/>
      <sz val="8"/>
      <color rgb="FF375623"/>
      <name val="Arial"/>
      <charset val="1"/>
    </font>
    <font>
      <b/>
      <sz val="8"/>
      <color rgb="FF006B6B"/>
      <name val="Arial"/>
      <charset val="1"/>
    </font>
    <font>
      <b/>
      <sz val="8"/>
      <color rgb="FF1F4E79"/>
      <name val="Arial"/>
      <charset val="1"/>
    </font>
    <font>
      <b/>
      <sz val="8"/>
      <color rgb="FF2E5F8A"/>
      <name val="Arial"/>
      <charset val="1"/>
    </font>
    <font>
      <b/>
      <sz val="20"/>
      <color rgb="FF843C0C"/>
      <name val="Arial"/>
      <charset val="1"/>
    </font>
    <font>
      <b/>
      <sz val="20"/>
      <color rgb="FF9C0006"/>
      <name val="Arial"/>
      <charset val="1"/>
    </font>
    <font>
      <b/>
      <sz val="20"/>
      <color rgb="FF7F6000"/>
      <name val="Arial"/>
      <charset val="1"/>
    </font>
    <font>
      <b/>
      <sz val="20"/>
      <color rgb="FF595959"/>
      <name val="Arial"/>
      <charset val="1"/>
    </font>
    <font>
      <b/>
      <sz val="8"/>
      <color rgb="FF843C0C"/>
      <name val="Arial"/>
      <charset val="1"/>
    </font>
    <font>
      <b/>
      <sz val="8"/>
      <color rgb="FF9C0006"/>
      <name val="Arial"/>
      <charset val="1"/>
    </font>
    <font>
      <b/>
      <sz val="8"/>
      <color rgb="FF7F6000"/>
      <name val="Arial"/>
      <charset val="1"/>
    </font>
    <font>
      <b/>
      <sz val="8"/>
      <color rgb="FF595959"/>
      <name val="Arial"/>
      <charset val="1"/>
    </font>
    <font>
      <b/>
      <sz val="9"/>
      <color rgb="FF375623"/>
      <name val="Arial"/>
      <charset val="1"/>
    </font>
    <font>
      <b/>
      <sz val="9"/>
      <color rgb="FF9C0006"/>
      <name val="Arial"/>
      <charset val="1"/>
    </font>
    <font>
      <b/>
      <sz val="9"/>
      <color rgb="FF2E4057"/>
      <name val="Arial"/>
      <charset val="1"/>
    </font>
    <font>
      <sz val="8"/>
      <color rgb="FF7A7A7A"/>
      <name val="Arial"/>
      <charset val="1"/>
    </font>
    <font>
      <b/>
      <sz val="9"/>
      <color rgb="FF843C0C"/>
      <name val="Arial"/>
      <charset val="134"/>
    </font>
    <font>
      <sz val="8"/>
      <color rgb="FF3D3D3D"/>
      <name val="Arial"/>
      <charset val="1"/>
    </font>
    <font>
      <sz val="8"/>
      <color rgb="FF843C0C"/>
      <name val="Arial"/>
      <charset val="1"/>
    </font>
    <font>
      <b/>
      <sz val="10"/>
      <color rgb="FFFFFFFF"/>
      <name val="Arial"/>
      <charset val="1"/>
    </font>
    <font>
      <sz val="10"/>
      <color theme="1"/>
      <name val="Calibri"/>
      <charset val="134"/>
      <scheme val="major"/>
    </font>
    <font>
      <b/>
      <sz val="10"/>
      <color theme="1"/>
      <name val="Calibri"/>
      <charset val="134"/>
      <scheme val="major"/>
    </font>
    <font>
      <sz val="10"/>
      <color rgb="FFFFFFFF"/>
      <name val="Calibri"/>
      <charset val="134"/>
      <scheme val="major"/>
    </font>
    <font>
      <b/>
      <sz val="10"/>
      <color rgb="FFFFFFFF"/>
      <name val="Calibri"/>
      <charset val="134"/>
      <scheme val="major"/>
    </font>
    <font>
      <b/>
      <sz val="10"/>
      <color rgb="FF000000"/>
      <name val="Calibri"/>
      <charset val="134"/>
      <scheme val="major"/>
    </font>
    <font>
      <b/>
      <sz val="10"/>
      <color theme="0"/>
      <name val="Calibri"/>
      <charset val="134"/>
      <scheme val="major"/>
    </font>
    <font>
      <sz val="10"/>
      <color rgb="FFFF0000"/>
      <name val="Calibri"/>
      <charset val="134"/>
      <scheme val="major"/>
    </font>
    <font>
      <sz val="10"/>
      <color rgb="FF000000"/>
      <name val="Calibri"/>
      <charset val="134"/>
      <scheme val="major"/>
    </font>
    <font>
      <sz val="10"/>
      <color rgb="FF242424"/>
      <name val="Calibri"/>
      <charset val="134"/>
      <scheme val="major"/>
    </font>
    <font>
      <strike/>
      <sz val="10"/>
      <color rgb="FF242424"/>
      <name val="Calibri"/>
      <charset val="134"/>
      <scheme val="major"/>
    </font>
    <font>
      <strike/>
      <sz val="10"/>
      <color theme="1"/>
      <name val="Calibri"/>
      <charset val="134"/>
      <scheme val="major"/>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63">
    <fill>
      <patternFill patternType="none"/>
    </fill>
    <fill>
      <patternFill patternType="gray125"/>
    </fill>
    <fill>
      <patternFill patternType="solid">
        <fgColor rgb="FF2E4057"/>
        <bgColor rgb="FF1A3A5C"/>
      </patternFill>
    </fill>
    <fill>
      <patternFill patternType="solid">
        <fgColor rgb="FF3D3D3D"/>
        <bgColor rgb="FF2E4057"/>
      </patternFill>
    </fill>
    <fill>
      <patternFill patternType="solid">
        <fgColor rgb="FFC9A227"/>
        <bgColor rgb="FFFF9900"/>
      </patternFill>
    </fill>
    <fill>
      <patternFill patternType="solid">
        <fgColor rgb="FFF2F2F2"/>
        <bgColor rgb="FFF0F4F8"/>
      </patternFill>
    </fill>
    <fill>
      <patternFill patternType="solid">
        <fgColor rgb="FFFFFFFF"/>
        <bgColor rgb="FFF7F9FB"/>
      </patternFill>
    </fill>
    <fill>
      <patternFill patternType="solid">
        <fgColor rgb="FFFFEB9C"/>
        <bgColor rgb="FFFFF2CC"/>
      </patternFill>
    </fill>
    <fill>
      <patternFill patternType="solid">
        <fgColor rgb="FFFFC7CE"/>
        <bgColor rgb="FFFCE4D6"/>
      </patternFill>
    </fill>
    <fill>
      <patternFill patternType="solid">
        <fgColor rgb="FF1A2E40"/>
        <bgColor rgb="FF1A3A5C"/>
      </patternFill>
    </fill>
    <fill>
      <patternFill patternType="solid">
        <fgColor rgb="FFE2EFDA"/>
        <bgColor rgb="FFDEEAF1"/>
      </patternFill>
    </fill>
    <fill>
      <patternFill patternType="solid">
        <fgColor rgb="FFF2F7ED"/>
        <bgColor rgb="FFF2F2F2"/>
      </patternFill>
    </fill>
    <fill>
      <patternFill patternType="solid">
        <fgColor rgb="FFFDEEEF"/>
        <bgColor rgb="FFF2F2F2"/>
      </patternFill>
    </fill>
    <fill>
      <patternFill patternType="solid">
        <fgColor rgb="FF4472C4"/>
        <bgColor rgb="FF2E5F8A"/>
      </patternFill>
    </fill>
    <fill>
      <patternFill patternType="solid">
        <fgColor rgb="FFD4F0F0"/>
        <bgColor rgb="FFDEEAF1"/>
      </patternFill>
    </fill>
    <fill>
      <patternFill patternType="solid">
        <fgColor rgb="FFDEEAF1"/>
        <bgColor rgb="FFD4F0F0"/>
      </patternFill>
    </fill>
    <fill>
      <patternFill patternType="solid">
        <fgColor rgb="FFBDD7EE"/>
        <bgColor rgb="FFC9D3DD"/>
      </patternFill>
    </fill>
    <fill>
      <patternFill patternType="solid">
        <fgColor rgb="FFFCE4D6"/>
        <bgColor rgb="FFFFE3E6"/>
      </patternFill>
    </fill>
    <fill>
      <patternFill patternType="solid">
        <fgColor rgb="FFEDEDED"/>
        <bgColor rgb="FFF2F2F2"/>
      </patternFill>
    </fill>
    <fill>
      <patternFill patternType="solid">
        <fgColor rgb="FFF7F9FB"/>
        <bgColor rgb="FFF0F4F8"/>
      </patternFill>
    </fill>
    <fill>
      <patternFill patternType="solid">
        <fgColor rgb="FFFFE3E6"/>
        <bgColor rgb="FFFCE4D6"/>
      </patternFill>
    </fill>
    <fill>
      <patternFill patternType="solid">
        <fgColor rgb="FFE8F0FE"/>
        <bgColor rgb="FFF0F4F8"/>
      </patternFill>
    </fill>
    <fill>
      <patternFill patternType="solid">
        <fgColor rgb="FFFFF2CC"/>
        <bgColor rgb="FFFCE4D6"/>
      </patternFill>
    </fill>
    <fill>
      <patternFill patternType="solid">
        <fgColor rgb="FF1F4E79"/>
        <bgColor rgb="FF285E7A"/>
      </patternFill>
    </fill>
    <fill>
      <patternFill patternType="solid">
        <fgColor rgb="FFF0F4F8"/>
        <bgColor rgb="FFF2F2F2"/>
      </patternFill>
    </fill>
    <fill>
      <patternFill patternType="solid">
        <fgColor rgb="FF2E5F8A"/>
        <bgColor rgb="FF285E7A"/>
      </patternFill>
    </fill>
    <fill>
      <patternFill patternType="solid">
        <fgColor rgb="FF7F8C8D"/>
        <bgColor rgb="FF7A7A7A"/>
      </patternFill>
    </fill>
    <fill>
      <patternFill patternType="solid">
        <fgColor rgb="FF285E7A"/>
        <bgColor rgb="FF2E5F8A"/>
      </patternFill>
    </fill>
    <fill>
      <patternFill patternType="solid">
        <fgColor rgb="FF1A3A5C"/>
        <bgColor rgb="FF2E4057"/>
      </patternFill>
    </fill>
    <fill>
      <patternFill patternType="solid">
        <fgColor rgb="FFFFFF00"/>
        <bgColor rgb="FFFFEB9C"/>
      </patternFill>
    </fill>
    <fill>
      <patternFill patternType="solid">
        <fgColor rgb="FF000000"/>
        <bgColor rgb="FF242424"/>
      </patternFill>
    </fill>
    <fill>
      <patternFill patternType="solid">
        <fgColor rgb="FF00FFFF"/>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
      <left style="thin">
        <color theme="0" tint="-0.15"/>
      </left>
      <right style="thin">
        <color theme="0" tint="-0.15"/>
      </right>
      <top style="thin">
        <color theme="0" tint="-0.15"/>
      </top>
      <bottom style="thin">
        <color theme="0" tint="-0.15"/>
      </bottom>
      <diagonal/>
    </border>
    <border>
      <left style="thin">
        <color rgb="FFCCCCCC"/>
      </left>
      <right style="thin">
        <color rgb="FFCCCCCC"/>
      </right>
      <top style="thin">
        <color rgb="FFCCCCCC"/>
      </top>
      <bottom style="thin">
        <color rgb="FFCCCCCC"/>
      </bottom>
      <diagonal/>
    </border>
    <border>
      <left style="thin">
        <color rgb="FFD9D9D9"/>
      </left>
      <right style="thin">
        <color rgb="FFD9D9D9"/>
      </right>
      <top style="thin">
        <color rgb="FFD9D9D9"/>
      </top>
      <bottom style="thin">
        <color rgb="FFD9D9D9"/>
      </bottom>
      <diagonal/>
    </border>
    <border>
      <left style="thin">
        <color rgb="FFCCCCCC"/>
      </left>
      <right/>
      <top style="thin">
        <color rgb="FFCCCCCC"/>
      </top>
      <bottom style="thin">
        <color rgb="FFCCCCCC"/>
      </bottom>
      <diagonal/>
    </border>
    <border>
      <left style="thin">
        <color theme="0" tint="-0.15"/>
      </left>
      <right style="thin">
        <color theme="0" tint="-0.15"/>
      </right>
      <top style="thin">
        <color theme="0" tint="-0.15"/>
      </top>
      <bottom style="thin">
        <color theme="0" tint="-0.15"/>
      </bottom>
      <diagonal/>
    </border>
    <border>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0" fillId="0" borderId="0" applyBorder="0" applyAlignment="0" applyProtection="0"/>
    <xf numFmtId="44" fontId="50" fillId="0" borderId="0" applyBorder="0" applyAlignment="0" applyProtection="0"/>
    <xf numFmtId="9" fontId="50" fillId="0" borderId="0" applyBorder="0" applyAlignment="0" applyProtection="0"/>
    <xf numFmtId="41" fontId="50" fillId="0" borderId="0" applyBorder="0" applyAlignment="0" applyProtection="0"/>
    <xf numFmtId="42" fontId="50" fillId="0" borderId="0" applyBorder="0" applyAlignment="0" applyProtection="0"/>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32" borderId="9" applyNumberFormat="0" applyFont="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10" applyNumberFormat="0" applyFill="0" applyAlignment="0" applyProtection="0">
      <alignment vertical="center"/>
    </xf>
    <xf numFmtId="0" fontId="58" fillId="0" borderId="10" applyNumberFormat="0" applyFill="0" applyAlignment="0" applyProtection="0">
      <alignment vertical="center"/>
    </xf>
    <xf numFmtId="0" fontId="59" fillId="0" borderId="11" applyNumberFormat="0" applyFill="0" applyAlignment="0" applyProtection="0">
      <alignment vertical="center"/>
    </xf>
    <xf numFmtId="0" fontId="59" fillId="0" borderId="0" applyNumberFormat="0" applyFill="0" applyBorder="0" applyAlignment="0" applyProtection="0">
      <alignment vertical="center"/>
    </xf>
    <xf numFmtId="0" fontId="60" fillId="33" borderId="12" applyNumberFormat="0" applyAlignment="0" applyProtection="0">
      <alignment vertical="center"/>
    </xf>
    <xf numFmtId="0" fontId="61" fillId="34" borderId="13" applyNumberFormat="0" applyAlignment="0" applyProtection="0">
      <alignment vertical="center"/>
    </xf>
    <xf numFmtId="0" fontId="62" fillId="34" borderId="12" applyNumberFormat="0" applyAlignment="0" applyProtection="0">
      <alignment vertical="center"/>
    </xf>
    <xf numFmtId="0" fontId="63" fillId="35" borderId="14" applyNumberFormat="0" applyAlignment="0" applyProtection="0">
      <alignment vertical="center"/>
    </xf>
    <xf numFmtId="0" fontId="64" fillId="0" borderId="15" applyNumberFormat="0" applyFill="0" applyAlignment="0" applyProtection="0">
      <alignment vertical="center"/>
    </xf>
    <xf numFmtId="0" fontId="65" fillId="0" borderId="16" applyNumberFormat="0" applyFill="0" applyAlignment="0" applyProtection="0">
      <alignment vertical="center"/>
    </xf>
    <xf numFmtId="0" fontId="66" fillId="36" borderId="0" applyNumberFormat="0" applyBorder="0" applyAlignment="0" applyProtection="0">
      <alignment vertical="center"/>
    </xf>
    <xf numFmtId="0" fontId="67" fillId="37" borderId="0" applyNumberFormat="0" applyBorder="0" applyAlignment="0" applyProtection="0">
      <alignment vertical="center"/>
    </xf>
    <xf numFmtId="0" fontId="68" fillId="38" borderId="0" applyNumberFormat="0" applyBorder="0" applyAlignment="0" applyProtection="0">
      <alignment vertical="center"/>
    </xf>
    <xf numFmtId="0" fontId="69" fillId="39" borderId="0" applyNumberFormat="0" applyBorder="0" applyAlignment="0" applyProtection="0">
      <alignment vertical="center"/>
    </xf>
    <xf numFmtId="0" fontId="70" fillId="40" borderId="0" applyNumberFormat="0" applyBorder="0" applyAlignment="0" applyProtection="0">
      <alignment vertical="center"/>
    </xf>
    <xf numFmtId="0" fontId="70" fillId="41" borderId="0" applyNumberFormat="0" applyBorder="0" applyAlignment="0" applyProtection="0">
      <alignment vertical="center"/>
    </xf>
    <xf numFmtId="0" fontId="69" fillId="42" borderId="0" applyNumberFormat="0" applyBorder="0" applyAlignment="0" applyProtection="0">
      <alignment vertical="center"/>
    </xf>
    <xf numFmtId="0" fontId="69" fillId="43" borderId="0" applyNumberFormat="0" applyBorder="0" applyAlignment="0" applyProtection="0">
      <alignment vertical="center"/>
    </xf>
    <xf numFmtId="0" fontId="70" fillId="44" borderId="0" applyNumberFormat="0" applyBorder="0" applyAlignment="0" applyProtection="0">
      <alignment vertical="center"/>
    </xf>
    <xf numFmtId="0" fontId="70" fillId="45" borderId="0" applyNumberFormat="0" applyBorder="0" applyAlignment="0" applyProtection="0">
      <alignment vertical="center"/>
    </xf>
    <xf numFmtId="0" fontId="69" fillId="46" borderId="0" applyNumberFormat="0" applyBorder="0" applyAlignment="0" applyProtection="0">
      <alignment vertical="center"/>
    </xf>
    <xf numFmtId="0" fontId="69" fillId="47" borderId="0" applyNumberFormat="0" applyBorder="0" applyAlignment="0" applyProtection="0">
      <alignment vertical="center"/>
    </xf>
    <xf numFmtId="0" fontId="70" fillId="48" borderId="0" applyNumberFormat="0" applyBorder="0" applyAlignment="0" applyProtection="0">
      <alignment vertical="center"/>
    </xf>
    <xf numFmtId="0" fontId="70" fillId="49" borderId="0" applyNumberFormat="0" applyBorder="0" applyAlignment="0" applyProtection="0">
      <alignment vertical="center"/>
    </xf>
    <xf numFmtId="0" fontId="69" fillId="50" borderId="0" applyNumberFormat="0" applyBorder="0" applyAlignment="0" applyProtection="0">
      <alignment vertical="center"/>
    </xf>
    <xf numFmtId="0" fontId="69" fillId="51" borderId="0" applyNumberFormat="0" applyBorder="0" applyAlignment="0" applyProtection="0">
      <alignment vertical="center"/>
    </xf>
    <xf numFmtId="0" fontId="70" fillId="52" borderId="0" applyNumberFormat="0" applyBorder="0" applyAlignment="0" applyProtection="0">
      <alignment vertical="center"/>
    </xf>
    <xf numFmtId="0" fontId="70" fillId="53" borderId="0" applyNumberFormat="0" applyBorder="0" applyAlignment="0" applyProtection="0">
      <alignment vertical="center"/>
    </xf>
    <xf numFmtId="0" fontId="69" fillId="54" borderId="0" applyNumberFormat="0" applyBorder="0" applyAlignment="0" applyProtection="0">
      <alignment vertical="center"/>
    </xf>
    <xf numFmtId="0" fontId="69" fillId="55" borderId="0" applyNumberFormat="0" applyBorder="0" applyAlignment="0" applyProtection="0">
      <alignment vertical="center"/>
    </xf>
    <xf numFmtId="0" fontId="70" fillId="56" borderId="0" applyNumberFormat="0" applyBorder="0" applyAlignment="0" applyProtection="0">
      <alignment vertical="center"/>
    </xf>
    <xf numFmtId="0" fontId="70" fillId="57" borderId="0" applyNumberFormat="0" applyBorder="0" applyAlignment="0" applyProtection="0">
      <alignment vertical="center"/>
    </xf>
    <xf numFmtId="0" fontId="69" fillId="58" borderId="0" applyNumberFormat="0" applyBorder="0" applyAlignment="0" applyProtection="0">
      <alignment vertical="center"/>
    </xf>
    <xf numFmtId="0" fontId="69" fillId="59" borderId="0" applyNumberFormat="0" applyBorder="0" applyAlignment="0" applyProtection="0">
      <alignment vertical="center"/>
    </xf>
    <xf numFmtId="0" fontId="70" fillId="60" borderId="0" applyNumberFormat="0" applyBorder="0" applyAlignment="0" applyProtection="0">
      <alignment vertical="center"/>
    </xf>
    <xf numFmtId="0" fontId="70" fillId="61" borderId="0" applyNumberFormat="0" applyBorder="0" applyAlignment="0" applyProtection="0">
      <alignment vertical="center"/>
    </xf>
    <xf numFmtId="0" fontId="69" fillId="62" borderId="0" applyNumberFormat="0" applyBorder="0" applyAlignment="0" applyProtection="0">
      <alignment vertical="center"/>
    </xf>
  </cellStyleXfs>
  <cellXfs count="123">
    <xf numFmtId="0" fontId="0" fillId="0" borderId="0" xfId="0"/>
    <xf numFmtId="0" fontId="1" fillId="2" borderId="0" xfId="0" applyFont="1" applyFill="1" applyBorder="1" applyAlignment="1">
      <alignment horizontal="left" vertical="center"/>
    </xf>
    <xf numFmtId="0" fontId="2" fillId="0" borderId="0" xfId="0" applyFont="1" applyBorder="1" applyAlignment="1">
      <alignment horizontal="left"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left" vertical="center"/>
    </xf>
    <xf numFmtId="0" fontId="6"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8" fillId="2" borderId="0" xfId="0" applyFont="1" applyFill="1" applyBorder="1" applyAlignment="1">
      <alignment horizontal="center" vertical="center"/>
    </xf>
    <xf numFmtId="0" fontId="9" fillId="9" borderId="0" xfId="0" applyFont="1" applyFill="1" applyBorder="1" applyAlignment="1">
      <alignment horizontal="center" vertical="center"/>
    </xf>
    <xf numFmtId="0" fontId="10" fillId="0" borderId="0" xfId="0" applyFont="1" applyBorder="1" applyAlignment="1">
      <alignment horizontal="left" vertical="center"/>
    </xf>
    <xf numFmtId="9" fontId="11" fillId="10" borderId="0" xfId="0" applyNumberFormat="1" applyFont="1" applyFill="1" applyBorder="1" applyAlignment="1">
      <alignment horizontal="center" vertical="center"/>
    </xf>
    <xf numFmtId="0" fontId="12" fillId="11" borderId="0" xfId="0" applyFont="1" applyFill="1" applyBorder="1" applyAlignment="1">
      <alignment horizontal="center" vertical="center" wrapText="1"/>
    </xf>
    <xf numFmtId="0" fontId="13" fillId="8" borderId="0" xfId="0" applyFont="1" applyFill="1" applyBorder="1" applyAlignment="1">
      <alignment horizontal="center" vertical="center"/>
    </xf>
    <xf numFmtId="0" fontId="10" fillId="12" borderId="0" xfId="0" applyFont="1" applyFill="1" applyBorder="1" applyAlignment="1">
      <alignment horizontal="center" vertical="center" wrapText="1"/>
    </xf>
    <xf numFmtId="0" fontId="14" fillId="13" borderId="0" xfId="0" applyFont="1" applyFill="1" applyBorder="1" applyAlignment="1">
      <alignment horizontal="left" vertical="center"/>
    </xf>
    <xf numFmtId="0" fontId="15" fillId="10" borderId="0" xfId="0" applyFont="1" applyFill="1" applyBorder="1" applyAlignment="1">
      <alignment horizontal="center" vertical="center"/>
    </xf>
    <xf numFmtId="0" fontId="16" fillId="14" borderId="0" xfId="0" applyFont="1" applyFill="1" applyBorder="1" applyAlignment="1">
      <alignment horizontal="center" vertical="center"/>
    </xf>
    <xf numFmtId="0" fontId="17" fillId="15" borderId="0" xfId="0" applyFont="1" applyFill="1" applyBorder="1" applyAlignment="1">
      <alignment horizontal="center" vertical="center"/>
    </xf>
    <xf numFmtId="0" fontId="18" fillId="16" borderId="0" xfId="0" applyFont="1" applyFill="1" applyBorder="1" applyAlignment="1">
      <alignment horizontal="center" vertical="center"/>
    </xf>
    <xf numFmtId="0" fontId="19" fillId="10" borderId="0" xfId="0" applyFont="1" applyFill="1" applyBorder="1" applyAlignment="1">
      <alignment horizontal="center" vertical="center"/>
    </xf>
    <xf numFmtId="0" fontId="20" fillId="14" borderId="0" xfId="0" applyFont="1" applyFill="1" applyBorder="1" applyAlignment="1">
      <alignment horizontal="center" vertical="center"/>
    </xf>
    <xf numFmtId="0" fontId="21" fillId="15" borderId="0" xfId="0" applyFont="1" applyFill="1" applyBorder="1" applyAlignment="1">
      <alignment horizontal="center" vertical="center"/>
    </xf>
    <xf numFmtId="0" fontId="22" fillId="16" borderId="0" xfId="0" applyFont="1" applyFill="1" applyBorder="1" applyAlignment="1">
      <alignment horizontal="center" vertical="center"/>
    </xf>
    <xf numFmtId="0" fontId="23" fillId="17" borderId="0" xfId="0" applyFont="1" applyFill="1" applyBorder="1" applyAlignment="1">
      <alignment horizontal="center" vertical="center"/>
    </xf>
    <xf numFmtId="0" fontId="24" fillId="8" borderId="0" xfId="0" applyFont="1" applyFill="1" applyBorder="1" applyAlignment="1">
      <alignment horizontal="center" vertical="center"/>
    </xf>
    <xf numFmtId="0" fontId="25" fillId="7" borderId="0" xfId="0" applyFont="1" applyFill="1" applyBorder="1" applyAlignment="1">
      <alignment horizontal="center" vertical="center"/>
    </xf>
    <xf numFmtId="0" fontId="26" fillId="18" borderId="0" xfId="0" applyFont="1" applyFill="1" applyBorder="1" applyAlignment="1">
      <alignment horizontal="center" vertical="center"/>
    </xf>
    <xf numFmtId="0" fontId="27" fillId="17" borderId="0" xfId="0" applyFont="1" applyFill="1" applyBorder="1" applyAlignment="1">
      <alignment horizontal="center" vertical="center"/>
    </xf>
    <xf numFmtId="0" fontId="28" fillId="8" borderId="0" xfId="0" applyFont="1" applyFill="1" applyBorder="1" applyAlignment="1">
      <alignment horizontal="center" vertical="center"/>
    </xf>
    <xf numFmtId="0" fontId="29" fillId="7" borderId="0" xfId="0" applyFont="1" applyFill="1" applyBorder="1" applyAlignment="1">
      <alignment horizontal="center" vertical="center"/>
    </xf>
    <xf numFmtId="0" fontId="30" fillId="18" borderId="0" xfId="0" applyFont="1" applyFill="1" applyBorder="1" applyAlignment="1">
      <alignment horizontal="center" vertical="center"/>
    </xf>
    <xf numFmtId="0" fontId="3" fillId="3" borderId="1" xfId="0" applyFont="1" applyFill="1" applyBorder="1" applyAlignment="1">
      <alignment horizontal="center" vertical="center" wrapText="1"/>
    </xf>
    <xf numFmtId="0" fontId="6" fillId="19" borderId="1" xfId="0" applyFont="1" applyFill="1" applyBorder="1" applyAlignment="1">
      <alignment horizontal="left" vertical="center"/>
    </xf>
    <xf numFmtId="0" fontId="6" fillId="19" borderId="1" xfId="0" applyFont="1" applyFill="1" applyBorder="1" applyAlignment="1">
      <alignment horizontal="center" vertical="center"/>
    </xf>
    <xf numFmtId="0" fontId="31" fillId="10" borderId="1" xfId="0" applyFont="1" applyFill="1" applyBorder="1" applyAlignment="1">
      <alignment horizontal="center" vertical="center"/>
    </xf>
    <xf numFmtId="0" fontId="32" fillId="20" borderId="1" xfId="0" applyFont="1" applyFill="1" applyBorder="1" applyAlignment="1">
      <alignment horizontal="center" vertical="center"/>
    </xf>
    <xf numFmtId="9" fontId="6" fillId="19" borderId="1" xfId="0" applyNumberFormat="1" applyFont="1" applyFill="1" applyBorder="1" applyAlignment="1">
      <alignment horizontal="center" vertical="center"/>
    </xf>
    <xf numFmtId="0" fontId="33" fillId="21" borderId="1" xfId="0" applyFont="1" applyFill="1" applyBorder="1" applyAlignment="1">
      <alignment horizontal="left" vertical="center"/>
    </xf>
    <xf numFmtId="0" fontId="33" fillId="21" borderId="1" xfId="0" applyFont="1" applyFill="1" applyBorder="1" applyAlignment="1">
      <alignment horizontal="center" vertical="center"/>
    </xf>
    <xf numFmtId="9" fontId="33" fillId="21" borderId="1" xfId="0" applyNumberFormat="1" applyFont="1" applyFill="1" applyBorder="1" applyAlignment="1">
      <alignment horizontal="center" vertical="center"/>
    </xf>
    <xf numFmtId="9" fontId="6" fillId="21" borderId="1" xfId="0" applyNumberFormat="1" applyFont="1" applyFill="1" applyBorder="1" applyAlignment="1">
      <alignment horizontal="center" vertical="center"/>
    </xf>
    <xf numFmtId="0" fontId="6" fillId="6" borderId="1" xfId="0" applyFont="1" applyFill="1" applyBorder="1" applyAlignment="1">
      <alignment horizontal="left" vertical="center"/>
    </xf>
    <xf numFmtId="9" fontId="6" fillId="6" borderId="1" xfId="0" applyNumberFormat="1" applyFont="1" applyFill="1" applyBorder="1" applyAlignment="1">
      <alignment horizontal="center" vertical="center"/>
    </xf>
    <xf numFmtId="9" fontId="3" fillId="2" borderId="1" xfId="0" applyNumberFormat="1" applyFont="1" applyFill="1" applyBorder="1" applyAlignment="1">
      <alignment horizontal="center" vertical="center"/>
    </xf>
    <xf numFmtId="0" fontId="34" fillId="0" borderId="0" xfId="0" applyFont="1" applyBorder="1" applyAlignment="1">
      <alignment horizontal="left" vertical="center" wrapText="1"/>
    </xf>
    <xf numFmtId="0" fontId="35" fillId="22" borderId="0" xfId="0" applyFont="1" applyFill="1" applyBorder="1" applyAlignment="1">
      <alignment horizontal="left" vertical="center"/>
    </xf>
    <xf numFmtId="0" fontId="36" fillId="19" borderId="1" xfId="0" applyFont="1" applyFill="1" applyBorder="1" applyAlignment="1">
      <alignment horizontal="center" vertical="center"/>
    </xf>
    <xf numFmtId="0" fontId="36" fillId="19" borderId="1" xfId="0" applyFont="1" applyFill="1" applyBorder="1" applyAlignment="1">
      <alignment horizontal="left" vertical="center"/>
    </xf>
    <xf numFmtId="0" fontId="36" fillId="19" borderId="1" xfId="0" applyFont="1" applyFill="1" applyBorder="1" applyAlignment="1">
      <alignment horizontal="left" vertical="center" wrapText="1"/>
    </xf>
    <xf numFmtId="0" fontId="36" fillId="6" borderId="1" xfId="0" applyFont="1" applyFill="1" applyBorder="1" applyAlignment="1">
      <alignment horizontal="center" vertical="center"/>
    </xf>
    <xf numFmtId="0" fontId="36" fillId="6" borderId="1" xfId="0" applyFont="1" applyFill="1" applyBorder="1" applyAlignment="1">
      <alignment horizontal="left" vertical="center"/>
    </xf>
    <xf numFmtId="0" fontId="36" fillId="6" borderId="1" xfId="0" applyFont="1" applyFill="1" applyBorder="1" applyAlignment="1">
      <alignment horizontal="left" vertical="center" wrapText="1"/>
    </xf>
    <xf numFmtId="176" fontId="36" fillId="6" borderId="1" xfId="0" applyNumberFormat="1" applyFont="1" applyFill="1" applyBorder="1" applyAlignment="1">
      <alignment horizontal="center" vertical="center"/>
    </xf>
    <xf numFmtId="177" fontId="36" fillId="6" borderId="1" xfId="0" applyNumberFormat="1" applyFont="1" applyFill="1" applyBorder="1" applyAlignment="1">
      <alignment horizontal="center" vertical="center"/>
    </xf>
    <xf numFmtId="176" fontId="36" fillId="19" borderId="1" xfId="0" applyNumberFormat="1" applyFont="1" applyFill="1" applyBorder="1" applyAlignment="1">
      <alignment horizontal="center" vertical="center"/>
    </xf>
    <xf numFmtId="177" fontId="36" fillId="19" borderId="1" xfId="0" applyNumberFormat="1" applyFont="1" applyFill="1" applyBorder="1" applyAlignment="1">
      <alignment horizontal="center" vertical="center"/>
    </xf>
    <xf numFmtId="0" fontId="37" fillId="22" borderId="0" xfId="0" applyFont="1" applyFill="1" applyBorder="1" applyAlignment="1">
      <alignment horizontal="left" vertical="center"/>
    </xf>
    <xf numFmtId="0" fontId="3" fillId="3" borderId="2" xfId="0" applyFont="1" applyFill="1" applyBorder="1" applyAlignment="1">
      <alignment horizontal="center" vertical="center" wrapText="1"/>
    </xf>
    <xf numFmtId="0" fontId="38" fillId="23" borderId="0" xfId="0" applyFont="1" applyFill="1" applyBorder="1" applyAlignment="1">
      <alignment horizontal="left" vertical="center"/>
    </xf>
    <xf numFmtId="0" fontId="36" fillId="24" borderId="2" xfId="0" applyFont="1" applyFill="1" applyBorder="1" applyAlignment="1">
      <alignment horizontal="center" vertical="center"/>
    </xf>
    <xf numFmtId="0" fontId="36" fillId="24" borderId="2" xfId="0" applyFont="1" applyFill="1" applyBorder="1" applyAlignment="1">
      <alignment horizontal="left" vertical="center"/>
    </xf>
    <xf numFmtId="0" fontId="36" fillId="24" borderId="2" xfId="0" applyFont="1" applyFill="1" applyBorder="1" applyAlignment="1">
      <alignment horizontal="left" vertical="center" wrapText="1"/>
    </xf>
    <xf numFmtId="0" fontId="28" fillId="8" borderId="2" xfId="0" applyFont="1" applyFill="1" applyBorder="1" applyAlignment="1">
      <alignment horizontal="center" vertical="center"/>
    </xf>
    <xf numFmtId="0" fontId="21" fillId="15" borderId="2" xfId="0" applyFont="1" applyFill="1" applyBorder="1" applyAlignment="1">
      <alignment horizontal="center" vertical="center"/>
    </xf>
    <xf numFmtId="0" fontId="36" fillId="6" borderId="2" xfId="0" applyFont="1" applyFill="1" applyBorder="1" applyAlignment="1">
      <alignment horizontal="center" vertical="center"/>
    </xf>
    <xf numFmtId="0" fontId="36" fillId="6" borderId="2" xfId="0" applyFont="1" applyFill="1" applyBorder="1" applyAlignment="1">
      <alignment horizontal="left" vertical="center"/>
    </xf>
    <xf numFmtId="0" fontId="36" fillId="6" borderId="2" xfId="0" applyFont="1" applyFill="1" applyBorder="1" applyAlignment="1">
      <alignment horizontal="left" vertical="center" wrapText="1"/>
    </xf>
    <xf numFmtId="0" fontId="27" fillId="17" borderId="2" xfId="0" applyFont="1" applyFill="1" applyBorder="1" applyAlignment="1">
      <alignment horizontal="center" vertical="center"/>
    </xf>
    <xf numFmtId="0" fontId="22" fillId="16" borderId="2" xfId="0" applyFont="1" applyFill="1" applyBorder="1" applyAlignment="1">
      <alignment horizontal="center" vertical="center"/>
    </xf>
    <xf numFmtId="0" fontId="38" fillId="25" borderId="0" xfId="0" applyFont="1" applyFill="1" applyBorder="1" applyAlignment="1">
      <alignment horizontal="left" vertical="center"/>
    </xf>
    <xf numFmtId="0" fontId="38" fillId="26" borderId="0" xfId="0" applyFont="1" applyFill="1" applyBorder="1" applyAlignment="1">
      <alignment horizontal="left" vertical="center"/>
    </xf>
    <xf numFmtId="0" fontId="29" fillId="7" borderId="2" xfId="0" applyFont="1" applyFill="1" applyBorder="1" applyAlignment="1">
      <alignment horizontal="center" vertical="center"/>
    </xf>
    <xf numFmtId="0" fontId="38" fillId="27" borderId="0" xfId="0" applyFont="1" applyFill="1" applyBorder="1" applyAlignment="1">
      <alignment horizontal="left" vertical="center"/>
    </xf>
    <xf numFmtId="0" fontId="38" fillId="28" borderId="0" xfId="0" applyFont="1" applyFill="1" applyBorder="1" applyAlignment="1">
      <alignment horizontal="left" vertical="center"/>
    </xf>
    <xf numFmtId="0" fontId="39" fillId="0" borderId="0" xfId="0" applyFont="1" applyAlignment="1"/>
    <xf numFmtId="0" fontId="39" fillId="0" borderId="0" xfId="0" applyFont="1"/>
    <xf numFmtId="0" fontId="40" fillId="29" borderId="3" xfId="0" applyFont="1" applyFill="1" applyBorder="1" applyAlignment="1">
      <alignment horizontal="left" vertical="top" wrapText="1"/>
    </xf>
    <xf numFmtId="0" fontId="40" fillId="29" borderId="3" xfId="0" applyFont="1" applyFill="1" applyBorder="1" applyAlignment="1">
      <alignment vertical="top" wrapText="1"/>
    </xf>
    <xf numFmtId="0" fontId="39" fillId="29" borderId="3" xfId="0" applyFont="1" applyFill="1" applyBorder="1" applyAlignment="1">
      <alignment vertical="top" wrapText="1"/>
    </xf>
    <xf numFmtId="0" fontId="41" fillId="30" borderId="3" xfId="0" applyFont="1" applyFill="1" applyBorder="1" applyAlignment="1">
      <alignment vertical="top" wrapText="1"/>
    </xf>
    <xf numFmtId="0" fontId="42" fillId="30" borderId="3" xfId="0" applyFont="1" applyFill="1" applyBorder="1" applyAlignment="1">
      <alignment vertical="top" wrapText="1"/>
    </xf>
    <xf numFmtId="0" fontId="43" fillId="31" borderId="3" xfId="0" applyFont="1" applyFill="1" applyBorder="1" applyAlignment="1">
      <alignment vertical="top" wrapText="1"/>
    </xf>
    <xf numFmtId="0" fontId="44" fillId="30" borderId="3" xfId="0" applyFont="1" applyFill="1" applyBorder="1" applyAlignment="1">
      <alignment vertical="top" wrapText="1"/>
    </xf>
    <xf numFmtId="0" fontId="44" fillId="0" borderId="0" xfId="0" applyFont="1" applyAlignment="1">
      <alignment vertical="top" wrapText="1"/>
    </xf>
    <xf numFmtId="0" fontId="39" fillId="6" borderId="3" xfId="0" applyFont="1" applyFill="1" applyBorder="1" applyAlignment="1">
      <alignment vertical="top" wrapText="1"/>
    </xf>
    <xf numFmtId="0" fontId="39" fillId="0" borderId="3" xfId="0" applyFont="1" applyBorder="1" applyAlignment="1">
      <alignment vertical="top" wrapText="1"/>
    </xf>
    <xf numFmtId="0" fontId="39" fillId="0" borderId="3" xfId="0" applyFont="1" applyBorder="1" applyAlignment="1">
      <alignment vertical="top"/>
    </xf>
    <xf numFmtId="0" fontId="39" fillId="0" borderId="0" xfId="0" applyFont="1" applyAlignment="1">
      <alignment vertical="top"/>
    </xf>
    <xf numFmtId="1" fontId="39" fillId="0" borderId="3" xfId="0" applyNumberFormat="1" applyFont="1" applyBorder="1" applyAlignment="1">
      <alignment vertical="top" wrapText="1"/>
    </xf>
    <xf numFmtId="1" fontId="39" fillId="0" borderId="3" xfId="0" applyNumberFormat="1" applyFont="1" applyBorder="1" applyAlignment="1">
      <alignment vertical="top"/>
    </xf>
    <xf numFmtId="177" fontId="39" fillId="0" borderId="3" xfId="0" applyNumberFormat="1" applyFont="1" applyBorder="1" applyAlignment="1">
      <alignment vertical="top"/>
    </xf>
    <xf numFmtId="176" fontId="39" fillId="0" borderId="3" xfId="0" applyNumberFormat="1" applyFont="1" applyBorder="1" applyAlignment="1">
      <alignment vertical="top"/>
    </xf>
    <xf numFmtId="0" fontId="39" fillId="0" borderId="0" xfId="0" applyFont="1" applyAlignment="1">
      <alignment vertical="top" wrapText="1"/>
    </xf>
    <xf numFmtId="176" fontId="39" fillId="0" borderId="3" xfId="0" applyNumberFormat="1" applyFont="1" applyBorder="1" applyAlignment="1">
      <alignment vertical="top" wrapText="1"/>
    </xf>
    <xf numFmtId="176" fontId="39" fillId="0" borderId="3" xfId="0" applyNumberFormat="1" applyFont="1" applyBorder="1" applyAlignment="1">
      <alignment horizontal="right" vertical="top"/>
    </xf>
    <xf numFmtId="1" fontId="39" fillId="0" borderId="0" xfId="0" applyNumberFormat="1" applyFont="1" applyAlignment="1">
      <alignment vertical="top"/>
    </xf>
    <xf numFmtId="0" fontId="45" fillId="0" borderId="3" xfId="0" applyFont="1" applyBorder="1" applyAlignment="1">
      <alignment vertical="top" wrapText="1"/>
    </xf>
    <xf numFmtId="177" fontId="39" fillId="0" borderId="3" xfId="0" applyNumberFormat="1" applyFont="1" applyBorder="1" applyAlignment="1">
      <alignment vertical="top" wrapText="1"/>
    </xf>
    <xf numFmtId="0" fontId="39" fillId="0" borderId="3" xfId="0" applyFont="1" applyBorder="1" applyAlignment="1">
      <alignment vertical="center"/>
    </xf>
    <xf numFmtId="178" fontId="39" fillId="0" borderId="3" xfId="0" applyNumberFormat="1" applyFont="1" applyBorder="1" applyAlignment="1">
      <alignment vertical="top" wrapText="1"/>
    </xf>
    <xf numFmtId="176" fontId="45" fillId="0" borderId="3" xfId="0" applyNumberFormat="1" applyFont="1" applyBorder="1" applyAlignment="1">
      <alignment vertical="top"/>
    </xf>
    <xf numFmtId="0" fontId="46" fillId="0" borderId="3" xfId="0" applyFont="1" applyBorder="1" applyAlignment="1">
      <alignment vertical="top" wrapText="1"/>
    </xf>
    <xf numFmtId="0" fontId="45" fillId="0" borderId="3" xfId="0" applyFont="1" applyBorder="1" applyAlignment="1">
      <alignment vertical="top"/>
    </xf>
    <xf numFmtId="0" fontId="47" fillId="6" borderId="3" xfId="0" applyFont="1" applyFill="1" applyBorder="1" applyAlignment="1">
      <alignment vertical="top" wrapText="1"/>
    </xf>
    <xf numFmtId="0" fontId="48" fillId="6" borderId="3" xfId="0" applyFont="1" applyFill="1" applyBorder="1" applyAlignment="1">
      <alignment vertical="top" wrapText="1"/>
    </xf>
    <xf numFmtId="0" fontId="49" fillId="0" borderId="3" xfId="0" applyFont="1" applyBorder="1" applyAlignment="1">
      <alignment vertical="top"/>
    </xf>
    <xf numFmtId="176" fontId="39" fillId="0" borderId="0" xfId="0" applyNumberFormat="1" applyFont="1" applyAlignment="1">
      <alignment vertical="top"/>
    </xf>
    <xf numFmtId="0" fontId="39" fillId="0" borderId="4" xfId="0" applyFont="1" applyBorder="1" applyAlignment="1">
      <alignment vertical="top" wrapText="1"/>
    </xf>
    <xf numFmtId="0" fontId="39" fillId="0" borderId="5" xfId="0" applyFont="1" applyBorder="1" applyAlignment="1">
      <alignment vertical="top"/>
    </xf>
    <xf numFmtId="176" fontId="39" fillId="0" borderId="4" xfId="0" applyNumberFormat="1" applyFont="1" applyBorder="1" applyAlignment="1">
      <alignment vertical="top"/>
    </xf>
    <xf numFmtId="176" fontId="39" fillId="0" borderId="5" xfId="0" applyNumberFormat="1" applyFont="1" applyBorder="1" applyAlignment="1">
      <alignment vertical="top"/>
    </xf>
    <xf numFmtId="0" fontId="39" fillId="0" borderId="6" xfId="0" applyFont="1" applyBorder="1" applyAlignment="1">
      <alignment vertical="top"/>
    </xf>
    <xf numFmtId="179" fontId="39" fillId="0" borderId="7" xfId="0" applyNumberFormat="1" applyFont="1" applyBorder="1" applyAlignment="1">
      <alignment vertical="top" wrapText="1"/>
    </xf>
    <xf numFmtId="0" fontId="39" fillId="0" borderId="7" xfId="0" applyFont="1" applyBorder="1" applyAlignment="1">
      <alignment vertical="top" wrapText="1"/>
    </xf>
    <xf numFmtId="0" fontId="39" fillId="0" borderId="8" xfId="0" applyFont="1" applyBorder="1" applyAlignment="1">
      <alignment vertical="top" wrapText="1"/>
    </xf>
    <xf numFmtId="0" fontId="39" fillId="0" borderId="7" xfId="0" applyFont="1" applyBorder="1" applyAlignment="1"/>
    <xf numFmtId="0" fontId="39" fillId="0" borderId="7" xfId="0" applyFont="1" applyBorder="1" applyAlignment="1"/>
    <xf numFmtId="0" fontId="39" fillId="0" borderId="7"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5">
    <dxf>
      <font>
        <name val="Arial"/>
        <scheme val="none"/>
        <charset val="1"/>
        <family val="0"/>
        <b val="1"/>
        <sz val="8"/>
        <color rgb="FF375623"/>
      </font>
      <fill>
        <patternFill patternType="solid">
          <bgColor rgb="FFE2EFDA"/>
        </patternFill>
      </fill>
    </dxf>
    <dxf>
      <font>
        <name val="Arial"/>
        <scheme val="none"/>
        <charset val="1"/>
        <family val="0"/>
        <b val="1"/>
        <sz val="8"/>
        <color rgb="FF006B6B"/>
      </font>
      <fill>
        <patternFill patternType="solid">
          <bgColor rgb="FFD4F0F0"/>
        </patternFill>
      </fill>
    </dxf>
    <dxf>
      <font>
        <name val="Arial"/>
        <scheme val="none"/>
        <charset val="1"/>
        <family val="0"/>
        <b val="1"/>
        <sz val="8"/>
        <color rgb="FF1F4E79"/>
      </font>
      <fill>
        <patternFill patternType="solid">
          <bgColor rgb="FFDEEAF1"/>
        </patternFill>
      </fill>
    </dxf>
    <dxf>
      <font>
        <name val="Arial"/>
        <scheme val="none"/>
        <charset val="1"/>
        <family val="0"/>
        <b val="1"/>
        <sz val="8"/>
        <color rgb="FF2E5F8A"/>
      </font>
      <fill>
        <patternFill patternType="solid">
          <bgColor rgb="FFBDD7EE"/>
        </patternFill>
      </fill>
    </dxf>
    <dxf>
      <font>
        <name val="Arial"/>
        <scheme val="none"/>
        <charset val="1"/>
        <family val="0"/>
        <b val="1"/>
        <sz val="8"/>
        <color rgb="FF843C0C"/>
      </font>
      <fill>
        <patternFill patternType="solid">
          <bgColor rgb="FFFCE4D6"/>
        </patternFill>
      </fill>
    </dxf>
    <dxf>
      <font>
        <name val="Arial"/>
        <scheme val="none"/>
        <charset val="1"/>
        <family val="0"/>
        <b val="1"/>
        <sz val="8"/>
        <color rgb="FF9C0006"/>
      </font>
      <fill>
        <patternFill patternType="solid">
          <bgColor rgb="FFFFC7CE"/>
        </patternFill>
      </fill>
    </dxf>
    <dxf>
      <font>
        <name val="Arial"/>
        <scheme val="none"/>
        <charset val="1"/>
        <family val="0"/>
        <b val="1"/>
        <sz val="8"/>
        <color rgb="FF7F6000"/>
      </font>
      <fill>
        <patternFill patternType="solid">
          <bgColor rgb="FFFFEB9C"/>
        </patternFill>
      </fill>
    </dxf>
    <dxf>
      <font>
        <name val="Arial"/>
        <scheme val="none"/>
        <charset val="1"/>
        <family val="0"/>
        <b val="1"/>
        <sz val="8"/>
        <color rgb="FF595959"/>
      </font>
      <fill>
        <patternFill patternType="solid">
          <bgColor rgb="FFEDEDE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colors>
    <indexedColors>
      <rgbColor rgb="00000000"/>
      <rgbColor rgb="00FFFFFF"/>
      <rgbColor rgb="00FF0000"/>
      <rgbColor rgb="0000FF00"/>
      <rgbColor rgb="000000FF"/>
      <rgbColor rgb="00FFFF00"/>
      <rgbColor rgb="00FF00FF"/>
      <rgbColor rgb="0000FFFF"/>
      <rgbColor rgb="009C0006"/>
      <rgbColor rgb="00375623"/>
      <rgbColor rgb="00000080"/>
      <rgbColor rgb="007F6000"/>
      <rgbColor rgb="00800080"/>
      <rgbColor rgb="00006B6B"/>
      <rgbColor rgb="00BFBFBF"/>
      <rgbColor rgb="007A7A7A"/>
      <rgbColor rgb="00D9D9D9"/>
      <rgbColor rgb="00FDEEEF"/>
      <rgbColor rgb="00FFF2CC"/>
      <rgbColor rgb="00D4F0F0"/>
      <rgbColor rgb="00660066"/>
      <rgbColor rgb="00FFE3E6"/>
      <rgbColor rgb="002E5F8A"/>
      <rgbColor rgb="00C9D3DD"/>
      <rgbColor rgb="00000080"/>
      <rgbColor rgb="00FF00FF"/>
      <rgbColor rgb="00FCE4D6"/>
      <rgbColor rgb="00F0F4F8"/>
      <rgbColor rgb="00800080"/>
      <rgbColor rgb="00800000"/>
      <rgbColor rgb="00285E7A"/>
      <rgbColor rgb="000000FF"/>
      <rgbColor rgb="00F2F2F2"/>
      <rgbColor rgb="00E8F0FE"/>
      <rgbColor rgb="00E2EFDA"/>
      <rgbColor rgb="00FFEB9C"/>
      <rgbColor rgb="00BDD7EE"/>
      <rgbColor rgb="00D0D0D0"/>
      <rgbColor rgb="00CCCCCC"/>
      <rgbColor rgb="00FFC7CE"/>
      <rgbColor rgb="004472C4"/>
      <rgbColor rgb="00DEEAF1"/>
      <rgbColor rgb="0092D050"/>
      <rgbColor rgb="00C9A227"/>
      <rgbColor rgb="00FF9900"/>
      <rgbColor rgb="00EDEDED"/>
      <rgbColor rgb="00595959"/>
      <rgbColor rgb="007F8C8D"/>
      <rgbColor rgb="001A3A5C"/>
      <rgbColor rgb="001F4E79"/>
      <rgbColor rgb="001A2E40"/>
      <rgbColor rgb="00242424"/>
      <rgbColor rgb="00843C0C"/>
      <rgbColor rgb="00F7F9FB"/>
      <rgbColor rgb="002E4057"/>
      <rgbColor rgb="00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00"/>
  </sheetPr>
  <dimension ref="A1:L896"/>
  <sheetViews>
    <sheetView showGridLines="0" tabSelected="1" zoomScale="110" zoomScaleNormal="110" workbookViewId="0">
      <pane ySplit="1" topLeftCell="A260" activePane="bottomLeft" state="frozen"/>
      <selection/>
      <selection pane="bottomLeft" activeCell="A267" sqref="A267"/>
    </sheetView>
  </sheetViews>
  <sheetFormatPr defaultColWidth="14.4453125" defaultRowHeight="14.4"/>
  <cols>
    <col min="1" max="1" width="26.2890625" style="80" customWidth="1"/>
    <col min="2" max="2" width="30.5703125" style="80" customWidth="1"/>
    <col min="3" max="3" width="61.859375" style="80" customWidth="1"/>
    <col min="4" max="4" width="15.4296875" style="80" customWidth="1"/>
    <col min="5" max="5" width="15.8515625" style="80" customWidth="1"/>
    <col min="6" max="6" width="20" style="80" customWidth="1"/>
    <col min="7" max="7" width="26.5703125" style="80" customWidth="1"/>
    <col min="8" max="8" width="14" style="80" customWidth="1"/>
    <col min="9" max="9" width="10.7109375" style="80" customWidth="1"/>
    <col min="10" max="10" width="14.7109375" style="80" customWidth="1"/>
    <col min="11" max="11" width="12" style="80" customWidth="1"/>
    <col min="12" max="16384" width="14.4453125" style="80"/>
  </cols>
  <sheetData>
    <row r="1" ht="28.5" customHeight="1" spans="1:11">
      <c r="A1" s="81" t="s">
        <v>0</v>
      </c>
      <c r="B1" s="82" t="s">
        <v>1</v>
      </c>
      <c r="C1" s="82" t="s">
        <v>2</v>
      </c>
      <c r="D1" s="83" t="s">
        <v>3</v>
      </c>
      <c r="E1" s="83" t="s">
        <v>4</v>
      </c>
      <c r="F1" s="84" t="s">
        <v>5</v>
      </c>
      <c r="G1" s="85" t="s">
        <v>6</v>
      </c>
      <c r="H1" s="86" t="s">
        <v>7</v>
      </c>
      <c r="I1" s="85" t="s">
        <v>8</v>
      </c>
      <c r="J1" s="87" t="s">
        <v>9</v>
      </c>
      <c r="K1" s="88"/>
    </row>
    <row r="2" spans="1:11">
      <c r="A2" s="89" t="s">
        <v>10</v>
      </c>
      <c r="B2" s="89" t="s">
        <v>11</v>
      </c>
      <c r="C2" s="90" t="s">
        <v>12</v>
      </c>
      <c r="D2" s="90" t="s">
        <v>13</v>
      </c>
      <c r="E2" s="90" t="s">
        <v>14</v>
      </c>
      <c r="F2" s="91" t="s">
        <v>15</v>
      </c>
      <c r="G2" s="90"/>
      <c r="H2" s="91"/>
      <c r="I2" s="91"/>
      <c r="J2" s="91"/>
      <c r="K2" s="92"/>
    </row>
    <row r="3" spans="1:11">
      <c r="A3" s="89" t="s">
        <v>10</v>
      </c>
      <c r="B3" s="89" t="s">
        <v>16</v>
      </c>
      <c r="C3" s="90" t="s">
        <v>17</v>
      </c>
      <c r="D3" s="90" t="s">
        <v>13</v>
      </c>
      <c r="E3" s="90" t="s">
        <v>14</v>
      </c>
      <c r="F3" s="91" t="s">
        <v>15</v>
      </c>
      <c r="G3" s="90"/>
      <c r="H3" s="91"/>
      <c r="I3" s="91"/>
      <c r="J3" s="91"/>
      <c r="K3" s="92"/>
    </row>
    <row r="4" spans="1:11">
      <c r="A4" s="89" t="s">
        <v>10</v>
      </c>
      <c r="B4" s="89" t="s">
        <v>18</v>
      </c>
      <c r="C4" s="90" t="s">
        <v>19</v>
      </c>
      <c r="D4" s="90" t="s">
        <v>13</v>
      </c>
      <c r="E4" s="90" t="s">
        <v>14</v>
      </c>
      <c r="F4" s="91" t="s">
        <v>15</v>
      </c>
      <c r="G4" s="90"/>
      <c r="H4" s="91"/>
      <c r="I4" s="91"/>
      <c r="J4" s="91"/>
      <c r="K4" s="92"/>
    </row>
    <row r="5" ht="43.5" customHeight="1" spans="1:11">
      <c r="A5" s="89" t="s">
        <v>10</v>
      </c>
      <c r="B5" s="90" t="s">
        <v>20</v>
      </c>
      <c r="C5" s="90" t="s">
        <v>21</v>
      </c>
      <c r="D5" s="90" t="s">
        <v>13</v>
      </c>
      <c r="E5" s="90" t="s">
        <v>14</v>
      </c>
      <c r="F5" s="91" t="s">
        <v>15</v>
      </c>
      <c r="G5" s="93"/>
      <c r="H5" s="94"/>
      <c r="I5" s="94"/>
      <c r="J5" s="94"/>
      <c r="K5" s="92"/>
    </row>
    <row r="6" spans="1:11">
      <c r="A6" s="89" t="s">
        <v>10</v>
      </c>
      <c r="B6" s="89" t="s">
        <v>22</v>
      </c>
      <c r="C6" s="90" t="s">
        <v>23</v>
      </c>
      <c r="D6" s="90" t="s">
        <v>13</v>
      </c>
      <c r="E6" s="90" t="s">
        <v>14</v>
      </c>
      <c r="F6" s="91" t="s">
        <v>15</v>
      </c>
      <c r="G6" s="90"/>
      <c r="H6" s="91"/>
      <c r="I6" s="91"/>
      <c r="J6" s="91"/>
      <c r="K6" s="92"/>
    </row>
    <row r="7" spans="1:11">
      <c r="A7" s="89" t="s">
        <v>10</v>
      </c>
      <c r="B7" s="90" t="s">
        <v>24</v>
      </c>
      <c r="C7" s="90"/>
      <c r="D7" s="90" t="s">
        <v>13</v>
      </c>
      <c r="E7" s="90" t="s">
        <v>14</v>
      </c>
      <c r="F7" s="91" t="s">
        <v>15</v>
      </c>
      <c r="G7" s="90"/>
      <c r="H7" s="95"/>
      <c r="I7" s="96"/>
      <c r="J7" s="91"/>
      <c r="K7" s="92"/>
    </row>
    <row r="8" spans="1:11">
      <c r="A8" s="89" t="s">
        <v>10</v>
      </c>
      <c r="B8" s="90" t="s">
        <v>25</v>
      </c>
      <c r="C8" s="90"/>
      <c r="D8" s="90" t="s">
        <v>13</v>
      </c>
      <c r="E8" s="90" t="s">
        <v>14</v>
      </c>
      <c r="F8" s="91" t="s">
        <v>15</v>
      </c>
      <c r="G8" s="90"/>
      <c r="H8" s="91"/>
      <c r="I8" s="91"/>
      <c r="J8" s="91"/>
      <c r="K8" s="92"/>
    </row>
    <row r="9" spans="1:11">
      <c r="A9" s="89" t="s">
        <v>10</v>
      </c>
      <c r="B9" s="90" t="s">
        <v>26</v>
      </c>
      <c r="C9" s="90"/>
      <c r="D9" s="90" t="s">
        <v>13</v>
      </c>
      <c r="E9" s="90" t="s">
        <v>14</v>
      </c>
      <c r="F9" s="91" t="s">
        <v>15</v>
      </c>
      <c r="G9" s="93"/>
      <c r="H9" s="94"/>
      <c r="I9" s="94"/>
      <c r="J9" s="94"/>
      <c r="K9" s="92"/>
    </row>
    <row r="10" spans="1:11">
      <c r="A10" s="89" t="s">
        <v>10</v>
      </c>
      <c r="B10" s="90" t="s">
        <v>27</v>
      </c>
      <c r="C10" s="90"/>
      <c r="D10" s="90" t="s">
        <v>13</v>
      </c>
      <c r="E10" s="90" t="s">
        <v>14</v>
      </c>
      <c r="F10" s="91" t="s">
        <v>15</v>
      </c>
      <c r="G10" s="90"/>
      <c r="H10" s="91"/>
      <c r="I10" s="91"/>
      <c r="J10" s="91"/>
      <c r="K10" s="92"/>
    </row>
    <row r="11" spans="1:11">
      <c r="A11" s="89" t="s">
        <v>10</v>
      </c>
      <c r="B11" s="90" t="s">
        <v>28</v>
      </c>
      <c r="C11" s="90"/>
      <c r="D11" s="90" t="s">
        <v>13</v>
      </c>
      <c r="E11" s="90" t="s">
        <v>14</v>
      </c>
      <c r="F11" s="91" t="s">
        <v>15</v>
      </c>
      <c r="G11" s="90"/>
      <c r="H11" s="91"/>
      <c r="I11" s="91"/>
      <c r="J11" s="91"/>
      <c r="K11" s="92"/>
    </row>
    <row r="12" ht="28.5" customHeight="1" spans="1:11">
      <c r="A12" s="89" t="s">
        <v>29</v>
      </c>
      <c r="B12" s="90" t="s">
        <v>30</v>
      </c>
      <c r="C12" s="90"/>
      <c r="D12" s="90" t="s">
        <v>13</v>
      </c>
      <c r="E12" s="90" t="s">
        <v>14</v>
      </c>
      <c r="F12" s="91" t="s">
        <v>15</v>
      </c>
      <c r="G12" s="90"/>
      <c r="H12" s="91"/>
      <c r="I12" s="91"/>
      <c r="J12" s="91"/>
      <c r="K12" s="92"/>
    </row>
    <row r="13" ht="28.5" customHeight="1" spans="1:11">
      <c r="A13" s="89" t="s">
        <v>31</v>
      </c>
      <c r="B13" s="90" t="s">
        <v>32</v>
      </c>
      <c r="C13" s="90"/>
      <c r="D13" s="90" t="s">
        <v>13</v>
      </c>
      <c r="E13" s="90" t="s">
        <v>14</v>
      </c>
      <c r="F13" s="91" t="s">
        <v>15</v>
      </c>
      <c r="G13" s="90"/>
      <c r="H13" s="91"/>
      <c r="I13" s="91"/>
      <c r="J13" s="91"/>
      <c r="K13" s="92"/>
    </row>
    <row r="14" ht="28.5" customHeight="1" spans="1:11">
      <c r="A14" s="89" t="s">
        <v>31</v>
      </c>
      <c r="B14" s="90" t="s">
        <v>33</v>
      </c>
      <c r="C14" s="90"/>
      <c r="D14" s="90" t="s">
        <v>13</v>
      </c>
      <c r="E14" s="90" t="s">
        <v>14</v>
      </c>
      <c r="F14" s="91" t="s">
        <v>15</v>
      </c>
      <c r="G14" s="90"/>
      <c r="H14" s="91"/>
      <c r="I14" s="91"/>
      <c r="J14" s="91"/>
      <c r="K14" s="92"/>
    </row>
    <row r="15" ht="28.5" customHeight="1" spans="1:11">
      <c r="A15" s="90" t="s">
        <v>34</v>
      </c>
      <c r="B15" s="90" t="s">
        <v>35</v>
      </c>
      <c r="C15" s="90"/>
      <c r="D15" s="90" t="s">
        <v>36</v>
      </c>
      <c r="E15" s="90" t="s">
        <v>14</v>
      </c>
      <c r="F15" s="91" t="s">
        <v>15</v>
      </c>
      <c r="G15" s="90" t="s">
        <v>37</v>
      </c>
      <c r="H15" s="95"/>
      <c r="I15" s="96">
        <v>46185</v>
      </c>
      <c r="J15" s="91"/>
      <c r="K15" s="92"/>
    </row>
    <row r="16" ht="28.5" customHeight="1" spans="1:11">
      <c r="A16" s="90" t="s">
        <v>38</v>
      </c>
      <c r="B16" s="90" t="s">
        <v>39</v>
      </c>
      <c r="C16" s="90"/>
      <c r="D16" s="90" t="s">
        <v>36</v>
      </c>
      <c r="E16" s="90" t="s">
        <v>14</v>
      </c>
      <c r="F16" s="91" t="s">
        <v>15</v>
      </c>
      <c r="G16" s="90"/>
      <c r="H16" s="91"/>
      <c r="I16" s="91"/>
      <c r="J16" s="91"/>
      <c r="K16" s="92"/>
    </row>
    <row r="17" ht="29" spans="1:11">
      <c r="A17" s="90" t="s">
        <v>40</v>
      </c>
      <c r="B17" s="90" t="s">
        <v>41</v>
      </c>
      <c r="C17" s="90" t="s">
        <v>42</v>
      </c>
      <c r="D17" s="90" t="s">
        <v>36</v>
      </c>
      <c r="E17" s="90" t="s">
        <v>14</v>
      </c>
      <c r="F17" s="91" t="s">
        <v>15</v>
      </c>
      <c r="G17" s="90"/>
      <c r="H17" s="91"/>
      <c r="I17" s="91"/>
      <c r="J17" s="91"/>
      <c r="K17" s="92"/>
    </row>
    <row r="18" spans="1:11">
      <c r="A18" s="90" t="s">
        <v>40</v>
      </c>
      <c r="B18" s="90" t="s">
        <v>43</v>
      </c>
      <c r="C18" s="90" t="s">
        <v>44</v>
      </c>
      <c r="D18" s="90" t="s">
        <v>36</v>
      </c>
      <c r="E18" s="90" t="s">
        <v>14</v>
      </c>
      <c r="F18" s="91" t="s">
        <v>15</v>
      </c>
      <c r="G18" s="90"/>
      <c r="H18" s="91"/>
      <c r="I18" s="91"/>
      <c r="J18" s="91"/>
      <c r="K18" s="92"/>
    </row>
    <row r="19" ht="72" customHeight="1" spans="1:11">
      <c r="A19" s="90" t="s">
        <v>40</v>
      </c>
      <c r="B19" s="90" t="s">
        <v>19</v>
      </c>
      <c r="C19" s="90" t="s">
        <v>45</v>
      </c>
      <c r="D19" s="90" t="s">
        <v>36</v>
      </c>
      <c r="E19" s="90" t="s">
        <v>14</v>
      </c>
      <c r="F19" s="91" t="s">
        <v>15</v>
      </c>
      <c r="G19" s="90"/>
      <c r="H19" s="91"/>
      <c r="I19" s="91"/>
      <c r="J19" s="91"/>
      <c r="K19" s="92"/>
    </row>
    <row r="20" ht="72" spans="1:11">
      <c r="A20" s="90" t="s">
        <v>40</v>
      </c>
      <c r="B20" s="90" t="s">
        <v>46</v>
      </c>
      <c r="C20" s="90" t="s">
        <v>47</v>
      </c>
      <c r="D20" s="90" t="s">
        <v>36</v>
      </c>
      <c r="E20" s="90" t="s">
        <v>14</v>
      </c>
      <c r="F20" s="91" t="s">
        <v>15</v>
      </c>
      <c r="G20" s="90"/>
      <c r="H20" s="91"/>
      <c r="I20" s="91"/>
      <c r="J20" s="91"/>
      <c r="K20" s="92"/>
    </row>
    <row r="21" ht="43.5" customHeight="1" spans="1:11">
      <c r="A21" s="90" t="s">
        <v>40</v>
      </c>
      <c r="B21" s="90" t="s">
        <v>48</v>
      </c>
      <c r="C21" s="90" t="s">
        <v>49</v>
      </c>
      <c r="D21" s="90" t="s">
        <v>36</v>
      </c>
      <c r="E21" s="90" t="s">
        <v>14</v>
      </c>
      <c r="F21" s="91" t="s">
        <v>15</v>
      </c>
      <c r="G21" s="90"/>
      <c r="H21" s="91"/>
      <c r="I21" s="91"/>
      <c r="J21" s="91"/>
      <c r="K21" s="92"/>
    </row>
    <row r="22" ht="44" spans="1:11">
      <c r="A22" s="90" t="s">
        <v>40</v>
      </c>
      <c r="B22" s="90" t="s">
        <v>50</v>
      </c>
      <c r="C22" s="90" t="s">
        <v>51</v>
      </c>
      <c r="D22" s="90" t="s">
        <v>36</v>
      </c>
      <c r="E22" s="90" t="s">
        <v>14</v>
      </c>
      <c r="F22" s="91" t="s">
        <v>15</v>
      </c>
      <c r="G22" s="90"/>
      <c r="H22" s="91"/>
      <c r="I22" s="91"/>
      <c r="J22" s="91"/>
      <c r="K22" s="92"/>
    </row>
    <row r="23" spans="1:11">
      <c r="A23" s="90" t="s">
        <v>40</v>
      </c>
      <c r="B23" s="90" t="s">
        <v>52</v>
      </c>
      <c r="C23" s="90" t="s">
        <v>53</v>
      </c>
      <c r="D23" s="90" t="s">
        <v>36</v>
      </c>
      <c r="E23" s="90" t="s">
        <v>14</v>
      </c>
      <c r="F23" s="91" t="s">
        <v>15</v>
      </c>
      <c r="G23" s="90"/>
      <c r="H23" s="91"/>
      <c r="I23" s="91"/>
      <c r="J23" s="91"/>
      <c r="K23" s="92"/>
    </row>
    <row r="24" spans="1:11">
      <c r="A24" s="90" t="s">
        <v>40</v>
      </c>
      <c r="B24" s="90" t="s">
        <v>54</v>
      </c>
      <c r="C24" s="90" t="s">
        <v>55</v>
      </c>
      <c r="D24" s="90" t="s">
        <v>36</v>
      </c>
      <c r="E24" s="90" t="s">
        <v>14</v>
      </c>
      <c r="F24" s="91" t="s">
        <v>15</v>
      </c>
      <c r="G24" s="90"/>
      <c r="H24" s="91"/>
      <c r="I24" s="91"/>
      <c r="J24" s="91"/>
      <c r="K24" s="92"/>
    </row>
    <row r="25" spans="1:11">
      <c r="A25" s="90" t="s">
        <v>40</v>
      </c>
      <c r="B25" s="90" t="s">
        <v>56</v>
      </c>
      <c r="C25" s="90" t="s">
        <v>57</v>
      </c>
      <c r="D25" s="90" t="s">
        <v>36</v>
      </c>
      <c r="E25" s="90" t="s">
        <v>14</v>
      </c>
      <c r="F25" s="91" t="s">
        <v>15</v>
      </c>
      <c r="G25" s="90"/>
      <c r="H25" s="91"/>
      <c r="I25" s="91"/>
      <c r="J25" s="91"/>
      <c r="K25" s="92"/>
    </row>
    <row r="26" spans="1:11">
      <c r="A26" s="90" t="s">
        <v>34</v>
      </c>
      <c r="B26" s="90" t="s">
        <v>58</v>
      </c>
      <c r="C26" s="90"/>
      <c r="D26" s="90" t="s">
        <v>36</v>
      </c>
      <c r="E26" s="90" t="s">
        <v>14</v>
      </c>
      <c r="F26" s="91" t="s">
        <v>15</v>
      </c>
      <c r="G26" s="90"/>
      <c r="H26" s="91"/>
      <c r="I26" s="91"/>
      <c r="J26" s="91"/>
      <c r="K26" s="92"/>
    </row>
    <row r="27" spans="1:11">
      <c r="A27" s="90" t="s">
        <v>34</v>
      </c>
      <c r="B27" s="90" t="s">
        <v>59</v>
      </c>
      <c r="C27" s="90"/>
      <c r="D27" s="90" t="s">
        <v>36</v>
      </c>
      <c r="E27" s="90" t="s">
        <v>14</v>
      </c>
      <c r="F27" s="91" t="s">
        <v>15</v>
      </c>
      <c r="G27" s="90"/>
      <c r="H27" s="91"/>
      <c r="I27" s="91"/>
      <c r="J27" s="91"/>
      <c r="K27" s="92"/>
    </row>
    <row r="28" spans="1:11">
      <c r="A28" s="90" t="s">
        <v>34</v>
      </c>
      <c r="B28" s="90" t="s">
        <v>60</v>
      </c>
      <c r="C28" s="90"/>
      <c r="D28" s="90" t="s">
        <v>36</v>
      </c>
      <c r="E28" s="90" t="s">
        <v>14</v>
      </c>
      <c r="F28" s="91" t="s">
        <v>15</v>
      </c>
      <c r="G28" s="90"/>
      <c r="H28" s="91"/>
      <c r="I28" s="91"/>
      <c r="J28" s="91"/>
      <c r="K28" s="92"/>
    </row>
    <row r="29" spans="1:11">
      <c r="A29" s="90" t="s">
        <v>34</v>
      </c>
      <c r="B29" s="90" t="s">
        <v>61</v>
      </c>
      <c r="C29" s="90"/>
      <c r="D29" s="90" t="s">
        <v>36</v>
      </c>
      <c r="E29" s="90" t="s">
        <v>14</v>
      </c>
      <c r="F29" s="91" t="s">
        <v>15</v>
      </c>
      <c r="G29" s="90"/>
      <c r="H29" s="91"/>
      <c r="I29" s="91"/>
      <c r="J29" s="91"/>
      <c r="K29" s="97"/>
    </row>
    <row r="30" spans="1:11">
      <c r="A30" s="90" t="s">
        <v>34</v>
      </c>
      <c r="B30" s="90" t="s">
        <v>62</v>
      </c>
      <c r="C30" s="90"/>
      <c r="D30" s="90" t="s">
        <v>36</v>
      </c>
      <c r="E30" s="90" t="s">
        <v>14</v>
      </c>
      <c r="F30" s="91" t="s">
        <v>15</v>
      </c>
      <c r="G30" s="90"/>
      <c r="H30" s="91"/>
      <c r="I30" s="91"/>
      <c r="J30" s="91"/>
      <c r="K30" s="97"/>
    </row>
    <row r="31" spans="1:11">
      <c r="A31" s="89" t="s">
        <v>10</v>
      </c>
      <c r="B31" s="90" t="s">
        <v>63</v>
      </c>
      <c r="C31" s="90"/>
      <c r="D31" s="90" t="s">
        <v>13</v>
      </c>
      <c r="E31" s="90" t="s">
        <v>64</v>
      </c>
      <c r="F31" s="91" t="s">
        <v>15</v>
      </c>
      <c r="G31" s="90"/>
      <c r="H31" s="95"/>
      <c r="I31" s="95">
        <v>46169</v>
      </c>
      <c r="J31" s="91"/>
      <c r="K31" s="92"/>
    </row>
    <row r="32" spans="1:11">
      <c r="A32" s="89" t="s">
        <v>10</v>
      </c>
      <c r="B32" s="90" t="s">
        <v>65</v>
      </c>
      <c r="C32" s="90" t="s">
        <v>66</v>
      </c>
      <c r="D32" s="90" t="s">
        <v>13</v>
      </c>
      <c r="E32" s="90" t="s">
        <v>64</v>
      </c>
      <c r="F32" s="91" t="s">
        <v>15</v>
      </c>
      <c r="G32" s="90" t="s">
        <v>67</v>
      </c>
      <c r="H32" s="95"/>
      <c r="I32" s="96">
        <v>46185</v>
      </c>
      <c r="J32" s="91"/>
      <c r="K32" s="92"/>
    </row>
    <row r="33" ht="29" spans="1:11">
      <c r="A33" s="89" t="s">
        <v>29</v>
      </c>
      <c r="B33" s="90" t="s">
        <v>65</v>
      </c>
      <c r="C33" s="90" t="s">
        <v>66</v>
      </c>
      <c r="D33" s="90" t="s">
        <v>13</v>
      </c>
      <c r="E33" s="90" t="s">
        <v>64</v>
      </c>
      <c r="F33" s="91" t="s">
        <v>15</v>
      </c>
      <c r="G33" s="90" t="s">
        <v>67</v>
      </c>
      <c r="H33" s="95"/>
      <c r="I33" s="96">
        <v>46185</v>
      </c>
      <c r="J33" s="91"/>
      <c r="K33" s="92"/>
    </row>
    <row r="34" ht="29" spans="1:11">
      <c r="A34" s="89" t="s">
        <v>29</v>
      </c>
      <c r="B34" s="90" t="s">
        <v>68</v>
      </c>
      <c r="C34" s="90" t="s">
        <v>69</v>
      </c>
      <c r="D34" s="90" t="s">
        <v>13</v>
      </c>
      <c r="E34" s="90" t="s">
        <v>64</v>
      </c>
      <c r="F34" s="91" t="s">
        <v>70</v>
      </c>
      <c r="G34" s="90" t="s">
        <v>71</v>
      </c>
      <c r="H34" s="95"/>
      <c r="I34" s="96">
        <v>46197</v>
      </c>
      <c r="J34" s="91"/>
      <c r="K34" s="92"/>
    </row>
    <row r="35" ht="28.5" customHeight="1" spans="1:11">
      <c r="A35" s="89" t="s">
        <v>29</v>
      </c>
      <c r="B35" s="90" t="s">
        <v>72</v>
      </c>
      <c r="C35" s="90" t="s">
        <v>73</v>
      </c>
      <c r="D35" s="90" t="s">
        <v>13</v>
      </c>
      <c r="E35" s="90" t="s">
        <v>64</v>
      </c>
      <c r="F35" s="91" t="s">
        <v>70</v>
      </c>
      <c r="G35" s="90" t="s">
        <v>74</v>
      </c>
      <c r="H35" s="95"/>
      <c r="I35" s="96">
        <v>46198</v>
      </c>
      <c r="J35" s="91"/>
      <c r="K35" s="92"/>
    </row>
    <row r="36" ht="28.5" customHeight="1" spans="1:11">
      <c r="A36" s="89" t="s">
        <v>31</v>
      </c>
      <c r="B36" s="90" t="s">
        <v>75</v>
      </c>
      <c r="C36" s="90"/>
      <c r="D36" s="90" t="s">
        <v>13</v>
      </c>
      <c r="E36" s="90" t="s">
        <v>64</v>
      </c>
      <c r="F36" s="91" t="s">
        <v>15</v>
      </c>
      <c r="G36" s="90" t="s">
        <v>76</v>
      </c>
      <c r="H36" s="91"/>
      <c r="I36" s="96">
        <v>46203</v>
      </c>
      <c r="J36" s="91"/>
      <c r="K36" s="92"/>
    </row>
    <row r="37" ht="72" customHeight="1" spans="1:11">
      <c r="A37" s="89" t="s">
        <v>10</v>
      </c>
      <c r="B37" s="90" t="s">
        <v>77</v>
      </c>
      <c r="C37" s="90" t="s">
        <v>78</v>
      </c>
      <c r="D37" s="90" t="s">
        <v>13</v>
      </c>
      <c r="E37" s="90" t="s">
        <v>64</v>
      </c>
      <c r="F37" s="91" t="s">
        <v>15</v>
      </c>
      <c r="G37" s="90"/>
      <c r="H37" s="91"/>
      <c r="I37" s="91"/>
      <c r="J37" s="91"/>
      <c r="K37" s="92"/>
    </row>
    <row r="38" spans="1:11">
      <c r="A38" s="89" t="s">
        <v>10</v>
      </c>
      <c r="B38" s="90" t="s">
        <v>79</v>
      </c>
      <c r="C38" s="90" t="s">
        <v>80</v>
      </c>
      <c r="D38" s="90" t="s">
        <v>13</v>
      </c>
      <c r="E38" s="90" t="s">
        <v>64</v>
      </c>
      <c r="F38" s="91" t="s">
        <v>15</v>
      </c>
      <c r="G38" s="90"/>
      <c r="H38" s="91"/>
      <c r="I38" s="91"/>
      <c r="J38" s="91"/>
      <c r="K38" s="92"/>
    </row>
    <row r="39" spans="1:11">
      <c r="A39" s="89" t="s">
        <v>10</v>
      </c>
      <c r="B39" s="90" t="s">
        <v>81</v>
      </c>
      <c r="C39" s="90"/>
      <c r="D39" s="90" t="s">
        <v>13</v>
      </c>
      <c r="E39" s="90" t="s">
        <v>64</v>
      </c>
      <c r="F39" s="91" t="s">
        <v>15</v>
      </c>
      <c r="G39" s="90"/>
      <c r="H39" s="91"/>
      <c r="I39" s="91"/>
      <c r="J39" s="91"/>
      <c r="K39" s="92"/>
    </row>
    <row r="40" ht="29" spans="1:11">
      <c r="A40" s="89" t="s">
        <v>29</v>
      </c>
      <c r="B40" s="90" t="s">
        <v>82</v>
      </c>
      <c r="C40" s="90"/>
      <c r="D40" s="90" t="s">
        <v>13</v>
      </c>
      <c r="E40" s="90" t="s">
        <v>64</v>
      </c>
      <c r="F40" s="91" t="s">
        <v>15</v>
      </c>
      <c r="G40" s="90"/>
      <c r="H40" s="91"/>
      <c r="I40" s="91"/>
      <c r="J40" s="91"/>
      <c r="K40" s="92"/>
    </row>
    <row r="41" ht="28.5" customHeight="1" spans="1:11">
      <c r="A41" s="89" t="s">
        <v>31</v>
      </c>
      <c r="B41" s="90" t="s">
        <v>83</v>
      </c>
      <c r="C41" s="90"/>
      <c r="D41" s="90" t="s">
        <v>13</v>
      </c>
      <c r="E41" s="90" t="s">
        <v>64</v>
      </c>
      <c r="F41" s="91" t="s">
        <v>15</v>
      </c>
      <c r="G41" s="90" t="s">
        <v>84</v>
      </c>
      <c r="H41" s="91"/>
      <c r="I41" s="91"/>
      <c r="J41" s="91"/>
      <c r="K41" s="92"/>
    </row>
    <row r="42" ht="100.5" customHeight="1" spans="1:11">
      <c r="A42" s="90" t="s">
        <v>40</v>
      </c>
      <c r="B42" s="90" t="s">
        <v>85</v>
      </c>
      <c r="C42" s="90" t="s">
        <v>86</v>
      </c>
      <c r="D42" s="90" t="s">
        <v>36</v>
      </c>
      <c r="E42" s="90" t="s">
        <v>64</v>
      </c>
      <c r="F42" s="91" t="s">
        <v>15</v>
      </c>
      <c r="G42" s="90" t="s">
        <v>87</v>
      </c>
      <c r="H42" s="95"/>
      <c r="I42" s="96">
        <v>46182</v>
      </c>
      <c r="J42" s="91"/>
      <c r="K42" s="92"/>
    </row>
    <row r="43" ht="28.5" customHeight="1" spans="1:11">
      <c r="A43" s="90" t="s">
        <v>34</v>
      </c>
      <c r="B43" s="90" t="s">
        <v>88</v>
      </c>
      <c r="C43" s="90"/>
      <c r="D43" s="90" t="s">
        <v>36</v>
      </c>
      <c r="E43" s="90" t="s">
        <v>64</v>
      </c>
      <c r="F43" s="91" t="s">
        <v>89</v>
      </c>
      <c r="G43" s="90" t="s">
        <v>90</v>
      </c>
      <c r="H43" s="95"/>
      <c r="I43" s="98">
        <v>46199</v>
      </c>
      <c r="J43" s="91"/>
      <c r="K43" s="92"/>
    </row>
    <row r="44" ht="28.5" customHeight="1" spans="1:11">
      <c r="A44" s="90" t="s">
        <v>91</v>
      </c>
      <c r="B44" s="90" t="s">
        <v>92</v>
      </c>
      <c r="C44" s="90"/>
      <c r="D44" s="90" t="s">
        <v>36</v>
      </c>
      <c r="E44" s="90" t="s">
        <v>64</v>
      </c>
      <c r="F44" s="91" t="s">
        <v>15</v>
      </c>
      <c r="G44" s="90"/>
      <c r="H44" s="91"/>
      <c r="I44" s="91"/>
      <c r="J44" s="91"/>
      <c r="K44" s="92"/>
    </row>
    <row r="45" spans="1:11">
      <c r="A45" s="90" t="s">
        <v>91</v>
      </c>
      <c r="B45" s="90" t="s">
        <v>93</v>
      </c>
      <c r="C45" s="90"/>
      <c r="D45" s="90" t="s">
        <v>36</v>
      </c>
      <c r="E45" s="90" t="s">
        <v>64</v>
      </c>
      <c r="F45" s="91" t="s">
        <v>15</v>
      </c>
      <c r="G45" s="90"/>
      <c r="H45" s="91"/>
      <c r="I45" s="91"/>
      <c r="J45" s="91"/>
      <c r="K45" s="92"/>
    </row>
    <row r="46" spans="1:11">
      <c r="A46" s="90" t="s">
        <v>91</v>
      </c>
      <c r="B46" s="90" t="s">
        <v>94</v>
      </c>
      <c r="C46" s="90"/>
      <c r="D46" s="90" t="s">
        <v>36</v>
      </c>
      <c r="E46" s="90" t="s">
        <v>64</v>
      </c>
      <c r="F46" s="91" t="s">
        <v>15</v>
      </c>
      <c r="G46" s="90"/>
      <c r="H46" s="91"/>
      <c r="I46" s="91"/>
      <c r="J46" s="91"/>
      <c r="K46" s="92"/>
    </row>
    <row r="47" ht="28.5" customHeight="1" spans="1:11">
      <c r="A47" s="90" t="s">
        <v>38</v>
      </c>
      <c r="B47" s="90" t="s">
        <v>95</v>
      </c>
      <c r="C47" s="90"/>
      <c r="D47" s="90" t="s">
        <v>36</v>
      </c>
      <c r="E47" s="90" t="s">
        <v>64</v>
      </c>
      <c r="F47" s="91" t="s">
        <v>15</v>
      </c>
      <c r="G47" s="90"/>
      <c r="H47" s="91"/>
      <c r="I47" s="91"/>
      <c r="J47" s="91"/>
      <c r="K47" s="92"/>
    </row>
    <row r="48" ht="87" customHeight="1" spans="1:11">
      <c r="A48" s="90" t="s">
        <v>38</v>
      </c>
      <c r="B48" s="90" t="s">
        <v>96</v>
      </c>
      <c r="C48" s="90"/>
      <c r="D48" s="90" t="s">
        <v>36</v>
      </c>
      <c r="E48" s="90" t="s">
        <v>64</v>
      </c>
      <c r="F48" s="91" t="s">
        <v>15</v>
      </c>
      <c r="G48" s="90"/>
      <c r="H48" s="91"/>
      <c r="I48" s="91"/>
      <c r="J48" s="91"/>
      <c r="K48" s="92"/>
    </row>
    <row r="49" ht="101" spans="1:11">
      <c r="A49" s="90" t="s">
        <v>40</v>
      </c>
      <c r="B49" s="90" t="s">
        <v>97</v>
      </c>
      <c r="C49" s="90" t="s">
        <v>98</v>
      </c>
      <c r="D49" s="90" t="s">
        <v>36</v>
      </c>
      <c r="E49" s="90" t="s">
        <v>64</v>
      </c>
      <c r="F49" s="91" t="s">
        <v>15</v>
      </c>
      <c r="G49" s="90"/>
      <c r="H49" s="91"/>
      <c r="I49" s="91"/>
      <c r="J49" s="91"/>
      <c r="K49" s="92"/>
    </row>
    <row r="50" ht="29" spans="1:11">
      <c r="A50" s="90" t="s">
        <v>40</v>
      </c>
      <c r="B50" s="90" t="s">
        <v>99</v>
      </c>
      <c r="C50" s="90" t="s">
        <v>100</v>
      </c>
      <c r="D50" s="90" t="s">
        <v>36</v>
      </c>
      <c r="E50" s="90" t="s">
        <v>64</v>
      </c>
      <c r="F50" s="91" t="s">
        <v>15</v>
      </c>
      <c r="G50" s="90"/>
      <c r="H50" s="91"/>
      <c r="I50" s="91"/>
      <c r="J50" s="91"/>
      <c r="K50" s="92"/>
    </row>
    <row r="51" ht="29" spans="1:11">
      <c r="A51" s="90" t="s">
        <v>40</v>
      </c>
      <c r="B51" s="90" t="s">
        <v>101</v>
      </c>
      <c r="C51" s="90" t="s">
        <v>102</v>
      </c>
      <c r="D51" s="90" t="s">
        <v>36</v>
      </c>
      <c r="E51" s="90" t="s">
        <v>64</v>
      </c>
      <c r="F51" s="91" t="s">
        <v>15</v>
      </c>
      <c r="G51" s="90"/>
      <c r="H51" s="91"/>
      <c r="I51" s="91"/>
      <c r="J51" s="91"/>
      <c r="K51" s="92"/>
    </row>
    <row r="52" ht="28.5" customHeight="1" spans="1:11">
      <c r="A52" s="90" t="s">
        <v>40</v>
      </c>
      <c r="B52" s="90" t="s">
        <v>103</v>
      </c>
      <c r="C52" s="90" t="s">
        <v>104</v>
      </c>
      <c r="D52" s="90" t="s">
        <v>36</v>
      </c>
      <c r="E52" s="90" t="s">
        <v>64</v>
      </c>
      <c r="F52" s="91" t="s">
        <v>15</v>
      </c>
      <c r="G52" s="90"/>
      <c r="H52" s="91"/>
      <c r="I52" s="91"/>
      <c r="J52" s="91"/>
      <c r="K52" s="92"/>
    </row>
    <row r="53" spans="1:11">
      <c r="A53" s="90" t="s">
        <v>40</v>
      </c>
      <c r="B53" s="90" t="s">
        <v>105</v>
      </c>
      <c r="C53" s="90" t="s">
        <v>106</v>
      </c>
      <c r="D53" s="90" t="s">
        <v>36</v>
      </c>
      <c r="E53" s="90" t="s">
        <v>64</v>
      </c>
      <c r="F53" s="91" t="s">
        <v>15</v>
      </c>
      <c r="G53" s="90"/>
      <c r="H53" s="91"/>
      <c r="I53" s="91"/>
      <c r="J53" s="91"/>
      <c r="K53" s="92"/>
    </row>
    <row r="54" ht="87" spans="1:11">
      <c r="A54" s="90" t="s">
        <v>40</v>
      </c>
      <c r="B54" s="90" t="s">
        <v>107</v>
      </c>
      <c r="C54" s="90" t="s">
        <v>108</v>
      </c>
      <c r="D54" s="90" t="s">
        <v>36</v>
      </c>
      <c r="E54" s="90" t="s">
        <v>64</v>
      </c>
      <c r="F54" s="91" t="s">
        <v>15</v>
      </c>
      <c r="G54" s="90"/>
      <c r="H54" s="90"/>
      <c r="I54" s="90"/>
      <c r="J54" s="90"/>
      <c r="K54" s="92"/>
    </row>
    <row r="55" spans="1:11">
      <c r="A55" s="90" t="s">
        <v>40</v>
      </c>
      <c r="B55" s="90" t="s">
        <v>109</v>
      </c>
      <c r="C55" s="90" t="s">
        <v>110</v>
      </c>
      <c r="D55" s="90" t="s">
        <v>36</v>
      </c>
      <c r="E55" s="90" t="s">
        <v>64</v>
      </c>
      <c r="F55" s="91" t="s">
        <v>15</v>
      </c>
      <c r="G55" s="90"/>
      <c r="H55" s="91"/>
      <c r="I55" s="91"/>
      <c r="J55" s="91"/>
      <c r="K55" s="92"/>
    </row>
    <row r="56" ht="28.5" customHeight="1" spans="1:11">
      <c r="A56" s="90" t="s">
        <v>40</v>
      </c>
      <c r="B56" s="90" t="s">
        <v>111</v>
      </c>
      <c r="C56" s="90" t="s">
        <v>112</v>
      </c>
      <c r="D56" s="90" t="s">
        <v>36</v>
      </c>
      <c r="E56" s="90" t="s">
        <v>64</v>
      </c>
      <c r="F56" s="91" t="s">
        <v>15</v>
      </c>
      <c r="G56" s="90"/>
      <c r="H56" s="91"/>
      <c r="I56" s="91"/>
      <c r="J56" s="91"/>
      <c r="K56" s="92"/>
    </row>
    <row r="57" spans="1:11">
      <c r="A57" s="90" t="s">
        <v>34</v>
      </c>
      <c r="B57" s="90" t="s">
        <v>18</v>
      </c>
      <c r="C57" s="90" t="s">
        <v>19</v>
      </c>
      <c r="D57" s="90" t="s">
        <v>36</v>
      </c>
      <c r="E57" s="90" t="s">
        <v>64</v>
      </c>
      <c r="F57" s="91" t="s">
        <v>15</v>
      </c>
      <c r="G57" s="90"/>
      <c r="H57" s="91"/>
      <c r="I57" s="91"/>
      <c r="J57" s="91"/>
      <c r="K57" s="92"/>
    </row>
    <row r="58" ht="28.5" customHeight="1" spans="1:11">
      <c r="A58" s="90" t="s">
        <v>34</v>
      </c>
      <c r="B58" s="90" t="s">
        <v>113</v>
      </c>
      <c r="C58" s="90"/>
      <c r="D58" s="90" t="s">
        <v>36</v>
      </c>
      <c r="E58" s="90" t="s">
        <v>64</v>
      </c>
      <c r="F58" s="91" t="s">
        <v>15</v>
      </c>
      <c r="G58" s="90"/>
      <c r="H58" s="91"/>
      <c r="I58" s="91"/>
      <c r="J58" s="91"/>
      <c r="K58" s="92"/>
    </row>
    <row r="59" ht="28.5" customHeight="1" spans="1:11">
      <c r="A59" s="90" t="s">
        <v>34</v>
      </c>
      <c r="B59" s="90" t="s">
        <v>114</v>
      </c>
      <c r="C59" s="90"/>
      <c r="D59" s="90" t="s">
        <v>36</v>
      </c>
      <c r="E59" s="90" t="s">
        <v>64</v>
      </c>
      <c r="F59" s="91" t="s">
        <v>15</v>
      </c>
      <c r="G59" s="90"/>
      <c r="H59" s="91"/>
      <c r="I59" s="91"/>
      <c r="J59" s="91"/>
      <c r="K59" s="92"/>
    </row>
    <row r="60" ht="28.5" customHeight="1" spans="1:11">
      <c r="A60" s="90" t="s">
        <v>34</v>
      </c>
      <c r="B60" s="90" t="s">
        <v>115</v>
      </c>
      <c r="C60" s="90"/>
      <c r="D60" s="90" t="s">
        <v>36</v>
      </c>
      <c r="E60" s="90" t="s">
        <v>64</v>
      </c>
      <c r="F60" s="91" t="s">
        <v>15</v>
      </c>
      <c r="G60" s="90"/>
      <c r="H60" s="91"/>
      <c r="I60" s="91"/>
      <c r="J60" s="91"/>
      <c r="K60" s="92"/>
    </row>
    <row r="61" ht="28.5" customHeight="1" spans="1:11">
      <c r="A61" s="90" t="s">
        <v>34</v>
      </c>
      <c r="B61" s="90" t="s">
        <v>116</v>
      </c>
      <c r="C61" s="90"/>
      <c r="D61" s="90" t="s">
        <v>36</v>
      </c>
      <c r="E61" s="90" t="s">
        <v>64</v>
      </c>
      <c r="F61" s="91" t="s">
        <v>15</v>
      </c>
      <c r="G61" s="90"/>
      <c r="H61" s="91"/>
      <c r="I61" s="91"/>
      <c r="J61" s="91"/>
      <c r="K61" s="92"/>
    </row>
    <row r="62" ht="43.5" customHeight="1" spans="1:11">
      <c r="A62" s="90" t="s">
        <v>34</v>
      </c>
      <c r="B62" s="90" t="s">
        <v>117</v>
      </c>
      <c r="C62" s="90"/>
      <c r="D62" s="90" t="s">
        <v>36</v>
      </c>
      <c r="E62" s="90" t="s">
        <v>64</v>
      </c>
      <c r="F62" s="91" t="s">
        <v>15</v>
      </c>
      <c r="G62" s="90"/>
      <c r="H62" s="91"/>
      <c r="I62" s="91"/>
      <c r="J62" s="91"/>
      <c r="K62" s="92"/>
    </row>
    <row r="63" ht="28.5" customHeight="1" spans="1:11">
      <c r="A63" s="89" t="s">
        <v>31</v>
      </c>
      <c r="B63" s="90" t="s">
        <v>118</v>
      </c>
      <c r="C63" s="90"/>
      <c r="D63" s="90" t="s">
        <v>13</v>
      </c>
      <c r="E63" s="90" t="s">
        <v>119</v>
      </c>
      <c r="F63" s="91" t="s">
        <v>15</v>
      </c>
      <c r="G63" s="90"/>
      <c r="H63" s="91"/>
      <c r="I63" s="91"/>
      <c r="J63" s="91"/>
      <c r="K63" s="92"/>
    </row>
    <row r="64" ht="57.75" customHeight="1" spans="1:11">
      <c r="A64" s="90"/>
      <c r="B64" s="90"/>
      <c r="C64" s="90" t="s">
        <v>120</v>
      </c>
      <c r="D64" s="90" t="s">
        <v>121</v>
      </c>
      <c r="E64" s="90" t="s">
        <v>119</v>
      </c>
      <c r="F64" s="91" t="s">
        <v>15</v>
      </c>
      <c r="G64" s="90"/>
      <c r="H64" s="96"/>
      <c r="I64" s="99">
        <v>46192</v>
      </c>
      <c r="J64" s="91" t="s">
        <v>122</v>
      </c>
      <c r="K64" s="92"/>
    </row>
    <row r="65" spans="1:11">
      <c r="A65" s="90" t="s">
        <v>34</v>
      </c>
      <c r="B65" s="90" t="s">
        <v>123</v>
      </c>
      <c r="C65" s="90"/>
      <c r="D65" s="90" t="s">
        <v>36</v>
      </c>
      <c r="E65" s="90" t="s">
        <v>119</v>
      </c>
      <c r="F65" s="91" t="s">
        <v>15</v>
      </c>
      <c r="G65" s="90"/>
      <c r="H65" s="95"/>
      <c r="I65" s="96">
        <v>46183</v>
      </c>
      <c r="J65" s="91" t="s">
        <v>124</v>
      </c>
      <c r="K65" s="92"/>
    </row>
    <row r="66" spans="1:11">
      <c r="A66" s="90" t="s">
        <v>40</v>
      </c>
      <c r="B66" s="90" t="s">
        <v>125</v>
      </c>
      <c r="C66" s="90" t="s">
        <v>126</v>
      </c>
      <c r="D66" s="90" t="s">
        <v>36</v>
      </c>
      <c r="E66" s="90" t="s">
        <v>119</v>
      </c>
      <c r="F66" s="91" t="s">
        <v>89</v>
      </c>
      <c r="G66" s="90"/>
      <c r="H66" s="95"/>
      <c r="I66" s="98">
        <v>46197</v>
      </c>
      <c r="J66" s="91" t="s">
        <v>127</v>
      </c>
      <c r="K66" s="92"/>
    </row>
    <row r="67" spans="1:11">
      <c r="A67" s="90" t="s">
        <v>34</v>
      </c>
      <c r="B67" s="90" t="s">
        <v>125</v>
      </c>
      <c r="C67" s="90" t="s">
        <v>128</v>
      </c>
      <c r="D67" s="90" t="s">
        <v>36</v>
      </c>
      <c r="E67" s="90" t="s">
        <v>119</v>
      </c>
      <c r="F67" s="91" t="s">
        <v>89</v>
      </c>
      <c r="G67" s="90"/>
      <c r="H67" s="95"/>
      <c r="I67" s="98">
        <v>46197</v>
      </c>
      <c r="J67" s="91" t="s">
        <v>127</v>
      </c>
      <c r="K67" s="92"/>
    </row>
    <row r="68" ht="58" spans="1:11">
      <c r="A68" s="90" t="s">
        <v>40</v>
      </c>
      <c r="B68" s="90" t="s">
        <v>129</v>
      </c>
      <c r="C68" s="90" t="s">
        <v>130</v>
      </c>
      <c r="D68" s="90" t="s">
        <v>36</v>
      </c>
      <c r="E68" s="90" t="s">
        <v>119</v>
      </c>
      <c r="F68" s="91" t="s">
        <v>15</v>
      </c>
      <c r="G68" s="90"/>
      <c r="H68" s="91"/>
      <c r="I68" s="91"/>
      <c r="J68" s="91"/>
      <c r="K68" s="92"/>
    </row>
    <row r="69" spans="1:11">
      <c r="A69" s="90" t="s">
        <v>34</v>
      </c>
      <c r="B69" s="90" t="s">
        <v>131</v>
      </c>
      <c r="C69" s="90"/>
      <c r="D69" s="90" t="s">
        <v>36</v>
      </c>
      <c r="E69" s="90" t="s">
        <v>119</v>
      </c>
      <c r="F69" s="91" t="s">
        <v>15</v>
      </c>
      <c r="G69" s="90"/>
      <c r="H69" s="91"/>
      <c r="I69" s="91"/>
      <c r="J69" s="91"/>
      <c r="K69" s="92"/>
    </row>
    <row r="70" ht="43.5" customHeight="1" spans="1:11">
      <c r="A70" s="90" t="s">
        <v>34</v>
      </c>
      <c r="B70" s="90" t="s">
        <v>132</v>
      </c>
      <c r="C70" s="90"/>
      <c r="D70" s="90" t="s">
        <v>36</v>
      </c>
      <c r="E70" s="90" t="s">
        <v>119</v>
      </c>
      <c r="F70" s="91" t="s">
        <v>15</v>
      </c>
      <c r="G70" s="90"/>
      <c r="H70" s="91"/>
      <c r="I70" s="91"/>
      <c r="J70" s="91"/>
      <c r="K70" s="92"/>
    </row>
    <row r="71" ht="43.5" customHeight="1" spans="1:11">
      <c r="A71" s="90" t="s">
        <v>34</v>
      </c>
      <c r="B71" s="90" t="s">
        <v>133</v>
      </c>
      <c r="C71" s="90"/>
      <c r="D71" s="90" t="s">
        <v>36</v>
      </c>
      <c r="E71" s="90" t="s">
        <v>119</v>
      </c>
      <c r="F71" s="91" t="s">
        <v>15</v>
      </c>
      <c r="G71" s="90"/>
      <c r="H71" s="91"/>
      <c r="I71" s="91"/>
      <c r="J71" s="91"/>
      <c r="K71" s="92"/>
    </row>
    <row r="72" ht="28.5" customHeight="1" spans="1:11">
      <c r="A72" s="90" t="s">
        <v>34</v>
      </c>
      <c r="B72" s="90" t="s">
        <v>134</v>
      </c>
      <c r="C72" s="90"/>
      <c r="D72" s="90" t="s">
        <v>135</v>
      </c>
      <c r="E72" s="90" t="s">
        <v>136</v>
      </c>
      <c r="F72" s="91" t="s">
        <v>89</v>
      </c>
      <c r="G72" s="90" t="s">
        <v>137</v>
      </c>
      <c r="H72" s="95"/>
      <c r="I72" s="96">
        <v>46203</v>
      </c>
      <c r="J72" s="91"/>
      <c r="K72" s="92"/>
    </row>
    <row r="73" ht="28.5" customHeight="1" spans="1:11">
      <c r="A73" s="89" t="s">
        <v>10</v>
      </c>
      <c r="B73" s="90" t="s">
        <v>138</v>
      </c>
      <c r="C73" s="90"/>
      <c r="D73" s="90" t="s">
        <v>13</v>
      </c>
      <c r="E73" s="90" t="s">
        <v>136</v>
      </c>
      <c r="F73" s="91" t="s">
        <v>89</v>
      </c>
      <c r="G73" s="90"/>
      <c r="H73" s="95"/>
      <c r="I73" s="96">
        <v>46197</v>
      </c>
      <c r="J73" s="91"/>
      <c r="K73" s="92"/>
    </row>
    <row r="74" ht="28.5" customHeight="1" spans="1:11">
      <c r="A74" s="89" t="s">
        <v>10</v>
      </c>
      <c r="B74" s="90" t="s">
        <v>139</v>
      </c>
      <c r="C74" s="90"/>
      <c r="D74" s="90" t="s">
        <v>13</v>
      </c>
      <c r="E74" s="90" t="s">
        <v>136</v>
      </c>
      <c r="F74" s="91" t="s">
        <v>70</v>
      </c>
      <c r="G74" s="90" t="s">
        <v>140</v>
      </c>
      <c r="H74" s="95"/>
      <c r="I74" s="96">
        <v>46198</v>
      </c>
      <c r="J74" s="91" t="s">
        <v>124</v>
      </c>
      <c r="K74" s="92"/>
    </row>
    <row r="75" ht="29" spans="1:11">
      <c r="A75" s="89" t="s">
        <v>31</v>
      </c>
      <c r="B75" s="90" t="s">
        <v>141</v>
      </c>
      <c r="C75" s="90" t="s">
        <v>142</v>
      </c>
      <c r="D75" s="90" t="s">
        <v>13</v>
      </c>
      <c r="E75" s="90" t="s">
        <v>136</v>
      </c>
      <c r="F75" s="91" t="s">
        <v>89</v>
      </c>
      <c r="G75" s="90"/>
      <c r="H75" s="96"/>
      <c r="I75" s="96">
        <v>46199</v>
      </c>
      <c r="J75" s="91" t="s">
        <v>143</v>
      </c>
      <c r="K75" s="92"/>
    </row>
    <row r="76" ht="28.5" customHeight="1" spans="1:11">
      <c r="A76" s="89" t="s">
        <v>31</v>
      </c>
      <c r="B76" s="90" t="s">
        <v>144</v>
      </c>
      <c r="C76" s="90" t="s">
        <v>142</v>
      </c>
      <c r="D76" s="90" t="s">
        <v>13</v>
      </c>
      <c r="E76" s="90" t="s">
        <v>136</v>
      </c>
      <c r="F76" s="91" t="s">
        <v>89</v>
      </c>
      <c r="G76" s="90"/>
      <c r="H76" s="96"/>
      <c r="I76" s="96">
        <v>46199</v>
      </c>
      <c r="J76" s="91" t="s">
        <v>143</v>
      </c>
      <c r="K76" s="92"/>
    </row>
    <row r="77" ht="28.5" customHeight="1" spans="1:11">
      <c r="A77" s="89" t="s">
        <v>10</v>
      </c>
      <c r="B77" s="90" t="s">
        <v>145</v>
      </c>
      <c r="C77" s="90"/>
      <c r="D77" s="90" t="s">
        <v>13</v>
      </c>
      <c r="E77" s="90" t="s">
        <v>136</v>
      </c>
      <c r="F77" s="91" t="s">
        <v>15</v>
      </c>
      <c r="G77" s="93"/>
      <c r="H77" s="94"/>
      <c r="I77" s="94"/>
      <c r="J77" s="94"/>
      <c r="K77" s="92"/>
    </row>
    <row r="78" ht="28.5" customHeight="1" spans="1:11">
      <c r="A78" s="89" t="s">
        <v>29</v>
      </c>
      <c r="B78" s="90" t="s">
        <v>146</v>
      </c>
      <c r="C78" s="90"/>
      <c r="D78" s="90" t="s">
        <v>13</v>
      </c>
      <c r="E78" s="90" t="s">
        <v>136</v>
      </c>
      <c r="F78" s="91" t="s">
        <v>15</v>
      </c>
      <c r="G78" s="90" t="s">
        <v>147</v>
      </c>
      <c r="H78" s="91"/>
      <c r="I78" s="91"/>
      <c r="J78" s="91"/>
      <c r="K78" s="92"/>
    </row>
    <row r="79" ht="28.5" customHeight="1" spans="1:11">
      <c r="A79" s="89" t="s">
        <v>29</v>
      </c>
      <c r="B79" s="90" t="s">
        <v>148</v>
      </c>
      <c r="C79" s="90"/>
      <c r="D79" s="90" t="s">
        <v>13</v>
      </c>
      <c r="E79" s="90" t="s">
        <v>136</v>
      </c>
      <c r="F79" s="91" t="s">
        <v>15</v>
      </c>
      <c r="G79" s="90"/>
      <c r="H79" s="91"/>
      <c r="I79" s="91"/>
      <c r="J79" s="91"/>
      <c r="K79" s="92"/>
    </row>
    <row r="80" ht="43.5" customHeight="1" spans="1:11">
      <c r="A80" s="89" t="s">
        <v>31</v>
      </c>
      <c r="B80" s="90" t="s">
        <v>149</v>
      </c>
      <c r="C80" s="90"/>
      <c r="D80" s="90" t="s">
        <v>13</v>
      </c>
      <c r="E80" s="90" t="s">
        <v>136</v>
      </c>
      <c r="F80" s="91" t="s">
        <v>15</v>
      </c>
      <c r="G80" s="90"/>
      <c r="H80" s="91"/>
      <c r="I80" s="91"/>
      <c r="J80" s="91"/>
      <c r="K80" s="100"/>
    </row>
    <row r="81" ht="29" spans="1:11">
      <c r="A81" s="89" t="s">
        <v>31</v>
      </c>
      <c r="B81" s="90" t="s">
        <v>150</v>
      </c>
      <c r="C81" s="90"/>
      <c r="D81" s="90" t="s">
        <v>13</v>
      </c>
      <c r="E81" s="90" t="s">
        <v>136</v>
      </c>
      <c r="F81" s="91" t="s">
        <v>15</v>
      </c>
      <c r="G81" s="90"/>
      <c r="H81" s="91"/>
      <c r="I81" s="91"/>
      <c r="J81" s="91"/>
      <c r="K81" s="92"/>
    </row>
    <row r="82" ht="28.5" customHeight="1" spans="1:11">
      <c r="A82" s="90" t="s">
        <v>151</v>
      </c>
      <c r="B82" s="90" t="s">
        <v>152</v>
      </c>
      <c r="C82" s="90" t="s">
        <v>153</v>
      </c>
      <c r="D82" s="90" t="s">
        <v>121</v>
      </c>
      <c r="E82" s="90" t="s">
        <v>136</v>
      </c>
      <c r="F82" s="91" t="s">
        <v>15</v>
      </c>
      <c r="G82" s="90"/>
      <c r="H82" s="96"/>
      <c r="I82" s="96">
        <v>46168</v>
      </c>
      <c r="J82" s="91"/>
      <c r="K82" s="92"/>
    </row>
    <row r="83" ht="28.5" customHeight="1" spans="1:11">
      <c r="A83" s="90" t="s">
        <v>151</v>
      </c>
      <c r="B83" s="90" t="s">
        <v>154</v>
      </c>
      <c r="C83" s="90" t="s">
        <v>155</v>
      </c>
      <c r="D83" s="90" t="s">
        <v>121</v>
      </c>
      <c r="E83" s="90" t="s">
        <v>136</v>
      </c>
      <c r="F83" s="91" t="s">
        <v>156</v>
      </c>
      <c r="G83" s="101"/>
      <c r="H83" s="95"/>
      <c r="I83" s="96">
        <v>46183</v>
      </c>
      <c r="J83" s="91" t="s">
        <v>157</v>
      </c>
      <c r="K83" s="92"/>
    </row>
    <row r="84" spans="1:11">
      <c r="A84" s="90" t="s">
        <v>158</v>
      </c>
      <c r="B84" s="90" t="s">
        <v>159</v>
      </c>
      <c r="C84" s="90" t="s">
        <v>160</v>
      </c>
      <c r="D84" s="90" t="s">
        <v>121</v>
      </c>
      <c r="E84" s="90" t="s">
        <v>136</v>
      </c>
      <c r="F84" s="91" t="s">
        <v>15</v>
      </c>
      <c r="G84" s="90" t="s">
        <v>161</v>
      </c>
      <c r="H84" s="96"/>
      <c r="I84" s="96">
        <v>46183</v>
      </c>
      <c r="J84" s="91" t="s">
        <v>157</v>
      </c>
      <c r="K84" s="92"/>
    </row>
    <row r="85" ht="29" spans="1:11">
      <c r="A85" s="90" t="s">
        <v>162</v>
      </c>
      <c r="B85" s="90" t="s">
        <v>163</v>
      </c>
      <c r="C85" s="90" t="s">
        <v>164</v>
      </c>
      <c r="D85" s="90" t="s">
        <v>121</v>
      </c>
      <c r="E85" s="90" t="s">
        <v>136</v>
      </c>
      <c r="F85" s="91" t="s">
        <v>15</v>
      </c>
      <c r="G85" s="90"/>
      <c r="H85" s="96"/>
      <c r="I85" s="96">
        <v>46184</v>
      </c>
      <c r="J85" s="91" t="s">
        <v>165</v>
      </c>
      <c r="K85" s="92"/>
    </row>
    <row r="86" ht="44" spans="1:11">
      <c r="A86" s="90" t="s">
        <v>166</v>
      </c>
      <c r="B86" s="90" t="s">
        <v>167</v>
      </c>
      <c r="C86" s="90" t="s">
        <v>168</v>
      </c>
      <c r="D86" s="90" t="s">
        <v>121</v>
      </c>
      <c r="E86" s="90" t="s">
        <v>136</v>
      </c>
      <c r="F86" s="91" t="s">
        <v>15</v>
      </c>
      <c r="G86" s="90"/>
      <c r="H86" s="96"/>
      <c r="I86" s="96">
        <v>46185</v>
      </c>
      <c r="J86" s="91" t="s">
        <v>165</v>
      </c>
      <c r="K86" s="100"/>
    </row>
    <row r="87" spans="1:11">
      <c r="A87" s="90" t="s">
        <v>162</v>
      </c>
      <c r="B87" s="90" t="s">
        <v>169</v>
      </c>
      <c r="C87" s="90" t="s">
        <v>170</v>
      </c>
      <c r="D87" s="90" t="s">
        <v>121</v>
      </c>
      <c r="E87" s="90" t="s">
        <v>136</v>
      </c>
      <c r="F87" s="91" t="s">
        <v>15</v>
      </c>
      <c r="G87" s="90" t="s">
        <v>171</v>
      </c>
      <c r="H87" s="96"/>
      <c r="I87" s="96">
        <v>46185</v>
      </c>
      <c r="J87" s="91" t="s">
        <v>157</v>
      </c>
      <c r="K87" s="92"/>
    </row>
    <row r="88" spans="1:11">
      <c r="A88" s="90" t="s">
        <v>158</v>
      </c>
      <c r="B88" s="90" t="s">
        <v>172</v>
      </c>
      <c r="C88" s="90" t="s">
        <v>173</v>
      </c>
      <c r="D88" s="90" t="s">
        <v>121</v>
      </c>
      <c r="E88" s="90" t="s">
        <v>136</v>
      </c>
      <c r="F88" s="91" t="s">
        <v>15</v>
      </c>
      <c r="G88" s="90" t="s">
        <v>171</v>
      </c>
      <c r="H88" s="96"/>
      <c r="I88" s="96">
        <v>46185</v>
      </c>
      <c r="J88" s="91" t="s">
        <v>157</v>
      </c>
      <c r="K88" s="92"/>
    </row>
    <row r="89" ht="29" spans="1:11">
      <c r="A89" s="90" t="s">
        <v>13</v>
      </c>
      <c r="B89" s="90" t="s">
        <v>174</v>
      </c>
      <c r="C89" s="90" t="s">
        <v>175</v>
      </c>
      <c r="D89" s="90" t="s">
        <v>121</v>
      </c>
      <c r="E89" s="90" t="s">
        <v>136</v>
      </c>
      <c r="F89" s="91" t="s">
        <v>15</v>
      </c>
      <c r="G89" s="90"/>
      <c r="H89" s="95"/>
      <c r="I89" s="96">
        <v>46188</v>
      </c>
      <c r="J89" s="91" t="s">
        <v>157</v>
      </c>
      <c r="K89" s="92"/>
    </row>
    <row r="90" ht="28.5" customHeight="1" spans="1:11">
      <c r="A90" s="90" t="s">
        <v>162</v>
      </c>
      <c r="B90" s="90" t="s">
        <v>176</v>
      </c>
      <c r="C90" s="91" t="s">
        <v>177</v>
      </c>
      <c r="D90" s="90" t="s">
        <v>121</v>
      </c>
      <c r="E90" s="90" t="s">
        <v>136</v>
      </c>
      <c r="F90" s="91" t="s">
        <v>15</v>
      </c>
      <c r="G90" s="90"/>
      <c r="H90" s="96"/>
      <c r="I90" s="96">
        <v>46192</v>
      </c>
      <c r="J90" s="91" t="s">
        <v>178</v>
      </c>
      <c r="K90" s="92"/>
    </row>
    <row r="91" spans="1:11">
      <c r="A91" s="90" t="s">
        <v>151</v>
      </c>
      <c r="B91" s="90" t="s">
        <v>179</v>
      </c>
      <c r="C91" s="90" t="s">
        <v>180</v>
      </c>
      <c r="D91" s="90" t="s">
        <v>121</v>
      </c>
      <c r="E91" s="90" t="s">
        <v>136</v>
      </c>
      <c r="F91" s="91" t="s">
        <v>89</v>
      </c>
      <c r="G91" s="90"/>
      <c r="H91" s="96"/>
      <c r="I91" s="96">
        <v>46196</v>
      </c>
      <c r="J91" s="91" t="s">
        <v>165</v>
      </c>
      <c r="K91" s="92"/>
    </row>
    <row r="92" ht="29" spans="1:11">
      <c r="A92" s="90" t="s">
        <v>13</v>
      </c>
      <c r="B92" s="90" t="s">
        <v>174</v>
      </c>
      <c r="C92" s="90" t="s">
        <v>181</v>
      </c>
      <c r="D92" s="90" t="s">
        <v>121</v>
      </c>
      <c r="E92" s="90" t="s">
        <v>136</v>
      </c>
      <c r="F92" s="91" t="s">
        <v>156</v>
      </c>
      <c r="G92" s="90"/>
      <c r="H92" s="96"/>
      <c r="I92" s="96">
        <v>46197</v>
      </c>
      <c r="J92" s="91" t="s">
        <v>182</v>
      </c>
      <c r="K92" s="92"/>
    </row>
    <row r="93" ht="28.5" customHeight="1" spans="1:11">
      <c r="A93" s="90" t="s">
        <v>151</v>
      </c>
      <c r="B93" s="90" t="s">
        <v>183</v>
      </c>
      <c r="C93" s="90" t="s">
        <v>184</v>
      </c>
      <c r="D93" s="90" t="s">
        <v>121</v>
      </c>
      <c r="E93" s="90" t="s">
        <v>136</v>
      </c>
      <c r="F93" s="91" t="s">
        <v>156</v>
      </c>
      <c r="G93" s="90" t="s">
        <v>185</v>
      </c>
      <c r="H93" s="96"/>
      <c r="I93" s="96">
        <v>46197</v>
      </c>
      <c r="J93" s="91" t="s">
        <v>178</v>
      </c>
      <c r="K93" s="92"/>
    </row>
    <row r="94" spans="1:11">
      <c r="A94" s="90" t="s">
        <v>13</v>
      </c>
      <c r="B94" s="90" t="s">
        <v>186</v>
      </c>
      <c r="C94" s="90" t="s">
        <v>187</v>
      </c>
      <c r="D94" s="90" t="s">
        <v>121</v>
      </c>
      <c r="E94" s="90" t="s">
        <v>136</v>
      </c>
      <c r="F94" s="91" t="s">
        <v>89</v>
      </c>
      <c r="G94" s="90"/>
      <c r="H94" s="95"/>
      <c r="I94" s="96">
        <v>46197</v>
      </c>
      <c r="J94" s="91" t="s">
        <v>178</v>
      </c>
      <c r="K94" s="92"/>
    </row>
    <row r="95" ht="29" spans="1:11">
      <c r="A95" s="90" t="s">
        <v>13</v>
      </c>
      <c r="B95" s="90" t="s">
        <v>174</v>
      </c>
      <c r="C95" s="90" t="s">
        <v>188</v>
      </c>
      <c r="D95" s="90" t="s">
        <v>121</v>
      </c>
      <c r="E95" s="90" t="s">
        <v>136</v>
      </c>
      <c r="F95" s="91" t="s">
        <v>15</v>
      </c>
      <c r="G95" s="90"/>
      <c r="H95" s="96"/>
      <c r="I95" s="96"/>
      <c r="J95" s="91"/>
      <c r="K95" s="92"/>
    </row>
    <row r="96" ht="29" spans="1:11">
      <c r="A96" s="90" t="s">
        <v>13</v>
      </c>
      <c r="B96" s="90" t="s">
        <v>174</v>
      </c>
      <c r="C96" s="90" t="s">
        <v>189</v>
      </c>
      <c r="D96" s="90" t="s">
        <v>121</v>
      </c>
      <c r="E96" s="90" t="s">
        <v>136</v>
      </c>
      <c r="F96" s="91" t="s">
        <v>15</v>
      </c>
      <c r="G96" s="90" t="s">
        <v>190</v>
      </c>
      <c r="H96" s="96"/>
      <c r="I96" s="96"/>
      <c r="J96" s="91"/>
      <c r="K96" s="92"/>
    </row>
    <row r="97" spans="1:11">
      <c r="A97" s="90" t="s">
        <v>166</v>
      </c>
      <c r="B97" s="90" t="s">
        <v>191</v>
      </c>
      <c r="C97" s="90"/>
      <c r="D97" s="90" t="s">
        <v>121</v>
      </c>
      <c r="E97" s="90" t="s">
        <v>136</v>
      </c>
      <c r="F97" s="91" t="s">
        <v>15</v>
      </c>
      <c r="G97" s="90"/>
      <c r="H97" s="96"/>
      <c r="I97" s="96"/>
      <c r="J97" s="91"/>
      <c r="K97" s="92"/>
    </row>
    <row r="98" ht="43.5" customHeight="1" spans="1:11">
      <c r="A98" s="90" t="s">
        <v>162</v>
      </c>
      <c r="B98" s="90" t="s">
        <v>192</v>
      </c>
      <c r="C98" s="90" t="s">
        <v>193</v>
      </c>
      <c r="D98" s="90" t="s">
        <v>121</v>
      </c>
      <c r="E98" s="90" t="s">
        <v>136</v>
      </c>
      <c r="F98" s="91" t="s">
        <v>15</v>
      </c>
      <c r="G98" s="90"/>
      <c r="H98" s="96"/>
      <c r="I98" s="96"/>
      <c r="J98" s="91"/>
      <c r="K98" s="92"/>
    </row>
    <row r="99" ht="28.5" customHeight="1" spans="1:11">
      <c r="A99" s="90" t="s">
        <v>162</v>
      </c>
      <c r="B99" s="90" t="s">
        <v>194</v>
      </c>
      <c r="C99" s="90" t="s">
        <v>195</v>
      </c>
      <c r="D99" s="90" t="s">
        <v>121</v>
      </c>
      <c r="E99" s="90" t="s">
        <v>136</v>
      </c>
      <c r="F99" s="91" t="s">
        <v>15</v>
      </c>
      <c r="G99" s="90"/>
      <c r="H99" s="98"/>
      <c r="I99" s="98"/>
      <c r="J99" s="90"/>
      <c r="K99" s="92"/>
    </row>
    <row r="100" spans="1:11">
      <c r="A100" s="90" t="s">
        <v>162</v>
      </c>
      <c r="B100" s="90" t="s">
        <v>196</v>
      </c>
      <c r="C100" s="90" t="s">
        <v>197</v>
      </c>
      <c r="D100" s="90" t="s">
        <v>121</v>
      </c>
      <c r="E100" s="90" t="s">
        <v>136</v>
      </c>
      <c r="F100" s="91" t="s">
        <v>15</v>
      </c>
      <c r="G100" s="90"/>
      <c r="H100" s="96"/>
      <c r="I100" s="96"/>
      <c r="J100" s="91"/>
      <c r="K100" s="92"/>
    </row>
    <row r="101" ht="28.5" customHeight="1" spans="1:11">
      <c r="A101" s="90" t="s">
        <v>162</v>
      </c>
      <c r="B101" s="90" t="s">
        <v>18</v>
      </c>
      <c r="C101" s="90" t="s">
        <v>19</v>
      </c>
      <c r="D101" s="90" t="s">
        <v>121</v>
      </c>
      <c r="E101" s="90" t="s">
        <v>136</v>
      </c>
      <c r="F101" s="91" t="s">
        <v>15</v>
      </c>
      <c r="G101" s="90"/>
      <c r="H101" s="96"/>
      <c r="I101" s="96"/>
      <c r="J101" s="91"/>
      <c r="K101" s="92"/>
    </row>
    <row r="102" spans="1:11">
      <c r="A102" s="90" t="s">
        <v>162</v>
      </c>
      <c r="B102" s="90" t="s">
        <v>198</v>
      </c>
      <c r="C102" s="90" t="s">
        <v>199</v>
      </c>
      <c r="D102" s="90" t="s">
        <v>121</v>
      </c>
      <c r="E102" s="90" t="s">
        <v>136</v>
      </c>
      <c r="F102" s="91" t="s">
        <v>15</v>
      </c>
      <c r="G102" s="90"/>
      <c r="H102" s="96"/>
      <c r="I102" s="96"/>
      <c r="J102" s="91"/>
      <c r="K102" s="92"/>
    </row>
    <row r="103" ht="29" spans="1:11">
      <c r="A103" s="90" t="s">
        <v>162</v>
      </c>
      <c r="B103" s="90" t="s">
        <v>200</v>
      </c>
      <c r="C103" s="90" t="s">
        <v>201</v>
      </c>
      <c r="D103" s="90" t="s">
        <v>121</v>
      </c>
      <c r="E103" s="90" t="s">
        <v>136</v>
      </c>
      <c r="F103" s="91" t="s">
        <v>15</v>
      </c>
      <c r="G103" s="90"/>
      <c r="H103" s="96"/>
      <c r="I103" s="96"/>
      <c r="J103" s="91"/>
      <c r="K103" s="92"/>
    </row>
    <row r="104" ht="28.5" customHeight="1" spans="1:11">
      <c r="A104" s="90" t="s">
        <v>202</v>
      </c>
      <c r="B104" s="90" t="s">
        <v>203</v>
      </c>
      <c r="C104" s="90" t="s">
        <v>204</v>
      </c>
      <c r="D104" s="90" t="s">
        <v>121</v>
      </c>
      <c r="E104" s="90" t="s">
        <v>136</v>
      </c>
      <c r="F104" s="91" t="s">
        <v>15</v>
      </c>
      <c r="G104" s="90"/>
      <c r="H104" s="96"/>
      <c r="I104" s="96"/>
      <c r="J104" s="91"/>
      <c r="K104" s="92"/>
    </row>
    <row r="105" ht="44" spans="1:11">
      <c r="A105" s="90" t="s">
        <v>151</v>
      </c>
      <c r="B105" s="90" t="s">
        <v>205</v>
      </c>
      <c r="C105" s="90" t="s">
        <v>206</v>
      </c>
      <c r="D105" s="90" t="s">
        <v>121</v>
      </c>
      <c r="E105" s="90" t="s">
        <v>136</v>
      </c>
      <c r="F105" s="91" t="s">
        <v>15</v>
      </c>
      <c r="G105" s="90" t="s">
        <v>207</v>
      </c>
      <c r="H105" s="96"/>
      <c r="I105" s="96"/>
      <c r="J105" s="91"/>
      <c r="K105" s="97"/>
    </row>
    <row r="106" ht="29" spans="1:11">
      <c r="A106" s="90" t="s">
        <v>151</v>
      </c>
      <c r="B106" s="90" t="s">
        <v>208</v>
      </c>
      <c r="C106" s="90" t="s">
        <v>209</v>
      </c>
      <c r="D106" s="90" t="s">
        <v>121</v>
      </c>
      <c r="E106" s="90" t="s">
        <v>136</v>
      </c>
      <c r="F106" s="91" t="s">
        <v>15</v>
      </c>
      <c r="G106" s="90"/>
      <c r="H106" s="96"/>
      <c r="I106" s="96"/>
      <c r="J106" s="91"/>
      <c r="K106" s="92"/>
    </row>
    <row r="107" ht="28.5" customHeight="1" spans="1:11">
      <c r="A107" s="90" t="s">
        <v>151</v>
      </c>
      <c r="B107" s="90" t="s">
        <v>210</v>
      </c>
      <c r="C107" s="90" t="s">
        <v>211</v>
      </c>
      <c r="D107" s="90" t="s">
        <v>121</v>
      </c>
      <c r="E107" s="90" t="s">
        <v>136</v>
      </c>
      <c r="F107" s="91" t="s">
        <v>15</v>
      </c>
      <c r="G107" s="90"/>
      <c r="H107" s="96"/>
      <c r="I107" s="96"/>
      <c r="J107" s="91"/>
      <c r="K107" s="92"/>
    </row>
    <row r="108" ht="43.5" customHeight="1" spans="1:11">
      <c r="A108" s="90" t="s">
        <v>151</v>
      </c>
      <c r="B108" s="90" t="s">
        <v>212</v>
      </c>
      <c r="C108" s="90" t="s">
        <v>213</v>
      </c>
      <c r="D108" s="90" t="s">
        <v>121</v>
      </c>
      <c r="E108" s="90" t="s">
        <v>136</v>
      </c>
      <c r="F108" s="91" t="s">
        <v>15</v>
      </c>
      <c r="G108" s="90"/>
      <c r="H108" s="96"/>
      <c r="I108" s="96"/>
      <c r="J108" s="91"/>
      <c r="K108" s="92"/>
    </row>
    <row r="109" spans="1:11">
      <c r="A109" s="90" t="s">
        <v>151</v>
      </c>
      <c r="B109" s="90" t="s">
        <v>214</v>
      </c>
      <c r="C109" s="90" t="s">
        <v>215</v>
      </c>
      <c r="D109" s="90" t="s">
        <v>121</v>
      </c>
      <c r="E109" s="90" t="s">
        <v>136</v>
      </c>
      <c r="F109" s="91" t="s">
        <v>15</v>
      </c>
      <c r="G109" s="90"/>
      <c r="H109" s="96"/>
      <c r="I109" s="96"/>
      <c r="J109" s="91"/>
      <c r="K109" s="92"/>
    </row>
    <row r="110" ht="29" spans="1:11">
      <c r="A110" s="90" t="s">
        <v>216</v>
      </c>
      <c r="B110" s="90" t="s">
        <v>217</v>
      </c>
      <c r="C110" s="90" t="s">
        <v>218</v>
      </c>
      <c r="D110" s="90" t="s">
        <v>219</v>
      </c>
      <c r="E110" s="90" t="s">
        <v>136</v>
      </c>
      <c r="F110" s="91" t="s">
        <v>15</v>
      </c>
      <c r="G110" s="90"/>
      <c r="H110" s="96"/>
      <c r="I110" s="96">
        <v>46167</v>
      </c>
      <c r="J110" s="91" t="s">
        <v>124</v>
      </c>
      <c r="K110" s="92"/>
    </row>
    <row r="111" ht="87" spans="1:11">
      <c r="A111" s="90"/>
      <c r="B111" s="90" t="s">
        <v>220</v>
      </c>
      <c r="C111" s="90" t="s">
        <v>221</v>
      </c>
      <c r="D111" s="90" t="s">
        <v>219</v>
      </c>
      <c r="E111" s="90" t="s">
        <v>136</v>
      </c>
      <c r="F111" s="91" t="s">
        <v>222</v>
      </c>
      <c r="G111" s="90"/>
      <c r="H111" s="91"/>
      <c r="I111" s="96">
        <v>46195</v>
      </c>
      <c r="J111" s="91"/>
      <c r="K111" s="92"/>
    </row>
    <row r="112" ht="87" customHeight="1" spans="1:11">
      <c r="A112" s="90" t="s">
        <v>13</v>
      </c>
      <c r="B112" s="90" t="s">
        <v>174</v>
      </c>
      <c r="C112" s="90" t="s">
        <v>223</v>
      </c>
      <c r="D112" s="90" t="s">
        <v>219</v>
      </c>
      <c r="E112" s="90" t="s">
        <v>136</v>
      </c>
      <c r="F112" s="91" t="s">
        <v>70</v>
      </c>
      <c r="G112" s="90" t="s">
        <v>224</v>
      </c>
      <c r="H112" s="95"/>
      <c r="I112" s="96">
        <v>46197</v>
      </c>
      <c r="J112" s="91" t="s">
        <v>157</v>
      </c>
      <c r="K112" s="92"/>
    </row>
    <row r="113" ht="28.5" customHeight="1" spans="1:11">
      <c r="A113" s="90" t="s">
        <v>34</v>
      </c>
      <c r="B113" s="90" t="s">
        <v>225</v>
      </c>
      <c r="C113" s="90" t="s">
        <v>226</v>
      </c>
      <c r="D113" s="90" t="s">
        <v>219</v>
      </c>
      <c r="E113" s="90" t="s">
        <v>136</v>
      </c>
      <c r="F113" s="91" t="s">
        <v>89</v>
      </c>
      <c r="G113" s="101" t="s">
        <v>227</v>
      </c>
      <c r="H113" s="95"/>
      <c r="I113" s="96">
        <v>46197</v>
      </c>
      <c r="J113" s="91" t="s">
        <v>178</v>
      </c>
      <c r="K113" s="92"/>
    </row>
    <row r="114" ht="29" spans="1:11">
      <c r="A114" s="90" t="s">
        <v>162</v>
      </c>
      <c r="B114" s="90" t="s">
        <v>228</v>
      </c>
      <c r="C114" s="90" t="s">
        <v>229</v>
      </c>
      <c r="D114" s="90" t="s">
        <v>219</v>
      </c>
      <c r="E114" s="90" t="s">
        <v>136</v>
      </c>
      <c r="F114" s="91" t="s">
        <v>15</v>
      </c>
      <c r="G114" s="90"/>
      <c r="H114" s="96"/>
      <c r="I114" s="96"/>
      <c r="J114" s="91"/>
      <c r="K114" s="92"/>
    </row>
    <row r="115" ht="28.5" customHeight="1" spans="1:11">
      <c r="A115" s="90" t="s">
        <v>162</v>
      </c>
      <c r="B115" s="90" t="s">
        <v>230</v>
      </c>
      <c r="C115" s="90" t="s">
        <v>231</v>
      </c>
      <c r="D115" s="90" t="s">
        <v>219</v>
      </c>
      <c r="E115" s="90" t="s">
        <v>136</v>
      </c>
      <c r="F115" s="91" t="s">
        <v>15</v>
      </c>
      <c r="G115" s="90"/>
      <c r="H115" s="96"/>
      <c r="I115" s="96"/>
      <c r="J115" s="91"/>
      <c r="K115" s="92"/>
    </row>
    <row r="116" ht="28.5" customHeight="1" spans="1:11">
      <c r="A116" s="90" t="s">
        <v>162</v>
      </c>
      <c r="B116" s="90" t="s">
        <v>232</v>
      </c>
      <c r="C116" s="90" t="s">
        <v>233</v>
      </c>
      <c r="D116" s="90" t="s">
        <v>219</v>
      </c>
      <c r="E116" s="90" t="s">
        <v>136</v>
      </c>
      <c r="F116" s="91" t="s">
        <v>15</v>
      </c>
      <c r="G116" s="90"/>
      <c r="H116" s="96"/>
      <c r="I116" s="96"/>
      <c r="J116" s="91"/>
      <c r="K116" s="92"/>
    </row>
    <row r="117" spans="1:11">
      <c r="A117" s="90" t="s">
        <v>162</v>
      </c>
      <c r="B117" s="90" t="s">
        <v>234</v>
      </c>
      <c r="C117" s="90" t="s">
        <v>235</v>
      </c>
      <c r="D117" s="90" t="s">
        <v>219</v>
      </c>
      <c r="E117" s="90" t="s">
        <v>136</v>
      </c>
      <c r="F117" s="91" t="s">
        <v>15</v>
      </c>
      <c r="G117" s="90"/>
      <c r="H117" s="96"/>
      <c r="I117" s="96"/>
      <c r="J117" s="91"/>
      <c r="K117" s="92"/>
    </row>
    <row r="118" ht="28.5" customHeight="1" spans="1:11">
      <c r="A118" s="90" t="s">
        <v>216</v>
      </c>
      <c r="B118" s="90" t="s">
        <v>111</v>
      </c>
      <c r="C118" s="90" t="s">
        <v>236</v>
      </c>
      <c r="D118" s="90" t="s">
        <v>36</v>
      </c>
      <c r="E118" s="90" t="s">
        <v>136</v>
      </c>
      <c r="F118" s="91" t="s">
        <v>15</v>
      </c>
      <c r="G118" s="90"/>
      <c r="H118" s="102"/>
      <c r="I118" s="102">
        <v>46168</v>
      </c>
      <c r="J118" s="91" t="s">
        <v>124</v>
      </c>
      <c r="K118" s="92"/>
    </row>
    <row r="119" ht="57.75" customHeight="1" spans="1:11">
      <c r="A119" s="90" t="s">
        <v>216</v>
      </c>
      <c r="B119" s="90" t="s">
        <v>237</v>
      </c>
      <c r="C119" s="90" t="s">
        <v>238</v>
      </c>
      <c r="D119" s="90" t="s">
        <v>36</v>
      </c>
      <c r="E119" s="90" t="s">
        <v>136</v>
      </c>
      <c r="F119" s="91" t="s">
        <v>15</v>
      </c>
      <c r="G119" s="90"/>
      <c r="H119" s="102"/>
      <c r="I119" s="102">
        <v>46170</v>
      </c>
      <c r="J119" s="91" t="s">
        <v>127</v>
      </c>
      <c r="K119" s="92"/>
    </row>
    <row r="120" ht="28.5" customHeight="1" spans="1:11">
      <c r="A120" s="90" t="s">
        <v>216</v>
      </c>
      <c r="B120" s="90" t="s">
        <v>133</v>
      </c>
      <c r="C120" s="90" t="s">
        <v>239</v>
      </c>
      <c r="D120" s="90" t="s">
        <v>36</v>
      </c>
      <c r="E120" s="90" t="s">
        <v>136</v>
      </c>
      <c r="F120" s="91" t="s">
        <v>15</v>
      </c>
      <c r="G120" s="90"/>
      <c r="H120" s="96"/>
      <c r="I120" s="96">
        <v>46171</v>
      </c>
      <c r="J120" s="91" t="s">
        <v>127</v>
      </c>
      <c r="K120" s="92"/>
    </row>
    <row r="121" ht="28.5" customHeight="1" spans="1:11">
      <c r="A121" s="90" t="s">
        <v>216</v>
      </c>
      <c r="B121" s="90" t="s">
        <v>237</v>
      </c>
      <c r="C121" s="90" t="s">
        <v>240</v>
      </c>
      <c r="D121" s="90" t="s">
        <v>36</v>
      </c>
      <c r="E121" s="90" t="s">
        <v>136</v>
      </c>
      <c r="F121" s="91" t="s">
        <v>15</v>
      </c>
      <c r="G121" s="90"/>
      <c r="H121" s="96"/>
      <c r="I121" s="96">
        <v>46171</v>
      </c>
      <c r="J121" s="91" t="s">
        <v>241</v>
      </c>
      <c r="K121" s="92"/>
    </row>
    <row r="122" spans="1:11">
      <c r="A122" s="90" t="s">
        <v>216</v>
      </c>
      <c r="B122" s="90" t="s">
        <v>242</v>
      </c>
      <c r="C122" s="90" t="s">
        <v>243</v>
      </c>
      <c r="D122" s="90" t="s">
        <v>36</v>
      </c>
      <c r="E122" s="90" t="s">
        <v>136</v>
      </c>
      <c r="F122" s="91" t="s">
        <v>89</v>
      </c>
      <c r="G122" s="90" t="s">
        <v>244</v>
      </c>
      <c r="H122" s="96"/>
      <c r="I122" s="96">
        <v>46199</v>
      </c>
      <c r="J122" s="91"/>
      <c r="K122" s="92"/>
    </row>
    <row r="123" spans="1:11">
      <c r="A123" s="90" t="s">
        <v>216</v>
      </c>
      <c r="B123" s="90" t="s">
        <v>111</v>
      </c>
      <c r="C123" s="90" t="s">
        <v>245</v>
      </c>
      <c r="D123" s="90" t="s">
        <v>36</v>
      </c>
      <c r="E123" s="90" t="s">
        <v>136</v>
      </c>
      <c r="F123" s="91" t="s">
        <v>89</v>
      </c>
      <c r="G123" s="90"/>
      <c r="H123" s="102"/>
      <c r="I123" s="98">
        <v>46197</v>
      </c>
      <c r="J123" s="91" t="s">
        <v>124</v>
      </c>
      <c r="K123" s="92"/>
    </row>
    <row r="124" spans="1:11">
      <c r="A124" s="90" t="s">
        <v>40</v>
      </c>
      <c r="B124" s="90" t="s">
        <v>246</v>
      </c>
      <c r="C124" s="90" t="s">
        <v>247</v>
      </c>
      <c r="D124" s="90" t="s">
        <v>36</v>
      </c>
      <c r="E124" s="90" t="s">
        <v>136</v>
      </c>
      <c r="F124" s="91" t="s">
        <v>70</v>
      </c>
      <c r="G124" s="90" t="s">
        <v>248</v>
      </c>
      <c r="H124" s="96"/>
      <c r="I124" s="98">
        <v>46199</v>
      </c>
      <c r="J124" s="91" t="s">
        <v>127</v>
      </c>
      <c r="K124" s="92"/>
    </row>
    <row r="125" spans="1:11">
      <c r="A125" s="90" t="s">
        <v>249</v>
      </c>
      <c r="B125" s="90" t="s">
        <v>250</v>
      </c>
      <c r="C125" s="90" t="s">
        <v>251</v>
      </c>
      <c r="D125" s="90" t="s">
        <v>36</v>
      </c>
      <c r="E125" s="90" t="s">
        <v>136</v>
      </c>
      <c r="F125" s="91" t="s">
        <v>89</v>
      </c>
      <c r="G125" s="90"/>
      <c r="H125" s="96"/>
      <c r="I125" s="98">
        <v>46203</v>
      </c>
      <c r="J125" s="91" t="s">
        <v>252</v>
      </c>
      <c r="K125" s="92"/>
    </row>
    <row r="126" ht="28.5" customHeight="1" spans="1:11">
      <c r="A126" s="90" t="s">
        <v>40</v>
      </c>
      <c r="B126" s="90" t="s">
        <v>253</v>
      </c>
      <c r="C126" s="90" t="s">
        <v>254</v>
      </c>
      <c r="D126" s="90" t="s">
        <v>36</v>
      </c>
      <c r="E126" s="90" t="s">
        <v>136</v>
      </c>
      <c r="F126" s="91" t="s">
        <v>15</v>
      </c>
      <c r="G126" s="90"/>
      <c r="H126" s="91"/>
      <c r="I126" s="91"/>
      <c r="J126" s="91"/>
      <c r="K126" s="92"/>
    </row>
    <row r="127" spans="1:11">
      <c r="A127" s="90" t="s">
        <v>34</v>
      </c>
      <c r="B127" s="90" t="s">
        <v>253</v>
      </c>
      <c r="C127" s="90"/>
      <c r="D127" s="90" t="s">
        <v>36</v>
      </c>
      <c r="E127" s="90" t="s">
        <v>136</v>
      </c>
      <c r="F127" s="91" t="s">
        <v>15</v>
      </c>
      <c r="G127" s="90"/>
      <c r="H127" s="91"/>
      <c r="I127" s="91"/>
      <c r="J127" s="91"/>
      <c r="K127" s="92"/>
    </row>
    <row r="128" spans="1:11">
      <c r="A128" s="90" t="s">
        <v>34</v>
      </c>
      <c r="B128" s="90" t="s">
        <v>255</v>
      </c>
      <c r="C128" s="90"/>
      <c r="D128" s="90" t="s">
        <v>36</v>
      </c>
      <c r="E128" s="90" t="s">
        <v>136</v>
      </c>
      <c r="F128" s="91" t="s">
        <v>15</v>
      </c>
      <c r="G128" s="90"/>
      <c r="H128" s="91"/>
      <c r="I128" s="91"/>
      <c r="J128" s="91"/>
      <c r="K128" s="92"/>
    </row>
    <row r="129" ht="115.5" customHeight="1" spans="1:11">
      <c r="A129" s="90" t="s">
        <v>256</v>
      </c>
      <c r="B129" s="90" t="s">
        <v>257</v>
      </c>
      <c r="C129" s="91"/>
      <c r="D129" s="90" t="s">
        <v>135</v>
      </c>
      <c r="E129" s="90" t="s">
        <v>258</v>
      </c>
      <c r="F129" s="91" t="s">
        <v>259</v>
      </c>
      <c r="G129" s="103"/>
      <c r="H129" s="104"/>
      <c r="I129" s="98">
        <v>46197</v>
      </c>
      <c r="J129" s="91" t="s">
        <v>260</v>
      </c>
      <c r="K129" s="92"/>
    </row>
    <row r="130" ht="159" customHeight="1" spans="1:11">
      <c r="A130" s="90" t="s">
        <v>256</v>
      </c>
      <c r="B130" s="90" t="s">
        <v>261</v>
      </c>
      <c r="C130" s="91"/>
      <c r="D130" s="90" t="s">
        <v>135</v>
      </c>
      <c r="E130" s="90" t="s">
        <v>258</v>
      </c>
      <c r="F130" s="91" t="s">
        <v>259</v>
      </c>
      <c r="G130" s="103"/>
      <c r="H130" s="104"/>
      <c r="I130" s="98">
        <v>46197</v>
      </c>
      <c r="J130" s="91" t="s">
        <v>260</v>
      </c>
      <c r="K130" s="92"/>
    </row>
    <row r="131" ht="28.5" customHeight="1" spans="1:11">
      <c r="A131" s="90" t="s">
        <v>256</v>
      </c>
      <c r="B131" s="90" t="s">
        <v>262</v>
      </c>
      <c r="C131" s="91"/>
      <c r="D131" s="90" t="s">
        <v>135</v>
      </c>
      <c r="E131" s="90" t="s">
        <v>258</v>
      </c>
      <c r="F131" s="91" t="s">
        <v>259</v>
      </c>
      <c r="G131" s="103"/>
      <c r="H131" s="104"/>
      <c r="I131" s="98">
        <v>46197</v>
      </c>
      <c r="J131" s="91" t="s">
        <v>260</v>
      </c>
      <c r="K131" s="92"/>
    </row>
    <row r="132" spans="1:11">
      <c r="A132" s="90" t="s">
        <v>256</v>
      </c>
      <c r="B132" s="91" t="s">
        <v>263</v>
      </c>
      <c r="C132" s="91"/>
      <c r="D132" s="90" t="s">
        <v>135</v>
      </c>
      <c r="E132" s="90" t="s">
        <v>258</v>
      </c>
      <c r="F132" s="91" t="s">
        <v>259</v>
      </c>
      <c r="G132" s="103"/>
      <c r="H132" s="104"/>
      <c r="I132" s="98">
        <v>46197</v>
      </c>
      <c r="J132" s="91"/>
      <c r="K132" s="92"/>
    </row>
    <row r="133" ht="28.5" customHeight="1" spans="1:11">
      <c r="A133" s="90" t="s">
        <v>256</v>
      </c>
      <c r="B133" s="90" t="s">
        <v>264</v>
      </c>
      <c r="C133" s="91"/>
      <c r="D133" s="90" t="s">
        <v>135</v>
      </c>
      <c r="E133" s="90" t="s">
        <v>258</v>
      </c>
      <c r="F133" s="91" t="s">
        <v>222</v>
      </c>
      <c r="G133" s="90"/>
      <c r="H133" s="104"/>
      <c r="I133" s="98">
        <v>46197</v>
      </c>
      <c r="J133" s="91" t="s">
        <v>260</v>
      </c>
      <c r="K133" s="92"/>
    </row>
    <row r="134" spans="1:11">
      <c r="A134" s="90" t="s">
        <v>256</v>
      </c>
      <c r="B134" s="90" t="s">
        <v>265</v>
      </c>
      <c r="C134" s="91"/>
      <c r="D134" s="90" t="s">
        <v>135</v>
      </c>
      <c r="E134" s="90" t="s">
        <v>258</v>
      </c>
      <c r="F134" s="91" t="s">
        <v>222</v>
      </c>
      <c r="G134" s="103"/>
      <c r="H134" s="104"/>
      <c r="I134" s="98">
        <v>46197</v>
      </c>
      <c r="J134" s="91"/>
      <c r="K134" s="92"/>
    </row>
    <row r="135" ht="43.5" customHeight="1" spans="1:11">
      <c r="A135" s="90" t="s">
        <v>256</v>
      </c>
      <c r="B135" s="91" t="s">
        <v>266</v>
      </c>
      <c r="C135" s="91"/>
      <c r="D135" s="90" t="s">
        <v>135</v>
      </c>
      <c r="E135" s="90" t="s">
        <v>258</v>
      </c>
      <c r="F135" s="91" t="s">
        <v>156</v>
      </c>
      <c r="G135" s="90"/>
      <c r="H135" s="95"/>
      <c r="I135" s="98">
        <v>46197</v>
      </c>
      <c r="J135" s="91"/>
      <c r="K135" s="92"/>
    </row>
    <row r="136" ht="28.5" customHeight="1" spans="1:11">
      <c r="A136" s="90" t="s">
        <v>256</v>
      </c>
      <c r="B136" s="91" t="s">
        <v>267</v>
      </c>
      <c r="C136" s="91"/>
      <c r="D136" s="90" t="s">
        <v>135</v>
      </c>
      <c r="E136" s="90" t="s">
        <v>258</v>
      </c>
      <c r="F136" s="91" t="s">
        <v>89</v>
      </c>
      <c r="G136" s="103"/>
      <c r="H136" s="104"/>
      <c r="I136" s="98">
        <v>46197</v>
      </c>
      <c r="J136" s="91"/>
      <c r="K136" s="92"/>
    </row>
    <row r="137" ht="28.5" customHeight="1" spans="1:11">
      <c r="A137" s="90" t="s">
        <v>256</v>
      </c>
      <c r="B137" s="90" t="s">
        <v>268</v>
      </c>
      <c r="C137" s="91"/>
      <c r="D137" s="90" t="s">
        <v>135</v>
      </c>
      <c r="E137" s="90" t="s">
        <v>258</v>
      </c>
      <c r="F137" s="91" t="s">
        <v>89</v>
      </c>
      <c r="G137" s="103"/>
      <c r="H137" s="104"/>
      <c r="I137" s="98">
        <v>46197</v>
      </c>
      <c r="J137" s="91"/>
      <c r="K137" s="92"/>
    </row>
    <row r="138" ht="43.5" customHeight="1" spans="1:11">
      <c r="A138" s="90" t="s">
        <v>256</v>
      </c>
      <c r="B138" s="90" t="s">
        <v>269</v>
      </c>
      <c r="C138" s="91"/>
      <c r="D138" s="90" t="s">
        <v>135</v>
      </c>
      <c r="E138" s="90" t="s">
        <v>258</v>
      </c>
      <c r="F138" s="91" t="s">
        <v>89</v>
      </c>
      <c r="G138" s="103"/>
      <c r="H138" s="90"/>
      <c r="I138" s="98">
        <v>46197</v>
      </c>
      <c r="J138" s="91"/>
      <c r="K138" s="92"/>
    </row>
    <row r="139" spans="1:11">
      <c r="A139" s="90" t="s">
        <v>256</v>
      </c>
      <c r="B139" s="90" t="s">
        <v>270</v>
      </c>
      <c r="C139" s="91"/>
      <c r="D139" s="90" t="s">
        <v>135</v>
      </c>
      <c r="E139" s="90" t="s">
        <v>258</v>
      </c>
      <c r="F139" s="91" t="s">
        <v>259</v>
      </c>
      <c r="G139" s="103"/>
      <c r="H139" s="104"/>
      <c r="I139" s="98">
        <v>46198</v>
      </c>
      <c r="J139" s="91" t="s">
        <v>260</v>
      </c>
      <c r="K139" s="92"/>
    </row>
    <row r="140" ht="28.5" customHeight="1" spans="1:11">
      <c r="A140" s="90" t="s">
        <v>256</v>
      </c>
      <c r="B140" s="91" t="s">
        <v>271</v>
      </c>
      <c r="C140" s="91"/>
      <c r="D140" s="90" t="s">
        <v>135</v>
      </c>
      <c r="E140" s="90" t="s">
        <v>258</v>
      </c>
      <c r="F140" s="91" t="s">
        <v>272</v>
      </c>
      <c r="G140" s="103"/>
      <c r="H140" s="104"/>
      <c r="I140" s="98">
        <v>46198</v>
      </c>
      <c r="J140" s="91"/>
      <c r="K140" s="92"/>
    </row>
    <row r="141" ht="87" customHeight="1" spans="1:11">
      <c r="A141" s="90" t="s">
        <v>256</v>
      </c>
      <c r="B141" s="90" t="s">
        <v>273</v>
      </c>
      <c r="C141" s="91"/>
      <c r="D141" s="90" t="s">
        <v>135</v>
      </c>
      <c r="E141" s="90" t="s">
        <v>258</v>
      </c>
      <c r="F141" s="91" t="s">
        <v>89</v>
      </c>
      <c r="G141" s="103"/>
      <c r="H141" s="104"/>
      <c r="I141" s="98">
        <v>46199</v>
      </c>
      <c r="J141" s="91"/>
      <c r="K141" s="92"/>
    </row>
    <row r="142" spans="1:11">
      <c r="A142" s="90" t="s">
        <v>256</v>
      </c>
      <c r="B142" s="90" t="s">
        <v>274</v>
      </c>
      <c r="C142" s="91"/>
      <c r="D142" s="90" t="s">
        <v>135</v>
      </c>
      <c r="E142" s="90" t="s">
        <v>258</v>
      </c>
      <c r="F142" s="91" t="s">
        <v>89</v>
      </c>
      <c r="G142" s="103"/>
      <c r="H142" s="104"/>
      <c r="I142" s="98">
        <v>46199</v>
      </c>
      <c r="J142" s="91"/>
      <c r="K142" s="92"/>
    </row>
    <row r="143" spans="1:11">
      <c r="A143" s="90" t="s">
        <v>256</v>
      </c>
      <c r="B143" s="91" t="s">
        <v>275</v>
      </c>
      <c r="C143" s="91"/>
      <c r="D143" s="90" t="s">
        <v>135</v>
      </c>
      <c r="E143" s="90" t="s">
        <v>258</v>
      </c>
      <c r="F143" s="91" t="s">
        <v>89</v>
      </c>
      <c r="G143" s="90"/>
      <c r="H143" s="95"/>
      <c r="I143" s="98">
        <v>46199</v>
      </c>
      <c r="J143" s="91"/>
      <c r="K143" s="92"/>
    </row>
    <row r="144" spans="1:11">
      <c r="A144" s="90" t="s">
        <v>256</v>
      </c>
      <c r="B144" s="91" t="s">
        <v>276</v>
      </c>
      <c r="C144" s="91"/>
      <c r="D144" s="90" t="s">
        <v>135</v>
      </c>
      <c r="E144" s="90" t="s">
        <v>258</v>
      </c>
      <c r="F144" s="91" t="s">
        <v>89</v>
      </c>
      <c r="G144" s="90"/>
      <c r="H144" s="95"/>
      <c r="I144" s="98">
        <v>46199</v>
      </c>
      <c r="J144" s="91"/>
      <c r="K144" s="92"/>
    </row>
    <row r="145" spans="1:11">
      <c r="A145" s="90" t="s">
        <v>256</v>
      </c>
      <c r="B145" s="91" t="s">
        <v>277</v>
      </c>
      <c r="C145" s="91"/>
      <c r="D145" s="90" t="s">
        <v>135</v>
      </c>
      <c r="E145" s="90" t="s">
        <v>258</v>
      </c>
      <c r="F145" s="91" t="s">
        <v>89</v>
      </c>
      <c r="G145" s="90"/>
      <c r="H145" s="95"/>
      <c r="I145" s="98">
        <v>46203</v>
      </c>
      <c r="J145" s="91"/>
      <c r="K145" s="92"/>
    </row>
    <row r="146" spans="1:11">
      <c r="A146" s="90" t="s">
        <v>256</v>
      </c>
      <c r="B146" s="90" t="s">
        <v>278</v>
      </c>
      <c r="C146" s="91"/>
      <c r="D146" s="90" t="s">
        <v>135</v>
      </c>
      <c r="E146" s="90" t="s">
        <v>258</v>
      </c>
      <c r="F146" s="91" t="s">
        <v>222</v>
      </c>
      <c r="G146" s="103"/>
      <c r="H146" s="90"/>
      <c r="I146" s="98"/>
      <c r="J146" s="91"/>
      <c r="K146" s="92"/>
    </row>
    <row r="147" ht="29" spans="1:11">
      <c r="A147" s="90" t="s">
        <v>166</v>
      </c>
      <c r="B147" s="90" t="s">
        <v>279</v>
      </c>
      <c r="C147" s="90" t="s">
        <v>280</v>
      </c>
      <c r="D147" s="90" t="s">
        <v>121</v>
      </c>
      <c r="E147" s="90" t="s">
        <v>258</v>
      </c>
      <c r="F147" s="91" t="s">
        <v>15</v>
      </c>
      <c r="G147" s="90" t="s">
        <v>281</v>
      </c>
      <c r="H147" s="96"/>
      <c r="I147" s="96">
        <v>46174</v>
      </c>
      <c r="J147" s="91" t="s">
        <v>165</v>
      </c>
      <c r="K147" s="92"/>
    </row>
    <row r="148" spans="1:11">
      <c r="A148" s="90"/>
      <c r="B148" s="90" t="s">
        <v>282</v>
      </c>
      <c r="C148" s="90" t="s">
        <v>283</v>
      </c>
      <c r="D148" s="90" t="s">
        <v>121</v>
      </c>
      <c r="E148" s="90" t="s">
        <v>258</v>
      </c>
      <c r="F148" s="91" t="s">
        <v>15</v>
      </c>
      <c r="G148" s="90"/>
      <c r="H148" s="91"/>
      <c r="I148" s="99">
        <v>46183</v>
      </c>
      <c r="J148" s="91"/>
      <c r="K148" s="92"/>
    </row>
    <row r="149" ht="29" spans="1:11">
      <c r="A149" s="90" t="s">
        <v>158</v>
      </c>
      <c r="B149" s="90" t="s">
        <v>284</v>
      </c>
      <c r="C149" s="90" t="s">
        <v>285</v>
      </c>
      <c r="D149" s="90" t="s">
        <v>121</v>
      </c>
      <c r="E149" s="90" t="s">
        <v>258</v>
      </c>
      <c r="F149" s="91" t="s">
        <v>15</v>
      </c>
      <c r="G149" s="90"/>
      <c r="H149" s="105"/>
      <c r="I149" s="96">
        <v>46184</v>
      </c>
      <c r="J149" s="91"/>
      <c r="K149" s="92"/>
    </row>
    <row r="150" ht="29" spans="1:11">
      <c r="A150" s="90" t="s">
        <v>162</v>
      </c>
      <c r="B150" s="90" t="s">
        <v>200</v>
      </c>
      <c r="C150" s="90" t="s">
        <v>286</v>
      </c>
      <c r="D150" s="90" t="s">
        <v>121</v>
      </c>
      <c r="E150" s="90" t="s">
        <v>258</v>
      </c>
      <c r="F150" s="91" t="s">
        <v>89</v>
      </c>
      <c r="G150" s="90" t="s">
        <v>287</v>
      </c>
      <c r="H150" s="96"/>
      <c r="I150" s="96">
        <v>46192</v>
      </c>
      <c r="J150" s="91" t="s">
        <v>165</v>
      </c>
      <c r="K150" s="92"/>
    </row>
    <row r="151" ht="28.5" customHeight="1" spans="1:11">
      <c r="A151" s="90" t="s">
        <v>162</v>
      </c>
      <c r="B151" s="90" t="s">
        <v>288</v>
      </c>
      <c r="C151" s="90" t="s">
        <v>289</v>
      </c>
      <c r="D151" s="90" t="s">
        <v>121</v>
      </c>
      <c r="E151" s="90" t="s">
        <v>258</v>
      </c>
      <c r="F151" s="91" t="s">
        <v>15</v>
      </c>
      <c r="G151" s="103"/>
      <c r="H151" s="90"/>
      <c r="I151" s="90"/>
      <c r="J151" s="91"/>
      <c r="K151" s="92"/>
    </row>
    <row r="152" ht="29" spans="1:11">
      <c r="A152" s="90" t="s">
        <v>162</v>
      </c>
      <c r="B152" s="90" t="s">
        <v>290</v>
      </c>
      <c r="C152" s="90" t="s">
        <v>291</v>
      </c>
      <c r="D152" s="90" t="s">
        <v>121</v>
      </c>
      <c r="E152" s="90" t="s">
        <v>258</v>
      </c>
      <c r="F152" s="91" t="s">
        <v>15</v>
      </c>
      <c r="G152" s="90" t="s">
        <v>292</v>
      </c>
      <c r="H152" s="96"/>
      <c r="I152" s="96"/>
      <c r="J152" s="91"/>
      <c r="K152" s="92"/>
    </row>
    <row r="153" ht="44" spans="1:11">
      <c r="A153" s="90" t="s">
        <v>162</v>
      </c>
      <c r="B153" s="90" t="s">
        <v>293</v>
      </c>
      <c r="C153" s="90" t="s">
        <v>294</v>
      </c>
      <c r="D153" s="90" t="s">
        <v>121</v>
      </c>
      <c r="E153" s="90" t="s">
        <v>258</v>
      </c>
      <c r="F153" s="91" t="s">
        <v>15</v>
      </c>
      <c r="G153" s="90" t="s">
        <v>292</v>
      </c>
      <c r="H153" s="96"/>
      <c r="I153" s="96"/>
      <c r="J153" s="91"/>
      <c r="K153" s="92"/>
    </row>
    <row r="154" ht="129.75" customHeight="1" spans="1:11">
      <c r="A154" s="90" t="s">
        <v>151</v>
      </c>
      <c r="B154" s="90" t="s">
        <v>295</v>
      </c>
      <c r="C154" s="90" t="s">
        <v>296</v>
      </c>
      <c r="D154" s="90" t="s">
        <v>121</v>
      </c>
      <c r="E154" s="90" t="s">
        <v>258</v>
      </c>
      <c r="F154" s="91" t="s">
        <v>15</v>
      </c>
      <c r="G154" s="90"/>
      <c r="H154" s="96"/>
      <c r="I154" s="96"/>
      <c r="J154" s="91"/>
      <c r="K154" s="92"/>
    </row>
    <row r="155" ht="58" spans="1:11">
      <c r="A155" s="90" t="s">
        <v>162</v>
      </c>
      <c r="B155" s="90" t="s">
        <v>297</v>
      </c>
      <c r="C155" s="90" t="s">
        <v>298</v>
      </c>
      <c r="D155" s="90" t="s">
        <v>121</v>
      </c>
      <c r="E155" s="90" t="s">
        <v>258</v>
      </c>
      <c r="F155" s="91" t="s">
        <v>70</v>
      </c>
      <c r="G155" s="90" t="s">
        <v>299</v>
      </c>
      <c r="H155" s="96"/>
      <c r="I155" s="96"/>
      <c r="J155" s="90"/>
      <c r="K155" s="92"/>
    </row>
    <row r="156" ht="57.75" customHeight="1" spans="1:11">
      <c r="A156" s="90" t="s">
        <v>162</v>
      </c>
      <c r="B156" s="90" t="s">
        <v>300</v>
      </c>
      <c r="C156" s="90" t="s">
        <v>301</v>
      </c>
      <c r="D156" s="90" t="s">
        <v>121</v>
      </c>
      <c r="E156" s="90" t="s">
        <v>258</v>
      </c>
      <c r="F156" s="91" t="s">
        <v>70</v>
      </c>
      <c r="G156" s="90" t="s">
        <v>302</v>
      </c>
      <c r="H156" s="96"/>
      <c r="I156" s="96"/>
      <c r="J156" s="91" t="s">
        <v>157</v>
      </c>
      <c r="K156" s="92"/>
    </row>
    <row r="157" ht="29" spans="1:11">
      <c r="A157" s="90" t="s">
        <v>162</v>
      </c>
      <c r="B157" s="90" t="s">
        <v>303</v>
      </c>
      <c r="C157" s="90" t="s">
        <v>304</v>
      </c>
      <c r="D157" s="90" t="s">
        <v>121</v>
      </c>
      <c r="E157" s="90" t="s">
        <v>258</v>
      </c>
      <c r="F157" s="91" t="s">
        <v>70</v>
      </c>
      <c r="G157" s="90" t="s">
        <v>305</v>
      </c>
      <c r="H157" s="96"/>
      <c r="I157" s="96"/>
      <c r="J157" s="91" t="s">
        <v>165</v>
      </c>
      <c r="K157" s="92"/>
    </row>
    <row r="158" ht="28.5" customHeight="1" spans="1:11">
      <c r="A158" s="90" t="s">
        <v>158</v>
      </c>
      <c r="B158" s="90" t="s">
        <v>306</v>
      </c>
      <c r="C158" s="90" t="s">
        <v>307</v>
      </c>
      <c r="D158" s="90" t="s">
        <v>121</v>
      </c>
      <c r="E158" s="90" t="s">
        <v>258</v>
      </c>
      <c r="F158" s="91" t="s">
        <v>70</v>
      </c>
      <c r="G158" s="90" t="s">
        <v>308</v>
      </c>
      <c r="H158" s="96"/>
      <c r="I158" s="96"/>
      <c r="J158" s="91"/>
      <c r="K158" s="92"/>
    </row>
    <row r="159" ht="44" spans="1:11">
      <c r="A159" s="90" t="s">
        <v>151</v>
      </c>
      <c r="B159" s="90" t="s">
        <v>309</v>
      </c>
      <c r="C159" s="90" t="s">
        <v>310</v>
      </c>
      <c r="D159" s="90" t="s">
        <v>121</v>
      </c>
      <c r="E159" s="90" t="s">
        <v>258</v>
      </c>
      <c r="F159" s="91" t="s">
        <v>70</v>
      </c>
      <c r="G159" s="90" t="s">
        <v>311</v>
      </c>
      <c r="H159" s="96"/>
      <c r="I159" s="96"/>
      <c r="J159" s="91"/>
      <c r="K159" s="92"/>
    </row>
    <row r="160" spans="1:11">
      <c r="A160" s="90" t="s">
        <v>162</v>
      </c>
      <c r="B160" s="90" t="s">
        <v>312</v>
      </c>
      <c r="C160" s="90" t="s">
        <v>313</v>
      </c>
      <c r="D160" s="90" t="s">
        <v>121</v>
      </c>
      <c r="E160" s="90" t="s">
        <v>258</v>
      </c>
      <c r="F160" s="91" t="s">
        <v>89</v>
      </c>
      <c r="G160" s="90"/>
      <c r="H160" s="96"/>
      <c r="I160" s="96"/>
      <c r="J160" s="91" t="s">
        <v>157</v>
      </c>
      <c r="K160" s="92"/>
    </row>
    <row r="161" ht="43.5" customHeight="1" spans="1:11">
      <c r="A161" s="90" t="s">
        <v>162</v>
      </c>
      <c r="B161" s="90" t="s">
        <v>314</v>
      </c>
      <c r="C161" s="90" t="s">
        <v>315</v>
      </c>
      <c r="D161" s="90" t="s">
        <v>121</v>
      </c>
      <c r="E161" s="90" t="s">
        <v>258</v>
      </c>
      <c r="F161" s="91" t="s">
        <v>89</v>
      </c>
      <c r="G161" s="90"/>
      <c r="H161" s="105"/>
      <c r="I161" s="105"/>
      <c r="J161" s="91"/>
      <c r="K161" s="92"/>
    </row>
    <row r="162" ht="43.5" customHeight="1" spans="1:11">
      <c r="A162" s="90" t="s">
        <v>162</v>
      </c>
      <c r="B162" s="90" t="s">
        <v>316</v>
      </c>
      <c r="C162" s="90" t="s">
        <v>317</v>
      </c>
      <c r="D162" s="90" t="s">
        <v>121</v>
      </c>
      <c r="E162" s="90" t="s">
        <v>258</v>
      </c>
      <c r="F162" s="91" t="s">
        <v>89</v>
      </c>
      <c r="G162" s="90"/>
      <c r="H162" s="96"/>
      <c r="I162" s="96"/>
      <c r="J162" s="91"/>
      <c r="K162" s="92"/>
    </row>
    <row r="163" spans="1:11">
      <c r="A163" s="90" t="s">
        <v>162</v>
      </c>
      <c r="B163" s="90" t="s">
        <v>318</v>
      </c>
      <c r="C163" s="90" t="s">
        <v>319</v>
      </c>
      <c r="D163" s="90" t="s">
        <v>121</v>
      </c>
      <c r="E163" s="90" t="s">
        <v>258</v>
      </c>
      <c r="F163" s="91" t="s">
        <v>89</v>
      </c>
      <c r="G163" s="90"/>
      <c r="H163" s="96"/>
      <c r="I163" s="96"/>
      <c r="J163" s="91"/>
      <c r="K163" s="92"/>
    </row>
    <row r="164" spans="1:11">
      <c r="A164" s="90" t="s">
        <v>162</v>
      </c>
      <c r="B164" s="90" t="s">
        <v>320</v>
      </c>
      <c r="C164" s="90" t="s">
        <v>321</v>
      </c>
      <c r="D164" s="90" t="s">
        <v>121</v>
      </c>
      <c r="E164" s="90" t="s">
        <v>258</v>
      </c>
      <c r="F164" s="91" t="s">
        <v>89</v>
      </c>
      <c r="G164" s="90"/>
      <c r="H164" s="96"/>
      <c r="I164" s="96"/>
      <c r="J164" s="91"/>
      <c r="K164" s="92"/>
    </row>
    <row r="165" ht="58" spans="1:11">
      <c r="A165" s="90" t="s">
        <v>162</v>
      </c>
      <c r="B165" s="90" t="s">
        <v>322</v>
      </c>
      <c r="C165" s="90" t="s">
        <v>323</v>
      </c>
      <c r="D165" s="90" t="s">
        <v>121</v>
      </c>
      <c r="E165" s="90" t="s">
        <v>258</v>
      </c>
      <c r="F165" s="91" t="s">
        <v>89</v>
      </c>
      <c r="G165" s="90" t="s">
        <v>324</v>
      </c>
      <c r="H165" s="96"/>
      <c r="I165" s="96"/>
      <c r="J165" s="91" t="s">
        <v>165</v>
      </c>
      <c r="K165" s="92"/>
    </row>
    <row r="166" spans="1:11">
      <c r="A166" s="90" t="s">
        <v>162</v>
      </c>
      <c r="B166" s="90" t="s">
        <v>325</v>
      </c>
      <c r="C166" s="90" t="s">
        <v>326</v>
      </c>
      <c r="D166" s="90" t="s">
        <v>121</v>
      </c>
      <c r="E166" s="90" t="s">
        <v>258</v>
      </c>
      <c r="F166" s="91" t="s">
        <v>89</v>
      </c>
      <c r="G166" s="90"/>
      <c r="H166" s="96"/>
      <c r="I166" s="96"/>
      <c r="J166" s="91"/>
      <c r="K166" s="92"/>
    </row>
    <row r="167" spans="1:11">
      <c r="A167" s="90" t="s">
        <v>162</v>
      </c>
      <c r="B167" s="90" t="s">
        <v>325</v>
      </c>
      <c r="C167" s="90" t="s">
        <v>327</v>
      </c>
      <c r="D167" s="90" t="s">
        <v>121</v>
      </c>
      <c r="E167" s="90" t="s">
        <v>258</v>
      </c>
      <c r="F167" s="91" t="s">
        <v>89</v>
      </c>
      <c r="G167" s="90"/>
      <c r="H167" s="96"/>
      <c r="I167" s="96"/>
      <c r="J167" s="91"/>
      <c r="K167" s="92"/>
    </row>
    <row r="168" spans="1:11">
      <c r="A168" s="90" t="s">
        <v>162</v>
      </c>
      <c r="B168" s="90" t="s">
        <v>328</v>
      </c>
      <c r="C168" s="90" t="s">
        <v>329</v>
      </c>
      <c r="D168" s="90" t="s">
        <v>121</v>
      </c>
      <c r="E168" s="90" t="s">
        <v>258</v>
      </c>
      <c r="F168" s="91" t="s">
        <v>89</v>
      </c>
      <c r="G168" s="90" t="s">
        <v>324</v>
      </c>
      <c r="H168" s="96"/>
      <c r="I168" s="96"/>
      <c r="J168" s="91" t="s">
        <v>157</v>
      </c>
      <c r="K168" s="92"/>
    </row>
    <row r="169" spans="1:11">
      <c r="A169" s="90" t="s">
        <v>330</v>
      </c>
      <c r="B169" s="90" t="s">
        <v>331</v>
      </c>
      <c r="C169" s="90" t="s">
        <v>332</v>
      </c>
      <c r="D169" s="90" t="s">
        <v>121</v>
      </c>
      <c r="E169" s="90" t="s">
        <v>258</v>
      </c>
      <c r="F169" s="91" t="s">
        <v>89</v>
      </c>
      <c r="G169" s="90" t="s">
        <v>333</v>
      </c>
      <c r="H169" s="96"/>
      <c r="I169" s="96"/>
      <c r="J169" s="91"/>
      <c r="K169" s="92"/>
    </row>
    <row r="170" ht="29" spans="1:11">
      <c r="A170" s="90" t="s">
        <v>158</v>
      </c>
      <c r="B170" s="90" t="s">
        <v>334</v>
      </c>
      <c r="C170" s="90" t="s">
        <v>335</v>
      </c>
      <c r="D170" s="90" t="s">
        <v>121</v>
      </c>
      <c r="E170" s="90" t="s">
        <v>258</v>
      </c>
      <c r="F170" s="91" t="s">
        <v>89</v>
      </c>
      <c r="G170" s="90"/>
      <c r="H170" s="96"/>
      <c r="I170" s="96"/>
      <c r="J170" s="91"/>
      <c r="K170" s="92"/>
    </row>
    <row r="171" ht="43.5" customHeight="1" spans="1:11">
      <c r="A171" s="90" t="s">
        <v>158</v>
      </c>
      <c r="B171" s="90" t="s">
        <v>336</v>
      </c>
      <c r="C171" s="90" t="s">
        <v>337</v>
      </c>
      <c r="D171" s="90" t="s">
        <v>121</v>
      </c>
      <c r="E171" s="90" t="s">
        <v>258</v>
      </c>
      <c r="F171" s="91" t="s">
        <v>89</v>
      </c>
      <c r="G171" s="90" t="s">
        <v>338</v>
      </c>
      <c r="H171" s="96"/>
      <c r="I171" s="96"/>
      <c r="J171" s="91"/>
      <c r="K171" s="92"/>
    </row>
    <row r="172" spans="1:11">
      <c r="A172" s="90" t="s">
        <v>151</v>
      </c>
      <c r="B172" s="90" t="s">
        <v>339</v>
      </c>
      <c r="C172" s="90" t="s">
        <v>340</v>
      </c>
      <c r="D172" s="90" t="s">
        <v>121</v>
      </c>
      <c r="E172" s="90" t="s">
        <v>258</v>
      </c>
      <c r="F172" s="91" t="s">
        <v>89</v>
      </c>
      <c r="G172" s="90"/>
      <c r="H172" s="105"/>
      <c r="I172" s="105"/>
      <c r="J172" s="91"/>
      <c r="K172" s="92"/>
    </row>
    <row r="173" ht="28.5" customHeight="1" spans="1:11">
      <c r="A173" s="90" t="s">
        <v>151</v>
      </c>
      <c r="B173" s="90" t="s">
        <v>341</v>
      </c>
      <c r="C173" s="90" t="s">
        <v>342</v>
      </c>
      <c r="D173" s="90" t="s">
        <v>121</v>
      </c>
      <c r="E173" s="90" t="s">
        <v>258</v>
      </c>
      <c r="F173" s="91" t="s">
        <v>89</v>
      </c>
      <c r="G173" s="90"/>
      <c r="H173" s="105"/>
      <c r="I173" s="105"/>
      <c r="J173" s="91"/>
      <c r="K173" s="92"/>
    </row>
    <row r="174" ht="29" spans="1:11">
      <c r="A174" s="90" t="s">
        <v>151</v>
      </c>
      <c r="B174" s="90" t="s">
        <v>343</v>
      </c>
      <c r="C174" s="90" t="s">
        <v>344</v>
      </c>
      <c r="D174" s="90" t="s">
        <v>121</v>
      </c>
      <c r="E174" s="90" t="s">
        <v>258</v>
      </c>
      <c r="F174" s="91" t="s">
        <v>89</v>
      </c>
      <c r="G174" s="90"/>
      <c r="H174" s="105"/>
      <c r="I174" s="105"/>
      <c r="J174" s="91"/>
      <c r="K174" s="92"/>
    </row>
    <row r="175" spans="1:11">
      <c r="A175" s="90" t="s">
        <v>151</v>
      </c>
      <c r="B175" s="90" t="s">
        <v>345</v>
      </c>
      <c r="C175" s="90" t="s">
        <v>346</v>
      </c>
      <c r="D175" s="90" t="s">
        <v>121</v>
      </c>
      <c r="E175" s="90" t="s">
        <v>258</v>
      </c>
      <c r="F175" s="91" t="s">
        <v>89</v>
      </c>
      <c r="G175" s="90"/>
      <c r="H175" s="96"/>
      <c r="I175" s="96"/>
      <c r="J175" s="91"/>
      <c r="K175" s="92"/>
    </row>
    <row r="176" ht="29" spans="1:11">
      <c r="A176" s="90" t="s">
        <v>151</v>
      </c>
      <c r="B176" s="90" t="s">
        <v>295</v>
      </c>
      <c r="C176" s="90" t="s">
        <v>347</v>
      </c>
      <c r="D176" s="90" t="s">
        <v>121</v>
      </c>
      <c r="E176" s="90" t="s">
        <v>258</v>
      </c>
      <c r="F176" s="91" t="s">
        <v>89</v>
      </c>
      <c r="G176" s="90"/>
      <c r="H176" s="105"/>
      <c r="I176" s="105"/>
      <c r="J176" s="91"/>
      <c r="K176" s="92"/>
    </row>
    <row r="177" ht="58" spans="1:11">
      <c r="A177" s="90" t="s">
        <v>151</v>
      </c>
      <c r="B177" s="90" t="s">
        <v>348</v>
      </c>
      <c r="C177" s="90" t="s">
        <v>349</v>
      </c>
      <c r="D177" s="90" t="s">
        <v>121</v>
      </c>
      <c r="E177" s="90" t="s">
        <v>258</v>
      </c>
      <c r="F177" s="91" t="s">
        <v>89</v>
      </c>
      <c r="G177" s="90"/>
      <c r="H177" s="105"/>
      <c r="I177" s="105"/>
      <c r="J177" s="91"/>
      <c r="K177" s="92"/>
    </row>
    <row r="178" ht="87" spans="1:11">
      <c r="A178" s="90" t="s">
        <v>34</v>
      </c>
      <c r="B178" s="90" t="s">
        <v>350</v>
      </c>
      <c r="C178" s="90" t="s">
        <v>351</v>
      </c>
      <c r="D178" s="90" t="s">
        <v>219</v>
      </c>
      <c r="E178" s="90" t="s">
        <v>258</v>
      </c>
      <c r="F178" s="91" t="s">
        <v>15</v>
      </c>
      <c r="G178" s="90"/>
      <c r="H178" s="96"/>
      <c r="I178" s="96">
        <v>46185</v>
      </c>
      <c r="J178" s="91" t="s">
        <v>122</v>
      </c>
      <c r="K178" s="92"/>
    </row>
    <row r="179" ht="28.5" customHeight="1" spans="1:11">
      <c r="A179" s="90" t="s">
        <v>34</v>
      </c>
      <c r="B179" s="90" t="s">
        <v>352</v>
      </c>
      <c r="C179" s="90" t="s">
        <v>353</v>
      </c>
      <c r="D179" s="90" t="s">
        <v>219</v>
      </c>
      <c r="E179" s="90" t="s">
        <v>258</v>
      </c>
      <c r="F179" s="91" t="s">
        <v>222</v>
      </c>
      <c r="G179" s="90" t="s">
        <v>354</v>
      </c>
      <c r="H179" s="96"/>
      <c r="I179" s="105">
        <v>46197</v>
      </c>
      <c r="J179" s="91"/>
      <c r="K179" s="92"/>
    </row>
    <row r="180" spans="1:11">
      <c r="A180" s="90" t="s">
        <v>162</v>
      </c>
      <c r="B180" s="90" t="s">
        <v>355</v>
      </c>
      <c r="C180" s="90" t="s">
        <v>356</v>
      </c>
      <c r="D180" s="90" t="s">
        <v>219</v>
      </c>
      <c r="E180" s="90" t="s">
        <v>258</v>
      </c>
      <c r="F180" s="91" t="s">
        <v>15</v>
      </c>
      <c r="G180" s="90"/>
      <c r="H180" s="98"/>
      <c r="I180" s="98"/>
      <c r="J180" s="90"/>
      <c r="K180" s="92"/>
    </row>
    <row r="181" ht="57.75" customHeight="1" spans="1:11">
      <c r="A181" s="90" t="s">
        <v>151</v>
      </c>
      <c r="B181" s="90" t="s">
        <v>18</v>
      </c>
      <c r="C181" s="90" t="s">
        <v>19</v>
      </c>
      <c r="D181" s="90" t="s">
        <v>219</v>
      </c>
      <c r="E181" s="90" t="s">
        <v>258</v>
      </c>
      <c r="F181" s="91" t="s">
        <v>70</v>
      </c>
      <c r="G181" s="90" t="s">
        <v>357</v>
      </c>
      <c r="H181" s="96"/>
      <c r="I181" s="96"/>
      <c r="J181" s="91"/>
      <c r="K181" s="92"/>
    </row>
    <row r="182" ht="29" spans="1:11">
      <c r="A182" s="90" t="s">
        <v>162</v>
      </c>
      <c r="B182" s="90" t="s">
        <v>358</v>
      </c>
      <c r="C182" s="90" t="s">
        <v>359</v>
      </c>
      <c r="D182" s="90" t="s">
        <v>219</v>
      </c>
      <c r="E182" s="90" t="s">
        <v>258</v>
      </c>
      <c r="F182" s="91" t="s">
        <v>89</v>
      </c>
      <c r="G182" s="90"/>
      <c r="H182" s="96"/>
      <c r="I182" s="96"/>
      <c r="J182" s="91"/>
      <c r="K182" s="92"/>
    </row>
    <row r="183" spans="1:11">
      <c r="A183" s="90" t="s">
        <v>162</v>
      </c>
      <c r="B183" s="90" t="s">
        <v>360</v>
      </c>
      <c r="C183" s="90" t="s">
        <v>361</v>
      </c>
      <c r="D183" s="90" t="s">
        <v>219</v>
      </c>
      <c r="E183" s="90" t="s">
        <v>258</v>
      </c>
      <c r="F183" s="91" t="s">
        <v>89</v>
      </c>
      <c r="G183" s="90"/>
      <c r="H183" s="96"/>
      <c r="I183" s="96"/>
      <c r="J183" s="91"/>
      <c r="K183" s="92"/>
    </row>
    <row r="184" spans="1:11">
      <c r="A184" s="90" t="s">
        <v>40</v>
      </c>
      <c r="B184" s="90" t="s">
        <v>362</v>
      </c>
      <c r="C184" s="90" t="s">
        <v>363</v>
      </c>
      <c r="D184" s="90" t="s">
        <v>36</v>
      </c>
      <c r="E184" s="90" t="s">
        <v>258</v>
      </c>
      <c r="F184" s="91" t="s">
        <v>89</v>
      </c>
      <c r="G184" s="90"/>
      <c r="H184" s="95"/>
      <c r="I184" s="98">
        <v>46199</v>
      </c>
      <c r="J184" s="91"/>
      <c r="K184" s="92"/>
    </row>
    <row r="185" ht="44" spans="1:11">
      <c r="A185" s="90" t="s">
        <v>40</v>
      </c>
      <c r="B185" s="90" t="s">
        <v>364</v>
      </c>
      <c r="C185" s="90" t="s">
        <v>365</v>
      </c>
      <c r="D185" s="90" t="s">
        <v>36</v>
      </c>
      <c r="E185" s="90" t="s">
        <v>258</v>
      </c>
      <c r="F185" s="91" t="s">
        <v>89</v>
      </c>
      <c r="G185" s="90"/>
      <c r="H185" s="104"/>
      <c r="I185" s="98">
        <v>46199</v>
      </c>
      <c r="J185" s="91"/>
      <c r="K185" s="92"/>
    </row>
    <row r="186" ht="28.5" customHeight="1" spans="1:11">
      <c r="A186" s="90" t="s">
        <v>34</v>
      </c>
      <c r="B186" s="90" t="s">
        <v>366</v>
      </c>
      <c r="C186" s="90"/>
      <c r="D186" s="90" t="s">
        <v>36</v>
      </c>
      <c r="E186" s="90" t="s">
        <v>258</v>
      </c>
      <c r="F186" s="91" t="s">
        <v>89</v>
      </c>
      <c r="G186" s="90"/>
      <c r="H186" s="95"/>
      <c r="I186" s="98">
        <v>46199</v>
      </c>
      <c r="J186" s="91"/>
      <c r="K186" s="92"/>
    </row>
    <row r="187" spans="1:11">
      <c r="A187" s="90" t="s">
        <v>34</v>
      </c>
      <c r="B187" s="90" t="s">
        <v>367</v>
      </c>
      <c r="C187" s="90"/>
      <c r="D187" s="90" t="s">
        <v>36</v>
      </c>
      <c r="E187" s="90" t="s">
        <v>258</v>
      </c>
      <c r="F187" s="91" t="s">
        <v>89</v>
      </c>
      <c r="G187" s="90"/>
      <c r="H187" s="95"/>
      <c r="I187" s="98">
        <v>46199</v>
      </c>
      <c r="J187" s="91"/>
      <c r="K187" s="92"/>
    </row>
    <row r="188" ht="44" spans="1:11">
      <c r="A188" s="90" t="s">
        <v>40</v>
      </c>
      <c r="B188" s="90" t="s">
        <v>368</v>
      </c>
      <c r="C188" s="90" t="s">
        <v>369</v>
      </c>
      <c r="D188" s="90" t="s">
        <v>36</v>
      </c>
      <c r="E188" s="90" t="s">
        <v>258</v>
      </c>
      <c r="F188" s="91" t="s">
        <v>15</v>
      </c>
      <c r="G188" s="90"/>
      <c r="H188" s="91"/>
      <c r="I188" s="91"/>
      <c r="J188" s="91"/>
      <c r="K188" s="92"/>
    </row>
    <row r="189" ht="28.5" customHeight="1" spans="1:11">
      <c r="A189" s="90" t="s">
        <v>40</v>
      </c>
      <c r="B189" s="90" t="s">
        <v>370</v>
      </c>
      <c r="C189" s="90" t="s">
        <v>371</v>
      </c>
      <c r="D189" s="90" t="s">
        <v>36</v>
      </c>
      <c r="E189" s="90" t="s">
        <v>258</v>
      </c>
      <c r="F189" s="91" t="s">
        <v>15</v>
      </c>
      <c r="G189" s="90"/>
      <c r="H189" s="91"/>
      <c r="I189" s="91"/>
      <c r="J189" s="91"/>
      <c r="K189" s="92"/>
    </row>
    <row r="190" ht="28.5" customHeight="1" spans="1:11">
      <c r="A190" s="90" t="s">
        <v>40</v>
      </c>
      <c r="B190" s="90" t="s">
        <v>372</v>
      </c>
      <c r="C190" s="90" t="s">
        <v>373</v>
      </c>
      <c r="D190" s="90" t="s">
        <v>36</v>
      </c>
      <c r="E190" s="90" t="s">
        <v>258</v>
      </c>
      <c r="F190" s="91" t="s">
        <v>15</v>
      </c>
      <c r="G190" s="90"/>
      <c r="H190" s="91"/>
      <c r="I190" s="91"/>
      <c r="J190" s="91"/>
      <c r="K190" s="92"/>
    </row>
    <row r="191" spans="1:11">
      <c r="A191" s="90" t="s">
        <v>34</v>
      </c>
      <c r="B191" s="90" t="s">
        <v>374</v>
      </c>
      <c r="C191" s="90"/>
      <c r="D191" s="90" t="s">
        <v>36</v>
      </c>
      <c r="E191" s="90" t="s">
        <v>258</v>
      </c>
      <c r="F191" s="91" t="s">
        <v>15</v>
      </c>
      <c r="G191" s="90"/>
      <c r="H191" s="91"/>
      <c r="I191" s="91"/>
      <c r="J191" s="91"/>
      <c r="K191" s="92"/>
    </row>
    <row r="192" ht="28.5" customHeight="1" spans="1:11">
      <c r="A192" s="90" t="s">
        <v>34</v>
      </c>
      <c r="B192" s="90" t="s">
        <v>375</v>
      </c>
      <c r="C192" s="90"/>
      <c r="D192" s="90" t="s">
        <v>36</v>
      </c>
      <c r="E192" s="90" t="s">
        <v>258</v>
      </c>
      <c r="F192" s="91" t="s">
        <v>15</v>
      </c>
      <c r="G192" s="90"/>
      <c r="H192" s="91"/>
      <c r="I192" s="91"/>
      <c r="J192" s="91"/>
      <c r="K192" s="92"/>
    </row>
    <row r="193" ht="57.75" customHeight="1" spans="1:11">
      <c r="A193" s="90" t="s">
        <v>34</v>
      </c>
      <c r="B193" s="90" t="s">
        <v>376</v>
      </c>
      <c r="C193" s="90"/>
      <c r="D193" s="90" t="s">
        <v>36</v>
      </c>
      <c r="E193" s="90" t="s">
        <v>258</v>
      </c>
      <c r="F193" s="91" t="s">
        <v>15</v>
      </c>
      <c r="G193" s="90"/>
      <c r="H193" s="91"/>
      <c r="I193" s="91"/>
      <c r="J193" s="91"/>
      <c r="K193" s="92"/>
    </row>
    <row r="194" ht="43.5" customHeight="1" spans="1:11">
      <c r="A194" s="90" t="s">
        <v>40</v>
      </c>
      <c r="B194" s="90" t="s">
        <v>375</v>
      </c>
      <c r="C194" s="90" t="s">
        <v>377</v>
      </c>
      <c r="D194" s="90" t="s">
        <v>36</v>
      </c>
      <c r="E194" s="90" t="s">
        <v>258</v>
      </c>
      <c r="F194" s="91" t="s">
        <v>70</v>
      </c>
      <c r="G194" s="90"/>
      <c r="H194" s="105"/>
      <c r="I194" s="105"/>
      <c r="J194" s="91"/>
      <c r="K194" s="92"/>
    </row>
    <row r="195" ht="44" spans="1:11">
      <c r="A195" s="90" t="s">
        <v>34</v>
      </c>
      <c r="B195" s="90" t="s">
        <v>378</v>
      </c>
      <c r="C195" s="90" t="s">
        <v>379</v>
      </c>
      <c r="D195" s="90" t="s">
        <v>36</v>
      </c>
      <c r="E195" s="90" t="s">
        <v>258</v>
      </c>
      <c r="F195" s="91" t="s">
        <v>89</v>
      </c>
      <c r="G195" s="90"/>
      <c r="H195" s="96"/>
      <c r="I195" s="96"/>
      <c r="J195" s="91"/>
      <c r="K195" s="92"/>
    </row>
    <row r="196" ht="116" spans="1:11">
      <c r="A196" s="90" t="s">
        <v>380</v>
      </c>
      <c r="B196" s="90" t="s">
        <v>381</v>
      </c>
      <c r="C196" s="91"/>
      <c r="D196" s="90" t="s">
        <v>382</v>
      </c>
      <c r="E196" s="90" t="s">
        <v>258</v>
      </c>
      <c r="F196" s="91" t="s">
        <v>15</v>
      </c>
      <c r="G196" s="90"/>
      <c r="H196" s="104"/>
      <c r="I196" s="96">
        <v>46178</v>
      </c>
      <c r="J196" s="91"/>
      <c r="K196" s="92"/>
    </row>
    <row r="197" ht="28.5" customHeight="1" spans="1:11">
      <c r="A197" s="90" t="s">
        <v>380</v>
      </c>
      <c r="B197" s="106" t="s">
        <v>383</v>
      </c>
      <c r="C197" s="91"/>
      <c r="D197" s="90" t="s">
        <v>382</v>
      </c>
      <c r="E197" s="90" t="s">
        <v>258</v>
      </c>
      <c r="F197" s="91" t="s">
        <v>15</v>
      </c>
      <c r="G197" s="90"/>
      <c r="H197" s="104"/>
      <c r="I197" s="96">
        <v>46178</v>
      </c>
      <c r="J197" s="91"/>
      <c r="K197" s="92"/>
    </row>
    <row r="198" ht="43.5" customHeight="1" spans="1:11">
      <c r="A198" s="90" t="s">
        <v>380</v>
      </c>
      <c r="B198" s="90" t="s">
        <v>384</v>
      </c>
      <c r="C198" s="107"/>
      <c r="D198" s="90" t="s">
        <v>382</v>
      </c>
      <c r="E198" s="90" t="s">
        <v>258</v>
      </c>
      <c r="F198" s="91" t="s">
        <v>89</v>
      </c>
      <c r="G198" s="107" t="s">
        <v>385</v>
      </c>
      <c r="H198" s="91"/>
      <c r="I198" s="105">
        <v>46199</v>
      </c>
      <c r="J198" s="91"/>
      <c r="K198" s="92"/>
    </row>
    <row r="199" spans="1:11">
      <c r="A199" s="90"/>
      <c r="B199" s="90" t="s">
        <v>386</v>
      </c>
      <c r="C199" s="90" t="s">
        <v>387</v>
      </c>
      <c r="D199" s="90" t="s">
        <v>121</v>
      </c>
      <c r="E199" s="90" t="s">
        <v>388</v>
      </c>
      <c r="F199" s="91" t="s">
        <v>15</v>
      </c>
      <c r="G199" s="90"/>
      <c r="H199" s="91"/>
      <c r="I199" s="99">
        <v>46182</v>
      </c>
      <c r="J199" s="91" t="s">
        <v>165</v>
      </c>
      <c r="K199" s="92"/>
    </row>
    <row r="200" ht="28.5" customHeight="1" spans="1:11">
      <c r="A200" s="90"/>
      <c r="B200" s="90" t="s">
        <v>293</v>
      </c>
      <c r="C200" s="90" t="s">
        <v>389</v>
      </c>
      <c r="D200" s="90" t="s">
        <v>121</v>
      </c>
      <c r="E200" s="90" t="s">
        <v>388</v>
      </c>
      <c r="F200" s="91" t="s">
        <v>222</v>
      </c>
      <c r="G200" s="90"/>
      <c r="H200" s="91"/>
      <c r="I200" s="96">
        <v>46195</v>
      </c>
      <c r="J200" s="91"/>
      <c r="K200" s="92"/>
    </row>
    <row r="201" ht="28.5" customHeight="1" spans="1:11">
      <c r="A201" s="90" t="s">
        <v>330</v>
      </c>
      <c r="B201" s="90" t="s">
        <v>390</v>
      </c>
      <c r="C201" s="90" t="s">
        <v>391</v>
      </c>
      <c r="D201" s="90" t="s">
        <v>392</v>
      </c>
      <c r="E201" s="90" t="s">
        <v>388</v>
      </c>
      <c r="F201" s="91" t="s">
        <v>222</v>
      </c>
      <c r="G201" s="90"/>
      <c r="H201" s="96"/>
      <c r="I201" s="96">
        <v>46195</v>
      </c>
      <c r="J201" s="91" t="s">
        <v>178</v>
      </c>
      <c r="K201" s="92"/>
    </row>
    <row r="202" ht="29" spans="1:11">
      <c r="A202" s="90"/>
      <c r="B202" s="90"/>
      <c r="C202" s="90" t="s">
        <v>393</v>
      </c>
      <c r="D202" s="90" t="s">
        <v>219</v>
      </c>
      <c r="E202" s="90" t="s">
        <v>388</v>
      </c>
      <c r="F202" s="91" t="s">
        <v>15</v>
      </c>
      <c r="G202" s="90"/>
      <c r="H202" s="91"/>
      <c r="I202" s="99">
        <v>46181</v>
      </c>
      <c r="J202" s="91" t="s">
        <v>178</v>
      </c>
      <c r="K202" s="92"/>
    </row>
    <row r="203" ht="28.5" customHeight="1" spans="1:11">
      <c r="A203" s="90"/>
      <c r="B203" s="90" t="s">
        <v>394</v>
      </c>
      <c r="C203" s="90" t="s">
        <v>395</v>
      </c>
      <c r="D203" s="90" t="s">
        <v>219</v>
      </c>
      <c r="E203" s="90" t="s">
        <v>388</v>
      </c>
      <c r="F203" s="91" t="s">
        <v>15</v>
      </c>
      <c r="G203" s="90"/>
      <c r="H203" s="91"/>
      <c r="I203" s="96">
        <v>46189</v>
      </c>
      <c r="J203" s="91"/>
      <c r="K203" s="92"/>
    </row>
    <row r="204" ht="33.75" customHeight="1" spans="1:11">
      <c r="A204" s="90"/>
      <c r="B204" s="90" t="s">
        <v>396</v>
      </c>
      <c r="C204" s="90" t="s">
        <v>397</v>
      </c>
      <c r="D204" s="90" t="s">
        <v>219</v>
      </c>
      <c r="E204" s="90" t="s">
        <v>388</v>
      </c>
      <c r="F204" s="91" t="s">
        <v>15</v>
      </c>
      <c r="G204" s="90"/>
      <c r="H204" s="91"/>
      <c r="I204" s="96">
        <v>46190</v>
      </c>
      <c r="J204" s="91"/>
      <c r="K204" s="92"/>
    </row>
    <row r="205" ht="28.5" customHeight="1" spans="1:11">
      <c r="A205" s="90"/>
      <c r="B205" s="90" t="s">
        <v>398</v>
      </c>
      <c r="C205" s="108" t="s">
        <v>399</v>
      </c>
      <c r="D205" s="90" t="s">
        <v>219</v>
      </c>
      <c r="E205" s="90" t="s">
        <v>388</v>
      </c>
      <c r="F205" s="91" t="s">
        <v>222</v>
      </c>
      <c r="G205" s="90"/>
      <c r="H205" s="96"/>
      <c r="I205" s="91"/>
      <c r="J205" s="91" t="s">
        <v>178</v>
      </c>
      <c r="K205" s="92"/>
    </row>
    <row r="206" ht="29" spans="1:11">
      <c r="A206" s="90" t="s">
        <v>216</v>
      </c>
      <c r="B206" s="90" t="s">
        <v>133</v>
      </c>
      <c r="C206" s="90" t="s">
        <v>400</v>
      </c>
      <c r="D206" s="90" t="s">
        <v>36</v>
      </c>
      <c r="E206" s="90" t="s">
        <v>388</v>
      </c>
      <c r="F206" s="91" t="s">
        <v>15</v>
      </c>
      <c r="G206" s="90"/>
      <c r="H206" s="96"/>
      <c r="I206" s="96">
        <v>46169</v>
      </c>
      <c r="J206" s="91" t="s">
        <v>401</v>
      </c>
      <c r="K206" s="92"/>
    </row>
    <row r="207" ht="28.5" customHeight="1" spans="1:11">
      <c r="A207" s="90" t="s">
        <v>216</v>
      </c>
      <c r="B207" s="90" t="s">
        <v>133</v>
      </c>
      <c r="C207" s="90" t="s">
        <v>402</v>
      </c>
      <c r="D207" s="90" t="s">
        <v>36</v>
      </c>
      <c r="E207" s="90" t="s">
        <v>388</v>
      </c>
      <c r="F207" s="91" t="s">
        <v>15</v>
      </c>
      <c r="G207" s="90"/>
      <c r="H207" s="96"/>
      <c r="I207" s="96">
        <v>46169</v>
      </c>
      <c r="J207" s="91" t="s">
        <v>260</v>
      </c>
      <c r="K207" s="92"/>
    </row>
    <row r="208" ht="28.5" customHeight="1" spans="1:11">
      <c r="A208" s="90"/>
      <c r="B208" s="90" t="s">
        <v>403</v>
      </c>
      <c r="C208" s="90" t="s">
        <v>404</v>
      </c>
      <c r="D208" s="90" t="s">
        <v>36</v>
      </c>
      <c r="E208" s="90" t="s">
        <v>388</v>
      </c>
      <c r="F208" s="91" t="s">
        <v>15</v>
      </c>
      <c r="G208" s="90"/>
      <c r="H208" s="96"/>
      <c r="I208" s="96">
        <v>46181</v>
      </c>
      <c r="J208" s="91"/>
      <c r="K208" s="92"/>
    </row>
    <row r="209" ht="29" spans="1:11">
      <c r="A209" s="90"/>
      <c r="B209" s="90" t="s">
        <v>398</v>
      </c>
      <c r="C209" s="90" t="s">
        <v>405</v>
      </c>
      <c r="D209" s="90" t="s">
        <v>36</v>
      </c>
      <c r="E209" s="90" t="s">
        <v>388</v>
      </c>
      <c r="F209" s="91" t="s">
        <v>15</v>
      </c>
      <c r="G209" s="90"/>
      <c r="H209" s="96"/>
      <c r="I209" s="96">
        <v>46181</v>
      </c>
      <c r="J209" s="91"/>
      <c r="K209" s="92"/>
    </row>
    <row r="210" ht="29" spans="1:11">
      <c r="A210" s="90"/>
      <c r="B210" s="90" t="s">
        <v>398</v>
      </c>
      <c r="C210" s="90" t="s">
        <v>406</v>
      </c>
      <c r="D210" s="90" t="s">
        <v>36</v>
      </c>
      <c r="E210" s="90" t="s">
        <v>388</v>
      </c>
      <c r="F210" s="91" t="s">
        <v>15</v>
      </c>
      <c r="G210" s="90"/>
      <c r="H210" s="96"/>
      <c r="I210" s="96">
        <v>46181</v>
      </c>
      <c r="J210" s="91"/>
      <c r="K210" s="92"/>
    </row>
    <row r="211" spans="1:11">
      <c r="A211" s="90"/>
      <c r="B211" s="90" t="s">
        <v>398</v>
      </c>
      <c r="C211" s="90" t="s">
        <v>407</v>
      </c>
      <c r="D211" s="90" t="s">
        <v>36</v>
      </c>
      <c r="E211" s="90" t="s">
        <v>388</v>
      </c>
      <c r="F211" s="91" t="s">
        <v>15</v>
      </c>
      <c r="G211" s="90"/>
      <c r="H211" s="96"/>
      <c r="I211" s="96">
        <v>46181</v>
      </c>
      <c r="J211" s="91"/>
      <c r="K211" s="92"/>
    </row>
    <row r="212" spans="1:11">
      <c r="A212" s="90"/>
      <c r="B212" s="90" t="s">
        <v>398</v>
      </c>
      <c r="C212" s="90" t="s">
        <v>408</v>
      </c>
      <c r="D212" s="90" t="s">
        <v>36</v>
      </c>
      <c r="E212" s="90" t="s">
        <v>388</v>
      </c>
      <c r="F212" s="91" t="s">
        <v>15</v>
      </c>
      <c r="G212" s="90"/>
      <c r="H212" s="96"/>
      <c r="I212" s="96">
        <v>46181</v>
      </c>
      <c r="J212" s="91"/>
      <c r="K212" s="92"/>
    </row>
    <row r="213" spans="1:11">
      <c r="A213" s="90"/>
      <c r="B213" s="90" t="s">
        <v>398</v>
      </c>
      <c r="C213" s="90" t="s">
        <v>409</v>
      </c>
      <c r="D213" s="90" t="s">
        <v>36</v>
      </c>
      <c r="E213" s="90" t="s">
        <v>388</v>
      </c>
      <c r="F213" s="91" t="s">
        <v>15</v>
      </c>
      <c r="G213" s="90"/>
      <c r="H213" s="96"/>
      <c r="I213" s="96">
        <v>46181</v>
      </c>
      <c r="J213" s="91"/>
      <c r="K213" s="92"/>
    </row>
    <row r="214" ht="28.5" customHeight="1" spans="1:11">
      <c r="A214" s="90"/>
      <c r="B214" s="90" t="s">
        <v>398</v>
      </c>
      <c r="C214" s="90" t="s">
        <v>410</v>
      </c>
      <c r="D214" s="90" t="s">
        <v>36</v>
      </c>
      <c r="E214" s="90" t="s">
        <v>388</v>
      </c>
      <c r="F214" s="91" t="s">
        <v>15</v>
      </c>
      <c r="G214" s="90"/>
      <c r="H214" s="96"/>
      <c r="I214" s="96">
        <v>46181</v>
      </c>
      <c r="J214" s="91"/>
      <c r="K214" s="92"/>
    </row>
    <row r="215" spans="1:11">
      <c r="A215" s="90"/>
      <c r="B215" s="90" t="s">
        <v>411</v>
      </c>
      <c r="C215" s="90" t="s">
        <v>412</v>
      </c>
      <c r="D215" s="90" t="s">
        <v>36</v>
      </c>
      <c r="E215" s="90" t="s">
        <v>388</v>
      </c>
      <c r="F215" s="91" t="s">
        <v>15</v>
      </c>
      <c r="G215" s="90"/>
      <c r="H215" s="96"/>
      <c r="I215" s="96">
        <v>46181</v>
      </c>
      <c r="J215" s="91"/>
      <c r="K215" s="92"/>
    </row>
    <row r="216" ht="28.5" customHeight="1" spans="1:11">
      <c r="A216" s="90"/>
      <c r="B216" s="90" t="s">
        <v>398</v>
      </c>
      <c r="C216" s="90" t="s">
        <v>413</v>
      </c>
      <c r="D216" s="90" t="s">
        <v>36</v>
      </c>
      <c r="E216" s="90" t="s">
        <v>388</v>
      </c>
      <c r="F216" s="91" t="s">
        <v>15</v>
      </c>
      <c r="G216" s="90"/>
      <c r="H216" s="96"/>
      <c r="I216" s="96">
        <v>46181</v>
      </c>
      <c r="J216" s="91"/>
      <c r="K216" s="92"/>
    </row>
    <row r="217" spans="1:11">
      <c r="A217" s="90"/>
      <c r="B217" s="90" t="s">
        <v>398</v>
      </c>
      <c r="C217" s="90" t="s">
        <v>414</v>
      </c>
      <c r="D217" s="90" t="s">
        <v>36</v>
      </c>
      <c r="E217" s="90" t="s">
        <v>388</v>
      </c>
      <c r="F217" s="91" t="s">
        <v>15</v>
      </c>
      <c r="G217" s="90"/>
      <c r="H217" s="96"/>
      <c r="I217" s="96">
        <v>46181</v>
      </c>
      <c r="J217" s="91"/>
      <c r="K217" s="92"/>
    </row>
    <row r="218" ht="28.5" customHeight="1" spans="1:11">
      <c r="A218" s="90"/>
      <c r="B218" s="90" t="s">
        <v>398</v>
      </c>
      <c r="C218" s="90" t="s">
        <v>415</v>
      </c>
      <c r="D218" s="90" t="s">
        <v>36</v>
      </c>
      <c r="E218" s="90" t="s">
        <v>388</v>
      </c>
      <c r="F218" s="91" t="s">
        <v>15</v>
      </c>
      <c r="G218" s="90"/>
      <c r="H218" s="96"/>
      <c r="I218" s="96">
        <v>46181</v>
      </c>
      <c r="J218" s="91"/>
      <c r="K218" s="92"/>
    </row>
    <row r="219" ht="43.5" customHeight="1" spans="1:11">
      <c r="A219" s="90"/>
      <c r="B219" s="90" t="s">
        <v>398</v>
      </c>
      <c r="C219" s="90" t="s">
        <v>416</v>
      </c>
      <c r="D219" s="90" t="s">
        <v>36</v>
      </c>
      <c r="E219" s="90" t="s">
        <v>388</v>
      </c>
      <c r="F219" s="91" t="s">
        <v>15</v>
      </c>
      <c r="G219" s="90"/>
      <c r="H219" s="96"/>
      <c r="I219" s="96">
        <v>46181</v>
      </c>
      <c r="J219" s="91"/>
      <c r="K219" s="92"/>
    </row>
    <row r="220" spans="1:11">
      <c r="A220" s="90"/>
      <c r="B220" s="90" t="s">
        <v>417</v>
      </c>
      <c r="C220" s="108" t="s">
        <v>418</v>
      </c>
      <c r="D220" s="90" t="s">
        <v>36</v>
      </c>
      <c r="E220" s="90" t="s">
        <v>388</v>
      </c>
      <c r="F220" s="91" t="s">
        <v>15</v>
      </c>
      <c r="G220" s="90"/>
      <c r="H220" s="96"/>
      <c r="I220" s="96">
        <v>46182</v>
      </c>
      <c r="J220" s="91" t="s">
        <v>127</v>
      </c>
      <c r="K220" s="92"/>
    </row>
    <row r="221" ht="29" spans="1:11">
      <c r="A221" s="90"/>
      <c r="B221" s="90" t="s">
        <v>403</v>
      </c>
      <c r="C221" s="108" t="s">
        <v>419</v>
      </c>
      <c r="D221" s="90" t="s">
        <v>36</v>
      </c>
      <c r="E221" s="90" t="s">
        <v>388</v>
      </c>
      <c r="F221" s="91" t="s">
        <v>15</v>
      </c>
      <c r="G221" s="90"/>
      <c r="H221" s="96"/>
      <c r="I221" s="96">
        <v>46182</v>
      </c>
      <c r="J221" s="91" t="s">
        <v>127</v>
      </c>
      <c r="K221" s="92"/>
    </row>
    <row r="222" ht="43.5" customHeight="1" spans="1:11">
      <c r="A222" s="90"/>
      <c r="B222" s="90" t="s">
        <v>403</v>
      </c>
      <c r="C222" s="108" t="s">
        <v>420</v>
      </c>
      <c r="D222" s="90" t="s">
        <v>36</v>
      </c>
      <c r="E222" s="90" t="s">
        <v>388</v>
      </c>
      <c r="F222" s="91" t="s">
        <v>15</v>
      </c>
      <c r="G222" s="90"/>
      <c r="H222" s="96"/>
      <c r="I222" s="96">
        <v>46182</v>
      </c>
      <c r="J222" s="91" t="s">
        <v>127</v>
      </c>
      <c r="K222" s="92"/>
    </row>
    <row r="223" spans="1:11">
      <c r="A223" s="90"/>
      <c r="B223" s="90" t="s">
        <v>421</v>
      </c>
      <c r="C223" s="90" t="s">
        <v>422</v>
      </c>
      <c r="D223" s="90" t="s">
        <v>36</v>
      </c>
      <c r="E223" s="90" t="s">
        <v>388</v>
      </c>
      <c r="F223" s="91" t="s">
        <v>15</v>
      </c>
      <c r="G223" s="90"/>
      <c r="H223" s="96"/>
      <c r="I223" s="96">
        <v>46182</v>
      </c>
      <c r="J223" s="91" t="s">
        <v>127</v>
      </c>
      <c r="K223" s="92"/>
    </row>
    <row r="224" ht="29" spans="1:11">
      <c r="A224" s="90"/>
      <c r="B224" s="90" t="s">
        <v>423</v>
      </c>
      <c r="C224" s="90" t="s">
        <v>424</v>
      </c>
      <c r="D224" s="90" t="s">
        <v>36</v>
      </c>
      <c r="E224" s="90" t="s">
        <v>388</v>
      </c>
      <c r="F224" s="91" t="s">
        <v>15</v>
      </c>
      <c r="G224" s="90"/>
      <c r="H224" s="96"/>
      <c r="I224" s="96">
        <v>46182</v>
      </c>
      <c r="J224" s="91" t="s">
        <v>124</v>
      </c>
      <c r="K224" s="92"/>
    </row>
    <row r="225" ht="28.5" customHeight="1" spans="1:11">
      <c r="A225" s="90"/>
      <c r="B225" s="90" t="s">
        <v>425</v>
      </c>
      <c r="C225" s="108" t="s">
        <v>426</v>
      </c>
      <c r="D225" s="90" t="s">
        <v>36</v>
      </c>
      <c r="E225" s="90" t="s">
        <v>388</v>
      </c>
      <c r="F225" s="91" t="s">
        <v>15</v>
      </c>
      <c r="G225" s="90"/>
      <c r="H225" s="96"/>
      <c r="I225" s="96">
        <v>46182</v>
      </c>
      <c r="J225" s="91" t="s">
        <v>127</v>
      </c>
      <c r="K225" s="92"/>
    </row>
    <row r="226" ht="28.5" customHeight="1" spans="1:11">
      <c r="A226" s="90"/>
      <c r="B226" s="90" t="s">
        <v>403</v>
      </c>
      <c r="C226" s="108" t="s">
        <v>427</v>
      </c>
      <c r="D226" s="90" t="s">
        <v>36</v>
      </c>
      <c r="E226" s="90" t="s">
        <v>388</v>
      </c>
      <c r="F226" s="91" t="s">
        <v>15</v>
      </c>
      <c r="G226" s="90"/>
      <c r="H226" s="96"/>
      <c r="I226" s="96">
        <v>46182</v>
      </c>
      <c r="J226" s="91" t="s">
        <v>127</v>
      </c>
      <c r="K226" s="92"/>
    </row>
    <row r="227" ht="43.5" customHeight="1" spans="1:11">
      <c r="A227" s="90"/>
      <c r="B227" s="90" t="s">
        <v>403</v>
      </c>
      <c r="C227" s="108" t="s">
        <v>428</v>
      </c>
      <c r="D227" s="90" t="s">
        <v>36</v>
      </c>
      <c r="E227" s="90" t="s">
        <v>388</v>
      </c>
      <c r="F227" s="91" t="s">
        <v>15</v>
      </c>
      <c r="G227" s="90"/>
      <c r="H227" s="96"/>
      <c r="I227" s="96">
        <v>46183</v>
      </c>
      <c r="J227" s="91" t="s">
        <v>401</v>
      </c>
      <c r="K227" s="92"/>
    </row>
    <row r="228" ht="28.5" customHeight="1" spans="1:11">
      <c r="A228" s="90"/>
      <c r="B228" s="90" t="s">
        <v>398</v>
      </c>
      <c r="C228" s="90" t="s">
        <v>429</v>
      </c>
      <c r="D228" s="90" t="s">
        <v>36</v>
      </c>
      <c r="E228" s="90" t="s">
        <v>388</v>
      </c>
      <c r="F228" s="91" t="s">
        <v>15</v>
      </c>
      <c r="G228" s="90"/>
      <c r="H228" s="96"/>
      <c r="I228" s="96">
        <v>46183</v>
      </c>
      <c r="J228" s="91"/>
      <c r="K228" s="92"/>
    </row>
    <row r="229" ht="29" spans="1:11">
      <c r="A229" s="90"/>
      <c r="B229" s="90" t="s">
        <v>403</v>
      </c>
      <c r="C229" s="108" t="s">
        <v>430</v>
      </c>
      <c r="D229" s="90" t="s">
        <v>36</v>
      </c>
      <c r="E229" s="90" t="s">
        <v>388</v>
      </c>
      <c r="F229" s="91" t="s">
        <v>15</v>
      </c>
      <c r="G229" s="90"/>
      <c r="H229" s="96"/>
      <c r="I229" s="96">
        <v>46183</v>
      </c>
      <c r="J229" s="91" t="s">
        <v>241</v>
      </c>
      <c r="K229" s="92"/>
    </row>
    <row r="230" ht="28.5" customHeight="1" spans="1:11">
      <c r="A230" s="90"/>
      <c r="B230" s="90" t="s">
        <v>403</v>
      </c>
      <c r="C230" s="108" t="s">
        <v>431</v>
      </c>
      <c r="D230" s="90" t="s">
        <v>36</v>
      </c>
      <c r="E230" s="90" t="s">
        <v>388</v>
      </c>
      <c r="F230" s="91" t="s">
        <v>15</v>
      </c>
      <c r="G230" s="90"/>
      <c r="H230" s="96"/>
      <c r="I230" s="96">
        <v>46183</v>
      </c>
      <c r="J230" s="91" t="s">
        <v>241</v>
      </c>
      <c r="K230" s="92"/>
    </row>
    <row r="231" spans="1:11">
      <c r="A231" s="90"/>
      <c r="B231" s="90" t="s">
        <v>403</v>
      </c>
      <c r="C231" s="108" t="s">
        <v>432</v>
      </c>
      <c r="D231" s="90" t="s">
        <v>36</v>
      </c>
      <c r="E231" s="90" t="s">
        <v>388</v>
      </c>
      <c r="F231" s="91" t="s">
        <v>15</v>
      </c>
      <c r="G231" s="90"/>
      <c r="H231" s="96"/>
      <c r="I231" s="98">
        <v>46185</v>
      </c>
      <c r="J231" s="91" t="s">
        <v>401</v>
      </c>
      <c r="K231" s="92"/>
    </row>
    <row r="232" ht="72" customHeight="1" spans="1:11">
      <c r="A232" s="90"/>
      <c r="B232" s="90" t="s">
        <v>423</v>
      </c>
      <c r="C232" s="90" t="s">
        <v>433</v>
      </c>
      <c r="D232" s="90" t="s">
        <v>36</v>
      </c>
      <c r="E232" s="90" t="s">
        <v>388</v>
      </c>
      <c r="F232" s="91" t="s">
        <v>15</v>
      </c>
      <c r="G232" s="90"/>
      <c r="H232" s="96"/>
      <c r="I232" s="96">
        <v>46185</v>
      </c>
      <c r="J232" s="91" t="s">
        <v>124</v>
      </c>
      <c r="K232" s="92"/>
    </row>
    <row r="233" ht="28.5" customHeight="1" spans="1:11">
      <c r="A233" s="90"/>
      <c r="B233" s="90" t="s">
        <v>421</v>
      </c>
      <c r="C233" s="90" t="s">
        <v>434</v>
      </c>
      <c r="D233" s="90" t="s">
        <v>36</v>
      </c>
      <c r="E233" s="90" t="s">
        <v>388</v>
      </c>
      <c r="F233" s="91" t="s">
        <v>15</v>
      </c>
      <c r="G233" s="90"/>
      <c r="H233" s="96"/>
      <c r="I233" s="96">
        <v>46185</v>
      </c>
      <c r="J233" s="91" t="s">
        <v>127</v>
      </c>
      <c r="K233" s="92"/>
    </row>
    <row r="234" ht="28.5" customHeight="1" spans="1:11">
      <c r="A234" s="90"/>
      <c r="B234" s="90" t="s">
        <v>398</v>
      </c>
      <c r="C234" s="90" t="s">
        <v>435</v>
      </c>
      <c r="D234" s="90" t="s">
        <v>36</v>
      </c>
      <c r="E234" s="90" t="s">
        <v>388</v>
      </c>
      <c r="F234" s="91" t="s">
        <v>15</v>
      </c>
      <c r="G234" s="90"/>
      <c r="H234" s="96"/>
      <c r="I234" s="98">
        <v>46185</v>
      </c>
      <c r="J234" s="91"/>
      <c r="K234" s="92"/>
    </row>
    <row r="235" ht="43.5" customHeight="1" spans="1:11">
      <c r="A235" s="90"/>
      <c r="B235" s="90" t="s">
        <v>436</v>
      </c>
      <c r="C235" s="90" t="s">
        <v>437</v>
      </c>
      <c r="D235" s="90" t="s">
        <v>36</v>
      </c>
      <c r="E235" s="90" t="s">
        <v>388</v>
      </c>
      <c r="F235" s="91" t="s">
        <v>15</v>
      </c>
      <c r="G235" s="90"/>
      <c r="H235" s="91"/>
      <c r="I235" s="99">
        <v>46188</v>
      </c>
      <c r="J235" s="91" t="s">
        <v>241</v>
      </c>
      <c r="K235" s="92"/>
    </row>
    <row r="236" ht="29" spans="1:11">
      <c r="A236" s="90"/>
      <c r="B236" s="90" t="s">
        <v>438</v>
      </c>
      <c r="C236" s="89" t="s">
        <v>439</v>
      </c>
      <c r="D236" s="90" t="s">
        <v>36</v>
      </c>
      <c r="E236" s="90" t="s">
        <v>388</v>
      </c>
      <c r="F236" s="91" t="s">
        <v>15</v>
      </c>
      <c r="G236" s="90"/>
      <c r="H236" s="96"/>
      <c r="I236" s="96">
        <v>46188</v>
      </c>
      <c r="J236" s="91" t="s">
        <v>124</v>
      </c>
      <c r="K236" s="92"/>
    </row>
    <row r="237" ht="28.5" customHeight="1" spans="1:11">
      <c r="A237" s="90"/>
      <c r="B237" s="90" t="s">
        <v>438</v>
      </c>
      <c r="C237" s="108" t="s">
        <v>440</v>
      </c>
      <c r="D237" s="90" t="s">
        <v>36</v>
      </c>
      <c r="E237" s="90" t="s">
        <v>388</v>
      </c>
      <c r="F237" s="91" t="s">
        <v>15</v>
      </c>
      <c r="G237" s="90"/>
      <c r="H237" s="96"/>
      <c r="I237" s="96">
        <v>46188</v>
      </c>
      <c r="J237" s="91" t="s">
        <v>124</v>
      </c>
      <c r="K237" s="92"/>
    </row>
    <row r="238" ht="44" spans="1:11">
      <c r="A238" s="90"/>
      <c r="B238" s="90" t="s">
        <v>438</v>
      </c>
      <c r="C238" s="89" t="s">
        <v>441</v>
      </c>
      <c r="D238" s="90" t="s">
        <v>36</v>
      </c>
      <c r="E238" s="90" t="s">
        <v>388</v>
      </c>
      <c r="F238" s="91" t="s">
        <v>15</v>
      </c>
      <c r="G238" s="90"/>
      <c r="H238" s="96"/>
      <c r="I238" s="96">
        <v>46188</v>
      </c>
      <c r="J238" s="91" t="s">
        <v>124</v>
      </c>
      <c r="K238" s="92"/>
    </row>
    <row r="239" ht="28.5" customHeight="1" spans="1:11">
      <c r="A239" s="90"/>
      <c r="B239" s="90" t="s">
        <v>438</v>
      </c>
      <c r="C239" s="108" t="s">
        <v>442</v>
      </c>
      <c r="D239" s="90" t="s">
        <v>36</v>
      </c>
      <c r="E239" s="90" t="s">
        <v>388</v>
      </c>
      <c r="F239" s="91" t="s">
        <v>15</v>
      </c>
      <c r="G239" s="90"/>
      <c r="H239" s="96"/>
      <c r="I239" s="96">
        <v>46188</v>
      </c>
      <c r="J239" s="91"/>
      <c r="K239" s="92"/>
    </row>
    <row r="240" ht="28.5" customHeight="1" spans="1:11">
      <c r="A240" s="90"/>
      <c r="B240" s="90" t="s">
        <v>438</v>
      </c>
      <c r="C240" s="108" t="s">
        <v>443</v>
      </c>
      <c r="D240" s="90" t="s">
        <v>36</v>
      </c>
      <c r="E240" s="90" t="s">
        <v>388</v>
      </c>
      <c r="F240" s="91" t="s">
        <v>15</v>
      </c>
      <c r="G240" s="90"/>
      <c r="H240" s="96"/>
      <c r="I240" s="96">
        <v>46188</v>
      </c>
      <c r="J240" s="91" t="s">
        <v>124</v>
      </c>
      <c r="K240" s="92"/>
    </row>
    <row r="241" ht="43.5" customHeight="1" spans="1:11">
      <c r="A241" s="90"/>
      <c r="B241" s="90" t="s">
        <v>438</v>
      </c>
      <c r="C241" s="108" t="s">
        <v>444</v>
      </c>
      <c r="D241" s="90" t="s">
        <v>36</v>
      </c>
      <c r="E241" s="90" t="s">
        <v>388</v>
      </c>
      <c r="F241" s="91" t="s">
        <v>15</v>
      </c>
      <c r="G241" s="90"/>
      <c r="H241" s="96"/>
      <c r="I241" s="96">
        <v>46189</v>
      </c>
      <c r="J241" s="91"/>
      <c r="K241" s="92"/>
    </row>
    <row r="242" ht="29" spans="1:11">
      <c r="A242" s="90"/>
      <c r="B242" s="90" t="s">
        <v>403</v>
      </c>
      <c r="C242" s="108" t="s">
        <v>445</v>
      </c>
      <c r="D242" s="90" t="s">
        <v>36</v>
      </c>
      <c r="E242" s="90" t="s">
        <v>388</v>
      </c>
      <c r="F242" s="91" t="s">
        <v>15</v>
      </c>
      <c r="G242" s="90"/>
      <c r="H242" s="96"/>
      <c r="I242" s="96">
        <v>46192</v>
      </c>
      <c r="J242" s="91" t="s">
        <v>124</v>
      </c>
      <c r="K242" s="92"/>
    </row>
    <row r="243" ht="44" spans="1:11">
      <c r="A243" s="90"/>
      <c r="B243" s="90" t="s">
        <v>446</v>
      </c>
      <c r="C243" s="90" t="s">
        <v>447</v>
      </c>
      <c r="D243" s="90" t="s">
        <v>36</v>
      </c>
      <c r="E243" s="90" t="s">
        <v>388</v>
      </c>
      <c r="F243" s="91" t="s">
        <v>70</v>
      </c>
      <c r="G243" s="90" t="s">
        <v>448</v>
      </c>
      <c r="H243" s="96"/>
      <c r="I243" s="96">
        <v>46195</v>
      </c>
      <c r="J243" s="91" t="s">
        <v>127</v>
      </c>
      <c r="K243" s="92"/>
    </row>
    <row r="244" spans="1:11">
      <c r="A244" s="90"/>
      <c r="B244" s="90" t="s">
        <v>398</v>
      </c>
      <c r="C244" s="90" t="s">
        <v>449</v>
      </c>
      <c r="D244" s="90" t="s">
        <v>36</v>
      </c>
      <c r="E244" s="90" t="s">
        <v>388</v>
      </c>
      <c r="F244" s="91" t="s">
        <v>15</v>
      </c>
      <c r="G244" s="90"/>
      <c r="H244" s="96"/>
      <c r="I244" s="96">
        <v>46192</v>
      </c>
      <c r="J244" s="91" t="s">
        <v>252</v>
      </c>
      <c r="K244" s="92"/>
    </row>
    <row r="245" spans="1:11">
      <c r="A245" s="90"/>
      <c r="B245" s="90" t="s">
        <v>398</v>
      </c>
      <c r="C245" s="90" t="s">
        <v>450</v>
      </c>
      <c r="D245" s="90" t="s">
        <v>36</v>
      </c>
      <c r="E245" s="90" t="s">
        <v>388</v>
      </c>
      <c r="F245" s="91" t="s">
        <v>89</v>
      </c>
      <c r="G245" s="90"/>
      <c r="H245" s="96"/>
      <c r="I245" s="96">
        <v>46195</v>
      </c>
      <c r="J245" s="91"/>
      <c r="K245" s="92"/>
    </row>
    <row r="246" ht="72" spans="1:11">
      <c r="A246" s="90"/>
      <c r="B246" s="90" t="s">
        <v>398</v>
      </c>
      <c r="C246" s="108" t="s">
        <v>451</v>
      </c>
      <c r="D246" s="90" t="s">
        <v>36</v>
      </c>
      <c r="E246" s="90" t="s">
        <v>388</v>
      </c>
      <c r="F246" s="91" t="s">
        <v>89</v>
      </c>
      <c r="G246" s="90"/>
      <c r="H246" s="96"/>
      <c r="I246" s="96">
        <v>46195</v>
      </c>
      <c r="J246" s="91" t="s">
        <v>124</v>
      </c>
      <c r="K246" s="92"/>
    </row>
    <row r="247" ht="43.5" customHeight="1" spans="1:11">
      <c r="A247" s="90"/>
      <c r="B247" s="90" t="s">
        <v>403</v>
      </c>
      <c r="C247" s="108" t="s">
        <v>452</v>
      </c>
      <c r="D247" s="90" t="s">
        <v>36</v>
      </c>
      <c r="E247" s="90" t="s">
        <v>388</v>
      </c>
      <c r="F247" s="91" t="s">
        <v>89</v>
      </c>
      <c r="G247" s="90"/>
      <c r="H247" s="96"/>
      <c r="I247" s="96">
        <v>46197</v>
      </c>
      <c r="J247" s="91"/>
      <c r="K247" s="92"/>
    </row>
    <row r="248" ht="29" spans="1:11">
      <c r="A248" s="90"/>
      <c r="B248" s="90" t="s">
        <v>398</v>
      </c>
      <c r="C248" s="90" t="s">
        <v>453</v>
      </c>
      <c r="D248" s="90" t="s">
        <v>36</v>
      </c>
      <c r="E248" s="90" t="s">
        <v>388</v>
      </c>
      <c r="F248" s="91" t="s">
        <v>15</v>
      </c>
      <c r="G248" s="90"/>
      <c r="H248" s="96"/>
      <c r="I248" s="91"/>
      <c r="J248" s="91"/>
      <c r="K248" s="92"/>
    </row>
    <row r="249" ht="44" spans="1:11">
      <c r="A249" s="90"/>
      <c r="B249" s="90" t="s">
        <v>398</v>
      </c>
      <c r="C249" s="109" t="s">
        <v>454</v>
      </c>
      <c r="D249" s="90" t="s">
        <v>36</v>
      </c>
      <c r="E249" s="90" t="s">
        <v>388</v>
      </c>
      <c r="F249" s="91" t="s">
        <v>15</v>
      </c>
      <c r="G249" s="90" t="s">
        <v>455</v>
      </c>
      <c r="H249" s="96"/>
      <c r="I249" s="110"/>
      <c r="J249" s="110"/>
      <c r="K249" s="92"/>
    </row>
    <row r="250" ht="43.5" customHeight="1" spans="1:11">
      <c r="A250" s="90" t="s">
        <v>456</v>
      </c>
      <c r="B250" s="90" t="s">
        <v>457</v>
      </c>
      <c r="C250" s="90" t="s">
        <v>458</v>
      </c>
      <c r="D250" s="90" t="s">
        <v>36</v>
      </c>
      <c r="E250" s="90" t="s">
        <v>388</v>
      </c>
      <c r="F250" s="91" t="s">
        <v>89</v>
      </c>
      <c r="G250" s="90"/>
      <c r="H250" s="91"/>
      <c r="I250" s="99"/>
      <c r="J250" s="91"/>
      <c r="K250" s="92"/>
    </row>
    <row r="251" ht="29" spans="1:11">
      <c r="A251" s="90"/>
      <c r="B251" s="90" t="s">
        <v>398</v>
      </c>
      <c r="C251" s="108" t="s">
        <v>459</v>
      </c>
      <c r="D251" s="90" t="s">
        <v>36</v>
      </c>
      <c r="E251" s="90" t="s">
        <v>388</v>
      </c>
      <c r="F251" s="91" t="s">
        <v>89</v>
      </c>
      <c r="G251" s="90"/>
      <c r="H251" s="96"/>
      <c r="I251" s="91"/>
      <c r="J251" s="91"/>
      <c r="K251" s="92"/>
    </row>
    <row r="252" ht="29" spans="1:11">
      <c r="A252" s="90"/>
      <c r="B252" s="90" t="s">
        <v>398</v>
      </c>
      <c r="C252" s="90" t="s">
        <v>460</v>
      </c>
      <c r="D252" s="90" t="s">
        <v>36</v>
      </c>
      <c r="E252" s="90" t="s">
        <v>388</v>
      </c>
      <c r="F252" s="91" t="s">
        <v>89</v>
      </c>
      <c r="G252" s="90"/>
      <c r="H252" s="96"/>
      <c r="I252" s="91"/>
      <c r="J252" s="91"/>
      <c r="K252" s="92"/>
    </row>
    <row r="253" ht="28.5" customHeight="1" spans="1:11">
      <c r="A253" s="90"/>
      <c r="B253" s="90" t="s">
        <v>461</v>
      </c>
      <c r="C253" s="90" t="s">
        <v>462</v>
      </c>
      <c r="D253" s="90" t="s">
        <v>36</v>
      </c>
      <c r="E253" s="90" t="s">
        <v>388</v>
      </c>
      <c r="F253" s="91" t="s">
        <v>89</v>
      </c>
      <c r="G253" s="90"/>
      <c r="H253" s="96"/>
      <c r="I253" s="96"/>
      <c r="J253" s="91"/>
      <c r="K253" s="92"/>
    </row>
    <row r="254" ht="29" spans="1:11">
      <c r="A254" s="90" t="s">
        <v>216</v>
      </c>
      <c r="B254" s="90" t="s">
        <v>463</v>
      </c>
      <c r="C254" s="90" t="s">
        <v>464</v>
      </c>
      <c r="D254" s="90" t="s">
        <v>465</v>
      </c>
      <c r="E254" s="90" t="s">
        <v>388</v>
      </c>
      <c r="F254" s="91" t="s">
        <v>15</v>
      </c>
      <c r="G254" s="102"/>
      <c r="H254" s="96"/>
      <c r="I254" s="96">
        <v>46170</v>
      </c>
      <c r="J254" s="91" t="s">
        <v>127</v>
      </c>
      <c r="K254" s="92"/>
    </row>
    <row r="255" ht="28.5" customHeight="1" spans="1:11">
      <c r="A255" s="90" t="s">
        <v>216</v>
      </c>
      <c r="B255" s="90" t="s">
        <v>466</v>
      </c>
      <c r="C255" s="90" t="s">
        <v>467</v>
      </c>
      <c r="D255" s="90" t="s">
        <v>465</v>
      </c>
      <c r="E255" s="90" t="s">
        <v>388</v>
      </c>
      <c r="F255" s="91" t="s">
        <v>15</v>
      </c>
      <c r="G255" s="90"/>
      <c r="H255" s="96"/>
      <c r="I255" s="96">
        <v>46182</v>
      </c>
      <c r="J255" s="91" t="s">
        <v>127</v>
      </c>
      <c r="K255" s="92"/>
    </row>
    <row r="256" ht="44" spans="1:11">
      <c r="A256" s="90" t="s">
        <v>216</v>
      </c>
      <c r="B256" s="90" t="s">
        <v>468</v>
      </c>
      <c r="C256" s="90" t="s">
        <v>469</v>
      </c>
      <c r="D256" s="90" t="s">
        <v>465</v>
      </c>
      <c r="E256" s="90" t="s">
        <v>388</v>
      </c>
      <c r="F256" s="91" t="s">
        <v>89</v>
      </c>
      <c r="G256" s="90"/>
      <c r="H256" s="96"/>
      <c r="I256" s="96">
        <v>46185</v>
      </c>
      <c r="J256" s="91"/>
      <c r="K256" s="92"/>
    </row>
    <row r="257" ht="28.5" customHeight="1" spans="1:12">
      <c r="A257" s="90" t="s">
        <v>470</v>
      </c>
      <c r="B257" s="90" t="s">
        <v>471</v>
      </c>
      <c r="C257" s="90" t="s">
        <v>472</v>
      </c>
      <c r="D257" s="90" t="s">
        <v>465</v>
      </c>
      <c r="E257" s="90" t="s">
        <v>388</v>
      </c>
      <c r="F257" s="91" t="s">
        <v>259</v>
      </c>
      <c r="G257" s="90" t="s">
        <v>473</v>
      </c>
      <c r="H257" s="91"/>
      <c r="I257" s="99">
        <v>46188</v>
      </c>
      <c r="J257" s="91" t="s">
        <v>252</v>
      </c>
      <c r="K257" s="92"/>
    </row>
    <row r="258" ht="29" spans="1:12">
      <c r="A258" s="90" t="s">
        <v>216</v>
      </c>
      <c r="B258" s="90" t="s">
        <v>474</v>
      </c>
      <c r="C258" s="90" t="s">
        <v>475</v>
      </c>
      <c r="D258" s="90" t="s">
        <v>465</v>
      </c>
      <c r="E258" s="90" t="s">
        <v>388</v>
      </c>
      <c r="F258" s="91" t="s">
        <v>272</v>
      </c>
      <c r="G258" s="90"/>
      <c r="H258" s="96"/>
      <c r="I258" s="96">
        <v>46197</v>
      </c>
      <c r="J258" s="91" t="s">
        <v>241</v>
      </c>
      <c r="K258" s="92"/>
    </row>
    <row r="259" ht="28.5" customHeight="1" spans="1:12">
      <c r="A259" s="90" t="s">
        <v>216</v>
      </c>
      <c r="B259" s="90" t="s">
        <v>474</v>
      </c>
      <c r="C259" s="90" t="s">
        <v>476</v>
      </c>
      <c r="D259" s="90" t="s">
        <v>465</v>
      </c>
      <c r="E259" s="90" t="s">
        <v>388</v>
      </c>
      <c r="F259" s="91" t="s">
        <v>89</v>
      </c>
      <c r="G259" s="90"/>
      <c r="H259" s="96"/>
      <c r="I259" s="98">
        <v>46197</v>
      </c>
      <c r="J259" s="91" t="s">
        <v>260</v>
      </c>
      <c r="K259" s="92"/>
    </row>
    <row r="260" ht="72" customHeight="1" spans="1:12">
      <c r="A260" s="90" t="s">
        <v>477</v>
      </c>
      <c r="B260" s="90" t="s">
        <v>478</v>
      </c>
      <c r="C260" s="90" t="s">
        <v>479</v>
      </c>
      <c r="D260" s="90" t="s">
        <v>465</v>
      </c>
      <c r="E260" s="90" t="s">
        <v>388</v>
      </c>
      <c r="F260" s="91" t="s">
        <v>89</v>
      </c>
      <c r="G260" s="90" t="s">
        <v>480</v>
      </c>
      <c r="H260" s="96"/>
      <c r="I260" s="98">
        <v>46197</v>
      </c>
      <c r="J260" s="91" t="s">
        <v>241</v>
      </c>
      <c r="K260" s="92"/>
    </row>
    <row r="261" ht="44" spans="1:12">
      <c r="A261" s="90" t="s">
        <v>216</v>
      </c>
      <c r="B261" s="90" t="s">
        <v>123</v>
      </c>
      <c r="C261" s="90" t="s">
        <v>481</v>
      </c>
      <c r="D261" s="90" t="s">
        <v>465</v>
      </c>
      <c r="E261" s="90" t="s">
        <v>388</v>
      </c>
      <c r="F261" s="91" t="s">
        <v>89</v>
      </c>
      <c r="G261" s="90"/>
      <c r="H261" s="96"/>
      <c r="I261" s="98">
        <v>46197</v>
      </c>
      <c r="J261" s="91" t="s">
        <v>124</v>
      </c>
      <c r="K261" s="92"/>
    </row>
    <row r="262" s="79" customFormat="1" ht="15" spans="1:12">
      <c r="A262" s="97"/>
      <c r="B262" s="97" t="s">
        <v>482</v>
      </c>
      <c r="C262" s="97" t="s">
        <v>483</v>
      </c>
      <c r="D262" s="92" t="s">
        <v>121</v>
      </c>
      <c r="E262" s="90" t="s">
        <v>388</v>
      </c>
      <c r="F262" s="91" t="s">
        <v>89</v>
      </c>
      <c r="G262" s="97"/>
      <c r="H262" s="92"/>
      <c r="I262" s="111"/>
      <c r="J262" s="111"/>
      <c r="K262" s="92"/>
      <c r="L262" s="92"/>
    </row>
    <row r="263" s="79" customFormat="1" ht="15" spans="1:12">
      <c r="A263" s="97"/>
      <c r="B263" s="97" t="s">
        <v>484</v>
      </c>
      <c r="C263" s="97" t="s">
        <v>485</v>
      </c>
      <c r="D263" s="112" t="s">
        <v>36</v>
      </c>
      <c r="E263" s="90" t="s">
        <v>388</v>
      </c>
      <c r="F263" s="91" t="s">
        <v>89</v>
      </c>
      <c r="G263" s="97"/>
      <c r="H263" s="92"/>
      <c r="I263" s="111"/>
      <c r="J263" s="111"/>
      <c r="K263" s="92"/>
      <c r="L263" s="92"/>
    </row>
    <row r="264" s="79" customFormat="1" ht="15" spans="1:12">
      <c r="A264" s="97"/>
      <c r="B264" s="97" t="s">
        <v>486</v>
      </c>
      <c r="C264" s="97" t="s">
        <v>487</v>
      </c>
      <c r="D264" s="112" t="s">
        <v>36</v>
      </c>
      <c r="E264" s="90" t="s">
        <v>388</v>
      </c>
      <c r="F264" s="91" t="s">
        <v>89</v>
      </c>
      <c r="G264" s="97"/>
      <c r="H264" s="92"/>
      <c r="I264" s="111"/>
      <c r="J264" s="111"/>
      <c r="K264" s="92"/>
      <c r="L264" s="92"/>
    </row>
    <row r="265" s="79" customFormat="1" ht="15" customHeight="1" spans="1:12">
      <c r="A265" s="112"/>
      <c r="B265" s="112" t="s">
        <v>488</v>
      </c>
      <c r="C265" s="112" t="s">
        <v>489</v>
      </c>
      <c r="D265" s="112" t="s">
        <v>36</v>
      </c>
      <c r="E265" s="112" t="s">
        <v>258</v>
      </c>
      <c r="F265" s="113"/>
      <c r="G265" s="112"/>
      <c r="H265" s="114"/>
      <c r="I265" s="115"/>
      <c r="J265" s="115"/>
      <c r="K265" s="116"/>
      <c r="L265" s="92"/>
    </row>
    <row r="270" s="79" customFormat="1" ht="29" spans="1:12">
      <c r="A270" s="117">
        <v>46192</v>
      </c>
      <c r="B270" s="118" t="s">
        <v>490</v>
      </c>
      <c r="C270" s="118" t="s">
        <v>491</v>
      </c>
      <c r="D270" s="119"/>
      <c r="E270" s="112"/>
      <c r="F270" s="113"/>
      <c r="G270" s="112"/>
      <c r="H270" s="114"/>
      <c r="I270" s="115"/>
      <c r="J270" s="115"/>
      <c r="K270" s="116"/>
      <c r="L270" s="92"/>
    </row>
    <row r="271" s="79" customFormat="1" ht="15" spans="1:12">
      <c r="A271" s="118"/>
      <c r="B271" s="118"/>
      <c r="C271" s="118" t="s">
        <v>492</v>
      </c>
      <c r="D271" s="119"/>
      <c r="E271" s="112"/>
      <c r="F271" s="113"/>
      <c r="G271" s="112"/>
      <c r="H271" s="114"/>
      <c r="I271" s="115"/>
      <c r="J271" s="115"/>
      <c r="K271" s="116"/>
      <c r="L271" s="92"/>
    </row>
    <row r="272" s="79" customFormat="1" ht="15" spans="1:12">
      <c r="A272" s="118"/>
      <c r="B272" s="118"/>
      <c r="C272" s="118" t="s">
        <v>493</v>
      </c>
      <c r="D272" s="119"/>
      <c r="E272" s="112"/>
      <c r="F272" s="113"/>
      <c r="G272" s="112"/>
      <c r="H272" s="114"/>
      <c r="I272" s="114"/>
      <c r="J272" s="114"/>
      <c r="K272" s="116"/>
      <c r="L272" s="92"/>
    </row>
    <row r="273" s="79" customFormat="1" spans="1:12">
      <c r="A273" s="120"/>
      <c r="B273" s="120"/>
      <c r="C273" s="121" t="s">
        <v>494</v>
      </c>
    </row>
    <row r="274" s="79" customFormat="1" spans="1:12">
      <c r="A274" s="120"/>
      <c r="B274" s="120"/>
      <c r="C274" s="121" t="s">
        <v>495</v>
      </c>
    </row>
    <row r="275" s="79" customFormat="1" spans="1:12">
      <c r="A275" s="120"/>
      <c r="B275" s="120"/>
      <c r="C275" s="121" t="s">
        <v>496</v>
      </c>
    </row>
    <row r="276" s="79" customFormat="1" spans="1:12">
      <c r="A276" s="120"/>
      <c r="B276" s="120"/>
      <c r="C276" s="121" t="s">
        <v>497</v>
      </c>
    </row>
    <row r="277" s="79" customFormat="1" ht="15" spans="1:12">
      <c r="A277" s="120"/>
      <c r="B277" s="120"/>
      <c r="C277" s="122" t="s">
        <v>498</v>
      </c>
    </row>
    <row r="278" s="79" customFormat="1" ht="15" spans="1:12">
      <c r="A278" s="122"/>
      <c r="B278" s="122"/>
      <c r="C278" s="122" t="s">
        <v>499</v>
      </c>
      <c r="D278" s="92"/>
      <c r="E278" s="92"/>
      <c r="F278" s="97"/>
      <c r="G278" s="97"/>
      <c r="H278" s="92"/>
      <c r="I278" s="111"/>
      <c r="J278" s="111"/>
      <c r="K278" s="92"/>
      <c r="L278" s="92"/>
    </row>
    <row r="283" spans="1:12">
      <c r="A283" s="97"/>
      <c r="B283" s="97"/>
      <c r="C283" s="97"/>
      <c r="D283" s="92"/>
      <c r="E283" s="92"/>
      <c r="F283" s="97"/>
      <c r="G283" s="97"/>
      <c r="H283" s="92"/>
      <c r="I283" s="111"/>
      <c r="J283" s="92"/>
      <c r="K283" s="92"/>
    </row>
    <row r="284" spans="1:12">
      <c r="A284" s="97"/>
      <c r="B284" s="97"/>
      <c r="C284" s="97"/>
      <c r="D284" s="92"/>
      <c r="E284" s="92"/>
      <c r="F284" s="97"/>
      <c r="G284" s="97"/>
      <c r="H284" s="92"/>
      <c r="I284" s="111"/>
      <c r="J284" s="92"/>
      <c r="K284" s="92"/>
    </row>
    <row r="285" spans="1:12">
      <c r="A285" s="97"/>
      <c r="B285" s="97"/>
      <c r="C285" s="97"/>
      <c r="D285" s="92"/>
      <c r="E285" s="92"/>
      <c r="F285" s="97"/>
      <c r="G285" s="97"/>
      <c r="H285" s="92"/>
      <c r="I285" s="111"/>
      <c r="J285" s="92"/>
      <c r="K285" s="92"/>
    </row>
    <row r="286" spans="1:12">
      <c r="A286" s="97"/>
      <c r="B286" s="97"/>
      <c r="C286" s="97"/>
      <c r="D286" s="92"/>
      <c r="E286" s="92"/>
      <c r="F286" s="97"/>
      <c r="G286" s="97"/>
      <c r="H286" s="92"/>
      <c r="I286" s="111"/>
      <c r="J286" s="92"/>
      <c r="K286" s="92"/>
    </row>
    <row r="287" spans="1:12">
      <c r="A287" s="97"/>
      <c r="B287" s="97"/>
      <c r="C287" s="97"/>
      <c r="D287" s="92"/>
      <c r="E287" s="92"/>
      <c r="F287" s="97"/>
      <c r="G287" s="97"/>
      <c r="H287" s="92"/>
      <c r="I287" s="111"/>
      <c r="J287" s="92"/>
      <c r="K287" s="92"/>
    </row>
    <row r="288" spans="1:12">
      <c r="A288" s="97"/>
      <c r="B288" s="97"/>
      <c r="C288" s="97"/>
      <c r="D288" s="92"/>
      <c r="E288" s="92"/>
      <c r="F288" s="97"/>
      <c r="G288" s="97"/>
      <c r="H288" s="92"/>
      <c r="I288" s="111"/>
      <c r="J288" s="92"/>
      <c r="K288" s="92"/>
    </row>
    <row r="289" spans="1:11">
      <c r="A289" s="97"/>
      <c r="B289" s="97"/>
      <c r="C289" s="97"/>
      <c r="D289" s="92"/>
      <c r="E289" s="92"/>
      <c r="F289" s="97"/>
      <c r="G289" s="97"/>
      <c r="H289" s="92"/>
      <c r="I289" s="111"/>
      <c r="J289" s="92"/>
      <c r="K289" s="92"/>
    </row>
    <row r="290" spans="1:11">
      <c r="A290" s="97"/>
      <c r="B290" s="97"/>
      <c r="C290" s="97"/>
      <c r="D290" s="92"/>
      <c r="E290" s="92"/>
      <c r="F290" s="97"/>
      <c r="G290" s="97"/>
      <c r="H290" s="92"/>
      <c r="I290" s="111"/>
      <c r="J290" s="92"/>
      <c r="K290" s="92"/>
    </row>
    <row r="291" spans="1:11">
      <c r="A291" s="97"/>
      <c r="B291" s="97"/>
      <c r="C291" s="97"/>
      <c r="D291" s="92"/>
      <c r="E291" s="92"/>
      <c r="F291" s="97"/>
      <c r="G291" s="97"/>
      <c r="H291" s="92"/>
      <c r="I291" s="111"/>
      <c r="J291" s="92"/>
      <c r="K291" s="92"/>
    </row>
    <row r="292" spans="1:11">
      <c r="A292" s="97"/>
      <c r="B292" s="97"/>
      <c r="C292" s="97"/>
      <c r="D292" s="92"/>
      <c r="E292" s="92"/>
      <c r="F292" s="97"/>
      <c r="G292" s="97"/>
      <c r="H292" s="92"/>
      <c r="I292" s="111"/>
      <c r="J292" s="92"/>
      <c r="K292" s="92"/>
    </row>
    <row r="293" spans="1:11">
      <c r="A293" s="97"/>
      <c r="B293" s="97"/>
      <c r="C293" s="97"/>
      <c r="D293" s="92"/>
      <c r="E293" s="92"/>
      <c r="F293" s="97"/>
      <c r="G293" s="97"/>
      <c r="H293" s="92"/>
      <c r="I293" s="111"/>
      <c r="J293" s="92"/>
      <c r="K293" s="92"/>
    </row>
    <row r="294" spans="1:11">
      <c r="A294" s="97"/>
      <c r="B294" s="97"/>
      <c r="C294" s="97"/>
      <c r="D294" s="92"/>
      <c r="E294" s="92"/>
      <c r="F294" s="97"/>
      <c r="G294" s="97"/>
      <c r="H294" s="92"/>
      <c r="I294" s="111"/>
      <c r="J294" s="92"/>
      <c r="K294" s="92"/>
    </row>
    <row r="295" spans="1:11">
      <c r="A295" s="97"/>
      <c r="B295" s="97"/>
      <c r="C295" s="97"/>
      <c r="D295" s="92"/>
      <c r="E295" s="92"/>
      <c r="F295" s="97"/>
      <c r="G295" s="97"/>
      <c r="H295" s="92"/>
      <c r="I295" s="111"/>
      <c r="J295" s="92"/>
      <c r="K295" s="92"/>
    </row>
    <row r="296" spans="1:11">
      <c r="A296" s="97"/>
      <c r="B296" s="97"/>
      <c r="C296" s="97"/>
      <c r="D296" s="92"/>
      <c r="E296" s="92"/>
      <c r="F296" s="97"/>
      <c r="G296" s="97"/>
      <c r="H296" s="92"/>
      <c r="I296" s="111"/>
      <c r="J296" s="92"/>
      <c r="K296" s="92"/>
    </row>
    <row r="297" spans="1:11">
      <c r="A297" s="97"/>
      <c r="B297" s="97"/>
      <c r="C297" s="97"/>
      <c r="D297" s="92"/>
      <c r="E297" s="92"/>
      <c r="F297" s="97"/>
      <c r="G297" s="97"/>
      <c r="H297" s="92"/>
      <c r="I297" s="111"/>
      <c r="J297" s="92"/>
      <c r="K297" s="92"/>
    </row>
    <row r="298" spans="1:11">
      <c r="A298" s="97"/>
      <c r="B298" s="97"/>
      <c r="C298" s="97"/>
      <c r="D298" s="92"/>
      <c r="E298" s="92"/>
      <c r="F298" s="97"/>
      <c r="G298" s="97"/>
      <c r="H298" s="92"/>
      <c r="I298" s="111"/>
      <c r="J298" s="92"/>
      <c r="K298" s="92"/>
    </row>
    <row r="299" spans="1:11">
      <c r="A299" s="97"/>
      <c r="B299" s="97"/>
      <c r="C299" s="97"/>
      <c r="D299" s="92"/>
      <c r="E299" s="92"/>
      <c r="F299" s="97"/>
      <c r="G299" s="97"/>
      <c r="H299" s="92"/>
      <c r="I299" s="111"/>
      <c r="J299" s="92"/>
      <c r="K299" s="92"/>
    </row>
    <row r="300" spans="1:11">
      <c r="A300" s="97"/>
      <c r="B300" s="97"/>
      <c r="C300" s="97"/>
      <c r="D300" s="92"/>
      <c r="E300" s="92"/>
      <c r="F300" s="97"/>
      <c r="G300" s="97"/>
      <c r="H300" s="92"/>
      <c r="I300" s="111"/>
      <c r="J300" s="92"/>
      <c r="K300" s="92"/>
    </row>
    <row r="301" spans="1:11">
      <c r="A301" s="97"/>
      <c r="B301" s="97"/>
      <c r="C301" s="97"/>
      <c r="D301" s="92"/>
      <c r="E301" s="92"/>
      <c r="F301" s="97"/>
      <c r="G301" s="97"/>
      <c r="H301" s="92"/>
      <c r="I301" s="111"/>
      <c r="J301" s="92"/>
      <c r="K301" s="92"/>
    </row>
    <row r="302" spans="1:11">
      <c r="A302" s="97"/>
      <c r="B302" s="97"/>
      <c r="C302" s="97"/>
      <c r="D302" s="92"/>
      <c r="E302" s="92"/>
      <c r="F302" s="97"/>
      <c r="G302" s="97"/>
      <c r="H302" s="92"/>
      <c r="I302" s="111"/>
      <c r="J302" s="92"/>
      <c r="K302" s="92"/>
    </row>
    <row r="303" spans="1:11">
      <c r="A303" s="97"/>
      <c r="B303" s="97"/>
      <c r="C303" s="97"/>
      <c r="D303" s="92"/>
      <c r="E303" s="92"/>
      <c r="F303" s="97"/>
      <c r="G303" s="97"/>
      <c r="H303" s="92"/>
      <c r="I303" s="111"/>
      <c r="J303" s="92"/>
      <c r="K303" s="92"/>
    </row>
    <row r="304" spans="1:11">
      <c r="A304" s="97"/>
      <c r="B304" s="97"/>
      <c r="C304" s="97"/>
      <c r="D304" s="92"/>
      <c r="E304" s="92"/>
      <c r="F304" s="97"/>
      <c r="G304" s="97"/>
      <c r="H304" s="92"/>
      <c r="I304" s="111"/>
      <c r="J304" s="92"/>
      <c r="K304" s="92"/>
    </row>
    <row r="305" spans="1:11">
      <c r="A305" s="97"/>
      <c r="B305" s="97"/>
      <c r="C305" s="97"/>
      <c r="D305" s="92"/>
      <c r="E305" s="92"/>
      <c r="F305" s="97"/>
      <c r="G305" s="97"/>
      <c r="H305" s="92"/>
      <c r="I305" s="111"/>
      <c r="J305" s="92"/>
      <c r="K305" s="92"/>
    </row>
    <row r="306" spans="1:11">
      <c r="A306" s="97"/>
      <c r="B306" s="97"/>
      <c r="C306" s="97"/>
      <c r="D306" s="92"/>
      <c r="E306" s="92"/>
      <c r="F306" s="97"/>
      <c r="G306" s="97"/>
      <c r="H306" s="92"/>
      <c r="I306" s="111"/>
      <c r="J306" s="92"/>
      <c r="K306" s="92"/>
    </row>
    <row r="307" spans="1:11">
      <c r="A307" s="97"/>
      <c r="B307" s="97"/>
      <c r="C307" s="97"/>
      <c r="D307" s="92"/>
      <c r="E307" s="92"/>
      <c r="F307" s="97"/>
      <c r="G307" s="97"/>
      <c r="H307" s="92"/>
      <c r="I307" s="111"/>
      <c r="J307" s="92"/>
      <c r="K307" s="92"/>
    </row>
    <row r="308" spans="1:11">
      <c r="A308" s="97"/>
      <c r="B308" s="97"/>
      <c r="C308" s="97"/>
      <c r="D308" s="92"/>
      <c r="E308" s="92"/>
      <c r="F308" s="97"/>
      <c r="G308" s="97"/>
      <c r="H308" s="92"/>
      <c r="I308" s="111"/>
      <c r="J308" s="92"/>
      <c r="K308" s="92"/>
    </row>
    <row r="309" spans="1:11">
      <c r="A309" s="97"/>
      <c r="B309" s="97"/>
      <c r="C309" s="97"/>
      <c r="D309" s="92"/>
      <c r="E309" s="92"/>
      <c r="F309" s="97"/>
      <c r="G309" s="97"/>
      <c r="H309" s="92"/>
      <c r="I309" s="111"/>
      <c r="J309" s="92"/>
      <c r="K309" s="92"/>
    </row>
    <row r="310" spans="1:11">
      <c r="A310" s="97"/>
      <c r="B310" s="97"/>
      <c r="C310" s="97"/>
      <c r="D310" s="92"/>
      <c r="E310" s="92"/>
      <c r="F310" s="97"/>
      <c r="G310" s="97"/>
      <c r="H310" s="92"/>
      <c r="I310" s="111"/>
      <c r="J310" s="92"/>
      <c r="K310" s="92"/>
    </row>
    <row r="311" spans="1:11">
      <c r="A311" s="97"/>
      <c r="B311" s="97"/>
      <c r="C311" s="97"/>
      <c r="D311" s="92"/>
      <c r="E311" s="92"/>
      <c r="F311" s="97"/>
      <c r="G311" s="97"/>
      <c r="H311" s="92"/>
      <c r="I311" s="111"/>
      <c r="J311" s="92"/>
      <c r="K311" s="92"/>
    </row>
    <row r="312" spans="1:11">
      <c r="A312" s="97"/>
      <c r="B312" s="97"/>
      <c r="C312" s="97"/>
      <c r="D312" s="92"/>
      <c r="E312" s="92"/>
      <c r="F312" s="97"/>
      <c r="G312" s="97"/>
      <c r="H312" s="92"/>
      <c r="I312" s="111"/>
      <c r="J312" s="92"/>
      <c r="K312" s="92"/>
    </row>
    <row r="313" spans="1:11">
      <c r="A313" s="97"/>
      <c r="B313" s="97"/>
      <c r="C313" s="97"/>
      <c r="D313" s="92"/>
      <c r="E313" s="92"/>
      <c r="F313" s="97"/>
      <c r="G313" s="97"/>
      <c r="H313" s="92"/>
      <c r="I313" s="111"/>
      <c r="J313" s="92"/>
      <c r="K313" s="92"/>
    </row>
    <row r="314" spans="1:11">
      <c r="A314" s="97"/>
      <c r="B314" s="97"/>
      <c r="C314" s="97"/>
      <c r="D314" s="92"/>
      <c r="E314" s="92"/>
      <c r="F314" s="97"/>
      <c r="G314" s="97"/>
      <c r="H314" s="92"/>
      <c r="I314" s="111"/>
      <c r="J314" s="92"/>
      <c r="K314" s="92"/>
    </row>
    <row r="315" spans="1:11">
      <c r="A315" s="97"/>
      <c r="B315" s="97"/>
      <c r="C315" s="97"/>
      <c r="D315" s="92"/>
      <c r="E315" s="92"/>
      <c r="F315" s="97"/>
      <c r="G315" s="97"/>
      <c r="H315" s="92"/>
      <c r="I315" s="111"/>
      <c r="J315" s="92"/>
      <c r="K315" s="92"/>
    </row>
    <row r="316" spans="1:11">
      <c r="A316" s="97"/>
      <c r="B316" s="97"/>
      <c r="C316" s="97"/>
      <c r="D316" s="92"/>
      <c r="E316" s="92"/>
      <c r="F316" s="97"/>
      <c r="G316" s="97"/>
      <c r="H316" s="92"/>
      <c r="I316" s="111"/>
      <c r="J316" s="92"/>
      <c r="K316" s="92"/>
    </row>
    <row r="317" spans="1:11">
      <c r="A317" s="97"/>
      <c r="B317" s="97"/>
      <c r="C317" s="97"/>
      <c r="D317" s="92"/>
      <c r="E317" s="92"/>
      <c r="F317" s="97"/>
      <c r="G317" s="97"/>
      <c r="H317" s="92"/>
      <c r="I317" s="111"/>
      <c r="J317" s="92"/>
      <c r="K317" s="92"/>
    </row>
    <row r="318" spans="1:11">
      <c r="A318" s="97"/>
      <c r="B318" s="97"/>
      <c r="C318" s="97"/>
      <c r="D318" s="92"/>
      <c r="E318" s="92"/>
      <c r="F318" s="97"/>
      <c r="G318" s="97"/>
      <c r="H318" s="92"/>
      <c r="I318" s="111"/>
      <c r="J318" s="92"/>
      <c r="K318" s="92"/>
    </row>
    <row r="319" spans="1:11">
      <c r="A319" s="97"/>
      <c r="B319" s="97"/>
      <c r="C319" s="97"/>
      <c r="D319" s="92"/>
      <c r="E319" s="92"/>
      <c r="F319" s="97"/>
      <c r="G319" s="97"/>
      <c r="H319" s="92"/>
      <c r="I319" s="111"/>
      <c r="J319" s="92"/>
      <c r="K319" s="92"/>
    </row>
    <row r="320" spans="1:11">
      <c r="A320" s="97"/>
      <c r="B320" s="97"/>
      <c r="C320" s="97"/>
      <c r="D320" s="92"/>
      <c r="E320" s="92"/>
      <c r="F320" s="97"/>
      <c r="G320" s="97"/>
      <c r="H320" s="92"/>
      <c r="I320" s="111"/>
      <c r="J320" s="92"/>
      <c r="K320" s="92"/>
    </row>
    <row r="321" spans="1:11">
      <c r="A321" s="97"/>
      <c r="B321" s="97"/>
      <c r="C321" s="97"/>
      <c r="D321" s="92"/>
      <c r="E321" s="92"/>
      <c r="F321" s="97"/>
      <c r="G321" s="97"/>
      <c r="H321" s="92"/>
      <c r="I321" s="111"/>
      <c r="J321" s="92"/>
      <c r="K321" s="92"/>
    </row>
    <row r="322" spans="1:11">
      <c r="A322" s="97"/>
      <c r="B322" s="97"/>
      <c r="C322" s="97"/>
      <c r="D322" s="92"/>
      <c r="E322" s="92"/>
      <c r="F322" s="97"/>
      <c r="G322" s="97"/>
      <c r="H322" s="92"/>
      <c r="I322" s="111"/>
      <c r="J322" s="92"/>
      <c r="K322" s="92"/>
    </row>
    <row r="323" spans="1:11">
      <c r="A323" s="97"/>
      <c r="B323" s="97"/>
      <c r="C323" s="97"/>
      <c r="D323" s="92"/>
      <c r="E323" s="92"/>
      <c r="F323" s="97"/>
      <c r="G323" s="97"/>
      <c r="H323" s="92"/>
      <c r="I323" s="111"/>
      <c r="J323" s="92"/>
      <c r="K323" s="92"/>
    </row>
    <row r="324" spans="1:11">
      <c r="A324" s="97"/>
      <c r="B324" s="97"/>
      <c r="C324" s="97"/>
      <c r="D324" s="92"/>
      <c r="E324" s="92"/>
      <c r="F324" s="97"/>
      <c r="G324" s="97"/>
      <c r="H324" s="92"/>
      <c r="I324" s="111"/>
      <c r="J324" s="92"/>
      <c r="K324" s="92"/>
    </row>
    <row r="325" spans="1:11">
      <c r="A325" s="97"/>
      <c r="B325" s="97"/>
      <c r="C325" s="97"/>
      <c r="D325" s="92"/>
      <c r="E325" s="92"/>
      <c r="F325" s="97"/>
      <c r="G325" s="97"/>
      <c r="H325" s="92"/>
      <c r="I325" s="111"/>
      <c r="J325" s="92"/>
      <c r="K325" s="92"/>
    </row>
    <row r="326" spans="1:11">
      <c r="A326" s="97"/>
      <c r="B326" s="97"/>
      <c r="C326" s="97"/>
      <c r="D326" s="92"/>
      <c r="E326" s="92"/>
      <c r="F326" s="97"/>
      <c r="G326" s="97"/>
      <c r="H326" s="92"/>
      <c r="I326" s="111"/>
      <c r="J326" s="92"/>
      <c r="K326" s="92"/>
    </row>
    <row r="327" spans="1:11">
      <c r="A327" s="97"/>
      <c r="B327" s="97"/>
      <c r="C327" s="97"/>
      <c r="D327" s="92"/>
      <c r="E327" s="92"/>
      <c r="F327" s="97"/>
      <c r="G327" s="97"/>
      <c r="H327" s="92"/>
      <c r="I327" s="111"/>
      <c r="J327" s="92"/>
      <c r="K327" s="92"/>
    </row>
    <row r="328" spans="1:11">
      <c r="A328" s="97"/>
      <c r="B328" s="97"/>
      <c r="C328" s="97"/>
      <c r="D328" s="92"/>
      <c r="E328" s="92"/>
      <c r="F328" s="97"/>
      <c r="G328" s="97"/>
      <c r="H328" s="92"/>
      <c r="I328" s="111"/>
      <c r="J328" s="92"/>
      <c r="K328" s="92"/>
    </row>
    <row r="329" spans="1:11">
      <c r="A329" s="97"/>
      <c r="B329" s="97"/>
      <c r="C329" s="97"/>
      <c r="D329" s="92"/>
      <c r="E329" s="92"/>
      <c r="F329" s="97"/>
      <c r="G329" s="97"/>
      <c r="H329" s="92"/>
      <c r="I329" s="111"/>
      <c r="J329" s="92"/>
      <c r="K329" s="92"/>
    </row>
    <row r="330" spans="1:11">
      <c r="A330" s="97"/>
      <c r="B330" s="97"/>
      <c r="C330" s="97"/>
      <c r="D330" s="92"/>
      <c r="E330" s="92"/>
      <c r="F330" s="97"/>
      <c r="G330" s="97"/>
      <c r="H330" s="92"/>
      <c r="I330" s="111"/>
      <c r="J330" s="92"/>
      <c r="K330" s="92"/>
    </row>
    <row r="331" spans="1:11">
      <c r="A331" s="97"/>
      <c r="B331" s="97"/>
      <c r="C331" s="97"/>
      <c r="D331" s="92"/>
      <c r="E331" s="92"/>
      <c r="F331" s="97"/>
      <c r="G331" s="97"/>
      <c r="H331" s="92"/>
      <c r="I331" s="111"/>
      <c r="J331" s="92"/>
      <c r="K331" s="92"/>
    </row>
    <row r="332" spans="1:11">
      <c r="A332" s="97"/>
      <c r="B332" s="97"/>
      <c r="C332" s="97"/>
      <c r="D332" s="92"/>
      <c r="E332" s="92"/>
      <c r="F332" s="97"/>
      <c r="G332" s="97"/>
      <c r="H332" s="92"/>
      <c r="I332" s="111"/>
      <c r="J332" s="92"/>
      <c r="K332" s="92"/>
    </row>
    <row r="333" spans="1:11">
      <c r="A333" s="97"/>
      <c r="B333" s="97"/>
      <c r="C333" s="97"/>
      <c r="D333" s="92"/>
      <c r="E333" s="92"/>
      <c r="F333" s="97"/>
      <c r="G333" s="97"/>
      <c r="H333" s="92"/>
      <c r="I333" s="111"/>
      <c r="J333" s="92"/>
      <c r="K333" s="92"/>
    </row>
    <row r="334" spans="1:11">
      <c r="A334" s="97"/>
      <c r="B334" s="97"/>
      <c r="C334" s="97"/>
      <c r="D334" s="92"/>
      <c r="E334" s="92"/>
      <c r="F334" s="97"/>
      <c r="G334" s="97"/>
      <c r="H334" s="92"/>
      <c r="I334" s="111"/>
      <c r="J334" s="92"/>
      <c r="K334" s="92"/>
    </row>
    <row r="335" spans="1:11">
      <c r="A335" s="97"/>
      <c r="B335" s="97"/>
      <c r="C335" s="97"/>
      <c r="D335" s="92"/>
      <c r="E335" s="92"/>
      <c r="F335" s="97"/>
      <c r="G335" s="97"/>
      <c r="H335" s="92"/>
      <c r="I335" s="111"/>
      <c r="J335" s="92"/>
      <c r="K335" s="92"/>
    </row>
    <row r="336" spans="1:11">
      <c r="A336" s="97"/>
      <c r="B336" s="97"/>
      <c r="C336" s="97"/>
      <c r="D336" s="92"/>
      <c r="E336" s="92"/>
      <c r="F336" s="97"/>
      <c r="G336" s="97"/>
      <c r="H336" s="92"/>
      <c r="I336" s="111"/>
      <c r="J336" s="92"/>
      <c r="K336" s="92"/>
    </row>
    <row r="337" spans="1:11">
      <c r="A337" s="97"/>
      <c r="B337" s="97"/>
      <c r="C337" s="97"/>
      <c r="D337" s="92"/>
      <c r="E337" s="92"/>
      <c r="F337" s="97"/>
      <c r="G337" s="97"/>
      <c r="H337" s="92"/>
      <c r="I337" s="111"/>
      <c r="J337" s="92"/>
      <c r="K337" s="92"/>
    </row>
    <row r="338" spans="1:11">
      <c r="A338" s="97"/>
      <c r="B338" s="97"/>
      <c r="C338" s="97"/>
      <c r="D338" s="92"/>
      <c r="E338" s="92"/>
      <c r="F338" s="97"/>
      <c r="G338" s="97"/>
      <c r="H338" s="92"/>
      <c r="I338" s="111"/>
      <c r="J338" s="92"/>
      <c r="K338" s="92"/>
    </row>
    <row r="339" spans="1:11">
      <c r="A339" s="97"/>
      <c r="B339" s="97"/>
      <c r="C339" s="97"/>
      <c r="D339" s="92"/>
      <c r="E339" s="92"/>
      <c r="F339" s="97"/>
      <c r="G339" s="97"/>
      <c r="H339" s="92"/>
      <c r="I339" s="111"/>
      <c r="J339" s="92"/>
      <c r="K339" s="92"/>
    </row>
    <row r="340" spans="1:11">
      <c r="A340" s="97"/>
      <c r="B340" s="97"/>
      <c r="C340" s="97"/>
      <c r="D340" s="92"/>
      <c r="E340" s="92"/>
      <c r="F340" s="97"/>
      <c r="G340" s="97"/>
      <c r="H340" s="92"/>
      <c r="I340" s="111"/>
      <c r="J340" s="92"/>
      <c r="K340" s="92"/>
    </row>
    <row r="341" spans="1:11">
      <c r="A341" s="97"/>
      <c r="B341" s="97"/>
      <c r="C341" s="97"/>
      <c r="D341" s="92"/>
      <c r="E341" s="92"/>
      <c r="F341" s="97"/>
      <c r="G341" s="97"/>
      <c r="H341" s="92"/>
      <c r="I341" s="111"/>
      <c r="J341" s="92"/>
      <c r="K341" s="92"/>
    </row>
    <row r="342" spans="1:11">
      <c r="A342" s="97"/>
      <c r="B342" s="97"/>
      <c r="C342" s="97"/>
      <c r="D342" s="92"/>
      <c r="E342" s="92"/>
      <c r="F342" s="97"/>
      <c r="G342" s="97"/>
      <c r="H342" s="92"/>
      <c r="I342" s="111"/>
      <c r="J342" s="92"/>
      <c r="K342" s="92"/>
    </row>
    <row r="343" spans="1:11">
      <c r="A343" s="97"/>
      <c r="B343" s="97"/>
      <c r="C343" s="97"/>
      <c r="D343" s="92"/>
      <c r="E343" s="92"/>
      <c r="F343" s="97"/>
      <c r="G343" s="97"/>
      <c r="H343" s="92"/>
      <c r="I343" s="111"/>
      <c r="J343" s="92"/>
      <c r="K343" s="92"/>
    </row>
    <row r="344" spans="1:11">
      <c r="A344" s="97"/>
      <c r="B344" s="97"/>
      <c r="C344" s="97"/>
      <c r="D344" s="92"/>
      <c r="E344" s="92"/>
      <c r="F344" s="97"/>
      <c r="G344" s="97"/>
      <c r="H344" s="92"/>
      <c r="I344" s="111"/>
      <c r="J344" s="92"/>
      <c r="K344" s="92"/>
    </row>
    <row r="345" spans="1:11">
      <c r="A345" s="97"/>
      <c r="B345" s="97"/>
      <c r="C345" s="97"/>
      <c r="D345" s="92"/>
      <c r="E345" s="92"/>
      <c r="F345" s="97"/>
      <c r="G345" s="97"/>
      <c r="H345" s="92"/>
      <c r="I345" s="111"/>
      <c r="J345" s="92"/>
      <c r="K345" s="92"/>
    </row>
    <row r="346" spans="1:11">
      <c r="A346" s="97"/>
      <c r="B346" s="97"/>
      <c r="C346" s="97"/>
      <c r="D346" s="92"/>
      <c r="E346" s="92"/>
      <c r="F346" s="97"/>
      <c r="G346" s="97"/>
      <c r="H346" s="92"/>
      <c r="I346" s="111"/>
      <c r="J346" s="92"/>
      <c r="K346" s="92"/>
    </row>
    <row r="347" spans="1:11">
      <c r="A347" s="97"/>
      <c r="B347" s="97"/>
      <c r="C347" s="97"/>
      <c r="D347" s="92"/>
      <c r="E347" s="92"/>
      <c r="F347" s="97"/>
      <c r="G347" s="97"/>
      <c r="H347" s="92"/>
      <c r="I347" s="111"/>
      <c r="J347" s="92"/>
      <c r="K347" s="92"/>
    </row>
    <row r="348" spans="1:11">
      <c r="A348" s="97"/>
      <c r="B348" s="97"/>
      <c r="C348" s="97"/>
      <c r="D348" s="92"/>
      <c r="E348" s="92"/>
      <c r="F348" s="97"/>
      <c r="G348" s="97"/>
      <c r="H348" s="92"/>
      <c r="I348" s="111"/>
      <c r="J348" s="92"/>
      <c r="K348" s="92"/>
    </row>
    <row r="349" spans="1:11">
      <c r="A349" s="97"/>
      <c r="B349" s="97"/>
      <c r="C349" s="97"/>
      <c r="D349" s="92"/>
      <c r="E349" s="92"/>
      <c r="F349" s="97"/>
      <c r="G349" s="97"/>
      <c r="H349" s="92"/>
      <c r="I349" s="111"/>
      <c r="J349" s="92"/>
      <c r="K349" s="92"/>
    </row>
    <row r="350" spans="1:11">
      <c r="A350" s="97"/>
      <c r="B350" s="97"/>
      <c r="C350" s="97"/>
      <c r="D350" s="92"/>
      <c r="E350" s="92"/>
      <c r="F350" s="97"/>
      <c r="G350" s="97"/>
      <c r="H350" s="92"/>
      <c r="I350" s="111"/>
      <c r="J350" s="92"/>
      <c r="K350" s="92"/>
    </row>
    <row r="351" spans="1:11">
      <c r="A351" s="97"/>
      <c r="B351" s="97"/>
      <c r="C351" s="97"/>
      <c r="D351" s="92"/>
      <c r="E351" s="92"/>
      <c r="F351" s="97"/>
      <c r="G351" s="97"/>
      <c r="H351" s="92"/>
      <c r="I351" s="111"/>
      <c r="J351" s="92"/>
      <c r="K351" s="92"/>
    </row>
    <row r="352" spans="1:11">
      <c r="A352" s="97"/>
      <c r="B352" s="97"/>
      <c r="C352" s="97"/>
      <c r="D352" s="92"/>
      <c r="E352" s="92"/>
      <c r="F352" s="97"/>
      <c r="G352" s="97"/>
      <c r="H352" s="92"/>
      <c r="I352" s="111"/>
      <c r="J352" s="92"/>
      <c r="K352" s="92"/>
    </row>
    <row r="353" spans="1:11">
      <c r="A353" s="97"/>
      <c r="B353" s="97"/>
      <c r="C353" s="97"/>
      <c r="D353" s="92"/>
      <c r="E353" s="92"/>
      <c r="F353" s="97"/>
      <c r="G353" s="97"/>
      <c r="H353" s="92"/>
      <c r="I353" s="111"/>
      <c r="J353" s="92"/>
      <c r="K353" s="92"/>
    </row>
    <row r="354" spans="1:11">
      <c r="A354" s="97"/>
      <c r="B354" s="97"/>
      <c r="C354" s="97"/>
      <c r="D354" s="92"/>
      <c r="E354" s="92"/>
      <c r="F354" s="97"/>
      <c r="G354" s="97"/>
      <c r="H354" s="92"/>
      <c r="I354" s="111"/>
      <c r="J354" s="92"/>
      <c r="K354" s="92"/>
    </row>
    <row r="355" spans="1:11">
      <c r="A355" s="97"/>
      <c r="B355" s="97"/>
      <c r="C355" s="97"/>
      <c r="D355" s="92"/>
      <c r="E355" s="92"/>
      <c r="F355" s="97"/>
      <c r="G355" s="97"/>
      <c r="H355" s="92"/>
      <c r="I355" s="111"/>
      <c r="J355" s="92"/>
      <c r="K355" s="92"/>
    </row>
    <row r="356" spans="1:11">
      <c r="A356" s="97"/>
      <c r="B356" s="97"/>
      <c r="C356" s="97"/>
      <c r="D356" s="92"/>
      <c r="E356" s="92"/>
      <c r="F356" s="97"/>
      <c r="G356" s="97"/>
      <c r="H356" s="92"/>
      <c r="I356" s="111"/>
      <c r="J356" s="92"/>
      <c r="K356" s="92"/>
    </row>
    <row r="357" spans="1:11">
      <c r="A357" s="97"/>
      <c r="B357" s="97"/>
      <c r="C357" s="97"/>
      <c r="D357" s="92"/>
      <c r="E357" s="92"/>
      <c r="F357" s="97"/>
      <c r="G357" s="97"/>
      <c r="H357" s="92"/>
      <c r="I357" s="111"/>
      <c r="J357" s="92"/>
      <c r="K357" s="92"/>
    </row>
    <row r="358" spans="1:11">
      <c r="A358" s="97"/>
      <c r="B358" s="97"/>
      <c r="C358" s="97"/>
      <c r="D358" s="92"/>
      <c r="E358" s="92"/>
      <c r="F358" s="97"/>
      <c r="G358" s="97"/>
      <c r="H358" s="92"/>
      <c r="I358" s="111"/>
      <c r="J358" s="92"/>
      <c r="K358" s="92"/>
    </row>
    <row r="359" spans="1:11">
      <c r="A359" s="97"/>
      <c r="B359" s="97"/>
      <c r="C359" s="97"/>
      <c r="D359" s="92"/>
      <c r="E359" s="92"/>
      <c r="F359" s="97"/>
      <c r="G359" s="97"/>
      <c r="H359" s="92"/>
      <c r="I359" s="111"/>
      <c r="J359" s="92"/>
      <c r="K359" s="92"/>
    </row>
    <row r="360" spans="1:11">
      <c r="A360" s="97"/>
      <c r="B360" s="97"/>
      <c r="C360" s="97"/>
      <c r="D360" s="92"/>
      <c r="E360" s="92"/>
      <c r="F360" s="97"/>
      <c r="G360" s="97"/>
      <c r="H360" s="92"/>
      <c r="I360" s="111"/>
      <c r="J360" s="92"/>
      <c r="K360" s="92"/>
    </row>
    <row r="361" spans="1:11">
      <c r="A361" s="97"/>
      <c r="B361" s="97"/>
      <c r="C361" s="97"/>
      <c r="D361" s="92"/>
      <c r="E361" s="92"/>
      <c r="F361" s="97"/>
      <c r="G361" s="97"/>
      <c r="H361" s="92"/>
      <c r="I361" s="111"/>
      <c r="J361" s="92"/>
      <c r="K361" s="92"/>
    </row>
    <row r="362" spans="1:11">
      <c r="A362" s="97"/>
      <c r="B362" s="97"/>
      <c r="C362" s="97"/>
      <c r="D362" s="92"/>
      <c r="E362" s="92"/>
      <c r="F362" s="97"/>
      <c r="G362" s="97"/>
      <c r="H362" s="92"/>
      <c r="I362" s="111"/>
      <c r="J362" s="92"/>
      <c r="K362" s="92"/>
    </row>
    <row r="363" spans="1:11">
      <c r="A363" s="97"/>
      <c r="B363" s="97"/>
      <c r="C363" s="97"/>
      <c r="D363" s="92"/>
      <c r="E363" s="92"/>
      <c r="F363" s="97"/>
      <c r="G363" s="97"/>
      <c r="H363" s="92"/>
      <c r="I363" s="111"/>
      <c r="J363" s="92"/>
      <c r="K363" s="92"/>
    </row>
    <row r="364" spans="1:11">
      <c r="A364" s="97"/>
      <c r="B364" s="97"/>
      <c r="C364" s="97"/>
      <c r="D364" s="92"/>
      <c r="E364" s="92"/>
      <c r="F364" s="97"/>
      <c r="G364" s="97"/>
      <c r="H364" s="92"/>
      <c r="I364" s="111"/>
      <c r="J364" s="92"/>
      <c r="K364" s="92"/>
    </row>
    <row r="365" spans="1:11">
      <c r="A365" s="97"/>
      <c r="B365" s="97"/>
      <c r="C365" s="97"/>
      <c r="D365" s="92"/>
      <c r="E365" s="92"/>
      <c r="F365" s="97"/>
      <c r="G365" s="97"/>
      <c r="H365" s="92"/>
      <c r="I365" s="111"/>
      <c r="J365" s="92"/>
      <c r="K365" s="92"/>
    </row>
    <row r="366" spans="1:11">
      <c r="A366" s="97"/>
      <c r="B366" s="97"/>
      <c r="C366" s="97"/>
      <c r="D366" s="92"/>
      <c r="E366" s="92"/>
      <c r="F366" s="97"/>
      <c r="G366" s="97"/>
      <c r="H366" s="92"/>
      <c r="I366" s="111"/>
      <c r="J366" s="92"/>
      <c r="K366" s="92"/>
    </row>
    <row r="367" spans="1:11">
      <c r="A367" s="97"/>
      <c r="B367" s="97"/>
      <c r="C367" s="97"/>
      <c r="D367" s="92"/>
      <c r="E367" s="92"/>
      <c r="F367" s="97"/>
      <c r="G367" s="97"/>
      <c r="H367" s="92"/>
      <c r="I367" s="111"/>
      <c r="J367" s="92"/>
      <c r="K367" s="92"/>
    </row>
    <row r="368" spans="1:11">
      <c r="A368" s="97"/>
      <c r="B368" s="97"/>
      <c r="C368" s="97"/>
      <c r="D368" s="92"/>
      <c r="E368" s="92"/>
      <c r="F368" s="97"/>
      <c r="G368" s="97"/>
      <c r="H368" s="92"/>
      <c r="I368" s="111"/>
      <c r="J368" s="92"/>
      <c r="K368" s="92"/>
    </row>
    <row r="369" spans="1:11">
      <c r="A369" s="97"/>
      <c r="B369" s="97"/>
      <c r="C369" s="97"/>
      <c r="D369" s="92"/>
      <c r="E369" s="92"/>
      <c r="F369" s="97"/>
      <c r="G369" s="97"/>
      <c r="H369" s="92"/>
      <c r="I369" s="111"/>
      <c r="J369" s="92"/>
      <c r="K369" s="92"/>
    </row>
    <row r="370" spans="1:11">
      <c r="A370" s="97"/>
      <c r="B370" s="97"/>
      <c r="C370" s="97"/>
      <c r="D370" s="92"/>
      <c r="E370" s="92"/>
      <c r="F370" s="97"/>
      <c r="G370" s="97"/>
      <c r="H370" s="92"/>
      <c r="I370" s="111"/>
      <c r="J370" s="92"/>
      <c r="K370" s="92"/>
    </row>
    <row r="371" spans="1:11">
      <c r="A371" s="97"/>
      <c r="B371" s="97"/>
      <c r="C371" s="97"/>
      <c r="D371" s="92"/>
      <c r="E371" s="92"/>
      <c r="F371" s="97"/>
      <c r="G371" s="97"/>
      <c r="H371" s="92"/>
      <c r="I371" s="111"/>
      <c r="J371" s="92"/>
      <c r="K371" s="92"/>
    </row>
    <row r="372" spans="1:11">
      <c r="A372" s="97"/>
      <c r="B372" s="97"/>
      <c r="C372" s="97"/>
      <c r="D372" s="92"/>
      <c r="E372" s="92"/>
      <c r="F372" s="97"/>
      <c r="G372" s="97"/>
      <c r="H372" s="92"/>
      <c r="I372" s="111"/>
      <c r="J372" s="92"/>
      <c r="K372" s="92"/>
    </row>
    <row r="373" spans="1:11">
      <c r="A373" s="97"/>
      <c r="B373" s="97"/>
      <c r="C373" s="97"/>
      <c r="D373" s="92"/>
      <c r="E373" s="92"/>
      <c r="F373" s="97"/>
      <c r="G373" s="97"/>
      <c r="H373" s="92"/>
      <c r="I373" s="111"/>
      <c r="J373" s="92"/>
      <c r="K373" s="92"/>
    </row>
    <row r="374" spans="1:11">
      <c r="A374" s="97"/>
      <c r="B374" s="97"/>
      <c r="C374" s="97"/>
      <c r="D374" s="92"/>
      <c r="E374" s="92"/>
      <c r="F374" s="97"/>
      <c r="G374" s="97"/>
      <c r="H374" s="92"/>
      <c r="I374" s="111"/>
      <c r="J374" s="92"/>
      <c r="K374" s="92"/>
    </row>
    <row r="375" spans="1:11">
      <c r="A375" s="97"/>
      <c r="B375" s="97"/>
      <c r="C375" s="97"/>
      <c r="D375" s="92"/>
      <c r="E375" s="92"/>
      <c r="F375" s="97"/>
      <c r="G375" s="97"/>
      <c r="H375" s="92"/>
      <c r="I375" s="111"/>
      <c r="J375" s="92"/>
      <c r="K375" s="92"/>
    </row>
    <row r="376" spans="1:11">
      <c r="A376" s="97"/>
      <c r="B376" s="97"/>
      <c r="C376" s="97"/>
      <c r="D376" s="92"/>
      <c r="E376" s="92"/>
      <c r="F376" s="97"/>
      <c r="G376" s="97"/>
      <c r="H376" s="92"/>
      <c r="I376" s="111"/>
      <c r="J376" s="92"/>
      <c r="K376" s="92"/>
    </row>
    <row r="377" spans="1:11">
      <c r="A377" s="97"/>
      <c r="B377" s="97"/>
      <c r="C377" s="97"/>
      <c r="D377" s="92"/>
      <c r="E377" s="92"/>
      <c r="F377" s="97"/>
      <c r="G377" s="97"/>
      <c r="H377" s="92"/>
      <c r="I377" s="111"/>
      <c r="J377" s="92"/>
      <c r="K377" s="92"/>
    </row>
    <row r="378" spans="1:11">
      <c r="A378" s="97"/>
      <c r="B378" s="97"/>
      <c r="C378" s="97"/>
      <c r="D378" s="92"/>
      <c r="E378" s="92"/>
      <c r="F378" s="97"/>
      <c r="G378" s="97"/>
      <c r="H378" s="92"/>
      <c r="I378" s="111"/>
      <c r="J378" s="92"/>
      <c r="K378" s="92"/>
    </row>
    <row r="379" spans="1:11">
      <c r="A379" s="97"/>
      <c r="B379" s="97"/>
      <c r="C379" s="97"/>
      <c r="D379" s="92"/>
      <c r="E379" s="92"/>
      <c r="F379" s="97"/>
      <c r="G379" s="97"/>
      <c r="H379" s="92"/>
      <c r="I379" s="111"/>
      <c r="J379" s="92"/>
      <c r="K379" s="92"/>
    </row>
    <row r="380" spans="1:11">
      <c r="A380" s="97"/>
      <c r="B380" s="97"/>
      <c r="C380" s="97"/>
      <c r="D380" s="92"/>
      <c r="E380" s="92"/>
      <c r="F380" s="97"/>
      <c r="G380" s="97"/>
      <c r="H380" s="92"/>
      <c r="I380" s="111"/>
      <c r="J380" s="92"/>
      <c r="K380" s="92"/>
    </row>
    <row r="381" spans="1:11">
      <c r="A381" s="97"/>
      <c r="B381" s="97"/>
      <c r="C381" s="97"/>
      <c r="D381" s="92"/>
      <c r="E381" s="92"/>
      <c r="F381" s="97"/>
      <c r="G381" s="97"/>
      <c r="H381" s="92"/>
      <c r="I381" s="111"/>
      <c r="J381" s="92"/>
      <c r="K381" s="92"/>
    </row>
    <row r="382" spans="1:11">
      <c r="A382" s="97"/>
      <c r="B382" s="97"/>
      <c r="C382" s="97"/>
      <c r="D382" s="92"/>
      <c r="E382" s="92"/>
      <c r="F382" s="97"/>
      <c r="G382" s="97"/>
      <c r="H382" s="92"/>
      <c r="I382" s="111"/>
      <c r="J382" s="92"/>
      <c r="K382" s="92"/>
    </row>
    <row r="383" spans="1:11">
      <c r="A383" s="97"/>
      <c r="B383" s="97"/>
      <c r="C383" s="97"/>
      <c r="D383" s="92"/>
      <c r="E383" s="92"/>
      <c r="F383" s="97"/>
      <c r="G383" s="97"/>
      <c r="H383" s="92"/>
      <c r="I383" s="111"/>
      <c r="J383" s="92"/>
      <c r="K383" s="92"/>
    </row>
    <row r="384" spans="1:11">
      <c r="A384" s="97"/>
      <c r="B384" s="97"/>
      <c r="C384" s="97"/>
      <c r="D384" s="92"/>
      <c r="E384" s="92"/>
      <c r="F384" s="97"/>
      <c r="G384" s="97"/>
      <c r="H384" s="92"/>
      <c r="I384" s="111"/>
      <c r="J384" s="92"/>
      <c r="K384" s="92"/>
    </row>
    <row r="385" spans="1:11">
      <c r="A385" s="97"/>
      <c r="B385" s="97"/>
      <c r="C385" s="97"/>
      <c r="D385" s="92"/>
      <c r="E385" s="92"/>
      <c r="F385" s="97"/>
      <c r="G385" s="97"/>
      <c r="H385" s="92"/>
      <c r="I385" s="111"/>
      <c r="J385" s="92"/>
      <c r="K385" s="92"/>
    </row>
    <row r="386" spans="1:11">
      <c r="A386" s="97"/>
      <c r="B386" s="97"/>
      <c r="C386" s="97"/>
      <c r="D386" s="92"/>
      <c r="E386" s="92"/>
      <c r="F386" s="97"/>
      <c r="G386" s="97"/>
      <c r="H386" s="92"/>
      <c r="I386" s="111"/>
      <c r="J386" s="92"/>
      <c r="K386" s="92"/>
    </row>
    <row r="387" spans="1:11">
      <c r="A387" s="97"/>
      <c r="B387" s="97"/>
      <c r="C387" s="97"/>
      <c r="D387" s="92"/>
      <c r="E387" s="92"/>
      <c r="F387" s="97"/>
      <c r="G387" s="97"/>
      <c r="H387" s="92"/>
      <c r="I387" s="111"/>
      <c r="J387" s="92"/>
      <c r="K387" s="92"/>
    </row>
    <row r="388" spans="1:11">
      <c r="A388" s="97"/>
      <c r="B388" s="97"/>
      <c r="C388" s="97"/>
      <c r="D388" s="92"/>
      <c r="E388" s="92"/>
      <c r="F388" s="97"/>
      <c r="G388" s="97"/>
      <c r="H388" s="92"/>
      <c r="I388" s="111"/>
      <c r="J388" s="92"/>
      <c r="K388" s="92"/>
    </row>
    <row r="389" spans="1:11">
      <c r="A389" s="97"/>
      <c r="B389" s="97"/>
      <c r="C389" s="97"/>
      <c r="D389" s="92"/>
      <c r="E389" s="92"/>
      <c r="F389" s="97"/>
      <c r="G389" s="97"/>
      <c r="H389" s="92"/>
      <c r="I389" s="111"/>
      <c r="J389" s="92"/>
      <c r="K389" s="92"/>
    </row>
    <row r="390" spans="1:11">
      <c r="A390" s="97"/>
      <c r="B390" s="97"/>
      <c r="C390" s="97"/>
      <c r="D390" s="92"/>
      <c r="E390" s="92"/>
      <c r="F390" s="97"/>
      <c r="G390" s="97"/>
      <c r="H390" s="92"/>
      <c r="I390" s="111"/>
      <c r="J390" s="92"/>
      <c r="K390" s="92"/>
    </row>
    <row r="391" spans="1:11">
      <c r="A391" s="97"/>
      <c r="B391" s="97"/>
      <c r="C391" s="97"/>
      <c r="D391" s="92"/>
      <c r="E391" s="92"/>
      <c r="F391" s="97"/>
      <c r="G391" s="97"/>
      <c r="H391" s="92"/>
      <c r="I391" s="111"/>
      <c r="J391" s="92"/>
      <c r="K391" s="92"/>
    </row>
    <row r="392" spans="1:11">
      <c r="A392" s="97"/>
      <c r="B392" s="97"/>
      <c r="C392" s="97"/>
      <c r="D392" s="92"/>
      <c r="E392" s="92"/>
      <c r="F392" s="97"/>
      <c r="G392" s="97"/>
      <c r="H392" s="92"/>
      <c r="I392" s="111"/>
      <c r="J392" s="92"/>
      <c r="K392" s="92"/>
    </row>
    <row r="393" spans="1:11">
      <c r="A393" s="97"/>
      <c r="B393" s="97"/>
      <c r="C393" s="97"/>
      <c r="D393" s="92"/>
      <c r="E393" s="92"/>
      <c r="F393" s="97"/>
      <c r="G393" s="97"/>
      <c r="H393" s="92"/>
      <c r="I393" s="111"/>
      <c r="J393" s="92"/>
      <c r="K393" s="92"/>
    </row>
    <row r="394" spans="1:11">
      <c r="A394" s="97"/>
      <c r="B394" s="97"/>
      <c r="C394" s="97"/>
      <c r="D394" s="92"/>
      <c r="E394" s="92"/>
      <c r="F394" s="97"/>
      <c r="G394" s="97"/>
      <c r="H394" s="92"/>
      <c r="I394" s="111"/>
      <c r="J394" s="92"/>
      <c r="K394" s="92"/>
    </row>
    <row r="395" spans="1:11">
      <c r="A395" s="97"/>
      <c r="B395" s="97"/>
      <c r="C395" s="97"/>
      <c r="D395" s="92"/>
      <c r="E395" s="92"/>
      <c r="F395" s="97"/>
      <c r="G395" s="97"/>
      <c r="H395" s="92"/>
      <c r="I395" s="111"/>
      <c r="J395" s="92"/>
      <c r="K395" s="92"/>
    </row>
    <row r="396" spans="1:11">
      <c r="A396" s="97"/>
      <c r="B396" s="97"/>
      <c r="C396" s="97"/>
      <c r="D396" s="92"/>
      <c r="E396" s="92"/>
      <c r="F396" s="97"/>
      <c r="G396" s="97"/>
      <c r="H396" s="92"/>
      <c r="I396" s="111"/>
      <c r="J396" s="92"/>
      <c r="K396" s="92"/>
    </row>
    <row r="397" spans="1:11">
      <c r="A397" s="97"/>
      <c r="B397" s="97"/>
      <c r="C397" s="97"/>
      <c r="D397" s="92"/>
      <c r="E397" s="92"/>
      <c r="F397" s="97"/>
      <c r="G397" s="97"/>
      <c r="H397" s="92"/>
      <c r="I397" s="111"/>
      <c r="J397" s="92"/>
      <c r="K397" s="92"/>
    </row>
    <row r="398" spans="1:11">
      <c r="A398" s="97"/>
      <c r="B398" s="97"/>
      <c r="C398" s="97"/>
      <c r="D398" s="92"/>
      <c r="E398" s="92"/>
      <c r="F398" s="97"/>
      <c r="G398" s="97"/>
      <c r="H398" s="92"/>
      <c r="I398" s="111"/>
      <c r="J398" s="92"/>
      <c r="K398" s="92"/>
    </row>
    <row r="399" spans="1:11">
      <c r="A399" s="97"/>
      <c r="B399" s="97"/>
      <c r="C399" s="97"/>
      <c r="D399" s="92"/>
      <c r="E399" s="92"/>
      <c r="F399" s="97"/>
      <c r="G399" s="97"/>
      <c r="H399" s="92"/>
      <c r="I399" s="111"/>
      <c r="J399" s="92"/>
      <c r="K399" s="92"/>
    </row>
    <row r="400" spans="1:11">
      <c r="A400" s="97"/>
      <c r="B400" s="97"/>
      <c r="C400" s="97"/>
      <c r="D400" s="92"/>
      <c r="E400" s="92"/>
      <c r="F400" s="97"/>
      <c r="G400" s="97"/>
      <c r="H400" s="92"/>
      <c r="I400" s="111"/>
      <c r="J400" s="92"/>
      <c r="K400" s="92"/>
    </row>
    <row r="401" spans="1:11">
      <c r="A401" s="97"/>
      <c r="B401" s="97"/>
      <c r="C401" s="97"/>
      <c r="D401" s="92"/>
      <c r="E401" s="92"/>
      <c r="F401" s="97"/>
      <c r="G401" s="97"/>
      <c r="H401" s="92"/>
      <c r="I401" s="111"/>
      <c r="J401" s="92"/>
      <c r="K401" s="92"/>
    </row>
    <row r="402" spans="1:11">
      <c r="A402" s="97"/>
      <c r="B402" s="97"/>
      <c r="C402" s="97"/>
      <c r="D402" s="92"/>
      <c r="E402" s="92"/>
      <c r="F402" s="97"/>
      <c r="G402" s="97"/>
      <c r="H402" s="92"/>
      <c r="I402" s="111"/>
      <c r="J402" s="92"/>
      <c r="K402" s="92"/>
    </row>
    <row r="403" spans="1:11">
      <c r="A403" s="97"/>
      <c r="B403" s="97"/>
      <c r="C403" s="97"/>
      <c r="D403" s="92"/>
      <c r="E403" s="92"/>
      <c r="F403" s="97"/>
      <c r="G403" s="97"/>
      <c r="H403" s="92"/>
      <c r="I403" s="111"/>
      <c r="J403" s="92"/>
      <c r="K403" s="92"/>
    </row>
    <row r="404" spans="1:11">
      <c r="A404" s="97"/>
      <c r="B404" s="97"/>
      <c r="C404" s="97"/>
      <c r="D404" s="92"/>
      <c r="E404" s="92"/>
      <c r="F404" s="97"/>
      <c r="G404" s="97"/>
      <c r="H404" s="92"/>
      <c r="I404" s="111"/>
      <c r="J404" s="92"/>
      <c r="K404" s="92"/>
    </row>
    <row r="405" spans="1:11">
      <c r="A405" s="97"/>
      <c r="B405" s="97"/>
      <c r="C405" s="97"/>
      <c r="D405" s="92"/>
      <c r="E405" s="92"/>
      <c r="F405" s="97"/>
      <c r="G405" s="97"/>
      <c r="H405" s="92"/>
      <c r="I405" s="111"/>
      <c r="J405" s="92"/>
      <c r="K405" s="92"/>
    </row>
    <row r="406" spans="1:11">
      <c r="A406" s="97"/>
      <c r="B406" s="97"/>
      <c r="C406" s="97"/>
      <c r="D406" s="92"/>
      <c r="E406" s="92"/>
      <c r="F406" s="97"/>
      <c r="G406" s="97"/>
      <c r="H406" s="92"/>
      <c r="I406" s="111"/>
      <c r="J406" s="92"/>
      <c r="K406" s="92"/>
    </row>
    <row r="407" spans="1:11">
      <c r="A407" s="97"/>
      <c r="B407" s="97"/>
      <c r="C407" s="97"/>
      <c r="D407" s="92"/>
      <c r="E407" s="92"/>
      <c r="F407" s="97"/>
      <c r="G407" s="97"/>
      <c r="H407" s="92"/>
      <c r="I407" s="111"/>
      <c r="J407" s="92"/>
      <c r="K407" s="92"/>
    </row>
    <row r="408" spans="1:11">
      <c r="A408" s="97"/>
      <c r="B408" s="97"/>
      <c r="C408" s="97"/>
      <c r="D408" s="92"/>
      <c r="E408" s="92"/>
      <c r="F408" s="97"/>
      <c r="G408" s="97"/>
      <c r="H408" s="92"/>
      <c r="I408" s="111"/>
      <c r="J408" s="92"/>
      <c r="K408" s="92"/>
    </row>
    <row r="409" spans="1:11">
      <c r="A409" s="97"/>
      <c r="B409" s="97"/>
      <c r="C409" s="97"/>
      <c r="D409" s="92"/>
      <c r="E409" s="92"/>
      <c r="F409" s="97"/>
      <c r="G409" s="97"/>
      <c r="H409" s="92"/>
      <c r="I409" s="111"/>
      <c r="J409" s="92"/>
      <c r="K409" s="92"/>
    </row>
    <row r="410" spans="1:11">
      <c r="A410" s="97"/>
      <c r="B410" s="97"/>
      <c r="C410" s="97"/>
      <c r="D410" s="92"/>
      <c r="E410" s="92"/>
      <c r="F410" s="97"/>
      <c r="G410" s="97"/>
      <c r="H410" s="92"/>
      <c r="I410" s="111"/>
      <c r="J410" s="92"/>
      <c r="K410" s="92"/>
    </row>
    <row r="411" spans="1:11">
      <c r="A411" s="97"/>
      <c r="B411" s="97"/>
      <c r="C411" s="97"/>
      <c r="D411" s="92"/>
      <c r="E411" s="92"/>
      <c r="F411" s="97"/>
      <c r="G411" s="97"/>
      <c r="H411" s="92"/>
      <c r="I411" s="111"/>
      <c r="J411" s="92"/>
      <c r="K411" s="92"/>
    </row>
    <row r="412" spans="1:11">
      <c r="A412" s="97"/>
      <c r="B412" s="97"/>
      <c r="C412" s="97"/>
      <c r="D412" s="92"/>
      <c r="E412" s="92"/>
      <c r="F412" s="97"/>
      <c r="G412" s="97"/>
      <c r="H412" s="92"/>
      <c r="I412" s="111"/>
      <c r="J412" s="92"/>
      <c r="K412" s="92"/>
    </row>
    <row r="413" spans="1:11">
      <c r="A413" s="97"/>
      <c r="B413" s="97"/>
      <c r="C413" s="97"/>
      <c r="D413" s="92"/>
      <c r="E413" s="92"/>
      <c r="F413" s="97"/>
      <c r="G413" s="97"/>
      <c r="H413" s="92"/>
      <c r="I413" s="111"/>
      <c r="J413" s="92"/>
      <c r="K413" s="92"/>
    </row>
    <row r="414" spans="1:11">
      <c r="A414" s="97"/>
      <c r="B414" s="97"/>
      <c r="C414" s="97"/>
      <c r="D414" s="92"/>
      <c r="E414" s="92"/>
      <c r="F414" s="97"/>
      <c r="G414" s="97"/>
      <c r="H414" s="92"/>
      <c r="I414" s="111"/>
      <c r="J414" s="92"/>
      <c r="K414" s="92"/>
    </row>
    <row r="415" spans="1:11">
      <c r="A415" s="97"/>
      <c r="B415" s="97"/>
      <c r="C415" s="97"/>
      <c r="D415" s="92"/>
      <c r="E415" s="92"/>
      <c r="F415" s="97"/>
      <c r="G415" s="97"/>
      <c r="H415" s="92"/>
      <c r="I415" s="111"/>
      <c r="J415" s="92"/>
      <c r="K415" s="92"/>
    </row>
    <row r="416" spans="1:11">
      <c r="A416" s="97"/>
      <c r="B416" s="97"/>
      <c r="C416" s="97"/>
      <c r="D416" s="92"/>
      <c r="E416" s="92"/>
      <c r="F416" s="97"/>
      <c r="G416" s="97"/>
      <c r="H416" s="92"/>
      <c r="I416" s="111"/>
      <c r="J416" s="92"/>
      <c r="K416" s="92"/>
    </row>
    <row r="417" spans="1:11">
      <c r="A417" s="97"/>
      <c r="B417" s="97"/>
      <c r="C417" s="97"/>
      <c r="D417" s="92"/>
      <c r="E417" s="92"/>
      <c r="F417" s="97"/>
      <c r="G417" s="97"/>
      <c r="H417" s="92"/>
      <c r="I417" s="111"/>
      <c r="J417" s="92"/>
      <c r="K417" s="92"/>
    </row>
    <row r="418" spans="1:11">
      <c r="A418" s="97"/>
      <c r="B418" s="97"/>
      <c r="C418" s="97"/>
      <c r="D418" s="92"/>
      <c r="E418" s="92"/>
      <c r="F418" s="97"/>
      <c r="G418" s="97"/>
      <c r="H418" s="92"/>
      <c r="I418" s="111"/>
      <c r="J418" s="92"/>
      <c r="K418" s="92"/>
    </row>
    <row r="419" spans="1:11">
      <c r="A419" s="97"/>
      <c r="B419" s="97"/>
      <c r="C419" s="97"/>
      <c r="D419" s="92"/>
      <c r="E419" s="92"/>
      <c r="F419" s="97"/>
      <c r="G419" s="97"/>
      <c r="H419" s="92"/>
      <c r="I419" s="111"/>
      <c r="J419" s="92"/>
      <c r="K419" s="92"/>
    </row>
    <row r="420" spans="1:11">
      <c r="A420" s="97"/>
      <c r="B420" s="97"/>
      <c r="C420" s="97"/>
      <c r="D420" s="92"/>
      <c r="E420" s="92"/>
      <c r="F420" s="97"/>
      <c r="G420" s="97"/>
      <c r="H420" s="92"/>
      <c r="I420" s="111"/>
      <c r="J420" s="92"/>
      <c r="K420" s="92"/>
    </row>
    <row r="421" spans="1:11">
      <c r="A421" s="97"/>
      <c r="B421" s="97"/>
      <c r="C421" s="97"/>
      <c r="D421" s="92"/>
      <c r="E421" s="92"/>
      <c r="F421" s="97"/>
      <c r="G421" s="97"/>
      <c r="H421" s="92"/>
      <c r="I421" s="111"/>
      <c r="J421" s="92"/>
      <c r="K421" s="92"/>
    </row>
    <row r="422" spans="1:11">
      <c r="A422" s="97"/>
      <c r="B422" s="97"/>
      <c r="C422" s="97"/>
      <c r="D422" s="92"/>
      <c r="E422" s="92"/>
      <c r="F422" s="97"/>
      <c r="G422" s="97"/>
      <c r="H422" s="92"/>
      <c r="I422" s="111"/>
      <c r="J422" s="92"/>
      <c r="K422" s="92"/>
    </row>
    <row r="423" spans="1:11">
      <c r="A423" s="97"/>
      <c r="B423" s="97"/>
      <c r="C423" s="97"/>
      <c r="D423" s="92"/>
      <c r="E423" s="92"/>
      <c r="F423" s="97"/>
      <c r="G423" s="97"/>
      <c r="H423" s="92"/>
      <c r="I423" s="111"/>
      <c r="J423" s="92"/>
      <c r="K423" s="92"/>
    </row>
    <row r="424" spans="1:11">
      <c r="A424" s="97"/>
      <c r="B424" s="97"/>
      <c r="C424" s="97"/>
      <c r="D424" s="92"/>
      <c r="E424" s="92"/>
      <c r="F424" s="97"/>
      <c r="G424" s="97"/>
      <c r="H424" s="92"/>
      <c r="I424" s="111"/>
      <c r="J424" s="92"/>
      <c r="K424" s="92"/>
    </row>
    <row r="425" spans="1:11">
      <c r="A425" s="97"/>
      <c r="B425" s="97"/>
      <c r="C425" s="97"/>
      <c r="D425" s="92"/>
      <c r="E425" s="92"/>
      <c r="F425" s="97"/>
      <c r="G425" s="97"/>
      <c r="H425" s="92"/>
      <c r="I425" s="111"/>
      <c r="J425" s="92"/>
      <c r="K425" s="92"/>
    </row>
    <row r="426" spans="1:11">
      <c r="A426" s="97"/>
      <c r="B426" s="97"/>
      <c r="C426" s="97"/>
      <c r="D426" s="92"/>
      <c r="E426" s="92"/>
      <c r="F426" s="97"/>
      <c r="G426" s="97"/>
      <c r="H426" s="92"/>
      <c r="I426" s="111"/>
      <c r="J426" s="92"/>
      <c r="K426" s="92"/>
    </row>
    <row r="427" spans="1:11">
      <c r="A427" s="97"/>
      <c r="B427" s="97"/>
      <c r="C427" s="97"/>
      <c r="D427" s="92"/>
      <c r="E427" s="92"/>
      <c r="F427" s="97"/>
      <c r="G427" s="97"/>
      <c r="H427" s="92"/>
      <c r="I427" s="111"/>
      <c r="J427" s="92"/>
      <c r="K427" s="92"/>
    </row>
    <row r="428" spans="1:11">
      <c r="A428" s="97"/>
      <c r="B428" s="97"/>
      <c r="C428" s="97"/>
      <c r="D428" s="92"/>
      <c r="E428" s="92"/>
      <c r="F428" s="97"/>
      <c r="G428" s="97"/>
      <c r="H428" s="92"/>
      <c r="I428" s="111"/>
      <c r="J428" s="92"/>
      <c r="K428" s="92"/>
    </row>
    <row r="429" spans="1:11">
      <c r="A429" s="97"/>
      <c r="B429" s="97"/>
      <c r="C429" s="97"/>
      <c r="D429" s="92"/>
      <c r="E429" s="92"/>
      <c r="F429" s="97"/>
      <c r="G429" s="97"/>
      <c r="H429" s="92"/>
      <c r="I429" s="111"/>
      <c r="J429" s="92"/>
      <c r="K429" s="92"/>
    </row>
    <row r="430" spans="1:11">
      <c r="A430" s="97"/>
      <c r="B430" s="97"/>
      <c r="C430" s="97"/>
      <c r="D430" s="92"/>
      <c r="E430" s="92"/>
      <c r="F430" s="97"/>
      <c r="G430" s="97"/>
      <c r="H430" s="92"/>
      <c r="I430" s="111"/>
      <c r="J430" s="92"/>
      <c r="K430" s="92"/>
    </row>
    <row r="431" spans="1:11">
      <c r="A431" s="97"/>
      <c r="B431" s="97"/>
      <c r="C431" s="97"/>
      <c r="D431" s="92"/>
      <c r="E431" s="92"/>
      <c r="F431" s="97"/>
      <c r="G431" s="97"/>
      <c r="H431" s="92"/>
      <c r="I431" s="111"/>
      <c r="J431" s="92"/>
      <c r="K431" s="92"/>
    </row>
    <row r="432" spans="1:11">
      <c r="A432" s="97"/>
      <c r="B432" s="97"/>
      <c r="C432" s="97"/>
      <c r="D432" s="92"/>
      <c r="E432" s="92"/>
      <c r="F432" s="97"/>
      <c r="G432" s="97"/>
      <c r="H432" s="92"/>
      <c r="I432" s="111"/>
      <c r="J432" s="92"/>
      <c r="K432" s="92"/>
    </row>
    <row r="433" spans="1:11">
      <c r="A433" s="97"/>
      <c r="B433" s="97"/>
      <c r="C433" s="97"/>
      <c r="D433" s="92"/>
      <c r="E433" s="92"/>
      <c r="F433" s="97"/>
      <c r="G433" s="97"/>
      <c r="H433" s="92"/>
      <c r="I433" s="111"/>
      <c r="J433" s="92"/>
      <c r="K433" s="92"/>
    </row>
    <row r="434" spans="1:11">
      <c r="A434" s="97"/>
      <c r="B434" s="97"/>
      <c r="C434" s="97"/>
      <c r="D434" s="92"/>
      <c r="E434" s="92"/>
      <c r="F434" s="97"/>
      <c r="G434" s="97"/>
      <c r="H434" s="92"/>
      <c r="I434" s="111"/>
      <c r="J434" s="92"/>
      <c r="K434" s="92"/>
    </row>
    <row r="435" spans="1:11">
      <c r="A435" s="97"/>
      <c r="B435" s="97"/>
      <c r="C435" s="97"/>
      <c r="D435" s="92"/>
      <c r="E435" s="92"/>
      <c r="F435" s="97"/>
      <c r="G435" s="97"/>
      <c r="H435" s="92"/>
      <c r="I435" s="111"/>
      <c r="J435" s="92"/>
      <c r="K435" s="92"/>
    </row>
    <row r="436" spans="1:11">
      <c r="A436" s="97"/>
      <c r="B436" s="97"/>
      <c r="C436" s="97"/>
      <c r="D436" s="92"/>
      <c r="E436" s="92"/>
      <c r="F436" s="97"/>
      <c r="G436" s="97"/>
      <c r="H436" s="92"/>
      <c r="I436" s="111"/>
      <c r="J436" s="92"/>
      <c r="K436" s="92"/>
    </row>
    <row r="437" spans="1:11">
      <c r="A437" s="97"/>
      <c r="B437" s="97"/>
      <c r="C437" s="97"/>
      <c r="D437" s="92"/>
      <c r="E437" s="92"/>
      <c r="F437" s="97"/>
      <c r="G437" s="97"/>
      <c r="H437" s="92"/>
      <c r="I437" s="111"/>
      <c r="J437" s="92"/>
      <c r="K437" s="92"/>
    </row>
    <row r="438" spans="1:11">
      <c r="A438" s="97"/>
      <c r="B438" s="97"/>
      <c r="C438" s="97"/>
      <c r="D438" s="92"/>
      <c r="E438" s="92"/>
      <c r="F438" s="97"/>
      <c r="G438" s="97"/>
      <c r="H438" s="92"/>
      <c r="I438" s="111"/>
      <c r="J438" s="92"/>
      <c r="K438" s="92"/>
    </row>
    <row r="439" spans="1:11">
      <c r="A439" s="97"/>
      <c r="B439" s="97"/>
      <c r="C439" s="97"/>
      <c r="D439" s="92"/>
      <c r="E439" s="92"/>
      <c r="F439" s="97"/>
      <c r="G439" s="97"/>
      <c r="H439" s="92"/>
      <c r="I439" s="111"/>
      <c r="J439" s="92"/>
      <c r="K439" s="92"/>
    </row>
    <row r="440" spans="1:11">
      <c r="A440" s="97"/>
      <c r="B440" s="97"/>
      <c r="C440" s="97"/>
      <c r="D440" s="92"/>
      <c r="E440" s="92"/>
      <c r="F440" s="97"/>
      <c r="G440" s="97"/>
      <c r="H440" s="92"/>
      <c r="I440" s="111"/>
      <c r="J440" s="92"/>
      <c r="K440" s="92"/>
    </row>
    <row r="441" spans="1:11">
      <c r="A441" s="97"/>
      <c r="B441" s="97"/>
      <c r="C441" s="97"/>
      <c r="D441" s="92"/>
      <c r="E441" s="92"/>
      <c r="F441" s="97"/>
      <c r="G441" s="97"/>
      <c r="H441" s="92"/>
      <c r="I441" s="111"/>
      <c r="J441" s="92"/>
      <c r="K441" s="92"/>
    </row>
    <row r="442" spans="1:11">
      <c r="A442" s="97"/>
      <c r="B442" s="97"/>
      <c r="C442" s="97"/>
      <c r="D442" s="92"/>
      <c r="E442" s="92"/>
      <c r="F442" s="97"/>
      <c r="G442" s="97"/>
      <c r="H442" s="92"/>
      <c r="I442" s="111"/>
      <c r="J442" s="92"/>
      <c r="K442" s="92"/>
    </row>
    <row r="443" spans="1:11">
      <c r="A443" s="97"/>
      <c r="B443" s="97"/>
      <c r="C443" s="97"/>
      <c r="D443" s="92"/>
      <c r="E443" s="92"/>
      <c r="F443" s="97"/>
      <c r="G443" s="97"/>
      <c r="H443" s="92"/>
      <c r="I443" s="111"/>
      <c r="J443" s="92"/>
      <c r="K443" s="92"/>
    </row>
    <row r="444" spans="1:11">
      <c r="A444" s="97"/>
      <c r="B444" s="97"/>
      <c r="C444" s="97"/>
      <c r="D444" s="92"/>
      <c r="E444" s="92"/>
      <c r="F444" s="97"/>
      <c r="G444" s="97"/>
      <c r="H444" s="92"/>
      <c r="I444" s="111"/>
      <c r="J444" s="92"/>
      <c r="K444" s="92"/>
    </row>
    <row r="445" spans="1:11">
      <c r="A445" s="97"/>
      <c r="B445" s="97"/>
      <c r="C445" s="97"/>
      <c r="D445" s="92"/>
      <c r="E445" s="92"/>
      <c r="F445" s="97"/>
      <c r="G445" s="97"/>
      <c r="H445" s="92"/>
      <c r="I445" s="111"/>
      <c r="J445" s="92"/>
      <c r="K445" s="92"/>
    </row>
    <row r="446" spans="1:11">
      <c r="A446" s="97"/>
      <c r="B446" s="97"/>
      <c r="C446" s="97"/>
      <c r="D446" s="92"/>
      <c r="E446" s="92"/>
      <c r="F446" s="97"/>
      <c r="G446" s="97"/>
      <c r="H446" s="92"/>
      <c r="I446" s="111"/>
      <c r="J446" s="92"/>
      <c r="K446" s="92"/>
    </row>
    <row r="447" spans="1:11">
      <c r="A447" s="97"/>
      <c r="B447" s="97"/>
      <c r="C447" s="97"/>
      <c r="D447" s="92"/>
      <c r="E447" s="92"/>
      <c r="F447" s="97"/>
      <c r="G447" s="97"/>
      <c r="H447" s="92"/>
      <c r="I447" s="111"/>
      <c r="J447" s="92"/>
      <c r="K447" s="92"/>
    </row>
    <row r="448" spans="1:11">
      <c r="A448" s="97"/>
      <c r="B448" s="97"/>
      <c r="C448" s="97"/>
      <c r="D448" s="92"/>
      <c r="E448" s="92"/>
      <c r="F448" s="97"/>
      <c r="G448" s="97"/>
      <c r="H448" s="92"/>
      <c r="I448" s="111"/>
      <c r="J448" s="92"/>
      <c r="K448" s="92"/>
    </row>
    <row r="449" spans="1:11">
      <c r="A449" s="97"/>
      <c r="B449" s="97"/>
      <c r="C449" s="97"/>
      <c r="D449" s="92"/>
      <c r="E449" s="92"/>
      <c r="F449" s="97"/>
      <c r="G449" s="97"/>
      <c r="H449" s="92"/>
      <c r="I449" s="111"/>
      <c r="J449" s="92"/>
      <c r="K449" s="92"/>
    </row>
    <row r="450" spans="1:11">
      <c r="A450" s="97"/>
      <c r="B450" s="97"/>
      <c r="C450" s="97"/>
      <c r="D450" s="92"/>
      <c r="E450" s="92"/>
      <c r="F450" s="97"/>
      <c r="G450" s="97"/>
      <c r="H450" s="92"/>
      <c r="I450" s="111"/>
      <c r="J450" s="92"/>
      <c r="K450" s="92"/>
    </row>
    <row r="451" spans="1:11">
      <c r="A451" s="97"/>
      <c r="B451" s="97"/>
      <c r="C451" s="97"/>
      <c r="D451" s="92"/>
      <c r="E451" s="92"/>
      <c r="F451" s="97"/>
      <c r="G451" s="97"/>
      <c r="H451" s="92"/>
      <c r="I451" s="111"/>
      <c r="J451" s="92"/>
      <c r="K451" s="92"/>
    </row>
    <row r="452" spans="1:11">
      <c r="A452" s="97"/>
      <c r="B452" s="97"/>
      <c r="C452" s="97"/>
      <c r="D452" s="92"/>
      <c r="E452" s="92"/>
      <c r="F452" s="97"/>
      <c r="G452" s="97"/>
      <c r="H452" s="92"/>
      <c r="I452" s="111"/>
      <c r="J452" s="92"/>
      <c r="K452" s="92"/>
    </row>
    <row r="453" spans="1:11">
      <c r="A453" s="97"/>
      <c r="B453" s="97"/>
      <c r="C453" s="97"/>
      <c r="D453" s="92"/>
      <c r="E453" s="92"/>
      <c r="F453" s="97"/>
      <c r="G453" s="97"/>
      <c r="H453" s="92"/>
      <c r="I453" s="111"/>
      <c r="J453" s="92"/>
      <c r="K453" s="92"/>
    </row>
    <row r="454" spans="1:11">
      <c r="A454" s="97"/>
      <c r="B454" s="97"/>
      <c r="C454" s="97"/>
      <c r="D454" s="92"/>
      <c r="E454" s="92"/>
      <c r="F454" s="97"/>
      <c r="G454" s="97"/>
      <c r="H454" s="92"/>
      <c r="I454" s="111"/>
      <c r="J454" s="92"/>
      <c r="K454" s="92"/>
    </row>
    <row r="455" spans="1:11">
      <c r="A455" s="97"/>
      <c r="B455" s="97"/>
      <c r="C455" s="97"/>
      <c r="D455" s="92"/>
      <c r="E455" s="92"/>
      <c r="F455" s="97"/>
      <c r="G455" s="97"/>
      <c r="H455" s="92"/>
      <c r="I455" s="111"/>
      <c r="J455" s="92"/>
      <c r="K455" s="92"/>
    </row>
    <row r="456" spans="1:11">
      <c r="A456" s="97"/>
      <c r="B456" s="97"/>
      <c r="C456" s="97"/>
      <c r="D456" s="92"/>
      <c r="E456" s="92"/>
      <c r="F456" s="97"/>
      <c r="G456" s="97"/>
      <c r="H456" s="92"/>
      <c r="I456" s="111"/>
      <c r="J456" s="92"/>
      <c r="K456" s="92"/>
    </row>
    <row r="457" spans="1:11">
      <c r="A457" s="97"/>
      <c r="B457" s="97"/>
      <c r="C457" s="97"/>
      <c r="D457" s="92"/>
      <c r="E457" s="92"/>
      <c r="F457" s="97"/>
      <c r="G457" s="97"/>
      <c r="H457" s="92"/>
      <c r="I457" s="111"/>
      <c r="J457" s="92"/>
      <c r="K457" s="92"/>
    </row>
    <row r="458" spans="1:11">
      <c r="A458" s="97"/>
      <c r="B458" s="97"/>
      <c r="C458" s="97"/>
      <c r="D458" s="92"/>
      <c r="E458" s="92"/>
      <c r="F458" s="97"/>
      <c r="G458" s="97"/>
      <c r="H458" s="92"/>
      <c r="I458" s="111"/>
      <c r="J458" s="92"/>
      <c r="K458" s="92"/>
    </row>
    <row r="459" spans="1:11">
      <c r="A459" s="97"/>
      <c r="B459" s="97"/>
      <c r="C459" s="97"/>
      <c r="D459" s="92"/>
      <c r="E459" s="92"/>
      <c r="F459" s="97"/>
      <c r="G459" s="97"/>
      <c r="H459" s="92"/>
      <c r="I459" s="111"/>
      <c r="J459" s="92"/>
      <c r="K459" s="92"/>
    </row>
    <row r="460" spans="1:11">
      <c r="A460" s="97"/>
      <c r="B460" s="97"/>
      <c r="C460" s="97"/>
      <c r="D460" s="92"/>
      <c r="E460" s="92"/>
      <c r="F460" s="97"/>
      <c r="G460" s="97"/>
      <c r="H460" s="92"/>
      <c r="I460" s="111"/>
      <c r="J460" s="92"/>
      <c r="K460" s="92"/>
    </row>
    <row r="461" spans="1:11">
      <c r="A461" s="97"/>
      <c r="B461" s="97"/>
      <c r="C461" s="97"/>
      <c r="D461" s="92"/>
      <c r="E461" s="92"/>
      <c r="F461" s="97"/>
      <c r="G461" s="97"/>
      <c r="H461" s="92"/>
      <c r="I461" s="111"/>
      <c r="J461" s="92"/>
      <c r="K461" s="92"/>
    </row>
    <row r="462" spans="1:11">
      <c r="A462" s="97"/>
      <c r="B462" s="97"/>
      <c r="C462" s="97"/>
      <c r="D462" s="92"/>
      <c r="E462" s="92"/>
      <c r="F462" s="97"/>
      <c r="G462" s="97"/>
      <c r="H462" s="92"/>
      <c r="I462" s="111"/>
      <c r="J462" s="92"/>
      <c r="K462" s="92"/>
    </row>
    <row r="463" spans="1:11">
      <c r="A463" s="97"/>
      <c r="B463" s="97"/>
      <c r="C463" s="97"/>
      <c r="D463" s="92"/>
      <c r="E463" s="92"/>
      <c r="F463" s="97"/>
      <c r="G463" s="97"/>
      <c r="H463" s="92"/>
      <c r="I463" s="111"/>
      <c r="J463" s="92"/>
      <c r="K463" s="92"/>
    </row>
    <row r="464" spans="1:11">
      <c r="A464" s="97"/>
      <c r="B464" s="97"/>
      <c r="C464" s="97"/>
      <c r="D464" s="92"/>
      <c r="E464" s="92"/>
      <c r="F464" s="97"/>
      <c r="G464" s="97"/>
      <c r="H464" s="92"/>
      <c r="I464" s="111"/>
      <c r="J464" s="92"/>
      <c r="K464" s="92"/>
    </row>
    <row r="465" spans="1:11">
      <c r="A465" s="97"/>
      <c r="B465" s="97"/>
      <c r="C465" s="97"/>
      <c r="D465" s="92"/>
      <c r="E465" s="92"/>
      <c r="F465" s="97"/>
      <c r="G465" s="97"/>
      <c r="H465" s="92"/>
      <c r="I465" s="111"/>
      <c r="J465" s="92"/>
      <c r="K465" s="92"/>
    </row>
    <row r="466" spans="1:11">
      <c r="A466" s="97"/>
      <c r="B466" s="97"/>
      <c r="C466" s="97"/>
      <c r="D466" s="92"/>
      <c r="E466" s="92"/>
      <c r="F466" s="97"/>
      <c r="G466" s="97"/>
      <c r="H466" s="92"/>
      <c r="I466" s="111"/>
      <c r="J466" s="92"/>
      <c r="K466" s="92"/>
    </row>
    <row r="467" spans="1:11">
      <c r="A467" s="97"/>
      <c r="B467" s="97"/>
      <c r="C467" s="97"/>
      <c r="D467" s="92"/>
      <c r="E467" s="92"/>
      <c r="F467" s="97"/>
      <c r="G467" s="97"/>
      <c r="H467" s="92"/>
      <c r="I467" s="111"/>
      <c r="J467" s="92"/>
      <c r="K467" s="92"/>
    </row>
    <row r="468" spans="1:11">
      <c r="A468" s="97"/>
      <c r="B468" s="97"/>
      <c r="C468" s="97"/>
      <c r="D468" s="92"/>
      <c r="E468" s="92"/>
      <c r="F468" s="97"/>
      <c r="G468" s="97"/>
      <c r="H468" s="92"/>
      <c r="I468" s="111"/>
      <c r="J468" s="92"/>
      <c r="K468" s="92"/>
    </row>
    <row r="469" spans="1:11">
      <c r="A469" s="97"/>
      <c r="B469" s="97"/>
      <c r="C469" s="97"/>
      <c r="D469" s="92"/>
      <c r="E469" s="92"/>
      <c r="F469" s="97"/>
      <c r="G469" s="97"/>
      <c r="H469" s="92"/>
      <c r="I469" s="111"/>
      <c r="J469" s="92"/>
      <c r="K469" s="92"/>
    </row>
    <row r="470" spans="1:11">
      <c r="A470" s="97"/>
      <c r="B470" s="97"/>
      <c r="C470" s="97"/>
      <c r="D470" s="92"/>
      <c r="E470" s="92"/>
      <c r="F470" s="97"/>
      <c r="G470" s="97"/>
      <c r="H470" s="92"/>
      <c r="I470" s="111"/>
      <c r="J470" s="92"/>
      <c r="K470" s="92"/>
    </row>
    <row r="471" spans="1:11">
      <c r="A471" s="97"/>
      <c r="B471" s="97"/>
      <c r="C471" s="97"/>
      <c r="D471" s="92"/>
      <c r="E471" s="92"/>
      <c r="F471" s="97"/>
      <c r="G471" s="97"/>
      <c r="H471" s="92"/>
      <c r="I471" s="111"/>
      <c r="J471" s="92"/>
      <c r="K471" s="92"/>
    </row>
    <row r="472" spans="1:11">
      <c r="A472" s="97"/>
      <c r="B472" s="97"/>
      <c r="C472" s="97"/>
      <c r="D472" s="92"/>
      <c r="E472" s="92"/>
      <c r="F472" s="97"/>
      <c r="G472" s="97"/>
      <c r="H472" s="92"/>
      <c r="I472" s="111"/>
      <c r="J472" s="92"/>
      <c r="K472" s="92"/>
    </row>
    <row r="473" spans="1:11">
      <c r="A473" s="97"/>
      <c r="B473" s="97"/>
      <c r="C473" s="97"/>
      <c r="D473" s="92"/>
      <c r="E473" s="92"/>
      <c r="F473" s="97"/>
      <c r="G473" s="97"/>
      <c r="H473" s="92"/>
      <c r="I473" s="111"/>
      <c r="J473" s="92"/>
      <c r="K473" s="92"/>
    </row>
    <row r="474" spans="1:11">
      <c r="A474" s="97"/>
      <c r="B474" s="97"/>
      <c r="C474" s="97"/>
      <c r="D474" s="92"/>
      <c r="E474" s="92"/>
      <c r="F474" s="97"/>
      <c r="G474" s="97"/>
      <c r="H474" s="92"/>
      <c r="I474" s="111"/>
      <c r="J474" s="92"/>
      <c r="K474" s="92"/>
    </row>
    <row r="475" spans="1:11">
      <c r="A475" s="97"/>
      <c r="B475" s="97"/>
      <c r="C475" s="97"/>
      <c r="D475" s="92"/>
      <c r="E475" s="92"/>
      <c r="F475" s="97"/>
      <c r="G475" s="97"/>
      <c r="H475" s="92"/>
      <c r="I475" s="111"/>
      <c r="J475" s="92"/>
      <c r="K475" s="92"/>
    </row>
    <row r="476" spans="1:11">
      <c r="A476" s="97"/>
      <c r="B476" s="97"/>
      <c r="C476" s="97"/>
      <c r="D476" s="92"/>
      <c r="E476" s="92"/>
      <c r="F476" s="97"/>
      <c r="G476" s="97"/>
      <c r="H476" s="92"/>
      <c r="I476" s="111"/>
      <c r="J476" s="92"/>
      <c r="K476" s="92"/>
    </row>
    <row r="477" spans="1:11">
      <c r="A477" s="97"/>
      <c r="B477" s="97"/>
      <c r="C477" s="97"/>
      <c r="D477" s="92"/>
      <c r="E477" s="92"/>
      <c r="F477" s="97"/>
      <c r="G477" s="97"/>
      <c r="H477" s="92"/>
      <c r="I477" s="111"/>
      <c r="J477" s="92"/>
      <c r="K477" s="92"/>
    </row>
    <row r="478" spans="1:11">
      <c r="A478" s="97"/>
      <c r="B478" s="97"/>
      <c r="C478" s="97"/>
      <c r="D478" s="92"/>
      <c r="E478" s="92"/>
      <c r="F478" s="97"/>
      <c r="G478" s="97"/>
      <c r="H478" s="92"/>
      <c r="I478" s="111"/>
      <c r="J478" s="92"/>
      <c r="K478" s="92"/>
    </row>
    <row r="479" spans="1:11">
      <c r="A479" s="97"/>
      <c r="B479" s="97"/>
      <c r="C479" s="97"/>
      <c r="D479" s="92"/>
      <c r="E479" s="92"/>
      <c r="F479" s="97"/>
      <c r="G479" s="97"/>
      <c r="H479" s="92"/>
      <c r="I479" s="111"/>
      <c r="J479" s="92"/>
      <c r="K479" s="92"/>
    </row>
    <row r="480" spans="1:11">
      <c r="A480" s="97"/>
      <c r="B480" s="97"/>
      <c r="C480" s="97"/>
      <c r="D480" s="92"/>
      <c r="E480" s="92"/>
      <c r="F480" s="97"/>
      <c r="G480" s="97"/>
      <c r="H480" s="92"/>
      <c r="I480" s="111"/>
      <c r="J480" s="92"/>
      <c r="K480" s="92"/>
    </row>
    <row r="481" spans="1:11">
      <c r="A481" s="97"/>
      <c r="B481" s="97"/>
      <c r="C481" s="97"/>
      <c r="D481" s="92"/>
      <c r="E481" s="92"/>
      <c r="F481" s="97"/>
      <c r="G481" s="97"/>
      <c r="H481" s="92"/>
      <c r="I481" s="111"/>
      <c r="J481" s="92"/>
      <c r="K481" s="92"/>
    </row>
    <row r="482" spans="1:11">
      <c r="A482" s="97"/>
      <c r="B482" s="97"/>
      <c r="C482" s="97"/>
      <c r="D482" s="92"/>
      <c r="E482" s="92"/>
      <c r="F482" s="97"/>
      <c r="G482" s="97"/>
      <c r="H482" s="92"/>
      <c r="I482" s="111"/>
      <c r="J482" s="92"/>
      <c r="K482" s="92"/>
    </row>
    <row r="483" spans="1:11">
      <c r="A483" s="97"/>
      <c r="B483" s="97"/>
      <c r="C483" s="97"/>
      <c r="D483" s="92"/>
      <c r="E483" s="92"/>
      <c r="F483" s="97"/>
      <c r="G483" s="97"/>
      <c r="H483" s="92"/>
      <c r="I483" s="111"/>
      <c r="J483" s="92"/>
      <c r="K483" s="92"/>
    </row>
    <row r="484" spans="1:11">
      <c r="A484" s="97"/>
      <c r="B484" s="97"/>
      <c r="C484" s="97"/>
      <c r="D484" s="92"/>
      <c r="E484" s="92"/>
      <c r="F484" s="97"/>
      <c r="G484" s="97"/>
      <c r="H484" s="92"/>
      <c r="I484" s="111"/>
      <c r="J484" s="92"/>
      <c r="K484" s="92"/>
    </row>
    <row r="485" spans="1:11">
      <c r="A485" s="97"/>
      <c r="B485" s="97"/>
      <c r="C485" s="97"/>
      <c r="D485" s="92"/>
      <c r="E485" s="92"/>
      <c r="F485" s="97"/>
      <c r="G485" s="97"/>
      <c r="H485" s="92"/>
      <c r="I485" s="111"/>
      <c r="J485" s="92"/>
      <c r="K485" s="92"/>
    </row>
    <row r="486" spans="1:11">
      <c r="A486" s="97"/>
      <c r="B486" s="97"/>
      <c r="C486" s="97"/>
      <c r="D486" s="92"/>
      <c r="E486" s="92"/>
      <c r="F486" s="97"/>
      <c r="G486" s="97"/>
      <c r="H486" s="92"/>
      <c r="I486" s="111"/>
      <c r="J486" s="92"/>
      <c r="K486" s="92"/>
    </row>
    <row r="487" spans="1:11">
      <c r="A487" s="97"/>
      <c r="B487" s="97"/>
      <c r="C487" s="97"/>
      <c r="D487" s="92"/>
      <c r="E487" s="92"/>
      <c r="F487" s="97"/>
      <c r="G487" s="97"/>
      <c r="H487" s="92"/>
      <c r="I487" s="111"/>
      <c r="J487" s="92"/>
      <c r="K487" s="92"/>
    </row>
    <row r="488" spans="1:11">
      <c r="A488" s="97"/>
      <c r="B488" s="97"/>
      <c r="C488" s="97"/>
      <c r="D488" s="92"/>
      <c r="E488" s="92"/>
      <c r="F488" s="97"/>
      <c r="G488" s="97"/>
      <c r="H488" s="92"/>
      <c r="I488" s="111"/>
      <c r="J488" s="92"/>
      <c r="K488" s="92"/>
    </row>
    <row r="489" spans="1:11">
      <c r="A489" s="97"/>
      <c r="B489" s="97"/>
      <c r="C489" s="97"/>
      <c r="D489" s="92"/>
      <c r="E489" s="92"/>
      <c r="F489" s="97"/>
      <c r="G489" s="97"/>
      <c r="H489" s="92"/>
      <c r="I489" s="111"/>
      <c r="J489" s="92"/>
      <c r="K489" s="92"/>
    </row>
    <row r="490" spans="1:11">
      <c r="A490" s="97"/>
      <c r="B490" s="97"/>
      <c r="C490" s="97"/>
      <c r="D490" s="92"/>
      <c r="E490" s="92"/>
      <c r="F490" s="97"/>
      <c r="G490" s="97"/>
      <c r="H490" s="92"/>
      <c r="I490" s="111"/>
      <c r="J490" s="92"/>
      <c r="K490" s="92"/>
    </row>
    <row r="491" spans="1:11">
      <c r="A491" s="97"/>
      <c r="B491" s="97"/>
      <c r="C491" s="97"/>
      <c r="D491" s="92"/>
      <c r="E491" s="92"/>
      <c r="F491" s="97"/>
      <c r="G491" s="97"/>
      <c r="H491" s="92"/>
      <c r="I491" s="111"/>
      <c r="J491" s="92"/>
      <c r="K491" s="92"/>
    </row>
    <row r="492" spans="1:11">
      <c r="A492" s="97"/>
      <c r="B492" s="97"/>
      <c r="C492" s="97"/>
      <c r="D492" s="92"/>
      <c r="E492" s="92"/>
      <c r="F492" s="97"/>
      <c r="G492" s="97"/>
      <c r="H492" s="92"/>
      <c r="I492" s="111"/>
      <c r="J492" s="92"/>
      <c r="K492" s="92"/>
    </row>
    <row r="493" spans="1:11">
      <c r="A493" s="97"/>
      <c r="B493" s="97"/>
      <c r="C493" s="97"/>
      <c r="D493" s="92"/>
      <c r="E493" s="92"/>
      <c r="F493" s="97"/>
      <c r="G493" s="97"/>
      <c r="H493" s="92"/>
      <c r="I493" s="111"/>
      <c r="J493" s="92"/>
      <c r="K493" s="92"/>
    </row>
    <row r="494" spans="1:11">
      <c r="A494" s="97"/>
      <c r="B494" s="97"/>
      <c r="C494" s="97"/>
      <c r="D494" s="92"/>
      <c r="E494" s="92"/>
      <c r="F494" s="97"/>
      <c r="G494" s="97"/>
      <c r="H494" s="92"/>
      <c r="I494" s="111"/>
      <c r="J494" s="92"/>
      <c r="K494" s="92"/>
    </row>
    <row r="495" spans="1:11">
      <c r="A495" s="97"/>
      <c r="B495" s="97"/>
      <c r="C495" s="97"/>
      <c r="D495" s="92"/>
      <c r="E495" s="92"/>
      <c r="F495" s="97"/>
      <c r="G495" s="97"/>
      <c r="H495" s="92"/>
      <c r="I495" s="111"/>
      <c r="J495" s="92"/>
      <c r="K495" s="92"/>
    </row>
    <row r="496" spans="1:11">
      <c r="A496" s="97"/>
      <c r="B496" s="97"/>
      <c r="C496" s="97"/>
      <c r="D496" s="92"/>
      <c r="E496" s="92"/>
      <c r="F496" s="97"/>
      <c r="G496" s="97"/>
      <c r="H496" s="92"/>
      <c r="I496" s="111"/>
      <c r="J496" s="92"/>
      <c r="K496" s="92"/>
    </row>
    <row r="497" spans="1:11">
      <c r="A497" s="97"/>
      <c r="B497" s="97"/>
      <c r="C497" s="97"/>
      <c r="D497" s="92"/>
      <c r="E497" s="92"/>
      <c r="F497" s="97"/>
      <c r="G497" s="97"/>
      <c r="H497" s="92"/>
      <c r="I497" s="111"/>
      <c r="J497" s="92"/>
      <c r="K497" s="92"/>
    </row>
    <row r="498" spans="1:11">
      <c r="A498" s="97"/>
      <c r="B498" s="97"/>
      <c r="C498" s="97"/>
      <c r="D498" s="92"/>
      <c r="E498" s="92"/>
      <c r="F498" s="97"/>
      <c r="G498" s="97"/>
      <c r="H498" s="92"/>
      <c r="I498" s="111"/>
      <c r="J498" s="92"/>
      <c r="K498" s="92"/>
    </row>
    <row r="499" spans="1:11">
      <c r="A499" s="97"/>
      <c r="B499" s="97"/>
      <c r="C499" s="97"/>
      <c r="D499" s="92"/>
      <c r="E499" s="92"/>
      <c r="F499" s="97"/>
      <c r="G499" s="97"/>
      <c r="H499" s="92"/>
      <c r="I499" s="111"/>
      <c r="J499" s="92"/>
      <c r="K499" s="92"/>
    </row>
    <row r="500" spans="1:11">
      <c r="A500" s="97"/>
      <c r="B500" s="97"/>
      <c r="C500" s="97"/>
      <c r="D500" s="92"/>
      <c r="E500" s="92"/>
      <c r="F500" s="97"/>
      <c r="G500" s="97"/>
      <c r="H500" s="92"/>
      <c r="I500" s="111"/>
      <c r="J500" s="92"/>
      <c r="K500" s="92"/>
    </row>
    <row r="501" spans="1:11">
      <c r="A501" s="97"/>
      <c r="B501" s="97"/>
      <c r="C501" s="97"/>
      <c r="D501" s="92"/>
      <c r="E501" s="92"/>
      <c r="F501" s="97"/>
      <c r="G501" s="97"/>
      <c r="H501" s="92"/>
      <c r="I501" s="111"/>
      <c r="J501" s="92"/>
      <c r="K501" s="92"/>
    </row>
    <row r="502" spans="1:11">
      <c r="A502" s="97"/>
      <c r="B502" s="97"/>
      <c r="C502" s="97"/>
      <c r="D502" s="92"/>
      <c r="E502" s="92"/>
      <c r="F502" s="97"/>
      <c r="G502" s="97"/>
      <c r="H502" s="92"/>
      <c r="I502" s="111"/>
      <c r="J502" s="92"/>
      <c r="K502" s="92"/>
    </row>
    <row r="503" spans="1:11">
      <c r="A503" s="97"/>
      <c r="B503" s="97"/>
      <c r="C503" s="97"/>
      <c r="D503" s="92"/>
      <c r="E503" s="92"/>
      <c r="F503" s="97"/>
      <c r="G503" s="97"/>
      <c r="H503" s="92"/>
      <c r="I503" s="111"/>
      <c r="J503" s="92"/>
      <c r="K503" s="92"/>
    </row>
    <row r="504" spans="1:11">
      <c r="A504" s="97"/>
      <c r="B504" s="97"/>
      <c r="C504" s="97"/>
      <c r="D504" s="92"/>
      <c r="E504" s="92"/>
      <c r="F504" s="97"/>
      <c r="G504" s="97"/>
      <c r="H504" s="92"/>
      <c r="I504" s="111"/>
      <c r="J504" s="92"/>
      <c r="K504" s="92"/>
    </row>
    <row r="505" spans="1:11">
      <c r="A505" s="97"/>
      <c r="B505" s="97"/>
      <c r="C505" s="97"/>
      <c r="D505" s="92"/>
      <c r="E505" s="92"/>
      <c r="F505" s="97"/>
      <c r="G505" s="97"/>
      <c r="H505" s="92"/>
      <c r="I505" s="111"/>
      <c r="J505" s="92"/>
      <c r="K505" s="92"/>
    </row>
    <row r="506" spans="1:11">
      <c r="A506" s="97"/>
      <c r="B506" s="97"/>
      <c r="C506" s="97"/>
      <c r="D506" s="92"/>
      <c r="E506" s="92"/>
      <c r="F506" s="97"/>
      <c r="G506" s="97"/>
      <c r="H506" s="92"/>
      <c r="I506" s="111"/>
      <c r="J506" s="92"/>
      <c r="K506" s="92"/>
    </row>
    <row r="507" spans="1:11">
      <c r="A507" s="97"/>
      <c r="B507" s="97"/>
      <c r="C507" s="97"/>
      <c r="D507" s="92"/>
      <c r="E507" s="92"/>
      <c r="F507" s="97"/>
      <c r="G507" s="97"/>
      <c r="H507" s="92"/>
      <c r="I507" s="111"/>
      <c r="J507" s="92"/>
      <c r="K507" s="92"/>
    </row>
    <row r="508" spans="1:11">
      <c r="A508" s="97"/>
      <c r="B508" s="97"/>
      <c r="C508" s="97"/>
      <c r="D508" s="92"/>
      <c r="E508" s="92"/>
      <c r="F508" s="97"/>
      <c r="G508" s="97"/>
      <c r="H508" s="92"/>
      <c r="I508" s="111"/>
      <c r="J508" s="92"/>
      <c r="K508" s="92"/>
    </row>
    <row r="509" spans="1:11">
      <c r="A509" s="97"/>
      <c r="B509" s="97"/>
      <c r="C509" s="97"/>
      <c r="D509" s="92"/>
      <c r="E509" s="92"/>
      <c r="F509" s="97"/>
      <c r="G509" s="97"/>
      <c r="H509" s="92"/>
      <c r="I509" s="111"/>
      <c r="J509" s="92"/>
      <c r="K509" s="92"/>
    </row>
    <row r="510" spans="1:11">
      <c r="A510" s="97"/>
      <c r="B510" s="97"/>
      <c r="C510" s="97"/>
      <c r="D510" s="92"/>
      <c r="E510" s="92"/>
      <c r="F510" s="97"/>
      <c r="G510" s="97"/>
      <c r="H510" s="92"/>
      <c r="I510" s="111"/>
      <c r="J510" s="92"/>
      <c r="K510" s="92"/>
    </row>
    <row r="511" spans="1:11">
      <c r="A511" s="97"/>
      <c r="B511" s="97"/>
      <c r="C511" s="97"/>
      <c r="D511" s="92"/>
      <c r="E511" s="92"/>
      <c r="F511" s="97"/>
      <c r="G511" s="97"/>
      <c r="H511" s="92"/>
      <c r="I511" s="111"/>
      <c r="J511" s="92"/>
      <c r="K511" s="92"/>
    </row>
    <row r="512" spans="1:11">
      <c r="A512" s="97"/>
      <c r="B512" s="97"/>
      <c r="C512" s="97"/>
      <c r="D512" s="92"/>
      <c r="E512" s="92"/>
      <c r="F512" s="97"/>
      <c r="G512" s="97"/>
      <c r="H512" s="92"/>
      <c r="I512" s="111"/>
      <c r="J512" s="92"/>
      <c r="K512" s="92"/>
    </row>
    <row r="513" spans="1:11">
      <c r="A513" s="97"/>
      <c r="B513" s="97"/>
      <c r="C513" s="97"/>
      <c r="D513" s="92"/>
      <c r="E513" s="92"/>
      <c r="F513" s="97"/>
      <c r="G513" s="97"/>
      <c r="H513" s="92"/>
      <c r="I513" s="111"/>
      <c r="J513" s="92"/>
      <c r="K513" s="92"/>
    </row>
    <row r="514" spans="1:11">
      <c r="A514" s="97"/>
      <c r="B514" s="97"/>
      <c r="C514" s="97"/>
      <c r="D514" s="92"/>
      <c r="E514" s="92"/>
      <c r="F514" s="97"/>
      <c r="G514" s="97"/>
      <c r="H514" s="92"/>
      <c r="I514" s="111"/>
      <c r="J514" s="92"/>
      <c r="K514" s="92"/>
    </row>
    <row r="515" spans="1:11">
      <c r="A515" s="97"/>
      <c r="B515" s="97"/>
      <c r="C515" s="97"/>
      <c r="D515" s="92"/>
      <c r="E515" s="92"/>
      <c r="F515" s="97"/>
      <c r="G515" s="97"/>
      <c r="H515" s="92"/>
      <c r="I515" s="111"/>
      <c r="J515" s="92"/>
      <c r="K515" s="92"/>
    </row>
    <row r="516" spans="1:11">
      <c r="A516" s="97"/>
      <c r="B516" s="97"/>
      <c r="C516" s="97"/>
      <c r="D516" s="92"/>
      <c r="E516" s="92"/>
      <c r="F516" s="97"/>
      <c r="G516" s="97"/>
      <c r="H516" s="92"/>
      <c r="I516" s="111"/>
      <c r="J516" s="92"/>
      <c r="K516" s="92"/>
    </row>
    <row r="517" spans="1:11">
      <c r="A517" s="97"/>
      <c r="B517" s="97"/>
      <c r="C517" s="97"/>
      <c r="D517" s="92"/>
      <c r="E517" s="92"/>
      <c r="F517" s="97"/>
      <c r="G517" s="97"/>
      <c r="H517" s="92"/>
      <c r="I517" s="111"/>
      <c r="J517" s="92"/>
      <c r="K517" s="92"/>
    </row>
    <row r="518" spans="1:11">
      <c r="A518" s="97"/>
      <c r="B518" s="97"/>
      <c r="C518" s="97"/>
      <c r="D518" s="92"/>
      <c r="E518" s="92"/>
      <c r="F518" s="97"/>
      <c r="G518" s="97"/>
      <c r="H518" s="92"/>
      <c r="I518" s="111"/>
      <c r="J518" s="92"/>
      <c r="K518" s="92"/>
    </row>
    <row r="519" spans="1:11">
      <c r="A519" s="97"/>
      <c r="B519" s="97"/>
      <c r="C519" s="97"/>
      <c r="D519" s="92"/>
      <c r="E519" s="92"/>
      <c r="F519" s="97"/>
      <c r="G519" s="97"/>
      <c r="H519" s="92"/>
      <c r="I519" s="111"/>
      <c r="J519" s="92"/>
      <c r="K519" s="92"/>
    </row>
    <row r="520" spans="1:11">
      <c r="A520" s="97"/>
      <c r="B520" s="97"/>
      <c r="C520" s="97"/>
      <c r="D520" s="92"/>
      <c r="E520" s="92"/>
      <c r="F520" s="97"/>
      <c r="G520" s="97"/>
      <c r="H520" s="92"/>
      <c r="I520" s="111"/>
      <c r="J520" s="92"/>
      <c r="K520" s="92"/>
    </row>
    <row r="521" spans="1:11">
      <c r="A521" s="97"/>
      <c r="B521" s="97"/>
      <c r="C521" s="97"/>
      <c r="D521" s="92"/>
      <c r="E521" s="92"/>
      <c r="F521" s="97"/>
      <c r="G521" s="97"/>
      <c r="H521" s="92"/>
      <c r="I521" s="111"/>
      <c r="J521" s="92"/>
      <c r="K521" s="92"/>
    </row>
    <row r="522" spans="1:11">
      <c r="A522" s="97"/>
      <c r="B522" s="97"/>
      <c r="C522" s="97"/>
      <c r="D522" s="92"/>
      <c r="E522" s="92"/>
      <c r="F522" s="97"/>
      <c r="G522" s="97"/>
      <c r="H522" s="92"/>
      <c r="I522" s="111"/>
      <c r="J522" s="92"/>
      <c r="K522" s="92"/>
    </row>
    <row r="523" spans="1:11">
      <c r="A523" s="97"/>
      <c r="B523" s="97"/>
      <c r="C523" s="97"/>
      <c r="D523" s="92"/>
      <c r="E523" s="92"/>
      <c r="F523" s="97"/>
      <c r="G523" s="97"/>
      <c r="H523" s="92"/>
      <c r="I523" s="111"/>
      <c r="J523" s="92"/>
      <c r="K523" s="92"/>
    </row>
    <row r="524" spans="1:11">
      <c r="A524" s="97"/>
      <c r="B524" s="97"/>
      <c r="C524" s="97"/>
      <c r="D524" s="92"/>
      <c r="E524" s="92"/>
      <c r="F524" s="97"/>
      <c r="G524" s="97"/>
      <c r="H524" s="92"/>
      <c r="I524" s="111"/>
      <c r="J524" s="92"/>
      <c r="K524" s="92"/>
    </row>
    <row r="525" spans="1:11">
      <c r="A525" s="97"/>
      <c r="B525" s="97"/>
      <c r="C525" s="97"/>
      <c r="D525" s="92"/>
      <c r="E525" s="92"/>
      <c r="F525" s="97"/>
      <c r="G525" s="97"/>
      <c r="H525" s="92"/>
      <c r="I525" s="111"/>
      <c r="J525" s="92"/>
      <c r="K525" s="92"/>
    </row>
    <row r="526" spans="1:11">
      <c r="A526" s="97"/>
      <c r="B526" s="97"/>
      <c r="C526" s="97"/>
      <c r="D526" s="92"/>
      <c r="E526" s="92"/>
      <c r="F526" s="97"/>
      <c r="G526" s="97"/>
      <c r="H526" s="92"/>
      <c r="I526" s="111"/>
      <c r="J526" s="92"/>
      <c r="K526" s="92"/>
    </row>
    <row r="527" spans="1:11">
      <c r="A527" s="97"/>
      <c r="B527" s="97"/>
      <c r="C527" s="97"/>
      <c r="D527" s="92"/>
      <c r="E527" s="92"/>
      <c r="F527" s="97"/>
      <c r="G527" s="97"/>
      <c r="H527" s="92"/>
      <c r="I527" s="111"/>
      <c r="J527" s="92"/>
      <c r="K527" s="92"/>
    </row>
    <row r="528" spans="1:11">
      <c r="A528" s="97"/>
      <c r="B528" s="97"/>
      <c r="C528" s="97"/>
      <c r="D528" s="92"/>
      <c r="E528" s="92"/>
      <c r="F528" s="97"/>
      <c r="G528" s="97"/>
      <c r="H528" s="92"/>
      <c r="I528" s="111"/>
      <c r="J528" s="92"/>
      <c r="K528" s="92"/>
    </row>
    <row r="529" spans="1:11">
      <c r="A529" s="97"/>
      <c r="B529" s="97"/>
      <c r="C529" s="97"/>
      <c r="D529" s="92"/>
      <c r="E529" s="92"/>
      <c r="F529" s="97"/>
      <c r="G529" s="97"/>
      <c r="H529" s="92"/>
      <c r="I529" s="111"/>
      <c r="J529" s="92"/>
      <c r="K529" s="92"/>
    </row>
    <row r="530" spans="1:11">
      <c r="A530" s="97"/>
      <c r="B530" s="97"/>
      <c r="C530" s="97"/>
      <c r="D530" s="92"/>
      <c r="E530" s="92"/>
      <c r="F530" s="97"/>
      <c r="G530" s="97"/>
      <c r="H530" s="92"/>
      <c r="I530" s="111"/>
      <c r="J530" s="92"/>
      <c r="K530" s="92"/>
    </row>
    <row r="531" spans="1:11">
      <c r="A531" s="97"/>
      <c r="B531" s="97"/>
      <c r="C531" s="97"/>
      <c r="D531" s="92"/>
      <c r="E531" s="92"/>
      <c r="F531" s="97"/>
      <c r="G531" s="97"/>
      <c r="H531" s="92"/>
      <c r="I531" s="111"/>
      <c r="J531" s="92"/>
      <c r="K531" s="92"/>
    </row>
    <row r="532" spans="1:11">
      <c r="A532" s="97"/>
      <c r="B532" s="97"/>
      <c r="C532" s="97"/>
      <c r="D532" s="92"/>
      <c r="E532" s="92"/>
      <c r="F532" s="97"/>
      <c r="G532" s="97"/>
      <c r="H532" s="92"/>
      <c r="I532" s="111"/>
      <c r="J532" s="92"/>
      <c r="K532" s="92"/>
    </row>
    <row r="533" spans="1:11">
      <c r="A533" s="97"/>
      <c r="B533" s="97"/>
      <c r="C533" s="97"/>
      <c r="D533" s="92"/>
      <c r="E533" s="92"/>
      <c r="F533" s="97"/>
      <c r="G533" s="97"/>
      <c r="H533" s="92"/>
      <c r="I533" s="111"/>
      <c r="J533" s="92"/>
      <c r="K533" s="92"/>
    </row>
    <row r="534" spans="1:11">
      <c r="A534" s="97"/>
      <c r="B534" s="97"/>
      <c r="C534" s="97"/>
      <c r="D534" s="92"/>
      <c r="E534" s="92"/>
      <c r="F534" s="97"/>
      <c r="G534" s="97"/>
      <c r="H534" s="92"/>
      <c r="I534" s="111"/>
      <c r="J534" s="92"/>
      <c r="K534" s="92"/>
    </row>
    <row r="535" spans="1:11">
      <c r="A535" s="97"/>
      <c r="B535" s="97"/>
      <c r="C535" s="97"/>
      <c r="D535" s="92"/>
      <c r="E535" s="92"/>
      <c r="F535" s="97"/>
      <c r="G535" s="97"/>
      <c r="H535" s="92"/>
      <c r="I535" s="111"/>
      <c r="J535" s="92"/>
      <c r="K535" s="92"/>
    </row>
    <row r="536" spans="1:11">
      <c r="A536" s="97"/>
      <c r="B536" s="97"/>
      <c r="C536" s="97"/>
      <c r="D536" s="92"/>
      <c r="E536" s="92"/>
      <c r="F536" s="97"/>
      <c r="G536" s="97"/>
      <c r="H536" s="92"/>
      <c r="I536" s="111"/>
      <c r="J536" s="92"/>
      <c r="K536" s="92"/>
    </row>
    <row r="537" spans="1:11">
      <c r="A537" s="97"/>
      <c r="B537" s="97"/>
      <c r="C537" s="97"/>
      <c r="D537" s="92"/>
      <c r="E537" s="92"/>
      <c r="F537" s="97"/>
      <c r="G537" s="97"/>
      <c r="H537" s="92"/>
      <c r="I537" s="111"/>
      <c r="J537" s="92"/>
      <c r="K537" s="92"/>
    </row>
    <row r="538" spans="1:11">
      <c r="A538" s="97"/>
      <c r="B538" s="97"/>
      <c r="C538" s="97"/>
      <c r="D538" s="92"/>
      <c r="E538" s="92"/>
      <c r="F538" s="97"/>
      <c r="G538" s="97"/>
      <c r="H538" s="92"/>
      <c r="I538" s="111"/>
      <c r="J538" s="92"/>
      <c r="K538" s="92"/>
    </row>
    <row r="539" spans="1:11">
      <c r="A539" s="97"/>
      <c r="B539" s="97"/>
      <c r="C539" s="97"/>
      <c r="D539" s="92"/>
      <c r="E539" s="92"/>
      <c r="F539" s="97"/>
      <c r="G539" s="97"/>
      <c r="H539" s="92"/>
      <c r="I539" s="111"/>
      <c r="J539" s="92"/>
      <c r="K539" s="92"/>
    </row>
    <row r="540" spans="1:11">
      <c r="A540" s="97"/>
      <c r="B540" s="97"/>
      <c r="C540" s="97"/>
      <c r="D540" s="92"/>
      <c r="E540" s="92"/>
      <c r="F540" s="97"/>
      <c r="G540" s="97"/>
      <c r="H540" s="92"/>
      <c r="I540" s="111"/>
      <c r="J540" s="92"/>
      <c r="K540" s="92"/>
    </row>
    <row r="541" spans="1:11">
      <c r="A541" s="97"/>
      <c r="B541" s="97"/>
      <c r="C541" s="97"/>
      <c r="D541" s="92"/>
      <c r="E541" s="92"/>
      <c r="F541" s="97"/>
      <c r="G541" s="97"/>
      <c r="H541" s="92"/>
      <c r="I541" s="111"/>
      <c r="J541" s="92"/>
      <c r="K541" s="92"/>
    </row>
    <row r="542" spans="1:11">
      <c r="A542" s="97"/>
      <c r="B542" s="97"/>
      <c r="C542" s="97"/>
      <c r="D542" s="92"/>
      <c r="E542" s="92"/>
      <c r="F542" s="97"/>
      <c r="G542" s="97"/>
      <c r="H542" s="92"/>
      <c r="I542" s="111"/>
      <c r="J542" s="92"/>
      <c r="K542" s="92"/>
    </row>
    <row r="543" spans="1:11">
      <c r="A543" s="97"/>
      <c r="B543" s="97"/>
      <c r="C543" s="97"/>
      <c r="D543" s="92"/>
      <c r="E543" s="92"/>
      <c r="F543" s="97"/>
      <c r="G543" s="97"/>
      <c r="H543" s="92"/>
      <c r="I543" s="111"/>
      <c r="J543" s="92"/>
      <c r="K543" s="92"/>
    </row>
    <row r="544" spans="1:11">
      <c r="A544" s="97"/>
      <c r="B544" s="97"/>
      <c r="C544" s="97"/>
      <c r="D544" s="92"/>
      <c r="E544" s="92"/>
      <c r="F544" s="97"/>
      <c r="G544" s="97"/>
      <c r="H544" s="92"/>
      <c r="I544" s="111"/>
      <c r="J544" s="92"/>
      <c r="K544" s="92"/>
    </row>
    <row r="545" spans="1:11">
      <c r="A545" s="97"/>
      <c r="B545" s="97"/>
      <c r="C545" s="97"/>
      <c r="D545" s="92"/>
      <c r="E545" s="92"/>
      <c r="F545" s="97"/>
      <c r="G545" s="97"/>
      <c r="H545" s="92"/>
      <c r="I545" s="111"/>
      <c r="J545" s="92"/>
      <c r="K545" s="92"/>
    </row>
    <row r="546" spans="1:11">
      <c r="A546" s="97"/>
      <c r="B546" s="97"/>
      <c r="C546" s="97"/>
      <c r="D546" s="92"/>
      <c r="E546" s="92"/>
      <c r="F546" s="97"/>
      <c r="G546" s="97"/>
      <c r="H546" s="92"/>
      <c r="I546" s="111"/>
      <c r="J546" s="92"/>
      <c r="K546" s="92"/>
    </row>
    <row r="547" spans="1:11">
      <c r="A547" s="97"/>
      <c r="B547" s="97"/>
      <c r="C547" s="97"/>
      <c r="D547" s="92"/>
      <c r="E547" s="92"/>
      <c r="F547" s="97"/>
      <c r="G547" s="97"/>
      <c r="H547" s="92"/>
      <c r="I547" s="111"/>
      <c r="J547" s="92"/>
      <c r="K547" s="92"/>
    </row>
    <row r="548" spans="1:11">
      <c r="A548" s="97"/>
      <c r="B548" s="97"/>
      <c r="C548" s="97"/>
      <c r="D548" s="92"/>
      <c r="E548" s="92"/>
      <c r="F548" s="97"/>
      <c r="G548" s="97"/>
      <c r="H548" s="92"/>
      <c r="I548" s="111"/>
      <c r="J548" s="92"/>
      <c r="K548" s="92"/>
    </row>
    <row r="549" spans="1:11">
      <c r="A549" s="97"/>
      <c r="B549" s="97"/>
      <c r="C549" s="97"/>
      <c r="D549" s="92"/>
      <c r="E549" s="92"/>
      <c r="F549" s="97"/>
      <c r="G549" s="97"/>
      <c r="H549" s="92"/>
      <c r="I549" s="111"/>
      <c r="J549" s="92"/>
      <c r="K549" s="92"/>
    </row>
    <row r="550" spans="1:11">
      <c r="A550" s="97"/>
      <c r="B550" s="97"/>
      <c r="C550" s="97"/>
      <c r="D550" s="92"/>
      <c r="E550" s="92"/>
      <c r="F550" s="97"/>
      <c r="G550" s="97"/>
      <c r="H550" s="92"/>
      <c r="I550" s="111"/>
      <c r="J550" s="92"/>
      <c r="K550" s="92"/>
    </row>
    <row r="551" spans="1:11">
      <c r="A551" s="97"/>
      <c r="B551" s="97"/>
      <c r="C551" s="97"/>
      <c r="D551" s="92"/>
      <c r="E551" s="92"/>
      <c r="F551" s="97"/>
      <c r="G551" s="97"/>
      <c r="H551" s="92"/>
      <c r="I551" s="111"/>
      <c r="J551" s="92"/>
      <c r="K551" s="92"/>
    </row>
    <row r="552" spans="1:11">
      <c r="A552" s="97"/>
      <c r="B552" s="97"/>
      <c r="C552" s="97"/>
      <c r="D552" s="92"/>
      <c r="E552" s="92"/>
      <c r="F552" s="97"/>
      <c r="G552" s="97"/>
      <c r="H552" s="92"/>
      <c r="I552" s="111"/>
      <c r="J552" s="92"/>
      <c r="K552" s="92"/>
    </row>
    <row r="553" spans="1:11">
      <c r="A553" s="97"/>
      <c r="B553" s="97"/>
      <c r="C553" s="97"/>
      <c r="D553" s="92"/>
      <c r="E553" s="92"/>
      <c r="F553" s="97"/>
      <c r="G553" s="97"/>
      <c r="H553" s="92"/>
      <c r="I553" s="111"/>
      <c r="J553" s="92"/>
      <c r="K553" s="92"/>
    </row>
    <row r="554" spans="1:11">
      <c r="A554" s="97"/>
      <c r="B554" s="97"/>
      <c r="C554" s="97"/>
      <c r="D554" s="92"/>
      <c r="E554" s="92"/>
      <c r="F554" s="97"/>
      <c r="G554" s="97"/>
      <c r="H554" s="92"/>
      <c r="I554" s="111"/>
      <c r="J554" s="92"/>
      <c r="K554" s="92"/>
    </row>
    <row r="555" spans="1:11">
      <c r="A555" s="97"/>
      <c r="B555" s="97"/>
      <c r="C555" s="97"/>
      <c r="D555" s="92"/>
      <c r="E555" s="92"/>
      <c r="F555" s="97"/>
      <c r="G555" s="97"/>
      <c r="H555" s="92"/>
      <c r="I555" s="111"/>
      <c r="J555" s="92"/>
      <c r="K555" s="92"/>
    </row>
    <row r="556" spans="1:11">
      <c r="A556" s="97"/>
      <c r="B556" s="97"/>
      <c r="C556" s="97"/>
      <c r="D556" s="92"/>
      <c r="E556" s="92"/>
      <c r="F556" s="97"/>
      <c r="G556" s="97"/>
      <c r="H556" s="92"/>
      <c r="I556" s="111"/>
      <c r="J556" s="92"/>
      <c r="K556" s="92"/>
    </row>
    <row r="557" spans="1:11">
      <c r="A557" s="97"/>
      <c r="B557" s="97"/>
      <c r="C557" s="97"/>
      <c r="D557" s="92"/>
      <c r="E557" s="92"/>
      <c r="F557" s="97"/>
      <c r="G557" s="97"/>
      <c r="H557" s="92"/>
      <c r="I557" s="111"/>
      <c r="J557" s="92"/>
      <c r="K557" s="92"/>
    </row>
    <row r="558" spans="1:11">
      <c r="A558" s="97"/>
      <c r="B558" s="97"/>
      <c r="C558" s="97"/>
      <c r="D558" s="92"/>
      <c r="E558" s="92"/>
      <c r="F558" s="97"/>
      <c r="G558" s="97"/>
      <c r="H558" s="92"/>
      <c r="I558" s="111"/>
      <c r="J558" s="92"/>
      <c r="K558" s="92"/>
    </row>
    <row r="559" spans="1:11">
      <c r="A559" s="97"/>
      <c r="B559" s="97"/>
      <c r="C559" s="97"/>
      <c r="D559" s="92"/>
      <c r="E559" s="92"/>
      <c r="F559" s="97"/>
      <c r="G559" s="97"/>
      <c r="H559" s="92"/>
      <c r="I559" s="111"/>
      <c r="J559" s="92"/>
      <c r="K559" s="92"/>
    </row>
    <row r="560" spans="1:11">
      <c r="A560" s="97"/>
      <c r="B560" s="97"/>
      <c r="C560" s="97"/>
      <c r="D560" s="92"/>
      <c r="E560" s="92"/>
      <c r="F560" s="97"/>
      <c r="G560" s="97"/>
      <c r="H560" s="92"/>
      <c r="I560" s="111"/>
      <c r="J560" s="92"/>
      <c r="K560" s="92"/>
    </row>
    <row r="561" spans="1:11">
      <c r="A561" s="97"/>
      <c r="B561" s="97"/>
      <c r="C561" s="97"/>
      <c r="D561" s="92"/>
      <c r="E561" s="92"/>
      <c r="F561" s="97"/>
      <c r="G561" s="97"/>
      <c r="H561" s="92"/>
      <c r="I561" s="111"/>
      <c r="J561" s="92"/>
      <c r="K561" s="92"/>
    </row>
    <row r="562" spans="1:11">
      <c r="A562" s="97"/>
      <c r="B562" s="97"/>
      <c r="C562" s="97"/>
      <c r="D562" s="92"/>
      <c r="E562" s="92"/>
      <c r="F562" s="97"/>
      <c r="G562" s="97"/>
      <c r="H562" s="92"/>
      <c r="I562" s="111"/>
      <c r="J562" s="92"/>
      <c r="K562" s="92"/>
    </row>
    <row r="563" spans="1:11">
      <c r="A563" s="97"/>
      <c r="B563" s="97"/>
      <c r="C563" s="97"/>
      <c r="D563" s="92"/>
      <c r="E563" s="92"/>
      <c r="F563" s="97"/>
      <c r="G563" s="97"/>
      <c r="H563" s="92"/>
      <c r="I563" s="111"/>
      <c r="J563" s="92"/>
      <c r="K563" s="92"/>
    </row>
    <row r="564" spans="1:11">
      <c r="A564" s="97"/>
      <c r="B564" s="97"/>
      <c r="C564" s="97"/>
      <c r="D564" s="92"/>
      <c r="E564" s="92"/>
      <c r="F564" s="97"/>
      <c r="G564" s="97"/>
      <c r="H564" s="92"/>
      <c r="I564" s="111"/>
      <c r="J564" s="92"/>
      <c r="K564" s="92"/>
    </row>
    <row r="565" spans="1:11">
      <c r="A565" s="97"/>
      <c r="B565" s="97"/>
      <c r="C565" s="97"/>
      <c r="D565" s="92"/>
      <c r="E565" s="92"/>
      <c r="F565" s="97"/>
      <c r="G565" s="97"/>
      <c r="H565" s="92"/>
      <c r="I565" s="111"/>
      <c r="J565" s="92"/>
      <c r="K565" s="92"/>
    </row>
    <row r="566" spans="1:11">
      <c r="A566" s="97"/>
      <c r="B566" s="97"/>
      <c r="C566" s="97"/>
      <c r="D566" s="92"/>
      <c r="E566" s="92"/>
      <c r="F566" s="97"/>
      <c r="G566" s="97"/>
      <c r="H566" s="92"/>
      <c r="I566" s="111"/>
      <c r="J566" s="92"/>
      <c r="K566" s="92"/>
    </row>
    <row r="567" spans="1:11">
      <c r="A567" s="97"/>
      <c r="B567" s="97"/>
      <c r="C567" s="97"/>
      <c r="D567" s="92"/>
      <c r="E567" s="92"/>
      <c r="F567" s="97"/>
      <c r="G567" s="97"/>
      <c r="H567" s="92"/>
      <c r="I567" s="111"/>
      <c r="J567" s="92"/>
      <c r="K567" s="92"/>
    </row>
    <row r="568" spans="1:11">
      <c r="A568" s="97"/>
      <c r="B568" s="97"/>
      <c r="C568" s="97"/>
      <c r="D568" s="92"/>
      <c r="E568" s="92"/>
      <c r="F568" s="97"/>
      <c r="G568" s="97"/>
      <c r="H568" s="92"/>
      <c r="I568" s="111"/>
      <c r="J568" s="92"/>
      <c r="K568" s="92"/>
    </row>
    <row r="569" spans="1:11">
      <c r="A569" s="97"/>
      <c r="B569" s="97"/>
      <c r="C569" s="97"/>
      <c r="D569" s="92"/>
      <c r="E569" s="92"/>
      <c r="F569" s="97"/>
      <c r="G569" s="97"/>
      <c r="H569" s="92"/>
      <c r="I569" s="111"/>
      <c r="J569" s="92"/>
      <c r="K569" s="92"/>
    </row>
    <row r="570" spans="1:11">
      <c r="A570" s="97"/>
      <c r="B570" s="97"/>
      <c r="C570" s="97"/>
      <c r="D570" s="92"/>
      <c r="E570" s="92"/>
      <c r="F570" s="97"/>
      <c r="G570" s="97"/>
      <c r="H570" s="92"/>
      <c r="I570" s="111"/>
      <c r="J570" s="92"/>
      <c r="K570" s="92"/>
    </row>
    <row r="571" spans="1:11">
      <c r="A571" s="97"/>
      <c r="B571" s="97"/>
      <c r="C571" s="97"/>
      <c r="D571" s="92"/>
      <c r="E571" s="92"/>
      <c r="F571" s="97"/>
      <c r="G571" s="97"/>
      <c r="H571" s="92"/>
      <c r="I571" s="111"/>
      <c r="J571" s="92"/>
      <c r="K571" s="92"/>
    </row>
    <row r="572" spans="1:11">
      <c r="A572" s="97"/>
      <c r="B572" s="97"/>
      <c r="C572" s="97"/>
      <c r="D572" s="92"/>
      <c r="E572" s="92"/>
      <c r="F572" s="97"/>
      <c r="G572" s="97"/>
      <c r="H572" s="92"/>
      <c r="I572" s="111"/>
      <c r="J572" s="92"/>
      <c r="K572" s="92"/>
    </row>
    <row r="573" spans="1:11">
      <c r="A573" s="97"/>
      <c r="B573" s="97"/>
      <c r="C573" s="97"/>
      <c r="D573" s="92"/>
      <c r="E573" s="92"/>
      <c r="F573" s="97"/>
      <c r="G573" s="97"/>
      <c r="H573" s="92"/>
      <c r="I573" s="111"/>
      <c r="J573" s="92"/>
      <c r="K573" s="92"/>
    </row>
    <row r="574" spans="1:11">
      <c r="A574" s="97"/>
      <c r="B574" s="97"/>
      <c r="C574" s="97"/>
      <c r="D574" s="92"/>
      <c r="E574" s="92"/>
      <c r="F574" s="97"/>
      <c r="G574" s="97"/>
      <c r="H574" s="92"/>
      <c r="I574" s="111"/>
      <c r="J574" s="92"/>
      <c r="K574" s="92"/>
    </row>
    <row r="575" spans="1:11">
      <c r="A575" s="97"/>
      <c r="B575" s="97"/>
      <c r="C575" s="97"/>
      <c r="D575" s="92"/>
      <c r="E575" s="92"/>
      <c r="F575" s="97"/>
      <c r="G575" s="97"/>
      <c r="H575" s="92"/>
      <c r="I575" s="111"/>
      <c r="J575" s="92"/>
      <c r="K575" s="92"/>
    </row>
    <row r="576" spans="1:11">
      <c r="A576" s="97"/>
      <c r="B576" s="97"/>
      <c r="C576" s="97"/>
      <c r="D576" s="92"/>
      <c r="E576" s="92"/>
      <c r="F576" s="97"/>
      <c r="G576" s="97"/>
      <c r="H576" s="92"/>
      <c r="I576" s="111"/>
      <c r="J576" s="92"/>
      <c r="K576" s="92"/>
    </row>
    <row r="577" spans="1:11">
      <c r="A577" s="97"/>
      <c r="B577" s="97"/>
      <c r="C577" s="97"/>
      <c r="D577" s="92"/>
      <c r="E577" s="92"/>
      <c r="F577" s="97"/>
      <c r="G577" s="97"/>
      <c r="H577" s="92"/>
      <c r="I577" s="111"/>
      <c r="J577" s="92"/>
      <c r="K577" s="92"/>
    </row>
    <row r="578" spans="1:11">
      <c r="A578" s="97"/>
      <c r="B578" s="97"/>
      <c r="C578" s="97"/>
      <c r="D578" s="92"/>
      <c r="E578" s="92"/>
      <c r="F578" s="97"/>
      <c r="G578" s="97"/>
      <c r="H578" s="92"/>
      <c r="I578" s="111"/>
      <c r="J578" s="92"/>
      <c r="K578" s="92"/>
    </row>
    <row r="579" spans="1:11">
      <c r="A579" s="97"/>
      <c r="B579" s="97"/>
      <c r="C579" s="97"/>
      <c r="D579" s="92"/>
      <c r="E579" s="92"/>
      <c r="F579" s="97"/>
      <c r="G579" s="97"/>
      <c r="H579" s="92"/>
      <c r="I579" s="111"/>
      <c r="J579" s="92"/>
      <c r="K579" s="92"/>
    </row>
    <row r="580" spans="1:11">
      <c r="A580" s="97"/>
      <c r="B580" s="97"/>
      <c r="C580" s="97"/>
      <c r="D580" s="92"/>
      <c r="E580" s="92"/>
      <c r="F580" s="97"/>
      <c r="G580" s="97"/>
      <c r="H580" s="92"/>
      <c r="I580" s="111"/>
      <c r="J580" s="92"/>
      <c r="K580" s="92"/>
    </row>
    <row r="581" spans="1:11">
      <c r="A581" s="97"/>
      <c r="B581" s="97"/>
      <c r="C581" s="97"/>
      <c r="D581" s="92"/>
      <c r="E581" s="92"/>
      <c r="F581" s="97"/>
      <c r="G581" s="97"/>
      <c r="H581" s="92"/>
      <c r="I581" s="111"/>
      <c r="J581" s="92"/>
      <c r="K581" s="92"/>
    </row>
    <row r="582" spans="1:11">
      <c r="A582" s="97"/>
      <c r="B582" s="97"/>
      <c r="C582" s="97"/>
      <c r="D582" s="92"/>
      <c r="E582" s="92"/>
      <c r="F582" s="97"/>
      <c r="G582" s="97"/>
      <c r="H582" s="92"/>
      <c r="I582" s="111"/>
      <c r="J582" s="92"/>
      <c r="K582" s="92"/>
    </row>
    <row r="583" spans="1:11">
      <c r="A583" s="97"/>
      <c r="B583" s="97"/>
      <c r="C583" s="97"/>
      <c r="D583" s="92"/>
      <c r="E583" s="92"/>
      <c r="F583" s="97"/>
      <c r="G583" s="97"/>
      <c r="H583" s="92"/>
      <c r="I583" s="111"/>
      <c r="J583" s="92"/>
      <c r="K583" s="92"/>
    </row>
    <row r="584" spans="1:11">
      <c r="A584" s="97"/>
      <c r="B584" s="97"/>
      <c r="C584" s="97"/>
      <c r="D584" s="92"/>
      <c r="E584" s="92"/>
      <c r="F584" s="97"/>
      <c r="G584" s="97"/>
      <c r="H584" s="92"/>
      <c r="I584" s="111"/>
      <c r="J584" s="92"/>
      <c r="K584" s="92"/>
    </row>
    <row r="585" spans="1:11">
      <c r="A585" s="97"/>
      <c r="B585" s="97"/>
      <c r="C585" s="97"/>
      <c r="D585" s="92"/>
      <c r="E585" s="92"/>
      <c r="F585" s="97"/>
      <c r="G585" s="97"/>
      <c r="H585" s="92"/>
      <c r="I585" s="111"/>
      <c r="J585" s="92"/>
      <c r="K585" s="92"/>
    </row>
    <row r="586" spans="1:11">
      <c r="A586" s="97"/>
      <c r="B586" s="97"/>
      <c r="C586" s="97"/>
      <c r="D586" s="92"/>
      <c r="E586" s="92"/>
      <c r="F586" s="97"/>
      <c r="G586" s="97"/>
      <c r="H586" s="92"/>
      <c r="I586" s="111"/>
      <c r="J586" s="92"/>
      <c r="K586" s="92"/>
    </row>
    <row r="587" spans="1:11">
      <c r="A587" s="97"/>
      <c r="B587" s="97"/>
      <c r="C587" s="97"/>
      <c r="D587" s="92"/>
      <c r="E587" s="92"/>
      <c r="F587" s="97"/>
      <c r="G587" s="97"/>
      <c r="H587" s="92"/>
      <c r="I587" s="111"/>
      <c r="J587" s="92"/>
      <c r="K587" s="92"/>
    </row>
    <row r="588" spans="1:11">
      <c r="A588" s="97"/>
      <c r="B588" s="97"/>
      <c r="C588" s="97"/>
      <c r="D588" s="92"/>
      <c r="E588" s="92"/>
      <c r="F588" s="97"/>
      <c r="G588" s="97"/>
      <c r="H588" s="92"/>
      <c r="I588" s="111"/>
      <c r="J588" s="92"/>
      <c r="K588" s="92"/>
    </row>
    <row r="589" spans="1:11">
      <c r="A589" s="97"/>
      <c r="B589" s="97"/>
      <c r="C589" s="97"/>
      <c r="D589" s="92"/>
      <c r="E589" s="92"/>
      <c r="F589" s="97"/>
      <c r="G589" s="97"/>
      <c r="H589" s="92"/>
      <c r="I589" s="111"/>
      <c r="J589" s="92"/>
      <c r="K589" s="92"/>
    </row>
    <row r="590" spans="1:11">
      <c r="A590" s="97"/>
      <c r="B590" s="97"/>
      <c r="C590" s="97"/>
      <c r="D590" s="92"/>
      <c r="E590" s="92"/>
      <c r="F590" s="97"/>
      <c r="G590" s="97"/>
      <c r="H590" s="92"/>
      <c r="I590" s="111"/>
      <c r="J590" s="92"/>
      <c r="K590" s="92"/>
    </row>
    <row r="591" spans="1:11">
      <c r="A591" s="97"/>
      <c r="B591" s="97"/>
      <c r="C591" s="97"/>
      <c r="D591" s="92"/>
      <c r="E591" s="92"/>
      <c r="F591" s="97"/>
      <c r="G591" s="97"/>
      <c r="H591" s="92"/>
      <c r="I591" s="111"/>
      <c r="J591" s="92"/>
      <c r="K591" s="92"/>
    </row>
    <row r="592" spans="1:11">
      <c r="A592" s="97"/>
      <c r="B592" s="97"/>
      <c r="C592" s="97"/>
      <c r="D592" s="92"/>
      <c r="E592" s="92"/>
      <c r="F592" s="97"/>
      <c r="G592" s="97"/>
      <c r="H592" s="92"/>
      <c r="I592" s="111"/>
      <c r="J592" s="92"/>
      <c r="K592" s="92"/>
    </row>
    <row r="593" spans="1:11">
      <c r="A593" s="97"/>
      <c r="B593" s="97"/>
      <c r="C593" s="97"/>
      <c r="D593" s="92"/>
      <c r="E593" s="92"/>
      <c r="F593" s="97"/>
      <c r="G593" s="97"/>
      <c r="H593" s="92"/>
      <c r="I593" s="111"/>
      <c r="J593" s="92"/>
      <c r="K593" s="92"/>
    </row>
    <row r="594" spans="1:11">
      <c r="A594" s="97"/>
      <c r="B594" s="97"/>
      <c r="C594" s="97"/>
      <c r="D594" s="92"/>
      <c r="E594" s="92"/>
      <c r="F594" s="97"/>
      <c r="G594" s="97"/>
      <c r="H594" s="92"/>
      <c r="I594" s="111"/>
      <c r="J594" s="92"/>
      <c r="K594" s="92"/>
    </row>
    <row r="595" spans="1:11">
      <c r="A595" s="97"/>
      <c r="B595" s="97"/>
      <c r="C595" s="97"/>
      <c r="D595" s="92"/>
      <c r="E595" s="92"/>
      <c r="F595" s="97"/>
      <c r="G595" s="97"/>
      <c r="H595" s="92"/>
      <c r="I595" s="111"/>
      <c r="J595" s="92"/>
      <c r="K595" s="92"/>
    </row>
    <row r="596" spans="1:11">
      <c r="A596" s="97"/>
      <c r="B596" s="97"/>
      <c r="C596" s="97"/>
      <c r="D596" s="92"/>
      <c r="E596" s="92"/>
      <c r="F596" s="97"/>
      <c r="G596" s="97"/>
      <c r="H596" s="92"/>
      <c r="I596" s="111"/>
      <c r="J596" s="92"/>
      <c r="K596" s="92"/>
    </row>
    <row r="597" spans="1:11">
      <c r="A597" s="97"/>
      <c r="B597" s="97"/>
      <c r="C597" s="97"/>
      <c r="D597" s="92"/>
      <c r="E597" s="92"/>
      <c r="F597" s="97"/>
      <c r="G597" s="97"/>
      <c r="H597" s="92"/>
      <c r="I597" s="111"/>
      <c r="J597" s="92"/>
      <c r="K597" s="92"/>
    </row>
    <row r="598" spans="1:11">
      <c r="A598" s="97"/>
      <c r="B598" s="97"/>
      <c r="C598" s="97"/>
      <c r="D598" s="92"/>
      <c r="E598" s="92"/>
      <c r="F598" s="97"/>
      <c r="G598" s="97"/>
      <c r="H598" s="92"/>
      <c r="I598" s="111"/>
      <c r="J598" s="92"/>
      <c r="K598" s="92"/>
    </row>
    <row r="599" spans="1:11">
      <c r="A599" s="97"/>
      <c r="B599" s="97"/>
      <c r="C599" s="97"/>
      <c r="D599" s="92"/>
      <c r="E599" s="92"/>
      <c r="F599" s="97"/>
      <c r="G599" s="97"/>
      <c r="H599" s="92"/>
      <c r="I599" s="111"/>
      <c r="J599" s="92"/>
      <c r="K599" s="92"/>
    </row>
    <row r="600" spans="1:11">
      <c r="A600" s="97"/>
      <c r="B600" s="97"/>
      <c r="C600" s="97"/>
      <c r="D600" s="92"/>
      <c r="E600" s="92"/>
      <c r="F600" s="97"/>
      <c r="G600" s="97"/>
      <c r="H600" s="92"/>
      <c r="I600" s="111"/>
      <c r="J600" s="92"/>
      <c r="K600" s="92"/>
    </row>
    <row r="601" spans="1:11">
      <c r="A601" s="97"/>
      <c r="B601" s="97"/>
      <c r="C601" s="97"/>
      <c r="D601" s="92"/>
      <c r="E601" s="92"/>
      <c r="F601" s="97"/>
      <c r="G601" s="97"/>
      <c r="H601" s="92"/>
      <c r="I601" s="111"/>
      <c r="J601" s="92"/>
      <c r="K601" s="92"/>
    </row>
    <row r="602" spans="1:11">
      <c r="A602" s="97"/>
      <c r="B602" s="97"/>
      <c r="C602" s="97"/>
      <c r="D602" s="92"/>
      <c r="E602" s="92"/>
      <c r="F602" s="97"/>
      <c r="G602" s="97"/>
      <c r="H602" s="92"/>
      <c r="I602" s="111"/>
      <c r="J602" s="92"/>
      <c r="K602" s="92"/>
    </row>
    <row r="603" spans="1:11">
      <c r="A603" s="97"/>
      <c r="B603" s="97"/>
      <c r="C603" s="97"/>
      <c r="D603" s="92"/>
      <c r="E603" s="92"/>
      <c r="F603" s="97"/>
      <c r="G603" s="97"/>
      <c r="H603" s="92"/>
      <c r="I603" s="111"/>
      <c r="J603" s="92"/>
      <c r="K603" s="92"/>
    </row>
    <row r="604" spans="1:11">
      <c r="A604" s="97"/>
      <c r="B604" s="97"/>
      <c r="C604" s="97"/>
      <c r="D604" s="92"/>
      <c r="E604" s="92"/>
      <c r="F604" s="97"/>
      <c r="G604" s="97"/>
      <c r="H604" s="92"/>
      <c r="I604" s="111"/>
      <c r="J604" s="92"/>
      <c r="K604" s="92"/>
    </row>
    <row r="605" spans="1:11">
      <c r="A605" s="97"/>
      <c r="B605" s="97"/>
      <c r="C605" s="97"/>
      <c r="D605" s="92"/>
      <c r="E605" s="92"/>
      <c r="F605" s="97"/>
      <c r="G605" s="97"/>
      <c r="H605" s="92"/>
      <c r="I605" s="111"/>
      <c r="J605" s="92"/>
      <c r="K605" s="92"/>
    </row>
    <row r="606" spans="1:11">
      <c r="A606" s="97"/>
      <c r="B606" s="97"/>
      <c r="C606" s="97"/>
      <c r="D606" s="92"/>
      <c r="E606" s="92"/>
      <c r="F606" s="97"/>
      <c r="G606" s="97"/>
      <c r="H606" s="92"/>
      <c r="I606" s="111"/>
      <c r="J606" s="92"/>
      <c r="K606" s="92"/>
    </row>
    <row r="607" spans="1:11">
      <c r="A607" s="97"/>
      <c r="B607" s="97"/>
      <c r="C607" s="97"/>
      <c r="D607" s="92"/>
      <c r="E607" s="92"/>
      <c r="F607" s="97"/>
      <c r="G607" s="97"/>
      <c r="H607" s="92"/>
      <c r="I607" s="111"/>
      <c r="J607" s="92"/>
      <c r="K607" s="92"/>
    </row>
    <row r="608" spans="1:11">
      <c r="A608" s="97"/>
      <c r="B608" s="97"/>
      <c r="C608" s="97"/>
      <c r="D608" s="92"/>
      <c r="E608" s="92"/>
      <c r="F608" s="97"/>
      <c r="G608" s="97"/>
      <c r="H608" s="92"/>
      <c r="I608" s="111"/>
      <c r="J608" s="92"/>
      <c r="K608" s="92"/>
    </row>
    <row r="609" spans="1:11">
      <c r="A609" s="97"/>
      <c r="B609" s="97"/>
      <c r="C609" s="97"/>
      <c r="D609" s="92"/>
      <c r="E609" s="92"/>
      <c r="F609" s="97"/>
      <c r="G609" s="97"/>
      <c r="H609" s="92"/>
      <c r="I609" s="111"/>
      <c r="J609" s="92"/>
      <c r="K609" s="92"/>
    </row>
    <row r="610" spans="1:11">
      <c r="A610" s="97"/>
      <c r="B610" s="97"/>
      <c r="C610" s="97"/>
      <c r="D610" s="92"/>
      <c r="E610" s="92"/>
      <c r="F610" s="97"/>
      <c r="G610" s="97"/>
      <c r="H610" s="92"/>
      <c r="I610" s="111"/>
      <c r="J610" s="92"/>
      <c r="K610" s="92"/>
    </row>
    <row r="611" spans="1:11">
      <c r="A611" s="97"/>
      <c r="B611" s="97"/>
      <c r="C611" s="97"/>
      <c r="D611" s="92"/>
      <c r="E611" s="92"/>
      <c r="F611" s="97"/>
      <c r="G611" s="97"/>
      <c r="H611" s="92"/>
      <c r="I611" s="111"/>
      <c r="J611" s="92"/>
      <c r="K611" s="92"/>
    </row>
    <row r="612" spans="1:11">
      <c r="A612" s="97"/>
      <c r="B612" s="97"/>
      <c r="C612" s="97"/>
      <c r="D612" s="92"/>
      <c r="E612" s="92"/>
      <c r="F612" s="97"/>
      <c r="G612" s="97"/>
      <c r="H612" s="92"/>
      <c r="I612" s="111"/>
      <c r="J612" s="92"/>
      <c r="K612" s="92"/>
    </row>
    <row r="613" spans="1:11">
      <c r="A613" s="97"/>
      <c r="B613" s="97"/>
      <c r="C613" s="97"/>
      <c r="D613" s="92"/>
      <c r="E613" s="92"/>
      <c r="F613" s="97"/>
      <c r="G613" s="97"/>
      <c r="H613" s="92"/>
      <c r="I613" s="111"/>
      <c r="J613" s="92"/>
      <c r="K613" s="92"/>
    </row>
    <row r="614" spans="1:11">
      <c r="A614" s="97"/>
      <c r="B614" s="97"/>
      <c r="C614" s="97"/>
      <c r="D614" s="92"/>
      <c r="E614" s="92"/>
      <c r="F614" s="97"/>
      <c r="G614" s="97"/>
      <c r="H614" s="92"/>
      <c r="I614" s="111"/>
      <c r="J614" s="92"/>
      <c r="K614" s="92"/>
    </row>
    <row r="615" spans="1:11">
      <c r="A615" s="97"/>
      <c r="B615" s="97"/>
      <c r="C615" s="97"/>
      <c r="D615" s="92"/>
      <c r="E615" s="92"/>
      <c r="F615" s="97"/>
      <c r="G615" s="97"/>
      <c r="H615" s="92"/>
      <c r="I615" s="111"/>
      <c r="J615" s="92"/>
      <c r="K615" s="92"/>
    </row>
    <row r="616" spans="1:11">
      <c r="A616" s="97"/>
      <c r="B616" s="97"/>
      <c r="C616" s="97"/>
      <c r="D616" s="92"/>
      <c r="E616" s="92"/>
      <c r="F616" s="97"/>
      <c r="G616" s="97"/>
      <c r="H616" s="92"/>
      <c r="I616" s="111"/>
      <c r="J616" s="92"/>
      <c r="K616" s="92"/>
    </row>
    <row r="617" spans="1:11">
      <c r="A617" s="97"/>
      <c r="B617" s="97"/>
      <c r="C617" s="97"/>
      <c r="D617" s="92"/>
      <c r="E617" s="92"/>
      <c r="F617" s="97"/>
      <c r="G617" s="97"/>
      <c r="H617" s="92"/>
      <c r="I617" s="111"/>
      <c r="J617" s="92"/>
      <c r="K617" s="92"/>
    </row>
    <row r="618" spans="1:11">
      <c r="A618" s="97"/>
      <c r="B618" s="97"/>
      <c r="C618" s="97"/>
      <c r="D618" s="92"/>
      <c r="E618" s="92"/>
      <c r="F618" s="97"/>
      <c r="G618" s="97"/>
      <c r="H618" s="92"/>
      <c r="I618" s="111"/>
      <c r="J618" s="92"/>
      <c r="K618" s="92"/>
    </row>
    <row r="619" spans="1:11">
      <c r="A619" s="97"/>
      <c r="B619" s="97"/>
      <c r="C619" s="97"/>
      <c r="D619" s="92"/>
      <c r="E619" s="92"/>
      <c r="F619" s="97"/>
      <c r="G619" s="97"/>
      <c r="H619" s="92"/>
      <c r="I619" s="111"/>
      <c r="J619" s="92"/>
      <c r="K619" s="92"/>
    </row>
    <row r="620" spans="1:11">
      <c r="A620" s="97"/>
      <c r="B620" s="97"/>
      <c r="C620" s="97"/>
      <c r="D620" s="92"/>
      <c r="E620" s="92"/>
      <c r="F620" s="97"/>
      <c r="G620" s="97"/>
      <c r="H620" s="92"/>
      <c r="I620" s="111"/>
      <c r="J620" s="92"/>
      <c r="K620" s="92"/>
    </row>
    <row r="621" spans="1:11">
      <c r="A621" s="97"/>
      <c r="B621" s="97"/>
      <c r="C621" s="97"/>
      <c r="D621" s="92"/>
      <c r="E621" s="92"/>
      <c r="F621" s="97"/>
      <c r="G621" s="97"/>
      <c r="H621" s="92"/>
      <c r="I621" s="111"/>
      <c r="J621" s="92"/>
      <c r="K621" s="92"/>
    </row>
    <row r="622" spans="1:11">
      <c r="A622" s="97"/>
      <c r="B622" s="97"/>
      <c r="C622" s="97"/>
      <c r="D622" s="92"/>
      <c r="E622" s="92"/>
      <c r="F622" s="97"/>
      <c r="G622" s="97"/>
      <c r="H622" s="92"/>
      <c r="I622" s="111"/>
      <c r="J622" s="92"/>
      <c r="K622" s="92"/>
    </row>
    <row r="623" spans="1:11">
      <c r="A623" s="97"/>
      <c r="B623" s="97"/>
      <c r="C623" s="97"/>
      <c r="D623" s="92"/>
      <c r="E623" s="92"/>
      <c r="F623" s="97"/>
      <c r="G623" s="97"/>
      <c r="H623" s="92"/>
      <c r="I623" s="111"/>
      <c r="J623" s="92"/>
      <c r="K623" s="92"/>
    </row>
    <row r="624" spans="1:11">
      <c r="A624" s="97"/>
      <c r="B624" s="97"/>
      <c r="C624" s="97"/>
      <c r="D624" s="92"/>
      <c r="E624" s="92"/>
      <c r="F624" s="97"/>
      <c r="G624" s="97"/>
      <c r="H624" s="92"/>
      <c r="I624" s="111"/>
      <c r="J624" s="92"/>
      <c r="K624" s="92"/>
    </row>
    <row r="625" spans="1:11">
      <c r="A625" s="97"/>
      <c r="B625" s="97"/>
      <c r="C625" s="97"/>
      <c r="D625" s="92"/>
      <c r="E625" s="92"/>
      <c r="F625" s="97"/>
      <c r="G625" s="97"/>
      <c r="H625" s="92"/>
      <c r="I625" s="111"/>
      <c r="J625" s="92"/>
      <c r="K625" s="92"/>
    </row>
    <row r="626" spans="1:11">
      <c r="A626" s="97"/>
      <c r="B626" s="97"/>
      <c r="C626" s="97"/>
      <c r="D626" s="92"/>
      <c r="E626" s="92"/>
      <c r="F626" s="97"/>
      <c r="G626" s="97"/>
      <c r="H626" s="92"/>
      <c r="I626" s="111"/>
      <c r="J626" s="92"/>
      <c r="K626" s="92"/>
    </row>
    <row r="627" spans="1:11">
      <c r="A627" s="97"/>
      <c r="B627" s="97"/>
      <c r="C627" s="97"/>
      <c r="D627" s="92"/>
      <c r="E627" s="92"/>
      <c r="F627" s="97"/>
      <c r="G627" s="97"/>
      <c r="H627" s="92"/>
      <c r="I627" s="111"/>
      <c r="J627" s="92"/>
      <c r="K627" s="92"/>
    </row>
    <row r="628" spans="1:11">
      <c r="A628" s="97"/>
      <c r="B628" s="97"/>
      <c r="C628" s="97"/>
      <c r="D628" s="92"/>
      <c r="E628" s="92"/>
      <c r="F628" s="97"/>
      <c r="G628" s="97"/>
      <c r="H628" s="92"/>
      <c r="I628" s="111"/>
      <c r="J628" s="92"/>
      <c r="K628" s="92"/>
    </row>
    <row r="629" spans="1:11">
      <c r="A629" s="97"/>
      <c r="B629" s="97"/>
      <c r="C629" s="97"/>
      <c r="D629" s="92"/>
      <c r="E629" s="92"/>
      <c r="F629" s="97"/>
      <c r="G629" s="97"/>
      <c r="H629" s="92"/>
      <c r="I629" s="111"/>
      <c r="J629" s="92"/>
      <c r="K629" s="92"/>
    </row>
    <row r="630" spans="1:11">
      <c r="A630" s="97"/>
      <c r="B630" s="97"/>
      <c r="C630" s="97"/>
      <c r="D630" s="92"/>
      <c r="E630" s="92"/>
      <c r="F630" s="97"/>
      <c r="G630" s="97"/>
      <c r="H630" s="92"/>
      <c r="I630" s="111"/>
      <c r="J630" s="92"/>
      <c r="K630" s="92"/>
    </row>
    <row r="631" spans="1:11">
      <c r="A631" s="97"/>
      <c r="B631" s="97"/>
      <c r="C631" s="97"/>
      <c r="D631" s="92"/>
      <c r="E631" s="92"/>
      <c r="F631" s="97"/>
      <c r="G631" s="97"/>
      <c r="H631" s="92"/>
      <c r="I631" s="111"/>
      <c r="J631" s="92"/>
      <c r="K631" s="92"/>
    </row>
    <row r="632" spans="1:11">
      <c r="A632" s="97"/>
      <c r="B632" s="97"/>
      <c r="C632" s="97"/>
      <c r="D632" s="92"/>
      <c r="E632" s="92"/>
      <c r="F632" s="97"/>
      <c r="G632" s="97"/>
      <c r="H632" s="92"/>
      <c r="I632" s="111"/>
      <c r="J632" s="92"/>
      <c r="K632" s="92"/>
    </row>
    <row r="633" spans="1:11">
      <c r="A633" s="97"/>
      <c r="B633" s="97"/>
      <c r="C633" s="97"/>
      <c r="D633" s="92"/>
      <c r="E633" s="92"/>
      <c r="F633" s="97"/>
      <c r="G633" s="97"/>
      <c r="H633" s="92"/>
      <c r="I633" s="111"/>
      <c r="J633" s="92"/>
      <c r="K633" s="92"/>
    </row>
    <row r="634" spans="1:11">
      <c r="A634" s="97"/>
      <c r="B634" s="97"/>
      <c r="C634" s="97"/>
      <c r="D634" s="92"/>
      <c r="E634" s="92"/>
      <c r="F634" s="97"/>
      <c r="G634" s="97"/>
      <c r="H634" s="92"/>
      <c r="I634" s="111"/>
      <c r="J634" s="92"/>
      <c r="K634" s="92"/>
    </row>
    <row r="635" spans="1:11">
      <c r="A635" s="97"/>
      <c r="B635" s="97"/>
      <c r="C635" s="97"/>
      <c r="D635" s="92"/>
      <c r="E635" s="92"/>
      <c r="F635" s="97"/>
      <c r="G635" s="97"/>
      <c r="H635" s="92"/>
      <c r="I635" s="111"/>
      <c r="J635" s="92"/>
      <c r="K635" s="92"/>
    </row>
    <row r="636" spans="1:11">
      <c r="A636" s="97"/>
      <c r="B636" s="97"/>
      <c r="C636" s="97"/>
      <c r="D636" s="92"/>
      <c r="E636" s="92"/>
      <c r="F636" s="97"/>
      <c r="G636" s="97"/>
      <c r="H636" s="92"/>
      <c r="I636" s="111"/>
      <c r="J636" s="92"/>
      <c r="K636" s="92"/>
    </row>
    <row r="637" spans="1:11">
      <c r="A637" s="97"/>
      <c r="B637" s="97"/>
      <c r="C637" s="97"/>
      <c r="D637" s="92"/>
      <c r="E637" s="92"/>
      <c r="F637" s="97"/>
      <c r="G637" s="97"/>
      <c r="H637" s="92"/>
      <c r="I637" s="111"/>
      <c r="J637" s="92"/>
      <c r="K637" s="92"/>
    </row>
    <row r="638" spans="1:11">
      <c r="A638" s="97"/>
      <c r="B638" s="97"/>
      <c r="C638" s="97"/>
      <c r="D638" s="92"/>
      <c r="E638" s="92"/>
      <c r="F638" s="97"/>
      <c r="G638" s="97"/>
      <c r="H638" s="92"/>
      <c r="I638" s="111"/>
      <c r="J638" s="92"/>
      <c r="K638" s="92"/>
    </row>
    <row r="639" spans="1:11">
      <c r="A639" s="97"/>
      <c r="B639" s="97"/>
      <c r="C639" s="97"/>
      <c r="D639" s="92"/>
      <c r="E639" s="92"/>
      <c r="F639" s="97"/>
      <c r="G639" s="97"/>
      <c r="H639" s="92"/>
      <c r="I639" s="111"/>
      <c r="J639" s="92"/>
      <c r="K639" s="92"/>
    </row>
    <row r="640" spans="1:11">
      <c r="A640" s="97"/>
      <c r="B640" s="97"/>
      <c r="C640" s="97"/>
      <c r="D640" s="92"/>
      <c r="E640" s="92"/>
      <c r="F640" s="97"/>
      <c r="G640" s="97"/>
      <c r="H640" s="92"/>
      <c r="I640" s="111"/>
      <c r="J640" s="92"/>
      <c r="K640" s="92"/>
    </row>
    <row r="641" spans="1:11">
      <c r="A641" s="97"/>
      <c r="B641" s="97"/>
      <c r="C641" s="97"/>
      <c r="D641" s="92"/>
      <c r="E641" s="92"/>
      <c r="F641" s="97"/>
      <c r="G641" s="97"/>
      <c r="H641" s="92"/>
      <c r="I641" s="111"/>
      <c r="J641" s="92"/>
      <c r="K641" s="92"/>
    </row>
    <row r="642" spans="1:11">
      <c r="A642" s="97"/>
      <c r="B642" s="97"/>
      <c r="C642" s="97"/>
      <c r="D642" s="92"/>
      <c r="E642" s="92"/>
      <c r="F642" s="97"/>
      <c r="G642" s="97"/>
      <c r="H642" s="92"/>
      <c r="I642" s="111"/>
      <c r="J642" s="92"/>
      <c r="K642" s="92"/>
    </row>
    <row r="643" spans="1:11">
      <c r="A643" s="97"/>
      <c r="B643" s="97"/>
      <c r="C643" s="97"/>
      <c r="D643" s="92"/>
      <c r="E643" s="92"/>
      <c r="F643" s="97"/>
      <c r="G643" s="97"/>
      <c r="H643" s="92"/>
      <c r="I643" s="111"/>
      <c r="J643" s="92"/>
      <c r="K643" s="92"/>
    </row>
    <row r="644" spans="1:11">
      <c r="A644" s="97"/>
      <c r="B644" s="97"/>
      <c r="C644" s="97"/>
      <c r="D644" s="92"/>
      <c r="E644" s="92"/>
      <c r="F644" s="97"/>
      <c r="G644" s="97"/>
      <c r="H644" s="92"/>
      <c r="I644" s="111"/>
      <c r="J644" s="92"/>
      <c r="K644" s="92"/>
    </row>
    <row r="645" spans="1:11">
      <c r="A645" s="97"/>
      <c r="B645" s="97"/>
      <c r="C645" s="97"/>
      <c r="D645" s="92"/>
      <c r="E645" s="92"/>
      <c r="F645" s="97"/>
      <c r="G645" s="97"/>
      <c r="H645" s="92"/>
      <c r="I645" s="111"/>
      <c r="J645" s="92"/>
      <c r="K645" s="92"/>
    </row>
    <row r="646" spans="1:11">
      <c r="A646" s="97"/>
      <c r="B646" s="97"/>
      <c r="C646" s="97"/>
      <c r="D646" s="92"/>
      <c r="E646" s="92"/>
      <c r="F646" s="97"/>
      <c r="G646" s="97"/>
      <c r="H646" s="92"/>
      <c r="I646" s="111"/>
      <c r="J646" s="92"/>
      <c r="K646" s="92"/>
    </row>
    <row r="647" spans="1:11">
      <c r="A647" s="97"/>
      <c r="B647" s="97"/>
      <c r="C647" s="97"/>
      <c r="D647" s="92"/>
      <c r="E647" s="92"/>
      <c r="F647" s="97"/>
      <c r="G647" s="97"/>
      <c r="H647" s="92"/>
      <c r="I647" s="111"/>
      <c r="J647" s="92"/>
      <c r="K647" s="92"/>
    </row>
    <row r="648" spans="1:11">
      <c r="A648" s="97"/>
      <c r="B648" s="97"/>
      <c r="C648" s="97"/>
      <c r="D648" s="92"/>
      <c r="E648" s="92"/>
      <c r="F648" s="97"/>
      <c r="G648" s="97"/>
      <c r="H648" s="92"/>
      <c r="I648" s="111"/>
      <c r="J648" s="92"/>
      <c r="K648" s="92"/>
    </row>
    <row r="649" spans="1:11">
      <c r="A649" s="97"/>
      <c r="B649" s="97"/>
      <c r="C649" s="97"/>
      <c r="D649" s="92"/>
      <c r="E649" s="92"/>
      <c r="F649" s="97"/>
      <c r="G649" s="97"/>
      <c r="H649" s="92"/>
      <c r="I649" s="111"/>
      <c r="J649" s="92"/>
      <c r="K649" s="92"/>
    </row>
    <row r="650" spans="1:11">
      <c r="A650" s="97"/>
      <c r="B650" s="97"/>
      <c r="C650" s="97"/>
      <c r="D650" s="92"/>
      <c r="E650" s="92"/>
      <c r="F650" s="97"/>
      <c r="G650" s="97"/>
      <c r="H650" s="92"/>
      <c r="I650" s="111"/>
      <c r="J650" s="92"/>
      <c r="K650" s="92"/>
    </row>
    <row r="651" spans="1:11">
      <c r="A651" s="97"/>
      <c r="B651" s="97"/>
      <c r="C651" s="97"/>
      <c r="D651" s="92"/>
      <c r="E651" s="92"/>
      <c r="F651" s="97"/>
      <c r="G651" s="97"/>
      <c r="H651" s="92"/>
      <c r="I651" s="111"/>
      <c r="J651" s="92"/>
      <c r="K651" s="92"/>
    </row>
    <row r="652" spans="1:11">
      <c r="A652" s="97"/>
      <c r="B652" s="97"/>
      <c r="C652" s="97"/>
      <c r="D652" s="92"/>
      <c r="E652" s="92"/>
      <c r="F652" s="97"/>
      <c r="G652" s="97"/>
      <c r="H652" s="92"/>
      <c r="I652" s="111"/>
      <c r="J652" s="92"/>
      <c r="K652" s="92"/>
    </row>
    <row r="653" spans="1:11">
      <c r="A653" s="97"/>
      <c r="B653" s="97"/>
      <c r="C653" s="97"/>
      <c r="D653" s="92"/>
      <c r="E653" s="92"/>
      <c r="F653" s="97"/>
      <c r="G653" s="97"/>
      <c r="H653" s="92"/>
      <c r="I653" s="111"/>
      <c r="J653" s="92"/>
      <c r="K653" s="92"/>
    </row>
    <row r="654" spans="1:11">
      <c r="A654" s="97"/>
      <c r="B654" s="97"/>
      <c r="C654" s="97"/>
      <c r="D654" s="92"/>
      <c r="E654" s="92"/>
      <c r="F654" s="97"/>
      <c r="G654" s="97"/>
      <c r="H654" s="92"/>
      <c r="I654" s="111"/>
      <c r="J654" s="92"/>
      <c r="K654" s="92"/>
    </row>
    <row r="655" spans="1:11">
      <c r="A655" s="97"/>
      <c r="B655" s="97"/>
      <c r="C655" s="97"/>
      <c r="D655" s="92"/>
      <c r="E655" s="92"/>
      <c r="F655" s="97"/>
      <c r="G655" s="97"/>
      <c r="H655" s="92"/>
      <c r="I655" s="111"/>
      <c r="J655" s="92"/>
      <c r="K655" s="92"/>
    </row>
    <row r="656" spans="1:11">
      <c r="A656" s="97"/>
      <c r="B656" s="97"/>
      <c r="C656" s="97"/>
      <c r="D656" s="92"/>
      <c r="E656" s="92"/>
      <c r="F656" s="97"/>
      <c r="G656" s="97"/>
      <c r="H656" s="92"/>
      <c r="I656" s="111"/>
      <c r="J656" s="92"/>
      <c r="K656" s="92"/>
    </row>
    <row r="657" spans="1:11">
      <c r="A657" s="97"/>
      <c r="B657" s="97"/>
      <c r="C657" s="97"/>
      <c r="D657" s="92"/>
      <c r="E657" s="92"/>
      <c r="F657" s="97"/>
      <c r="G657" s="97"/>
      <c r="H657" s="92"/>
      <c r="I657" s="111"/>
      <c r="J657" s="92"/>
      <c r="K657" s="92"/>
    </row>
    <row r="658" spans="1:11">
      <c r="A658" s="97"/>
      <c r="B658" s="97"/>
      <c r="C658" s="97"/>
      <c r="D658" s="92"/>
      <c r="E658" s="92"/>
      <c r="F658" s="97"/>
      <c r="G658" s="97"/>
      <c r="H658" s="92"/>
      <c r="I658" s="111"/>
      <c r="J658" s="92"/>
      <c r="K658" s="92"/>
    </row>
    <row r="659" spans="1:11">
      <c r="A659" s="97"/>
      <c r="B659" s="97"/>
      <c r="C659" s="97"/>
      <c r="D659" s="92"/>
      <c r="E659" s="92"/>
      <c r="F659" s="97"/>
      <c r="G659" s="97"/>
      <c r="H659" s="92"/>
      <c r="I659" s="111"/>
      <c r="J659" s="92"/>
      <c r="K659" s="92"/>
    </row>
    <row r="660" spans="1:11">
      <c r="A660" s="97"/>
      <c r="B660" s="97"/>
      <c r="C660" s="97"/>
      <c r="D660" s="92"/>
      <c r="E660" s="92"/>
      <c r="F660" s="97"/>
      <c r="G660" s="97"/>
      <c r="H660" s="92"/>
      <c r="I660" s="111"/>
      <c r="J660" s="92"/>
      <c r="K660" s="92"/>
    </row>
    <row r="661" spans="1:11">
      <c r="A661" s="97"/>
      <c r="B661" s="97"/>
      <c r="C661" s="97"/>
      <c r="D661" s="92"/>
      <c r="E661" s="92"/>
      <c r="F661" s="97"/>
      <c r="G661" s="97"/>
      <c r="H661" s="92"/>
      <c r="I661" s="111"/>
      <c r="J661" s="92"/>
      <c r="K661" s="92"/>
    </row>
    <row r="662" spans="1:11">
      <c r="A662" s="97"/>
      <c r="B662" s="97"/>
      <c r="C662" s="97"/>
      <c r="D662" s="92"/>
      <c r="E662" s="92"/>
      <c r="F662" s="97"/>
      <c r="G662" s="97"/>
      <c r="H662" s="92"/>
      <c r="I662" s="111"/>
      <c r="J662" s="92"/>
      <c r="K662" s="92"/>
    </row>
    <row r="663" spans="1:11">
      <c r="A663" s="97"/>
      <c r="B663" s="97"/>
      <c r="C663" s="97"/>
      <c r="D663" s="92"/>
      <c r="E663" s="92"/>
      <c r="F663" s="97"/>
      <c r="G663" s="97"/>
      <c r="H663" s="92"/>
      <c r="I663" s="111"/>
      <c r="J663" s="92"/>
      <c r="K663" s="92"/>
    </row>
    <row r="664" spans="1:11">
      <c r="A664" s="97"/>
      <c r="B664" s="97"/>
      <c r="C664" s="97"/>
      <c r="D664" s="92"/>
      <c r="E664" s="92"/>
      <c r="F664" s="97"/>
      <c r="G664" s="97"/>
      <c r="H664" s="92"/>
      <c r="I664" s="111"/>
      <c r="J664" s="92"/>
      <c r="K664" s="92"/>
    </row>
    <row r="665" spans="1:11">
      <c r="A665" s="97"/>
      <c r="B665" s="97"/>
      <c r="C665" s="97"/>
      <c r="D665" s="92"/>
      <c r="E665" s="92"/>
      <c r="F665" s="97"/>
      <c r="G665" s="97"/>
      <c r="H665" s="92"/>
      <c r="I665" s="111"/>
      <c r="J665" s="92"/>
      <c r="K665" s="92"/>
    </row>
    <row r="666" spans="1:11">
      <c r="A666" s="97"/>
      <c r="B666" s="97"/>
      <c r="C666" s="97"/>
      <c r="D666" s="92"/>
      <c r="E666" s="92"/>
      <c r="F666" s="97"/>
      <c r="G666" s="97"/>
      <c r="H666" s="92"/>
      <c r="I666" s="111"/>
      <c r="J666" s="92"/>
      <c r="K666" s="92"/>
    </row>
    <row r="667" spans="1:11">
      <c r="A667" s="97"/>
      <c r="B667" s="97"/>
      <c r="C667" s="97"/>
      <c r="D667" s="92"/>
      <c r="E667" s="92"/>
      <c r="F667" s="97"/>
      <c r="G667" s="97"/>
      <c r="H667" s="92"/>
      <c r="I667" s="111"/>
      <c r="J667" s="92"/>
      <c r="K667" s="92"/>
    </row>
    <row r="668" spans="1:11">
      <c r="A668" s="97"/>
      <c r="B668" s="97"/>
      <c r="C668" s="97"/>
      <c r="D668" s="92"/>
      <c r="E668" s="92"/>
      <c r="F668" s="97"/>
      <c r="G668" s="97"/>
      <c r="H668" s="92"/>
      <c r="I668" s="111"/>
      <c r="J668" s="92"/>
      <c r="K668" s="92"/>
    </row>
    <row r="669" spans="1:11">
      <c r="A669" s="97"/>
      <c r="B669" s="97"/>
      <c r="C669" s="97"/>
      <c r="D669" s="92"/>
      <c r="E669" s="92"/>
      <c r="F669" s="97"/>
      <c r="G669" s="97"/>
      <c r="H669" s="92"/>
      <c r="I669" s="111"/>
      <c r="J669" s="92"/>
      <c r="K669" s="92"/>
    </row>
    <row r="670" spans="1:11">
      <c r="A670" s="97"/>
      <c r="B670" s="97"/>
      <c r="C670" s="97"/>
      <c r="D670" s="92"/>
      <c r="E670" s="92"/>
      <c r="F670" s="97"/>
      <c r="G670" s="97"/>
      <c r="H670" s="92"/>
      <c r="I670" s="111"/>
      <c r="J670" s="92"/>
      <c r="K670" s="92"/>
    </row>
    <row r="671" spans="1:11">
      <c r="A671" s="97"/>
      <c r="B671" s="97"/>
      <c r="C671" s="97"/>
      <c r="D671" s="92"/>
      <c r="E671" s="92"/>
      <c r="F671" s="97"/>
      <c r="G671" s="97"/>
      <c r="H671" s="92"/>
      <c r="I671" s="111"/>
      <c r="J671" s="92"/>
      <c r="K671" s="92"/>
    </row>
    <row r="672" spans="1:11">
      <c r="A672" s="97"/>
      <c r="B672" s="97"/>
      <c r="C672" s="97"/>
      <c r="D672" s="92"/>
      <c r="E672" s="92"/>
      <c r="F672" s="97"/>
      <c r="G672" s="97"/>
      <c r="H672" s="92"/>
      <c r="I672" s="111"/>
      <c r="J672" s="92"/>
      <c r="K672" s="92"/>
    </row>
    <row r="673" spans="1:11">
      <c r="A673" s="97"/>
      <c r="B673" s="97"/>
      <c r="C673" s="97"/>
      <c r="D673" s="92"/>
      <c r="E673" s="92"/>
      <c r="F673" s="97"/>
      <c r="G673" s="97"/>
      <c r="H673" s="92"/>
      <c r="I673" s="111"/>
      <c r="J673" s="92"/>
      <c r="K673" s="92"/>
    </row>
    <row r="674" spans="1:11">
      <c r="A674" s="97"/>
      <c r="B674" s="97"/>
      <c r="C674" s="97"/>
      <c r="D674" s="92"/>
      <c r="E674" s="92"/>
      <c r="F674" s="97"/>
      <c r="G674" s="97"/>
      <c r="H674" s="92"/>
      <c r="I674" s="111"/>
      <c r="J674" s="92"/>
      <c r="K674" s="92"/>
    </row>
    <row r="675" spans="1:11">
      <c r="A675" s="97"/>
      <c r="B675" s="97"/>
      <c r="C675" s="97"/>
      <c r="D675" s="92"/>
      <c r="E675" s="92"/>
      <c r="F675" s="97"/>
      <c r="G675" s="97"/>
      <c r="H675" s="92"/>
      <c r="I675" s="111"/>
      <c r="J675" s="92"/>
      <c r="K675" s="92"/>
    </row>
    <row r="676" spans="1:11">
      <c r="A676" s="97"/>
      <c r="B676" s="97"/>
      <c r="C676" s="97"/>
      <c r="D676" s="92"/>
      <c r="E676" s="92"/>
      <c r="F676" s="97"/>
      <c r="G676" s="97"/>
      <c r="H676" s="92"/>
      <c r="I676" s="111"/>
      <c r="J676" s="92"/>
      <c r="K676" s="92"/>
    </row>
    <row r="677" spans="1:11">
      <c r="A677" s="97"/>
      <c r="B677" s="97"/>
      <c r="C677" s="97"/>
      <c r="D677" s="92"/>
      <c r="E677" s="92"/>
      <c r="F677" s="97"/>
      <c r="G677" s="97"/>
      <c r="H677" s="92"/>
      <c r="I677" s="111"/>
      <c r="J677" s="92"/>
      <c r="K677" s="92"/>
    </row>
    <row r="678" spans="1:11">
      <c r="A678" s="97"/>
      <c r="B678" s="97"/>
      <c r="C678" s="97"/>
      <c r="D678" s="92"/>
      <c r="E678" s="92"/>
      <c r="F678" s="97"/>
      <c r="G678" s="97"/>
      <c r="H678" s="92"/>
      <c r="I678" s="111"/>
      <c r="J678" s="92"/>
      <c r="K678" s="92"/>
    </row>
    <row r="679" spans="1:11">
      <c r="A679" s="97"/>
      <c r="B679" s="97"/>
      <c r="C679" s="97"/>
      <c r="D679" s="92"/>
      <c r="E679" s="92"/>
      <c r="F679" s="97"/>
      <c r="G679" s="97"/>
      <c r="H679" s="92"/>
      <c r="I679" s="111"/>
      <c r="J679" s="92"/>
      <c r="K679" s="92"/>
    </row>
    <row r="680" spans="1:11">
      <c r="A680" s="97"/>
      <c r="B680" s="97"/>
      <c r="C680" s="97"/>
      <c r="D680" s="92"/>
      <c r="E680" s="92"/>
      <c r="F680" s="97"/>
      <c r="G680" s="97"/>
      <c r="H680" s="92"/>
      <c r="I680" s="111"/>
      <c r="J680" s="92"/>
      <c r="K680" s="92"/>
    </row>
    <row r="681" spans="1:11">
      <c r="A681" s="97"/>
      <c r="B681" s="97"/>
      <c r="C681" s="97"/>
      <c r="D681" s="92"/>
      <c r="E681" s="92"/>
      <c r="F681" s="97"/>
      <c r="G681" s="97"/>
      <c r="H681" s="92"/>
      <c r="I681" s="111"/>
      <c r="J681" s="92"/>
      <c r="K681" s="92"/>
    </row>
    <row r="682" spans="1:11">
      <c r="A682" s="97"/>
      <c r="B682" s="97"/>
      <c r="C682" s="97"/>
      <c r="D682" s="92"/>
      <c r="E682" s="92"/>
      <c r="F682" s="97"/>
      <c r="G682" s="97"/>
      <c r="H682" s="92"/>
      <c r="I682" s="111"/>
      <c r="J682" s="92"/>
      <c r="K682" s="92"/>
    </row>
    <row r="683" spans="1:11">
      <c r="A683" s="97"/>
      <c r="B683" s="97"/>
      <c r="C683" s="97"/>
      <c r="D683" s="92"/>
      <c r="E683" s="92"/>
      <c r="F683" s="97"/>
      <c r="G683" s="97"/>
      <c r="H683" s="92"/>
      <c r="I683" s="111"/>
      <c r="J683" s="92"/>
      <c r="K683" s="92"/>
    </row>
    <row r="684" spans="1:11">
      <c r="A684" s="97"/>
      <c r="B684" s="97"/>
      <c r="C684" s="97"/>
      <c r="D684" s="92"/>
      <c r="E684" s="92"/>
      <c r="F684" s="97"/>
      <c r="G684" s="97"/>
      <c r="H684" s="92"/>
      <c r="I684" s="111"/>
      <c r="J684" s="92"/>
      <c r="K684" s="92"/>
    </row>
    <row r="685" spans="1:11">
      <c r="A685" s="97"/>
      <c r="B685" s="97"/>
      <c r="C685" s="97"/>
      <c r="D685" s="92"/>
      <c r="E685" s="92"/>
      <c r="F685" s="97"/>
      <c r="G685" s="97"/>
      <c r="H685" s="92"/>
      <c r="I685" s="111"/>
      <c r="J685" s="92"/>
      <c r="K685" s="92"/>
    </row>
    <row r="686" spans="1:11">
      <c r="A686" s="97"/>
      <c r="B686" s="97"/>
      <c r="C686" s="97"/>
      <c r="D686" s="92"/>
      <c r="E686" s="92"/>
      <c r="F686" s="97"/>
      <c r="G686" s="97"/>
      <c r="H686" s="92"/>
      <c r="I686" s="111"/>
      <c r="J686" s="92"/>
      <c r="K686" s="92"/>
    </row>
    <row r="687" spans="1:11">
      <c r="A687" s="97"/>
      <c r="B687" s="97"/>
      <c r="C687" s="97"/>
      <c r="D687" s="92"/>
      <c r="E687" s="92"/>
      <c r="F687" s="97"/>
      <c r="G687" s="97"/>
      <c r="H687" s="92"/>
      <c r="I687" s="111"/>
      <c r="J687" s="92"/>
      <c r="K687" s="92"/>
    </row>
    <row r="688" spans="1:11">
      <c r="A688" s="97"/>
      <c r="B688" s="97"/>
      <c r="C688" s="97"/>
      <c r="D688" s="92"/>
      <c r="E688" s="92"/>
      <c r="F688" s="97"/>
      <c r="G688" s="97"/>
      <c r="H688" s="92"/>
      <c r="I688" s="111"/>
      <c r="J688" s="92"/>
      <c r="K688" s="92"/>
    </row>
    <row r="689" spans="1:11">
      <c r="A689" s="97"/>
      <c r="B689" s="97"/>
      <c r="C689" s="97"/>
      <c r="D689" s="92"/>
      <c r="E689" s="92"/>
      <c r="F689" s="97"/>
      <c r="G689" s="97"/>
      <c r="H689" s="92"/>
      <c r="I689" s="111"/>
      <c r="J689" s="92"/>
      <c r="K689" s="92"/>
    </row>
    <row r="690" spans="1:11">
      <c r="A690" s="97"/>
      <c r="B690" s="97"/>
      <c r="C690" s="97"/>
      <c r="D690" s="92"/>
      <c r="E690" s="92"/>
      <c r="F690" s="97"/>
      <c r="G690" s="97"/>
      <c r="H690" s="92"/>
      <c r="I690" s="111"/>
      <c r="J690" s="92"/>
      <c r="K690" s="92"/>
    </row>
    <row r="691" spans="1:11">
      <c r="A691" s="97"/>
      <c r="B691" s="97"/>
      <c r="C691" s="97"/>
      <c r="D691" s="92"/>
      <c r="E691" s="92"/>
      <c r="F691" s="97"/>
      <c r="G691" s="97"/>
      <c r="H691" s="92"/>
      <c r="I691" s="111"/>
      <c r="J691" s="92"/>
      <c r="K691" s="92"/>
    </row>
    <row r="692" spans="1:11">
      <c r="A692" s="97"/>
      <c r="B692" s="97"/>
      <c r="C692" s="97"/>
      <c r="D692" s="92"/>
      <c r="E692" s="92"/>
      <c r="F692" s="97"/>
      <c r="G692" s="97"/>
      <c r="H692" s="92"/>
      <c r="I692" s="111"/>
      <c r="J692" s="92"/>
      <c r="K692" s="92"/>
    </row>
    <row r="693" spans="1:11">
      <c r="A693" s="97"/>
      <c r="B693" s="97"/>
      <c r="C693" s="97"/>
      <c r="D693" s="92"/>
      <c r="E693" s="92"/>
      <c r="F693" s="97"/>
      <c r="G693" s="97"/>
      <c r="H693" s="92"/>
      <c r="I693" s="111"/>
      <c r="J693" s="92"/>
      <c r="K693" s="92"/>
    </row>
    <row r="694" spans="1:11">
      <c r="A694" s="97"/>
      <c r="B694" s="97"/>
      <c r="C694" s="97"/>
      <c r="D694" s="92"/>
      <c r="E694" s="92"/>
      <c r="F694" s="97"/>
      <c r="G694" s="97"/>
      <c r="H694" s="92"/>
      <c r="I694" s="111"/>
      <c r="J694" s="92"/>
      <c r="K694" s="92"/>
    </row>
    <row r="695" spans="1:11">
      <c r="A695" s="97"/>
      <c r="B695" s="97"/>
      <c r="C695" s="97"/>
      <c r="D695" s="92"/>
      <c r="E695" s="92"/>
      <c r="F695" s="97"/>
      <c r="G695" s="97"/>
      <c r="H695" s="92"/>
      <c r="I695" s="111"/>
      <c r="J695" s="92"/>
      <c r="K695" s="92"/>
    </row>
    <row r="696" spans="1:11">
      <c r="A696" s="97"/>
      <c r="B696" s="97"/>
      <c r="C696" s="97"/>
      <c r="D696" s="92"/>
      <c r="E696" s="92"/>
      <c r="F696" s="97"/>
      <c r="G696" s="97"/>
      <c r="H696" s="92"/>
      <c r="I696" s="111"/>
      <c r="J696" s="92"/>
      <c r="K696" s="92"/>
    </row>
    <row r="697" spans="1:11">
      <c r="A697" s="97"/>
      <c r="B697" s="97"/>
      <c r="C697" s="97"/>
      <c r="D697" s="92"/>
      <c r="E697" s="92"/>
      <c r="F697" s="97"/>
      <c r="G697" s="97"/>
      <c r="H697" s="92"/>
      <c r="I697" s="111"/>
      <c r="J697" s="92"/>
      <c r="K697" s="92"/>
    </row>
    <row r="698" spans="1:11">
      <c r="A698" s="97"/>
      <c r="B698" s="97"/>
      <c r="C698" s="97"/>
      <c r="D698" s="92"/>
      <c r="E698" s="92"/>
      <c r="F698" s="97"/>
      <c r="G698" s="97"/>
      <c r="H698" s="92"/>
      <c r="I698" s="111"/>
      <c r="J698" s="92"/>
      <c r="K698" s="92"/>
    </row>
    <row r="699" spans="1:11">
      <c r="A699" s="97"/>
      <c r="B699" s="97"/>
      <c r="C699" s="97"/>
      <c r="D699" s="92"/>
      <c r="E699" s="92"/>
      <c r="F699" s="97"/>
      <c r="G699" s="97"/>
      <c r="H699" s="92"/>
      <c r="I699" s="111"/>
      <c r="J699" s="92"/>
      <c r="K699" s="92"/>
    </row>
    <row r="700" spans="1:11">
      <c r="A700" s="97"/>
      <c r="B700" s="97"/>
      <c r="C700" s="97"/>
      <c r="D700" s="92"/>
      <c r="E700" s="92"/>
      <c r="F700" s="97"/>
      <c r="G700" s="97"/>
      <c r="H700" s="92"/>
      <c r="I700" s="111"/>
      <c r="J700" s="92"/>
      <c r="K700" s="92"/>
    </row>
    <row r="701" spans="1:11">
      <c r="A701" s="97"/>
      <c r="B701" s="97"/>
      <c r="C701" s="97"/>
      <c r="D701" s="92"/>
      <c r="E701" s="92"/>
      <c r="F701" s="97"/>
      <c r="G701" s="97"/>
      <c r="H701" s="92"/>
      <c r="I701" s="111"/>
      <c r="J701" s="92"/>
      <c r="K701" s="92"/>
    </row>
    <row r="702" spans="1:11">
      <c r="A702" s="97"/>
      <c r="B702" s="97"/>
      <c r="C702" s="97"/>
      <c r="D702" s="92"/>
      <c r="E702" s="92"/>
      <c r="F702" s="97"/>
      <c r="G702" s="97"/>
      <c r="H702" s="92"/>
      <c r="I702" s="111"/>
      <c r="J702" s="92"/>
      <c r="K702" s="92"/>
    </row>
    <row r="703" spans="1:11">
      <c r="A703" s="97"/>
      <c r="B703" s="97"/>
      <c r="C703" s="97"/>
      <c r="D703" s="92"/>
      <c r="E703" s="92"/>
      <c r="F703" s="97"/>
      <c r="G703" s="97"/>
      <c r="H703" s="92"/>
      <c r="I703" s="111"/>
      <c r="J703" s="92"/>
      <c r="K703" s="92"/>
    </row>
    <row r="704" spans="1:11">
      <c r="A704" s="97"/>
      <c r="B704" s="97"/>
      <c r="C704" s="97"/>
      <c r="D704" s="92"/>
      <c r="E704" s="92"/>
      <c r="F704" s="97"/>
      <c r="G704" s="97"/>
      <c r="H704" s="92"/>
      <c r="I704" s="111"/>
      <c r="J704" s="92"/>
      <c r="K704" s="92"/>
    </row>
    <row r="705" spans="1:11">
      <c r="A705" s="97"/>
      <c r="B705" s="97"/>
      <c r="C705" s="97"/>
      <c r="D705" s="92"/>
      <c r="E705" s="92"/>
      <c r="F705" s="97"/>
      <c r="G705" s="97"/>
      <c r="H705" s="92"/>
      <c r="I705" s="111"/>
      <c r="J705" s="92"/>
      <c r="K705" s="92"/>
    </row>
    <row r="706" spans="1:11">
      <c r="A706" s="97"/>
      <c r="B706" s="97"/>
      <c r="C706" s="97"/>
      <c r="D706" s="92"/>
      <c r="E706" s="92"/>
      <c r="F706" s="97"/>
      <c r="G706" s="97"/>
      <c r="H706" s="92"/>
      <c r="I706" s="111"/>
      <c r="J706" s="92"/>
      <c r="K706" s="92"/>
    </row>
    <row r="707" spans="1:11">
      <c r="A707" s="97"/>
      <c r="B707" s="97"/>
      <c r="C707" s="97"/>
      <c r="D707" s="92"/>
      <c r="E707" s="92"/>
      <c r="F707" s="97"/>
      <c r="G707" s="97"/>
      <c r="H707" s="92"/>
      <c r="I707" s="111"/>
      <c r="J707" s="92"/>
      <c r="K707" s="92"/>
    </row>
    <row r="708" spans="1:11">
      <c r="A708" s="97"/>
      <c r="B708" s="97"/>
      <c r="C708" s="97"/>
      <c r="D708" s="92"/>
      <c r="E708" s="92"/>
      <c r="F708" s="97"/>
      <c r="G708" s="97"/>
      <c r="H708" s="92"/>
      <c r="I708" s="111"/>
      <c r="J708" s="92"/>
      <c r="K708" s="92"/>
    </row>
    <row r="709" spans="1:11">
      <c r="A709" s="97"/>
      <c r="B709" s="97"/>
      <c r="C709" s="97"/>
      <c r="D709" s="92"/>
      <c r="E709" s="92"/>
      <c r="F709" s="97"/>
      <c r="G709" s="97"/>
      <c r="H709" s="92"/>
      <c r="I709" s="111"/>
      <c r="J709" s="92"/>
      <c r="K709" s="92"/>
    </row>
    <row r="710" spans="1:11">
      <c r="A710" s="97"/>
      <c r="B710" s="97"/>
      <c r="C710" s="97"/>
      <c r="D710" s="92"/>
      <c r="E710" s="92"/>
      <c r="F710" s="97"/>
      <c r="G710" s="97"/>
      <c r="H710" s="92"/>
      <c r="I710" s="111"/>
      <c r="J710" s="92"/>
      <c r="K710" s="92"/>
    </row>
    <row r="711" spans="1:11">
      <c r="A711" s="97"/>
      <c r="B711" s="97"/>
      <c r="C711" s="97"/>
      <c r="D711" s="92"/>
      <c r="E711" s="92"/>
      <c r="F711" s="97"/>
      <c r="G711" s="97"/>
      <c r="H711" s="92"/>
      <c r="I711" s="111"/>
      <c r="J711" s="92"/>
      <c r="K711" s="92"/>
    </row>
    <row r="712" spans="1:11">
      <c r="A712" s="97"/>
      <c r="B712" s="97"/>
      <c r="C712" s="97"/>
      <c r="D712" s="92"/>
      <c r="E712" s="92"/>
      <c r="F712" s="97"/>
      <c r="G712" s="97"/>
      <c r="H712" s="92"/>
      <c r="I712" s="111"/>
      <c r="J712" s="92"/>
      <c r="K712" s="92"/>
    </row>
    <row r="713" spans="1:11">
      <c r="A713" s="97"/>
      <c r="B713" s="97"/>
      <c r="C713" s="97"/>
      <c r="D713" s="92"/>
      <c r="E713" s="92"/>
      <c r="F713" s="97"/>
      <c r="G713" s="97"/>
      <c r="H713" s="92"/>
      <c r="I713" s="111"/>
      <c r="J713" s="92"/>
      <c r="K713" s="92"/>
    </row>
    <row r="714" spans="1:11">
      <c r="A714" s="97"/>
      <c r="B714" s="97"/>
      <c r="C714" s="97"/>
      <c r="D714" s="92"/>
      <c r="E714" s="92"/>
      <c r="F714" s="97"/>
      <c r="G714" s="97"/>
      <c r="H714" s="92"/>
      <c r="I714" s="111"/>
      <c r="J714" s="92"/>
      <c r="K714" s="92"/>
    </row>
    <row r="715" spans="1:11">
      <c r="A715" s="97"/>
      <c r="B715" s="97"/>
      <c r="C715" s="97"/>
      <c r="D715" s="92"/>
      <c r="E715" s="92"/>
      <c r="F715" s="97"/>
      <c r="G715" s="97"/>
      <c r="H715" s="92"/>
      <c r="I715" s="111"/>
      <c r="J715" s="92"/>
      <c r="K715" s="92"/>
    </row>
    <row r="716" spans="1:11">
      <c r="A716" s="97"/>
      <c r="B716" s="97"/>
      <c r="C716" s="97"/>
      <c r="D716" s="92"/>
      <c r="E716" s="92"/>
      <c r="F716" s="97"/>
      <c r="G716" s="97"/>
      <c r="H716" s="92"/>
      <c r="I716" s="111"/>
      <c r="J716" s="92"/>
      <c r="K716" s="92"/>
    </row>
    <row r="717" spans="1:11">
      <c r="A717" s="97"/>
      <c r="B717" s="97"/>
      <c r="C717" s="97"/>
      <c r="D717" s="92"/>
      <c r="E717" s="92"/>
      <c r="F717" s="97"/>
      <c r="G717" s="97"/>
      <c r="H717" s="92"/>
      <c r="I717" s="111"/>
      <c r="J717" s="92"/>
      <c r="K717" s="92"/>
    </row>
    <row r="718" spans="1:11">
      <c r="A718" s="97"/>
      <c r="B718" s="97"/>
      <c r="C718" s="97"/>
      <c r="D718" s="92"/>
      <c r="E718" s="92"/>
      <c r="F718" s="97"/>
      <c r="G718" s="97"/>
      <c r="H718" s="92"/>
      <c r="I718" s="111"/>
      <c r="J718" s="92"/>
      <c r="K718" s="92"/>
    </row>
    <row r="719" spans="1:11">
      <c r="A719" s="97"/>
      <c r="B719" s="97"/>
      <c r="C719" s="97"/>
      <c r="D719" s="92"/>
      <c r="E719" s="92"/>
      <c r="F719" s="97"/>
      <c r="G719" s="97"/>
      <c r="H719" s="92"/>
      <c r="I719" s="111"/>
      <c r="J719" s="92"/>
      <c r="K719" s="92"/>
    </row>
    <row r="720" spans="1:11">
      <c r="A720" s="97"/>
      <c r="B720" s="97"/>
      <c r="C720" s="97"/>
      <c r="D720" s="92"/>
      <c r="E720" s="92"/>
      <c r="F720" s="97"/>
      <c r="G720" s="97"/>
      <c r="H720" s="92"/>
      <c r="I720" s="111"/>
      <c r="J720" s="92"/>
      <c r="K720" s="92"/>
    </row>
    <row r="721" spans="1:11">
      <c r="A721" s="97"/>
      <c r="B721" s="97"/>
      <c r="C721" s="97"/>
      <c r="D721" s="92"/>
      <c r="E721" s="92"/>
      <c r="F721" s="97"/>
      <c r="G721" s="97"/>
      <c r="H721" s="92"/>
      <c r="I721" s="111"/>
      <c r="J721" s="92"/>
      <c r="K721" s="92"/>
    </row>
    <row r="722" spans="1:11">
      <c r="A722" s="97"/>
      <c r="B722" s="97"/>
      <c r="C722" s="97"/>
      <c r="D722" s="92"/>
      <c r="E722" s="92"/>
      <c r="F722" s="97"/>
      <c r="G722" s="97"/>
      <c r="H722" s="92"/>
      <c r="I722" s="111"/>
      <c r="J722" s="92"/>
      <c r="K722" s="92"/>
    </row>
    <row r="723" spans="1:11">
      <c r="A723" s="97"/>
      <c r="B723" s="97"/>
      <c r="C723" s="97"/>
      <c r="D723" s="92"/>
      <c r="E723" s="92"/>
      <c r="F723" s="97"/>
      <c r="G723" s="97"/>
      <c r="H723" s="92"/>
      <c r="I723" s="111"/>
      <c r="J723" s="92"/>
      <c r="K723" s="92"/>
    </row>
    <row r="724" spans="1:11">
      <c r="A724" s="97"/>
      <c r="B724" s="97"/>
      <c r="C724" s="97"/>
      <c r="D724" s="92"/>
      <c r="E724" s="92"/>
      <c r="F724" s="97"/>
      <c r="G724" s="97"/>
      <c r="H724" s="92"/>
      <c r="I724" s="111"/>
      <c r="J724" s="92"/>
      <c r="K724" s="92"/>
    </row>
    <row r="725" spans="1:11">
      <c r="A725" s="97"/>
      <c r="B725" s="97"/>
      <c r="C725" s="97"/>
      <c r="D725" s="92"/>
      <c r="E725" s="92"/>
      <c r="F725" s="97"/>
      <c r="G725" s="97"/>
      <c r="H725" s="92"/>
      <c r="I725" s="111"/>
      <c r="J725" s="92"/>
      <c r="K725" s="92"/>
    </row>
    <row r="726" spans="1:11">
      <c r="A726" s="97"/>
      <c r="B726" s="97"/>
      <c r="C726" s="97"/>
      <c r="D726" s="92"/>
      <c r="E726" s="92"/>
      <c r="F726" s="97"/>
      <c r="G726" s="97"/>
      <c r="H726" s="92"/>
      <c r="I726" s="111"/>
      <c r="J726" s="92"/>
      <c r="K726" s="92"/>
    </row>
    <row r="727" spans="1:11">
      <c r="A727" s="97"/>
      <c r="B727" s="97"/>
      <c r="C727" s="97"/>
      <c r="D727" s="92"/>
      <c r="E727" s="92"/>
      <c r="F727" s="97"/>
      <c r="G727" s="97"/>
      <c r="H727" s="92"/>
      <c r="I727" s="111"/>
      <c r="J727" s="92"/>
      <c r="K727" s="92"/>
    </row>
    <row r="728" spans="1:11">
      <c r="A728" s="97"/>
      <c r="B728" s="97"/>
      <c r="C728" s="97"/>
      <c r="D728" s="92"/>
      <c r="E728" s="92"/>
      <c r="F728" s="97"/>
      <c r="G728" s="97"/>
      <c r="H728" s="92"/>
      <c r="I728" s="111"/>
      <c r="J728" s="92"/>
      <c r="K728" s="92"/>
    </row>
    <row r="729" spans="1:11">
      <c r="A729" s="97"/>
      <c r="B729" s="97"/>
      <c r="C729" s="97"/>
      <c r="D729" s="92"/>
      <c r="E729" s="92"/>
      <c r="F729" s="97"/>
      <c r="G729" s="97"/>
      <c r="H729" s="92"/>
      <c r="I729" s="111"/>
      <c r="J729" s="92"/>
      <c r="K729" s="92"/>
    </row>
    <row r="730" spans="1:11">
      <c r="A730" s="97"/>
      <c r="B730" s="97"/>
      <c r="C730" s="97"/>
      <c r="D730" s="92"/>
      <c r="E730" s="92"/>
      <c r="F730" s="97"/>
      <c r="G730" s="97"/>
      <c r="H730" s="92"/>
      <c r="I730" s="111"/>
      <c r="J730" s="92"/>
      <c r="K730" s="92"/>
    </row>
    <row r="731" spans="1:11">
      <c r="A731" s="97"/>
      <c r="B731" s="97"/>
      <c r="C731" s="97"/>
      <c r="D731" s="92"/>
      <c r="E731" s="92"/>
      <c r="F731" s="97"/>
      <c r="G731" s="97"/>
      <c r="H731" s="92"/>
      <c r="I731" s="111"/>
      <c r="J731" s="92"/>
      <c r="K731" s="92"/>
    </row>
    <row r="732" spans="1:11">
      <c r="A732" s="97"/>
      <c r="B732" s="97"/>
      <c r="C732" s="97"/>
      <c r="D732" s="92"/>
      <c r="E732" s="92"/>
      <c r="F732" s="97"/>
      <c r="G732" s="97"/>
      <c r="H732" s="92"/>
      <c r="I732" s="111"/>
      <c r="J732" s="92"/>
      <c r="K732" s="92"/>
    </row>
    <row r="733" spans="1:11">
      <c r="A733" s="97"/>
      <c r="B733" s="97"/>
      <c r="C733" s="97"/>
      <c r="D733" s="92"/>
      <c r="E733" s="92"/>
      <c r="F733" s="97"/>
      <c r="G733" s="97"/>
      <c r="H733" s="92"/>
      <c r="I733" s="111"/>
      <c r="J733" s="92"/>
      <c r="K733" s="92"/>
    </row>
    <row r="734" spans="1:11">
      <c r="A734" s="97"/>
      <c r="B734" s="97"/>
      <c r="C734" s="97"/>
      <c r="D734" s="92"/>
      <c r="E734" s="92"/>
      <c r="F734" s="97"/>
      <c r="G734" s="97"/>
      <c r="H734" s="92"/>
      <c r="I734" s="111"/>
      <c r="J734" s="92"/>
      <c r="K734" s="92"/>
    </row>
    <row r="735" spans="1:11">
      <c r="A735" s="97"/>
      <c r="B735" s="97"/>
      <c r="C735" s="97"/>
      <c r="D735" s="92"/>
      <c r="E735" s="92"/>
      <c r="F735" s="97"/>
      <c r="G735" s="97"/>
      <c r="H735" s="92"/>
      <c r="I735" s="111"/>
      <c r="J735" s="92"/>
      <c r="K735" s="92"/>
    </row>
    <row r="736" spans="1:11">
      <c r="A736" s="97"/>
      <c r="B736" s="97"/>
      <c r="C736" s="97"/>
      <c r="D736" s="92"/>
      <c r="E736" s="92"/>
      <c r="F736" s="97"/>
      <c r="G736" s="97"/>
      <c r="H736" s="92"/>
      <c r="I736" s="111"/>
      <c r="J736" s="92"/>
      <c r="K736" s="92"/>
    </row>
    <row r="737" spans="1:11">
      <c r="A737" s="97"/>
      <c r="B737" s="97"/>
      <c r="C737" s="97"/>
      <c r="D737" s="92"/>
      <c r="E737" s="92"/>
      <c r="F737" s="97"/>
      <c r="G737" s="97"/>
      <c r="H737" s="92"/>
      <c r="I737" s="111"/>
      <c r="J737" s="92"/>
      <c r="K737" s="92"/>
    </row>
    <row r="738" spans="1:11">
      <c r="A738" s="97"/>
      <c r="B738" s="97"/>
      <c r="C738" s="97"/>
      <c r="D738" s="92"/>
      <c r="E738" s="92"/>
      <c r="F738" s="97"/>
      <c r="G738" s="97"/>
      <c r="H738" s="92"/>
      <c r="I738" s="111"/>
      <c r="J738" s="92"/>
      <c r="K738" s="92"/>
    </row>
    <row r="739" spans="1:11">
      <c r="A739" s="97"/>
      <c r="B739" s="97"/>
      <c r="C739" s="97"/>
      <c r="D739" s="92"/>
      <c r="E739" s="92"/>
      <c r="F739" s="97"/>
      <c r="G739" s="97"/>
      <c r="H739" s="92"/>
      <c r="I739" s="111"/>
      <c r="J739" s="92"/>
      <c r="K739" s="92"/>
    </row>
    <row r="740" spans="1:11">
      <c r="A740" s="97"/>
      <c r="B740" s="97"/>
      <c r="C740" s="97"/>
      <c r="D740" s="92"/>
      <c r="E740" s="92"/>
      <c r="F740" s="97"/>
      <c r="G740" s="97"/>
      <c r="H740" s="92"/>
      <c r="I740" s="111"/>
      <c r="J740" s="92"/>
      <c r="K740" s="92"/>
    </row>
    <row r="741" spans="1:11">
      <c r="A741" s="97"/>
      <c r="B741" s="97"/>
      <c r="C741" s="97"/>
      <c r="D741" s="92"/>
      <c r="E741" s="92"/>
      <c r="F741" s="97"/>
      <c r="G741" s="97"/>
      <c r="H741" s="92"/>
      <c r="I741" s="111"/>
      <c r="J741" s="92"/>
      <c r="K741" s="92"/>
    </row>
    <row r="742" spans="1:11">
      <c r="A742" s="97"/>
      <c r="B742" s="97"/>
      <c r="C742" s="97"/>
      <c r="D742" s="92"/>
      <c r="E742" s="92"/>
      <c r="F742" s="97"/>
      <c r="G742" s="97"/>
      <c r="H742" s="92"/>
      <c r="I742" s="111"/>
      <c r="J742" s="92"/>
      <c r="K742" s="92"/>
    </row>
    <row r="743" spans="1:11">
      <c r="A743" s="97"/>
      <c r="B743" s="97"/>
      <c r="C743" s="97"/>
      <c r="D743" s="92"/>
      <c r="E743" s="92"/>
      <c r="F743" s="97"/>
      <c r="G743" s="97"/>
      <c r="H743" s="92"/>
      <c r="I743" s="111"/>
      <c r="J743" s="92"/>
      <c r="K743" s="92"/>
    </row>
    <row r="744" spans="1:11">
      <c r="A744" s="97"/>
      <c r="B744" s="97"/>
      <c r="C744" s="97"/>
      <c r="D744" s="92"/>
      <c r="E744" s="92"/>
      <c r="F744" s="97"/>
      <c r="G744" s="97"/>
      <c r="H744" s="92"/>
      <c r="I744" s="111"/>
      <c r="J744" s="92"/>
      <c r="K744" s="92"/>
    </row>
    <row r="745" spans="1:11">
      <c r="A745" s="97"/>
      <c r="B745" s="97"/>
      <c r="C745" s="97"/>
      <c r="D745" s="92"/>
      <c r="E745" s="92"/>
      <c r="F745" s="97"/>
      <c r="G745" s="97"/>
      <c r="H745" s="92"/>
      <c r="I745" s="111"/>
      <c r="J745" s="92"/>
      <c r="K745" s="92"/>
    </row>
    <row r="746" spans="1:11">
      <c r="A746" s="97"/>
      <c r="B746" s="97"/>
      <c r="C746" s="97"/>
      <c r="D746" s="92"/>
      <c r="E746" s="92"/>
      <c r="F746" s="97"/>
      <c r="G746" s="97"/>
      <c r="H746" s="92"/>
      <c r="I746" s="111"/>
      <c r="J746" s="92"/>
      <c r="K746" s="92"/>
    </row>
    <row r="747" spans="1:11">
      <c r="A747" s="97"/>
      <c r="B747" s="97"/>
      <c r="C747" s="97"/>
      <c r="D747" s="92"/>
      <c r="E747" s="92"/>
      <c r="F747" s="97"/>
      <c r="G747" s="97"/>
      <c r="H747" s="92"/>
      <c r="I747" s="111"/>
      <c r="J747" s="92"/>
      <c r="K747" s="92"/>
    </row>
    <row r="748" spans="1:11">
      <c r="A748" s="97"/>
      <c r="B748" s="97"/>
      <c r="C748" s="97"/>
      <c r="D748" s="92"/>
      <c r="E748" s="92"/>
      <c r="F748" s="97"/>
      <c r="G748" s="97"/>
      <c r="H748" s="92"/>
      <c r="I748" s="111"/>
      <c r="J748" s="92"/>
      <c r="K748" s="92"/>
    </row>
    <row r="749" spans="1:11">
      <c r="A749" s="97"/>
      <c r="B749" s="97"/>
      <c r="C749" s="97"/>
      <c r="D749" s="92"/>
      <c r="E749" s="92"/>
      <c r="F749" s="97"/>
      <c r="G749" s="97"/>
      <c r="H749" s="92"/>
      <c r="I749" s="111"/>
      <c r="J749" s="92"/>
      <c r="K749" s="92"/>
    </row>
    <row r="750" spans="1:11">
      <c r="A750" s="97"/>
      <c r="B750" s="97"/>
      <c r="C750" s="97"/>
      <c r="D750" s="92"/>
      <c r="E750" s="92"/>
      <c r="F750" s="97"/>
      <c r="G750" s="97"/>
      <c r="H750" s="92"/>
      <c r="I750" s="111"/>
      <c r="J750" s="92"/>
      <c r="K750" s="92"/>
    </row>
    <row r="751" spans="1:11">
      <c r="A751" s="97"/>
      <c r="B751" s="97"/>
      <c r="C751" s="97"/>
      <c r="D751" s="92"/>
      <c r="E751" s="92"/>
      <c r="F751" s="97"/>
      <c r="G751" s="97"/>
      <c r="H751" s="92"/>
      <c r="I751" s="111"/>
      <c r="J751" s="92"/>
      <c r="K751" s="92"/>
    </row>
    <row r="752" spans="1:11">
      <c r="A752" s="97"/>
      <c r="B752" s="97"/>
      <c r="C752" s="97"/>
      <c r="D752" s="92"/>
      <c r="E752" s="92"/>
      <c r="F752" s="97"/>
      <c r="G752" s="97"/>
      <c r="H752" s="92"/>
      <c r="I752" s="111"/>
      <c r="J752" s="92"/>
      <c r="K752" s="92"/>
    </row>
    <row r="753" spans="1:11">
      <c r="A753" s="97"/>
      <c r="B753" s="97"/>
      <c r="C753" s="97"/>
      <c r="D753" s="92"/>
      <c r="E753" s="92"/>
      <c r="F753" s="97"/>
      <c r="G753" s="97"/>
      <c r="H753" s="92"/>
      <c r="I753" s="111"/>
      <c r="J753" s="92"/>
      <c r="K753" s="92"/>
    </row>
    <row r="754" spans="1:11">
      <c r="A754" s="97"/>
      <c r="B754" s="97"/>
      <c r="C754" s="97"/>
      <c r="D754" s="92"/>
      <c r="E754" s="92"/>
      <c r="F754" s="97"/>
      <c r="G754" s="97"/>
      <c r="H754" s="92"/>
      <c r="I754" s="111"/>
      <c r="J754" s="92"/>
      <c r="K754" s="92"/>
    </row>
    <row r="755" spans="1:11">
      <c r="A755" s="97"/>
      <c r="B755" s="97"/>
      <c r="C755" s="97"/>
      <c r="D755" s="92"/>
      <c r="E755" s="92"/>
      <c r="F755" s="97"/>
      <c r="G755" s="97"/>
      <c r="H755" s="92"/>
      <c r="I755" s="111"/>
      <c r="J755" s="92"/>
      <c r="K755" s="92"/>
    </row>
    <row r="756" spans="1:11">
      <c r="A756" s="97"/>
      <c r="B756" s="97"/>
      <c r="C756" s="97"/>
      <c r="D756" s="92"/>
      <c r="E756" s="92"/>
      <c r="F756" s="97"/>
      <c r="G756" s="97"/>
      <c r="H756" s="92"/>
      <c r="I756" s="111"/>
      <c r="J756" s="92"/>
      <c r="K756" s="92"/>
    </row>
    <row r="757" spans="1:11">
      <c r="A757" s="97"/>
      <c r="B757" s="97"/>
      <c r="C757" s="97"/>
      <c r="D757" s="92"/>
      <c r="E757" s="92"/>
      <c r="F757" s="97"/>
      <c r="G757" s="97"/>
      <c r="H757" s="92"/>
      <c r="I757" s="111"/>
      <c r="J757" s="92"/>
      <c r="K757" s="92"/>
    </row>
    <row r="758" spans="1:11">
      <c r="A758" s="97"/>
      <c r="B758" s="97"/>
      <c r="C758" s="97"/>
      <c r="D758" s="92"/>
      <c r="E758" s="92"/>
      <c r="F758" s="97"/>
      <c r="G758" s="97"/>
      <c r="H758" s="92"/>
      <c r="I758" s="111"/>
      <c r="J758" s="92"/>
      <c r="K758" s="92"/>
    </row>
    <row r="759" spans="1:11">
      <c r="A759" s="97"/>
      <c r="B759" s="97"/>
      <c r="C759" s="97"/>
      <c r="D759" s="92"/>
      <c r="E759" s="92"/>
      <c r="F759" s="97"/>
      <c r="G759" s="97"/>
      <c r="H759" s="92"/>
      <c r="I759" s="111"/>
      <c r="J759" s="92"/>
      <c r="K759" s="92"/>
    </row>
    <row r="760" spans="1:11">
      <c r="A760" s="97"/>
      <c r="B760" s="97"/>
      <c r="C760" s="97"/>
      <c r="D760" s="92"/>
      <c r="E760" s="92"/>
      <c r="F760" s="97"/>
      <c r="G760" s="97"/>
      <c r="H760" s="92"/>
      <c r="I760" s="111"/>
      <c r="J760" s="92"/>
      <c r="K760" s="92"/>
    </row>
    <row r="761" spans="1:11">
      <c r="A761" s="97"/>
      <c r="B761" s="97"/>
      <c r="C761" s="97"/>
      <c r="D761" s="92"/>
      <c r="E761" s="92"/>
      <c r="F761" s="97"/>
      <c r="G761" s="97"/>
      <c r="H761" s="92"/>
      <c r="I761" s="111"/>
      <c r="J761" s="92"/>
      <c r="K761" s="92"/>
    </row>
    <row r="762" spans="1:11">
      <c r="A762" s="97"/>
      <c r="B762" s="97"/>
      <c r="C762" s="97"/>
      <c r="D762" s="92"/>
      <c r="E762" s="92"/>
      <c r="F762" s="97"/>
      <c r="G762" s="97"/>
      <c r="H762" s="92"/>
      <c r="I762" s="111"/>
      <c r="J762" s="92"/>
      <c r="K762" s="92"/>
    </row>
    <row r="763" spans="1:11">
      <c r="A763" s="97"/>
      <c r="B763" s="97"/>
      <c r="C763" s="97"/>
      <c r="D763" s="92"/>
      <c r="E763" s="92"/>
      <c r="F763" s="97"/>
      <c r="G763" s="97"/>
      <c r="H763" s="92"/>
      <c r="I763" s="111"/>
      <c r="J763" s="92"/>
      <c r="K763" s="92"/>
    </row>
    <row r="764" spans="1:11">
      <c r="A764" s="97"/>
      <c r="B764" s="97"/>
      <c r="C764" s="97"/>
      <c r="D764" s="92"/>
      <c r="E764" s="92"/>
      <c r="F764" s="97"/>
      <c r="G764" s="97"/>
      <c r="H764" s="92"/>
      <c r="I764" s="111"/>
      <c r="J764" s="92"/>
      <c r="K764" s="92"/>
    </row>
    <row r="765" spans="1:11">
      <c r="A765" s="97"/>
      <c r="B765" s="97"/>
      <c r="C765" s="97"/>
      <c r="D765" s="92"/>
      <c r="E765" s="92"/>
      <c r="F765" s="97"/>
      <c r="G765" s="97"/>
      <c r="H765" s="92"/>
      <c r="I765" s="111"/>
      <c r="J765" s="92"/>
      <c r="K765" s="92"/>
    </row>
    <row r="766" spans="1:11">
      <c r="A766" s="97"/>
      <c r="B766" s="97"/>
      <c r="C766" s="97"/>
      <c r="D766" s="92"/>
      <c r="E766" s="92"/>
      <c r="F766" s="97"/>
      <c r="G766" s="97"/>
      <c r="H766" s="92"/>
      <c r="I766" s="111"/>
      <c r="J766" s="92"/>
      <c r="K766" s="92"/>
    </row>
    <row r="767" spans="1:11">
      <c r="A767" s="97"/>
      <c r="B767" s="97"/>
      <c r="C767" s="97"/>
      <c r="D767" s="92"/>
      <c r="E767" s="92"/>
      <c r="F767" s="97"/>
      <c r="G767" s="97"/>
      <c r="H767" s="92"/>
      <c r="I767" s="111"/>
      <c r="J767" s="92"/>
      <c r="K767" s="92"/>
    </row>
    <row r="768" spans="1:11">
      <c r="A768" s="97"/>
      <c r="B768" s="97"/>
      <c r="C768" s="97"/>
      <c r="D768" s="92"/>
      <c r="E768" s="92"/>
      <c r="F768" s="97"/>
      <c r="G768" s="97"/>
      <c r="H768" s="92"/>
      <c r="I768" s="111"/>
      <c r="J768" s="92"/>
      <c r="K768" s="92"/>
    </row>
    <row r="769" spans="1:11">
      <c r="A769" s="97"/>
      <c r="B769" s="97"/>
      <c r="C769" s="97"/>
      <c r="D769" s="92"/>
      <c r="E769" s="92"/>
      <c r="F769" s="97"/>
      <c r="G769" s="97"/>
      <c r="H769" s="92"/>
      <c r="I769" s="111"/>
      <c r="J769" s="92"/>
      <c r="K769" s="92"/>
    </row>
    <row r="770" spans="1:11">
      <c r="A770" s="97"/>
      <c r="B770" s="97"/>
      <c r="C770" s="97"/>
      <c r="D770" s="92"/>
      <c r="E770" s="92"/>
      <c r="F770" s="97"/>
      <c r="G770" s="97"/>
      <c r="H770" s="92"/>
      <c r="I770" s="111"/>
      <c r="J770" s="92"/>
      <c r="K770" s="92"/>
    </row>
    <row r="771" spans="1:11">
      <c r="A771" s="97"/>
      <c r="B771" s="97"/>
      <c r="C771" s="97"/>
      <c r="D771" s="92"/>
      <c r="E771" s="92"/>
      <c r="F771" s="97"/>
      <c r="G771" s="97"/>
      <c r="H771" s="92"/>
      <c r="I771" s="111"/>
      <c r="J771" s="92"/>
      <c r="K771" s="92"/>
    </row>
    <row r="772" spans="1:11">
      <c r="A772" s="97"/>
      <c r="B772" s="97"/>
      <c r="C772" s="97"/>
      <c r="D772" s="92"/>
      <c r="E772" s="92"/>
      <c r="F772" s="97"/>
      <c r="G772" s="97"/>
      <c r="H772" s="92"/>
      <c r="I772" s="111"/>
      <c r="J772" s="92"/>
      <c r="K772" s="92"/>
    </row>
    <row r="773" spans="1:11">
      <c r="A773" s="97"/>
      <c r="B773" s="97"/>
      <c r="C773" s="97"/>
      <c r="D773" s="92"/>
      <c r="E773" s="92"/>
      <c r="F773" s="97"/>
      <c r="G773" s="97"/>
      <c r="H773" s="92"/>
      <c r="I773" s="111"/>
      <c r="J773" s="92"/>
      <c r="K773" s="92"/>
    </row>
    <row r="774" spans="1:11">
      <c r="A774" s="97"/>
      <c r="B774" s="97"/>
      <c r="C774" s="97"/>
      <c r="D774" s="92"/>
      <c r="E774" s="92"/>
      <c r="F774" s="97"/>
      <c r="G774" s="97"/>
      <c r="H774" s="92"/>
      <c r="I774" s="111"/>
      <c r="J774" s="92"/>
      <c r="K774" s="92"/>
    </row>
    <row r="775" spans="1:11">
      <c r="A775" s="97"/>
      <c r="B775" s="97"/>
      <c r="C775" s="97"/>
      <c r="D775" s="92"/>
      <c r="E775" s="92"/>
      <c r="F775" s="97"/>
      <c r="G775" s="97"/>
      <c r="H775" s="92"/>
      <c r="I775" s="111"/>
      <c r="J775" s="92"/>
      <c r="K775" s="92"/>
    </row>
    <row r="776" spans="1:11">
      <c r="A776" s="97"/>
      <c r="B776" s="97"/>
      <c r="C776" s="97"/>
      <c r="D776" s="92"/>
      <c r="E776" s="92"/>
      <c r="F776" s="97"/>
      <c r="G776" s="97"/>
      <c r="H776" s="92"/>
      <c r="I776" s="111"/>
      <c r="J776" s="92"/>
      <c r="K776" s="92"/>
    </row>
    <row r="777" spans="1:11">
      <c r="A777" s="97"/>
      <c r="B777" s="97"/>
      <c r="C777" s="97"/>
      <c r="D777" s="92"/>
      <c r="E777" s="92"/>
      <c r="F777" s="97"/>
      <c r="G777" s="97"/>
      <c r="H777" s="92"/>
      <c r="I777" s="111"/>
      <c r="J777" s="92"/>
      <c r="K777" s="92"/>
    </row>
    <row r="778" spans="1:11">
      <c r="A778" s="97"/>
      <c r="B778" s="97"/>
      <c r="C778" s="97"/>
      <c r="D778" s="92"/>
      <c r="E778" s="92"/>
      <c r="F778" s="97"/>
      <c r="G778" s="97"/>
      <c r="H778" s="92"/>
      <c r="I778" s="111"/>
      <c r="J778" s="92"/>
      <c r="K778" s="92"/>
    </row>
    <row r="779" spans="1:11">
      <c r="A779" s="97"/>
      <c r="B779" s="97"/>
      <c r="C779" s="97"/>
      <c r="D779" s="92"/>
      <c r="E779" s="92"/>
      <c r="F779" s="97"/>
      <c r="G779" s="97"/>
      <c r="H779" s="92"/>
      <c r="I779" s="111"/>
      <c r="J779" s="92"/>
      <c r="K779" s="92"/>
    </row>
    <row r="780" spans="1:11">
      <c r="A780" s="97"/>
      <c r="B780" s="97"/>
      <c r="C780" s="97"/>
      <c r="D780" s="92"/>
      <c r="E780" s="92"/>
      <c r="F780" s="97"/>
      <c r="G780" s="97"/>
      <c r="H780" s="92"/>
      <c r="I780" s="111"/>
      <c r="J780" s="92"/>
      <c r="K780" s="92"/>
    </row>
    <row r="781" spans="1:11">
      <c r="A781" s="97"/>
      <c r="B781" s="97"/>
      <c r="C781" s="97"/>
      <c r="D781" s="92"/>
      <c r="E781" s="92"/>
      <c r="F781" s="97"/>
      <c r="G781" s="97"/>
      <c r="H781" s="92"/>
      <c r="I781" s="111"/>
      <c r="J781" s="92"/>
      <c r="K781" s="92"/>
    </row>
    <row r="782" spans="1:11">
      <c r="A782" s="97"/>
      <c r="B782" s="97"/>
      <c r="C782" s="97"/>
      <c r="D782" s="92"/>
      <c r="E782" s="92"/>
      <c r="F782" s="97"/>
      <c r="G782" s="97"/>
      <c r="H782" s="92"/>
      <c r="I782" s="111"/>
      <c r="J782" s="92"/>
      <c r="K782" s="92"/>
    </row>
    <row r="783" spans="1:11">
      <c r="A783" s="97"/>
      <c r="B783" s="97"/>
      <c r="C783" s="97"/>
      <c r="D783" s="92"/>
      <c r="E783" s="92"/>
      <c r="F783" s="97"/>
      <c r="G783" s="97"/>
      <c r="H783" s="92"/>
      <c r="I783" s="111"/>
      <c r="J783" s="92"/>
      <c r="K783" s="92"/>
    </row>
    <row r="784" spans="1:11">
      <c r="A784" s="97"/>
      <c r="B784" s="97"/>
      <c r="C784" s="97"/>
      <c r="D784" s="92"/>
      <c r="E784" s="92"/>
      <c r="F784" s="97"/>
      <c r="G784" s="97"/>
      <c r="H784" s="92"/>
      <c r="I784" s="111"/>
      <c r="J784" s="92"/>
      <c r="K784" s="92"/>
    </row>
    <row r="785" spans="1:11">
      <c r="A785" s="97"/>
      <c r="B785" s="97"/>
      <c r="C785" s="97"/>
      <c r="D785" s="92"/>
      <c r="E785" s="92"/>
      <c r="F785" s="97"/>
      <c r="G785" s="97"/>
      <c r="H785" s="92"/>
      <c r="I785" s="111"/>
      <c r="J785" s="92"/>
      <c r="K785" s="92"/>
    </row>
    <row r="786" spans="1:11">
      <c r="A786" s="97"/>
      <c r="B786" s="97"/>
      <c r="C786" s="97"/>
      <c r="D786" s="92"/>
      <c r="E786" s="92"/>
      <c r="F786" s="97"/>
      <c r="G786" s="97"/>
      <c r="H786" s="92"/>
      <c r="I786" s="111"/>
      <c r="J786" s="92"/>
      <c r="K786" s="92"/>
    </row>
    <row r="787" spans="1:11">
      <c r="A787" s="97"/>
      <c r="B787" s="97"/>
      <c r="C787" s="97"/>
      <c r="D787" s="92"/>
      <c r="E787" s="92"/>
      <c r="F787" s="97"/>
      <c r="G787" s="97"/>
      <c r="H787" s="92"/>
      <c r="I787" s="111"/>
      <c r="J787" s="92"/>
      <c r="K787" s="92"/>
    </row>
    <row r="788" spans="1:11">
      <c r="A788" s="97"/>
      <c r="B788" s="97"/>
      <c r="C788" s="97"/>
      <c r="D788" s="92"/>
      <c r="E788" s="92"/>
      <c r="F788" s="97"/>
      <c r="G788" s="97"/>
      <c r="H788" s="92"/>
      <c r="I788" s="111"/>
      <c r="J788" s="92"/>
      <c r="K788" s="92"/>
    </row>
    <row r="789" spans="1:11">
      <c r="A789" s="97"/>
      <c r="B789" s="97"/>
      <c r="C789" s="97"/>
      <c r="D789" s="92"/>
      <c r="E789" s="92"/>
      <c r="F789" s="97"/>
      <c r="G789" s="97"/>
      <c r="H789" s="92"/>
      <c r="I789" s="111"/>
      <c r="J789" s="92"/>
      <c r="K789" s="92"/>
    </row>
    <row r="790" spans="1:11">
      <c r="A790" s="97"/>
      <c r="B790" s="97"/>
      <c r="C790" s="97"/>
      <c r="D790" s="92"/>
      <c r="E790" s="92"/>
      <c r="F790" s="97"/>
      <c r="G790" s="97"/>
      <c r="H790" s="92"/>
      <c r="I790" s="111"/>
      <c r="J790" s="92"/>
      <c r="K790" s="92"/>
    </row>
    <row r="791" spans="1:11">
      <c r="A791" s="97"/>
      <c r="B791" s="97"/>
      <c r="C791" s="97"/>
      <c r="D791" s="92"/>
      <c r="E791" s="92"/>
      <c r="F791" s="97"/>
      <c r="G791" s="97"/>
      <c r="H791" s="92"/>
      <c r="I791" s="111"/>
      <c r="J791" s="92"/>
      <c r="K791" s="92"/>
    </row>
    <row r="792" spans="1:11">
      <c r="A792" s="97"/>
      <c r="B792" s="97"/>
      <c r="C792" s="97"/>
      <c r="D792" s="92"/>
      <c r="E792" s="92"/>
      <c r="F792" s="97"/>
      <c r="G792" s="97"/>
      <c r="H792" s="92"/>
      <c r="I792" s="111"/>
      <c r="J792" s="92"/>
      <c r="K792" s="92"/>
    </row>
    <row r="793" spans="1:11">
      <c r="A793" s="97"/>
      <c r="B793" s="97"/>
      <c r="C793" s="97"/>
      <c r="D793" s="92"/>
      <c r="E793" s="92"/>
      <c r="F793" s="97"/>
      <c r="G793" s="97"/>
      <c r="H793" s="92"/>
      <c r="I793" s="111"/>
      <c r="J793" s="92"/>
      <c r="K793" s="92"/>
    </row>
    <row r="794" spans="1:11">
      <c r="A794" s="97"/>
      <c r="B794" s="97"/>
      <c r="C794" s="97"/>
      <c r="D794" s="92"/>
      <c r="E794" s="92"/>
      <c r="F794" s="97"/>
      <c r="G794" s="97"/>
      <c r="H794" s="92"/>
      <c r="I794" s="111"/>
      <c r="J794" s="92"/>
      <c r="K794" s="92"/>
    </row>
    <row r="795" spans="1:11">
      <c r="A795" s="97"/>
      <c r="B795" s="97"/>
      <c r="C795" s="97"/>
      <c r="D795" s="92"/>
      <c r="E795" s="92"/>
      <c r="F795" s="97"/>
      <c r="G795" s="97"/>
      <c r="H795" s="92"/>
      <c r="I795" s="111"/>
      <c r="J795" s="92"/>
      <c r="K795" s="92"/>
    </row>
    <row r="796" spans="1:11">
      <c r="A796" s="97"/>
      <c r="B796" s="97"/>
      <c r="C796" s="97"/>
      <c r="D796" s="92"/>
      <c r="E796" s="92"/>
      <c r="F796" s="97"/>
      <c r="G796" s="97"/>
      <c r="H796" s="92"/>
      <c r="I796" s="111"/>
      <c r="J796" s="92"/>
      <c r="K796" s="92"/>
    </row>
    <row r="797" spans="1:11">
      <c r="A797" s="97"/>
      <c r="B797" s="97"/>
      <c r="C797" s="97"/>
      <c r="D797" s="92"/>
      <c r="E797" s="92"/>
      <c r="F797" s="97"/>
      <c r="G797" s="97"/>
      <c r="H797" s="92"/>
      <c r="I797" s="111"/>
      <c r="J797" s="92"/>
      <c r="K797" s="92"/>
    </row>
    <row r="798" spans="1:11">
      <c r="A798" s="97"/>
      <c r="B798" s="97"/>
      <c r="C798" s="97"/>
      <c r="D798" s="92"/>
      <c r="E798" s="92"/>
      <c r="F798" s="97"/>
      <c r="G798" s="97"/>
      <c r="H798" s="92"/>
      <c r="I798" s="111"/>
      <c r="J798" s="92"/>
      <c r="K798" s="92"/>
    </row>
    <row r="799" spans="1:11">
      <c r="A799" s="97"/>
      <c r="B799" s="97"/>
      <c r="C799" s="97"/>
      <c r="D799" s="92"/>
      <c r="E799" s="92"/>
      <c r="F799" s="97"/>
      <c r="G799" s="97"/>
      <c r="H799" s="92"/>
      <c r="I799" s="111"/>
      <c r="J799" s="92"/>
      <c r="K799" s="92"/>
    </row>
    <row r="800" spans="1:11">
      <c r="A800" s="97"/>
      <c r="B800" s="97"/>
      <c r="C800" s="97"/>
      <c r="D800" s="92"/>
      <c r="E800" s="92"/>
      <c r="F800" s="97"/>
      <c r="G800" s="97"/>
      <c r="H800" s="92"/>
      <c r="I800" s="111"/>
      <c r="J800" s="92"/>
      <c r="K800" s="92"/>
    </row>
    <row r="801" spans="1:11">
      <c r="A801" s="97"/>
      <c r="B801" s="97"/>
      <c r="C801" s="97"/>
      <c r="D801" s="92"/>
      <c r="E801" s="92"/>
      <c r="F801" s="97"/>
      <c r="G801" s="97"/>
      <c r="H801" s="92"/>
      <c r="I801" s="111"/>
      <c r="J801" s="92"/>
      <c r="K801" s="92"/>
    </row>
    <row r="802" spans="1:11">
      <c r="A802" s="97"/>
      <c r="B802" s="97"/>
      <c r="C802" s="97"/>
      <c r="D802" s="92"/>
      <c r="E802" s="92"/>
      <c r="F802" s="97"/>
      <c r="G802" s="97"/>
      <c r="H802" s="92"/>
      <c r="I802" s="111"/>
      <c r="J802" s="92"/>
      <c r="K802" s="92"/>
    </row>
    <row r="803" spans="1:11">
      <c r="A803" s="97"/>
      <c r="B803" s="97"/>
      <c r="C803" s="97"/>
      <c r="D803" s="92"/>
      <c r="E803" s="92"/>
      <c r="F803" s="97"/>
      <c r="G803" s="97"/>
      <c r="H803" s="92"/>
      <c r="I803" s="111"/>
      <c r="J803" s="92"/>
      <c r="K803" s="92"/>
    </row>
    <row r="804" spans="1:11">
      <c r="A804" s="97"/>
      <c r="B804" s="97"/>
      <c r="C804" s="97"/>
      <c r="D804" s="92"/>
      <c r="E804" s="92"/>
      <c r="F804" s="97"/>
      <c r="G804" s="97"/>
      <c r="H804" s="92"/>
      <c r="I804" s="111"/>
      <c r="J804" s="92"/>
      <c r="K804" s="92"/>
    </row>
    <row r="805" spans="1:11">
      <c r="A805" s="97"/>
      <c r="B805" s="97"/>
      <c r="C805" s="97"/>
      <c r="D805" s="92"/>
      <c r="E805" s="92"/>
      <c r="F805" s="97"/>
      <c r="G805" s="97"/>
      <c r="H805" s="92"/>
      <c r="I805" s="111"/>
      <c r="J805" s="92"/>
      <c r="K805" s="92"/>
    </row>
    <row r="806" spans="1:11">
      <c r="A806" s="97"/>
      <c r="B806" s="97"/>
      <c r="C806" s="97"/>
      <c r="D806" s="92"/>
      <c r="E806" s="92"/>
      <c r="F806" s="97"/>
      <c r="G806" s="97"/>
      <c r="H806" s="92"/>
      <c r="I806" s="111"/>
      <c r="J806" s="92"/>
      <c r="K806" s="92"/>
    </row>
    <row r="807" spans="1:11">
      <c r="A807" s="97"/>
      <c r="B807" s="97"/>
      <c r="C807" s="97"/>
      <c r="D807" s="92"/>
      <c r="E807" s="92"/>
      <c r="F807" s="97"/>
      <c r="G807" s="97"/>
      <c r="H807" s="92"/>
      <c r="I807" s="111"/>
      <c r="J807" s="92"/>
      <c r="K807" s="92"/>
    </row>
    <row r="808" spans="1:11">
      <c r="A808" s="97"/>
      <c r="B808" s="97"/>
      <c r="C808" s="97"/>
      <c r="D808" s="92"/>
      <c r="E808" s="92"/>
      <c r="F808" s="97"/>
      <c r="G808" s="97"/>
      <c r="H808" s="92"/>
      <c r="I808" s="111"/>
      <c r="J808" s="92"/>
      <c r="K808" s="92"/>
    </row>
    <row r="809" spans="1:11">
      <c r="A809" s="97"/>
      <c r="B809" s="97"/>
      <c r="C809" s="97"/>
      <c r="D809" s="92"/>
      <c r="E809" s="92"/>
      <c r="F809" s="97"/>
      <c r="G809" s="97"/>
      <c r="H809" s="92"/>
      <c r="I809" s="111"/>
      <c r="J809" s="92"/>
      <c r="K809" s="92"/>
    </row>
    <row r="810" spans="1:11">
      <c r="A810" s="97"/>
      <c r="B810" s="97"/>
      <c r="C810" s="97"/>
      <c r="D810" s="92"/>
      <c r="E810" s="92"/>
      <c r="F810" s="97"/>
      <c r="G810" s="97"/>
      <c r="H810" s="92"/>
      <c r="I810" s="111"/>
      <c r="J810" s="92"/>
      <c r="K810" s="92"/>
    </row>
    <row r="811" spans="1:11">
      <c r="A811" s="97"/>
      <c r="B811" s="97"/>
      <c r="C811" s="97"/>
      <c r="D811" s="92"/>
      <c r="E811" s="92"/>
      <c r="F811" s="97"/>
      <c r="G811" s="97"/>
      <c r="H811" s="92"/>
      <c r="I811" s="111"/>
      <c r="J811" s="92"/>
      <c r="K811" s="92"/>
    </row>
    <row r="812" spans="1:11">
      <c r="A812" s="97"/>
      <c r="B812" s="97"/>
      <c r="C812" s="97"/>
      <c r="D812" s="92"/>
      <c r="E812" s="92"/>
      <c r="F812" s="97"/>
      <c r="G812" s="97"/>
      <c r="H812" s="92"/>
      <c r="I812" s="111"/>
      <c r="J812" s="92"/>
      <c r="K812" s="92"/>
    </row>
    <row r="813" spans="1:11">
      <c r="A813" s="97"/>
      <c r="B813" s="97"/>
      <c r="C813" s="97"/>
      <c r="D813" s="92"/>
      <c r="E813" s="92"/>
      <c r="F813" s="97"/>
      <c r="G813" s="97"/>
      <c r="H813" s="92"/>
      <c r="I813" s="111"/>
      <c r="J813" s="92"/>
      <c r="K813" s="92"/>
    </row>
    <row r="814" spans="1:11">
      <c r="A814" s="97"/>
      <c r="B814" s="97"/>
      <c r="C814" s="97"/>
      <c r="D814" s="92"/>
      <c r="E814" s="92"/>
      <c r="F814" s="97"/>
      <c r="G814" s="97"/>
      <c r="H814" s="92"/>
      <c r="I814" s="111"/>
      <c r="J814" s="92"/>
      <c r="K814" s="92"/>
    </row>
    <row r="815" spans="1:11">
      <c r="A815" s="97"/>
      <c r="B815" s="97"/>
      <c r="C815" s="97"/>
      <c r="D815" s="92"/>
      <c r="E815" s="92"/>
      <c r="F815" s="97"/>
      <c r="G815" s="97"/>
      <c r="H815" s="92"/>
      <c r="I815" s="111"/>
      <c r="J815" s="92"/>
      <c r="K815" s="92"/>
    </row>
    <row r="816" spans="1:11">
      <c r="A816" s="97"/>
      <c r="B816" s="97"/>
      <c r="C816" s="97"/>
      <c r="D816" s="92"/>
      <c r="E816" s="92"/>
      <c r="F816" s="97"/>
      <c r="G816" s="97"/>
      <c r="H816" s="92"/>
      <c r="I816" s="111"/>
      <c r="J816" s="92"/>
      <c r="K816" s="92"/>
    </row>
    <row r="817" spans="1:11">
      <c r="A817" s="97"/>
      <c r="B817" s="97"/>
      <c r="C817" s="97"/>
      <c r="D817" s="92"/>
      <c r="E817" s="92"/>
      <c r="F817" s="97"/>
      <c r="G817" s="97"/>
      <c r="H817" s="92"/>
      <c r="I817" s="111"/>
      <c r="J817" s="92"/>
      <c r="K817" s="92"/>
    </row>
    <row r="818" spans="1:11">
      <c r="A818" s="97"/>
      <c r="B818" s="97"/>
      <c r="C818" s="97"/>
      <c r="D818" s="92"/>
      <c r="E818" s="92"/>
      <c r="F818" s="97"/>
      <c r="G818" s="97"/>
      <c r="H818" s="92"/>
      <c r="I818" s="111"/>
      <c r="J818" s="92"/>
      <c r="K818" s="92"/>
    </row>
    <row r="819" spans="1:11">
      <c r="A819" s="97"/>
      <c r="B819" s="97"/>
      <c r="C819" s="97"/>
      <c r="D819" s="92"/>
      <c r="E819" s="92"/>
      <c r="F819" s="97"/>
      <c r="G819" s="97"/>
      <c r="H819" s="92"/>
      <c r="I819" s="111"/>
      <c r="J819" s="92"/>
      <c r="K819" s="92"/>
    </row>
    <row r="820" spans="1:11">
      <c r="A820" s="97"/>
      <c r="B820" s="97"/>
      <c r="C820" s="97"/>
      <c r="D820" s="92"/>
      <c r="E820" s="92"/>
      <c r="F820" s="97"/>
      <c r="G820" s="97"/>
      <c r="H820" s="92"/>
      <c r="I820" s="111"/>
      <c r="J820" s="92"/>
      <c r="K820" s="92"/>
    </row>
    <row r="821" spans="1:11">
      <c r="A821" s="97"/>
      <c r="B821" s="97"/>
      <c r="C821" s="97"/>
      <c r="D821" s="92"/>
      <c r="E821" s="92"/>
      <c r="F821" s="97"/>
      <c r="G821" s="97"/>
      <c r="H821" s="92"/>
      <c r="I821" s="111"/>
      <c r="J821" s="92"/>
      <c r="K821" s="92"/>
    </row>
    <row r="822" spans="1:11">
      <c r="A822" s="97"/>
      <c r="B822" s="97"/>
      <c r="C822" s="97"/>
      <c r="D822" s="92"/>
      <c r="E822" s="92"/>
      <c r="F822" s="97"/>
      <c r="G822" s="97"/>
      <c r="H822" s="92"/>
      <c r="I822" s="111"/>
      <c r="J822" s="92"/>
      <c r="K822" s="92"/>
    </row>
    <row r="823" spans="1:11">
      <c r="A823" s="97"/>
      <c r="B823" s="97"/>
      <c r="C823" s="97"/>
      <c r="D823" s="92"/>
      <c r="E823" s="92"/>
      <c r="F823" s="97"/>
      <c r="G823" s="97"/>
      <c r="H823" s="92"/>
      <c r="I823" s="111"/>
      <c r="J823" s="92"/>
      <c r="K823" s="92"/>
    </row>
    <row r="824" spans="1:11">
      <c r="A824" s="97"/>
      <c r="B824" s="97"/>
      <c r="C824" s="97"/>
      <c r="D824" s="92"/>
      <c r="E824" s="92"/>
      <c r="F824" s="97"/>
      <c r="G824" s="97"/>
      <c r="H824" s="92"/>
      <c r="I824" s="111"/>
      <c r="J824" s="92"/>
      <c r="K824" s="92"/>
    </row>
    <row r="825" spans="1:11">
      <c r="A825" s="97"/>
      <c r="B825" s="97"/>
      <c r="C825" s="97"/>
      <c r="D825" s="92"/>
      <c r="E825" s="92"/>
      <c r="F825" s="97"/>
      <c r="G825" s="97"/>
      <c r="H825" s="92"/>
      <c r="I825" s="111"/>
      <c r="J825" s="92"/>
      <c r="K825" s="92"/>
    </row>
    <row r="826" spans="1:11">
      <c r="A826" s="97"/>
      <c r="B826" s="97"/>
      <c r="C826" s="97"/>
      <c r="D826" s="92"/>
      <c r="E826" s="92"/>
      <c r="F826" s="97"/>
      <c r="G826" s="97"/>
      <c r="H826" s="92"/>
      <c r="I826" s="111"/>
      <c r="J826" s="92"/>
      <c r="K826" s="92"/>
    </row>
    <row r="827" spans="1:11">
      <c r="A827" s="97"/>
      <c r="B827" s="97"/>
      <c r="C827" s="97"/>
      <c r="D827" s="92"/>
      <c r="E827" s="92"/>
      <c r="F827" s="97"/>
      <c r="G827" s="97"/>
      <c r="H827" s="92"/>
      <c r="I827" s="111"/>
      <c r="J827" s="92"/>
      <c r="K827" s="92"/>
    </row>
    <row r="828" spans="1:11">
      <c r="A828" s="97"/>
      <c r="B828" s="97"/>
      <c r="C828" s="97"/>
      <c r="D828" s="92"/>
      <c r="E828" s="92"/>
      <c r="F828" s="97"/>
      <c r="G828" s="97"/>
      <c r="H828" s="92"/>
      <c r="I828" s="111"/>
      <c r="J828" s="92"/>
      <c r="K828" s="92"/>
    </row>
    <row r="829" spans="1:11">
      <c r="A829" s="97"/>
      <c r="B829" s="97"/>
      <c r="C829" s="97"/>
      <c r="D829" s="92"/>
      <c r="E829" s="92"/>
      <c r="F829" s="97"/>
      <c r="G829" s="97"/>
      <c r="H829" s="92"/>
      <c r="I829" s="111"/>
      <c r="J829" s="92"/>
      <c r="K829" s="92"/>
    </row>
    <row r="830" spans="1:11">
      <c r="A830" s="97"/>
      <c r="B830" s="97"/>
      <c r="C830" s="97"/>
      <c r="D830" s="92"/>
      <c r="E830" s="92"/>
      <c r="F830" s="97"/>
      <c r="G830" s="97"/>
      <c r="H830" s="92"/>
      <c r="I830" s="111"/>
      <c r="J830" s="92"/>
      <c r="K830" s="92"/>
    </row>
    <row r="831" spans="1:11">
      <c r="A831" s="97"/>
      <c r="B831" s="97"/>
      <c r="C831" s="97"/>
      <c r="D831" s="92"/>
      <c r="E831" s="92"/>
      <c r="F831" s="97"/>
      <c r="G831" s="97"/>
      <c r="H831" s="92"/>
      <c r="I831" s="111"/>
      <c r="J831" s="92"/>
      <c r="K831" s="92"/>
    </row>
    <row r="832" spans="1:11">
      <c r="A832" s="97"/>
      <c r="B832" s="97"/>
      <c r="C832" s="97"/>
      <c r="D832" s="92"/>
      <c r="E832" s="92"/>
      <c r="F832" s="97"/>
      <c r="G832" s="97"/>
      <c r="H832" s="92"/>
      <c r="I832" s="111"/>
      <c r="J832" s="92"/>
      <c r="K832" s="92"/>
    </row>
    <row r="833" spans="1:11">
      <c r="A833" s="97"/>
      <c r="B833" s="97"/>
      <c r="C833" s="97"/>
      <c r="D833" s="92"/>
      <c r="E833" s="92"/>
      <c r="F833" s="97"/>
      <c r="G833" s="97"/>
      <c r="H833" s="92"/>
      <c r="I833" s="111"/>
      <c r="J833" s="92"/>
      <c r="K833" s="92"/>
    </row>
    <row r="834" spans="1:11">
      <c r="A834" s="97"/>
      <c r="B834" s="97"/>
      <c r="C834" s="97"/>
      <c r="D834" s="92"/>
      <c r="E834" s="92"/>
      <c r="F834" s="97"/>
      <c r="G834" s="97"/>
      <c r="H834" s="92"/>
      <c r="I834" s="111"/>
      <c r="J834" s="92"/>
      <c r="K834" s="92"/>
    </row>
    <row r="835" spans="1:11">
      <c r="A835" s="97"/>
      <c r="B835" s="97"/>
      <c r="C835" s="97"/>
      <c r="D835" s="92"/>
      <c r="E835" s="92"/>
      <c r="F835" s="97"/>
      <c r="G835" s="97"/>
      <c r="H835" s="92"/>
      <c r="I835" s="111"/>
      <c r="J835" s="92"/>
      <c r="K835" s="92"/>
    </row>
    <row r="836" spans="1:11">
      <c r="A836" s="97"/>
      <c r="B836" s="97"/>
      <c r="C836" s="97"/>
      <c r="D836" s="92"/>
      <c r="E836" s="92"/>
      <c r="F836" s="97"/>
      <c r="G836" s="97"/>
      <c r="H836" s="92"/>
      <c r="I836" s="111"/>
      <c r="J836" s="92"/>
      <c r="K836" s="92"/>
    </row>
    <row r="837" spans="1:11">
      <c r="A837" s="97"/>
      <c r="B837" s="97"/>
      <c r="C837" s="97"/>
      <c r="D837" s="92"/>
      <c r="E837" s="92"/>
      <c r="F837" s="97"/>
      <c r="G837" s="97"/>
      <c r="H837" s="92"/>
      <c r="I837" s="111"/>
      <c r="J837" s="92"/>
      <c r="K837" s="92"/>
    </row>
    <row r="838" spans="1:11">
      <c r="A838" s="97"/>
      <c r="B838" s="97"/>
      <c r="C838" s="97"/>
      <c r="D838" s="92"/>
      <c r="E838" s="92"/>
      <c r="F838" s="97"/>
      <c r="G838" s="97"/>
      <c r="H838" s="92"/>
      <c r="I838" s="111"/>
      <c r="J838" s="92"/>
      <c r="K838" s="92"/>
    </row>
    <row r="839" spans="1:11">
      <c r="A839" s="97"/>
      <c r="B839" s="97"/>
      <c r="C839" s="97"/>
      <c r="D839" s="92"/>
      <c r="E839" s="92"/>
      <c r="F839" s="97"/>
      <c r="G839" s="97"/>
      <c r="H839" s="92"/>
      <c r="I839" s="111"/>
      <c r="J839" s="92"/>
      <c r="K839" s="92"/>
    </row>
    <row r="840" spans="1:11">
      <c r="A840" s="97"/>
      <c r="B840" s="97"/>
      <c r="C840" s="97"/>
      <c r="D840" s="92"/>
      <c r="E840" s="92"/>
      <c r="F840" s="97"/>
      <c r="G840" s="97"/>
      <c r="H840" s="92"/>
      <c r="I840" s="111"/>
      <c r="J840" s="92"/>
      <c r="K840" s="92"/>
    </row>
    <row r="841" spans="1:11">
      <c r="A841" s="97"/>
      <c r="B841" s="97"/>
      <c r="C841" s="97"/>
      <c r="D841" s="92"/>
      <c r="E841" s="92"/>
      <c r="F841" s="97"/>
      <c r="G841" s="97"/>
      <c r="H841" s="92"/>
      <c r="I841" s="111"/>
      <c r="J841" s="92"/>
      <c r="K841" s="92"/>
    </row>
    <row r="842" spans="1:11">
      <c r="A842" s="97"/>
      <c r="B842" s="97"/>
      <c r="C842" s="97"/>
      <c r="D842" s="92"/>
      <c r="E842" s="92"/>
      <c r="F842" s="97"/>
      <c r="G842" s="97"/>
      <c r="H842" s="92"/>
      <c r="I842" s="111"/>
      <c r="J842" s="92"/>
      <c r="K842" s="92"/>
    </row>
    <row r="843" spans="1:11">
      <c r="A843" s="97"/>
      <c r="B843" s="97"/>
      <c r="C843" s="97"/>
      <c r="D843" s="92"/>
      <c r="E843" s="92"/>
      <c r="F843" s="97"/>
      <c r="G843" s="97"/>
      <c r="H843" s="92"/>
      <c r="I843" s="111"/>
      <c r="J843" s="92"/>
      <c r="K843" s="92"/>
    </row>
    <row r="844" spans="1:11">
      <c r="A844" s="97"/>
      <c r="B844" s="97"/>
      <c r="C844" s="97"/>
      <c r="D844" s="92"/>
      <c r="E844" s="92"/>
      <c r="F844" s="97"/>
      <c r="G844" s="97"/>
      <c r="H844" s="92"/>
      <c r="I844" s="111"/>
      <c r="J844" s="92"/>
      <c r="K844" s="92"/>
    </row>
    <row r="845" spans="1:11">
      <c r="A845" s="97"/>
      <c r="B845" s="97"/>
      <c r="C845" s="97"/>
      <c r="D845" s="92"/>
      <c r="E845" s="92"/>
      <c r="F845" s="97"/>
      <c r="G845" s="97"/>
      <c r="H845" s="92"/>
      <c r="I845" s="111"/>
      <c r="J845" s="92"/>
      <c r="K845" s="92"/>
    </row>
    <row r="846" spans="1:11">
      <c r="A846" s="97"/>
      <c r="B846" s="97"/>
      <c r="C846" s="97"/>
      <c r="D846" s="92"/>
      <c r="E846" s="92"/>
      <c r="F846" s="97"/>
      <c r="G846" s="97"/>
      <c r="H846" s="92"/>
      <c r="I846" s="111"/>
      <c r="J846" s="92"/>
      <c r="K846" s="92"/>
    </row>
    <row r="847" spans="1:11">
      <c r="A847" s="97"/>
      <c r="B847" s="97"/>
      <c r="C847" s="97"/>
      <c r="D847" s="92"/>
      <c r="E847" s="92"/>
      <c r="F847" s="97"/>
      <c r="G847" s="97"/>
      <c r="H847" s="92"/>
      <c r="I847" s="111"/>
      <c r="J847" s="92"/>
      <c r="K847" s="92"/>
    </row>
    <row r="848" spans="1:11">
      <c r="A848" s="97"/>
      <c r="B848" s="97"/>
      <c r="C848" s="97"/>
      <c r="D848" s="92"/>
      <c r="E848" s="92"/>
      <c r="F848" s="97"/>
      <c r="G848" s="97"/>
      <c r="H848" s="92"/>
      <c r="I848" s="111"/>
      <c r="J848" s="92"/>
      <c r="K848" s="92"/>
    </row>
    <row r="849" spans="1:11">
      <c r="A849" s="97"/>
      <c r="B849" s="97"/>
      <c r="C849" s="97"/>
      <c r="D849" s="92"/>
      <c r="E849" s="92"/>
      <c r="F849" s="97"/>
      <c r="G849" s="97"/>
      <c r="H849" s="92"/>
      <c r="I849" s="111"/>
      <c r="J849" s="92"/>
      <c r="K849" s="92"/>
    </row>
    <row r="850" spans="1:11">
      <c r="A850" s="97"/>
      <c r="B850" s="97"/>
      <c r="C850" s="97"/>
      <c r="D850" s="92"/>
      <c r="E850" s="92"/>
      <c r="F850" s="97"/>
      <c r="G850" s="97"/>
      <c r="H850" s="92"/>
      <c r="I850" s="111"/>
      <c r="J850" s="92"/>
      <c r="K850" s="92"/>
    </row>
    <row r="851" spans="1:11">
      <c r="A851" s="97"/>
      <c r="B851" s="97"/>
      <c r="C851" s="97"/>
      <c r="D851" s="92"/>
      <c r="E851" s="92"/>
      <c r="F851" s="97"/>
      <c r="G851" s="97"/>
      <c r="H851" s="92"/>
      <c r="I851" s="111"/>
      <c r="J851" s="92"/>
      <c r="K851" s="92"/>
    </row>
    <row r="852" spans="1:11">
      <c r="A852" s="97"/>
      <c r="B852" s="97"/>
      <c r="C852" s="97"/>
      <c r="D852" s="92"/>
      <c r="E852" s="92"/>
      <c r="F852" s="97"/>
      <c r="G852" s="97"/>
      <c r="H852" s="92"/>
      <c r="I852" s="111"/>
      <c r="J852" s="92"/>
      <c r="K852" s="92"/>
    </row>
    <row r="853" spans="1:11">
      <c r="A853" s="97"/>
      <c r="B853" s="97"/>
      <c r="C853" s="97"/>
      <c r="D853" s="92"/>
      <c r="E853" s="92"/>
      <c r="F853" s="97"/>
      <c r="G853" s="97"/>
      <c r="H853" s="92"/>
      <c r="I853" s="111"/>
      <c r="J853" s="92"/>
      <c r="K853" s="92"/>
    </row>
    <row r="854" spans="1:11">
      <c r="A854" s="97"/>
      <c r="B854" s="97"/>
      <c r="C854" s="97"/>
      <c r="D854" s="92"/>
      <c r="E854" s="92"/>
      <c r="F854" s="97"/>
      <c r="G854" s="97"/>
      <c r="H854" s="92"/>
      <c r="I854" s="111"/>
      <c r="J854" s="92"/>
      <c r="K854" s="92"/>
    </row>
    <row r="855" spans="1:11">
      <c r="A855" s="97"/>
      <c r="B855" s="97"/>
      <c r="C855" s="97"/>
      <c r="D855" s="92"/>
      <c r="E855" s="92"/>
      <c r="F855" s="97"/>
      <c r="G855" s="97"/>
      <c r="H855" s="92"/>
      <c r="I855" s="111"/>
      <c r="J855" s="92"/>
      <c r="K855" s="92"/>
    </row>
    <row r="856" spans="1:11">
      <c r="A856" s="97"/>
      <c r="B856" s="97"/>
      <c r="C856" s="97"/>
      <c r="D856" s="92"/>
      <c r="E856" s="92"/>
      <c r="F856" s="97"/>
      <c r="G856" s="97"/>
      <c r="H856" s="92"/>
      <c r="I856" s="111"/>
      <c r="J856" s="92"/>
      <c r="K856" s="92"/>
    </row>
    <row r="857" spans="1:11">
      <c r="A857" s="97"/>
      <c r="B857" s="97"/>
      <c r="C857" s="97"/>
      <c r="D857" s="92"/>
      <c r="E857" s="92"/>
      <c r="F857" s="97"/>
      <c r="G857" s="97"/>
      <c r="H857" s="92"/>
      <c r="I857" s="111"/>
      <c r="J857" s="92"/>
      <c r="K857" s="92"/>
    </row>
    <row r="858" spans="1:11">
      <c r="A858" s="97"/>
      <c r="B858" s="97"/>
      <c r="C858" s="97"/>
      <c r="D858" s="92"/>
      <c r="E858" s="92"/>
      <c r="F858" s="97"/>
      <c r="G858" s="97"/>
      <c r="H858" s="92"/>
      <c r="I858" s="111"/>
      <c r="J858" s="92"/>
      <c r="K858" s="92"/>
    </row>
    <row r="859" spans="1:11">
      <c r="A859" s="97"/>
      <c r="B859" s="97"/>
      <c r="C859" s="97"/>
      <c r="D859" s="92"/>
      <c r="E859" s="92"/>
      <c r="F859" s="97"/>
      <c r="G859" s="97"/>
      <c r="H859" s="92"/>
      <c r="I859" s="111"/>
      <c r="J859" s="92"/>
      <c r="K859" s="92"/>
    </row>
    <row r="860" spans="1:11">
      <c r="A860" s="97"/>
      <c r="B860" s="97"/>
      <c r="C860" s="97"/>
      <c r="D860" s="92"/>
      <c r="E860" s="92"/>
      <c r="F860" s="97"/>
      <c r="G860" s="97"/>
      <c r="H860" s="92"/>
      <c r="I860" s="111"/>
      <c r="J860" s="92"/>
      <c r="K860" s="92"/>
    </row>
    <row r="861" spans="1:11">
      <c r="A861" s="97"/>
      <c r="B861" s="97"/>
      <c r="C861" s="97"/>
      <c r="D861" s="92"/>
      <c r="E861" s="92"/>
      <c r="F861" s="97"/>
      <c r="G861" s="97"/>
      <c r="H861" s="92"/>
      <c r="I861" s="111"/>
      <c r="J861" s="92"/>
      <c r="K861" s="92"/>
    </row>
    <row r="862" spans="1:11">
      <c r="A862" s="97"/>
      <c r="B862" s="97"/>
      <c r="C862" s="97"/>
      <c r="D862" s="92"/>
      <c r="E862" s="92"/>
      <c r="F862" s="97"/>
      <c r="G862" s="97"/>
      <c r="H862" s="92"/>
      <c r="I862" s="111"/>
      <c r="J862" s="92"/>
      <c r="K862" s="92"/>
    </row>
    <row r="863" spans="1:11">
      <c r="A863" s="97"/>
      <c r="B863" s="97"/>
      <c r="C863" s="97"/>
      <c r="D863" s="92"/>
      <c r="E863" s="92"/>
      <c r="F863" s="97"/>
      <c r="G863" s="97"/>
      <c r="H863" s="92"/>
      <c r="I863" s="111"/>
      <c r="J863" s="92"/>
      <c r="K863" s="92"/>
    </row>
    <row r="864" spans="1:11">
      <c r="A864" s="97"/>
      <c r="B864" s="97"/>
      <c r="C864" s="97"/>
      <c r="D864" s="92"/>
      <c r="E864" s="92"/>
      <c r="F864" s="97"/>
      <c r="G864" s="97"/>
      <c r="H864" s="92"/>
      <c r="I864" s="111"/>
      <c r="J864" s="92"/>
      <c r="K864" s="92"/>
    </row>
    <row r="865" spans="1:11">
      <c r="A865" s="97"/>
      <c r="B865" s="97"/>
      <c r="C865" s="97"/>
      <c r="D865" s="92"/>
      <c r="E865" s="92"/>
      <c r="F865" s="97"/>
      <c r="G865" s="97"/>
      <c r="H865" s="92"/>
      <c r="I865" s="111"/>
      <c r="J865" s="92"/>
      <c r="K865" s="92"/>
    </row>
    <row r="866" spans="1:11">
      <c r="A866" s="97"/>
      <c r="B866" s="97"/>
      <c r="C866" s="97"/>
      <c r="D866" s="92"/>
      <c r="E866" s="92"/>
      <c r="F866" s="97"/>
      <c r="G866" s="97"/>
      <c r="H866" s="92"/>
      <c r="I866" s="111"/>
      <c r="J866" s="92"/>
      <c r="K866" s="92"/>
    </row>
    <row r="867" spans="1:11">
      <c r="A867" s="97"/>
      <c r="B867" s="97"/>
      <c r="C867" s="97"/>
      <c r="D867" s="92"/>
      <c r="E867" s="92"/>
      <c r="F867" s="97"/>
      <c r="G867" s="97"/>
      <c r="H867" s="92"/>
      <c r="I867" s="111"/>
      <c r="J867" s="92"/>
      <c r="K867" s="92"/>
    </row>
    <row r="868" spans="1:11">
      <c r="A868" s="97"/>
      <c r="B868" s="97"/>
      <c r="C868" s="97"/>
      <c r="D868" s="92"/>
      <c r="E868" s="92"/>
      <c r="F868" s="97"/>
      <c r="G868" s="97"/>
      <c r="H868" s="92"/>
      <c r="I868" s="111"/>
      <c r="J868" s="92"/>
      <c r="K868" s="92"/>
    </row>
    <row r="869" spans="1:11">
      <c r="A869" s="97"/>
      <c r="B869" s="97"/>
      <c r="C869" s="97"/>
      <c r="D869" s="92"/>
      <c r="E869" s="92"/>
      <c r="F869" s="97"/>
      <c r="G869" s="97"/>
      <c r="H869" s="92"/>
      <c r="I869" s="111"/>
      <c r="J869" s="92"/>
      <c r="K869" s="92"/>
    </row>
    <row r="870" spans="1:11">
      <c r="A870" s="97"/>
      <c r="B870" s="97"/>
      <c r="C870" s="97"/>
      <c r="D870" s="92"/>
      <c r="E870" s="92"/>
      <c r="F870" s="97"/>
      <c r="G870" s="97"/>
      <c r="H870" s="92"/>
      <c r="I870" s="111"/>
      <c r="J870" s="92"/>
      <c r="K870" s="92"/>
    </row>
    <row r="871" spans="1:11">
      <c r="A871" s="97"/>
      <c r="B871" s="97"/>
      <c r="C871" s="97"/>
      <c r="D871" s="92"/>
      <c r="E871" s="92"/>
      <c r="F871" s="97"/>
      <c r="G871" s="97"/>
      <c r="H871" s="92"/>
      <c r="I871" s="111"/>
      <c r="J871" s="92"/>
      <c r="K871" s="92"/>
    </row>
    <row r="872" spans="1:11">
      <c r="A872" s="97"/>
      <c r="B872" s="97"/>
      <c r="C872" s="97"/>
      <c r="D872" s="92"/>
      <c r="E872" s="92"/>
      <c r="F872" s="97"/>
      <c r="G872" s="97"/>
      <c r="H872" s="92"/>
      <c r="I872" s="111"/>
      <c r="J872" s="92"/>
      <c r="K872" s="92"/>
    </row>
    <row r="873" spans="1:11">
      <c r="A873" s="97"/>
      <c r="B873" s="97"/>
      <c r="C873" s="97"/>
      <c r="D873" s="92"/>
      <c r="E873" s="92"/>
      <c r="F873" s="97"/>
      <c r="G873" s="97"/>
      <c r="H873" s="92"/>
      <c r="I873" s="111"/>
      <c r="J873" s="92"/>
      <c r="K873" s="92"/>
    </row>
    <row r="874" spans="1:11">
      <c r="A874" s="97"/>
      <c r="B874" s="97"/>
      <c r="C874" s="97"/>
      <c r="D874" s="92"/>
      <c r="E874" s="92"/>
      <c r="F874" s="97"/>
      <c r="G874" s="97"/>
      <c r="H874" s="92"/>
      <c r="I874" s="111"/>
      <c r="J874" s="92"/>
      <c r="K874" s="92"/>
    </row>
    <row r="875" spans="1:11">
      <c r="A875" s="97"/>
      <c r="B875" s="97"/>
      <c r="C875" s="97"/>
      <c r="D875" s="92"/>
      <c r="E875" s="92"/>
      <c r="F875" s="97"/>
      <c r="G875" s="97"/>
      <c r="H875" s="92"/>
      <c r="I875" s="111"/>
      <c r="J875" s="92"/>
      <c r="K875" s="92"/>
    </row>
    <row r="876" spans="1:11">
      <c r="A876" s="97"/>
      <c r="B876" s="97"/>
      <c r="C876" s="97"/>
      <c r="D876" s="92"/>
      <c r="E876" s="92"/>
      <c r="F876" s="97"/>
      <c r="G876" s="97"/>
      <c r="H876" s="92"/>
      <c r="I876" s="111"/>
      <c r="J876" s="92"/>
      <c r="K876" s="92"/>
    </row>
    <row r="877" spans="1:11">
      <c r="A877" s="97"/>
      <c r="B877" s="97"/>
      <c r="C877" s="97"/>
      <c r="D877" s="92"/>
      <c r="E877" s="92"/>
      <c r="F877" s="97"/>
      <c r="G877" s="97"/>
      <c r="H877" s="92"/>
      <c r="I877" s="111"/>
      <c r="J877" s="92"/>
      <c r="K877" s="92"/>
    </row>
    <row r="878" spans="1:11">
      <c r="A878" s="97"/>
      <c r="B878" s="97"/>
      <c r="C878" s="97"/>
      <c r="D878" s="92"/>
      <c r="E878" s="92"/>
      <c r="F878" s="97"/>
      <c r="G878" s="97"/>
      <c r="H878" s="92"/>
      <c r="I878" s="111"/>
      <c r="J878" s="92"/>
      <c r="K878" s="92"/>
    </row>
    <row r="879" spans="1:11">
      <c r="A879" s="97"/>
      <c r="B879" s="97"/>
      <c r="C879" s="97"/>
      <c r="D879" s="92"/>
      <c r="E879" s="92"/>
      <c r="F879" s="97"/>
      <c r="G879" s="97"/>
      <c r="H879" s="92"/>
      <c r="I879" s="111"/>
      <c r="J879" s="92"/>
      <c r="K879" s="92"/>
    </row>
    <row r="880" spans="1:11">
      <c r="A880" s="97"/>
      <c r="B880" s="97"/>
      <c r="C880" s="97"/>
      <c r="D880" s="92"/>
      <c r="E880" s="92"/>
      <c r="F880" s="97"/>
      <c r="G880" s="97"/>
      <c r="H880" s="92"/>
      <c r="I880" s="111"/>
      <c r="J880" s="92"/>
      <c r="K880" s="92"/>
    </row>
    <row r="881" spans="1:11">
      <c r="A881" s="97"/>
      <c r="B881" s="97"/>
      <c r="C881" s="97"/>
      <c r="D881" s="92"/>
      <c r="E881" s="92"/>
      <c r="F881" s="97"/>
      <c r="G881" s="97"/>
      <c r="H881" s="92"/>
      <c r="I881" s="111"/>
      <c r="J881" s="92"/>
      <c r="K881" s="92"/>
    </row>
    <row r="882" spans="1:11">
      <c r="A882" s="97"/>
      <c r="B882" s="97"/>
      <c r="C882" s="97"/>
      <c r="D882" s="92"/>
      <c r="E882" s="92"/>
      <c r="F882" s="97"/>
      <c r="G882" s="97"/>
      <c r="H882" s="92"/>
      <c r="I882" s="111"/>
      <c r="J882" s="92"/>
      <c r="K882" s="92"/>
    </row>
    <row r="883" spans="1:11">
      <c r="A883" s="97"/>
      <c r="B883" s="97"/>
      <c r="C883" s="97"/>
      <c r="D883" s="92"/>
      <c r="E883" s="92"/>
      <c r="F883" s="97"/>
      <c r="G883" s="97"/>
      <c r="H883" s="92"/>
      <c r="I883" s="111"/>
      <c r="J883" s="92"/>
      <c r="K883" s="92"/>
    </row>
    <row r="884" spans="1:11">
      <c r="A884" s="97"/>
      <c r="B884" s="97"/>
      <c r="C884" s="97"/>
      <c r="D884" s="92"/>
      <c r="E884" s="92"/>
      <c r="F884" s="97"/>
      <c r="G884" s="97"/>
      <c r="H884" s="92"/>
      <c r="I884" s="111"/>
      <c r="J884" s="92"/>
      <c r="K884" s="92"/>
    </row>
    <row r="885" spans="1:11">
      <c r="A885" s="97"/>
      <c r="B885" s="97"/>
      <c r="C885" s="97"/>
      <c r="D885" s="92"/>
      <c r="E885" s="92"/>
      <c r="F885" s="97"/>
      <c r="G885" s="97"/>
      <c r="H885" s="92"/>
      <c r="I885" s="111"/>
      <c r="J885" s="92"/>
      <c r="K885" s="92"/>
    </row>
    <row r="886" spans="1:11">
      <c r="A886" s="97"/>
      <c r="B886" s="97"/>
      <c r="C886" s="97"/>
      <c r="D886" s="92"/>
      <c r="E886" s="92"/>
      <c r="F886" s="97"/>
      <c r="G886" s="97"/>
      <c r="H886" s="92"/>
      <c r="I886" s="111"/>
      <c r="J886" s="92"/>
      <c r="K886" s="92"/>
    </row>
    <row r="887" spans="1:11">
      <c r="A887" s="97"/>
      <c r="B887" s="97"/>
      <c r="C887" s="97"/>
      <c r="D887" s="92"/>
      <c r="E887" s="92"/>
      <c r="F887" s="97"/>
      <c r="G887" s="97"/>
      <c r="H887" s="92"/>
      <c r="I887" s="111"/>
      <c r="J887" s="92"/>
      <c r="K887" s="92"/>
    </row>
    <row r="888" spans="1:11">
      <c r="A888" s="97"/>
      <c r="B888" s="97"/>
      <c r="C888" s="97"/>
      <c r="D888" s="92"/>
      <c r="E888" s="92"/>
      <c r="F888" s="97"/>
      <c r="G888" s="97"/>
      <c r="H888" s="92"/>
      <c r="I888" s="111"/>
      <c r="J888" s="92"/>
      <c r="K888" s="92"/>
    </row>
    <row r="889" spans="1:11">
      <c r="A889" s="97"/>
      <c r="B889" s="97"/>
      <c r="C889" s="97"/>
      <c r="D889" s="92"/>
      <c r="E889" s="92"/>
      <c r="F889" s="97"/>
      <c r="G889" s="97"/>
      <c r="H889" s="92"/>
      <c r="I889" s="111"/>
      <c r="J889" s="92"/>
      <c r="K889" s="92"/>
    </row>
    <row r="890" spans="1:11">
      <c r="A890" s="97"/>
      <c r="B890" s="97"/>
      <c r="C890" s="97"/>
      <c r="D890" s="92"/>
      <c r="E890" s="92"/>
      <c r="F890" s="97"/>
      <c r="G890" s="97"/>
      <c r="H890" s="92"/>
      <c r="I890" s="111"/>
      <c r="J890" s="92"/>
      <c r="K890" s="92"/>
    </row>
    <row r="891" spans="1:11">
      <c r="A891" s="97"/>
      <c r="B891" s="97"/>
      <c r="C891" s="97"/>
      <c r="D891" s="92"/>
      <c r="E891" s="92"/>
      <c r="F891" s="97"/>
      <c r="G891" s="97"/>
      <c r="H891" s="92"/>
      <c r="I891" s="111"/>
      <c r="J891" s="92"/>
      <c r="K891" s="92"/>
    </row>
    <row r="892" spans="1:11">
      <c r="A892" s="97"/>
      <c r="B892" s="97"/>
      <c r="C892" s="97"/>
      <c r="D892" s="92"/>
      <c r="E892" s="92"/>
      <c r="F892" s="97"/>
      <c r="G892" s="97"/>
      <c r="H892" s="92"/>
      <c r="I892" s="111"/>
      <c r="J892" s="92"/>
      <c r="K892" s="92"/>
    </row>
    <row r="893" spans="1:11">
      <c r="A893" s="97"/>
      <c r="B893" s="97"/>
      <c r="C893" s="97"/>
      <c r="D893" s="92"/>
      <c r="E893" s="92"/>
      <c r="F893" s="97"/>
      <c r="G893" s="97"/>
      <c r="H893" s="92"/>
      <c r="I893" s="111"/>
      <c r="J893" s="92"/>
      <c r="K893" s="92"/>
    </row>
    <row r="894" spans="1:11">
      <c r="A894" s="97"/>
      <c r="B894" s="97"/>
      <c r="C894" s="97"/>
      <c r="D894" s="92"/>
      <c r="E894" s="92"/>
      <c r="F894" s="97"/>
      <c r="G894" s="97"/>
      <c r="H894" s="92"/>
      <c r="I894" s="111"/>
      <c r="J894" s="92"/>
      <c r="K894" s="92"/>
    </row>
    <row r="895" spans="1:11">
      <c r="A895" s="97"/>
      <c r="B895" s="97"/>
      <c r="C895" s="97"/>
      <c r="D895" s="92"/>
      <c r="E895" s="92"/>
      <c r="F895" s="97"/>
      <c r="G895" s="97"/>
      <c r="H895" s="92"/>
      <c r="I895" s="111"/>
      <c r="J895" s="92"/>
      <c r="K895" s="92"/>
    </row>
    <row r="896" spans="1:11">
      <c r="A896" s="97"/>
      <c r="B896" s="97"/>
      <c r="C896" s="97"/>
      <c r="D896" s="92"/>
      <c r="E896" s="92"/>
      <c r="F896" s="97"/>
      <c r="G896" s="97"/>
      <c r="H896" s="92"/>
      <c r="I896" s="111"/>
      <c r="J896" s="92"/>
      <c r="K896" s="92"/>
    </row>
  </sheetData>
  <dataValidations count="5">
    <dataValidation type="list" allowBlank="1" showErrorMessage="1" sqref="E262 E265 E2:E261 E263:E264 E270:E272">
      <formula1>"Milestone 1,Milestone 2,Milestone 3,Milestone 4,Milestone 5,Milestone 6,Milestone 7"</formula1>
    </dataValidation>
    <dataValidation type="list" allowBlank="1" showInputMessage="1" showErrorMessage="1" sqref="F262 F2:F261 F263:F264">
      <formula1>"Yet to start,Dev - WIP,Dev - Done,QA - WIP,QA - Done,Delivered - Deficit,Pre-PROD,Delivered,Duplicate"</formula1>
    </dataValidation>
    <dataValidation type="list" allowBlank="1" showErrorMessage="1" sqref="D265 D2:D261 D263:D264 D270:D272">
      <formula1>"Framework,iWork,IBP,IBP/iWork,DPDP,NFR,iWork - CR,IBP - CR"</formula1>
    </dataValidation>
    <dataValidation type="list" allowBlank="1" showErrorMessage="1" sqref="F265 F270:F272">
      <formula1>"Yet to start,Dev - WIP,Dev - Done,QA - WIP,QA - Done,Pre-PROD: QA-WIP,Pre-PROD: IIRM QA-WIP,PROD - Deficit,Pre-PROD,PROD - Delivered,Duplicate"</formula1>
    </dataValidation>
    <dataValidation type="list" allowBlank="1" showErrorMessage="1" sqref="K265 J2:J261 K270:K272">
      <formula1>"Tharun,Abhilash,Ravi,Akhila,Manjusha,Velangini Raju ,Satyanarayana Raju,Jagadeesh,Sunil,Karan,Pushyami,Leela,Prathiphala,Rama,Nithin,Neeraj"</formula1>
    </dataValidation>
  </dataValidation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showGridLines="0" zoomScale="120" zoomScaleNormal="120" workbookViewId="0">
      <selection activeCell="H6" sqref="H6:I8"/>
    </sheetView>
  </sheetViews>
  <sheetFormatPr defaultColWidth="8.6796875" defaultRowHeight="16.8"/>
  <cols>
    <col min="1" max="1" width="24" customWidth="1"/>
    <col min="2" max="2" width="16" customWidth="1"/>
    <col min="3" max="3" width="7" customWidth="1"/>
    <col min="4" max="4" width="10" customWidth="1"/>
    <col min="5" max="5" width="9" customWidth="1"/>
    <col min="6" max="6" width="6" customWidth="1"/>
    <col min="7" max="7" width="11" customWidth="1"/>
    <col min="8" max="13" width="7" customWidth="1"/>
  </cols>
  <sheetData>
    <row r="1" ht="27.75" customHeight="1" spans="1:13">
      <c r="A1" s="12" t="s">
        <v>500</v>
      </c>
      <c r="B1" s="12"/>
      <c r="C1" s="12"/>
      <c r="D1" s="12"/>
      <c r="E1" s="12"/>
      <c r="F1" s="12"/>
      <c r="G1" s="12"/>
      <c r="H1" s="12"/>
      <c r="I1" s="12"/>
      <c r="J1" s="12"/>
      <c r="K1" s="12"/>
      <c r="L1" s="12"/>
      <c r="M1" s="12"/>
    </row>
    <row r="2" ht="27.75" customHeight="1" spans="1:13">
      <c r="A2" s="12"/>
      <c r="B2" s="12"/>
      <c r="C2" s="12"/>
      <c r="D2" s="12"/>
      <c r="E2" s="12"/>
      <c r="F2" s="12"/>
      <c r="G2" s="12"/>
      <c r="H2" s="12"/>
      <c r="I2" s="12"/>
      <c r="J2" s="12"/>
      <c r="K2" s="12"/>
      <c r="L2" s="12"/>
      <c r="M2" s="12"/>
    </row>
    <row r="3" ht="18" customHeight="1" spans="1:13">
      <c r="A3" s="13" t="s">
        <v>501</v>
      </c>
      <c r="B3" s="13"/>
      <c r="C3" s="13"/>
      <c r="D3" s="13"/>
      <c r="E3" s="13"/>
      <c r="F3" s="13"/>
      <c r="G3" s="13"/>
      <c r="H3" s="13"/>
      <c r="I3" s="13"/>
      <c r="J3" s="13"/>
      <c r="K3" s="13"/>
      <c r="L3" s="13"/>
      <c r="M3" s="13"/>
    </row>
    <row r="4" ht="9.75" customHeight="1"/>
    <row r="5" ht="21.75" customHeight="1" spans="1:13">
      <c r="A5" s="14" t="s">
        <v>502</v>
      </c>
      <c r="B5" s="14"/>
      <c r="C5" s="14"/>
      <c r="D5" s="14"/>
      <c r="E5" s="14"/>
      <c r="F5" s="14"/>
      <c r="H5" s="14" t="s">
        <v>503</v>
      </c>
      <c r="I5" s="14"/>
      <c r="J5" s="14"/>
      <c r="K5" s="14"/>
      <c r="L5" s="14"/>
      <c r="M5" s="14"/>
    </row>
    <row r="6" ht="25.5" customHeight="1" spans="1:13">
      <c r="A6" s="15">
        <f>ROUND(COUNTIF(Helper!$E:$E,"Delivered")/(COUNTIF(Helper!$E:$E,"Delivered")+COUNTIF(Helper!$E:$E,"Pending")),3)</f>
        <v>0.669</v>
      </c>
      <c r="B6" s="15"/>
      <c r="C6" s="15"/>
      <c r="D6" s="16" t="str">
        <f>COUNTIF(Helper!$E:$E,"Delivered")&amp;" of "&amp;(COUNTIF(Helper!$E:$E,"Delivered")+COUNTIF(Helper!$E:$E,"Pending"))&amp;" scope items delivered"</f>
        <v>174 of 260 scope items delivered</v>
      </c>
      <c r="E6" s="16"/>
      <c r="F6" s="16"/>
      <c r="H6" s="17">
        <f>COUNTIF(Helper!$E:$E,"Pending")</f>
        <v>86</v>
      </c>
      <c r="I6" s="17"/>
      <c r="J6" s="18" t="s">
        <v>504</v>
      </c>
      <c r="K6" s="18"/>
      <c r="L6" s="18"/>
      <c r="M6" s="18"/>
    </row>
    <row r="7" ht="25.5" customHeight="1" spans="1:13">
      <c r="A7" s="15"/>
      <c r="B7" s="15"/>
      <c r="C7" s="15"/>
      <c r="D7" s="16"/>
      <c r="E7" s="16"/>
      <c r="F7" s="16"/>
      <c r="H7" s="17"/>
      <c r="I7" s="17"/>
      <c r="J7" s="18"/>
      <c r="K7" s="18"/>
      <c r="L7" s="18"/>
      <c r="M7" s="18"/>
    </row>
    <row r="8" ht="25.5" customHeight="1" spans="1:13">
      <c r="A8" s="15"/>
      <c r="B8" s="15"/>
      <c r="C8" s="15"/>
      <c r="D8" s="16"/>
      <c r="E8" s="16"/>
      <c r="F8" s="16"/>
      <c r="H8" s="17"/>
      <c r="I8" s="17"/>
      <c r="J8" s="18"/>
      <c r="K8" s="18"/>
      <c r="L8" s="18"/>
      <c r="M8" s="18"/>
    </row>
    <row r="9" ht="12" customHeight="1"/>
    <row r="10" ht="19.5" customHeight="1" spans="1:13">
      <c r="A10" s="19" t="s">
        <v>505</v>
      </c>
      <c r="B10" s="19"/>
      <c r="C10" s="19"/>
      <c r="D10" s="19"/>
      <c r="E10" s="19"/>
      <c r="F10" s="19"/>
      <c r="G10" s="19"/>
      <c r="H10" s="19"/>
      <c r="I10" s="19"/>
      <c r="J10" s="19"/>
      <c r="K10" s="19"/>
      <c r="L10" s="19"/>
      <c r="M10" s="19"/>
    </row>
    <row r="11" ht="30" customHeight="1" spans="1:13">
      <c r="A11" s="20">
        <f>COUNTIF(Helper!$D:$D,"Delivered")</f>
        <v>168</v>
      </c>
      <c r="B11" s="20"/>
      <c r="C11" s="20"/>
      <c r="D11" s="21">
        <f>COUNTIF(Helper!$D:$D,"Dev Complete")</f>
        <v>6</v>
      </c>
      <c r="E11" s="21"/>
      <c r="F11" s="21"/>
      <c r="G11" s="22">
        <f>COUNTIF(Helper!$D:$D,"In Development")</f>
        <v>8</v>
      </c>
      <c r="H11" s="22"/>
      <c r="I11" s="22"/>
      <c r="J11" s="23">
        <f>COUNTIF(Helper!$D:$D,"In QA")</f>
        <v>2</v>
      </c>
      <c r="K11" s="23"/>
      <c r="L11" s="23"/>
    </row>
    <row r="12" ht="15.75" customHeight="1" spans="1:13">
      <c r="A12" s="24" t="s">
        <v>15</v>
      </c>
      <c r="B12" s="24"/>
      <c r="C12" s="24"/>
      <c r="D12" s="25" t="s">
        <v>506</v>
      </c>
      <c r="E12" s="25"/>
      <c r="F12" s="25"/>
      <c r="G12" s="26" t="s">
        <v>507</v>
      </c>
      <c r="H12" s="26"/>
      <c r="I12" s="26"/>
      <c r="J12" s="27" t="s">
        <v>508</v>
      </c>
      <c r="K12" s="27"/>
      <c r="L12" s="27"/>
    </row>
    <row r="13" ht="30" customHeight="1" spans="1:13">
      <c r="A13" s="28">
        <f>COUNTIF(Helper!$D:$D,"Pre-PROD / UAT")</f>
        <v>4</v>
      </c>
      <c r="B13" s="28"/>
      <c r="C13" s="28"/>
      <c r="D13" s="29">
        <f>COUNTIF(Helper!$D:$D,"Not Started")</f>
        <v>59</v>
      </c>
      <c r="E13" s="29"/>
      <c r="F13" s="29"/>
      <c r="G13" s="30">
        <f>COUNTIF(Helper!$D:$D,"Partial Delivery")</f>
        <v>13</v>
      </c>
      <c r="H13" s="30"/>
      <c r="I13" s="30"/>
      <c r="J13" s="31">
        <f>COUNTIF(Helper!$D:$D,"N/A")</f>
        <v>0</v>
      </c>
      <c r="K13" s="31"/>
      <c r="L13" s="31"/>
    </row>
    <row r="14" ht="15.75" customHeight="1" spans="1:13">
      <c r="A14" s="32" t="s">
        <v>509</v>
      </c>
      <c r="B14" s="32"/>
      <c r="C14" s="32"/>
      <c r="D14" s="33" t="s">
        <v>510</v>
      </c>
      <c r="E14" s="33"/>
      <c r="F14" s="33"/>
      <c r="G14" s="34" t="s">
        <v>511</v>
      </c>
      <c r="H14" s="34"/>
      <c r="I14" s="34"/>
      <c r="J14" s="35" t="s">
        <v>512</v>
      </c>
      <c r="K14" s="35"/>
      <c r="L14" s="35"/>
    </row>
    <row r="15" ht="12" customHeight="1"/>
    <row r="16" ht="19.5" customHeight="1" spans="1:13">
      <c r="A16" s="19" t="s">
        <v>513</v>
      </c>
      <c r="B16" s="19"/>
      <c r="C16" s="19"/>
      <c r="D16" s="19"/>
      <c r="E16" s="19"/>
      <c r="F16" s="19"/>
      <c r="G16" s="19"/>
      <c r="H16" s="19"/>
      <c r="I16" s="19"/>
      <c r="J16" s="19"/>
      <c r="K16" s="19"/>
      <c r="L16" s="19"/>
      <c r="M16" s="19"/>
    </row>
    <row r="17" ht="24" customHeight="1" spans="1:13">
      <c r="A17" s="36" t="s">
        <v>3</v>
      </c>
      <c r="B17" s="36" t="s">
        <v>514</v>
      </c>
      <c r="C17" s="36" t="s">
        <v>515</v>
      </c>
      <c r="D17" s="36" t="s">
        <v>15</v>
      </c>
      <c r="E17" s="36" t="s">
        <v>516</v>
      </c>
      <c r="F17" s="36" t="s">
        <v>512</v>
      </c>
      <c r="G17" s="36" t="s">
        <v>517</v>
      </c>
      <c r="H17" s="3" t="s">
        <v>518</v>
      </c>
      <c r="I17" s="3"/>
      <c r="J17" s="3"/>
      <c r="K17" s="3"/>
      <c r="L17" s="3"/>
      <c r="M17" s="3"/>
    </row>
    <row r="18" ht="18" customHeight="1" spans="1:13">
      <c r="A18" s="37" t="s">
        <v>519</v>
      </c>
      <c r="B18" s="37" t="s">
        <v>520</v>
      </c>
      <c r="C18" s="38">
        <f>COUNTIF(Helper!$A:$A,"iWork")</f>
        <v>115</v>
      </c>
      <c r="D18" s="39">
        <f>COUNTIFS(Helper!$A:$A,"iWork",Helper!$E:$E,"Delivered")</f>
        <v>94</v>
      </c>
      <c r="E18" s="40">
        <f>COUNTIFS(Helper!$A:$A,"iWork",Helper!$E:$E,"Pending")</f>
        <v>21</v>
      </c>
      <c r="F18" s="38">
        <f>COUNTIFS(Helper!$A:$A,"iWork",Helper!$E:$E,"N/A")</f>
        <v>0</v>
      </c>
      <c r="G18" s="41">
        <f t="shared" ref="G18:G26" si="0">IFERROR(D18/(D18+E18),0)</f>
        <v>0.817391304347826</v>
      </c>
      <c r="H18" s="41">
        <f t="shared" ref="H18:H26" si="1">G18</f>
        <v>0.817391304347826</v>
      </c>
      <c r="I18" s="41"/>
      <c r="J18" s="41"/>
      <c r="K18" s="41"/>
      <c r="L18" s="41"/>
      <c r="M18" s="41"/>
    </row>
    <row r="19" ht="18" customHeight="1" spans="1:13">
      <c r="A19" s="42" t="s">
        <v>521</v>
      </c>
      <c r="B19" s="42" t="s">
        <v>522</v>
      </c>
      <c r="C19" s="43">
        <f>COUNTIF(Helper!$A:$A,"iWork - CR")</f>
        <v>8</v>
      </c>
      <c r="D19" s="39">
        <f>COUNTIFS(Helper!$A:$A,"iWork - CR",Helper!$E:$E,"Delivered")</f>
        <v>3</v>
      </c>
      <c r="E19" s="40">
        <f>COUNTIFS(Helper!$A:$A,"iWork - CR",Helper!$E:$E,"Pending")</f>
        <v>5</v>
      </c>
      <c r="F19" s="43">
        <f>COUNTIFS(Helper!$A:$A,"iWork - CR",Helper!$E:$E,"N/A")</f>
        <v>0</v>
      </c>
      <c r="G19" s="44">
        <f t="shared" si="0"/>
        <v>0.375</v>
      </c>
      <c r="H19" s="45">
        <f t="shared" si="1"/>
        <v>0.375</v>
      </c>
      <c r="I19" s="45"/>
      <c r="J19" s="45"/>
      <c r="K19" s="45"/>
      <c r="L19" s="45"/>
      <c r="M19" s="45"/>
    </row>
    <row r="20" ht="18" customHeight="1" spans="1:13">
      <c r="A20" s="37" t="s">
        <v>523</v>
      </c>
      <c r="B20" s="37" t="s">
        <v>520</v>
      </c>
      <c r="C20" s="38">
        <f>COUNTIF(Helper!$A:$A,"IBP")</f>
        <v>62</v>
      </c>
      <c r="D20" s="39">
        <f>COUNTIFS(Helper!$A:$A,"IBP",Helper!$E:$E,"Delivered")</f>
        <v>32</v>
      </c>
      <c r="E20" s="40">
        <f>COUNTIFS(Helper!$A:$A,"IBP",Helper!$E:$E,"Pending")</f>
        <v>30</v>
      </c>
      <c r="F20" s="38">
        <f>COUNTIFS(Helper!$A:$A,"IBP",Helper!$E:$E,"N/A")</f>
        <v>0</v>
      </c>
      <c r="G20" s="41">
        <f t="shared" si="0"/>
        <v>0.516129032258065</v>
      </c>
      <c r="H20" s="41">
        <f t="shared" si="1"/>
        <v>0.516129032258065</v>
      </c>
      <c r="I20" s="41"/>
      <c r="J20" s="41"/>
      <c r="K20" s="41"/>
      <c r="L20" s="41"/>
      <c r="M20" s="41"/>
    </row>
    <row r="21" ht="18" customHeight="1" spans="1:13">
      <c r="A21" s="42" t="s">
        <v>524</v>
      </c>
      <c r="B21" s="42" t="s">
        <v>522</v>
      </c>
      <c r="C21" s="43">
        <f>COUNTIF(Helper!$A:$A,"IBP - CR")</f>
        <v>1</v>
      </c>
      <c r="D21" s="39">
        <f>COUNTIFS(Helper!$A:$A,"IBP - CR",Helper!$E:$E,"Delivered")</f>
        <v>0</v>
      </c>
      <c r="E21" s="40">
        <f>COUNTIFS(Helper!$A:$A,"IBP - CR",Helper!$E:$E,"Pending")</f>
        <v>1</v>
      </c>
      <c r="F21" s="43">
        <f>COUNTIFS(Helper!$A:$A,"IBP - CR",Helper!$E:$E,"N/A")</f>
        <v>0</v>
      </c>
      <c r="G21" s="44">
        <f t="shared" si="0"/>
        <v>0</v>
      </c>
      <c r="H21" s="45">
        <f t="shared" si="1"/>
        <v>0</v>
      </c>
      <c r="I21" s="45"/>
      <c r="J21" s="45"/>
      <c r="K21" s="45"/>
      <c r="L21" s="45"/>
      <c r="M21" s="45"/>
    </row>
    <row r="22" ht="18" customHeight="1" spans="1:13">
      <c r="A22" s="37" t="s">
        <v>525</v>
      </c>
      <c r="B22" s="37" t="s">
        <v>520</v>
      </c>
      <c r="C22" s="38">
        <f>COUNTIF(Helper!$A:$A,"IBP/iWork")</f>
        <v>18</v>
      </c>
      <c r="D22" s="39">
        <f>COUNTIFS(Helper!$A:$A,"IBP/iWork",Helper!$E:$E,"Delivered")</f>
        <v>10</v>
      </c>
      <c r="E22" s="40">
        <f>COUNTIFS(Helper!$A:$A,"IBP/iWork",Helper!$E:$E,"Pending")</f>
        <v>8</v>
      </c>
      <c r="F22" s="38">
        <f>COUNTIFS(Helper!$A:$A,"IBP/iWork",Helper!$E:$E,"N/A")</f>
        <v>0</v>
      </c>
      <c r="G22" s="41">
        <f t="shared" si="0"/>
        <v>0.555555555555556</v>
      </c>
      <c r="H22" s="41">
        <f t="shared" si="1"/>
        <v>0.555555555555556</v>
      </c>
      <c r="I22" s="41"/>
      <c r="J22" s="41"/>
      <c r="K22" s="41"/>
      <c r="L22" s="41"/>
      <c r="M22" s="41"/>
    </row>
    <row r="23" ht="18" customHeight="1" spans="1:13">
      <c r="A23" s="46" t="s">
        <v>13</v>
      </c>
      <c r="B23" s="46" t="s">
        <v>520</v>
      </c>
      <c r="C23" s="7">
        <f>COUNTIF(Helper!$A:$A,"Framework")</f>
        <v>34</v>
      </c>
      <c r="D23" s="39">
        <f>COUNTIFS(Helper!$A:$A,"Framework",Helper!$E:$E,"Delivered")</f>
        <v>28</v>
      </c>
      <c r="E23" s="40">
        <f>COUNTIFS(Helper!$A:$A,"Framework",Helper!$E:$E,"Pending")</f>
        <v>6</v>
      </c>
      <c r="F23" s="7">
        <f>COUNTIFS(Helper!$A:$A,"Framework",Helper!$E:$E,"N/A")</f>
        <v>0</v>
      </c>
      <c r="G23" s="47">
        <f t="shared" si="0"/>
        <v>0.823529411764706</v>
      </c>
      <c r="H23" s="47">
        <f t="shared" si="1"/>
        <v>0.823529411764706</v>
      </c>
      <c r="I23" s="47"/>
      <c r="J23" s="47"/>
      <c r="K23" s="47"/>
      <c r="L23" s="47"/>
      <c r="M23" s="47"/>
    </row>
    <row r="24" ht="18" customHeight="1" spans="1:13">
      <c r="A24" s="37" t="s">
        <v>135</v>
      </c>
      <c r="B24" s="37" t="s">
        <v>520</v>
      </c>
      <c r="C24" s="38">
        <f>COUNTIF(Helper!$A:$A,"DPDP")</f>
        <v>19</v>
      </c>
      <c r="D24" s="39">
        <f>COUNTIFS(Helper!$A:$A,"DPDP",Helper!$E:$E,"Delivered")</f>
        <v>5</v>
      </c>
      <c r="E24" s="40">
        <f>COUNTIFS(Helper!$A:$A,"DPDP",Helper!$E:$E,"Pending")</f>
        <v>14</v>
      </c>
      <c r="F24" s="38">
        <f>COUNTIFS(Helper!$A:$A,"DPDP",Helper!$E:$E,"N/A")</f>
        <v>0</v>
      </c>
      <c r="G24" s="41">
        <f t="shared" si="0"/>
        <v>0.263157894736842</v>
      </c>
      <c r="H24" s="41">
        <f t="shared" si="1"/>
        <v>0.263157894736842</v>
      </c>
      <c r="I24" s="41"/>
      <c r="J24" s="41"/>
      <c r="K24" s="41"/>
      <c r="L24" s="41"/>
      <c r="M24" s="41"/>
    </row>
    <row r="25" ht="18" customHeight="1" spans="1:13">
      <c r="A25" s="46" t="s">
        <v>382</v>
      </c>
      <c r="B25" s="46" t="s">
        <v>520</v>
      </c>
      <c r="C25" s="7">
        <f>COUNTIF(Helper!$A:$A,"NFR")</f>
        <v>3</v>
      </c>
      <c r="D25" s="39">
        <f>COUNTIFS(Helper!$A:$A,"NFR",Helper!$E:$E,"Delivered")</f>
        <v>2</v>
      </c>
      <c r="E25" s="40">
        <f>COUNTIFS(Helper!$A:$A,"NFR",Helper!$E:$E,"Pending")</f>
        <v>1</v>
      </c>
      <c r="F25" s="7">
        <f>COUNTIFS(Helper!$A:$A,"NFR",Helper!$E:$E,"N/A")</f>
        <v>0</v>
      </c>
      <c r="G25" s="47">
        <f t="shared" si="0"/>
        <v>0.666666666666667</v>
      </c>
      <c r="H25" s="47">
        <f t="shared" si="1"/>
        <v>0.666666666666667</v>
      </c>
      <c r="I25" s="47"/>
      <c r="J25" s="47"/>
      <c r="K25" s="47"/>
      <c r="L25" s="47"/>
      <c r="M25" s="47"/>
    </row>
    <row r="26" ht="19.5" customHeight="1" spans="1:13">
      <c r="A26" s="10" t="s">
        <v>526</v>
      </c>
      <c r="B26" s="10" t="s">
        <v>527</v>
      </c>
      <c r="C26" s="11">
        <f>COUNTA(Helper!$A$2:$A$5000)</f>
        <v>260</v>
      </c>
      <c r="D26" s="11">
        <f>COUNTIF(Helper!$E:$E,"Delivered")</f>
        <v>174</v>
      </c>
      <c r="E26" s="11">
        <f>COUNTIF(Helper!$E:$E,"Pending")</f>
        <v>86</v>
      </c>
      <c r="F26" s="11">
        <f>COUNTIF(Helper!$E:$E,"N/A")</f>
        <v>0</v>
      </c>
      <c r="G26" s="48">
        <f t="shared" si="0"/>
        <v>0.669230769230769</v>
      </c>
      <c r="H26" s="48">
        <f t="shared" si="1"/>
        <v>0.669230769230769</v>
      </c>
      <c r="I26" s="48"/>
      <c r="J26" s="48"/>
      <c r="K26" s="48"/>
      <c r="L26" s="48"/>
      <c r="M26" s="48"/>
    </row>
    <row r="28" ht="25.5" customHeight="1" spans="1:13">
      <c r="A28" s="49" t="s">
        <v>528</v>
      </c>
      <c r="B28" s="49"/>
      <c r="C28" s="49"/>
      <c r="D28" s="49"/>
      <c r="E28" s="49"/>
      <c r="F28" s="49"/>
      <c r="G28" s="49"/>
      <c r="H28" s="49"/>
      <c r="I28" s="49"/>
      <c r="J28" s="49"/>
      <c r="K28" s="49"/>
      <c r="L28" s="49"/>
      <c r="M28" s="49"/>
    </row>
  </sheetData>
  <mergeCells count="37">
    <mergeCell ref="A3:M3"/>
    <mergeCell ref="A5:F5"/>
    <mergeCell ref="H5:M5"/>
    <mergeCell ref="A10:M10"/>
    <mergeCell ref="A11:C11"/>
    <mergeCell ref="D11:F11"/>
    <mergeCell ref="G11:I11"/>
    <mergeCell ref="J11:L11"/>
    <mergeCell ref="A12:C12"/>
    <mergeCell ref="D12:F12"/>
    <mergeCell ref="G12:I12"/>
    <mergeCell ref="J12:L12"/>
    <mergeCell ref="A13:C13"/>
    <mergeCell ref="D13:F13"/>
    <mergeCell ref="G13:I13"/>
    <mergeCell ref="J13:L13"/>
    <mergeCell ref="A14:C14"/>
    <mergeCell ref="D14:F14"/>
    <mergeCell ref="G14:I14"/>
    <mergeCell ref="J14:L14"/>
    <mergeCell ref="A16:M16"/>
    <mergeCell ref="H17:M17"/>
    <mergeCell ref="H18:M18"/>
    <mergeCell ref="H19:M19"/>
    <mergeCell ref="H20:M20"/>
    <mergeCell ref="H21:M21"/>
    <mergeCell ref="H22:M22"/>
    <mergeCell ref="H23:M23"/>
    <mergeCell ref="H24:M24"/>
    <mergeCell ref="H25:M25"/>
    <mergeCell ref="H26:M26"/>
    <mergeCell ref="A28:M28"/>
    <mergeCell ref="A1:M2"/>
    <mergeCell ref="A6:C8"/>
    <mergeCell ref="D6:F8"/>
    <mergeCell ref="H6:I8"/>
    <mergeCell ref="J6:M8"/>
  </mergeCells>
  <conditionalFormatting sqref="G18:G25">
    <cfRule type="dataBar" priority="2">
      <dataBar>
        <cfvo type="num" val="0"/>
        <cfvo type="num" val="1"/>
        <color rgb="FF63BE7B"/>
      </dataBar>
      <extLst>
        <ext xmlns:x14="http://schemas.microsoft.com/office/spreadsheetml/2009/9/main" uri="{B025F937-C7B1-47D3-B67F-A62EFF666E3E}">
          <x14:id>{adc5380e-a344-42d9-bc9b-103a7b19c10c}</x14:id>
        </ext>
      </extLst>
    </cfRule>
  </conditionalFormatting>
  <pageMargins left="0.75" right="0.75" top="1" bottom="1" header="0.511811023622047" footer="0.511811023622047"/>
  <pageSetup paperSize="9" orientation="portrait" horizontalDpi="300" verticalDpi="300"/>
  <headerFooter/>
  <extLst>
    <ext xmlns:x14="http://schemas.microsoft.com/office/spreadsheetml/2009/9/main" uri="{78C0D931-6437-407d-A8EE-F0AAD7539E65}">
      <x14:conditionalFormattings>
        <x14:conditionalFormatting xmlns:xm="http://schemas.microsoft.com/office/excel/2006/main">
          <x14:cfRule type="dataBar" id="{adc5380e-a344-42d9-bc9b-103a7b19c10c}">
            <x14:dataBar minLength="10" maxLength="90" axisPosition="none">
              <x14:cfvo type="num">
                <xm:f>0</xm:f>
              </x14:cfvo>
              <x14:cfvo type="num">
                <xm:f>1</xm:f>
              </x14:cfvo>
              <x14:negativeFillColor rgb="FF63BE7B"/>
              <x14:axisColor indexed="65"/>
            </x14:dataBar>
          </x14:cfRule>
          <xm:sqref>G18:G25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showGridLines="0" workbookViewId="0">
      <pane ySplit="5" topLeftCell="A6" activePane="bottomLeft" state="frozen"/>
      <selection/>
      <selection pane="bottomLeft" activeCell="C9" sqref="C9"/>
    </sheetView>
  </sheetViews>
  <sheetFormatPr defaultColWidth="8.6796875" defaultRowHeight="16.8" outlineLevelCol="7"/>
  <cols>
    <col min="1" max="1" width="3" customWidth="1"/>
    <col min="2" max="2" width="26" customWidth="1"/>
    <col min="3" max="3" width="44" customWidth="1"/>
    <col min="4" max="4" width="20" customWidth="1"/>
    <col min="5" max="5" width="14" customWidth="1"/>
    <col min="6" max="6" width="13" customWidth="1"/>
    <col min="7" max="7" width="14" customWidth="1"/>
    <col min="8" max="8" width="32" customWidth="1"/>
  </cols>
  <sheetData>
    <row r="1" ht="21.75" customHeight="1" spans="1:8">
      <c r="A1" s="1" t="s">
        <v>529</v>
      </c>
      <c r="B1" s="1"/>
      <c r="C1" s="1"/>
      <c r="D1" s="1"/>
      <c r="E1" s="1"/>
      <c r="F1" s="1"/>
      <c r="G1" s="1"/>
      <c r="H1" s="1"/>
    </row>
    <row r="2" ht="21.75" customHeight="1" spans="1:8">
      <c r="A2" s="1"/>
      <c r="B2" s="1"/>
      <c r="C2" s="1"/>
      <c r="D2" s="1"/>
      <c r="E2" s="1"/>
      <c r="F2" s="1"/>
      <c r="G2" s="1"/>
      <c r="H2" s="1"/>
    </row>
    <row r="3" ht="13.5" customHeight="1" spans="1:8">
      <c r="A3" s="61" t="s">
        <v>530</v>
      </c>
      <c r="B3" s="61"/>
      <c r="C3" s="61"/>
      <c r="D3" s="61"/>
      <c r="E3" s="61"/>
      <c r="F3" s="61"/>
      <c r="G3" s="61"/>
      <c r="H3" s="61"/>
    </row>
    <row r="4" ht="6" customHeight="1"/>
    <row r="5" ht="21.75" customHeight="1" spans="1:8">
      <c r="A5" s="62" t="s">
        <v>531</v>
      </c>
      <c r="B5" s="62" t="s">
        <v>1</v>
      </c>
      <c r="C5" s="62" t="s">
        <v>2</v>
      </c>
      <c r="D5" s="62" t="s">
        <v>5</v>
      </c>
      <c r="E5" s="62" t="s">
        <v>532</v>
      </c>
      <c r="F5" s="62" t="s">
        <v>8</v>
      </c>
      <c r="G5" s="62" t="s">
        <v>9</v>
      </c>
      <c r="H5" s="62" t="s">
        <v>6</v>
      </c>
    </row>
    <row r="6" ht="19.5" customHeight="1" spans="1:8">
      <c r="A6" s="63" t="s">
        <v>533</v>
      </c>
      <c r="B6" s="63"/>
      <c r="C6" s="63"/>
      <c r="D6" s="63"/>
      <c r="E6" s="63"/>
      <c r="F6" s="63"/>
      <c r="G6" s="63"/>
      <c r="H6" s="63"/>
    </row>
    <row r="7" ht="15" customHeight="1" spans="1:8">
      <c r="A7" s="64">
        <v>1</v>
      </c>
      <c r="B7" s="65" t="s">
        <v>403</v>
      </c>
      <c r="C7" s="66" t="s">
        <v>445</v>
      </c>
      <c r="D7" s="67" t="s">
        <v>89</v>
      </c>
      <c r="E7" s="64" t="s">
        <v>388</v>
      </c>
      <c r="F7" s="64" t="s">
        <v>534</v>
      </c>
      <c r="G7" s="65" t="s">
        <v>124</v>
      </c>
      <c r="H7" s="66"/>
    </row>
    <row r="8" ht="19.5" customHeight="1" spans="1:8">
      <c r="A8" s="74" t="s">
        <v>535</v>
      </c>
      <c r="B8" s="74"/>
      <c r="C8" s="74"/>
      <c r="D8" s="74"/>
      <c r="E8" s="74"/>
      <c r="F8" s="74"/>
      <c r="G8" s="74"/>
      <c r="H8" s="74"/>
    </row>
    <row r="9" ht="15" customHeight="1" spans="1:8">
      <c r="A9" s="69">
        <v>1</v>
      </c>
      <c r="B9" s="70" t="s">
        <v>403</v>
      </c>
      <c r="C9" s="71" t="s">
        <v>452</v>
      </c>
      <c r="D9" s="67" t="s">
        <v>89</v>
      </c>
      <c r="E9" s="69" t="s">
        <v>388</v>
      </c>
      <c r="F9" s="69" t="s">
        <v>536</v>
      </c>
      <c r="G9" s="70"/>
      <c r="H9" s="71"/>
    </row>
    <row r="10" ht="19.5" customHeight="1" spans="1:8">
      <c r="A10" s="77" t="s">
        <v>537</v>
      </c>
      <c r="B10" s="77"/>
      <c r="C10" s="77"/>
      <c r="D10" s="77"/>
      <c r="E10" s="77"/>
      <c r="F10" s="77"/>
      <c r="G10" s="77"/>
      <c r="H10" s="77"/>
    </row>
    <row r="11" ht="15" customHeight="1" spans="1:8">
      <c r="A11" s="64">
        <v>1</v>
      </c>
      <c r="B11" s="65" t="s">
        <v>446</v>
      </c>
      <c r="C11" s="66" t="s">
        <v>447</v>
      </c>
      <c r="D11" s="76" t="s">
        <v>70</v>
      </c>
      <c r="E11" s="64" t="s">
        <v>388</v>
      </c>
      <c r="F11" s="64" t="s">
        <v>538</v>
      </c>
      <c r="G11" s="65" t="s">
        <v>127</v>
      </c>
      <c r="H11" s="66" t="s">
        <v>448</v>
      </c>
    </row>
    <row r="12" ht="15" customHeight="1" spans="1:8">
      <c r="A12" s="69">
        <v>2</v>
      </c>
      <c r="B12" s="70" t="s">
        <v>242</v>
      </c>
      <c r="C12" s="71" t="s">
        <v>243</v>
      </c>
      <c r="D12" s="67" t="s">
        <v>89</v>
      </c>
      <c r="E12" s="69" t="s">
        <v>136</v>
      </c>
      <c r="F12" s="69" t="s">
        <v>538</v>
      </c>
      <c r="G12" s="70"/>
      <c r="H12" s="71" t="s">
        <v>244</v>
      </c>
    </row>
    <row r="13" ht="15" customHeight="1" spans="1:8">
      <c r="A13" s="64">
        <v>3</v>
      </c>
      <c r="B13" s="65" t="s">
        <v>398</v>
      </c>
      <c r="C13" s="66" t="s">
        <v>450</v>
      </c>
      <c r="D13" s="67" t="s">
        <v>89</v>
      </c>
      <c r="E13" s="64" t="s">
        <v>388</v>
      </c>
      <c r="F13" s="64" t="s">
        <v>538</v>
      </c>
      <c r="G13" s="65"/>
      <c r="H13" s="66"/>
    </row>
    <row r="14" ht="15" customHeight="1" spans="1:8">
      <c r="A14" s="69">
        <v>4</v>
      </c>
      <c r="B14" s="70" t="s">
        <v>398</v>
      </c>
      <c r="C14" s="71" t="s">
        <v>451</v>
      </c>
      <c r="D14" s="67" t="s">
        <v>89</v>
      </c>
      <c r="E14" s="69" t="s">
        <v>388</v>
      </c>
      <c r="F14" s="69" t="s">
        <v>538</v>
      </c>
      <c r="G14" s="70" t="s">
        <v>124</v>
      </c>
      <c r="H14" s="71"/>
    </row>
    <row r="15" ht="15" customHeight="1" spans="1:8">
      <c r="A15" s="64">
        <v>5</v>
      </c>
      <c r="B15" s="65" t="s">
        <v>125</v>
      </c>
      <c r="C15" s="66" t="s">
        <v>126</v>
      </c>
      <c r="D15" s="67" t="s">
        <v>89</v>
      </c>
      <c r="E15" s="64" t="s">
        <v>119</v>
      </c>
      <c r="F15" s="64" t="s">
        <v>539</v>
      </c>
      <c r="G15" s="65" t="s">
        <v>127</v>
      </c>
      <c r="H15" s="66"/>
    </row>
    <row r="16" ht="15" customHeight="1" spans="1:8">
      <c r="A16" s="69">
        <v>6</v>
      </c>
      <c r="B16" s="70" t="s">
        <v>125</v>
      </c>
      <c r="C16" s="71" t="s">
        <v>128</v>
      </c>
      <c r="D16" s="67" t="s">
        <v>89</v>
      </c>
      <c r="E16" s="69" t="s">
        <v>119</v>
      </c>
      <c r="F16" s="69" t="s">
        <v>539</v>
      </c>
      <c r="G16" s="70" t="s">
        <v>127</v>
      </c>
      <c r="H16" s="71"/>
    </row>
    <row r="17" ht="15" customHeight="1" spans="1:8">
      <c r="A17" s="64">
        <v>7</v>
      </c>
      <c r="B17" s="65" t="s">
        <v>111</v>
      </c>
      <c r="C17" s="66" t="s">
        <v>245</v>
      </c>
      <c r="D17" s="67" t="s">
        <v>89</v>
      </c>
      <c r="E17" s="64" t="s">
        <v>136</v>
      </c>
      <c r="F17" s="64" t="s">
        <v>539</v>
      </c>
      <c r="G17" s="65" t="s">
        <v>124</v>
      </c>
      <c r="H17" s="66"/>
    </row>
    <row r="18" ht="15" customHeight="1" spans="1:8">
      <c r="A18" s="69">
        <v>8</v>
      </c>
      <c r="B18" s="70" t="s">
        <v>88</v>
      </c>
      <c r="C18" s="71"/>
      <c r="D18" s="67" t="s">
        <v>89</v>
      </c>
      <c r="E18" s="69" t="s">
        <v>64</v>
      </c>
      <c r="F18" s="69" t="s">
        <v>540</v>
      </c>
      <c r="G18" s="70"/>
      <c r="H18" s="71" t="s">
        <v>90</v>
      </c>
    </row>
    <row r="19" ht="15" customHeight="1" spans="1:8">
      <c r="A19" s="64">
        <v>9</v>
      </c>
      <c r="B19" s="65" t="s">
        <v>246</v>
      </c>
      <c r="C19" s="66" t="s">
        <v>247</v>
      </c>
      <c r="D19" s="76" t="s">
        <v>70</v>
      </c>
      <c r="E19" s="64" t="s">
        <v>136</v>
      </c>
      <c r="F19" s="64" t="s">
        <v>540</v>
      </c>
      <c r="G19" s="65" t="s">
        <v>127</v>
      </c>
      <c r="H19" s="66" t="s">
        <v>248</v>
      </c>
    </row>
    <row r="20" ht="15" customHeight="1" spans="1:8">
      <c r="A20" s="69">
        <v>10</v>
      </c>
      <c r="B20" s="70" t="s">
        <v>362</v>
      </c>
      <c r="C20" s="71" t="s">
        <v>363</v>
      </c>
      <c r="D20" s="67" t="s">
        <v>89</v>
      </c>
      <c r="E20" s="69" t="s">
        <v>258</v>
      </c>
      <c r="F20" s="69" t="s">
        <v>540</v>
      </c>
      <c r="G20" s="70"/>
      <c r="H20" s="71"/>
    </row>
    <row r="21" ht="15" customHeight="1" spans="1:8">
      <c r="A21" s="64">
        <v>11</v>
      </c>
      <c r="B21" s="66" t="s">
        <v>364</v>
      </c>
      <c r="C21" s="66" t="s">
        <v>365</v>
      </c>
      <c r="D21" s="67" t="s">
        <v>89</v>
      </c>
      <c r="E21" s="64" t="s">
        <v>258</v>
      </c>
      <c r="F21" s="64" t="s">
        <v>540</v>
      </c>
      <c r="G21" s="65"/>
      <c r="H21" s="66"/>
    </row>
    <row r="22" ht="15" customHeight="1" spans="1:8">
      <c r="A22" s="69">
        <v>12</v>
      </c>
      <c r="B22" s="70" t="s">
        <v>366</v>
      </c>
      <c r="C22" s="71"/>
      <c r="D22" s="67" t="s">
        <v>89</v>
      </c>
      <c r="E22" s="69" t="s">
        <v>258</v>
      </c>
      <c r="F22" s="69" t="s">
        <v>540</v>
      </c>
      <c r="G22" s="70"/>
      <c r="H22" s="71"/>
    </row>
    <row r="23" ht="15" customHeight="1" spans="1:8">
      <c r="A23" s="64">
        <v>13</v>
      </c>
      <c r="B23" s="65" t="s">
        <v>367</v>
      </c>
      <c r="C23" s="66"/>
      <c r="D23" s="67" t="s">
        <v>89</v>
      </c>
      <c r="E23" s="64" t="s">
        <v>258</v>
      </c>
      <c r="F23" s="64" t="s">
        <v>540</v>
      </c>
      <c r="G23" s="65"/>
      <c r="H23" s="66"/>
    </row>
    <row r="24" ht="19.5" customHeight="1" spans="1:8">
      <c r="A24" s="78" t="s">
        <v>541</v>
      </c>
      <c r="B24" s="78"/>
      <c r="C24" s="78"/>
      <c r="D24" s="78"/>
      <c r="E24" s="78"/>
      <c r="F24" s="78"/>
      <c r="G24" s="78"/>
      <c r="H24" s="78"/>
    </row>
    <row r="25" ht="15" customHeight="1" spans="1:8">
      <c r="A25" s="69">
        <v>1</v>
      </c>
      <c r="B25" s="70" t="s">
        <v>250</v>
      </c>
      <c r="C25" s="71" t="s">
        <v>251</v>
      </c>
      <c r="D25" s="67" t="s">
        <v>89</v>
      </c>
      <c r="E25" s="69" t="s">
        <v>136</v>
      </c>
      <c r="F25" s="69" t="s">
        <v>542</v>
      </c>
      <c r="G25" s="70" t="s">
        <v>252</v>
      </c>
      <c r="H25" s="71"/>
    </row>
    <row r="26" ht="19.5" customHeight="1" spans="1:8">
      <c r="A26" s="75" t="s">
        <v>543</v>
      </c>
      <c r="B26" s="75"/>
      <c r="C26" s="75"/>
      <c r="D26" s="75"/>
      <c r="E26" s="75"/>
      <c r="F26" s="75"/>
      <c r="G26" s="75"/>
      <c r="H26" s="75"/>
    </row>
    <row r="27" ht="15" customHeight="1" spans="1:8">
      <c r="A27" s="64">
        <v>1</v>
      </c>
      <c r="B27" s="65" t="s">
        <v>375</v>
      </c>
      <c r="C27" s="66" t="s">
        <v>377</v>
      </c>
      <c r="D27" s="76" t="s">
        <v>70</v>
      </c>
      <c r="E27" s="64" t="s">
        <v>258</v>
      </c>
      <c r="F27" s="64"/>
      <c r="G27" s="65"/>
      <c r="H27" s="66"/>
    </row>
    <row r="28" ht="15" customHeight="1" spans="1:8">
      <c r="A28" s="69">
        <v>2</v>
      </c>
      <c r="B28" s="70" t="s">
        <v>378</v>
      </c>
      <c r="C28" s="71" t="s">
        <v>379</v>
      </c>
      <c r="D28" s="67" t="s">
        <v>89</v>
      </c>
      <c r="E28" s="69" t="s">
        <v>258</v>
      </c>
      <c r="F28" s="69"/>
      <c r="G28" s="70"/>
      <c r="H28" s="71"/>
    </row>
    <row r="29" ht="15" customHeight="1" spans="1:8">
      <c r="A29" s="64">
        <v>3</v>
      </c>
      <c r="B29" s="65" t="s">
        <v>457</v>
      </c>
      <c r="C29" s="66" t="s">
        <v>458</v>
      </c>
      <c r="D29" s="67" t="s">
        <v>89</v>
      </c>
      <c r="E29" s="64" t="s">
        <v>388</v>
      </c>
      <c r="F29" s="64"/>
      <c r="G29" s="65"/>
      <c r="H29" s="66"/>
    </row>
    <row r="30" ht="15" customHeight="1" spans="1:8">
      <c r="A30" s="69">
        <v>4</v>
      </c>
      <c r="B30" s="70" t="s">
        <v>398</v>
      </c>
      <c r="C30" s="71" t="s">
        <v>459</v>
      </c>
      <c r="D30" s="67" t="s">
        <v>89</v>
      </c>
      <c r="E30" s="69" t="s">
        <v>388</v>
      </c>
      <c r="F30" s="69"/>
      <c r="G30" s="70"/>
      <c r="H30" s="71"/>
    </row>
    <row r="31" ht="15" customHeight="1" spans="1:8">
      <c r="A31" s="64">
        <v>5</v>
      </c>
      <c r="B31" s="65" t="s">
        <v>398</v>
      </c>
      <c r="C31" s="66" t="s">
        <v>460</v>
      </c>
      <c r="D31" s="67" t="s">
        <v>89</v>
      </c>
      <c r="E31" s="64" t="s">
        <v>388</v>
      </c>
      <c r="F31" s="64"/>
      <c r="G31" s="65"/>
      <c r="H31" s="66"/>
    </row>
    <row r="32" ht="15" customHeight="1" spans="1:8">
      <c r="A32" s="69">
        <v>6</v>
      </c>
      <c r="B32" s="70" t="s">
        <v>461</v>
      </c>
      <c r="C32" s="71" t="s">
        <v>462</v>
      </c>
      <c r="D32" s="67" t="s">
        <v>89</v>
      </c>
      <c r="E32" s="69" t="s">
        <v>388</v>
      </c>
      <c r="F32" s="69"/>
      <c r="G32" s="70"/>
      <c r="H32" s="71"/>
    </row>
  </sheetData>
  <mergeCells count="7">
    <mergeCell ref="A3:H3"/>
    <mergeCell ref="A6:H6"/>
    <mergeCell ref="A8:H8"/>
    <mergeCell ref="A10:H10"/>
    <mergeCell ref="A24:H24"/>
    <mergeCell ref="A26:H26"/>
    <mergeCell ref="A1:H2"/>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showGridLines="0" workbookViewId="0">
      <pane ySplit="5" topLeftCell="A6" activePane="bottomLeft" state="frozen"/>
      <selection/>
      <selection pane="bottomLeft" activeCell="A1" sqref="A1:H2"/>
    </sheetView>
  </sheetViews>
  <sheetFormatPr defaultColWidth="8.6796875" defaultRowHeight="16.8" outlineLevelCol="7"/>
  <cols>
    <col min="1" max="1" width="3" customWidth="1"/>
    <col min="2" max="2" width="26" customWidth="1"/>
    <col min="3" max="3" width="44" customWidth="1"/>
    <col min="4" max="4" width="20" customWidth="1"/>
    <col min="5" max="5" width="14" customWidth="1"/>
    <col min="6" max="6" width="13" customWidth="1"/>
    <col min="7" max="7" width="14" customWidth="1"/>
    <col min="8" max="8" width="32" customWidth="1"/>
  </cols>
  <sheetData>
    <row r="1" ht="21.75" customHeight="1" spans="1:8">
      <c r="A1" s="1" t="s">
        <v>544</v>
      </c>
      <c r="B1" s="1"/>
      <c r="C1" s="1"/>
      <c r="D1" s="1"/>
      <c r="E1" s="1"/>
      <c r="F1" s="1"/>
      <c r="G1" s="1"/>
      <c r="H1" s="1"/>
    </row>
    <row r="2" ht="21.75" customHeight="1" spans="1:8">
      <c r="A2" s="1"/>
      <c r="B2" s="1"/>
      <c r="C2" s="1"/>
      <c r="D2" s="1"/>
      <c r="E2" s="1"/>
      <c r="F2" s="1"/>
      <c r="G2" s="1"/>
      <c r="H2" s="1"/>
    </row>
    <row r="3" ht="13.5" customHeight="1" spans="1:8">
      <c r="A3" s="61" t="s">
        <v>530</v>
      </c>
      <c r="B3" s="61"/>
      <c r="C3" s="61"/>
      <c r="D3" s="61"/>
      <c r="E3" s="61"/>
      <c r="F3" s="61"/>
      <c r="G3" s="61"/>
      <c r="H3" s="61"/>
    </row>
    <row r="4" ht="6" customHeight="1"/>
    <row r="5" ht="21.75" customHeight="1" spans="1:8">
      <c r="A5" s="62" t="s">
        <v>531</v>
      </c>
      <c r="B5" s="62" t="s">
        <v>1</v>
      </c>
      <c r="C5" s="62" t="s">
        <v>2</v>
      </c>
      <c r="D5" s="62" t="s">
        <v>5</v>
      </c>
      <c r="E5" s="62" t="s">
        <v>532</v>
      </c>
      <c r="F5" s="62" t="s">
        <v>8</v>
      </c>
      <c r="G5" s="62" t="s">
        <v>9</v>
      </c>
      <c r="H5" s="62" t="s">
        <v>6</v>
      </c>
    </row>
    <row r="6" ht="19.5" customHeight="1" spans="1:8">
      <c r="A6" s="63" t="s">
        <v>533</v>
      </c>
      <c r="B6" s="63"/>
      <c r="C6" s="63"/>
      <c r="D6" s="63"/>
      <c r="E6" s="63"/>
      <c r="F6" s="63"/>
      <c r="G6" s="63"/>
      <c r="H6" s="63"/>
    </row>
    <row r="7" ht="15" customHeight="1" spans="1:8">
      <c r="A7" s="64">
        <v>1</v>
      </c>
      <c r="B7" s="65" t="s">
        <v>468</v>
      </c>
      <c r="C7" s="66" t="s">
        <v>469</v>
      </c>
      <c r="D7" s="67" t="s">
        <v>89</v>
      </c>
      <c r="E7" s="64" t="s">
        <v>388</v>
      </c>
      <c r="F7" s="64" t="s">
        <v>534</v>
      </c>
      <c r="G7" s="65"/>
      <c r="H7" s="66"/>
    </row>
    <row r="8" ht="19.5" customHeight="1" spans="1:8">
      <c r="A8" s="74" t="s">
        <v>535</v>
      </c>
      <c r="B8" s="74"/>
      <c r="C8" s="74"/>
      <c r="D8" s="74"/>
      <c r="E8" s="74"/>
      <c r="F8" s="74"/>
      <c r="G8" s="74"/>
      <c r="H8" s="74"/>
    </row>
    <row r="9" ht="15" customHeight="1" spans="1:8">
      <c r="A9" s="69">
        <v>1</v>
      </c>
      <c r="B9" s="70" t="s">
        <v>474</v>
      </c>
      <c r="C9" s="71" t="s">
        <v>475</v>
      </c>
      <c r="D9" s="73" t="s">
        <v>272</v>
      </c>
      <c r="E9" s="69" t="s">
        <v>388</v>
      </c>
      <c r="F9" s="69" t="s">
        <v>536</v>
      </c>
      <c r="G9" s="70" t="s">
        <v>241</v>
      </c>
      <c r="H9" s="71"/>
    </row>
    <row r="10" ht="19.5" customHeight="1" spans="1:8">
      <c r="A10" s="77" t="s">
        <v>545</v>
      </c>
      <c r="B10" s="77"/>
      <c r="C10" s="77"/>
      <c r="D10" s="77"/>
      <c r="E10" s="77"/>
      <c r="F10" s="77"/>
      <c r="G10" s="77"/>
      <c r="H10" s="77"/>
    </row>
    <row r="11" ht="15" customHeight="1" spans="1:8">
      <c r="A11" s="64">
        <v>1</v>
      </c>
      <c r="B11" s="65" t="s">
        <v>474</v>
      </c>
      <c r="C11" s="66" t="s">
        <v>476</v>
      </c>
      <c r="D11" s="67" t="s">
        <v>89</v>
      </c>
      <c r="E11" s="64" t="s">
        <v>388</v>
      </c>
      <c r="F11" s="64" t="s">
        <v>539</v>
      </c>
      <c r="G11" s="65" t="s">
        <v>260</v>
      </c>
      <c r="H11" s="66"/>
    </row>
    <row r="12" ht="15" customHeight="1" spans="1:8">
      <c r="A12" s="69">
        <v>2</v>
      </c>
      <c r="B12" s="70" t="s">
        <v>478</v>
      </c>
      <c r="C12" s="71" t="s">
        <v>479</v>
      </c>
      <c r="D12" s="67" t="s">
        <v>89</v>
      </c>
      <c r="E12" s="69" t="s">
        <v>388</v>
      </c>
      <c r="F12" s="69" t="s">
        <v>539</v>
      </c>
      <c r="G12" s="70" t="s">
        <v>241</v>
      </c>
      <c r="H12" s="71" t="s">
        <v>480</v>
      </c>
    </row>
    <row r="13" ht="15" customHeight="1" spans="1:8">
      <c r="A13" s="64">
        <v>3</v>
      </c>
      <c r="B13" s="65" t="s">
        <v>123</v>
      </c>
      <c r="C13" s="66" t="s">
        <v>481</v>
      </c>
      <c r="D13" s="67" t="s">
        <v>89</v>
      </c>
      <c r="E13" s="64" t="s">
        <v>388</v>
      </c>
      <c r="F13" s="64" t="s">
        <v>539</v>
      </c>
      <c r="G13" s="65" t="s">
        <v>124</v>
      </c>
      <c r="H13" s="66"/>
    </row>
  </sheetData>
  <mergeCells count="5">
    <mergeCell ref="A3:H3"/>
    <mergeCell ref="A6:H6"/>
    <mergeCell ref="A8:H8"/>
    <mergeCell ref="A10:H10"/>
    <mergeCell ref="A1:H2"/>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0"/>
  <sheetViews>
    <sheetView showGridLines="0" workbookViewId="0">
      <pane ySplit="5" topLeftCell="A6" activePane="bottomLeft" state="frozen"/>
      <selection/>
      <selection pane="bottomLeft" activeCell="A1" sqref="A1:H2"/>
    </sheetView>
  </sheetViews>
  <sheetFormatPr defaultColWidth="8.6796875" defaultRowHeight="16.8" outlineLevelCol="7"/>
  <cols>
    <col min="1" max="1" width="3" customWidth="1"/>
    <col min="2" max="2" width="26" customWidth="1"/>
    <col min="3" max="3" width="44" customWidth="1"/>
    <col min="4" max="4" width="20" customWidth="1"/>
    <col min="5" max="5" width="14" customWidth="1"/>
    <col min="6" max="6" width="13" customWidth="1"/>
    <col min="7" max="7" width="14" customWidth="1"/>
    <col min="8" max="8" width="32" customWidth="1"/>
  </cols>
  <sheetData>
    <row r="1" ht="21.75" customHeight="1" spans="1:8">
      <c r="A1" s="1" t="s">
        <v>546</v>
      </c>
      <c r="B1" s="1"/>
      <c r="C1" s="1"/>
      <c r="D1" s="1"/>
      <c r="E1" s="1"/>
      <c r="F1" s="1"/>
      <c r="G1" s="1"/>
      <c r="H1" s="1"/>
    </row>
    <row r="2" ht="21.75" customHeight="1" spans="1:8">
      <c r="A2" s="1"/>
      <c r="B2" s="1"/>
      <c r="C2" s="1"/>
      <c r="D2" s="1"/>
      <c r="E2" s="1"/>
      <c r="F2" s="1"/>
      <c r="G2" s="1"/>
      <c r="H2" s="1"/>
    </row>
    <row r="3" ht="13.5" customHeight="1" spans="1:8">
      <c r="A3" s="61" t="s">
        <v>530</v>
      </c>
      <c r="B3" s="61"/>
      <c r="C3" s="61"/>
      <c r="D3" s="61"/>
      <c r="E3" s="61"/>
      <c r="F3" s="61"/>
      <c r="G3" s="61"/>
      <c r="H3" s="61"/>
    </row>
    <row r="4" ht="6" customHeight="1"/>
    <row r="5" ht="21.75" customHeight="1" spans="1:8">
      <c r="A5" s="62" t="s">
        <v>531</v>
      </c>
      <c r="B5" s="62" t="s">
        <v>1</v>
      </c>
      <c r="C5" s="62" t="s">
        <v>2</v>
      </c>
      <c r="D5" s="62" t="s">
        <v>5</v>
      </c>
      <c r="E5" s="62" t="s">
        <v>532</v>
      </c>
      <c r="F5" s="62" t="s">
        <v>8</v>
      </c>
      <c r="G5" s="62" t="s">
        <v>9</v>
      </c>
      <c r="H5" s="62" t="s">
        <v>6</v>
      </c>
    </row>
    <row r="6" ht="19.5" customHeight="1" spans="1:8">
      <c r="A6" s="63" t="s">
        <v>547</v>
      </c>
      <c r="B6" s="63"/>
      <c r="C6" s="63"/>
      <c r="D6" s="63"/>
      <c r="E6" s="63"/>
      <c r="F6" s="63"/>
      <c r="G6" s="63"/>
      <c r="H6" s="63"/>
    </row>
    <row r="7" ht="15" customHeight="1" spans="1:8">
      <c r="A7" s="64">
        <v>1</v>
      </c>
      <c r="B7" s="65"/>
      <c r="C7" s="66" t="s">
        <v>120</v>
      </c>
      <c r="D7" s="72" t="s">
        <v>156</v>
      </c>
      <c r="E7" s="64" t="s">
        <v>119</v>
      </c>
      <c r="F7" s="64" t="s">
        <v>548</v>
      </c>
      <c r="G7" s="65" t="s">
        <v>122</v>
      </c>
      <c r="H7" s="66"/>
    </row>
    <row r="8" ht="15" customHeight="1" spans="1:8">
      <c r="A8" s="69">
        <v>2</v>
      </c>
      <c r="B8" s="70" t="s">
        <v>154</v>
      </c>
      <c r="C8" s="71" t="s">
        <v>155</v>
      </c>
      <c r="D8" s="72" t="s">
        <v>156</v>
      </c>
      <c r="E8" s="69" t="s">
        <v>136</v>
      </c>
      <c r="F8" s="69" t="s">
        <v>549</v>
      </c>
      <c r="G8" s="70" t="s">
        <v>157</v>
      </c>
      <c r="H8" s="71"/>
    </row>
    <row r="9" ht="19.5" customHeight="1" spans="1:8">
      <c r="A9" s="74" t="s">
        <v>550</v>
      </c>
      <c r="B9" s="74"/>
      <c r="C9" s="74"/>
      <c r="D9" s="74"/>
      <c r="E9" s="74"/>
      <c r="F9" s="74"/>
      <c r="G9" s="74"/>
      <c r="H9" s="74"/>
    </row>
    <row r="10" ht="15" customHeight="1" spans="1:8">
      <c r="A10" s="64">
        <v>1</v>
      </c>
      <c r="B10" s="65" t="s">
        <v>174</v>
      </c>
      <c r="C10" s="66" t="s">
        <v>181</v>
      </c>
      <c r="D10" s="72" t="s">
        <v>156</v>
      </c>
      <c r="E10" s="64" t="s">
        <v>136</v>
      </c>
      <c r="F10" s="64" t="s">
        <v>551</v>
      </c>
      <c r="G10" s="65" t="s">
        <v>182</v>
      </c>
      <c r="H10" s="66"/>
    </row>
    <row r="11" ht="15" customHeight="1" spans="1:8">
      <c r="A11" s="69">
        <v>2</v>
      </c>
      <c r="B11" s="70" t="s">
        <v>200</v>
      </c>
      <c r="C11" s="71" t="s">
        <v>286</v>
      </c>
      <c r="D11" s="67" t="s">
        <v>89</v>
      </c>
      <c r="E11" s="69" t="s">
        <v>258</v>
      </c>
      <c r="F11" s="69" t="s">
        <v>552</v>
      </c>
      <c r="G11" s="70" t="s">
        <v>165</v>
      </c>
      <c r="H11" s="71" t="s">
        <v>287</v>
      </c>
    </row>
    <row r="12" ht="19.5" customHeight="1" spans="1:8">
      <c r="A12" s="77" t="s">
        <v>553</v>
      </c>
      <c r="B12" s="77"/>
      <c r="C12" s="77"/>
      <c r="D12" s="77"/>
      <c r="E12" s="77"/>
      <c r="F12" s="77"/>
      <c r="G12" s="77"/>
      <c r="H12" s="77"/>
    </row>
    <row r="13" ht="15" customHeight="1" spans="1:8">
      <c r="A13" s="64">
        <v>1</v>
      </c>
      <c r="B13" s="65" t="s">
        <v>293</v>
      </c>
      <c r="C13" s="66" t="s">
        <v>389</v>
      </c>
      <c r="D13" s="68" t="s">
        <v>222</v>
      </c>
      <c r="E13" s="64" t="s">
        <v>388</v>
      </c>
      <c r="F13" s="64" t="s">
        <v>538</v>
      </c>
      <c r="G13" s="65"/>
      <c r="H13" s="66"/>
    </row>
    <row r="14" ht="15" customHeight="1" spans="1:8">
      <c r="A14" s="69">
        <v>2</v>
      </c>
      <c r="B14" s="70" t="s">
        <v>179</v>
      </c>
      <c r="C14" s="71" t="s">
        <v>180</v>
      </c>
      <c r="D14" s="67" t="s">
        <v>89</v>
      </c>
      <c r="E14" s="69" t="s">
        <v>136</v>
      </c>
      <c r="F14" s="69" t="s">
        <v>554</v>
      </c>
      <c r="G14" s="70" t="s">
        <v>165</v>
      </c>
      <c r="H14" s="71"/>
    </row>
    <row r="15" ht="15" customHeight="1" spans="1:8">
      <c r="A15" s="64">
        <v>3</v>
      </c>
      <c r="B15" s="65" t="s">
        <v>183</v>
      </c>
      <c r="C15" s="66" t="s">
        <v>184</v>
      </c>
      <c r="D15" s="72" t="s">
        <v>156</v>
      </c>
      <c r="E15" s="64" t="s">
        <v>136</v>
      </c>
      <c r="F15" s="64" t="s">
        <v>539</v>
      </c>
      <c r="G15" s="65" t="s">
        <v>178</v>
      </c>
      <c r="H15" s="66" t="s">
        <v>185</v>
      </c>
    </row>
    <row r="16" ht="15" customHeight="1" spans="1:8">
      <c r="A16" s="69">
        <v>4</v>
      </c>
      <c r="B16" s="70" t="s">
        <v>186</v>
      </c>
      <c r="C16" s="71" t="s">
        <v>187</v>
      </c>
      <c r="D16" s="67" t="s">
        <v>89</v>
      </c>
      <c r="E16" s="69" t="s">
        <v>136</v>
      </c>
      <c r="F16" s="69" t="s">
        <v>539</v>
      </c>
      <c r="G16" s="70" t="s">
        <v>178</v>
      </c>
      <c r="H16" s="71"/>
    </row>
    <row r="17" ht="19.5" customHeight="1" spans="1:8">
      <c r="A17" s="75" t="s">
        <v>555</v>
      </c>
      <c r="B17" s="75"/>
      <c r="C17" s="75"/>
      <c r="D17" s="75"/>
      <c r="E17" s="75"/>
      <c r="F17" s="75"/>
      <c r="G17" s="75"/>
      <c r="H17" s="75"/>
    </row>
    <row r="18" ht="15" customHeight="1" spans="1:8">
      <c r="A18" s="64">
        <v>1</v>
      </c>
      <c r="B18" s="65" t="s">
        <v>297</v>
      </c>
      <c r="C18" s="66" t="s">
        <v>298</v>
      </c>
      <c r="D18" s="76" t="s">
        <v>70</v>
      </c>
      <c r="E18" s="64" t="s">
        <v>258</v>
      </c>
      <c r="F18" s="64"/>
      <c r="G18" s="65"/>
      <c r="H18" s="66" t="s">
        <v>299</v>
      </c>
    </row>
    <row r="19" ht="15" customHeight="1" spans="1:8">
      <c r="A19" s="69">
        <v>2</v>
      </c>
      <c r="B19" s="70" t="s">
        <v>300</v>
      </c>
      <c r="C19" s="71" t="s">
        <v>301</v>
      </c>
      <c r="D19" s="76" t="s">
        <v>70</v>
      </c>
      <c r="E19" s="69" t="s">
        <v>258</v>
      </c>
      <c r="F19" s="69"/>
      <c r="G19" s="70" t="s">
        <v>157</v>
      </c>
      <c r="H19" s="71" t="s">
        <v>302</v>
      </c>
    </row>
    <row r="20" ht="15" customHeight="1" spans="1:8">
      <c r="A20" s="64">
        <v>3</v>
      </c>
      <c r="B20" s="65" t="s">
        <v>303</v>
      </c>
      <c r="C20" s="66" t="s">
        <v>304</v>
      </c>
      <c r="D20" s="76" t="s">
        <v>70</v>
      </c>
      <c r="E20" s="64" t="s">
        <v>258</v>
      </c>
      <c r="F20" s="64"/>
      <c r="G20" s="65" t="s">
        <v>165</v>
      </c>
      <c r="H20" s="66" t="s">
        <v>305</v>
      </c>
    </row>
    <row r="21" ht="15" customHeight="1" spans="1:8">
      <c r="A21" s="69">
        <v>4</v>
      </c>
      <c r="B21" s="70" t="s">
        <v>306</v>
      </c>
      <c r="C21" s="71" t="s">
        <v>307</v>
      </c>
      <c r="D21" s="76" t="s">
        <v>70</v>
      </c>
      <c r="E21" s="69" t="s">
        <v>258</v>
      </c>
      <c r="F21" s="69"/>
      <c r="G21" s="70"/>
      <c r="H21" s="71" t="s">
        <v>308</v>
      </c>
    </row>
    <row r="22" ht="15" customHeight="1" spans="1:8">
      <c r="A22" s="64">
        <v>5</v>
      </c>
      <c r="B22" s="65" t="s">
        <v>309</v>
      </c>
      <c r="C22" s="66" t="s">
        <v>310</v>
      </c>
      <c r="D22" s="76" t="s">
        <v>70</v>
      </c>
      <c r="E22" s="64" t="s">
        <v>258</v>
      </c>
      <c r="F22" s="64"/>
      <c r="G22" s="65"/>
      <c r="H22" s="66" t="s">
        <v>311</v>
      </c>
    </row>
    <row r="23" ht="15" customHeight="1" spans="1:8">
      <c r="A23" s="69">
        <v>6</v>
      </c>
      <c r="B23" s="70" t="s">
        <v>312</v>
      </c>
      <c r="C23" s="71" t="s">
        <v>313</v>
      </c>
      <c r="D23" s="67" t="s">
        <v>89</v>
      </c>
      <c r="E23" s="69" t="s">
        <v>258</v>
      </c>
      <c r="F23" s="69"/>
      <c r="G23" s="70" t="s">
        <v>157</v>
      </c>
      <c r="H23" s="71"/>
    </row>
    <row r="24" ht="15" customHeight="1" spans="1:8">
      <c r="A24" s="64">
        <v>7</v>
      </c>
      <c r="B24" s="65" t="s">
        <v>314</v>
      </c>
      <c r="C24" s="66" t="s">
        <v>315</v>
      </c>
      <c r="D24" s="67" t="s">
        <v>89</v>
      </c>
      <c r="E24" s="64" t="s">
        <v>258</v>
      </c>
      <c r="F24" s="64"/>
      <c r="G24" s="65"/>
      <c r="H24" s="66"/>
    </row>
    <row r="25" ht="15" customHeight="1" spans="1:8">
      <c r="A25" s="69">
        <v>8</v>
      </c>
      <c r="B25" s="70" t="s">
        <v>316</v>
      </c>
      <c r="C25" s="71" t="s">
        <v>317</v>
      </c>
      <c r="D25" s="67" t="s">
        <v>89</v>
      </c>
      <c r="E25" s="69" t="s">
        <v>258</v>
      </c>
      <c r="F25" s="69"/>
      <c r="G25" s="70"/>
      <c r="H25" s="71"/>
    </row>
    <row r="26" ht="15" customHeight="1" spans="1:8">
      <c r="A26" s="64">
        <v>9</v>
      </c>
      <c r="B26" s="65" t="s">
        <v>318</v>
      </c>
      <c r="C26" s="66" t="s">
        <v>319</v>
      </c>
      <c r="D26" s="67" t="s">
        <v>89</v>
      </c>
      <c r="E26" s="64" t="s">
        <v>258</v>
      </c>
      <c r="F26" s="64"/>
      <c r="G26" s="65"/>
      <c r="H26" s="66"/>
    </row>
    <row r="27" ht="15" customHeight="1" spans="1:8">
      <c r="A27" s="69">
        <v>10</v>
      </c>
      <c r="B27" s="70" t="s">
        <v>320</v>
      </c>
      <c r="C27" s="71" t="s">
        <v>321</v>
      </c>
      <c r="D27" s="67" t="s">
        <v>89</v>
      </c>
      <c r="E27" s="69" t="s">
        <v>258</v>
      </c>
      <c r="F27" s="69"/>
      <c r="G27" s="70"/>
      <c r="H27" s="71"/>
    </row>
    <row r="28" ht="15" customHeight="1" spans="1:8">
      <c r="A28" s="64">
        <v>11</v>
      </c>
      <c r="B28" s="65" t="s">
        <v>322</v>
      </c>
      <c r="C28" s="66" t="s">
        <v>323</v>
      </c>
      <c r="D28" s="67" t="s">
        <v>89</v>
      </c>
      <c r="E28" s="64" t="s">
        <v>258</v>
      </c>
      <c r="F28" s="64"/>
      <c r="G28" s="65" t="s">
        <v>165</v>
      </c>
      <c r="H28" s="66" t="s">
        <v>324</v>
      </c>
    </row>
    <row r="29" ht="15" customHeight="1" spans="1:8">
      <c r="A29" s="69">
        <v>12</v>
      </c>
      <c r="B29" s="70" t="s">
        <v>325</v>
      </c>
      <c r="C29" s="71" t="s">
        <v>326</v>
      </c>
      <c r="D29" s="67" t="s">
        <v>89</v>
      </c>
      <c r="E29" s="69" t="s">
        <v>258</v>
      </c>
      <c r="F29" s="69"/>
      <c r="G29" s="70"/>
      <c r="H29" s="71"/>
    </row>
    <row r="30" ht="15" customHeight="1" spans="1:8">
      <c r="A30" s="64">
        <v>13</v>
      </c>
      <c r="B30" s="65" t="s">
        <v>325</v>
      </c>
      <c r="C30" s="66" t="s">
        <v>327</v>
      </c>
      <c r="D30" s="67" t="s">
        <v>89</v>
      </c>
      <c r="E30" s="64" t="s">
        <v>258</v>
      </c>
      <c r="F30" s="64"/>
      <c r="G30" s="65"/>
      <c r="H30" s="66"/>
    </row>
    <row r="31" ht="15" customHeight="1" spans="1:8">
      <c r="A31" s="69">
        <v>14</v>
      </c>
      <c r="B31" s="70" t="s">
        <v>328</v>
      </c>
      <c r="C31" s="71" t="s">
        <v>329</v>
      </c>
      <c r="D31" s="67" t="s">
        <v>89</v>
      </c>
      <c r="E31" s="69" t="s">
        <v>258</v>
      </c>
      <c r="F31" s="69"/>
      <c r="G31" s="70" t="s">
        <v>157</v>
      </c>
      <c r="H31" s="71" t="s">
        <v>324</v>
      </c>
    </row>
    <row r="32" ht="15" customHeight="1" spans="1:8">
      <c r="A32" s="64">
        <v>15</v>
      </c>
      <c r="B32" s="65" t="s">
        <v>331</v>
      </c>
      <c r="C32" s="66" t="s">
        <v>332</v>
      </c>
      <c r="D32" s="67" t="s">
        <v>89</v>
      </c>
      <c r="E32" s="64" t="s">
        <v>258</v>
      </c>
      <c r="F32" s="64"/>
      <c r="G32" s="65"/>
      <c r="H32" s="66" t="s">
        <v>333</v>
      </c>
    </row>
    <row r="33" ht="15" customHeight="1" spans="1:8">
      <c r="A33" s="69">
        <v>16</v>
      </c>
      <c r="B33" s="70" t="s">
        <v>334</v>
      </c>
      <c r="C33" s="71" t="s">
        <v>335</v>
      </c>
      <c r="D33" s="67" t="s">
        <v>89</v>
      </c>
      <c r="E33" s="69" t="s">
        <v>258</v>
      </c>
      <c r="F33" s="69"/>
      <c r="G33" s="70"/>
      <c r="H33" s="71"/>
    </row>
    <row r="34" ht="15" customHeight="1" spans="1:8">
      <c r="A34" s="64">
        <v>17</v>
      </c>
      <c r="B34" s="65" t="s">
        <v>336</v>
      </c>
      <c r="C34" s="66" t="s">
        <v>337</v>
      </c>
      <c r="D34" s="67" t="s">
        <v>89</v>
      </c>
      <c r="E34" s="64" t="s">
        <v>258</v>
      </c>
      <c r="F34" s="64"/>
      <c r="G34" s="65"/>
      <c r="H34" s="66" t="s">
        <v>338</v>
      </c>
    </row>
    <row r="35" ht="15" customHeight="1" spans="1:8">
      <c r="A35" s="69">
        <v>18</v>
      </c>
      <c r="B35" s="70" t="s">
        <v>339</v>
      </c>
      <c r="C35" s="71" t="s">
        <v>340</v>
      </c>
      <c r="D35" s="67" t="s">
        <v>89</v>
      </c>
      <c r="E35" s="69" t="s">
        <v>258</v>
      </c>
      <c r="F35" s="69"/>
      <c r="G35" s="70"/>
      <c r="H35" s="71"/>
    </row>
    <row r="36" ht="15" customHeight="1" spans="1:8">
      <c r="A36" s="64">
        <v>19</v>
      </c>
      <c r="B36" s="65" t="s">
        <v>341</v>
      </c>
      <c r="C36" s="66" t="s">
        <v>342</v>
      </c>
      <c r="D36" s="67" t="s">
        <v>89</v>
      </c>
      <c r="E36" s="64" t="s">
        <v>258</v>
      </c>
      <c r="F36" s="64"/>
      <c r="G36" s="65"/>
      <c r="H36" s="66"/>
    </row>
    <row r="37" ht="15" customHeight="1" spans="1:8">
      <c r="A37" s="69">
        <v>20</v>
      </c>
      <c r="B37" s="70" t="s">
        <v>343</v>
      </c>
      <c r="C37" s="71" t="s">
        <v>344</v>
      </c>
      <c r="D37" s="67" t="s">
        <v>89</v>
      </c>
      <c r="E37" s="69" t="s">
        <v>258</v>
      </c>
      <c r="F37" s="69"/>
      <c r="G37" s="70"/>
      <c r="H37" s="71"/>
    </row>
    <row r="38" ht="15" customHeight="1" spans="1:8">
      <c r="A38" s="64">
        <v>21</v>
      </c>
      <c r="B38" s="65" t="s">
        <v>345</v>
      </c>
      <c r="C38" s="66" t="s">
        <v>346</v>
      </c>
      <c r="D38" s="67" t="s">
        <v>89</v>
      </c>
      <c r="E38" s="64" t="s">
        <v>258</v>
      </c>
      <c r="F38" s="64"/>
      <c r="G38" s="65"/>
      <c r="H38" s="66"/>
    </row>
    <row r="39" ht="15" customHeight="1" spans="1:8">
      <c r="A39" s="69">
        <v>22</v>
      </c>
      <c r="B39" s="70" t="s">
        <v>295</v>
      </c>
      <c r="C39" s="71" t="s">
        <v>347</v>
      </c>
      <c r="D39" s="67" t="s">
        <v>89</v>
      </c>
      <c r="E39" s="69" t="s">
        <v>258</v>
      </c>
      <c r="F39" s="69"/>
      <c r="G39" s="70"/>
      <c r="H39" s="71"/>
    </row>
    <row r="40" ht="15" customHeight="1" spans="1:8">
      <c r="A40" s="64">
        <v>23</v>
      </c>
      <c r="B40" s="65" t="s">
        <v>348</v>
      </c>
      <c r="C40" s="66" t="s">
        <v>349</v>
      </c>
      <c r="D40" s="67" t="s">
        <v>89</v>
      </c>
      <c r="E40" s="64" t="s">
        <v>258</v>
      </c>
      <c r="F40" s="64"/>
      <c r="G40" s="65"/>
      <c r="H40" s="66"/>
    </row>
  </sheetData>
  <mergeCells count="6">
    <mergeCell ref="A3:H3"/>
    <mergeCell ref="A6:H6"/>
    <mergeCell ref="A9:H9"/>
    <mergeCell ref="A12:H12"/>
    <mergeCell ref="A17:H17"/>
    <mergeCell ref="A1:H2"/>
  </mergeCell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showGridLines="0" workbookViewId="0">
      <pane ySplit="5" topLeftCell="A6" activePane="bottomLeft" state="frozen"/>
      <selection/>
      <selection pane="bottomLeft" activeCell="A1" sqref="A1:H2"/>
    </sheetView>
  </sheetViews>
  <sheetFormatPr defaultColWidth="8.6796875" defaultRowHeight="16.8" outlineLevelRow="6" outlineLevelCol="7"/>
  <cols>
    <col min="1" max="1" width="3" customWidth="1"/>
    <col min="2" max="2" width="26" customWidth="1"/>
    <col min="3" max="3" width="44" customWidth="1"/>
    <col min="4" max="4" width="20" customWidth="1"/>
    <col min="5" max="5" width="14" customWidth="1"/>
    <col min="6" max="6" width="13" customWidth="1"/>
    <col min="7" max="7" width="14" customWidth="1"/>
    <col min="8" max="8" width="32" customWidth="1"/>
  </cols>
  <sheetData>
    <row r="1" ht="21.75" customHeight="1" spans="1:8">
      <c r="A1" s="1" t="s">
        <v>556</v>
      </c>
      <c r="B1" s="1"/>
      <c r="C1" s="1"/>
      <c r="D1" s="1"/>
      <c r="E1" s="1"/>
      <c r="F1" s="1"/>
      <c r="G1" s="1"/>
      <c r="H1" s="1"/>
    </row>
    <row r="2" ht="21.75" customHeight="1" spans="1:8">
      <c r="A2" s="1"/>
      <c r="B2" s="1"/>
      <c r="C2" s="1"/>
      <c r="D2" s="1"/>
      <c r="E2" s="1"/>
      <c r="F2" s="1"/>
      <c r="G2" s="1"/>
      <c r="H2" s="1"/>
    </row>
    <row r="3" ht="13.5" customHeight="1" spans="1:8">
      <c r="A3" s="61" t="s">
        <v>530</v>
      </c>
      <c r="B3" s="61"/>
      <c r="C3" s="61"/>
      <c r="D3" s="61"/>
      <c r="E3" s="61"/>
      <c r="F3" s="61"/>
      <c r="G3" s="61"/>
      <c r="H3" s="61"/>
    </row>
    <row r="4" ht="6" customHeight="1"/>
    <row r="5" ht="21.75" customHeight="1" spans="1:8">
      <c r="A5" s="62" t="s">
        <v>531</v>
      </c>
      <c r="B5" s="62" t="s">
        <v>1</v>
      </c>
      <c r="C5" s="62" t="s">
        <v>2</v>
      </c>
      <c r="D5" s="62" t="s">
        <v>5</v>
      </c>
      <c r="E5" s="62" t="s">
        <v>532</v>
      </c>
      <c r="F5" s="62" t="s">
        <v>8</v>
      </c>
      <c r="G5" s="62" t="s">
        <v>9</v>
      </c>
      <c r="H5" s="62" t="s">
        <v>6</v>
      </c>
    </row>
    <row r="6" ht="19.5" customHeight="1" spans="1:8">
      <c r="A6" s="63" t="s">
        <v>557</v>
      </c>
      <c r="B6" s="63"/>
      <c r="C6" s="63"/>
      <c r="D6" s="63"/>
      <c r="E6" s="63"/>
      <c r="F6" s="63"/>
      <c r="G6" s="63"/>
      <c r="H6" s="63"/>
    </row>
    <row r="7" ht="15" customHeight="1" spans="1:8">
      <c r="A7" s="64">
        <v>1</v>
      </c>
      <c r="B7" s="65" t="s">
        <v>390</v>
      </c>
      <c r="C7" s="66" t="s">
        <v>391</v>
      </c>
      <c r="D7" s="68" t="s">
        <v>222</v>
      </c>
      <c r="E7" s="64" t="s">
        <v>388</v>
      </c>
      <c r="F7" s="64" t="s">
        <v>538</v>
      </c>
      <c r="G7" s="65" t="s">
        <v>178</v>
      </c>
      <c r="H7" s="66"/>
    </row>
  </sheetData>
  <mergeCells count="3">
    <mergeCell ref="A3:H3"/>
    <mergeCell ref="A6:H6"/>
    <mergeCell ref="A1:H2"/>
  </mergeCells>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showGridLines="0" workbookViewId="0">
      <pane ySplit="5" topLeftCell="A6" activePane="bottomLeft" state="frozen"/>
      <selection/>
      <selection pane="bottomLeft" activeCell="A1" sqref="A1:H2"/>
    </sheetView>
  </sheetViews>
  <sheetFormatPr defaultColWidth="8.6796875" defaultRowHeight="16.8" outlineLevelCol="7"/>
  <cols>
    <col min="1" max="1" width="3" customWidth="1"/>
    <col min="2" max="2" width="26" customWidth="1"/>
    <col min="3" max="3" width="44" customWidth="1"/>
    <col min="4" max="4" width="20" customWidth="1"/>
    <col min="5" max="5" width="14" customWidth="1"/>
    <col min="6" max="6" width="13" customWidth="1"/>
    <col min="7" max="7" width="14" customWidth="1"/>
    <col min="8" max="8" width="32" customWidth="1"/>
  </cols>
  <sheetData>
    <row r="1" ht="21.75" customHeight="1" spans="1:8">
      <c r="A1" s="1" t="s">
        <v>558</v>
      </c>
      <c r="B1" s="1"/>
      <c r="C1" s="1"/>
      <c r="D1" s="1"/>
      <c r="E1" s="1"/>
      <c r="F1" s="1"/>
      <c r="G1" s="1"/>
      <c r="H1" s="1"/>
    </row>
    <row r="2" ht="21.75" customHeight="1" spans="1:8">
      <c r="A2" s="1"/>
      <c r="B2" s="1"/>
      <c r="C2" s="1"/>
      <c r="D2" s="1"/>
      <c r="E2" s="1"/>
      <c r="F2" s="1"/>
      <c r="G2" s="1"/>
      <c r="H2" s="1"/>
    </row>
    <row r="3" ht="13.5" customHeight="1" spans="1:8">
      <c r="A3" s="61" t="s">
        <v>530</v>
      </c>
      <c r="B3" s="61"/>
      <c r="C3" s="61"/>
      <c r="D3" s="61"/>
      <c r="E3" s="61"/>
      <c r="F3" s="61"/>
      <c r="G3" s="61"/>
      <c r="H3" s="61"/>
    </row>
    <row r="4" ht="6" customHeight="1"/>
    <row r="5" ht="21.75" customHeight="1" spans="1:8">
      <c r="A5" s="62" t="s">
        <v>531</v>
      </c>
      <c r="B5" s="62" t="s">
        <v>1</v>
      </c>
      <c r="C5" s="62" t="s">
        <v>2</v>
      </c>
      <c r="D5" s="62" t="s">
        <v>5</v>
      </c>
      <c r="E5" s="62" t="s">
        <v>532</v>
      </c>
      <c r="F5" s="62" t="s">
        <v>8</v>
      </c>
      <c r="G5" s="62" t="s">
        <v>9</v>
      </c>
      <c r="H5" s="62" t="s">
        <v>6</v>
      </c>
    </row>
    <row r="6" ht="19.5" customHeight="1" spans="1:8">
      <c r="A6" s="63" t="s">
        <v>553</v>
      </c>
      <c r="B6" s="63"/>
      <c r="C6" s="63"/>
      <c r="D6" s="63"/>
      <c r="E6" s="63"/>
      <c r="F6" s="63"/>
      <c r="G6" s="63"/>
      <c r="H6" s="63"/>
    </row>
    <row r="7" ht="15" customHeight="1" spans="1:8">
      <c r="A7" s="64">
        <v>1</v>
      </c>
      <c r="B7" s="65" t="s">
        <v>220</v>
      </c>
      <c r="C7" s="66" t="s">
        <v>221</v>
      </c>
      <c r="D7" s="68" t="s">
        <v>222</v>
      </c>
      <c r="E7" s="64" t="s">
        <v>136</v>
      </c>
      <c r="F7" s="64" t="s">
        <v>538</v>
      </c>
      <c r="G7" s="65"/>
      <c r="H7" s="66"/>
    </row>
    <row r="8" ht="15" customHeight="1" spans="1:8">
      <c r="A8" s="69">
        <v>2</v>
      </c>
      <c r="B8" s="70" t="s">
        <v>174</v>
      </c>
      <c r="C8" s="71" t="s">
        <v>223</v>
      </c>
      <c r="D8" s="76" t="s">
        <v>70</v>
      </c>
      <c r="E8" s="69" t="s">
        <v>136</v>
      </c>
      <c r="F8" s="69" t="s">
        <v>539</v>
      </c>
      <c r="G8" s="70" t="s">
        <v>157</v>
      </c>
      <c r="H8" s="71" t="s">
        <v>224</v>
      </c>
    </row>
    <row r="9" ht="15" customHeight="1" spans="1:8">
      <c r="A9" s="64">
        <v>3</v>
      </c>
      <c r="B9" s="65" t="s">
        <v>225</v>
      </c>
      <c r="C9" s="66" t="s">
        <v>226</v>
      </c>
      <c r="D9" s="67" t="s">
        <v>89</v>
      </c>
      <c r="E9" s="64" t="s">
        <v>136</v>
      </c>
      <c r="F9" s="64" t="s">
        <v>539</v>
      </c>
      <c r="G9" s="65" t="s">
        <v>178</v>
      </c>
      <c r="H9" s="66" t="s">
        <v>227</v>
      </c>
    </row>
    <row r="10" ht="15" customHeight="1" spans="1:8">
      <c r="A10" s="69">
        <v>4</v>
      </c>
      <c r="B10" s="70" t="s">
        <v>352</v>
      </c>
      <c r="C10" s="71" t="s">
        <v>353</v>
      </c>
      <c r="D10" s="68" t="s">
        <v>222</v>
      </c>
      <c r="E10" s="69" t="s">
        <v>258</v>
      </c>
      <c r="F10" s="69" t="s">
        <v>539</v>
      </c>
      <c r="G10" s="70"/>
      <c r="H10" s="71" t="s">
        <v>354</v>
      </c>
    </row>
    <row r="11" ht="19.5" customHeight="1" spans="1:8">
      <c r="A11" s="75" t="s">
        <v>559</v>
      </c>
      <c r="B11" s="75"/>
      <c r="C11" s="75"/>
      <c r="D11" s="75"/>
      <c r="E11" s="75"/>
      <c r="F11" s="75"/>
      <c r="G11" s="75"/>
      <c r="H11" s="75"/>
    </row>
    <row r="12" ht="15" customHeight="1" spans="1:8">
      <c r="A12" s="64">
        <v>1</v>
      </c>
      <c r="B12" s="65" t="s">
        <v>18</v>
      </c>
      <c r="C12" s="66" t="s">
        <v>19</v>
      </c>
      <c r="D12" s="76" t="s">
        <v>70</v>
      </c>
      <c r="E12" s="64" t="s">
        <v>258</v>
      </c>
      <c r="F12" s="64"/>
      <c r="G12" s="65"/>
      <c r="H12" s="66" t="s">
        <v>357</v>
      </c>
    </row>
    <row r="13" ht="15" customHeight="1" spans="1:8">
      <c r="A13" s="69">
        <v>2</v>
      </c>
      <c r="B13" s="70" t="s">
        <v>358</v>
      </c>
      <c r="C13" s="71" t="s">
        <v>359</v>
      </c>
      <c r="D13" s="67" t="s">
        <v>89</v>
      </c>
      <c r="E13" s="69" t="s">
        <v>258</v>
      </c>
      <c r="F13" s="69"/>
      <c r="G13" s="70"/>
      <c r="H13" s="71"/>
    </row>
    <row r="14" ht="15" customHeight="1" spans="1:8">
      <c r="A14" s="64">
        <v>3</v>
      </c>
      <c r="B14" s="65" t="s">
        <v>360</v>
      </c>
      <c r="C14" s="66" t="s">
        <v>361</v>
      </c>
      <c r="D14" s="67" t="s">
        <v>89</v>
      </c>
      <c r="E14" s="64" t="s">
        <v>258</v>
      </c>
      <c r="F14" s="64"/>
      <c r="G14" s="65"/>
      <c r="H14" s="66"/>
    </row>
    <row r="15" ht="15" customHeight="1" spans="1:8">
      <c r="A15" s="69">
        <v>4</v>
      </c>
      <c r="B15" s="70" t="s">
        <v>398</v>
      </c>
      <c r="C15" s="71" t="s">
        <v>399</v>
      </c>
      <c r="D15" s="68" t="s">
        <v>222</v>
      </c>
      <c r="E15" s="69" t="s">
        <v>388</v>
      </c>
      <c r="F15" s="69"/>
      <c r="G15" s="70" t="s">
        <v>178</v>
      </c>
      <c r="H15" s="71"/>
    </row>
  </sheetData>
  <mergeCells count="4">
    <mergeCell ref="A3:H3"/>
    <mergeCell ref="A6:H6"/>
    <mergeCell ref="A11:H11"/>
    <mergeCell ref="A1:H2"/>
  </mergeCell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showGridLines="0" workbookViewId="0">
      <pane ySplit="5" topLeftCell="A6" activePane="bottomLeft" state="frozen"/>
      <selection/>
      <selection pane="bottomLeft" activeCell="A1" sqref="A1:H2"/>
    </sheetView>
  </sheetViews>
  <sheetFormatPr defaultColWidth="8.6796875" defaultRowHeight="16.8" outlineLevelCol="7"/>
  <cols>
    <col min="1" max="1" width="3" customWidth="1"/>
    <col min="2" max="2" width="26" customWidth="1"/>
    <col min="3" max="3" width="44" customWidth="1"/>
    <col min="4" max="4" width="20" customWidth="1"/>
    <col min="5" max="5" width="14" customWidth="1"/>
    <col min="6" max="6" width="13" customWidth="1"/>
    <col min="7" max="7" width="14" customWidth="1"/>
    <col min="8" max="8" width="32" customWidth="1"/>
  </cols>
  <sheetData>
    <row r="1" ht="21.75" customHeight="1" spans="1:8">
      <c r="A1" s="1" t="s">
        <v>560</v>
      </c>
      <c r="B1" s="1"/>
      <c r="C1" s="1"/>
      <c r="D1" s="1"/>
      <c r="E1" s="1"/>
      <c r="F1" s="1"/>
      <c r="G1" s="1"/>
      <c r="H1" s="1"/>
    </row>
    <row r="2" ht="21.75" customHeight="1" spans="1:8">
      <c r="A2" s="1"/>
      <c r="B2" s="1"/>
      <c r="C2" s="1"/>
      <c r="D2" s="1"/>
      <c r="E2" s="1"/>
      <c r="F2" s="1"/>
      <c r="G2" s="1"/>
      <c r="H2" s="1"/>
    </row>
    <row r="3" ht="13.5" customHeight="1" spans="1:8">
      <c r="A3" s="61" t="s">
        <v>530</v>
      </c>
      <c r="B3" s="61"/>
      <c r="C3" s="61"/>
      <c r="D3" s="61"/>
      <c r="E3" s="61"/>
      <c r="F3" s="61"/>
      <c r="G3" s="61"/>
      <c r="H3" s="61"/>
    </row>
    <row r="4" ht="6" customHeight="1"/>
    <row r="5" ht="21.75" customHeight="1" spans="1:8">
      <c r="A5" s="62" t="s">
        <v>531</v>
      </c>
      <c r="B5" s="62" t="s">
        <v>1</v>
      </c>
      <c r="C5" s="62" t="s">
        <v>2</v>
      </c>
      <c r="D5" s="62" t="s">
        <v>5</v>
      </c>
      <c r="E5" s="62" t="s">
        <v>532</v>
      </c>
      <c r="F5" s="62" t="s">
        <v>8</v>
      </c>
      <c r="G5" s="62" t="s">
        <v>9</v>
      </c>
      <c r="H5" s="62" t="s">
        <v>6</v>
      </c>
    </row>
    <row r="6" ht="19.5" customHeight="1" spans="1:8">
      <c r="A6" s="63" t="s">
        <v>561</v>
      </c>
      <c r="B6" s="63"/>
      <c r="C6" s="63"/>
      <c r="D6" s="63"/>
      <c r="E6" s="63"/>
      <c r="F6" s="63"/>
      <c r="G6" s="63"/>
      <c r="H6" s="63"/>
    </row>
    <row r="7" ht="15" customHeight="1" spans="1:8">
      <c r="A7" s="64">
        <v>1</v>
      </c>
      <c r="B7" s="65" t="s">
        <v>68</v>
      </c>
      <c r="C7" s="66" t="s">
        <v>69</v>
      </c>
      <c r="D7" s="76" t="s">
        <v>70</v>
      </c>
      <c r="E7" s="64" t="s">
        <v>64</v>
      </c>
      <c r="F7" s="64" t="s">
        <v>539</v>
      </c>
      <c r="G7" s="65"/>
      <c r="H7" s="66" t="s">
        <v>71</v>
      </c>
    </row>
    <row r="8" ht="15" customHeight="1" spans="1:8">
      <c r="A8" s="69">
        <v>2</v>
      </c>
      <c r="B8" s="70" t="s">
        <v>138</v>
      </c>
      <c r="C8" s="71"/>
      <c r="D8" s="67" t="s">
        <v>89</v>
      </c>
      <c r="E8" s="69" t="s">
        <v>136</v>
      </c>
      <c r="F8" s="69" t="s">
        <v>539</v>
      </c>
      <c r="G8" s="70"/>
      <c r="H8" s="71"/>
    </row>
    <row r="9" ht="15" customHeight="1" spans="1:8">
      <c r="A9" s="64">
        <v>3</v>
      </c>
      <c r="B9" s="65" t="s">
        <v>72</v>
      </c>
      <c r="C9" s="66" t="s">
        <v>73</v>
      </c>
      <c r="D9" s="76" t="s">
        <v>70</v>
      </c>
      <c r="E9" s="64" t="s">
        <v>64</v>
      </c>
      <c r="F9" s="64" t="s">
        <v>562</v>
      </c>
      <c r="G9" s="65"/>
      <c r="H9" s="66" t="s">
        <v>74</v>
      </c>
    </row>
    <row r="10" ht="15" customHeight="1" spans="1:8">
      <c r="A10" s="69">
        <v>4</v>
      </c>
      <c r="B10" s="70" t="s">
        <v>139</v>
      </c>
      <c r="C10" s="71"/>
      <c r="D10" s="76" t="s">
        <v>70</v>
      </c>
      <c r="E10" s="69" t="s">
        <v>136</v>
      </c>
      <c r="F10" s="69" t="s">
        <v>562</v>
      </c>
      <c r="G10" s="70" t="s">
        <v>124</v>
      </c>
      <c r="H10" s="71" t="s">
        <v>140</v>
      </c>
    </row>
    <row r="11" ht="15" customHeight="1" spans="1:8">
      <c r="A11" s="64">
        <v>5</v>
      </c>
      <c r="B11" s="65" t="s">
        <v>141</v>
      </c>
      <c r="C11" s="66" t="s">
        <v>142</v>
      </c>
      <c r="D11" s="67" t="s">
        <v>89</v>
      </c>
      <c r="E11" s="64" t="s">
        <v>136</v>
      </c>
      <c r="F11" s="64" t="s">
        <v>540</v>
      </c>
      <c r="G11" s="65" t="s">
        <v>143</v>
      </c>
      <c r="H11" s="66"/>
    </row>
    <row r="12" ht="15" customHeight="1" spans="1:8">
      <c r="A12" s="69">
        <v>6</v>
      </c>
      <c r="B12" s="70" t="s">
        <v>144</v>
      </c>
      <c r="C12" s="71" t="s">
        <v>142</v>
      </c>
      <c r="D12" s="67" t="s">
        <v>89</v>
      </c>
      <c r="E12" s="69" t="s">
        <v>136</v>
      </c>
      <c r="F12" s="69" t="s">
        <v>540</v>
      </c>
      <c r="G12" s="70" t="s">
        <v>143</v>
      </c>
      <c r="H12" s="71"/>
    </row>
  </sheetData>
  <mergeCells count="3">
    <mergeCell ref="A3:H3"/>
    <mergeCell ref="A6:H6"/>
    <mergeCell ref="A1:H2"/>
  </mergeCells>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showGridLines="0" workbookViewId="0">
      <pane ySplit="5" topLeftCell="A6" activePane="bottomLeft" state="frozen"/>
      <selection/>
      <selection pane="bottomLeft" activeCell="A1" sqref="$A1:$XFD1048576"/>
    </sheetView>
  </sheetViews>
  <sheetFormatPr defaultColWidth="8.6796875" defaultRowHeight="16.8" outlineLevelCol="7"/>
  <cols>
    <col min="1" max="1" width="2.625" customWidth="1"/>
    <col min="2" max="2" width="52.8125" customWidth="1"/>
    <col min="3" max="3" width="9.6875" customWidth="1"/>
    <col min="4" max="4" width="7.875" customWidth="1"/>
    <col min="5" max="5" width="7.625" customWidth="1"/>
    <col min="6" max="6" width="8.25" customWidth="1"/>
    <col min="7" max="7" width="7.34375" customWidth="1"/>
    <col min="8" max="8" width="22.65625" customWidth="1"/>
  </cols>
  <sheetData>
    <row r="1" ht="21.75" customHeight="1" spans="1:8">
      <c r="A1" s="1" t="s">
        <v>563</v>
      </c>
      <c r="B1" s="1"/>
      <c r="C1" s="1"/>
      <c r="D1" s="1"/>
      <c r="E1" s="1"/>
      <c r="F1" s="1"/>
      <c r="G1" s="1"/>
      <c r="H1" s="1"/>
    </row>
    <row r="2" ht="21.75" customHeight="1" spans="1:8">
      <c r="A2" s="1"/>
      <c r="B2" s="1"/>
      <c r="C2" s="1"/>
      <c r="D2" s="1"/>
      <c r="E2" s="1"/>
      <c r="F2" s="1"/>
      <c r="G2" s="1"/>
      <c r="H2" s="1"/>
    </row>
    <row r="3" ht="13.5" customHeight="1" spans="1:8">
      <c r="A3" s="61" t="s">
        <v>530</v>
      </c>
      <c r="B3" s="61"/>
      <c r="C3" s="61"/>
      <c r="D3" s="61"/>
      <c r="E3" s="61"/>
      <c r="F3" s="61"/>
      <c r="G3" s="61"/>
      <c r="H3" s="61"/>
    </row>
    <row r="4" ht="6" customHeight="1"/>
    <row r="5" ht="21.75" customHeight="1" spans="1:8">
      <c r="A5" s="62" t="s">
        <v>531</v>
      </c>
      <c r="B5" s="62" t="s">
        <v>1</v>
      </c>
      <c r="C5" s="62" t="s">
        <v>2</v>
      </c>
      <c r="D5" s="62" t="s">
        <v>5</v>
      </c>
      <c r="E5" s="62" t="s">
        <v>532</v>
      </c>
      <c r="F5" s="62" t="s">
        <v>8</v>
      </c>
      <c r="G5" s="62" t="s">
        <v>9</v>
      </c>
      <c r="H5" s="62" t="s">
        <v>6</v>
      </c>
    </row>
    <row r="6" ht="19.5" customHeight="1" spans="1:8">
      <c r="A6" s="63" t="s">
        <v>564</v>
      </c>
      <c r="B6" s="63"/>
      <c r="C6" s="63"/>
      <c r="D6" s="63"/>
      <c r="E6" s="63"/>
      <c r="F6" s="63"/>
      <c r="G6" s="63"/>
      <c r="H6" s="63"/>
    </row>
    <row r="7" ht="15" customHeight="1" spans="1:8">
      <c r="A7" s="64">
        <v>1</v>
      </c>
      <c r="B7" s="65" t="s">
        <v>264</v>
      </c>
      <c r="C7" s="66"/>
      <c r="D7" s="68" t="s">
        <v>222</v>
      </c>
      <c r="E7" s="64" t="s">
        <v>258</v>
      </c>
      <c r="F7" s="64" t="s">
        <v>539</v>
      </c>
      <c r="G7" s="65" t="s">
        <v>260</v>
      </c>
      <c r="H7" s="66"/>
    </row>
    <row r="8" ht="15" customHeight="1" spans="1:8">
      <c r="A8" s="69">
        <v>2</v>
      </c>
      <c r="B8" s="70" t="s">
        <v>265</v>
      </c>
      <c r="C8" s="71"/>
      <c r="D8" s="68" t="s">
        <v>222</v>
      </c>
      <c r="E8" s="69" t="s">
        <v>258</v>
      </c>
      <c r="F8" s="69" t="s">
        <v>539</v>
      </c>
      <c r="G8" s="70"/>
      <c r="H8" s="71"/>
    </row>
    <row r="9" ht="15" customHeight="1" spans="1:8">
      <c r="A9" s="64">
        <v>3</v>
      </c>
      <c r="B9" s="65" t="s">
        <v>266</v>
      </c>
      <c r="C9" s="66"/>
      <c r="D9" s="72" t="s">
        <v>156</v>
      </c>
      <c r="E9" s="64" t="s">
        <v>258</v>
      </c>
      <c r="F9" s="64" t="s">
        <v>539</v>
      </c>
      <c r="G9" s="65"/>
      <c r="H9" s="66"/>
    </row>
    <row r="10" ht="15" customHeight="1" spans="1:8">
      <c r="A10" s="69">
        <v>4</v>
      </c>
      <c r="B10" s="70" t="s">
        <v>267</v>
      </c>
      <c r="C10" s="71"/>
      <c r="D10" s="67" t="s">
        <v>89</v>
      </c>
      <c r="E10" s="69" t="s">
        <v>258</v>
      </c>
      <c r="F10" s="69" t="s">
        <v>539</v>
      </c>
      <c r="G10" s="70"/>
      <c r="H10" s="71"/>
    </row>
    <row r="11" ht="15" customHeight="1" spans="1:8">
      <c r="A11" s="64">
        <v>5</v>
      </c>
      <c r="B11" s="65" t="s">
        <v>268</v>
      </c>
      <c r="C11" s="66"/>
      <c r="D11" s="67" t="s">
        <v>89</v>
      </c>
      <c r="E11" s="64" t="s">
        <v>258</v>
      </c>
      <c r="F11" s="64" t="s">
        <v>539</v>
      </c>
      <c r="G11" s="65"/>
      <c r="H11" s="66"/>
    </row>
    <row r="12" ht="15" customHeight="1" spans="1:8">
      <c r="A12" s="69">
        <v>6</v>
      </c>
      <c r="B12" s="70" t="s">
        <v>269</v>
      </c>
      <c r="C12" s="71"/>
      <c r="D12" s="67" t="s">
        <v>89</v>
      </c>
      <c r="E12" s="69" t="s">
        <v>258</v>
      </c>
      <c r="F12" s="69" t="s">
        <v>539</v>
      </c>
      <c r="G12" s="70"/>
      <c r="H12" s="71"/>
    </row>
    <row r="13" ht="15" customHeight="1" spans="1:8">
      <c r="A13" s="64">
        <v>7</v>
      </c>
      <c r="B13" s="65" t="s">
        <v>271</v>
      </c>
      <c r="C13" s="66"/>
      <c r="D13" s="73" t="s">
        <v>272</v>
      </c>
      <c r="E13" s="64" t="s">
        <v>258</v>
      </c>
      <c r="F13" s="64" t="s">
        <v>562</v>
      </c>
      <c r="G13" s="65"/>
      <c r="H13" s="66"/>
    </row>
    <row r="14" ht="15" customHeight="1" spans="1:8">
      <c r="A14" s="69">
        <v>8</v>
      </c>
      <c r="B14" s="70" t="s">
        <v>273</v>
      </c>
      <c r="C14" s="71"/>
      <c r="D14" s="67" t="s">
        <v>89</v>
      </c>
      <c r="E14" s="69" t="s">
        <v>258</v>
      </c>
      <c r="F14" s="69" t="s">
        <v>540</v>
      </c>
      <c r="G14" s="70"/>
      <c r="H14" s="71"/>
    </row>
    <row r="15" ht="15" customHeight="1" spans="1:8">
      <c r="A15" s="64">
        <v>9</v>
      </c>
      <c r="B15" s="65" t="s">
        <v>274</v>
      </c>
      <c r="C15" s="66"/>
      <c r="D15" s="67" t="s">
        <v>89</v>
      </c>
      <c r="E15" s="64" t="s">
        <v>258</v>
      </c>
      <c r="F15" s="64" t="s">
        <v>540</v>
      </c>
      <c r="G15" s="65"/>
      <c r="H15" s="66"/>
    </row>
    <row r="16" ht="15" customHeight="1" spans="1:8">
      <c r="A16" s="69">
        <v>10</v>
      </c>
      <c r="B16" s="70" t="s">
        <v>275</v>
      </c>
      <c r="C16" s="71"/>
      <c r="D16" s="67" t="s">
        <v>89</v>
      </c>
      <c r="E16" s="69" t="s">
        <v>258</v>
      </c>
      <c r="F16" s="69" t="s">
        <v>540</v>
      </c>
      <c r="G16" s="70"/>
      <c r="H16" s="71"/>
    </row>
    <row r="17" ht="15" customHeight="1" spans="1:8">
      <c r="A17" s="64">
        <v>11</v>
      </c>
      <c r="B17" s="65" t="s">
        <v>276</v>
      </c>
      <c r="C17" s="66"/>
      <c r="D17" s="67" t="s">
        <v>89</v>
      </c>
      <c r="E17" s="64" t="s">
        <v>258</v>
      </c>
      <c r="F17" s="64" t="s">
        <v>540</v>
      </c>
      <c r="G17" s="65"/>
      <c r="H17" s="66"/>
    </row>
    <row r="18" ht="19.5" customHeight="1" spans="1:8">
      <c r="A18" s="74" t="s">
        <v>565</v>
      </c>
      <c r="B18" s="74"/>
      <c r="C18" s="74"/>
      <c r="D18" s="74"/>
      <c r="E18" s="74"/>
      <c r="F18" s="74"/>
      <c r="G18" s="74"/>
      <c r="H18" s="74"/>
    </row>
    <row r="19" ht="15" customHeight="1" spans="1:8">
      <c r="A19" s="69">
        <v>1</v>
      </c>
      <c r="B19" s="70" t="s">
        <v>277</v>
      </c>
      <c r="C19" s="71"/>
      <c r="D19" s="67" t="s">
        <v>89</v>
      </c>
      <c r="E19" s="69" t="s">
        <v>258</v>
      </c>
      <c r="F19" s="69" t="s">
        <v>542</v>
      </c>
      <c r="G19" s="70"/>
      <c r="H19" s="71"/>
    </row>
    <row r="20" ht="15" customHeight="1" spans="1:8">
      <c r="A20" s="64">
        <v>2</v>
      </c>
      <c r="B20" s="65" t="s">
        <v>134</v>
      </c>
      <c r="C20" s="66"/>
      <c r="D20" s="67" t="s">
        <v>89</v>
      </c>
      <c r="E20" s="64" t="s">
        <v>136</v>
      </c>
      <c r="F20" s="64" t="s">
        <v>542</v>
      </c>
      <c r="G20" s="65"/>
      <c r="H20" s="66" t="s">
        <v>137</v>
      </c>
    </row>
    <row r="21" ht="19.5" customHeight="1" spans="1:8">
      <c r="A21" s="75" t="s">
        <v>566</v>
      </c>
      <c r="B21" s="75"/>
      <c r="C21" s="75"/>
      <c r="D21" s="75"/>
      <c r="E21" s="75"/>
      <c r="F21" s="75"/>
      <c r="G21" s="75"/>
      <c r="H21" s="75"/>
    </row>
    <row r="22" ht="15" customHeight="1" spans="1:8">
      <c r="A22" s="69">
        <v>1</v>
      </c>
      <c r="B22" s="70" t="s">
        <v>278</v>
      </c>
      <c r="C22" s="71"/>
      <c r="D22" s="68" t="s">
        <v>222</v>
      </c>
      <c r="E22" s="69" t="s">
        <v>258</v>
      </c>
      <c r="F22" s="69"/>
      <c r="G22" s="70"/>
      <c r="H22" s="71"/>
    </row>
  </sheetData>
  <mergeCells count="5">
    <mergeCell ref="A3:H3"/>
    <mergeCell ref="A6:H6"/>
    <mergeCell ref="A18:H18"/>
    <mergeCell ref="A21:H21"/>
    <mergeCell ref="A1:H2"/>
  </mergeCells>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showGridLines="0" workbookViewId="0">
      <pane ySplit="5" topLeftCell="A6" activePane="bottomLeft" state="frozen"/>
      <selection/>
      <selection pane="bottomLeft" activeCell="A1" sqref="A1:H2"/>
    </sheetView>
  </sheetViews>
  <sheetFormatPr defaultColWidth="8.6796875" defaultRowHeight="16.8" outlineLevelRow="6" outlineLevelCol="7"/>
  <cols>
    <col min="1" max="1" width="3" customWidth="1"/>
    <col min="2" max="2" width="26" customWidth="1"/>
    <col min="3" max="3" width="44" customWidth="1"/>
    <col min="4" max="4" width="20" customWidth="1"/>
    <col min="5" max="5" width="14" customWidth="1"/>
    <col min="6" max="6" width="13" customWidth="1"/>
    <col min="7" max="7" width="14" customWidth="1"/>
    <col min="8" max="8" width="32" customWidth="1"/>
  </cols>
  <sheetData>
    <row r="1" ht="21.75" customHeight="1" spans="1:8">
      <c r="A1" s="1" t="s">
        <v>567</v>
      </c>
      <c r="B1" s="1"/>
      <c r="C1" s="1"/>
      <c r="D1" s="1"/>
      <c r="E1" s="1"/>
      <c r="F1" s="1"/>
      <c r="G1" s="1"/>
      <c r="H1" s="1"/>
    </row>
    <row r="2" ht="21.75" customHeight="1" spans="1:8">
      <c r="A2" s="1"/>
      <c r="B2" s="1"/>
      <c r="C2" s="1"/>
      <c r="D2" s="1"/>
      <c r="E2" s="1"/>
      <c r="F2" s="1"/>
      <c r="G2" s="1"/>
      <c r="H2" s="1"/>
    </row>
    <row r="3" ht="13.5" customHeight="1" spans="1:8">
      <c r="A3" s="61" t="s">
        <v>530</v>
      </c>
      <c r="B3" s="61"/>
      <c r="C3" s="61"/>
      <c r="D3" s="61"/>
      <c r="E3" s="61"/>
      <c r="F3" s="61"/>
      <c r="G3" s="61"/>
      <c r="H3" s="61"/>
    </row>
    <row r="4" ht="6" customHeight="1"/>
    <row r="5" ht="21.75" customHeight="1" spans="1:8">
      <c r="A5" s="62" t="s">
        <v>531</v>
      </c>
      <c r="B5" s="62" t="s">
        <v>1</v>
      </c>
      <c r="C5" s="62" t="s">
        <v>2</v>
      </c>
      <c r="D5" s="62" t="s">
        <v>5</v>
      </c>
      <c r="E5" s="62" t="s">
        <v>532</v>
      </c>
      <c r="F5" s="62" t="s">
        <v>8</v>
      </c>
      <c r="G5" s="62" t="s">
        <v>9</v>
      </c>
      <c r="H5" s="62" t="s">
        <v>6</v>
      </c>
    </row>
    <row r="6" ht="19.5" customHeight="1" spans="1:8">
      <c r="A6" s="63" t="s">
        <v>557</v>
      </c>
      <c r="B6" s="63"/>
      <c r="C6" s="63"/>
      <c r="D6" s="63"/>
      <c r="E6" s="63"/>
      <c r="F6" s="63"/>
      <c r="G6" s="63"/>
      <c r="H6" s="63"/>
    </row>
    <row r="7" ht="15" customHeight="1" spans="1:8">
      <c r="A7" s="64">
        <v>1</v>
      </c>
      <c r="B7" s="65" t="s">
        <v>384</v>
      </c>
      <c r="C7" s="66"/>
      <c r="D7" s="67" t="s">
        <v>89</v>
      </c>
      <c r="E7" s="64" t="s">
        <v>258</v>
      </c>
      <c r="F7" s="64" t="s">
        <v>540</v>
      </c>
      <c r="G7" s="65"/>
      <c r="H7" s="66" t="s">
        <v>385</v>
      </c>
    </row>
  </sheetData>
  <mergeCells count="3">
    <mergeCell ref="A3:H3"/>
    <mergeCell ref="A6:H6"/>
    <mergeCell ref="A1:H2"/>
  </mergeCells>
  <pageMargins left="0.75" right="0.75" top="1" bottom="1"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showGridLines="0" zoomScale="140" zoomScaleNormal="140" workbookViewId="0">
      <selection activeCell="A10" sqref="A10"/>
    </sheetView>
  </sheetViews>
  <sheetFormatPr defaultColWidth="8.6796875" defaultRowHeight="16.8"/>
  <cols>
    <col min="1" max="1" width="16" customWidth="1"/>
    <col min="2" max="10" width="14" customWidth="1"/>
  </cols>
  <sheetData>
    <row r="1" ht="21.75" customHeight="1" spans="1:11">
      <c r="A1" s="1" t="s">
        <v>568</v>
      </c>
      <c r="B1" s="1"/>
      <c r="C1" s="1"/>
      <c r="D1" s="1"/>
      <c r="E1" s="1"/>
      <c r="F1" s="1"/>
      <c r="G1" s="1"/>
      <c r="H1" s="1"/>
      <c r="I1" s="1"/>
      <c r="J1" s="1"/>
      <c r="K1" s="1"/>
    </row>
    <row r="2" ht="21.75" customHeight="1" spans="1:11">
      <c r="A2" s="1"/>
      <c r="B2" s="1"/>
      <c r="C2" s="1"/>
      <c r="D2" s="1"/>
      <c r="E2" s="1"/>
      <c r="F2" s="1"/>
      <c r="G2" s="1"/>
      <c r="H2" s="1"/>
      <c r="I2" s="1"/>
      <c r="J2" s="1"/>
      <c r="K2" s="1"/>
    </row>
    <row r="3" ht="15.75" customHeight="1" spans="1:11">
      <c r="A3" s="2" t="s">
        <v>569</v>
      </c>
      <c r="B3" s="2"/>
      <c r="C3" s="2"/>
      <c r="D3" s="2"/>
      <c r="E3" s="2"/>
      <c r="F3" s="2"/>
      <c r="G3" s="2"/>
      <c r="H3" s="2"/>
      <c r="I3" s="2"/>
      <c r="J3" s="2"/>
      <c r="K3" s="2"/>
    </row>
    <row r="4" ht="27.75" customHeight="1" spans="1:11">
      <c r="A4" s="3" t="s">
        <v>532</v>
      </c>
      <c r="B4" s="4" t="s">
        <v>519</v>
      </c>
      <c r="C4" s="4" t="s">
        <v>521</v>
      </c>
      <c r="D4" s="4" t="s">
        <v>523</v>
      </c>
      <c r="E4" s="4" t="s">
        <v>524</v>
      </c>
      <c r="F4" s="4" t="s">
        <v>525</v>
      </c>
      <c r="G4" s="4" t="s">
        <v>13</v>
      </c>
      <c r="H4" s="4" t="s">
        <v>135</v>
      </c>
      <c r="I4" s="4" t="s">
        <v>382</v>
      </c>
      <c r="J4" s="5" t="s">
        <v>570</v>
      </c>
    </row>
    <row r="5" ht="18" customHeight="1" spans="1:11">
      <c r="A5" s="6" t="s">
        <v>14</v>
      </c>
      <c r="B5" s="7">
        <f>COUNTIFS(Helper!$B:$B,"Milestone 1",Helper!$A:$A,"iWork",Helper!$E:$E,"Pending")</f>
        <v>0</v>
      </c>
      <c r="C5" s="7">
        <f>COUNTIFS(Helper!$B:$B,"Milestone 1",Helper!$A:$A,"iWork - CR",Helper!$E:$E,"Pending")</f>
        <v>0</v>
      </c>
      <c r="D5" s="7">
        <f>COUNTIFS(Helper!$B:$B,"Milestone 1",Helper!$A:$A,"IBP",Helper!$E:$E,"Pending")</f>
        <v>0</v>
      </c>
      <c r="E5" s="7">
        <f>COUNTIFS(Helper!$B:$B,"Milestone 1",Helper!$A:$A,"IBP - CR",Helper!$E:$E,"Pending")</f>
        <v>0</v>
      </c>
      <c r="F5" s="7">
        <f>COUNTIFS(Helper!$B:$B,"Milestone 1",Helper!$A:$A,"IBP/iWork",Helper!$E:$E,"Pending")</f>
        <v>0</v>
      </c>
      <c r="G5" s="7">
        <f>COUNTIFS(Helper!$B:$B,"Milestone 1",Helper!$A:$A,"Framework",Helper!$E:$E,"Pending")</f>
        <v>0</v>
      </c>
      <c r="H5" s="7">
        <f>COUNTIFS(Helper!$B:$B,"Milestone 1",Helper!$A:$A,"DPDP",Helper!$E:$E,"Pending")</f>
        <v>0</v>
      </c>
      <c r="I5" s="7">
        <f>COUNTIFS(Helper!$B:$B,"Milestone 1",Helper!$A:$A,"NFR",Helper!$E:$E,"Pending")</f>
        <v>0</v>
      </c>
      <c r="J5" s="8">
        <f t="shared" ref="J5:J10" si="0">SUM(B5:I5)</f>
        <v>0</v>
      </c>
    </row>
    <row r="6" ht="18" customHeight="1" spans="1:11">
      <c r="A6" s="6" t="s">
        <v>64</v>
      </c>
      <c r="B6" s="9">
        <f>COUNTIFS(Helper!$B:$B,"Milestone 2",Helper!$A:$A,"iWork",Helper!$E:$E,"Pending")</f>
        <v>1</v>
      </c>
      <c r="C6" s="7">
        <f>COUNTIFS(Helper!$B:$B,"Milestone 2",Helper!$A:$A,"iWork - CR",Helper!$E:$E,"Pending")</f>
        <v>0</v>
      </c>
      <c r="D6" s="7">
        <f>COUNTIFS(Helper!$B:$B,"Milestone 2",Helper!$A:$A,"IBP",Helper!$E:$E,"Pending")</f>
        <v>0</v>
      </c>
      <c r="E6" s="7">
        <f>COUNTIFS(Helper!$B:$B,"Milestone 2",Helper!$A:$A,"IBP - CR",Helper!$E:$E,"Pending")</f>
        <v>0</v>
      </c>
      <c r="F6" s="7">
        <f>COUNTIFS(Helper!$B:$B,"Milestone 2",Helper!$A:$A,"IBP/iWork",Helper!$E:$E,"Pending")</f>
        <v>0</v>
      </c>
      <c r="G6" s="9">
        <f>COUNTIFS(Helper!$B:$B,"Milestone 2",Helper!$A:$A,"Framework",Helper!$E:$E,"Pending")</f>
        <v>2</v>
      </c>
      <c r="H6" s="7">
        <f>COUNTIFS(Helper!$B:$B,"Milestone 2",Helper!$A:$A,"DPDP",Helper!$E:$E,"Pending")</f>
        <v>0</v>
      </c>
      <c r="I6" s="7">
        <f>COUNTIFS(Helper!$B:$B,"Milestone 2",Helper!$A:$A,"NFR",Helper!$E:$E,"Pending")</f>
        <v>0</v>
      </c>
      <c r="J6" s="8">
        <f t="shared" si="0"/>
        <v>3</v>
      </c>
    </row>
    <row r="7" ht="18" customHeight="1" spans="1:11">
      <c r="A7" s="6" t="s">
        <v>119</v>
      </c>
      <c r="B7" s="9">
        <f>COUNTIFS(Helper!$B:$B,"Milestone 3",Helper!$A:$A,"iWork",Helper!$E:$E,"Pending")</f>
        <v>2</v>
      </c>
      <c r="C7" s="7">
        <f>COUNTIFS(Helper!$B:$B,"Milestone 3",Helper!$A:$A,"iWork - CR",Helper!$E:$E,"Pending")</f>
        <v>0</v>
      </c>
      <c r="D7" s="9">
        <f>COUNTIFS(Helper!$B:$B,"Milestone 3",Helper!$A:$A,"IBP",Helper!$E:$E,"Pending")</f>
        <v>0</v>
      </c>
      <c r="E7" s="7">
        <f>COUNTIFS(Helper!$B:$B,"Milestone 3",Helper!$A:$A,"IBP - CR",Helper!$E:$E,"Pending")</f>
        <v>0</v>
      </c>
      <c r="F7" s="7">
        <f>COUNTIFS(Helper!$B:$B,"Milestone 3",Helper!$A:$A,"IBP/iWork",Helper!$E:$E,"Pending")</f>
        <v>0</v>
      </c>
      <c r="G7" s="7">
        <f>COUNTIFS(Helper!$B:$B,"Milestone 3",Helper!$A:$A,"Framework",Helper!$E:$E,"Pending")</f>
        <v>0</v>
      </c>
      <c r="H7" s="7">
        <f>COUNTIFS(Helper!$B:$B,"Milestone 3",Helper!$A:$A,"DPDP",Helper!$E:$E,"Pending")</f>
        <v>0</v>
      </c>
      <c r="I7" s="7">
        <f>COUNTIFS(Helper!$B:$B,"Milestone 3",Helper!$A:$A,"NFR",Helper!$E:$E,"Pending")</f>
        <v>0</v>
      </c>
      <c r="J7" s="8">
        <f t="shared" si="0"/>
        <v>2</v>
      </c>
    </row>
    <row r="8" ht="18" customHeight="1" spans="1:11">
      <c r="A8" s="6" t="s">
        <v>136</v>
      </c>
      <c r="B8" s="9">
        <f>COUNTIFS(Helper!$B:$B,"Milestone 4",Helper!$A:$A,"iWork",Helper!$E:$E,"Pending")</f>
        <v>4</v>
      </c>
      <c r="C8" s="7">
        <f>COUNTIFS(Helper!$B:$B,"Milestone 4",Helper!$A:$A,"iWork - CR",Helper!$E:$E,"Pending")</f>
        <v>0</v>
      </c>
      <c r="D8" s="9">
        <f>COUNTIFS(Helper!$B:$B,"Milestone 4",Helper!$A:$A,"IBP",Helper!$E:$E,"Pending")</f>
        <v>5</v>
      </c>
      <c r="E8" s="7">
        <f>COUNTIFS(Helper!$B:$B,"Milestone 4",Helper!$A:$A,"IBP - CR",Helper!$E:$E,"Pending")</f>
        <v>0</v>
      </c>
      <c r="F8" s="9">
        <f>COUNTIFS(Helper!$B:$B,"Milestone 4",Helper!$A:$A,"IBP/iWork",Helper!$E:$E,"Pending")</f>
        <v>3</v>
      </c>
      <c r="G8" s="9">
        <f>COUNTIFS(Helper!$B:$B,"Milestone 4",Helper!$A:$A,"Framework",Helper!$E:$E,"Pending")</f>
        <v>4</v>
      </c>
      <c r="H8" s="7">
        <f>COUNTIFS(Helper!$B:$B,"Milestone 4",Helper!$A:$A,"DPDP",Helper!$E:$E,"Pending")</f>
        <v>1</v>
      </c>
      <c r="I8" s="7">
        <f>COUNTIFS(Helper!$B:$B,"Milestone 4",Helper!$A:$A,"NFR",Helper!$E:$E,"Pending")</f>
        <v>0</v>
      </c>
      <c r="J8" s="8">
        <f t="shared" si="0"/>
        <v>17</v>
      </c>
    </row>
    <row r="9" ht="18" customHeight="1" spans="1:11">
      <c r="A9" s="6" t="s">
        <v>258</v>
      </c>
      <c r="B9" s="9">
        <f>COUNTIFS(Helper!$B:$B,"Milestone 5",Helper!$A:$A,"iWork",Helper!$E:$E,"Pending")</f>
        <v>6</v>
      </c>
      <c r="C9" s="7">
        <f>COUNTIFS(Helper!$B:$B,"Milestone 5",Helper!$A:$A,"iWork - CR",Helper!$E:$E,"Pending")</f>
        <v>0</v>
      </c>
      <c r="D9" s="9">
        <f>COUNTIFS(Helper!$B:$B,"Milestone 5",Helper!$A:$A,"IBP",Helper!$E:$E,"Pending")</f>
        <v>24</v>
      </c>
      <c r="E9" s="7">
        <f>COUNTIFS(Helper!$B:$B,"Milestone 5",Helper!$A:$A,"IBP - CR",Helper!$E:$E,"Pending")</f>
        <v>0</v>
      </c>
      <c r="F9" s="9">
        <f>COUNTIFS(Helper!$B:$B,"Milestone 5",Helper!$A:$A,"IBP/iWork",Helper!$E:$E,"Pending")</f>
        <v>4</v>
      </c>
      <c r="G9" s="7">
        <f>COUNTIFS(Helper!$B:$B,"Milestone 5",Helper!$A:$A,"Framework",Helper!$E:$E,"Pending")</f>
        <v>0</v>
      </c>
      <c r="H9" s="9">
        <f>COUNTIFS(Helper!$B:$B,"Milestone 5",Helper!$A:$A,"DPDP",Helper!$E:$E,"Pending")</f>
        <v>13</v>
      </c>
      <c r="I9" s="9">
        <f>COUNTIFS(Helper!$B:$B,"Milestone 5",Helper!$A:$A,"NFR",Helper!$E:$E,"Pending")</f>
        <v>1</v>
      </c>
      <c r="J9" s="8">
        <f t="shared" si="0"/>
        <v>48</v>
      </c>
    </row>
    <row r="10" ht="18" customHeight="1" spans="1:11">
      <c r="A10" s="6" t="s">
        <v>388</v>
      </c>
      <c r="B10" s="9">
        <f>COUNTIFS(Helper!$B:$B,"Milestone 6",Helper!$A:$A,"iWork",Helper!$E:$E,"Pending")</f>
        <v>8</v>
      </c>
      <c r="C10" s="9">
        <f>COUNTIFS(Helper!$B:$B,"Milestone 6",Helper!$A:$A,"iWork - CR",Helper!$E:$E,"Pending")</f>
        <v>5</v>
      </c>
      <c r="D10" s="9">
        <f>COUNTIFS(Helper!$B:$B,"Milestone 6",Helper!$A:$A,"IBP",Helper!$E:$E,"Pending")</f>
        <v>1</v>
      </c>
      <c r="E10" s="9">
        <f>COUNTIFS(Helper!$B:$B,"Milestone 6",Helper!$A:$A,"IBP - CR",Helper!$E:$E,"Pending")</f>
        <v>1</v>
      </c>
      <c r="F10" s="9">
        <f>COUNTIFS(Helper!$B:$B,"Milestone 6",Helper!$A:$A,"IBP/iWork",Helper!$E:$E,"Pending")</f>
        <v>1</v>
      </c>
      <c r="G10" s="7">
        <f>COUNTIFS(Helper!$B:$B,"Milestone 6",Helper!$A:$A,"Framework",Helper!$E:$E,"Pending")</f>
        <v>0</v>
      </c>
      <c r="H10" s="7">
        <f>COUNTIFS(Helper!$B:$B,"Milestone 6",Helper!$A:$A,"DPDP",Helper!$E:$E,"Pending")</f>
        <v>0</v>
      </c>
      <c r="I10" s="7">
        <f>COUNTIFS(Helper!$B:$B,"Milestone 6",Helper!$A:$A,"NFR",Helper!$E:$E,"Pending")</f>
        <v>0</v>
      </c>
      <c r="J10" s="8">
        <f t="shared" si="0"/>
        <v>16</v>
      </c>
    </row>
    <row r="11" ht="19.5" customHeight="1" spans="1:11">
      <c r="A11" s="10" t="s">
        <v>526</v>
      </c>
      <c r="B11" s="11">
        <f t="shared" ref="B11:J11" si="1">SUM(B5:B10)</f>
        <v>21</v>
      </c>
      <c r="C11" s="11">
        <f t="shared" si="1"/>
        <v>5</v>
      </c>
      <c r="D11" s="11">
        <f t="shared" si="1"/>
        <v>30</v>
      </c>
      <c r="E11" s="11">
        <f t="shared" si="1"/>
        <v>1</v>
      </c>
      <c r="F11" s="11">
        <f t="shared" si="1"/>
        <v>8</v>
      </c>
      <c r="G11" s="11">
        <f t="shared" si="1"/>
        <v>6</v>
      </c>
      <c r="H11" s="11">
        <f t="shared" si="1"/>
        <v>14</v>
      </c>
      <c r="I11" s="11">
        <f t="shared" si="1"/>
        <v>1</v>
      </c>
      <c r="J11" s="11">
        <f t="shared" si="1"/>
        <v>86</v>
      </c>
    </row>
  </sheetData>
  <mergeCells count="2">
    <mergeCell ref="A3:K3"/>
    <mergeCell ref="A1:K2"/>
  </mergeCells>
  <pageMargins left="0.75" right="0.75" top="1" bottom="1" header="0.511811023622047" footer="0.511811023622047"/>
  <pageSetup paperSize="9"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1"/>
  <sheetViews>
    <sheetView workbookViewId="0">
      <selection activeCell="A1" sqref="A1"/>
    </sheetView>
  </sheetViews>
  <sheetFormatPr defaultColWidth="8.6796875" defaultRowHeight="16.8" outlineLevelCol="4"/>
  <sheetData>
    <row r="1" ht="15" customHeight="1" spans="1:5">
      <c r="A1" t="s">
        <v>3</v>
      </c>
      <c r="B1" t="s">
        <v>4</v>
      </c>
      <c r="C1" t="s">
        <v>5</v>
      </c>
      <c r="D1" t="s">
        <v>571</v>
      </c>
      <c r="E1" t="s">
        <v>572</v>
      </c>
    </row>
    <row r="2" ht="15" customHeight="1" spans="1:5">
      <c r="A2" t="str">
        <f>'iWork,IBP &amp; Framework_SOW Items'!D2</f>
        <v>Framework</v>
      </c>
      <c r="B2" t="str">
        <f>'iWork,IBP &amp; Framework_SOW Items'!E2</f>
        <v>Milestone 1</v>
      </c>
      <c r="C2" t="str">
        <f>'iWork,IBP &amp; Framework_SOW Items'!F2</f>
        <v>Delivered</v>
      </c>
      <c r="D2" t="str">
        <f>IFERROR(VLOOKUP(C2,Config!$A:$B,2,0),"Unknown")</f>
        <v>Delivered</v>
      </c>
      <c r="E2" t="str">
        <f>IFERROR(VLOOKUP(C2,Config!$A:$C,3,0),"N/A")</f>
        <v>Delivered</v>
      </c>
    </row>
    <row r="3" ht="15" customHeight="1" spans="1:5">
      <c r="A3" t="str">
        <f>'iWork,IBP &amp; Framework_SOW Items'!D3</f>
        <v>Framework</v>
      </c>
      <c r="B3" t="str">
        <f>'iWork,IBP &amp; Framework_SOW Items'!E3</f>
        <v>Milestone 1</v>
      </c>
      <c r="C3" t="str">
        <f>'iWork,IBP &amp; Framework_SOW Items'!F3</f>
        <v>Delivered</v>
      </c>
      <c r="D3" t="str">
        <f>IFERROR(VLOOKUP(C3,Config!$A:$B,2,0),"Unknown")</f>
        <v>Delivered</v>
      </c>
      <c r="E3" t="str">
        <f>IFERROR(VLOOKUP(C3,Config!$A:$C,3,0),"N/A")</f>
        <v>Delivered</v>
      </c>
    </row>
    <row r="4" ht="15" customHeight="1" spans="1:5">
      <c r="A4" t="str">
        <f>'iWork,IBP &amp; Framework_SOW Items'!D4</f>
        <v>Framework</v>
      </c>
      <c r="B4" t="str">
        <f>'iWork,IBP &amp; Framework_SOW Items'!E4</f>
        <v>Milestone 1</v>
      </c>
      <c r="C4" t="str">
        <f>'iWork,IBP &amp; Framework_SOW Items'!F4</f>
        <v>Delivered</v>
      </c>
      <c r="D4" t="str">
        <f>IFERROR(VLOOKUP(C4,Config!$A:$B,2,0),"Unknown")</f>
        <v>Delivered</v>
      </c>
      <c r="E4" t="str">
        <f>IFERROR(VLOOKUP(C4,Config!$A:$C,3,0),"N/A")</f>
        <v>Delivered</v>
      </c>
    </row>
    <row r="5" ht="15" customHeight="1" spans="1:5">
      <c r="A5" t="str">
        <f>'iWork,IBP &amp; Framework_SOW Items'!D5</f>
        <v>Framework</v>
      </c>
      <c r="B5" t="str">
        <f>'iWork,IBP &amp; Framework_SOW Items'!E5</f>
        <v>Milestone 1</v>
      </c>
      <c r="C5" t="str">
        <f>'iWork,IBP &amp; Framework_SOW Items'!F5</f>
        <v>Delivered</v>
      </c>
      <c r="D5" t="str">
        <f>IFERROR(VLOOKUP(C5,Config!$A:$B,2,0),"Unknown")</f>
        <v>Delivered</v>
      </c>
      <c r="E5" t="str">
        <f>IFERROR(VLOOKUP(C5,Config!$A:$C,3,0),"N/A")</f>
        <v>Delivered</v>
      </c>
    </row>
    <row r="6" ht="15" customHeight="1" spans="1:5">
      <c r="A6" t="str">
        <f>'iWork,IBP &amp; Framework_SOW Items'!D6</f>
        <v>Framework</v>
      </c>
      <c r="B6" t="str">
        <f>'iWork,IBP &amp; Framework_SOW Items'!E6</f>
        <v>Milestone 1</v>
      </c>
      <c r="C6" t="str">
        <f>'iWork,IBP &amp; Framework_SOW Items'!F6</f>
        <v>Delivered</v>
      </c>
      <c r="D6" t="str">
        <f>IFERROR(VLOOKUP(C6,Config!$A:$B,2,0),"Unknown")</f>
        <v>Delivered</v>
      </c>
      <c r="E6" t="str">
        <f>IFERROR(VLOOKUP(C6,Config!$A:$C,3,0),"N/A")</f>
        <v>Delivered</v>
      </c>
    </row>
    <row r="7" ht="15" customHeight="1" spans="1:5">
      <c r="A7" t="str">
        <f>'iWork,IBP &amp; Framework_SOW Items'!D7</f>
        <v>Framework</v>
      </c>
      <c r="B7" t="str">
        <f>'iWork,IBP &amp; Framework_SOW Items'!E7</f>
        <v>Milestone 1</v>
      </c>
      <c r="C7" t="str">
        <f>'iWork,IBP &amp; Framework_SOW Items'!F7</f>
        <v>Delivered</v>
      </c>
      <c r="D7" t="str">
        <f>IFERROR(VLOOKUP(C7,Config!$A:$B,2,0),"Unknown")</f>
        <v>Delivered</v>
      </c>
      <c r="E7" t="str">
        <f>IFERROR(VLOOKUP(C7,Config!$A:$C,3,0),"N/A")</f>
        <v>Delivered</v>
      </c>
    </row>
    <row r="8" ht="15" customHeight="1" spans="1:5">
      <c r="A8" t="str">
        <f>'iWork,IBP &amp; Framework_SOW Items'!D8</f>
        <v>Framework</v>
      </c>
      <c r="B8" t="str">
        <f>'iWork,IBP &amp; Framework_SOW Items'!E8</f>
        <v>Milestone 1</v>
      </c>
      <c r="C8" t="str">
        <f>'iWork,IBP &amp; Framework_SOW Items'!F8</f>
        <v>Delivered</v>
      </c>
      <c r="D8" t="str">
        <f>IFERROR(VLOOKUP(C8,Config!$A:$B,2,0),"Unknown")</f>
        <v>Delivered</v>
      </c>
      <c r="E8" t="str">
        <f>IFERROR(VLOOKUP(C8,Config!$A:$C,3,0),"N/A")</f>
        <v>Delivered</v>
      </c>
    </row>
    <row r="9" ht="15" customHeight="1" spans="1:5">
      <c r="A9" t="str">
        <f>'iWork,IBP &amp; Framework_SOW Items'!D9</f>
        <v>Framework</v>
      </c>
      <c r="B9" t="str">
        <f>'iWork,IBP &amp; Framework_SOW Items'!E9</f>
        <v>Milestone 1</v>
      </c>
      <c r="C9" t="str">
        <f>'iWork,IBP &amp; Framework_SOW Items'!F9</f>
        <v>Delivered</v>
      </c>
      <c r="D9" t="str">
        <f>IFERROR(VLOOKUP(C9,Config!$A:$B,2,0),"Unknown")</f>
        <v>Delivered</v>
      </c>
      <c r="E9" t="str">
        <f>IFERROR(VLOOKUP(C9,Config!$A:$C,3,0),"N/A")</f>
        <v>Delivered</v>
      </c>
    </row>
    <row r="10" ht="15" customHeight="1" spans="1:5">
      <c r="A10" t="str">
        <f>'iWork,IBP &amp; Framework_SOW Items'!D10</f>
        <v>Framework</v>
      </c>
      <c r="B10" t="str">
        <f>'iWork,IBP &amp; Framework_SOW Items'!E10</f>
        <v>Milestone 1</v>
      </c>
      <c r="C10" t="str">
        <f>'iWork,IBP &amp; Framework_SOW Items'!F10</f>
        <v>Delivered</v>
      </c>
      <c r="D10" t="str">
        <f>IFERROR(VLOOKUP(C10,Config!$A:$B,2,0),"Unknown")</f>
        <v>Delivered</v>
      </c>
      <c r="E10" t="str">
        <f>IFERROR(VLOOKUP(C10,Config!$A:$C,3,0),"N/A")</f>
        <v>Delivered</v>
      </c>
    </row>
    <row r="11" ht="15" customHeight="1" spans="1:5">
      <c r="A11" t="str">
        <f>'iWork,IBP &amp; Framework_SOW Items'!D11</f>
        <v>Framework</v>
      </c>
      <c r="B11" t="str">
        <f>'iWork,IBP &amp; Framework_SOW Items'!E11</f>
        <v>Milestone 1</v>
      </c>
      <c r="C11" t="str">
        <f>'iWork,IBP &amp; Framework_SOW Items'!F11</f>
        <v>Delivered</v>
      </c>
      <c r="D11" t="str">
        <f>IFERROR(VLOOKUP(C11,Config!$A:$B,2,0),"Unknown")</f>
        <v>Delivered</v>
      </c>
      <c r="E11" t="str">
        <f>IFERROR(VLOOKUP(C11,Config!$A:$C,3,0),"N/A")</f>
        <v>Delivered</v>
      </c>
    </row>
    <row r="12" ht="15" customHeight="1" spans="1:5">
      <c r="A12" t="str">
        <f>'iWork,IBP &amp; Framework_SOW Items'!D12</f>
        <v>Framework</v>
      </c>
      <c r="B12" t="str">
        <f>'iWork,IBP &amp; Framework_SOW Items'!E12</f>
        <v>Milestone 1</v>
      </c>
      <c r="C12" t="str">
        <f>'iWork,IBP &amp; Framework_SOW Items'!F12</f>
        <v>Delivered</v>
      </c>
      <c r="D12" t="str">
        <f>IFERROR(VLOOKUP(C12,Config!$A:$B,2,0),"Unknown")</f>
        <v>Delivered</v>
      </c>
      <c r="E12" t="str">
        <f>IFERROR(VLOOKUP(C12,Config!$A:$C,3,0),"N/A")</f>
        <v>Delivered</v>
      </c>
    </row>
    <row r="13" ht="15" customHeight="1" spans="1:5">
      <c r="A13" t="str">
        <f>'iWork,IBP &amp; Framework_SOW Items'!D13</f>
        <v>Framework</v>
      </c>
      <c r="B13" t="str">
        <f>'iWork,IBP &amp; Framework_SOW Items'!E13</f>
        <v>Milestone 1</v>
      </c>
      <c r="C13" t="str">
        <f>'iWork,IBP &amp; Framework_SOW Items'!F13</f>
        <v>Delivered</v>
      </c>
      <c r="D13" t="str">
        <f>IFERROR(VLOOKUP(C13,Config!$A:$B,2,0),"Unknown")</f>
        <v>Delivered</v>
      </c>
      <c r="E13" t="str">
        <f>IFERROR(VLOOKUP(C13,Config!$A:$C,3,0),"N/A")</f>
        <v>Delivered</v>
      </c>
    </row>
    <row r="14" ht="15" customHeight="1" spans="1:5">
      <c r="A14" t="str">
        <f>'iWork,IBP &amp; Framework_SOW Items'!D14</f>
        <v>Framework</v>
      </c>
      <c r="B14" t="str">
        <f>'iWork,IBP &amp; Framework_SOW Items'!E14</f>
        <v>Milestone 1</v>
      </c>
      <c r="C14" t="str">
        <f>'iWork,IBP &amp; Framework_SOW Items'!F14</f>
        <v>Delivered</v>
      </c>
      <c r="D14" t="str">
        <f>IFERROR(VLOOKUP(C14,Config!$A:$B,2,0),"Unknown")</f>
        <v>Delivered</v>
      </c>
      <c r="E14" t="str">
        <f>IFERROR(VLOOKUP(C14,Config!$A:$C,3,0),"N/A")</f>
        <v>Delivered</v>
      </c>
    </row>
    <row r="15" ht="15" customHeight="1" spans="1:5">
      <c r="A15" t="str">
        <f>'iWork,IBP &amp; Framework_SOW Items'!D15</f>
        <v>iWork</v>
      </c>
      <c r="B15" t="str">
        <f>'iWork,IBP &amp; Framework_SOW Items'!E15</f>
        <v>Milestone 1</v>
      </c>
      <c r="C15" t="str">
        <f>'iWork,IBP &amp; Framework_SOW Items'!F15</f>
        <v>Delivered</v>
      </c>
      <c r="D15" t="str">
        <f>IFERROR(VLOOKUP(C15,Config!$A:$B,2,0),"Unknown")</f>
        <v>Delivered</v>
      </c>
      <c r="E15" t="str">
        <f>IFERROR(VLOOKUP(C15,Config!$A:$C,3,0),"N/A")</f>
        <v>Delivered</v>
      </c>
    </row>
    <row r="16" ht="15" customHeight="1" spans="1:5">
      <c r="A16" t="str">
        <f>'iWork,IBP &amp; Framework_SOW Items'!D16</f>
        <v>iWork</v>
      </c>
      <c r="B16" t="str">
        <f>'iWork,IBP &amp; Framework_SOW Items'!E16</f>
        <v>Milestone 1</v>
      </c>
      <c r="C16" t="str">
        <f>'iWork,IBP &amp; Framework_SOW Items'!F16</f>
        <v>Delivered</v>
      </c>
      <c r="D16" t="str">
        <f>IFERROR(VLOOKUP(C16,Config!$A:$B,2,0),"Unknown")</f>
        <v>Delivered</v>
      </c>
      <c r="E16" t="str">
        <f>IFERROR(VLOOKUP(C16,Config!$A:$C,3,0),"N/A")</f>
        <v>Delivered</v>
      </c>
    </row>
    <row r="17" ht="15" customHeight="1" spans="1:5">
      <c r="A17" t="str">
        <f>'iWork,IBP &amp; Framework_SOW Items'!D17</f>
        <v>iWork</v>
      </c>
      <c r="B17" t="str">
        <f>'iWork,IBP &amp; Framework_SOW Items'!E17</f>
        <v>Milestone 1</v>
      </c>
      <c r="C17" t="str">
        <f>'iWork,IBP &amp; Framework_SOW Items'!F17</f>
        <v>Delivered</v>
      </c>
      <c r="D17" t="str">
        <f>IFERROR(VLOOKUP(C17,Config!$A:$B,2,0),"Unknown")</f>
        <v>Delivered</v>
      </c>
      <c r="E17" t="str">
        <f>IFERROR(VLOOKUP(C17,Config!$A:$C,3,0),"N/A")</f>
        <v>Delivered</v>
      </c>
    </row>
    <row r="18" ht="15" customHeight="1" spans="1:5">
      <c r="A18" t="str">
        <f>'iWork,IBP &amp; Framework_SOW Items'!D18</f>
        <v>iWork</v>
      </c>
      <c r="B18" t="str">
        <f>'iWork,IBP &amp; Framework_SOW Items'!E18</f>
        <v>Milestone 1</v>
      </c>
      <c r="C18" t="str">
        <f>'iWork,IBP &amp; Framework_SOW Items'!F18</f>
        <v>Delivered</v>
      </c>
      <c r="D18" t="str">
        <f>IFERROR(VLOOKUP(C18,Config!$A:$B,2,0),"Unknown")</f>
        <v>Delivered</v>
      </c>
      <c r="E18" t="str">
        <f>IFERROR(VLOOKUP(C18,Config!$A:$C,3,0),"N/A")</f>
        <v>Delivered</v>
      </c>
    </row>
    <row r="19" ht="15" customHeight="1" spans="1:5">
      <c r="A19" t="str">
        <f>'iWork,IBP &amp; Framework_SOW Items'!D19</f>
        <v>iWork</v>
      </c>
      <c r="B19" t="str">
        <f>'iWork,IBP &amp; Framework_SOW Items'!E19</f>
        <v>Milestone 1</v>
      </c>
      <c r="C19" t="str">
        <f>'iWork,IBP &amp; Framework_SOW Items'!F19</f>
        <v>Delivered</v>
      </c>
      <c r="D19" t="str">
        <f>IFERROR(VLOOKUP(C19,Config!$A:$B,2,0),"Unknown")</f>
        <v>Delivered</v>
      </c>
      <c r="E19" t="str">
        <f>IFERROR(VLOOKUP(C19,Config!$A:$C,3,0),"N/A")</f>
        <v>Delivered</v>
      </c>
    </row>
    <row r="20" ht="15" customHeight="1" spans="1:5">
      <c r="A20" t="str">
        <f>'iWork,IBP &amp; Framework_SOW Items'!D20</f>
        <v>iWork</v>
      </c>
      <c r="B20" t="str">
        <f>'iWork,IBP &amp; Framework_SOW Items'!E20</f>
        <v>Milestone 1</v>
      </c>
      <c r="C20" t="str">
        <f>'iWork,IBP &amp; Framework_SOW Items'!F20</f>
        <v>Delivered</v>
      </c>
      <c r="D20" t="str">
        <f>IFERROR(VLOOKUP(C20,Config!$A:$B,2,0),"Unknown")</f>
        <v>Delivered</v>
      </c>
      <c r="E20" t="str">
        <f>IFERROR(VLOOKUP(C20,Config!$A:$C,3,0),"N/A")</f>
        <v>Delivered</v>
      </c>
    </row>
    <row r="21" ht="15" customHeight="1" spans="1:5">
      <c r="A21" t="str">
        <f>'iWork,IBP &amp; Framework_SOW Items'!D21</f>
        <v>iWork</v>
      </c>
      <c r="B21" t="str">
        <f>'iWork,IBP &amp; Framework_SOW Items'!E21</f>
        <v>Milestone 1</v>
      </c>
      <c r="C21" t="str">
        <f>'iWork,IBP &amp; Framework_SOW Items'!F21</f>
        <v>Delivered</v>
      </c>
      <c r="D21" t="str">
        <f>IFERROR(VLOOKUP(C21,Config!$A:$B,2,0),"Unknown")</f>
        <v>Delivered</v>
      </c>
      <c r="E21" t="str">
        <f>IFERROR(VLOOKUP(C21,Config!$A:$C,3,0),"N/A")</f>
        <v>Delivered</v>
      </c>
    </row>
    <row r="22" ht="15" customHeight="1" spans="1:5">
      <c r="A22" t="str">
        <f>'iWork,IBP &amp; Framework_SOW Items'!D22</f>
        <v>iWork</v>
      </c>
      <c r="B22" t="str">
        <f>'iWork,IBP &amp; Framework_SOW Items'!E22</f>
        <v>Milestone 1</v>
      </c>
      <c r="C22" t="str">
        <f>'iWork,IBP &amp; Framework_SOW Items'!F22</f>
        <v>Delivered</v>
      </c>
      <c r="D22" t="str">
        <f>IFERROR(VLOOKUP(C22,Config!$A:$B,2,0),"Unknown")</f>
        <v>Delivered</v>
      </c>
      <c r="E22" t="str">
        <f>IFERROR(VLOOKUP(C22,Config!$A:$C,3,0),"N/A")</f>
        <v>Delivered</v>
      </c>
    </row>
    <row r="23" ht="15" customHeight="1" spans="1:5">
      <c r="A23" t="str">
        <f>'iWork,IBP &amp; Framework_SOW Items'!D23</f>
        <v>iWork</v>
      </c>
      <c r="B23" t="str">
        <f>'iWork,IBP &amp; Framework_SOW Items'!E23</f>
        <v>Milestone 1</v>
      </c>
      <c r="C23" t="str">
        <f>'iWork,IBP &amp; Framework_SOW Items'!F23</f>
        <v>Delivered</v>
      </c>
      <c r="D23" t="str">
        <f>IFERROR(VLOOKUP(C23,Config!$A:$B,2,0),"Unknown")</f>
        <v>Delivered</v>
      </c>
      <c r="E23" t="str">
        <f>IFERROR(VLOOKUP(C23,Config!$A:$C,3,0),"N/A")</f>
        <v>Delivered</v>
      </c>
    </row>
    <row r="24" ht="15" customHeight="1" spans="1:5">
      <c r="A24" t="str">
        <f>'iWork,IBP &amp; Framework_SOW Items'!D24</f>
        <v>iWork</v>
      </c>
      <c r="B24" t="str">
        <f>'iWork,IBP &amp; Framework_SOW Items'!E24</f>
        <v>Milestone 1</v>
      </c>
      <c r="C24" t="str">
        <f>'iWork,IBP &amp; Framework_SOW Items'!F24</f>
        <v>Delivered</v>
      </c>
      <c r="D24" t="str">
        <f>IFERROR(VLOOKUP(C24,Config!$A:$B,2,0),"Unknown")</f>
        <v>Delivered</v>
      </c>
      <c r="E24" t="str">
        <f>IFERROR(VLOOKUP(C24,Config!$A:$C,3,0),"N/A")</f>
        <v>Delivered</v>
      </c>
    </row>
    <row r="25" ht="15" customHeight="1" spans="1:5">
      <c r="A25" t="str">
        <f>'iWork,IBP &amp; Framework_SOW Items'!D25</f>
        <v>iWork</v>
      </c>
      <c r="B25" t="str">
        <f>'iWork,IBP &amp; Framework_SOW Items'!E25</f>
        <v>Milestone 1</v>
      </c>
      <c r="C25" t="str">
        <f>'iWork,IBP &amp; Framework_SOW Items'!F25</f>
        <v>Delivered</v>
      </c>
      <c r="D25" t="str">
        <f>IFERROR(VLOOKUP(C25,Config!$A:$B,2,0),"Unknown")</f>
        <v>Delivered</v>
      </c>
      <c r="E25" t="str">
        <f>IFERROR(VLOOKUP(C25,Config!$A:$C,3,0),"N/A")</f>
        <v>Delivered</v>
      </c>
    </row>
    <row r="26" ht="15" customHeight="1" spans="1:5">
      <c r="A26" t="str">
        <f>'iWork,IBP &amp; Framework_SOW Items'!D26</f>
        <v>iWork</v>
      </c>
      <c r="B26" t="str">
        <f>'iWork,IBP &amp; Framework_SOW Items'!E26</f>
        <v>Milestone 1</v>
      </c>
      <c r="C26" t="str">
        <f>'iWork,IBP &amp; Framework_SOW Items'!F26</f>
        <v>Delivered</v>
      </c>
      <c r="D26" t="str">
        <f>IFERROR(VLOOKUP(C26,Config!$A:$B,2,0),"Unknown")</f>
        <v>Delivered</v>
      </c>
      <c r="E26" t="str">
        <f>IFERROR(VLOOKUP(C26,Config!$A:$C,3,0),"N/A")</f>
        <v>Delivered</v>
      </c>
    </row>
    <row r="27" ht="15" customHeight="1" spans="1:5">
      <c r="A27" t="str">
        <f>'iWork,IBP &amp; Framework_SOW Items'!D27</f>
        <v>iWork</v>
      </c>
      <c r="B27" t="str">
        <f>'iWork,IBP &amp; Framework_SOW Items'!E27</f>
        <v>Milestone 1</v>
      </c>
      <c r="C27" t="str">
        <f>'iWork,IBP &amp; Framework_SOW Items'!F27</f>
        <v>Delivered</v>
      </c>
      <c r="D27" t="str">
        <f>IFERROR(VLOOKUP(C27,Config!$A:$B,2,0),"Unknown")</f>
        <v>Delivered</v>
      </c>
      <c r="E27" t="str">
        <f>IFERROR(VLOOKUP(C27,Config!$A:$C,3,0),"N/A")</f>
        <v>Delivered</v>
      </c>
    </row>
    <row r="28" ht="15" customHeight="1" spans="1:5">
      <c r="A28" t="str">
        <f>'iWork,IBP &amp; Framework_SOW Items'!D28</f>
        <v>iWork</v>
      </c>
      <c r="B28" t="str">
        <f>'iWork,IBP &amp; Framework_SOW Items'!E28</f>
        <v>Milestone 1</v>
      </c>
      <c r="C28" t="str">
        <f>'iWork,IBP &amp; Framework_SOW Items'!F28</f>
        <v>Delivered</v>
      </c>
      <c r="D28" t="str">
        <f>IFERROR(VLOOKUP(C28,Config!$A:$B,2,0),"Unknown")</f>
        <v>Delivered</v>
      </c>
      <c r="E28" t="str">
        <f>IFERROR(VLOOKUP(C28,Config!$A:$C,3,0),"N/A")</f>
        <v>Delivered</v>
      </c>
    </row>
    <row r="29" ht="15" customHeight="1" spans="1:5">
      <c r="A29" t="str">
        <f>'iWork,IBP &amp; Framework_SOW Items'!D29</f>
        <v>iWork</v>
      </c>
      <c r="B29" t="str">
        <f>'iWork,IBP &amp; Framework_SOW Items'!E29</f>
        <v>Milestone 1</v>
      </c>
      <c r="C29" t="str">
        <f>'iWork,IBP &amp; Framework_SOW Items'!F29</f>
        <v>Delivered</v>
      </c>
      <c r="D29" t="str">
        <f>IFERROR(VLOOKUP(C29,Config!$A:$B,2,0),"Unknown")</f>
        <v>Delivered</v>
      </c>
      <c r="E29" t="str">
        <f>IFERROR(VLOOKUP(C29,Config!$A:$C,3,0),"N/A")</f>
        <v>Delivered</v>
      </c>
    </row>
    <row r="30" ht="15" customHeight="1" spans="1:5">
      <c r="A30" t="str">
        <f>'iWork,IBP &amp; Framework_SOW Items'!D30</f>
        <v>iWork</v>
      </c>
      <c r="B30" t="str">
        <f>'iWork,IBP &amp; Framework_SOW Items'!E30</f>
        <v>Milestone 1</v>
      </c>
      <c r="C30" t="str">
        <f>'iWork,IBP &amp; Framework_SOW Items'!F30</f>
        <v>Delivered</v>
      </c>
      <c r="D30" t="str">
        <f>IFERROR(VLOOKUP(C30,Config!$A:$B,2,0),"Unknown")</f>
        <v>Delivered</v>
      </c>
      <c r="E30" t="str">
        <f>IFERROR(VLOOKUP(C30,Config!$A:$C,3,0),"N/A")</f>
        <v>Delivered</v>
      </c>
    </row>
    <row r="31" ht="15" customHeight="1" spans="1:5">
      <c r="A31" t="str">
        <f>'iWork,IBP &amp; Framework_SOW Items'!D31</f>
        <v>Framework</v>
      </c>
      <c r="B31" t="str">
        <f>'iWork,IBP &amp; Framework_SOW Items'!E31</f>
        <v>Milestone 2</v>
      </c>
      <c r="C31" t="str">
        <f>'iWork,IBP &amp; Framework_SOW Items'!F31</f>
        <v>Delivered</v>
      </c>
      <c r="D31" t="str">
        <f>IFERROR(VLOOKUP(C31,Config!$A:$B,2,0),"Unknown")</f>
        <v>Delivered</v>
      </c>
      <c r="E31" t="str">
        <f>IFERROR(VLOOKUP(C31,Config!$A:$C,3,0),"N/A")</f>
        <v>Delivered</v>
      </c>
    </row>
    <row r="32" ht="15" customHeight="1" spans="1:5">
      <c r="A32" t="str">
        <f>'iWork,IBP &amp; Framework_SOW Items'!D32</f>
        <v>Framework</v>
      </c>
      <c r="B32" t="str">
        <f>'iWork,IBP &amp; Framework_SOW Items'!E32</f>
        <v>Milestone 2</v>
      </c>
      <c r="C32" t="str">
        <f>'iWork,IBP &amp; Framework_SOW Items'!F32</f>
        <v>Delivered</v>
      </c>
      <c r="D32" t="str">
        <f>IFERROR(VLOOKUP(C32,Config!$A:$B,2,0),"Unknown")</f>
        <v>Delivered</v>
      </c>
      <c r="E32" t="str">
        <f>IFERROR(VLOOKUP(C32,Config!$A:$C,3,0),"N/A")</f>
        <v>Delivered</v>
      </c>
    </row>
    <row r="33" ht="15" customHeight="1" spans="1:5">
      <c r="A33" t="str">
        <f>'iWork,IBP &amp; Framework_SOW Items'!D33</f>
        <v>Framework</v>
      </c>
      <c r="B33" t="str">
        <f>'iWork,IBP &amp; Framework_SOW Items'!E33</f>
        <v>Milestone 2</v>
      </c>
      <c r="C33" t="str">
        <f>'iWork,IBP &amp; Framework_SOW Items'!F33</f>
        <v>Delivered</v>
      </c>
      <c r="D33" t="str">
        <f>IFERROR(VLOOKUP(C33,Config!$A:$B,2,0),"Unknown")</f>
        <v>Delivered</v>
      </c>
      <c r="E33" t="str">
        <f>IFERROR(VLOOKUP(C33,Config!$A:$C,3,0),"N/A")</f>
        <v>Delivered</v>
      </c>
    </row>
    <row r="34" ht="15" customHeight="1" spans="1:5">
      <c r="A34" t="str">
        <f>'iWork,IBP &amp; Framework_SOW Items'!D34</f>
        <v>Framework</v>
      </c>
      <c r="B34" t="str">
        <f>'iWork,IBP &amp; Framework_SOW Items'!E34</f>
        <v>Milestone 2</v>
      </c>
      <c r="C34" t="str">
        <f>'iWork,IBP &amp; Framework_SOW Items'!F34</f>
        <v>Delivered - Deficit</v>
      </c>
      <c r="D34" t="str">
        <f>IFERROR(VLOOKUP(C34,Config!$A:$B,2,0),"Unknown")</f>
        <v>Partial Delivery</v>
      </c>
      <c r="E34" t="str">
        <f>IFERROR(VLOOKUP(C34,Config!$A:$C,3,0),"N/A")</f>
        <v>Pending</v>
      </c>
    </row>
    <row r="35" ht="15" customHeight="1" spans="1:5">
      <c r="A35" t="str">
        <f>'iWork,IBP &amp; Framework_SOW Items'!D35</f>
        <v>Framework</v>
      </c>
      <c r="B35" t="str">
        <f>'iWork,IBP &amp; Framework_SOW Items'!E35</f>
        <v>Milestone 2</v>
      </c>
      <c r="C35" t="str">
        <f>'iWork,IBP &amp; Framework_SOW Items'!F35</f>
        <v>Delivered - Deficit</v>
      </c>
      <c r="D35" t="str">
        <f>IFERROR(VLOOKUP(C35,Config!$A:$B,2,0),"Unknown")</f>
        <v>Partial Delivery</v>
      </c>
      <c r="E35" t="str">
        <f>IFERROR(VLOOKUP(C35,Config!$A:$C,3,0),"N/A")</f>
        <v>Pending</v>
      </c>
    </row>
    <row r="36" ht="15" customHeight="1" spans="1:5">
      <c r="A36" t="str">
        <f>'iWork,IBP &amp; Framework_SOW Items'!D36</f>
        <v>Framework</v>
      </c>
      <c r="B36" t="str">
        <f>'iWork,IBP &amp; Framework_SOW Items'!E36</f>
        <v>Milestone 2</v>
      </c>
      <c r="C36" t="str">
        <f>'iWork,IBP &amp; Framework_SOW Items'!F36</f>
        <v>Delivered</v>
      </c>
      <c r="D36" t="str">
        <f>IFERROR(VLOOKUP(C36,Config!$A:$B,2,0),"Unknown")</f>
        <v>Delivered</v>
      </c>
      <c r="E36" t="str">
        <f>IFERROR(VLOOKUP(C36,Config!$A:$C,3,0),"N/A")</f>
        <v>Delivered</v>
      </c>
    </row>
    <row r="37" ht="15" customHeight="1" spans="1:5">
      <c r="A37" t="str">
        <f>'iWork,IBP &amp; Framework_SOW Items'!D37</f>
        <v>Framework</v>
      </c>
      <c r="B37" t="str">
        <f>'iWork,IBP &amp; Framework_SOW Items'!E37</f>
        <v>Milestone 2</v>
      </c>
      <c r="C37" t="str">
        <f>'iWork,IBP &amp; Framework_SOW Items'!F37</f>
        <v>Delivered</v>
      </c>
      <c r="D37" t="str">
        <f>IFERROR(VLOOKUP(C37,Config!$A:$B,2,0),"Unknown")</f>
        <v>Delivered</v>
      </c>
      <c r="E37" t="str">
        <f>IFERROR(VLOOKUP(C37,Config!$A:$C,3,0),"N/A")</f>
        <v>Delivered</v>
      </c>
    </row>
    <row r="38" ht="15" customHeight="1" spans="1:5">
      <c r="A38" t="str">
        <f>'iWork,IBP &amp; Framework_SOW Items'!D38</f>
        <v>Framework</v>
      </c>
      <c r="B38" t="str">
        <f>'iWork,IBP &amp; Framework_SOW Items'!E38</f>
        <v>Milestone 2</v>
      </c>
      <c r="C38" t="str">
        <f>'iWork,IBP &amp; Framework_SOW Items'!F38</f>
        <v>Delivered</v>
      </c>
      <c r="D38" t="str">
        <f>IFERROR(VLOOKUP(C38,Config!$A:$B,2,0),"Unknown")</f>
        <v>Delivered</v>
      </c>
      <c r="E38" t="str">
        <f>IFERROR(VLOOKUP(C38,Config!$A:$C,3,0),"N/A")</f>
        <v>Delivered</v>
      </c>
    </row>
    <row r="39" ht="15" customHeight="1" spans="1:5">
      <c r="A39" t="str">
        <f>'iWork,IBP &amp; Framework_SOW Items'!D39</f>
        <v>Framework</v>
      </c>
      <c r="B39" t="str">
        <f>'iWork,IBP &amp; Framework_SOW Items'!E39</f>
        <v>Milestone 2</v>
      </c>
      <c r="C39" t="str">
        <f>'iWork,IBP &amp; Framework_SOW Items'!F39</f>
        <v>Delivered</v>
      </c>
      <c r="D39" t="str">
        <f>IFERROR(VLOOKUP(C39,Config!$A:$B,2,0),"Unknown")</f>
        <v>Delivered</v>
      </c>
      <c r="E39" t="str">
        <f>IFERROR(VLOOKUP(C39,Config!$A:$C,3,0),"N/A")</f>
        <v>Delivered</v>
      </c>
    </row>
    <row r="40" ht="15" customHeight="1" spans="1:5">
      <c r="A40" t="str">
        <f>'iWork,IBP &amp; Framework_SOW Items'!D40</f>
        <v>Framework</v>
      </c>
      <c r="B40" t="str">
        <f>'iWork,IBP &amp; Framework_SOW Items'!E40</f>
        <v>Milestone 2</v>
      </c>
      <c r="C40" t="str">
        <f>'iWork,IBP &amp; Framework_SOW Items'!F40</f>
        <v>Delivered</v>
      </c>
      <c r="D40" t="str">
        <f>IFERROR(VLOOKUP(C40,Config!$A:$B,2,0),"Unknown")</f>
        <v>Delivered</v>
      </c>
      <c r="E40" t="str">
        <f>IFERROR(VLOOKUP(C40,Config!$A:$C,3,0),"N/A")</f>
        <v>Delivered</v>
      </c>
    </row>
    <row r="41" ht="15" customHeight="1" spans="1:5">
      <c r="A41" t="str">
        <f>'iWork,IBP &amp; Framework_SOW Items'!D41</f>
        <v>Framework</v>
      </c>
      <c r="B41" t="str">
        <f>'iWork,IBP &amp; Framework_SOW Items'!E41</f>
        <v>Milestone 2</v>
      </c>
      <c r="C41" t="str">
        <f>'iWork,IBP &amp; Framework_SOW Items'!F41</f>
        <v>Delivered</v>
      </c>
      <c r="D41" t="str">
        <f>IFERROR(VLOOKUP(C41,Config!$A:$B,2,0),"Unknown")</f>
        <v>Delivered</v>
      </c>
      <c r="E41" t="str">
        <f>IFERROR(VLOOKUP(C41,Config!$A:$C,3,0),"N/A")</f>
        <v>Delivered</v>
      </c>
    </row>
    <row r="42" ht="15" customHeight="1" spans="1:5">
      <c r="A42" t="str">
        <f>'iWork,IBP &amp; Framework_SOW Items'!D42</f>
        <v>iWork</v>
      </c>
      <c r="B42" t="str">
        <f>'iWork,IBP &amp; Framework_SOW Items'!E42</f>
        <v>Milestone 2</v>
      </c>
      <c r="C42" t="str">
        <f>'iWork,IBP &amp; Framework_SOW Items'!F42</f>
        <v>Delivered</v>
      </c>
      <c r="D42" t="str">
        <f>IFERROR(VLOOKUP(C42,Config!$A:$B,2,0),"Unknown")</f>
        <v>Delivered</v>
      </c>
      <c r="E42" t="str">
        <f>IFERROR(VLOOKUP(C42,Config!$A:$C,3,0),"N/A")</f>
        <v>Delivered</v>
      </c>
    </row>
    <row r="43" ht="15" customHeight="1" spans="1:5">
      <c r="A43" t="str">
        <f>'iWork,IBP &amp; Framework_SOW Items'!D43</f>
        <v>iWork</v>
      </c>
      <c r="B43" t="str">
        <f>'iWork,IBP &amp; Framework_SOW Items'!E43</f>
        <v>Milestone 2</v>
      </c>
      <c r="C43" t="str">
        <f>'iWork,IBP &amp; Framework_SOW Items'!F43</f>
        <v>Yet to start</v>
      </c>
      <c r="D43" t="str">
        <f>IFERROR(VLOOKUP(C43,Config!$A:$B,2,0),"Unknown")</f>
        <v>Not Started</v>
      </c>
      <c r="E43" t="str">
        <f>IFERROR(VLOOKUP(C43,Config!$A:$C,3,0),"N/A")</f>
        <v>Pending</v>
      </c>
    </row>
    <row r="44" ht="15" customHeight="1" spans="1:5">
      <c r="A44" t="str">
        <f>'iWork,IBP &amp; Framework_SOW Items'!D44</f>
        <v>iWork</v>
      </c>
      <c r="B44" t="str">
        <f>'iWork,IBP &amp; Framework_SOW Items'!E44</f>
        <v>Milestone 2</v>
      </c>
      <c r="C44" t="str">
        <f>'iWork,IBP &amp; Framework_SOW Items'!F44</f>
        <v>Delivered</v>
      </c>
      <c r="D44" t="str">
        <f>IFERROR(VLOOKUP(C44,Config!$A:$B,2,0),"Unknown")</f>
        <v>Delivered</v>
      </c>
      <c r="E44" t="str">
        <f>IFERROR(VLOOKUP(C44,Config!$A:$C,3,0),"N/A")</f>
        <v>Delivered</v>
      </c>
    </row>
    <row r="45" ht="15" customHeight="1" spans="1:5">
      <c r="A45" t="str">
        <f>'iWork,IBP &amp; Framework_SOW Items'!D45</f>
        <v>iWork</v>
      </c>
      <c r="B45" t="str">
        <f>'iWork,IBP &amp; Framework_SOW Items'!E45</f>
        <v>Milestone 2</v>
      </c>
      <c r="C45" t="str">
        <f>'iWork,IBP &amp; Framework_SOW Items'!F45</f>
        <v>Delivered</v>
      </c>
      <c r="D45" t="str">
        <f>IFERROR(VLOOKUP(C45,Config!$A:$B,2,0),"Unknown")</f>
        <v>Delivered</v>
      </c>
      <c r="E45" t="str">
        <f>IFERROR(VLOOKUP(C45,Config!$A:$C,3,0),"N/A")</f>
        <v>Delivered</v>
      </c>
    </row>
    <row r="46" ht="15" customHeight="1" spans="1:5">
      <c r="A46" t="str">
        <f>'iWork,IBP &amp; Framework_SOW Items'!D46</f>
        <v>iWork</v>
      </c>
      <c r="B46" t="str">
        <f>'iWork,IBP &amp; Framework_SOW Items'!E46</f>
        <v>Milestone 2</v>
      </c>
      <c r="C46" t="str">
        <f>'iWork,IBP &amp; Framework_SOW Items'!F46</f>
        <v>Delivered</v>
      </c>
      <c r="D46" t="str">
        <f>IFERROR(VLOOKUP(C46,Config!$A:$B,2,0),"Unknown")</f>
        <v>Delivered</v>
      </c>
      <c r="E46" t="str">
        <f>IFERROR(VLOOKUP(C46,Config!$A:$C,3,0),"N/A")</f>
        <v>Delivered</v>
      </c>
    </row>
    <row r="47" ht="15" customHeight="1" spans="1:5">
      <c r="A47" t="str">
        <f>'iWork,IBP &amp; Framework_SOW Items'!D47</f>
        <v>iWork</v>
      </c>
      <c r="B47" t="str">
        <f>'iWork,IBP &amp; Framework_SOW Items'!E47</f>
        <v>Milestone 2</v>
      </c>
      <c r="C47" t="str">
        <f>'iWork,IBP &amp; Framework_SOW Items'!F47</f>
        <v>Delivered</v>
      </c>
      <c r="D47" t="str">
        <f>IFERROR(VLOOKUP(C47,Config!$A:$B,2,0),"Unknown")</f>
        <v>Delivered</v>
      </c>
      <c r="E47" t="str">
        <f>IFERROR(VLOOKUP(C47,Config!$A:$C,3,0),"N/A")</f>
        <v>Delivered</v>
      </c>
    </row>
    <row r="48" ht="15" customHeight="1" spans="1:5">
      <c r="A48" t="str">
        <f>'iWork,IBP &amp; Framework_SOW Items'!D48</f>
        <v>iWork</v>
      </c>
      <c r="B48" t="str">
        <f>'iWork,IBP &amp; Framework_SOW Items'!E48</f>
        <v>Milestone 2</v>
      </c>
      <c r="C48" t="str">
        <f>'iWork,IBP &amp; Framework_SOW Items'!F48</f>
        <v>Delivered</v>
      </c>
      <c r="D48" t="str">
        <f>IFERROR(VLOOKUP(C48,Config!$A:$B,2,0),"Unknown")</f>
        <v>Delivered</v>
      </c>
      <c r="E48" t="str">
        <f>IFERROR(VLOOKUP(C48,Config!$A:$C,3,0),"N/A")</f>
        <v>Delivered</v>
      </c>
    </row>
    <row r="49" ht="15" customHeight="1" spans="1:5">
      <c r="A49" t="str">
        <f>'iWork,IBP &amp; Framework_SOW Items'!D49</f>
        <v>iWork</v>
      </c>
      <c r="B49" t="str">
        <f>'iWork,IBP &amp; Framework_SOW Items'!E49</f>
        <v>Milestone 2</v>
      </c>
      <c r="C49" t="str">
        <f>'iWork,IBP &amp; Framework_SOW Items'!F49</f>
        <v>Delivered</v>
      </c>
      <c r="D49" t="str">
        <f>IFERROR(VLOOKUP(C49,Config!$A:$B,2,0),"Unknown")</f>
        <v>Delivered</v>
      </c>
      <c r="E49" t="str">
        <f>IFERROR(VLOOKUP(C49,Config!$A:$C,3,0),"N/A")</f>
        <v>Delivered</v>
      </c>
    </row>
    <row r="50" ht="15" customHeight="1" spans="1:5">
      <c r="A50" t="str">
        <f>'iWork,IBP &amp; Framework_SOW Items'!D50</f>
        <v>iWork</v>
      </c>
      <c r="B50" t="str">
        <f>'iWork,IBP &amp; Framework_SOW Items'!E50</f>
        <v>Milestone 2</v>
      </c>
      <c r="C50" t="str">
        <f>'iWork,IBP &amp; Framework_SOW Items'!F50</f>
        <v>Delivered</v>
      </c>
      <c r="D50" t="str">
        <f>IFERROR(VLOOKUP(C50,Config!$A:$B,2,0),"Unknown")</f>
        <v>Delivered</v>
      </c>
      <c r="E50" t="str">
        <f>IFERROR(VLOOKUP(C50,Config!$A:$C,3,0),"N/A")</f>
        <v>Delivered</v>
      </c>
    </row>
    <row r="51" ht="15" customHeight="1" spans="1:5">
      <c r="A51" t="str">
        <f>'iWork,IBP &amp; Framework_SOW Items'!D51</f>
        <v>iWork</v>
      </c>
      <c r="B51" t="str">
        <f>'iWork,IBP &amp; Framework_SOW Items'!E51</f>
        <v>Milestone 2</v>
      </c>
      <c r="C51" t="str">
        <f>'iWork,IBP &amp; Framework_SOW Items'!F51</f>
        <v>Delivered</v>
      </c>
      <c r="D51" t="str">
        <f>IFERROR(VLOOKUP(C51,Config!$A:$B,2,0),"Unknown")</f>
        <v>Delivered</v>
      </c>
      <c r="E51" t="str">
        <f>IFERROR(VLOOKUP(C51,Config!$A:$C,3,0),"N/A")</f>
        <v>Delivered</v>
      </c>
    </row>
    <row r="52" ht="15" customHeight="1" spans="1:5">
      <c r="A52" t="str">
        <f>'iWork,IBP &amp; Framework_SOW Items'!D52</f>
        <v>iWork</v>
      </c>
      <c r="B52" t="str">
        <f>'iWork,IBP &amp; Framework_SOW Items'!E52</f>
        <v>Milestone 2</v>
      </c>
      <c r="C52" t="str">
        <f>'iWork,IBP &amp; Framework_SOW Items'!F52</f>
        <v>Delivered</v>
      </c>
      <c r="D52" t="str">
        <f>IFERROR(VLOOKUP(C52,Config!$A:$B,2,0),"Unknown")</f>
        <v>Delivered</v>
      </c>
      <c r="E52" t="str">
        <f>IFERROR(VLOOKUP(C52,Config!$A:$C,3,0),"N/A")</f>
        <v>Delivered</v>
      </c>
    </row>
    <row r="53" ht="15" customHeight="1" spans="1:5">
      <c r="A53" t="str">
        <f>'iWork,IBP &amp; Framework_SOW Items'!D53</f>
        <v>iWork</v>
      </c>
      <c r="B53" t="str">
        <f>'iWork,IBP &amp; Framework_SOW Items'!E53</f>
        <v>Milestone 2</v>
      </c>
      <c r="C53" t="str">
        <f>'iWork,IBP &amp; Framework_SOW Items'!F53</f>
        <v>Delivered</v>
      </c>
      <c r="D53" t="str">
        <f>IFERROR(VLOOKUP(C53,Config!$A:$B,2,0),"Unknown")</f>
        <v>Delivered</v>
      </c>
      <c r="E53" t="str">
        <f>IFERROR(VLOOKUP(C53,Config!$A:$C,3,0),"N/A")</f>
        <v>Delivered</v>
      </c>
    </row>
    <row r="54" ht="15" customHeight="1" spans="1:5">
      <c r="A54" t="str">
        <f>'iWork,IBP &amp; Framework_SOW Items'!D54</f>
        <v>iWork</v>
      </c>
      <c r="B54" t="str">
        <f>'iWork,IBP &amp; Framework_SOW Items'!E54</f>
        <v>Milestone 2</v>
      </c>
      <c r="C54" t="str">
        <f>'iWork,IBP &amp; Framework_SOW Items'!F54</f>
        <v>Delivered</v>
      </c>
      <c r="D54" t="str">
        <f>IFERROR(VLOOKUP(C54,Config!$A:$B,2,0),"Unknown")</f>
        <v>Delivered</v>
      </c>
      <c r="E54" t="str">
        <f>IFERROR(VLOOKUP(C54,Config!$A:$C,3,0),"N/A")</f>
        <v>Delivered</v>
      </c>
    </row>
    <row r="55" ht="15" customHeight="1" spans="1:5">
      <c r="A55" t="str">
        <f>'iWork,IBP &amp; Framework_SOW Items'!D55</f>
        <v>iWork</v>
      </c>
      <c r="B55" t="str">
        <f>'iWork,IBP &amp; Framework_SOW Items'!E55</f>
        <v>Milestone 2</v>
      </c>
      <c r="C55" t="str">
        <f>'iWork,IBP &amp; Framework_SOW Items'!F55</f>
        <v>Delivered</v>
      </c>
      <c r="D55" t="str">
        <f>IFERROR(VLOOKUP(C55,Config!$A:$B,2,0),"Unknown")</f>
        <v>Delivered</v>
      </c>
      <c r="E55" t="str">
        <f>IFERROR(VLOOKUP(C55,Config!$A:$C,3,0),"N/A")</f>
        <v>Delivered</v>
      </c>
    </row>
    <row r="56" ht="15" customHeight="1" spans="1:5">
      <c r="A56" t="str">
        <f>'iWork,IBP &amp; Framework_SOW Items'!D56</f>
        <v>iWork</v>
      </c>
      <c r="B56" t="str">
        <f>'iWork,IBP &amp; Framework_SOW Items'!E56</f>
        <v>Milestone 2</v>
      </c>
      <c r="C56" t="str">
        <f>'iWork,IBP &amp; Framework_SOW Items'!F56</f>
        <v>Delivered</v>
      </c>
      <c r="D56" t="str">
        <f>IFERROR(VLOOKUP(C56,Config!$A:$B,2,0),"Unknown")</f>
        <v>Delivered</v>
      </c>
      <c r="E56" t="str">
        <f>IFERROR(VLOOKUP(C56,Config!$A:$C,3,0),"N/A")</f>
        <v>Delivered</v>
      </c>
    </row>
    <row r="57" ht="15" customHeight="1" spans="1:5">
      <c r="A57" t="str">
        <f>'iWork,IBP &amp; Framework_SOW Items'!D57</f>
        <v>iWork</v>
      </c>
      <c r="B57" t="str">
        <f>'iWork,IBP &amp; Framework_SOW Items'!E57</f>
        <v>Milestone 2</v>
      </c>
      <c r="C57" t="str">
        <f>'iWork,IBP &amp; Framework_SOW Items'!F57</f>
        <v>Delivered</v>
      </c>
      <c r="D57" t="str">
        <f>IFERROR(VLOOKUP(C57,Config!$A:$B,2,0),"Unknown")</f>
        <v>Delivered</v>
      </c>
      <c r="E57" t="str">
        <f>IFERROR(VLOOKUP(C57,Config!$A:$C,3,0),"N/A")</f>
        <v>Delivered</v>
      </c>
    </row>
    <row r="58" ht="15" customHeight="1" spans="1:5">
      <c r="A58" t="str">
        <f>'iWork,IBP &amp; Framework_SOW Items'!D58</f>
        <v>iWork</v>
      </c>
      <c r="B58" t="str">
        <f>'iWork,IBP &amp; Framework_SOW Items'!E58</f>
        <v>Milestone 2</v>
      </c>
      <c r="C58" t="str">
        <f>'iWork,IBP &amp; Framework_SOW Items'!F58</f>
        <v>Delivered</v>
      </c>
      <c r="D58" t="str">
        <f>IFERROR(VLOOKUP(C58,Config!$A:$B,2,0),"Unknown")</f>
        <v>Delivered</v>
      </c>
      <c r="E58" t="str">
        <f>IFERROR(VLOOKUP(C58,Config!$A:$C,3,0),"N/A")</f>
        <v>Delivered</v>
      </c>
    </row>
    <row r="59" ht="15" customHeight="1" spans="1:5">
      <c r="A59" t="str">
        <f>'iWork,IBP &amp; Framework_SOW Items'!D59</f>
        <v>iWork</v>
      </c>
      <c r="B59" t="str">
        <f>'iWork,IBP &amp; Framework_SOW Items'!E59</f>
        <v>Milestone 2</v>
      </c>
      <c r="C59" t="str">
        <f>'iWork,IBP &amp; Framework_SOW Items'!F59</f>
        <v>Delivered</v>
      </c>
      <c r="D59" t="str">
        <f>IFERROR(VLOOKUP(C59,Config!$A:$B,2,0),"Unknown")</f>
        <v>Delivered</v>
      </c>
      <c r="E59" t="str">
        <f>IFERROR(VLOOKUP(C59,Config!$A:$C,3,0),"N/A")</f>
        <v>Delivered</v>
      </c>
    </row>
    <row r="60" ht="15" customHeight="1" spans="1:5">
      <c r="A60" t="str">
        <f>'iWork,IBP &amp; Framework_SOW Items'!D60</f>
        <v>iWork</v>
      </c>
      <c r="B60" t="str">
        <f>'iWork,IBP &amp; Framework_SOW Items'!E60</f>
        <v>Milestone 2</v>
      </c>
      <c r="C60" t="str">
        <f>'iWork,IBP &amp; Framework_SOW Items'!F60</f>
        <v>Delivered</v>
      </c>
      <c r="D60" t="str">
        <f>IFERROR(VLOOKUP(C60,Config!$A:$B,2,0),"Unknown")</f>
        <v>Delivered</v>
      </c>
      <c r="E60" t="str">
        <f>IFERROR(VLOOKUP(C60,Config!$A:$C,3,0),"N/A")</f>
        <v>Delivered</v>
      </c>
    </row>
    <row r="61" ht="15" customHeight="1" spans="1:5">
      <c r="A61" t="str">
        <f>'iWork,IBP &amp; Framework_SOW Items'!D61</f>
        <v>iWork</v>
      </c>
      <c r="B61" t="str">
        <f>'iWork,IBP &amp; Framework_SOW Items'!E61</f>
        <v>Milestone 2</v>
      </c>
      <c r="C61" t="str">
        <f>'iWork,IBP &amp; Framework_SOW Items'!F61</f>
        <v>Delivered</v>
      </c>
      <c r="D61" t="str">
        <f>IFERROR(VLOOKUP(C61,Config!$A:$B,2,0),"Unknown")</f>
        <v>Delivered</v>
      </c>
      <c r="E61" t="str">
        <f>IFERROR(VLOOKUP(C61,Config!$A:$C,3,0),"N/A")</f>
        <v>Delivered</v>
      </c>
    </row>
    <row r="62" ht="15" customHeight="1" spans="1:5">
      <c r="A62" t="str">
        <f>'iWork,IBP &amp; Framework_SOW Items'!D62</f>
        <v>iWork</v>
      </c>
      <c r="B62" t="str">
        <f>'iWork,IBP &amp; Framework_SOW Items'!E62</f>
        <v>Milestone 2</v>
      </c>
      <c r="C62" t="str">
        <f>'iWork,IBP &amp; Framework_SOW Items'!F62</f>
        <v>Delivered</v>
      </c>
      <c r="D62" t="str">
        <f>IFERROR(VLOOKUP(C62,Config!$A:$B,2,0),"Unknown")</f>
        <v>Delivered</v>
      </c>
      <c r="E62" t="str">
        <f>IFERROR(VLOOKUP(C62,Config!$A:$C,3,0),"N/A")</f>
        <v>Delivered</v>
      </c>
    </row>
    <row r="63" ht="15" customHeight="1" spans="1:5">
      <c r="A63" t="str">
        <f>'iWork,IBP &amp; Framework_SOW Items'!D63</f>
        <v>Framework</v>
      </c>
      <c r="B63" t="str">
        <f>'iWork,IBP &amp; Framework_SOW Items'!E63</f>
        <v>Milestone 3</v>
      </c>
      <c r="C63" t="str">
        <f>'iWork,IBP &amp; Framework_SOW Items'!F63</f>
        <v>Delivered</v>
      </c>
      <c r="D63" t="str">
        <f>IFERROR(VLOOKUP(C63,Config!$A:$B,2,0),"Unknown")</f>
        <v>Delivered</v>
      </c>
      <c r="E63" t="str">
        <f>IFERROR(VLOOKUP(C63,Config!$A:$C,3,0),"N/A")</f>
        <v>Delivered</v>
      </c>
    </row>
    <row r="64" ht="15" customHeight="1" spans="1:5">
      <c r="A64" t="str">
        <f>'iWork,IBP &amp; Framework_SOW Items'!D64</f>
        <v>IBP</v>
      </c>
      <c r="B64" t="str">
        <f>'iWork,IBP &amp; Framework_SOW Items'!E64</f>
        <v>Milestone 3</v>
      </c>
      <c r="C64" t="str">
        <f>'iWork,IBP &amp; Framework_SOW Items'!F64</f>
        <v>Delivered</v>
      </c>
      <c r="D64" t="str">
        <f>IFERROR(VLOOKUP(C64,Config!$A:$B,2,0),"Unknown")</f>
        <v>Delivered</v>
      </c>
      <c r="E64" t="str">
        <f>IFERROR(VLOOKUP(C64,Config!$A:$C,3,0),"N/A")</f>
        <v>Delivered</v>
      </c>
    </row>
    <row r="65" ht="15" customHeight="1" spans="1:5">
      <c r="A65" t="str">
        <f>'iWork,IBP &amp; Framework_SOW Items'!D65</f>
        <v>iWork</v>
      </c>
      <c r="B65" t="str">
        <f>'iWork,IBP &amp; Framework_SOW Items'!E65</f>
        <v>Milestone 3</v>
      </c>
      <c r="C65" t="str">
        <f>'iWork,IBP &amp; Framework_SOW Items'!F65</f>
        <v>Delivered</v>
      </c>
      <c r="D65" t="str">
        <f>IFERROR(VLOOKUP(C65,Config!$A:$B,2,0),"Unknown")</f>
        <v>Delivered</v>
      </c>
      <c r="E65" t="str">
        <f>IFERROR(VLOOKUP(C65,Config!$A:$C,3,0),"N/A")</f>
        <v>Delivered</v>
      </c>
    </row>
    <row r="66" ht="15" customHeight="1" spans="1:5">
      <c r="A66" t="str">
        <f>'iWork,IBP &amp; Framework_SOW Items'!D66</f>
        <v>iWork</v>
      </c>
      <c r="B66" t="str">
        <f>'iWork,IBP &amp; Framework_SOW Items'!E66</f>
        <v>Milestone 3</v>
      </c>
      <c r="C66" t="str">
        <f>'iWork,IBP &amp; Framework_SOW Items'!F66</f>
        <v>Yet to start</v>
      </c>
      <c r="D66" t="str">
        <f>IFERROR(VLOOKUP(C66,Config!$A:$B,2,0),"Unknown")</f>
        <v>Not Started</v>
      </c>
      <c r="E66" t="str">
        <f>IFERROR(VLOOKUP(C66,Config!$A:$C,3,0),"N/A")</f>
        <v>Pending</v>
      </c>
    </row>
    <row r="67" ht="15" customHeight="1" spans="1:5">
      <c r="A67" t="str">
        <f>'iWork,IBP &amp; Framework_SOW Items'!D67</f>
        <v>iWork</v>
      </c>
      <c r="B67" t="str">
        <f>'iWork,IBP &amp; Framework_SOW Items'!E67</f>
        <v>Milestone 3</v>
      </c>
      <c r="C67" t="str">
        <f>'iWork,IBP &amp; Framework_SOW Items'!F67</f>
        <v>Yet to start</v>
      </c>
      <c r="D67" t="str">
        <f>IFERROR(VLOOKUP(C67,Config!$A:$B,2,0),"Unknown")</f>
        <v>Not Started</v>
      </c>
      <c r="E67" t="str">
        <f>IFERROR(VLOOKUP(C67,Config!$A:$C,3,0),"N/A")</f>
        <v>Pending</v>
      </c>
    </row>
    <row r="68" ht="15" customHeight="1" spans="1:5">
      <c r="A68" t="str">
        <f>'iWork,IBP &amp; Framework_SOW Items'!D68</f>
        <v>iWork</v>
      </c>
      <c r="B68" t="str">
        <f>'iWork,IBP &amp; Framework_SOW Items'!E68</f>
        <v>Milestone 3</v>
      </c>
      <c r="C68" t="str">
        <f>'iWork,IBP &amp; Framework_SOW Items'!F68</f>
        <v>Delivered</v>
      </c>
      <c r="D68" t="str">
        <f>IFERROR(VLOOKUP(C68,Config!$A:$B,2,0),"Unknown")</f>
        <v>Delivered</v>
      </c>
      <c r="E68" t="str">
        <f>IFERROR(VLOOKUP(C68,Config!$A:$C,3,0),"N/A")</f>
        <v>Delivered</v>
      </c>
    </row>
    <row r="69" ht="15" customHeight="1" spans="1:5">
      <c r="A69" t="str">
        <f>'iWork,IBP &amp; Framework_SOW Items'!D69</f>
        <v>iWork</v>
      </c>
      <c r="B69" t="str">
        <f>'iWork,IBP &amp; Framework_SOW Items'!E69</f>
        <v>Milestone 3</v>
      </c>
      <c r="C69" t="str">
        <f>'iWork,IBP &amp; Framework_SOW Items'!F69</f>
        <v>Delivered</v>
      </c>
      <c r="D69" t="str">
        <f>IFERROR(VLOOKUP(C69,Config!$A:$B,2,0),"Unknown")</f>
        <v>Delivered</v>
      </c>
      <c r="E69" t="str">
        <f>IFERROR(VLOOKUP(C69,Config!$A:$C,3,0),"N/A")</f>
        <v>Delivered</v>
      </c>
    </row>
    <row r="70" ht="15" customHeight="1" spans="1:5">
      <c r="A70" t="str">
        <f>'iWork,IBP &amp; Framework_SOW Items'!D70</f>
        <v>iWork</v>
      </c>
      <c r="B70" t="str">
        <f>'iWork,IBP &amp; Framework_SOW Items'!E70</f>
        <v>Milestone 3</v>
      </c>
      <c r="C70" t="str">
        <f>'iWork,IBP &amp; Framework_SOW Items'!F70</f>
        <v>Delivered</v>
      </c>
      <c r="D70" t="str">
        <f>IFERROR(VLOOKUP(C70,Config!$A:$B,2,0),"Unknown")</f>
        <v>Delivered</v>
      </c>
      <c r="E70" t="str">
        <f>IFERROR(VLOOKUP(C70,Config!$A:$C,3,0),"N/A")</f>
        <v>Delivered</v>
      </c>
    </row>
    <row r="71" ht="15" customHeight="1" spans="1:5">
      <c r="A71" t="str">
        <f>'iWork,IBP &amp; Framework_SOW Items'!D71</f>
        <v>iWork</v>
      </c>
      <c r="B71" t="str">
        <f>'iWork,IBP &amp; Framework_SOW Items'!E71</f>
        <v>Milestone 3</v>
      </c>
      <c r="C71" t="str">
        <f>'iWork,IBP &amp; Framework_SOW Items'!F71</f>
        <v>Delivered</v>
      </c>
      <c r="D71" t="str">
        <f>IFERROR(VLOOKUP(C71,Config!$A:$B,2,0),"Unknown")</f>
        <v>Delivered</v>
      </c>
      <c r="E71" t="str">
        <f>IFERROR(VLOOKUP(C71,Config!$A:$C,3,0),"N/A")</f>
        <v>Delivered</v>
      </c>
    </row>
    <row r="72" ht="15" customHeight="1" spans="1:5">
      <c r="A72" t="str">
        <f>'iWork,IBP &amp; Framework_SOW Items'!D72</f>
        <v>DPDP</v>
      </c>
      <c r="B72" t="str">
        <f>'iWork,IBP &amp; Framework_SOW Items'!E72</f>
        <v>Milestone 4</v>
      </c>
      <c r="C72" t="str">
        <f>'iWork,IBP &amp; Framework_SOW Items'!F72</f>
        <v>Yet to start</v>
      </c>
      <c r="D72" t="str">
        <f>IFERROR(VLOOKUP(C72,Config!$A:$B,2,0),"Unknown")</f>
        <v>Not Started</v>
      </c>
      <c r="E72" t="str">
        <f>IFERROR(VLOOKUP(C72,Config!$A:$C,3,0),"N/A")</f>
        <v>Pending</v>
      </c>
    </row>
    <row r="73" ht="15" customHeight="1" spans="1:5">
      <c r="A73" t="str">
        <f>'iWork,IBP &amp; Framework_SOW Items'!D73</f>
        <v>Framework</v>
      </c>
      <c r="B73" t="str">
        <f>'iWork,IBP &amp; Framework_SOW Items'!E73</f>
        <v>Milestone 4</v>
      </c>
      <c r="C73" t="str">
        <f>'iWork,IBP &amp; Framework_SOW Items'!F73</f>
        <v>Yet to start</v>
      </c>
      <c r="D73" t="str">
        <f>IFERROR(VLOOKUP(C73,Config!$A:$B,2,0),"Unknown")</f>
        <v>Not Started</v>
      </c>
      <c r="E73" t="str">
        <f>IFERROR(VLOOKUP(C73,Config!$A:$C,3,0),"N/A")</f>
        <v>Pending</v>
      </c>
    </row>
    <row r="74" ht="15" customHeight="1" spans="1:5">
      <c r="A74" t="str">
        <f>'iWork,IBP &amp; Framework_SOW Items'!D74</f>
        <v>Framework</v>
      </c>
      <c r="B74" t="str">
        <f>'iWork,IBP &amp; Framework_SOW Items'!E74</f>
        <v>Milestone 4</v>
      </c>
      <c r="C74" t="str">
        <f>'iWork,IBP &amp; Framework_SOW Items'!F74</f>
        <v>Delivered - Deficit</v>
      </c>
      <c r="D74" t="str">
        <f>IFERROR(VLOOKUP(C74,Config!$A:$B,2,0),"Unknown")</f>
        <v>Partial Delivery</v>
      </c>
      <c r="E74" t="str">
        <f>IFERROR(VLOOKUP(C74,Config!$A:$C,3,0),"N/A")</f>
        <v>Pending</v>
      </c>
    </row>
    <row r="75" ht="15" customHeight="1" spans="1:5">
      <c r="A75" t="str">
        <f>'iWork,IBP &amp; Framework_SOW Items'!D75</f>
        <v>Framework</v>
      </c>
      <c r="B75" t="str">
        <f>'iWork,IBP &amp; Framework_SOW Items'!E75</f>
        <v>Milestone 4</v>
      </c>
      <c r="C75" t="str">
        <f>'iWork,IBP &amp; Framework_SOW Items'!F75</f>
        <v>Yet to start</v>
      </c>
      <c r="D75" t="str">
        <f>IFERROR(VLOOKUP(C75,Config!$A:$B,2,0),"Unknown")</f>
        <v>Not Started</v>
      </c>
      <c r="E75" t="str">
        <f>IFERROR(VLOOKUP(C75,Config!$A:$C,3,0),"N/A")</f>
        <v>Pending</v>
      </c>
    </row>
    <row r="76" ht="15" customHeight="1" spans="1:5">
      <c r="A76" t="str">
        <f>'iWork,IBP &amp; Framework_SOW Items'!D76</f>
        <v>Framework</v>
      </c>
      <c r="B76" t="str">
        <f>'iWork,IBP &amp; Framework_SOW Items'!E76</f>
        <v>Milestone 4</v>
      </c>
      <c r="C76" t="str">
        <f>'iWork,IBP &amp; Framework_SOW Items'!F76</f>
        <v>Yet to start</v>
      </c>
      <c r="D76" t="str">
        <f>IFERROR(VLOOKUP(C76,Config!$A:$B,2,0),"Unknown")</f>
        <v>Not Started</v>
      </c>
      <c r="E76" t="str">
        <f>IFERROR(VLOOKUP(C76,Config!$A:$C,3,0),"N/A")</f>
        <v>Pending</v>
      </c>
    </row>
    <row r="77" ht="15" customHeight="1" spans="1:5">
      <c r="A77" t="str">
        <f>'iWork,IBP &amp; Framework_SOW Items'!D77</f>
        <v>Framework</v>
      </c>
      <c r="B77" t="str">
        <f>'iWork,IBP &amp; Framework_SOW Items'!E77</f>
        <v>Milestone 4</v>
      </c>
      <c r="C77" t="str">
        <f>'iWork,IBP &amp; Framework_SOW Items'!F77</f>
        <v>Delivered</v>
      </c>
      <c r="D77" t="str">
        <f>IFERROR(VLOOKUP(C77,Config!$A:$B,2,0),"Unknown")</f>
        <v>Delivered</v>
      </c>
      <c r="E77" t="str">
        <f>IFERROR(VLOOKUP(C77,Config!$A:$C,3,0),"N/A")</f>
        <v>Delivered</v>
      </c>
    </row>
    <row r="78" ht="15" customHeight="1" spans="1:5">
      <c r="A78" t="str">
        <f>'iWork,IBP &amp; Framework_SOW Items'!D78</f>
        <v>Framework</v>
      </c>
      <c r="B78" t="str">
        <f>'iWork,IBP &amp; Framework_SOW Items'!E78</f>
        <v>Milestone 4</v>
      </c>
      <c r="C78" t="str">
        <f>'iWork,IBP &amp; Framework_SOW Items'!F78</f>
        <v>Delivered</v>
      </c>
      <c r="D78" t="str">
        <f>IFERROR(VLOOKUP(C78,Config!$A:$B,2,0),"Unknown")</f>
        <v>Delivered</v>
      </c>
      <c r="E78" t="str">
        <f>IFERROR(VLOOKUP(C78,Config!$A:$C,3,0),"N/A")</f>
        <v>Delivered</v>
      </c>
    </row>
    <row r="79" ht="15" customHeight="1" spans="1:5">
      <c r="A79" t="str">
        <f>'iWork,IBP &amp; Framework_SOW Items'!D79</f>
        <v>Framework</v>
      </c>
      <c r="B79" t="str">
        <f>'iWork,IBP &amp; Framework_SOW Items'!E79</f>
        <v>Milestone 4</v>
      </c>
      <c r="C79" t="str">
        <f>'iWork,IBP &amp; Framework_SOW Items'!F79</f>
        <v>Delivered</v>
      </c>
      <c r="D79" t="str">
        <f>IFERROR(VLOOKUP(C79,Config!$A:$B,2,0),"Unknown")</f>
        <v>Delivered</v>
      </c>
      <c r="E79" t="str">
        <f>IFERROR(VLOOKUP(C79,Config!$A:$C,3,0),"N/A")</f>
        <v>Delivered</v>
      </c>
    </row>
    <row r="80" ht="15" customHeight="1" spans="1:5">
      <c r="A80" t="str">
        <f>'iWork,IBP &amp; Framework_SOW Items'!D80</f>
        <v>Framework</v>
      </c>
      <c r="B80" t="str">
        <f>'iWork,IBP &amp; Framework_SOW Items'!E80</f>
        <v>Milestone 4</v>
      </c>
      <c r="C80" t="str">
        <f>'iWork,IBP &amp; Framework_SOW Items'!F80</f>
        <v>Delivered</v>
      </c>
      <c r="D80" t="str">
        <f>IFERROR(VLOOKUP(C80,Config!$A:$B,2,0),"Unknown")</f>
        <v>Delivered</v>
      </c>
      <c r="E80" t="str">
        <f>IFERROR(VLOOKUP(C80,Config!$A:$C,3,0),"N/A")</f>
        <v>Delivered</v>
      </c>
    </row>
    <row r="81" ht="15" customHeight="1" spans="1:5">
      <c r="A81" t="str">
        <f>'iWork,IBP &amp; Framework_SOW Items'!D81</f>
        <v>Framework</v>
      </c>
      <c r="B81" t="str">
        <f>'iWork,IBP &amp; Framework_SOW Items'!E81</f>
        <v>Milestone 4</v>
      </c>
      <c r="C81" t="str">
        <f>'iWork,IBP &amp; Framework_SOW Items'!F81</f>
        <v>Delivered</v>
      </c>
      <c r="D81" t="str">
        <f>IFERROR(VLOOKUP(C81,Config!$A:$B,2,0),"Unknown")</f>
        <v>Delivered</v>
      </c>
      <c r="E81" t="str">
        <f>IFERROR(VLOOKUP(C81,Config!$A:$C,3,0),"N/A")</f>
        <v>Delivered</v>
      </c>
    </row>
    <row r="82" ht="15" customHeight="1" spans="1:5">
      <c r="A82" t="str">
        <f>'iWork,IBP &amp; Framework_SOW Items'!D82</f>
        <v>IBP</v>
      </c>
      <c r="B82" t="str">
        <f>'iWork,IBP &amp; Framework_SOW Items'!E82</f>
        <v>Milestone 4</v>
      </c>
      <c r="C82" t="str">
        <f>'iWork,IBP &amp; Framework_SOW Items'!F82</f>
        <v>Delivered</v>
      </c>
      <c r="D82" t="str">
        <f>IFERROR(VLOOKUP(C82,Config!$A:$B,2,0),"Unknown")</f>
        <v>Delivered</v>
      </c>
      <c r="E82" t="str">
        <f>IFERROR(VLOOKUP(C82,Config!$A:$C,3,0),"N/A")</f>
        <v>Delivered</v>
      </c>
    </row>
    <row r="83" ht="15" customHeight="1" spans="1:5">
      <c r="A83" t="str">
        <f>'iWork,IBP &amp; Framework_SOW Items'!D83</f>
        <v>IBP</v>
      </c>
      <c r="B83" t="str">
        <f>'iWork,IBP &amp; Framework_SOW Items'!E83</f>
        <v>Milestone 4</v>
      </c>
      <c r="C83" t="str">
        <f>'iWork,IBP &amp; Framework_SOW Items'!F83</f>
        <v>Pre-PROD</v>
      </c>
      <c r="D83" t="str">
        <f>IFERROR(VLOOKUP(C83,Config!$A:$B,2,0),"Unknown")</f>
        <v>Pre-PROD / UAT</v>
      </c>
      <c r="E83" t="str">
        <f>IFERROR(VLOOKUP(C83,Config!$A:$C,3,0),"N/A")</f>
        <v>Pending</v>
      </c>
    </row>
    <row r="84" ht="15" customHeight="1" spans="1:5">
      <c r="A84" t="str">
        <f>'iWork,IBP &amp; Framework_SOW Items'!D84</f>
        <v>IBP</v>
      </c>
      <c r="B84" t="str">
        <f>'iWork,IBP &amp; Framework_SOW Items'!E84</f>
        <v>Milestone 4</v>
      </c>
      <c r="C84" t="str">
        <f>'iWork,IBP &amp; Framework_SOW Items'!F84</f>
        <v>Delivered</v>
      </c>
      <c r="D84" t="str">
        <f>IFERROR(VLOOKUP(C84,Config!$A:$B,2,0),"Unknown")</f>
        <v>Delivered</v>
      </c>
      <c r="E84" t="str">
        <f>IFERROR(VLOOKUP(C84,Config!$A:$C,3,0),"N/A")</f>
        <v>Delivered</v>
      </c>
    </row>
    <row r="85" ht="15" customHeight="1" spans="1:5">
      <c r="A85" t="str">
        <f>'iWork,IBP &amp; Framework_SOW Items'!D85</f>
        <v>IBP</v>
      </c>
      <c r="B85" t="str">
        <f>'iWork,IBP &amp; Framework_SOW Items'!E85</f>
        <v>Milestone 4</v>
      </c>
      <c r="C85" t="str">
        <f>'iWork,IBP &amp; Framework_SOW Items'!F85</f>
        <v>Delivered</v>
      </c>
      <c r="D85" t="str">
        <f>IFERROR(VLOOKUP(C85,Config!$A:$B,2,0),"Unknown")</f>
        <v>Delivered</v>
      </c>
      <c r="E85" t="str">
        <f>IFERROR(VLOOKUP(C85,Config!$A:$C,3,0),"N/A")</f>
        <v>Delivered</v>
      </c>
    </row>
    <row r="86" ht="15" customHeight="1" spans="1:5">
      <c r="A86" t="str">
        <f>'iWork,IBP &amp; Framework_SOW Items'!D86</f>
        <v>IBP</v>
      </c>
      <c r="B86" t="str">
        <f>'iWork,IBP &amp; Framework_SOW Items'!E86</f>
        <v>Milestone 4</v>
      </c>
      <c r="C86" t="str">
        <f>'iWork,IBP &amp; Framework_SOW Items'!F86</f>
        <v>Delivered</v>
      </c>
      <c r="D86" t="str">
        <f>IFERROR(VLOOKUP(C86,Config!$A:$B,2,0),"Unknown")</f>
        <v>Delivered</v>
      </c>
      <c r="E86" t="str">
        <f>IFERROR(VLOOKUP(C86,Config!$A:$C,3,0),"N/A")</f>
        <v>Delivered</v>
      </c>
    </row>
    <row r="87" ht="15" customHeight="1" spans="1:5">
      <c r="A87" t="str">
        <f>'iWork,IBP &amp; Framework_SOW Items'!D87</f>
        <v>IBP</v>
      </c>
      <c r="B87" t="str">
        <f>'iWork,IBP &amp; Framework_SOW Items'!E87</f>
        <v>Milestone 4</v>
      </c>
      <c r="C87" t="str">
        <f>'iWork,IBP &amp; Framework_SOW Items'!F87</f>
        <v>Delivered</v>
      </c>
      <c r="D87" t="str">
        <f>IFERROR(VLOOKUP(C87,Config!$A:$B,2,0),"Unknown")</f>
        <v>Delivered</v>
      </c>
      <c r="E87" t="str">
        <f>IFERROR(VLOOKUP(C87,Config!$A:$C,3,0),"N/A")</f>
        <v>Delivered</v>
      </c>
    </row>
    <row r="88" ht="15" customHeight="1" spans="1:5">
      <c r="A88" t="str">
        <f>'iWork,IBP &amp; Framework_SOW Items'!D88</f>
        <v>IBP</v>
      </c>
      <c r="B88" t="str">
        <f>'iWork,IBP &amp; Framework_SOW Items'!E88</f>
        <v>Milestone 4</v>
      </c>
      <c r="C88" t="str">
        <f>'iWork,IBP &amp; Framework_SOW Items'!F88</f>
        <v>Delivered</v>
      </c>
      <c r="D88" t="str">
        <f>IFERROR(VLOOKUP(C88,Config!$A:$B,2,0),"Unknown")</f>
        <v>Delivered</v>
      </c>
      <c r="E88" t="str">
        <f>IFERROR(VLOOKUP(C88,Config!$A:$C,3,0),"N/A")</f>
        <v>Delivered</v>
      </c>
    </row>
    <row r="89" ht="15" customHeight="1" spans="1:5">
      <c r="A89" t="str">
        <f>'iWork,IBP &amp; Framework_SOW Items'!D89</f>
        <v>IBP</v>
      </c>
      <c r="B89" t="str">
        <f>'iWork,IBP &amp; Framework_SOW Items'!E89</f>
        <v>Milestone 4</v>
      </c>
      <c r="C89" t="str">
        <f>'iWork,IBP &amp; Framework_SOW Items'!F89</f>
        <v>Delivered</v>
      </c>
      <c r="D89" t="str">
        <f>IFERROR(VLOOKUP(C89,Config!$A:$B,2,0),"Unknown")</f>
        <v>Delivered</v>
      </c>
      <c r="E89" t="str">
        <f>IFERROR(VLOOKUP(C89,Config!$A:$C,3,0),"N/A")</f>
        <v>Delivered</v>
      </c>
    </row>
    <row r="90" ht="15" customHeight="1" spans="1:5">
      <c r="A90" t="str">
        <f>'iWork,IBP &amp; Framework_SOW Items'!D90</f>
        <v>IBP</v>
      </c>
      <c r="B90" t="str">
        <f>'iWork,IBP &amp; Framework_SOW Items'!E90</f>
        <v>Milestone 4</v>
      </c>
      <c r="C90" t="str">
        <f>'iWork,IBP &amp; Framework_SOW Items'!F90</f>
        <v>Delivered</v>
      </c>
      <c r="D90" t="str">
        <f>IFERROR(VLOOKUP(C90,Config!$A:$B,2,0),"Unknown")</f>
        <v>Delivered</v>
      </c>
      <c r="E90" t="str">
        <f>IFERROR(VLOOKUP(C90,Config!$A:$C,3,0),"N/A")</f>
        <v>Delivered</v>
      </c>
    </row>
    <row r="91" ht="15" customHeight="1" spans="1:5">
      <c r="A91" t="str">
        <f>'iWork,IBP &amp; Framework_SOW Items'!D91</f>
        <v>IBP</v>
      </c>
      <c r="B91" t="str">
        <f>'iWork,IBP &amp; Framework_SOW Items'!E91</f>
        <v>Milestone 4</v>
      </c>
      <c r="C91" t="str">
        <f>'iWork,IBP &amp; Framework_SOW Items'!F91</f>
        <v>Yet to start</v>
      </c>
      <c r="D91" t="str">
        <f>IFERROR(VLOOKUP(C91,Config!$A:$B,2,0),"Unknown")</f>
        <v>Not Started</v>
      </c>
      <c r="E91" t="str">
        <f>IFERROR(VLOOKUP(C91,Config!$A:$C,3,0),"N/A")</f>
        <v>Pending</v>
      </c>
    </row>
    <row r="92" ht="15" customHeight="1" spans="1:5">
      <c r="A92" t="str">
        <f>'iWork,IBP &amp; Framework_SOW Items'!D92</f>
        <v>IBP</v>
      </c>
      <c r="B92" t="str">
        <f>'iWork,IBP &amp; Framework_SOW Items'!E92</f>
        <v>Milestone 4</v>
      </c>
      <c r="C92" t="str">
        <f>'iWork,IBP &amp; Framework_SOW Items'!F92</f>
        <v>Pre-PROD</v>
      </c>
      <c r="D92" t="str">
        <f>IFERROR(VLOOKUP(C92,Config!$A:$B,2,0),"Unknown")</f>
        <v>Pre-PROD / UAT</v>
      </c>
      <c r="E92" t="str">
        <f>IFERROR(VLOOKUP(C92,Config!$A:$C,3,0),"N/A")</f>
        <v>Pending</v>
      </c>
    </row>
    <row r="93" ht="15" customHeight="1" spans="1:5">
      <c r="A93" t="str">
        <f>'iWork,IBP &amp; Framework_SOW Items'!D93</f>
        <v>IBP</v>
      </c>
      <c r="B93" t="str">
        <f>'iWork,IBP &amp; Framework_SOW Items'!E93</f>
        <v>Milestone 4</v>
      </c>
      <c r="C93" t="str">
        <f>'iWork,IBP &amp; Framework_SOW Items'!F93</f>
        <v>Pre-PROD</v>
      </c>
      <c r="D93" t="str">
        <f>IFERROR(VLOOKUP(C93,Config!$A:$B,2,0),"Unknown")</f>
        <v>Pre-PROD / UAT</v>
      </c>
      <c r="E93" t="str">
        <f>IFERROR(VLOOKUP(C93,Config!$A:$C,3,0),"N/A")</f>
        <v>Pending</v>
      </c>
    </row>
    <row r="94" ht="15" customHeight="1" spans="1:5">
      <c r="A94" t="str">
        <f>'iWork,IBP &amp; Framework_SOW Items'!D94</f>
        <v>IBP</v>
      </c>
      <c r="B94" t="str">
        <f>'iWork,IBP &amp; Framework_SOW Items'!E94</f>
        <v>Milestone 4</v>
      </c>
      <c r="C94" t="str">
        <f>'iWork,IBP &amp; Framework_SOW Items'!F94</f>
        <v>Yet to start</v>
      </c>
      <c r="D94" t="str">
        <f>IFERROR(VLOOKUP(C94,Config!$A:$B,2,0),"Unknown")</f>
        <v>Not Started</v>
      </c>
      <c r="E94" t="str">
        <f>IFERROR(VLOOKUP(C94,Config!$A:$C,3,0),"N/A")</f>
        <v>Pending</v>
      </c>
    </row>
    <row r="95" ht="15" customHeight="1" spans="1:5">
      <c r="A95" t="str">
        <f>'iWork,IBP &amp; Framework_SOW Items'!D95</f>
        <v>IBP</v>
      </c>
      <c r="B95" t="str">
        <f>'iWork,IBP &amp; Framework_SOW Items'!E95</f>
        <v>Milestone 4</v>
      </c>
      <c r="C95" t="str">
        <f>'iWork,IBP &amp; Framework_SOW Items'!F95</f>
        <v>Delivered</v>
      </c>
      <c r="D95" t="str">
        <f>IFERROR(VLOOKUP(C95,Config!$A:$B,2,0),"Unknown")</f>
        <v>Delivered</v>
      </c>
      <c r="E95" t="str">
        <f>IFERROR(VLOOKUP(C95,Config!$A:$C,3,0),"N/A")</f>
        <v>Delivered</v>
      </c>
    </row>
    <row r="96" ht="15" customHeight="1" spans="1:5">
      <c r="A96" t="str">
        <f>'iWork,IBP &amp; Framework_SOW Items'!D96</f>
        <v>IBP</v>
      </c>
      <c r="B96" t="str">
        <f>'iWork,IBP &amp; Framework_SOW Items'!E96</f>
        <v>Milestone 4</v>
      </c>
      <c r="C96" t="str">
        <f>'iWork,IBP &amp; Framework_SOW Items'!F96</f>
        <v>Delivered</v>
      </c>
      <c r="D96" t="str">
        <f>IFERROR(VLOOKUP(C96,Config!$A:$B,2,0),"Unknown")</f>
        <v>Delivered</v>
      </c>
      <c r="E96" t="str">
        <f>IFERROR(VLOOKUP(C96,Config!$A:$C,3,0),"N/A")</f>
        <v>Delivered</v>
      </c>
    </row>
    <row r="97" ht="15" customHeight="1" spans="1:5">
      <c r="A97" t="str">
        <f>'iWork,IBP &amp; Framework_SOW Items'!D97</f>
        <v>IBP</v>
      </c>
      <c r="B97" t="str">
        <f>'iWork,IBP &amp; Framework_SOW Items'!E97</f>
        <v>Milestone 4</v>
      </c>
      <c r="C97" t="str">
        <f>'iWork,IBP &amp; Framework_SOW Items'!F97</f>
        <v>Delivered</v>
      </c>
      <c r="D97" t="str">
        <f>IFERROR(VLOOKUP(C97,Config!$A:$B,2,0),"Unknown")</f>
        <v>Delivered</v>
      </c>
      <c r="E97" t="str">
        <f>IFERROR(VLOOKUP(C97,Config!$A:$C,3,0),"N/A")</f>
        <v>Delivered</v>
      </c>
    </row>
    <row r="98" ht="15" customHeight="1" spans="1:5">
      <c r="A98" t="str">
        <f>'iWork,IBP &amp; Framework_SOW Items'!D98</f>
        <v>IBP</v>
      </c>
      <c r="B98" t="str">
        <f>'iWork,IBP &amp; Framework_SOW Items'!E98</f>
        <v>Milestone 4</v>
      </c>
      <c r="C98" t="str">
        <f>'iWork,IBP &amp; Framework_SOW Items'!F98</f>
        <v>Delivered</v>
      </c>
      <c r="D98" t="str">
        <f>IFERROR(VLOOKUP(C98,Config!$A:$B,2,0),"Unknown")</f>
        <v>Delivered</v>
      </c>
      <c r="E98" t="str">
        <f>IFERROR(VLOOKUP(C98,Config!$A:$C,3,0),"N/A")</f>
        <v>Delivered</v>
      </c>
    </row>
    <row r="99" ht="15" customHeight="1" spans="1:5">
      <c r="A99" t="str">
        <f>'iWork,IBP &amp; Framework_SOW Items'!D99</f>
        <v>IBP</v>
      </c>
      <c r="B99" t="str">
        <f>'iWork,IBP &amp; Framework_SOW Items'!E99</f>
        <v>Milestone 4</v>
      </c>
      <c r="C99" t="str">
        <f>'iWork,IBP &amp; Framework_SOW Items'!F99</f>
        <v>Delivered</v>
      </c>
      <c r="D99" t="str">
        <f>IFERROR(VLOOKUP(C99,Config!$A:$B,2,0),"Unknown")</f>
        <v>Delivered</v>
      </c>
      <c r="E99" t="str">
        <f>IFERROR(VLOOKUP(C99,Config!$A:$C,3,0),"N/A")</f>
        <v>Delivered</v>
      </c>
    </row>
    <row r="100" ht="15" customHeight="1" spans="1:5">
      <c r="A100" t="str">
        <f>'iWork,IBP &amp; Framework_SOW Items'!D100</f>
        <v>IBP</v>
      </c>
      <c r="B100" t="str">
        <f>'iWork,IBP &amp; Framework_SOW Items'!E100</f>
        <v>Milestone 4</v>
      </c>
      <c r="C100" t="str">
        <f>'iWork,IBP &amp; Framework_SOW Items'!F100</f>
        <v>Delivered</v>
      </c>
      <c r="D100" t="str">
        <f>IFERROR(VLOOKUP(C100,Config!$A:$B,2,0),"Unknown")</f>
        <v>Delivered</v>
      </c>
      <c r="E100" t="str">
        <f>IFERROR(VLOOKUP(C100,Config!$A:$C,3,0),"N/A")</f>
        <v>Delivered</v>
      </c>
    </row>
    <row r="101" ht="15" customHeight="1" spans="1:5">
      <c r="A101" t="str">
        <f>'iWork,IBP &amp; Framework_SOW Items'!D101</f>
        <v>IBP</v>
      </c>
      <c r="B101" t="str">
        <f>'iWork,IBP &amp; Framework_SOW Items'!E101</f>
        <v>Milestone 4</v>
      </c>
      <c r="C101" t="str">
        <f>'iWork,IBP &amp; Framework_SOW Items'!F101</f>
        <v>Delivered</v>
      </c>
      <c r="D101" t="str">
        <f>IFERROR(VLOOKUP(C101,Config!$A:$B,2,0),"Unknown")</f>
        <v>Delivered</v>
      </c>
      <c r="E101" t="str">
        <f>IFERROR(VLOOKUP(C101,Config!$A:$C,3,0),"N/A")</f>
        <v>Delivered</v>
      </c>
    </row>
    <row r="102" ht="15" customHeight="1" spans="1:5">
      <c r="A102" t="str">
        <f>'iWork,IBP &amp; Framework_SOW Items'!D102</f>
        <v>IBP</v>
      </c>
      <c r="B102" t="str">
        <f>'iWork,IBP &amp; Framework_SOW Items'!E102</f>
        <v>Milestone 4</v>
      </c>
      <c r="C102" t="str">
        <f>'iWork,IBP &amp; Framework_SOW Items'!F102</f>
        <v>Delivered</v>
      </c>
      <c r="D102" t="str">
        <f>IFERROR(VLOOKUP(C102,Config!$A:$B,2,0),"Unknown")</f>
        <v>Delivered</v>
      </c>
      <c r="E102" t="str">
        <f>IFERROR(VLOOKUP(C102,Config!$A:$C,3,0),"N/A")</f>
        <v>Delivered</v>
      </c>
    </row>
    <row r="103" ht="15" customHeight="1" spans="1:5">
      <c r="A103" t="str">
        <f>'iWork,IBP &amp; Framework_SOW Items'!D103</f>
        <v>IBP</v>
      </c>
      <c r="B103" t="str">
        <f>'iWork,IBP &amp; Framework_SOW Items'!E103</f>
        <v>Milestone 4</v>
      </c>
      <c r="C103" t="str">
        <f>'iWork,IBP &amp; Framework_SOW Items'!F103</f>
        <v>Delivered</v>
      </c>
      <c r="D103" t="str">
        <f>IFERROR(VLOOKUP(C103,Config!$A:$B,2,0),"Unknown")</f>
        <v>Delivered</v>
      </c>
      <c r="E103" t="str">
        <f>IFERROR(VLOOKUP(C103,Config!$A:$C,3,0),"N/A")</f>
        <v>Delivered</v>
      </c>
    </row>
    <row r="104" ht="15" customHeight="1" spans="1:5">
      <c r="A104" t="str">
        <f>'iWork,IBP &amp; Framework_SOW Items'!D104</f>
        <v>IBP</v>
      </c>
      <c r="B104" t="str">
        <f>'iWork,IBP &amp; Framework_SOW Items'!E104</f>
        <v>Milestone 4</v>
      </c>
      <c r="C104" t="str">
        <f>'iWork,IBP &amp; Framework_SOW Items'!F104</f>
        <v>Delivered</v>
      </c>
      <c r="D104" t="str">
        <f>IFERROR(VLOOKUP(C104,Config!$A:$B,2,0),"Unknown")</f>
        <v>Delivered</v>
      </c>
      <c r="E104" t="str">
        <f>IFERROR(VLOOKUP(C104,Config!$A:$C,3,0),"N/A")</f>
        <v>Delivered</v>
      </c>
    </row>
    <row r="105" ht="15" customHeight="1" spans="1:5">
      <c r="A105" t="str">
        <f>'iWork,IBP &amp; Framework_SOW Items'!D105</f>
        <v>IBP</v>
      </c>
      <c r="B105" t="str">
        <f>'iWork,IBP &amp; Framework_SOW Items'!E105</f>
        <v>Milestone 4</v>
      </c>
      <c r="C105" t="str">
        <f>'iWork,IBP &amp; Framework_SOW Items'!F105</f>
        <v>Delivered</v>
      </c>
      <c r="D105" t="str">
        <f>IFERROR(VLOOKUP(C105,Config!$A:$B,2,0),"Unknown")</f>
        <v>Delivered</v>
      </c>
      <c r="E105" t="str">
        <f>IFERROR(VLOOKUP(C105,Config!$A:$C,3,0),"N/A")</f>
        <v>Delivered</v>
      </c>
    </row>
    <row r="106" ht="15" customHeight="1" spans="1:5">
      <c r="A106" t="str">
        <f>'iWork,IBP &amp; Framework_SOW Items'!D106</f>
        <v>IBP</v>
      </c>
      <c r="B106" t="str">
        <f>'iWork,IBP &amp; Framework_SOW Items'!E106</f>
        <v>Milestone 4</v>
      </c>
      <c r="C106" t="str">
        <f>'iWork,IBP &amp; Framework_SOW Items'!F106</f>
        <v>Delivered</v>
      </c>
      <c r="D106" t="str">
        <f>IFERROR(VLOOKUP(C106,Config!$A:$B,2,0),"Unknown")</f>
        <v>Delivered</v>
      </c>
      <c r="E106" t="str">
        <f>IFERROR(VLOOKUP(C106,Config!$A:$C,3,0),"N/A")</f>
        <v>Delivered</v>
      </c>
    </row>
    <row r="107" ht="15" customHeight="1" spans="1:5">
      <c r="A107" t="str">
        <f>'iWork,IBP &amp; Framework_SOW Items'!D107</f>
        <v>IBP</v>
      </c>
      <c r="B107" t="str">
        <f>'iWork,IBP &amp; Framework_SOW Items'!E107</f>
        <v>Milestone 4</v>
      </c>
      <c r="C107" t="str">
        <f>'iWork,IBP &amp; Framework_SOW Items'!F107</f>
        <v>Delivered</v>
      </c>
      <c r="D107" t="str">
        <f>IFERROR(VLOOKUP(C107,Config!$A:$B,2,0),"Unknown")</f>
        <v>Delivered</v>
      </c>
      <c r="E107" t="str">
        <f>IFERROR(VLOOKUP(C107,Config!$A:$C,3,0),"N/A")</f>
        <v>Delivered</v>
      </c>
    </row>
    <row r="108" ht="15" customHeight="1" spans="1:5">
      <c r="A108" t="str">
        <f>'iWork,IBP &amp; Framework_SOW Items'!D108</f>
        <v>IBP</v>
      </c>
      <c r="B108" t="str">
        <f>'iWork,IBP &amp; Framework_SOW Items'!E108</f>
        <v>Milestone 4</v>
      </c>
      <c r="C108" t="str">
        <f>'iWork,IBP &amp; Framework_SOW Items'!F108</f>
        <v>Delivered</v>
      </c>
      <c r="D108" t="str">
        <f>IFERROR(VLOOKUP(C108,Config!$A:$B,2,0),"Unknown")</f>
        <v>Delivered</v>
      </c>
      <c r="E108" t="str">
        <f>IFERROR(VLOOKUP(C108,Config!$A:$C,3,0),"N/A")</f>
        <v>Delivered</v>
      </c>
    </row>
    <row r="109" ht="15" customHeight="1" spans="1:5">
      <c r="A109" t="str">
        <f>'iWork,IBP &amp; Framework_SOW Items'!D109</f>
        <v>IBP</v>
      </c>
      <c r="B109" t="str">
        <f>'iWork,IBP &amp; Framework_SOW Items'!E109</f>
        <v>Milestone 4</v>
      </c>
      <c r="C109" t="str">
        <f>'iWork,IBP &amp; Framework_SOW Items'!F109</f>
        <v>Delivered</v>
      </c>
      <c r="D109" t="str">
        <f>IFERROR(VLOOKUP(C109,Config!$A:$B,2,0),"Unknown")</f>
        <v>Delivered</v>
      </c>
      <c r="E109" t="str">
        <f>IFERROR(VLOOKUP(C109,Config!$A:$C,3,0),"N/A")</f>
        <v>Delivered</v>
      </c>
    </row>
    <row r="110" ht="15" customHeight="1" spans="1:5">
      <c r="A110" t="str">
        <f>'iWork,IBP &amp; Framework_SOW Items'!D110</f>
        <v>IBP/iWork</v>
      </c>
      <c r="B110" t="str">
        <f>'iWork,IBP &amp; Framework_SOW Items'!E110</f>
        <v>Milestone 4</v>
      </c>
      <c r="C110" t="str">
        <f>'iWork,IBP &amp; Framework_SOW Items'!F110</f>
        <v>Delivered</v>
      </c>
      <c r="D110" t="str">
        <f>IFERROR(VLOOKUP(C110,Config!$A:$B,2,0),"Unknown")</f>
        <v>Delivered</v>
      </c>
      <c r="E110" t="str">
        <f>IFERROR(VLOOKUP(C110,Config!$A:$C,3,0),"N/A")</f>
        <v>Delivered</v>
      </c>
    </row>
    <row r="111" ht="15" customHeight="1" spans="1:5">
      <c r="A111" t="str">
        <f>'iWork,IBP &amp; Framework_SOW Items'!D111</f>
        <v>IBP/iWork</v>
      </c>
      <c r="B111" t="str">
        <f>'iWork,IBP &amp; Framework_SOW Items'!E111</f>
        <v>Milestone 4</v>
      </c>
      <c r="C111" t="str">
        <f>'iWork,IBP &amp; Framework_SOW Items'!F111</f>
        <v>Dev - WIP</v>
      </c>
      <c r="D111" t="str">
        <f>IFERROR(VLOOKUP(C111,Config!$A:$B,2,0),"Unknown")</f>
        <v>In Development</v>
      </c>
      <c r="E111" t="str">
        <f>IFERROR(VLOOKUP(C111,Config!$A:$C,3,0),"N/A")</f>
        <v>Pending</v>
      </c>
    </row>
    <row r="112" ht="15" customHeight="1" spans="1:5">
      <c r="A112" t="str">
        <f>'iWork,IBP &amp; Framework_SOW Items'!D112</f>
        <v>IBP/iWork</v>
      </c>
      <c r="B112" t="str">
        <f>'iWork,IBP &amp; Framework_SOW Items'!E112</f>
        <v>Milestone 4</v>
      </c>
      <c r="C112" t="str">
        <f>'iWork,IBP &amp; Framework_SOW Items'!F112</f>
        <v>Delivered - Deficit</v>
      </c>
      <c r="D112" t="str">
        <f>IFERROR(VLOOKUP(C112,Config!$A:$B,2,0),"Unknown")</f>
        <v>Partial Delivery</v>
      </c>
      <c r="E112" t="str">
        <f>IFERROR(VLOOKUP(C112,Config!$A:$C,3,0),"N/A")</f>
        <v>Pending</v>
      </c>
    </row>
    <row r="113" ht="15" customHeight="1" spans="1:5">
      <c r="A113" t="str">
        <f>'iWork,IBP &amp; Framework_SOW Items'!D113</f>
        <v>IBP/iWork</v>
      </c>
      <c r="B113" t="str">
        <f>'iWork,IBP &amp; Framework_SOW Items'!E113</f>
        <v>Milestone 4</v>
      </c>
      <c r="C113" t="str">
        <f>'iWork,IBP &amp; Framework_SOW Items'!F113</f>
        <v>Yet to start</v>
      </c>
      <c r="D113" t="str">
        <f>IFERROR(VLOOKUP(C113,Config!$A:$B,2,0),"Unknown")</f>
        <v>Not Started</v>
      </c>
      <c r="E113" t="str">
        <f>IFERROR(VLOOKUP(C113,Config!$A:$C,3,0),"N/A")</f>
        <v>Pending</v>
      </c>
    </row>
    <row r="114" ht="15" customHeight="1" spans="1:5">
      <c r="A114" t="str">
        <f>'iWork,IBP &amp; Framework_SOW Items'!D114</f>
        <v>IBP/iWork</v>
      </c>
      <c r="B114" t="str">
        <f>'iWork,IBP &amp; Framework_SOW Items'!E114</f>
        <v>Milestone 4</v>
      </c>
      <c r="C114" t="str">
        <f>'iWork,IBP &amp; Framework_SOW Items'!F114</f>
        <v>Delivered</v>
      </c>
      <c r="D114" t="str">
        <f>IFERROR(VLOOKUP(C114,Config!$A:$B,2,0),"Unknown")</f>
        <v>Delivered</v>
      </c>
      <c r="E114" t="str">
        <f>IFERROR(VLOOKUP(C114,Config!$A:$C,3,0),"N/A")</f>
        <v>Delivered</v>
      </c>
    </row>
    <row r="115" ht="15" customHeight="1" spans="1:5">
      <c r="A115" t="str">
        <f>'iWork,IBP &amp; Framework_SOW Items'!D115</f>
        <v>IBP/iWork</v>
      </c>
      <c r="B115" t="str">
        <f>'iWork,IBP &amp; Framework_SOW Items'!E115</f>
        <v>Milestone 4</v>
      </c>
      <c r="C115" t="str">
        <f>'iWork,IBP &amp; Framework_SOW Items'!F115</f>
        <v>Delivered</v>
      </c>
      <c r="D115" t="str">
        <f>IFERROR(VLOOKUP(C115,Config!$A:$B,2,0),"Unknown")</f>
        <v>Delivered</v>
      </c>
      <c r="E115" t="str">
        <f>IFERROR(VLOOKUP(C115,Config!$A:$C,3,0),"N/A")</f>
        <v>Delivered</v>
      </c>
    </row>
    <row r="116" ht="15" customHeight="1" spans="1:5">
      <c r="A116" t="str">
        <f>'iWork,IBP &amp; Framework_SOW Items'!D116</f>
        <v>IBP/iWork</v>
      </c>
      <c r="B116" t="str">
        <f>'iWork,IBP &amp; Framework_SOW Items'!E116</f>
        <v>Milestone 4</v>
      </c>
      <c r="C116" t="str">
        <f>'iWork,IBP &amp; Framework_SOW Items'!F116</f>
        <v>Delivered</v>
      </c>
      <c r="D116" t="str">
        <f>IFERROR(VLOOKUP(C116,Config!$A:$B,2,0),"Unknown")</f>
        <v>Delivered</v>
      </c>
      <c r="E116" t="str">
        <f>IFERROR(VLOOKUP(C116,Config!$A:$C,3,0),"N/A")</f>
        <v>Delivered</v>
      </c>
    </row>
    <row r="117" ht="15" customHeight="1" spans="1:5">
      <c r="A117" t="str">
        <f>'iWork,IBP &amp; Framework_SOW Items'!D117</f>
        <v>IBP/iWork</v>
      </c>
      <c r="B117" t="str">
        <f>'iWork,IBP &amp; Framework_SOW Items'!E117</f>
        <v>Milestone 4</v>
      </c>
      <c r="C117" t="str">
        <f>'iWork,IBP &amp; Framework_SOW Items'!F117</f>
        <v>Delivered</v>
      </c>
      <c r="D117" t="str">
        <f>IFERROR(VLOOKUP(C117,Config!$A:$B,2,0),"Unknown")</f>
        <v>Delivered</v>
      </c>
      <c r="E117" t="str">
        <f>IFERROR(VLOOKUP(C117,Config!$A:$C,3,0),"N/A")</f>
        <v>Delivered</v>
      </c>
    </row>
    <row r="118" ht="15" customHeight="1" spans="1:5">
      <c r="A118" t="str">
        <f>'iWork,IBP &amp; Framework_SOW Items'!D118</f>
        <v>iWork</v>
      </c>
      <c r="B118" t="str">
        <f>'iWork,IBP &amp; Framework_SOW Items'!E118</f>
        <v>Milestone 4</v>
      </c>
      <c r="C118" t="str">
        <f>'iWork,IBP &amp; Framework_SOW Items'!F118</f>
        <v>Delivered</v>
      </c>
      <c r="D118" t="str">
        <f>IFERROR(VLOOKUP(C118,Config!$A:$B,2,0),"Unknown")</f>
        <v>Delivered</v>
      </c>
      <c r="E118" t="str">
        <f>IFERROR(VLOOKUP(C118,Config!$A:$C,3,0),"N/A")</f>
        <v>Delivered</v>
      </c>
    </row>
    <row r="119" ht="15" customHeight="1" spans="1:5">
      <c r="A119" t="str">
        <f>'iWork,IBP &amp; Framework_SOW Items'!D119</f>
        <v>iWork</v>
      </c>
      <c r="B119" t="str">
        <f>'iWork,IBP &amp; Framework_SOW Items'!E119</f>
        <v>Milestone 4</v>
      </c>
      <c r="C119" t="str">
        <f>'iWork,IBP &amp; Framework_SOW Items'!F119</f>
        <v>Delivered</v>
      </c>
      <c r="D119" t="str">
        <f>IFERROR(VLOOKUP(C119,Config!$A:$B,2,0),"Unknown")</f>
        <v>Delivered</v>
      </c>
      <c r="E119" t="str">
        <f>IFERROR(VLOOKUP(C119,Config!$A:$C,3,0),"N/A")</f>
        <v>Delivered</v>
      </c>
    </row>
    <row r="120" ht="15" customHeight="1" spans="1:5">
      <c r="A120" t="str">
        <f>'iWork,IBP &amp; Framework_SOW Items'!D120</f>
        <v>iWork</v>
      </c>
      <c r="B120" t="str">
        <f>'iWork,IBP &amp; Framework_SOW Items'!E120</f>
        <v>Milestone 4</v>
      </c>
      <c r="C120" t="str">
        <f>'iWork,IBP &amp; Framework_SOW Items'!F120</f>
        <v>Delivered</v>
      </c>
      <c r="D120" t="str">
        <f>IFERROR(VLOOKUP(C120,Config!$A:$B,2,0),"Unknown")</f>
        <v>Delivered</v>
      </c>
      <c r="E120" t="str">
        <f>IFERROR(VLOOKUP(C120,Config!$A:$C,3,0),"N/A")</f>
        <v>Delivered</v>
      </c>
    </row>
    <row r="121" ht="15" customHeight="1" spans="1:5">
      <c r="A121" t="str">
        <f>'iWork,IBP &amp; Framework_SOW Items'!D121</f>
        <v>iWork</v>
      </c>
      <c r="B121" t="str">
        <f>'iWork,IBP &amp; Framework_SOW Items'!E121</f>
        <v>Milestone 4</v>
      </c>
      <c r="C121" t="str">
        <f>'iWork,IBP &amp; Framework_SOW Items'!F121</f>
        <v>Delivered</v>
      </c>
      <c r="D121" t="str">
        <f>IFERROR(VLOOKUP(C121,Config!$A:$B,2,0),"Unknown")</f>
        <v>Delivered</v>
      </c>
      <c r="E121" t="str">
        <f>IFERROR(VLOOKUP(C121,Config!$A:$C,3,0),"N/A")</f>
        <v>Delivered</v>
      </c>
    </row>
    <row r="122" ht="15" customHeight="1" spans="1:5">
      <c r="A122" t="str">
        <f>'iWork,IBP &amp; Framework_SOW Items'!D122</f>
        <v>iWork</v>
      </c>
      <c r="B122" t="str">
        <f>'iWork,IBP &amp; Framework_SOW Items'!E122</f>
        <v>Milestone 4</v>
      </c>
      <c r="C122" t="str">
        <f>'iWork,IBP &amp; Framework_SOW Items'!F122</f>
        <v>Yet to start</v>
      </c>
      <c r="D122" t="str">
        <f>IFERROR(VLOOKUP(C122,Config!$A:$B,2,0),"Unknown")</f>
        <v>Not Started</v>
      </c>
      <c r="E122" t="str">
        <f>IFERROR(VLOOKUP(C122,Config!$A:$C,3,0),"N/A")</f>
        <v>Pending</v>
      </c>
    </row>
    <row r="123" ht="15" customHeight="1" spans="1:5">
      <c r="A123" t="str">
        <f>'iWork,IBP &amp; Framework_SOW Items'!D123</f>
        <v>iWork</v>
      </c>
      <c r="B123" t="str">
        <f>'iWork,IBP &amp; Framework_SOW Items'!E123</f>
        <v>Milestone 4</v>
      </c>
      <c r="C123" t="str">
        <f>'iWork,IBP &amp; Framework_SOW Items'!F123</f>
        <v>Yet to start</v>
      </c>
      <c r="D123" t="str">
        <f>IFERROR(VLOOKUP(C123,Config!$A:$B,2,0),"Unknown")</f>
        <v>Not Started</v>
      </c>
      <c r="E123" t="str">
        <f>IFERROR(VLOOKUP(C123,Config!$A:$C,3,0),"N/A")</f>
        <v>Pending</v>
      </c>
    </row>
    <row r="124" ht="15" customHeight="1" spans="1:5">
      <c r="A124" t="str">
        <f>'iWork,IBP &amp; Framework_SOW Items'!D124</f>
        <v>iWork</v>
      </c>
      <c r="B124" t="str">
        <f>'iWork,IBP &amp; Framework_SOW Items'!E124</f>
        <v>Milestone 4</v>
      </c>
      <c r="C124" t="str">
        <f>'iWork,IBP &amp; Framework_SOW Items'!F124</f>
        <v>Delivered - Deficit</v>
      </c>
      <c r="D124" t="str">
        <f>IFERROR(VLOOKUP(C124,Config!$A:$B,2,0),"Unknown")</f>
        <v>Partial Delivery</v>
      </c>
      <c r="E124" t="str">
        <f>IFERROR(VLOOKUP(C124,Config!$A:$C,3,0),"N/A")</f>
        <v>Pending</v>
      </c>
    </row>
    <row r="125" ht="15" customHeight="1" spans="1:5">
      <c r="A125" t="str">
        <f>'iWork,IBP &amp; Framework_SOW Items'!D125</f>
        <v>iWork</v>
      </c>
      <c r="B125" t="str">
        <f>'iWork,IBP &amp; Framework_SOW Items'!E125</f>
        <v>Milestone 4</v>
      </c>
      <c r="C125" t="str">
        <f>'iWork,IBP &amp; Framework_SOW Items'!F125</f>
        <v>Yet to start</v>
      </c>
      <c r="D125" t="str">
        <f>IFERROR(VLOOKUP(C125,Config!$A:$B,2,0),"Unknown")</f>
        <v>Not Started</v>
      </c>
      <c r="E125" t="str">
        <f>IFERROR(VLOOKUP(C125,Config!$A:$C,3,0),"N/A")</f>
        <v>Pending</v>
      </c>
    </row>
    <row r="126" ht="15" customHeight="1" spans="1:5">
      <c r="A126" t="str">
        <f>'iWork,IBP &amp; Framework_SOW Items'!D126</f>
        <v>iWork</v>
      </c>
      <c r="B126" t="str">
        <f>'iWork,IBP &amp; Framework_SOW Items'!E126</f>
        <v>Milestone 4</v>
      </c>
      <c r="C126" t="str">
        <f>'iWork,IBP &amp; Framework_SOW Items'!F126</f>
        <v>Delivered</v>
      </c>
      <c r="D126" t="str">
        <f>IFERROR(VLOOKUP(C126,Config!$A:$B,2,0),"Unknown")</f>
        <v>Delivered</v>
      </c>
      <c r="E126" t="str">
        <f>IFERROR(VLOOKUP(C126,Config!$A:$C,3,0),"N/A")</f>
        <v>Delivered</v>
      </c>
    </row>
    <row r="127" ht="15" customHeight="1" spans="1:5">
      <c r="A127" t="str">
        <f>'iWork,IBP &amp; Framework_SOW Items'!D127</f>
        <v>iWork</v>
      </c>
      <c r="B127" t="str">
        <f>'iWork,IBP &amp; Framework_SOW Items'!E127</f>
        <v>Milestone 4</v>
      </c>
      <c r="C127" t="str">
        <f>'iWork,IBP &amp; Framework_SOW Items'!F127</f>
        <v>Delivered</v>
      </c>
      <c r="D127" t="str">
        <f>IFERROR(VLOOKUP(C127,Config!$A:$B,2,0),"Unknown")</f>
        <v>Delivered</v>
      </c>
      <c r="E127" t="str">
        <f>IFERROR(VLOOKUP(C127,Config!$A:$C,3,0),"N/A")</f>
        <v>Delivered</v>
      </c>
    </row>
    <row r="128" ht="15" customHeight="1" spans="1:5">
      <c r="A128" t="str">
        <f>'iWork,IBP &amp; Framework_SOW Items'!D128</f>
        <v>iWork</v>
      </c>
      <c r="B128" t="str">
        <f>'iWork,IBP &amp; Framework_SOW Items'!E128</f>
        <v>Milestone 4</v>
      </c>
      <c r="C128" t="str">
        <f>'iWork,IBP &amp; Framework_SOW Items'!F128</f>
        <v>Delivered</v>
      </c>
      <c r="D128" t="str">
        <f>IFERROR(VLOOKUP(C128,Config!$A:$B,2,0),"Unknown")</f>
        <v>Delivered</v>
      </c>
      <c r="E128" t="str">
        <f>IFERROR(VLOOKUP(C128,Config!$A:$C,3,0),"N/A")</f>
        <v>Delivered</v>
      </c>
    </row>
    <row r="129" ht="15" customHeight="1" spans="1:5">
      <c r="A129" t="str">
        <f>'iWork,IBP &amp; Framework_SOW Items'!D129</f>
        <v>DPDP</v>
      </c>
      <c r="B129" t="str">
        <f>'iWork,IBP &amp; Framework_SOW Items'!E129</f>
        <v>Milestone 5</v>
      </c>
      <c r="C129" t="str">
        <f>'iWork,IBP &amp; Framework_SOW Items'!F129</f>
        <v>Dev - Done</v>
      </c>
      <c r="D129" t="str">
        <f>IFERROR(VLOOKUP(C129,Config!$A:$B,2,0),"Unknown")</f>
        <v>Dev Complete</v>
      </c>
      <c r="E129" t="str">
        <f>IFERROR(VLOOKUP(C129,Config!$A:$C,3,0),"N/A")</f>
        <v>Delivered</v>
      </c>
    </row>
    <row r="130" ht="15" customHeight="1" spans="1:5">
      <c r="A130" t="str">
        <f>'iWork,IBP &amp; Framework_SOW Items'!D130</f>
        <v>DPDP</v>
      </c>
      <c r="B130" t="str">
        <f>'iWork,IBP &amp; Framework_SOW Items'!E130</f>
        <v>Milestone 5</v>
      </c>
      <c r="C130" t="str">
        <f>'iWork,IBP &amp; Framework_SOW Items'!F130</f>
        <v>Dev - Done</v>
      </c>
      <c r="D130" t="str">
        <f>IFERROR(VLOOKUP(C130,Config!$A:$B,2,0),"Unknown")</f>
        <v>Dev Complete</v>
      </c>
      <c r="E130" t="str">
        <f>IFERROR(VLOOKUP(C130,Config!$A:$C,3,0),"N/A")</f>
        <v>Delivered</v>
      </c>
    </row>
    <row r="131" ht="15" customHeight="1" spans="1:5">
      <c r="A131" t="str">
        <f>'iWork,IBP &amp; Framework_SOW Items'!D131</f>
        <v>DPDP</v>
      </c>
      <c r="B131" t="str">
        <f>'iWork,IBP &amp; Framework_SOW Items'!E131</f>
        <v>Milestone 5</v>
      </c>
      <c r="C131" t="str">
        <f>'iWork,IBP &amp; Framework_SOW Items'!F131</f>
        <v>Dev - Done</v>
      </c>
      <c r="D131" t="str">
        <f>IFERROR(VLOOKUP(C131,Config!$A:$B,2,0),"Unknown")</f>
        <v>Dev Complete</v>
      </c>
      <c r="E131" t="str">
        <f>IFERROR(VLOOKUP(C131,Config!$A:$C,3,0),"N/A")</f>
        <v>Delivered</v>
      </c>
    </row>
    <row r="132" ht="15" customHeight="1" spans="1:5">
      <c r="A132" t="str">
        <f>'iWork,IBP &amp; Framework_SOW Items'!D132</f>
        <v>DPDP</v>
      </c>
      <c r="B132" t="str">
        <f>'iWork,IBP &amp; Framework_SOW Items'!E132</f>
        <v>Milestone 5</v>
      </c>
      <c r="C132" t="str">
        <f>'iWork,IBP &amp; Framework_SOW Items'!F132</f>
        <v>Dev - Done</v>
      </c>
      <c r="D132" t="str">
        <f>IFERROR(VLOOKUP(C132,Config!$A:$B,2,0),"Unknown")</f>
        <v>Dev Complete</v>
      </c>
      <c r="E132" t="str">
        <f>IFERROR(VLOOKUP(C132,Config!$A:$C,3,0),"N/A")</f>
        <v>Delivered</v>
      </c>
    </row>
    <row r="133" ht="15" customHeight="1" spans="1:5">
      <c r="A133" t="str">
        <f>'iWork,IBP &amp; Framework_SOW Items'!D133</f>
        <v>DPDP</v>
      </c>
      <c r="B133" t="str">
        <f>'iWork,IBP &amp; Framework_SOW Items'!E133</f>
        <v>Milestone 5</v>
      </c>
      <c r="C133" t="str">
        <f>'iWork,IBP &amp; Framework_SOW Items'!F133</f>
        <v>Dev - WIP</v>
      </c>
      <c r="D133" t="str">
        <f>IFERROR(VLOOKUP(C133,Config!$A:$B,2,0),"Unknown")</f>
        <v>In Development</v>
      </c>
      <c r="E133" t="str">
        <f>IFERROR(VLOOKUP(C133,Config!$A:$C,3,0),"N/A")</f>
        <v>Pending</v>
      </c>
    </row>
    <row r="134" ht="15" customHeight="1" spans="1:5">
      <c r="A134" t="str">
        <f>'iWork,IBP &amp; Framework_SOW Items'!D134</f>
        <v>DPDP</v>
      </c>
      <c r="B134" t="str">
        <f>'iWork,IBP &amp; Framework_SOW Items'!E134</f>
        <v>Milestone 5</v>
      </c>
      <c r="C134" t="str">
        <f>'iWork,IBP &amp; Framework_SOW Items'!F134</f>
        <v>Dev - WIP</v>
      </c>
      <c r="D134" t="str">
        <f>IFERROR(VLOOKUP(C134,Config!$A:$B,2,0),"Unknown")</f>
        <v>In Development</v>
      </c>
      <c r="E134" t="str">
        <f>IFERROR(VLOOKUP(C134,Config!$A:$C,3,0),"N/A")</f>
        <v>Pending</v>
      </c>
    </row>
    <row r="135" ht="15" customHeight="1" spans="1:5">
      <c r="A135" t="str">
        <f>'iWork,IBP &amp; Framework_SOW Items'!D135</f>
        <v>DPDP</v>
      </c>
      <c r="B135" t="str">
        <f>'iWork,IBP &amp; Framework_SOW Items'!E135</f>
        <v>Milestone 5</v>
      </c>
      <c r="C135" t="str">
        <f>'iWork,IBP &amp; Framework_SOW Items'!F135</f>
        <v>Pre-PROD</v>
      </c>
      <c r="D135" t="str">
        <f>IFERROR(VLOOKUP(C135,Config!$A:$B,2,0),"Unknown")</f>
        <v>Pre-PROD / UAT</v>
      </c>
      <c r="E135" t="str">
        <f>IFERROR(VLOOKUP(C135,Config!$A:$C,3,0),"N/A")</f>
        <v>Pending</v>
      </c>
    </row>
    <row r="136" ht="15" customHeight="1" spans="1:5">
      <c r="A136" t="str">
        <f>'iWork,IBP &amp; Framework_SOW Items'!D136</f>
        <v>DPDP</v>
      </c>
      <c r="B136" t="str">
        <f>'iWork,IBP &amp; Framework_SOW Items'!E136</f>
        <v>Milestone 5</v>
      </c>
      <c r="C136" t="str">
        <f>'iWork,IBP &amp; Framework_SOW Items'!F136</f>
        <v>Yet to start</v>
      </c>
      <c r="D136" t="str">
        <f>IFERROR(VLOOKUP(C136,Config!$A:$B,2,0),"Unknown")</f>
        <v>Not Started</v>
      </c>
      <c r="E136" t="str">
        <f>IFERROR(VLOOKUP(C136,Config!$A:$C,3,0),"N/A")</f>
        <v>Pending</v>
      </c>
    </row>
    <row r="137" ht="15" customHeight="1" spans="1:5">
      <c r="A137" t="str">
        <f>'iWork,IBP &amp; Framework_SOW Items'!D137</f>
        <v>DPDP</v>
      </c>
      <c r="B137" t="str">
        <f>'iWork,IBP &amp; Framework_SOW Items'!E137</f>
        <v>Milestone 5</v>
      </c>
      <c r="C137" t="str">
        <f>'iWork,IBP &amp; Framework_SOW Items'!F137</f>
        <v>Yet to start</v>
      </c>
      <c r="D137" t="str">
        <f>IFERROR(VLOOKUP(C137,Config!$A:$B,2,0),"Unknown")</f>
        <v>Not Started</v>
      </c>
      <c r="E137" t="str">
        <f>IFERROR(VLOOKUP(C137,Config!$A:$C,3,0),"N/A")</f>
        <v>Pending</v>
      </c>
    </row>
    <row r="138" ht="15" customHeight="1" spans="1:5">
      <c r="A138" t="str">
        <f>'iWork,IBP &amp; Framework_SOW Items'!D138</f>
        <v>DPDP</v>
      </c>
      <c r="B138" t="str">
        <f>'iWork,IBP &amp; Framework_SOW Items'!E138</f>
        <v>Milestone 5</v>
      </c>
      <c r="C138" t="str">
        <f>'iWork,IBP &amp; Framework_SOW Items'!F138</f>
        <v>Yet to start</v>
      </c>
      <c r="D138" t="str">
        <f>IFERROR(VLOOKUP(C138,Config!$A:$B,2,0),"Unknown")</f>
        <v>Not Started</v>
      </c>
      <c r="E138" t="str">
        <f>IFERROR(VLOOKUP(C138,Config!$A:$C,3,0),"N/A")</f>
        <v>Pending</v>
      </c>
    </row>
    <row r="139" ht="15" customHeight="1" spans="1:5">
      <c r="A139" t="str">
        <f>'iWork,IBP &amp; Framework_SOW Items'!D139</f>
        <v>DPDP</v>
      </c>
      <c r="B139" t="str">
        <f>'iWork,IBP &amp; Framework_SOW Items'!E139</f>
        <v>Milestone 5</v>
      </c>
      <c r="C139" t="str">
        <f>'iWork,IBP &amp; Framework_SOW Items'!F139</f>
        <v>Dev - Done</v>
      </c>
      <c r="D139" t="str">
        <f>IFERROR(VLOOKUP(C139,Config!$A:$B,2,0),"Unknown")</f>
        <v>Dev Complete</v>
      </c>
      <c r="E139" t="str">
        <f>IFERROR(VLOOKUP(C139,Config!$A:$C,3,0),"N/A")</f>
        <v>Delivered</v>
      </c>
    </row>
    <row r="140" ht="15" customHeight="1" spans="1:5">
      <c r="A140" t="str">
        <f>'iWork,IBP &amp; Framework_SOW Items'!D140</f>
        <v>DPDP</v>
      </c>
      <c r="B140" t="str">
        <f>'iWork,IBP &amp; Framework_SOW Items'!E140</f>
        <v>Milestone 5</v>
      </c>
      <c r="C140" t="str">
        <f>'iWork,IBP &amp; Framework_SOW Items'!F140</f>
        <v>QA - WIP</v>
      </c>
      <c r="D140" t="str">
        <f>IFERROR(VLOOKUP(C140,Config!$A:$B,2,0),"Unknown")</f>
        <v>In QA</v>
      </c>
      <c r="E140" t="str">
        <f>IFERROR(VLOOKUP(C140,Config!$A:$C,3,0),"N/A")</f>
        <v>Pending</v>
      </c>
    </row>
    <row r="141" ht="15" customHeight="1" spans="1:5">
      <c r="A141" t="str">
        <f>'iWork,IBP &amp; Framework_SOW Items'!D141</f>
        <v>DPDP</v>
      </c>
      <c r="B141" t="str">
        <f>'iWork,IBP &amp; Framework_SOW Items'!E141</f>
        <v>Milestone 5</v>
      </c>
      <c r="C141" t="str">
        <f>'iWork,IBP &amp; Framework_SOW Items'!F141</f>
        <v>Yet to start</v>
      </c>
      <c r="D141" t="str">
        <f>IFERROR(VLOOKUP(C141,Config!$A:$B,2,0),"Unknown")</f>
        <v>Not Started</v>
      </c>
      <c r="E141" t="str">
        <f>IFERROR(VLOOKUP(C141,Config!$A:$C,3,0),"N/A")</f>
        <v>Pending</v>
      </c>
    </row>
    <row r="142" ht="15" customHeight="1" spans="1:5">
      <c r="A142" t="str">
        <f>'iWork,IBP &amp; Framework_SOW Items'!D142</f>
        <v>DPDP</v>
      </c>
      <c r="B142" t="str">
        <f>'iWork,IBP &amp; Framework_SOW Items'!E142</f>
        <v>Milestone 5</v>
      </c>
      <c r="C142" t="str">
        <f>'iWork,IBP &amp; Framework_SOW Items'!F142</f>
        <v>Yet to start</v>
      </c>
      <c r="D142" t="str">
        <f>IFERROR(VLOOKUP(C142,Config!$A:$B,2,0),"Unknown")</f>
        <v>Not Started</v>
      </c>
      <c r="E142" t="str">
        <f>IFERROR(VLOOKUP(C142,Config!$A:$C,3,0),"N/A")</f>
        <v>Pending</v>
      </c>
    </row>
    <row r="143" ht="15" customHeight="1" spans="1:5">
      <c r="A143" t="str">
        <f>'iWork,IBP &amp; Framework_SOW Items'!D143</f>
        <v>DPDP</v>
      </c>
      <c r="B143" t="str">
        <f>'iWork,IBP &amp; Framework_SOW Items'!E143</f>
        <v>Milestone 5</v>
      </c>
      <c r="C143" t="str">
        <f>'iWork,IBP &amp; Framework_SOW Items'!F143</f>
        <v>Yet to start</v>
      </c>
      <c r="D143" t="str">
        <f>IFERROR(VLOOKUP(C143,Config!$A:$B,2,0),"Unknown")</f>
        <v>Not Started</v>
      </c>
      <c r="E143" t="str">
        <f>IFERROR(VLOOKUP(C143,Config!$A:$C,3,0),"N/A")</f>
        <v>Pending</v>
      </c>
    </row>
    <row r="144" ht="15" customHeight="1" spans="1:5">
      <c r="A144" t="str">
        <f>'iWork,IBP &amp; Framework_SOW Items'!D144</f>
        <v>DPDP</v>
      </c>
      <c r="B144" t="str">
        <f>'iWork,IBP &amp; Framework_SOW Items'!E144</f>
        <v>Milestone 5</v>
      </c>
      <c r="C144" t="str">
        <f>'iWork,IBP &amp; Framework_SOW Items'!F144</f>
        <v>Yet to start</v>
      </c>
      <c r="D144" t="str">
        <f>IFERROR(VLOOKUP(C144,Config!$A:$B,2,0),"Unknown")</f>
        <v>Not Started</v>
      </c>
      <c r="E144" t="str">
        <f>IFERROR(VLOOKUP(C144,Config!$A:$C,3,0),"N/A")</f>
        <v>Pending</v>
      </c>
    </row>
    <row r="145" ht="15" customHeight="1" spans="1:5">
      <c r="A145" t="str">
        <f>'iWork,IBP &amp; Framework_SOW Items'!D145</f>
        <v>DPDP</v>
      </c>
      <c r="B145" t="str">
        <f>'iWork,IBP &amp; Framework_SOW Items'!E145</f>
        <v>Milestone 5</v>
      </c>
      <c r="C145" t="str">
        <f>'iWork,IBP &amp; Framework_SOW Items'!F145</f>
        <v>Yet to start</v>
      </c>
      <c r="D145" t="str">
        <f>IFERROR(VLOOKUP(C145,Config!$A:$B,2,0),"Unknown")</f>
        <v>Not Started</v>
      </c>
      <c r="E145" t="str">
        <f>IFERROR(VLOOKUP(C145,Config!$A:$C,3,0),"N/A")</f>
        <v>Pending</v>
      </c>
    </row>
    <row r="146" ht="15" customHeight="1" spans="1:5">
      <c r="A146" t="str">
        <f>'iWork,IBP &amp; Framework_SOW Items'!D146</f>
        <v>DPDP</v>
      </c>
      <c r="B146" t="str">
        <f>'iWork,IBP &amp; Framework_SOW Items'!E146</f>
        <v>Milestone 5</v>
      </c>
      <c r="C146" t="str">
        <f>'iWork,IBP &amp; Framework_SOW Items'!F146</f>
        <v>Dev - WIP</v>
      </c>
      <c r="D146" t="str">
        <f>IFERROR(VLOOKUP(C146,Config!$A:$B,2,0),"Unknown")</f>
        <v>In Development</v>
      </c>
      <c r="E146" t="str">
        <f>IFERROR(VLOOKUP(C146,Config!$A:$C,3,0),"N/A")</f>
        <v>Pending</v>
      </c>
    </row>
    <row r="147" ht="15" customHeight="1" spans="1:5">
      <c r="A147" t="str">
        <f>'iWork,IBP &amp; Framework_SOW Items'!D147</f>
        <v>IBP</v>
      </c>
      <c r="B147" t="str">
        <f>'iWork,IBP &amp; Framework_SOW Items'!E147</f>
        <v>Milestone 5</v>
      </c>
      <c r="C147" t="str">
        <f>'iWork,IBP &amp; Framework_SOW Items'!F147</f>
        <v>Delivered</v>
      </c>
      <c r="D147" t="str">
        <f>IFERROR(VLOOKUP(C147,Config!$A:$B,2,0),"Unknown")</f>
        <v>Delivered</v>
      </c>
      <c r="E147" t="str">
        <f>IFERROR(VLOOKUP(C147,Config!$A:$C,3,0),"N/A")</f>
        <v>Delivered</v>
      </c>
    </row>
    <row r="148" ht="15" customHeight="1" spans="1:5">
      <c r="A148" t="str">
        <f>'iWork,IBP &amp; Framework_SOW Items'!D148</f>
        <v>IBP</v>
      </c>
      <c r="B148" t="str">
        <f>'iWork,IBP &amp; Framework_SOW Items'!E148</f>
        <v>Milestone 5</v>
      </c>
      <c r="C148" t="str">
        <f>'iWork,IBP &amp; Framework_SOW Items'!F148</f>
        <v>Delivered</v>
      </c>
      <c r="D148" t="str">
        <f>IFERROR(VLOOKUP(C148,Config!$A:$B,2,0),"Unknown")</f>
        <v>Delivered</v>
      </c>
      <c r="E148" t="str">
        <f>IFERROR(VLOOKUP(C148,Config!$A:$C,3,0),"N/A")</f>
        <v>Delivered</v>
      </c>
    </row>
    <row r="149" ht="15" customHeight="1" spans="1:5">
      <c r="A149" t="str">
        <f>'iWork,IBP &amp; Framework_SOW Items'!D149</f>
        <v>IBP</v>
      </c>
      <c r="B149" t="str">
        <f>'iWork,IBP &amp; Framework_SOW Items'!E149</f>
        <v>Milestone 5</v>
      </c>
      <c r="C149" t="str">
        <f>'iWork,IBP &amp; Framework_SOW Items'!F149</f>
        <v>Delivered</v>
      </c>
      <c r="D149" t="str">
        <f>IFERROR(VLOOKUP(C149,Config!$A:$B,2,0),"Unknown")</f>
        <v>Delivered</v>
      </c>
      <c r="E149" t="str">
        <f>IFERROR(VLOOKUP(C149,Config!$A:$C,3,0),"N/A")</f>
        <v>Delivered</v>
      </c>
    </row>
    <row r="150" ht="15" customHeight="1" spans="1:5">
      <c r="A150" t="str">
        <f>'iWork,IBP &amp; Framework_SOW Items'!D150</f>
        <v>IBP</v>
      </c>
      <c r="B150" t="str">
        <f>'iWork,IBP &amp; Framework_SOW Items'!E150</f>
        <v>Milestone 5</v>
      </c>
      <c r="C150" t="str">
        <f>'iWork,IBP &amp; Framework_SOW Items'!F150</f>
        <v>Yet to start</v>
      </c>
      <c r="D150" t="str">
        <f>IFERROR(VLOOKUP(C150,Config!$A:$B,2,0),"Unknown")</f>
        <v>Not Started</v>
      </c>
      <c r="E150" t="str">
        <f>IFERROR(VLOOKUP(C150,Config!$A:$C,3,0),"N/A")</f>
        <v>Pending</v>
      </c>
    </row>
    <row r="151" ht="15" customHeight="1" spans="1:5">
      <c r="A151" t="str">
        <f>'iWork,IBP &amp; Framework_SOW Items'!D151</f>
        <v>IBP</v>
      </c>
      <c r="B151" t="str">
        <f>'iWork,IBP &amp; Framework_SOW Items'!E151</f>
        <v>Milestone 5</v>
      </c>
      <c r="C151" t="str">
        <f>'iWork,IBP &amp; Framework_SOW Items'!F151</f>
        <v>Delivered</v>
      </c>
      <c r="D151" t="str">
        <f>IFERROR(VLOOKUP(C151,Config!$A:$B,2,0),"Unknown")</f>
        <v>Delivered</v>
      </c>
      <c r="E151" t="str">
        <f>IFERROR(VLOOKUP(C151,Config!$A:$C,3,0),"N/A")</f>
        <v>Delivered</v>
      </c>
    </row>
    <row r="152" ht="15" customHeight="1" spans="1:5">
      <c r="A152" t="str">
        <f>'iWork,IBP &amp; Framework_SOW Items'!D152</f>
        <v>IBP</v>
      </c>
      <c r="B152" t="str">
        <f>'iWork,IBP &amp; Framework_SOW Items'!E152</f>
        <v>Milestone 5</v>
      </c>
      <c r="C152" t="str">
        <f>'iWork,IBP &amp; Framework_SOW Items'!F152</f>
        <v>Delivered</v>
      </c>
      <c r="D152" t="str">
        <f>IFERROR(VLOOKUP(C152,Config!$A:$B,2,0),"Unknown")</f>
        <v>Delivered</v>
      </c>
      <c r="E152" t="str">
        <f>IFERROR(VLOOKUP(C152,Config!$A:$C,3,0),"N/A")</f>
        <v>Delivered</v>
      </c>
    </row>
    <row r="153" ht="15" customHeight="1" spans="1:5">
      <c r="A153" t="str">
        <f>'iWork,IBP &amp; Framework_SOW Items'!D153</f>
        <v>IBP</v>
      </c>
      <c r="B153" t="str">
        <f>'iWork,IBP &amp; Framework_SOW Items'!E153</f>
        <v>Milestone 5</v>
      </c>
      <c r="C153" t="str">
        <f>'iWork,IBP &amp; Framework_SOW Items'!F153</f>
        <v>Delivered</v>
      </c>
      <c r="D153" t="str">
        <f>IFERROR(VLOOKUP(C153,Config!$A:$B,2,0),"Unknown")</f>
        <v>Delivered</v>
      </c>
      <c r="E153" t="str">
        <f>IFERROR(VLOOKUP(C153,Config!$A:$C,3,0),"N/A")</f>
        <v>Delivered</v>
      </c>
    </row>
    <row r="154" ht="15" customHeight="1" spans="1:5">
      <c r="A154" t="str">
        <f>'iWork,IBP &amp; Framework_SOW Items'!D154</f>
        <v>IBP</v>
      </c>
      <c r="B154" t="str">
        <f>'iWork,IBP &amp; Framework_SOW Items'!E154</f>
        <v>Milestone 5</v>
      </c>
      <c r="C154" t="str">
        <f>'iWork,IBP &amp; Framework_SOW Items'!F154</f>
        <v>Delivered</v>
      </c>
      <c r="D154" t="str">
        <f>IFERROR(VLOOKUP(C154,Config!$A:$B,2,0),"Unknown")</f>
        <v>Delivered</v>
      </c>
      <c r="E154" t="str">
        <f>IFERROR(VLOOKUP(C154,Config!$A:$C,3,0),"N/A")</f>
        <v>Delivered</v>
      </c>
    </row>
    <row r="155" ht="15" customHeight="1" spans="1:5">
      <c r="A155" t="str">
        <f>'iWork,IBP &amp; Framework_SOW Items'!D155</f>
        <v>IBP</v>
      </c>
      <c r="B155" t="str">
        <f>'iWork,IBP &amp; Framework_SOW Items'!E155</f>
        <v>Milestone 5</v>
      </c>
      <c r="C155" t="str">
        <f>'iWork,IBP &amp; Framework_SOW Items'!F155</f>
        <v>Delivered - Deficit</v>
      </c>
      <c r="D155" t="str">
        <f>IFERROR(VLOOKUP(C155,Config!$A:$B,2,0),"Unknown")</f>
        <v>Partial Delivery</v>
      </c>
      <c r="E155" t="str">
        <f>IFERROR(VLOOKUP(C155,Config!$A:$C,3,0),"N/A")</f>
        <v>Pending</v>
      </c>
    </row>
    <row r="156" ht="15" customHeight="1" spans="1:5">
      <c r="A156" t="str">
        <f>'iWork,IBP &amp; Framework_SOW Items'!D156</f>
        <v>IBP</v>
      </c>
      <c r="B156" t="str">
        <f>'iWork,IBP &amp; Framework_SOW Items'!E156</f>
        <v>Milestone 5</v>
      </c>
      <c r="C156" t="str">
        <f>'iWork,IBP &amp; Framework_SOW Items'!F156</f>
        <v>Delivered - Deficit</v>
      </c>
      <c r="D156" t="str">
        <f>IFERROR(VLOOKUP(C156,Config!$A:$B,2,0),"Unknown")</f>
        <v>Partial Delivery</v>
      </c>
      <c r="E156" t="str">
        <f>IFERROR(VLOOKUP(C156,Config!$A:$C,3,0),"N/A")</f>
        <v>Pending</v>
      </c>
    </row>
    <row r="157" ht="15" customHeight="1" spans="1:5">
      <c r="A157" t="str">
        <f>'iWork,IBP &amp; Framework_SOW Items'!D157</f>
        <v>IBP</v>
      </c>
      <c r="B157" t="str">
        <f>'iWork,IBP &amp; Framework_SOW Items'!E157</f>
        <v>Milestone 5</v>
      </c>
      <c r="C157" t="str">
        <f>'iWork,IBP &amp; Framework_SOW Items'!F157</f>
        <v>Delivered - Deficit</v>
      </c>
      <c r="D157" t="str">
        <f>IFERROR(VLOOKUP(C157,Config!$A:$B,2,0),"Unknown")</f>
        <v>Partial Delivery</v>
      </c>
      <c r="E157" t="str">
        <f>IFERROR(VLOOKUP(C157,Config!$A:$C,3,0),"N/A")</f>
        <v>Pending</v>
      </c>
    </row>
    <row r="158" ht="15" customHeight="1" spans="1:5">
      <c r="A158" t="str">
        <f>'iWork,IBP &amp; Framework_SOW Items'!D158</f>
        <v>IBP</v>
      </c>
      <c r="B158" t="str">
        <f>'iWork,IBP &amp; Framework_SOW Items'!E158</f>
        <v>Milestone 5</v>
      </c>
      <c r="C158" t="str">
        <f>'iWork,IBP &amp; Framework_SOW Items'!F158</f>
        <v>Delivered - Deficit</v>
      </c>
      <c r="D158" t="str">
        <f>IFERROR(VLOOKUP(C158,Config!$A:$B,2,0),"Unknown")</f>
        <v>Partial Delivery</v>
      </c>
      <c r="E158" t="str">
        <f>IFERROR(VLOOKUP(C158,Config!$A:$C,3,0),"N/A")</f>
        <v>Pending</v>
      </c>
    </row>
    <row r="159" ht="15" customHeight="1" spans="1:5">
      <c r="A159" t="str">
        <f>'iWork,IBP &amp; Framework_SOW Items'!D159</f>
        <v>IBP</v>
      </c>
      <c r="B159" t="str">
        <f>'iWork,IBP &amp; Framework_SOW Items'!E159</f>
        <v>Milestone 5</v>
      </c>
      <c r="C159" t="str">
        <f>'iWork,IBP &amp; Framework_SOW Items'!F159</f>
        <v>Delivered - Deficit</v>
      </c>
      <c r="D159" t="str">
        <f>IFERROR(VLOOKUP(C159,Config!$A:$B,2,0),"Unknown")</f>
        <v>Partial Delivery</v>
      </c>
      <c r="E159" t="str">
        <f>IFERROR(VLOOKUP(C159,Config!$A:$C,3,0),"N/A")</f>
        <v>Pending</v>
      </c>
    </row>
    <row r="160" ht="15" customHeight="1" spans="1:5">
      <c r="A160" t="str">
        <f>'iWork,IBP &amp; Framework_SOW Items'!D160</f>
        <v>IBP</v>
      </c>
      <c r="B160" t="str">
        <f>'iWork,IBP &amp; Framework_SOW Items'!E160</f>
        <v>Milestone 5</v>
      </c>
      <c r="C160" t="str">
        <f>'iWork,IBP &amp; Framework_SOW Items'!F160</f>
        <v>Yet to start</v>
      </c>
      <c r="D160" t="str">
        <f>IFERROR(VLOOKUP(C160,Config!$A:$B,2,0),"Unknown")</f>
        <v>Not Started</v>
      </c>
      <c r="E160" t="str">
        <f>IFERROR(VLOOKUP(C160,Config!$A:$C,3,0),"N/A")</f>
        <v>Pending</v>
      </c>
    </row>
    <row r="161" ht="15" customHeight="1" spans="1:5">
      <c r="A161" t="str">
        <f>'iWork,IBP &amp; Framework_SOW Items'!D161</f>
        <v>IBP</v>
      </c>
      <c r="B161" t="str">
        <f>'iWork,IBP &amp; Framework_SOW Items'!E161</f>
        <v>Milestone 5</v>
      </c>
      <c r="C161" t="str">
        <f>'iWork,IBP &amp; Framework_SOW Items'!F161</f>
        <v>Yet to start</v>
      </c>
      <c r="D161" t="str">
        <f>IFERROR(VLOOKUP(C161,Config!$A:$B,2,0),"Unknown")</f>
        <v>Not Started</v>
      </c>
      <c r="E161" t="str">
        <f>IFERROR(VLOOKUP(C161,Config!$A:$C,3,0),"N/A")</f>
        <v>Pending</v>
      </c>
    </row>
    <row r="162" ht="15" customHeight="1" spans="1:5">
      <c r="A162" t="str">
        <f>'iWork,IBP &amp; Framework_SOW Items'!D162</f>
        <v>IBP</v>
      </c>
      <c r="B162" t="str">
        <f>'iWork,IBP &amp; Framework_SOW Items'!E162</f>
        <v>Milestone 5</v>
      </c>
      <c r="C162" t="str">
        <f>'iWork,IBP &amp; Framework_SOW Items'!F162</f>
        <v>Yet to start</v>
      </c>
      <c r="D162" t="str">
        <f>IFERROR(VLOOKUP(C162,Config!$A:$B,2,0),"Unknown")</f>
        <v>Not Started</v>
      </c>
      <c r="E162" t="str">
        <f>IFERROR(VLOOKUP(C162,Config!$A:$C,3,0),"N/A")</f>
        <v>Pending</v>
      </c>
    </row>
    <row r="163" ht="15" customHeight="1" spans="1:5">
      <c r="A163" t="str">
        <f>'iWork,IBP &amp; Framework_SOW Items'!D163</f>
        <v>IBP</v>
      </c>
      <c r="B163" t="str">
        <f>'iWork,IBP &amp; Framework_SOW Items'!E163</f>
        <v>Milestone 5</v>
      </c>
      <c r="C163" t="str">
        <f>'iWork,IBP &amp; Framework_SOW Items'!F163</f>
        <v>Yet to start</v>
      </c>
      <c r="D163" t="str">
        <f>IFERROR(VLOOKUP(C163,Config!$A:$B,2,0),"Unknown")</f>
        <v>Not Started</v>
      </c>
      <c r="E163" t="str">
        <f>IFERROR(VLOOKUP(C163,Config!$A:$C,3,0),"N/A")</f>
        <v>Pending</v>
      </c>
    </row>
    <row r="164" ht="15" customHeight="1" spans="1:5">
      <c r="A164" t="str">
        <f>'iWork,IBP &amp; Framework_SOW Items'!D164</f>
        <v>IBP</v>
      </c>
      <c r="B164" t="str">
        <f>'iWork,IBP &amp; Framework_SOW Items'!E164</f>
        <v>Milestone 5</v>
      </c>
      <c r="C164" t="str">
        <f>'iWork,IBP &amp; Framework_SOW Items'!F164</f>
        <v>Yet to start</v>
      </c>
      <c r="D164" t="str">
        <f>IFERROR(VLOOKUP(C164,Config!$A:$B,2,0),"Unknown")</f>
        <v>Not Started</v>
      </c>
      <c r="E164" t="str">
        <f>IFERROR(VLOOKUP(C164,Config!$A:$C,3,0),"N/A")</f>
        <v>Pending</v>
      </c>
    </row>
    <row r="165" ht="15" customHeight="1" spans="1:5">
      <c r="A165" t="str">
        <f>'iWork,IBP &amp; Framework_SOW Items'!D165</f>
        <v>IBP</v>
      </c>
      <c r="B165" t="str">
        <f>'iWork,IBP &amp; Framework_SOW Items'!E165</f>
        <v>Milestone 5</v>
      </c>
      <c r="C165" t="str">
        <f>'iWork,IBP &amp; Framework_SOW Items'!F165</f>
        <v>Yet to start</v>
      </c>
      <c r="D165" t="str">
        <f>IFERROR(VLOOKUP(C165,Config!$A:$B,2,0),"Unknown")</f>
        <v>Not Started</v>
      </c>
      <c r="E165" t="str">
        <f>IFERROR(VLOOKUP(C165,Config!$A:$C,3,0),"N/A")</f>
        <v>Pending</v>
      </c>
    </row>
    <row r="166" ht="15" customHeight="1" spans="1:5">
      <c r="A166" t="str">
        <f>'iWork,IBP &amp; Framework_SOW Items'!D166</f>
        <v>IBP</v>
      </c>
      <c r="B166" t="str">
        <f>'iWork,IBP &amp; Framework_SOW Items'!E166</f>
        <v>Milestone 5</v>
      </c>
      <c r="C166" t="str">
        <f>'iWork,IBP &amp; Framework_SOW Items'!F166</f>
        <v>Yet to start</v>
      </c>
      <c r="D166" t="str">
        <f>IFERROR(VLOOKUP(C166,Config!$A:$B,2,0),"Unknown")</f>
        <v>Not Started</v>
      </c>
      <c r="E166" t="str">
        <f>IFERROR(VLOOKUP(C166,Config!$A:$C,3,0),"N/A")</f>
        <v>Pending</v>
      </c>
    </row>
    <row r="167" ht="15" customHeight="1" spans="1:5">
      <c r="A167" t="str">
        <f>'iWork,IBP &amp; Framework_SOW Items'!D167</f>
        <v>IBP</v>
      </c>
      <c r="B167" t="str">
        <f>'iWork,IBP &amp; Framework_SOW Items'!E167</f>
        <v>Milestone 5</v>
      </c>
      <c r="C167" t="str">
        <f>'iWork,IBP &amp; Framework_SOW Items'!F167</f>
        <v>Yet to start</v>
      </c>
      <c r="D167" t="str">
        <f>IFERROR(VLOOKUP(C167,Config!$A:$B,2,0),"Unknown")</f>
        <v>Not Started</v>
      </c>
      <c r="E167" t="str">
        <f>IFERROR(VLOOKUP(C167,Config!$A:$C,3,0),"N/A")</f>
        <v>Pending</v>
      </c>
    </row>
    <row r="168" ht="15" customHeight="1" spans="1:5">
      <c r="A168" t="str">
        <f>'iWork,IBP &amp; Framework_SOW Items'!D168</f>
        <v>IBP</v>
      </c>
      <c r="B168" t="str">
        <f>'iWork,IBP &amp; Framework_SOW Items'!E168</f>
        <v>Milestone 5</v>
      </c>
      <c r="C168" t="str">
        <f>'iWork,IBP &amp; Framework_SOW Items'!F168</f>
        <v>Yet to start</v>
      </c>
      <c r="D168" t="str">
        <f>IFERROR(VLOOKUP(C168,Config!$A:$B,2,0),"Unknown")</f>
        <v>Not Started</v>
      </c>
      <c r="E168" t="str">
        <f>IFERROR(VLOOKUP(C168,Config!$A:$C,3,0),"N/A")</f>
        <v>Pending</v>
      </c>
    </row>
    <row r="169" ht="15" customHeight="1" spans="1:5">
      <c r="A169" t="str">
        <f>'iWork,IBP &amp; Framework_SOW Items'!D169</f>
        <v>IBP</v>
      </c>
      <c r="B169" t="str">
        <f>'iWork,IBP &amp; Framework_SOW Items'!E169</f>
        <v>Milestone 5</v>
      </c>
      <c r="C169" t="str">
        <f>'iWork,IBP &amp; Framework_SOW Items'!F169</f>
        <v>Yet to start</v>
      </c>
      <c r="D169" t="str">
        <f>IFERROR(VLOOKUP(C169,Config!$A:$B,2,0),"Unknown")</f>
        <v>Not Started</v>
      </c>
      <c r="E169" t="str">
        <f>IFERROR(VLOOKUP(C169,Config!$A:$C,3,0),"N/A")</f>
        <v>Pending</v>
      </c>
    </row>
    <row r="170" ht="15" customHeight="1" spans="1:5">
      <c r="A170" t="str">
        <f>'iWork,IBP &amp; Framework_SOW Items'!D170</f>
        <v>IBP</v>
      </c>
      <c r="B170" t="str">
        <f>'iWork,IBP &amp; Framework_SOW Items'!E170</f>
        <v>Milestone 5</v>
      </c>
      <c r="C170" t="str">
        <f>'iWork,IBP &amp; Framework_SOW Items'!F170</f>
        <v>Yet to start</v>
      </c>
      <c r="D170" t="str">
        <f>IFERROR(VLOOKUP(C170,Config!$A:$B,2,0),"Unknown")</f>
        <v>Not Started</v>
      </c>
      <c r="E170" t="str">
        <f>IFERROR(VLOOKUP(C170,Config!$A:$C,3,0),"N/A")</f>
        <v>Pending</v>
      </c>
    </row>
    <row r="171" ht="15" customHeight="1" spans="1:5">
      <c r="A171" t="str">
        <f>'iWork,IBP &amp; Framework_SOW Items'!D171</f>
        <v>IBP</v>
      </c>
      <c r="B171" t="str">
        <f>'iWork,IBP &amp; Framework_SOW Items'!E171</f>
        <v>Milestone 5</v>
      </c>
      <c r="C171" t="str">
        <f>'iWork,IBP &amp; Framework_SOW Items'!F171</f>
        <v>Yet to start</v>
      </c>
      <c r="D171" t="str">
        <f>IFERROR(VLOOKUP(C171,Config!$A:$B,2,0),"Unknown")</f>
        <v>Not Started</v>
      </c>
      <c r="E171" t="str">
        <f>IFERROR(VLOOKUP(C171,Config!$A:$C,3,0),"N/A")</f>
        <v>Pending</v>
      </c>
    </row>
    <row r="172" ht="15" customHeight="1" spans="1:5">
      <c r="A172" t="str">
        <f>'iWork,IBP &amp; Framework_SOW Items'!D172</f>
        <v>IBP</v>
      </c>
      <c r="B172" t="str">
        <f>'iWork,IBP &amp; Framework_SOW Items'!E172</f>
        <v>Milestone 5</v>
      </c>
      <c r="C172" t="str">
        <f>'iWork,IBP &amp; Framework_SOW Items'!F172</f>
        <v>Yet to start</v>
      </c>
      <c r="D172" t="str">
        <f>IFERROR(VLOOKUP(C172,Config!$A:$B,2,0),"Unknown")</f>
        <v>Not Started</v>
      </c>
      <c r="E172" t="str">
        <f>IFERROR(VLOOKUP(C172,Config!$A:$C,3,0),"N/A")</f>
        <v>Pending</v>
      </c>
    </row>
    <row r="173" ht="15" customHeight="1" spans="1:5">
      <c r="A173" t="str">
        <f>'iWork,IBP &amp; Framework_SOW Items'!D173</f>
        <v>IBP</v>
      </c>
      <c r="B173" t="str">
        <f>'iWork,IBP &amp; Framework_SOW Items'!E173</f>
        <v>Milestone 5</v>
      </c>
      <c r="C173" t="str">
        <f>'iWork,IBP &amp; Framework_SOW Items'!F173</f>
        <v>Yet to start</v>
      </c>
      <c r="D173" t="str">
        <f>IFERROR(VLOOKUP(C173,Config!$A:$B,2,0),"Unknown")</f>
        <v>Not Started</v>
      </c>
      <c r="E173" t="str">
        <f>IFERROR(VLOOKUP(C173,Config!$A:$C,3,0),"N/A")</f>
        <v>Pending</v>
      </c>
    </row>
    <row r="174" ht="15" customHeight="1" spans="1:5">
      <c r="A174" t="str">
        <f>'iWork,IBP &amp; Framework_SOW Items'!D174</f>
        <v>IBP</v>
      </c>
      <c r="B174" t="str">
        <f>'iWork,IBP &amp; Framework_SOW Items'!E174</f>
        <v>Milestone 5</v>
      </c>
      <c r="C174" t="str">
        <f>'iWork,IBP &amp; Framework_SOW Items'!F174</f>
        <v>Yet to start</v>
      </c>
      <c r="D174" t="str">
        <f>IFERROR(VLOOKUP(C174,Config!$A:$B,2,0),"Unknown")</f>
        <v>Not Started</v>
      </c>
      <c r="E174" t="str">
        <f>IFERROR(VLOOKUP(C174,Config!$A:$C,3,0),"N/A")</f>
        <v>Pending</v>
      </c>
    </row>
    <row r="175" ht="15" customHeight="1" spans="1:5">
      <c r="A175" t="str">
        <f>'iWork,IBP &amp; Framework_SOW Items'!D175</f>
        <v>IBP</v>
      </c>
      <c r="B175" t="str">
        <f>'iWork,IBP &amp; Framework_SOW Items'!E175</f>
        <v>Milestone 5</v>
      </c>
      <c r="C175" t="str">
        <f>'iWork,IBP &amp; Framework_SOW Items'!F175</f>
        <v>Yet to start</v>
      </c>
      <c r="D175" t="str">
        <f>IFERROR(VLOOKUP(C175,Config!$A:$B,2,0),"Unknown")</f>
        <v>Not Started</v>
      </c>
      <c r="E175" t="str">
        <f>IFERROR(VLOOKUP(C175,Config!$A:$C,3,0),"N/A")</f>
        <v>Pending</v>
      </c>
    </row>
    <row r="176" ht="15" customHeight="1" spans="1:5">
      <c r="A176" t="str">
        <f>'iWork,IBP &amp; Framework_SOW Items'!D176</f>
        <v>IBP</v>
      </c>
      <c r="B176" t="str">
        <f>'iWork,IBP &amp; Framework_SOW Items'!E176</f>
        <v>Milestone 5</v>
      </c>
      <c r="C176" t="str">
        <f>'iWork,IBP &amp; Framework_SOW Items'!F176</f>
        <v>Yet to start</v>
      </c>
      <c r="D176" t="str">
        <f>IFERROR(VLOOKUP(C176,Config!$A:$B,2,0),"Unknown")</f>
        <v>Not Started</v>
      </c>
      <c r="E176" t="str">
        <f>IFERROR(VLOOKUP(C176,Config!$A:$C,3,0),"N/A")</f>
        <v>Pending</v>
      </c>
    </row>
    <row r="177" ht="15" customHeight="1" spans="1:5">
      <c r="A177" t="str">
        <f>'iWork,IBP &amp; Framework_SOW Items'!D177</f>
        <v>IBP</v>
      </c>
      <c r="B177" t="str">
        <f>'iWork,IBP &amp; Framework_SOW Items'!E177</f>
        <v>Milestone 5</v>
      </c>
      <c r="C177" t="str">
        <f>'iWork,IBP &amp; Framework_SOW Items'!F177</f>
        <v>Yet to start</v>
      </c>
      <c r="D177" t="str">
        <f>IFERROR(VLOOKUP(C177,Config!$A:$B,2,0),"Unknown")</f>
        <v>Not Started</v>
      </c>
      <c r="E177" t="str">
        <f>IFERROR(VLOOKUP(C177,Config!$A:$C,3,0),"N/A")</f>
        <v>Pending</v>
      </c>
    </row>
    <row r="178" ht="15" customHeight="1" spans="1:5">
      <c r="A178" t="str">
        <f>'iWork,IBP &amp; Framework_SOW Items'!D178</f>
        <v>IBP/iWork</v>
      </c>
      <c r="B178" t="str">
        <f>'iWork,IBP &amp; Framework_SOW Items'!E178</f>
        <v>Milestone 5</v>
      </c>
      <c r="C178" t="str">
        <f>'iWork,IBP &amp; Framework_SOW Items'!F178</f>
        <v>Delivered</v>
      </c>
      <c r="D178" t="str">
        <f>IFERROR(VLOOKUP(C178,Config!$A:$B,2,0),"Unknown")</f>
        <v>Delivered</v>
      </c>
      <c r="E178" t="str">
        <f>IFERROR(VLOOKUP(C178,Config!$A:$C,3,0),"N/A")</f>
        <v>Delivered</v>
      </c>
    </row>
    <row r="179" ht="15" customHeight="1" spans="1:5">
      <c r="A179" t="str">
        <f>'iWork,IBP &amp; Framework_SOW Items'!D179</f>
        <v>IBP/iWork</v>
      </c>
      <c r="B179" t="str">
        <f>'iWork,IBP &amp; Framework_SOW Items'!E179</f>
        <v>Milestone 5</v>
      </c>
      <c r="C179" t="str">
        <f>'iWork,IBP &amp; Framework_SOW Items'!F179</f>
        <v>Dev - WIP</v>
      </c>
      <c r="D179" t="str">
        <f>IFERROR(VLOOKUP(C179,Config!$A:$B,2,0),"Unknown")</f>
        <v>In Development</v>
      </c>
      <c r="E179" t="str">
        <f>IFERROR(VLOOKUP(C179,Config!$A:$C,3,0),"N/A")</f>
        <v>Pending</v>
      </c>
    </row>
    <row r="180" ht="15" customHeight="1" spans="1:5">
      <c r="A180" t="str">
        <f>'iWork,IBP &amp; Framework_SOW Items'!D180</f>
        <v>IBP/iWork</v>
      </c>
      <c r="B180" t="str">
        <f>'iWork,IBP &amp; Framework_SOW Items'!E180</f>
        <v>Milestone 5</v>
      </c>
      <c r="C180" t="str">
        <f>'iWork,IBP &amp; Framework_SOW Items'!F180</f>
        <v>Delivered</v>
      </c>
      <c r="D180" t="str">
        <f>IFERROR(VLOOKUP(C180,Config!$A:$B,2,0),"Unknown")</f>
        <v>Delivered</v>
      </c>
      <c r="E180" t="str">
        <f>IFERROR(VLOOKUP(C180,Config!$A:$C,3,0),"N/A")</f>
        <v>Delivered</v>
      </c>
    </row>
    <row r="181" ht="15" customHeight="1" spans="1:5">
      <c r="A181" t="str">
        <f>'iWork,IBP &amp; Framework_SOW Items'!D181</f>
        <v>IBP/iWork</v>
      </c>
      <c r="B181" t="str">
        <f>'iWork,IBP &amp; Framework_SOW Items'!E181</f>
        <v>Milestone 5</v>
      </c>
      <c r="C181" t="str">
        <f>'iWork,IBP &amp; Framework_SOW Items'!F181</f>
        <v>Delivered - Deficit</v>
      </c>
      <c r="D181" t="str">
        <f>IFERROR(VLOOKUP(C181,Config!$A:$B,2,0),"Unknown")</f>
        <v>Partial Delivery</v>
      </c>
      <c r="E181" t="str">
        <f>IFERROR(VLOOKUP(C181,Config!$A:$C,3,0),"N/A")</f>
        <v>Pending</v>
      </c>
    </row>
    <row r="182" ht="15" customHeight="1" spans="1:5">
      <c r="A182" t="str">
        <f>'iWork,IBP &amp; Framework_SOW Items'!D182</f>
        <v>IBP/iWork</v>
      </c>
      <c r="B182" t="str">
        <f>'iWork,IBP &amp; Framework_SOW Items'!E182</f>
        <v>Milestone 5</v>
      </c>
      <c r="C182" t="str">
        <f>'iWork,IBP &amp; Framework_SOW Items'!F182</f>
        <v>Yet to start</v>
      </c>
      <c r="D182" t="str">
        <f>IFERROR(VLOOKUP(C182,Config!$A:$B,2,0),"Unknown")</f>
        <v>Not Started</v>
      </c>
      <c r="E182" t="str">
        <f>IFERROR(VLOOKUP(C182,Config!$A:$C,3,0),"N/A")</f>
        <v>Pending</v>
      </c>
    </row>
    <row r="183" ht="15" customHeight="1" spans="1:5">
      <c r="A183" t="str">
        <f>'iWork,IBP &amp; Framework_SOW Items'!D183</f>
        <v>IBP/iWork</v>
      </c>
      <c r="B183" t="str">
        <f>'iWork,IBP &amp; Framework_SOW Items'!E183</f>
        <v>Milestone 5</v>
      </c>
      <c r="C183" t="str">
        <f>'iWork,IBP &amp; Framework_SOW Items'!F183</f>
        <v>Yet to start</v>
      </c>
      <c r="D183" t="str">
        <f>IFERROR(VLOOKUP(C183,Config!$A:$B,2,0),"Unknown")</f>
        <v>Not Started</v>
      </c>
      <c r="E183" t="str">
        <f>IFERROR(VLOOKUP(C183,Config!$A:$C,3,0),"N/A")</f>
        <v>Pending</v>
      </c>
    </row>
    <row r="184" ht="15" customHeight="1" spans="1:5">
      <c r="A184" t="str">
        <f>'iWork,IBP &amp; Framework_SOW Items'!D184</f>
        <v>iWork</v>
      </c>
      <c r="B184" t="str">
        <f>'iWork,IBP &amp; Framework_SOW Items'!E184</f>
        <v>Milestone 5</v>
      </c>
      <c r="C184" t="str">
        <f>'iWork,IBP &amp; Framework_SOW Items'!F184</f>
        <v>Yet to start</v>
      </c>
      <c r="D184" t="str">
        <f>IFERROR(VLOOKUP(C184,Config!$A:$B,2,0),"Unknown")</f>
        <v>Not Started</v>
      </c>
      <c r="E184" t="str">
        <f>IFERROR(VLOOKUP(C184,Config!$A:$C,3,0),"N/A")</f>
        <v>Pending</v>
      </c>
    </row>
    <row r="185" ht="15" customHeight="1" spans="1:5">
      <c r="A185" t="str">
        <f>'iWork,IBP &amp; Framework_SOW Items'!D185</f>
        <v>iWork</v>
      </c>
      <c r="B185" t="str">
        <f>'iWork,IBP &amp; Framework_SOW Items'!E185</f>
        <v>Milestone 5</v>
      </c>
      <c r="C185" t="str">
        <f>'iWork,IBP &amp; Framework_SOW Items'!F185</f>
        <v>Yet to start</v>
      </c>
      <c r="D185" t="str">
        <f>IFERROR(VLOOKUP(C185,Config!$A:$B,2,0),"Unknown")</f>
        <v>Not Started</v>
      </c>
      <c r="E185" t="str">
        <f>IFERROR(VLOOKUP(C185,Config!$A:$C,3,0),"N/A")</f>
        <v>Pending</v>
      </c>
    </row>
    <row r="186" ht="15" customHeight="1" spans="1:5">
      <c r="A186" t="str">
        <f>'iWork,IBP &amp; Framework_SOW Items'!D186</f>
        <v>iWork</v>
      </c>
      <c r="B186" t="str">
        <f>'iWork,IBP &amp; Framework_SOW Items'!E186</f>
        <v>Milestone 5</v>
      </c>
      <c r="C186" t="str">
        <f>'iWork,IBP &amp; Framework_SOW Items'!F186</f>
        <v>Yet to start</v>
      </c>
      <c r="D186" t="str">
        <f>IFERROR(VLOOKUP(C186,Config!$A:$B,2,0),"Unknown")</f>
        <v>Not Started</v>
      </c>
      <c r="E186" t="str">
        <f>IFERROR(VLOOKUP(C186,Config!$A:$C,3,0),"N/A")</f>
        <v>Pending</v>
      </c>
    </row>
    <row r="187" ht="15" customHeight="1" spans="1:5">
      <c r="A187" t="str">
        <f>'iWork,IBP &amp; Framework_SOW Items'!D187</f>
        <v>iWork</v>
      </c>
      <c r="B187" t="str">
        <f>'iWork,IBP &amp; Framework_SOW Items'!E187</f>
        <v>Milestone 5</v>
      </c>
      <c r="C187" t="str">
        <f>'iWork,IBP &amp; Framework_SOW Items'!F187</f>
        <v>Yet to start</v>
      </c>
      <c r="D187" t="str">
        <f>IFERROR(VLOOKUP(C187,Config!$A:$B,2,0),"Unknown")</f>
        <v>Not Started</v>
      </c>
      <c r="E187" t="str">
        <f>IFERROR(VLOOKUP(C187,Config!$A:$C,3,0),"N/A")</f>
        <v>Pending</v>
      </c>
    </row>
    <row r="188" ht="15" customHeight="1" spans="1:5">
      <c r="A188" t="str">
        <f>'iWork,IBP &amp; Framework_SOW Items'!D188</f>
        <v>iWork</v>
      </c>
      <c r="B188" t="str">
        <f>'iWork,IBP &amp; Framework_SOW Items'!E188</f>
        <v>Milestone 5</v>
      </c>
      <c r="C188" t="str">
        <f>'iWork,IBP &amp; Framework_SOW Items'!F188</f>
        <v>Delivered</v>
      </c>
      <c r="D188" t="str">
        <f>IFERROR(VLOOKUP(C188,Config!$A:$B,2,0),"Unknown")</f>
        <v>Delivered</v>
      </c>
      <c r="E188" t="str">
        <f>IFERROR(VLOOKUP(C188,Config!$A:$C,3,0),"N/A")</f>
        <v>Delivered</v>
      </c>
    </row>
    <row r="189" ht="15" customHeight="1" spans="1:5">
      <c r="A189" t="str">
        <f>'iWork,IBP &amp; Framework_SOW Items'!D189</f>
        <v>iWork</v>
      </c>
      <c r="B189" t="str">
        <f>'iWork,IBP &amp; Framework_SOW Items'!E189</f>
        <v>Milestone 5</v>
      </c>
      <c r="C189" t="str">
        <f>'iWork,IBP &amp; Framework_SOW Items'!F189</f>
        <v>Delivered</v>
      </c>
      <c r="D189" t="str">
        <f>IFERROR(VLOOKUP(C189,Config!$A:$B,2,0),"Unknown")</f>
        <v>Delivered</v>
      </c>
      <c r="E189" t="str">
        <f>IFERROR(VLOOKUP(C189,Config!$A:$C,3,0),"N/A")</f>
        <v>Delivered</v>
      </c>
    </row>
    <row r="190" ht="15" customHeight="1" spans="1:5">
      <c r="A190" t="str">
        <f>'iWork,IBP &amp; Framework_SOW Items'!D190</f>
        <v>iWork</v>
      </c>
      <c r="B190" t="str">
        <f>'iWork,IBP &amp; Framework_SOW Items'!E190</f>
        <v>Milestone 5</v>
      </c>
      <c r="C190" t="str">
        <f>'iWork,IBP &amp; Framework_SOW Items'!F190</f>
        <v>Delivered</v>
      </c>
      <c r="D190" t="str">
        <f>IFERROR(VLOOKUP(C190,Config!$A:$B,2,0),"Unknown")</f>
        <v>Delivered</v>
      </c>
      <c r="E190" t="str">
        <f>IFERROR(VLOOKUP(C190,Config!$A:$C,3,0),"N/A")</f>
        <v>Delivered</v>
      </c>
    </row>
    <row r="191" ht="15" customHeight="1" spans="1:5">
      <c r="A191" t="str">
        <f>'iWork,IBP &amp; Framework_SOW Items'!D191</f>
        <v>iWork</v>
      </c>
      <c r="B191" t="str">
        <f>'iWork,IBP &amp; Framework_SOW Items'!E191</f>
        <v>Milestone 5</v>
      </c>
      <c r="C191" t="str">
        <f>'iWork,IBP &amp; Framework_SOW Items'!F191</f>
        <v>Delivered</v>
      </c>
      <c r="D191" t="str">
        <f>IFERROR(VLOOKUP(C191,Config!$A:$B,2,0),"Unknown")</f>
        <v>Delivered</v>
      </c>
      <c r="E191" t="str">
        <f>IFERROR(VLOOKUP(C191,Config!$A:$C,3,0),"N/A")</f>
        <v>Delivered</v>
      </c>
    </row>
    <row r="192" ht="15" customHeight="1" spans="1:5">
      <c r="A192" t="str">
        <f>'iWork,IBP &amp; Framework_SOW Items'!D192</f>
        <v>iWork</v>
      </c>
      <c r="B192" t="str">
        <f>'iWork,IBP &amp; Framework_SOW Items'!E192</f>
        <v>Milestone 5</v>
      </c>
      <c r="C192" t="str">
        <f>'iWork,IBP &amp; Framework_SOW Items'!F192</f>
        <v>Delivered</v>
      </c>
      <c r="D192" t="str">
        <f>IFERROR(VLOOKUP(C192,Config!$A:$B,2,0),"Unknown")</f>
        <v>Delivered</v>
      </c>
      <c r="E192" t="str">
        <f>IFERROR(VLOOKUP(C192,Config!$A:$C,3,0),"N/A")</f>
        <v>Delivered</v>
      </c>
    </row>
    <row r="193" ht="15" customHeight="1" spans="1:5">
      <c r="A193" t="str">
        <f>'iWork,IBP &amp; Framework_SOW Items'!D193</f>
        <v>iWork</v>
      </c>
      <c r="B193" t="str">
        <f>'iWork,IBP &amp; Framework_SOW Items'!E193</f>
        <v>Milestone 5</v>
      </c>
      <c r="C193" t="str">
        <f>'iWork,IBP &amp; Framework_SOW Items'!F193</f>
        <v>Delivered</v>
      </c>
      <c r="D193" t="str">
        <f>IFERROR(VLOOKUP(C193,Config!$A:$B,2,0),"Unknown")</f>
        <v>Delivered</v>
      </c>
      <c r="E193" t="str">
        <f>IFERROR(VLOOKUP(C193,Config!$A:$C,3,0),"N/A")</f>
        <v>Delivered</v>
      </c>
    </row>
    <row r="194" ht="15" customHeight="1" spans="1:5">
      <c r="A194" t="str">
        <f>'iWork,IBP &amp; Framework_SOW Items'!D194</f>
        <v>iWork</v>
      </c>
      <c r="B194" t="str">
        <f>'iWork,IBP &amp; Framework_SOW Items'!E194</f>
        <v>Milestone 5</v>
      </c>
      <c r="C194" t="str">
        <f>'iWork,IBP &amp; Framework_SOW Items'!F194</f>
        <v>Delivered - Deficit</v>
      </c>
      <c r="D194" t="str">
        <f>IFERROR(VLOOKUP(C194,Config!$A:$B,2,0),"Unknown")</f>
        <v>Partial Delivery</v>
      </c>
      <c r="E194" t="str">
        <f>IFERROR(VLOOKUP(C194,Config!$A:$C,3,0),"N/A")</f>
        <v>Pending</v>
      </c>
    </row>
    <row r="195" ht="15" customHeight="1" spans="1:5">
      <c r="A195" t="str">
        <f>'iWork,IBP &amp; Framework_SOW Items'!D195</f>
        <v>iWork</v>
      </c>
      <c r="B195" t="str">
        <f>'iWork,IBP &amp; Framework_SOW Items'!E195</f>
        <v>Milestone 5</v>
      </c>
      <c r="C195" t="str">
        <f>'iWork,IBP &amp; Framework_SOW Items'!F195</f>
        <v>Yet to start</v>
      </c>
      <c r="D195" t="str">
        <f>IFERROR(VLOOKUP(C195,Config!$A:$B,2,0),"Unknown")</f>
        <v>Not Started</v>
      </c>
      <c r="E195" t="str">
        <f>IFERROR(VLOOKUP(C195,Config!$A:$C,3,0),"N/A")</f>
        <v>Pending</v>
      </c>
    </row>
    <row r="196" ht="15" customHeight="1" spans="1:5">
      <c r="A196" t="str">
        <f>'iWork,IBP &amp; Framework_SOW Items'!D196</f>
        <v>NFR</v>
      </c>
      <c r="B196" t="str">
        <f>'iWork,IBP &amp; Framework_SOW Items'!E196</f>
        <v>Milestone 5</v>
      </c>
      <c r="C196" t="str">
        <f>'iWork,IBP &amp; Framework_SOW Items'!F196</f>
        <v>Delivered</v>
      </c>
      <c r="D196" t="str">
        <f>IFERROR(VLOOKUP(C196,Config!$A:$B,2,0),"Unknown")</f>
        <v>Delivered</v>
      </c>
      <c r="E196" t="str">
        <f>IFERROR(VLOOKUP(C196,Config!$A:$C,3,0),"N/A")</f>
        <v>Delivered</v>
      </c>
    </row>
    <row r="197" ht="15" customHeight="1" spans="1:5">
      <c r="A197" t="str">
        <f>'iWork,IBP &amp; Framework_SOW Items'!D197</f>
        <v>NFR</v>
      </c>
      <c r="B197" t="str">
        <f>'iWork,IBP &amp; Framework_SOW Items'!E197</f>
        <v>Milestone 5</v>
      </c>
      <c r="C197" t="str">
        <f>'iWork,IBP &amp; Framework_SOW Items'!F197</f>
        <v>Delivered</v>
      </c>
      <c r="D197" t="str">
        <f>IFERROR(VLOOKUP(C197,Config!$A:$B,2,0),"Unknown")</f>
        <v>Delivered</v>
      </c>
      <c r="E197" t="str">
        <f>IFERROR(VLOOKUP(C197,Config!$A:$C,3,0),"N/A")</f>
        <v>Delivered</v>
      </c>
    </row>
    <row r="198" ht="15" customHeight="1" spans="1:5">
      <c r="A198" t="str">
        <f>'iWork,IBP &amp; Framework_SOW Items'!D198</f>
        <v>NFR</v>
      </c>
      <c r="B198" t="str">
        <f>'iWork,IBP &amp; Framework_SOW Items'!E198</f>
        <v>Milestone 5</v>
      </c>
      <c r="C198" t="str">
        <f>'iWork,IBP &amp; Framework_SOW Items'!F198</f>
        <v>Yet to start</v>
      </c>
      <c r="D198" t="str">
        <f>IFERROR(VLOOKUP(C198,Config!$A:$B,2,0),"Unknown")</f>
        <v>Not Started</v>
      </c>
      <c r="E198" t="str">
        <f>IFERROR(VLOOKUP(C198,Config!$A:$C,3,0),"N/A")</f>
        <v>Pending</v>
      </c>
    </row>
    <row r="199" ht="15" customHeight="1" spans="1:5">
      <c r="A199" t="str">
        <f>'iWork,IBP &amp; Framework_SOW Items'!D199</f>
        <v>IBP</v>
      </c>
      <c r="B199" t="str">
        <f>'iWork,IBP &amp; Framework_SOW Items'!E199</f>
        <v>Milestone 6</v>
      </c>
      <c r="C199" t="str">
        <f>'iWork,IBP &amp; Framework_SOW Items'!F199</f>
        <v>Delivered</v>
      </c>
      <c r="D199" t="str">
        <f>IFERROR(VLOOKUP(C199,Config!$A:$B,2,0),"Unknown")</f>
        <v>Delivered</v>
      </c>
      <c r="E199" t="str">
        <f>IFERROR(VLOOKUP(C199,Config!$A:$C,3,0),"N/A")</f>
        <v>Delivered</v>
      </c>
    </row>
    <row r="200" ht="15" customHeight="1" spans="1:5">
      <c r="A200" t="str">
        <f>'iWork,IBP &amp; Framework_SOW Items'!D200</f>
        <v>IBP</v>
      </c>
      <c r="B200" t="str">
        <f>'iWork,IBP &amp; Framework_SOW Items'!E200</f>
        <v>Milestone 6</v>
      </c>
      <c r="C200" t="str">
        <f>'iWork,IBP &amp; Framework_SOW Items'!F200</f>
        <v>Dev - WIP</v>
      </c>
      <c r="D200" t="str">
        <f>IFERROR(VLOOKUP(C200,Config!$A:$B,2,0),"Unknown")</f>
        <v>In Development</v>
      </c>
      <c r="E200" t="str">
        <f>IFERROR(VLOOKUP(C200,Config!$A:$C,3,0),"N/A")</f>
        <v>Pending</v>
      </c>
    </row>
    <row r="201" ht="15" customHeight="1" spans="1:5">
      <c r="A201" t="str">
        <f>'iWork,IBP &amp; Framework_SOW Items'!D201</f>
        <v>IBP - CR</v>
      </c>
      <c r="B201" t="str">
        <f>'iWork,IBP &amp; Framework_SOW Items'!E201</f>
        <v>Milestone 6</v>
      </c>
      <c r="C201" t="str">
        <f>'iWork,IBP &amp; Framework_SOW Items'!F201</f>
        <v>Dev - WIP</v>
      </c>
      <c r="D201" t="str">
        <f>IFERROR(VLOOKUP(C201,Config!$A:$B,2,0),"Unknown")</f>
        <v>In Development</v>
      </c>
      <c r="E201" t="str">
        <f>IFERROR(VLOOKUP(C201,Config!$A:$C,3,0),"N/A")</f>
        <v>Pending</v>
      </c>
    </row>
    <row r="202" ht="15" customHeight="1" spans="1:5">
      <c r="A202" t="str">
        <f>'iWork,IBP &amp; Framework_SOW Items'!D202</f>
        <v>IBP/iWork</v>
      </c>
      <c r="B202" t="str">
        <f>'iWork,IBP &amp; Framework_SOW Items'!E202</f>
        <v>Milestone 6</v>
      </c>
      <c r="C202" t="str">
        <f>'iWork,IBP &amp; Framework_SOW Items'!F202</f>
        <v>Delivered</v>
      </c>
      <c r="D202" t="str">
        <f>IFERROR(VLOOKUP(C202,Config!$A:$B,2,0),"Unknown")</f>
        <v>Delivered</v>
      </c>
      <c r="E202" t="str">
        <f>IFERROR(VLOOKUP(C202,Config!$A:$C,3,0),"N/A")</f>
        <v>Delivered</v>
      </c>
    </row>
    <row r="203" ht="15" customHeight="1" spans="1:5">
      <c r="A203" t="str">
        <f>'iWork,IBP &amp; Framework_SOW Items'!D203</f>
        <v>IBP/iWork</v>
      </c>
      <c r="B203" t="str">
        <f>'iWork,IBP &amp; Framework_SOW Items'!E203</f>
        <v>Milestone 6</v>
      </c>
      <c r="C203" t="str">
        <f>'iWork,IBP &amp; Framework_SOW Items'!F203</f>
        <v>Delivered</v>
      </c>
      <c r="D203" t="str">
        <f>IFERROR(VLOOKUP(C203,Config!$A:$B,2,0),"Unknown")</f>
        <v>Delivered</v>
      </c>
      <c r="E203" t="str">
        <f>IFERROR(VLOOKUP(C203,Config!$A:$C,3,0),"N/A")</f>
        <v>Delivered</v>
      </c>
    </row>
    <row r="204" ht="15" customHeight="1" spans="1:5">
      <c r="A204" t="str">
        <f>'iWork,IBP &amp; Framework_SOW Items'!D204</f>
        <v>IBP/iWork</v>
      </c>
      <c r="B204" t="str">
        <f>'iWork,IBP &amp; Framework_SOW Items'!E204</f>
        <v>Milestone 6</v>
      </c>
      <c r="C204" t="str">
        <f>'iWork,IBP &amp; Framework_SOW Items'!F204</f>
        <v>Delivered</v>
      </c>
      <c r="D204" t="str">
        <f>IFERROR(VLOOKUP(C204,Config!$A:$B,2,0),"Unknown")</f>
        <v>Delivered</v>
      </c>
      <c r="E204" t="str">
        <f>IFERROR(VLOOKUP(C204,Config!$A:$C,3,0),"N/A")</f>
        <v>Delivered</v>
      </c>
    </row>
    <row r="205" ht="15" customHeight="1" spans="1:5">
      <c r="A205" t="str">
        <f>'iWork,IBP &amp; Framework_SOW Items'!D205</f>
        <v>IBP/iWork</v>
      </c>
      <c r="B205" t="str">
        <f>'iWork,IBP &amp; Framework_SOW Items'!E205</f>
        <v>Milestone 6</v>
      </c>
      <c r="C205" t="str">
        <f>'iWork,IBP &amp; Framework_SOW Items'!F205</f>
        <v>Dev - WIP</v>
      </c>
      <c r="D205" t="str">
        <f>IFERROR(VLOOKUP(C205,Config!$A:$B,2,0),"Unknown")</f>
        <v>In Development</v>
      </c>
      <c r="E205" t="str">
        <f>IFERROR(VLOOKUP(C205,Config!$A:$C,3,0),"N/A")</f>
        <v>Pending</v>
      </c>
    </row>
    <row r="206" ht="15" customHeight="1" spans="1:5">
      <c r="A206" t="str">
        <f>'iWork,IBP &amp; Framework_SOW Items'!D206</f>
        <v>iWork</v>
      </c>
      <c r="B206" t="str">
        <f>'iWork,IBP &amp; Framework_SOW Items'!E206</f>
        <v>Milestone 6</v>
      </c>
      <c r="C206" t="str">
        <f>'iWork,IBP &amp; Framework_SOW Items'!F206</f>
        <v>Delivered</v>
      </c>
      <c r="D206" t="str">
        <f>IFERROR(VLOOKUP(C206,Config!$A:$B,2,0),"Unknown")</f>
        <v>Delivered</v>
      </c>
      <c r="E206" t="str">
        <f>IFERROR(VLOOKUP(C206,Config!$A:$C,3,0),"N/A")</f>
        <v>Delivered</v>
      </c>
    </row>
    <row r="207" ht="15" customHeight="1" spans="1:5">
      <c r="A207" t="str">
        <f>'iWork,IBP &amp; Framework_SOW Items'!D207</f>
        <v>iWork</v>
      </c>
      <c r="B207" t="str">
        <f>'iWork,IBP &amp; Framework_SOW Items'!E207</f>
        <v>Milestone 6</v>
      </c>
      <c r="C207" t="str">
        <f>'iWork,IBP &amp; Framework_SOW Items'!F207</f>
        <v>Delivered</v>
      </c>
      <c r="D207" t="str">
        <f>IFERROR(VLOOKUP(C207,Config!$A:$B,2,0),"Unknown")</f>
        <v>Delivered</v>
      </c>
      <c r="E207" t="str">
        <f>IFERROR(VLOOKUP(C207,Config!$A:$C,3,0),"N/A")</f>
        <v>Delivered</v>
      </c>
    </row>
    <row r="208" ht="15" customHeight="1" spans="1:5">
      <c r="A208" t="str">
        <f>'iWork,IBP &amp; Framework_SOW Items'!D208</f>
        <v>iWork</v>
      </c>
      <c r="B208" t="str">
        <f>'iWork,IBP &amp; Framework_SOW Items'!E208</f>
        <v>Milestone 6</v>
      </c>
      <c r="C208" t="str">
        <f>'iWork,IBP &amp; Framework_SOW Items'!F208</f>
        <v>Delivered</v>
      </c>
      <c r="D208" t="str">
        <f>IFERROR(VLOOKUP(C208,Config!$A:$B,2,0),"Unknown")</f>
        <v>Delivered</v>
      </c>
      <c r="E208" t="str">
        <f>IFERROR(VLOOKUP(C208,Config!$A:$C,3,0),"N/A")</f>
        <v>Delivered</v>
      </c>
    </row>
    <row r="209" ht="15" customHeight="1" spans="1:5">
      <c r="A209" t="str">
        <f>'iWork,IBP &amp; Framework_SOW Items'!D209</f>
        <v>iWork</v>
      </c>
      <c r="B209" t="str">
        <f>'iWork,IBP &amp; Framework_SOW Items'!E209</f>
        <v>Milestone 6</v>
      </c>
      <c r="C209" t="str">
        <f>'iWork,IBP &amp; Framework_SOW Items'!F209</f>
        <v>Delivered</v>
      </c>
      <c r="D209" t="str">
        <f>IFERROR(VLOOKUP(C209,Config!$A:$B,2,0),"Unknown")</f>
        <v>Delivered</v>
      </c>
      <c r="E209" t="str">
        <f>IFERROR(VLOOKUP(C209,Config!$A:$C,3,0),"N/A")</f>
        <v>Delivered</v>
      </c>
    </row>
    <row r="210" ht="15" customHeight="1" spans="1:5">
      <c r="A210" t="str">
        <f>'iWork,IBP &amp; Framework_SOW Items'!D210</f>
        <v>iWork</v>
      </c>
      <c r="B210" t="str">
        <f>'iWork,IBP &amp; Framework_SOW Items'!E210</f>
        <v>Milestone 6</v>
      </c>
      <c r="C210" t="str">
        <f>'iWork,IBP &amp; Framework_SOW Items'!F210</f>
        <v>Delivered</v>
      </c>
      <c r="D210" t="str">
        <f>IFERROR(VLOOKUP(C210,Config!$A:$B,2,0),"Unknown")</f>
        <v>Delivered</v>
      </c>
      <c r="E210" t="str">
        <f>IFERROR(VLOOKUP(C210,Config!$A:$C,3,0),"N/A")</f>
        <v>Delivered</v>
      </c>
    </row>
    <row r="211" ht="15" customHeight="1" spans="1:5">
      <c r="A211" t="str">
        <f>'iWork,IBP &amp; Framework_SOW Items'!D211</f>
        <v>iWork</v>
      </c>
      <c r="B211" t="str">
        <f>'iWork,IBP &amp; Framework_SOW Items'!E211</f>
        <v>Milestone 6</v>
      </c>
      <c r="C211" t="str">
        <f>'iWork,IBP &amp; Framework_SOW Items'!F211</f>
        <v>Delivered</v>
      </c>
      <c r="D211" t="str">
        <f>IFERROR(VLOOKUP(C211,Config!$A:$B,2,0),"Unknown")</f>
        <v>Delivered</v>
      </c>
      <c r="E211" t="str">
        <f>IFERROR(VLOOKUP(C211,Config!$A:$C,3,0),"N/A")</f>
        <v>Delivered</v>
      </c>
    </row>
    <row r="212" ht="15" customHeight="1" spans="1:5">
      <c r="A212" t="str">
        <f>'iWork,IBP &amp; Framework_SOW Items'!D212</f>
        <v>iWork</v>
      </c>
      <c r="B212" t="str">
        <f>'iWork,IBP &amp; Framework_SOW Items'!E212</f>
        <v>Milestone 6</v>
      </c>
      <c r="C212" t="str">
        <f>'iWork,IBP &amp; Framework_SOW Items'!F212</f>
        <v>Delivered</v>
      </c>
      <c r="D212" t="str">
        <f>IFERROR(VLOOKUP(C212,Config!$A:$B,2,0),"Unknown")</f>
        <v>Delivered</v>
      </c>
      <c r="E212" t="str">
        <f>IFERROR(VLOOKUP(C212,Config!$A:$C,3,0),"N/A")</f>
        <v>Delivered</v>
      </c>
    </row>
    <row r="213" ht="15" customHeight="1" spans="1:5">
      <c r="A213" t="str">
        <f>'iWork,IBP &amp; Framework_SOW Items'!D213</f>
        <v>iWork</v>
      </c>
      <c r="B213" t="str">
        <f>'iWork,IBP &amp; Framework_SOW Items'!E213</f>
        <v>Milestone 6</v>
      </c>
      <c r="C213" t="str">
        <f>'iWork,IBP &amp; Framework_SOW Items'!F213</f>
        <v>Delivered</v>
      </c>
      <c r="D213" t="str">
        <f>IFERROR(VLOOKUP(C213,Config!$A:$B,2,0),"Unknown")</f>
        <v>Delivered</v>
      </c>
      <c r="E213" t="str">
        <f>IFERROR(VLOOKUP(C213,Config!$A:$C,3,0),"N/A")</f>
        <v>Delivered</v>
      </c>
    </row>
    <row r="214" ht="15" customHeight="1" spans="1:5">
      <c r="A214" t="str">
        <f>'iWork,IBP &amp; Framework_SOW Items'!D214</f>
        <v>iWork</v>
      </c>
      <c r="B214" t="str">
        <f>'iWork,IBP &amp; Framework_SOW Items'!E214</f>
        <v>Milestone 6</v>
      </c>
      <c r="C214" t="str">
        <f>'iWork,IBP &amp; Framework_SOW Items'!F214</f>
        <v>Delivered</v>
      </c>
      <c r="D214" t="str">
        <f>IFERROR(VLOOKUP(C214,Config!$A:$B,2,0),"Unknown")</f>
        <v>Delivered</v>
      </c>
      <c r="E214" t="str">
        <f>IFERROR(VLOOKUP(C214,Config!$A:$C,3,0),"N/A")</f>
        <v>Delivered</v>
      </c>
    </row>
    <row r="215" ht="15" customHeight="1" spans="1:5">
      <c r="A215" t="str">
        <f>'iWork,IBP &amp; Framework_SOW Items'!D215</f>
        <v>iWork</v>
      </c>
      <c r="B215" t="str">
        <f>'iWork,IBP &amp; Framework_SOW Items'!E215</f>
        <v>Milestone 6</v>
      </c>
      <c r="C215" t="str">
        <f>'iWork,IBP &amp; Framework_SOW Items'!F215</f>
        <v>Delivered</v>
      </c>
      <c r="D215" t="str">
        <f>IFERROR(VLOOKUP(C215,Config!$A:$B,2,0),"Unknown")</f>
        <v>Delivered</v>
      </c>
      <c r="E215" t="str">
        <f>IFERROR(VLOOKUP(C215,Config!$A:$C,3,0),"N/A")</f>
        <v>Delivered</v>
      </c>
    </row>
    <row r="216" ht="15" customHeight="1" spans="1:5">
      <c r="A216" t="str">
        <f>'iWork,IBP &amp; Framework_SOW Items'!D216</f>
        <v>iWork</v>
      </c>
      <c r="B216" t="str">
        <f>'iWork,IBP &amp; Framework_SOW Items'!E216</f>
        <v>Milestone 6</v>
      </c>
      <c r="C216" t="str">
        <f>'iWork,IBP &amp; Framework_SOW Items'!F216</f>
        <v>Delivered</v>
      </c>
      <c r="D216" t="str">
        <f>IFERROR(VLOOKUP(C216,Config!$A:$B,2,0),"Unknown")</f>
        <v>Delivered</v>
      </c>
      <c r="E216" t="str">
        <f>IFERROR(VLOOKUP(C216,Config!$A:$C,3,0),"N/A")</f>
        <v>Delivered</v>
      </c>
    </row>
    <row r="217" ht="15" customHeight="1" spans="1:5">
      <c r="A217" t="str">
        <f>'iWork,IBP &amp; Framework_SOW Items'!D217</f>
        <v>iWork</v>
      </c>
      <c r="B217" t="str">
        <f>'iWork,IBP &amp; Framework_SOW Items'!E217</f>
        <v>Milestone 6</v>
      </c>
      <c r="C217" t="str">
        <f>'iWork,IBP &amp; Framework_SOW Items'!F217</f>
        <v>Delivered</v>
      </c>
      <c r="D217" t="str">
        <f>IFERROR(VLOOKUP(C217,Config!$A:$B,2,0),"Unknown")</f>
        <v>Delivered</v>
      </c>
      <c r="E217" t="str">
        <f>IFERROR(VLOOKUP(C217,Config!$A:$C,3,0),"N/A")</f>
        <v>Delivered</v>
      </c>
    </row>
    <row r="218" ht="15" customHeight="1" spans="1:5">
      <c r="A218" t="str">
        <f>'iWork,IBP &amp; Framework_SOW Items'!D218</f>
        <v>iWork</v>
      </c>
      <c r="B218" t="str">
        <f>'iWork,IBP &amp; Framework_SOW Items'!E218</f>
        <v>Milestone 6</v>
      </c>
      <c r="C218" t="str">
        <f>'iWork,IBP &amp; Framework_SOW Items'!F218</f>
        <v>Delivered</v>
      </c>
      <c r="D218" t="str">
        <f>IFERROR(VLOOKUP(C218,Config!$A:$B,2,0),"Unknown")</f>
        <v>Delivered</v>
      </c>
      <c r="E218" t="str">
        <f>IFERROR(VLOOKUP(C218,Config!$A:$C,3,0),"N/A")</f>
        <v>Delivered</v>
      </c>
    </row>
    <row r="219" ht="15" customHeight="1" spans="1:5">
      <c r="A219" t="str">
        <f>'iWork,IBP &amp; Framework_SOW Items'!D219</f>
        <v>iWork</v>
      </c>
      <c r="B219" t="str">
        <f>'iWork,IBP &amp; Framework_SOW Items'!E219</f>
        <v>Milestone 6</v>
      </c>
      <c r="C219" t="str">
        <f>'iWork,IBP &amp; Framework_SOW Items'!F219</f>
        <v>Delivered</v>
      </c>
      <c r="D219" t="str">
        <f>IFERROR(VLOOKUP(C219,Config!$A:$B,2,0),"Unknown")</f>
        <v>Delivered</v>
      </c>
      <c r="E219" t="str">
        <f>IFERROR(VLOOKUP(C219,Config!$A:$C,3,0),"N/A")</f>
        <v>Delivered</v>
      </c>
    </row>
    <row r="220" ht="15" customHeight="1" spans="1:5">
      <c r="A220" t="str">
        <f>'iWork,IBP &amp; Framework_SOW Items'!D220</f>
        <v>iWork</v>
      </c>
      <c r="B220" t="str">
        <f>'iWork,IBP &amp; Framework_SOW Items'!E220</f>
        <v>Milestone 6</v>
      </c>
      <c r="C220" t="str">
        <f>'iWork,IBP &amp; Framework_SOW Items'!F220</f>
        <v>Delivered</v>
      </c>
      <c r="D220" t="str">
        <f>IFERROR(VLOOKUP(C220,Config!$A:$B,2,0),"Unknown")</f>
        <v>Delivered</v>
      </c>
      <c r="E220" t="str">
        <f>IFERROR(VLOOKUP(C220,Config!$A:$C,3,0),"N/A")</f>
        <v>Delivered</v>
      </c>
    </row>
    <row r="221" ht="15" customHeight="1" spans="1:5">
      <c r="A221" t="str">
        <f>'iWork,IBP &amp; Framework_SOW Items'!D221</f>
        <v>iWork</v>
      </c>
      <c r="B221" t="str">
        <f>'iWork,IBP &amp; Framework_SOW Items'!E221</f>
        <v>Milestone 6</v>
      </c>
      <c r="C221" t="str">
        <f>'iWork,IBP &amp; Framework_SOW Items'!F221</f>
        <v>Delivered</v>
      </c>
      <c r="D221" t="str">
        <f>IFERROR(VLOOKUP(C221,Config!$A:$B,2,0),"Unknown")</f>
        <v>Delivered</v>
      </c>
      <c r="E221" t="str">
        <f>IFERROR(VLOOKUP(C221,Config!$A:$C,3,0),"N/A")</f>
        <v>Delivered</v>
      </c>
    </row>
    <row r="222" ht="15" customHeight="1" spans="1:5">
      <c r="A222" t="str">
        <f>'iWork,IBP &amp; Framework_SOW Items'!D222</f>
        <v>iWork</v>
      </c>
      <c r="B222" t="str">
        <f>'iWork,IBP &amp; Framework_SOW Items'!E222</f>
        <v>Milestone 6</v>
      </c>
      <c r="C222" t="str">
        <f>'iWork,IBP &amp; Framework_SOW Items'!F222</f>
        <v>Delivered</v>
      </c>
      <c r="D222" t="str">
        <f>IFERROR(VLOOKUP(C222,Config!$A:$B,2,0),"Unknown")</f>
        <v>Delivered</v>
      </c>
      <c r="E222" t="str">
        <f>IFERROR(VLOOKUP(C222,Config!$A:$C,3,0),"N/A")</f>
        <v>Delivered</v>
      </c>
    </row>
    <row r="223" ht="15" customHeight="1" spans="1:5">
      <c r="A223" t="str">
        <f>'iWork,IBP &amp; Framework_SOW Items'!D223</f>
        <v>iWork</v>
      </c>
      <c r="B223" t="str">
        <f>'iWork,IBP &amp; Framework_SOW Items'!E223</f>
        <v>Milestone 6</v>
      </c>
      <c r="C223" t="str">
        <f>'iWork,IBP &amp; Framework_SOW Items'!F223</f>
        <v>Delivered</v>
      </c>
      <c r="D223" t="str">
        <f>IFERROR(VLOOKUP(C223,Config!$A:$B,2,0),"Unknown")</f>
        <v>Delivered</v>
      </c>
      <c r="E223" t="str">
        <f>IFERROR(VLOOKUP(C223,Config!$A:$C,3,0),"N/A")</f>
        <v>Delivered</v>
      </c>
    </row>
    <row r="224" ht="15" customHeight="1" spans="1:5">
      <c r="A224" t="str">
        <f>'iWork,IBP &amp; Framework_SOW Items'!D224</f>
        <v>iWork</v>
      </c>
      <c r="B224" t="str">
        <f>'iWork,IBP &amp; Framework_SOW Items'!E224</f>
        <v>Milestone 6</v>
      </c>
      <c r="C224" t="str">
        <f>'iWork,IBP &amp; Framework_SOW Items'!F224</f>
        <v>Delivered</v>
      </c>
      <c r="D224" t="str">
        <f>IFERROR(VLOOKUP(C224,Config!$A:$B,2,0),"Unknown")</f>
        <v>Delivered</v>
      </c>
      <c r="E224" t="str">
        <f>IFERROR(VLOOKUP(C224,Config!$A:$C,3,0),"N/A")</f>
        <v>Delivered</v>
      </c>
    </row>
    <row r="225" ht="15" customHeight="1" spans="1:5">
      <c r="A225" t="str">
        <f>'iWork,IBP &amp; Framework_SOW Items'!D225</f>
        <v>iWork</v>
      </c>
      <c r="B225" t="str">
        <f>'iWork,IBP &amp; Framework_SOW Items'!E225</f>
        <v>Milestone 6</v>
      </c>
      <c r="C225" t="str">
        <f>'iWork,IBP &amp; Framework_SOW Items'!F225</f>
        <v>Delivered</v>
      </c>
      <c r="D225" t="str">
        <f>IFERROR(VLOOKUP(C225,Config!$A:$B,2,0),"Unknown")</f>
        <v>Delivered</v>
      </c>
      <c r="E225" t="str">
        <f>IFERROR(VLOOKUP(C225,Config!$A:$C,3,0),"N/A")</f>
        <v>Delivered</v>
      </c>
    </row>
    <row r="226" ht="15" customHeight="1" spans="1:5">
      <c r="A226" t="str">
        <f>'iWork,IBP &amp; Framework_SOW Items'!D226</f>
        <v>iWork</v>
      </c>
      <c r="B226" t="str">
        <f>'iWork,IBP &amp; Framework_SOW Items'!E226</f>
        <v>Milestone 6</v>
      </c>
      <c r="C226" t="str">
        <f>'iWork,IBP &amp; Framework_SOW Items'!F226</f>
        <v>Delivered</v>
      </c>
      <c r="D226" t="str">
        <f>IFERROR(VLOOKUP(C226,Config!$A:$B,2,0),"Unknown")</f>
        <v>Delivered</v>
      </c>
      <c r="E226" t="str">
        <f>IFERROR(VLOOKUP(C226,Config!$A:$C,3,0),"N/A")</f>
        <v>Delivered</v>
      </c>
    </row>
    <row r="227" ht="15" customHeight="1" spans="1:5">
      <c r="A227" t="str">
        <f>'iWork,IBP &amp; Framework_SOW Items'!D227</f>
        <v>iWork</v>
      </c>
      <c r="B227" t="str">
        <f>'iWork,IBP &amp; Framework_SOW Items'!E227</f>
        <v>Milestone 6</v>
      </c>
      <c r="C227" t="str">
        <f>'iWork,IBP &amp; Framework_SOW Items'!F227</f>
        <v>Delivered</v>
      </c>
      <c r="D227" t="str">
        <f>IFERROR(VLOOKUP(C227,Config!$A:$B,2,0),"Unknown")</f>
        <v>Delivered</v>
      </c>
      <c r="E227" t="str">
        <f>IFERROR(VLOOKUP(C227,Config!$A:$C,3,0),"N/A")</f>
        <v>Delivered</v>
      </c>
    </row>
    <row r="228" ht="15" customHeight="1" spans="1:5">
      <c r="A228" t="str">
        <f>'iWork,IBP &amp; Framework_SOW Items'!D228</f>
        <v>iWork</v>
      </c>
      <c r="B228" t="str">
        <f>'iWork,IBP &amp; Framework_SOW Items'!E228</f>
        <v>Milestone 6</v>
      </c>
      <c r="C228" t="str">
        <f>'iWork,IBP &amp; Framework_SOW Items'!F228</f>
        <v>Delivered</v>
      </c>
      <c r="D228" t="str">
        <f>IFERROR(VLOOKUP(C228,Config!$A:$B,2,0),"Unknown")</f>
        <v>Delivered</v>
      </c>
      <c r="E228" t="str">
        <f>IFERROR(VLOOKUP(C228,Config!$A:$C,3,0),"N/A")</f>
        <v>Delivered</v>
      </c>
    </row>
    <row r="229" ht="15" customHeight="1" spans="1:5">
      <c r="A229" t="str">
        <f>'iWork,IBP &amp; Framework_SOW Items'!D229</f>
        <v>iWork</v>
      </c>
      <c r="B229" t="str">
        <f>'iWork,IBP &amp; Framework_SOW Items'!E229</f>
        <v>Milestone 6</v>
      </c>
      <c r="C229" t="str">
        <f>'iWork,IBP &amp; Framework_SOW Items'!F229</f>
        <v>Delivered</v>
      </c>
      <c r="D229" t="str">
        <f>IFERROR(VLOOKUP(C229,Config!$A:$B,2,0),"Unknown")</f>
        <v>Delivered</v>
      </c>
      <c r="E229" t="str">
        <f>IFERROR(VLOOKUP(C229,Config!$A:$C,3,0),"N/A")</f>
        <v>Delivered</v>
      </c>
    </row>
    <row r="230" ht="15" customHeight="1" spans="1:5">
      <c r="A230" t="str">
        <f>'iWork,IBP &amp; Framework_SOW Items'!D230</f>
        <v>iWork</v>
      </c>
      <c r="B230" t="str">
        <f>'iWork,IBP &amp; Framework_SOW Items'!E230</f>
        <v>Milestone 6</v>
      </c>
      <c r="C230" t="str">
        <f>'iWork,IBP &amp; Framework_SOW Items'!F230</f>
        <v>Delivered</v>
      </c>
      <c r="D230" t="str">
        <f>IFERROR(VLOOKUP(C230,Config!$A:$B,2,0),"Unknown")</f>
        <v>Delivered</v>
      </c>
      <c r="E230" t="str">
        <f>IFERROR(VLOOKUP(C230,Config!$A:$C,3,0),"N/A")</f>
        <v>Delivered</v>
      </c>
    </row>
    <row r="231" ht="15" customHeight="1" spans="1:5">
      <c r="A231" t="str">
        <f>'iWork,IBP &amp; Framework_SOW Items'!D231</f>
        <v>iWork</v>
      </c>
      <c r="B231" t="str">
        <f>'iWork,IBP &amp; Framework_SOW Items'!E231</f>
        <v>Milestone 6</v>
      </c>
      <c r="C231" t="str">
        <f>'iWork,IBP &amp; Framework_SOW Items'!F231</f>
        <v>Delivered</v>
      </c>
      <c r="D231" t="str">
        <f>IFERROR(VLOOKUP(C231,Config!$A:$B,2,0),"Unknown")</f>
        <v>Delivered</v>
      </c>
      <c r="E231" t="str">
        <f>IFERROR(VLOOKUP(C231,Config!$A:$C,3,0),"N/A")</f>
        <v>Delivered</v>
      </c>
    </row>
    <row r="232" ht="15" customHeight="1" spans="1:5">
      <c r="A232" t="str">
        <f>'iWork,IBP &amp; Framework_SOW Items'!D232</f>
        <v>iWork</v>
      </c>
      <c r="B232" t="str">
        <f>'iWork,IBP &amp; Framework_SOW Items'!E232</f>
        <v>Milestone 6</v>
      </c>
      <c r="C232" t="str">
        <f>'iWork,IBP &amp; Framework_SOW Items'!F232</f>
        <v>Delivered</v>
      </c>
      <c r="D232" t="str">
        <f>IFERROR(VLOOKUP(C232,Config!$A:$B,2,0),"Unknown")</f>
        <v>Delivered</v>
      </c>
      <c r="E232" t="str">
        <f>IFERROR(VLOOKUP(C232,Config!$A:$C,3,0),"N/A")</f>
        <v>Delivered</v>
      </c>
    </row>
    <row r="233" ht="15" customHeight="1" spans="1:5">
      <c r="A233" t="str">
        <f>'iWork,IBP &amp; Framework_SOW Items'!D233</f>
        <v>iWork</v>
      </c>
      <c r="B233" t="str">
        <f>'iWork,IBP &amp; Framework_SOW Items'!E233</f>
        <v>Milestone 6</v>
      </c>
      <c r="C233" t="str">
        <f>'iWork,IBP &amp; Framework_SOW Items'!F233</f>
        <v>Delivered</v>
      </c>
      <c r="D233" t="str">
        <f>IFERROR(VLOOKUP(C233,Config!$A:$B,2,0),"Unknown")</f>
        <v>Delivered</v>
      </c>
      <c r="E233" t="str">
        <f>IFERROR(VLOOKUP(C233,Config!$A:$C,3,0),"N/A")</f>
        <v>Delivered</v>
      </c>
    </row>
    <row r="234" ht="15" customHeight="1" spans="1:5">
      <c r="A234" t="str">
        <f>'iWork,IBP &amp; Framework_SOW Items'!D234</f>
        <v>iWork</v>
      </c>
      <c r="B234" t="str">
        <f>'iWork,IBP &amp; Framework_SOW Items'!E234</f>
        <v>Milestone 6</v>
      </c>
      <c r="C234" t="str">
        <f>'iWork,IBP &amp; Framework_SOW Items'!F234</f>
        <v>Delivered</v>
      </c>
      <c r="D234" t="str">
        <f>IFERROR(VLOOKUP(C234,Config!$A:$B,2,0),"Unknown")</f>
        <v>Delivered</v>
      </c>
      <c r="E234" t="str">
        <f>IFERROR(VLOOKUP(C234,Config!$A:$C,3,0),"N/A")</f>
        <v>Delivered</v>
      </c>
    </row>
    <row r="235" ht="15" customHeight="1" spans="1:5">
      <c r="A235" t="str">
        <f>'iWork,IBP &amp; Framework_SOW Items'!D235</f>
        <v>iWork</v>
      </c>
      <c r="B235" t="str">
        <f>'iWork,IBP &amp; Framework_SOW Items'!E235</f>
        <v>Milestone 6</v>
      </c>
      <c r="C235" t="str">
        <f>'iWork,IBP &amp; Framework_SOW Items'!F235</f>
        <v>Delivered</v>
      </c>
      <c r="D235" t="str">
        <f>IFERROR(VLOOKUP(C235,Config!$A:$B,2,0),"Unknown")</f>
        <v>Delivered</v>
      </c>
      <c r="E235" t="str">
        <f>IFERROR(VLOOKUP(C235,Config!$A:$C,3,0),"N/A")</f>
        <v>Delivered</v>
      </c>
    </row>
    <row r="236" ht="15" customHeight="1" spans="1:5">
      <c r="A236" t="str">
        <f>'iWork,IBP &amp; Framework_SOW Items'!D236</f>
        <v>iWork</v>
      </c>
      <c r="B236" t="str">
        <f>'iWork,IBP &amp; Framework_SOW Items'!E236</f>
        <v>Milestone 6</v>
      </c>
      <c r="C236" t="str">
        <f>'iWork,IBP &amp; Framework_SOW Items'!F236</f>
        <v>Delivered</v>
      </c>
      <c r="D236" t="str">
        <f>IFERROR(VLOOKUP(C236,Config!$A:$B,2,0),"Unknown")</f>
        <v>Delivered</v>
      </c>
      <c r="E236" t="str">
        <f>IFERROR(VLOOKUP(C236,Config!$A:$C,3,0),"N/A")</f>
        <v>Delivered</v>
      </c>
    </row>
    <row r="237" ht="15" customHeight="1" spans="1:5">
      <c r="A237" t="str">
        <f>'iWork,IBP &amp; Framework_SOW Items'!D237</f>
        <v>iWork</v>
      </c>
      <c r="B237" t="str">
        <f>'iWork,IBP &amp; Framework_SOW Items'!E237</f>
        <v>Milestone 6</v>
      </c>
      <c r="C237" t="str">
        <f>'iWork,IBP &amp; Framework_SOW Items'!F237</f>
        <v>Delivered</v>
      </c>
      <c r="D237" t="str">
        <f>IFERROR(VLOOKUP(C237,Config!$A:$B,2,0),"Unknown")</f>
        <v>Delivered</v>
      </c>
      <c r="E237" t="str">
        <f>IFERROR(VLOOKUP(C237,Config!$A:$C,3,0),"N/A")</f>
        <v>Delivered</v>
      </c>
    </row>
    <row r="238" ht="15" customHeight="1" spans="1:5">
      <c r="A238" t="str">
        <f>'iWork,IBP &amp; Framework_SOW Items'!D238</f>
        <v>iWork</v>
      </c>
      <c r="B238" t="str">
        <f>'iWork,IBP &amp; Framework_SOW Items'!E238</f>
        <v>Milestone 6</v>
      </c>
      <c r="C238" t="str">
        <f>'iWork,IBP &amp; Framework_SOW Items'!F238</f>
        <v>Delivered</v>
      </c>
      <c r="D238" t="str">
        <f>IFERROR(VLOOKUP(C238,Config!$A:$B,2,0),"Unknown")</f>
        <v>Delivered</v>
      </c>
      <c r="E238" t="str">
        <f>IFERROR(VLOOKUP(C238,Config!$A:$C,3,0),"N/A")</f>
        <v>Delivered</v>
      </c>
    </row>
    <row r="239" ht="15" customHeight="1" spans="1:5">
      <c r="A239" t="str">
        <f>'iWork,IBP &amp; Framework_SOW Items'!D239</f>
        <v>iWork</v>
      </c>
      <c r="B239" t="str">
        <f>'iWork,IBP &amp; Framework_SOW Items'!E239</f>
        <v>Milestone 6</v>
      </c>
      <c r="C239" t="str">
        <f>'iWork,IBP &amp; Framework_SOW Items'!F239</f>
        <v>Delivered</v>
      </c>
      <c r="D239" t="str">
        <f>IFERROR(VLOOKUP(C239,Config!$A:$B,2,0),"Unknown")</f>
        <v>Delivered</v>
      </c>
      <c r="E239" t="str">
        <f>IFERROR(VLOOKUP(C239,Config!$A:$C,3,0),"N/A")</f>
        <v>Delivered</v>
      </c>
    </row>
    <row r="240" ht="15" customHeight="1" spans="1:5">
      <c r="A240" t="str">
        <f>'iWork,IBP &amp; Framework_SOW Items'!D240</f>
        <v>iWork</v>
      </c>
      <c r="B240" t="str">
        <f>'iWork,IBP &amp; Framework_SOW Items'!E240</f>
        <v>Milestone 6</v>
      </c>
      <c r="C240" t="str">
        <f>'iWork,IBP &amp; Framework_SOW Items'!F240</f>
        <v>Delivered</v>
      </c>
      <c r="D240" t="str">
        <f>IFERROR(VLOOKUP(C240,Config!$A:$B,2,0),"Unknown")</f>
        <v>Delivered</v>
      </c>
      <c r="E240" t="str">
        <f>IFERROR(VLOOKUP(C240,Config!$A:$C,3,0),"N/A")</f>
        <v>Delivered</v>
      </c>
    </row>
    <row r="241" ht="15" customHeight="1" spans="1:5">
      <c r="A241" t="str">
        <f>'iWork,IBP &amp; Framework_SOW Items'!D241</f>
        <v>iWork</v>
      </c>
      <c r="B241" t="str">
        <f>'iWork,IBP &amp; Framework_SOW Items'!E241</f>
        <v>Milestone 6</v>
      </c>
      <c r="C241" t="str">
        <f>'iWork,IBP &amp; Framework_SOW Items'!F241</f>
        <v>Delivered</v>
      </c>
      <c r="D241" t="str">
        <f>IFERROR(VLOOKUP(C241,Config!$A:$B,2,0),"Unknown")</f>
        <v>Delivered</v>
      </c>
      <c r="E241" t="str">
        <f>IFERROR(VLOOKUP(C241,Config!$A:$C,3,0),"N/A")</f>
        <v>Delivered</v>
      </c>
    </row>
    <row r="242" ht="15" customHeight="1" spans="1:5">
      <c r="A242" t="str">
        <f>'iWork,IBP &amp; Framework_SOW Items'!D242</f>
        <v>iWork</v>
      </c>
      <c r="B242" t="str">
        <f>'iWork,IBP &amp; Framework_SOW Items'!E242</f>
        <v>Milestone 6</v>
      </c>
      <c r="C242" t="str">
        <f>'iWork,IBP &amp; Framework_SOW Items'!F242</f>
        <v>Delivered</v>
      </c>
      <c r="D242" t="str">
        <f>IFERROR(VLOOKUP(C242,Config!$A:$B,2,0),"Unknown")</f>
        <v>Delivered</v>
      </c>
      <c r="E242" t="str">
        <f>IFERROR(VLOOKUP(C242,Config!$A:$C,3,0),"N/A")</f>
        <v>Delivered</v>
      </c>
    </row>
    <row r="243" ht="15" customHeight="1" spans="1:5">
      <c r="A243" t="str">
        <f>'iWork,IBP &amp; Framework_SOW Items'!D243</f>
        <v>iWork</v>
      </c>
      <c r="B243" t="str">
        <f>'iWork,IBP &amp; Framework_SOW Items'!E243</f>
        <v>Milestone 6</v>
      </c>
      <c r="C243" t="str">
        <f>'iWork,IBP &amp; Framework_SOW Items'!F243</f>
        <v>Delivered - Deficit</v>
      </c>
      <c r="D243" t="str">
        <f>IFERROR(VLOOKUP(C243,Config!$A:$B,2,0),"Unknown")</f>
        <v>Partial Delivery</v>
      </c>
      <c r="E243" t="str">
        <f>IFERROR(VLOOKUP(C243,Config!$A:$C,3,0),"N/A")</f>
        <v>Pending</v>
      </c>
    </row>
    <row r="244" ht="15" customHeight="1" spans="1:5">
      <c r="A244" t="str">
        <f>'iWork,IBP &amp; Framework_SOW Items'!D244</f>
        <v>iWork</v>
      </c>
      <c r="B244" t="str">
        <f>'iWork,IBP &amp; Framework_SOW Items'!E244</f>
        <v>Milestone 6</v>
      </c>
      <c r="C244" t="str">
        <f>'iWork,IBP &amp; Framework_SOW Items'!F244</f>
        <v>Delivered</v>
      </c>
      <c r="D244" t="str">
        <f>IFERROR(VLOOKUP(C244,Config!$A:$B,2,0),"Unknown")</f>
        <v>Delivered</v>
      </c>
      <c r="E244" t="str">
        <f>IFERROR(VLOOKUP(C244,Config!$A:$C,3,0),"N/A")</f>
        <v>Delivered</v>
      </c>
    </row>
    <row r="245" ht="15" customHeight="1" spans="1:5">
      <c r="A245" t="str">
        <f>'iWork,IBP &amp; Framework_SOW Items'!D245</f>
        <v>iWork</v>
      </c>
      <c r="B245" t="str">
        <f>'iWork,IBP &amp; Framework_SOW Items'!E245</f>
        <v>Milestone 6</v>
      </c>
      <c r="C245" t="str">
        <f>'iWork,IBP &amp; Framework_SOW Items'!F245</f>
        <v>Yet to start</v>
      </c>
      <c r="D245" t="str">
        <f>IFERROR(VLOOKUP(C245,Config!$A:$B,2,0),"Unknown")</f>
        <v>Not Started</v>
      </c>
      <c r="E245" t="str">
        <f>IFERROR(VLOOKUP(C245,Config!$A:$C,3,0),"N/A")</f>
        <v>Pending</v>
      </c>
    </row>
    <row r="246" ht="15" customHeight="1" spans="1:5">
      <c r="A246" t="str">
        <f>'iWork,IBP &amp; Framework_SOW Items'!D246</f>
        <v>iWork</v>
      </c>
      <c r="B246" t="str">
        <f>'iWork,IBP &amp; Framework_SOW Items'!E246</f>
        <v>Milestone 6</v>
      </c>
      <c r="C246" t="str">
        <f>'iWork,IBP &amp; Framework_SOW Items'!F246</f>
        <v>Yet to start</v>
      </c>
      <c r="D246" t="str">
        <f>IFERROR(VLOOKUP(C246,Config!$A:$B,2,0),"Unknown")</f>
        <v>Not Started</v>
      </c>
      <c r="E246" t="str">
        <f>IFERROR(VLOOKUP(C246,Config!$A:$C,3,0),"N/A")</f>
        <v>Pending</v>
      </c>
    </row>
    <row r="247" ht="15" customHeight="1" spans="1:5">
      <c r="A247" t="str">
        <f>'iWork,IBP &amp; Framework_SOW Items'!D247</f>
        <v>iWork</v>
      </c>
      <c r="B247" t="str">
        <f>'iWork,IBP &amp; Framework_SOW Items'!E247</f>
        <v>Milestone 6</v>
      </c>
      <c r="C247" t="str">
        <f>'iWork,IBP &amp; Framework_SOW Items'!F247</f>
        <v>Yet to start</v>
      </c>
      <c r="D247" t="str">
        <f>IFERROR(VLOOKUP(C247,Config!$A:$B,2,0),"Unknown")</f>
        <v>Not Started</v>
      </c>
      <c r="E247" t="str">
        <f>IFERROR(VLOOKUP(C247,Config!$A:$C,3,0),"N/A")</f>
        <v>Pending</v>
      </c>
    </row>
    <row r="248" ht="15" customHeight="1" spans="1:5">
      <c r="A248" t="str">
        <f>'iWork,IBP &amp; Framework_SOW Items'!D248</f>
        <v>iWork</v>
      </c>
      <c r="B248" t="str">
        <f>'iWork,IBP &amp; Framework_SOW Items'!E248</f>
        <v>Milestone 6</v>
      </c>
      <c r="C248" t="str">
        <f>'iWork,IBP &amp; Framework_SOW Items'!F248</f>
        <v>Delivered</v>
      </c>
      <c r="D248" t="str">
        <f>IFERROR(VLOOKUP(C248,Config!$A:$B,2,0),"Unknown")</f>
        <v>Delivered</v>
      </c>
      <c r="E248" t="str">
        <f>IFERROR(VLOOKUP(C248,Config!$A:$C,3,0),"N/A")</f>
        <v>Delivered</v>
      </c>
    </row>
    <row r="249" ht="15" customHeight="1" spans="1:5">
      <c r="A249" t="str">
        <f>'iWork,IBP &amp; Framework_SOW Items'!D249</f>
        <v>iWork</v>
      </c>
      <c r="B249" t="str">
        <f>'iWork,IBP &amp; Framework_SOW Items'!E249</f>
        <v>Milestone 6</v>
      </c>
      <c r="C249" t="str">
        <f>'iWork,IBP &amp; Framework_SOW Items'!F249</f>
        <v>Delivered</v>
      </c>
      <c r="D249" t="str">
        <f>IFERROR(VLOOKUP(C249,Config!$A:$B,2,0),"Unknown")</f>
        <v>Delivered</v>
      </c>
      <c r="E249" t="str">
        <f>IFERROR(VLOOKUP(C249,Config!$A:$C,3,0),"N/A")</f>
        <v>Delivered</v>
      </c>
    </row>
    <row r="250" ht="15" customHeight="1" spans="1:5">
      <c r="A250" t="str">
        <f>'iWork,IBP &amp; Framework_SOW Items'!D250</f>
        <v>iWork</v>
      </c>
      <c r="B250" t="str">
        <f>'iWork,IBP &amp; Framework_SOW Items'!E250</f>
        <v>Milestone 6</v>
      </c>
      <c r="C250" t="str">
        <f>'iWork,IBP &amp; Framework_SOW Items'!F250</f>
        <v>Yet to start</v>
      </c>
      <c r="D250" t="str">
        <f>IFERROR(VLOOKUP(C250,Config!$A:$B,2,0),"Unknown")</f>
        <v>Not Started</v>
      </c>
      <c r="E250" t="str">
        <f>IFERROR(VLOOKUP(C250,Config!$A:$C,3,0),"N/A")</f>
        <v>Pending</v>
      </c>
    </row>
    <row r="251" ht="15" customHeight="1" spans="1:5">
      <c r="A251" t="str">
        <f>'iWork,IBP &amp; Framework_SOW Items'!D251</f>
        <v>iWork</v>
      </c>
      <c r="B251" t="str">
        <f>'iWork,IBP &amp; Framework_SOW Items'!E251</f>
        <v>Milestone 6</v>
      </c>
      <c r="C251" t="str">
        <f>'iWork,IBP &amp; Framework_SOW Items'!F251</f>
        <v>Yet to start</v>
      </c>
      <c r="D251" t="str">
        <f>IFERROR(VLOOKUP(C251,Config!$A:$B,2,0),"Unknown")</f>
        <v>Not Started</v>
      </c>
      <c r="E251" t="str">
        <f>IFERROR(VLOOKUP(C251,Config!$A:$C,3,0),"N/A")</f>
        <v>Pending</v>
      </c>
    </row>
    <row r="252" ht="15" customHeight="1" spans="1:5">
      <c r="A252" t="str">
        <f>'iWork,IBP &amp; Framework_SOW Items'!D252</f>
        <v>iWork</v>
      </c>
      <c r="B252" t="str">
        <f>'iWork,IBP &amp; Framework_SOW Items'!E252</f>
        <v>Milestone 6</v>
      </c>
      <c r="C252" t="str">
        <f>'iWork,IBP &amp; Framework_SOW Items'!F252</f>
        <v>Yet to start</v>
      </c>
      <c r="D252" t="str">
        <f>IFERROR(VLOOKUP(C252,Config!$A:$B,2,0),"Unknown")</f>
        <v>Not Started</v>
      </c>
      <c r="E252" t="str">
        <f>IFERROR(VLOOKUP(C252,Config!$A:$C,3,0),"N/A")</f>
        <v>Pending</v>
      </c>
    </row>
    <row r="253" ht="15" customHeight="1" spans="1:5">
      <c r="A253" t="str">
        <f>'iWork,IBP &amp; Framework_SOW Items'!D253</f>
        <v>iWork</v>
      </c>
      <c r="B253" t="str">
        <f>'iWork,IBP &amp; Framework_SOW Items'!E253</f>
        <v>Milestone 6</v>
      </c>
      <c r="C253" t="str">
        <f>'iWork,IBP &amp; Framework_SOW Items'!F253</f>
        <v>Yet to start</v>
      </c>
      <c r="D253" t="str">
        <f>IFERROR(VLOOKUP(C253,Config!$A:$B,2,0),"Unknown")</f>
        <v>Not Started</v>
      </c>
      <c r="E253" t="str">
        <f>IFERROR(VLOOKUP(C253,Config!$A:$C,3,0),"N/A")</f>
        <v>Pending</v>
      </c>
    </row>
    <row r="254" ht="15" customHeight="1" spans="1:5">
      <c r="A254" t="str">
        <f>'iWork,IBP &amp; Framework_SOW Items'!D254</f>
        <v>iWork - CR</v>
      </c>
      <c r="B254" t="str">
        <f>'iWork,IBP &amp; Framework_SOW Items'!E254</f>
        <v>Milestone 6</v>
      </c>
      <c r="C254" t="str">
        <f>'iWork,IBP &amp; Framework_SOW Items'!F254</f>
        <v>Delivered</v>
      </c>
      <c r="D254" t="str">
        <f>IFERROR(VLOOKUP(C254,Config!$A:$B,2,0),"Unknown")</f>
        <v>Delivered</v>
      </c>
      <c r="E254" t="str">
        <f>IFERROR(VLOOKUP(C254,Config!$A:$C,3,0),"N/A")</f>
        <v>Delivered</v>
      </c>
    </row>
    <row r="255" ht="15" customHeight="1" spans="1:5">
      <c r="A255" t="str">
        <f>'iWork,IBP &amp; Framework_SOW Items'!D255</f>
        <v>iWork - CR</v>
      </c>
      <c r="B255" t="str">
        <f>'iWork,IBP &amp; Framework_SOW Items'!E255</f>
        <v>Milestone 6</v>
      </c>
      <c r="C255" t="str">
        <f>'iWork,IBP &amp; Framework_SOW Items'!F255</f>
        <v>Delivered</v>
      </c>
      <c r="D255" t="str">
        <f>IFERROR(VLOOKUP(C255,Config!$A:$B,2,0),"Unknown")</f>
        <v>Delivered</v>
      </c>
      <c r="E255" t="str">
        <f>IFERROR(VLOOKUP(C255,Config!$A:$C,3,0),"N/A")</f>
        <v>Delivered</v>
      </c>
    </row>
    <row r="256" ht="15" customHeight="1" spans="1:5">
      <c r="A256" t="str">
        <f>'iWork,IBP &amp; Framework_SOW Items'!D256</f>
        <v>iWork - CR</v>
      </c>
      <c r="B256" t="str">
        <f>'iWork,IBP &amp; Framework_SOW Items'!E256</f>
        <v>Milestone 6</v>
      </c>
      <c r="C256" t="str">
        <f>'iWork,IBP &amp; Framework_SOW Items'!F256</f>
        <v>Yet to start</v>
      </c>
      <c r="D256" t="str">
        <f>IFERROR(VLOOKUP(C256,Config!$A:$B,2,0),"Unknown")</f>
        <v>Not Started</v>
      </c>
      <c r="E256" t="str">
        <f>IFERROR(VLOOKUP(C256,Config!$A:$C,3,0),"N/A")</f>
        <v>Pending</v>
      </c>
    </row>
    <row r="257" ht="15" customHeight="1" spans="1:5">
      <c r="A257" t="str">
        <f>'iWork,IBP &amp; Framework_SOW Items'!D257</f>
        <v>iWork - CR</v>
      </c>
      <c r="B257" t="str">
        <f>'iWork,IBP &amp; Framework_SOW Items'!E257</f>
        <v>Milestone 6</v>
      </c>
      <c r="C257" t="str">
        <f>'iWork,IBP &amp; Framework_SOW Items'!F257</f>
        <v>Dev - Done</v>
      </c>
      <c r="D257" t="str">
        <f>IFERROR(VLOOKUP(C257,Config!$A:$B,2,0),"Unknown")</f>
        <v>Dev Complete</v>
      </c>
      <c r="E257" t="str">
        <f>IFERROR(VLOOKUP(C257,Config!$A:$C,3,0),"N/A")</f>
        <v>Delivered</v>
      </c>
    </row>
    <row r="258" ht="15" customHeight="1" spans="1:5">
      <c r="A258" t="str">
        <f>'iWork,IBP &amp; Framework_SOW Items'!D258</f>
        <v>iWork - CR</v>
      </c>
      <c r="B258" t="str">
        <f>'iWork,IBP &amp; Framework_SOW Items'!E258</f>
        <v>Milestone 6</v>
      </c>
      <c r="C258" t="str">
        <f>'iWork,IBP &amp; Framework_SOW Items'!F258</f>
        <v>QA - WIP</v>
      </c>
      <c r="D258" t="str">
        <f>IFERROR(VLOOKUP(C258,Config!$A:$B,2,0),"Unknown")</f>
        <v>In QA</v>
      </c>
      <c r="E258" t="str">
        <f>IFERROR(VLOOKUP(C258,Config!$A:$C,3,0),"N/A")</f>
        <v>Pending</v>
      </c>
    </row>
    <row r="259" ht="15" customHeight="1" spans="1:5">
      <c r="A259" t="str">
        <f>'iWork,IBP &amp; Framework_SOW Items'!D259</f>
        <v>iWork - CR</v>
      </c>
      <c r="B259" t="str">
        <f>'iWork,IBP &amp; Framework_SOW Items'!E259</f>
        <v>Milestone 6</v>
      </c>
      <c r="C259" t="str">
        <f>'iWork,IBP &amp; Framework_SOW Items'!F259</f>
        <v>Yet to start</v>
      </c>
      <c r="D259" t="str">
        <f>IFERROR(VLOOKUP(C259,Config!$A:$B,2,0),"Unknown")</f>
        <v>Not Started</v>
      </c>
      <c r="E259" t="str">
        <f>IFERROR(VLOOKUP(C259,Config!$A:$C,3,0),"N/A")</f>
        <v>Pending</v>
      </c>
    </row>
    <row r="260" ht="15" customHeight="1" spans="1:5">
      <c r="A260" t="str">
        <f>'iWork,IBP &amp; Framework_SOW Items'!D260</f>
        <v>iWork - CR</v>
      </c>
      <c r="B260" t="str">
        <f>'iWork,IBP &amp; Framework_SOW Items'!E260</f>
        <v>Milestone 6</v>
      </c>
      <c r="C260" t="str">
        <f>'iWork,IBP &amp; Framework_SOW Items'!F260</f>
        <v>Yet to start</v>
      </c>
      <c r="D260" t="str">
        <f>IFERROR(VLOOKUP(C260,Config!$A:$B,2,0),"Unknown")</f>
        <v>Not Started</v>
      </c>
      <c r="E260" t="str">
        <f>IFERROR(VLOOKUP(C260,Config!$A:$C,3,0),"N/A")</f>
        <v>Pending</v>
      </c>
    </row>
    <row r="261" ht="15" customHeight="1" spans="1:5">
      <c r="A261" t="str">
        <f>'iWork,IBP &amp; Framework_SOW Items'!D261</f>
        <v>iWork - CR</v>
      </c>
      <c r="B261" t="str">
        <f>'iWork,IBP &amp; Framework_SOW Items'!E261</f>
        <v>Milestone 6</v>
      </c>
      <c r="C261" t="str">
        <f>'iWork,IBP &amp; Framework_SOW Items'!F261</f>
        <v>Yet to start</v>
      </c>
      <c r="D261" t="str">
        <f>IFERROR(VLOOKUP(C261,Config!$A:$B,2,0),"Unknown")</f>
        <v>Not Started</v>
      </c>
      <c r="E261" t="str">
        <f>IFERROR(VLOOKUP(C261,Config!$A:$C,3,0),"N/A")</f>
        <v>Pending</v>
      </c>
    </row>
  </sheetData>
  <pageMargins left="0.75" right="0.75" top="1" bottom="1" header="0.511811023622047" footer="0.511811023622047"/>
  <pageSetup paperSize="9"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
    </sheetView>
  </sheetViews>
  <sheetFormatPr defaultColWidth="8.6796875" defaultRowHeight="16.8" outlineLevelCol="2"/>
  <sheetData>
    <row r="1" ht="15" customHeight="1" spans="1:3">
      <c r="A1" t="s">
        <v>573</v>
      </c>
      <c r="B1" t="s">
        <v>571</v>
      </c>
      <c r="C1" t="s">
        <v>572</v>
      </c>
    </row>
    <row r="2" ht="15" customHeight="1" spans="1:3">
      <c r="A2" t="s">
        <v>15</v>
      </c>
      <c r="B2" t="s">
        <v>15</v>
      </c>
      <c r="C2" t="s">
        <v>15</v>
      </c>
    </row>
    <row r="3" ht="15" customHeight="1" spans="1:3">
      <c r="A3" t="s">
        <v>259</v>
      </c>
      <c r="B3" t="s">
        <v>506</v>
      </c>
      <c r="C3" t="s">
        <v>15</v>
      </c>
    </row>
    <row r="4" ht="15" customHeight="1" spans="1:3">
      <c r="A4" t="s">
        <v>222</v>
      </c>
      <c r="B4" t="s">
        <v>507</v>
      </c>
      <c r="C4" t="s">
        <v>516</v>
      </c>
    </row>
    <row r="5" ht="15" customHeight="1" spans="1:3">
      <c r="A5" t="s">
        <v>272</v>
      </c>
      <c r="B5" t="s">
        <v>508</v>
      </c>
      <c r="C5" t="s">
        <v>516</v>
      </c>
    </row>
    <row r="6" ht="15" customHeight="1" spans="1:3">
      <c r="A6" t="s">
        <v>156</v>
      </c>
      <c r="B6" t="s">
        <v>509</v>
      </c>
      <c r="C6" t="s">
        <v>516</v>
      </c>
    </row>
    <row r="7" ht="15" customHeight="1" spans="1:3">
      <c r="A7" t="s">
        <v>89</v>
      </c>
      <c r="B7" t="s">
        <v>510</v>
      </c>
      <c r="C7" t="s">
        <v>516</v>
      </c>
    </row>
    <row r="8" ht="15" customHeight="1" spans="1:3">
      <c r="A8" t="s">
        <v>70</v>
      </c>
      <c r="B8" t="s">
        <v>511</v>
      </c>
      <c r="C8" t="s">
        <v>516</v>
      </c>
    </row>
    <row r="9" ht="15" customHeight="1" spans="1:3">
      <c r="A9" t="s">
        <v>574</v>
      </c>
      <c r="B9" t="s">
        <v>512</v>
      </c>
      <c r="C9" t="s">
        <v>512</v>
      </c>
    </row>
  </sheetData>
  <pageMargins left="0.75" right="0.75" top="1" bottom="1" header="0.511811023622047" footer="0.511811023622047"/>
  <pageSetup paperSize="9" orientation="portrait" horizontalDpi="3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265"/>
  <sheetViews>
    <sheetView showGridLines="0" workbookViewId="0">
      <pane ySplit="5" topLeftCell="A6" activePane="bottomLeft" state="frozen"/>
      <selection/>
      <selection pane="bottomLeft" activeCell="F5" sqref="F5"/>
    </sheetView>
  </sheetViews>
  <sheetFormatPr defaultColWidth="8.6796875" defaultRowHeight="16.8"/>
  <cols>
    <col min="1" max="1" width="14" customWidth="1"/>
    <col min="2" max="2" width="20" customWidth="1"/>
    <col min="3" max="3" width="26" customWidth="1"/>
    <col min="4" max="4" width="42" customWidth="1"/>
    <col min="5" max="5" width="18" customWidth="1"/>
    <col min="6" max="6" width="12" customWidth="1"/>
    <col min="7" max="8" width="13" customWidth="1"/>
    <col min="9" max="9" width="30" customWidth="1"/>
  </cols>
  <sheetData>
    <row r="1" ht="21.75" customHeight="1" spans="1:9">
      <c r="A1" s="1" t="s">
        <v>575</v>
      </c>
      <c r="B1" s="1"/>
      <c r="C1" s="1"/>
      <c r="D1" s="1"/>
      <c r="E1" s="1"/>
      <c r="F1" s="1"/>
      <c r="G1" s="1"/>
      <c r="H1" s="1"/>
      <c r="I1" s="1"/>
    </row>
    <row r="2" ht="21.75" customHeight="1" spans="1:9">
      <c r="A2" s="1"/>
      <c r="B2" s="1"/>
      <c r="C2" s="1"/>
      <c r="D2" s="1"/>
      <c r="E2" s="1"/>
      <c r="F2" s="1"/>
      <c r="G2" s="1"/>
      <c r="H2" s="1"/>
      <c r="I2" s="1"/>
    </row>
    <row r="3" ht="24" customHeight="1" spans="1:9">
      <c r="A3" s="50" t="s">
        <v>576</v>
      </c>
      <c r="B3" s="50"/>
      <c r="C3" s="50"/>
      <c r="D3" s="50"/>
      <c r="E3" s="50"/>
      <c r="F3" s="50"/>
      <c r="G3" s="50"/>
      <c r="H3" s="50"/>
      <c r="I3" s="50"/>
    </row>
    <row r="4" ht="6" customHeight="1"/>
    <row r="5" ht="24" customHeight="1" spans="1:9">
      <c r="A5" s="36" t="s">
        <v>532</v>
      </c>
      <c r="B5" s="36" t="s">
        <v>3</v>
      </c>
      <c r="C5" s="36" t="s">
        <v>1</v>
      </c>
      <c r="D5" s="36" t="s">
        <v>2</v>
      </c>
      <c r="E5" s="36" t="s">
        <v>5</v>
      </c>
      <c r="F5" s="36" t="s">
        <v>577</v>
      </c>
      <c r="G5" s="36" t="s">
        <v>8</v>
      </c>
      <c r="H5" s="36" t="s">
        <v>9</v>
      </c>
      <c r="I5" s="36" t="s">
        <v>6</v>
      </c>
    </row>
    <row r="6" ht="15" hidden="1" customHeight="1" spans="1:9">
      <c r="A6" s="51" t="str">
        <f>'iWork,IBP &amp; Framework_SOW Items'!E2</f>
        <v>Milestone 1</v>
      </c>
      <c r="B6" s="51" t="str">
        <f>'iWork,IBP &amp; Framework_SOW Items'!D2</f>
        <v>Framework</v>
      </c>
      <c r="C6" s="52" t="str">
        <f>'iWork,IBP &amp; Framework_SOW Items'!B2</f>
        <v>Project setup</v>
      </c>
      <c r="D6" s="53" t="str">
        <f>'iWork,IBP &amp; Framework_SOW Items'!C2</f>
        <v>Basic project / Development environment setup</v>
      </c>
      <c r="E6" s="51" t="str">
        <f>'iWork,IBP &amp; Framework_SOW Items'!F2</f>
        <v>Delivered</v>
      </c>
      <c r="F6" s="51" t="str">
        <f>Helper!E2</f>
        <v>Delivered</v>
      </c>
      <c r="G6" s="51" t="str">
        <f>IF('iWork,IBP &amp; Framework_SOW Items'!I2="","",'iWork,IBP &amp; Framework_SOW Items'!I2)</f>
        <v/>
      </c>
      <c r="H6" s="51" t="str">
        <f>IF('iWork,IBP &amp; Framework_SOW Items'!J2="","",'iWork,IBP &amp; Framework_SOW Items'!J2)</f>
        <v/>
      </c>
      <c r="I6" s="53" t="str">
        <f>IF('iWork,IBP &amp; Framework_SOW Items'!G2="","",'iWork,IBP &amp; Framework_SOW Items'!G2)</f>
        <v/>
      </c>
    </row>
    <row r="7" ht="15" hidden="1" customHeight="1" spans="1:9">
      <c r="A7" s="54" t="str">
        <f>'iWork,IBP &amp; Framework_SOW Items'!E3</f>
        <v>Milestone 1</v>
      </c>
      <c r="B7" s="54" t="str">
        <f>'iWork,IBP &amp; Framework_SOW Items'!D3</f>
        <v>Framework</v>
      </c>
      <c r="C7" s="55" t="str">
        <f>'iWork,IBP &amp; Framework_SOW Items'!B3</f>
        <v>UI Approach Design System</v>
      </c>
      <c r="D7" s="56" t="str">
        <f>'iWork,IBP &amp; Framework_SOW Items'!C3</f>
        <v>Building Design System</v>
      </c>
      <c r="E7" s="54" t="str">
        <f>'iWork,IBP &amp; Framework_SOW Items'!F3</f>
        <v>Delivered</v>
      </c>
      <c r="F7" s="54" t="str">
        <f>Helper!E3</f>
        <v>Delivered</v>
      </c>
      <c r="G7" s="54" t="str">
        <f>IF('iWork,IBP &amp; Framework_SOW Items'!I3="","",'iWork,IBP &amp; Framework_SOW Items'!I3)</f>
        <v/>
      </c>
      <c r="H7" s="54" t="str">
        <f>IF('iWork,IBP &amp; Framework_SOW Items'!J3="","",'iWork,IBP &amp; Framework_SOW Items'!J3)</f>
        <v/>
      </c>
      <c r="I7" s="56" t="str">
        <f>IF('iWork,IBP &amp; Framework_SOW Items'!G3="","",'iWork,IBP &amp; Framework_SOW Items'!G3)</f>
        <v/>
      </c>
    </row>
    <row r="8" ht="15" hidden="1" customHeight="1" spans="1:9">
      <c r="A8" s="51" t="str">
        <f>'iWork,IBP &amp; Framework_SOW Items'!E4</f>
        <v>Milestone 1</v>
      </c>
      <c r="B8" s="51" t="str">
        <f>'iWork,IBP &amp; Framework_SOW Items'!D4</f>
        <v>Framework</v>
      </c>
      <c r="C8" s="52" t="str">
        <f>'iWork,IBP &amp; Framework_SOW Items'!B4</f>
        <v>Core Infrastructure</v>
      </c>
      <c r="D8" s="53" t="str">
        <f>'iWork,IBP &amp; Framework_SOW Items'!C4</f>
        <v>Core Infra</v>
      </c>
      <c r="E8" s="51" t="str">
        <f>'iWork,IBP &amp; Framework_SOW Items'!F4</f>
        <v>Delivered</v>
      </c>
      <c r="F8" s="51" t="str">
        <f>Helper!E4</f>
        <v>Delivered</v>
      </c>
      <c r="G8" s="51" t="str">
        <f>IF('iWork,IBP &amp; Framework_SOW Items'!I4="","",'iWork,IBP &amp; Framework_SOW Items'!I4)</f>
        <v/>
      </c>
      <c r="H8" s="51" t="str">
        <f>IF('iWork,IBP &amp; Framework_SOW Items'!J4="","",'iWork,IBP &amp; Framework_SOW Items'!J4)</f>
        <v/>
      </c>
      <c r="I8" s="53" t="str">
        <f>IF('iWork,IBP &amp; Framework_SOW Items'!G4="","",'iWork,IBP &amp; Framework_SOW Items'!G4)</f>
        <v/>
      </c>
    </row>
    <row r="9" ht="15" hidden="1" customHeight="1" spans="1:9">
      <c r="A9" s="54" t="str">
        <f>'iWork,IBP &amp; Framework_SOW Items'!E5</f>
        <v>Milestone 1</v>
      </c>
      <c r="B9" s="54" t="str">
        <f>'iWork,IBP &amp; Framework_SOW Items'!D5</f>
        <v>Framework</v>
      </c>
      <c r="C9" s="55" t="str">
        <f>'iWork,IBP &amp; Framework_SOW Items'!B5</f>
        <v>Build UI components</v>
      </c>
      <c r="D9" s="56" t="str">
        <f>'iWork,IBP &amp; Framework_SOW Items'!C5</f>
        <v>This includes all the UI componnets to compose the application and module definitions: 
Form, Toast, Filter, Cards, Visualisation, Grid, Menu, Header, Footer,
Maps Integration</v>
      </c>
      <c r="E9" s="54" t="str">
        <f>'iWork,IBP &amp; Framework_SOW Items'!F5</f>
        <v>Delivered</v>
      </c>
      <c r="F9" s="54" t="str">
        <f>Helper!E5</f>
        <v>Delivered</v>
      </c>
      <c r="G9" s="54" t="str">
        <f>IF('iWork,IBP &amp; Framework_SOW Items'!I5="","",'iWork,IBP &amp; Framework_SOW Items'!I5)</f>
        <v/>
      </c>
      <c r="H9" s="54" t="str">
        <f>IF('iWork,IBP &amp; Framework_SOW Items'!J5="","",'iWork,IBP &amp; Framework_SOW Items'!J5)</f>
        <v/>
      </c>
      <c r="I9" s="56" t="str">
        <f>IF('iWork,IBP &amp; Framework_SOW Items'!G5="","",'iWork,IBP &amp; Framework_SOW Items'!G5)</f>
        <v/>
      </c>
    </row>
    <row r="10" ht="15" hidden="1" customHeight="1" spans="1:9">
      <c r="A10" s="51" t="str">
        <f>'iWork,IBP &amp; Framework_SOW Items'!E6</f>
        <v>Milestone 1</v>
      </c>
      <c r="B10" s="51" t="str">
        <f>'iWork,IBP &amp; Framework_SOW Items'!D6</f>
        <v>Framework</v>
      </c>
      <c r="C10" s="52" t="str">
        <f>'iWork,IBP &amp; Framework_SOW Items'!B6</f>
        <v>UI Approach Style Establishment</v>
      </c>
      <c r="D10" s="53" t="str">
        <f>'iWork,IBP &amp; Framework_SOW Items'!C6</f>
        <v>UI Style Establishment</v>
      </c>
      <c r="E10" s="51" t="str">
        <f>'iWork,IBP &amp; Framework_SOW Items'!F6</f>
        <v>Delivered</v>
      </c>
      <c r="F10" s="51" t="str">
        <f>Helper!E6</f>
        <v>Delivered</v>
      </c>
      <c r="G10" s="51" t="str">
        <f>IF('iWork,IBP &amp; Framework_SOW Items'!I6="","",'iWork,IBP &amp; Framework_SOW Items'!I6)</f>
        <v/>
      </c>
      <c r="H10" s="51" t="str">
        <f>IF('iWork,IBP &amp; Framework_SOW Items'!J6="","",'iWork,IBP &amp; Framework_SOW Items'!J6)</f>
        <v/>
      </c>
      <c r="I10" s="53" t="str">
        <f>IF('iWork,IBP &amp; Framework_SOW Items'!G6="","",'iWork,IBP &amp; Framework_SOW Items'!G6)</f>
        <v/>
      </c>
    </row>
    <row r="11" ht="15" hidden="1" customHeight="1" spans="1:9">
      <c r="A11" s="54" t="str">
        <f>'iWork,IBP &amp; Framework_SOW Items'!E7</f>
        <v>Milestone 1</v>
      </c>
      <c r="B11" s="54" t="str">
        <f>'iWork,IBP &amp; Framework_SOW Items'!D7</f>
        <v>Framework</v>
      </c>
      <c r="C11" s="55" t="str">
        <f>'iWork,IBP &amp; Framework_SOW Items'!B7</f>
        <v>Service Workers Implementation</v>
      </c>
      <c r="D11" s="56">
        <f>'iWork,IBP &amp; Framework_SOW Items'!C7</f>
        <v>0</v>
      </c>
      <c r="E11" s="54" t="str">
        <f>'iWork,IBP &amp; Framework_SOW Items'!F7</f>
        <v>Delivered</v>
      </c>
      <c r="F11" s="54" t="str">
        <f>Helper!E7</f>
        <v>Delivered</v>
      </c>
      <c r="G11" s="54" t="str">
        <f>IF('iWork,IBP &amp; Framework_SOW Items'!I7="","",'iWork,IBP &amp; Framework_SOW Items'!I7)</f>
        <v/>
      </c>
      <c r="H11" s="54" t="str">
        <f>IF('iWork,IBP &amp; Framework_SOW Items'!J7="","",'iWork,IBP &amp; Framework_SOW Items'!J7)</f>
        <v/>
      </c>
      <c r="I11" s="56" t="str">
        <f>IF('iWork,IBP &amp; Framework_SOW Items'!G7="","",'iWork,IBP &amp; Framework_SOW Items'!G7)</f>
        <v/>
      </c>
    </row>
    <row r="12" ht="15" hidden="1" customHeight="1" spans="1:9">
      <c r="A12" s="51" t="str">
        <f>'iWork,IBP &amp; Framework_SOW Items'!E8</f>
        <v>Milestone 1</v>
      </c>
      <c r="B12" s="51" t="str">
        <f>'iWork,IBP &amp; Framework_SOW Items'!D8</f>
        <v>Framework</v>
      </c>
      <c r="C12" s="52" t="str">
        <f>'iWork,IBP &amp; Framework_SOW Items'!B8</f>
        <v>Core System</v>
      </c>
      <c r="D12" s="53">
        <f>'iWork,IBP &amp; Framework_SOW Items'!C8</f>
        <v>0</v>
      </c>
      <c r="E12" s="51" t="str">
        <f>'iWork,IBP &amp; Framework_SOW Items'!F8</f>
        <v>Delivered</v>
      </c>
      <c r="F12" s="51" t="str">
        <f>Helper!E8</f>
        <v>Delivered</v>
      </c>
      <c r="G12" s="51" t="str">
        <f>IF('iWork,IBP &amp; Framework_SOW Items'!I8="","",'iWork,IBP &amp; Framework_SOW Items'!I8)</f>
        <v/>
      </c>
      <c r="H12" s="51" t="str">
        <f>IF('iWork,IBP &amp; Framework_SOW Items'!J8="","",'iWork,IBP &amp; Framework_SOW Items'!J8)</f>
        <v/>
      </c>
      <c r="I12" s="53" t="str">
        <f>IF('iWork,IBP &amp; Framework_SOW Items'!G8="","",'iWork,IBP &amp; Framework_SOW Items'!G8)</f>
        <v/>
      </c>
    </row>
    <row r="13" ht="15" hidden="1" customHeight="1" spans="1:9">
      <c r="A13" s="54" t="str">
        <f>'iWork,IBP &amp; Framework_SOW Items'!E9</f>
        <v>Milestone 1</v>
      </c>
      <c r="B13" s="54" t="str">
        <f>'iWork,IBP &amp; Framework_SOW Items'!D9</f>
        <v>Framework</v>
      </c>
      <c r="C13" s="55" t="str">
        <f>'iWork,IBP &amp; Framework_SOW Items'!B9</f>
        <v>ACL &amp; RBAC Control Framework</v>
      </c>
      <c r="D13" s="56">
        <f>'iWork,IBP &amp; Framework_SOW Items'!C9</f>
        <v>0</v>
      </c>
      <c r="E13" s="54" t="str">
        <f>'iWork,IBP &amp; Framework_SOW Items'!F9</f>
        <v>Delivered</v>
      </c>
      <c r="F13" s="54" t="str">
        <f>Helper!E9</f>
        <v>Delivered</v>
      </c>
      <c r="G13" s="54" t="str">
        <f>IF('iWork,IBP &amp; Framework_SOW Items'!I9="","",'iWork,IBP &amp; Framework_SOW Items'!I9)</f>
        <v/>
      </c>
      <c r="H13" s="54" t="str">
        <f>IF('iWork,IBP &amp; Framework_SOW Items'!J9="","",'iWork,IBP &amp; Framework_SOW Items'!J9)</f>
        <v/>
      </c>
      <c r="I13" s="56" t="str">
        <f>IF('iWork,IBP &amp; Framework_SOW Items'!G9="","",'iWork,IBP &amp; Framework_SOW Items'!G9)</f>
        <v/>
      </c>
    </row>
    <row r="14" ht="15" hidden="1" customHeight="1" spans="1:9">
      <c r="A14" s="51" t="str">
        <f>'iWork,IBP &amp; Framework_SOW Items'!E10</f>
        <v>Milestone 1</v>
      </c>
      <c r="B14" s="51" t="str">
        <f>'iWork,IBP &amp; Framework_SOW Items'!D10</f>
        <v>Framework</v>
      </c>
      <c r="C14" s="52" t="str">
        <f>'iWork,IBP &amp; Framework_SOW Items'!B10</f>
        <v>Micro Frontend Setup</v>
      </c>
      <c r="D14" s="53">
        <f>'iWork,IBP &amp; Framework_SOW Items'!C10</f>
        <v>0</v>
      </c>
      <c r="E14" s="51" t="str">
        <f>'iWork,IBP &amp; Framework_SOW Items'!F10</f>
        <v>Delivered</v>
      </c>
      <c r="F14" s="51" t="str">
        <f>Helper!E10</f>
        <v>Delivered</v>
      </c>
      <c r="G14" s="51" t="str">
        <f>IF('iWork,IBP &amp; Framework_SOW Items'!I10="","",'iWork,IBP &amp; Framework_SOW Items'!I10)</f>
        <v/>
      </c>
      <c r="H14" s="51" t="str">
        <f>IF('iWork,IBP &amp; Framework_SOW Items'!J10="","",'iWork,IBP &amp; Framework_SOW Items'!J10)</f>
        <v/>
      </c>
      <c r="I14" s="53" t="str">
        <f>IF('iWork,IBP &amp; Framework_SOW Items'!G10="","",'iWork,IBP &amp; Framework_SOW Items'!G10)</f>
        <v/>
      </c>
    </row>
    <row r="15" ht="15" hidden="1" customHeight="1" spans="1:9">
      <c r="A15" s="54" t="str">
        <f>'iWork,IBP &amp; Framework_SOW Items'!E11</f>
        <v>Milestone 1</v>
      </c>
      <c r="B15" s="54" t="str">
        <f>'iWork,IBP &amp; Framework_SOW Items'!D11</f>
        <v>Framework</v>
      </c>
      <c r="C15" s="55" t="str">
        <f>'iWork,IBP &amp; Framework_SOW Items'!B11</f>
        <v>Landing Page</v>
      </c>
      <c r="D15" s="56">
        <f>'iWork,IBP &amp; Framework_SOW Items'!C11</f>
        <v>0</v>
      </c>
      <c r="E15" s="54" t="str">
        <f>'iWork,IBP &amp; Framework_SOW Items'!F11</f>
        <v>Delivered</v>
      </c>
      <c r="F15" s="54" t="str">
        <f>Helper!E11</f>
        <v>Delivered</v>
      </c>
      <c r="G15" s="54" t="str">
        <f>IF('iWork,IBP &amp; Framework_SOW Items'!I11="","",'iWork,IBP &amp; Framework_SOW Items'!I11)</f>
        <v/>
      </c>
      <c r="H15" s="54" t="str">
        <f>IF('iWork,IBP &amp; Framework_SOW Items'!J11="","",'iWork,IBP &amp; Framework_SOW Items'!J11)</f>
        <v/>
      </c>
      <c r="I15" s="56" t="str">
        <f>IF('iWork,IBP &amp; Framework_SOW Items'!G11="","",'iWork,IBP &amp; Framework_SOW Items'!G11)</f>
        <v/>
      </c>
    </row>
    <row r="16" ht="15" hidden="1" customHeight="1" spans="1:9">
      <c r="A16" s="51" t="str">
        <f>'iWork,IBP &amp; Framework_SOW Items'!E12</f>
        <v>Milestone 1</v>
      </c>
      <c r="B16" s="51" t="str">
        <f>'iWork,IBP &amp; Framework_SOW Items'!D12</f>
        <v>Framework</v>
      </c>
      <c r="C16" s="52" t="str">
        <f>'iWork,IBP &amp; Framework_SOW Items'!B12</f>
        <v>Access Control Management</v>
      </c>
      <c r="D16" s="53">
        <f>'iWork,IBP &amp; Framework_SOW Items'!C12</f>
        <v>0</v>
      </c>
      <c r="E16" s="51" t="str">
        <f>'iWork,IBP &amp; Framework_SOW Items'!F12</f>
        <v>Delivered</v>
      </c>
      <c r="F16" s="51" t="str">
        <f>Helper!E12</f>
        <v>Delivered</v>
      </c>
      <c r="G16" s="51" t="str">
        <f>IF('iWork,IBP &amp; Framework_SOW Items'!I12="","",'iWork,IBP &amp; Framework_SOW Items'!I12)</f>
        <v/>
      </c>
      <c r="H16" s="51" t="str">
        <f>IF('iWork,IBP &amp; Framework_SOW Items'!J12="","",'iWork,IBP &amp; Framework_SOW Items'!J12)</f>
        <v/>
      </c>
      <c r="I16" s="53" t="str">
        <f>IF('iWork,IBP &amp; Framework_SOW Items'!G12="","",'iWork,IBP &amp; Framework_SOW Items'!G12)</f>
        <v/>
      </c>
    </row>
    <row r="17" ht="15" hidden="1" customHeight="1" spans="1:9">
      <c r="A17" s="54" t="str">
        <f>'iWork,IBP &amp; Framework_SOW Items'!E13</f>
        <v>Milestone 1</v>
      </c>
      <c r="B17" s="54" t="str">
        <f>'iWork,IBP &amp; Framework_SOW Items'!D13</f>
        <v>Framework</v>
      </c>
      <c r="C17" s="55" t="str">
        <f>'iWork,IBP &amp; Framework_SOW Items'!B13</f>
        <v>Auth Module (Simple Auth)</v>
      </c>
      <c r="D17" s="56">
        <f>'iWork,IBP &amp; Framework_SOW Items'!C13</f>
        <v>0</v>
      </c>
      <c r="E17" s="54" t="str">
        <f>'iWork,IBP &amp; Framework_SOW Items'!F13</f>
        <v>Delivered</v>
      </c>
      <c r="F17" s="54" t="str">
        <f>Helper!E13</f>
        <v>Delivered</v>
      </c>
      <c r="G17" s="54" t="str">
        <f>IF('iWork,IBP &amp; Framework_SOW Items'!I13="","",'iWork,IBP &amp; Framework_SOW Items'!I13)</f>
        <v/>
      </c>
      <c r="H17" s="54" t="str">
        <f>IF('iWork,IBP &amp; Framework_SOW Items'!J13="","",'iWork,IBP &amp; Framework_SOW Items'!J13)</f>
        <v/>
      </c>
      <c r="I17" s="56" t="str">
        <f>IF('iWork,IBP &amp; Framework_SOW Items'!G13="","",'iWork,IBP &amp; Framework_SOW Items'!G13)</f>
        <v/>
      </c>
    </row>
    <row r="18" ht="15" hidden="1" customHeight="1" spans="1:9">
      <c r="A18" s="51" t="str">
        <f>'iWork,IBP &amp; Framework_SOW Items'!E14</f>
        <v>Milestone 1</v>
      </c>
      <c r="B18" s="51" t="str">
        <f>'iWork,IBP &amp; Framework_SOW Items'!D14</f>
        <v>Framework</v>
      </c>
      <c r="C18" s="52" t="str">
        <f>'iWork,IBP &amp; Framework_SOW Items'!B14</f>
        <v>Micro Service Framework Setup</v>
      </c>
      <c r="D18" s="53">
        <f>'iWork,IBP &amp; Framework_SOW Items'!C14</f>
        <v>0</v>
      </c>
      <c r="E18" s="51" t="str">
        <f>'iWork,IBP &amp; Framework_SOW Items'!F14</f>
        <v>Delivered</v>
      </c>
      <c r="F18" s="51" t="str">
        <f>Helper!E14</f>
        <v>Delivered</v>
      </c>
      <c r="G18" s="51" t="str">
        <f>IF('iWork,IBP &amp; Framework_SOW Items'!I14="","",'iWork,IBP &amp; Framework_SOW Items'!I14)</f>
        <v/>
      </c>
      <c r="H18" s="51" t="str">
        <f>IF('iWork,IBP &amp; Framework_SOW Items'!J14="","",'iWork,IBP &amp; Framework_SOW Items'!J14)</f>
        <v/>
      </c>
      <c r="I18" s="53" t="str">
        <f>IF('iWork,IBP &amp; Framework_SOW Items'!G14="","",'iWork,IBP &amp; Framework_SOW Items'!G14)</f>
        <v/>
      </c>
    </row>
    <row r="19" ht="15" hidden="1" customHeight="1" spans="1:9">
      <c r="A19" s="54" t="str">
        <f>'iWork,IBP &amp; Framework_SOW Items'!E15</f>
        <v>Milestone 1</v>
      </c>
      <c r="B19" s="54" t="str">
        <f>'iWork,IBP &amp; Framework_SOW Items'!D15</f>
        <v>iWork</v>
      </c>
      <c r="C19" s="55" t="str">
        <f>'iWork,IBP &amp; Framework_SOW Items'!B15</f>
        <v>Employee Mgmt</v>
      </c>
      <c r="D19" s="56">
        <f>'iWork,IBP &amp; Framework_SOW Items'!C15</f>
        <v>0</v>
      </c>
      <c r="E19" s="54" t="str">
        <f>'iWork,IBP &amp; Framework_SOW Items'!F15</f>
        <v>Delivered</v>
      </c>
      <c r="F19" s="54" t="str">
        <f>Helper!E15</f>
        <v>Delivered</v>
      </c>
      <c r="G19" s="54">
        <f>IF('iWork,IBP &amp; Framework_SOW Items'!I15="","",'iWork,IBP &amp; Framework_SOW Items'!I15)</f>
        <v>46185</v>
      </c>
      <c r="H19" s="54" t="str">
        <f>IF('iWork,IBP &amp; Framework_SOW Items'!J15="","",'iWork,IBP &amp; Framework_SOW Items'!J15)</f>
        <v/>
      </c>
      <c r="I19" s="56" t="str">
        <f>IF('iWork,IBP &amp; Framework_SOW Items'!G15="","",'iWork,IBP &amp; Framework_SOW Items'!G15)</f>
        <v>User deletion need to be handled</v>
      </c>
    </row>
    <row r="20" ht="15" hidden="1" customHeight="1" spans="1:9">
      <c r="A20" s="51" t="str">
        <f>'iWork,IBP &amp; Framework_SOW Items'!E16</f>
        <v>Milestone 1</v>
      </c>
      <c r="B20" s="51" t="str">
        <f>'iWork,IBP &amp; Framework_SOW Items'!D16</f>
        <v>iWork</v>
      </c>
      <c r="C20" s="52" t="str">
        <f>'iWork,IBP &amp; Framework_SOW Items'!B16</f>
        <v>Common - Audit Trail Mgmt - Becomes critical in this phase iteself</v>
      </c>
      <c r="D20" s="53">
        <f>'iWork,IBP &amp; Framework_SOW Items'!C16</f>
        <v>0</v>
      </c>
      <c r="E20" s="51" t="str">
        <f>'iWork,IBP &amp; Framework_SOW Items'!F16</f>
        <v>Delivered</v>
      </c>
      <c r="F20" s="51" t="str">
        <f>Helper!E16</f>
        <v>Delivered</v>
      </c>
      <c r="G20" s="51" t="str">
        <f>IF('iWork,IBP &amp; Framework_SOW Items'!I16="","",'iWork,IBP &amp; Framework_SOW Items'!I16)</f>
        <v/>
      </c>
      <c r="H20" s="51" t="str">
        <f>IF('iWork,IBP &amp; Framework_SOW Items'!J16="","",'iWork,IBP &amp; Framework_SOW Items'!J16)</f>
        <v/>
      </c>
      <c r="I20" s="53" t="str">
        <f>IF('iWork,IBP &amp; Framework_SOW Items'!G16="","",'iWork,IBP &amp; Framework_SOW Items'!G16)</f>
        <v/>
      </c>
    </row>
    <row r="21" ht="15" hidden="1" customHeight="1" spans="1:9">
      <c r="A21" s="54" t="str">
        <f>'iWork,IBP &amp; Framework_SOW Items'!E17</f>
        <v>Milestone 1</v>
      </c>
      <c r="B21" s="54" t="str">
        <f>'iWork,IBP &amp; Framework_SOW Items'!D17</f>
        <v>iWork</v>
      </c>
      <c r="C21" s="55" t="str">
        <f>'iWork,IBP &amp; Framework_SOW Items'!B17</f>
        <v>Add/View/Edit Opportunity</v>
      </c>
      <c r="D21" s="56" t="str">
        <f>'iWork,IBP &amp; Framework_SOW Items'!C17</f>
        <v>Add Medium size form with 1-&gt;N list of Claims; Multiple drop downs
Large View with several widgets, Simple Edit</v>
      </c>
      <c r="E21" s="54" t="str">
        <f>'iWork,IBP &amp; Framework_SOW Items'!F17</f>
        <v>Delivered</v>
      </c>
      <c r="F21" s="54" t="str">
        <f>Helper!E17</f>
        <v>Delivered</v>
      </c>
      <c r="G21" s="54" t="str">
        <f>IF('iWork,IBP &amp; Framework_SOW Items'!I17="","",'iWork,IBP &amp; Framework_SOW Items'!I17)</f>
        <v/>
      </c>
      <c r="H21" s="54" t="str">
        <f>IF('iWork,IBP &amp; Framework_SOW Items'!J17="","",'iWork,IBP &amp; Framework_SOW Items'!J17)</f>
        <v/>
      </c>
      <c r="I21" s="56" t="str">
        <f>IF('iWork,IBP &amp; Framework_SOW Items'!G17="","",'iWork,IBP &amp; Framework_SOW Items'!G17)</f>
        <v/>
      </c>
    </row>
    <row r="22" ht="15" hidden="1" customHeight="1" spans="1:9">
      <c r="A22" s="51" t="str">
        <f>'iWork,IBP &amp; Framework_SOW Items'!E18</f>
        <v>Milestone 1</v>
      </c>
      <c r="B22" s="51" t="str">
        <f>'iWork,IBP &amp; Framework_SOW Items'!D18</f>
        <v>iWork</v>
      </c>
      <c r="C22" s="52" t="str">
        <f>'iWork,IBP &amp; Framework_SOW Items'!B18</f>
        <v>Manage TPA/Insurer</v>
      </c>
      <c r="D22" s="53" t="str">
        <f>'iWork,IBP &amp; Framework_SOW Items'!C18</f>
        <v>Basic Add, View with edit of basic data, with lists of policies/companies</v>
      </c>
      <c r="E22" s="51" t="str">
        <f>'iWork,IBP &amp; Framework_SOW Items'!F18</f>
        <v>Delivered</v>
      </c>
      <c r="F22" s="51" t="str">
        <f>Helper!E18</f>
        <v>Delivered</v>
      </c>
      <c r="G22" s="51" t="str">
        <f>IF('iWork,IBP &amp; Framework_SOW Items'!I18="","",'iWork,IBP &amp; Framework_SOW Items'!I18)</f>
        <v/>
      </c>
      <c r="H22" s="51" t="str">
        <f>IF('iWork,IBP &amp; Framework_SOW Items'!J18="","",'iWork,IBP &amp; Framework_SOW Items'!J18)</f>
        <v/>
      </c>
      <c r="I22" s="53" t="str">
        <f>IF('iWork,IBP &amp; Framework_SOW Items'!G18="","",'iWork,IBP &amp; Framework_SOW Items'!G18)</f>
        <v/>
      </c>
    </row>
    <row r="23" ht="15" hidden="1" customHeight="1" spans="1:9">
      <c r="A23" s="54" t="str">
        <f>'iWork,IBP &amp; Framework_SOW Items'!E19</f>
        <v>Milestone 1</v>
      </c>
      <c r="B23" s="54" t="str">
        <f>'iWork,IBP &amp; Framework_SOW Items'!D19</f>
        <v>iWork</v>
      </c>
      <c r="C23" s="55" t="str">
        <f>'iWork,IBP &amp; Framework_SOW Items'!B19</f>
        <v>Core Infra</v>
      </c>
      <c r="D23" s="56" t="str">
        <f>'iWork,IBP &amp; Framework_SOW Items'!C19</f>
        <v>Infrastructure</v>
      </c>
      <c r="E23" s="54" t="str">
        <f>'iWork,IBP &amp; Framework_SOW Items'!F19</f>
        <v>Delivered</v>
      </c>
      <c r="F23" s="54" t="str">
        <f>Helper!E19</f>
        <v>Delivered</v>
      </c>
      <c r="G23" s="54" t="str">
        <f>IF('iWork,IBP &amp; Framework_SOW Items'!I19="","",'iWork,IBP &amp; Framework_SOW Items'!I19)</f>
        <v/>
      </c>
      <c r="H23" s="54" t="str">
        <f>IF('iWork,IBP &amp; Framework_SOW Items'!J19="","",'iWork,IBP &amp; Framework_SOW Items'!J19)</f>
        <v/>
      </c>
      <c r="I23" s="56" t="str">
        <f>IF('iWork,IBP &amp; Framework_SOW Items'!G19="","",'iWork,IBP &amp; Framework_SOW Items'!G19)</f>
        <v/>
      </c>
    </row>
    <row r="24" ht="15" hidden="1" customHeight="1" spans="1:9">
      <c r="A24" s="51" t="str">
        <f>'iWork,IBP &amp; Framework_SOW Items'!E20</f>
        <v>Milestone 1</v>
      </c>
      <c r="B24" s="51" t="str">
        <f>'iWork,IBP &amp; Framework_SOW Items'!D20</f>
        <v>iWork</v>
      </c>
      <c r="C24" s="52" t="str">
        <f>'iWork,IBP &amp; Framework_SOW Items'!B20</f>
        <v>Add/View/Edit Company</v>
      </c>
      <c r="D24" s="53" t="str">
        <f>'iWork,IBP &amp; Framework_SOW Items'!C20</f>
        <v>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v>
      </c>
      <c r="E24" s="51" t="str">
        <f>'iWork,IBP &amp; Framework_SOW Items'!F20</f>
        <v>Delivered</v>
      </c>
      <c r="F24" s="51" t="str">
        <f>Helper!E20</f>
        <v>Delivered</v>
      </c>
      <c r="G24" s="51" t="str">
        <f>IF('iWork,IBP &amp; Framework_SOW Items'!I20="","",'iWork,IBP &amp; Framework_SOW Items'!I20)</f>
        <v/>
      </c>
      <c r="H24" s="51" t="str">
        <f>IF('iWork,IBP &amp; Framework_SOW Items'!J20="","",'iWork,IBP &amp; Framework_SOW Items'!J20)</f>
        <v/>
      </c>
      <c r="I24" s="53" t="str">
        <f>IF('iWork,IBP &amp; Framework_SOW Items'!G20="","",'iWork,IBP &amp; Framework_SOW Items'!G20)</f>
        <v/>
      </c>
    </row>
    <row r="25" ht="15" hidden="1" customHeight="1" spans="1:9">
      <c r="A25" s="54" t="str">
        <f>'iWork,IBP &amp; Framework_SOW Items'!E21</f>
        <v>Milestone 1</v>
      </c>
      <c r="B25" s="54" t="str">
        <f>'iWork,IBP &amp; Framework_SOW Items'!D21</f>
        <v>iWork</v>
      </c>
      <c r="C25" s="55" t="str">
        <f>'iWork,IBP &amp; Framework_SOW Items'!B21</f>
        <v>Insurer/TPA Hub</v>
      </c>
      <c r="D25" s="56" t="str">
        <f>'iWork,IBP &amp; Framework_SOW Items'!C21</f>
        <v>List with Filter/Search</v>
      </c>
      <c r="E25" s="54" t="str">
        <f>'iWork,IBP &amp; Framework_SOW Items'!F21</f>
        <v>Delivered</v>
      </c>
      <c r="F25" s="54" t="str">
        <f>Helper!E21</f>
        <v>Delivered</v>
      </c>
      <c r="G25" s="54" t="str">
        <f>IF('iWork,IBP &amp; Framework_SOW Items'!I21="","",'iWork,IBP &amp; Framework_SOW Items'!I21)</f>
        <v/>
      </c>
      <c r="H25" s="54" t="str">
        <f>IF('iWork,IBP &amp; Framework_SOW Items'!J21="","",'iWork,IBP &amp; Framework_SOW Items'!J21)</f>
        <v/>
      </c>
      <c r="I25" s="56" t="str">
        <f>IF('iWork,IBP &amp; Framework_SOW Items'!G21="","",'iWork,IBP &amp; Framework_SOW Items'!G21)</f>
        <v/>
      </c>
    </row>
    <row r="26" ht="15" hidden="1" customHeight="1" spans="1:9">
      <c r="A26" s="51" t="str">
        <f>'iWork,IBP &amp; Framework_SOW Items'!E22</f>
        <v>Milestone 1</v>
      </c>
      <c r="B26" s="51" t="str">
        <f>'iWork,IBP &amp; Framework_SOW Items'!D22</f>
        <v>iWork</v>
      </c>
      <c r="C26" s="52" t="str">
        <f>'iWork,IBP &amp; Framework_SOW Items'!B22</f>
        <v>Add/View/Edit Contact</v>
      </c>
      <c r="D26" s="53" t="str">
        <f>'iWork,IBP &amp; Framework_SOW Items'!C22</f>
        <v>Simple edit like Add
Contacts should maintain Company history although only 1 Company active with 1 contact; Medium size form with fields, linked in connect</v>
      </c>
      <c r="E26" s="51" t="str">
        <f>'iWork,IBP &amp; Framework_SOW Items'!F22</f>
        <v>Delivered</v>
      </c>
      <c r="F26" s="51" t="str">
        <f>Helper!E22</f>
        <v>Delivered</v>
      </c>
      <c r="G26" s="51" t="str">
        <f>IF('iWork,IBP &amp; Framework_SOW Items'!I22="","",'iWork,IBP &amp; Framework_SOW Items'!I22)</f>
        <v/>
      </c>
      <c r="H26" s="51" t="str">
        <f>IF('iWork,IBP &amp; Framework_SOW Items'!J22="","",'iWork,IBP &amp; Framework_SOW Items'!J22)</f>
        <v/>
      </c>
      <c r="I26" s="53" t="str">
        <f>IF('iWork,IBP &amp; Framework_SOW Items'!G22="","",'iWork,IBP &amp; Framework_SOW Items'!G22)</f>
        <v/>
      </c>
    </row>
    <row r="27" ht="15" hidden="1" customHeight="1" spans="1:9">
      <c r="A27" s="54" t="str">
        <f>'iWork,IBP &amp; Framework_SOW Items'!E23</f>
        <v>Milestone 1</v>
      </c>
      <c r="B27" s="54" t="str">
        <f>'iWork,IBP &amp; Framework_SOW Items'!D23</f>
        <v>iWork</v>
      </c>
      <c r="C27" s="55" t="str">
        <f>'iWork,IBP &amp; Framework_SOW Items'!B23</f>
        <v>Company (Prospect) Hub</v>
      </c>
      <c r="D27" s="56" t="str">
        <f>'iWork,IBP &amp; Framework_SOW Items'!C23</f>
        <v>Top 10/Latest companies, with search/filter, Table of basic attributes with GPS etc.</v>
      </c>
      <c r="E27" s="54" t="str">
        <f>'iWork,IBP &amp; Framework_SOW Items'!F23</f>
        <v>Delivered</v>
      </c>
      <c r="F27" s="54" t="str">
        <f>Helper!E23</f>
        <v>Delivered</v>
      </c>
      <c r="G27" s="54" t="str">
        <f>IF('iWork,IBP &amp; Framework_SOW Items'!I23="","",'iWork,IBP &amp; Framework_SOW Items'!I23)</f>
        <v/>
      </c>
      <c r="H27" s="54" t="str">
        <f>IF('iWork,IBP &amp; Framework_SOW Items'!J23="","",'iWork,IBP &amp; Framework_SOW Items'!J23)</f>
        <v/>
      </c>
      <c r="I27" s="56" t="str">
        <f>IF('iWork,IBP &amp; Framework_SOW Items'!G23="","",'iWork,IBP &amp; Framework_SOW Items'!G23)</f>
        <v/>
      </c>
    </row>
    <row r="28" ht="15" hidden="1" customHeight="1" spans="1:9">
      <c r="A28" s="51" t="str">
        <f>'iWork,IBP &amp; Framework_SOW Items'!E24</f>
        <v>Milestone 1</v>
      </c>
      <c r="B28" s="51" t="str">
        <f>'iWork,IBP &amp; Framework_SOW Items'!D24</f>
        <v>iWork</v>
      </c>
      <c r="C28" s="52" t="str">
        <f>'iWork,IBP &amp; Framework_SOW Items'!B24</f>
        <v>Contact Hub</v>
      </c>
      <c r="D28" s="53" t="str">
        <f>'iWork,IBP &amp; Framework_SOW Items'!C24</f>
        <v>Top 10/Latest Contacts, with search/filter, list with basic attributes</v>
      </c>
      <c r="E28" s="51" t="str">
        <f>'iWork,IBP &amp; Framework_SOW Items'!F24</f>
        <v>Delivered</v>
      </c>
      <c r="F28" s="51" t="str">
        <f>Helper!E24</f>
        <v>Delivered</v>
      </c>
      <c r="G28" s="51" t="str">
        <f>IF('iWork,IBP &amp; Framework_SOW Items'!I24="","",'iWork,IBP &amp; Framework_SOW Items'!I24)</f>
        <v/>
      </c>
      <c r="H28" s="51" t="str">
        <f>IF('iWork,IBP &amp; Framework_SOW Items'!J24="","",'iWork,IBP &amp; Framework_SOW Items'!J24)</f>
        <v/>
      </c>
      <c r="I28" s="53" t="str">
        <f>IF('iWork,IBP &amp; Framework_SOW Items'!G24="","",'iWork,IBP &amp; Framework_SOW Items'!G24)</f>
        <v/>
      </c>
    </row>
    <row r="29" ht="15" hidden="1" customHeight="1" spans="1:9">
      <c r="A29" s="54" t="str">
        <f>'iWork,IBP &amp; Framework_SOW Items'!E25</f>
        <v>Milestone 1</v>
      </c>
      <c r="B29" s="54" t="str">
        <f>'iWork,IBP &amp; Framework_SOW Items'!D25</f>
        <v>iWork</v>
      </c>
      <c r="C29" s="55" t="str">
        <f>'iWork,IBP &amp; Framework_SOW Items'!B25</f>
        <v>Opportunity Hub</v>
      </c>
      <c r="D29" s="56" t="str">
        <f>'iWork,IBP &amp; Framework_SOW Items'!C25</f>
        <v>Top Opportunities with search/filter, List of opportunities with high level summaries</v>
      </c>
      <c r="E29" s="54" t="str">
        <f>'iWork,IBP &amp; Framework_SOW Items'!F25</f>
        <v>Delivered</v>
      </c>
      <c r="F29" s="54" t="str">
        <f>Helper!E25</f>
        <v>Delivered</v>
      </c>
      <c r="G29" s="57" t="str">
        <f>IF('iWork,IBP &amp; Framework_SOW Items'!I25="","",'iWork,IBP &amp; Framework_SOW Items'!I25)</f>
        <v/>
      </c>
      <c r="H29" s="54" t="str">
        <f>IF('iWork,IBP &amp; Framework_SOW Items'!J25="","",'iWork,IBP &amp; Framework_SOW Items'!J25)</f>
        <v/>
      </c>
      <c r="I29" s="56" t="str">
        <f>IF('iWork,IBP &amp; Framework_SOW Items'!G25="","",'iWork,IBP &amp; Framework_SOW Items'!G25)</f>
        <v/>
      </c>
    </row>
    <row r="30" ht="15" hidden="1" customHeight="1" spans="1:9">
      <c r="A30" s="51" t="str">
        <f>'iWork,IBP &amp; Framework_SOW Items'!E26</f>
        <v>Milestone 1</v>
      </c>
      <c r="B30" s="51" t="str">
        <f>'iWork,IBP &amp; Framework_SOW Items'!D26</f>
        <v>iWork</v>
      </c>
      <c r="C30" s="52" t="str">
        <f>'iWork,IBP &amp; Framework_SOW Items'!B26</f>
        <v>Contact /Company/Insurer/TPA Mgmt</v>
      </c>
      <c r="D30" s="53">
        <f>'iWork,IBP &amp; Framework_SOW Items'!C26</f>
        <v>0</v>
      </c>
      <c r="E30" s="51" t="str">
        <f>'iWork,IBP &amp; Framework_SOW Items'!F26</f>
        <v>Delivered</v>
      </c>
      <c r="F30" s="51" t="str">
        <f>Helper!E26</f>
        <v>Delivered</v>
      </c>
      <c r="G30" s="51" t="str">
        <f>IF('iWork,IBP &amp; Framework_SOW Items'!I26="","",'iWork,IBP &amp; Framework_SOW Items'!I26)</f>
        <v/>
      </c>
      <c r="H30" s="51" t="str">
        <f>IF('iWork,IBP &amp; Framework_SOW Items'!J26="","",'iWork,IBP &amp; Framework_SOW Items'!J26)</f>
        <v/>
      </c>
      <c r="I30" s="53" t="str">
        <f>IF('iWork,IBP &amp; Framework_SOW Items'!G26="","",'iWork,IBP &amp; Framework_SOW Items'!G26)</f>
        <v/>
      </c>
    </row>
    <row r="31" ht="15" hidden="1" customHeight="1" spans="1:9">
      <c r="A31" s="54" t="str">
        <f>'iWork,IBP &amp; Framework_SOW Items'!E27</f>
        <v>Milestone 1</v>
      </c>
      <c r="B31" s="54" t="str">
        <f>'iWork,IBP &amp; Framework_SOW Items'!D27</f>
        <v>iWork</v>
      </c>
      <c r="C31" s="55" t="str">
        <f>'iWork,IBP &amp; Framework_SOW Items'!B27</f>
        <v>Task Mgmt</v>
      </c>
      <c r="D31" s="56">
        <f>'iWork,IBP &amp; Framework_SOW Items'!C27</f>
        <v>0</v>
      </c>
      <c r="E31" s="54" t="str">
        <f>'iWork,IBP &amp; Framework_SOW Items'!F27</f>
        <v>Delivered</v>
      </c>
      <c r="F31" s="54" t="str">
        <f>Helper!E27</f>
        <v>Delivered</v>
      </c>
      <c r="G31" s="54" t="str">
        <f>IF('iWork,IBP &amp; Framework_SOW Items'!I27="","",'iWork,IBP &amp; Framework_SOW Items'!I27)</f>
        <v/>
      </c>
      <c r="H31" s="54" t="str">
        <f>IF('iWork,IBP &amp; Framework_SOW Items'!J27="","",'iWork,IBP &amp; Framework_SOW Items'!J27)</f>
        <v/>
      </c>
      <c r="I31" s="56" t="str">
        <f>IF('iWork,IBP &amp; Framework_SOW Items'!G27="","",'iWork,IBP &amp; Framework_SOW Items'!G27)</f>
        <v/>
      </c>
    </row>
    <row r="32" ht="15" hidden="1" customHeight="1" spans="1:9">
      <c r="A32" s="51" t="str">
        <f>'iWork,IBP &amp; Framework_SOW Items'!E28</f>
        <v>Milestone 1</v>
      </c>
      <c r="B32" s="51" t="str">
        <f>'iWork,IBP &amp; Framework_SOW Items'!D28</f>
        <v>iWork</v>
      </c>
      <c r="C32" s="52" t="str">
        <f>'iWork,IBP &amp; Framework_SOW Items'!B28</f>
        <v>Meeting Mgmt</v>
      </c>
      <c r="D32" s="53">
        <f>'iWork,IBP &amp; Framework_SOW Items'!C28</f>
        <v>0</v>
      </c>
      <c r="E32" s="51" t="str">
        <f>'iWork,IBP &amp; Framework_SOW Items'!F28</f>
        <v>Delivered</v>
      </c>
      <c r="F32" s="51" t="str">
        <f>Helper!E28</f>
        <v>Delivered</v>
      </c>
      <c r="G32" s="51" t="str">
        <f>IF('iWork,IBP &amp; Framework_SOW Items'!I28="","",'iWork,IBP &amp; Framework_SOW Items'!I28)</f>
        <v/>
      </c>
      <c r="H32" s="51" t="str">
        <f>IF('iWork,IBP &amp; Framework_SOW Items'!J28="","",'iWork,IBP &amp; Framework_SOW Items'!J28)</f>
        <v/>
      </c>
      <c r="I32" s="53" t="str">
        <f>IF('iWork,IBP &amp; Framework_SOW Items'!G28="","",'iWork,IBP &amp; Framework_SOW Items'!G28)</f>
        <v/>
      </c>
    </row>
    <row r="33" ht="15" hidden="1" customHeight="1" spans="1:9">
      <c r="A33" s="54" t="str">
        <f>'iWork,IBP &amp; Framework_SOW Items'!E29</f>
        <v>Milestone 1</v>
      </c>
      <c r="B33" s="54" t="str">
        <f>'iWork,IBP &amp; Framework_SOW Items'!D29</f>
        <v>iWork</v>
      </c>
      <c r="C33" s="55" t="str">
        <f>'iWork,IBP &amp; Framework_SOW Items'!B29</f>
        <v>RBAC and ACL setup for Iwork Module</v>
      </c>
      <c r="D33" s="56">
        <f>'iWork,IBP &amp; Framework_SOW Items'!C29</f>
        <v>0</v>
      </c>
      <c r="E33" s="54" t="str">
        <f>'iWork,IBP &amp; Framework_SOW Items'!F29</f>
        <v>Delivered</v>
      </c>
      <c r="F33" s="54" t="str">
        <f>Helper!E29</f>
        <v>Delivered</v>
      </c>
      <c r="G33" s="54" t="str">
        <f>IF('iWork,IBP &amp; Framework_SOW Items'!I29="","",'iWork,IBP &amp; Framework_SOW Items'!I29)</f>
        <v/>
      </c>
      <c r="H33" s="54" t="str">
        <f>IF('iWork,IBP &amp; Framework_SOW Items'!J29="","",'iWork,IBP &amp; Framework_SOW Items'!J29)</f>
        <v/>
      </c>
      <c r="I33" s="56" t="str">
        <f>IF('iWork,IBP &amp; Framework_SOW Items'!G29="","",'iWork,IBP &amp; Framework_SOW Items'!G29)</f>
        <v/>
      </c>
    </row>
    <row r="34" ht="15" hidden="1" customHeight="1" spans="1:9">
      <c r="A34" s="51" t="str">
        <f>'iWork,IBP &amp; Framework_SOW Items'!E30</f>
        <v>Milestone 1</v>
      </c>
      <c r="B34" s="51" t="str">
        <f>'iWork,IBP &amp; Framework_SOW Items'!D30</f>
        <v>iWork</v>
      </c>
      <c r="C34" s="52" t="str">
        <f>'iWork,IBP &amp; Framework_SOW Items'!B30</f>
        <v>Opportunity Mgmt</v>
      </c>
      <c r="D34" s="53">
        <f>'iWork,IBP &amp; Framework_SOW Items'!C30</f>
        <v>0</v>
      </c>
      <c r="E34" s="51" t="str">
        <f>'iWork,IBP &amp; Framework_SOW Items'!F30</f>
        <v>Delivered</v>
      </c>
      <c r="F34" s="51" t="str">
        <f>Helper!E30</f>
        <v>Delivered</v>
      </c>
      <c r="G34" s="51" t="str">
        <f>IF('iWork,IBP &amp; Framework_SOW Items'!I30="","",'iWork,IBP &amp; Framework_SOW Items'!I30)</f>
        <v/>
      </c>
      <c r="H34" s="51" t="str">
        <f>IF('iWork,IBP &amp; Framework_SOW Items'!J30="","",'iWork,IBP &amp; Framework_SOW Items'!J30)</f>
        <v/>
      </c>
      <c r="I34" s="53" t="str">
        <f>IF('iWork,IBP &amp; Framework_SOW Items'!G30="","",'iWork,IBP &amp; Framework_SOW Items'!G30)</f>
        <v/>
      </c>
    </row>
    <row r="35" ht="15" hidden="1" customHeight="1" spans="1:9">
      <c r="A35" s="54" t="str">
        <f>'iWork,IBP &amp; Framework_SOW Items'!E31</f>
        <v>Milestone 2</v>
      </c>
      <c r="B35" s="54" t="str">
        <f>'iWork,IBP &amp; Framework_SOW Items'!D31</f>
        <v>Framework</v>
      </c>
      <c r="C35" s="55" t="str">
        <f>'iWork,IBP &amp; Framework_SOW Items'!B31</f>
        <v>Master Data Management</v>
      </c>
      <c r="D35" s="56">
        <f>'iWork,IBP &amp; Framework_SOW Items'!C31</f>
        <v>0</v>
      </c>
      <c r="E35" s="54" t="str">
        <f>'iWork,IBP &amp; Framework_SOW Items'!F31</f>
        <v>Delivered</v>
      </c>
      <c r="F35" s="54" t="str">
        <f>Helper!E31</f>
        <v>Delivered</v>
      </c>
      <c r="G35" s="54">
        <f>IF('iWork,IBP &amp; Framework_SOW Items'!I31="","",'iWork,IBP &amp; Framework_SOW Items'!I31)</f>
        <v>46169</v>
      </c>
      <c r="H35" s="54" t="str">
        <f>IF('iWork,IBP &amp; Framework_SOW Items'!J31="","",'iWork,IBP &amp; Framework_SOW Items'!J31)</f>
        <v/>
      </c>
      <c r="I35" s="56" t="str">
        <f>IF('iWork,IBP &amp; Framework_SOW Items'!G31="","",'iWork,IBP &amp; Framework_SOW Items'!G31)</f>
        <v/>
      </c>
    </row>
    <row r="36" ht="15" hidden="1" customHeight="1" spans="1:9">
      <c r="A36" s="51" t="str">
        <f>'iWork,IBP &amp; Framework_SOW Items'!E32</f>
        <v>Milestone 2</v>
      </c>
      <c r="B36" s="51" t="str">
        <f>'iWork,IBP &amp; Framework_SOW Items'!D32</f>
        <v>Framework</v>
      </c>
      <c r="C36" s="52" t="str">
        <f>'iWork,IBP &amp; Framework_SOW Items'!B32</f>
        <v>User Management</v>
      </c>
      <c r="D36" s="53" t="str">
        <f>'iWork,IBP &amp; Framework_SOW Items'!C32</f>
        <v>22-May: Other than iWork employee</v>
      </c>
      <c r="E36" s="51" t="str">
        <f>'iWork,IBP &amp; Framework_SOW Items'!F32</f>
        <v>Delivered</v>
      </c>
      <c r="F36" s="51" t="str">
        <f>Helper!E32</f>
        <v>Delivered</v>
      </c>
      <c r="G36" s="51">
        <f>IF('iWork,IBP &amp; Framework_SOW Items'!I32="","",'iWork,IBP &amp; Framework_SOW Items'!I32)</f>
        <v>46185</v>
      </c>
      <c r="H36" s="51" t="str">
        <f>IF('iWork,IBP &amp; Framework_SOW Items'!J32="","",'iWork,IBP &amp; Framework_SOW Items'!J32)</f>
        <v/>
      </c>
      <c r="I36" s="53" t="str">
        <f>IF('iWork,IBP &amp; Framework_SOW Items'!G32="","",'iWork,IBP &amp; Framework_SOW Items'!G32)</f>
        <v>Pending: User deletion</v>
      </c>
    </row>
    <row r="37" ht="15" hidden="1" customHeight="1" spans="1:9">
      <c r="A37" s="54" t="str">
        <f>'iWork,IBP &amp; Framework_SOW Items'!E33</f>
        <v>Milestone 2</v>
      </c>
      <c r="B37" s="54" t="str">
        <f>'iWork,IBP &amp; Framework_SOW Items'!D33</f>
        <v>Framework</v>
      </c>
      <c r="C37" s="55" t="str">
        <f>'iWork,IBP &amp; Framework_SOW Items'!B33</f>
        <v>User Management</v>
      </c>
      <c r="D37" s="56" t="str">
        <f>'iWork,IBP &amp; Framework_SOW Items'!C33</f>
        <v>22-May: Other than iWork employee</v>
      </c>
      <c r="E37" s="54" t="str">
        <f>'iWork,IBP &amp; Framework_SOW Items'!F33</f>
        <v>Delivered</v>
      </c>
      <c r="F37" s="54" t="str">
        <f>Helper!E33</f>
        <v>Delivered</v>
      </c>
      <c r="G37" s="58">
        <f>IF('iWork,IBP &amp; Framework_SOW Items'!I33="","",'iWork,IBP &amp; Framework_SOW Items'!I33)</f>
        <v>46185</v>
      </c>
      <c r="H37" s="54" t="str">
        <f>IF('iWork,IBP &amp; Framework_SOW Items'!J33="","",'iWork,IBP &amp; Framework_SOW Items'!J33)</f>
        <v/>
      </c>
      <c r="I37" s="56" t="str">
        <f>IF('iWork,IBP &amp; Framework_SOW Items'!G33="","",'iWork,IBP &amp; Framework_SOW Items'!G33)</f>
        <v>Pending: User deletion</v>
      </c>
    </row>
    <row r="38" ht="15" hidden="1" customHeight="1" spans="1:9">
      <c r="A38" s="51" t="str">
        <f>'iWork,IBP &amp; Framework_SOW Items'!E34</f>
        <v>Milestone 2</v>
      </c>
      <c r="B38" s="51" t="str">
        <f>'iWork,IBP &amp; Framework_SOW Items'!D34</f>
        <v>Framework</v>
      </c>
      <c r="C38" s="52" t="str">
        <f>'iWork,IBP &amp; Framework_SOW Items'!B34</f>
        <v>Notification and Communication Management</v>
      </c>
      <c r="D38" s="53" t="str">
        <f>'iWork,IBP &amp; Framework_SOW Items'!C34</f>
        <v>23-May: In-App, Emails, SMS, both or all. Template vs Channel</v>
      </c>
      <c r="E38" s="51" t="str">
        <f>'iWork,IBP &amp; Framework_SOW Items'!F34</f>
        <v>Delivered - Deficit</v>
      </c>
      <c r="F38" s="51" t="str">
        <f>Helper!E34</f>
        <v>Pending</v>
      </c>
      <c r="G38" s="51">
        <f>IF('iWork,IBP &amp; Framework_SOW Items'!I34="","",'iWork,IBP &amp; Framework_SOW Items'!I34)</f>
        <v>46197</v>
      </c>
      <c r="H38" s="51" t="str">
        <f>IF('iWork,IBP &amp; Framework_SOW Items'!J34="","",'iWork,IBP &amp; Framework_SOW Items'!J34)</f>
        <v/>
      </c>
      <c r="I38" s="53" t="str">
        <f>IF('iWork,IBP &amp; Framework_SOW Items'!G34="","",'iWork,IBP &amp; Framework_SOW Items'!G34)</f>
        <v>Pending: Configuration UI</v>
      </c>
    </row>
    <row r="39" ht="15" hidden="1" customHeight="1" spans="1:9">
      <c r="A39" s="54" t="str">
        <f>'iWork,IBP &amp; Framework_SOW Items'!E35</f>
        <v>Milestone 2</v>
      </c>
      <c r="B39" s="54" t="str">
        <f>'iWork,IBP &amp; Framework_SOW Items'!D35</f>
        <v>Framework</v>
      </c>
      <c r="C39" s="55" t="str">
        <f>'iWork,IBP &amp; Framework_SOW Items'!B35</f>
        <v>Usage Tracking System (Reports)</v>
      </c>
      <c r="D39" s="56" t="str">
        <f>'iWork,IBP &amp; Framework_SOW Items'!C35</f>
        <v>23-May: Handle as a part of Reports</v>
      </c>
      <c r="E39" s="54" t="str">
        <f>'iWork,IBP &amp; Framework_SOW Items'!F35</f>
        <v>Delivered - Deficit</v>
      </c>
      <c r="F39" s="54" t="str">
        <f>Helper!E35</f>
        <v>Pending</v>
      </c>
      <c r="G39" s="54">
        <f>IF('iWork,IBP &amp; Framework_SOW Items'!I35="","",'iWork,IBP &amp; Framework_SOW Items'!I35)</f>
        <v>46198</v>
      </c>
      <c r="H39" s="54" t="str">
        <f>IF('iWork,IBP &amp; Framework_SOW Items'!J35="","",'iWork,IBP &amp; Framework_SOW Items'!J35)</f>
        <v/>
      </c>
      <c r="I39" s="56" t="str">
        <f>IF('iWork,IBP &amp; Framework_SOW Items'!G35="","",'iWork,IBP &amp; Framework_SOW Items'!G35)</f>
        <v>Pending: IBP usage</v>
      </c>
    </row>
    <row r="40" ht="15" hidden="1" customHeight="1" spans="1:9">
      <c r="A40" s="51" t="str">
        <f>'iWork,IBP &amp; Framework_SOW Items'!E36</f>
        <v>Milestone 2</v>
      </c>
      <c r="B40" s="51" t="str">
        <f>'iWork,IBP &amp; Framework_SOW Items'!D36</f>
        <v>Framework</v>
      </c>
      <c r="C40" s="52" t="str">
        <f>'iWork,IBP &amp; Framework_SOW Items'!B36</f>
        <v>Data Security Considerations</v>
      </c>
      <c r="D40" s="53">
        <f>'iWork,IBP &amp; Framework_SOW Items'!C36</f>
        <v>0</v>
      </c>
      <c r="E40" s="51" t="str">
        <f>'iWork,IBP &amp; Framework_SOW Items'!F36</f>
        <v>Delivered</v>
      </c>
      <c r="F40" s="51" t="str">
        <f>Helper!E36</f>
        <v>Delivered</v>
      </c>
      <c r="G40" s="51">
        <f>IF('iWork,IBP &amp; Framework_SOW Items'!I36="","",'iWork,IBP &amp; Framework_SOW Items'!I36)</f>
        <v>46203</v>
      </c>
      <c r="H40" s="51" t="str">
        <f>IF('iWork,IBP &amp; Framework_SOW Items'!J36="","",'iWork,IBP &amp; Framework_SOW Items'!J36)</f>
        <v/>
      </c>
      <c r="I40" s="53" t="str">
        <f>IF('iWork,IBP &amp; Framework_SOW Items'!G36="","",'iWork,IBP &amp; Framework_SOW Items'!G36)</f>
        <v>Duplicate of Covers in DPDP items</v>
      </c>
    </row>
    <row r="41" ht="15" hidden="1" customHeight="1" spans="1:9">
      <c r="A41" s="54" t="str">
        <f>'iWork,IBP &amp; Framework_SOW Items'!E37</f>
        <v>Milestone 2</v>
      </c>
      <c r="B41" s="54" t="str">
        <f>'iWork,IBP &amp; Framework_SOW Items'!D37</f>
        <v>Framework</v>
      </c>
      <c r="C41" s="55" t="str">
        <f>'iWork,IBP &amp; Framework_SOW Items'!B37</f>
        <v>Visualization framework</v>
      </c>
      <c r="D41" s="56" t="str">
        <f>'iWork,IBP &amp; Framework_SOW Items'!C37</f>
        <v>Charts and KPIs</v>
      </c>
      <c r="E41" s="54" t="str">
        <f>'iWork,IBP &amp; Framework_SOW Items'!F37</f>
        <v>Delivered</v>
      </c>
      <c r="F41" s="54" t="str">
        <f>Helper!E37</f>
        <v>Delivered</v>
      </c>
      <c r="G41" s="54" t="str">
        <f>IF('iWork,IBP &amp; Framework_SOW Items'!I37="","",'iWork,IBP &amp; Framework_SOW Items'!I37)</f>
        <v/>
      </c>
      <c r="H41" s="54" t="str">
        <f>IF('iWork,IBP &amp; Framework_SOW Items'!J37="","",'iWork,IBP &amp; Framework_SOW Items'!J37)</f>
        <v/>
      </c>
      <c r="I41" s="56" t="str">
        <f>IF('iWork,IBP &amp; Framework_SOW Items'!G37="","",'iWork,IBP &amp; Framework_SOW Items'!G37)</f>
        <v/>
      </c>
    </row>
    <row r="42" ht="15" hidden="1" customHeight="1" spans="1:9">
      <c r="A42" s="51" t="str">
        <f>'iWork,IBP &amp; Framework_SOW Items'!E38</f>
        <v>Milestone 2</v>
      </c>
      <c r="B42" s="51" t="str">
        <f>'iWork,IBP &amp; Framework_SOW Items'!D38</f>
        <v>Framework</v>
      </c>
      <c r="C42" s="52" t="str">
        <f>'iWork,IBP &amp; Framework_SOW Items'!B38</f>
        <v>Document Management</v>
      </c>
      <c r="D42" s="53" t="str">
        <f>'iWork,IBP &amp; Framework_SOW Items'!C38</f>
        <v>Create, Upload, Seach, Download</v>
      </c>
      <c r="E42" s="51" t="str">
        <f>'iWork,IBP &amp; Framework_SOW Items'!F38</f>
        <v>Delivered</v>
      </c>
      <c r="F42" s="51" t="str">
        <f>Helper!E38</f>
        <v>Delivered</v>
      </c>
      <c r="G42" s="51" t="str">
        <f>IF('iWork,IBP &amp; Framework_SOW Items'!I38="","",'iWork,IBP &amp; Framework_SOW Items'!I38)</f>
        <v/>
      </c>
      <c r="H42" s="51" t="str">
        <f>IF('iWork,IBP &amp; Framework_SOW Items'!J38="","",'iWork,IBP &amp; Framework_SOW Items'!J38)</f>
        <v/>
      </c>
      <c r="I42" s="53" t="str">
        <f>IF('iWork,IBP &amp; Framework_SOW Items'!G38="","",'iWork,IBP &amp; Framework_SOW Items'!G38)</f>
        <v/>
      </c>
    </row>
    <row r="43" ht="15" hidden="1" customHeight="1" spans="1:9">
      <c r="A43" s="54" t="str">
        <f>'iWork,IBP &amp; Framework_SOW Items'!E39</f>
        <v>Milestone 2</v>
      </c>
      <c r="B43" s="54" t="str">
        <f>'iWork,IBP &amp; Framework_SOW Items'!D39</f>
        <v>Framework</v>
      </c>
      <c r="C43" s="55" t="str">
        <f>'iWork,IBP &amp; Framework_SOW Items'!B39</f>
        <v>Caching of API Data</v>
      </c>
      <c r="D43" s="56">
        <f>'iWork,IBP &amp; Framework_SOW Items'!C39</f>
        <v>0</v>
      </c>
      <c r="E43" s="54" t="str">
        <f>'iWork,IBP &amp; Framework_SOW Items'!F39</f>
        <v>Delivered</v>
      </c>
      <c r="F43" s="54" t="str">
        <f>Helper!E39</f>
        <v>Delivered</v>
      </c>
      <c r="G43" s="54" t="str">
        <f>IF('iWork,IBP &amp; Framework_SOW Items'!I39="","",'iWork,IBP &amp; Framework_SOW Items'!I39)</f>
        <v/>
      </c>
      <c r="H43" s="54" t="str">
        <f>IF('iWork,IBP &amp; Framework_SOW Items'!J39="","",'iWork,IBP &amp; Framework_SOW Items'!J39)</f>
        <v/>
      </c>
      <c r="I43" s="56" t="str">
        <f>IF('iWork,IBP &amp; Framework_SOW Items'!G39="","",'iWork,IBP &amp; Framework_SOW Items'!G39)</f>
        <v/>
      </c>
    </row>
    <row r="44" ht="15" hidden="1" customHeight="1" spans="1:9">
      <c r="A44" s="51" t="str">
        <f>'iWork,IBP &amp; Framework_SOW Items'!E40</f>
        <v>Milestone 2</v>
      </c>
      <c r="B44" s="51" t="str">
        <f>'iWork,IBP &amp; Framework_SOW Items'!D40</f>
        <v>Framework</v>
      </c>
      <c r="C44" s="52" t="str">
        <f>'iWork,IBP &amp; Framework_SOW Items'!B40</f>
        <v>Audit Data Capturing</v>
      </c>
      <c r="D44" s="53">
        <f>'iWork,IBP &amp; Framework_SOW Items'!C40</f>
        <v>0</v>
      </c>
      <c r="E44" s="51" t="str">
        <f>'iWork,IBP &amp; Framework_SOW Items'!F40</f>
        <v>Delivered</v>
      </c>
      <c r="F44" s="51" t="str">
        <f>Helper!E40</f>
        <v>Delivered</v>
      </c>
      <c r="G44" s="51" t="str">
        <f>IF('iWork,IBP &amp; Framework_SOW Items'!I40="","",'iWork,IBP &amp; Framework_SOW Items'!I40)</f>
        <v/>
      </c>
      <c r="H44" s="51" t="str">
        <f>IF('iWork,IBP &amp; Framework_SOW Items'!J40="","",'iWork,IBP &amp; Framework_SOW Items'!J40)</f>
        <v/>
      </c>
      <c r="I44" s="53" t="str">
        <f>IF('iWork,IBP &amp; Framework_SOW Items'!G40="","",'iWork,IBP &amp; Framework_SOW Items'!G40)</f>
        <v/>
      </c>
    </row>
    <row r="45" ht="15" hidden="1" customHeight="1" spans="1:9">
      <c r="A45" s="54" t="str">
        <f>'iWork,IBP &amp; Framework_SOW Items'!E41</f>
        <v>Milestone 2</v>
      </c>
      <c r="B45" s="54" t="str">
        <f>'iWork,IBP &amp; Framework_SOW Items'!D41</f>
        <v>Framework</v>
      </c>
      <c r="C45" s="55" t="str">
        <f>'iWork,IBP &amp; Framework_SOW Items'!B41</f>
        <v>CMS</v>
      </c>
      <c r="D45" s="56">
        <f>'iWork,IBP &amp; Framework_SOW Items'!C41</f>
        <v>0</v>
      </c>
      <c r="E45" s="54" t="str">
        <f>'iWork,IBP &amp; Framework_SOW Items'!F41</f>
        <v>Delivered</v>
      </c>
      <c r="F45" s="54" t="str">
        <f>Helper!E41</f>
        <v>Delivered</v>
      </c>
      <c r="G45" s="54" t="str">
        <f>IF('iWork,IBP &amp; Framework_SOW Items'!I41="","",'iWork,IBP &amp; Framework_SOW Items'!I41)</f>
        <v/>
      </c>
      <c r="H45" s="54" t="str">
        <f>IF('iWork,IBP &amp; Framework_SOW Items'!J41="","",'iWork,IBP &amp; Framework_SOW Items'!J41)</f>
        <v/>
      </c>
      <c r="I45" s="56" t="str">
        <f>IF('iWork,IBP &amp; Framework_SOW Items'!G41="","",'iWork,IBP &amp; Framework_SOW Items'!G41)</f>
        <v>Used in IBP</v>
      </c>
    </row>
    <row r="46" ht="15" hidden="1" customHeight="1" spans="1:9">
      <c r="A46" s="51" t="str">
        <f>'iWork,IBP &amp; Framework_SOW Items'!E42</f>
        <v>Milestone 2</v>
      </c>
      <c r="B46" s="51" t="str">
        <f>'iWork,IBP &amp; Framework_SOW Items'!D42</f>
        <v>iWork</v>
      </c>
      <c r="C46" s="52" t="str">
        <f>'iWork,IBP &amp; Framework_SOW Items'!B42</f>
        <v>Common Data Mapping Component</v>
      </c>
      <c r="D46" s="53" t="str">
        <f>'iWork,IBP &amp; Framework_SOW Items'!C42</f>
        <v>Map input fields to output fields &amp; Order</v>
      </c>
      <c r="E46" s="51" t="str">
        <f>'iWork,IBP &amp; Framework_SOW Items'!F42</f>
        <v>Delivered</v>
      </c>
      <c r="F46" s="51" t="str">
        <f>Helper!E42</f>
        <v>Delivered</v>
      </c>
      <c r="G46" s="51">
        <f>IF('iWork,IBP &amp; Framework_SOW Items'!I42="","",'iWork,IBP &amp; Framework_SOW Items'!I42)</f>
        <v>46182</v>
      </c>
      <c r="H46" s="51" t="str">
        <f>IF('iWork,IBP &amp; Framework_SOW Items'!J42="","",'iWork,IBP &amp; Framework_SOW Items'!J42)</f>
        <v/>
      </c>
      <c r="I46" s="53" t="str">
        <f>IF('iWork,IBP &amp; Framework_SOW Items'!G42="","",'iWork,IBP &amp; Framework_SOW Items'!G42)</f>
        <v>Pending: Additional/Dynamic columns</v>
      </c>
    </row>
    <row r="47" ht="15" hidden="1" customHeight="1" spans="1:9">
      <c r="A47" s="54" t="str">
        <f>'iWork,IBP &amp; Framework_SOW Items'!E43</f>
        <v>Milestone 2</v>
      </c>
      <c r="B47" s="54" t="str">
        <f>'iWork,IBP &amp; Framework_SOW Items'!D43</f>
        <v>iWork</v>
      </c>
      <c r="C47" s="55" t="str">
        <f>'iWork,IBP &amp; Framework_SOW Items'!B43</f>
        <v>Cut Off Mgmt</v>
      </c>
      <c r="D47" s="56">
        <f>'iWork,IBP &amp; Framework_SOW Items'!C43</f>
        <v>0</v>
      </c>
      <c r="E47" s="54" t="str">
        <f>'iWork,IBP &amp; Framework_SOW Items'!F43</f>
        <v>Yet to start</v>
      </c>
      <c r="F47" s="54" t="str">
        <f>Helper!E43</f>
        <v>Pending</v>
      </c>
      <c r="G47" s="54">
        <f>IF('iWork,IBP &amp; Framework_SOW Items'!I43="","",'iWork,IBP &amp; Framework_SOW Items'!I43)</f>
        <v>46199</v>
      </c>
      <c r="H47" s="54" t="str">
        <f>IF('iWork,IBP &amp; Framework_SOW Items'!J43="","",'iWork,IBP &amp; Framework_SOW Items'!J43)</f>
        <v/>
      </c>
      <c r="I47" s="56" t="str">
        <f>IF('iWork,IBP &amp; Framework_SOW Items'!G43="","",'iWork,IBP &amp; Framework_SOW Items'!G43)</f>
        <v>Need inputs related to the implementation</v>
      </c>
    </row>
    <row r="48" ht="15" hidden="1" customHeight="1" spans="1:9">
      <c r="A48" s="51" t="str">
        <f>'iWork,IBP &amp; Framework_SOW Items'!E44</f>
        <v>Milestone 2</v>
      </c>
      <c r="B48" s="51" t="str">
        <f>'iWork,IBP &amp; Framework_SOW Items'!D44</f>
        <v>iWork</v>
      </c>
      <c r="C48" s="52" t="str">
        <f>'iWork,IBP &amp; Framework_SOW Items'!B44</f>
        <v>AI - (Non-OCR) Digital Document Processing for Content recognition (Company/Opportunity/Contact Creation from Previous Policy Document, Bizcard document)</v>
      </c>
      <c r="D48" s="53">
        <f>'iWork,IBP &amp; Framework_SOW Items'!C44</f>
        <v>0</v>
      </c>
      <c r="E48" s="51" t="str">
        <f>'iWork,IBP &amp; Framework_SOW Items'!F44</f>
        <v>Delivered</v>
      </c>
      <c r="F48" s="51" t="str">
        <f>Helper!E44</f>
        <v>Delivered</v>
      </c>
      <c r="G48" s="51" t="str">
        <f>IF('iWork,IBP &amp; Framework_SOW Items'!I44="","",'iWork,IBP &amp; Framework_SOW Items'!I44)</f>
        <v/>
      </c>
      <c r="H48" s="51" t="str">
        <f>IF('iWork,IBP &amp; Framework_SOW Items'!J44="","",'iWork,IBP &amp; Framework_SOW Items'!J44)</f>
        <v/>
      </c>
      <c r="I48" s="53" t="str">
        <f>IF('iWork,IBP &amp; Framework_SOW Items'!G44="","",'iWork,IBP &amp; Framework_SOW Items'!G44)</f>
        <v/>
      </c>
    </row>
    <row r="49" ht="15" hidden="1" customHeight="1" spans="1:9">
      <c r="A49" s="54" t="str">
        <f>'iWork,IBP &amp; Framework_SOW Items'!E45</f>
        <v>Milestone 2</v>
      </c>
      <c r="B49" s="54" t="str">
        <f>'iWork,IBP &amp; Framework_SOW Items'!D45</f>
        <v>iWork</v>
      </c>
      <c r="C49" s="55" t="str">
        <f>'iWork,IBP &amp; Framework_SOW Items'!B45</f>
        <v>AI - OCR for Content Collection</v>
      </c>
      <c r="D49" s="56">
        <f>'iWork,IBP &amp; Framework_SOW Items'!C45</f>
        <v>0</v>
      </c>
      <c r="E49" s="54" t="str">
        <f>'iWork,IBP &amp; Framework_SOW Items'!F45</f>
        <v>Delivered</v>
      </c>
      <c r="F49" s="54" t="str">
        <f>Helper!E45</f>
        <v>Delivered</v>
      </c>
      <c r="G49" s="54" t="str">
        <f>IF('iWork,IBP &amp; Framework_SOW Items'!I45="","",'iWork,IBP &amp; Framework_SOW Items'!I45)</f>
        <v/>
      </c>
      <c r="H49" s="54" t="str">
        <f>IF('iWork,IBP &amp; Framework_SOW Items'!J45="","",'iWork,IBP &amp; Framework_SOW Items'!J45)</f>
        <v/>
      </c>
      <c r="I49" s="56" t="str">
        <f>IF('iWork,IBP &amp; Framework_SOW Items'!G45="","",'iWork,IBP &amp; Framework_SOW Items'!G45)</f>
        <v/>
      </c>
    </row>
    <row r="50" ht="15" hidden="1" customHeight="1" spans="1:9">
      <c r="A50" s="51" t="str">
        <f>'iWork,IBP &amp; Framework_SOW Items'!E46</f>
        <v>Milestone 2</v>
      </c>
      <c r="B50" s="51" t="str">
        <f>'iWork,IBP &amp; Framework_SOW Items'!D46</f>
        <v>iWork</v>
      </c>
      <c r="C50" s="52" t="str">
        <f>'iWork,IBP &amp; Framework_SOW Items'!B46</f>
        <v>AI - Company Information by AI Search</v>
      </c>
      <c r="D50" s="53">
        <f>'iWork,IBP &amp; Framework_SOW Items'!C46</f>
        <v>0</v>
      </c>
      <c r="E50" s="51" t="str">
        <f>'iWork,IBP &amp; Framework_SOW Items'!F46</f>
        <v>Delivered</v>
      </c>
      <c r="F50" s="51" t="str">
        <f>Helper!E46</f>
        <v>Delivered</v>
      </c>
      <c r="G50" s="51" t="str">
        <f>IF('iWork,IBP &amp; Framework_SOW Items'!I46="","",'iWork,IBP &amp; Framework_SOW Items'!I46)</f>
        <v/>
      </c>
      <c r="H50" s="51" t="str">
        <f>IF('iWork,IBP &amp; Framework_SOW Items'!J46="","",'iWork,IBP &amp; Framework_SOW Items'!J46)</f>
        <v/>
      </c>
      <c r="I50" s="53" t="str">
        <f>IF('iWork,IBP &amp; Framework_SOW Items'!G46="","",'iWork,IBP &amp; Framework_SOW Items'!G46)</f>
        <v/>
      </c>
    </row>
    <row r="51" ht="15" hidden="1" customHeight="1" spans="1:9">
      <c r="A51" s="54" t="str">
        <f>'iWork,IBP &amp; Framework_SOW Items'!E47</f>
        <v>Milestone 2</v>
      </c>
      <c r="B51" s="54" t="str">
        <f>'iWork,IBP &amp; Framework_SOW Items'!D47</f>
        <v>iWork</v>
      </c>
      <c r="C51" s="55" t="str">
        <f>'iWork,IBP &amp; Framework_SOW Items'!B47</f>
        <v>Common, Contexual Upload Component</v>
      </c>
      <c r="D51" s="56">
        <f>'iWork,IBP &amp; Framework_SOW Items'!C47</f>
        <v>0</v>
      </c>
      <c r="E51" s="54" t="str">
        <f>'iWork,IBP &amp; Framework_SOW Items'!F47</f>
        <v>Delivered</v>
      </c>
      <c r="F51" s="54" t="str">
        <f>Helper!E47</f>
        <v>Delivered</v>
      </c>
      <c r="G51" s="57" t="str">
        <f>IF('iWork,IBP &amp; Framework_SOW Items'!I47="","",'iWork,IBP &amp; Framework_SOW Items'!I47)</f>
        <v/>
      </c>
      <c r="H51" s="54" t="str">
        <f>IF('iWork,IBP &amp; Framework_SOW Items'!J47="","",'iWork,IBP &amp; Framework_SOW Items'!J47)</f>
        <v/>
      </c>
      <c r="I51" s="56" t="str">
        <f>IF('iWork,IBP &amp; Framework_SOW Items'!G47="","",'iWork,IBP &amp; Framework_SOW Items'!G47)</f>
        <v/>
      </c>
    </row>
    <row r="52" ht="15" hidden="1" customHeight="1" spans="1:9">
      <c r="A52" s="51" t="str">
        <f>'iWork,IBP &amp; Framework_SOW Items'!E48</f>
        <v>Milestone 2</v>
      </c>
      <c r="B52" s="51" t="str">
        <f>'iWork,IBP &amp; Framework_SOW Items'!D48</f>
        <v>iWork</v>
      </c>
      <c r="C52" s="52" t="str">
        <f>'iWork,IBP &amp; Framework_SOW Items'!B48</f>
        <v>Common, Contexual Read and Spread Component (Utility)</v>
      </c>
      <c r="D52" s="53">
        <f>'iWork,IBP &amp; Framework_SOW Items'!C48</f>
        <v>0</v>
      </c>
      <c r="E52" s="51" t="str">
        <f>'iWork,IBP &amp; Framework_SOW Items'!F48</f>
        <v>Delivered</v>
      </c>
      <c r="F52" s="51" t="str">
        <f>Helper!E48</f>
        <v>Delivered</v>
      </c>
      <c r="G52" s="51" t="str">
        <f>IF('iWork,IBP &amp; Framework_SOW Items'!I48="","",'iWork,IBP &amp; Framework_SOW Items'!I48)</f>
        <v/>
      </c>
      <c r="H52" s="51" t="str">
        <f>IF('iWork,IBP &amp; Framework_SOW Items'!J48="","",'iWork,IBP &amp; Framework_SOW Items'!J48)</f>
        <v/>
      </c>
      <c r="I52" s="53" t="str">
        <f>IF('iWork,IBP &amp; Framework_SOW Items'!G48="","",'iWork,IBP &amp; Framework_SOW Items'!G48)</f>
        <v/>
      </c>
    </row>
    <row r="53" ht="15" hidden="1" customHeight="1" spans="1:9">
      <c r="A53" s="54" t="str">
        <f>'iWork,IBP &amp; Framework_SOW Items'!E49</f>
        <v>Milestone 2</v>
      </c>
      <c r="B53" s="54" t="str">
        <f>'iWork,IBP &amp; Framework_SOW Items'!D49</f>
        <v>iWork</v>
      </c>
      <c r="C53" s="55" t="str">
        <f>'iWork,IBP &amp; Framework_SOW Items'!B49</f>
        <v>Manage Stage Planning/Performance/Approval</v>
      </c>
      <c r="D53" s="56" t="str">
        <f>'iWork,IBP &amp; Framework_SOW Items'!C49</f>
        <v>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v>
      </c>
      <c r="E53" s="54" t="str">
        <f>'iWork,IBP &amp; Framework_SOW Items'!F49</f>
        <v>Delivered</v>
      </c>
      <c r="F53" s="54" t="str">
        <f>Helper!E49</f>
        <v>Delivered</v>
      </c>
      <c r="G53" s="54" t="str">
        <f>IF('iWork,IBP &amp; Framework_SOW Items'!I49="","",'iWork,IBP &amp; Framework_SOW Items'!I49)</f>
        <v/>
      </c>
      <c r="H53" s="54" t="str">
        <f>IF('iWork,IBP &amp; Framework_SOW Items'!J49="","",'iWork,IBP &amp; Framework_SOW Items'!J49)</f>
        <v/>
      </c>
      <c r="I53" s="56" t="str">
        <f>IF('iWork,IBP &amp; Framework_SOW Items'!G49="","",'iWork,IBP &amp; Framework_SOW Items'!G49)</f>
        <v/>
      </c>
    </row>
    <row r="54" ht="15" hidden="1" customHeight="1" spans="1:9">
      <c r="A54" s="51" t="str">
        <f>'iWork,IBP &amp; Framework_SOW Items'!E50</f>
        <v>Milestone 2</v>
      </c>
      <c r="B54" s="51" t="str">
        <f>'iWork,IBP &amp; Framework_SOW Items'!D50</f>
        <v>iWork</v>
      </c>
      <c r="C54" s="52" t="str">
        <f>'iWork,IBP &amp; Framework_SOW Items'!B50</f>
        <v>Smart Add Component</v>
      </c>
      <c r="D54" s="53" t="str">
        <f>'iWork,IBP &amp; Framework_SOW Items'!C50</f>
        <v>Allow Upload of Document/Image, select what to create (Company/Contact/Opportunity)</v>
      </c>
      <c r="E54" s="51" t="str">
        <f>'iWork,IBP &amp; Framework_SOW Items'!F50</f>
        <v>Delivered</v>
      </c>
      <c r="F54" s="51" t="str">
        <f>Helper!E50</f>
        <v>Delivered</v>
      </c>
      <c r="G54" s="51" t="str">
        <f>IF('iWork,IBP &amp; Framework_SOW Items'!I50="","",'iWork,IBP &amp; Framework_SOW Items'!I50)</f>
        <v/>
      </c>
      <c r="H54" s="51" t="str">
        <f>IF('iWork,IBP &amp; Framework_SOW Items'!J50="","",'iWork,IBP &amp; Framework_SOW Items'!J50)</f>
        <v/>
      </c>
      <c r="I54" s="53" t="str">
        <f>IF('iWork,IBP &amp; Framework_SOW Items'!G50="","",'iWork,IBP &amp; Framework_SOW Items'!G50)</f>
        <v/>
      </c>
    </row>
    <row r="55" ht="15" hidden="1" customHeight="1" spans="1:9">
      <c r="A55" s="54" t="str">
        <f>'iWork,IBP &amp; Framework_SOW Items'!E51</f>
        <v>Milestone 2</v>
      </c>
      <c r="B55" s="54" t="str">
        <f>'iWork,IBP &amp; Framework_SOW Items'!D51</f>
        <v>iWork</v>
      </c>
      <c r="C55" s="55" t="str">
        <f>'iWork,IBP &amp; Framework_SOW Items'!B51</f>
        <v>Dashboard - Drilldowns</v>
      </c>
      <c r="D55" s="56" t="str">
        <f>'iWork,IBP &amp; Framework_SOW Items'!C51</f>
        <v>Drill down from the Tables (Targets vs. Actuals, Pending Activities, Followups, AR Report, Schedule)</v>
      </c>
      <c r="E55" s="54" t="str">
        <f>'iWork,IBP &amp; Framework_SOW Items'!F51</f>
        <v>Delivered</v>
      </c>
      <c r="F55" s="54" t="str">
        <f>Helper!E51</f>
        <v>Delivered</v>
      </c>
      <c r="G55" s="54" t="str">
        <f>IF('iWork,IBP &amp; Framework_SOW Items'!I51="","",'iWork,IBP &amp; Framework_SOW Items'!I51)</f>
        <v/>
      </c>
      <c r="H55" s="54" t="str">
        <f>IF('iWork,IBP &amp; Framework_SOW Items'!J51="","",'iWork,IBP &amp; Framework_SOW Items'!J51)</f>
        <v/>
      </c>
      <c r="I55" s="56" t="str">
        <f>IF('iWork,IBP &amp; Framework_SOW Items'!G51="","",'iWork,IBP &amp; Framework_SOW Items'!G51)</f>
        <v/>
      </c>
    </row>
    <row r="56" ht="15" hidden="1" customHeight="1" spans="1:9">
      <c r="A56" s="51" t="str">
        <f>'iWork,IBP &amp; Framework_SOW Items'!E52</f>
        <v>Milestone 2</v>
      </c>
      <c r="B56" s="51" t="str">
        <f>'iWork,IBP &amp; Framework_SOW Items'!D52</f>
        <v>iWork</v>
      </c>
      <c r="C56" s="52" t="str">
        <f>'iWork,IBP &amp; Framework_SOW Items'!B52</f>
        <v>Sales Team Hierarchy</v>
      </c>
      <c r="D56" s="53" t="str">
        <f>'iWork,IBP &amp; Framework_SOW Items'!C52</f>
        <v>Hierarchy / Org chart tied to Platform Users</v>
      </c>
      <c r="E56" s="51" t="str">
        <f>'iWork,IBP &amp; Framework_SOW Items'!F52</f>
        <v>Delivered</v>
      </c>
      <c r="F56" s="51" t="str">
        <f>Helper!E52</f>
        <v>Delivered</v>
      </c>
      <c r="G56" s="51" t="str">
        <f>IF('iWork,IBP &amp; Framework_SOW Items'!I52="","",'iWork,IBP &amp; Framework_SOW Items'!I52)</f>
        <v/>
      </c>
      <c r="H56" s="51" t="str">
        <f>IF('iWork,IBP &amp; Framework_SOW Items'!J52="","",'iWork,IBP &amp; Framework_SOW Items'!J52)</f>
        <v/>
      </c>
      <c r="I56" s="53" t="str">
        <f>IF('iWork,IBP &amp; Framework_SOW Items'!G52="","",'iWork,IBP &amp; Framework_SOW Items'!G52)</f>
        <v/>
      </c>
    </row>
    <row r="57" ht="15" hidden="1" customHeight="1" spans="1:9">
      <c r="A57" s="54" t="str">
        <f>'iWork,IBP &amp; Framework_SOW Items'!E53</f>
        <v>Milestone 2</v>
      </c>
      <c r="B57" s="54" t="str">
        <f>'iWork,IBP &amp; Framework_SOW Items'!D53</f>
        <v>iWork</v>
      </c>
      <c r="C57" s="55" t="str">
        <f>'iWork,IBP &amp; Framework_SOW Items'!B53</f>
        <v>View Policy</v>
      </c>
      <c r="D57" s="56" t="str">
        <f>'iWork,IBP &amp; Framework_SOW Items'!C53</f>
        <v>Long View, multiple widgets/entities, endorsements (each month), Claims, etc.</v>
      </c>
      <c r="E57" s="54" t="str">
        <f>'iWork,IBP &amp; Framework_SOW Items'!F53</f>
        <v>Delivered</v>
      </c>
      <c r="F57" s="54" t="str">
        <f>Helper!E53</f>
        <v>Delivered</v>
      </c>
      <c r="G57" s="54" t="str">
        <f>IF('iWork,IBP &amp; Framework_SOW Items'!I53="","",'iWork,IBP &amp; Framework_SOW Items'!I53)</f>
        <v/>
      </c>
      <c r="H57" s="54" t="str">
        <f>IF('iWork,IBP &amp; Framework_SOW Items'!J53="","",'iWork,IBP &amp; Framework_SOW Items'!J53)</f>
        <v/>
      </c>
      <c r="I57" s="56" t="str">
        <f>IF('iWork,IBP &amp; Framework_SOW Items'!G53="","",'iWork,IBP &amp; Framework_SOW Items'!G53)</f>
        <v/>
      </c>
    </row>
    <row r="58" ht="15" hidden="1" customHeight="1" spans="1:9">
      <c r="A58" s="51" t="str">
        <f>'iWork,IBP &amp; Framework_SOW Items'!E54</f>
        <v>Milestone 2</v>
      </c>
      <c r="B58" s="51" t="str">
        <f>'iWork,IBP &amp; Framework_SOW Items'!D54</f>
        <v>iWork</v>
      </c>
      <c r="C58" s="52" t="str">
        <f>'iWork,IBP &amp; Framework_SOW Items'!B54</f>
        <v>Dashboard</v>
      </c>
      <c r="D58" s="53" t="str">
        <f>'iWork,IBP &amp; Framework_SOW Items'!C54</f>
        <v>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v>
      </c>
      <c r="E58" s="51" t="str">
        <f>'iWork,IBP &amp; Framework_SOW Items'!F54</f>
        <v>Delivered</v>
      </c>
      <c r="F58" s="51" t="str">
        <f>Helper!E54</f>
        <v>Delivered</v>
      </c>
      <c r="G58" s="51" t="str">
        <f>IF('iWork,IBP &amp; Framework_SOW Items'!I54="","",'iWork,IBP &amp; Framework_SOW Items'!I54)</f>
        <v/>
      </c>
      <c r="H58" s="51" t="str">
        <f>IF('iWork,IBP &amp; Framework_SOW Items'!J54="","",'iWork,IBP &amp; Framework_SOW Items'!J54)</f>
        <v/>
      </c>
      <c r="I58" s="53" t="str">
        <f>IF('iWork,IBP &amp; Framework_SOW Items'!G54="","",'iWork,IBP &amp; Framework_SOW Items'!G54)</f>
        <v/>
      </c>
    </row>
    <row r="59" ht="15" hidden="1" customHeight="1" spans="1:9">
      <c r="A59" s="54" t="str">
        <f>'iWork,IBP &amp; Framework_SOW Items'!E55</f>
        <v>Milestone 2</v>
      </c>
      <c r="B59" s="54" t="str">
        <f>'iWork,IBP &amp; Framework_SOW Items'!D55</f>
        <v>iWork</v>
      </c>
      <c r="C59" s="55" t="str">
        <f>'iWork,IBP &amp; Framework_SOW Items'!B55</f>
        <v>Dashboard - Pending tasks, approvals</v>
      </c>
      <c r="D59" s="56" t="str">
        <f>'iWork,IBP &amp; Framework_SOW Items'!C55</f>
        <v>Pending tasks/approvals,</v>
      </c>
      <c r="E59" s="54" t="str">
        <f>'iWork,IBP &amp; Framework_SOW Items'!F55</f>
        <v>Delivered</v>
      </c>
      <c r="F59" s="54" t="str">
        <f>Helper!E55</f>
        <v>Delivered</v>
      </c>
      <c r="G59" s="54" t="str">
        <f>IF('iWork,IBP &amp; Framework_SOW Items'!I55="","",'iWork,IBP &amp; Framework_SOW Items'!I55)</f>
        <v/>
      </c>
      <c r="H59" s="54" t="str">
        <f>IF('iWork,IBP &amp; Framework_SOW Items'!J55="","",'iWork,IBP &amp; Framework_SOW Items'!J55)</f>
        <v/>
      </c>
      <c r="I59" s="56" t="str">
        <f>IF('iWork,IBP &amp; Framework_SOW Items'!G55="","",'iWork,IBP &amp; Framework_SOW Items'!G55)</f>
        <v/>
      </c>
    </row>
    <row r="60" ht="15" hidden="1" customHeight="1" spans="1:9">
      <c r="A60" s="51" t="str">
        <f>'iWork,IBP &amp; Framework_SOW Items'!E56</f>
        <v>Milestone 2</v>
      </c>
      <c r="B60" s="51" t="str">
        <f>'iWork,IBP &amp; Framework_SOW Items'!D56</f>
        <v>iWork</v>
      </c>
      <c r="C60" s="52" t="str">
        <f>'iWork,IBP &amp; Framework_SOW Items'!B56</f>
        <v>Reports - Biz Done</v>
      </c>
      <c r="D60" s="53" t="str">
        <f>'iWork,IBP &amp; Framework_SOW Items'!C56</f>
        <v>Report View, Download, List of earlier snaps of the report, Search and Filter</v>
      </c>
      <c r="E60" s="51" t="str">
        <f>'iWork,IBP &amp; Framework_SOW Items'!F56</f>
        <v>Delivered</v>
      </c>
      <c r="F60" s="51" t="str">
        <f>Helper!E56</f>
        <v>Delivered</v>
      </c>
      <c r="G60" s="51" t="str">
        <f>IF('iWork,IBP &amp; Framework_SOW Items'!I56="","",'iWork,IBP &amp; Framework_SOW Items'!I56)</f>
        <v/>
      </c>
      <c r="H60" s="51" t="str">
        <f>IF('iWork,IBP &amp; Framework_SOW Items'!J56="","",'iWork,IBP &amp; Framework_SOW Items'!J56)</f>
        <v/>
      </c>
      <c r="I60" s="53" t="str">
        <f>IF('iWork,IBP &amp; Framework_SOW Items'!G56="","",'iWork,IBP &amp; Framework_SOW Items'!G56)</f>
        <v/>
      </c>
    </row>
    <row r="61" ht="15" hidden="1" customHeight="1" spans="1:9">
      <c r="A61" s="54" t="str">
        <f>'iWork,IBP &amp; Framework_SOW Items'!E57</f>
        <v>Milestone 2</v>
      </c>
      <c r="B61" s="54" t="str">
        <f>'iWork,IBP &amp; Framework_SOW Items'!D57</f>
        <v>iWork</v>
      </c>
      <c r="C61" s="55" t="str">
        <f>'iWork,IBP &amp; Framework_SOW Items'!B57</f>
        <v>Core Infrastructure</v>
      </c>
      <c r="D61" s="56" t="str">
        <f>'iWork,IBP &amp; Framework_SOW Items'!C57</f>
        <v>Core Infra</v>
      </c>
      <c r="E61" s="54" t="str">
        <f>'iWork,IBP &amp; Framework_SOW Items'!F57</f>
        <v>Delivered</v>
      </c>
      <c r="F61" s="54" t="str">
        <f>Helper!E57</f>
        <v>Delivered</v>
      </c>
      <c r="G61" s="57" t="str">
        <f>IF('iWork,IBP &amp; Framework_SOW Items'!I57="","",'iWork,IBP &amp; Framework_SOW Items'!I57)</f>
        <v/>
      </c>
      <c r="H61" s="54" t="str">
        <f>IF('iWork,IBP &amp; Framework_SOW Items'!J57="","",'iWork,IBP &amp; Framework_SOW Items'!J57)</f>
        <v/>
      </c>
      <c r="I61" s="56" t="str">
        <f>IF('iWork,IBP &amp; Framework_SOW Items'!G57="","",'iWork,IBP &amp; Framework_SOW Items'!G57)</f>
        <v/>
      </c>
    </row>
    <row r="62" ht="15" hidden="1" customHeight="1" spans="1:9">
      <c r="A62" s="51" t="str">
        <f>'iWork,IBP &amp; Framework_SOW Items'!E58</f>
        <v>Milestone 2</v>
      </c>
      <c r="B62" s="51" t="str">
        <f>'iWork,IBP &amp; Framework_SOW Items'!D58</f>
        <v>iWork</v>
      </c>
      <c r="C62" s="52" t="str">
        <f>'iWork,IBP &amp; Framework_SOW Items'!B58</f>
        <v>Organisation, Branch, Employee, &amp; Hierarchy Mgmt</v>
      </c>
      <c r="D62" s="53">
        <f>'iWork,IBP &amp; Framework_SOW Items'!C58</f>
        <v>0</v>
      </c>
      <c r="E62" s="51" t="str">
        <f>'iWork,IBP &amp; Framework_SOW Items'!F58</f>
        <v>Delivered</v>
      </c>
      <c r="F62" s="51" t="str">
        <f>Helper!E58</f>
        <v>Delivered</v>
      </c>
      <c r="G62" s="59" t="str">
        <f>IF('iWork,IBP &amp; Framework_SOW Items'!I58="","",'iWork,IBP &amp; Framework_SOW Items'!I58)</f>
        <v/>
      </c>
      <c r="H62" s="51" t="str">
        <f>IF('iWork,IBP &amp; Framework_SOW Items'!J58="","",'iWork,IBP &amp; Framework_SOW Items'!J58)</f>
        <v/>
      </c>
      <c r="I62" s="53" t="str">
        <f>IF('iWork,IBP &amp; Framework_SOW Items'!G58="","",'iWork,IBP &amp; Framework_SOW Items'!G58)</f>
        <v/>
      </c>
    </row>
    <row r="63" ht="15" hidden="1" customHeight="1" spans="1:9">
      <c r="A63" s="54" t="str">
        <f>'iWork,IBP &amp; Framework_SOW Items'!E59</f>
        <v>Milestone 2</v>
      </c>
      <c r="B63" s="54" t="str">
        <f>'iWork,IBP &amp; Framework_SOW Items'!D59</f>
        <v>iWork</v>
      </c>
      <c r="C63" s="55" t="str">
        <f>'iWork,IBP &amp; Framework_SOW Items'!B59</f>
        <v>Dashboard (Place Holder)</v>
      </c>
      <c r="D63" s="56">
        <f>'iWork,IBP &amp; Framework_SOW Items'!C59</f>
        <v>0</v>
      </c>
      <c r="E63" s="54" t="str">
        <f>'iWork,IBP &amp; Framework_SOW Items'!F59</f>
        <v>Delivered</v>
      </c>
      <c r="F63" s="54" t="s">
        <v>15</v>
      </c>
      <c r="G63" s="57" t="str">
        <f>IF('iWork,IBP &amp; Framework_SOW Items'!I59="","",'iWork,IBP &amp; Framework_SOW Items'!I59)</f>
        <v/>
      </c>
      <c r="H63" s="54" t="str">
        <f>IF('iWork,IBP &amp; Framework_SOW Items'!J59="","",'iWork,IBP &amp; Framework_SOW Items'!J59)</f>
        <v/>
      </c>
      <c r="I63" s="56" t="str">
        <f>IF('iWork,IBP &amp; Framework_SOW Items'!G59="","",'iWork,IBP &amp; Framework_SOW Items'!G59)</f>
        <v/>
      </c>
    </row>
    <row r="64" ht="15" customHeight="1" spans="1:9">
      <c r="A64" s="54" t="str">
        <f>'iWork,IBP &amp; Framework_SOW Items'!E69</f>
        <v>Milestone 3</v>
      </c>
      <c r="B64" s="54" t="str">
        <f>'iWork,IBP &amp; Framework_SOW Items'!D69</f>
        <v>iWork</v>
      </c>
      <c r="C64" s="55" t="str">
        <f>'iWork,IBP &amp; Framework_SOW Items'!B69</f>
        <v>Stage Mgmt (Activity/Transaction/Quote)</v>
      </c>
      <c r="D64" s="56">
        <f>'iWork,IBP &amp; Framework_SOW Items'!C69</f>
        <v>0</v>
      </c>
      <c r="E64" s="54" t="str">
        <f>'iWork,IBP &amp; Framework_SOW Items'!F69</f>
        <v>Delivered</v>
      </c>
      <c r="F64" s="54" t="str">
        <f>Helper!E69</f>
        <v>Delivered</v>
      </c>
      <c r="G64" s="57" t="str">
        <f>IF('iWork,IBP &amp; Framework_SOW Items'!I69="","",'iWork,IBP &amp; Framework_SOW Items'!I69)</f>
        <v/>
      </c>
      <c r="H64" s="54" t="str">
        <f>IF('iWork,IBP &amp; Framework_SOW Items'!J69="","",'iWork,IBP &amp; Framework_SOW Items'!J69)</f>
        <v/>
      </c>
      <c r="I64" s="56" t="str">
        <f>IF('iWork,IBP &amp; Framework_SOW Items'!G69="","",'iWork,IBP &amp; Framework_SOW Items'!G69)</f>
        <v/>
      </c>
    </row>
    <row r="65" ht="15" customHeight="1" spans="1:9">
      <c r="A65" s="51" t="str">
        <f>'iWork,IBP &amp; Framework_SOW Items'!E114</f>
        <v>Milestone 4</v>
      </c>
      <c r="B65" s="51" t="str">
        <f>'iWork,IBP &amp; Framework_SOW Items'!D114</f>
        <v>IBP/iWork</v>
      </c>
      <c r="C65" s="52" t="str">
        <f>'iWork,IBP &amp; Framework_SOW Items'!B114</f>
        <v>Company Plan Configurator</v>
      </c>
      <c r="D65" s="53" t="str">
        <f>'iWork,IBP &amp; Framework_SOW Items'!C114</f>
        <v>Admin side of IBP should configure (per Corporate) how to define a Policy and determine how it breaks down the Premium and Coverage rules</v>
      </c>
      <c r="E65" s="51" t="str">
        <f>'iWork,IBP &amp; Framework_SOW Items'!F114</f>
        <v>Delivered</v>
      </c>
      <c r="F65" s="51" t="str">
        <f>Helper!E114</f>
        <v>Delivered</v>
      </c>
      <c r="G65" s="59" t="str">
        <f>IF('iWork,IBP &amp; Framework_SOW Items'!I114="","",'iWork,IBP &amp; Framework_SOW Items'!I114)</f>
        <v/>
      </c>
      <c r="H65" s="51" t="str">
        <f>IF('iWork,IBP &amp; Framework_SOW Items'!J114="","",'iWork,IBP &amp; Framework_SOW Items'!J114)</f>
        <v/>
      </c>
      <c r="I65" s="53" t="str">
        <f>IF('iWork,IBP &amp; Framework_SOW Items'!G114="","",'iWork,IBP &amp; Framework_SOW Items'!G114)</f>
        <v/>
      </c>
    </row>
    <row r="66" ht="15" customHeight="1" spans="1:9">
      <c r="A66" s="51" t="str">
        <f>'iWork,IBP &amp; Framework_SOW Items'!E246</f>
        <v>Milestone 6</v>
      </c>
      <c r="B66" s="51" t="str">
        <f>'iWork,IBP &amp; Framework_SOW Items'!D246</f>
        <v>iWork</v>
      </c>
      <c r="C66" s="52" t="str">
        <f>'iWork,IBP &amp; Framework_SOW Items'!B246</f>
        <v>VRK - PROD Feedback: 8-Jun-2026</v>
      </c>
      <c r="D66" s="53" t="str">
        <f>'iWork,IBP &amp; Framework_SOW Items'!C246</f>
        <v>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v>
      </c>
      <c r="E66" s="51" t="str">
        <f>'iWork,IBP &amp; Framework_SOW Items'!F246</f>
        <v>Yet to start</v>
      </c>
      <c r="F66" s="51" t="str">
        <f>Helper!E246</f>
        <v>Pending</v>
      </c>
      <c r="G66" s="59">
        <f>IF('iWork,IBP &amp; Framework_SOW Items'!I246="","",'iWork,IBP &amp; Framework_SOW Items'!I246)</f>
        <v>46195</v>
      </c>
      <c r="H66" s="51" t="str">
        <f>IF('iWork,IBP &amp; Framework_SOW Items'!J246="","",'iWork,IBP &amp; Framework_SOW Items'!J246)</f>
        <v>Karan</v>
      </c>
      <c r="I66" s="53" t="str">
        <f>IF('iWork,IBP &amp; Framework_SOW Items'!G246="","",'iWork,IBP &amp; Framework_SOW Items'!G246)</f>
        <v/>
      </c>
    </row>
    <row r="67" ht="15" hidden="1" customHeight="1" spans="1:9">
      <c r="A67" s="54" t="str">
        <f>'iWork,IBP &amp; Framework_SOW Items'!E63</f>
        <v>Milestone 3</v>
      </c>
      <c r="B67" s="54" t="str">
        <f>'iWork,IBP &amp; Framework_SOW Items'!D63</f>
        <v>Framework</v>
      </c>
      <c r="C67" s="55" t="str">
        <f>'iWork,IBP &amp; Framework_SOW Items'!B63</f>
        <v>Document Generation</v>
      </c>
      <c r="D67" s="56">
        <f>'iWork,IBP &amp; Framework_SOW Items'!C63</f>
        <v>0</v>
      </c>
      <c r="E67" s="54" t="str">
        <f>'iWork,IBP &amp; Framework_SOW Items'!F63</f>
        <v>Delivered</v>
      </c>
      <c r="F67" s="54" t="str">
        <f>Helper!E63</f>
        <v>Delivered</v>
      </c>
      <c r="G67" s="54" t="str">
        <f>IF('iWork,IBP &amp; Framework_SOW Items'!I63="","",'iWork,IBP &amp; Framework_SOW Items'!I63)</f>
        <v/>
      </c>
      <c r="H67" s="54" t="str">
        <f>IF('iWork,IBP &amp; Framework_SOW Items'!J63="","",'iWork,IBP &amp; Framework_SOW Items'!J63)</f>
        <v/>
      </c>
      <c r="I67" s="56" t="str">
        <f>IF('iWork,IBP &amp; Framework_SOW Items'!G63="","",'iWork,IBP &amp; Framework_SOW Items'!G63)</f>
        <v/>
      </c>
    </row>
    <row r="68" ht="15" hidden="1" customHeight="1" spans="1:9">
      <c r="A68" s="51" t="str">
        <f>'iWork,IBP &amp; Framework_SOW Items'!E64</f>
        <v>Milestone 3</v>
      </c>
      <c r="B68" s="51" t="str">
        <f>'iWork,IBP &amp; Framework_SOW Items'!D64</f>
        <v>IBP</v>
      </c>
      <c r="C68" s="52">
        <f>'iWork,IBP &amp; Framework_SOW Items'!B64</f>
        <v>0</v>
      </c>
      <c r="D68" s="53" t="str">
        <f>'iWork,IBP &amp; Framework_SOW Items'!C64</f>
        <v>Risk Watch: Showing policy feature documents at each policy</v>
      </c>
      <c r="E68" s="51" t="str">
        <f>'iWork,IBP &amp; Framework_SOW Items'!F64</f>
        <v>Delivered</v>
      </c>
      <c r="F68" s="51" t="str">
        <f>Helper!E64</f>
        <v>Delivered</v>
      </c>
      <c r="G68" s="51">
        <f>IF('iWork,IBP &amp; Framework_SOW Items'!I64="","",'iWork,IBP &amp; Framework_SOW Items'!I64)</f>
        <v>46192</v>
      </c>
      <c r="H68" s="51" t="str">
        <f>IF('iWork,IBP &amp; Framework_SOW Items'!J64="","",'iWork,IBP &amp; Framework_SOW Items'!J64)</f>
        <v>Ravi</v>
      </c>
      <c r="I68" s="53" t="str">
        <f>IF('iWork,IBP &amp; Framework_SOW Items'!G64="","",'iWork,IBP &amp; Framework_SOW Items'!G64)</f>
        <v/>
      </c>
    </row>
    <row r="69" ht="15" hidden="1" customHeight="1" spans="1:9">
      <c r="A69" s="54" t="str">
        <f>'iWork,IBP &amp; Framework_SOW Items'!E65</f>
        <v>Milestone 3</v>
      </c>
      <c r="B69" s="54" t="str">
        <f>'iWork,IBP &amp; Framework_SOW Items'!D65</f>
        <v>iWork</v>
      </c>
      <c r="C69" s="55" t="str">
        <f>'iWork,IBP &amp; Framework_SOW Items'!B65</f>
        <v>Cover Mgmt</v>
      </c>
      <c r="D69" s="56">
        <f>'iWork,IBP &amp; Framework_SOW Items'!C65</f>
        <v>0</v>
      </c>
      <c r="E69" s="54" t="str">
        <f>'iWork,IBP &amp; Framework_SOW Items'!F65</f>
        <v>Delivered</v>
      </c>
      <c r="F69" s="54" t="str">
        <f>Helper!E65</f>
        <v>Delivered</v>
      </c>
      <c r="G69" s="57">
        <f>IF('iWork,IBP &amp; Framework_SOW Items'!I65="","",'iWork,IBP &amp; Framework_SOW Items'!I65)</f>
        <v>46183</v>
      </c>
      <c r="H69" s="54" t="str">
        <f>IF('iWork,IBP &amp; Framework_SOW Items'!J65="","",'iWork,IBP &amp; Framework_SOW Items'!J65)</f>
        <v>Karan</v>
      </c>
      <c r="I69" s="56" t="str">
        <f>IF('iWork,IBP &amp; Framework_SOW Items'!G65="","",'iWork,IBP &amp; Framework_SOW Items'!G65)</f>
        <v/>
      </c>
    </row>
    <row r="70" ht="15" hidden="1" customHeight="1" spans="1:9">
      <c r="A70" s="51" t="str">
        <f>'iWork,IBP &amp; Framework_SOW Items'!E66</f>
        <v>Milestone 3</v>
      </c>
      <c r="B70" s="51" t="str">
        <f>'iWork,IBP &amp; Framework_SOW Items'!D66</f>
        <v>iWork</v>
      </c>
      <c r="C70" s="52" t="str">
        <f>'iWork,IBP &amp; Framework_SOW Items'!B66</f>
        <v>MIR Entry Mgmt</v>
      </c>
      <c r="D70" s="53" t="str">
        <f>'iWork,IBP &amp; Framework_SOW Items'!C66</f>
        <v>Entry Form, Print to Document, List of Earlier MIRs, Search on MIRs</v>
      </c>
      <c r="E70" s="51" t="str">
        <f>'iWork,IBP &amp; Framework_SOW Items'!F66</f>
        <v>Yet to start</v>
      </c>
      <c r="F70" s="51" t="str">
        <f>Helper!E66</f>
        <v>Pending</v>
      </c>
      <c r="G70" s="51">
        <f>IF('iWork,IBP &amp; Framework_SOW Items'!I66="","",'iWork,IBP &amp; Framework_SOW Items'!I66)</f>
        <v>46197</v>
      </c>
      <c r="H70" s="51" t="str">
        <f>IF('iWork,IBP &amp; Framework_SOW Items'!J66="","",'iWork,IBP &amp; Framework_SOW Items'!J66)</f>
        <v>Pushyami</v>
      </c>
      <c r="I70" s="53" t="str">
        <f>IF('iWork,IBP &amp; Framework_SOW Items'!G66="","",'iWork,IBP &amp; Framework_SOW Items'!G66)</f>
        <v/>
      </c>
    </row>
    <row r="71" ht="15" hidden="1" customHeight="1" spans="1:9">
      <c r="A71" s="54" t="str">
        <f>'iWork,IBP &amp; Framework_SOW Items'!E67</f>
        <v>Milestone 3</v>
      </c>
      <c r="B71" s="54" t="str">
        <f>'iWork,IBP &amp; Framework_SOW Items'!D67</f>
        <v>iWork</v>
      </c>
      <c r="C71" s="55" t="str">
        <f>'iWork,IBP &amp; Framework_SOW Items'!B67</f>
        <v>MIR Entry Mgmt</v>
      </c>
      <c r="D71" s="56" t="str">
        <f>'iWork,IBP &amp; Framework_SOW Items'!C67</f>
        <v>Module to manage MIR {Monthly Infomatiom Report}</v>
      </c>
      <c r="E71" s="54" t="str">
        <f>'iWork,IBP &amp; Framework_SOW Items'!F67</f>
        <v>Yet to start</v>
      </c>
      <c r="F71" s="54" t="str">
        <f>Helper!E67</f>
        <v>Pending</v>
      </c>
      <c r="G71" s="54">
        <f>IF('iWork,IBP &amp; Framework_SOW Items'!I67="","",'iWork,IBP &amp; Framework_SOW Items'!I67)</f>
        <v>46197</v>
      </c>
      <c r="H71" s="54" t="str">
        <f>IF('iWork,IBP &amp; Framework_SOW Items'!J67="","",'iWork,IBP &amp; Framework_SOW Items'!J67)</f>
        <v>Pushyami</v>
      </c>
      <c r="I71" s="56" t="str">
        <f>IF('iWork,IBP &amp; Framework_SOW Items'!G67="","",'iWork,IBP &amp; Framework_SOW Items'!G67)</f>
        <v/>
      </c>
    </row>
    <row r="72" ht="15" hidden="1" customHeight="1" spans="1:9">
      <c r="A72" s="51" t="str">
        <f>'iWork,IBP &amp; Framework_SOW Items'!E68</f>
        <v>Milestone 3</v>
      </c>
      <c r="B72" s="51" t="str">
        <f>'iWork,IBP &amp; Framework_SOW Items'!D68</f>
        <v>iWork</v>
      </c>
      <c r="C72" s="52" t="str">
        <f>'iWork,IBP &amp; Framework_SOW Items'!B68</f>
        <v>Manage Policy (Endorsements)</v>
      </c>
      <c r="D72" s="53" t="str">
        <f>'iWork,IBP &amp; Framework_SOW Items'!C68</f>
        <v>Add Endorsement - basic form with uploads of excel/document
Validations of endorsement format - Map customer fields to internal fields
Map internal fields to TPA fields (occasional per TPA)
View/Update Endorsement, List View, Endorsement Performance</v>
      </c>
      <c r="E72" s="51" t="str">
        <f>'iWork,IBP &amp; Framework_SOW Items'!F68</f>
        <v>Delivered</v>
      </c>
      <c r="F72" s="51" t="str">
        <f>Helper!E68</f>
        <v>Delivered</v>
      </c>
      <c r="G72" s="51" t="str">
        <f>IF('iWork,IBP &amp; Framework_SOW Items'!I68="","",'iWork,IBP &amp; Framework_SOW Items'!I68)</f>
        <v/>
      </c>
      <c r="H72" s="51" t="str">
        <f>IF('iWork,IBP &amp; Framework_SOW Items'!J68="","",'iWork,IBP &amp; Framework_SOW Items'!J68)</f>
        <v/>
      </c>
      <c r="I72" s="53" t="str">
        <f>IF('iWork,IBP &amp; Framework_SOW Items'!G68="","",'iWork,IBP &amp; Framework_SOW Items'!G68)</f>
        <v/>
      </c>
    </row>
    <row r="73" ht="15" customHeight="1" spans="1:9">
      <c r="A73" s="51" t="str">
        <f>'iWork,IBP &amp; Framework_SOW Items'!E250</f>
        <v>Milestone 6</v>
      </c>
      <c r="B73" s="51" t="str">
        <f>'iWork,IBP &amp; Framework_SOW Items'!D250</f>
        <v>iWork</v>
      </c>
      <c r="C73" s="53" t="str">
        <f>'iWork,IBP &amp; Framework_SOW Items'!B250</f>
        <v>Export to Excel</v>
      </c>
      <c r="D73" s="53" t="str">
        <f>'iWork,IBP &amp; Framework_SOW Items'!C250</f>
        <v>Export to excel - iWork all the results table; Download is on Previlage</v>
      </c>
      <c r="E73" s="51" t="str">
        <f>'iWork,IBP &amp; Framework_SOW Items'!F250</f>
        <v>Yet to start</v>
      </c>
      <c r="F73" s="51" t="str">
        <f>Helper!E250</f>
        <v>Pending</v>
      </c>
      <c r="G73" s="59" t="str">
        <f>IF('iWork,IBP &amp; Framework_SOW Items'!I250="","",'iWork,IBP &amp; Framework_SOW Items'!I250)</f>
        <v/>
      </c>
      <c r="H73" s="51" t="str">
        <f>IF('iWork,IBP &amp; Framework_SOW Items'!J250="","",'iWork,IBP &amp; Framework_SOW Items'!J250)</f>
        <v/>
      </c>
      <c r="I73" s="53" t="str">
        <f>IF('iWork,IBP &amp; Framework_SOW Items'!G250="","",'iWork,IBP &amp; Framework_SOW Items'!G250)</f>
        <v/>
      </c>
    </row>
    <row r="74" ht="15" customHeight="1" spans="1:9">
      <c r="A74" s="54" t="str">
        <f>'iWork,IBP &amp; Framework_SOW Items'!E253</f>
        <v>Milestone 6</v>
      </c>
      <c r="B74" s="54" t="str">
        <f>'iWork,IBP &amp; Framework_SOW Items'!D253</f>
        <v>iWork</v>
      </c>
      <c r="C74" s="55" t="str">
        <f>'iWork,IBP &amp; Framework_SOW Items'!B253</f>
        <v>Rewards</v>
      </c>
      <c r="D74" s="56" t="str">
        <f>'iWork,IBP &amp; Framework_SOW Items'!C253</f>
        <v>Rewards - Specific &amp; Generic Rewards - Start with a form and collect data</v>
      </c>
      <c r="E74" s="54" t="str">
        <f>'iWork,IBP &amp; Framework_SOW Items'!F253</f>
        <v>Yet to start</v>
      </c>
      <c r="F74" s="54" t="str">
        <f>Helper!E253</f>
        <v>Pending</v>
      </c>
      <c r="G74" s="57" t="str">
        <f>IF('iWork,IBP &amp; Framework_SOW Items'!I253="","",'iWork,IBP &amp; Framework_SOW Items'!I253)</f>
        <v/>
      </c>
      <c r="H74" s="54" t="str">
        <f>IF('iWork,IBP &amp; Framework_SOW Items'!J253="","",'iWork,IBP &amp; Framework_SOW Items'!J253)</f>
        <v/>
      </c>
      <c r="I74" s="56" t="str">
        <f>IF('iWork,IBP &amp; Framework_SOW Items'!G253="","",'iWork,IBP &amp; Framework_SOW Items'!G253)</f>
        <v/>
      </c>
    </row>
    <row r="75" ht="15" customHeight="1" spans="1:9">
      <c r="A75" s="51" t="str">
        <f>'iWork,IBP &amp; Framework_SOW Items'!E254</f>
        <v>Milestone 6</v>
      </c>
      <c r="B75" s="51" t="str">
        <f>'iWork,IBP &amp; Framework_SOW Items'!D254</f>
        <v>iWork - CR</v>
      </c>
      <c r="C75" s="52" t="str">
        <f>'iWork,IBP &amp; Framework_SOW Items'!B254</f>
        <v>Endorsement Mgmt (Non-Group / Non-GMC / Non-EB)</v>
      </c>
      <c r="D75" s="53" t="str">
        <f>'iWork,IBP &amp; Framework_SOW Items'!C254</f>
        <v>Enhance the Non-GMC Process (Based on Kishore feedback)</v>
      </c>
      <c r="E75" s="51" t="str">
        <f>'iWork,IBP &amp; Framework_SOW Items'!F254</f>
        <v>Delivered</v>
      </c>
      <c r="F75" s="51" t="str">
        <f>Helper!E254</f>
        <v>Delivered</v>
      </c>
      <c r="G75" s="59">
        <f>IF('iWork,IBP &amp; Framework_SOW Items'!I254="","",'iWork,IBP &amp; Framework_SOW Items'!I254)</f>
        <v>46170</v>
      </c>
      <c r="H75" s="51" t="str">
        <f>IF('iWork,IBP &amp; Framework_SOW Items'!J254="","",'iWork,IBP &amp; Framework_SOW Items'!J254)</f>
        <v>Pushyami</v>
      </c>
      <c r="I75" s="53" t="str">
        <f>IF('iWork,IBP &amp; Framework_SOW Items'!G254="","",'iWork,IBP &amp; Framework_SOW Items'!G254)</f>
        <v/>
      </c>
    </row>
    <row r="76" ht="15" hidden="1" customHeight="1" spans="1:9">
      <c r="A76" s="51" t="str">
        <f>'iWork,IBP &amp; Framework_SOW Items'!E72</f>
        <v>Milestone 4</v>
      </c>
      <c r="B76" s="51" t="str">
        <f>'iWork,IBP &amp; Framework_SOW Items'!D72</f>
        <v>DPDP</v>
      </c>
      <c r="C76" s="52" t="str">
        <f>'iWork,IBP &amp; Framework_SOW Items'!B72</f>
        <v>Archived Oppurtunity, Policy Mgmt {Archived Biz Data and Retrieval on need} - DPDP</v>
      </c>
      <c r="D76" s="53">
        <f>'iWork,IBP &amp; Framework_SOW Items'!C72</f>
        <v>0</v>
      </c>
      <c r="E76" s="51" t="str">
        <f>'iWork,IBP &amp; Framework_SOW Items'!F72</f>
        <v>Yet to start</v>
      </c>
      <c r="F76" s="51" t="str">
        <f>Helper!E72</f>
        <v>Pending</v>
      </c>
      <c r="G76" s="51">
        <f>IF('iWork,IBP &amp; Framework_SOW Items'!I72="","",'iWork,IBP &amp; Framework_SOW Items'!I72)</f>
        <v>46203</v>
      </c>
      <c r="H76" s="51" t="str">
        <f>IF('iWork,IBP &amp; Framework_SOW Items'!J72="","",'iWork,IBP &amp; Framework_SOW Items'!J72)</f>
        <v/>
      </c>
      <c r="I76" s="53" t="str">
        <f>IF('iWork,IBP &amp; Framework_SOW Items'!G72="","",'iWork,IBP &amp; Framework_SOW Items'!G72)</f>
        <v>Duplicate of Archival from NFR &amp; DPDP</v>
      </c>
    </row>
    <row r="77" ht="15" hidden="1" customHeight="1" spans="1:9">
      <c r="A77" s="54" t="str">
        <f>'iWork,IBP &amp; Framework_SOW Items'!E73</f>
        <v>Milestone 4</v>
      </c>
      <c r="B77" s="54" t="str">
        <f>'iWork,IBP &amp; Framework_SOW Items'!D73</f>
        <v>Framework</v>
      </c>
      <c r="C77" s="55" t="str">
        <f>'iWork,IBP &amp; Framework_SOW Items'!B73</f>
        <v>Accessibility</v>
      </c>
      <c r="D77" s="56">
        <f>'iWork,IBP &amp; Framework_SOW Items'!C73</f>
        <v>0</v>
      </c>
      <c r="E77" s="54" t="str">
        <f>'iWork,IBP &amp; Framework_SOW Items'!F73</f>
        <v>Yet to start</v>
      </c>
      <c r="F77" s="54" t="str">
        <f>Helper!E73</f>
        <v>Pending</v>
      </c>
      <c r="G77" s="54">
        <f>IF('iWork,IBP &amp; Framework_SOW Items'!I73="","",'iWork,IBP &amp; Framework_SOW Items'!I73)</f>
        <v>46197</v>
      </c>
      <c r="H77" s="54" t="str">
        <f>IF('iWork,IBP &amp; Framework_SOW Items'!J73="","",'iWork,IBP &amp; Framework_SOW Items'!J73)</f>
        <v/>
      </c>
      <c r="I77" s="56" t="str">
        <f>IF('iWork,IBP &amp; Framework_SOW Items'!G73="","",'iWork,IBP &amp; Framework_SOW Items'!G73)</f>
        <v/>
      </c>
    </row>
    <row r="78" ht="15" hidden="1" customHeight="1" spans="1:9">
      <c r="A78" s="51" t="str">
        <f>'iWork,IBP &amp; Framework_SOW Items'!E74</f>
        <v>Milestone 4</v>
      </c>
      <c r="B78" s="51" t="str">
        <f>'iWork,IBP &amp; Framework_SOW Items'!D74</f>
        <v>Framework</v>
      </c>
      <c r="C78" s="52" t="str">
        <f>'iWork,IBP &amp; Framework_SOW Items'!B74</f>
        <v>Localisation</v>
      </c>
      <c r="D78" s="53">
        <f>'iWork,IBP &amp; Framework_SOW Items'!C74</f>
        <v>0</v>
      </c>
      <c r="E78" s="51" t="str">
        <f>'iWork,IBP &amp; Framework_SOW Items'!F74</f>
        <v>Delivered - Deficit</v>
      </c>
      <c r="F78" s="51" t="str">
        <f>Helper!E74</f>
        <v>Pending</v>
      </c>
      <c r="G78" s="59">
        <f>IF('iWork,IBP &amp; Framework_SOW Items'!I74="","",'iWork,IBP &amp; Framework_SOW Items'!I74)</f>
        <v>46198</v>
      </c>
      <c r="H78" s="51" t="str">
        <f>IF('iWork,IBP &amp; Framework_SOW Items'!J74="","",'iWork,IBP &amp; Framework_SOW Items'!J74)</f>
        <v>Karan</v>
      </c>
      <c r="I78" s="53" t="str">
        <f>IF('iWork,IBP &amp; Framework_SOW Items'!G74="","",'iWork,IBP &amp; Framework_SOW Items'!G74)</f>
        <v>Pending: Service Flow &amp; IBP</v>
      </c>
    </row>
    <row r="79" ht="15" hidden="1" customHeight="1" spans="1:9">
      <c r="A79" s="54" t="str">
        <f>'iWork,IBP &amp; Framework_SOW Items'!E75</f>
        <v>Milestone 4</v>
      </c>
      <c r="B79" s="54" t="str">
        <f>'iWork,IBP &amp; Framework_SOW Items'!D75</f>
        <v>Framework</v>
      </c>
      <c r="C79" s="55" t="str">
        <f>'iWork,IBP &amp; Framework_SOW Items'!B75</f>
        <v>Workflow Management</v>
      </c>
      <c r="D79" s="56" t="str">
        <f>'iWork,IBP &amp; Framework_SOW Items'!C75</f>
        <v>23-May: Integrate the 3'rd party libraries</v>
      </c>
      <c r="E79" s="54" t="str">
        <f>'iWork,IBP &amp; Framework_SOW Items'!F75</f>
        <v>Yet to start</v>
      </c>
      <c r="F79" s="54" t="str">
        <f>Helper!E75</f>
        <v>Pending</v>
      </c>
      <c r="G79" s="54">
        <f>IF('iWork,IBP &amp; Framework_SOW Items'!I75="","",'iWork,IBP &amp; Framework_SOW Items'!I75)</f>
        <v>46199</v>
      </c>
      <c r="H79" s="54" t="str">
        <f>IF('iWork,IBP &amp; Framework_SOW Items'!J75="","",'iWork,IBP &amp; Framework_SOW Items'!J75)</f>
        <v>Nithin</v>
      </c>
      <c r="I79" s="56" t="str">
        <f>IF('iWork,IBP &amp; Framework_SOW Items'!G75="","",'iWork,IBP &amp; Framework_SOW Items'!G75)</f>
        <v/>
      </c>
    </row>
    <row r="80" ht="15" hidden="1" customHeight="1" spans="1:9">
      <c r="A80" s="51" t="str">
        <f>'iWork,IBP &amp; Framework_SOW Items'!E76</f>
        <v>Milestone 4</v>
      </c>
      <c r="B80" s="51" t="str">
        <f>'iWork,IBP &amp; Framework_SOW Items'!D76</f>
        <v>Framework</v>
      </c>
      <c r="C80" s="52" t="str">
        <f>'iWork,IBP &amp; Framework_SOW Items'!B76</f>
        <v>Rule Definition Management</v>
      </c>
      <c r="D80" s="53" t="str">
        <f>'iWork,IBP &amp; Framework_SOW Items'!C76</f>
        <v>23-May: Integrate the 3'rd party libraries</v>
      </c>
      <c r="E80" s="51" t="str">
        <f>'iWork,IBP &amp; Framework_SOW Items'!F76</f>
        <v>Yet to start</v>
      </c>
      <c r="F80" s="51" t="str">
        <f>Helper!E76</f>
        <v>Pending</v>
      </c>
      <c r="G80" s="51">
        <f>IF('iWork,IBP &amp; Framework_SOW Items'!I76="","",'iWork,IBP &amp; Framework_SOW Items'!I76)</f>
        <v>46199</v>
      </c>
      <c r="H80" s="51" t="str">
        <f>IF('iWork,IBP &amp; Framework_SOW Items'!J76="","",'iWork,IBP &amp; Framework_SOW Items'!J76)</f>
        <v>Nithin</v>
      </c>
      <c r="I80" s="53" t="str">
        <f>IF('iWork,IBP &amp; Framework_SOW Items'!G76="","",'iWork,IBP &amp; Framework_SOW Items'!G76)</f>
        <v/>
      </c>
    </row>
    <row r="81" ht="15" hidden="1" customHeight="1" spans="1:9">
      <c r="A81" s="54" t="str">
        <f>'iWork,IBP &amp; Framework_SOW Items'!E77</f>
        <v>Milestone 4</v>
      </c>
      <c r="B81" s="54" t="str">
        <f>'iWork,IBP &amp; Framework_SOW Items'!D77</f>
        <v>Framework</v>
      </c>
      <c r="C81" s="55" t="str">
        <f>'iWork,IBP &amp; Framework_SOW Items'!B77</f>
        <v>Notifications Management</v>
      </c>
      <c r="D81" s="56">
        <f>'iWork,IBP &amp; Framework_SOW Items'!C77</f>
        <v>0</v>
      </c>
      <c r="E81" s="54" t="str">
        <f>'iWork,IBP &amp; Framework_SOW Items'!F77</f>
        <v>Delivered</v>
      </c>
      <c r="F81" s="54" t="str">
        <f>Helper!E77</f>
        <v>Delivered</v>
      </c>
      <c r="G81" s="54" t="str">
        <f>IF('iWork,IBP &amp; Framework_SOW Items'!I77="","",'iWork,IBP &amp; Framework_SOW Items'!I77)</f>
        <v/>
      </c>
      <c r="H81" s="54" t="str">
        <f>IF('iWork,IBP &amp; Framework_SOW Items'!J77="","",'iWork,IBP &amp; Framework_SOW Items'!J77)</f>
        <v/>
      </c>
      <c r="I81" s="56" t="str">
        <f>IF('iWork,IBP &amp; Framework_SOW Items'!G77="","",'iWork,IBP &amp; Framework_SOW Items'!G77)</f>
        <v/>
      </c>
    </row>
    <row r="82" ht="15" hidden="1" customHeight="1" spans="1:9">
      <c r="A82" s="51" t="str">
        <f>'iWork,IBP &amp; Framework_SOW Items'!E78</f>
        <v>Milestone 4</v>
      </c>
      <c r="B82" s="51" t="str">
        <f>'iWork,IBP &amp; Framework_SOW Items'!D78</f>
        <v>Framework</v>
      </c>
      <c r="C82" s="52" t="str">
        <f>'iWork,IBP &amp; Framework_SOW Items'!B78</f>
        <v>Configuration Management</v>
      </c>
      <c r="D82" s="53">
        <f>'iWork,IBP &amp; Framework_SOW Items'!C78</f>
        <v>0</v>
      </c>
      <c r="E82" s="51" t="str">
        <f>'iWork,IBP &amp; Framework_SOW Items'!F78</f>
        <v>Delivered</v>
      </c>
      <c r="F82" s="51" t="str">
        <f>Helper!E78</f>
        <v>Delivered</v>
      </c>
      <c r="G82" s="51" t="str">
        <f>IF('iWork,IBP &amp; Framework_SOW Items'!I78="","",'iWork,IBP &amp; Framework_SOW Items'!I78)</f>
        <v/>
      </c>
      <c r="H82" s="51" t="str">
        <f>IF('iWork,IBP &amp; Framework_SOW Items'!J78="","",'iWork,IBP &amp; Framework_SOW Items'!J78)</f>
        <v/>
      </c>
      <c r="I82" s="53" t="str">
        <f>IF('iWork,IBP &amp; Framework_SOW Items'!G78="","",'iWork,IBP &amp; Framework_SOW Items'!G78)</f>
        <v>Considered Policy Config</v>
      </c>
    </row>
    <row r="83" ht="15" hidden="1" customHeight="1" spans="1:9">
      <c r="A83" s="54" t="str">
        <f>'iWork,IBP &amp; Framework_SOW Items'!E79</f>
        <v>Milestone 4</v>
      </c>
      <c r="B83" s="54" t="str">
        <f>'iWork,IBP &amp; Framework_SOW Items'!D79</f>
        <v>Framework</v>
      </c>
      <c r="C83" s="55" t="str">
        <f>'iWork,IBP &amp; Framework_SOW Items'!B79</f>
        <v>Feature Flag Control Management</v>
      </c>
      <c r="D83" s="56">
        <f>'iWork,IBP &amp; Framework_SOW Items'!C79</f>
        <v>0</v>
      </c>
      <c r="E83" s="54" t="str">
        <f>'iWork,IBP &amp; Framework_SOW Items'!F79</f>
        <v>Delivered</v>
      </c>
      <c r="F83" s="54" t="str">
        <f>Helper!E79</f>
        <v>Delivered</v>
      </c>
      <c r="G83" s="54" t="str">
        <f>IF('iWork,IBP &amp; Framework_SOW Items'!I79="","",'iWork,IBP &amp; Framework_SOW Items'!I79)</f>
        <v/>
      </c>
      <c r="H83" s="54" t="str">
        <f>IF('iWork,IBP &amp; Framework_SOW Items'!J79="","",'iWork,IBP &amp; Framework_SOW Items'!J79)</f>
        <v/>
      </c>
      <c r="I83" s="56" t="str">
        <f>IF('iWork,IBP &amp; Framework_SOW Items'!G79="","",'iWork,IBP &amp; Framework_SOW Items'!G79)</f>
        <v/>
      </c>
    </row>
    <row r="84" ht="15" hidden="1" customHeight="1" spans="1:9">
      <c r="A84" s="51" t="str">
        <f>'iWork,IBP &amp; Framework_SOW Items'!E80</f>
        <v>Milestone 4</v>
      </c>
      <c r="B84" s="51" t="str">
        <f>'iWork,IBP &amp; Framework_SOW Items'!D80</f>
        <v>Framework</v>
      </c>
      <c r="C84" s="52" t="str">
        <f>'iWork,IBP &amp; Framework_SOW Items'!B80</f>
        <v>Localistation Management</v>
      </c>
      <c r="D84" s="53">
        <f>'iWork,IBP &amp; Framework_SOW Items'!C80</f>
        <v>0</v>
      </c>
      <c r="E84" s="51" t="str">
        <f>'iWork,IBP &amp; Framework_SOW Items'!F80</f>
        <v>Delivered</v>
      </c>
      <c r="F84" s="51" t="str">
        <f>Helper!E80</f>
        <v>Delivered</v>
      </c>
      <c r="G84" s="59" t="str">
        <f>IF('iWork,IBP &amp; Framework_SOW Items'!I80="","",'iWork,IBP &amp; Framework_SOW Items'!I80)</f>
        <v/>
      </c>
      <c r="H84" s="51" t="str">
        <f>IF('iWork,IBP &amp; Framework_SOW Items'!J80="","",'iWork,IBP &amp; Framework_SOW Items'!J80)</f>
        <v/>
      </c>
      <c r="I84" s="53" t="str">
        <f>IF('iWork,IBP &amp; Framework_SOW Items'!G80="","",'iWork,IBP &amp; Framework_SOW Items'!G80)</f>
        <v/>
      </c>
    </row>
    <row r="85" ht="15" hidden="1" customHeight="1" spans="1:9">
      <c r="A85" s="54" t="str">
        <f>'iWork,IBP &amp; Framework_SOW Items'!E81</f>
        <v>Milestone 4</v>
      </c>
      <c r="B85" s="54" t="str">
        <f>'iWork,IBP &amp; Framework_SOW Items'!D81</f>
        <v>Framework</v>
      </c>
      <c r="C85" s="55" t="str">
        <f>'iWork,IBP &amp; Framework_SOW Items'!B81</f>
        <v>Caching Implementation</v>
      </c>
      <c r="D85" s="56">
        <f>'iWork,IBP &amp; Framework_SOW Items'!C81</f>
        <v>0</v>
      </c>
      <c r="E85" s="54" t="str">
        <f>'iWork,IBP &amp; Framework_SOW Items'!F81</f>
        <v>Delivered</v>
      </c>
      <c r="F85" s="54" t="str">
        <f>Helper!E81</f>
        <v>Delivered</v>
      </c>
      <c r="G85" s="54" t="str">
        <f>IF('iWork,IBP &amp; Framework_SOW Items'!I81="","",'iWork,IBP &amp; Framework_SOW Items'!I81)</f>
        <v/>
      </c>
      <c r="H85" s="54" t="str">
        <f>IF('iWork,IBP &amp; Framework_SOW Items'!J81="","",'iWork,IBP &amp; Framework_SOW Items'!J81)</f>
        <v/>
      </c>
      <c r="I85" s="56" t="str">
        <f>IF('iWork,IBP &amp; Framework_SOW Items'!G81="","",'iWork,IBP &amp; Framework_SOW Items'!G81)</f>
        <v/>
      </c>
    </row>
    <row r="86" ht="15" hidden="1" customHeight="1" spans="1:9">
      <c r="A86" s="51" t="str">
        <f>'iWork,IBP &amp; Framework_SOW Items'!E82</f>
        <v>Milestone 4</v>
      </c>
      <c r="B86" s="51" t="str">
        <f>'iWork,IBP &amp; Framework_SOW Items'!D82</f>
        <v>IBP</v>
      </c>
      <c r="C86" s="52" t="str">
        <f>'iWork,IBP &amp; Framework_SOW Items'!B82</f>
        <v>IBP - User Management</v>
      </c>
      <c r="D86" s="53" t="str">
        <f>'iWork,IBP &amp; Framework_SOW Items'!C82</f>
        <v>IBP: HR Portal - Company-Scoped Employee Access for Client HR (Ex. TeamLease's Customer)</v>
      </c>
      <c r="E86" s="51" t="str">
        <f>'iWork,IBP &amp; Framework_SOW Items'!F82</f>
        <v>Delivered</v>
      </c>
      <c r="F86" s="51" t="str">
        <f>Helper!E82</f>
        <v>Delivered</v>
      </c>
      <c r="G86" s="51">
        <f>IF('iWork,IBP &amp; Framework_SOW Items'!I82="","",'iWork,IBP &amp; Framework_SOW Items'!I82)</f>
        <v>46168</v>
      </c>
      <c r="H86" s="51" t="str">
        <f>IF('iWork,IBP &amp; Framework_SOW Items'!J82="","",'iWork,IBP &amp; Framework_SOW Items'!J82)</f>
        <v/>
      </c>
      <c r="I86" s="53" t="str">
        <f>IF('iWork,IBP &amp; Framework_SOW Items'!G82="","",'iWork,IBP &amp; Framework_SOW Items'!G82)</f>
        <v/>
      </c>
    </row>
    <row r="87" ht="15" hidden="1" customHeight="1" spans="1:9">
      <c r="A87" s="54" t="str">
        <f>'iWork,IBP &amp; Framework_SOW Items'!E83</f>
        <v>Milestone 4</v>
      </c>
      <c r="B87" s="54" t="str">
        <f>'iWork,IBP &amp; Framework_SOW Items'!D83</f>
        <v>IBP</v>
      </c>
      <c r="C87" s="55" t="str">
        <f>'iWork,IBP &amp; Framework_SOW Items'!B83</f>
        <v>IBP - Portal Setup</v>
      </c>
      <c r="D87" s="56" t="str">
        <f>'iWork,IBP &amp; Framework_SOW Items'!C83</f>
        <v>Post policy creation, create default IBP Portal Config for all the company-policy(ies)</v>
      </c>
      <c r="E87" s="54" t="str">
        <f>'iWork,IBP &amp; Framework_SOW Items'!F83</f>
        <v>Pre-PROD</v>
      </c>
      <c r="F87" s="54" t="str">
        <f>Helper!E83</f>
        <v>Pending</v>
      </c>
      <c r="G87" s="54">
        <f>IF('iWork,IBP &amp; Framework_SOW Items'!I83="","",'iWork,IBP &amp; Framework_SOW Items'!I83)</f>
        <v>46183</v>
      </c>
      <c r="H87" s="54" t="str">
        <f>IF('iWork,IBP &amp; Framework_SOW Items'!J83="","",'iWork,IBP &amp; Framework_SOW Items'!J83)</f>
        <v>Manjusha</v>
      </c>
      <c r="I87" s="56" t="str">
        <f>IF('iWork,IBP &amp; Framework_SOW Items'!G83="","",'iWork,IBP &amp; Framework_SOW Items'!G83)</f>
        <v/>
      </c>
    </row>
    <row r="88" ht="15" hidden="1" customHeight="1" spans="1:9">
      <c r="A88" s="51" t="str">
        <f>'iWork,IBP &amp; Framework_SOW Items'!E84</f>
        <v>Milestone 4</v>
      </c>
      <c r="B88" s="51" t="str">
        <f>'iWork,IBP &amp; Framework_SOW Items'!D84</f>
        <v>IBP</v>
      </c>
      <c r="C88" s="52" t="str">
        <f>'iWork,IBP &amp; Framework_SOW Items'!B84</f>
        <v>Personal Profile Mgmt</v>
      </c>
      <c r="D88" s="53" t="str">
        <f>'iWork,IBP &amp; Framework_SOW Items'!C84</f>
        <v>Profile settings</v>
      </c>
      <c r="E88" s="51" t="str">
        <f>'iWork,IBP &amp; Framework_SOW Items'!F84</f>
        <v>Delivered</v>
      </c>
      <c r="F88" s="51" t="str">
        <f>Helper!E84</f>
        <v>Delivered</v>
      </c>
      <c r="G88" s="51">
        <f>IF('iWork,IBP &amp; Framework_SOW Items'!I84="","",'iWork,IBP &amp; Framework_SOW Items'!I84)</f>
        <v>46183</v>
      </c>
      <c r="H88" s="51" t="str">
        <f>IF('iWork,IBP &amp; Framework_SOW Items'!J84="","",'iWork,IBP &amp; Framework_SOW Items'!J84)</f>
        <v>Manjusha</v>
      </c>
      <c r="I88" s="53" t="str">
        <f>IF('iWork,IBP &amp; Framework_SOW Items'!G84="","",'iWork,IBP &amp; Framework_SOW Items'!G84)</f>
        <v>Pending:Add Dependents</v>
      </c>
    </row>
    <row r="89" ht="15" hidden="1" customHeight="1" spans="1:9">
      <c r="A89" s="54" t="str">
        <f>'iWork,IBP &amp; Framework_SOW Items'!E85</f>
        <v>Milestone 4</v>
      </c>
      <c r="B89" s="54" t="str">
        <f>'iWork,IBP &amp; Framework_SOW Items'!D85</f>
        <v>IBP</v>
      </c>
      <c r="C89" s="55" t="str">
        <f>'iWork,IBP &amp; Framework_SOW Items'!B85</f>
        <v>HR Portal View</v>
      </c>
      <c r="D89" s="56" t="str">
        <f>'iWork,IBP &amp; Framework_SOW Items'!C85</f>
        <v>Employee Search, Resend Email, Delete Employees, Extend Enrollment Windows, Reports, Bulk Email</v>
      </c>
      <c r="E89" s="54" t="str">
        <f>'iWork,IBP &amp; Framework_SOW Items'!F85</f>
        <v>Delivered</v>
      </c>
      <c r="F89" s="54" t="str">
        <f>Helper!E85</f>
        <v>Delivered</v>
      </c>
      <c r="G89" s="54">
        <f>IF('iWork,IBP &amp; Framework_SOW Items'!I85="","",'iWork,IBP &amp; Framework_SOW Items'!I85)</f>
        <v>46184</v>
      </c>
      <c r="H89" s="54" t="str">
        <f>IF('iWork,IBP &amp; Framework_SOW Items'!J85="","",'iWork,IBP &amp; Framework_SOW Items'!J85)</f>
        <v>Abhilash</v>
      </c>
      <c r="I89" s="56" t="str">
        <f>IF('iWork,IBP &amp; Framework_SOW Items'!G85="","",'iWork,IBP &amp; Framework_SOW Items'!G85)</f>
        <v/>
      </c>
    </row>
    <row r="90" ht="15" hidden="1" customHeight="1" spans="1:9">
      <c r="A90" s="51" t="str">
        <f>'iWork,IBP &amp; Framework_SOW Items'!E86</f>
        <v>Milestone 4</v>
      </c>
      <c r="B90" s="51" t="str">
        <f>'iWork,IBP &amp; Framework_SOW Items'!D86</f>
        <v>IBP</v>
      </c>
      <c r="C90" s="52" t="str">
        <f>'iWork,IBP &amp; Framework_SOW Items'!B86</f>
        <v>Simple Auth</v>
      </c>
      <c r="D90" s="53" t="str">
        <f>'iWork,IBP &amp; Framework_SOW Items'!C86</f>
        <v>Username and Password based authentication and RBAC on simple-auth users. Auth rules needs configuration capability.
IBP - HR User Management</v>
      </c>
      <c r="E90" s="51" t="str">
        <f>'iWork,IBP &amp; Framework_SOW Items'!F86</f>
        <v>Delivered</v>
      </c>
      <c r="F90" s="51" t="str">
        <f>Helper!E86</f>
        <v>Delivered</v>
      </c>
      <c r="G90" s="51">
        <f>IF('iWork,IBP &amp; Framework_SOW Items'!I86="","",'iWork,IBP &amp; Framework_SOW Items'!I86)</f>
        <v>46185</v>
      </c>
      <c r="H90" s="51" t="str">
        <f>IF('iWork,IBP &amp; Framework_SOW Items'!J86="","",'iWork,IBP &amp; Framework_SOW Items'!J86)</f>
        <v>Abhilash</v>
      </c>
      <c r="I90" s="53" t="str">
        <f>IF('iWork,IBP &amp; Framework_SOW Items'!G86="","",'iWork,IBP &amp; Framework_SOW Items'!G86)</f>
        <v/>
      </c>
    </row>
    <row r="91" ht="15" hidden="1" customHeight="1" spans="1:9">
      <c r="A91" s="54" t="str">
        <f>'iWork,IBP &amp; Framework_SOW Items'!E87</f>
        <v>Milestone 4</v>
      </c>
      <c r="B91" s="54" t="str">
        <f>'iWork,IBP &amp; Framework_SOW Items'!D87</f>
        <v>IBP</v>
      </c>
      <c r="C91" s="55" t="str">
        <f>'iWork,IBP &amp; Framework_SOW Items'!B87</f>
        <v>My Documents</v>
      </c>
      <c r="D91" s="56" t="str">
        <f>'iWork,IBP &amp; Framework_SOW Items'!C87</f>
        <v>Document Hub - Covers Policies, Prescriptions, Reports</v>
      </c>
      <c r="E91" s="54" t="str">
        <f>'iWork,IBP &amp; Framework_SOW Items'!F87</f>
        <v>Delivered</v>
      </c>
      <c r="F91" s="54" t="str">
        <f>Helper!E87</f>
        <v>Delivered</v>
      </c>
      <c r="G91" s="54">
        <f>IF('iWork,IBP &amp; Framework_SOW Items'!I87="","",'iWork,IBP &amp; Framework_SOW Items'!I87)</f>
        <v>46185</v>
      </c>
      <c r="H91" s="54" t="str">
        <f>IF('iWork,IBP &amp; Framework_SOW Items'!J87="","",'iWork,IBP &amp; Framework_SOW Items'!J87)</f>
        <v>Manjusha</v>
      </c>
      <c r="I91" s="56" t="str">
        <f>IF('iWork,IBP &amp; Framework_SOW Items'!G87="","",'iWork,IBP &amp; Framework_SOW Items'!G87)</f>
        <v>Pending: Design</v>
      </c>
    </row>
    <row r="92" ht="15" hidden="1" customHeight="1" spans="1:9">
      <c r="A92" s="51" t="str">
        <f>'iWork,IBP &amp; Framework_SOW Items'!E88</f>
        <v>Milestone 4</v>
      </c>
      <c r="B92" s="51" t="str">
        <f>'iWork,IBP &amp; Framework_SOW Items'!D88</f>
        <v>IBP</v>
      </c>
      <c r="C92" s="52" t="str">
        <f>'iWork,IBP &amp; Framework_SOW Items'!B88</f>
        <v>Document Mgmt for End User</v>
      </c>
      <c r="D92" s="53" t="str">
        <f>'iWork,IBP &amp; Framework_SOW Items'!C88</f>
        <v>Insurance, Health Reports and Prescriptions {No automatic pull from Partners}</v>
      </c>
      <c r="E92" s="51" t="str">
        <f>'iWork,IBP &amp; Framework_SOW Items'!F88</f>
        <v>Delivered</v>
      </c>
      <c r="F92" s="51" t="str">
        <f>Helper!E88</f>
        <v>Delivered</v>
      </c>
      <c r="G92" s="51">
        <f>IF('iWork,IBP &amp; Framework_SOW Items'!I88="","",'iWork,IBP &amp; Framework_SOW Items'!I88)</f>
        <v>46185</v>
      </c>
      <c r="H92" s="51" t="str">
        <f>IF('iWork,IBP &amp; Framework_SOW Items'!J88="","",'iWork,IBP &amp; Framework_SOW Items'!J88)</f>
        <v>Manjusha</v>
      </c>
      <c r="I92" s="53" t="str">
        <f>IF('iWork,IBP &amp; Framework_SOW Items'!G88="","",'iWork,IBP &amp; Framework_SOW Items'!G88)</f>
        <v>Pending: Design</v>
      </c>
    </row>
    <row r="93" ht="15" hidden="1" customHeight="1" spans="1:9">
      <c r="A93" s="54" t="str">
        <f>'iWork,IBP &amp; Framework_SOW Items'!E89</f>
        <v>Milestone 4</v>
      </c>
      <c r="B93" s="54" t="str">
        <f>'iWork,IBP &amp; Framework_SOW Items'!D89</f>
        <v>IBP</v>
      </c>
      <c r="C93" s="55" t="str">
        <f>'iWork,IBP &amp; Framework_SOW Items'!B89</f>
        <v>NFR_Usability</v>
      </c>
      <c r="D93" s="56" t="str">
        <f>'iWork,IBP &amp; Framework_SOW Items'!C89</f>
        <v>NFR-USA-018: The session management should be configurable from UI
23-May: Configure from UI &amp; store in DB; When changed then restart server</v>
      </c>
      <c r="E93" s="54" t="str">
        <f>'iWork,IBP &amp; Framework_SOW Items'!F89</f>
        <v>Delivered</v>
      </c>
      <c r="F93" s="54" t="str">
        <f>Helper!E89</f>
        <v>Delivered</v>
      </c>
      <c r="G93" s="57">
        <f>IF('iWork,IBP &amp; Framework_SOW Items'!I89="","",'iWork,IBP &amp; Framework_SOW Items'!I89)</f>
        <v>46188</v>
      </c>
      <c r="H93" s="54" t="str">
        <f>IF('iWork,IBP &amp; Framework_SOW Items'!J89="","",'iWork,IBP &amp; Framework_SOW Items'!J89)</f>
        <v>Manjusha</v>
      </c>
      <c r="I93" s="56" t="str">
        <f>IF('iWork,IBP &amp; Framework_SOW Items'!G89="","",'iWork,IBP &amp; Framework_SOW Items'!G89)</f>
        <v/>
      </c>
    </row>
    <row r="94" ht="15" hidden="1" customHeight="1" spans="1:9">
      <c r="A94" s="51" t="str">
        <f>'iWork,IBP &amp; Framework_SOW Items'!E90</f>
        <v>Milestone 4</v>
      </c>
      <c r="B94" s="51" t="str">
        <f>'iWork,IBP &amp; Framework_SOW Items'!D90</f>
        <v>IBP</v>
      </c>
      <c r="C94" s="52" t="str">
        <f>'iWork,IBP &amp; Framework_SOW Items'!B90</f>
        <v>Policy Document</v>
      </c>
      <c r="D94" s="53" t="str">
        <f>'iWork,IBP &amp; Framework_SOW Items'!C90</f>
        <v>IBP-Risk Watch: Show the each policy document</v>
      </c>
      <c r="E94" s="51" t="str">
        <f>'iWork,IBP &amp; Framework_SOW Items'!F90</f>
        <v>Delivered</v>
      </c>
      <c r="F94" s="51" t="str">
        <f>Helper!E90</f>
        <v>Delivered</v>
      </c>
      <c r="G94" s="59">
        <f>IF('iWork,IBP &amp; Framework_SOW Items'!I90="","",'iWork,IBP &amp; Framework_SOW Items'!I90)</f>
        <v>46192</v>
      </c>
      <c r="H94" s="51" t="str">
        <f>IF('iWork,IBP &amp; Framework_SOW Items'!J90="","",'iWork,IBP &amp; Framework_SOW Items'!J90)</f>
        <v>Tharun</v>
      </c>
      <c r="I94" s="53" t="str">
        <f>IF('iWork,IBP &amp; Framework_SOW Items'!G90="","",'iWork,IBP &amp; Framework_SOW Items'!G90)</f>
        <v/>
      </c>
    </row>
    <row r="95" ht="15" hidden="1" customHeight="1" spans="1:9">
      <c r="A95" s="54" t="str">
        <f>'iWork,IBP &amp; Framework_SOW Items'!E91</f>
        <v>Milestone 4</v>
      </c>
      <c r="B95" s="54" t="str">
        <f>'iWork,IBP &amp; Framework_SOW Items'!D91</f>
        <v>IBP</v>
      </c>
      <c r="C95" s="55" t="str">
        <f>'iWork,IBP &amp; Framework_SOW Items'!B91</f>
        <v>Admin Reports</v>
      </c>
      <c r="D95" s="56" t="str">
        <f>'iWork,IBP &amp; Framework_SOW Items'!C91</f>
        <v>Services for multiple reports</v>
      </c>
      <c r="E95" s="54" t="str">
        <f>'iWork,IBP &amp; Framework_SOW Items'!F91</f>
        <v>Yet to start</v>
      </c>
      <c r="F95" s="54" t="str">
        <f>Helper!E91</f>
        <v>Pending</v>
      </c>
      <c r="G95" s="54">
        <f>IF('iWork,IBP &amp; Framework_SOW Items'!I91="","",'iWork,IBP &amp; Framework_SOW Items'!I91)</f>
        <v>46196</v>
      </c>
      <c r="H95" s="54" t="str">
        <f>IF('iWork,IBP &amp; Framework_SOW Items'!J91="","",'iWork,IBP &amp; Framework_SOW Items'!J91)</f>
        <v>Abhilash</v>
      </c>
      <c r="I95" s="56" t="str">
        <f>IF('iWork,IBP &amp; Framework_SOW Items'!G91="","",'iWork,IBP &amp; Framework_SOW Items'!G91)</f>
        <v/>
      </c>
    </row>
    <row r="96" ht="15" hidden="1" customHeight="1" spans="1:9">
      <c r="A96" s="51" t="str">
        <f>'iWork,IBP &amp; Framework_SOW Items'!E92</f>
        <v>Milestone 4</v>
      </c>
      <c r="B96" s="51" t="str">
        <f>'iWork,IBP &amp; Framework_SOW Items'!D92</f>
        <v>IBP</v>
      </c>
      <c r="C96" s="52" t="str">
        <f>'iWork,IBP &amp; Framework_SOW Items'!B92</f>
        <v>NFR_Usability</v>
      </c>
      <c r="D96" s="53" t="str">
        <f>'iWork,IBP &amp; Framework_SOW Items'!C92</f>
        <v>NFR-USA-011: The system should support at least 100 concurrent users without performance degradation.</v>
      </c>
      <c r="E96" s="51" t="str">
        <f>'iWork,IBP &amp; Framework_SOW Items'!F92</f>
        <v>Pre-PROD</v>
      </c>
      <c r="F96" s="51" t="str">
        <f>Helper!E92</f>
        <v>Pending</v>
      </c>
      <c r="G96" s="59">
        <f>IF('iWork,IBP &amp; Framework_SOW Items'!I92="","",'iWork,IBP &amp; Framework_SOW Items'!I92)</f>
        <v>46197</v>
      </c>
      <c r="H96" s="51" t="str">
        <f>IF('iWork,IBP &amp; Framework_SOW Items'!J92="","",'iWork,IBP &amp; Framework_SOW Items'!J92)</f>
        <v>Akhila</v>
      </c>
      <c r="I96" s="53" t="str">
        <f>IF('iWork,IBP &amp; Framework_SOW Items'!G92="","",'iWork,IBP &amp; Framework_SOW Items'!G92)</f>
        <v/>
      </c>
    </row>
    <row r="97" ht="15" hidden="1" customHeight="1" spans="1:9">
      <c r="A97" s="54" t="str">
        <f>'iWork,IBP &amp; Framework_SOW Items'!E93</f>
        <v>Milestone 4</v>
      </c>
      <c r="B97" s="54" t="str">
        <f>'iWork,IBP &amp; Framework_SOW Items'!D93</f>
        <v>IBP</v>
      </c>
      <c r="C97" s="55" t="str">
        <f>'iWork,IBP &amp; Framework_SOW Items'!B93</f>
        <v>Group Policy Mgmt - Data Load</v>
      </c>
      <c r="D97" s="56" t="str">
        <f>'iWork,IBP &amp; Framework_SOW Items'!C93</f>
        <v>End User data load {Similar to inception data load only but this time it is from the policy definition stage and confiemd by HR of the Company}. Reuse of the inception data load</v>
      </c>
      <c r="E97" s="54" t="str">
        <f>'iWork,IBP &amp; Framework_SOW Items'!F93</f>
        <v>Pre-PROD</v>
      </c>
      <c r="F97" s="54" t="str">
        <f>Helper!E93</f>
        <v>Pending</v>
      </c>
      <c r="G97" s="54">
        <f>IF('iWork,IBP &amp; Framework_SOW Items'!I93="","",'iWork,IBP &amp; Framework_SOW Items'!I93)</f>
        <v>46197</v>
      </c>
      <c r="H97" s="54" t="str">
        <f>IF('iWork,IBP &amp; Framework_SOW Items'!J93="","",'iWork,IBP &amp; Framework_SOW Items'!J93)</f>
        <v>Tharun</v>
      </c>
      <c r="I97" s="56" t="str">
        <f>IF('iWork,IBP &amp; Framework_SOW Items'!G93="","",'iWork,IBP &amp; Framework_SOW Items'!G93)</f>
        <v>Pending: HR Module - Endorsement</v>
      </c>
    </row>
    <row r="98" ht="15" hidden="1" customHeight="1" spans="1:9">
      <c r="A98" s="51" t="str">
        <f>'iWork,IBP &amp; Framework_SOW Items'!E94</f>
        <v>Milestone 4</v>
      </c>
      <c r="B98" s="51" t="str">
        <f>'iWork,IBP &amp; Framework_SOW Items'!D94</f>
        <v>IBP</v>
      </c>
      <c r="C98" s="52" t="str">
        <f>'iWork,IBP &amp; Framework_SOW Items'!B94</f>
        <v>NFR_Security</v>
      </c>
      <c r="D98" s="53" t="str">
        <f>'iWork,IBP &amp; Framework_SOW Items'!C94</f>
        <v>DPDP NFR</v>
      </c>
      <c r="E98" s="51" t="str">
        <f>'iWork,IBP &amp; Framework_SOW Items'!F94</f>
        <v>Yet to start</v>
      </c>
      <c r="F98" s="51" t="str">
        <f>Helper!E94</f>
        <v>Pending</v>
      </c>
      <c r="G98" s="51">
        <f>IF('iWork,IBP &amp; Framework_SOW Items'!I94="","",'iWork,IBP &amp; Framework_SOW Items'!I94)</f>
        <v>46197</v>
      </c>
      <c r="H98" s="51" t="str">
        <f>IF('iWork,IBP &amp; Framework_SOW Items'!J94="","",'iWork,IBP &amp; Framework_SOW Items'!J94)</f>
        <v>Tharun</v>
      </c>
      <c r="I98" s="53" t="str">
        <f>IF('iWork,IBP &amp; Framework_SOW Items'!G94="","",'iWork,IBP &amp; Framework_SOW Items'!G94)</f>
        <v/>
      </c>
    </row>
    <row r="99" ht="15" hidden="1" customHeight="1" spans="1:9">
      <c r="A99" s="54" t="str">
        <f>'iWork,IBP &amp; Framework_SOW Items'!E95</f>
        <v>Milestone 4</v>
      </c>
      <c r="B99" s="54" t="str">
        <f>'iWork,IBP &amp; Framework_SOW Items'!D95</f>
        <v>IBP</v>
      </c>
      <c r="C99" s="55" t="str">
        <f>'iWork,IBP &amp; Framework_SOW Items'!B95</f>
        <v>NFR_Usability</v>
      </c>
      <c r="D99" s="56" t="str">
        <f>'iWork,IBP &amp; Framework_SOW Items'!C95</f>
        <v>NFR-USA-015: The system must show personalized welcome messages and profile information based on locale.</v>
      </c>
      <c r="E99" s="54" t="str">
        <f>'iWork,IBP &amp; Framework_SOW Items'!F95</f>
        <v>Delivered</v>
      </c>
      <c r="F99" s="54" t="str">
        <f>Helper!E95</f>
        <v>Delivered</v>
      </c>
      <c r="G99" s="54" t="str">
        <f>IF('iWork,IBP &amp; Framework_SOW Items'!I95="","",'iWork,IBP &amp; Framework_SOW Items'!I95)</f>
        <v/>
      </c>
      <c r="H99" s="54" t="str">
        <f>IF('iWork,IBP &amp; Framework_SOW Items'!J95="","",'iWork,IBP &amp; Framework_SOW Items'!J95)</f>
        <v/>
      </c>
      <c r="I99" s="56" t="str">
        <f>IF('iWork,IBP &amp; Framework_SOW Items'!G95="","",'iWork,IBP &amp; Framework_SOW Items'!G95)</f>
        <v/>
      </c>
    </row>
    <row r="100" ht="15" hidden="1" customHeight="1" spans="1:9">
      <c r="A100" s="51" t="str">
        <f>'iWork,IBP &amp; Framework_SOW Items'!E96</f>
        <v>Milestone 4</v>
      </c>
      <c r="B100" s="51" t="str">
        <f>'iWork,IBP &amp; Framework_SOW Items'!D96</f>
        <v>IBP</v>
      </c>
      <c r="C100" s="52" t="str">
        <f>'iWork,IBP &amp; Framework_SOW Items'!B96</f>
        <v>NFR_Usability</v>
      </c>
      <c r="D100" s="53" t="str">
        <f>'iWork,IBP &amp; Framework_SOW Items'!C96</f>
        <v>NFR-USA-016: Notification banners must be dismissible and configurable based on role.</v>
      </c>
      <c r="E100" s="51" t="str">
        <f>'iWork,IBP &amp; Framework_SOW Items'!F96</f>
        <v>Delivered</v>
      </c>
      <c r="F100" s="51" t="str">
        <f>Helper!E96</f>
        <v>Delivered</v>
      </c>
      <c r="G100" s="59" t="str">
        <f>IF('iWork,IBP &amp; Framework_SOW Items'!I96="","",'iWork,IBP &amp; Framework_SOW Items'!I96)</f>
        <v/>
      </c>
      <c r="H100" s="51" t="str">
        <f>IF('iWork,IBP &amp; Framework_SOW Items'!J96="","",'iWork,IBP &amp; Framework_SOW Items'!J96)</f>
        <v/>
      </c>
      <c r="I100" s="53" t="str">
        <f>IF('iWork,IBP &amp; Framework_SOW Items'!G96="","",'iWork,IBP &amp; Framework_SOW Items'!G96)</f>
        <v>No notifications in IBP</v>
      </c>
    </row>
    <row r="101" ht="15" hidden="1" customHeight="1" spans="1:9">
      <c r="A101" s="54" t="str">
        <f>'iWork,IBP &amp; Framework_SOW Items'!E97</f>
        <v>Milestone 4</v>
      </c>
      <c r="B101" s="54" t="str">
        <f>'iWork,IBP &amp; Framework_SOW Items'!D97</f>
        <v>IBP</v>
      </c>
      <c r="C101" s="55" t="str">
        <f>'iWork,IBP &amp; Framework_SOW Items'!B97</f>
        <v>Whitelabelling Support</v>
      </c>
      <c r="D101" s="56">
        <f>'iWork,IBP &amp; Framework_SOW Items'!C97</f>
        <v>0</v>
      </c>
      <c r="E101" s="54" t="str">
        <f>'iWork,IBP &amp; Framework_SOW Items'!F97</f>
        <v>Delivered</v>
      </c>
      <c r="F101" s="54" t="str">
        <f>Helper!E97</f>
        <v>Delivered</v>
      </c>
      <c r="G101" s="57" t="str">
        <f>IF('iWork,IBP &amp; Framework_SOW Items'!I97="","",'iWork,IBP &amp; Framework_SOW Items'!I97)</f>
        <v/>
      </c>
      <c r="H101" s="54" t="str">
        <f>IF('iWork,IBP &amp; Framework_SOW Items'!J97="","",'iWork,IBP &amp; Framework_SOW Items'!J97)</f>
        <v/>
      </c>
      <c r="I101" s="56" t="str">
        <f>IF('iWork,IBP &amp; Framework_SOW Items'!G97="","",'iWork,IBP &amp; Framework_SOW Items'!G97)</f>
        <v/>
      </c>
    </row>
    <row r="102" ht="15" hidden="1" customHeight="1" spans="1:9">
      <c r="A102" s="51" t="str">
        <f>'iWork,IBP &amp; Framework_SOW Items'!E98</f>
        <v>Milestone 4</v>
      </c>
      <c r="B102" s="51" t="str">
        <f>'iWork,IBP &amp; Framework_SOW Items'!D98</f>
        <v>IBP</v>
      </c>
      <c r="C102" s="52" t="str">
        <f>'iWork,IBP &amp; Framework_SOW Items'!B98</f>
        <v>Company Plans</v>
      </c>
      <c r="D102" s="53" t="str">
        <f>'iWork,IBP &amp; Framework_SOW Items'!C98</f>
        <v>6 Policies - GMC, GPA, GTL, Parental Plicy, Top-ups, OPD Policy (Summary view of policies)</v>
      </c>
      <c r="E102" s="51" t="str">
        <f>'iWork,IBP &amp; Framework_SOW Items'!F98</f>
        <v>Delivered</v>
      </c>
      <c r="F102" s="51" t="str">
        <f>Helper!E98</f>
        <v>Delivered</v>
      </c>
      <c r="G102" s="51" t="str">
        <f>IF('iWork,IBP &amp; Framework_SOW Items'!I98="","",'iWork,IBP &amp; Framework_SOW Items'!I98)</f>
        <v/>
      </c>
      <c r="H102" s="51" t="str">
        <f>IF('iWork,IBP &amp; Framework_SOW Items'!J98="","",'iWork,IBP &amp; Framework_SOW Items'!J98)</f>
        <v/>
      </c>
      <c r="I102" s="53" t="str">
        <f>IF('iWork,IBP &amp; Framework_SOW Items'!G98="","",'iWork,IBP &amp; Framework_SOW Items'!G98)</f>
        <v/>
      </c>
    </row>
    <row r="103" ht="15" hidden="1" customHeight="1" spans="1:9">
      <c r="A103" s="54" t="str">
        <f>'iWork,IBP &amp; Framework_SOW Items'!E99</f>
        <v>Milestone 4</v>
      </c>
      <c r="B103" s="54" t="str">
        <f>'iWork,IBP &amp; Framework_SOW Items'!D99</f>
        <v>IBP</v>
      </c>
      <c r="C103" s="55" t="str">
        <f>'iWork,IBP &amp; Framework_SOW Items'!B99</f>
        <v>IBP Landing Page - Basic</v>
      </c>
      <c r="D103" s="56" t="str">
        <f>'iWork,IBP &amp; Framework_SOW Items'!C99</f>
        <v>Basic Landing Page with only company plans and summart</v>
      </c>
      <c r="E103" s="54" t="str">
        <f>'iWork,IBP &amp; Framework_SOW Items'!F99</f>
        <v>Delivered</v>
      </c>
      <c r="F103" s="54" t="str">
        <f>Helper!E99</f>
        <v>Delivered</v>
      </c>
      <c r="G103" s="54" t="str">
        <f>IF('iWork,IBP &amp; Framework_SOW Items'!I99="","",'iWork,IBP &amp; Framework_SOW Items'!I99)</f>
        <v/>
      </c>
      <c r="H103" s="54" t="str">
        <f>IF('iWork,IBP &amp; Framework_SOW Items'!J99="","",'iWork,IBP &amp; Framework_SOW Items'!J99)</f>
        <v/>
      </c>
      <c r="I103" s="56" t="str">
        <f>IF('iWork,IBP &amp; Framework_SOW Items'!G99="","",'iWork,IBP &amp; Framework_SOW Items'!G99)</f>
        <v/>
      </c>
    </row>
    <row r="104" ht="15" hidden="1" customHeight="1" spans="1:9">
      <c r="A104" s="51" t="str">
        <f>'iWork,IBP &amp; Framework_SOW Items'!E100</f>
        <v>Milestone 4</v>
      </c>
      <c r="B104" s="51" t="str">
        <f>'iWork,IBP &amp; Framework_SOW Items'!D100</f>
        <v>IBP</v>
      </c>
      <c r="C104" s="52" t="str">
        <f>'iWork,IBP &amp; Framework_SOW Items'!B100</f>
        <v>Contact Matrix View</v>
      </c>
      <c r="D104" s="53" t="str">
        <f>'iWork,IBP &amp; Framework_SOW Items'!C100</f>
        <v>Contact Matrix View for end user</v>
      </c>
      <c r="E104" s="51" t="str">
        <f>'iWork,IBP &amp; Framework_SOW Items'!F100</f>
        <v>Delivered</v>
      </c>
      <c r="F104" s="51" t="str">
        <f>Helper!E100</f>
        <v>Delivered</v>
      </c>
      <c r="G104" s="51" t="str">
        <f>IF('iWork,IBP &amp; Framework_SOW Items'!I100="","",'iWork,IBP &amp; Framework_SOW Items'!I100)</f>
        <v/>
      </c>
      <c r="H104" s="51" t="str">
        <f>IF('iWork,IBP &amp; Framework_SOW Items'!J100="","",'iWork,IBP &amp; Framework_SOW Items'!J100)</f>
        <v/>
      </c>
      <c r="I104" s="53" t="str">
        <f>IF('iWork,IBP &amp; Framework_SOW Items'!G100="","",'iWork,IBP &amp; Framework_SOW Items'!G100)</f>
        <v/>
      </c>
    </row>
    <row r="105" ht="15" hidden="1" customHeight="1" spans="1:9">
      <c r="A105" s="54" t="str">
        <f>'iWork,IBP &amp; Framework_SOW Items'!E101</f>
        <v>Milestone 4</v>
      </c>
      <c r="B105" s="54" t="str">
        <f>'iWork,IBP &amp; Framework_SOW Items'!D101</f>
        <v>IBP</v>
      </c>
      <c r="C105" s="55" t="str">
        <f>'iWork,IBP &amp; Framework_SOW Items'!B101</f>
        <v>Core Infrastructure</v>
      </c>
      <c r="D105" s="56" t="str">
        <f>'iWork,IBP &amp; Framework_SOW Items'!C101</f>
        <v>Core Infra</v>
      </c>
      <c r="E105" s="54" t="str">
        <f>'iWork,IBP &amp; Framework_SOW Items'!F101</f>
        <v>Delivered</v>
      </c>
      <c r="F105" s="54" t="str">
        <f>Helper!E101</f>
        <v>Delivered</v>
      </c>
      <c r="G105" s="57" t="str">
        <f>IF('iWork,IBP &amp; Framework_SOW Items'!I101="","",'iWork,IBP &amp; Framework_SOW Items'!I101)</f>
        <v/>
      </c>
      <c r="H105" s="54" t="str">
        <f>IF('iWork,IBP &amp; Framework_SOW Items'!J101="","",'iWork,IBP &amp; Framework_SOW Items'!J101)</f>
        <v/>
      </c>
      <c r="I105" s="56" t="str">
        <f>IF('iWork,IBP &amp; Framework_SOW Items'!G101="","",'iWork,IBP &amp; Framework_SOW Items'!G101)</f>
        <v/>
      </c>
    </row>
    <row r="106" ht="15" hidden="1" customHeight="1" spans="1:9">
      <c r="A106" s="51" t="str">
        <f>'iWork,IBP &amp; Framework_SOW Items'!E102</f>
        <v>Milestone 4</v>
      </c>
      <c r="B106" s="51" t="str">
        <f>'iWork,IBP &amp; Framework_SOW Items'!D102</f>
        <v>IBP</v>
      </c>
      <c r="C106" s="52" t="str">
        <f>'iWork,IBP &amp; Framework_SOW Items'!B102</f>
        <v>Per-policy Enrolment</v>
      </c>
      <c r="D106" s="53" t="str">
        <f>'iWork,IBP &amp; Framework_SOW Items'!C102</f>
        <v>Enrolment and addon policy selection</v>
      </c>
      <c r="E106" s="51" t="str">
        <f>'iWork,IBP &amp; Framework_SOW Items'!F102</f>
        <v>Delivered</v>
      </c>
      <c r="F106" s="51" t="str">
        <f>Helper!E102</f>
        <v>Delivered</v>
      </c>
      <c r="G106" s="51" t="str">
        <f>IF('iWork,IBP &amp; Framework_SOW Items'!I102="","",'iWork,IBP &amp; Framework_SOW Items'!I102)</f>
        <v/>
      </c>
      <c r="H106" s="51" t="str">
        <f>IF('iWork,IBP &amp; Framework_SOW Items'!J102="","",'iWork,IBP &amp; Framework_SOW Items'!J102)</f>
        <v/>
      </c>
      <c r="I106" s="53" t="str">
        <f>IF('iWork,IBP &amp; Framework_SOW Items'!G102="","",'iWork,IBP &amp; Framework_SOW Items'!G102)</f>
        <v/>
      </c>
    </row>
    <row r="107" ht="15" hidden="1" customHeight="1" spans="1:9">
      <c r="A107" s="54" t="str">
        <f>'iWork,IBP &amp; Framework_SOW Items'!E103</f>
        <v>Milestone 4</v>
      </c>
      <c r="B107" s="54" t="str">
        <f>'iWork,IBP &amp; Framework_SOW Items'!D103</f>
        <v>IBP</v>
      </c>
      <c r="C107" s="55" t="str">
        <f>'iWork,IBP &amp; Framework_SOW Items'!B103</f>
        <v>My Insurance</v>
      </c>
      <c r="D107" s="56" t="str">
        <f>'iWork,IBP &amp; Framework_SOW Items'!C103</f>
        <v>Part-1: Hub of all plans I have as an employee - Company provided. Mostly a navigational page</v>
      </c>
      <c r="E107" s="54" t="str">
        <f>'iWork,IBP &amp; Framework_SOW Items'!F103</f>
        <v>Delivered</v>
      </c>
      <c r="F107" s="54" t="str">
        <f>Helper!E103</f>
        <v>Delivered</v>
      </c>
      <c r="G107" s="54" t="str">
        <f>IF('iWork,IBP &amp; Framework_SOW Items'!I103="","",'iWork,IBP &amp; Framework_SOW Items'!I103)</f>
        <v/>
      </c>
      <c r="H107" s="54" t="str">
        <f>IF('iWork,IBP &amp; Framework_SOW Items'!J103="","",'iWork,IBP &amp; Framework_SOW Items'!J103)</f>
        <v/>
      </c>
      <c r="I107" s="56" t="str">
        <f>IF('iWork,IBP &amp; Framework_SOW Items'!G103="","",'iWork,IBP &amp; Framework_SOW Items'!G103)</f>
        <v/>
      </c>
    </row>
    <row r="108" ht="15" hidden="1" customHeight="1" spans="1:9">
      <c r="A108" s="51" t="str">
        <f>'iWork,IBP &amp; Framework_SOW Items'!E104</f>
        <v>Milestone 4</v>
      </c>
      <c r="B108" s="51" t="str">
        <f>'iWork,IBP &amp; Framework_SOW Items'!D104</f>
        <v>IBP</v>
      </c>
      <c r="C108" s="52" t="str">
        <f>'iWork,IBP &amp; Framework_SOW Items'!B104</f>
        <v>Basic Landing Page Services</v>
      </c>
      <c r="D108" s="53" t="str">
        <f>'iWork,IBP &amp; Framework_SOW Items'!C104</f>
        <v>Company provided plans only</v>
      </c>
      <c r="E108" s="51" t="str">
        <f>'iWork,IBP &amp; Framework_SOW Items'!F104</f>
        <v>Delivered</v>
      </c>
      <c r="F108" s="51" t="str">
        <f>Helper!E104</f>
        <v>Delivered</v>
      </c>
      <c r="G108" s="51" t="str">
        <f>IF('iWork,IBP &amp; Framework_SOW Items'!I104="","",'iWork,IBP &amp; Framework_SOW Items'!I104)</f>
        <v/>
      </c>
      <c r="H108" s="51" t="str">
        <f>IF('iWork,IBP &amp; Framework_SOW Items'!J104="","",'iWork,IBP &amp; Framework_SOW Items'!J104)</f>
        <v/>
      </c>
      <c r="I108" s="53" t="str">
        <f>IF('iWork,IBP &amp; Framework_SOW Items'!G104="","",'iWork,IBP &amp; Framework_SOW Items'!G104)</f>
        <v/>
      </c>
    </row>
    <row r="109" ht="15" hidden="1" customHeight="1" spans="1:9">
      <c r="A109" s="54" t="str">
        <f>'iWork,IBP &amp; Framework_SOW Items'!E105</f>
        <v>Milestone 4</v>
      </c>
      <c r="B109" s="54" t="str">
        <f>'iWork,IBP &amp; Framework_SOW Items'!D105</f>
        <v>IBP</v>
      </c>
      <c r="C109" s="55" t="str">
        <f>'iWork,IBP &amp; Framework_SOW Items'!B105</f>
        <v>Group Policy Mgmt - Enrollment</v>
      </c>
      <c r="D109" s="56" t="str">
        <f>'iWork,IBP &amp; Framework_SOW Items'!C105</f>
        <v>Enrollment (Adding Dependents, Choosing Options available). Submit the enrollment to Insurer or TPA
6 Types of Policies to be considered</v>
      </c>
      <c r="E109" s="54" t="str">
        <f>'iWork,IBP &amp; Framework_SOW Items'!F105</f>
        <v>Delivered</v>
      </c>
      <c r="F109" s="54" t="str">
        <f>Helper!E105</f>
        <v>Delivered</v>
      </c>
      <c r="G109" s="57" t="str">
        <f>IF('iWork,IBP &amp; Framework_SOW Items'!I105="","",'iWork,IBP &amp; Framework_SOW Items'!I105)</f>
        <v/>
      </c>
      <c r="H109" s="54" t="str">
        <f>IF('iWork,IBP &amp; Framework_SOW Items'!J105="","",'iWork,IBP &amp; Framework_SOW Items'!J105)</f>
        <v/>
      </c>
      <c r="I109" s="56" t="str">
        <f>IF('iWork,IBP &amp; Framework_SOW Items'!G105="","",'iWork,IBP &amp; Framework_SOW Items'!G105)</f>
        <v>Need Confirmation: If scope has, Insurer &amp; TPA integrations, then they are pending</v>
      </c>
    </row>
    <row r="110" ht="15" hidden="1" customHeight="1" spans="1:9">
      <c r="A110" s="51" t="str">
        <f>'iWork,IBP &amp; Framework_SOW Items'!E106</f>
        <v>Milestone 4</v>
      </c>
      <c r="B110" s="51" t="str">
        <f>'iWork,IBP &amp; Framework_SOW Items'!D106</f>
        <v>IBP</v>
      </c>
      <c r="C110" s="52" t="str">
        <f>'iWork,IBP &amp; Framework_SOW Items'!B106</f>
        <v>Group Policy Mgmt - Enrollment Configurator</v>
      </c>
      <c r="D110" s="53" t="str">
        <f>'iWork,IBP &amp; Framework_SOW Items'!C106</f>
        <v>Enrollment Configurator (Set of benefits and type of Dependent combinations allowed etc). This is more of an Iwork feature to configure the policy</v>
      </c>
      <c r="E110" s="51" t="str">
        <f>'iWork,IBP &amp; Framework_SOW Items'!F106</f>
        <v>Delivered</v>
      </c>
      <c r="F110" s="51" t="str">
        <f>Helper!E106</f>
        <v>Delivered</v>
      </c>
      <c r="G110" s="60" t="str">
        <f>IF('iWork,IBP &amp; Framework_SOW Items'!I106="","",'iWork,IBP &amp; Framework_SOW Items'!I106)</f>
        <v/>
      </c>
      <c r="H110" s="51" t="str">
        <f>IF('iWork,IBP &amp; Framework_SOW Items'!J106="","",'iWork,IBP &amp; Framework_SOW Items'!J106)</f>
        <v/>
      </c>
      <c r="I110" s="53" t="str">
        <f>IF('iWork,IBP &amp; Framework_SOW Items'!G106="","",'iWork,IBP &amp; Framework_SOW Items'!G106)</f>
        <v/>
      </c>
    </row>
    <row r="111" ht="15" hidden="1" customHeight="1" spans="1:9">
      <c r="A111" s="54" t="str">
        <f>'iWork,IBP &amp; Framework_SOW Items'!E107</f>
        <v>Milestone 4</v>
      </c>
      <c r="B111" s="54" t="str">
        <f>'iWork,IBP &amp; Framework_SOW Items'!D107</f>
        <v>IBP</v>
      </c>
      <c r="C111" s="55" t="str">
        <f>'iWork,IBP &amp; Framework_SOW Items'!B107</f>
        <v>End User onboarding</v>
      </c>
      <c r="D111" s="56" t="str">
        <f>'iWork,IBP &amp; Framework_SOW Items'!C107</f>
        <v>Generate Users, Send Emails, Password Rest</v>
      </c>
      <c r="E111" s="54" t="str">
        <f>'iWork,IBP &amp; Framework_SOW Items'!F107</f>
        <v>Delivered</v>
      </c>
      <c r="F111" s="54" t="str">
        <f>Helper!E107</f>
        <v>Delivered</v>
      </c>
      <c r="G111" s="57" t="str">
        <f>IF('iWork,IBP &amp; Framework_SOW Items'!I107="","",'iWork,IBP &amp; Framework_SOW Items'!I107)</f>
        <v/>
      </c>
      <c r="H111" s="54" t="str">
        <f>IF('iWork,IBP &amp; Framework_SOW Items'!J107="","",'iWork,IBP &amp; Framework_SOW Items'!J107)</f>
        <v/>
      </c>
      <c r="I111" s="56" t="str">
        <f>IF('iWork,IBP &amp; Framework_SOW Items'!G107="","",'iWork,IBP &amp; Framework_SOW Items'!G107)</f>
        <v/>
      </c>
    </row>
    <row r="112" ht="15" hidden="1" customHeight="1" spans="1:9">
      <c r="A112" s="51" t="str">
        <f>'iWork,IBP &amp; Framework_SOW Items'!E108</f>
        <v>Milestone 4</v>
      </c>
      <c r="B112" s="51" t="str">
        <f>'iWork,IBP &amp; Framework_SOW Items'!D108</f>
        <v>IBP</v>
      </c>
      <c r="C112" s="52" t="str">
        <f>'iWork,IBP &amp; Framework_SOW Items'!B108</f>
        <v>Contact Matrix Configuration</v>
      </c>
      <c r="D112" s="53" t="str">
        <f>'iWork,IBP &amp; Framework_SOW Items'!C108</f>
        <v>Matrix of Contact Infomration</v>
      </c>
      <c r="E112" s="51" t="str">
        <f>'iWork,IBP &amp; Framework_SOW Items'!F108</f>
        <v>Delivered</v>
      </c>
      <c r="F112" s="51" t="str">
        <f>Helper!E108</f>
        <v>Delivered</v>
      </c>
      <c r="G112" s="60" t="str">
        <f>IF('iWork,IBP &amp; Framework_SOW Items'!I108="","",'iWork,IBP &amp; Framework_SOW Items'!I108)</f>
        <v/>
      </c>
      <c r="H112" s="51" t="str">
        <f>IF('iWork,IBP &amp; Framework_SOW Items'!J108="","",'iWork,IBP &amp; Framework_SOW Items'!J108)</f>
        <v/>
      </c>
      <c r="I112" s="53" t="str">
        <f>IF('iWork,IBP &amp; Framework_SOW Items'!G108="","",'iWork,IBP &amp; Framework_SOW Items'!G108)</f>
        <v/>
      </c>
    </row>
    <row r="113" ht="15" hidden="1" customHeight="1" spans="1:9">
      <c r="A113" s="54" t="str">
        <f>'iWork,IBP &amp; Framework_SOW Items'!E109</f>
        <v>Milestone 4</v>
      </c>
      <c r="B113" s="54" t="str">
        <f>'iWork,IBP &amp; Framework_SOW Items'!D109</f>
        <v>IBP</v>
      </c>
      <c r="C113" s="55" t="str">
        <f>'iWork,IBP &amp; Framework_SOW Items'!B109</f>
        <v>HR/Admin Portal View</v>
      </c>
      <c r="D113" s="56" t="str">
        <f>'iWork,IBP &amp; Framework_SOW Items'!C109</f>
        <v>Supporting services for Admin Portal</v>
      </c>
      <c r="E113" s="54" t="str">
        <f>'iWork,IBP &amp; Framework_SOW Items'!F109</f>
        <v>Delivered</v>
      </c>
      <c r="F113" s="54" t="str">
        <f>Helper!E109</f>
        <v>Delivered</v>
      </c>
      <c r="G113" s="57" t="str">
        <f>IF('iWork,IBP &amp; Framework_SOW Items'!I109="","",'iWork,IBP &amp; Framework_SOW Items'!I109)</f>
        <v/>
      </c>
      <c r="H113" s="54" t="str">
        <f>IF('iWork,IBP &amp; Framework_SOW Items'!J109="","",'iWork,IBP &amp; Framework_SOW Items'!J109)</f>
        <v/>
      </c>
      <c r="I113" s="56" t="str">
        <f>IF('iWork,IBP &amp; Framework_SOW Items'!G109="","",'iWork,IBP &amp; Framework_SOW Items'!G109)</f>
        <v/>
      </c>
    </row>
    <row r="114" ht="15" hidden="1" customHeight="1" spans="1:9">
      <c r="A114" s="51" t="str">
        <f>'iWork,IBP &amp; Framework_SOW Items'!E110</f>
        <v>Milestone 4</v>
      </c>
      <c r="B114" s="51" t="str">
        <f>'iWork,IBP &amp; Framework_SOW Items'!D110</f>
        <v>IBP/iWork</v>
      </c>
      <c r="C114" s="52" t="str">
        <f>'iWork,IBP &amp; Framework_SOW Items'!B110</f>
        <v>Client - Associated Location (IBP HR Module)</v>
      </c>
      <c r="D114" s="53" t="str">
        <f>'iWork,IBP &amp; Framework_SOW Items'!C110</f>
        <v>IBP - HR: Policy Location - Add Company Associated Locations, Flow to Opty., Policy &amp; Policy Config</v>
      </c>
      <c r="E114" s="51" t="str">
        <f>'iWork,IBP &amp; Framework_SOW Items'!F110</f>
        <v>Delivered</v>
      </c>
      <c r="F114" s="51" t="str">
        <f>Helper!E110</f>
        <v>Delivered</v>
      </c>
      <c r="G114" s="51">
        <f>IF('iWork,IBP &amp; Framework_SOW Items'!I110="","",'iWork,IBP &amp; Framework_SOW Items'!I110)</f>
        <v>46167</v>
      </c>
      <c r="H114" s="51" t="str">
        <f>IF('iWork,IBP &amp; Framework_SOW Items'!J110="","",'iWork,IBP &amp; Framework_SOW Items'!J110)</f>
        <v>Karan</v>
      </c>
      <c r="I114" s="53" t="str">
        <f>IF('iWork,IBP &amp; Framework_SOW Items'!G110="","",'iWork,IBP &amp; Framework_SOW Items'!G110)</f>
        <v/>
      </c>
    </row>
    <row r="115" ht="15" hidden="1" customHeight="1" spans="1:9">
      <c r="A115" s="54" t="str">
        <f>'iWork,IBP &amp; Framework_SOW Items'!E111</f>
        <v>Milestone 4</v>
      </c>
      <c r="B115" s="54" t="str">
        <f>'iWork,IBP &amp; Framework_SOW Items'!D111</f>
        <v>IBP/iWork</v>
      </c>
      <c r="C115" s="55" t="str">
        <f>'iWork,IBP &amp; Framework_SOW Items'!B111</f>
        <v>Security</v>
      </c>
      <c r="D115" s="56" t="str">
        <f>'iWork,IBP &amp; Framework_SOW Items'!C111</f>
        <v>InfoSec - IBP Portal (Security Issue)
19-Jun:
Critical - 0
High - 3 Pending
Medium - 24 pending
Low - 2 pending</v>
      </c>
      <c r="E115" s="54" t="str">
        <f>'iWork,IBP &amp; Framework_SOW Items'!F111</f>
        <v>Dev - WIP</v>
      </c>
      <c r="F115" s="54" t="str">
        <f>Helper!E111</f>
        <v>Pending</v>
      </c>
      <c r="G115" s="54">
        <f>IF('iWork,IBP &amp; Framework_SOW Items'!I111="","",'iWork,IBP &amp; Framework_SOW Items'!I111)</f>
        <v>46195</v>
      </c>
      <c r="H115" s="54" t="str">
        <f>IF('iWork,IBP &amp; Framework_SOW Items'!J111="","",'iWork,IBP &amp; Framework_SOW Items'!J111)</f>
        <v/>
      </c>
      <c r="I115" s="56" t="str">
        <f>IF('iWork,IBP &amp; Framework_SOW Items'!G111="","",'iWork,IBP &amp; Framework_SOW Items'!G111)</f>
        <v/>
      </c>
    </row>
    <row r="116" ht="15" customHeight="1" spans="1:9">
      <c r="A116" s="51" t="str">
        <f>'iWork,IBP &amp; Framework_SOW Items'!E248</f>
        <v>Milestone 6</v>
      </c>
      <c r="B116" s="51" t="str">
        <f>'iWork,IBP &amp; Framework_SOW Items'!D248</f>
        <v>iWork</v>
      </c>
      <c r="C116" s="52" t="str">
        <f>'iWork,IBP &amp; Framework_SOW Items'!B248</f>
        <v>VRK - PROD Feedback: 8-Jun-2026</v>
      </c>
      <c r="D116" s="53" t="str">
        <f>'iWork,IBP &amp; Framework_SOW Items'!C248</f>
        <v>isg roles: manage quotes screen should display the opportunities which are related to ISG only.</v>
      </c>
      <c r="E116" s="51" t="str">
        <f>'iWork,IBP &amp; Framework_SOW Items'!F248</f>
        <v>Delivered</v>
      </c>
      <c r="F116" s="51" t="str">
        <f>Helper!E248</f>
        <v>Delivered</v>
      </c>
      <c r="G116" s="59" t="str">
        <f>IF('iWork,IBP &amp; Framework_SOW Items'!I248="","",'iWork,IBP &amp; Framework_SOW Items'!I248)</f>
        <v/>
      </c>
      <c r="H116" s="51" t="str">
        <f>IF('iWork,IBP &amp; Framework_SOW Items'!J248="","",'iWork,IBP &amp; Framework_SOW Items'!J248)</f>
        <v/>
      </c>
      <c r="I116" s="53" t="str">
        <f>IF('iWork,IBP &amp; Framework_SOW Items'!G248="","",'iWork,IBP &amp; Framework_SOW Items'!G248)</f>
        <v/>
      </c>
    </row>
    <row r="117" ht="15" customHeight="1" spans="1:9">
      <c r="A117" s="54" t="str">
        <f>'iWork,IBP &amp; Framework_SOW Items'!E247</f>
        <v>Milestone 6</v>
      </c>
      <c r="B117" s="54" t="str">
        <f>'iWork,IBP &amp; Framework_SOW Items'!D247</f>
        <v>iWork</v>
      </c>
      <c r="C117" s="55" t="str">
        <f>'iWork,IBP &amp; Framework_SOW Items'!B247</f>
        <v>VRK - PROD Feedback: 9-Jun-2026</v>
      </c>
      <c r="D117" s="56" t="str">
        <f>'iWork,IBP &amp; Framework_SOW Items'!C247</f>
        <v>Dual approval mechanism - current logic and recommendation to enable as per the current CRM hierarchy</v>
      </c>
      <c r="E117" s="54" t="str">
        <f>'iWork,IBP &amp; Framework_SOW Items'!F247</f>
        <v>Yet to start</v>
      </c>
      <c r="F117" s="54" t="str">
        <f>Helper!E247</f>
        <v>Pending</v>
      </c>
      <c r="G117" s="57">
        <f>IF('iWork,IBP &amp; Framework_SOW Items'!I247="","",'iWork,IBP &amp; Framework_SOW Items'!I247)</f>
        <v>46197</v>
      </c>
      <c r="H117" s="54" t="str">
        <f>IF('iWork,IBP &amp; Framework_SOW Items'!J247="","",'iWork,IBP &amp; Framework_SOW Items'!J247)</f>
        <v/>
      </c>
      <c r="I117" s="56" t="str">
        <f>IF('iWork,IBP &amp; Framework_SOW Items'!G247="","",'iWork,IBP &amp; Framework_SOW Items'!G247)</f>
        <v/>
      </c>
    </row>
    <row r="118" ht="15" customHeight="1" spans="1:9">
      <c r="A118" s="51" t="str">
        <f>'iWork,IBP &amp; Framework_SOW Items'!E252</f>
        <v>Milestone 6</v>
      </c>
      <c r="B118" s="51" t="str">
        <f>'iWork,IBP &amp; Framework_SOW Items'!D252</f>
        <v>iWork</v>
      </c>
      <c r="C118" s="52" t="str">
        <f>'iWork,IBP &amp; Framework_SOW Items'!B252</f>
        <v>VRK - PROD Feedback: 8-Jun-2026</v>
      </c>
      <c r="D118" s="53" t="str">
        <f>'iWork,IBP &amp; Framework_SOW Items'!C252</f>
        <v>my followup should be added into my actionalables with default display instead of "All" tab.</v>
      </c>
      <c r="E118" s="51" t="str">
        <f>'iWork,IBP &amp; Framework_SOW Items'!F252</f>
        <v>Yet to start</v>
      </c>
      <c r="F118" s="51" t="str">
        <f>Helper!E252</f>
        <v>Pending</v>
      </c>
      <c r="G118" s="59" t="str">
        <f>IF('iWork,IBP &amp; Framework_SOW Items'!I252="","",'iWork,IBP &amp; Framework_SOW Items'!I252)</f>
        <v/>
      </c>
      <c r="H118" s="51" t="str">
        <f>IF('iWork,IBP &amp; Framework_SOW Items'!J252="","",'iWork,IBP &amp; Framework_SOW Items'!J252)</f>
        <v/>
      </c>
      <c r="I118" s="53" t="str">
        <f>IF('iWork,IBP &amp; Framework_SOW Items'!G252="","",'iWork,IBP &amp; Framework_SOW Items'!G252)</f>
        <v/>
      </c>
    </row>
    <row r="119" ht="15" customHeight="1" spans="1:9">
      <c r="A119" s="54" t="str">
        <f>'iWork,IBP &amp; Framework_SOW Items'!E255</f>
        <v>Milestone 6</v>
      </c>
      <c r="B119" s="54" t="str">
        <f>'iWork,IBP &amp; Framework_SOW Items'!D255</f>
        <v>iWork - CR</v>
      </c>
      <c r="C119" s="55" t="str">
        <f>'iWork,IBP &amp; Framework_SOW Items'!B255</f>
        <v>Insurer Management</v>
      </c>
      <c r="D119" s="56" t="str">
        <f>'iWork,IBP &amp; Framework_SOW Items'!C255</f>
        <v>Enhance Insurer - Add, Edit, &amp; Contacts</v>
      </c>
      <c r="E119" s="54" t="str">
        <f>'iWork,IBP &amp; Framework_SOW Items'!F255</f>
        <v>Delivered</v>
      </c>
      <c r="F119" s="54" t="str">
        <f>Helper!E255</f>
        <v>Delivered</v>
      </c>
      <c r="G119" s="57">
        <f>IF('iWork,IBP &amp; Framework_SOW Items'!I255="","",'iWork,IBP &amp; Framework_SOW Items'!I255)</f>
        <v>46182</v>
      </c>
      <c r="H119" s="54" t="str">
        <f>IF('iWork,IBP &amp; Framework_SOW Items'!J255="","",'iWork,IBP &amp; Framework_SOW Items'!J255)</f>
        <v>Pushyami</v>
      </c>
      <c r="I119" s="56" t="str">
        <f>IF('iWork,IBP &amp; Framework_SOW Items'!G255="","",'iWork,IBP &amp; Framework_SOW Items'!G255)</f>
        <v/>
      </c>
    </row>
    <row r="120" ht="15" customHeight="1" spans="1:9">
      <c r="A120" s="51" t="str">
        <f>'iWork,IBP &amp; Framework_SOW Items'!E62</f>
        <v>Milestone 2</v>
      </c>
      <c r="B120" s="51" t="str">
        <f>'iWork,IBP &amp; Framework_SOW Items'!D62</f>
        <v>iWork</v>
      </c>
      <c r="C120" s="52" t="str">
        <f>'iWork,IBP &amp; Framework_SOW Items'!B62</f>
        <v>Master Data Mgmt {Common, Contexual Master Data Mgmt}</v>
      </c>
      <c r="D120" s="53">
        <f>'iWork,IBP &amp; Framework_SOW Items'!C62</f>
        <v>0</v>
      </c>
      <c r="E120" s="51" t="str">
        <f>'iWork,IBP &amp; Framework_SOW Items'!F62</f>
        <v>Delivered</v>
      </c>
      <c r="F120" s="51" t="str">
        <f>Helper!E62</f>
        <v>Delivered</v>
      </c>
      <c r="G120" s="59" t="str">
        <f>IF('iWork,IBP &amp; Framework_SOW Items'!I62="","",'iWork,IBP &amp; Framework_SOW Items'!I62)</f>
        <v/>
      </c>
      <c r="H120" s="51" t="str">
        <f>IF('iWork,IBP &amp; Framework_SOW Items'!J62="","",'iWork,IBP &amp; Framework_SOW Items'!J62)</f>
        <v/>
      </c>
      <c r="I120" s="53" t="str">
        <f>IF('iWork,IBP &amp; Framework_SOW Items'!G62="","",'iWork,IBP &amp; Framework_SOW Items'!G62)</f>
        <v/>
      </c>
    </row>
    <row r="121" ht="15" customHeight="1" spans="1:9">
      <c r="A121" s="51" t="str">
        <f>'iWork,IBP &amp; Framework_SOW Items'!E70</f>
        <v>Milestone 3</v>
      </c>
      <c r="B121" s="51" t="str">
        <f>'iWork,IBP &amp; Framework_SOW Items'!D70</f>
        <v>iWork</v>
      </c>
      <c r="C121" s="52" t="str">
        <f>'iWork,IBP &amp; Framework_SOW Items'!B70</f>
        <v>Asset/Member Data Mgmt</v>
      </c>
      <c r="D121" s="53">
        <f>'iWork,IBP &amp; Framework_SOW Items'!C70</f>
        <v>0</v>
      </c>
      <c r="E121" s="51" t="str">
        <f>'iWork,IBP &amp; Framework_SOW Items'!F70</f>
        <v>Delivered</v>
      </c>
      <c r="F121" s="51" t="str">
        <f>Helper!E70</f>
        <v>Delivered</v>
      </c>
      <c r="G121" s="59" t="str">
        <f>IF('iWork,IBP &amp; Framework_SOW Items'!I70="","",'iWork,IBP &amp; Framework_SOW Items'!I70)</f>
        <v/>
      </c>
      <c r="H121" s="51" t="str">
        <f>IF('iWork,IBP &amp; Framework_SOW Items'!J70="","",'iWork,IBP &amp; Framework_SOW Items'!J70)</f>
        <v/>
      </c>
      <c r="I121" s="53" t="str">
        <f>IF('iWork,IBP &amp; Framework_SOW Items'!G70="","",'iWork,IBP &amp; Framework_SOW Items'!G70)</f>
        <v/>
      </c>
    </row>
    <row r="122" ht="15" customHeight="1" spans="1:9">
      <c r="A122" s="54" t="str">
        <f>'iWork,IBP &amp; Framework_SOW Items'!E71</f>
        <v>Milestone 3</v>
      </c>
      <c r="B122" s="54" t="str">
        <f>'iWork,IBP &amp; Framework_SOW Items'!D71</f>
        <v>iWork</v>
      </c>
      <c r="C122" s="55" t="str">
        <f>'iWork,IBP &amp; Framework_SOW Items'!B71</f>
        <v>Endorsement Mgmt</v>
      </c>
      <c r="D122" s="56">
        <f>'iWork,IBP &amp; Framework_SOW Items'!C71</f>
        <v>0</v>
      </c>
      <c r="E122" s="54" t="str">
        <f>'iWork,IBP &amp; Framework_SOW Items'!F71</f>
        <v>Delivered</v>
      </c>
      <c r="F122" s="54" t="str">
        <f>Helper!E71</f>
        <v>Delivered</v>
      </c>
      <c r="G122" s="57" t="str">
        <f>IF('iWork,IBP &amp; Framework_SOW Items'!I71="","",'iWork,IBP &amp; Framework_SOW Items'!I71)</f>
        <v/>
      </c>
      <c r="H122" s="54" t="str">
        <f>IF('iWork,IBP &amp; Framework_SOW Items'!J71="","",'iWork,IBP &amp; Framework_SOW Items'!J71)</f>
        <v/>
      </c>
      <c r="I122" s="56" t="str">
        <f>IF('iWork,IBP &amp; Framework_SOW Items'!G71="","",'iWork,IBP &amp; Framework_SOW Items'!G71)</f>
        <v/>
      </c>
    </row>
    <row r="123" ht="15" customHeight="1" spans="1:9">
      <c r="A123" s="51" t="str">
        <f>'iWork,IBP &amp; Framework_SOW Items'!E116</f>
        <v>Milestone 4</v>
      </c>
      <c r="B123" s="51" t="str">
        <f>'iWork,IBP &amp; Framework_SOW Items'!D116</f>
        <v>IBP/iWork</v>
      </c>
      <c r="C123" s="52" t="str">
        <f>'iWork,IBP &amp; Framework_SOW Items'!B116</f>
        <v>Contact Matrix</v>
      </c>
      <c r="D123" s="53" t="str">
        <f>'iWork,IBP &amp; Framework_SOW Items'!C116</f>
        <v>Configure the Conact Info Matrix (IBP Admin)</v>
      </c>
      <c r="E123" s="51" t="str">
        <f>'iWork,IBP &amp; Framework_SOW Items'!F116</f>
        <v>Delivered</v>
      </c>
      <c r="F123" s="51" t="str">
        <f>Helper!E116</f>
        <v>Delivered</v>
      </c>
      <c r="G123" s="59" t="str">
        <f>IF('iWork,IBP &amp; Framework_SOW Items'!I116="","",'iWork,IBP &amp; Framework_SOW Items'!I116)</f>
        <v/>
      </c>
      <c r="H123" s="51" t="str">
        <f>IF('iWork,IBP &amp; Framework_SOW Items'!J116="","",'iWork,IBP &amp; Framework_SOW Items'!J116)</f>
        <v/>
      </c>
      <c r="I123" s="53" t="str">
        <f>IF('iWork,IBP &amp; Framework_SOW Items'!G116="","",'iWork,IBP &amp; Framework_SOW Items'!G116)</f>
        <v/>
      </c>
    </row>
    <row r="124" ht="15" customHeight="1" spans="1:9">
      <c r="A124" s="54" t="str">
        <f>'iWork,IBP &amp; Framework_SOW Items'!E249</f>
        <v>Milestone 6</v>
      </c>
      <c r="B124" s="54" t="str">
        <f>'iWork,IBP &amp; Framework_SOW Items'!D249</f>
        <v>iWork</v>
      </c>
      <c r="C124" s="55" t="str">
        <f>'iWork,IBP &amp; Framework_SOW Items'!B249</f>
        <v>VRK - PROD Feedback: 8-Jun-2026</v>
      </c>
      <c r="D124" s="56" t="str">
        <f>'iWork,IBP &amp; Framework_SOW Items'!C249</f>
        <v>My client portfolio: List of Companies should be displayed for which there are active RO's. The premium and brokerage should be displayed as per RO cards.
--&gt; Que: Yesterday it was asked to get the data related to Active Policies????</v>
      </c>
      <c r="E124" s="54" t="str">
        <f>'iWork,IBP &amp; Framework_SOW Items'!F249</f>
        <v>Delivered</v>
      </c>
      <c r="F124" s="54" t="str">
        <f>Helper!E249</f>
        <v>Delivered</v>
      </c>
      <c r="G124" s="57" t="str">
        <f>IF('iWork,IBP &amp; Framework_SOW Items'!I249="","",'iWork,IBP &amp; Framework_SOW Items'!I249)</f>
        <v/>
      </c>
      <c r="H124" s="54" t="str">
        <f>IF('iWork,IBP &amp; Framework_SOW Items'!J249="","",'iWork,IBP &amp; Framework_SOW Items'!J249)</f>
        <v/>
      </c>
      <c r="I124" s="56" t="str">
        <f>IF('iWork,IBP &amp; Framework_SOW Items'!G249="","",'iWork,IBP &amp; Framework_SOW Items'!G249)</f>
        <v>10-Jun: As per Surya/Kapil Sir. It's Active Policies only</v>
      </c>
    </row>
    <row r="125" ht="15" customHeight="1" spans="1:9">
      <c r="A125" s="54" t="str">
        <f>'iWork,IBP &amp; Framework_SOW Items'!E251</f>
        <v>Milestone 6</v>
      </c>
      <c r="B125" s="54" t="str">
        <f>'iWork,IBP &amp; Framework_SOW Items'!D251</f>
        <v>iWork</v>
      </c>
      <c r="C125" s="55" t="str">
        <f>'iWork,IBP &amp; Framework_SOW Items'!B251</f>
        <v>VRK - PROD Feedback: 8-Jun-2026</v>
      </c>
      <c r="D125" s="56" t="str">
        <f>'iWork,IBP &amp; Framework_SOW Items'!C251</f>
        <v>Filter stickyness is not working for Bizdone and check with all the other screens.
(Filters Persistence in all the screens)</v>
      </c>
      <c r="E125" s="54" t="str">
        <f>'iWork,IBP &amp; Framework_SOW Items'!F251</f>
        <v>Yet to start</v>
      </c>
      <c r="F125" s="54" t="str">
        <f>Helper!E251</f>
        <v>Pending</v>
      </c>
      <c r="G125" s="57" t="str">
        <f>IF('iWork,IBP &amp; Framework_SOW Items'!I251="","",'iWork,IBP &amp; Framework_SOW Items'!I251)</f>
        <v/>
      </c>
      <c r="H125" s="54" t="str">
        <f>IF('iWork,IBP &amp; Framework_SOW Items'!J251="","",'iWork,IBP &amp; Framework_SOW Items'!J251)</f>
        <v/>
      </c>
      <c r="I125" s="56" t="str">
        <f>IF('iWork,IBP &amp; Framework_SOW Items'!G251="","",'iWork,IBP &amp; Framework_SOW Items'!G251)</f>
        <v/>
      </c>
    </row>
    <row r="126" ht="15" customHeight="1" spans="1:9">
      <c r="A126" s="54" t="str">
        <f>'iWork,IBP &amp; Framework_SOW Items'!E119</f>
        <v>Milestone 4</v>
      </c>
      <c r="B126" s="54" t="str">
        <f>'iWork,IBP &amp; Framework_SOW Items'!D119</f>
        <v>iWork</v>
      </c>
      <c r="C126" s="55" t="str">
        <f>'iWork,IBP &amp; Framework_SOW Items'!B119</f>
        <v>Opportunity</v>
      </c>
      <c r="D126" s="56" t="str">
        <f>'iWork,IBP &amp; Framework_SOW Items'!C119</f>
        <v>Opportunity History details are unavailable for the end user to view.
Show TAT section (Planned date, Performed/Completed date, Approved date) for planned acitivites</v>
      </c>
      <c r="E126" s="54" t="str">
        <f>'iWork,IBP &amp; Framework_SOW Items'!F119</f>
        <v>Delivered</v>
      </c>
      <c r="F126" s="54" t="str">
        <f>Helper!E119</f>
        <v>Delivered</v>
      </c>
      <c r="G126" s="57">
        <f>IF('iWork,IBP &amp; Framework_SOW Items'!I119="","",'iWork,IBP &amp; Framework_SOW Items'!I119)</f>
        <v>46170</v>
      </c>
      <c r="H126" s="54" t="str">
        <f>IF('iWork,IBP &amp; Framework_SOW Items'!J119="","",'iWork,IBP &amp; Framework_SOW Items'!J119)</f>
        <v>Pushyami</v>
      </c>
      <c r="I126" s="56" t="str">
        <f>IF('iWork,IBP &amp; Framework_SOW Items'!G119="","",'iWork,IBP &amp; Framework_SOW Items'!G119)</f>
        <v/>
      </c>
    </row>
    <row r="127" ht="15" customHeight="1" spans="1:9">
      <c r="A127" s="51" t="str">
        <f>'iWork,IBP &amp; Framework_SOW Items'!E128</f>
        <v>Milestone 4</v>
      </c>
      <c r="B127" s="51" t="str">
        <f>'iWork,IBP &amp; Framework_SOW Items'!D128</f>
        <v>iWork</v>
      </c>
      <c r="C127" s="52" t="str">
        <f>'iWork,IBP &amp; Framework_SOW Items'!B128</f>
        <v>TAT/SLA Mgmt (Including Service Score)</v>
      </c>
      <c r="D127" s="53">
        <f>'iWork,IBP &amp; Framework_SOW Items'!C128</f>
        <v>0</v>
      </c>
      <c r="E127" s="51" t="str">
        <f>'iWork,IBP &amp; Framework_SOW Items'!F128</f>
        <v>Delivered</v>
      </c>
      <c r="F127" s="51" t="str">
        <f>Helper!E128</f>
        <v>Delivered</v>
      </c>
      <c r="G127" s="59" t="str">
        <f>IF('iWork,IBP &amp; Framework_SOW Items'!I128="","",'iWork,IBP &amp; Framework_SOW Items'!I128)</f>
        <v/>
      </c>
      <c r="H127" s="51" t="str">
        <f>IF('iWork,IBP &amp; Framework_SOW Items'!J128="","",'iWork,IBP &amp; Framework_SOW Items'!J128)</f>
        <v/>
      </c>
      <c r="I127" s="53" t="str">
        <f>IF('iWork,IBP &amp; Framework_SOW Items'!G128="","",'iWork,IBP &amp; Framework_SOW Items'!G128)</f>
        <v/>
      </c>
    </row>
    <row r="128" ht="15" customHeight="1" spans="1:9">
      <c r="A128" s="51" t="str">
        <f>'iWork,IBP &amp; Framework_SOW Items'!E162</f>
        <v>Milestone 5</v>
      </c>
      <c r="B128" s="51" t="str">
        <f>'iWork,IBP &amp; Framework_SOW Items'!D162</f>
        <v>IBP</v>
      </c>
      <c r="C128" s="52" t="str">
        <f>'iWork,IBP &amp; Framework_SOW Items'!B162</f>
        <v>Chat Interface</v>
      </c>
      <c r="D128" s="53" t="str">
        <f>'iWork,IBP &amp; Framework_SOW Items'!C162</f>
        <v>Floater on the screen - Integrate with AI Component and IWork support channel</v>
      </c>
      <c r="E128" s="51" t="str">
        <f>'iWork,IBP &amp; Framework_SOW Items'!F162</f>
        <v>Yet to start</v>
      </c>
      <c r="F128" s="51" t="str">
        <f>Helper!E162</f>
        <v>Pending</v>
      </c>
      <c r="G128" s="59" t="str">
        <f>IF('iWork,IBP &amp; Framework_SOW Items'!I162="","",'iWork,IBP &amp; Framework_SOW Items'!I162)</f>
        <v/>
      </c>
      <c r="H128" s="51" t="str">
        <f>IF('iWork,IBP &amp; Framework_SOW Items'!J162="","",'iWork,IBP &amp; Framework_SOW Items'!J162)</f>
        <v/>
      </c>
      <c r="I128" s="53" t="str">
        <f>IF('iWork,IBP &amp; Framework_SOW Items'!G162="","",'iWork,IBP &amp; Framework_SOW Items'!G162)</f>
        <v/>
      </c>
    </row>
    <row r="129" ht="15" customHeight="1" spans="1:9">
      <c r="A129" s="54" t="str">
        <f>'iWork,IBP &amp; Framework_SOW Items'!E179</f>
        <v>Milestone 5</v>
      </c>
      <c r="B129" s="54" t="str">
        <f>'iWork,IBP &amp; Framework_SOW Items'!D179</f>
        <v>IBP/iWork</v>
      </c>
      <c r="C129" s="55" t="str">
        <f>'iWork,IBP &amp; Framework_SOW Items'!B179</f>
        <v>TPA Integration Mgmt [Framework]</v>
      </c>
      <c r="D129" s="56" t="str">
        <f>'iWork,IBP &amp; Framework_SOW Items'!C179</f>
        <v>1. Framework - KIT
2. WBS - with details
-Medi Assist India Pvt. Ltd.
-Family Health Plan Ltd.
-Health India
-MD India Healthcare Services (Pvt.) Ltd.
-Vidal Health TPA Private Limited
-Paramount Health Services Pvt. Ltd.</v>
      </c>
      <c r="E129" s="54" t="str">
        <f>'iWork,IBP &amp; Framework_SOW Items'!F179</f>
        <v>Dev - WIP</v>
      </c>
      <c r="F129" s="54" t="str">
        <f>Helper!E179</f>
        <v>Pending</v>
      </c>
      <c r="G129" s="57">
        <f>IF('iWork,IBP &amp; Framework_SOW Items'!I179="","",'iWork,IBP &amp; Framework_SOW Items'!I179)</f>
        <v>46197</v>
      </c>
      <c r="H129" s="54" t="str">
        <f>IF('iWork,IBP &amp; Framework_SOW Items'!J179="","",'iWork,IBP &amp; Framework_SOW Items'!J179)</f>
        <v/>
      </c>
      <c r="I129" s="56" t="str">
        <f>IF('iWork,IBP &amp; Framework_SOW Items'!G179="","",'iWork,IBP &amp; Framework_SOW Items'!G179)</f>
        <v>9-Jun:
Shared errors to Neeraj</v>
      </c>
    </row>
    <row r="130" ht="15" customHeight="1" spans="1:9">
      <c r="A130" s="51" t="str">
        <f>'iWork,IBP &amp; Framework_SOW Items'!E196</f>
        <v>Milestone 5</v>
      </c>
      <c r="B130" s="51" t="str">
        <f>'iWork,IBP &amp; Framework_SOW Items'!D196</f>
        <v>NFR</v>
      </c>
      <c r="C130" s="52" t="str">
        <f>'iWork,IBP &amp; Framework_SOW Items'!B196</f>
        <v>NFR-OTH-015: The application must cryptographic Failures, previously known as Sensitive Data Exposure, which was broad symptom rather than a root cause. The renewed focus here is on failures related to cryptography which often leads to sensitive data exposure or system compromise.</v>
      </c>
      <c r="D130" s="53">
        <f>'iWork,IBP &amp; Framework_SOW Items'!C196</f>
        <v>0</v>
      </c>
      <c r="E130" s="51" t="str">
        <f>'iWork,IBP &amp; Framework_SOW Items'!F196</f>
        <v>Delivered</v>
      </c>
      <c r="F130" s="51" t="str">
        <f>Helper!E196</f>
        <v>Delivered</v>
      </c>
      <c r="G130" s="59">
        <f>IF('iWork,IBP &amp; Framework_SOW Items'!I196="","",'iWork,IBP &amp; Framework_SOW Items'!I196)</f>
        <v>46178</v>
      </c>
      <c r="H130" s="51" t="str">
        <f>IF('iWork,IBP &amp; Framework_SOW Items'!J196="","",'iWork,IBP &amp; Framework_SOW Items'!J196)</f>
        <v/>
      </c>
      <c r="I130" s="53" t="str">
        <f>IF('iWork,IBP &amp; Framework_SOW Items'!G196="","",'iWork,IBP &amp; Framework_SOW Items'!G196)</f>
        <v/>
      </c>
    </row>
    <row r="131" ht="15" customHeight="1" spans="1:9">
      <c r="A131" s="51" t="str">
        <f>'iWork,IBP &amp; Framework_SOW Items'!E112</f>
        <v>Milestone 4</v>
      </c>
      <c r="B131" s="51" t="str">
        <f>'iWork,IBP &amp; Framework_SOW Items'!D112</f>
        <v>IBP/iWork</v>
      </c>
      <c r="C131" s="52" t="str">
        <f>'iWork,IBP &amp; Framework_SOW Items'!B112</f>
        <v>NFR_Usability</v>
      </c>
      <c r="D131" s="53" t="str">
        <f>'iWork,IBP &amp; Framework_SOW Items'!C112</f>
        <v>NFR-USA-021: Guidelines for document management should be provided</v>
      </c>
      <c r="E131" s="51" t="str">
        <f>'iWork,IBP &amp; Framework_SOW Items'!F112</f>
        <v>Delivered - Deficit</v>
      </c>
      <c r="F131" s="51" t="str">
        <f>Helper!E112</f>
        <v>Pending</v>
      </c>
      <c r="G131" s="59">
        <f>IF('iWork,IBP &amp; Framework_SOW Items'!I112="","",'iWork,IBP &amp; Framework_SOW Items'!I112)</f>
        <v>46197</v>
      </c>
      <c r="H131" s="51" t="str">
        <f>IF('iWork,IBP &amp; Framework_SOW Items'!J112="","",'iWork,IBP &amp; Framework_SOW Items'!J112)</f>
        <v>Manjusha</v>
      </c>
      <c r="I131" s="53" t="str">
        <f>IF('iWork,IBP &amp; Framework_SOW Items'!G112="","",'iWork,IBP &amp; Framework_SOW Items'!G112)</f>
        <v>Pending: Provide the document on how do we store and view it</v>
      </c>
    </row>
    <row r="132" ht="15" customHeight="1" spans="1:9">
      <c r="A132" s="54" t="str">
        <f>'iWork,IBP &amp; Framework_SOW Items'!E113</f>
        <v>Milestone 4</v>
      </c>
      <c r="B132" s="54" t="str">
        <f>'iWork,IBP &amp; Framework_SOW Items'!D113</f>
        <v>IBP/iWork</v>
      </c>
      <c r="C132" s="55" t="str">
        <f>'iWork,IBP &amp; Framework_SOW Items'!B113</f>
        <v>Country Handling {Data Source Mgmt}</v>
      </c>
      <c r="D132" s="56" t="str">
        <f>'iWork,IBP &amp; Framework_SOW Items'!C113</f>
        <v>23-May: Respective org. data should reside in the same country.</v>
      </c>
      <c r="E132" s="54" t="str">
        <f>'iWork,IBP &amp; Framework_SOW Items'!F113</f>
        <v>Yet to start</v>
      </c>
      <c r="F132" s="54" t="s">
        <v>516</v>
      </c>
      <c r="G132" s="57">
        <f>IF('iWork,IBP &amp; Framework_SOW Items'!I113="","",'iWork,IBP &amp; Framework_SOW Items'!I113)</f>
        <v>46197</v>
      </c>
      <c r="H132" s="54" t="str">
        <f>IF('iWork,IBP &amp; Framework_SOW Items'!J113="","",'iWork,IBP &amp; Framework_SOW Items'!J113)</f>
        <v>Tharun</v>
      </c>
      <c r="I132" s="56" t="str">
        <f>IF('iWork,IBP &amp; Framework_SOW Items'!G113="","",'iWork,IBP &amp; Framework_SOW Items'!G113)</f>
        <v>Check with Gopal</v>
      </c>
    </row>
    <row r="133" ht="15" hidden="1" customHeight="1" spans="1:9">
      <c r="A133" s="54" t="str">
        <f>'iWork,IBP &amp; Framework_SOW Items'!E129</f>
        <v>Milestone 5</v>
      </c>
      <c r="B133" s="54" t="str">
        <f>'iWork,IBP &amp; Framework_SOW Items'!D129</f>
        <v>DPDP</v>
      </c>
      <c r="C133" s="55" t="str">
        <f>'iWork,IBP &amp; Framework_SOW Items'!B129</f>
        <v>Integrate SSO / MFA</v>
      </c>
      <c r="D133" s="56">
        <f>'iWork,IBP &amp; Framework_SOW Items'!C129</f>
        <v>0</v>
      </c>
      <c r="E133" s="54" t="str">
        <f>'iWork,IBP &amp; Framework_SOW Items'!F129</f>
        <v>Dev - Done</v>
      </c>
      <c r="F133" s="54" t="str">
        <f>Helper!E129</f>
        <v>Delivered</v>
      </c>
      <c r="G133" s="57">
        <f>IF('iWork,IBP &amp; Framework_SOW Items'!I129="","",'iWork,IBP &amp; Framework_SOW Items'!I129)</f>
        <v>46197</v>
      </c>
      <c r="H133" s="54" t="str">
        <f>IF('iWork,IBP &amp; Framework_SOW Items'!J129="","",'iWork,IBP &amp; Framework_SOW Items'!J129)</f>
        <v>Sunil</v>
      </c>
      <c r="I133" s="56" t="str">
        <f>IF('iWork,IBP &amp; Framework_SOW Items'!G129="","",'iWork,IBP &amp; Framework_SOW Items'!G129)</f>
        <v/>
      </c>
    </row>
    <row r="134" ht="15" hidden="1" customHeight="1" spans="1:9">
      <c r="A134" s="51" t="str">
        <f>'iWork,IBP &amp; Framework_SOW Items'!E130</f>
        <v>Milestone 5</v>
      </c>
      <c r="B134" s="51" t="str">
        <f>'iWork,IBP &amp; Framework_SOW Items'!D130</f>
        <v>DPDP</v>
      </c>
      <c r="C134" s="53" t="str">
        <f>'iWork,IBP &amp; Framework_SOW Items'!B130</f>
        <v>Capture consent within app</v>
      </c>
      <c r="D134" s="53">
        <f>'iWork,IBP &amp; Framework_SOW Items'!C130</f>
        <v>0</v>
      </c>
      <c r="E134" s="51" t="str">
        <f>'iWork,IBP &amp; Framework_SOW Items'!F130</f>
        <v>Dev - Done</v>
      </c>
      <c r="F134" s="51" t="str">
        <f>Helper!E130</f>
        <v>Delivered</v>
      </c>
      <c r="G134" s="59">
        <f>IF('iWork,IBP &amp; Framework_SOW Items'!I130="","",'iWork,IBP &amp; Framework_SOW Items'!I130)</f>
        <v>46197</v>
      </c>
      <c r="H134" s="51" t="str">
        <f>IF('iWork,IBP &amp; Framework_SOW Items'!J130="","",'iWork,IBP &amp; Framework_SOW Items'!J130)</f>
        <v>Sunil</v>
      </c>
      <c r="I134" s="53" t="str">
        <f>IF('iWork,IBP &amp; Framework_SOW Items'!G130="","",'iWork,IBP &amp; Framework_SOW Items'!G130)</f>
        <v/>
      </c>
    </row>
    <row r="135" ht="15" hidden="1" customHeight="1" spans="1:9">
      <c r="A135" s="54" t="str">
        <f>'iWork,IBP &amp; Framework_SOW Items'!E131</f>
        <v>Milestone 5</v>
      </c>
      <c r="B135" s="54" t="str">
        <f>'iWork,IBP &amp; Framework_SOW Items'!D131</f>
        <v>DPDP</v>
      </c>
      <c r="C135" s="55" t="str">
        <f>'iWork,IBP &amp; Framework_SOW Items'!B131</f>
        <v>Allow easy consent withdrawal</v>
      </c>
      <c r="D135" s="56">
        <f>'iWork,IBP &amp; Framework_SOW Items'!C131</f>
        <v>0</v>
      </c>
      <c r="E135" s="54" t="str">
        <f>'iWork,IBP &amp; Framework_SOW Items'!F131</f>
        <v>Dev - Done</v>
      </c>
      <c r="F135" s="54" t="str">
        <f>Helper!E131</f>
        <v>Delivered</v>
      </c>
      <c r="G135" s="57">
        <f>IF('iWork,IBP &amp; Framework_SOW Items'!I131="","",'iWork,IBP &amp; Framework_SOW Items'!I131)</f>
        <v>46197</v>
      </c>
      <c r="H135" s="54" t="str">
        <f>IF('iWork,IBP &amp; Framework_SOW Items'!J131="","",'iWork,IBP &amp; Framework_SOW Items'!J131)</f>
        <v>Sunil</v>
      </c>
      <c r="I135" s="56" t="str">
        <f>IF('iWork,IBP &amp; Framework_SOW Items'!G131="","",'iWork,IBP &amp; Framework_SOW Items'!G131)</f>
        <v/>
      </c>
    </row>
    <row r="136" ht="15" hidden="1" customHeight="1" spans="1:9">
      <c r="A136" s="51" t="str">
        <f>'iWork,IBP &amp; Framework_SOW Items'!E132</f>
        <v>Milestone 5</v>
      </c>
      <c r="B136" s="51" t="str">
        <f>'iWork,IBP &amp; Framework_SOW Items'!D132</f>
        <v>DPDP</v>
      </c>
      <c r="C136" s="52" t="str">
        <f>'iWork,IBP &amp; Framework_SOW Items'!B132</f>
        <v>Approval workflow</v>
      </c>
      <c r="D136" s="53">
        <f>'iWork,IBP &amp; Framework_SOW Items'!C132</f>
        <v>0</v>
      </c>
      <c r="E136" s="51" t="str">
        <f>'iWork,IBP &amp; Framework_SOW Items'!F132</f>
        <v>Dev - Done</v>
      </c>
      <c r="F136" s="51" t="str">
        <f>Helper!E132</f>
        <v>Delivered</v>
      </c>
      <c r="G136" s="51">
        <f>IF('iWork,IBP &amp; Framework_SOW Items'!I132="","",'iWork,IBP &amp; Framework_SOW Items'!I132)</f>
        <v>46197</v>
      </c>
      <c r="H136" s="51" t="str">
        <f>IF('iWork,IBP &amp; Framework_SOW Items'!J132="","",'iWork,IBP &amp; Framework_SOW Items'!J132)</f>
        <v/>
      </c>
      <c r="I136" s="53" t="str">
        <f>IF('iWork,IBP &amp; Framework_SOW Items'!G132="","",'iWork,IBP &amp; Framework_SOW Items'!G132)</f>
        <v/>
      </c>
    </row>
    <row r="137" ht="15" hidden="1" customHeight="1" spans="1:9">
      <c r="A137" s="54" t="str">
        <f>'iWork,IBP &amp; Framework_SOW Items'!E133</f>
        <v>Milestone 5</v>
      </c>
      <c r="B137" s="54" t="str">
        <f>'iWork,IBP &amp; Framework_SOW Items'!D133</f>
        <v>DPDP</v>
      </c>
      <c r="C137" s="55" t="str">
        <f>'iWork,IBP &amp; Framework_SOW Items'!B133</f>
        <v>Show privacy notice with purpose, retention, rights</v>
      </c>
      <c r="D137" s="56">
        <f>'iWork,IBP &amp; Framework_SOW Items'!C133</f>
        <v>0</v>
      </c>
      <c r="E137" s="54" t="str">
        <f>'iWork,IBP &amp; Framework_SOW Items'!F133</f>
        <v>Dev - WIP</v>
      </c>
      <c r="F137" s="54" t="str">
        <f>Helper!E133</f>
        <v>Pending</v>
      </c>
      <c r="G137" s="54">
        <f>IF('iWork,IBP &amp; Framework_SOW Items'!I133="","",'iWork,IBP &amp; Framework_SOW Items'!I133)</f>
        <v>46197</v>
      </c>
      <c r="H137" s="54" t="str">
        <f>IF('iWork,IBP &amp; Framework_SOW Items'!J133="","",'iWork,IBP &amp; Framework_SOW Items'!J133)</f>
        <v>Sunil</v>
      </c>
      <c r="I137" s="56" t="str">
        <f>IF('iWork,IBP &amp; Framework_SOW Items'!G133="","",'iWork,IBP &amp; Framework_SOW Items'!G133)</f>
        <v/>
      </c>
    </row>
    <row r="138" ht="15" hidden="1" customHeight="1" spans="1:9">
      <c r="A138" s="51" t="str">
        <f>'iWork,IBP &amp; Framework_SOW Items'!E134</f>
        <v>Milestone 5</v>
      </c>
      <c r="B138" s="51" t="str">
        <f>'iWork,IBP &amp; Framework_SOW Items'!D134</f>
        <v>DPDP</v>
      </c>
      <c r="C138" s="52" t="str">
        <f>'iWork,IBP &amp; Framework_SOW Items'!B134</f>
        <v>App vulnerability scans</v>
      </c>
      <c r="D138" s="53">
        <f>'iWork,IBP &amp; Framework_SOW Items'!C134</f>
        <v>0</v>
      </c>
      <c r="E138" s="51" t="str">
        <f>'iWork,IBP &amp; Framework_SOW Items'!F134</f>
        <v>Dev - WIP</v>
      </c>
      <c r="F138" s="51" t="str">
        <f>Helper!E134</f>
        <v>Pending</v>
      </c>
      <c r="G138" s="51">
        <f>IF('iWork,IBP &amp; Framework_SOW Items'!I134="","",'iWork,IBP &amp; Framework_SOW Items'!I134)</f>
        <v>46197</v>
      </c>
      <c r="H138" s="51" t="str">
        <f>IF('iWork,IBP &amp; Framework_SOW Items'!J134="","",'iWork,IBP &amp; Framework_SOW Items'!J134)</f>
        <v/>
      </c>
      <c r="I138" s="53" t="str">
        <f>IF('iWork,IBP &amp; Framework_SOW Items'!G134="","",'iWork,IBP &amp; Framework_SOW Items'!G134)</f>
        <v/>
      </c>
    </row>
    <row r="139" ht="15" hidden="1" customHeight="1" spans="1:9">
      <c r="A139" s="54" t="str">
        <f>'iWork,IBP &amp; Framework_SOW Items'!E135</f>
        <v>Milestone 5</v>
      </c>
      <c r="B139" s="54" t="str">
        <f>'iWork,IBP &amp; Framework_SOW Items'!D135</f>
        <v>DPDP</v>
      </c>
      <c r="C139" s="55" t="str">
        <f>'iWork,IBP &amp; Framework_SOW Items'!B135</f>
        <v>Quarterly restore tests</v>
      </c>
      <c r="D139" s="56">
        <f>'iWork,IBP &amp; Framework_SOW Items'!C135</f>
        <v>0</v>
      </c>
      <c r="E139" s="54" t="str">
        <f>'iWork,IBP &amp; Framework_SOW Items'!F135</f>
        <v>Pre-PROD</v>
      </c>
      <c r="F139" s="54" t="str">
        <f>Helper!E135</f>
        <v>Pending</v>
      </c>
      <c r="G139" s="54">
        <f>IF('iWork,IBP &amp; Framework_SOW Items'!I135="","",'iWork,IBP &amp; Framework_SOW Items'!I135)</f>
        <v>46197</v>
      </c>
      <c r="H139" s="54" t="str">
        <f>IF('iWork,IBP &amp; Framework_SOW Items'!J135="","",'iWork,IBP &amp; Framework_SOW Items'!J135)</f>
        <v/>
      </c>
      <c r="I139" s="56" t="str">
        <f>IF('iWork,IBP &amp; Framework_SOW Items'!G135="","",'iWork,IBP &amp; Framework_SOW Items'!G135)</f>
        <v/>
      </c>
    </row>
    <row r="140" ht="15" hidden="1" customHeight="1" spans="1:9">
      <c r="A140" s="51" t="str">
        <f>'iWork,IBP &amp; Framework_SOW Items'!E136</f>
        <v>Milestone 5</v>
      </c>
      <c r="B140" s="51" t="str">
        <f>'iWork,IBP &amp; Framework_SOW Items'!D136</f>
        <v>DPDP</v>
      </c>
      <c r="C140" s="52" t="str">
        <f>'iWork,IBP &amp; Framework_SOW Items'!B136</f>
        <v>Document Flows</v>
      </c>
      <c r="D140" s="53">
        <f>'iWork,IBP &amp; Framework_SOW Items'!C136</f>
        <v>0</v>
      </c>
      <c r="E140" s="51" t="str">
        <f>'iWork,IBP &amp; Framework_SOW Items'!F136</f>
        <v>Yet to start</v>
      </c>
      <c r="F140" s="51" t="str">
        <f>Helper!E136</f>
        <v>Pending</v>
      </c>
      <c r="G140" s="59">
        <f>IF('iWork,IBP &amp; Framework_SOW Items'!I136="","",'iWork,IBP &amp; Framework_SOW Items'!I136)</f>
        <v>46197</v>
      </c>
      <c r="H140" s="51" t="str">
        <f>IF('iWork,IBP &amp; Framework_SOW Items'!J136="","",'iWork,IBP &amp; Framework_SOW Items'!J136)</f>
        <v/>
      </c>
      <c r="I140" s="53" t="str">
        <f>IF('iWork,IBP &amp; Framework_SOW Items'!G136="","",'iWork,IBP &amp; Framework_SOW Items'!G136)</f>
        <v/>
      </c>
    </row>
    <row r="141" ht="15" hidden="1" customHeight="1" spans="1:9">
      <c r="A141" s="54" t="str">
        <f>'iWork,IBP &amp; Framework_SOW Items'!E137</f>
        <v>Milestone 5</v>
      </c>
      <c r="B141" s="54" t="str">
        <f>'iWork,IBP &amp; Framework_SOW Items'!D137</f>
        <v>DPDP</v>
      </c>
      <c r="C141" s="55" t="str">
        <f>'iWork,IBP &amp; Framework_SOW Items'!B137</f>
        <v>Perform security UAT</v>
      </c>
      <c r="D141" s="56">
        <f>'iWork,IBP &amp; Framework_SOW Items'!C137</f>
        <v>0</v>
      </c>
      <c r="E141" s="54" t="str">
        <f>'iWork,IBP &amp; Framework_SOW Items'!F137</f>
        <v>Yet to start</v>
      </c>
      <c r="F141" s="54" t="str">
        <f>Helper!E137</f>
        <v>Pending</v>
      </c>
      <c r="G141" s="54">
        <f>IF('iWork,IBP &amp; Framework_SOW Items'!I137="","",'iWork,IBP &amp; Framework_SOW Items'!I137)</f>
        <v>46197</v>
      </c>
      <c r="H141" s="54" t="str">
        <f>IF('iWork,IBP &amp; Framework_SOW Items'!J137="","",'iWork,IBP &amp; Framework_SOW Items'!J137)</f>
        <v/>
      </c>
      <c r="I141" s="56" t="str">
        <f>IF('iWork,IBP &amp; Framework_SOW Items'!G137="","",'iWork,IBP &amp; Framework_SOW Items'!G137)</f>
        <v/>
      </c>
    </row>
    <row r="142" ht="15" hidden="1" customHeight="1" spans="1:9">
      <c r="A142" s="51" t="str">
        <f>'iWork,IBP &amp; Framework_SOW Items'!E138</f>
        <v>Milestone 5</v>
      </c>
      <c r="B142" s="51" t="str">
        <f>'iWork,IBP &amp; Framework_SOW Items'!D138</f>
        <v>DPDP</v>
      </c>
      <c r="C142" s="52" t="str">
        <f>'iWork,IBP &amp; Framework_SOW Items'!B138</f>
        <v>Enforce business logic to restrict purpose</v>
      </c>
      <c r="D142" s="53">
        <f>'iWork,IBP &amp; Framework_SOW Items'!C138</f>
        <v>0</v>
      </c>
      <c r="E142" s="51" t="str">
        <f>'iWork,IBP &amp; Framework_SOW Items'!F138</f>
        <v>Yet to start</v>
      </c>
      <c r="F142" s="51" t="str">
        <f>Helper!E138</f>
        <v>Pending</v>
      </c>
      <c r="G142" s="51">
        <f>IF('iWork,IBP &amp; Framework_SOW Items'!I138="","",'iWork,IBP &amp; Framework_SOW Items'!I138)</f>
        <v>46197</v>
      </c>
      <c r="H142" s="51" t="str">
        <f>IF('iWork,IBP &amp; Framework_SOW Items'!J138="","",'iWork,IBP &amp; Framework_SOW Items'!J138)</f>
        <v/>
      </c>
      <c r="I142" s="53" t="str">
        <f>IF('iWork,IBP &amp; Framework_SOW Items'!G138="","",'iWork,IBP &amp; Framework_SOW Items'!G138)</f>
        <v/>
      </c>
    </row>
    <row r="143" ht="15" hidden="1" customHeight="1" spans="1:9">
      <c r="A143" s="54" t="str">
        <f>'iWork,IBP &amp; Framework_SOW Items'!E139</f>
        <v>Milestone 5</v>
      </c>
      <c r="B143" s="54" t="str">
        <f>'iWork,IBP &amp; Framework_SOW Items'!D139</f>
        <v>DPDP</v>
      </c>
      <c r="C143" s="55" t="str">
        <f>'iWork,IBP &amp; Framework_SOW Items'!B139</f>
        <v>Remove unnecessary fields</v>
      </c>
      <c r="D143" s="56">
        <f>'iWork,IBP &amp; Framework_SOW Items'!C139</f>
        <v>0</v>
      </c>
      <c r="E143" s="54" t="str">
        <f>'iWork,IBP &amp; Framework_SOW Items'!F139</f>
        <v>Dev - Done</v>
      </c>
      <c r="F143" s="54" t="str">
        <f>Helper!E139</f>
        <v>Delivered</v>
      </c>
      <c r="G143" s="54">
        <f>IF('iWork,IBP &amp; Framework_SOW Items'!I139="","",'iWork,IBP &amp; Framework_SOW Items'!I139)</f>
        <v>46198</v>
      </c>
      <c r="H143" s="54" t="str">
        <f>IF('iWork,IBP &amp; Framework_SOW Items'!J139="","",'iWork,IBP &amp; Framework_SOW Items'!J139)</f>
        <v>Sunil</v>
      </c>
      <c r="I143" s="56" t="str">
        <f>IF('iWork,IBP &amp; Framework_SOW Items'!G139="","",'iWork,IBP &amp; Framework_SOW Items'!G139)</f>
        <v/>
      </c>
    </row>
    <row r="144" ht="15" hidden="1" customHeight="1" spans="1:9">
      <c r="A144" s="51" t="str">
        <f>'iWork,IBP &amp; Framework_SOW Items'!E140</f>
        <v>Milestone 5</v>
      </c>
      <c r="B144" s="51" t="str">
        <f>'iWork,IBP &amp; Framework_SOW Items'!D140</f>
        <v>DPDP</v>
      </c>
      <c r="C144" s="52" t="str">
        <f>'iWork,IBP &amp; Framework_SOW Items'!B140</f>
        <v>Map PII tables</v>
      </c>
      <c r="D144" s="53">
        <f>'iWork,IBP &amp; Framework_SOW Items'!C140</f>
        <v>0</v>
      </c>
      <c r="E144" s="51" t="str">
        <f>'iWork,IBP &amp; Framework_SOW Items'!F140</f>
        <v>QA - WIP</v>
      </c>
      <c r="F144" s="51" t="str">
        <f>Helper!E140</f>
        <v>Pending</v>
      </c>
      <c r="G144" s="51">
        <f>IF('iWork,IBP &amp; Framework_SOW Items'!I140="","",'iWork,IBP &amp; Framework_SOW Items'!I140)</f>
        <v>46198</v>
      </c>
      <c r="H144" s="51" t="str">
        <f>IF('iWork,IBP &amp; Framework_SOW Items'!J140="","",'iWork,IBP &amp; Framework_SOW Items'!J140)</f>
        <v/>
      </c>
      <c r="I144" s="53" t="str">
        <f>IF('iWork,IBP &amp; Framework_SOW Items'!G140="","",'iWork,IBP &amp; Framework_SOW Items'!G140)</f>
        <v/>
      </c>
    </row>
    <row r="145" ht="15" hidden="1" customHeight="1" spans="1:9">
      <c r="A145" s="54" t="str">
        <f>'iWork,IBP &amp; Framework_SOW Items'!E141</f>
        <v>Milestone 5</v>
      </c>
      <c r="B145" s="54" t="str">
        <f>'iWork,IBP &amp; Framework_SOW Items'!D141</f>
        <v>DPDP</v>
      </c>
      <c r="C145" s="55" t="str">
        <f>'iWork,IBP &amp; Framework_SOW Items'!B141</f>
        <v>Enable delete pipeline</v>
      </c>
      <c r="D145" s="56">
        <f>'iWork,IBP &amp; Framework_SOW Items'!C141</f>
        <v>0</v>
      </c>
      <c r="E145" s="54" t="str">
        <f>'iWork,IBP &amp; Framework_SOW Items'!F141</f>
        <v>Yet to start</v>
      </c>
      <c r="F145" s="54" t="str">
        <f>Helper!E141</f>
        <v>Pending</v>
      </c>
      <c r="G145" s="57">
        <f>IF('iWork,IBP &amp; Framework_SOW Items'!I141="","",'iWork,IBP &amp; Framework_SOW Items'!I141)</f>
        <v>46199</v>
      </c>
      <c r="H145" s="54" t="str">
        <f>IF('iWork,IBP &amp; Framework_SOW Items'!J141="","",'iWork,IBP &amp; Framework_SOW Items'!J141)</f>
        <v/>
      </c>
      <c r="I145" s="56" t="str">
        <f>IF('iWork,IBP &amp; Framework_SOW Items'!G141="","",'iWork,IBP &amp; Framework_SOW Items'!G141)</f>
        <v/>
      </c>
    </row>
    <row r="146" ht="15" hidden="1" customHeight="1" spans="1:9">
      <c r="A146" s="51" t="str">
        <f>'iWork,IBP &amp; Framework_SOW Items'!E142</f>
        <v>Milestone 5</v>
      </c>
      <c r="B146" s="51" t="str">
        <f>'iWork,IBP &amp; Framework_SOW Items'!D142</f>
        <v>DPDP</v>
      </c>
      <c r="C146" s="52" t="str">
        <f>'iWork,IBP &amp; Framework_SOW Items'!B142</f>
        <v>Allow user corrections</v>
      </c>
      <c r="D146" s="53">
        <f>'iWork,IBP &amp; Framework_SOW Items'!C142</f>
        <v>0</v>
      </c>
      <c r="E146" s="51" t="str">
        <f>'iWork,IBP &amp; Framework_SOW Items'!F142</f>
        <v>Yet to start</v>
      </c>
      <c r="F146" s="51" t="str">
        <f>Helper!E142</f>
        <v>Pending</v>
      </c>
      <c r="G146" s="51">
        <f>IF('iWork,IBP &amp; Framework_SOW Items'!I142="","",'iWork,IBP &amp; Framework_SOW Items'!I142)</f>
        <v>46199</v>
      </c>
      <c r="H146" s="51" t="str">
        <f>IF('iWork,IBP &amp; Framework_SOW Items'!J142="","",'iWork,IBP &amp; Framework_SOW Items'!J142)</f>
        <v/>
      </c>
      <c r="I146" s="53" t="str">
        <f>IF('iWork,IBP &amp; Framework_SOW Items'!G142="","",'iWork,IBP &amp; Framework_SOW Items'!G142)</f>
        <v/>
      </c>
    </row>
    <row r="147" ht="15" hidden="1" customHeight="1" spans="1:9">
      <c r="A147" s="54" t="str">
        <f>'iWork,IBP &amp; Framework_SOW Items'!E143</f>
        <v>Milestone 5</v>
      </c>
      <c r="B147" s="54" t="str">
        <f>'iWork,IBP &amp; Framework_SOW Items'!D143</f>
        <v>DPDP</v>
      </c>
      <c r="C147" s="55" t="str">
        <f>'iWork,IBP &amp; Framework_SOW Items'!B143</f>
        <v>Delete expired data</v>
      </c>
      <c r="D147" s="56">
        <f>'iWork,IBP &amp; Framework_SOW Items'!C143</f>
        <v>0</v>
      </c>
      <c r="E147" s="54" t="str">
        <f>'iWork,IBP &amp; Framework_SOW Items'!F143</f>
        <v>Yet to start</v>
      </c>
      <c r="F147" s="54" t="str">
        <f>Helper!E143</f>
        <v>Pending</v>
      </c>
      <c r="G147" s="54">
        <f>IF('iWork,IBP &amp; Framework_SOW Items'!I143="","",'iWork,IBP &amp; Framework_SOW Items'!I143)</f>
        <v>46199</v>
      </c>
      <c r="H147" s="54" t="str">
        <f>IF('iWork,IBP &amp; Framework_SOW Items'!J143="","",'iWork,IBP &amp; Framework_SOW Items'!J143)</f>
        <v/>
      </c>
      <c r="I147" s="56" t="str">
        <f>IF('iWork,IBP &amp; Framework_SOW Items'!G143="","",'iWork,IBP &amp; Framework_SOW Items'!G143)</f>
        <v/>
      </c>
    </row>
    <row r="148" ht="15" hidden="1" customHeight="1" spans="1:9">
      <c r="A148" s="51" t="str">
        <f>'iWork,IBP &amp; Framework_SOW Items'!E144</f>
        <v>Milestone 5</v>
      </c>
      <c r="B148" s="51" t="str">
        <f>'iWork,IBP &amp; Framework_SOW Items'!D144</f>
        <v>DPDP</v>
      </c>
      <c r="C148" s="52" t="str">
        <f>'iWork,IBP &amp; Framework_SOW Items'!B144</f>
        <v>Sign DPDP clauses</v>
      </c>
      <c r="D148" s="53">
        <f>'iWork,IBP &amp; Framework_SOW Items'!C144</f>
        <v>0</v>
      </c>
      <c r="E148" s="51" t="str">
        <f>'iWork,IBP &amp; Framework_SOW Items'!F144</f>
        <v>Yet to start</v>
      </c>
      <c r="F148" s="51" t="str">
        <f>Helper!E144</f>
        <v>Pending</v>
      </c>
      <c r="G148" s="51">
        <f>IF('iWork,IBP &amp; Framework_SOW Items'!I144="","",'iWork,IBP &amp; Framework_SOW Items'!I144)</f>
        <v>46199</v>
      </c>
      <c r="H148" s="51" t="str">
        <f>IF('iWork,IBP &amp; Framework_SOW Items'!J144="","",'iWork,IBP &amp; Framework_SOW Items'!J144)</f>
        <v/>
      </c>
      <c r="I148" s="53" t="str">
        <f>IF('iWork,IBP &amp; Framework_SOW Items'!G144="","",'iWork,IBP &amp; Framework_SOW Items'!G144)</f>
        <v/>
      </c>
    </row>
    <row r="149" ht="15" hidden="1" customHeight="1" spans="1:9">
      <c r="A149" s="54" t="str">
        <f>'iWork,IBP &amp; Framework_SOW Items'!E145</f>
        <v>Milestone 5</v>
      </c>
      <c r="B149" s="54" t="str">
        <f>'iWork,IBP &amp; Framework_SOW Items'!D145</f>
        <v>DPDP</v>
      </c>
      <c r="C149" s="55" t="str">
        <f>'iWork,IBP &amp; Framework_SOW Items'!B145</f>
        <v>Define archival</v>
      </c>
      <c r="D149" s="56">
        <f>'iWork,IBP &amp; Framework_SOW Items'!C145</f>
        <v>0</v>
      </c>
      <c r="E149" s="54" t="str">
        <f>'iWork,IBP &amp; Framework_SOW Items'!F145</f>
        <v>Yet to start</v>
      </c>
      <c r="F149" s="54" t="str">
        <f>Helper!E145</f>
        <v>Pending</v>
      </c>
      <c r="G149" s="57">
        <f>IF('iWork,IBP &amp; Framework_SOW Items'!I145="","",'iWork,IBP &amp; Framework_SOW Items'!I145)</f>
        <v>46203</v>
      </c>
      <c r="H149" s="54" t="str">
        <f>IF('iWork,IBP &amp; Framework_SOW Items'!J145="","",'iWork,IBP &amp; Framework_SOW Items'!J145)</f>
        <v/>
      </c>
      <c r="I149" s="56" t="str">
        <f>IF('iWork,IBP &amp; Framework_SOW Items'!G145="","",'iWork,IBP &amp; Framework_SOW Items'!G145)</f>
        <v/>
      </c>
    </row>
    <row r="150" ht="15" hidden="1" customHeight="1" spans="1:9">
      <c r="A150" s="51" t="str">
        <f>'iWork,IBP &amp; Framework_SOW Items'!E146</f>
        <v>Milestone 5</v>
      </c>
      <c r="B150" s="51" t="str">
        <f>'iWork,IBP &amp; Framework_SOW Items'!D146</f>
        <v>DPDP</v>
      </c>
      <c r="C150" s="52" t="str">
        <f>'iWork,IBP &amp; Framework_SOW Items'!B146</f>
        <v>Enable SAST</v>
      </c>
      <c r="D150" s="53">
        <f>'iWork,IBP &amp; Framework_SOW Items'!C146</f>
        <v>0</v>
      </c>
      <c r="E150" s="51" t="str">
        <f>'iWork,IBP &amp; Framework_SOW Items'!F146</f>
        <v>Dev - WIP</v>
      </c>
      <c r="F150" s="51" t="str">
        <f>Helper!E146</f>
        <v>Pending</v>
      </c>
      <c r="G150" s="59" t="str">
        <f>IF('iWork,IBP &amp; Framework_SOW Items'!I146="","",'iWork,IBP &amp; Framework_SOW Items'!I146)</f>
        <v/>
      </c>
      <c r="H150" s="51" t="str">
        <f>IF('iWork,IBP &amp; Framework_SOW Items'!J146="","",'iWork,IBP &amp; Framework_SOW Items'!J146)</f>
        <v/>
      </c>
      <c r="I150" s="53" t="str">
        <f>IF('iWork,IBP &amp; Framework_SOW Items'!G146="","",'iWork,IBP &amp; Framework_SOW Items'!G146)</f>
        <v/>
      </c>
    </row>
    <row r="151" ht="15" hidden="1" customHeight="1" spans="1:9">
      <c r="A151" s="54" t="str">
        <f>'iWork,IBP &amp; Framework_SOW Items'!E147</f>
        <v>Milestone 5</v>
      </c>
      <c r="B151" s="54" t="str">
        <f>'iWork,IBP &amp; Framework_SOW Items'!D147</f>
        <v>IBP</v>
      </c>
      <c r="C151" s="55" t="str">
        <f>'iWork,IBP &amp; Framework_SOW Items'!B147</f>
        <v>3rd Party SSO</v>
      </c>
      <c r="D151" s="56" t="str">
        <f>'iWork,IBP &amp; Framework_SOW Items'!C147</f>
        <v>Props based SSO links to 3rd Parties</v>
      </c>
      <c r="E151" s="54" t="str">
        <f>'iWork,IBP &amp; Framework_SOW Items'!F147</f>
        <v>Delivered</v>
      </c>
      <c r="F151" s="54" t="str">
        <f>Helper!E147</f>
        <v>Delivered</v>
      </c>
      <c r="G151" s="57">
        <f>IF('iWork,IBP &amp; Framework_SOW Items'!I147="","",'iWork,IBP &amp; Framework_SOW Items'!I147)</f>
        <v>46174</v>
      </c>
      <c r="H151" s="54" t="str">
        <f>IF('iWork,IBP &amp; Framework_SOW Items'!J147="","",'iWork,IBP &amp; Framework_SOW Items'!J147)</f>
        <v>Abhilash</v>
      </c>
      <c r="I151" s="56" t="str">
        <f>IF('iWork,IBP &amp; Framework_SOW Items'!G147="","",'iWork,IBP &amp; Framework_SOW Items'!G147)</f>
        <v>SSO Framework implemented fro TPA</v>
      </c>
    </row>
    <row r="152" ht="15" hidden="1" customHeight="1" spans="1:9">
      <c r="A152" s="51" t="str">
        <f>'iWork,IBP &amp; Framework_SOW Items'!E148</f>
        <v>Milestone 5</v>
      </c>
      <c r="B152" s="51" t="str">
        <f>'iWork,IBP &amp; Framework_SOW Items'!D148</f>
        <v>IBP</v>
      </c>
      <c r="C152" s="52" t="str">
        <f>'iWork,IBP &amp; Framework_SOW Items'!B148</f>
        <v>Wellness Banner &amp; SSO</v>
      </c>
      <c r="D152" s="53" t="str">
        <f>'iWork,IBP &amp; Framework_SOW Items'!C148</f>
        <v>Add banner and SSO to Alyve Wellness (Only Banner)</v>
      </c>
      <c r="E152" s="51" t="str">
        <f>'iWork,IBP &amp; Framework_SOW Items'!F148</f>
        <v>Delivered</v>
      </c>
      <c r="F152" s="51" t="str">
        <f>Helper!E148</f>
        <v>Delivered</v>
      </c>
      <c r="G152" s="59">
        <f>IF('iWork,IBP &amp; Framework_SOW Items'!I148="","",'iWork,IBP &amp; Framework_SOW Items'!I148)</f>
        <v>46183</v>
      </c>
      <c r="H152" s="51" t="str">
        <f>IF('iWork,IBP &amp; Framework_SOW Items'!J148="","",'iWork,IBP &amp; Framework_SOW Items'!J148)</f>
        <v/>
      </c>
      <c r="I152" s="53" t="str">
        <f>IF('iWork,IBP &amp; Framework_SOW Items'!G148="","",'iWork,IBP &amp; Framework_SOW Items'!G148)</f>
        <v/>
      </c>
    </row>
    <row r="153" ht="15" hidden="1" customHeight="1" spans="1:9">
      <c r="A153" s="54" t="str">
        <f>'iWork,IBP &amp; Framework_SOW Items'!E149</f>
        <v>Milestone 5</v>
      </c>
      <c r="B153" s="54" t="str">
        <f>'iWork,IBP &amp; Framework_SOW Items'!D149</f>
        <v>IBP</v>
      </c>
      <c r="C153" s="55" t="str">
        <f>'iWork,IBP &amp; Framework_SOW Items'!B149</f>
        <v>Hospital Network Mgmt</v>
      </c>
      <c r="D153" s="56" t="str">
        <f>'iWork,IBP &amp; Framework_SOW Items'!C149</f>
        <v>Based on the Insurer and TPA, network of hospitals needs to be presented in a consolidated view</v>
      </c>
      <c r="E153" s="54" t="str">
        <f>'iWork,IBP &amp; Framework_SOW Items'!F149</f>
        <v>Delivered</v>
      </c>
      <c r="F153" s="54" t="str">
        <f>Helper!E149</f>
        <v>Delivered</v>
      </c>
      <c r="G153" s="57">
        <f>IF('iWork,IBP &amp; Framework_SOW Items'!I149="","",'iWork,IBP &amp; Framework_SOW Items'!I149)</f>
        <v>46184</v>
      </c>
      <c r="H153" s="54" t="str">
        <f>IF('iWork,IBP &amp; Framework_SOW Items'!J149="","",'iWork,IBP &amp; Framework_SOW Items'!J149)</f>
        <v/>
      </c>
      <c r="I153" s="56" t="str">
        <f>IF('iWork,IBP &amp; Framework_SOW Items'!G149="","",'iWork,IBP &amp; Framework_SOW Items'!G149)</f>
        <v/>
      </c>
    </row>
    <row r="154" ht="15" hidden="1" customHeight="1" spans="1:9">
      <c r="A154" s="51" t="str">
        <f>'iWork,IBP &amp; Framework_SOW Items'!E150</f>
        <v>Milestone 5</v>
      </c>
      <c r="B154" s="51" t="str">
        <f>'iWork,IBP &amp; Framework_SOW Items'!D150</f>
        <v>IBP</v>
      </c>
      <c r="C154" s="52" t="str">
        <f>'iWork,IBP &amp; Framework_SOW Items'!B150</f>
        <v>My Insurance</v>
      </c>
      <c r="D154" s="53" t="str">
        <f>'iWork,IBP &amp; Framework_SOW Items'!C150</f>
        <v>Part-2: Hub of all plans I have as an employee - individually signed up. Mostly a navigational page</v>
      </c>
      <c r="E154" s="51" t="str">
        <f>'iWork,IBP &amp; Framework_SOW Items'!F150</f>
        <v>Yet to start</v>
      </c>
      <c r="F154" s="51" t="str">
        <f>Helper!E150</f>
        <v>Pending</v>
      </c>
      <c r="G154" s="59">
        <f>IF('iWork,IBP &amp; Framework_SOW Items'!I150="","",'iWork,IBP &amp; Framework_SOW Items'!I150)</f>
        <v>46192</v>
      </c>
      <c r="H154" s="51" t="str">
        <f>IF('iWork,IBP &amp; Framework_SOW Items'!J150="","",'iWork,IBP &amp; Framework_SOW Items'!J150)</f>
        <v>Abhilash</v>
      </c>
      <c r="I154" s="53" t="str">
        <f>IF('iWork,IBP &amp; Framework_SOW Items'!G150="","",'iWork,IBP &amp; Framework_SOW Items'!G150)</f>
        <v>Retail insurance(facility to load user insurance policies)</v>
      </c>
    </row>
    <row r="155" ht="15" customHeight="1" spans="1:9">
      <c r="A155" s="54" t="str">
        <f>'iWork,IBP &amp; Framework_SOW Items'!E127</f>
        <v>Milestone 4</v>
      </c>
      <c r="B155" s="54" t="str">
        <f>'iWork,IBP &amp; Framework_SOW Items'!D127</f>
        <v>iWork</v>
      </c>
      <c r="C155" s="55" t="str">
        <f>'iWork,IBP &amp; Framework_SOW Items'!B127</f>
        <v>Knowledge Central</v>
      </c>
      <c r="D155" s="56">
        <f>'iWork,IBP &amp; Framework_SOW Items'!C127</f>
        <v>0</v>
      </c>
      <c r="E155" s="54" t="str">
        <f>'iWork,IBP &amp; Framework_SOW Items'!F127</f>
        <v>Delivered</v>
      </c>
      <c r="F155" s="54" t="str">
        <f>Helper!E127</f>
        <v>Delivered</v>
      </c>
      <c r="G155" s="57" t="str">
        <f>IF('iWork,IBP &amp; Framework_SOW Items'!I127="","",'iWork,IBP &amp; Framework_SOW Items'!I127)</f>
        <v/>
      </c>
      <c r="H155" s="54" t="str">
        <f>IF('iWork,IBP &amp; Framework_SOW Items'!J127="","",'iWork,IBP &amp; Framework_SOW Items'!J127)</f>
        <v/>
      </c>
      <c r="I155" s="56" t="str">
        <f>IF('iWork,IBP &amp; Framework_SOW Items'!G127="","",'iWork,IBP &amp; Framework_SOW Items'!G127)</f>
        <v/>
      </c>
    </row>
    <row r="156" ht="15" customHeight="1" spans="1:9">
      <c r="A156" s="54" t="str">
        <f>'iWork,IBP &amp; Framework_SOW Items'!E243</f>
        <v>Milestone 6</v>
      </c>
      <c r="B156" s="54" t="str">
        <f>'iWork,IBP &amp; Framework_SOW Items'!D243</f>
        <v>iWork</v>
      </c>
      <c r="C156" s="55" t="str">
        <f>'iWork,IBP &amp; Framework_SOW Items'!B243</f>
        <v>IIRM-10587</v>
      </c>
      <c r="D156" s="56" t="str">
        <f>'iWork,IBP &amp; Framework_SOW Items'!C243</f>
        <v>Add new fields - Business Month &amp; Date of Business - Capture in Opty. &amp; Flow to Policy and add filters in BizDone
--&gt; Refer to Madhav email "Business Month Requirement"</v>
      </c>
      <c r="E156" s="54" t="str">
        <f>'iWork,IBP &amp; Framework_SOW Items'!F243</f>
        <v>Delivered - Deficit</v>
      </c>
      <c r="F156" s="54" t="str">
        <f>Helper!E243</f>
        <v>Pending</v>
      </c>
      <c r="G156" s="57">
        <f>IF('iWork,IBP &amp; Framework_SOW Items'!I243="","",'iWork,IBP &amp; Framework_SOW Items'!I243)</f>
        <v>46195</v>
      </c>
      <c r="H156" s="54" t="str">
        <f>IF('iWork,IBP &amp; Framework_SOW Items'!J243="","",'iWork,IBP &amp; Framework_SOW Items'!J243)</f>
        <v>Pushyami</v>
      </c>
      <c r="I156" s="56" t="str">
        <f>IF('iWork,IBP &amp; Framework_SOW Items'!G243="","",'iWork,IBP &amp; Framework_SOW Items'!G243)</f>
        <v>Pending: Additional filters</v>
      </c>
    </row>
    <row r="157" ht="15" customHeight="1" spans="1:9">
      <c r="A157" s="51" t="str">
        <f>'iWork,IBP &amp; Framework_SOW Items'!E244</f>
        <v>Milestone 6</v>
      </c>
      <c r="B157" s="51" t="str">
        <f>'iWork,IBP &amp; Framework_SOW Items'!D244</f>
        <v>iWork</v>
      </c>
      <c r="C157" s="52" t="str">
        <f>'iWork,IBP &amp; Framework_SOW Items'!B244</f>
        <v>VRK - PROD Feedback: 8-Jun-2026</v>
      </c>
      <c r="D157" s="53" t="str">
        <f>'iWork,IBP &amp; Framework_SOW Items'!C244</f>
        <v>Commercial lines 25-26 numbers should be rectified; it should be 24.99</v>
      </c>
      <c r="E157" s="51" t="str">
        <f>'iWork,IBP &amp; Framework_SOW Items'!F244</f>
        <v>Delivered</v>
      </c>
      <c r="F157" s="51" t="str">
        <f>Helper!E244</f>
        <v>Delivered</v>
      </c>
      <c r="G157" s="59">
        <f>IF('iWork,IBP &amp; Framework_SOW Items'!I244="","",'iWork,IBP &amp; Framework_SOW Items'!I244)</f>
        <v>46192</v>
      </c>
      <c r="H157" s="51" t="str">
        <f>IF('iWork,IBP &amp; Framework_SOW Items'!J244="","",'iWork,IBP &amp; Framework_SOW Items'!J244)</f>
        <v>Rama</v>
      </c>
      <c r="I157" s="53" t="str">
        <f>IF('iWork,IBP &amp; Framework_SOW Items'!G244="","",'iWork,IBP &amp; Framework_SOW Items'!G244)</f>
        <v/>
      </c>
    </row>
    <row r="158" ht="15" customHeight="1" spans="1:9">
      <c r="A158" s="51" t="str">
        <f>'iWork,IBP &amp; Framework_SOW Items'!E260</f>
        <v>Milestone 6</v>
      </c>
      <c r="B158" s="51" t="str">
        <f>'iWork,IBP &amp; Framework_SOW Items'!D260</f>
        <v>iWork - CR</v>
      </c>
      <c r="C158" s="52" t="str">
        <f>'iWork,IBP &amp; Framework_SOW Items'!B260</f>
        <v>Opportunity - Validate uploaded documents</v>
      </c>
      <c r="D158" s="53" t="str">
        <f>'iWork,IBP &amp; Framework_SOW Items'!C260</f>
        <v>Using AI - Extract the documents, validate, populate the data in the Opty. flow (Ex. KDM Meeting, Policy Hard Copy, &amp; Others)</v>
      </c>
      <c r="E158" s="51" t="str">
        <f>'iWork,IBP &amp; Framework_SOW Items'!F260</f>
        <v>Yet to start</v>
      </c>
      <c r="F158" s="51" t="str">
        <f>Helper!E260</f>
        <v>Pending</v>
      </c>
      <c r="G158" s="59">
        <f>IF('iWork,IBP &amp; Framework_SOW Items'!I260="","",'iWork,IBP &amp; Framework_SOW Items'!I260)</f>
        <v>46197</v>
      </c>
      <c r="H158" s="51" t="str">
        <f>IF('iWork,IBP &amp; Framework_SOW Items'!J260="","",'iWork,IBP &amp; Framework_SOW Items'!J260)</f>
        <v>Jagadeesh</v>
      </c>
      <c r="I158" s="53" t="str">
        <f>IF('iWork,IBP &amp; Framework_SOW Items'!G260="","",'iWork,IBP &amp; Framework_SOW Items'!G260)</f>
        <v>Need some information about the document rules that defines the idenity of it</v>
      </c>
    </row>
    <row r="159" ht="15" customHeight="1" spans="1:9">
      <c r="A159" s="51" t="str">
        <f>'iWork,IBP &amp; Framework_SOW Items'!E124</f>
        <v>Milestone 4</v>
      </c>
      <c r="B159" s="51" t="str">
        <f>'iWork,IBP &amp; Framework_SOW Items'!D124</f>
        <v>iWork</v>
      </c>
      <c r="C159" s="52" t="str">
        <f>'iWork,IBP &amp; Framework_SOW Items'!B124</f>
        <v>View Service Score</v>
      </c>
      <c r="D159" s="53" t="str">
        <f>'iWork,IBP &amp; Framework_SOW Items'!C124</f>
        <v>Servicing Stats Dashboard - Single Table (drillable) to calculate an overall score</v>
      </c>
      <c r="E159" s="51" t="str">
        <f>'iWork,IBP &amp; Framework_SOW Items'!F124</f>
        <v>Delivered - Deficit</v>
      </c>
      <c r="F159" s="51" t="str">
        <f>Helper!E124</f>
        <v>Pending</v>
      </c>
      <c r="G159" s="59">
        <f>IF('iWork,IBP &amp; Framework_SOW Items'!I124="","",'iWork,IBP &amp; Framework_SOW Items'!I124)</f>
        <v>46199</v>
      </c>
      <c r="H159" s="51" t="str">
        <f>IF('iWork,IBP &amp; Framework_SOW Items'!J124="","",'iWork,IBP &amp; Framework_SOW Items'!J124)</f>
        <v>Pushyami</v>
      </c>
      <c r="I159" s="53" t="str">
        <f>IF('iWork,IBP &amp; Framework_SOW Items'!G124="","",'iWork,IBP &amp; Framework_SOW Items'!G124)</f>
        <v>Pending: Meeting, MIR calculation</v>
      </c>
    </row>
    <row r="160" ht="15" customHeight="1" spans="1:9">
      <c r="A160" s="51" t="str">
        <f>'iWork,IBP &amp; Framework_SOW Items'!E60</f>
        <v>Milestone 2</v>
      </c>
      <c r="B160" s="51" t="str">
        <f>'iWork,IBP &amp; Framework_SOW Items'!D60</f>
        <v>iWork</v>
      </c>
      <c r="C160" s="52" t="str">
        <f>'iWork,IBP &amp; Framework_SOW Items'!B60</f>
        <v>Planning, Perform and Approval Mgmt</v>
      </c>
      <c r="D160" s="53">
        <f>'iWork,IBP &amp; Framework_SOW Items'!C60</f>
        <v>0</v>
      </c>
      <c r="E160" s="51" t="str">
        <f>'iWork,IBP &amp; Framework_SOW Items'!F60</f>
        <v>Delivered</v>
      </c>
      <c r="F160" s="51" t="str">
        <f>Helper!E60</f>
        <v>Delivered</v>
      </c>
      <c r="G160" s="59" t="str">
        <f>IF('iWork,IBP &amp; Framework_SOW Items'!I60="","",'iWork,IBP &amp; Framework_SOW Items'!I60)</f>
        <v/>
      </c>
      <c r="H160" s="51" t="str">
        <f>IF('iWork,IBP &amp; Framework_SOW Items'!J60="","",'iWork,IBP &amp; Framework_SOW Items'!J60)</f>
        <v/>
      </c>
      <c r="I160" s="53" t="str">
        <f>IF('iWork,IBP &amp; Framework_SOW Items'!G60="","",'iWork,IBP &amp; Framework_SOW Items'!G60)</f>
        <v/>
      </c>
    </row>
    <row r="161" ht="15" customHeight="1" spans="1:9">
      <c r="A161" s="54" t="str">
        <f>'iWork,IBP &amp; Framework_SOW Items'!E115</f>
        <v>Milestone 4</v>
      </c>
      <c r="B161" s="54" t="str">
        <f>'iWork,IBP &amp; Framework_SOW Items'!D115</f>
        <v>IBP/iWork</v>
      </c>
      <c r="C161" s="55" t="str">
        <f>'iWork,IBP &amp; Framework_SOW Items'!B115</f>
        <v>Auth Config UI</v>
      </c>
      <c r="D161" s="56" t="str">
        <f>'iWork,IBP &amp; Framework_SOW Items'!C115</f>
        <v>Config for Auth Rules setup</v>
      </c>
      <c r="E161" s="54" t="str">
        <f>'iWork,IBP &amp; Framework_SOW Items'!F115</f>
        <v>Delivered</v>
      </c>
      <c r="F161" s="54" t="str">
        <f>Helper!E115</f>
        <v>Delivered</v>
      </c>
      <c r="G161" s="57" t="str">
        <f>IF('iWork,IBP &amp; Framework_SOW Items'!I115="","",'iWork,IBP &amp; Framework_SOW Items'!I115)</f>
        <v/>
      </c>
      <c r="H161" s="54" t="str">
        <f>IF('iWork,IBP &amp; Framework_SOW Items'!J115="","",'iWork,IBP &amp; Framework_SOW Items'!J115)</f>
        <v/>
      </c>
      <c r="I161" s="56" t="str">
        <f>IF('iWork,IBP &amp; Framework_SOW Items'!G115="","",'iWork,IBP &amp; Framework_SOW Items'!G115)</f>
        <v/>
      </c>
    </row>
    <row r="162" ht="15" customHeight="1" spans="1:9">
      <c r="A162" s="51" t="str">
        <f>'iWork,IBP &amp; Framework_SOW Items'!E118</f>
        <v>Milestone 4</v>
      </c>
      <c r="B162" s="51" t="str">
        <f>'iWork,IBP &amp; Framework_SOW Items'!D118</f>
        <v>iWork</v>
      </c>
      <c r="C162" s="52" t="str">
        <f>'iWork,IBP &amp; Framework_SOW Items'!B118</f>
        <v>Reports - Biz Done</v>
      </c>
      <c r="D162" s="53" t="str">
        <f>'iWork,IBP &amp; Framework_SOW Items'!C118</f>
        <v>Bizonde filter/table - Add "Income type"</v>
      </c>
      <c r="E162" s="51" t="str">
        <f>'iWork,IBP &amp; Framework_SOW Items'!F118</f>
        <v>Delivered</v>
      </c>
      <c r="F162" s="51" t="str">
        <f>Helper!E118</f>
        <v>Delivered</v>
      </c>
      <c r="G162" s="59">
        <f>IF('iWork,IBP &amp; Framework_SOW Items'!I118="","",'iWork,IBP &amp; Framework_SOW Items'!I118)</f>
        <v>46168</v>
      </c>
      <c r="H162" s="51" t="str">
        <f>IF('iWork,IBP &amp; Framework_SOW Items'!J118="","",'iWork,IBP &amp; Framework_SOW Items'!J118)</f>
        <v>Karan</v>
      </c>
      <c r="I162" s="53" t="str">
        <f>IF('iWork,IBP &amp; Framework_SOW Items'!G118="","",'iWork,IBP &amp; Framework_SOW Items'!G118)</f>
        <v/>
      </c>
    </row>
    <row r="163" ht="15" customHeight="1" spans="1:9">
      <c r="A163" s="51" t="str">
        <f>'iWork,IBP &amp; Framework_SOW Items'!E122</f>
        <v>Milestone 4</v>
      </c>
      <c r="B163" s="51" t="str">
        <f>'iWork,IBP &amp; Framework_SOW Items'!D122</f>
        <v>iWork</v>
      </c>
      <c r="C163" s="52" t="str">
        <f>'iWork,IBP &amp; Framework_SOW Items'!B122</f>
        <v>Dashboard - FinOps Data</v>
      </c>
      <c r="D163" s="53" t="str">
        <f>'iWork,IBP &amp; Framework_SOW Items'!C122</f>
        <v>Premium vs Brokerage Invoice vs Brokerage Collected; Data from Finops</v>
      </c>
      <c r="E163" s="51" t="str">
        <f>'iWork,IBP &amp; Framework_SOW Items'!F122</f>
        <v>Yet to start</v>
      </c>
      <c r="F163" s="51" t="str">
        <f>Helper!E122</f>
        <v>Pending</v>
      </c>
      <c r="G163" s="59">
        <f>IF('iWork,IBP &amp; Framework_SOW Items'!I122="","",'iWork,IBP &amp; Framework_SOW Items'!I122)</f>
        <v>46199</v>
      </c>
      <c r="H163" s="51" t="str">
        <f>IF('iWork,IBP &amp; Framework_SOW Items'!J122="","",'iWork,IBP &amp; Framework_SOW Items'!J122)</f>
        <v/>
      </c>
      <c r="I163" s="53" t="str">
        <f>IF('iWork,IBP &amp; Framework_SOW Items'!G122="","",'iWork,IBP &amp; Framework_SOW Items'!G122)</f>
        <v>Duplicate of reconcilation</v>
      </c>
    </row>
    <row r="164" ht="15" customHeight="1" spans="1:9">
      <c r="A164" s="54" t="str">
        <f>'iWork,IBP &amp; Framework_SOW Items'!E123</f>
        <v>Milestone 4</v>
      </c>
      <c r="B164" s="54" t="str">
        <f>'iWork,IBP &amp; Framework_SOW Items'!D123</f>
        <v>iWork</v>
      </c>
      <c r="C164" s="55" t="str">
        <f>'iWork,IBP &amp; Framework_SOW Items'!B123</f>
        <v>Reports - Biz Done</v>
      </c>
      <c r="D164" s="56" t="str">
        <f>'iWork,IBP &amp; Framework_SOW Items'!C123</f>
        <v>BizDone - Finance Team to see the respective Org. data similar to VRK</v>
      </c>
      <c r="E164" s="54" t="str">
        <f>'iWork,IBP &amp; Framework_SOW Items'!F123</f>
        <v>Yet to start</v>
      </c>
      <c r="F164" s="54" t="str">
        <f>Helper!E123</f>
        <v>Pending</v>
      </c>
      <c r="G164" s="57">
        <f>IF('iWork,IBP &amp; Framework_SOW Items'!I123="","",'iWork,IBP &amp; Framework_SOW Items'!I123)</f>
        <v>46197</v>
      </c>
      <c r="H164" s="54" t="str">
        <f>IF('iWork,IBP &amp; Framework_SOW Items'!J123="","",'iWork,IBP &amp; Framework_SOW Items'!J123)</f>
        <v>Karan</v>
      </c>
      <c r="I164" s="56" t="str">
        <f>IF('iWork,IBP &amp; Framework_SOW Items'!G123="","",'iWork,IBP &amp; Framework_SOW Items'!G123)</f>
        <v/>
      </c>
    </row>
    <row r="165" ht="15" customHeight="1" spans="1:9">
      <c r="A165" s="54" t="str">
        <f>'iWork,IBP &amp; Framework_SOW Items'!E125</f>
        <v>Milestone 4</v>
      </c>
      <c r="B165" s="54" t="str">
        <f>'iWork,IBP &amp; Framework_SOW Items'!D125</f>
        <v>iWork</v>
      </c>
      <c r="C165" s="55" t="str">
        <f>'iWork,IBP &amp; Framework_SOW Items'!B125</f>
        <v>Teams Integration</v>
      </c>
      <c r="D165" s="56" t="str">
        <f>'iWork,IBP &amp; Framework_SOW Items'!C125</f>
        <v>MS Teams - Meetings &amp; Tasks integration into iWork</v>
      </c>
      <c r="E165" s="54" t="str">
        <f>'iWork,IBP &amp; Framework_SOW Items'!F125</f>
        <v>Yet to start</v>
      </c>
      <c r="F165" s="54" t="str">
        <f>Helper!E125</f>
        <v>Pending</v>
      </c>
      <c r="G165" s="57">
        <f>IF('iWork,IBP &amp; Framework_SOW Items'!I125="","",'iWork,IBP &amp; Framework_SOW Items'!I125)</f>
        <v>46203</v>
      </c>
      <c r="H165" s="54" t="str">
        <f>IF('iWork,IBP &amp; Framework_SOW Items'!J125="","",'iWork,IBP &amp; Framework_SOW Items'!J125)</f>
        <v>Rama</v>
      </c>
      <c r="I165" s="56" t="str">
        <f>IF('iWork,IBP &amp; Framework_SOW Items'!G125="","",'iWork,IBP &amp; Framework_SOW Items'!G125)</f>
        <v/>
      </c>
    </row>
    <row r="166" ht="15" customHeight="1" spans="1:9">
      <c r="A166" s="51" t="str">
        <f>'iWork,IBP &amp; Framework_SOW Items'!E126</f>
        <v>Milestone 4</v>
      </c>
      <c r="B166" s="51" t="str">
        <f>'iWork,IBP &amp; Framework_SOW Items'!D126</f>
        <v>iWork</v>
      </c>
      <c r="C166" s="52" t="str">
        <f>'iWork,IBP &amp; Framework_SOW Items'!B126</f>
        <v>Knowledge Central</v>
      </c>
      <c r="D166" s="53" t="str">
        <f>'iWork,IBP &amp; Framework_SOW Items'!C126</f>
        <v>Grouped list of Documents/Resources, Add a Document, Remove a Document (Add/remove only for admins)</v>
      </c>
      <c r="E166" s="51" t="str">
        <f>'iWork,IBP &amp; Framework_SOW Items'!F126</f>
        <v>Delivered</v>
      </c>
      <c r="F166" s="51" t="str">
        <f>Helper!E126</f>
        <v>Delivered</v>
      </c>
      <c r="G166" s="59" t="str">
        <f>IF('iWork,IBP &amp; Framework_SOW Items'!I126="","",'iWork,IBP &amp; Framework_SOW Items'!I126)</f>
        <v/>
      </c>
      <c r="H166" s="51" t="str">
        <f>IF('iWork,IBP &amp; Framework_SOW Items'!J126="","",'iWork,IBP &amp; Framework_SOW Items'!J126)</f>
        <v/>
      </c>
      <c r="I166" s="53" t="str">
        <f>IF('iWork,IBP &amp; Framework_SOW Items'!G126="","",'iWork,IBP &amp; Framework_SOW Items'!G126)</f>
        <v/>
      </c>
    </row>
    <row r="167" ht="15" customHeight="1" spans="1:9">
      <c r="A167" s="54" t="str">
        <f>'iWork,IBP &amp; Framework_SOW Items'!E151</f>
        <v>Milestone 5</v>
      </c>
      <c r="B167" s="54" t="str">
        <f>'iWork,IBP &amp; Framework_SOW Items'!D151</f>
        <v>IBP</v>
      </c>
      <c r="C167" s="55" t="str">
        <f>'iWork,IBP &amp; Framework_SOW Items'!B151</f>
        <v>Static Info Sections - Landing</v>
      </c>
      <c r="D167" s="56" t="str">
        <f>'iWork,IBP &amp; Framework_SOW Items'!C151</f>
        <v>Benefits Guide, FAQs, Help</v>
      </c>
      <c r="E167" s="54" t="str">
        <f>'iWork,IBP &amp; Framework_SOW Items'!F151</f>
        <v>Delivered</v>
      </c>
      <c r="F167" s="54" t="str">
        <f>Helper!E151</f>
        <v>Delivered</v>
      </c>
      <c r="G167" s="57" t="str">
        <f>IF('iWork,IBP &amp; Framework_SOW Items'!I151="","",'iWork,IBP &amp; Framework_SOW Items'!I151)</f>
        <v/>
      </c>
      <c r="H167" s="54" t="str">
        <f>IF('iWork,IBP &amp; Framework_SOW Items'!J151="","",'iWork,IBP &amp; Framework_SOW Items'!J151)</f>
        <v/>
      </c>
      <c r="I167" s="56" t="str">
        <f>IF('iWork,IBP &amp; Framework_SOW Items'!G151="","",'iWork,IBP &amp; Framework_SOW Items'!G151)</f>
        <v/>
      </c>
    </row>
    <row r="168" ht="15" customHeight="1" spans="1:9">
      <c r="A168" s="51" t="str">
        <f>'iWork,IBP &amp; Framework_SOW Items'!E152</f>
        <v>Milestone 5</v>
      </c>
      <c r="B168" s="51" t="str">
        <f>'iWork,IBP &amp; Framework_SOW Items'!D152</f>
        <v>IBP</v>
      </c>
      <c r="C168" s="52" t="str">
        <f>'iWork,IBP &amp; Framework_SOW Items'!B152</f>
        <v>Initiate Claim</v>
      </c>
      <c r="D168" s="53" t="str">
        <f>'iWork,IBP &amp; Framework_SOW Items'!C152</f>
        <v>Initiate claim for GMC (non-cashless), upload docs etc.</v>
      </c>
      <c r="E168" s="51" t="str">
        <f>'iWork,IBP &amp; Framework_SOW Items'!F152</f>
        <v>Delivered</v>
      </c>
      <c r="F168" s="51" t="str">
        <f>Helper!E152</f>
        <v>Delivered</v>
      </c>
      <c r="G168" s="59" t="str">
        <f>IF('iWork,IBP &amp; Framework_SOW Items'!I152="","",'iWork,IBP &amp; Framework_SOW Items'!I152)</f>
        <v/>
      </c>
      <c r="H168" s="51" t="str">
        <f>IF('iWork,IBP &amp; Framework_SOW Items'!J152="","",'iWork,IBP &amp; Framework_SOW Items'!J152)</f>
        <v/>
      </c>
      <c r="I168" s="53" t="str">
        <f>IF('iWork,IBP &amp; Framework_SOW Items'!G152="","",'iWork,IBP &amp; Framework_SOW Items'!G152)</f>
        <v>Pending: TPA &amp; Insurer API integrations</v>
      </c>
    </row>
    <row r="169" ht="15" customHeight="1" spans="1:9">
      <c r="A169" s="51" t="str">
        <f>'iWork,IBP &amp; Framework_SOW Items'!E154</f>
        <v>Milestone 5</v>
      </c>
      <c r="B169" s="51" t="str">
        <f>'iWork,IBP &amp; Framework_SOW Items'!D154</f>
        <v>IBP</v>
      </c>
      <c r="C169" s="52" t="str">
        <f>'iWork,IBP &amp; Framework_SOW Items'!B154</f>
        <v>Claims Mgmt</v>
      </c>
      <c r="D169" s="53" t="str">
        <f>'iWork,IBP &amp; Framework_SOW Items'!C154</f>
        <v>Part-1: Company Provided Policy based claim mgmt, Tracking status, Document Mgmt related to claims</v>
      </c>
      <c r="E169" s="51" t="str">
        <f>'iWork,IBP &amp; Framework_SOW Items'!F154</f>
        <v>Delivered</v>
      </c>
      <c r="F169" s="51" t="str">
        <f>Helper!E154</f>
        <v>Delivered</v>
      </c>
      <c r="G169" s="59" t="str">
        <f>IF('iWork,IBP &amp; Framework_SOW Items'!I154="","",'iWork,IBP &amp; Framework_SOW Items'!I154)</f>
        <v/>
      </c>
      <c r="H169" s="51" t="str">
        <f>IF('iWork,IBP &amp; Framework_SOW Items'!J154="","",'iWork,IBP &amp; Framework_SOW Items'!J154)</f>
        <v/>
      </c>
      <c r="I169" s="53" t="str">
        <f>IF('iWork,IBP &amp; Framework_SOW Items'!G154="","",'iWork,IBP &amp; Framework_SOW Items'!G154)</f>
        <v/>
      </c>
    </row>
    <row r="170" ht="15" customHeight="1" spans="1:9">
      <c r="A170" s="54" t="str">
        <f>'iWork,IBP &amp; Framework_SOW Items'!E155</f>
        <v>Milestone 5</v>
      </c>
      <c r="B170" s="54" t="str">
        <f>'iWork,IBP &amp; Framework_SOW Items'!D155</f>
        <v>IBP</v>
      </c>
      <c r="C170" s="55" t="str">
        <f>'iWork,IBP &amp; Framework_SOW Items'!B155</f>
        <v>IBP Landing Page - Advanced</v>
      </c>
      <c r="D170" s="56" t="str">
        <f>'iWork,IBP &amp; Framework_SOW Items'!C155</f>
        <v>Advanced Landing Page with individual plans &amp; wellness programs introduced
Quick Links, Promotional, high level dashboard, my plans, individual policies, company benefits, etc. Whitelabelling may be required (only Company Logo), but for future, theming may have to be supported</v>
      </c>
      <c r="E170" s="54" t="str">
        <f>'iWork,IBP &amp; Framework_SOW Items'!F155</f>
        <v>Delivered - Deficit</v>
      </c>
      <c r="F170" s="54" t="str">
        <f>Helper!E155</f>
        <v>Pending</v>
      </c>
      <c r="G170" s="57" t="str">
        <f>IF('iWork,IBP &amp; Framework_SOW Items'!I155="","",'iWork,IBP &amp; Framework_SOW Items'!I155)</f>
        <v/>
      </c>
      <c r="H170" s="54" t="str">
        <f>IF('iWork,IBP &amp; Framework_SOW Items'!J155="","",'iWork,IBP &amp; Framework_SOW Items'!J155)</f>
        <v/>
      </c>
      <c r="I170" s="56" t="str">
        <f>IF('iWork,IBP &amp; Framework_SOW Items'!G155="","",'iWork,IBP &amp; Framework_SOW Items'!G155)</f>
        <v>Pending: Wellness Program related</v>
      </c>
    </row>
    <row r="171" ht="15" customHeight="1" spans="1:9">
      <c r="A171" s="51" t="str">
        <f>'iWork,IBP &amp; Framework_SOW Items'!E164</f>
        <v>Milestone 5</v>
      </c>
      <c r="B171" s="51" t="str">
        <f>'iWork,IBP &amp; Framework_SOW Items'!D164</f>
        <v>IBP</v>
      </c>
      <c r="C171" s="52" t="str">
        <f>'iWork,IBP &amp; Framework_SOW Items'!B164</f>
        <v>Wellness Partner View</v>
      </c>
      <c r="D171" s="53" t="str">
        <f>'iWork,IBP &amp; Framework_SOW Items'!C164</f>
        <v>Partner/service provider view of the usage of their corresponding services</v>
      </c>
      <c r="E171" s="51" t="str">
        <f>'iWork,IBP &amp; Framework_SOW Items'!F164</f>
        <v>Yet to start</v>
      </c>
      <c r="F171" s="51" t="str">
        <f>Helper!E164</f>
        <v>Pending</v>
      </c>
      <c r="G171" s="59" t="str">
        <f>IF('iWork,IBP &amp; Framework_SOW Items'!I164="","",'iWork,IBP &amp; Framework_SOW Items'!I164)</f>
        <v/>
      </c>
      <c r="H171" s="51" t="str">
        <f>IF('iWork,IBP &amp; Framework_SOW Items'!J164="","",'iWork,IBP &amp; Framework_SOW Items'!J164)</f>
        <v/>
      </c>
      <c r="I171" s="53" t="str">
        <f>IF('iWork,IBP &amp; Framework_SOW Items'!G164="","",'iWork,IBP &amp; Framework_SOW Items'!G164)</f>
        <v/>
      </c>
    </row>
    <row r="172" ht="15" customHeight="1" spans="1:9">
      <c r="A172" s="51" t="str">
        <f>'iWork,IBP &amp; Framework_SOW Items'!E166</f>
        <v>Milestone 5</v>
      </c>
      <c r="B172" s="51" t="str">
        <f>'iWork,IBP &amp; Framework_SOW Items'!D166</f>
        <v>IBP</v>
      </c>
      <c r="C172" s="52" t="str">
        <f>'iWork,IBP &amp; Framework_SOW Items'!B166</f>
        <v>Profile Migration</v>
      </c>
      <c r="D172" s="53" t="str">
        <f>'iWork,IBP &amp; Framework_SOW Items'!C166</f>
        <v>Request migration of Corporate Profile to Individual</v>
      </c>
      <c r="E172" s="51" t="str">
        <f>'iWork,IBP &amp; Framework_SOW Items'!F166</f>
        <v>Yet to start</v>
      </c>
      <c r="F172" s="51" t="str">
        <f>Helper!E166</f>
        <v>Pending</v>
      </c>
      <c r="G172" s="59" t="str">
        <f>IF('iWork,IBP &amp; Framework_SOW Items'!I166="","",'iWork,IBP &amp; Framework_SOW Items'!I166)</f>
        <v/>
      </c>
      <c r="H172" s="51" t="str">
        <f>IF('iWork,IBP &amp; Framework_SOW Items'!J166="","",'iWork,IBP &amp; Framework_SOW Items'!J166)</f>
        <v/>
      </c>
      <c r="I172" s="53" t="str">
        <f>IF('iWork,IBP &amp; Framework_SOW Items'!G166="","",'iWork,IBP &amp; Framework_SOW Items'!G166)</f>
        <v/>
      </c>
    </row>
    <row r="173" ht="15" customHeight="1" spans="1:9">
      <c r="A173" s="51" t="str">
        <f>'iWork,IBP &amp; Framework_SOW Items'!E168</f>
        <v>Milestone 5</v>
      </c>
      <c r="B173" s="51" t="str">
        <f>'iWork,IBP &amp; Framework_SOW Items'!D168</f>
        <v>IBP</v>
      </c>
      <c r="C173" s="52" t="str">
        <f>'iWork,IBP &amp; Framework_SOW Items'!B168</f>
        <v>Individual Plan Summary</v>
      </c>
      <c r="D173" s="53" t="str">
        <f>'iWork,IBP &amp; Framework_SOW Items'!C168</f>
        <v>View of individual Plans currently owned with renewal dates, premiums etc.</v>
      </c>
      <c r="E173" s="51" t="str">
        <f>'iWork,IBP &amp; Framework_SOW Items'!F168</f>
        <v>Yet to start</v>
      </c>
      <c r="F173" s="51" t="str">
        <f>Helper!E168</f>
        <v>Pending</v>
      </c>
      <c r="G173" s="59" t="str">
        <f>IF('iWork,IBP &amp; Framework_SOW Items'!I168="","",'iWork,IBP &amp; Framework_SOW Items'!I168)</f>
        <v/>
      </c>
      <c r="H173" s="51" t="str">
        <f>IF('iWork,IBP &amp; Framework_SOW Items'!J168="","",'iWork,IBP &amp; Framework_SOW Items'!J168)</f>
        <v>Manjusha</v>
      </c>
      <c r="I173" s="53" t="str">
        <f>IF('iWork,IBP &amp; Framework_SOW Items'!G168="","",'iWork,IBP &amp; Framework_SOW Items'!G168)</f>
        <v>Pending: Retail insurance</v>
      </c>
    </row>
    <row r="174" ht="15" customHeight="1" spans="1:9">
      <c r="A174" s="54" t="str">
        <f>'iWork,IBP &amp; Framework_SOW Items'!E61</f>
        <v>Milestone 2</v>
      </c>
      <c r="B174" s="54" t="str">
        <f>'iWork,IBP &amp; Framework_SOW Items'!D61</f>
        <v>iWork</v>
      </c>
      <c r="C174" s="55" t="str">
        <f>'iWork,IBP &amp; Framework_SOW Items'!B61</f>
        <v>Policy Mgmt</v>
      </c>
      <c r="D174" s="56">
        <f>'iWork,IBP &amp; Framework_SOW Items'!C61</f>
        <v>0</v>
      </c>
      <c r="E174" s="54" t="str">
        <f>'iWork,IBP &amp; Framework_SOW Items'!F61</f>
        <v>Delivered</v>
      </c>
      <c r="F174" s="54" t="str">
        <f>Helper!E61</f>
        <v>Delivered</v>
      </c>
      <c r="G174" s="57" t="str">
        <f>IF('iWork,IBP &amp; Framework_SOW Items'!I61="","",'iWork,IBP &amp; Framework_SOW Items'!I61)</f>
        <v/>
      </c>
      <c r="H174" s="54" t="str">
        <f>IF('iWork,IBP &amp; Framework_SOW Items'!J61="","",'iWork,IBP &amp; Framework_SOW Items'!J61)</f>
        <v/>
      </c>
      <c r="I174" s="56" t="str">
        <f>IF('iWork,IBP &amp; Framework_SOW Items'!G61="","",'iWork,IBP &amp; Framework_SOW Items'!G61)</f>
        <v/>
      </c>
    </row>
    <row r="175" ht="15" customHeight="1" spans="1:9">
      <c r="A175" s="54" t="str">
        <f>'iWork,IBP &amp; Framework_SOW Items'!E117</f>
        <v>Milestone 4</v>
      </c>
      <c r="B175" s="54" t="str">
        <f>'iWork,IBP &amp; Framework_SOW Items'!D117</f>
        <v>IBP/iWork</v>
      </c>
      <c r="C175" s="55" t="str">
        <f>'iWork,IBP &amp; Framework_SOW Items'!B117</f>
        <v>Whitelabelling</v>
      </c>
      <c r="D175" s="56" t="str">
        <f>'iWork,IBP &amp; Framework_SOW Items'!C117</f>
        <v>Whitelabelling based on Org needs (IBP Admin)</v>
      </c>
      <c r="E175" s="54" t="str">
        <f>'iWork,IBP &amp; Framework_SOW Items'!F117</f>
        <v>Delivered</v>
      </c>
      <c r="F175" s="54" t="str">
        <f>Helper!E117</f>
        <v>Delivered</v>
      </c>
      <c r="G175" s="57" t="str">
        <f>IF('iWork,IBP &amp; Framework_SOW Items'!I117="","",'iWork,IBP &amp; Framework_SOW Items'!I117)</f>
        <v/>
      </c>
      <c r="H175" s="54" t="str">
        <f>IF('iWork,IBP &amp; Framework_SOW Items'!J117="","",'iWork,IBP &amp; Framework_SOW Items'!J117)</f>
        <v/>
      </c>
      <c r="I175" s="56" t="str">
        <f>IF('iWork,IBP &amp; Framework_SOW Items'!G117="","",'iWork,IBP &amp; Framework_SOW Items'!G117)</f>
        <v/>
      </c>
    </row>
    <row r="176" ht="15" customHeight="1" spans="1:9">
      <c r="A176" s="51" t="str">
        <f>'iWork,IBP &amp; Framework_SOW Items'!E120</f>
        <v>Milestone 4</v>
      </c>
      <c r="B176" s="51" t="str">
        <f>'iWork,IBP &amp; Framework_SOW Items'!D120</f>
        <v>iWork</v>
      </c>
      <c r="C176" s="52" t="str">
        <f>'iWork,IBP &amp; Framework_SOW Items'!B120</f>
        <v>Endorsement Mgmt</v>
      </c>
      <c r="D176" s="53" t="str">
        <f>'iWork,IBP &amp; Framework_SOW Items'!C120</f>
        <v>Additional columns in file like Department, DOJ, Emp. Location, Vertical, Others</v>
      </c>
      <c r="E176" s="51" t="str">
        <f>'iWork,IBP &amp; Framework_SOW Items'!F120</f>
        <v>Delivered</v>
      </c>
      <c r="F176" s="51" t="str">
        <f>Helper!E120</f>
        <v>Delivered</v>
      </c>
      <c r="G176" s="59">
        <f>IF('iWork,IBP &amp; Framework_SOW Items'!I120="","",'iWork,IBP &amp; Framework_SOW Items'!I120)</f>
        <v>46171</v>
      </c>
      <c r="H176" s="51" t="str">
        <f>IF('iWork,IBP &amp; Framework_SOW Items'!J120="","",'iWork,IBP &amp; Framework_SOW Items'!J120)</f>
        <v>Pushyami</v>
      </c>
      <c r="I176" s="53" t="str">
        <f>IF('iWork,IBP &amp; Framework_SOW Items'!G120="","",'iWork,IBP &amp; Framework_SOW Items'!G120)</f>
        <v/>
      </c>
    </row>
    <row r="177" ht="15" customHeight="1" spans="1:9">
      <c r="A177" s="54" t="str">
        <f>'iWork,IBP &amp; Framework_SOW Items'!E121</f>
        <v>Milestone 4</v>
      </c>
      <c r="B177" s="54" t="str">
        <f>'iWork,IBP &amp; Framework_SOW Items'!D121</f>
        <v>iWork</v>
      </c>
      <c r="C177" s="55" t="str">
        <f>'iWork,IBP &amp; Framework_SOW Items'!B121</f>
        <v>Opportunity</v>
      </c>
      <c r="D177" s="56" t="str">
        <f>'iWork,IBP &amp; Framework_SOW Items'!C121</f>
        <v>RO Scheduler Enhancements</v>
      </c>
      <c r="E177" s="54" t="str">
        <f>'iWork,IBP &amp; Framework_SOW Items'!F121</f>
        <v>Delivered</v>
      </c>
      <c r="F177" s="54" t="str">
        <f>Helper!E121</f>
        <v>Delivered</v>
      </c>
      <c r="G177" s="57">
        <f>IF('iWork,IBP &amp; Framework_SOW Items'!I121="","",'iWork,IBP &amp; Framework_SOW Items'!I121)</f>
        <v>46171</v>
      </c>
      <c r="H177" s="54" t="str">
        <f>IF('iWork,IBP &amp; Framework_SOW Items'!J121="","",'iWork,IBP &amp; Framework_SOW Items'!J121)</f>
        <v>Jagadeesh</v>
      </c>
      <c r="I177" s="56" t="str">
        <f>IF('iWork,IBP &amp; Framework_SOW Items'!G121="","",'iWork,IBP &amp; Framework_SOW Items'!G121)</f>
        <v/>
      </c>
    </row>
    <row r="178" ht="15" customHeight="1" spans="1:9">
      <c r="A178" s="54" t="str">
        <f>'iWork,IBP &amp; Framework_SOW Items'!E163</f>
        <v>Milestone 5</v>
      </c>
      <c r="B178" s="54" t="str">
        <f>'iWork,IBP &amp; Framework_SOW Items'!D163</f>
        <v>IBP</v>
      </c>
      <c r="C178" s="55" t="str">
        <f>'iWork,IBP &amp; Framework_SOW Items'!B163</f>
        <v>Wellness HR View</v>
      </c>
      <c r="D178" s="56" t="str">
        <f>'iWork,IBP &amp; Framework_SOW Items'!C163</f>
        <v>HR View of Wellness usage by Employees</v>
      </c>
      <c r="E178" s="54" t="str">
        <f>'iWork,IBP &amp; Framework_SOW Items'!F163</f>
        <v>Yet to start</v>
      </c>
      <c r="F178" s="54" t="str">
        <f>Helper!E163</f>
        <v>Pending</v>
      </c>
      <c r="G178" s="57" t="str">
        <f>IF('iWork,IBP &amp; Framework_SOW Items'!I163="","",'iWork,IBP &amp; Framework_SOW Items'!I163)</f>
        <v/>
      </c>
      <c r="H178" s="54" t="str">
        <f>IF('iWork,IBP &amp; Framework_SOW Items'!J163="","",'iWork,IBP &amp; Framework_SOW Items'!J163)</f>
        <v/>
      </c>
      <c r="I178" s="56" t="str">
        <f>IF('iWork,IBP &amp; Framework_SOW Items'!G163="","",'iWork,IBP &amp; Framework_SOW Items'!G163)</f>
        <v/>
      </c>
    </row>
    <row r="179" ht="15" customHeight="1" spans="1:9">
      <c r="A179" s="54" t="str">
        <f>'iWork,IBP &amp; Framework_SOW Items'!E165</f>
        <v>Milestone 5</v>
      </c>
      <c r="B179" s="54" t="str">
        <f>'iWork,IBP &amp; Framework_SOW Items'!D165</f>
        <v>IBP</v>
      </c>
      <c r="C179" s="55" t="str">
        <f>'iWork,IBP &amp; Framework_SOW Items'!B165</f>
        <v>Individual Plans</v>
      </c>
      <c r="D179" s="56" t="str">
        <f>'iWork,IBP &amp; Framework_SOW Items'!C165</f>
        <v>Quotation flow of a new insurance - multple products; quotation ranges after basic data collection; cross-sells and finally an summary page that someone will get back to you. About 7 individual products - could be 4-5 screens in the flow of which 2 screens may be product-specific.</v>
      </c>
      <c r="E179" s="54" t="str">
        <f>'iWork,IBP &amp; Framework_SOW Items'!F165</f>
        <v>Yet to start</v>
      </c>
      <c r="F179" s="54" t="str">
        <f>Helper!E165</f>
        <v>Pending</v>
      </c>
      <c r="G179" s="57" t="str">
        <f>IF('iWork,IBP &amp; Framework_SOW Items'!I165="","",'iWork,IBP &amp; Framework_SOW Items'!I165)</f>
        <v/>
      </c>
      <c r="H179" s="54" t="str">
        <f>IF('iWork,IBP &amp; Framework_SOW Items'!J165="","",'iWork,IBP &amp; Framework_SOW Items'!J165)</f>
        <v>Abhilash</v>
      </c>
      <c r="I179" s="56" t="str">
        <f>IF('iWork,IBP &amp; Framework_SOW Items'!G165="","",'iWork,IBP &amp; Framework_SOW Items'!G165)</f>
        <v>Pending: Retail insurance</v>
      </c>
    </row>
    <row r="180" ht="15" customHeight="1" spans="1:9">
      <c r="A180" s="54" t="str">
        <f>'iWork,IBP &amp; Framework_SOW Items'!E167</f>
        <v>Milestone 5</v>
      </c>
      <c r="B180" s="54" t="str">
        <f>'iWork,IBP &amp; Framework_SOW Items'!D167</f>
        <v>IBP</v>
      </c>
      <c r="C180" s="55" t="str">
        <f>'iWork,IBP &amp; Framework_SOW Items'!B167</f>
        <v>Profile Migration</v>
      </c>
      <c r="D180" s="56" t="str">
        <f>'iWork,IBP &amp; Framework_SOW Items'!C167</f>
        <v>Request migration of Individual Profile to Corporate</v>
      </c>
      <c r="E180" s="54" t="str">
        <f>'iWork,IBP &amp; Framework_SOW Items'!F167</f>
        <v>Yet to start</v>
      </c>
      <c r="F180" s="54" t="str">
        <f>Helper!E167</f>
        <v>Pending</v>
      </c>
      <c r="G180" s="57" t="str">
        <f>IF('iWork,IBP &amp; Framework_SOW Items'!I167="","",'iWork,IBP &amp; Framework_SOW Items'!I167)</f>
        <v/>
      </c>
      <c r="H180" s="54" t="str">
        <f>IF('iWork,IBP &amp; Framework_SOW Items'!J167="","",'iWork,IBP &amp; Framework_SOW Items'!J167)</f>
        <v/>
      </c>
      <c r="I180" s="56" t="str">
        <f>IF('iWork,IBP &amp; Framework_SOW Items'!G167="","",'iWork,IBP &amp; Framework_SOW Items'!G167)</f>
        <v/>
      </c>
    </row>
    <row r="181" ht="15" customHeight="1" spans="1:9">
      <c r="A181" s="54" t="str">
        <f>'iWork,IBP &amp; Framework_SOW Items'!E169</f>
        <v>Milestone 5</v>
      </c>
      <c r="B181" s="54" t="str">
        <f>'iWork,IBP &amp; Framework_SOW Items'!D169</f>
        <v>IBP</v>
      </c>
      <c r="C181" s="55" t="str">
        <f>'iWork,IBP &amp; Framework_SOW Items'!B169</f>
        <v>Chat for End Users</v>
      </c>
      <c r="D181" s="56" t="str">
        <f>'iWork,IBP &amp; Framework_SOW Items'!C169</f>
        <v>Chat Module to interact with Chat Bot and Customer Support Representative</v>
      </c>
      <c r="E181" s="54" t="str">
        <f>'iWork,IBP &amp; Framework_SOW Items'!F169</f>
        <v>Yet to start</v>
      </c>
      <c r="F181" s="54" t="str">
        <f>Helper!E169</f>
        <v>Pending</v>
      </c>
      <c r="G181" s="57" t="str">
        <f>IF('iWork,IBP &amp; Framework_SOW Items'!I169="","",'iWork,IBP &amp; Framework_SOW Items'!I169)</f>
        <v/>
      </c>
      <c r="H181" s="54" t="str">
        <f>IF('iWork,IBP &amp; Framework_SOW Items'!J169="","",'iWork,IBP &amp; Framework_SOW Items'!J169)</f>
        <v/>
      </c>
      <c r="I181" s="56" t="str">
        <f>IF('iWork,IBP &amp; Framework_SOW Items'!G169="","",'iWork,IBP &amp; Framework_SOW Items'!G169)</f>
        <v>External chatbot integration?</v>
      </c>
    </row>
    <row r="182" ht="15" customHeight="1" spans="1:9">
      <c r="A182" s="54" t="str">
        <f>'iWork,IBP &amp; Framework_SOW Items'!E171</f>
        <v>Milestone 5</v>
      </c>
      <c r="B182" s="54" t="str">
        <f>'iWork,IBP &amp; Framework_SOW Items'!D171</f>
        <v>IBP</v>
      </c>
      <c r="C182" s="55" t="str">
        <f>'iWork,IBP &amp; Framework_SOW Items'!B171</f>
        <v>Feedback Mgmt</v>
      </c>
      <c r="D182" s="56" t="str">
        <f>'iWork,IBP &amp; Framework_SOW Items'!C171</f>
        <v>User Feedback capture service</v>
      </c>
      <c r="E182" s="54" t="str">
        <f>'iWork,IBP &amp; Framework_SOW Items'!F171</f>
        <v>Yet to start</v>
      </c>
      <c r="F182" s="54" t="str">
        <f>Helper!E171</f>
        <v>Pending</v>
      </c>
      <c r="G182" s="57" t="str">
        <f>IF('iWork,IBP &amp; Framework_SOW Items'!I171="","",'iWork,IBP &amp; Framework_SOW Items'!I171)</f>
        <v/>
      </c>
      <c r="H182" s="54" t="str">
        <f>IF('iWork,IBP &amp; Framework_SOW Items'!J171="","",'iWork,IBP &amp; Framework_SOW Items'!J171)</f>
        <v/>
      </c>
      <c r="I182" s="56" t="str">
        <f>IF('iWork,IBP &amp; Framework_SOW Items'!G171="","",'iWork,IBP &amp; Framework_SOW Items'!G171)</f>
        <v>IBP support is already in place</v>
      </c>
    </row>
    <row r="183" ht="15" customHeight="1" spans="1:9">
      <c r="A183" s="51" t="str">
        <f>'iWork,IBP &amp; Framework_SOW Items'!E172</f>
        <v>Milestone 5</v>
      </c>
      <c r="B183" s="51" t="str">
        <f>'iWork,IBP &amp; Framework_SOW Items'!D172</f>
        <v>IBP</v>
      </c>
      <c r="C183" s="52" t="str">
        <f>'iWork,IBP &amp; Framework_SOW Items'!B172</f>
        <v>Premium Range Calculator</v>
      </c>
      <c r="D183" s="53" t="str">
        <f>'iWork,IBP &amp; Framework_SOW Items'!C172</f>
        <v>Calculate insurance premium range. Calculate the IDV of various assets</v>
      </c>
      <c r="E183" s="51" t="str">
        <f>'iWork,IBP &amp; Framework_SOW Items'!F172</f>
        <v>Yet to start</v>
      </c>
      <c r="F183" s="51" t="str">
        <f>Helper!E172</f>
        <v>Pending</v>
      </c>
      <c r="G183" s="59" t="str">
        <f>IF('iWork,IBP &amp; Framework_SOW Items'!I172="","",'iWork,IBP &amp; Framework_SOW Items'!I172)</f>
        <v/>
      </c>
      <c r="H183" s="51" t="str">
        <f>IF('iWork,IBP &amp; Framework_SOW Items'!J172="","",'iWork,IBP &amp; Framework_SOW Items'!J172)</f>
        <v/>
      </c>
      <c r="I183" s="53" t="str">
        <f>IF('iWork,IBP &amp; Framework_SOW Items'!G172="","",'iWork,IBP &amp; Framework_SOW Items'!G172)</f>
        <v/>
      </c>
    </row>
    <row r="184" ht="15" customHeight="1" spans="1:9">
      <c r="A184" s="51" t="str">
        <f>'iWork,IBP &amp; Framework_SOW Items'!E194</f>
        <v>Milestone 5</v>
      </c>
      <c r="B184" s="51" t="str">
        <f>'iWork,IBP &amp; Framework_SOW Items'!D194</f>
        <v>iWork</v>
      </c>
      <c r="C184" s="52" t="str">
        <f>'iWork,IBP &amp; Framework_SOW Items'!B194</f>
        <v>Reports</v>
      </c>
      <c r="D184" s="53" t="str">
        <f>'iWork,IBP &amp; Framework_SOW Items'!C194</f>
        <v>Generic template for all the reports, Bizdone Report, Missing entries from commission statement against policies</v>
      </c>
      <c r="E184" s="51" t="str">
        <f>'iWork,IBP &amp; Framework_SOW Items'!F194</f>
        <v>Delivered - Deficit</v>
      </c>
      <c r="F184" s="51" t="str">
        <f>Helper!E194</f>
        <v>Pending</v>
      </c>
      <c r="G184" s="59" t="str">
        <f>IF('iWork,IBP &amp; Framework_SOW Items'!I194="","",'iWork,IBP &amp; Framework_SOW Items'!I194)</f>
        <v/>
      </c>
      <c r="H184" s="51" t="str">
        <f>IF('iWork,IBP &amp; Framework_SOW Items'!J194="","",'iWork,IBP &amp; Framework_SOW Items'!J194)</f>
        <v/>
      </c>
      <c r="I184" s="53" t="str">
        <f>IF('iWork,IBP &amp; Framework_SOW Items'!G194="","",'iWork,IBP &amp; Framework_SOW Items'!G194)</f>
        <v/>
      </c>
    </row>
    <row r="185" ht="15" customHeight="1" spans="1:9">
      <c r="A185" s="54" t="str">
        <f>'iWork,IBP &amp; Framework_SOW Items'!E195</f>
        <v>Milestone 5</v>
      </c>
      <c r="B185" s="54" t="str">
        <f>'iWork,IBP &amp; Framework_SOW Items'!D195</f>
        <v>iWork</v>
      </c>
      <c r="C185" s="56" t="str">
        <f>'iWork,IBP &amp; Framework_SOW Items'!B195</f>
        <v>HRMS Integration Mgmt</v>
      </c>
      <c r="D185" s="56" t="str">
        <f>'iWork,IBP &amp; Framework_SOW Items'!C195</f>
        <v>Base framework needs to be built and actual integration should be on need
- Need to create the API's for each service flow process (Endorsement - Add/Delete)
- Endorsement process - What is the process for this?</v>
      </c>
      <c r="E185" s="54" t="str">
        <f>'iWork,IBP &amp; Framework_SOW Items'!F195</f>
        <v>Yet to start</v>
      </c>
      <c r="F185" s="54" t="str">
        <f>Helper!E195</f>
        <v>Pending</v>
      </c>
      <c r="G185" s="57" t="str">
        <f>IF('iWork,IBP &amp; Framework_SOW Items'!I195="","",'iWork,IBP &amp; Framework_SOW Items'!I195)</f>
        <v/>
      </c>
      <c r="H185" s="54" t="str">
        <f>IF('iWork,IBP &amp; Framework_SOW Items'!J195="","",'iWork,IBP &amp; Framework_SOW Items'!J195)</f>
        <v/>
      </c>
      <c r="I185" s="56" t="str">
        <f>IF('iWork,IBP &amp; Framework_SOW Items'!G195="","",'iWork,IBP &amp; Framework_SOW Items'!G195)</f>
        <v/>
      </c>
    </row>
    <row r="186" ht="15" customHeight="1" spans="1:9">
      <c r="A186" s="54" t="str">
        <f>'iWork,IBP &amp; Framework_SOW Items'!E197</f>
        <v>Milestone 5</v>
      </c>
      <c r="B186" s="54" t="str">
        <f>'iWork,IBP &amp; Framework_SOW Items'!D197</f>
        <v>NFR</v>
      </c>
      <c r="C186" s="55" t="str">
        <f>'iWork,IBP &amp; Framework_SOW Items'!B197</f>
        <v>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v>
      </c>
      <c r="D186" s="56">
        <f>'iWork,IBP &amp; Framework_SOW Items'!C197</f>
        <v>0</v>
      </c>
      <c r="E186" s="54" t="str">
        <f>'iWork,IBP &amp; Framework_SOW Items'!F197</f>
        <v>Delivered</v>
      </c>
      <c r="F186" s="54" t="str">
        <f>Helper!E197</f>
        <v>Delivered</v>
      </c>
      <c r="G186" s="57">
        <f>IF('iWork,IBP &amp; Framework_SOW Items'!I197="","",'iWork,IBP &amp; Framework_SOW Items'!I197)</f>
        <v>46178</v>
      </c>
      <c r="H186" s="54" t="str">
        <f>IF('iWork,IBP &amp; Framework_SOW Items'!J197="","",'iWork,IBP &amp; Framework_SOW Items'!J197)</f>
        <v/>
      </c>
      <c r="I186" s="56" t="str">
        <f>IF('iWork,IBP &amp; Framework_SOW Items'!G197="","",'iWork,IBP &amp; Framework_SOW Items'!G197)</f>
        <v/>
      </c>
    </row>
    <row r="187" ht="15" customHeight="1" spans="1:9">
      <c r="A187" s="51" t="str">
        <f>'iWork,IBP &amp; Framework_SOW Items'!E198</f>
        <v>Milestone 5</v>
      </c>
      <c r="B187" s="51" t="str">
        <f>'iWork,IBP &amp; Framework_SOW Items'!D198</f>
        <v>NFR</v>
      </c>
      <c r="C187" s="52" t="str">
        <f>'iWork,IBP &amp; Framework_SOW Items'!B198</f>
        <v>NFR-OTH-022: A self-service report generator must be available for dynamic query/report creation.</v>
      </c>
      <c r="D187" s="53">
        <f>'iWork,IBP &amp; Framework_SOW Items'!C198</f>
        <v>0</v>
      </c>
      <c r="E187" s="51" t="str">
        <f>'iWork,IBP &amp; Framework_SOW Items'!F198</f>
        <v>Yet to start</v>
      </c>
      <c r="F187" s="51" t="str">
        <f>Helper!E198</f>
        <v>Pending</v>
      </c>
      <c r="G187" s="59">
        <f>IF('iWork,IBP &amp; Framework_SOW Items'!I198="","",'iWork,IBP &amp; Framework_SOW Items'!I198)</f>
        <v>46199</v>
      </c>
      <c r="H187" s="51" t="str">
        <f>IF('iWork,IBP &amp; Framework_SOW Items'!J198="","",'iWork,IBP &amp; Framework_SOW Items'!J198)</f>
        <v/>
      </c>
      <c r="I187" s="53" t="str">
        <f>IF('iWork,IBP &amp; Framework_SOW Items'!G198="","",'iWork,IBP &amp; Framework_SOW Items'!G198)</f>
        <v>Need clarity</v>
      </c>
    </row>
    <row r="188" ht="15" customHeight="1" spans="1:9">
      <c r="A188" s="51" t="str">
        <f>'iWork,IBP &amp; Framework_SOW Items'!E170</f>
        <v>Milestone 5</v>
      </c>
      <c r="B188" s="51" t="str">
        <f>'iWork,IBP &amp; Framework_SOW Items'!D170</f>
        <v>IBP</v>
      </c>
      <c r="C188" s="52" t="str">
        <f>'iWork,IBP &amp; Framework_SOW Items'!B170</f>
        <v>Landing Page Services</v>
      </c>
      <c r="D188" s="53" t="str">
        <f>'iWork,IBP &amp; Framework_SOW Items'!C170</f>
        <v>Benefits Summary View, Upcoming welness appointment, Policy renewals, Individual Plans Summary views</v>
      </c>
      <c r="E188" s="51" t="str">
        <f>'iWork,IBP &amp; Framework_SOW Items'!F170</f>
        <v>Yet to start</v>
      </c>
      <c r="F188" s="51" t="str">
        <f>Helper!E170</f>
        <v>Pending</v>
      </c>
      <c r="G188" s="59" t="str">
        <f>IF('iWork,IBP &amp; Framework_SOW Items'!I170="","",'iWork,IBP &amp; Framework_SOW Items'!I170)</f>
        <v/>
      </c>
      <c r="H188" s="51" t="str">
        <f>IF('iWork,IBP &amp; Framework_SOW Items'!J170="","",'iWork,IBP &amp; Framework_SOW Items'!J170)</f>
        <v/>
      </c>
      <c r="I188" s="53" t="str">
        <f>IF('iWork,IBP &amp; Framework_SOW Items'!G170="","",'iWork,IBP &amp; Framework_SOW Items'!G170)</f>
        <v/>
      </c>
    </row>
    <row r="189" ht="15" customHeight="1" spans="1:9">
      <c r="A189" s="54" t="str">
        <f>'iWork,IBP &amp; Framework_SOW Items'!E153</f>
        <v>Milestone 5</v>
      </c>
      <c r="B189" s="54" t="str">
        <f>'iWork,IBP &amp; Framework_SOW Items'!D153</f>
        <v>IBP</v>
      </c>
      <c r="C189" s="55" t="str">
        <f>'iWork,IBP &amp; Framework_SOW Items'!B153</f>
        <v>Claims Corner</v>
      </c>
      <c r="D189" s="56" t="str">
        <f>'iWork,IBP &amp; Framework_SOW Items'!C153</f>
        <v>View Claim Data for Individual Plans (if available), Track Status for Claims initiated from IBP for Group Plans, Track Status for Claims initiated with TPA directly, TAT reporting for Cashless (for Preauth and Discharge)</v>
      </c>
      <c r="E189" s="54" t="str">
        <f>'iWork,IBP &amp; Framework_SOW Items'!F153</f>
        <v>Delivered</v>
      </c>
      <c r="F189" s="54" t="str">
        <f>Helper!E153</f>
        <v>Delivered</v>
      </c>
      <c r="G189" s="54" t="str">
        <f>IF('iWork,IBP &amp; Framework_SOW Items'!I153="","",'iWork,IBP &amp; Framework_SOW Items'!I153)</f>
        <v/>
      </c>
      <c r="H189" s="54" t="str">
        <f>IF('iWork,IBP &amp; Framework_SOW Items'!J153="","",'iWork,IBP &amp; Framework_SOW Items'!J153)</f>
        <v/>
      </c>
      <c r="I189" s="56" t="str">
        <f>IF('iWork,IBP &amp; Framework_SOW Items'!G153="","",'iWork,IBP &amp; Framework_SOW Items'!G153)</f>
        <v>Pending: TPA &amp; Insurer API integrations</v>
      </c>
    </row>
    <row r="190" ht="15" customHeight="1" spans="1:9">
      <c r="A190" s="51" t="str">
        <f>'iWork,IBP &amp; Framework_SOW Items'!E156</f>
        <v>Milestone 5</v>
      </c>
      <c r="B190" s="51" t="str">
        <f>'iWork,IBP &amp; Framework_SOW Items'!D156</f>
        <v>IBP</v>
      </c>
      <c r="C190" s="52" t="str">
        <f>'iWork,IBP &amp; Framework_SOW Items'!B156</f>
        <v>Dynamic Info Sections - Landing</v>
      </c>
      <c r="D190" s="53" t="str">
        <f>'iWork,IBP &amp; Framework_SOW Items'!C156</f>
        <v>Hospital network, Offers and Discounts, Benfits at Glance, Quick Links</v>
      </c>
      <c r="E190" s="51" t="str">
        <f>'iWork,IBP &amp; Framework_SOW Items'!F156</f>
        <v>Delivered - Deficit</v>
      </c>
      <c r="F190" s="51" t="str">
        <f>Helper!E156</f>
        <v>Pending</v>
      </c>
      <c r="G190" s="51" t="str">
        <f>IF('iWork,IBP &amp; Framework_SOW Items'!I156="","",'iWork,IBP &amp; Framework_SOW Items'!I156)</f>
        <v/>
      </c>
      <c r="H190" s="51" t="str">
        <f>IF('iWork,IBP &amp; Framework_SOW Items'!J156="","",'iWork,IBP &amp; Framework_SOW Items'!J156)</f>
        <v>Manjusha</v>
      </c>
      <c r="I190" s="53" t="str">
        <f>IF('iWork,IBP &amp; Framework_SOW Items'!G156="","",'iWork,IBP &amp; Framework_SOW Items'!G156)</f>
        <v>Pending: Offers &amp; Discuounts</v>
      </c>
    </row>
    <row r="191" ht="15" customHeight="1" spans="1:9">
      <c r="A191" s="54" t="str">
        <f>'iWork,IBP &amp; Framework_SOW Items'!E157</f>
        <v>Milestone 5</v>
      </c>
      <c r="B191" s="54" t="str">
        <f>'iWork,IBP &amp; Framework_SOW Items'!D157</f>
        <v>IBP</v>
      </c>
      <c r="C191" s="55" t="str">
        <f>'iWork,IBP &amp; Framework_SOW Items'!B157</f>
        <v>User Profile</v>
      </c>
      <c r="D191" s="56" t="str">
        <f>'iWork,IBP &amp; Framework_SOW Items'!C157</f>
        <v>Profile, Service Subscriptions, Feedback</v>
      </c>
      <c r="E191" s="54" t="str">
        <f>'iWork,IBP &amp; Framework_SOW Items'!F157</f>
        <v>Delivered - Deficit</v>
      </c>
      <c r="F191" s="54" t="str">
        <f>Helper!E157</f>
        <v>Pending</v>
      </c>
      <c r="G191" s="54" t="str">
        <f>IF('iWork,IBP &amp; Framework_SOW Items'!I157="","",'iWork,IBP &amp; Framework_SOW Items'!I157)</f>
        <v/>
      </c>
      <c r="H191" s="54" t="str">
        <f>IF('iWork,IBP &amp; Framework_SOW Items'!J157="","",'iWork,IBP &amp; Framework_SOW Items'!J157)</f>
        <v>Abhilash</v>
      </c>
      <c r="I191" s="56" t="str">
        <f>IF('iWork,IBP &amp; Framework_SOW Items'!G157="","",'iWork,IBP &amp; Framework_SOW Items'!G157)</f>
        <v>Pending: Service Subscriptions, Feedback</v>
      </c>
    </row>
    <row r="192" ht="15" customHeight="1" spans="1:9">
      <c r="A192" s="51" t="str">
        <f>'iWork,IBP &amp; Framework_SOW Items'!E158</f>
        <v>Milestone 5</v>
      </c>
      <c r="B192" s="51" t="str">
        <f>'iWork,IBP &amp; Framework_SOW Items'!D158</f>
        <v>IBP</v>
      </c>
      <c r="C192" s="52" t="str">
        <f>'iWork,IBP &amp; Framework_SOW Items'!B158</f>
        <v>Benefits Summary</v>
      </c>
      <c r="D192" s="53" t="str">
        <f>'iWork,IBP &amp; Framework_SOW Items'!C158</f>
        <v>End User's Summary View</v>
      </c>
      <c r="E192" s="51" t="str">
        <f>'iWork,IBP &amp; Framework_SOW Items'!F158</f>
        <v>Delivered - Deficit</v>
      </c>
      <c r="F192" s="51" t="str">
        <f>Helper!E158</f>
        <v>Pending</v>
      </c>
      <c r="G192" s="51" t="str">
        <f>IF('iWork,IBP &amp; Framework_SOW Items'!I158="","",'iWork,IBP &amp; Framework_SOW Items'!I158)</f>
        <v/>
      </c>
      <c r="H192" s="51" t="str">
        <f>IF('iWork,IBP &amp; Framework_SOW Items'!J158="","",'iWork,IBP &amp; Framework_SOW Items'!J158)</f>
        <v/>
      </c>
      <c r="I192" s="53" t="str">
        <f>IF('iWork,IBP &amp; Framework_SOW Items'!G158="","",'iWork,IBP &amp; Framework_SOW Items'!G158)</f>
        <v>Pending: Retail Insurance</v>
      </c>
    </row>
    <row r="193" ht="15" customHeight="1" spans="1:9">
      <c r="A193" s="54" t="str">
        <f>'iWork,IBP &amp; Framework_SOW Items'!E159</f>
        <v>Milestone 5</v>
      </c>
      <c r="B193" s="54" t="str">
        <f>'iWork,IBP &amp; Framework_SOW Items'!D159</f>
        <v>IBP</v>
      </c>
      <c r="C193" s="55" t="str">
        <f>'iWork,IBP &amp; Framework_SOW Items'!B159</f>
        <v>End User Portal Configurator</v>
      </c>
      <c r="D193" s="56" t="str">
        <f>'iWork,IBP &amp; Framework_SOW Items'!C159</f>
        <v>What set of features to be enabled or disabled, Offers, Benefits etc. More or less how portal should contain and visible to end user needs to be configured (per Corporate Configuration)</v>
      </c>
      <c r="E193" s="54" t="str">
        <f>'iWork,IBP &amp; Framework_SOW Items'!F159</f>
        <v>Delivered - Deficit</v>
      </c>
      <c r="F193" s="54" t="str">
        <f>Helper!E159</f>
        <v>Pending</v>
      </c>
      <c r="G193" s="54" t="str">
        <f>IF('iWork,IBP &amp; Framework_SOW Items'!I159="","",'iWork,IBP &amp; Framework_SOW Items'!I159)</f>
        <v/>
      </c>
      <c r="H193" s="54" t="str">
        <f>IF('iWork,IBP &amp; Framework_SOW Items'!J159="","",'iWork,IBP &amp; Framework_SOW Items'!J159)</f>
        <v/>
      </c>
      <c r="I193" s="56" t="str">
        <f>IF('iWork,IBP &amp; Framework_SOW Items'!G159="","",'iWork,IBP &amp; Framework_SOW Items'!G159)</f>
        <v>Pending: Offer, Feature flagging (UI)</v>
      </c>
    </row>
    <row r="194" ht="15" customHeight="1" spans="1:9">
      <c r="A194" s="51" t="str">
        <f>'iWork,IBP &amp; Framework_SOW Items'!E160</f>
        <v>Milestone 5</v>
      </c>
      <c r="B194" s="51" t="str">
        <f>'iWork,IBP &amp; Framework_SOW Items'!D160</f>
        <v>IBP</v>
      </c>
      <c r="C194" s="52" t="str">
        <f>'iWork,IBP &amp; Framework_SOW Items'!B160</f>
        <v>Basic Wellness Hub</v>
      </c>
      <c r="D194" s="53" t="str">
        <f>'iWork,IBP &amp; Framework_SOW Items'!C160</f>
        <v>Basic wellness hub - Currently only 3 wellness programs (3rd parties) supported</v>
      </c>
      <c r="E194" s="51" t="str">
        <f>'iWork,IBP &amp; Framework_SOW Items'!F160</f>
        <v>Yet to start</v>
      </c>
      <c r="F194" s="51" t="str">
        <f>Helper!E160</f>
        <v>Pending</v>
      </c>
      <c r="G194" s="51" t="str">
        <f>IF('iWork,IBP &amp; Framework_SOW Items'!I160="","",'iWork,IBP &amp; Framework_SOW Items'!I160)</f>
        <v/>
      </c>
      <c r="H194" s="51" t="str">
        <f>IF('iWork,IBP &amp; Framework_SOW Items'!J160="","",'iWork,IBP &amp; Framework_SOW Items'!J160)</f>
        <v>Manjusha</v>
      </c>
      <c r="I194" s="53" t="str">
        <f>IF('iWork,IBP &amp; Framework_SOW Items'!G160="","",'iWork,IBP &amp; Framework_SOW Items'!G160)</f>
        <v/>
      </c>
    </row>
    <row r="195" ht="15" customHeight="1" spans="1:9">
      <c r="A195" s="54" t="str">
        <f>'iWork,IBP &amp; Framework_SOW Items'!E161</f>
        <v>Milestone 5</v>
      </c>
      <c r="B195" s="54" t="str">
        <f>'iWork,IBP &amp; Framework_SOW Items'!D161</f>
        <v>IBP</v>
      </c>
      <c r="C195" s="55" t="str">
        <f>'iWork,IBP &amp; Framework_SOW Items'!B161</f>
        <v>Book Ambulance</v>
      </c>
      <c r="D195" s="56" t="str">
        <f>'iWork,IBP &amp; Framework_SOW Items'!C161</f>
        <v>Floater on the screen - Integrate to Ambulance Service</v>
      </c>
      <c r="E195" s="54" t="str">
        <f>'iWork,IBP &amp; Framework_SOW Items'!F161</f>
        <v>Yet to start</v>
      </c>
      <c r="F195" s="54" t="str">
        <f>Helper!E161</f>
        <v>Pending</v>
      </c>
      <c r="G195" s="54" t="str">
        <f>IF('iWork,IBP &amp; Framework_SOW Items'!I161="","",'iWork,IBP &amp; Framework_SOW Items'!I161)</f>
        <v/>
      </c>
      <c r="H195" s="54" t="str">
        <f>IF('iWork,IBP &amp; Framework_SOW Items'!J161="","",'iWork,IBP &amp; Framework_SOW Items'!J161)</f>
        <v/>
      </c>
      <c r="I195" s="56" t="str">
        <f>IF('iWork,IBP &amp; Framework_SOW Items'!G161="","",'iWork,IBP &amp; Framework_SOW Items'!G161)</f>
        <v/>
      </c>
    </row>
    <row r="196" ht="15" customHeight="1" spans="1:9">
      <c r="A196" s="54" t="str">
        <f>'iWork,IBP &amp; Framework_SOW Items'!E173</f>
        <v>Milestone 5</v>
      </c>
      <c r="B196" s="54" t="str">
        <f>'iWork,IBP &amp; Framework_SOW Items'!D173</f>
        <v>IBP</v>
      </c>
      <c r="C196" s="55" t="str">
        <f>'iWork,IBP &amp; Framework_SOW Items'!B173</f>
        <v>Multiple 3rd Party Service Mgmt</v>
      </c>
      <c r="D196" s="56" t="str">
        <f>'iWork,IBP &amp; Framework_SOW Items'!C173</f>
        <v>Elderly Services, Dental Services etc. 3rd Party integrations. Multiple providers
3 such services are in scope at this stage {Redhealth, MyDental, AkinCare}</v>
      </c>
      <c r="E196" s="54" t="str">
        <f>'iWork,IBP &amp; Framework_SOW Items'!F173</f>
        <v>Yet to start</v>
      </c>
      <c r="F196" s="54" t="str">
        <f>Helper!E173</f>
        <v>Pending</v>
      </c>
      <c r="G196" s="54" t="str">
        <f>IF('iWork,IBP &amp; Framework_SOW Items'!I173="","",'iWork,IBP &amp; Framework_SOW Items'!I173)</f>
        <v/>
      </c>
      <c r="H196" s="54" t="str">
        <f>IF('iWork,IBP &amp; Framework_SOW Items'!J173="","",'iWork,IBP &amp; Framework_SOW Items'!J173)</f>
        <v/>
      </c>
      <c r="I196" s="56" t="str">
        <f>IF('iWork,IBP &amp; Framework_SOW Items'!G173="","",'iWork,IBP &amp; Framework_SOW Items'!G173)</f>
        <v/>
      </c>
    </row>
    <row r="197" ht="15" customHeight="1" spans="1:9">
      <c r="A197" s="51" t="str">
        <f>'iWork,IBP &amp; Framework_SOW Items'!E174</f>
        <v>Milestone 5</v>
      </c>
      <c r="B197" s="51" t="str">
        <f>'iWork,IBP &amp; Framework_SOW Items'!D174</f>
        <v>IBP</v>
      </c>
      <c r="C197" s="52" t="str">
        <f>'iWork,IBP &amp; Framework_SOW Items'!B174</f>
        <v>Online Pharmacy Integration</v>
      </c>
      <c r="D197" s="53" t="str">
        <f>'iWork,IBP &amp; Framework_SOW Items'!C174</f>
        <v>External Pharmacy integration(s), more than one pharmacy capability. SSO to the pharmacy.</v>
      </c>
      <c r="E197" s="51" t="str">
        <f>'iWork,IBP &amp; Framework_SOW Items'!F174</f>
        <v>Yet to start</v>
      </c>
      <c r="F197" s="51" t="str">
        <f>Helper!E174</f>
        <v>Pending</v>
      </c>
      <c r="G197" s="51" t="str">
        <f>IF('iWork,IBP &amp; Framework_SOW Items'!I174="","",'iWork,IBP &amp; Framework_SOW Items'!I174)</f>
        <v/>
      </c>
      <c r="H197" s="51" t="str">
        <f>IF('iWork,IBP &amp; Framework_SOW Items'!J174="","",'iWork,IBP &amp; Framework_SOW Items'!J174)</f>
        <v/>
      </c>
      <c r="I197" s="53" t="str">
        <f>IF('iWork,IBP &amp; Framework_SOW Items'!G174="","",'iWork,IBP &amp; Framework_SOW Items'!G174)</f>
        <v/>
      </c>
    </row>
    <row r="198" ht="15" customHeight="1" spans="1:9">
      <c r="A198" s="54" t="str">
        <f>'iWork,IBP &amp; Framework_SOW Items'!E175</f>
        <v>Milestone 5</v>
      </c>
      <c r="B198" s="54" t="str">
        <f>'iWork,IBP &amp; Framework_SOW Items'!D175</f>
        <v>IBP</v>
      </c>
      <c r="C198" s="55" t="str">
        <f>'iWork,IBP &amp; Framework_SOW Items'!B175</f>
        <v>Evexia Club Integration</v>
      </c>
      <c r="D198" s="56" t="str">
        <f>'iWork,IBP &amp; Framework_SOW Items'!C175</f>
        <v>Integration to Evexia</v>
      </c>
      <c r="E198" s="54" t="str">
        <f>'iWork,IBP &amp; Framework_SOW Items'!F175</f>
        <v>Yet to start</v>
      </c>
      <c r="F198" s="54" t="str">
        <f>Helper!E175</f>
        <v>Pending</v>
      </c>
      <c r="G198" s="54" t="str">
        <f>IF('iWork,IBP &amp; Framework_SOW Items'!I175="","",'iWork,IBP &amp; Framework_SOW Items'!I175)</f>
        <v/>
      </c>
      <c r="H198" s="54" t="str">
        <f>IF('iWork,IBP &amp; Framework_SOW Items'!J175="","",'iWork,IBP &amp; Framework_SOW Items'!J175)</f>
        <v/>
      </c>
      <c r="I198" s="56" t="str">
        <f>IF('iWork,IBP &amp; Framework_SOW Items'!G175="","",'iWork,IBP &amp; Framework_SOW Items'!G175)</f>
        <v/>
      </c>
    </row>
    <row r="199" ht="15" customHeight="1" spans="1:9">
      <c r="A199" s="51" t="str">
        <f>'iWork,IBP &amp; Framework_SOW Items'!E176</f>
        <v>Milestone 5</v>
      </c>
      <c r="B199" s="51" t="str">
        <f>'iWork,IBP &amp; Framework_SOW Items'!D176</f>
        <v>IBP</v>
      </c>
      <c r="C199" s="52" t="str">
        <f>'iWork,IBP &amp; Framework_SOW Items'!B176</f>
        <v>Claims Mgmt</v>
      </c>
      <c r="D199" s="53" t="str">
        <f>'iWork,IBP &amp; Framework_SOW Items'!C176</f>
        <v>Part-2: Personal Policy based claim mgmt, Tracking status, Document Mgmt related to claims</v>
      </c>
      <c r="E199" s="51" t="str">
        <f>'iWork,IBP &amp; Framework_SOW Items'!F176</f>
        <v>Yet to start</v>
      </c>
      <c r="F199" s="51" t="str">
        <f>Helper!E176</f>
        <v>Pending</v>
      </c>
      <c r="G199" s="51" t="str">
        <f>IF('iWork,IBP &amp; Framework_SOW Items'!I176="","",'iWork,IBP &amp; Framework_SOW Items'!I176)</f>
        <v/>
      </c>
      <c r="H199" s="51" t="str">
        <f>IF('iWork,IBP &amp; Framework_SOW Items'!J176="","",'iWork,IBP &amp; Framework_SOW Items'!J176)</f>
        <v/>
      </c>
      <c r="I199" s="53" t="str">
        <f>IF('iWork,IBP &amp; Framework_SOW Items'!G176="","",'iWork,IBP &amp; Framework_SOW Items'!G176)</f>
        <v/>
      </c>
    </row>
    <row r="200" ht="15" customHeight="1" spans="1:9">
      <c r="A200" s="54" t="str">
        <f>'iWork,IBP &amp; Framework_SOW Items'!E177</f>
        <v>Milestone 5</v>
      </c>
      <c r="B200" s="54" t="str">
        <f>'iWork,IBP &amp; Framework_SOW Items'!D177</f>
        <v>IBP</v>
      </c>
      <c r="C200" s="55" t="str">
        <f>'iWork,IBP &amp; Framework_SOW Items'!B177</f>
        <v>Individual Insurance Plan Mgmt</v>
      </c>
      <c r="D200" s="56" t="str">
        <f>'iWork,IBP &amp; Framework_SOW Items'!C177</f>
        <v>Support for multiple categories of plans. Configuration Mgmt for Infomration capture, Flow and Summaries. Add on configuration, Insurer configuration, Offer configuration, Post the request to Sales Channel (Iwork)
7 Policy Types to be taken care of</v>
      </c>
      <c r="E200" s="54" t="str">
        <f>'iWork,IBP &amp; Framework_SOW Items'!F177</f>
        <v>Yet to start</v>
      </c>
      <c r="F200" s="54" t="str">
        <f>Helper!E177</f>
        <v>Pending</v>
      </c>
      <c r="G200" s="54" t="str">
        <f>IF('iWork,IBP &amp; Framework_SOW Items'!I177="","",'iWork,IBP &amp; Framework_SOW Items'!I177)</f>
        <v/>
      </c>
      <c r="H200" s="54" t="str">
        <f>IF('iWork,IBP &amp; Framework_SOW Items'!J177="","",'iWork,IBP &amp; Framework_SOW Items'!J177)</f>
        <v/>
      </c>
      <c r="I200" s="56" t="str">
        <f>IF('iWork,IBP &amp; Framework_SOW Items'!G177="","",'iWork,IBP &amp; Framework_SOW Items'!G177)</f>
        <v/>
      </c>
    </row>
    <row r="201" ht="15" customHeight="1" spans="1:9">
      <c r="A201" s="51" t="str">
        <f>'iWork,IBP &amp; Framework_SOW Items'!E178</f>
        <v>Milestone 5</v>
      </c>
      <c r="B201" s="51" t="str">
        <f>'iWork,IBP &amp; Framework_SOW Items'!D178</f>
        <v>IBP/iWork</v>
      </c>
      <c r="C201" s="52" t="str">
        <f>'iWork,IBP &amp; Framework_SOW Items'!B178</f>
        <v>TPA Integration Mgmt [GHPL]</v>
      </c>
      <c r="D201" s="53" t="str">
        <f>'iWork,IBP &amp; Framework_SOW Items'!C178</f>
        <v>Launch TPA - SSO
Ecards API - Read &amp; View Details
Hospital Network
Claims Status API - Read, Store &amp; View Details
Claim Intimation API
Claim Live Status - Single Claim</v>
      </c>
      <c r="E201" s="51" t="str">
        <f>'iWork,IBP &amp; Framework_SOW Items'!F178</f>
        <v>Delivered</v>
      </c>
      <c r="F201" s="51" t="str">
        <f>Helper!E178</f>
        <v>Delivered</v>
      </c>
      <c r="G201" s="51">
        <f>IF('iWork,IBP &amp; Framework_SOW Items'!I178="","",'iWork,IBP &amp; Framework_SOW Items'!I178)</f>
        <v>46185</v>
      </c>
      <c r="H201" s="51" t="str">
        <f>IF('iWork,IBP &amp; Framework_SOW Items'!J178="","",'iWork,IBP &amp; Framework_SOW Items'!J178)</f>
        <v>Ravi</v>
      </c>
      <c r="I201" s="53" t="str">
        <f>IF('iWork,IBP &amp; Framework_SOW Items'!G178="","",'iWork,IBP &amp; Framework_SOW Items'!G178)</f>
        <v/>
      </c>
    </row>
    <row r="202" ht="15" customHeight="1" spans="1:9">
      <c r="A202" s="51" t="str">
        <f>'iWork,IBP &amp; Framework_SOW Items'!E180</f>
        <v>Milestone 5</v>
      </c>
      <c r="B202" s="51" t="str">
        <f>'iWork,IBP &amp; Framework_SOW Items'!D180</f>
        <v>IBP/iWork</v>
      </c>
      <c r="C202" s="52" t="str">
        <f>'iWork,IBP &amp; Framework_SOW Items'!B180</f>
        <v>IBP Landing Page - Customization</v>
      </c>
      <c r="D202" s="53" t="str">
        <f>'iWork,IBP &amp; Framework_SOW Items'!C180</f>
        <v>Landing Page customization in Admin side of IBP - available in iWork (per Corporate)</v>
      </c>
      <c r="E202" s="51" t="str">
        <f>'iWork,IBP &amp; Framework_SOW Items'!F180</f>
        <v>Delivered</v>
      </c>
      <c r="F202" s="51" t="str">
        <f>Helper!E180</f>
        <v>Delivered</v>
      </c>
      <c r="G202" s="51" t="str">
        <f>IF('iWork,IBP &amp; Framework_SOW Items'!I180="","",'iWork,IBP &amp; Framework_SOW Items'!I180)</f>
        <v/>
      </c>
      <c r="H202" s="51" t="str">
        <f>IF('iWork,IBP &amp; Framework_SOW Items'!J180="","",'iWork,IBP &amp; Framework_SOW Items'!J180)</f>
        <v/>
      </c>
      <c r="I202" s="53" t="str">
        <f>IF('iWork,IBP &amp; Framework_SOW Items'!G180="","",'iWork,IBP &amp; Framework_SOW Items'!G180)</f>
        <v/>
      </c>
    </row>
    <row r="203" ht="15" hidden="1" customHeight="1" spans="1:9">
      <c r="A203" s="54" t="str">
        <f>'iWork,IBP &amp; Framework_SOW Items'!E199</f>
        <v>Milestone 6</v>
      </c>
      <c r="B203" s="54" t="str">
        <f>'iWork,IBP &amp; Framework_SOW Items'!D199</f>
        <v>IBP</v>
      </c>
      <c r="C203" s="55" t="str">
        <f>'iWork,IBP &amp; Framework_SOW Items'!B199</f>
        <v>IIRM-10591</v>
      </c>
      <c r="D203" s="56" t="str">
        <f>'iWork,IBP &amp; Framework_SOW Items'!C199</f>
        <v>IBP - Enrolment Journey - Reset</v>
      </c>
      <c r="E203" s="54" t="str">
        <f>'iWork,IBP &amp; Framework_SOW Items'!F199</f>
        <v>Delivered</v>
      </c>
      <c r="F203" s="54" t="str">
        <f>Helper!E199</f>
        <v>Delivered</v>
      </c>
      <c r="G203" s="57">
        <f>IF('iWork,IBP &amp; Framework_SOW Items'!I199="","",'iWork,IBP &amp; Framework_SOW Items'!I199)</f>
        <v>46182</v>
      </c>
      <c r="H203" s="54" t="str">
        <f>IF('iWork,IBP &amp; Framework_SOW Items'!J199="","",'iWork,IBP &amp; Framework_SOW Items'!J199)</f>
        <v>Abhilash</v>
      </c>
      <c r="I203" s="56" t="str">
        <f>IF('iWork,IBP &amp; Framework_SOW Items'!G199="","",'iWork,IBP &amp; Framework_SOW Items'!G199)</f>
        <v/>
      </c>
    </row>
    <row r="204" ht="15" hidden="1" customHeight="1" spans="1:9">
      <c r="A204" s="51" t="str">
        <f>'iWork,IBP &amp; Framework_SOW Items'!E200</f>
        <v>Milestone 6</v>
      </c>
      <c r="B204" s="51" t="str">
        <f>'iWork,IBP &amp; Framework_SOW Items'!D200</f>
        <v>IBP</v>
      </c>
      <c r="C204" s="52" t="str">
        <f>'iWork,IBP &amp; Framework_SOW Items'!B200</f>
        <v>Claims Corner</v>
      </c>
      <c r="D204" s="53" t="str">
        <f>'iWork,IBP &amp; Framework_SOW Items'!C200</f>
        <v>Claims Corner - Screen Re-design</v>
      </c>
      <c r="E204" s="51" t="str">
        <f>'iWork,IBP &amp; Framework_SOW Items'!F200</f>
        <v>Dev - WIP</v>
      </c>
      <c r="F204" s="51" t="str">
        <f>Helper!E200</f>
        <v>Pending</v>
      </c>
      <c r="G204" s="59">
        <f>IF('iWork,IBP &amp; Framework_SOW Items'!I200="","",'iWork,IBP &amp; Framework_SOW Items'!I200)</f>
        <v>46195</v>
      </c>
      <c r="H204" s="51" t="str">
        <f>IF('iWork,IBP &amp; Framework_SOW Items'!J200="","",'iWork,IBP &amp; Framework_SOW Items'!J200)</f>
        <v/>
      </c>
      <c r="I204" s="53" t="str">
        <f>IF('iWork,IBP &amp; Framework_SOW Items'!G200="","",'iWork,IBP &amp; Framework_SOW Items'!G200)</f>
        <v/>
      </c>
    </row>
    <row r="205" ht="15" hidden="1" customHeight="1" spans="1:9">
      <c r="A205" s="54" t="str">
        <f>'iWork,IBP &amp; Framework_SOW Items'!E201</f>
        <v>Milestone 6</v>
      </c>
      <c r="B205" s="54" t="str">
        <f>'iWork,IBP &amp; Framework_SOW Items'!D201</f>
        <v>IBP - CR</v>
      </c>
      <c r="C205" s="55" t="str">
        <f>'iWork,IBP &amp; Framework_SOW Items'!B201</f>
        <v>Claim Intimation &amp; Submission</v>
      </c>
      <c r="D205" s="56" t="str">
        <f>'iWork,IBP &amp; Framework_SOW Items'!C201</f>
        <v>POC - Using AI(Amazon Textract) - Extract Claim documents and populate the data</v>
      </c>
      <c r="E205" s="54" t="str">
        <f>'iWork,IBP &amp; Framework_SOW Items'!F201</f>
        <v>Dev - WIP</v>
      </c>
      <c r="F205" s="54" t="str">
        <f>Helper!E201</f>
        <v>Pending</v>
      </c>
      <c r="G205" s="57">
        <f>IF('iWork,IBP &amp; Framework_SOW Items'!I201="","",'iWork,IBP &amp; Framework_SOW Items'!I201)</f>
        <v>46195</v>
      </c>
      <c r="H205" s="54" t="str">
        <f>IF('iWork,IBP &amp; Framework_SOW Items'!J201="","",'iWork,IBP &amp; Framework_SOW Items'!J201)</f>
        <v>Tharun</v>
      </c>
      <c r="I205" s="56" t="str">
        <f>IF('iWork,IBP &amp; Framework_SOW Items'!G201="","",'iWork,IBP &amp; Framework_SOW Items'!G201)</f>
        <v/>
      </c>
    </row>
    <row r="206" ht="15" hidden="1" customHeight="1" spans="1:9">
      <c r="A206" s="51" t="str">
        <f>'iWork,IBP &amp; Framework_SOW Items'!E202</f>
        <v>Milestone 6</v>
      </c>
      <c r="B206" s="51" t="str">
        <f>'iWork,IBP &amp; Framework_SOW Items'!D202</f>
        <v>IBP/iWork</v>
      </c>
      <c r="C206" s="52">
        <f>'iWork,IBP &amp; Framework_SOW Items'!B202</f>
        <v>0</v>
      </c>
      <c r="D206" s="53" t="str">
        <f>'iWork,IBP &amp; Framework_SOW Items'!C202</f>
        <v>Based on recent billing - Identifying the gaps in Redis data storage and gaps in implementation</v>
      </c>
      <c r="E206" s="51" t="str">
        <f>'iWork,IBP &amp; Framework_SOW Items'!F202</f>
        <v>Delivered</v>
      </c>
      <c r="F206" s="51" t="str">
        <f>Helper!E202</f>
        <v>Delivered</v>
      </c>
      <c r="G206" s="59">
        <f>IF('iWork,IBP &amp; Framework_SOW Items'!I202="","",'iWork,IBP &amp; Framework_SOW Items'!I202)</f>
        <v>46181</v>
      </c>
      <c r="H206" s="51" t="str">
        <f>IF('iWork,IBP &amp; Framework_SOW Items'!J202="","",'iWork,IBP &amp; Framework_SOW Items'!J202)</f>
        <v>Tharun</v>
      </c>
      <c r="I206" s="53" t="str">
        <f>IF('iWork,IBP &amp; Framework_SOW Items'!G202="","",'iWork,IBP &amp; Framework_SOW Items'!G202)</f>
        <v/>
      </c>
    </row>
    <row r="207" ht="15" hidden="1" customHeight="1" spans="1:9">
      <c r="A207" s="54" t="str">
        <f>'iWork,IBP &amp; Framework_SOW Items'!E203</f>
        <v>Milestone 6</v>
      </c>
      <c r="B207" s="54" t="str">
        <f>'iWork,IBP &amp; Framework_SOW Items'!D203</f>
        <v>IBP/iWork</v>
      </c>
      <c r="C207" s="56" t="str">
        <f>'iWork,IBP &amp; Framework_SOW Items'!B203</f>
        <v>Policy Config</v>
      </c>
      <c r="D207" s="56" t="str">
        <f>'iWork,IBP &amp; Framework_SOW Items'!C203</f>
        <v>New Policy constraints
1. Allow first child as Twin
2. Allow second child as Triplet
3. SI per Dependent
4. Parent Lock-in period</v>
      </c>
      <c r="E207" s="54" t="str">
        <f>'iWork,IBP &amp; Framework_SOW Items'!F203</f>
        <v>Delivered</v>
      </c>
      <c r="F207" s="54" t="str">
        <f>Helper!E203</f>
        <v>Delivered</v>
      </c>
      <c r="G207" s="57">
        <f>IF('iWork,IBP &amp; Framework_SOW Items'!I203="","",'iWork,IBP &amp; Framework_SOW Items'!I203)</f>
        <v>46189</v>
      </c>
      <c r="H207" s="54" t="str">
        <f>IF('iWork,IBP &amp; Framework_SOW Items'!J203="","",'iWork,IBP &amp; Framework_SOW Items'!J203)</f>
        <v/>
      </c>
      <c r="I207" s="56" t="str">
        <f>IF('iWork,IBP &amp; Framework_SOW Items'!G203="","",'iWork,IBP &amp; Framework_SOW Items'!G203)</f>
        <v/>
      </c>
    </row>
    <row r="208" ht="15" hidden="1" customHeight="1" spans="1:9">
      <c r="A208" s="51" t="str">
        <f>'iWork,IBP &amp; Framework_SOW Items'!E204</f>
        <v>Milestone 6</v>
      </c>
      <c r="B208" s="51" t="str">
        <f>'iWork,IBP &amp; Framework_SOW Items'!D204</f>
        <v>IBP/iWork</v>
      </c>
      <c r="C208" s="52" t="str">
        <f>'iWork,IBP &amp; Framework_SOW Items'!B204</f>
        <v>One URL multiple companies</v>
      </c>
      <c r="D208" s="53" t="str">
        <f>'iWork,IBP &amp; Framework_SOW Items'!C204</f>
        <v>Flexibility to configure multiple companies on a single domain</v>
      </c>
      <c r="E208" s="51" t="str">
        <f>'iWork,IBP &amp; Framework_SOW Items'!F204</f>
        <v>Delivered</v>
      </c>
      <c r="F208" s="51" t="str">
        <f>Helper!E204</f>
        <v>Delivered</v>
      </c>
      <c r="G208" s="59">
        <f>IF('iWork,IBP &amp; Framework_SOW Items'!I204="","",'iWork,IBP &amp; Framework_SOW Items'!I204)</f>
        <v>46190</v>
      </c>
      <c r="H208" s="51" t="str">
        <f>IF('iWork,IBP &amp; Framework_SOW Items'!J204="","",'iWork,IBP &amp; Framework_SOW Items'!J204)</f>
        <v/>
      </c>
      <c r="I208" s="53" t="str">
        <f>IF('iWork,IBP &amp; Framework_SOW Items'!G204="","",'iWork,IBP &amp; Framework_SOW Items'!G204)</f>
        <v/>
      </c>
    </row>
    <row r="209" ht="15" hidden="1" customHeight="1" spans="1:9">
      <c r="A209" s="54" t="str">
        <f>'iWork,IBP &amp; Framework_SOW Items'!E205</f>
        <v>Milestone 6</v>
      </c>
      <c r="B209" s="54" t="str">
        <f>'iWork,IBP &amp; Framework_SOW Items'!D205</f>
        <v>IBP/iWork</v>
      </c>
      <c r="C209" s="55" t="str">
        <f>'iWork,IBP &amp; Framework_SOW Items'!B205</f>
        <v>VRK - PROD Feedback: 8-Jun-2026</v>
      </c>
      <c r="D209" s="56" t="str">
        <f>'iWork,IBP &amp; Framework_SOW Items'!C205</f>
        <v>TPA Integration for other TPA's - Approach/Prerequisites to initiate the process.</v>
      </c>
      <c r="E209" s="54" t="str">
        <f>'iWork,IBP &amp; Framework_SOW Items'!F205</f>
        <v>Dev - WIP</v>
      </c>
      <c r="F209" s="54" t="str">
        <f>Helper!E205</f>
        <v>Pending</v>
      </c>
      <c r="G209" s="57" t="str">
        <f>IF('iWork,IBP &amp; Framework_SOW Items'!I205="","",'iWork,IBP &amp; Framework_SOW Items'!I205)</f>
        <v/>
      </c>
      <c r="H209" s="54" t="str">
        <f>IF('iWork,IBP &amp; Framework_SOW Items'!J205="","",'iWork,IBP &amp; Framework_SOW Items'!J205)</f>
        <v>Tharun</v>
      </c>
      <c r="I209" s="56" t="str">
        <f>IF('iWork,IBP &amp; Framework_SOW Items'!G205="","",'iWork,IBP &amp; Framework_SOW Items'!G205)</f>
        <v/>
      </c>
    </row>
    <row r="210" ht="15" hidden="1" customHeight="1" spans="1:9">
      <c r="A210" s="51" t="str">
        <f>'iWork,IBP &amp; Framework_SOW Items'!E206</f>
        <v>Milestone 6</v>
      </c>
      <c r="B210" s="51" t="str">
        <f>'iWork,IBP &amp; Framework_SOW Items'!D206</f>
        <v>iWork</v>
      </c>
      <c r="C210" s="52" t="str">
        <f>'iWork,IBP &amp; Framework_SOW Items'!B206</f>
        <v>Endorsement Mgmt</v>
      </c>
      <c r="D210" s="53" t="str">
        <f>'iWork,IBP &amp; Framework_SOW Items'!C206</f>
        <v>PROD Bug: Data Discrepancy - Inception/Endorsement vs Send to Client/Insurer (Preview &amp; Excel)</v>
      </c>
      <c r="E210" s="51" t="str">
        <f>'iWork,IBP &amp; Framework_SOW Items'!F206</f>
        <v>Delivered</v>
      </c>
      <c r="F210" s="51" t="str">
        <f>Helper!E206</f>
        <v>Delivered</v>
      </c>
      <c r="G210" s="59">
        <f>IF('iWork,IBP &amp; Framework_SOW Items'!I206="","",'iWork,IBP &amp; Framework_SOW Items'!I206)</f>
        <v>46169</v>
      </c>
      <c r="H210" s="51" t="str">
        <f>IF('iWork,IBP &amp; Framework_SOW Items'!J206="","",'iWork,IBP &amp; Framework_SOW Items'!J206)</f>
        <v>Prathiphala</v>
      </c>
      <c r="I210" s="53" t="str">
        <f>IF('iWork,IBP &amp; Framework_SOW Items'!G206="","",'iWork,IBP &amp; Framework_SOW Items'!G206)</f>
        <v/>
      </c>
    </row>
    <row r="211" ht="15" hidden="1" customHeight="1" spans="1:9">
      <c r="A211" s="54" t="str">
        <f>'iWork,IBP &amp; Framework_SOW Items'!E207</f>
        <v>Milestone 6</v>
      </c>
      <c r="B211" s="54" t="str">
        <f>'iWork,IBP &amp; Framework_SOW Items'!D207</f>
        <v>iWork</v>
      </c>
      <c r="C211" s="55" t="str">
        <f>'iWork,IBP &amp; Framework_SOW Items'!B207</f>
        <v>Endorsement Mgmt</v>
      </c>
      <c r="D211" s="56" t="str">
        <f>'iWork,IBP &amp; Framework_SOW Items'!C207</f>
        <v>PROD Bug: When download the TPA file, dependents are Missing in the file</v>
      </c>
      <c r="E211" s="54" t="str">
        <f>'iWork,IBP &amp; Framework_SOW Items'!F207</f>
        <v>Delivered</v>
      </c>
      <c r="F211" s="54" t="str">
        <f>Helper!E207</f>
        <v>Delivered</v>
      </c>
      <c r="G211" s="57">
        <f>IF('iWork,IBP &amp; Framework_SOW Items'!I207="","",'iWork,IBP &amp; Framework_SOW Items'!I207)</f>
        <v>46169</v>
      </c>
      <c r="H211" s="54" t="str">
        <f>IF('iWork,IBP &amp; Framework_SOW Items'!J207="","",'iWork,IBP &amp; Framework_SOW Items'!J207)</f>
        <v>Sunil</v>
      </c>
      <c r="I211" s="56" t="str">
        <f>IF('iWork,IBP &amp; Framework_SOW Items'!G207="","",'iWork,IBP &amp; Framework_SOW Items'!G207)</f>
        <v/>
      </c>
    </row>
    <row r="212" ht="15" hidden="1" customHeight="1" spans="1:9">
      <c r="A212" s="51" t="str">
        <f>'iWork,IBP &amp; Framework_SOW Items'!E208</f>
        <v>Milestone 6</v>
      </c>
      <c r="B212" s="51" t="str">
        <f>'iWork,IBP &amp; Framework_SOW Items'!D208</f>
        <v>iWork</v>
      </c>
      <c r="C212" s="52" t="str">
        <f>'iWork,IBP &amp; Framework_SOW Items'!B208</f>
        <v>VRK - PROD Feedback: 9-Jun-2026</v>
      </c>
      <c r="D212" s="53" t="str">
        <f>'iWork,IBP &amp; Framework_SOW Items'!C208</f>
        <v>BD/ISG planning dates should be empty and mandatory - should be mandatory to start the journey.</v>
      </c>
      <c r="E212" s="51" t="str">
        <f>'iWork,IBP &amp; Framework_SOW Items'!F208</f>
        <v>Delivered</v>
      </c>
      <c r="F212" s="51" t="str">
        <f>Helper!E208</f>
        <v>Delivered</v>
      </c>
      <c r="G212" s="59">
        <f>IF('iWork,IBP &amp; Framework_SOW Items'!I208="","",'iWork,IBP &amp; Framework_SOW Items'!I208)</f>
        <v>46181</v>
      </c>
      <c r="H212" s="51" t="str">
        <f>IF('iWork,IBP &amp; Framework_SOW Items'!J208="","",'iWork,IBP &amp; Framework_SOW Items'!J208)</f>
        <v/>
      </c>
      <c r="I212" s="53" t="str">
        <f>IF('iWork,IBP &amp; Framework_SOW Items'!G208="","",'iWork,IBP &amp; Framework_SOW Items'!G208)</f>
        <v/>
      </c>
    </row>
    <row r="213" ht="15" hidden="1" customHeight="1" spans="1:9">
      <c r="A213" s="54" t="str">
        <f>'iWork,IBP &amp; Framework_SOW Items'!E209</f>
        <v>Milestone 6</v>
      </c>
      <c r="B213" s="54" t="str">
        <f>'iWork,IBP &amp; Framework_SOW Items'!D209</f>
        <v>iWork</v>
      </c>
      <c r="C213" s="55" t="str">
        <f>'iWork,IBP &amp; Framework_SOW Items'!B209</f>
        <v>VRK - PROD Feedback: 8-Jun-2026</v>
      </c>
      <c r="D213" s="56" t="str">
        <f>'iWork,IBP &amp; Framework_SOW Items'!C209</f>
        <v>Critical: SO expiry logic and date validation should allow within 365 days at the time so creation.</v>
      </c>
      <c r="E213" s="54" t="str">
        <f>'iWork,IBP &amp; Framework_SOW Items'!F209</f>
        <v>Delivered</v>
      </c>
      <c r="F213" s="54" t="str">
        <f>Helper!E209</f>
        <v>Delivered</v>
      </c>
      <c r="G213" s="57">
        <f>IF('iWork,IBP &amp; Framework_SOW Items'!I209="","",'iWork,IBP &amp; Framework_SOW Items'!I209)</f>
        <v>46181</v>
      </c>
      <c r="H213" s="54" t="str">
        <f>IF('iWork,IBP &amp; Framework_SOW Items'!J209="","",'iWork,IBP &amp; Framework_SOW Items'!J209)</f>
        <v/>
      </c>
      <c r="I213" s="56" t="str">
        <f>IF('iWork,IBP &amp; Framework_SOW Items'!G209="","",'iWork,IBP &amp; Framework_SOW Items'!G209)</f>
        <v/>
      </c>
    </row>
    <row r="214" ht="15" hidden="1" customHeight="1" spans="1:9">
      <c r="A214" s="51" t="str">
        <f>'iWork,IBP &amp; Framework_SOW Items'!E210</f>
        <v>Milestone 6</v>
      </c>
      <c r="B214" s="51" t="str">
        <f>'iWork,IBP &amp; Framework_SOW Items'!D210</f>
        <v>iWork</v>
      </c>
      <c r="C214" s="52" t="str">
        <f>'iWork,IBP &amp; Framework_SOW Items'!B210</f>
        <v>VRK - PROD Feedback: 8-Jun-2026</v>
      </c>
      <c r="D214" s="53" t="str">
        <f>'iWork,IBP &amp; Framework_SOW Items'!C210</f>
        <v>Dashboard - Save View button to be moved to Run button --&gt; Move the Save View button beside Reset</v>
      </c>
      <c r="E214" s="51" t="str">
        <f>'iWork,IBP &amp; Framework_SOW Items'!F210</f>
        <v>Delivered</v>
      </c>
      <c r="F214" s="51" t="str">
        <f>Helper!E210</f>
        <v>Delivered</v>
      </c>
      <c r="G214" s="59">
        <f>IF('iWork,IBP &amp; Framework_SOW Items'!I210="","",'iWork,IBP &amp; Framework_SOW Items'!I210)</f>
        <v>46181</v>
      </c>
      <c r="H214" s="51" t="str">
        <f>IF('iWork,IBP &amp; Framework_SOW Items'!J210="","",'iWork,IBP &amp; Framework_SOW Items'!J210)</f>
        <v/>
      </c>
      <c r="I214" s="53" t="str">
        <f>IF('iWork,IBP &amp; Framework_SOW Items'!G210="","",'iWork,IBP &amp; Framework_SOW Items'!G210)</f>
        <v/>
      </c>
    </row>
    <row r="215" ht="15" hidden="1" customHeight="1" spans="1:9">
      <c r="A215" s="54" t="str">
        <f>'iWork,IBP &amp; Framework_SOW Items'!E211</f>
        <v>Milestone 6</v>
      </c>
      <c r="B215" s="54" t="str">
        <f>'iWork,IBP &amp; Framework_SOW Items'!D211</f>
        <v>iWork</v>
      </c>
      <c r="C215" s="55" t="str">
        <f>'iWork,IBP &amp; Framework_SOW Items'!B211</f>
        <v>VRK - PROD Feedback: 8-Jun-2026</v>
      </c>
      <c r="D215" s="56" t="str">
        <f>'iWork,IBP &amp; Framework_SOW Items'!C211</f>
        <v>Dont display CD management in menu link - move under Admin</v>
      </c>
      <c r="E215" s="54" t="str">
        <f>'iWork,IBP &amp; Framework_SOW Items'!F211</f>
        <v>Delivered</v>
      </c>
      <c r="F215" s="54" t="str">
        <f>Helper!E211</f>
        <v>Delivered</v>
      </c>
      <c r="G215" s="57">
        <f>IF('iWork,IBP &amp; Framework_SOW Items'!I211="","",'iWork,IBP &amp; Framework_SOW Items'!I211)</f>
        <v>46181</v>
      </c>
      <c r="H215" s="54" t="str">
        <f>IF('iWork,IBP &amp; Framework_SOW Items'!J211="","",'iWork,IBP &amp; Framework_SOW Items'!J211)</f>
        <v/>
      </c>
      <c r="I215" s="56" t="str">
        <f>IF('iWork,IBP &amp; Framework_SOW Items'!G211="","",'iWork,IBP &amp; Framework_SOW Items'!G211)</f>
        <v/>
      </c>
    </row>
    <row r="216" ht="15" hidden="1" customHeight="1" spans="1:9">
      <c r="A216" s="51" t="str">
        <f>'iWork,IBP &amp; Framework_SOW Items'!E212</f>
        <v>Milestone 6</v>
      </c>
      <c r="B216" s="51" t="str">
        <f>'iWork,IBP &amp; Framework_SOW Items'!D212</f>
        <v>iWork</v>
      </c>
      <c r="C216" s="52" t="str">
        <f>'iWork,IBP &amp; Framework_SOW Items'!B212</f>
        <v>VRK - PROD Feedback: 8-Jun-2026</v>
      </c>
      <c r="D216" s="53" t="str">
        <f>'iWork,IBP &amp; Framework_SOW Items'!C212</f>
        <v>filter out support services from the dashboard</v>
      </c>
      <c r="E216" s="51" t="str">
        <f>'iWork,IBP &amp; Framework_SOW Items'!F212</f>
        <v>Delivered</v>
      </c>
      <c r="F216" s="51" t="str">
        <f>Helper!E212</f>
        <v>Delivered</v>
      </c>
      <c r="G216" s="59">
        <f>IF('iWork,IBP &amp; Framework_SOW Items'!I212="","",'iWork,IBP &amp; Framework_SOW Items'!I212)</f>
        <v>46181</v>
      </c>
      <c r="H216" s="51" t="str">
        <f>IF('iWork,IBP &amp; Framework_SOW Items'!J212="","",'iWork,IBP &amp; Framework_SOW Items'!J212)</f>
        <v/>
      </c>
      <c r="I216" s="53" t="str">
        <f>IF('iWork,IBP &amp; Framework_SOW Items'!G212="","",'iWork,IBP &amp; Framework_SOW Items'!G212)</f>
        <v/>
      </c>
    </row>
    <row r="217" ht="15" hidden="1" customHeight="1" spans="1:9">
      <c r="A217" s="54" t="str">
        <f>'iWork,IBP &amp; Framework_SOW Items'!E213</f>
        <v>Milestone 6</v>
      </c>
      <c r="B217" s="54" t="str">
        <f>'iWork,IBP &amp; Framework_SOW Items'!D213</f>
        <v>iWork</v>
      </c>
      <c r="C217" s="55" t="str">
        <f>'iWork,IBP &amp; Framework_SOW Items'!B213</f>
        <v>VRK - PROD Feedback: 8-Jun-2026</v>
      </c>
      <c r="D217" s="56" t="str">
        <f>'iWork,IBP &amp; Framework_SOW Items'!C213</f>
        <v>funnels - hide Overall conversion values</v>
      </c>
      <c r="E217" s="54" t="str">
        <f>'iWork,IBP &amp; Framework_SOW Items'!F213</f>
        <v>Delivered</v>
      </c>
      <c r="F217" s="54" t="str">
        <f>Helper!E213</f>
        <v>Delivered</v>
      </c>
      <c r="G217" s="57">
        <f>IF('iWork,IBP &amp; Framework_SOW Items'!I213="","",'iWork,IBP &amp; Framework_SOW Items'!I213)</f>
        <v>46181</v>
      </c>
      <c r="H217" s="54" t="str">
        <f>IF('iWork,IBP &amp; Framework_SOW Items'!J213="","",'iWork,IBP &amp; Framework_SOW Items'!J213)</f>
        <v/>
      </c>
      <c r="I217" s="56" t="str">
        <f>IF('iWork,IBP &amp; Framework_SOW Items'!G213="","",'iWork,IBP &amp; Framework_SOW Items'!G213)</f>
        <v/>
      </c>
    </row>
    <row r="218" ht="15" hidden="1" customHeight="1" spans="1:9">
      <c r="A218" s="51" t="str">
        <f>'iWork,IBP &amp; Framework_SOW Items'!E214</f>
        <v>Milestone 6</v>
      </c>
      <c r="B218" s="51" t="str">
        <f>'iWork,IBP &amp; Framework_SOW Items'!D214</f>
        <v>iWork</v>
      </c>
      <c r="C218" s="53" t="str">
        <f>'iWork,IBP &amp; Framework_SOW Items'!B214</f>
        <v>VRK - PROD Feedback: 8-Jun-2026</v>
      </c>
      <c r="D218" s="53" t="str">
        <f>'iWork,IBP &amp; Framework_SOW Items'!C214</f>
        <v>In My RO, "BD planning" title should change to "Renewal Planning" for RO</v>
      </c>
      <c r="E218" s="51" t="str">
        <f>'iWork,IBP &amp; Framework_SOW Items'!F214</f>
        <v>Delivered</v>
      </c>
      <c r="F218" s="51" t="str">
        <f>Helper!E214</f>
        <v>Delivered</v>
      </c>
      <c r="G218" s="59">
        <f>IF('iWork,IBP &amp; Framework_SOW Items'!I214="","",'iWork,IBP &amp; Framework_SOW Items'!I214)</f>
        <v>46181</v>
      </c>
      <c r="H218" s="51" t="str">
        <f>IF('iWork,IBP &amp; Framework_SOW Items'!J214="","",'iWork,IBP &amp; Framework_SOW Items'!J214)</f>
        <v/>
      </c>
      <c r="I218" s="53" t="str">
        <f>IF('iWork,IBP &amp; Framework_SOW Items'!G214="","",'iWork,IBP &amp; Framework_SOW Items'!G214)</f>
        <v/>
      </c>
    </row>
    <row r="219" ht="15" hidden="1" customHeight="1" spans="1:9">
      <c r="A219" s="54" t="str">
        <f>'iWork,IBP &amp; Framework_SOW Items'!E215</f>
        <v>Milestone 6</v>
      </c>
      <c r="B219" s="54" t="str">
        <f>'iWork,IBP &amp; Framework_SOW Items'!D215</f>
        <v>iWork</v>
      </c>
      <c r="C219" s="55" t="str">
        <f>'iWork,IBP &amp; Framework_SOW Items'!B215</f>
        <v>VRK - PROD Feedback: 5-Jun-2026</v>
      </c>
      <c r="D219" s="56" t="str">
        <f>'iWork,IBP &amp; Framework_SOW Items'!C215</f>
        <v>Manage SO - Update the date filters to "SO Expiry Date"</v>
      </c>
      <c r="E219" s="54" t="str">
        <f>'iWork,IBP &amp; Framework_SOW Items'!F215</f>
        <v>Delivered</v>
      </c>
      <c r="F219" s="54" t="str">
        <f>Helper!E215</f>
        <v>Delivered</v>
      </c>
      <c r="G219" s="57">
        <f>IF('iWork,IBP &amp; Framework_SOW Items'!I215="","",'iWork,IBP &amp; Framework_SOW Items'!I215)</f>
        <v>46181</v>
      </c>
      <c r="H219" s="54" t="str">
        <f>IF('iWork,IBP &amp; Framework_SOW Items'!J215="","",'iWork,IBP &amp; Framework_SOW Items'!J215)</f>
        <v/>
      </c>
      <c r="I219" s="56" t="str">
        <f>IF('iWork,IBP &amp; Framework_SOW Items'!G215="","",'iWork,IBP &amp; Framework_SOW Items'!G215)</f>
        <v/>
      </c>
    </row>
    <row r="220" ht="15" hidden="1" customHeight="1" spans="1:9">
      <c r="A220" s="51" t="str">
        <f>'iWork,IBP &amp; Framework_SOW Items'!E216</f>
        <v>Milestone 6</v>
      </c>
      <c r="B220" s="51" t="str">
        <f>'iWork,IBP &amp; Framework_SOW Items'!D216</f>
        <v>iWork</v>
      </c>
      <c r="C220" s="52" t="str">
        <f>'iWork,IBP &amp; Framework_SOW Items'!B216</f>
        <v>VRK - PROD Feedback: 8-Jun-2026</v>
      </c>
      <c r="D220" s="53" t="str">
        <f>'iWork,IBP &amp; Framework_SOW Items'!C216</f>
        <v>Manage TPA/BRoker/Insurer should be moved to Admin Module</v>
      </c>
      <c r="E220" s="51" t="str">
        <f>'iWork,IBP &amp; Framework_SOW Items'!F216</f>
        <v>Delivered</v>
      </c>
      <c r="F220" s="51" t="str">
        <f>Helper!E216</f>
        <v>Delivered</v>
      </c>
      <c r="G220" s="59">
        <f>IF('iWork,IBP &amp; Framework_SOW Items'!I216="","",'iWork,IBP &amp; Framework_SOW Items'!I216)</f>
        <v>46181</v>
      </c>
      <c r="H220" s="51" t="str">
        <f>IF('iWork,IBP &amp; Framework_SOW Items'!J216="","",'iWork,IBP &amp; Framework_SOW Items'!J216)</f>
        <v/>
      </c>
      <c r="I220" s="53" t="str">
        <f>IF('iWork,IBP &amp; Framework_SOW Items'!G216="","",'iWork,IBP &amp; Framework_SOW Items'!G216)</f>
        <v/>
      </c>
    </row>
    <row r="221" ht="15" hidden="1" customHeight="1" spans="1:9">
      <c r="A221" s="54" t="str">
        <f>'iWork,IBP &amp; Framework_SOW Items'!E217</f>
        <v>Milestone 6</v>
      </c>
      <c r="B221" s="54" t="str">
        <f>'iWork,IBP &amp; Framework_SOW Items'!D217</f>
        <v>iWork</v>
      </c>
      <c r="C221" s="55" t="str">
        <f>'iWork,IBP &amp; Framework_SOW Items'!B217</f>
        <v>VRK - PROD Feedback: 8-Jun-2026</v>
      </c>
      <c r="D221" s="56" t="str">
        <f>'iWork,IBP &amp; Framework_SOW Items'!C217</f>
        <v>My Follow Up - hide "All" option - RO should be default</v>
      </c>
      <c r="E221" s="54" t="str">
        <f>'iWork,IBP &amp; Framework_SOW Items'!F217</f>
        <v>Delivered</v>
      </c>
      <c r="F221" s="54" t="str">
        <f>Helper!E217</f>
        <v>Delivered</v>
      </c>
      <c r="G221" s="57">
        <f>IF('iWork,IBP &amp; Framework_SOW Items'!I217="","",'iWork,IBP &amp; Framework_SOW Items'!I217)</f>
        <v>46181</v>
      </c>
      <c r="H221" s="54" t="str">
        <f>IF('iWork,IBP &amp; Framework_SOW Items'!J217="","",'iWork,IBP &amp; Framework_SOW Items'!J217)</f>
        <v/>
      </c>
      <c r="I221" s="56" t="str">
        <f>IF('iWork,IBP &amp; Framework_SOW Items'!G217="","",'iWork,IBP &amp; Framework_SOW Items'!G217)</f>
        <v/>
      </c>
    </row>
    <row r="222" ht="15" hidden="1" customHeight="1" spans="1:9">
      <c r="A222" s="51" t="str">
        <f>'iWork,IBP &amp; Framework_SOW Items'!E218</f>
        <v>Milestone 6</v>
      </c>
      <c r="B222" s="51" t="str">
        <f>'iWork,IBP &amp; Framework_SOW Items'!D218</f>
        <v>iWork</v>
      </c>
      <c r="C222" s="52" t="str">
        <f>'iWork,IBP &amp; Framework_SOW Items'!B218</f>
        <v>VRK - PROD Feedback: 8-Jun-2026</v>
      </c>
      <c r="D222" s="53" t="str">
        <f>'iWork,IBP &amp; Framework_SOW Items'!C218</f>
        <v>Policy Expiry Timeline by SBU - change to "Renewal Schedule by SBU" and move under renewal funnel</v>
      </c>
      <c r="E222" s="51" t="str">
        <f>'iWork,IBP &amp; Framework_SOW Items'!F218</f>
        <v>Delivered</v>
      </c>
      <c r="F222" s="51" t="str">
        <f>Helper!E218</f>
        <v>Delivered</v>
      </c>
      <c r="G222" s="51">
        <f>IF('iWork,IBP &amp; Framework_SOW Items'!I218="","",'iWork,IBP &amp; Framework_SOW Items'!I218)</f>
        <v>46181</v>
      </c>
      <c r="H222" s="51" t="str">
        <f>IF('iWork,IBP &amp; Framework_SOW Items'!J218="","",'iWork,IBP &amp; Framework_SOW Items'!J218)</f>
        <v/>
      </c>
      <c r="I222" s="53" t="str">
        <f>IF('iWork,IBP &amp; Framework_SOW Items'!G218="","",'iWork,IBP &amp; Framework_SOW Items'!G218)</f>
        <v/>
      </c>
    </row>
    <row r="223" ht="15" hidden="1" customHeight="1" spans="1:9">
      <c r="A223" s="54" t="str">
        <f>'iWork,IBP &amp; Framework_SOW Items'!E219</f>
        <v>Milestone 6</v>
      </c>
      <c r="B223" s="54" t="str">
        <f>'iWork,IBP &amp; Framework_SOW Items'!D219</f>
        <v>iWork</v>
      </c>
      <c r="C223" s="56" t="str">
        <f>'iWork,IBP &amp; Framework_SOW Items'!B219</f>
        <v>VRK - PROD Feedback: 8-Jun-2026</v>
      </c>
      <c r="D223" s="56" t="str">
        <f>'iWork,IBP &amp; Framework_SOW Items'!C219</f>
        <v>Ribbon level reports link should be hidden --&gt; Hide "Reports" on the header menu. And also move the "Utilization report" to Admin Module.</v>
      </c>
      <c r="E223" s="54" t="str">
        <f>'iWork,IBP &amp; Framework_SOW Items'!F219</f>
        <v>Delivered</v>
      </c>
      <c r="F223" s="54" t="str">
        <f>Helper!E219</f>
        <v>Delivered</v>
      </c>
      <c r="G223" s="57">
        <f>IF('iWork,IBP &amp; Framework_SOW Items'!I219="","",'iWork,IBP &amp; Framework_SOW Items'!I219)</f>
        <v>46181</v>
      </c>
      <c r="H223" s="54" t="str">
        <f>IF('iWork,IBP &amp; Framework_SOW Items'!J219="","",'iWork,IBP &amp; Framework_SOW Items'!J219)</f>
        <v/>
      </c>
      <c r="I223" s="56" t="str">
        <f>IF('iWork,IBP &amp; Framework_SOW Items'!G219="","",'iWork,IBP &amp; Framework_SOW Items'!G219)</f>
        <v/>
      </c>
    </row>
    <row r="224" ht="15" hidden="1" customHeight="1" spans="1:9">
      <c r="A224" s="51" t="str">
        <f>'iWork,IBP &amp; Framework_SOW Items'!E220</f>
        <v>Milestone 6</v>
      </c>
      <c r="B224" s="51" t="str">
        <f>'iWork,IBP &amp; Framework_SOW Items'!D220</f>
        <v>iWork</v>
      </c>
      <c r="C224" s="52" t="str">
        <f>'iWork,IBP &amp; Framework_SOW Items'!B220</f>
        <v>IIRM-10588</v>
      </c>
      <c r="D224" s="53" t="str">
        <f>'iWork,IBP &amp; Framework_SOW Items'!C220</f>
        <v>Hide "Manage Policy" in "Manage Placements" link.</v>
      </c>
      <c r="E224" s="51" t="str">
        <f>'iWork,IBP &amp; Framework_SOW Items'!F220</f>
        <v>Delivered</v>
      </c>
      <c r="F224" s="51" t="str">
        <f>Helper!E220</f>
        <v>Delivered</v>
      </c>
      <c r="G224" s="59">
        <f>IF('iWork,IBP &amp; Framework_SOW Items'!I220="","",'iWork,IBP &amp; Framework_SOW Items'!I220)</f>
        <v>46182</v>
      </c>
      <c r="H224" s="51" t="str">
        <f>IF('iWork,IBP &amp; Framework_SOW Items'!J220="","",'iWork,IBP &amp; Framework_SOW Items'!J220)</f>
        <v>Pushyami</v>
      </c>
      <c r="I224" s="53" t="str">
        <f>IF('iWork,IBP &amp; Framework_SOW Items'!G220="","",'iWork,IBP &amp; Framework_SOW Items'!G220)</f>
        <v/>
      </c>
    </row>
    <row r="225" ht="15" hidden="1" customHeight="1" spans="1:9">
      <c r="A225" s="54" t="str">
        <f>'iWork,IBP &amp; Framework_SOW Items'!E221</f>
        <v>Milestone 6</v>
      </c>
      <c r="B225" s="54" t="str">
        <f>'iWork,IBP &amp; Framework_SOW Items'!D221</f>
        <v>iWork</v>
      </c>
      <c r="C225" s="55" t="str">
        <f>'iWork,IBP &amp; Framework_SOW Items'!B221</f>
        <v>VRK - PROD Feedback: 9-Jun-2026</v>
      </c>
      <c r="D225" s="56" t="str">
        <f>'iWork,IBP &amp; Framework_SOW Items'!C221</f>
        <v>In "Manage Quotes"/"Manage SO" page, a link should be provided on the activity name, it should get redirected to respective activity stage.</v>
      </c>
      <c r="E225" s="54" t="str">
        <f>'iWork,IBP &amp; Framework_SOW Items'!F221</f>
        <v>Delivered</v>
      </c>
      <c r="F225" s="54" t="str">
        <f>Helper!E221</f>
        <v>Delivered</v>
      </c>
      <c r="G225" s="57">
        <f>IF('iWork,IBP &amp; Framework_SOW Items'!I221="","",'iWork,IBP &amp; Framework_SOW Items'!I221)</f>
        <v>46182</v>
      </c>
      <c r="H225" s="54" t="str">
        <f>IF('iWork,IBP &amp; Framework_SOW Items'!J221="","",'iWork,IBP &amp; Framework_SOW Items'!J221)</f>
        <v>Pushyami</v>
      </c>
      <c r="I225" s="56" t="str">
        <f>IF('iWork,IBP &amp; Framework_SOW Items'!G221="","",'iWork,IBP &amp; Framework_SOW Items'!G221)</f>
        <v/>
      </c>
    </row>
    <row r="226" ht="15" hidden="1" customHeight="1" spans="1:9">
      <c r="A226" s="51" t="str">
        <f>'iWork,IBP &amp; Framework_SOW Items'!E222</f>
        <v>Milestone 6</v>
      </c>
      <c r="B226" s="51" t="str">
        <f>'iWork,IBP &amp; Framework_SOW Items'!D222</f>
        <v>iWork</v>
      </c>
      <c r="C226" s="53" t="str">
        <f>'iWork,IBP &amp; Framework_SOW Items'!B222</f>
        <v>VRK - PROD Feedback: 9-Jun-2026</v>
      </c>
      <c r="D226" s="53" t="str">
        <f>'iWork,IBP &amp; Framework_SOW Items'!C222</f>
        <v>Issue in Bizdone search results - Company name not visible</v>
      </c>
      <c r="E226" s="51" t="str">
        <f>'iWork,IBP &amp; Framework_SOW Items'!F222</f>
        <v>Delivered</v>
      </c>
      <c r="F226" s="51" t="str">
        <f>Helper!E222</f>
        <v>Delivered</v>
      </c>
      <c r="G226" s="59">
        <f>IF('iWork,IBP &amp; Framework_SOW Items'!I222="","",'iWork,IBP &amp; Framework_SOW Items'!I222)</f>
        <v>46182</v>
      </c>
      <c r="H226" s="51" t="str">
        <f>IF('iWork,IBP &amp; Framework_SOW Items'!J222="","",'iWork,IBP &amp; Framework_SOW Items'!J222)</f>
        <v>Pushyami</v>
      </c>
      <c r="I226" s="53" t="str">
        <f>IF('iWork,IBP &amp; Framework_SOW Items'!G222="","",'iWork,IBP &amp; Framework_SOW Items'!G222)</f>
        <v/>
      </c>
    </row>
    <row r="227" ht="15" hidden="1" customHeight="1" spans="1:9">
      <c r="A227" s="54" t="str">
        <f>'iWork,IBP &amp; Framework_SOW Items'!E223</f>
        <v>Milestone 6</v>
      </c>
      <c r="B227" s="54" t="str">
        <f>'iWork,IBP &amp; Framework_SOW Items'!D223</f>
        <v>iWork</v>
      </c>
      <c r="C227" s="55" t="str">
        <f>'iWork,IBP &amp; Framework_SOW Items'!B223</f>
        <v>VRK - PROD Feedback</v>
      </c>
      <c r="D227" s="56" t="str">
        <f>'iWork,IBP &amp; Framework_SOW Items'!C223</f>
        <v>Manage Insurer - Add Insurer Flow</v>
      </c>
      <c r="E227" s="54" t="str">
        <f>'iWork,IBP &amp; Framework_SOW Items'!F223</f>
        <v>Delivered</v>
      </c>
      <c r="F227" s="54" t="str">
        <f>Helper!E223</f>
        <v>Delivered</v>
      </c>
      <c r="G227" s="57">
        <f>IF('iWork,IBP &amp; Framework_SOW Items'!I223="","",'iWork,IBP &amp; Framework_SOW Items'!I223)</f>
        <v>46182</v>
      </c>
      <c r="H227" s="54" t="str">
        <f>IF('iWork,IBP &amp; Framework_SOW Items'!J223="","",'iWork,IBP &amp; Framework_SOW Items'!J223)</f>
        <v>Pushyami</v>
      </c>
      <c r="I227" s="56" t="str">
        <f>IF('iWork,IBP &amp; Framework_SOW Items'!G223="","",'iWork,IBP &amp; Framework_SOW Items'!G223)</f>
        <v/>
      </c>
    </row>
    <row r="228" ht="15" hidden="1" customHeight="1" spans="1:9">
      <c r="A228" s="51" t="str">
        <f>'iWork,IBP &amp; Framework_SOW Items'!E224</f>
        <v>Milestone 6</v>
      </c>
      <c r="B228" s="51" t="str">
        <f>'iWork,IBP &amp; Framework_SOW Items'!D224</f>
        <v>iWork</v>
      </c>
      <c r="C228" s="52" t="str">
        <f>'iWork,IBP &amp; Framework_SOW Items'!B224</f>
        <v>VRK - PROD Feedback: 8-Jun-2026
IIRM-10589</v>
      </c>
      <c r="D228" s="53" t="str">
        <f>'iWork,IBP &amp; Framework_SOW Items'!C224</f>
        <v>My client portfolio - Period (Company created) change to - Period (policies created) --- Show the same filters of Manage Policy</v>
      </c>
      <c r="E228" s="51" t="str">
        <f>'iWork,IBP &amp; Framework_SOW Items'!F224</f>
        <v>Delivered</v>
      </c>
      <c r="F228" s="51" t="str">
        <f>Helper!E224</f>
        <v>Delivered</v>
      </c>
      <c r="G228" s="59">
        <f>IF('iWork,IBP &amp; Framework_SOW Items'!I224="","",'iWork,IBP &amp; Framework_SOW Items'!I224)</f>
        <v>46182</v>
      </c>
      <c r="H228" s="51" t="str">
        <f>IF('iWork,IBP &amp; Framework_SOW Items'!J224="","",'iWork,IBP &amp; Framework_SOW Items'!J224)</f>
        <v>Karan</v>
      </c>
      <c r="I228" s="53" t="str">
        <f>IF('iWork,IBP &amp; Framework_SOW Items'!G224="","",'iWork,IBP &amp; Framework_SOW Items'!G224)</f>
        <v/>
      </c>
    </row>
    <row r="229" ht="15" hidden="1" customHeight="1" spans="1:9">
      <c r="A229" s="54" t="str">
        <f>'iWork,IBP &amp; Framework_SOW Items'!E225</f>
        <v>Milestone 6</v>
      </c>
      <c r="B229" s="54" t="str">
        <f>'iWork,IBP &amp; Framework_SOW Items'!D225</f>
        <v>iWork</v>
      </c>
      <c r="C229" s="56" t="str">
        <f>'iWork,IBP &amp; Framework_SOW Items'!B225</f>
        <v>VRK - PROD Feedback: 9-Jun-2026
IIRM-10588</v>
      </c>
      <c r="D229" s="56" t="str">
        <f>'iWork,IBP &amp; Framework_SOW Items'!C225</f>
        <v>Rename "My SO" to "Manage SO" in the sales portfolio.</v>
      </c>
      <c r="E229" s="54" t="str">
        <f>'iWork,IBP &amp; Framework_SOW Items'!F225</f>
        <v>Delivered</v>
      </c>
      <c r="F229" s="54" t="str">
        <f>Helper!E225</f>
        <v>Delivered</v>
      </c>
      <c r="G229" s="57">
        <f>IF('iWork,IBP &amp; Framework_SOW Items'!I225="","",'iWork,IBP &amp; Framework_SOW Items'!I225)</f>
        <v>46182</v>
      </c>
      <c r="H229" s="54" t="str">
        <f>IF('iWork,IBP &amp; Framework_SOW Items'!J225="","",'iWork,IBP &amp; Framework_SOW Items'!J225)</f>
        <v>Pushyami</v>
      </c>
      <c r="I229" s="56" t="str">
        <f>IF('iWork,IBP &amp; Framework_SOW Items'!G225="","",'iWork,IBP &amp; Framework_SOW Items'!G225)</f>
        <v/>
      </c>
    </row>
    <row r="230" ht="15" hidden="1" customHeight="1" spans="1:9">
      <c r="A230" s="51" t="str">
        <f>'iWork,IBP &amp; Framework_SOW Items'!E226</f>
        <v>Milestone 6</v>
      </c>
      <c r="B230" s="51" t="str">
        <f>'iWork,IBP &amp; Framework_SOW Items'!D226</f>
        <v>iWork</v>
      </c>
      <c r="C230" s="53" t="str">
        <f>'iWork,IBP &amp; Framework_SOW Items'!B226</f>
        <v>VRK - PROD Feedback: 9-Jun-2026</v>
      </c>
      <c r="D230" s="53" t="str">
        <f>'iWork,IBP &amp; Framework_SOW Items'!C226</f>
        <v>SO creation process: SO Expiry field title should be changed to "Opportunity/Existing Policy Expiry" - label to be changed.
Nithin --&gt; Also, change in SO details page as well</v>
      </c>
      <c r="E230" s="51" t="str">
        <f>'iWork,IBP &amp; Framework_SOW Items'!F226</f>
        <v>Delivered</v>
      </c>
      <c r="F230" s="51" t="str">
        <f>Helper!E226</f>
        <v>Delivered</v>
      </c>
      <c r="G230" s="59">
        <f>IF('iWork,IBP &amp; Framework_SOW Items'!I226="","",'iWork,IBP &amp; Framework_SOW Items'!I226)</f>
        <v>46182</v>
      </c>
      <c r="H230" s="51" t="str">
        <f>IF('iWork,IBP &amp; Framework_SOW Items'!J226="","",'iWork,IBP &amp; Framework_SOW Items'!J226)</f>
        <v>Pushyami</v>
      </c>
      <c r="I230" s="53" t="str">
        <f>IF('iWork,IBP &amp; Framework_SOW Items'!G226="","",'iWork,IBP &amp; Framework_SOW Items'!G226)</f>
        <v/>
      </c>
    </row>
    <row r="231" ht="15" hidden="1" customHeight="1" spans="1:9">
      <c r="A231" s="54" t="str">
        <f>'iWork,IBP &amp; Framework_SOW Items'!E227</f>
        <v>Milestone 6</v>
      </c>
      <c r="B231" s="54" t="str">
        <f>'iWork,IBP &amp; Framework_SOW Items'!D227</f>
        <v>iWork</v>
      </c>
      <c r="C231" s="55" t="str">
        <f>'iWork,IBP &amp; Framework_SOW Items'!B227</f>
        <v>VRK - PROD Feedback: 9-Jun-2026</v>
      </c>
      <c r="D231" s="56" t="str">
        <f>'iWork,IBP &amp; Framework_SOW Items'!C227</f>
        <v>My followup section in the dashboard - should display default Activity names and show the values even there are zeros for each activity.</v>
      </c>
      <c r="E231" s="54" t="str">
        <f>'iWork,IBP &amp; Framework_SOW Items'!F227</f>
        <v>Delivered</v>
      </c>
      <c r="F231" s="54" t="str">
        <f>Helper!E227</f>
        <v>Delivered</v>
      </c>
      <c r="G231" s="54">
        <f>IF('iWork,IBP &amp; Framework_SOW Items'!I227="","",'iWork,IBP &amp; Framework_SOW Items'!I227)</f>
        <v>46183</v>
      </c>
      <c r="H231" s="54" t="str">
        <f>IF('iWork,IBP &amp; Framework_SOW Items'!J227="","",'iWork,IBP &amp; Framework_SOW Items'!J227)</f>
        <v>Prathiphala</v>
      </c>
      <c r="I231" s="56" t="str">
        <f>IF('iWork,IBP &amp; Framework_SOW Items'!G227="","",'iWork,IBP &amp; Framework_SOW Items'!G227)</f>
        <v/>
      </c>
    </row>
    <row r="232" ht="15" hidden="1" customHeight="1" spans="1:9">
      <c r="A232" s="51" t="str">
        <f>'iWork,IBP &amp; Framework_SOW Items'!E228</f>
        <v>Milestone 6</v>
      </c>
      <c r="B232" s="51" t="str">
        <f>'iWork,IBP &amp; Framework_SOW Items'!D228</f>
        <v>iWork</v>
      </c>
      <c r="C232" s="53" t="str">
        <f>'iWork,IBP &amp; Framework_SOW Items'!B228</f>
        <v>VRK - PROD Feedback: 8-Jun-2026</v>
      </c>
      <c r="D232" s="53" t="str">
        <f>'iWork,IBP &amp; Framework_SOW Items'!C228</f>
        <v>My RO clicked should not get highlighted to My SO menu link.</v>
      </c>
      <c r="E232" s="51" t="str">
        <f>'iWork,IBP &amp; Framework_SOW Items'!F228</f>
        <v>Delivered</v>
      </c>
      <c r="F232" s="51" t="str">
        <f>Helper!E228</f>
        <v>Delivered</v>
      </c>
      <c r="G232" s="59">
        <f>IF('iWork,IBP &amp; Framework_SOW Items'!I228="","",'iWork,IBP &amp; Framework_SOW Items'!I228)</f>
        <v>46183</v>
      </c>
      <c r="H232" s="51" t="str">
        <f>IF('iWork,IBP &amp; Framework_SOW Items'!J228="","",'iWork,IBP &amp; Framework_SOW Items'!J228)</f>
        <v/>
      </c>
      <c r="I232" s="53" t="str">
        <f>IF('iWork,IBP &amp; Framework_SOW Items'!G228="","",'iWork,IBP &amp; Framework_SOW Items'!G228)</f>
        <v/>
      </c>
    </row>
    <row r="233" ht="15" hidden="1" customHeight="1" spans="1:9">
      <c r="A233" s="54" t="str">
        <f>'iWork,IBP &amp; Framework_SOW Items'!E229</f>
        <v>Milestone 6</v>
      </c>
      <c r="B233" s="54" t="str">
        <f>'iWork,IBP &amp; Framework_SOW Items'!D229</f>
        <v>iWork</v>
      </c>
      <c r="C233" s="55" t="str">
        <f>'iWork,IBP &amp; Framework_SOW Items'!B229</f>
        <v>VRK - PROD Feedback: 9-Jun-2026</v>
      </c>
      <c r="D233" s="56" t="str">
        <f>'iWork,IBP &amp; Framework_SOW Items'!C229</f>
        <v>Opportunity lost logic:- if placement slip is not crossed, instantly mark the opportunity as "Lost" based on Opty. Expiry date</v>
      </c>
      <c r="E233" s="54" t="str">
        <f>'iWork,IBP &amp; Framework_SOW Items'!F229</f>
        <v>Delivered</v>
      </c>
      <c r="F233" s="54" t="str">
        <f>Helper!E229</f>
        <v>Delivered</v>
      </c>
      <c r="G233" s="57">
        <f>IF('iWork,IBP &amp; Framework_SOW Items'!I229="","",'iWork,IBP &amp; Framework_SOW Items'!I229)</f>
        <v>46183</v>
      </c>
      <c r="H233" s="54" t="str">
        <f>IF('iWork,IBP &amp; Framework_SOW Items'!J229="","",'iWork,IBP &amp; Framework_SOW Items'!J229)</f>
        <v>Jagadeesh</v>
      </c>
      <c r="I233" s="56" t="str">
        <f>IF('iWork,IBP &amp; Framework_SOW Items'!G229="","",'iWork,IBP &amp; Framework_SOW Items'!G229)</f>
        <v/>
      </c>
    </row>
    <row r="234" ht="15" hidden="1" customHeight="1" spans="1:9">
      <c r="A234" s="51" t="str">
        <f>'iWork,IBP &amp; Framework_SOW Items'!E230</f>
        <v>Milestone 6</v>
      </c>
      <c r="B234" s="51" t="str">
        <f>'iWork,IBP &amp; Framework_SOW Items'!D230</f>
        <v>iWork</v>
      </c>
      <c r="C234" s="52" t="str">
        <f>'iWork,IBP &amp; Framework_SOW Items'!B230</f>
        <v>VRK - PROD Feedback: 9-Jun-2026</v>
      </c>
      <c r="D234" s="53" t="str">
        <f>'iWork,IBP &amp; Framework_SOW Items'!C230</f>
        <v>Opportunity lost logic:- if the activity crossed "Placement Slip", premium calculation and crossed 5 days, then mark the opportunity as "Lost" based on Opty. expiry date+5 days</v>
      </c>
      <c r="E234" s="51" t="str">
        <f>'iWork,IBP &amp; Framework_SOW Items'!F230</f>
        <v>Delivered</v>
      </c>
      <c r="F234" s="51" t="str">
        <f>Helper!E230</f>
        <v>Delivered</v>
      </c>
      <c r="G234" s="59">
        <f>IF('iWork,IBP &amp; Framework_SOW Items'!I230="","",'iWork,IBP &amp; Framework_SOW Items'!I230)</f>
        <v>46183</v>
      </c>
      <c r="H234" s="51" t="str">
        <f>IF('iWork,IBP &amp; Framework_SOW Items'!J230="","",'iWork,IBP &amp; Framework_SOW Items'!J230)</f>
        <v>Jagadeesh</v>
      </c>
      <c r="I234" s="53" t="str">
        <f>IF('iWork,IBP &amp; Framework_SOW Items'!G230="","",'iWork,IBP &amp; Framework_SOW Items'!G230)</f>
        <v/>
      </c>
    </row>
    <row r="235" ht="15" hidden="1" customHeight="1" spans="1:9">
      <c r="A235" s="54" t="str">
        <f>'iWork,IBP &amp; Framework_SOW Items'!E231</f>
        <v>Milestone 6</v>
      </c>
      <c r="B235" s="54" t="str">
        <f>'iWork,IBP &amp; Framework_SOW Items'!D231</f>
        <v>iWork</v>
      </c>
      <c r="C235" s="55" t="str">
        <f>'iWork,IBP &amp; Framework_SOW Items'!B231</f>
        <v>VRK - PROD Feedback: 9-Jun-2026</v>
      </c>
      <c r="D235" s="56" t="str">
        <f>'iWork,IBP &amp; Framework_SOW Items'!C231</f>
        <v>BDR results list should display the link of policy ID and Opty ID.</v>
      </c>
      <c r="E235" s="54" t="str">
        <f>'iWork,IBP &amp; Framework_SOW Items'!F231</f>
        <v>Delivered</v>
      </c>
      <c r="F235" s="54" t="str">
        <f>Helper!E231</f>
        <v>Delivered</v>
      </c>
      <c r="G235" s="57">
        <f>IF('iWork,IBP &amp; Framework_SOW Items'!I231="","",'iWork,IBP &amp; Framework_SOW Items'!I231)</f>
        <v>46185</v>
      </c>
      <c r="H235" s="54" t="str">
        <f>IF('iWork,IBP &amp; Framework_SOW Items'!J231="","",'iWork,IBP &amp; Framework_SOW Items'!J231)</f>
        <v>Prathiphala</v>
      </c>
      <c r="I235" s="56" t="str">
        <f>IF('iWork,IBP &amp; Framework_SOW Items'!G231="","",'iWork,IBP &amp; Framework_SOW Items'!G231)</f>
        <v/>
      </c>
    </row>
    <row r="236" ht="15" hidden="1" customHeight="1" spans="1:9">
      <c r="A236" s="51" t="str">
        <f>'iWork,IBP &amp; Framework_SOW Items'!E232</f>
        <v>Milestone 6</v>
      </c>
      <c r="B236" s="51" t="str">
        <f>'iWork,IBP &amp; Framework_SOW Items'!D232</f>
        <v>iWork</v>
      </c>
      <c r="C236" s="52" t="str">
        <f>'iWork,IBP &amp; Framework_SOW Items'!B232</f>
        <v>VRK - PROD Feedback: 8-Jun-2026
IIRM-10589</v>
      </c>
      <c r="D236" s="53" t="str">
        <f>'iWork,IBP &amp; Framework_SOW Items'!C232</f>
        <v>My client portfolio - list of all companies for Active policies only</v>
      </c>
      <c r="E236" s="51" t="str">
        <f>'iWork,IBP &amp; Framework_SOW Items'!F232</f>
        <v>Delivered</v>
      </c>
      <c r="F236" s="51" t="str">
        <f>Helper!E232</f>
        <v>Delivered</v>
      </c>
      <c r="G236" s="59">
        <f>IF('iWork,IBP &amp; Framework_SOW Items'!I232="","",'iWork,IBP &amp; Framework_SOW Items'!I232)</f>
        <v>46185</v>
      </c>
      <c r="H236" s="51" t="str">
        <f>IF('iWork,IBP &amp; Framework_SOW Items'!J232="","",'iWork,IBP &amp; Framework_SOW Items'!J232)</f>
        <v>Karan</v>
      </c>
      <c r="I236" s="53" t="str">
        <f>IF('iWork,IBP &amp; Framework_SOW Items'!G232="","",'iWork,IBP &amp; Framework_SOW Items'!G232)</f>
        <v/>
      </c>
    </row>
    <row r="237" ht="15" hidden="1" customHeight="1" spans="1:9">
      <c r="A237" s="54" t="str">
        <f>'iWork,IBP &amp; Framework_SOW Items'!E233</f>
        <v>Milestone 6</v>
      </c>
      <c r="B237" s="54" t="str">
        <f>'iWork,IBP &amp; Framework_SOW Items'!D233</f>
        <v>iWork</v>
      </c>
      <c r="C237" s="56" t="str">
        <f>'iWork,IBP &amp; Framework_SOW Items'!B233</f>
        <v>VRK - PROD Feedback</v>
      </c>
      <c r="D237" s="56" t="str">
        <f>'iWork,IBP &amp; Framework_SOW Items'!C233</f>
        <v>Opty. Flow - Add new Insurer Branch Details</v>
      </c>
      <c r="E237" s="54" t="str">
        <f>'iWork,IBP &amp; Framework_SOW Items'!F233</f>
        <v>Delivered</v>
      </c>
      <c r="F237" s="54" t="str">
        <f>Helper!E233</f>
        <v>Delivered</v>
      </c>
      <c r="G237" s="57">
        <f>IF('iWork,IBP &amp; Framework_SOW Items'!I233="","",'iWork,IBP &amp; Framework_SOW Items'!I233)</f>
        <v>46185</v>
      </c>
      <c r="H237" s="54" t="str">
        <f>IF('iWork,IBP &amp; Framework_SOW Items'!J233="","",'iWork,IBP &amp; Framework_SOW Items'!J233)</f>
        <v>Pushyami</v>
      </c>
      <c r="I237" s="56" t="str">
        <f>IF('iWork,IBP &amp; Framework_SOW Items'!G233="","",'iWork,IBP &amp; Framework_SOW Items'!G233)</f>
        <v/>
      </c>
    </row>
    <row r="238" ht="15" hidden="1" customHeight="1" spans="1:9">
      <c r="A238" s="51" t="str">
        <f>'iWork,IBP &amp; Framework_SOW Items'!E234</f>
        <v>Milestone 6</v>
      </c>
      <c r="B238" s="51" t="str">
        <f>'iWork,IBP &amp; Framework_SOW Items'!D234</f>
        <v>iWork</v>
      </c>
      <c r="C238" s="52" t="str">
        <f>'iWork,IBP &amp; Framework_SOW Items'!B234</f>
        <v>VRK - PROD Feedback: 8-Jun-2026</v>
      </c>
      <c r="D238" s="53" t="str">
        <f>'iWork,IBP &amp; Framework_SOW Items'!C234</f>
        <v>Policy Expiry Timeline by SBU - when clicked, redirect to RO screen with the counts.</v>
      </c>
      <c r="E238" s="51" t="str">
        <f>'iWork,IBP &amp; Framework_SOW Items'!F234</f>
        <v>Delivered</v>
      </c>
      <c r="F238" s="51" t="str">
        <f>Helper!E234</f>
        <v>Delivered</v>
      </c>
      <c r="G238" s="59">
        <f>IF('iWork,IBP &amp; Framework_SOW Items'!I234="","",'iWork,IBP &amp; Framework_SOW Items'!I234)</f>
        <v>46185</v>
      </c>
      <c r="H238" s="51" t="str">
        <f>IF('iWork,IBP &amp; Framework_SOW Items'!J234="","",'iWork,IBP &amp; Framework_SOW Items'!J234)</f>
        <v/>
      </c>
      <c r="I238" s="53" t="str">
        <f>IF('iWork,IBP &amp; Framework_SOW Items'!G234="","",'iWork,IBP &amp; Framework_SOW Items'!G234)</f>
        <v/>
      </c>
    </row>
    <row r="239" ht="15" hidden="1" customHeight="1" spans="1:9">
      <c r="A239" s="54" t="str">
        <f>'iWork,IBP &amp; Framework_SOW Items'!E235</f>
        <v>Milestone 6</v>
      </c>
      <c r="B239" s="54" t="str">
        <f>'iWork,IBP &amp; Framework_SOW Items'!D235</f>
        <v>iWork</v>
      </c>
      <c r="C239" s="55" t="str">
        <f>'iWork,IBP &amp; Framework_SOW Items'!B235</f>
        <v>IIRM-10590</v>
      </c>
      <c r="D239" s="56" t="str">
        <f>'iWork,IBP &amp; Framework_SOW Items'!C235</f>
        <v>Policy Config: Dependent Based Configurations
- Per life depedent addition &amp; increase SI
- Apply Policy Parameters for dependents</v>
      </c>
      <c r="E239" s="54" t="str">
        <f>'iWork,IBP &amp; Framework_SOW Items'!F235</f>
        <v>Delivered</v>
      </c>
      <c r="F239" s="54" t="str">
        <f>Helper!E235</f>
        <v>Delivered</v>
      </c>
      <c r="G239" s="57">
        <f>IF('iWork,IBP &amp; Framework_SOW Items'!I235="","",'iWork,IBP &amp; Framework_SOW Items'!I235)</f>
        <v>46188</v>
      </c>
      <c r="H239" s="54" t="str">
        <f>IF('iWork,IBP &amp; Framework_SOW Items'!J235="","",'iWork,IBP &amp; Framework_SOW Items'!J235)</f>
        <v>Jagadeesh</v>
      </c>
      <c r="I239" s="56" t="str">
        <f>IF('iWork,IBP &amp; Framework_SOW Items'!G235="","",'iWork,IBP &amp; Framework_SOW Items'!G235)</f>
        <v/>
      </c>
    </row>
    <row r="240" ht="15" hidden="1" customHeight="1" spans="1:9">
      <c r="A240" s="51" t="str">
        <f>'iWork,IBP &amp; Framework_SOW Items'!E236</f>
        <v>Milestone 6</v>
      </c>
      <c r="B240" s="51" t="str">
        <f>'iWork,IBP &amp; Framework_SOW Items'!D236</f>
        <v>iWork</v>
      </c>
      <c r="C240" s="52" t="str">
        <f>'iWork,IBP &amp; Framework_SOW Items'!B236</f>
        <v>VRK - PROD Feedback: 9-Jun-2026
IIRM-10589</v>
      </c>
      <c r="D240" s="53" t="str">
        <f>'iWork,IBP &amp; Framework_SOW Items'!C236</f>
        <v>All SO and RO items should be displayed order by Expiry Date (ascending) in the same page once "Manage Quotes" is clicked by the user.</v>
      </c>
      <c r="E240" s="51" t="str">
        <f>'iWork,IBP &amp; Framework_SOW Items'!F236</f>
        <v>Delivered</v>
      </c>
      <c r="F240" s="51" t="str">
        <f>Helper!E236</f>
        <v>Delivered</v>
      </c>
      <c r="G240" s="59">
        <f>IF('iWork,IBP &amp; Framework_SOW Items'!I236="","",'iWork,IBP &amp; Framework_SOW Items'!I236)</f>
        <v>46188</v>
      </c>
      <c r="H240" s="51" t="str">
        <f>IF('iWork,IBP &amp; Framework_SOW Items'!J236="","",'iWork,IBP &amp; Framework_SOW Items'!J236)</f>
        <v>Karan</v>
      </c>
      <c r="I240" s="53" t="str">
        <f>IF('iWork,IBP &amp; Framework_SOW Items'!G236="","",'iWork,IBP &amp; Framework_SOW Items'!G236)</f>
        <v/>
      </c>
    </row>
    <row r="241" ht="15" hidden="1" customHeight="1" spans="1:9">
      <c r="A241" s="54" t="str">
        <f>'iWork,IBP &amp; Framework_SOW Items'!E237</f>
        <v>Milestone 6</v>
      </c>
      <c r="B241" s="54" t="str">
        <f>'iWork,IBP &amp; Framework_SOW Items'!D237</f>
        <v>iWork</v>
      </c>
      <c r="C241" s="55" t="str">
        <f>'iWork,IBP &amp; Framework_SOW Items'!B237</f>
        <v>VRK - PROD Feedback: 9-Jun-2026
IIRM-10589</v>
      </c>
      <c r="D241" s="56" t="str">
        <f>'iWork,IBP &amp; Framework_SOW Items'!C237</f>
        <v>ISG users should be able to view ISG activities only and BD related activities should be collapsable and hidden; accordingly manage the breadcrums. Similarly, vice versa for BD users.</v>
      </c>
      <c r="E241" s="54" t="str">
        <f>'iWork,IBP &amp; Framework_SOW Items'!F237</f>
        <v>Delivered</v>
      </c>
      <c r="F241" s="54" t="str">
        <f>Helper!E237</f>
        <v>Delivered</v>
      </c>
      <c r="G241" s="57">
        <f>IF('iWork,IBP &amp; Framework_SOW Items'!I237="","",'iWork,IBP &amp; Framework_SOW Items'!I237)</f>
        <v>46188</v>
      </c>
      <c r="H241" s="54" t="str">
        <f>IF('iWork,IBP &amp; Framework_SOW Items'!J237="","",'iWork,IBP &amp; Framework_SOW Items'!J237)</f>
        <v>Karan</v>
      </c>
      <c r="I241" s="56" t="str">
        <f>IF('iWork,IBP &amp; Framework_SOW Items'!G237="","",'iWork,IBP &amp; Framework_SOW Items'!G237)</f>
        <v/>
      </c>
    </row>
    <row r="242" ht="15" hidden="1" customHeight="1" spans="1:9">
      <c r="A242" s="51" t="str">
        <f>'iWork,IBP &amp; Framework_SOW Items'!E238</f>
        <v>Milestone 6</v>
      </c>
      <c r="B242" s="51" t="str">
        <f>'iWork,IBP &amp; Framework_SOW Items'!D238</f>
        <v>iWork</v>
      </c>
      <c r="C242" s="52" t="str">
        <f>'iWork,IBP &amp; Framework_SOW Items'!B238</f>
        <v>VRK - PROD Feedback: 9-Jun-2026
IIRM-10589</v>
      </c>
      <c r="D242" s="53" t="str">
        <f>'iWork,IBP &amp; Framework_SOW Items'!C238</f>
        <v>Manage Quote RO and Manager Quote SO should be clubbed to "Manage Quotes" link for ISG team only.
--&gt; 10-Jun: Surya -&gt; Show the data only when opty. is in ISG Activity.</v>
      </c>
      <c r="E242" s="51" t="str">
        <f>'iWork,IBP &amp; Framework_SOW Items'!F238</f>
        <v>Delivered</v>
      </c>
      <c r="F242" s="51" t="str">
        <f>Helper!E238</f>
        <v>Delivered</v>
      </c>
      <c r="G242" s="59">
        <f>IF('iWork,IBP &amp; Framework_SOW Items'!I238="","",'iWork,IBP &amp; Framework_SOW Items'!I238)</f>
        <v>46188</v>
      </c>
      <c r="H242" s="51" t="str">
        <f>IF('iWork,IBP &amp; Framework_SOW Items'!J238="","",'iWork,IBP &amp; Framework_SOW Items'!J238)</f>
        <v>Karan</v>
      </c>
      <c r="I242" s="53" t="str">
        <f>IF('iWork,IBP &amp; Framework_SOW Items'!G238="","",'iWork,IBP &amp; Framework_SOW Items'!G238)</f>
        <v/>
      </c>
    </row>
    <row r="243" ht="15" hidden="1" customHeight="1" spans="1:9">
      <c r="A243" s="54" t="str">
        <f>'iWork,IBP &amp; Framework_SOW Items'!E239</f>
        <v>Milestone 6</v>
      </c>
      <c r="B243" s="54" t="str">
        <f>'iWork,IBP &amp; Framework_SOW Items'!D239</f>
        <v>iWork</v>
      </c>
      <c r="C243" s="56" t="str">
        <f>'iWork,IBP &amp; Framework_SOW Items'!B239</f>
        <v>VRK - PROD Feedback: 9-Jun-2026
IIRM-10589</v>
      </c>
      <c r="D243" s="56" t="str">
        <f>'iWork,IBP &amp; Framework_SOW Items'!C239</f>
        <v>My client portfolio: There must be a provision of "Past company" view in the Client Portfolio.</v>
      </c>
      <c r="E243" s="54" t="str">
        <f>'iWork,IBP &amp; Framework_SOW Items'!F239</f>
        <v>Delivered</v>
      </c>
      <c r="F243" s="54" t="str">
        <f>Helper!E239</f>
        <v>Delivered</v>
      </c>
      <c r="G243" s="57">
        <f>IF('iWork,IBP &amp; Framework_SOW Items'!I239="","",'iWork,IBP &amp; Framework_SOW Items'!I239)</f>
        <v>46188</v>
      </c>
      <c r="H243" s="54" t="str">
        <f>IF('iWork,IBP &amp; Framework_SOW Items'!J239="","",'iWork,IBP &amp; Framework_SOW Items'!J239)</f>
        <v/>
      </c>
      <c r="I243" s="56" t="str">
        <f>IF('iWork,IBP &amp; Framework_SOW Items'!G239="","",'iWork,IBP &amp; Framework_SOW Items'!G239)</f>
        <v/>
      </c>
    </row>
    <row r="244" ht="15" hidden="1" customHeight="1" spans="1:9">
      <c r="A244" s="51" t="str">
        <f>'iWork,IBP &amp; Framework_SOW Items'!E240</f>
        <v>Milestone 6</v>
      </c>
      <c r="B244" s="51" t="str">
        <f>'iWork,IBP &amp; Framework_SOW Items'!D240</f>
        <v>iWork</v>
      </c>
      <c r="C244" s="52" t="str">
        <f>'iWork,IBP &amp; Framework_SOW Items'!B240</f>
        <v>VRK - PROD Feedback: 9-Jun-2026
IIRM-10589</v>
      </c>
      <c r="D244" s="53" t="str">
        <f>'iWork,IBP &amp; Framework_SOW Items'!C240</f>
        <v>Nithin -&gt; Add the filters required to handle both SO &amp; RO in "Manage Quotes"</v>
      </c>
      <c r="E244" s="51" t="str">
        <f>'iWork,IBP &amp; Framework_SOW Items'!F240</f>
        <v>Delivered</v>
      </c>
      <c r="F244" s="51" t="str">
        <f>Helper!E240</f>
        <v>Delivered</v>
      </c>
      <c r="G244" s="59">
        <f>IF('iWork,IBP &amp; Framework_SOW Items'!I240="","",'iWork,IBP &amp; Framework_SOW Items'!I240)</f>
        <v>46188</v>
      </c>
      <c r="H244" s="51" t="str">
        <f>IF('iWork,IBP &amp; Framework_SOW Items'!J240="","",'iWork,IBP &amp; Framework_SOW Items'!J240)</f>
        <v>Karan</v>
      </c>
      <c r="I244" s="53" t="str">
        <f>IF('iWork,IBP &amp; Framework_SOW Items'!G240="","",'iWork,IBP &amp; Framework_SOW Items'!G240)</f>
        <v/>
      </c>
    </row>
    <row r="245" ht="15" hidden="1" customHeight="1" spans="1:9">
      <c r="A245" s="54" t="str">
        <f>'iWork,IBP &amp; Framework_SOW Items'!E241</f>
        <v>Milestone 6</v>
      </c>
      <c r="B245" s="54" t="str">
        <f>'iWork,IBP &amp; Framework_SOW Items'!D241</f>
        <v>iWork</v>
      </c>
      <c r="C245" s="55" t="str">
        <f>'iWork,IBP &amp; Framework_SOW Items'!B241</f>
        <v>VRK - PROD Feedback: 9-Jun-2026
IIRM-10589</v>
      </c>
      <c r="D245" s="56" t="str">
        <f>'iWork,IBP &amp; Framework_SOW Items'!C241</f>
        <v>Hide "My RO" from the Sales portfolio. Add in the "My Client Portfolio"</v>
      </c>
      <c r="E245" s="54" t="str">
        <f>'iWork,IBP &amp; Framework_SOW Items'!F241</f>
        <v>Delivered</v>
      </c>
      <c r="F245" s="54" t="str">
        <f>Helper!E241</f>
        <v>Delivered</v>
      </c>
      <c r="G245" s="57">
        <f>IF('iWork,IBP &amp; Framework_SOW Items'!I241="","",'iWork,IBP &amp; Framework_SOW Items'!I241)</f>
        <v>46189</v>
      </c>
      <c r="H245" s="54" t="str">
        <f>IF('iWork,IBP &amp; Framework_SOW Items'!J241="","",'iWork,IBP &amp; Framework_SOW Items'!J241)</f>
        <v/>
      </c>
      <c r="I245" s="56" t="str">
        <f>IF('iWork,IBP &amp; Framework_SOW Items'!G241="","",'iWork,IBP &amp; Framework_SOW Items'!G241)</f>
        <v/>
      </c>
    </row>
    <row r="246" ht="15" hidden="1" customHeight="1" spans="1:9">
      <c r="A246" s="51" t="str">
        <f>'iWork,IBP &amp; Framework_SOW Items'!E242</f>
        <v>Milestone 6</v>
      </c>
      <c r="B246" s="51" t="str">
        <f>'iWork,IBP &amp; Framework_SOW Items'!D242</f>
        <v>iWork</v>
      </c>
      <c r="C246" s="52" t="str">
        <f>'iWork,IBP &amp; Framework_SOW Items'!B242</f>
        <v>VRK - PROD Feedback: 9-Jun-2026</v>
      </c>
      <c r="D246" s="53" t="str">
        <f>'iWork,IBP &amp; Framework_SOW Items'!C242</f>
        <v>All Stage/Activity-wise wherever Document upload option is there, should be a mandatory</v>
      </c>
      <c r="E246" s="51" t="str">
        <f>'iWork,IBP &amp; Framework_SOW Items'!F242</f>
        <v>Delivered</v>
      </c>
      <c r="F246" s="51" t="str">
        <f>Helper!E242</f>
        <v>Delivered</v>
      </c>
      <c r="G246" s="59">
        <f>IF('iWork,IBP &amp; Framework_SOW Items'!I242="","",'iWork,IBP &amp; Framework_SOW Items'!I242)</f>
        <v>46192</v>
      </c>
      <c r="H246" s="51" t="str">
        <f>IF('iWork,IBP &amp; Framework_SOW Items'!J242="","",'iWork,IBP &amp; Framework_SOW Items'!J242)</f>
        <v>Karan</v>
      </c>
      <c r="I246" s="53" t="str">
        <f>IF('iWork,IBP &amp; Framework_SOW Items'!G242="","",'iWork,IBP &amp; Framework_SOW Items'!G242)</f>
        <v/>
      </c>
    </row>
    <row r="247" ht="15" customHeight="1" spans="1:9">
      <c r="A247" s="54" t="str">
        <f>'iWork,IBP &amp; Framework_SOW Items'!E181</f>
        <v>Milestone 5</v>
      </c>
      <c r="B247" s="54" t="str">
        <f>'iWork,IBP &amp; Framework_SOW Items'!D181</f>
        <v>IBP/iWork</v>
      </c>
      <c r="C247" s="55" t="str">
        <f>'iWork,IBP &amp; Framework_SOW Items'!B181</f>
        <v>Core Infrastructure</v>
      </c>
      <c r="D247" s="56" t="str">
        <f>'iWork,IBP &amp; Framework_SOW Items'!C181</f>
        <v>Core Infra</v>
      </c>
      <c r="E247" s="54" t="str">
        <f>'iWork,IBP &amp; Framework_SOW Items'!F181</f>
        <v>Delivered - Deficit</v>
      </c>
      <c r="F247" s="54" t="str">
        <f>Helper!E181</f>
        <v>Pending</v>
      </c>
      <c r="G247" s="54" t="str">
        <f>IF('iWork,IBP &amp; Framework_SOW Items'!I181="","",'iWork,IBP &amp; Framework_SOW Items'!I181)</f>
        <v/>
      </c>
      <c r="H247" s="54" t="str">
        <f>IF('iWork,IBP &amp; Framework_SOW Items'!J181="","",'iWork,IBP &amp; Framework_SOW Items'!J181)</f>
        <v/>
      </c>
      <c r="I247" s="56" t="str">
        <f>IF('iWork,IBP &amp; Framework_SOW Items'!G181="","",'iWork,IBP &amp; Framework_SOW Items'!G181)</f>
        <v>Pending: Mobile responsive</v>
      </c>
    </row>
    <row r="248" ht="15" customHeight="1" spans="1:9">
      <c r="A248" s="51" t="str">
        <f>'iWork,IBP &amp; Framework_SOW Items'!E182</f>
        <v>Milestone 5</v>
      </c>
      <c r="B248" s="51" t="str">
        <f>'iWork,IBP &amp; Framework_SOW Items'!D182</f>
        <v>IBP/iWork</v>
      </c>
      <c r="C248" s="52" t="str">
        <f>'iWork,IBP &amp; Framework_SOW Items'!B182</f>
        <v>Wellness Admin Configurator</v>
      </c>
      <c r="D248" s="53" t="str">
        <f>'iWork,IBP &amp; Framework_SOW Items'!C182</f>
        <v>Admin side of IBP (in iWork) needs to customize/configure the offerings/page per Corporate.</v>
      </c>
      <c r="E248" s="51" t="str">
        <f>'iWork,IBP &amp; Framework_SOW Items'!F182</f>
        <v>Yet to start</v>
      </c>
      <c r="F248" s="51" t="str">
        <f>Helper!E182</f>
        <v>Pending</v>
      </c>
      <c r="G248" s="51" t="str">
        <f>IF('iWork,IBP &amp; Framework_SOW Items'!I182="","",'iWork,IBP &amp; Framework_SOW Items'!I182)</f>
        <v/>
      </c>
      <c r="H248" s="51" t="str">
        <f>IF('iWork,IBP &amp; Framework_SOW Items'!J182="","",'iWork,IBP &amp; Framework_SOW Items'!J182)</f>
        <v/>
      </c>
      <c r="I248" s="53" t="str">
        <f>IF('iWork,IBP &amp; Framework_SOW Items'!G182="","",'iWork,IBP &amp; Framework_SOW Items'!G182)</f>
        <v/>
      </c>
    </row>
    <row r="249" ht="15" customHeight="1" spans="1:9">
      <c r="A249" s="54" t="str">
        <f>'iWork,IBP &amp; Framework_SOW Items'!E183</f>
        <v>Milestone 5</v>
      </c>
      <c r="B249" s="54" t="str">
        <f>'iWork,IBP &amp; Framework_SOW Items'!D183</f>
        <v>IBP/iWork</v>
      </c>
      <c r="C249" s="55" t="str">
        <f>'iWork,IBP &amp; Framework_SOW Items'!B183</f>
        <v>Wellness IIRM View</v>
      </c>
      <c r="D249" s="56" t="str">
        <f>'iWork,IBP &amp; Framework_SOW Items'!C183</f>
        <v>IIRM View of Wellness usage by Corporates/Employees (IBP Admin)</v>
      </c>
      <c r="E249" s="54" t="str">
        <f>'iWork,IBP &amp; Framework_SOW Items'!F183</f>
        <v>Yet to start</v>
      </c>
      <c r="F249" s="54" t="str">
        <f>Helper!E183</f>
        <v>Pending</v>
      </c>
      <c r="G249" s="54" t="str">
        <f>IF('iWork,IBP &amp; Framework_SOW Items'!I183="","",'iWork,IBP &amp; Framework_SOW Items'!I183)</f>
        <v/>
      </c>
      <c r="H249" s="54" t="str">
        <f>IF('iWork,IBP &amp; Framework_SOW Items'!J183="","",'iWork,IBP &amp; Framework_SOW Items'!J183)</f>
        <v/>
      </c>
      <c r="I249" s="56" t="str">
        <f>IF('iWork,IBP &amp; Framework_SOW Items'!G183="","",'iWork,IBP &amp; Framework_SOW Items'!G183)</f>
        <v/>
      </c>
    </row>
    <row r="250" ht="15" customHeight="1" spans="1:9">
      <c r="A250" s="51" t="str">
        <f>'iWork,IBP &amp; Framework_SOW Items'!E184</f>
        <v>Milestone 5</v>
      </c>
      <c r="B250" s="51" t="str">
        <f>'iWork,IBP &amp; Framework_SOW Items'!D184</f>
        <v>iWork</v>
      </c>
      <c r="C250" s="52" t="str">
        <f>'iWork,IBP &amp; Framework_SOW Items'!B184</f>
        <v>Integration UI Component</v>
      </c>
      <c r="D250" s="53" t="str">
        <f>'iWork,IBP &amp; Framework_SOW Items'!C184</f>
        <v>Integration UI Component (for TPA, HRMS, Insurer)</v>
      </c>
      <c r="E250" s="51" t="str">
        <f>'iWork,IBP &amp; Framework_SOW Items'!F184</f>
        <v>Yet to start</v>
      </c>
      <c r="F250" s="51" t="str">
        <f>Helper!E184</f>
        <v>Pending</v>
      </c>
      <c r="G250" s="51">
        <f>IF('iWork,IBP &amp; Framework_SOW Items'!I184="","",'iWork,IBP &amp; Framework_SOW Items'!I184)</f>
        <v>46199</v>
      </c>
      <c r="H250" s="51" t="str">
        <f>IF('iWork,IBP &amp; Framework_SOW Items'!J184="","",'iWork,IBP &amp; Framework_SOW Items'!J184)</f>
        <v/>
      </c>
      <c r="I250" s="53" t="str">
        <f>IF('iWork,IBP &amp; Framework_SOW Items'!G184="","",'iWork,IBP &amp; Framework_SOW Items'!G184)</f>
        <v/>
      </c>
    </row>
    <row r="251" ht="15" customHeight="1" spans="1:9">
      <c r="A251" s="54" t="str">
        <f>'iWork,IBP &amp; Framework_SOW Items'!E185</f>
        <v>Milestone 5</v>
      </c>
      <c r="B251" s="54" t="str">
        <f>'iWork,IBP &amp; Framework_SOW Items'!D185</f>
        <v>iWork</v>
      </c>
      <c r="C251" s="55" t="str">
        <f>'iWork,IBP &amp; Framework_SOW Items'!B185</f>
        <v>Reconciliation Management
Upload Commission Statement</v>
      </c>
      <c r="D251" s="56" t="str">
        <f>'iWork,IBP &amp; Framework_SOW Items'!C185</f>
        <v>Upload commission statement, reconcile against issued policies; 
Upload invoice &amp; reconcile against commission stmt; 
Upload invoice statuses and reconcile paid/unpaid</v>
      </c>
      <c r="E251" s="54" t="str">
        <f>'iWork,IBP &amp; Framework_SOW Items'!F185</f>
        <v>Yet to start</v>
      </c>
      <c r="F251" s="54" t="str">
        <f>Helper!E185</f>
        <v>Pending</v>
      </c>
      <c r="G251" s="54">
        <f>IF('iWork,IBP &amp; Framework_SOW Items'!I185="","",'iWork,IBP &amp; Framework_SOW Items'!I185)</f>
        <v>46199</v>
      </c>
      <c r="H251" s="54" t="str">
        <f>IF('iWork,IBP &amp; Framework_SOW Items'!J185="","",'iWork,IBP &amp; Framework_SOW Items'!J185)</f>
        <v/>
      </c>
      <c r="I251" s="56" t="str">
        <f>IF('iWork,IBP &amp; Framework_SOW Items'!G185="","",'iWork,IBP &amp; Framework_SOW Items'!G185)</f>
        <v/>
      </c>
    </row>
    <row r="252" ht="15" customHeight="1" spans="1:9">
      <c r="A252" s="51" t="str">
        <f>'iWork,IBP &amp; Framework_SOW Items'!E186</f>
        <v>Milestone 5</v>
      </c>
      <c r="B252" s="51" t="str">
        <f>'iWork,IBP &amp; Framework_SOW Items'!D186</f>
        <v>iWork</v>
      </c>
      <c r="C252" s="52" t="str">
        <f>'iWork,IBP &amp; Framework_SOW Items'!B186</f>
        <v>Reconciliation Mgmt</v>
      </c>
      <c r="D252" s="53">
        <f>'iWork,IBP &amp; Framework_SOW Items'!C186</f>
        <v>0</v>
      </c>
      <c r="E252" s="51" t="str">
        <f>'iWork,IBP &amp; Framework_SOW Items'!F186</f>
        <v>Yet to start</v>
      </c>
      <c r="F252" s="51" t="str">
        <f>Helper!E186</f>
        <v>Pending</v>
      </c>
      <c r="G252" s="51">
        <f>IF('iWork,IBP &amp; Framework_SOW Items'!I186="","",'iWork,IBP &amp; Framework_SOW Items'!I186)</f>
        <v>46199</v>
      </c>
      <c r="H252" s="51" t="str">
        <f>IF('iWork,IBP &amp; Framework_SOW Items'!J186="","",'iWork,IBP &amp; Framework_SOW Items'!J186)</f>
        <v/>
      </c>
      <c r="I252" s="53" t="str">
        <f>IF('iWork,IBP &amp; Framework_SOW Items'!G186="","",'iWork,IBP &amp; Framework_SOW Items'!G186)</f>
        <v/>
      </c>
    </row>
    <row r="253" ht="15" customHeight="1" spans="1:9">
      <c r="A253" s="54" t="str">
        <f>'iWork,IBP &amp; Framework_SOW Items'!E187</f>
        <v>Milestone 5</v>
      </c>
      <c r="B253" s="54" t="str">
        <f>'iWork,IBP &amp; Framework_SOW Items'!D187</f>
        <v>iWork</v>
      </c>
      <c r="C253" s="55" t="str">
        <f>'iWork,IBP &amp; Framework_SOW Items'!B187</f>
        <v>Insurer Integration Mgmt</v>
      </c>
      <c r="D253" s="56">
        <f>'iWork,IBP &amp; Framework_SOW Items'!C187</f>
        <v>0</v>
      </c>
      <c r="E253" s="54" t="str">
        <f>'iWork,IBP &amp; Framework_SOW Items'!F187</f>
        <v>Yet to start</v>
      </c>
      <c r="F253" s="54" t="str">
        <f>Helper!E187</f>
        <v>Pending</v>
      </c>
      <c r="G253" s="54">
        <f>IF('iWork,IBP &amp; Framework_SOW Items'!I187="","",'iWork,IBP &amp; Framework_SOW Items'!I187)</f>
        <v>46199</v>
      </c>
      <c r="H253" s="54" t="str">
        <f>IF('iWork,IBP &amp; Framework_SOW Items'!J187="","",'iWork,IBP &amp; Framework_SOW Items'!J187)</f>
        <v/>
      </c>
      <c r="I253" s="56" t="str">
        <f>IF('iWork,IBP &amp; Framework_SOW Items'!G187="","",'iWork,IBP &amp; Framework_SOW Items'!G187)</f>
        <v/>
      </c>
    </row>
    <row r="254" ht="15" customHeight="1" spans="1:9">
      <c r="A254" s="51" t="str">
        <f>'iWork,IBP &amp; Framework_SOW Items'!E188</f>
        <v>Milestone 5</v>
      </c>
      <c r="B254" s="51" t="str">
        <f>'iWork,IBP &amp; Framework_SOW Items'!D188</f>
        <v>iWork</v>
      </c>
      <c r="C254" s="52" t="str">
        <f>'iWork,IBP &amp; Framework_SOW Items'!B188</f>
        <v>Claim Management (Add Claim, Import Claims &amp; Claim Activities)</v>
      </c>
      <c r="D254" s="53" t="str">
        <f>'iWork,IBP &amp; Framework_SOW Items'!C188</f>
        <v>Basic Form with fields and upload for adding claim
Bulk import to validate and map from TPA format to internal fields
3 stage workflow - each stage, update data on claim form</v>
      </c>
      <c r="E254" s="51" t="str">
        <f>'iWork,IBP &amp; Framework_SOW Items'!F188</f>
        <v>Delivered</v>
      </c>
      <c r="F254" s="51" t="str">
        <f>Helper!E188</f>
        <v>Delivered</v>
      </c>
      <c r="G254" s="51" t="str">
        <f>IF('iWork,IBP &amp; Framework_SOW Items'!I188="","",'iWork,IBP &amp; Framework_SOW Items'!I188)</f>
        <v/>
      </c>
      <c r="H254" s="51" t="str">
        <f>IF('iWork,IBP &amp; Framework_SOW Items'!J188="","",'iWork,IBP &amp; Framework_SOW Items'!J188)</f>
        <v/>
      </c>
      <c r="I254" s="53" t="str">
        <f>IF('iWork,IBP &amp; Framework_SOW Items'!G188="","",'iWork,IBP &amp; Framework_SOW Items'!G188)</f>
        <v/>
      </c>
    </row>
    <row r="255" ht="15" customHeight="1" spans="1:9">
      <c r="A255" s="54" t="str">
        <f>'iWork,IBP &amp; Framework_SOW Items'!E189</f>
        <v>Milestone 5</v>
      </c>
      <c r="B255" s="54" t="str">
        <f>'iWork,IBP &amp; Framework_SOW Items'!D189</f>
        <v>iWork</v>
      </c>
      <c r="C255" s="55" t="str">
        <f>'iWork,IBP &amp; Framework_SOW Items'!B189</f>
        <v>Report Hub</v>
      </c>
      <c r="D255" s="56" t="str">
        <f>'iWork,IBP &amp; Framework_SOW Items'!C189</f>
        <v>Landing Page and generic hub</v>
      </c>
      <c r="E255" s="54" t="str">
        <f>'iWork,IBP &amp; Framework_SOW Items'!F189</f>
        <v>Delivered</v>
      </c>
      <c r="F255" s="54" t="str">
        <f>Helper!E189</f>
        <v>Delivered</v>
      </c>
      <c r="G255" s="54" t="str">
        <f>IF('iWork,IBP &amp; Framework_SOW Items'!I189="","",'iWork,IBP &amp; Framework_SOW Items'!I189)</f>
        <v/>
      </c>
      <c r="H255" s="54" t="str">
        <f>IF('iWork,IBP &amp; Framework_SOW Items'!J189="","",'iWork,IBP &amp; Framework_SOW Items'!J189)</f>
        <v/>
      </c>
      <c r="I255" s="56" t="str">
        <f>IF('iWork,IBP &amp; Framework_SOW Items'!G189="","",'iWork,IBP &amp; Framework_SOW Items'!G189)</f>
        <v/>
      </c>
    </row>
    <row r="256" ht="15" customHeight="1" spans="1:9">
      <c r="A256" s="51" t="str">
        <f>'iWork,IBP &amp; Framework_SOW Items'!E190</f>
        <v>Milestone 5</v>
      </c>
      <c r="B256" s="51" t="str">
        <f>'iWork,IBP &amp; Framework_SOW Items'!D190</f>
        <v>iWork</v>
      </c>
      <c r="C256" s="52" t="str">
        <f>'iWork,IBP &amp; Framework_SOW Items'!B190</f>
        <v>CD Creation</v>
      </c>
      <c r="D256" s="53" t="str">
        <f>'iWork,IBP &amp; Framework_SOW Items'!C190</f>
        <v>Show current CD Balance against pooled/individual policies / Allow new CD creation, 
update CD balance and map policies to CD balances</v>
      </c>
      <c r="E256" s="51" t="str">
        <f>'iWork,IBP &amp; Framework_SOW Items'!F190</f>
        <v>Delivered</v>
      </c>
      <c r="F256" s="51" t="str">
        <f>Helper!E190</f>
        <v>Delivered</v>
      </c>
      <c r="G256" s="51" t="str">
        <f>IF('iWork,IBP &amp; Framework_SOW Items'!I190="","",'iWork,IBP &amp; Framework_SOW Items'!I190)</f>
        <v/>
      </c>
      <c r="H256" s="51" t="str">
        <f>IF('iWork,IBP &amp; Framework_SOW Items'!J190="","",'iWork,IBP &amp; Framework_SOW Items'!J190)</f>
        <v/>
      </c>
      <c r="I256" s="53" t="str">
        <f>IF('iWork,IBP &amp; Framework_SOW Items'!G190="","",'iWork,IBP &amp; Framework_SOW Items'!G190)</f>
        <v/>
      </c>
    </row>
    <row r="257" ht="15" customHeight="1" spans="1:9">
      <c r="A257" s="54" t="str">
        <f>'iWork,IBP &amp; Framework_SOW Items'!E191</f>
        <v>Milestone 5</v>
      </c>
      <c r="B257" s="54" t="str">
        <f>'iWork,IBP &amp; Framework_SOW Items'!D191</f>
        <v>iWork</v>
      </c>
      <c r="C257" s="55" t="str">
        <f>'iWork,IBP &amp; Framework_SOW Items'!B191</f>
        <v>CD Mgmt</v>
      </c>
      <c r="D257" s="56">
        <f>'iWork,IBP &amp; Framework_SOW Items'!C191</f>
        <v>0</v>
      </c>
      <c r="E257" s="54" t="str">
        <f>'iWork,IBP &amp; Framework_SOW Items'!F191</f>
        <v>Delivered</v>
      </c>
      <c r="F257" s="54" t="str">
        <f>Helper!E191</f>
        <v>Delivered</v>
      </c>
      <c r="G257" s="54" t="str">
        <f>IF('iWork,IBP &amp; Framework_SOW Items'!I191="","",'iWork,IBP &amp; Framework_SOW Items'!I191)</f>
        <v/>
      </c>
      <c r="H257" s="54" t="str">
        <f>IF('iWork,IBP &amp; Framework_SOW Items'!J191="","",'iWork,IBP &amp; Framework_SOW Items'!J191)</f>
        <v/>
      </c>
      <c r="I257" s="56" t="str">
        <f>IF('iWork,IBP &amp; Framework_SOW Items'!G191="","",'iWork,IBP &amp; Framework_SOW Items'!G191)</f>
        <v/>
      </c>
    </row>
    <row r="258" ht="15" customHeight="1" spans="1:9">
      <c r="A258" s="51" t="str">
        <f>'iWork,IBP &amp; Framework_SOW Items'!E192</f>
        <v>Milestone 5</v>
      </c>
      <c r="B258" s="51" t="str">
        <f>'iWork,IBP &amp; Framework_SOW Items'!D192</f>
        <v>iWork</v>
      </c>
      <c r="C258" s="52" t="str">
        <f>'iWork,IBP &amp; Framework_SOW Items'!B192</f>
        <v>Reports</v>
      </c>
      <c r="D258" s="53">
        <f>'iWork,IBP &amp; Framework_SOW Items'!C192</f>
        <v>0</v>
      </c>
      <c r="E258" s="51" t="str">
        <f>'iWork,IBP &amp; Framework_SOW Items'!F192</f>
        <v>Delivered</v>
      </c>
      <c r="F258" s="51" t="str">
        <f>Helper!E192</f>
        <v>Delivered</v>
      </c>
      <c r="G258" s="51" t="str">
        <f>IF('iWork,IBP &amp; Framework_SOW Items'!I192="","",'iWork,IBP &amp; Framework_SOW Items'!I192)</f>
        <v/>
      </c>
      <c r="H258" s="51" t="str">
        <f>IF('iWork,IBP &amp; Framework_SOW Items'!J192="","",'iWork,IBP &amp; Framework_SOW Items'!J192)</f>
        <v/>
      </c>
      <c r="I258" s="53" t="str">
        <f>IF('iWork,IBP &amp; Framework_SOW Items'!G192="","",'iWork,IBP &amp; Framework_SOW Items'!G192)</f>
        <v/>
      </c>
    </row>
    <row r="259" ht="15" customHeight="1" spans="1:9">
      <c r="A259" s="54" t="str">
        <f>'iWork,IBP &amp; Framework_SOW Items'!E193</f>
        <v>Milestone 5</v>
      </c>
      <c r="B259" s="54" t="str">
        <f>'iWork,IBP &amp; Framework_SOW Items'!D193</f>
        <v>iWork</v>
      </c>
      <c r="C259" s="55" t="str">
        <f>'iWork,IBP &amp; Framework_SOW Items'!B193</f>
        <v>Claim Mgmt</v>
      </c>
      <c r="D259" s="56">
        <f>'iWork,IBP &amp; Framework_SOW Items'!C193</f>
        <v>0</v>
      </c>
      <c r="E259" s="54" t="str">
        <f>'iWork,IBP &amp; Framework_SOW Items'!F193</f>
        <v>Delivered</v>
      </c>
      <c r="F259" s="54" t="str">
        <f>Helper!E193</f>
        <v>Delivered</v>
      </c>
      <c r="G259" s="54" t="str">
        <f>IF('iWork,IBP &amp; Framework_SOW Items'!I193="","",'iWork,IBP &amp; Framework_SOW Items'!I193)</f>
        <v/>
      </c>
      <c r="H259" s="54" t="str">
        <f>IF('iWork,IBP &amp; Framework_SOW Items'!J193="","",'iWork,IBP &amp; Framework_SOW Items'!J193)</f>
        <v/>
      </c>
      <c r="I259" s="56" t="str">
        <f>IF('iWork,IBP &amp; Framework_SOW Items'!G193="","",'iWork,IBP &amp; Framework_SOW Items'!G193)</f>
        <v/>
      </c>
    </row>
    <row r="260" ht="15" customHeight="1" spans="1:9">
      <c r="A260" s="54" t="str">
        <f>'iWork,IBP &amp; Framework_SOW Items'!E245</f>
        <v>Milestone 6</v>
      </c>
      <c r="B260" s="54" t="str">
        <f>'iWork,IBP &amp; Framework_SOW Items'!D245</f>
        <v>iWork</v>
      </c>
      <c r="C260" s="55" t="str">
        <f>'iWork,IBP &amp; Framework_SOW Items'!B245</f>
        <v>VRK - PROD Feedback: 8-Jun-2026</v>
      </c>
      <c r="D260" s="56" t="str">
        <f>'iWork,IBP &amp; Framework_SOW Items'!C245</f>
        <v>funnels - alignment graph issues with grid;</v>
      </c>
      <c r="E260" s="54" t="str">
        <f>'iWork,IBP &amp; Framework_SOW Items'!F245</f>
        <v>Yet to start</v>
      </c>
      <c r="F260" s="54" t="str">
        <f>Helper!E245</f>
        <v>Pending</v>
      </c>
      <c r="G260" s="54">
        <f>IF('iWork,IBP &amp; Framework_SOW Items'!I245="","",'iWork,IBP &amp; Framework_SOW Items'!I245)</f>
        <v>46195</v>
      </c>
      <c r="H260" s="54" t="str">
        <f>IF('iWork,IBP &amp; Framework_SOW Items'!J245="","",'iWork,IBP &amp; Framework_SOW Items'!J245)</f>
        <v/>
      </c>
      <c r="I260" s="56" t="str">
        <f>IF('iWork,IBP &amp; Framework_SOW Items'!G245="","",'iWork,IBP &amp; Framework_SOW Items'!G245)</f>
        <v/>
      </c>
    </row>
    <row r="261" ht="15" customHeight="1" spans="1:9">
      <c r="A261" s="51" t="str">
        <f>'iWork,IBP &amp; Framework_SOW Items'!E256</f>
        <v>Milestone 6</v>
      </c>
      <c r="B261" s="51" t="str">
        <f>'iWork,IBP &amp; Framework_SOW Items'!D256</f>
        <v>iWork - CR</v>
      </c>
      <c r="C261" s="52" t="str">
        <f>'iWork,IBP &amp; Framework_SOW Items'!B256</f>
        <v>End-2-End: Automation of IBP Go-live Setup</v>
      </c>
      <c r="D261" s="53" t="str">
        <f>'iWork,IBP &amp; Framework_SOW Items'!C256</f>
        <v>1. Form based data collection
2. Default CMS details
3. Configure the sub-domain in AWS (any API)</v>
      </c>
      <c r="E261" s="51" t="str">
        <f>'iWork,IBP &amp; Framework_SOW Items'!F256</f>
        <v>Yet to start</v>
      </c>
      <c r="F261" s="51" t="str">
        <f>Helper!E256</f>
        <v>Pending</v>
      </c>
      <c r="G261" s="51">
        <f>IF('iWork,IBP &amp; Framework_SOW Items'!I256="","",'iWork,IBP &amp; Framework_SOW Items'!I256)</f>
        <v>46185</v>
      </c>
      <c r="H261" s="51" t="str">
        <f>IF('iWork,IBP &amp; Framework_SOW Items'!J256="","",'iWork,IBP &amp; Framework_SOW Items'!J256)</f>
        <v/>
      </c>
      <c r="I261" s="53" t="str">
        <f>IF('iWork,IBP &amp; Framework_SOW Items'!G256="","",'iWork,IBP &amp; Framework_SOW Items'!G256)</f>
        <v/>
      </c>
    </row>
    <row r="262" ht="15" customHeight="1" spans="1:9">
      <c r="A262" s="54" t="str">
        <f>'iWork,IBP &amp; Framework_SOW Items'!E257</f>
        <v>Milestone 6</v>
      </c>
      <c r="B262" s="54" t="str">
        <f>'iWork,IBP &amp; Framework_SOW Items'!D257</f>
        <v>iWork - CR</v>
      </c>
      <c r="C262" s="55" t="str">
        <f>'iWork,IBP &amp; Framework_SOW Items'!B257</f>
        <v>VRK - PROD Feedback: 10-Jun-2026</v>
      </c>
      <c r="D262" s="56" t="str">
        <f>'iWork,IBP &amp; Framework_SOW Items'!C257</f>
        <v>iWork - SSO with Microsoft AD (POC)</v>
      </c>
      <c r="E262" s="54" t="str">
        <f>'iWork,IBP &amp; Framework_SOW Items'!F257</f>
        <v>Dev - Done</v>
      </c>
      <c r="F262" s="54" t="str">
        <f>Helper!E257</f>
        <v>Delivered</v>
      </c>
      <c r="G262" s="54">
        <f>IF('iWork,IBP &amp; Framework_SOW Items'!I257="","",'iWork,IBP &amp; Framework_SOW Items'!I257)</f>
        <v>46188</v>
      </c>
      <c r="H262" s="54" t="str">
        <f>IF('iWork,IBP &amp; Framework_SOW Items'!J257="","",'iWork,IBP &amp; Framework_SOW Items'!J257)</f>
        <v>Rama</v>
      </c>
      <c r="I262" s="56" t="str">
        <f>IF('iWork,IBP &amp; Framework_SOW Items'!G257="","",'iWork,IBP &amp; Framework_SOW Items'!G257)</f>
        <v>Showed Demo to Venu</v>
      </c>
    </row>
    <row r="263" ht="15" customHeight="1" spans="1:9">
      <c r="A263" s="51" t="str">
        <f>'iWork,IBP &amp; Framework_SOW Items'!E258</f>
        <v>Milestone 6</v>
      </c>
      <c r="B263" s="51" t="str">
        <f>'iWork,IBP &amp; Framework_SOW Items'!D258</f>
        <v>iWork - CR</v>
      </c>
      <c r="C263" s="52" t="str">
        <f>'iWork,IBP &amp; Framework_SOW Items'!B258</f>
        <v>Policy Configuration</v>
      </c>
      <c r="D263" s="53" t="str">
        <f>'iWork,IBP &amp; Framework_SOW Items'!C258</f>
        <v>Using AI - Extract the Policy document and perform Policy Configuration (Premium, Family, Parameters, &amp; Others)</v>
      </c>
      <c r="E263" s="51" t="str">
        <f>'iWork,IBP &amp; Framework_SOW Items'!F258</f>
        <v>QA - WIP</v>
      </c>
      <c r="F263" s="51" t="str">
        <f>Helper!E258</f>
        <v>Pending</v>
      </c>
      <c r="G263" s="59">
        <f>IF('iWork,IBP &amp; Framework_SOW Items'!I258="","",'iWork,IBP &amp; Framework_SOW Items'!I258)</f>
        <v>46197</v>
      </c>
      <c r="H263" s="51" t="str">
        <f>IF('iWork,IBP &amp; Framework_SOW Items'!J258="","",'iWork,IBP &amp; Framework_SOW Items'!J258)</f>
        <v>Jagadeesh</v>
      </c>
      <c r="I263" s="53" t="str">
        <f>IF('iWork,IBP &amp; Framework_SOW Items'!G258="","",'iWork,IBP &amp; Framework_SOW Items'!G258)</f>
        <v/>
      </c>
    </row>
    <row r="264" ht="15" customHeight="1" spans="1:9">
      <c r="A264" s="54" t="str">
        <f>'iWork,IBP &amp; Framework_SOW Items'!E259</f>
        <v>Milestone 6</v>
      </c>
      <c r="B264" s="54" t="str">
        <f>'iWork,IBP &amp; Framework_SOW Items'!D259</f>
        <v>iWork - CR</v>
      </c>
      <c r="C264" s="55" t="str">
        <f>'iWork,IBP &amp; Framework_SOW Items'!B259</f>
        <v>Policy Configuration</v>
      </c>
      <c r="D264" s="56" t="str">
        <f>'iWork,IBP &amp; Framework_SOW Items'!C259</f>
        <v>Enable Parent-Child Policy Mapping for GMC and Sub-Plans (Parental, OPD, Dental, Others)
- How to view config from Base to Child Policiy?
- How to handle endorsement &amp; Claims? (Entire Service Flow)</v>
      </c>
      <c r="E264" s="54" t="str">
        <f>'iWork,IBP &amp; Framework_SOW Items'!F259</f>
        <v>Yet to start</v>
      </c>
      <c r="F264" s="54" t="str">
        <f>Helper!E259</f>
        <v>Pending</v>
      </c>
      <c r="G264" s="54">
        <f>IF('iWork,IBP &amp; Framework_SOW Items'!I259="","",'iWork,IBP &amp; Framework_SOW Items'!I259)</f>
        <v>46197</v>
      </c>
      <c r="H264" s="54" t="str">
        <f>IF('iWork,IBP &amp; Framework_SOW Items'!J259="","",'iWork,IBP &amp; Framework_SOW Items'!J259)</f>
        <v>Sunil</v>
      </c>
      <c r="I264" s="56" t="str">
        <f>IF('iWork,IBP &amp; Framework_SOW Items'!G259="","",'iWork,IBP &amp; Framework_SOW Items'!G259)</f>
        <v/>
      </c>
    </row>
    <row r="265" ht="15" customHeight="1" spans="1:9">
      <c r="A265" s="54" t="str">
        <f>'iWork,IBP &amp; Framework_SOW Items'!E261</f>
        <v>Milestone 6</v>
      </c>
      <c r="B265" s="54" t="str">
        <f>'iWork,IBP &amp; Framework_SOW Items'!D261</f>
        <v>iWork - CR</v>
      </c>
      <c r="C265" s="55" t="str">
        <f>'iWork,IBP &amp; Framework_SOW Items'!B261</f>
        <v>Cover Mgmt</v>
      </c>
      <c r="D265" s="56" t="str">
        <f>'iWork,IBP &amp; Framework_SOW Items'!C261</f>
        <v>Asset fields which are captured at Broking slip, few of the asset fields should not be printed at the time of Placement slip (example, no of members at inception, total lives, prev policy expiring year etc.) only for GMC</v>
      </c>
      <c r="E265" s="54" t="str">
        <f>'iWork,IBP &amp; Framework_SOW Items'!F261</f>
        <v>Yet to start</v>
      </c>
      <c r="F265" s="54" t="str">
        <f>Helper!E261</f>
        <v>Pending</v>
      </c>
      <c r="G265" s="54">
        <f>IF('iWork,IBP &amp; Framework_SOW Items'!I261="","",'iWork,IBP &amp; Framework_SOW Items'!I261)</f>
        <v>46197</v>
      </c>
      <c r="H265" s="54" t="str">
        <f>IF('iWork,IBP &amp; Framework_SOW Items'!J261="","",'iWork,IBP &amp; Framework_SOW Items'!J261)</f>
        <v>Karan</v>
      </c>
      <c r="I265" s="56" t="str">
        <f>IF('iWork,IBP &amp; Framework_SOW Items'!G261="","",'iWork,IBP &amp; Framework_SOW Items'!G261)</f>
        <v/>
      </c>
    </row>
  </sheetData>
  <autoFilter xmlns:etc="http://www.wps.cn/officeDocument/2017/etCustomData" ref="A5:I265" etc:filterBottomFollowUsedRange="0">
    <filterColumn colId="5">
      <customFilters>
        <customFilter operator="equal" val="Pending"/>
      </customFilters>
    </filterColumn>
    <sortState ref="A5:I265">
      <sortCondition ref="A6:A265"/>
    </sortState>
    <extLst/>
  </autoFilter>
  <mergeCells count="2">
    <mergeCell ref="A3:I3"/>
    <mergeCell ref="A1:I2"/>
  </mergeCells>
  <conditionalFormatting sqref="E6:E265">
    <cfRule type="expression" dxfId="0" priority="2">
      <formula>$E6="Delivered"</formula>
    </cfRule>
    <cfRule type="expression" dxfId="1" priority="3">
      <formula>$E6="Dev - Done"</formula>
    </cfRule>
    <cfRule type="expression" dxfId="2" priority="4">
      <formula>$E6="Dev - WIP"</formula>
    </cfRule>
    <cfRule type="expression" dxfId="3" priority="5">
      <formula>$E6="QA - WIP"</formula>
    </cfRule>
    <cfRule type="expression" dxfId="4" priority="6">
      <formula>$E6="Pre-PROD"</formula>
    </cfRule>
    <cfRule type="expression" dxfId="5" priority="7">
      <formula>$E6="Yet to start"</formula>
    </cfRule>
    <cfRule type="expression" dxfId="6" priority="8">
      <formula>$E6="Delivered - Deficit"</formula>
    </cfRule>
    <cfRule type="expression" dxfId="7" priority="9">
      <formula>$E6="Duplicate"</formula>
    </cfRule>
  </conditionalFormatting>
  <conditionalFormatting sqref="F6:F265">
    <cfRule type="expression" dxfId="5" priority="10">
      <formula>$F6="Pending"</formula>
    </cfRule>
    <cfRule type="expression" dxfId="0" priority="11">
      <formula>$F6="Delivered"</formula>
    </cfRule>
    <cfRule type="expression" dxfId="7" priority="12">
      <formula>$F6="N/A"</formula>
    </cfRule>
  </conditionalFormatting>
  <pageMargins left="0.75" right="0.75" top="1" bottom="1" header="0.511811023622047" footer="0.511811023622047"/>
  <pageSetup paperSize="9" orientation="portrait" horizontalDpi="3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
    </sheetView>
  </sheetViews>
  <sheetFormatPr defaultColWidth="8.6796875" defaultRowHeight="16.8" outlineLevelCol="2"/>
  <sheetData>
    <row r="1" spans="1:3">
      <c r="A1" t="s">
        <v>573</v>
      </c>
      <c r="B1" t="s">
        <v>571</v>
      </c>
      <c r="C1" t="s">
        <v>572</v>
      </c>
    </row>
    <row r="2" spans="1:3">
      <c r="A2" t="s">
        <v>15</v>
      </c>
      <c r="B2" t="s">
        <v>15</v>
      </c>
      <c r="C2" t="s">
        <v>15</v>
      </c>
    </row>
    <row r="3" spans="1:3">
      <c r="A3" t="s">
        <v>259</v>
      </c>
      <c r="B3" t="s">
        <v>506</v>
      </c>
      <c r="C3" t="s">
        <v>15</v>
      </c>
    </row>
    <row r="4" spans="1:3">
      <c r="A4" t="s">
        <v>222</v>
      </c>
      <c r="B4" t="s">
        <v>507</v>
      </c>
      <c r="C4" t="s">
        <v>516</v>
      </c>
    </row>
    <row r="5" spans="1:3">
      <c r="A5" t="s">
        <v>272</v>
      </c>
      <c r="B5" t="s">
        <v>508</v>
      </c>
      <c r="C5" t="s">
        <v>516</v>
      </c>
    </row>
    <row r="6" spans="1:3">
      <c r="A6" t="s">
        <v>156</v>
      </c>
      <c r="B6" t="s">
        <v>509</v>
      </c>
      <c r="C6" t="s">
        <v>516</v>
      </c>
    </row>
    <row r="7" spans="1:3">
      <c r="A7" t="s">
        <v>89</v>
      </c>
      <c r="B7" t="s">
        <v>510</v>
      </c>
      <c r="C7" t="s">
        <v>516</v>
      </c>
    </row>
    <row r="8" spans="1:3">
      <c r="A8" t="s">
        <v>70</v>
      </c>
      <c r="B8" t="s">
        <v>511</v>
      </c>
      <c r="C8" t="s">
        <v>516</v>
      </c>
    </row>
    <row r="9" spans="1:3">
      <c r="A9" t="s">
        <v>574</v>
      </c>
      <c r="B9" t="s">
        <v>512</v>
      </c>
      <c r="C9" t="s">
        <v>512</v>
      </c>
    </row>
  </sheetData>
  <pageMargins left="0.75" right="0.75" top="1" bottom="1" header="0.511811023622047" footer="0.511811023622047"/>
  <pageSetup paperSize="9" orientation="portrait" horizontalDpi="3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8"/>
  <sheetViews>
    <sheetView workbookViewId="0">
      <selection activeCell="A1" sqref="A1"/>
    </sheetView>
  </sheetViews>
  <sheetFormatPr defaultColWidth="8.6796875" defaultRowHeight="16.8" outlineLevelCol="4"/>
  <sheetData>
    <row r="1" spans="1:5">
      <c r="A1" t="s">
        <v>3</v>
      </c>
      <c r="B1" t="s">
        <v>4</v>
      </c>
      <c r="C1" t="s">
        <v>5</v>
      </c>
      <c r="D1" t="s">
        <v>571</v>
      </c>
      <c r="E1" t="s">
        <v>572</v>
      </c>
    </row>
    <row r="2" spans="1:5">
      <c r="A2" t="str">
        <f>'iWork,IBP &amp; Framework_SOW Items'!D2</f>
        <v>Framework</v>
      </c>
      <c r="B2" t="str">
        <f>'iWork,IBP &amp; Framework_SOW Items'!E2</f>
        <v>Milestone 1</v>
      </c>
      <c r="C2" t="str">
        <f>'iWork,IBP &amp; Framework_SOW Items'!F2</f>
        <v>Delivered</v>
      </c>
      <c r="D2" t="str">
        <f>IFERROR(VLOOKUP(C2,Config!$A:$B,2,0),"Unknown")</f>
        <v>Delivered</v>
      </c>
      <c r="E2" t="str">
        <f>IFERROR(VLOOKUP(C2,Config!$A:$C,3,0),"N/A")</f>
        <v>Delivered</v>
      </c>
    </row>
    <row r="3" spans="1:5">
      <c r="A3" t="str">
        <f>'iWork,IBP &amp; Framework_SOW Items'!D3</f>
        <v>Framework</v>
      </c>
      <c r="B3" t="str">
        <f>'iWork,IBP &amp; Framework_SOW Items'!E3</f>
        <v>Milestone 1</v>
      </c>
      <c r="C3" t="str">
        <f>'iWork,IBP &amp; Framework_SOW Items'!F3</f>
        <v>Delivered</v>
      </c>
      <c r="D3" t="str">
        <f>IFERROR(VLOOKUP(C3,Config!$A:$B,2,0),"Unknown")</f>
        <v>Delivered</v>
      </c>
      <c r="E3" t="str">
        <f>IFERROR(VLOOKUP(C3,Config!$A:$C,3,0),"N/A")</f>
        <v>Delivered</v>
      </c>
    </row>
    <row r="4" spans="1:5">
      <c r="A4" t="str">
        <f>'iWork,IBP &amp; Framework_SOW Items'!D4</f>
        <v>Framework</v>
      </c>
      <c r="B4" t="str">
        <f>'iWork,IBP &amp; Framework_SOW Items'!E4</f>
        <v>Milestone 1</v>
      </c>
      <c r="C4" t="str">
        <f>'iWork,IBP &amp; Framework_SOW Items'!F4</f>
        <v>Delivered</v>
      </c>
      <c r="D4" t="str">
        <f>IFERROR(VLOOKUP(C4,Config!$A:$B,2,0),"Unknown")</f>
        <v>Delivered</v>
      </c>
      <c r="E4" t="str">
        <f>IFERROR(VLOOKUP(C4,Config!$A:$C,3,0),"N/A")</f>
        <v>Delivered</v>
      </c>
    </row>
    <row r="5" spans="1:5">
      <c r="A5" t="str">
        <f>'iWork,IBP &amp; Framework_SOW Items'!D5</f>
        <v>Framework</v>
      </c>
      <c r="B5" t="str">
        <f>'iWork,IBP &amp; Framework_SOW Items'!E5</f>
        <v>Milestone 1</v>
      </c>
      <c r="C5" t="str">
        <f>'iWork,IBP &amp; Framework_SOW Items'!F5</f>
        <v>Delivered</v>
      </c>
      <c r="D5" t="str">
        <f>IFERROR(VLOOKUP(C5,Config!$A:$B,2,0),"Unknown")</f>
        <v>Delivered</v>
      </c>
      <c r="E5" t="str">
        <f>IFERROR(VLOOKUP(C5,Config!$A:$C,3,0),"N/A")</f>
        <v>Delivered</v>
      </c>
    </row>
    <row r="6" spans="1:5">
      <c r="A6" t="str">
        <f>'iWork,IBP &amp; Framework_SOW Items'!D6</f>
        <v>Framework</v>
      </c>
      <c r="B6" t="str">
        <f>'iWork,IBP &amp; Framework_SOW Items'!E6</f>
        <v>Milestone 1</v>
      </c>
      <c r="C6" t="str">
        <f>'iWork,IBP &amp; Framework_SOW Items'!F6</f>
        <v>Delivered</v>
      </c>
      <c r="D6" t="str">
        <f>IFERROR(VLOOKUP(C6,Config!$A:$B,2,0),"Unknown")</f>
        <v>Delivered</v>
      </c>
      <c r="E6" t="str">
        <f>IFERROR(VLOOKUP(C6,Config!$A:$C,3,0),"N/A")</f>
        <v>Delivered</v>
      </c>
    </row>
    <row r="7" spans="1:5">
      <c r="A7" t="str">
        <f>'iWork,IBP &amp; Framework_SOW Items'!D7</f>
        <v>Framework</v>
      </c>
      <c r="B7" t="str">
        <f>'iWork,IBP &amp; Framework_SOW Items'!E7</f>
        <v>Milestone 1</v>
      </c>
      <c r="C7" t="str">
        <f>'iWork,IBP &amp; Framework_SOW Items'!F7</f>
        <v>Delivered</v>
      </c>
      <c r="D7" t="str">
        <f>IFERROR(VLOOKUP(C7,Config!$A:$B,2,0),"Unknown")</f>
        <v>Delivered</v>
      </c>
      <c r="E7" t="str">
        <f>IFERROR(VLOOKUP(C7,Config!$A:$C,3,0),"N/A")</f>
        <v>Delivered</v>
      </c>
    </row>
    <row r="8" spans="1:5">
      <c r="A8" t="str">
        <f>'iWork,IBP &amp; Framework_SOW Items'!D8</f>
        <v>Framework</v>
      </c>
      <c r="B8" t="str">
        <f>'iWork,IBP &amp; Framework_SOW Items'!E8</f>
        <v>Milestone 1</v>
      </c>
      <c r="C8" t="str">
        <f>'iWork,IBP &amp; Framework_SOW Items'!F8</f>
        <v>Delivered</v>
      </c>
      <c r="D8" t="str">
        <f>IFERROR(VLOOKUP(C8,Config!$A:$B,2,0),"Unknown")</f>
        <v>Delivered</v>
      </c>
      <c r="E8" t="str">
        <f>IFERROR(VLOOKUP(C8,Config!$A:$C,3,0),"N/A")</f>
        <v>Delivered</v>
      </c>
    </row>
    <row r="9" spans="1:5">
      <c r="A9" t="str">
        <f>'iWork,IBP &amp; Framework_SOW Items'!D9</f>
        <v>Framework</v>
      </c>
      <c r="B9" t="str">
        <f>'iWork,IBP &amp; Framework_SOW Items'!E9</f>
        <v>Milestone 1</v>
      </c>
      <c r="C9" t="str">
        <f>'iWork,IBP &amp; Framework_SOW Items'!F9</f>
        <v>Delivered</v>
      </c>
      <c r="D9" t="str">
        <f>IFERROR(VLOOKUP(C9,Config!$A:$B,2,0),"Unknown")</f>
        <v>Delivered</v>
      </c>
      <c r="E9" t="str">
        <f>IFERROR(VLOOKUP(C9,Config!$A:$C,3,0),"N/A")</f>
        <v>Delivered</v>
      </c>
    </row>
    <row r="10" spans="1:5">
      <c r="A10" t="str">
        <f>'iWork,IBP &amp; Framework_SOW Items'!D10</f>
        <v>Framework</v>
      </c>
      <c r="B10" t="str">
        <f>'iWork,IBP &amp; Framework_SOW Items'!E10</f>
        <v>Milestone 1</v>
      </c>
      <c r="C10" t="str">
        <f>'iWork,IBP &amp; Framework_SOW Items'!F10</f>
        <v>Delivered</v>
      </c>
      <c r="D10" t="str">
        <f>IFERROR(VLOOKUP(C10,Config!$A:$B,2,0),"Unknown")</f>
        <v>Delivered</v>
      </c>
      <c r="E10" t="str">
        <f>IFERROR(VLOOKUP(C10,Config!$A:$C,3,0),"N/A")</f>
        <v>Delivered</v>
      </c>
    </row>
    <row r="11" spans="1:5">
      <c r="A11" t="str">
        <f>'iWork,IBP &amp; Framework_SOW Items'!D11</f>
        <v>Framework</v>
      </c>
      <c r="B11" t="str">
        <f>'iWork,IBP &amp; Framework_SOW Items'!E11</f>
        <v>Milestone 1</v>
      </c>
      <c r="C11" t="str">
        <f>'iWork,IBP &amp; Framework_SOW Items'!F11</f>
        <v>Delivered</v>
      </c>
      <c r="D11" t="str">
        <f>IFERROR(VLOOKUP(C11,Config!$A:$B,2,0),"Unknown")</f>
        <v>Delivered</v>
      </c>
      <c r="E11" t="str">
        <f>IFERROR(VLOOKUP(C11,Config!$A:$C,3,0),"N/A")</f>
        <v>Delivered</v>
      </c>
    </row>
    <row r="12" spans="1:5">
      <c r="A12" t="str">
        <f>'iWork,IBP &amp; Framework_SOW Items'!D12</f>
        <v>Framework</v>
      </c>
      <c r="B12" t="str">
        <f>'iWork,IBP &amp; Framework_SOW Items'!E12</f>
        <v>Milestone 1</v>
      </c>
      <c r="C12" t="str">
        <f>'iWork,IBP &amp; Framework_SOW Items'!F12</f>
        <v>Delivered</v>
      </c>
      <c r="D12" t="str">
        <f>IFERROR(VLOOKUP(C12,Config!$A:$B,2,0),"Unknown")</f>
        <v>Delivered</v>
      </c>
      <c r="E12" t="str">
        <f>IFERROR(VLOOKUP(C12,Config!$A:$C,3,0),"N/A")</f>
        <v>Delivered</v>
      </c>
    </row>
    <row r="13" spans="1:5">
      <c r="A13" t="str">
        <f>'iWork,IBP &amp; Framework_SOW Items'!D13</f>
        <v>Framework</v>
      </c>
      <c r="B13" t="str">
        <f>'iWork,IBP &amp; Framework_SOW Items'!E13</f>
        <v>Milestone 1</v>
      </c>
      <c r="C13" t="str">
        <f>'iWork,IBP &amp; Framework_SOW Items'!F13</f>
        <v>Delivered</v>
      </c>
      <c r="D13" t="str">
        <f>IFERROR(VLOOKUP(C13,Config!$A:$B,2,0),"Unknown")</f>
        <v>Delivered</v>
      </c>
      <c r="E13" t="str">
        <f>IFERROR(VLOOKUP(C13,Config!$A:$C,3,0),"N/A")</f>
        <v>Delivered</v>
      </c>
    </row>
    <row r="14" spans="1:5">
      <c r="A14" t="str">
        <f>'iWork,IBP &amp; Framework_SOW Items'!D14</f>
        <v>Framework</v>
      </c>
      <c r="B14" t="str">
        <f>'iWork,IBP &amp; Framework_SOW Items'!E14</f>
        <v>Milestone 1</v>
      </c>
      <c r="C14" t="str">
        <f>'iWork,IBP &amp; Framework_SOW Items'!F14</f>
        <v>Delivered</v>
      </c>
      <c r="D14" t="str">
        <f>IFERROR(VLOOKUP(C14,Config!$A:$B,2,0),"Unknown")</f>
        <v>Delivered</v>
      </c>
      <c r="E14" t="str">
        <f>IFERROR(VLOOKUP(C14,Config!$A:$C,3,0),"N/A")</f>
        <v>Delivered</v>
      </c>
    </row>
    <row r="15" spans="1:5">
      <c r="A15" t="str">
        <f>'iWork,IBP &amp; Framework_SOW Items'!D15</f>
        <v>iWork</v>
      </c>
      <c r="B15" t="str">
        <f>'iWork,IBP &amp; Framework_SOW Items'!E15</f>
        <v>Milestone 1</v>
      </c>
      <c r="C15" t="str">
        <f>'iWork,IBP &amp; Framework_SOW Items'!F15</f>
        <v>Delivered</v>
      </c>
      <c r="D15" t="str">
        <f>IFERROR(VLOOKUP(C15,Config!$A:$B,2,0),"Unknown")</f>
        <v>Delivered</v>
      </c>
      <c r="E15" t="str">
        <f>IFERROR(VLOOKUP(C15,Config!$A:$C,3,0),"N/A")</f>
        <v>Delivered</v>
      </c>
    </row>
    <row r="16" spans="1:5">
      <c r="A16" t="str">
        <f>'iWork,IBP &amp; Framework_SOW Items'!D16</f>
        <v>iWork</v>
      </c>
      <c r="B16" t="str">
        <f>'iWork,IBP &amp; Framework_SOW Items'!E16</f>
        <v>Milestone 1</v>
      </c>
      <c r="C16" t="str">
        <f>'iWork,IBP &amp; Framework_SOW Items'!F16</f>
        <v>Delivered</v>
      </c>
      <c r="D16" t="str">
        <f>IFERROR(VLOOKUP(C16,Config!$A:$B,2,0),"Unknown")</f>
        <v>Delivered</v>
      </c>
      <c r="E16" t="str">
        <f>IFERROR(VLOOKUP(C16,Config!$A:$C,3,0),"N/A")</f>
        <v>Delivered</v>
      </c>
    </row>
    <row r="17" spans="1:5">
      <c r="A17" t="str">
        <f>'iWork,IBP &amp; Framework_SOW Items'!D17</f>
        <v>iWork</v>
      </c>
      <c r="B17" t="str">
        <f>'iWork,IBP &amp; Framework_SOW Items'!E17</f>
        <v>Milestone 1</v>
      </c>
      <c r="C17" t="str">
        <f>'iWork,IBP &amp; Framework_SOW Items'!F17</f>
        <v>Delivered</v>
      </c>
      <c r="D17" t="str">
        <f>IFERROR(VLOOKUP(C17,Config!$A:$B,2,0),"Unknown")</f>
        <v>Delivered</v>
      </c>
      <c r="E17" t="str">
        <f>IFERROR(VLOOKUP(C17,Config!$A:$C,3,0),"N/A")</f>
        <v>Delivered</v>
      </c>
    </row>
    <row r="18" spans="1:5">
      <c r="A18" t="str">
        <f>'iWork,IBP &amp; Framework_SOW Items'!D18</f>
        <v>iWork</v>
      </c>
      <c r="B18" t="str">
        <f>'iWork,IBP &amp; Framework_SOW Items'!E18</f>
        <v>Milestone 1</v>
      </c>
      <c r="C18" t="str">
        <f>'iWork,IBP &amp; Framework_SOW Items'!F18</f>
        <v>Delivered</v>
      </c>
      <c r="D18" t="str">
        <f>IFERROR(VLOOKUP(C18,Config!$A:$B,2,0),"Unknown")</f>
        <v>Delivered</v>
      </c>
      <c r="E18" t="str">
        <f>IFERROR(VLOOKUP(C18,Config!$A:$C,3,0),"N/A")</f>
        <v>Delivered</v>
      </c>
    </row>
    <row r="19" spans="1:5">
      <c r="A19" t="str">
        <f>'iWork,IBP &amp; Framework_SOW Items'!D19</f>
        <v>iWork</v>
      </c>
      <c r="B19" t="str">
        <f>'iWork,IBP &amp; Framework_SOW Items'!E19</f>
        <v>Milestone 1</v>
      </c>
      <c r="C19" t="str">
        <f>'iWork,IBP &amp; Framework_SOW Items'!F19</f>
        <v>Delivered</v>
      </c>
      <c r="D19" t="str">
        <f>IFERROR(VLOOKUP(C19,Config!$A:$B,2,0),"Unknown")</f>
        <v>Delivered</v>
      </c>
      <c r="E19" t="str">
        <f>IFERROR(VLOOKUP(C19,Config!$A:$C,3,0),"N/A")</f>
        <v>Delivered</v>
      </c>
    </row>
    <row r="20" spans="1:5">
      <c r="A20" t="str">
        <f>'iWork,IBP &amp; Framework_SOW Items'!D20</f>
        <v>iWork</v>
      </c>
      <c r="B20" t="str">
        <f>'iWork,IBP &amp; Framework_SOW Items'!E20</f>
        <v>Milestone 1</v>
      </c>
      <c r="C20" t="str">
        <f>'iWork,IBP &amp; Framework_SOW Items'!F20</f>
        <v>Delivered</v>
      </c>
      <c r="D20" t="str">
        <f>IFERROR(VLOOKUP(C20,Config!$A:$B,2,0),"Unknown")</f>
        <v>Delivered</v>
      </c>
      <c r="E20" t="str">
        <f>IFERROR(VLOOKUP(C20,Config!$A:$C,3,0),"N/A")</f>
        <v>Delivered</v>
      </c>
    </row>
    <row r="21" spans="1:5">
      <c r="A21" t="str">
        <f>'iWork,IBP &amp; Framework_SOW Items'!D21</f>
        <v>iWork</v>
      </c>
      <c r="B21" t="str">
        <f>'iWork,IBP &amp; Framework_SOW Items'!E21</f>
        <v>Milestone 1</v>
      </c>
      <c r="C21" t="str">
        <f>'iWork,IBP &amp; Framework_SOW Items'!F21</f>
        <v>Delivered</v>
      </c>
      <c r="D21" t="str">
        <f>IFERROR(VLOOKUP(C21,Config!$A:$B,2,0),"Unknown")</f>
        <v>Delivered</v>
      </c>
      <c r="E21" t="str">
        <f>IFERROR(VLOOKUP(C21,Config!$A:$C,3,0),"N/A")</f>
        <v>Delivered</v>
      </c>
    </row>
    <row r="22" spans="1:5">
      <c r="A22" t="str">
        <f>'iWork,IBP &amp; Framework_SOW Items'!D22</f>
        <v>iWork</v>
      </c>
      <c r="B22" t="str">
        <f>'iWork,IBP &amp; Framework_SOW Items'!E22</f>
        <v>Milestone 1</v>
      </c>
      <c r="C22" t="str">
        <f>'iWork,IBP &amp; Framework_SOW Items'!F22</f>
        <v>Delivered</v>
      </c>
      <c r="D22" t="str">
        <f>IFERROR(VLOOKUP(C22,Config!$A:$B,2,0),"Unknown")</f>
        <v>Delivered</v>
      </c>
      <c r="E22" t="str">
        <f>IFERROR(VLOOKUP(C22,Config!$A:$C,3,0),"N/A")</f>
        <v>Delivered</v>
      </c>
    </row>
    <row r="23" spans="1:5">
      <c r="A23" t="str">
        <f>'iWork,IBP &amp; Framework_SOW Items'!D23</f>
        <v>iWork</v>
      </c>
      <c r="B23" t="str">
        <f>'iWork,IBP &amp; Framework_SOW Items'!E23</f>
        <v>Milestone 1</v>
      </c>
      <c r="C23" t="str">
        <f>'iWork,IBP &amp; Framework_SOW Items'!F23</f>
        <v>Delivered</v>
      </c>
      <c r="D23" t="str">
        <f>IFERROR(VLOOKUP(C23,Config!$A:$B,2,0),"Unknown")</f>
        <v>Delivered</v>
      </c>
      <c r="E23" t="str">
        <f>IFERROR(VLOOKUP(C23,Config!$A:$C,3,0),"N/A")</f>
        <v>Delivered</v>
      </c>
    </row>
    <row r="24" spans="1:5">
      <c r="A24" t="str">
        <f>'iWork,IBP &amp; Framework_SOW Items'!D24</f>
        <v>iWork</v>
      </c>
      <c r="B24" t="str">
        <f>'iWork,IBP &amp; Framework_SOW Items'!E24</f>
        <v>Milestone 1</v>
      </c>
      <c r="C24" t="str">
        <f>'iWork,IBP &amp; Framework_SOW Items'!F24</f>
        <v>Delivered</v>
      </c>
      <c r="D24" t="str">
        <f>IFERROR(VLOOKUP(C24,Config!$A:$B,2,0),"Unknown")</f>
        <v>Delivered</v>
      </c>
      <c r="E24" t="str">
        <f>IFERROR(VLOOKUP(C24,Config!$A:$C,3,0),"N/A")</f>
        <v>Delivered</v>
      </c>
    </row>
    <row r="25" spans="1:5">
      <c r="A25" t="str">
        <f>'iWork,IBP &amp; Framework_SOW Items'!D25</f>
        <v>iWork</v>
      </c>
      <c r="B25" t="str">
        <f>'iWork,IBP &amp; Framework_SOW Items'!E25</f>
        <v>Milestone 1</v>
      </c>
      <c r="C25" t="str">
        <f>'iWork,IBP &amp; Framework_SOW Items'!F25</f>
        <v>Delivered</v>
      </c>
      <c r="D25" t="str">
        <f>IFERROR(VLOOKUP(C25,Config!$A:$B,2,0),"Unknown")</f>
        <v>Delivered</v>
      </c>
      <c r="E25" t="str">
        <f>IFERROR(VLOOKUP(C25,Config!$A:$C,3,0),"N/A")</f>
        <v>Delivered</v>
      </c>
    </row>
    <row r="26" spans="1:5">
      <c r="A26" t="str">
        <f>'iWork,IBP &amp; Framework_SOW Items'!D26</f>
        <v>iWork</v>
      </c>
      <c r="B26" t="str">
        <f>'iWork,IBP &amp; Framework_SOW Items'!E26</f>
        <v>Milestone 1</v>
      </c>
      <c r="C26" t="str">
        <f>'iWork,IBP &amp; Framework_SOW Items'!F26</f>
        <v>Delivered</v>
      </c>
      <c r="D26" t="str">
        <f>IFERROR(VLOOKUP(C26,Config!$A:$B,2,0),"Unknown")</f>
        <v>Delivered</v>
      </c>
      <c r="E26" t="str">
        <f>IFERROR(VLOOKUP(C26,Config!$A:$C,3,0),"N/A")</f>
        <v>Delivered</v>
      </c>
    </row>
    <row r="27" spans="1:5">
      <c r="A27" t="str">
        <f>'iWork,IBP &amp; Framework_SOW Items'!D27</f>
        <v>iWork</v>
      </c>
      <c r="B27" t="str">
        <f>'iWork,IBP &amp; Framework_SOW Items'!E27</f>
        <v>Milestone 1</v>
      </c>
      <c r="C27" t="str">
        <f>'iWork,IBP &amp; Framework_SOW Items'!F27</f>
        <v>Delivered</v>
      </c>
      <c r="D27" t="str">
        <f>IFERROR(VLOOKUP(C27,Config!$A:$B,2,0),"Unknown")</f>
        <v>Delivered</v>
      </c>
      <c r="E27" t="str">
        <f>IFERROR(VLOOKUP(C27,Config!$A:$C,3,0),"N/A")</f>
        <v>Delivered</v>
      </c>
    </row>
    <row r="28" spans="1:5">
      <c r="A28" t="str">
        <f>'iWork,IBP &amp; Framework_SOW Items'!D28</f>
        <v>iWork</v>
      </c>
      <c r="B28" t="str">
        <f>'iWork,IBP &amp; Framework_SOW Items'!E28</f>
        <v>Milestone 1</v>
      </c>
      <c r="C28" t="str">
        <f>'iWork,IBP &amp; Framework_SOW Items'!F28</f>
        <v>Delivered</v>
      </c>
      <c r="D28" t="str">
        <f>IFERROR(VLOOKUP(C28,Config!$A:$B,2,0),"Unknown")</f>
        <v>Delivered</v>
      </c>
      <c r="E28" t="str">
        <f>IFERROR(VLOOKUP(C28,Config!$A:$C,3,0),"N/A")</f>
        <v>Delivered</v>
      </c>
    </row>
    <row r="29" spans="1:5">
      <c r="A29" t="str">
        <f>'iWork,IBP &amp; Framework_SOW Items'!D29</f>
        <v>iWork</v>
      </c>
      <c r="B29" t="str">
        <f>'iWork,IBP &amp; Framework_SOW Items'!E29</f>
        <v>Milestone 1</v>
      </c>
      <c r="C29" t="str">
        <f>'iWork,IBP &amp; Framework_SOW Items'!F29</f>
        <v>Delivered</v>
      </c>
      <c r="D29" t="str">
        <f>IFERROR(VLOOKUP(C29,Config!$A:$B,2,0),"Unknown")</f>
        <v>Delivered</v>
      </c>
      <c r="E29" t="str">
        <f>IFERROR(VLOOKUP(C29,Config!$A:$C,3,0),"N/A")</f>
        <v>Delivered</v>
      </c>
    </row>
    <row r="30" spans="1:5">
      <c r="A30" t="str">
        <f>'iWork,IBP &amp; Framework_SOW Items'!D30</f>
        <v>iWork</v>
      </c>
      <c r="B30" t="str">
        <f>'iWork,IBP &amp; Framework_SOW Items'!E30</f>
        <v>Milestone 1</v>
      </c>
      <c r="C30" t="str">
        <f>'iWork,IBP &amp; Framework_SOW Items'!F30</f>
        <v>Delivered</v>
      </c>
      <c r="D30" t="str">
        <f>IFERROR(VLOOKUP(C30,Config!$A:$B,2,0),"Unknown")</f>
        <v>Delivered</v>
      </c>
      <c r="E30" t="str">
        <f>IFERROR(VLOOKUP(C30,Config!$A:$C,3,0),"N/A")</f>
        <v>Delivered</v>
      </c>
    </row>
    <row r="31" spans="1:5">
      <c r="A31" t="str">
        <f>'iWork,IBP &amp; Framework_SOW Items'!D31</f>
        <v>Framework</v>
      </c>
      <c r="B31" t="str">
        <f>'iWork,IBP &amp; Framework_SOW Items'!E31</f>
        <v>Milestone 2</v>
      </c>
      <c r="C31" t="str">
        <f>'iWork,IBP &amp; Framework_SOW Items'!F31</f>
        <v>Delivered</v>
      </c>
      <c r="D31" t="str">
        <f>IFERROR(VLOOKUP(C31,Config!$A:$B,2,0),"Unknown")</f>
        <v>Delivered</v>
      </c>
      <c r="E31" t="str">
        <f>IFERROR(VLOOKUP(C31,Config!$A:$C,3,0),"N/A")</f>
        <v>Delivered</v>
      </c>
    </row>
    <row r="32" spans="1:5">
      <c r="A32" t="str">
        <f>'iWork,IBP &amp; Framework_SOW Items'!D32</f>
        <v>Framework</v>
      </c>
      <c r="B32" t="str">
        <f>'iWork,IBP &amp; Framework_SOW Items'!E32</f>
        <v>Milestone 2</v>
      </c>
      <c r="C32" t="str">
        <f>'iWork,IBP &amp; Framework_SOW Items'!F32</f>
        <v>Delivered</v>
      </c>
      <c r="D32" t="str">
        <f>IFERROR(VLOOKUP(C32,Config!$A:$B,2,0),"Unknown")</f>
        <v>Delivered</v>
      </c>
      <c r="E32" t="str">
        <f>IFERROR(VLOOKUP(C32,Config!$A:$C,3,0),"N/A")</f>
        <v>Delivered</v>
      </c>
    </row>
    <row r="33" spans="1:5">
      <c r="A33" t="str">
        <f>'iWork,IBP &amp; Framework_SOW Items'!D33</f>
        <v>Framework</v>
      </c>
      <c r="B33" t="str">
        <f>'iWork,IBP &amp; Framework_SOW Items'!E33</f>
        <v>Milestone 2</v>
      </c>
      <c r="C33" t="str">
        <f>'iWork,IBP &amp; Framework_SOW Items'!F33</f>
        <v>Delivered</v>
      </c>
      <c r="D33" t="str">
        <f>IFERROR(VLOOKUP(C33,Config!$A:$B,2,0),"Unknown")</f>
        <v>Delivered</v>
      </c>
      <c r="E33" t="str">
        <f>IFERROR(VLOOKUP(C33,Config!$A:$C,3,0),"N/A")</f>
        <v>Delivered</v>
      </c>
    </row>
    <row r="34" spans="1:5">
      <c r="A34" t="str">
        <f>'iWork,IBP &amp; Framework_SOW Items'!D34</f>
        <v>Framework</v>
      </c>
      <c r="B34" t="str">
        <f>'iWork,IBP &amp; Framework_SOW Items'!E34</f>
        <v>Milestone 2</v>
      </c>
      <c r="C34" t="str">
        <f>'iWork,IBP &amp; Framework_SOW Items'!F34</f>
        <v>Delivered - Deficit</v>
      </c>
      <c r="D34" t="str">
        <f>IFERROR(VLOOKUP(C34,Config!$A:$B,2,0),"Unknown")</f>
        <v>Partial Delivery</v>
      </c>
      <c r="E34" t="str">
        <f>IFERROR(VLOOKUP(C34,Config!$A:$C,3,0),"N/A")</f>
        <v>Pending</v>
      </c>
    </row>
    <row r="35" spans="1:5">
      <c r="A35" t="str">
        <f>'iWork,IBP &amp; Framework_SOW Items'!D35</f>
        <v>Framework</v>
      </c>
      <c r="B35" t="str">
        <f>'iWork,IBP &amp; Framework_SOW Items'!E35</f>
        <v>Milestone 2</v>
      </c>
      <c r="C35" t="str">
        <f>'iWork,IBP &amp; Framework_SOW Items'!F35</f>
        <v>Delivered - Deficit</v>
      </c>
      <c r="D35" t="str">
        <f>IFERROR(VLOOKUP(C35,Config!$A:$B,2,0),"Unknown")</f>
        <v>Partial Delivery</v>
      </c>
      <c r="E35" t="str">
        <f>IFERROR(VLOOKUP(C35,Config!$A:$C,3,0),"N/A")</f>
        <v>Pending</v>
      </c>
    </row>
    <row r="36" spans="1:5">
      <c r="A36" t="str">
        <f>'iWork,IBP &amp; Framework_SOW Items'!D36</f>
        <v>Framework</v>
      </c>
      <c r="B36" t="str">
        <f>'iWork,IBP &amp; Framework_SOW Items'!E36</f>
        <v>Milestone 2</v>
      </c>
      <c r="C36" t="str">
        <f>'iWork,IBP &amp; Framework_SOW Items'!F36</f>
        <v>Delivered</v>
      </c>
      <c r="D36" t="str">
        <f>IFERROR(VLOOKUP(C36,Config!$A:$B,2,0),"Unknown")</f>
        <v>Delivered</v>
      </c>
      <c r="E36" t="str">
        <f>IFERROR(VLOOKUP(C36,Config!$A:$C,3,0),"N/A")</f>
        <v>Delivered</v>
      </c>
    </row>
    <row r="37" spans="1:5">
      <c r="A37" t="str">
        <f>'iWork,IBP &amp; Framework_SOW Items'!D37</f>
        <v>Framework</v>
      </c>
      <c r="B37" t="str">
        <f>'iWork,IBP &amp; Framework_SOW Items'!E37</f>
        <v>Milestone 2</v>
      </c>
      <c r="C37" t="str">
        <f>'iWork,IBP &amp; Framework_SOW Items'!F37</f>
        <v>Delivered</v>
      </c>
      <c r="D37" t="str">
        <f>IFERROR(VLOOKUP(C37,Config!$A:$B,2,0),"Unknown")</f>
        <v>Delivered</v>
      </c>
      <c r="E37" t="str">
        <f>IFERROR(VLOOKUP(C37,Config!$A:$C,3,0),"N/A")</f>
        <v>Delivered</v>
      </c>
    </row>
    <row r="38" spans="1:5">
      <c r="A38" t="str">
        <f>'iWork,IBP &amp; Framework_SOW Items'!D38</f>
        <v>Framework</v>
      </c>
      <c r="B38" t="str">
        <f>'iWork,IBP &amp; Framework_SOW Items'!E38</f>
        <v>Milestone 2</v>
      </c>
      <c r="C38" t="str">
        <f>'iWork,IBP &amp; Framework_SOW Items'!F38</f>
        <v>Delivered</v>
      </c>
      <c r="D38" t="str">
        <f>IFERROR(VLOOKUP(C38,Config!$A:$B,2,0),"Unknown")</f>
        <v>Delivered</v>
      </c>
      <c r="E38" t="str">
        <f>IFERROR(VLOOKUP(C38,Config!$A:$C,3,0),"N/A")</f>
        <v>Delivered</v>
      </c>
    </row>
    <row r="39" spans="1:5">
      <c r="A39" t="str">
        <f>'iWork,IBP &amp; Framework_SOW Items'!D39</f>
        <v>Framework</v>
      </c>
      <c r="B39" t="str">
        <f>'iWork,IBP &amp; Framework_SOW Items'!E39</f>
        <v>Milestone 2</v>
      </c>
      <c r="C39" t="str">
        <f>'iWork,IBP &amp; Framework_SOW Items'!F39</f>
        <v>Delivered</v>
      </c>
      <c r="D39" t="str">
        <f>IFERROR(VLOOKUP(C39,Config!$A:$B,2,0),"Unknown")</f>
        <v>Delivered</v>
      </c>
      <c r="E39" t="str">
        <f>IFERROR(VLOOKUP(C39,Config!$A:$C,3,0),"N/A")</f>
        <v>Delivered</v>
      </c>
    </row>
    <row r="40" spans="1:5">
      <c r="A40" t="str">
        <f>'iWork,IBP &amp; Framework_SOW Items'!D40</f>
        <v>Framework</v>
      </c>
      <c r="B40" t="str">
        <f>'iWork,IBP &amp; Framework_SOW Items'!E40</f>
        <v>Milestone 2</v>
      </c>
      <c r="C40" t="str">
        <f>'iWork,IBP &amp; Framework_SOW Items'!F40</f>
        <v>Delivered</v>
      </c>
      <c r="D40" t="str">
        <f>IFERROR(VLOOKUP(C40,Config!$A:$B,2,0),"Unknown")</f>
        <v>Delivered</v>
      </c>
      <c r="E40" t="str">
        <f>IFERROR(VLOOKUP(C40,Config!$A:$C,3,0),"N/A")</f>
        <v>Delivered</v>
      </c>
    </row>
    <row r="41" spans="1:5">
      <c r="A41" t="str">
        <f>'iWork,IBP &amp; Framework_SOW Items'!D41</f>
        <v>Framework</v>
      </c>
      <c r="B41" t="str">
        <f>'iWork,IBP &amp; Framework_SOW Items'!E41</f>
        <v>Milestone 2</v>
      </c>
      <c r="C41" t="str">
        <f>'iWork,IBP &amp; Framework_SOW Items'!F41</f>
        <v>Delivered</v>
      </c>
      <c r="D41" t="str">
        <f>IFERROR(VLOOKUP(C41,Config!$A:$B,2,0),"Unknown")</f>
        <v>Delivered</v>
      </c>
      <c r="E41" t="str">
        <f>IFERROR(VLOOKUP(C41,Config!$A:$C,3,0),"N/A")</f>
        <v>Delivered</v>
      </c>
    </row>
    <row r="42" spans="1:5">
      <c r="A42" t="str">
        <f>'iWork,IBP &amp; Framework_SOW Items'!D42</f>
        <v>iWork</v>
      </c>
      <c r="B42" t="str">
        <f>'iWork,IBP &amp; Framework_SOW Items'!E42</f>
        <v>Milestone 2</v>
      </c>
      <c r="C42" t="str">
        <f>'iWork,IBP &amp; Framework_SOW Items'!F42</f>
        <v>Delivered</v>
      </c>
      <c r="D42" t="str">
        <f>IFERROR(VLOOKUP(C42,Config!$A:$B,2,0),"Unknown")</f>
        <v>Delivered</v>
      </c>
      <c r="E42" t="str">
        <f>IFERROR(VLOOKUP(C42,Config!$A:$C,3,0),"N/A")</f>
        <v>Delivered</v>
      </c>
    </row>
    <row r="43" spans="1:5">
      <c r="A43" t="str">
        <f>'iWork,IBP &amp; Framework_SOW Items'!D43</f>
        <v>iWork</v>
      </c>
      <c r="B43" t="str">
        <f>'iWork,IBP &amp; Framework_SOW Items'!E43</f>
        <v>Milestone 2</v>
      </c>
      <c r="C43" t="str">
        <f>'iWork,IBP &amp; Framework_SOW Items'!F43</f>
        <v>Yet to start</v>
      </c>
      <c r="D43" t="str">
        <f>IFERROR(VLOOKUP(C43,Config!$A:$B,2,0),"Unknown")</f>
        <v>Not Started</v>
      </c>
      <c r="E43" t="str">
        <f>IFERROR(VLOOKUP(C43,Config!$A:$C,3,0),"N/A")</f>
        <v>Pending</v>
      </c>
    </row>
    <row r="44" spans="1:5">
      <c r="A44" t="str">
        <f>'iWork,IBP &amp; Framework_SOW Items'!D44</f>
        <v>iWork</v>
      </c>
      <c r="B44" t="str">
        <f>'iWork,IBP &amp; Framework_SOW Items'!E44</f>
        <v>Milestone 2</v>
      </c>
      <c r="C44" t="str">
        <f>'iWork,IBP &amp; Framework_SOW Items'!F44</f>
        <v>Delivered</v>
      </c>
      <c r="D44" t="str">
        <f>IFERROR(VLOOKUP(C44,Config!$A:$B,2,0),"Unknown")</f>
        <v>Delivered</v>
      </c>
      <c r="E44" t="str">
        <f>IFERROR(VLOOKUP(C44,Config!$A:$C,3,0),"N/A")</f>
        <v>Delivered</v>
      </c>
    </row>
    <row r="45" spans="1:5">
      <c r="A45" t="str">
        <f>'iWork,IBP &amp; Framework_SOW Items'!D45</f>
        <v>iWork</v>
      </c>
      <c r="B45" t="str">
        <f>'iWork,IBP &amp; Framework_SOW Items'!E45</f>
        <v>Milestone 2</v>
      </c>
      <c r="C45" t="str">
        <f>'iWork,IBP &amp; Framework_SOW Items'!F45</f>
        <v>Delivered</v>
      </c>
      <c r="D45" t="str">
        <f>IFERROR(VLOOKUP(C45,Config!$A:$B,2,0),"Unknown")</f>
        <v>Delivered</v>
      </c>
      <c r="E45" t="str">
        <f>IFERROR(VLOOKUP(C45,Config!$A:$C,3,0),"N/A")</f>
        <v>Delivered</v>
      </c>
    </row>
    <row r="46" spans="1:5">
      <c r="A46" t="str">
        <f>'iWork,IBP &amp; Framework_SOW Items'!D46</f>
        <v>iWork</v>
      </c>
      <c r="B46" t="str">
        <f>'iWork,IBP &amp; Framework_SOW Items'!E46</f>
        <v>Milestone 2</v>
      </c>
      <c r="C46" t="str">
        <f>'iWork,IBP &amp; Framework_SOW Items'!F46</f>
        <v>Delivered</v>
      </c>
      <c r="D46" t="str">
        <f>IFERROR(VLOOKUP(C46,Config!$A:$B,2,0),"Unknown")</f>
        <v>Delivered</v>
      </c>
      <c r="E46" t="str">
        <f>IFERROR(VLOOKUP(C46,Config!$A:$C,3,0),"N/A")</f>
        <v>Delivered</v>
      </c>
    </row>
    <row r="47" spans="1:5">
      <c r="A47" t="str">
        <f>'iWork,IBP &amp; Framework_SOW Items'!D47</f>
        <v>iWork</v>
      </c>
      <c r="B47" t="str">
        <f>'iWork,IBP &amp; Framework_SOW Items'!E47</f>
        <v>Milestone 2</v>
      </c>
      <c r="C47" t="str">
        <f>'iWork,IBP &amp; Framework_SOW Items'!F47</f>
        <v>Delivered</v>
      </c>
      <c r="D47" t="str">
        <f>IFERROR(VLOOKUP(C47,Config!$A:$B,2,0),"Unknown")</f>
        <v>Delivered</v>
      </c>
      <c r="E47" t="str">
        <f>IFERROR(VLOOKUP(C47,Config!$A:$C,3,0),"N/A")</f>
        <v>Delivered</v>
      </c>
    </row>
    <row r="48" spans="1:5">
      <c r="A48" t="str">
        <f>'iWork,IBP &amp; Framework_SOW Items'!D48</f>
        <v>iWork</v>
      </c>
      <c r="B48" t="str">
        <f>'iWork,IBP &amp; Framework_SOW Items'!E48</f>
        <v>Milestone 2</v>
      </c>
      <c r="C48" t="str">
        <f>'iWork,IBP &amp; Framework_SOW Items'!F48</f>
        <v>Delivered</v>
      </c>
      <c r="D48" t="str">
        <f>IFERROR(VLOOKUP(C48,Config!$A:$B,2,0),"Unknown")</f>
        <v>Delivered</v>
      </c>
      <c r="E48" t="str">
        <f>IFERROR(VLOOKUP(C48,Config!$A:$C,3,0),"N/A")</f>
        <v>Delivered</v>
      </c>
    </row>
    <row r="49" spans="1:5">
      <c r="A49" t="str">
        <f>'iWork,IBP &amp; Framework_SOW Items'!D49</f>
        <v>iWork</v>
      </c>
      <c r="B49" t="str">
        <f>'iWork,IBP &amp; Framework_SOW Items'!E49</f>
        <v>Milestone 2</v>
      </c>
      <c r="C49" t="str">
        <f>'iWork,IBP &amp; Framework_SOW Items'!F49</f>
        <v>Delivered</v>
      </c>
      <c r="D49" t="str">
        <f>IFERROR(VLOOKUP(C49,Config!$A:$B,2,0),"Unknown")</f>
        <v>Delivered</v>
      </c>
      <c r="E49" t="str">
        <f>IFERROR(VLOOKUP(C49,Config!$A:$C,3,0),"N/A")</f>
        <v>Delivered</v>
      </c>
    </row>
    <row r="50" spans="1:5">
      <c r="A50" t="str">
        <f>'iWork,IBP &amp; Framework_SOW Items'!D50</f>
        <v>iWork</v>
      </c>
      <c r="B50" t="str">
        <f>'iWork,IBP &amp; Framework_SOW Items'!E50</f>
        <v>Milestone 2</v>
      </c>
      <c r="C50" t="str">
        <f>'iWork,IBP &amp; Framework_SOW Items'!F50</f>
        <v>Delivered</v>
      </c>
      <c r="D50" t="str">
        <f>IFERROR(VLOOKUP(C50,Config!$A:$B,2,0),"Unknown")</f>
        <v>Delivered</v>
      </c>
      <c r="E50" t="str">
        <f>IFERROR(VLOOKUP(C50,Config!$A:$C,3,0),"N/A")</f>
        <v>Delivered</v>
      </c>
    </row>
    <row r="51" spans="1:5">
      <c r="A51" t="str">
        <f>'iWork,IBP &amp; Framework_SOW Items'!D51</f>
        <v>iWork</v>
      </c>
      <c r="B51" t="str">
        <f>'iWork,IBP &amp; Framework_SOW Items'!E51</f>
        <v>Milestone 2</v>
      </c>
      <c r="C51" t="str">
        <f>'iWork,IBP &amp; Framework_SOW Items'!F51</f>
        <v>Delivered</v>
      </c>
      <c r="D51" t="str">
        <f>IFERROR(VLOOKUP(C51,Config!$A:$B,2,0),"Unknown")</f>
        <v>Delivered</v>
      </c>
      <c r="E51" t="str">
        <f>IFERROR(VLOOKUP(C51,Config!$A:$C,3,0),"N/A")</f>
        <v>Delivered</v>
      </c>
    </row>
    <row r="52" spans="1:5">
      <c r="A52" t="str">
        <f>'iWork,IBP &amp; Framework_SOW Items'!D52</f>
        <v>iWork</v>
      </c>
      <c r="B52" t="str">
        <f>'iWork,IBP &amp; Framework_SOW Items'!E52</f>
        <v>Milestone 2</v>
      </c>
      <c r="C52" t="str">
        <f>'iWork,IBP &amp; Framework_SOW Items'!F52</f>
        <v>Delivered</v>
      </c>
      <c r="D52" t="str">
        <f>IFERROR(VLOOKUP(C52,Config!$A:$B,2,0),"Unknown")</f>
        <v>Delivered</v>
      </c>
      <c r="E52" t="str">
        <f>IFERROR(VLOOKUP(C52,Config!$A:$C,3,0),"N/A")</f>
        <v>Delivered</v>
      </c>
    </row>
    <row r="53" spans="1:5">
      <c r="A53" t="str">
        <f>'iWork,IBP &amp; Framework_SOW Items'!D53</f>
        <v>iWork</v>
      </c>
      <c r="B53" t="str">
        <f>'iWork,IBP &amp; Framework_SOW Items'!E53</f>
        <v>Milestone 2</v>
      </c>
      <c r="C53" t="str">
        <f>'iWork,IBP &amp; Framework_SOW Items'!F53</f>
        <v>Delivered</v>
      </c>
      <c r="D53" t="str">
        <f>IFERROR(VLOOKUP(C53,Config!$A:$B,2,0),"Unknown")</f>
        <v>Delivered</v>
      </c>
      <c r="E53" t="str">
        <f>IFERROR(VLOOKUP(C53,Config!$A:$C,3,0),"N/A")</f>
        <v>Delivered</v>
      </c>
    </row>
    <row r="54" spans="1:5">
      <c r="A54" t="str">
        <f>'iWork,IBP &amp; Framework_SOW Items'!D54</f>
        <v>iWork</v>
      </c>
      <c r="B54" t="str">
        <f>'iWork,IBP &amp; Framework_SOW Items'!E54</f>
        <v>Milestone 2</v>
      </c>
      <c r="C54" t="str">
        <f>'iWork,IBP &amp; Framework_SOW Items'!F54</f>
        <v>Delivered</v>
      </c>
      <c r="D54" t="str">
        <f>IFERROR(VLOOKUP(C54,Config!$A:$B,2,0),"Unknown")</f>
        <v>Delivered</v>
      </c>
      <c r="E54" t="str">
        <f>IFERROR(VLOOKUP(C54,Config!$A:$C,3,0),"N/A")</f>
        <v>Delivered</v>
      </c>
    </row>
    <row r="55" spans="1:5">
      <c r="A55" t="str">
        <f>'iWork,IBP &amp; Framework_SOW Items'!D55</f>
        <v>iWork</v>
      </c>
      <c r="B55" t="str">
        <f>'iWork,IBP &amp; Framework_SOW Items'!E55</f>
        <v>Milestone 2</v>
      </c>
      <c r="C55" t="str">
        <f>'iWork,IBP &amp; Framework_SOW Items'!F55</f>
        <v>Delivered</v>
      </c>
      <c r="D55" t="str">
        <f>IFERROR(VLOOKUP(C55,Config!$A:$B,2,0),"Unknown")</f>
        <v>Delivered</v>
      </c>
      <c r="E55" t="str">
        <f>IFERROR(VLOOKUP(C55,Config!$A:$C,3,0),"N/A")</f>
        <v>Delivered</v>
      </c>
    </row>
    <row r="56" spans="1:5">
      <c r="A56" t="str">
        <f>'iWork,IBP &amp; Framework_SOW Items'!D56</f>
        <v>iWork</v>
      </c>
      <c r="B56" t="str">
        <f>'iWork,IBP &amp; Framework_SOW Items'!E56</f>
        <v>Milestone 2</v>
      </c>
      <c r="C56" t="str">
        <f>'iWork,IBP &amp; Framework_SOW Items'!F56</f>
        <v>Delivered</v>
      </c>
      <c r="D56" t="str">
        <f>IFERROR(VLOOKUP(C56,Config!$A:$B,2,0),"Unknown")</f>
        <v>Delivered</v>
      </c>
      <c r="E56" t="str">
        <f>IFERROR(VLOOKUP(C56,Config!$A:$C,3,0),"N/A")</f>
        <v>Delivered</v>
      </c>
    </row>
    <row r="57" spans="1:5">
      <c r="A57" t="str">
        <f>'iWork,IBP &amp; Framework_SOW Items'!D57</f>
        <v>iWork</v>
      </c>
      <c r="B57" t="str">
        <f>'iWork,IBP &amp; Framework_SOW Items'!E57</f>
        <v>Milestone 2</v>
      </c>
      <c r="C57" t="str">
        <f>'iWork,IBP &amp; Framework_SOW Items'!F57</f>
        <v>Delivered</v>
      </c>
      <c r="D57" t="str">
        <f>IFERROR(VLOOKUP(C57,Config!$A:$B,2,0),"Unknown")</f>
        <v>Delivered</v>
      </c>
      <c r="E57" t="str">
        <f>IFERROR(VLOOKUP(C57,Config!$A:$C,3,0),"N/A")</f>
        <v>Delivered</v>
      </c>
    </row>
    <row r="58" spans="1:5">
      <c r="A58" t="str">
        <f>'iWork,IBP &amp; Framework_SOW Items'!D58</f>
        <v>iWork</v>
      </c>
      <c r="B58" t="str">
        <f>'iWork,IBP &amp; Framework_SOW Items'!E58</f>
        <v>Milestone 2</v>
      </c>
      <c r="C58" t="str">
        <f>'iWork,IBP &amp; Framework_SOW Items'!F58</f>
        <v>Delivered</v>
      </c>
      <c r="D58" t="str">
        <f>IFERROR(VLOOKUP(C58,Config!$A:$B,2,0),"Unknown")</f>
        <v>Delivered</v>
      </c>
      <c r="E58" t="str">
        <f>IFERROR(VLOOKUP(C58,Config!$A:$C,3,0),"N/A")</f>
        <v>Delivered</v>
      </c>
    </row>
    <row r="59" spans="1:5">
      <c r="A59" t="str">
        <f>'iWork,IBP &amp; Framework_SOW Items'!D59</f>
        <v>iWork</v>
      </c>
      <c r="B59" t="str">
        <f>'iWork,IBP &amp; Framework_SOW Items'!E59</f>
        <v>Milestone 2</v>
      </c>
      <c r="C59" t="str">
        <f>'iWork,IBP &amp; Framework_SOW Items'!F59</f>
        <v>Delivered</v>
      </c>
      <c r="D59" t="str">
        <f>IFERROR(VLOOKUP(C59,Config!$A:$B,2,0),"Unknown")</f>
        <v>Delivered</v>
      </c>
      <c r="E59" t="str">
        <f>IFERROR(VLOOKUP(C59,Config!$A:$C,3,0),"N/A")</f>
        <v>Delivered</v>
      </c>
    </row>
    <row r="60" spans="1:5">
      <c r="A60" t="str">
        <f>'iWork,IBP &amp; Framework_SOW Items'!D60</f>
        <v>iWork</v>
      </c>
      <c r="B60" t="str">
        <f>'iWork,IBP &amp; Framework_SOW Items'!E60</f>
        <v>Milestone 2</v>
      </c>
      <c r="C60" t="str">
        <f>'iWork,IBP &amp; Framework_SOW Items'!F60</f>
        <v>Delivered</v>
      </c>
      <c r="D60" t="str">
        <f>IFERROR(VLOOKUP(C60,Config!$A:$B,2,0),"Unknown")</f>
        <v>Delivered</v>
      </c>
      <c r="E60" t="str">
        <f>IFERROR(VLOOKUP(C60,Config!$A:$C,3,0),"N/A")</f>
        <v>Delivered</v>
      </c>
    </row>
    <row r="61" spans="1:5">
      <c r="A61" t="str">
        <f>'iWork,IBP &amp; Framework_SOW Items'!D61</f>
        <v>iWork</v>
      </c>
      <c r="B61" t="str">
        <f>'iWork,IBP &amp; Framework_SOW Items'!E61</f>
        <v>Milestone 2</v>
      </c>
      <c r="C61" t="str">
        <f>'iWork,IBP &amp; Framework_SOW Items'!F61</f>
        <v>Delivered</v>
      </c>
      <c r="D61" t="str">
        <f>IFERROR(VLOOKUP(C61,Config!$A:$B,2,0),"Unknown")</f>
        <v>Delivered</v>
      </c>
      <c r="E61" t="str">
        <f>IFERROR(VLOOKUP(C61,Config!$A:$C,3,0),"N/A")</f>
        <v>Delivered</v>
      </c>
    </row>
    <row r="62" spans="1:5">
      <c r="A62" t="str">
        <f>'iWork,IBP &amp; Framework_SOW Items'!D62</f>
        <v>iWork</v>
      </c>
      <c r="B62" t="str">
        <f>'iWork,IBP &amp; Framework_SOW Items'!E62</f>
        <v>Milestone 2</v>
      </c>
      <c r="C62" t="str">
        <f>'iWork,IBP &amp; Framework_SOW Items'!F62</f>
        <v>Delivered</v>
      </c>
      <c r="D62" t="str">
        <f>IFERROR(VLOOKUP(C62,Config!$A:$B,2,0),"Unknown")</f>
        <v>Delivered</v>
      </c>
      <c r="E62" t="str">
        <f>IFERROR(VLOOKUP(C62,Config!$A:$C,3,0),"N/A")</f>
        <v>Delivered</v>
      </c>
    </row>
    <row r="63" spans="1:5">
      <c r="A63" t="str">
        <f>'iWork,IBP &amp; Framework_SOW Items'!D63</f>
        <v>Framework</v>
      </c>
      <c r="B63" t="str">
        <f>'iWork,IBP &amp; Framework_SOW Items'!E63</f>
        <v>Milestone 3</v>
      </c>
      <c r="C63" t="str">
        <f>'iWork,IBP &amp; Framework_SOW Items'!F63</f>
        <v>Delivered</v>
      </c>
      <c r="D63" t="str">
        <f>IFERROR(VLOOKUP(C63,Config!$A:$B,2,0),"Unknown")</f>
        <v>Delivered</v>
      </c>
      <c r="E63" t="str">
        <f>IFERROR(VLOOKUP(C63,Config!$A:$C,3,0),"N/A")</f>
        <v>Delivered</v>
      </c>
    </row>
    <row r="64" spans="1:5">
      <c r="A64" t="str">
        <f>'iWork,IBP &amp; Framework_SOW Items'!D64</f>
        <v>IBP</v>
      </c>
      <c r="B64" t="str">
        <f>'iWork,IBP &amp; Framework_SOW Items'!E64</f>
        <v>Milestone 3</v>
      </c>
      <c r="C64" t="str">
        <f>'iWork,IBP &amp; Framework_SOW Items'!F64</f>
        <v>Delivered</v>
      </c>
      <c r="D64" t="str">
        <f>IFERROR(VLOOKUP(C64,Config!$A:$B,2,0),"Unknown")</f>
        <v>Delivered</v>
      </c>
      <c r="E64" t="str">
        <f>IFERROR(VLOOKUP(C64,Config!$A:$C,3,0),"N/A")</f>
        <v>Delivered</v>
      </c>
    </row>
    <row r="65" spans="1:5">
      <c r="A65" t="str">
        <f>'iWork,IBP &amp; Framework_SOW Items'!D65</f>
        <v>iWork</v>
      </c>
      <c r="B65" t="str">
        <f>'iWork,IBP &amp; Framework_SOW Items'!E65</f>
        <v>Milestone 3</v>
      </c>
      <c r="C65" t="str">
        <f>'iWork,IBP &amp; Framework_SOW Items'!F65</f>
        <v>Delivered</v>
      </c>
      <c r="D65" t="str">
        <f>IFERROR(VLOOKUP(C65,Config!$A:$B,2,0),"Unknown")</f>
        <v>Delivered</v>
      </c>
      <c r="E65" t="str">
        <f>IFERROR(VLOOKUP(C65,Config!$A:$C,3,0),"N/A")</f>
        <v>Delivered</v>
      </c>
    </row>
    <row r="66" spans="1:5">
      <c r="A66" t="str">
        <f>'iWork,IBP &amp; Framework_SOW Items'!D66</f>
        <v>iWork</v>
      </c>
      <c r="B66" t="str">
        <f>'iWork,IBP &amp; Framework_SOW Items'!E66</f>
        <v>Milestone 3</v>
      </c>
      <c r="C66" t="str">
        <f>'iWork,IBP &amp; Framework_SOW Items'!F66</f>
        <v>Yet to start</v>
      </c>
      <c r="D66" t="str">
        <f>IFERROR(VLOOKUP(C66,Config!$A:$B,2,0),"Unknown")</f>
        <v>Not Started</v>
      </c>
      <c r="E66" t="str">
        <f>IFERROR(VLOOKUP(C66,Config!$A:$C,3,0),"N/A")</f>
        <v>Pending</v>
      </c>
    </row>
    <row r="67" spans="1:5">
      <c r="A67" t="str">
        <f>'iWork,IBP &amp; Framework_SOW Items'!D67</f>
        <v>iWork</v>
      </c>
      <c r="B67" t="str">
        <f>'iWork,IBP &amp; Framework_SOW Items'!E67</f>
        <v>Milestone 3</v>
      </c>
      <c r="C67" t="str">
        <f>'iWork,IBP &amp; Framework_SOW Items'!F67</f>
        <v>Yet to start</v>
      </c>
      <c r="D67" t="str">
        <f>IFERROR(VLOOKUP(C67,Config!$A:$B,2,0),"Unknown")</f>
        <v>Not Started</v>
      </c>
      <c r="E67" t="str">
        <f>IFERROR(VLOOKUP(C67,Config!$A:$C,3,0),"N/A")</f>
        <v>Pending</v>
      </c>
    </row>
    <row r="68" spans="1:5">
      <c r="A68" t="str">
        <f>'iWork,IBP &amp; Framework_SOW Items'!D68</f>
        <v>iWork</v>
      </c>
      <c r="B68" t="str">
        <f>'iWork,IBP &amp; Framework_SOW Items'!E68</f>
        <v>Milestone 3</v>
      </c>
      <c r="C68" t="str">
        <f>'iWork,IBP &amp; Framework_SOW Items'!F68</f>
        <v>Delivered</v>
      </c>
      <c r="D68" t="str">
        <f>IFERROR(VLOOKUP(C68,Config!$A:$B,2,0),"Unknown")</f>
        <v>Delivered</v>
      </c>
      <c r="E68" t="str">
        <f>IFERROR(VLOOKUP(C68,Config!$A:$C,3,0),"N/A")</f>
        <v>Delivered</v>
      </c>
    </row>
    <row r="69" spans="1:5">
      <c r="A69" t="str">
        <f>'iWork,IBP &amp; Framework_SOW Items'!D69</f>
        <v>iWork</v>
      </c>
      <c r="B69" t="str">
        <f>'iWork,IBP &amp; Framework_SOW Items'!E69</f>
        <v>Milestone 3</v>
      </c>
      <c r="C69" t="str">
        <f>'iWork,IBP &amp; Framework_SOW Items'!F69</f>
        <v>Delivered</v>
      </c>
      <c r="D69" t="str">
        <f>IFERROR(VLOOKUP(C69,Config!$A:$B,2,0),"Unknown")</f>
        <v>Delivered</v>
      </c>
      <c r="E69" t="str">
        <f>IFERROR(VLOOKUP(C69,Config!$A:$C,3,0),"N/A")</f>
        <v>Delivered</v>
      </c>
    </row>
    <row r="70" spans="1:5">
      <c r="A70" t="str">
        <f>'iWork,IBP &amp; Framework_SOW Items'!D70</f>
        <v>iWork</v>
      </c>
      <c r="B70" t="str">
        <f>'iWork,IBP &amp; Framework_SOW Items'!E70</f>
        <v>Milestone 3</v>
      </c>
      <c r="C70" t="str">
        <f>'iWork,IBP &amp; Framework_SOW Items'!F70</f>
        <v>Delivered</v>
      </c>
      <c r="D70" t="str">
        <f>IFERROR(VLOOKUP(C70,Config!$A:$B,2,0),"Unknown")</f>
        <v>Delivered</v>
      </c>
      <c r="E70" t="str">
        <f>IFERROR(VLOOKUP(C70,Config!$A:$C,3,0),"N/A")</f>
        <v>Delivered</v>
      </c>
    </row>
    <row r="71" spans="1:5">
      <c r="A71" t="str">
        <f>'iWork,IBP &amp; Framework_SOW Items'!D71</f>
        <v>iWork</v>
      </c>
      <c r="B71" t="str">
        <f>'iWork,IBP &amp; Framework_SOW Items'!E71</f>
        <v>Milestone 3</v>
      </c>
      <c r="C71" t="str">
        <f>'iWork,IBP &amp; Framework_SOW Items'!F71</f>
        <v>Delivered</v>
      </c>
      <c r="D71" t="str">
        <f>IFERROR(VLOOKUP(C71,Config!$A:$B,2,0),"Unknown")</f>
        <v>Delivered</v>
      </c>
      <c r="E71" t="str">
        <f>IFERROR(VLOOKUP(C71,Config!$A:$C,3,0),"N/A")</f>
        <v>Delivered</v>
      </c>
    </row>
    <row r="72" spans="1:5">
      <c r="A72" t="str">
        <f>'iWork,IBP &amp; Framework_SOW Items'!D72</f>
        <v>DPDP</v>
      </c>
      <c r="B72" t="str">
        <f>'iWork,IBP &amp; Framework_SOW Items'!E72</f>
        <v>Milestone 4</v>
      </c>
      <c r="C72" t="str">
        <f>'iWork,IBP &amp; Framework_SOW Items'!F72</f>
        <v>Yet to start</v>
      </c>
      <c r="D72" t="str">
        <f>IFERROR(VLOOKUP(C72,Config!$A:$B,2,0),"Unknown")</f>
        <v>Not Started</v>
      </c>
      <c r="E72" t="str">
        <f>IFERROR(VLOOKUP(C72,Config!$A:$C,3,0),"N/A")</f>
        <v>Pending</v>
      </c>
    </row>
    <row r="73" spans="1:5">
      <c r="A73" t="str">
        <f>'iWork,IBP &amp; Framework_SOW Items'!D73</f>
        <v>Framework</v>
      </c>
      <c r="B73" t="str">
        <f>'iWork,IBP &amp; Framework_SOW Items'!E73</f>
        <v>Milestone 4</v>
      </c>
      <c r="C73" t="str">
        <f>'iWork,IBP &amp; Framework_SOW Items'!F73</f>
        <v>Yet to start</v>
      </c>
      <c r="D73" t="str">
        <f>IFERROR(VLOOKUP(C73,Config!$A:$B,2,0),"Unknown")</f>
        <v>Not Started</v>
      </c>
      <c r="E73" t="str">
        <f>IFERROR(VLOOKUP(C73,Config!$A:$C,3,0),"N/A")</f>
        <v>Pending</v>
      </c>
    </row>
    <row r="74" spans="1:5">
      <c r="A74" t="str">
        <f>'iWork,IBP &amp; Framework_SOW Items'!D74</f>
        <v>Framework</v>
      </c>
      <c r="B74" t="str">
        <f>'iWork,IBP &amp; Framework_SOW Items'!E74</f>
        <v>Milestone 4</v>
      </c>
      <c r="C74" t="str">
        <f>'iWork,IBP &amp; Framework_SOW Items'!F74</f>
        <v>Delivered - Deficit</v>
      </c>
      <c r="D74" t="str">
        <f>IFERROR(VLOOKUP(C74,Config!$A:$B,2,0),"Unknown")</f>
        <v>Partial Delivery</v>
      </c>
      <c r="E74" t="str">
        <f>IFERROR(VLOOKUP(C74,Config!$A:$C,3,0),"N/A")</f>
        <v>Pending</v>
      </c>
    </row>
    <row r="75" spans="1:5">
      <c r="A75" t="str">
        <f>'iWork,IBP &amp; Framework_SOW Items'!D75</f>
        <v>Framework</v>
      </c>
      <c r="B75" t="str">
        <f>'iWork,IBP &amp; Framework_SOW Items'!E75</f>
        <v>Milestone 4</v>
      </c>
      <c r="C75" t="str">
        <f>'iWork,IBP &amp; Framework_SOW Items'!F75</f>
        <v>Yet to start</v>
      </c>
      <c r="D75" t="str">
        <f>IFERROR(VLOOKUP(C75,Config!$A:$B,2,0),"Unknown")</f>
        <v>Not Started</v>
      </c>
      <c r="E75" t="str">
        <f>IFERROR(VLOOKUP(C75,Config!$A:$C,3,0),"N/A")</f>
        <v>Pending</v>
      </c>
    </row>
    <row r="76" spans="1:5">
      <c r="A76" t="str">
        <f>'iWork,IBP &amp; Framework_SOW Items'!D76</f>
        <v>Framework</v>
      </c>
      <c r="B76" t="str">
        <f>'iWork,IBP &amp; Framework_SOW Items'!E76</f>
        <v>Milestone 4</v>
      </c>
      <c r="C76" t="str">
        <f>'iWork,IBP &amp; Framework_SOW Items'!F76</f>
        <v>Yet to start</v>
      </c>
      <c r="D76" t="str">
        <f>IFERROR(VLOOKUP(C76,Config!$A:$B,2,0),"Unknown")</f>
        <v>Not Started</v>
      </c>
      <c r="E76" t="str">
        <f>IFERROR(VLOOKUP(C76,Config!$A:$C,3,0),"N/A")</f>
        <v>Pending</v>
      </c>
    </row>
    <row r="77" spans="1:5">
      <c r="A77" t="str">
        <f>'iWork,IBP &amp; Framework_SOW Items'!D77</f>
        <v>Framework</v>
      </c>
      <c r="B77" t="str">
        <f>'iWork,IBP &amp; Framework_SOW Items'!E77</f>
        <v>Milestone 4</v>
      </c>
      <c r="C77" t="str">
        <f>'iWork,IBP &amp; Framework_SOW Items'!F77</f>
        <v>Delivered</v>
      </c>
      <c r="D77" t="str">
        <f>IFERROR(VLOOKUP(C77,Config!$A:$B,2,0),"Unknown")</f>
        <v>Delivered</v>
      </c>
      <c r="E77" t="str">
        <f>IFERROR(VLOOKUP(C77,Config!$A:$C,3,0),"N/A")</f>
        <v>Delivered</v>
      </c>
    </row>
    <row r="78" spans="1:5">
      <c r="A78" t="str">
        <f>'iWork,IBP &amp; Framework_SOW Items'!D78</f>
        <v>Framework</v>
      </c>
      <c r="B78" t="str">
        <f>'iWork,IBP &amp; Framework_SOW Items'!E78</f>
        <v>Milestone 4</v>
      </c>
      <c r="C78" t="str">
        <f>'iWork,IBP &amp; Framework_SOW Items'!F78</f>
        <v>Delivered</v>
      </c>
      <c r="D78" t="str">
        <f>IFERROR(VLOOKUP(C78,Config!$A:$B,2,0),"Unknown")</f>
        <v>Delivered</v>
      </c>
      <c r="E78" t="str">
        <f>IFERROR(VLOOKUP(C78,Config!$A:$C,3,0),"N/A")</f>
        <v>Delivered</v>
      </c>
    </row>
    <row r="79" spans="1:5">
      <c r="A79" t="str">
        <f>'iWork,IBP &amp; Framework_SOW Items'!D79</f>
        <v>Framework</v>
      </c>
      <c r="B79" t="str">
        <f>'iWork,IBP &amp; Framework_SOW Items'!E79</f>
        <v>Milestone 4</v>
      </c>
      <c r="C79" t="str">
        <f>'iWork,IBP &amp; Framework_SOW Items'!F79</f>
        <v>Delivered</v>
      </c>
      <c r="D79" t="str">
        <f>IFERROR(VLOOKUP(C79,Config!$A:$B,2,0),"Unknown")</f>
        <v>Delivered</v>
      </c>
      <c r="E79" t="str">
        <f>IFERROR(VLOOKUP(C79,Config!$A:$C,3,0),"N/A")</f>
        <v>Delivered</v>
      </c>
    </row>
    <row r="80" spans="1:5">
      <c r="A80" t="str">
        <f>'iWork,IBP &amp; Framework_SOW Items'!D80</f>
        <v>Framework</v>
      </c>
      <c r="B80" t="str">
        <f>'iWork,IBP &amp; Framework_SOW Items'!E80</f>
        <v>Milestone 4</v>
      </c>
      <c r="C80" t="str">
        <f>'iWork,IBP &amp; Framework_SOW Items'!F80</f>
        <v>Delivered</v>
      </c>
      <c r="D80" t="str">
        <f>IFERROR(VLOOKUP(C80,Config!$A:$B,2,0),"Unknown")</f>
        <v>Delivered</v>
      </c>
      <c r="E80" t="str">
        <f>IFERROR(VLOOKUP(C80,Config!$A:$C,3,0),"N/A")</f>
        <v>Delivered</v>
      </c>
    </row>
    <row r="81" spans="1:5">
      <c r="A81" t="str">
        <f>'iWork,IBP &amp; Framework_SOW Items'!D81</f>
        <v>Framework</v>
      </c>
      <c r="B81" t="str">
        <f>'iWork,IBP &amp; Framework_SOW Items'!E81</f>
        <v>Milestone 4</v>
      </c>
      <c r="C81" t="str">
        <f>'iWork,IBP &amp; Framework_SOW Items'!F81</f>
        <v>Delivered</v>
      </c>
      <c r="D81" t="str">
        <f>IFERROR(VLOOKUP(C81,Config!$A:$B,2,0),"Unknown")</f>
        <v>Delivered</v>
      </c>
      <c r="E81" t="str">
        <f>IFERROR(VLOOKUP(C81,Config!$A:$C,3,0),"N/A")</f>
        <v>Delivered</v>
      </c>
    </row>
    <row r="82" spans="1:5">
      <c r="A82" t="str">
        <f>'iWork,IBP &amp; Framework_SOW Items'!D82</f>
        <v>IBP</v>
      </c>
      <c r="B82" t="str">
        <f>'iWork,IBP &amp; Framework_SOW Items'!E82</f>
        <v>Milestone 4</v>
      </c>
      <c r="C82" t="str">
        <f>'iWork,IBP &amp; Framework_SOW Items'!F82</f>
        <v>Delivered</v>
      </c>
      <c r="D82" t="str">
        <f>IFERROR(VLOOKUP(C82,Config!$A:$B,2,0),"Unknown")</f>
        <v>Delivered</v>
      </c>
      <c r="E82" t="str">
        <f>IFERROR(VLOOKUP(C82,Config!$A:$C,3,0),"N/A")</f>
        <v>Delivered</v>
      </c>
    </row>
    <row r="83" spans="1:5">
      <c r="A83" t="str">
        <f>'iWork,IBP &amp; Framework_SOW Items'!D83</f>
        <v>IBP</v>
      </c>
      <c r="B83" t="str">
        <f>'iWork,IBP &amp; Framework_SOW Items'!E83</f>
        <v>Milestone 4</v>
      </c>
      <c r="C83" t="str">
        <f>'iWork,IBP &amp; Framework_SOW Items'!F83</f>
        <v>Pre-PROD</v>
      </c>
      <c r="D83" t="str">
        <f>IFERROR(VLOOKUP(C83,Config!$A:$B,2,0),"Unknown")</f>
        <v>Pre-PROD / UAT</v>
      </c>
      <c r="E83" t="str">
        <f>IFERROR(VLOOKUP(C83,Config!$A:$C,3,0),"N/A")</f>
        <v>Pending</v>
      </c>
    </row>
    <row r="84" spans="1:5">
      <c r="A84" t="str">
        <f>'iWork,IBP &amp; Framework_SOW Items'!D84</f>
        <v>IBP</v>
      </c>
      <c r="B84" t="str">
        <f>'iWork,IBP &amp; Framework_SOW Items'!E84</f>
        <v>Milestone 4</v>
      </c>
      <c r="C84" t="str">
        <f>'iWork,IBP &amp; Framework_SOW Items'!F84</f>
        <v>Delivered</v>
      </c>
      <c r="D84" t="str">
        <f>IFERROR(VLOOKUP(C84,Config!$A:$B,2,0),"Unknown")</f>
        <v>Delivered</v>
      </c>
      <c r="E84" t="str">
        <f>IFERROR(VLOOKUP(C84,Config!$A:$C,3,0),"N/A")</f>
        <v>Delivered</v>
      </c>
    </row>
    <row r="85" spans="1:5">
      <c r="A85" t="str">
        <f>'iWork,IBP &amp; Framework_SOW Items'!D85</f>
        <v>IBP</v>
      </c>
      <c r="B85" t="str">
        <f>'iWork,IBP &amp; Framework_SOW Items'!E85</f>
        <v>Milestone 4</v>
      </c>
      <c r="C85" t="str">
        <f>'iWork,IBP &amp; Framework_SOW Items'!F85</f>
        <v>Delivered</v>
      </c>
      <c r="D85" t="str">
        <f>IFERROR(VLOOKUP(C85,Config!$A:$B,2,0),"Unknown")</f>
        <v>Delivered</v>
      </c>
      <c r="E85" t="str">
        <f>IFERROR(VLOOKUP(C85,Config!$A:$C,3,0),"N/A")</f>
        <v>Delivered</v>
      </c>
    </row>
    <row r="86" spans="1:5">
      <c r="A86" t="str">
        <f>'iWork,IBP &amp; Framework_SOW Items'!D86</f>
        <v>IBP</v>
      </c>
      <c r="B86" t="str">
        <f>'iWork,IBP &amp; Framework_SOW Items'!E86</f>
        <v>Milestone 4</v>
      </c>
      <c r="C86" t="str">
        <f>'iWork,IBP &amp; Framework_SOW Items'!F86</f>
        <v>Delivered</v>
      </c>
      <c r="D86" t="str">
        <f>IFERROR(VLOOKUP(C86,Config!$A:$B,2,0),"Unknown")</f>
        <v>Delivered</v>
      </c>
      <c r="E86" t="str">
        <f>IFERROR(VLOOKUP(C86,Config!$A:$C,3,0),"N/A")</f>
        <v>Delivered</v>
      </c>
    </row>
    <row r="87" spans="1:5">
      <c r="A87" t="str">
        <f>'iWork,IBP &amp; Framework_SOW Items'!D87</f>
        <v>IBP</v>
      </c>
      <c r="B87" t="str">
        <f>'iWork,IBP &amp; Framework_SOW Items'!E87</f>
        <v>Milestone 4</v>
      </c>
      <c r="C87" t="str">
        <f>'iWork,IBP &amp; Framework_SOW Items'!F87</f>
        <v>Delivered</v>
      </c>
      <c r="D87" t="str">
        <f>IFERROR(VLOOKUP(C87,Config!$A:$B,2,0),"Unknown")</f>
        <v>Delivered</v>
      </c>
      <c r="E87" t="str">
        <f>IFERROR(VLOOKUP(C87,Config!$A:$C,3,0),"N/A")</f>
        <v>Delivered</v>
      </c>
    </row>
    <row r="88" spans="1:5">
      <c r="A88" t="str">
        <f>'iWork,IBP &amp; Framework_SOW Items'!D88</f>
        <v>IBP</v>
      </c>
      <c r="B88" t="str">
        <f>'iWork,IBP &amp; Framework_SOW Items'!E88</f>
        <v>Milestone 4</v>
      </c>
      <c r="C88" t="str">
        <f>'iWork,IBP &amp; Framework_SOW Items'!F88</f>
        <v>Delivered</v>
      </c>
      <c r="D88" t="str">
        <f>IFERROR(VLOOKUP(C88,Config!$A:$B,2,0),"Unknown")</f>
        <v>Delivered</v>
      </c>
      <c r="E88" t="str">
        <f>IFERROR(VLOOKUP(C88,Config!$A:$C,3,0),"N/A")</f>
        <v>Delivered</v>
      </c>
    </row>
    <row r="89" spans="1:5">
      <c r="A89" t="str">
        <f>'iWork,IBP &amp; Framework_SOW Items'!D89</f>
        <v>IBP</v>
      </c>
      <c r="B89" t="str">
        <f>'iWork,IBP &amp; Framework_SOW Items'!E89</f>
        <v>Milestone 4</v>
      </c>
      <c r="C89" t="str">
        <f>'iWork,IBP &amp; Framework_SOW Items'!F89</f>
        <v>Delivered</v>
      </c>
      <c r="D89" t="str">
        <f>IFERROR(VLOOKUP(C89,Config!$A:$B,2,0),"Unknown")</f>
        <v>Delivered</v>
      </c>
      <c r="E89" t="str">
        <f>IFERROR(VLOOKUP(C89,Config!$A:$C,3,0),"N/A")</f>
        <v>Delivered</v>
      </c>
    </row>
    <row r="90" spans="1:5">
      <c r="A90" t="str">
        <f>'iWork,IBP &amp; Framework_SOW Items'!D90</f>
        <v>IBP</v>
      </c>
      <c r="B90" t="str">
        <f>'iWork,IBP &amp; Framework_SOW Items'!E90</f>
        <v>Milestone 4</v>
      </c>
      <c r="C90" t="str">
        <f>'iWork,IBP &amp; Framework_SOW Items'!F90</f>
        <v>Delivered</v>
      </c>
      <c r="D90" t="str">
        <f>IFERROR(VLOOKUP(C90,Config!$A:$B,2,0),"Unknown")</f>
        <v>Delivered</v>
      </c>
      <c r="E90" t="str">
        <f>IFERROR(VLOOKUP(C90,Config!$A:$C,3,0),"N/A")</f>
        <v>Delivered</v>
      </c>
    </row>
    <row r="91" spans="1:5">
      <c r="A91" t="str">
        <f>'iWork,IBP &amp; Framework_SOW Items'!D91</f>
        <v>IBP</v>
      </c>
      <c r="B91" t="str">
        <f>'iWork,IBP &amp; Framework_SOW Items'!E91</f>
        <v>Milestone 4</v>
      </c>
      <c r="C91" t="str">
        <f>'iWork,IBP &amp; Framework_SOW Items'!F91</f>
        <v>Yet to start</v>
      </c>
      <c r="D91" t="str">
        <f>IFERROR(VLOOKUP(C91,Config!$A:$B,2,0),"Unknown")</f>
        <v>Not Started</v>
      </c>
      <c r="E91" t="str">
        <f>IFERROR(VLOOKUP(C91,Config!$A:$C,3,0),"N/A")</f>
        <v>Pending</v>
      </c>
    </row>
    <row r="92" spans="1:5">
      <c r="A92" t="str">
        <f>'iWork,IBP &amp; Framework_SOW Items'!D92</f>
        <v>IBP</v>
      </c>
      <c r="B92" t="str">
        <f>'iWork,IBP &amp; Framework_SOW Items'!E92</f>
        <v>Milestone 4</v>
      </c>
      <c r="C92" t="str">
        <f>'iWork,IBP &amp; Framework_SOW Items'!F92</f>
        <v>Pre-PROD</v>
      </c>
      <c r="D92" t="str">
        <f>IFERROR(VLOOKUP(C92,Config!$A:$B,2,0),"Unknown")</f>
        <v>Pre-PROD / UAT</v>
      </c>
      <c r="E92" t="str">
        <f>IFERROR(VLOOKUP(C92,Config!$A:$C,3,0),"N/A")</f>
        <v>Pending</v>
      </c>
    </row>
    <row r="93" spans="1:5">
      <c r="A93" t="str">
        <f>'iWork,IBP &amp; Framework_SOW Items'!D93</f>
        <v>IBP</v>
      </c>
      <c r="B93" t="str">
        <f>'iWork,IBP &amp; Framework_SOW Items'!E93</f>
        <v>Milestone 4</v>
      </c>
      <c r="C93" t="str">
        <f>'iWork,IBP &amp; Framework_SOW Items'!F93</f>
        <v>Pre-PROD</v>
      </c>
      <c r="D93" t="str">
        <f>IFERROR(VLOOKUP(C93,Config!$A:$B,2,0),"Unknown")</f>
        <v>Pre-PROD / UAT</v>
      </c>
      <c r="E93" t="str">
        <f>IFERROR(VLOOKUP(C93,Config!$A:$C,3,0),"N/A")</f>
        <v>Pending</v>
      </c>
    </row>
    <row r="94" spans="1:5">
      <c r="A94" t="str">
        <f>'iWork,IBP &amp; Framework_SOW Items'!D94</f>
        <v>IBP</v>
      </c>
      <c r="B94" t="str">
        <f>'iWork,IBP &amp; Framework_SOW Items'!E94</f>
        <v>Milestone 4</v>
      </c>
      <c r="C94" t="str">
        <f>'iWork,IBP &amp; Framework_SOW Items'!F94</f>
        <v>Yet to start</v>
      </c>
      <c r="D94" t="str">
        <f>IFERROR(VLOOKUP(C94,Config!$A:$B,2,0),"Unknown")</f>
        <v>Not Started</v>
      </c>
      <c r="E94" t="str">
        <f>IFERROR(VLOOKUP(C94,Config!$A:$C,3,0),"N/A")</f>
        <v>Pending</v>
      </c>
    </row>
    <row r="95" spans="1:5">
      <c r="A95" t="str">
        <f>'iWork,IBP &amp; Framework_SOW Items'!D95</f>
        <v>IBP</v>
      </c>
      <c r="B95" t="str">
        <f>'iWork,IBP &amp; Framework_SOW Items'!E95</f>
        <v>Milestone 4</v>
      </c>
      <c r="C95" t="str">
        <f>'iWork,IBP &amp; Framework_SOW Items'!F95</f>
        <v>Delivered</v>
      </c>
      <c r="D95" t="str">
        <f>IFERROR(VLOOKUP(C95,Config!$A:$B,2,0),"Unknown")</f>
        <v>Delivered</v>
      </c>
      <c r="E95" t="str">
        <f>IFERROR(VLOOKUP(C95,Config!$A:$C,3,0),"N/A")</f>
        <v>Delivered</v>
      </c>
    </row>
    <row r="96" spans="1:5">
      <c r="A96" t="str">
        <f>'iWork,IBP &amp; Framework_SOW Items'!D96</f>
        <v>IBP</v>
      </c>
      <c r="B96" t="str">
        <f>'iWork,IBP &amp; Framework_SOW Items'!E96</f>
        <v>Milestone 4</v>
      </c>
      <c r="C96" t="str">
        <f>'iWork,IBP &amp; Framework_SOW Items'!F96</f>
        <v>Delivered</v>
      </c>
      <c r="D96" t="str">
        <f>IFERROR(VLOOKUP(C96,Config!$A:$B,2,0),"Unknown")</f>
        <v>Delivered</v>
      </c>
      <c r="E96" t="str">
        <f>IFERROR(VLOOKUP(C96,Config!$A:$C,3,0),"N/A")</f>
        <v>Delivered</v>
      </c>
    </row>
    <row r="97" spans="1:5">
      <c r="A97" t="str">
        <f>'iWork,IBP &amp; Framework_SOW Items'!D97</f>
        <v>IBP</v>
      </c>
      <c r="B97" t="str">
        <f>'iWork,IBP &amp; Framework_SOW Items'!E97</f>
        <v>Milestone 4</v>
      </c>
      <c r="C97" t="str">
        <f>'iWork,IBP &amp; Framework_SOW Items'!F97</f>
        <v>Delivered</v>
      </c>
      <c r="D97" t="str">
        <f>IFERROR(VLOOKUP(C97,Config!$A:$B,2,0),"Unknown")</f>
        <v>Delivered</v>
      </c>
      <c r="E97" t="str">
        <f>IFERROR(VLOOKUP(C97,Config!$A:$C,3,0),"N/A")</f>
        <v>Delivered</v>
      </c>
    </row>
    <row r="98" spans="1:5">
      <c r="A98" t="str">
        <f>'iWork,IBP &amp; Framework_SOW Items'!D98</f>
        <v>IBP</v>
      </c>
      <c r="B98" t="str">
        <f>'iWork,IBP &amp; Framework_SOW Items'!E98</f>
        <v>Milestone 4</v>
      </c>
      <c r="C98" t="str">
        <f>'iWork,IBP &amp; Framework_SOW Items'!F98</f>
        <v>Delivered</v>
      </c>
      <c r="D98" t="str">
        <f>IFERROR(VLOOKUP(C98,Config!$A:$B,2,0),"Unknown")</f>
        <v>Delivered</v>
      </c>
      <c r="E98" t="str">
        <f>IFERROR(VLOOKUP(C98,Config!$A:$C,3,0),"N/A")</f>
        <v>Delivered</v>
      </c>
    </row>
    <row r="99" spans="1:5">
      <c r="A99" t="str">
        <f>'iWork,IBP &amp; Framework_SOW Items'!D99</f>
        <v>IBP</v>
      </c>
      <c r="B99" t="str">
        <f>'iWork,IBP &amp; Framework_SOW Items'!E99</f>
        <v>Milestone 4</v>
      </c>
      <c r="C99" t="str">
        <f>'iWork,IBP &amp; Framework_SOW Items'!F99</f>
        <v>Delivered</v>
      </c>
      <c r="D99" t="str">
        <f>IFERROR(VLOOKUP(C99,Config!$A:$B,2,0),"Unknown")</f>
        <v>Delivered</v>
      </c>
      <c r="E99" t="str">
        <f>IFERROR(VLOOKUP(C99,Config!$A:$C,3,0),"N/A")</f>
        <v>Delivered</v>
      </c>
    </row>
    <row r="100" spans="1:5">
      <c r="A100" t="str">
        <f>'iWork,IBP &amp; Framework_SOW Items'!D100</f>
        <v>IBP</v>
      </c>
      <c r="B100" t="str">
        <f>'iWork,IBP &amp; Framework_SOW Items'!E100</f>
        <v>Milestone 4</v>
      </c>
      <c r="C100" t="str">
        <f>'iWork,IBP &amp; Framework_SOW Items'!F100</f>
        <v>Delivered</v>
      </c>
      <c r="D100" t="str">
        <f>IFERROR(VLOOKUP(C100,Config!$A:$B,2,0),"Unknown")</f>
        <v>Delivered</v>
      </c>
      <c r="E100" t="str">
        <f>IFERROR(VLOOKUP(C100,Config!$A:$C,3,0),"N/A")</f>
        <v>Delivered</v>
      </c>
    </row>
    <row r="101" spans="1:5">
      <c r="A101" t="str">
        <f>'iWork,IBP &amp; Framework_SOW Items'!D101</f>
        <v>IBP</v>
      </c>
      <c r="B101" t="str">
        <f>'iWork,IBP &amp; Framework_SOW Items'!E101</f>
        <v>Milestone 4</v>
      </c>
      <c r="C101" t="str">
        <f>'iWork,IBP &amp; Framework_SOW Items'!F101</f>
        <v>Delivered</v>
      </c>
      <c r="D101" t="str">
        <f>IFERROR(VLOOKUP(C101,Config!$A:$B,2,0),"Unknown")</f>
        <v>Delivered</v>
      </c>
      <c r="E101" t="str">
        <f>IFERROR(VLOOKUP(C101,Config!$A:$C,3,0),"N/A")</f>
        <v>Delivered</v>
      </c>
    </row>
    <row r="102" spans="1:5">
      <c r="A102" t="str">
        <f>'iWork,IBP &amp; Framework_SOW Items'!D102</f>
        <v>IBP</v>
      </c>
      <c r="B102" t="str">
        <f>'iWork,IBP &amp; Framework_SOW Items'!E102</f>
        <v>Milestone 4</v>
      </c>
      <c r="C102" t="str">
        <f>'iWork,IBP &amp; Framework_SOW Items'!F102</f>
        <v>Delivered</v>
      </c>
      <c r="D102" t="str">
        <f>IFERROR(VLOOKUP(C102,Config!$A:$B,2,0),"Unknown")</f>
        <v>Delivered</v>
      </c>
      <c r="E102" t="str">
        <f>IFERROR(VLOOKUP(C102,Config!$A:$C,3,0),"N/A")</f>
        <v>Delivered</v>
      </c>
    </row>
    <row r="103" spans="1:5">
      <c r="A103" t="str">
        <f>'iWork,IBP &amp; Framework_SOW Items'!D103</f>
        <v>IBP</v>
      </c>
      <c r="B103" t="str">
        <f>'iWork,IBP &amp; Framework_SOW Items'!E103</f>
        <v>Milestone 4</v>
      </c>
      <c r="C103" t="str">
        <f>'iWork,IBP &amp; Framework_SOW Items'!F103</f>
        <v>Delivered</v>
      </c>
      <c r="D103" t="str">
        <f>IFERROR(VLOOKUP(C103,Config!$A:$B,2,0),"Unknown")</f>
        <v>Delivered</v>
      </c>
      <c r="E103" t="str">
        <f>IFERROR(VLOOKUP(C103,Config!$A:$C,3,0),"N/A")</f>
        <v>Delivered</v>
      </c>
    </row>
    <row r="104" spans="1:5">
      <c r="A104" t="str">
        <f>'iWork,IBP &amp; Framework_SOW Items'!D104</f>
        <v>IBP</v>
      </c>
      <c r="B104" t="str">
        <f>'iWork,IBP &amp; Framework_SOW Items'!E104</f>
        <v>Milestone 4</v>
      </c>
      <c r="C104" t="str">
        <f>'iWork,IBP &amp; Framework_SOW Items'!F104</f>
        <v>Delivered</v>
      </c>
      <c r="D104" t="str">
        <f>IFERROR(VLOOKUP(C104,Config!$A:$B,2,0),"Unknown")</f>
        <v>Delivered</v>
      </c>
      <c r="E104" t="str">
        <f>IFERROR(VLOOKUP(C104,Config!$A:$C,3,0),"N/A")</f>
        <v>Delivered</v>
      </c>
    </row>
    <row r="105" spans="1:5">
      <c r="A105" t="str">
        <f>'iWork,IBP &amp; Framework_SOW Items'!D105</f>
        <v>IBP</v>
      </c>
      <c r="B105" t="str">
        <f>'iWork,IBP &amp; Framework_SOW Items'!E105</f>
        <v>Milestone 4</v>
      </c>
      <c r="C105" t="str">
        <f>'iWork,IBP &amp; Framework_SOW Items'!F105</f>
        <v>Delivered</v>
      </c>
      <c r="D105" t="str">
        <f>IFERROR(VLOOKUP(C105,Config!$A:$B,2,0),"Unknown")</f>
        <v>Delivered</v>
      </c>
      <c r="E105" t="str">
        <f>IFERROR(VLOOKUP(C105,Config!$A:$C,3,0),"N/A")</f>
        <v>Delivered</v>
      </c>
    </row>
    <row r="106" spans="1:5">
      <c r="A106" t="str">
        <f>'iWork,IBP &amp; Framework_SOW Items'!D106</f>
        <v>IBP</v>
      </c>
      <c r="B106" t="str">
        <f>'iWork,IBP &amp; Framework_SOW Items'!E106</f>
        <v>Milestone 4</v>
      </c>
      <c r="C106" t="str">
        <f>'iWork,IBP &amp; Framework_SOW Items'!F106</f>
        <v>Delivered</v>
      </c>
      <c r="D106" t="str">
        <f>IFERROR(VLOOKUP(C106,Config!$A:$B,2,0),"Unknown")</f>
        <v>Delivered</v>
      </c>
      <c r="E106" t="str">
        <f>IFERROR(VLOOKUP(C106,Config!$A:$C,3,0),"N/A")</f>
        <v>Delivered</v>
      </c>
    </row>
    <row r="107" spans="1:5">
      <c r="A107" t="str">
        <f>'iWork,IBP &amp; Framework_SOW Items'!D107</f>
        <v>IBP</v>
      </c>
      <c r="B107" t="str">
        <f>'iWork,IBP &amp; Framework_SOW Items'!E107</f>
        <v>Milestone 4</v>
      </c>
      <c r="C107" t="str">
        <f>'iWork,IBP &amp; Framework_SOW Items'!F107</f>
        <v>Delivered</v>
      </c>
      <c r="D107" t="str">
        <f>IFERROR(VLOOKUP(C107,Config!$A:$B,2,0),"Unknown")</f>
        <v>Delivered</v>
      </c>
      <c r="E107" t="str">
        <f>IFERROR(VLOOKUP(C107,Config!$A:$C,3,0),"N/A")</f>
        <v>Delivered</v>
      </c>
    </row>
    <row r="108" spans="1:5">
      <c r="A108" t="str">
        <f>'iWork,IBP &amp; Framework_SOW Items'!D108</f>
        <v>IBP</v>
      </c>
      <c r="B108" t="str">
        <f>'iWork,IBP &amp; Framework_SOW Items'!E108</f>
        <v>Milestone 4</v>
      </c>
      <c r="C108" t="str">
        <f>'iWork,IBP &amp; Framework_SOW Items'!F108</f>
        <v>Delivered</v>
      </c>
      <c r="D108" t="str">
        <f>IFERROR(VLOOKUP(C108,Config!$A:$B,2,0),"Unknown")</f>
        <v>Delivered</v>
      </c>
      <c r="E108" t="str">
        <f>IFERROR(VLOOKUP(C108,Config!$A:$C,3,0),"N/A")</f>
        <v>Delivered</v>
      </c>
    </row>
    <row r="109" spans="1:5">
      <c r="A109" t="str">
        <f>'iWork,IBP &amp; Framework_SOW Items'!D109</f>
        <v>IBP</v>
      </c>
      <c r="B109" t="str">
        <f>'iWork,IBP &amp; Framework_SOW Items'!E109</f>
        <v>Milestone 4</v>
      </c>
      <c r="C109" t="str">
        <f>'iWork,IBP &amp; Framework_SOW Items'!F109</f>
        <v>Delivered</v>
      </c>
      <c r="D109" t="str">
        <f>IFERROR(VLOOKUP(C109,Config!$A:$B,2,0),"Unknown")</f>
        <v>Delivered</v>
      </c>
      <c r="E109" t="str">
        <f>IFERROR(VLOOKUP(C109,Config!$A:$C,3,0),"N/A")</f>
        <v>Delivered</v>
      </c>
    </row>
    <row r="110" spans="1:5">
      <c r="A110" t="str">
        <f>'iWork,IBP &amp; Framework_SOW Items'!D110</f>
        <v>IBP/iWork</v>
      </c>
      <c r="B110" t="str">
        <f>'iWork,IBP &amp; Framework_SOW Items'!E110</f>
        <v>Milestone 4</v>
      </c>
      <c r="C110" t="str">
        <f>'iWork,IBP &amp; Framework_SOW Items'!F110</f>
        <v>Delivered</v>
      </c>
      <c r="D110" t="str">
        <f>IFERROR(VLOOKUP(C110,Config!$A:$B,2,0),"Unknown")</f>
        <v>Delivered</v>
      </c>
      <c r="E110" t="str">
        <f>IFERROR(VLOOKUP(C110,Config!$A:$C,3,0),"N/A")</f>
        <v>Delivered</v>
      </c>
    </row>
    <row r="111" spans="1:5">
      <c r="A111" t="str">
        <f>'iWork,IBP &amp; Framework_SOW Items'!D111</f>
        <v>IBP/iWork</v>
      </c>
      <c r="B111" t="str">
        <f>'iWork,IBP &amp; Framework_SOW Items'!E111</f>
        <v>Milestone 4</v>
      </c>
      <c r="C111" t="str">
        <f>'iWork,IBP &amp; Framework_SOW Items'!F111</f>
        <v>Dev - WIP</v>
      </c>
      <c r="D111" t="str">
        <f>IFERROR(VLOOKUP(C111,Config!$A:$B,2,0),"Unknown")</f>
        <v>In Development</v>
      </c>
      <c r="E111" t="str">
        <f>IFERROR(VLOOKUP(C111,Config!$A:$C,3,0),"N/A")</f>
        <v>Pending</v>
      </c>
    </row>
    <row r="112" spans="1:5">
      <c r="A112" t="str">
        <f>'iWork,IBP &amp; Framework_SOW Items'!D112</f>
        <v>IBP/iWork</v>
      </c>
      <c r="B112" t="str">
        <f>'iWork,IBP &amp; Framework_SOW Items'!E112</f>
        <v>Milestone 4</v>
      </c>
      <c r="C112" t="str">
        <f>'iWork,IBP &amp; Framework_SOW Items'!F112</f>
        <v>Delivered - Deficit</v>
      </c>
      <c r="D112" t="str">
        <f>IFERROR(VLOOKUP(C112,Config!$A:$B,2,0),"Unknown")</f>
        <v>Partial Delivery</v>
      </c>
      <c r="E112" t="str">
        <f>IFERROR(VLOOKUP(C112,Config!$A:$C,3,0),"N/A")</f>
        <v>Pending</v>
      </c>
    </row>
    <row r="113" spans="1:5">
      <c r="A113" t="str">
        <f>'iWork,IBP &amp; Framework_SOW Items'!D113</f>
        <v>IBP/iWork</v>
      </c>
      <c r="B113" t="str">
        <f>'iWork,IBP &amp; Framework_SOW Items'!E113</f>
        <v>Milestone 4</v>
      </c>
      <c r="C113" t="str">
        <f>'iWork,IBP &amp; Framework_SOW Items'!F113</f>
        <v>Yet to start</v>
      </c>
      <c r="D113" t="str">
        <f>IFERROR(VLOOKUP(C113,Config!$A:$B,2,0),"Unknown")</f>
        <v>Not Started</v>
      </c>
      <c r="E113" t="str">
        <f>IFERROR(VLOOKUP(C113,Config!$A:$C,3,0),"N/A")</f>
        <v>Pending</v>
      </c>
    </row>
    <row r="114" spans="1:5">
      <c r="A114" t="str">
        <f>'iWork,IBP &amp; Framework_SOW Items'!D114</f>
        <v>IBP/iWork</v>
      </c>
      <c r="B114" t="str">
        <f>'iWork,IBP &amp; Framework_SOW Items'!E114</f>
        <v>Milestone 4</v>
      </c>
      <c r="C114" t="str">
        <f>'iWork,IBP &amp; Framework_SOW Items'!F114</f>
        <v>Delivered</v>
      </c>
      <c r="D114" t="str">
        <f>IFERROR(VLOOKUP(C114,Config!$A:$B,2,0),"Unknown")</f>
        <v>Delivered</v>
      </c>
      <c r="E114" t="str">
        <f>IFERROR(VLOOKUP(C114,Config!$A:$C,3,0),"N/A")</f>
        <v>Delivered</v>
      </c>
    </row>
    <row r="115" spans="1:5">
      <c r="A115" t="str">
        <f>'iWork,IBP &amp; Framework_SOW Items'!D115</f>
        <v>IBP/iWork</v>
      </c>
      <c r="B115" t="str">
        <f>'iWork,IBP &amp; Framework_SOW Items'!E115</f>
        <v>Milestone 4</v>
      </c>
      <c r="C115" t="str">
        <f>'iWork,IBP &amp; Framework_SOW Items'!F115</f>
        <v>Delivered</v>
      </c>
      <c r="D115" t="str">
        <f>IFERROR(VLOOKUP(C115,Config!$A:$B,2,0),"Unknown")</f>
        <v>Delivered</v>
      </c>
      <c r="E115" t="str">
        <f>IFERROR(VLOOKUP(C115,Config!$A:$C,3,0),"N/A")</f>
        <v>Delivered</v>
      </c>
    </row>
    <row r="116" spans="1:5">
      <c r="A116" t="str">
        <f>'iWork,IBP &amp; Framework_SOW Items'!D116</f>
        <v>IBP/iWork</v>
      </c>
      <c r="B116" t="str">
        <f>'iWork,IBP &amp; Framework_SOW Items'!E116</f>
        <v>Milestone 4</v>
      </c>
      <c r="C116" t="str">
        <f>'iWork,IBP &amp; Framework_SOW Items'!F116</f>
        <v>Delivered</v>
      </c>
      <c r="D116" t="str">
        <f>IFERROR(VLOOKUP(C116,Config!$A:$B,2,0),"Unknown")</f>
        <v>Delivered</v>
      </c>
      <c r="E116" t="str">
        <f>IFERROR(VLOOKUP(C116,Config!$A:$C,3,0),"N/A")</f>
        <v>Delivered</v>
      </c>
    </row>
    <row r="117" spans="1:5">
      <c r="A117" t="str">
        <f>'iWork,IBP &amp; Framework_SOW Items'!D117</f>
        <v>IBP/iWork</v>
      </c>
      <c r="B117" t="str">
        <f>'iWork,IBP &amp; Framework_SOW Items'!E117</f>
        <v>Milestone 4</v>
      </c>
      <c r="C117" t="str">
        <f>'iWork,IBP &amp; Framework_SOW Items'!F117</f>
        <v>Delivered</v>
      </c>
      <c r="D117" t="str">
        <f>IFERROR(VLOOKUP(C117,Config!$A:$B,2,0),"Unknown")</f>
        <v>Delivered</v>
      </c>
      <c r="E117" t="str">
        <f>IFERROR(VLOOKUP(C117,Config!$A:$C,3,0),"N/A")</f>
        <v>Delivered</v>
      </c>
    </row>
    <row r="118" spans="1:5">
      <c r="A118" t="str">
        <f>'iWork,IBP &amp; Framework_SOW Items'!D118</f>
        <v>iWork</v>
      </c>
      <c r="B118" t="str">
        <f>'iWork,IBP &amp; Framework_SOW Items'!E118</f>
        <v>Milestone 4</v>
      </c>
      <c r="C118" t="str">
        <f>'iWork,IBP &amp; Framework_SOW Items'!F118</f>
        <v>Delivered</v>
      </c>
      <c r="D118" t="str">
        <f>IFERROR(VLOOKUP(C118,Config!$A:$B,2,0),"Unknown")</f>
        <v>Delivered</v>
      </c>
      <c r="E118" t="str">
        <f>IFERROR(VLOOKUP(C118,Config!$A:$C,3,0),"N/A")</f>
        <v>Delivered</v>
      </c>
    </row>
    <row r="119" spans="1:5">
      <c r="A119" t="str">
        <f>'iWork,IBP &amp; Framework_SOW Items'!D119</f>
        <v>iWork</v>
      </c>
      <c r="B119" t="str">
        <f>'iWork,IBP &amp; Framework_SOW Items'!E119</f>
        <v>Milestone 4</v>
      </c>
      <c r="C119" t="str">
        <f>'iWork,IBP &amp; Framework_SOW Items'!F119</f>
        <v>Delivered</v>
      </c>
      <c r="D119" t="str">
        <f>IFERROR(VLOOKUP(C119,Config!$A:$B,2,0),"Unknown")</f>
        <v>Delivered</v>
      </c>
      <c r="E119" t="str">
        <f>IFERROR(VLOOKUP(C119,Config!$A:$C,3,0),"N/A")</f>
        <v>Delivered</v>
      </c>
    </row>
    <row r="120" spans="1:5">
      <c r="A120" t="str">
        <f>'iWork,IBP &amp; Framework_SOW Items'!D120</f>
        <v>iWork</v>
      </c>
      <c r="B120" t="str">
        <f>'iWork,IBP &amp; Framework_SOW Items'!E120</f>
        <v>Milestone 4</v>
      </c>
      <c r="C120" t="str">
        <f>'iWork,IBP &amp; Framework_SOW Items'!F120</f>
        <v>Delivered</v>
      </c>
      <c r="D120" t="str">
        <f>IFERROR(VLOOKUP(C120,Config!$A:$B,2,0),"Unknown")</f>
        <v>Delivered</v>
      </c>
      <c r="E120" t="str">
        <f>IFERROR(VLOOKUP(C120,Config!$A:$C,3,0),"N/A")</f>
        <v>Delivered</v>
      </c>
    </row>
    <row r="121" spans="1:5">
      <c r="A121" t="str">
        <f>'iWork,IBP &amp; Framework_SOW Items'!D121</f>
        <v>iWork</v>
      </c>
      <c r="B121" t="str">
        <f>'iWork,IBP &amp; Framework_SOW Items'!E121</f>
        <v>Milestone 4</v>
      </c>
      <c r="C121" t="str">
        <f>'iWork,IBP &amp; Framework_SOW Items'!F121</f>
        <v>Delivered</v>
      </c>
      <c r="D121" t="str">
        <f>IFERROR(VLOOKUP(C121,Config!$A:$B,2,0),"Unknown")</f>
        <v>Delivered</v>
      </c>
      <c r="E121" t="str">
        <f>IFERROR(VLOOKUP(C121,Config!$A:$C,3,0),"N/A")</f>
        <v>Delivered</v>
      </c>
    </row>
    <row r="122" spans="1:5">
      <c r="A122" t="str">
        <f>'iWork,IBP &amp; Framework_SOW Items'!D122</f>
        <v>iWork</v>
      </c>
      <c r="B122" t="str">
        <f>'iWork,IBP &amp; Framework_SOW Items'!E122</f>
        <v>Milestone 4</v>
      </c>
      <c r="C122" t="str">
        <f>'iWork,IBP &amp; Framework_SOW Items'!F122</f>
        <v>Yet to start</v>
      </c>
      <c r="D122" t="str">
        <f>IFERROR(VLOOKUP(C122,Config!$A:$B,2,0),"Unknown")</f>
        <v>Not Started</v>
      </c>
      <c r="E122" t="str">
        <f>IFERROR(VLOOKUP(C122,Config!$A:$C,3,0),"N/A")</f>
        <v>Pending</v>
      </c>
    </row>
    <row r="123" spans="1:5">
      <c r="A123" t="str">
        <f>'iWork,IBP &amp; Framework_SOW Items'!D123</f>
        <v>iWork</v>
      </c>
      <c r="B123" t="str">
        <f>'iWork,IBP &amp; Framework_SOW Items'!E123</f>
        <v>Milestone 4</v>
      </c>
      <c r="C123" t="str">
        <f>'iWork,IBP &amp; Framework_SOW Items'!F123</f>
        <v>Yet to start</v>
      </c>
      <c r="D123" t="str">
        <f>IFERROR(VLOOKUP(C123,Config!$A:$B,2,0),"Unknown")</f>
        <v>Not Started</v>
      </c>
      <c r="E123" t="str">
        <f>IFERROR(VLOOKUP(C123,Config!$A:$C,3,0),"N/A")</f>
        <v>Pending</v>
      </c>
    </row>
    <row r="124" spans="1:5">
      <c r="A124" t="str">
        <f>'iWork,IBP &amp; Framework_SOW Items'!D124</f>
        <v>iWork</v>
      </c>
      <c r="B124" t="str">
        <f>'iWork,IBP &amp; Framework_SOW Items'!E124</f>
        <v>Milestone 4</v>
      </c>
      <c r="C124" t="str">
        <f>'iWork,IBP &amp; Framework_SOW Items'!F124</f>
        <v>Delivered - Deficit</v>
      </c>
      <c r="D124" t="str">
        <f>IFERROR(VLOOKUP(C124,Config!$A:$B,2,0),"Unknown")</f>
        <v>Partial Delivery</v>
      </c>
      <c r="E124" t="str">
        <f>IFERROR(VLOOKUP(C124,Config!$A:$C,3,0),"N/A")</f>
        <v>Pending</v>
      </c>
    </row>
    <row r="125" spans="1:5">
      <c r="A125" t="str">
        <f>'iWork,IBP &amp; Framework_SOW Items'!D125</f>
        <v>iWork</v>
      </c>
      <c r="B125" t="str">
        <f>'iWork,IBP &amp; Framework_SOW Items'!E125</f>
        <v>Milestone 4</v>
      </c>
      <c r="C125" t="str">
        <f>'iWork,IBP &amp; Framework_SOW Items'!F125</f>
        <v>Yet to start</v>
      </c>
      <c r="D125" t="str">
        <f>IFERROR(VLOOKUP(C125,Config!$A:$B,2,0),"Unknown")</f>
        <v>Not Started</v>
      </c>
      <c r="E125" t="str">
        <f>IFERROR(VLOOKUP(C125,Config!$A:$C,3,0),"N/A")</f>
        <v>Pending</v>
      </c>
    </row>
    <row r="126" spans="1:5">
      <c r="A126" t="str">
        <f>'iWork,IBP &amp; Framework_SOW Items'!D126</f>
        <v>iWork</v>
      </c>
      <c r="B126" t="str">
        <f>'iWork,IBP &amp; Framework_SOW Items'!E126</f>
        <v>Milestone 4</v>
      </c>
      <c r="C126" t="str">
        <f>'iWork,IBP &amp; Framework_SOW Items'!F126</f>
        <v>Delivered</v>
      </c>
      <c r="D126" t="str">
        <f>IFERROR(VLOOKUP(C126,Config!$A:$B,2,0),"Unknown")</f>
        <v>Delivered</v>
      </c>
      <c r="E126" t="str">
        <f>IFERROR(VLOOKUP(C126,Config!$A:$C,3,0),"N/A")</f>
        <v>Delivered</v>
      </c>
    </row>
    <row r="127" spans="1:5">
      <c r="A127" t="str">
        <f>'iWork,IBP &amp; Framework_SOW Items'!D127</f>
        <v>iWork</v>
      </c>
      <c r="B127" t="str">
        <f>'iWork,IBP &amp; Framework_SOW Items'!E127</f>
        <v>Milestone 4</v>
      </c>
      <c r="C127" t="str">
        <f>'iWork,IBP &amp; Framework_SOW Items'!F127</f>
        <v>Delivered</v>
      </c>
      <c r="D127" t="str">
        <f>IFERROR(VLOOKUP(C127,Config!$A:$B,2,0),"Unknown")</f>
        <v>Delivered</v>
      </c>
      <c r="E127" t="str">
        <f>IFERROR(VLOOKUP(C127,Config!$A:$C,3,0),"N/A")</f>
        <v>Delivered</v>
      </c>
    </row>
    <row r="128" spans="1:5">
      <c r="A128" t="str">
        <f>'iWork,IBP &amp; Framework_SOW Items'!D128</f>
        <v>iWork</v>
      </c>
      <c r="B128" t="str">
        <f>'iWork,IBP &amp; Framework_SOW Items'!E128</f>
        <v>Milestone 4</v>
      </c>
      <c r="C128" t="str">
        <f>'iWork,IBP &amp; Framework_SOW Items'!F128</f>
        <v>Delivered</v>
      </c>
      <c r="D128" t="str">
        <f>IFERROR(VLOOKUP(C128,Config!$A:$B,2,0),"Unknown")</f>
        <v>Delivered</v>
      </c>
      <c r="E128" t="str">
        <f>IFERROR(VLOOKUP(C128,Config!$A:$C,3,0),"N/A")</f>
        <v>Delivered</v>
      </c>
    </row>
    <row r="129" spans="1:5">
      <c r="A129" t="str">
        <f>'iWork,IBP &amp; Framework_SOW Items'!D129</f>
        <v>DPDP</v>
      </c>
      <c r="B129" t="str">
        <f>'iWork,IBP &amp; Framework_SOW Items'!E129</f>
        <v>Milestone 5</v>
      </c>
      <c r="C129" t="str">
        <f>'iWork,IBP &amp; Framework_SOW Items'!F129</f>
        <v>Dev - Done</v>
      </c>
      <c r="D129" t="str">
        <f>IFERROR(VLOOKUP(C129,Config!$A:$B,2,0),"Unknown")</f>
        <v>Dev Complete</v>
      </c>
      <c r="E129" t="str">
        <f>IFERROR(VLOOKUP(C129,Config!$A:$C,3,0),"N/A")</f>
        <v>Delivered</v>
      </c>
    </row>
    <row r="130" spans="1:5">
      <c r="A130" t="str">
        <f>'iWork,IBP &amp; Framework_SOW Items'!D130</f>
        <v>DPDP</v>
      </c>
      <c r="B130" t="str">
        <f>'iWork,IBP &amp; Framework_SOW Items'!E130</f>
        <v>Milestone 5</v>
      </c>
      <c r="C130" t="str">
        <f>'iWork,IBP &amp; Framework_SOW Items'!F130</f>
        <v>Dev - Done</v>
      </c>
      <c r="D130" t="str">
        <f>IFERROR(VLOOKUP(C130,Config!$A:$B,2,0),"Unknown")</f>
        <v>Dev Complete</v>
      </c>
      <c r="E130" t="str">
        <f>IFERROR(VLOOKUP(C130,Config!$A:$C,3,0),"N/A")</f>
        <v>Delivered</v>
      </c>
    </row>
    <row r="131" spans="1:5">
      <c r="A131" t="str">
        <f>'iWork,IBP &amp; Framework_SOW Items'!D131</f>
        <v>DPDP</v>
      </c>
      <c r="B131" t="str">
        <f>'iWork,IBP &amp; Framework_SOW Items'!E131</f>
        <v>Milestone 5</v>
      </c>
      <c r="C131" t="str">
        <f>'iWork,IBP &amp; Framework_SOW Items'!F131</f>
        <v>Dev - Done</v>
      </c>
      <c r="D131" t="str">
        <f>IFERROR(VLOOKUP(C131,Config!$A:$B,2,0),"Unknown")</f>
        <v>Dev Complete</v>
      </c>
      <c r="E131" t="str">
        <f>IFERROR(VLOOKUP(C131,Config!$A:$C,3,0),"N/A")</f>
        <v>Delivered</v>
      </c>
    </row>
    <row r="132" spans="1:5">
      <c r="A132" t="str">
        <f>'iWork,IBP &amp; Framework_SOW Items'!D132</f>
        <v>DPDP</v>
      </c>
      <c r="B132" t="str">
        <f>'iWork,IBP &amp; Framework_SOW Items'!E132</f>
        <v>Milestone 5</v>
      </c>
      <c r="C132" t="str">
        <f>'iWork,IBP &amp; Framework_SOW Items'!F132</f>
        <v>Dev - Done</v>
      </c>
      <c r="D132" t="str">
        <f>IFERROR(VLOOKUP(C132,Config!$A:$B,2,0),"Unknown")</f>
        <v>Dev Complete</v>
      </c>
      <c r="E132" t="str">
        <f>IFERROR(VLOOKUP(C132,Config!$A:$C,3,0),"N/A")</f>
        <v>Delivered</v>
      </c>
    </row>
    <row r="133" spans="1:5">
      <c r="A133" t="str">
        <f>'iWork,IBP &amp; Framework_SOW Items'!D133</f>
        <v>DPDP</v>
      </c>
      <c r="B133" t="str">
        <f>'iWork,IBP &amp; Framework_SOW Items'!E133</f>
        <v>Milestone 5</v>
      </c>
      <c r="C133" t="str">
        <f>'iWork,IBP &amp; Framework_SOW Items'!F133</f>
        <v>Dev - WIP</v>
      </c>
      <c r="D133" t="str">
        <f>IFERROR(VLOOKUP(C133,Config!$A:$B,2,0),"Unknown")</f>
        <v>In Development</v>
      </c>
      <c r="E133" t="str">
        <f>IFERROR(VLOOKUP(C133,Config!$A:$C,3,0),"N/A")</f>
        <v>Pending</v>
      </c>
    </row>
    <row r="134" spans="1:5">
      <c r="A134" t="str">
        <f>'iWork,IBP &amp; Framework_SOW Items'!D134</f>
        <v>DPDP</v>
      </c>
      <c r="B134" t="str">
        <f>'iWork,IBP &amp; Framework_SOW Items'!E134</f>
        <v>Milestone 5</v>
      </c>
      <c r="C134" t="str">
        <f>'iWork,IBP &amp; Framework_SOW Items'!F134</f>
        <v>Dev - WIP</v>
      </c>
      <c r="D134" t="str">
        <f>IFERROR(VLOOKUP(C134,Config!$A:$B,2,0),"Unknown")</f>
        <v>In Development</v>
      </c>
      <c r="E134" t="str">
        <f>IFERROR(VLOOKUP(C134,Config!$A:$C,3,0),"N/A")</f>
        <v>Pending</v>
      </c>
    </row>
    <row r="135" spans="1:5">
      <c r="A135" t="str">
        <f>'iWork,IBP &amp; Framework_SOW Items'!D135</f>
        <v>DPDP</v>
      </c>
      <c r="B135" t="str">
        <f>'iWork,IBP &amp; Framework_SOW Items'!E135</f>
        <v>Milestone 5</v>
      </c>
      <c r="C135" t="str">
        <f>'iWork,IBP &amp; Framework_SOW Items'!F135</f>
        <v>Pre-PROD</v>
      </c>
      <c r="D135" t="str">
        <f>IFERROR(VLOOKUP(C135,Config!$A:$B,2,0),"Unknown")</f>
        <v>Pre-PROD / UAT</v>
      </c>
      <c r="E135" t="str">
        <f>IFERROR(VLOOKUP(C135,Config!$A:$C,3,0),"N/A")</f>
        <v>Pending</v>
      </c>
    </row>
    <row r="136" spans="1:5">
      <c r="A136" t="str">
        <f>'iWork,IBP &amp; Framework_SOW Items'!D136</f>
        <v>DPDP</v>
      </c>
      <c r="B136" t="str">
        <f>'iWork,IBP &amp; Framework_SOW Items'!E136</f>
        <v>Milestone 5</v>
      </c>
      <c r="C136" t="str">
        <f>'iWork,IBP &amp; Framework_SOW Items'!F136</f>
        <v>Yet to start</v>
      </c>
      <c r="D136" t="str">
        <f>IFERROR(VLOOKUP(C136,Config!$A:$B,2,0),"Unknown")</f>
        <v>Not Started</v>
      </c>
      <c r="E136" t="str">
        <f>IFERROR(VLOOKUP(C136,Config!$A:$C,3,0),"N/A")</f>
        <v>Pending</v>
      </c>
    </row>
    <row r="137" spans="1:5">
      <c r="A137" t="str">
        <f>'iWork,IBP &amp; Framework_SOW Items'!D137</f>
        <v>DPDP</v>
      </c>
      <c r="B137" t="str">
        <f>'iWork,IBP &amp; Framework_SOW Items'!E137</f>
        <v>Milestone 5</v>
      </c>
      <c r="C137" t="str">
        <f>'iWork,IBP &amp; Framework_SOW Items'!F137</f>
        <v>Yet to start</v>
      </c>
      <c r="D137" t="str">
        <f>IFERROR(VLOOKUP(C137,Config!$A:$B,2,0),"Unknown")</f>
        <v>Not Started</v>
      </c>
      <c r="E137" t="str">
        <f>IFERROR(VLOOKUP(C137,Config!$A:$C,3,0),"N/A")</f>
        <v>Pending</v>
      </c>
    </row>
    <row r="138" spans="1:5">
      <c r="A138" t="str">
        <f>'iWork,IBP &amp; Framework_SOW Items'!D138</f>
        <v>DPDP</v>
      </c>
      <c r="B138" t="str">
        <f>'iWork,IBP &amp; Framework_SOW Items'!E138</f>
        <v>Milestone 5</v>
      </c>
      <c r="C138" t="str">
        <f>'iWork,IBP &amp; Framework_SOW Items'!F138</f>
        <v>Yet to start</v>
      </c>
      <c r="D138" t="str">
        <f>IFERROR(VLOOKUP(C138,Config!$A:$B,2,0),"Unknown")</f>
        <v>Not Started</v>
      </c>
      <c r="E138" t="str">
        <f>IFERROR(VLOOKUP(C138,Config!$A:$C,3,0),"N/A")</f>
        <v>Pending</v>
      </c>
    </row>
    <row r="139" spans="1:5">
      <c r="A139" t="str">
        <f>'iWork,IBP &amp; Framework_SOW Items'!D139</f>
        <v>DPDP</v>
      </c>
      <c r="B139" t="str">
        <f>'iWork,IBP &amp; Framework_SOW Items'!E139</f>
        <v>Milestone 5</v>
      </c>
      <c r="C139" t="str">
        <f>'iWork,IBP &amp; Framework_SOW Items'!F139</f>
        <v>Dev - Done</v>
      </c>
      <c r="D139" t="str">
        <f>IFERROR(VLOOKUP(C139,Config!$A:$B,2,0),"Unknown")</f>
        <v>Dev Complete</v>
      </c>
      <c r="E139" t="str">
        <f>IFERROR(VLOOKUP(C139,Config!$A:$C,3,0),"N/A")</f>
        <v>Delivered</v>
      </c>
    </row>
    <row r="140" spans="1:5">
      <c r="A140" t="str">
        <f>'iWork,IBP &amp; Framework_SOW Items'!D140</f>
        <v>DPDP</v>
      </c>
      <c r="B140" t="str">
        <f>'iWork,IBP &amp; Framework_SOW Items'!E140</f>
        <v>Milestone 5</v>
      </c>
      <c r="C140" t="str">
        <f>'iWork,IBP &amp; Framework_SOW Items'!F140</f>
        <v>QA - WIP</v>
      </c>
      <c r="D140" t="str">
        <f>IFERROR(VLOOKUP(C140,Config!$A:$B,2,0),"Unknown")</f>
        <v>In QA</v>
      </c>
      <c r="E140" t="str">
        <f>IFERROR(VLOOKUP(C140,Config!$A:$C,3,0),"N/A")</f>
        <v>Pending</v>
      </c>
    </row>
    <row r="141" spans="1:5">
      <c r="A141" t="str">
        <f>'iWork,IBP &amp; Framework_SOW Items'!D141</f>
        <v>DPDP</v>
      </c>
      <c r="B141" t="str">
        <f>'iWork,IBP &amp; Framework_SOW Items'!E141</f>
        <v>Milestone 5</v>
      </c>
      <c r="C141" t="str">
        <f>'iWork,IBP &amp; Framework_SOW Items'!F141</f>
        <v>Yet to start</v>
      </c>
      <c r="D141" t="str">
        <f>IFERROR(VLOOKUP(C141,Config!$A:$B,2,0),"Unknown")</f>
        <v>Not Started</v>
      </c>
      <c r="E141" t="str">
        <f>IFERROR(VLOOKUP(C141,Config!$A:$C,3,0),"N/A")</f>
        <v>Pending</v>
      </c>
    </row>
    <row r="142" spans="1:5">
      <c r="A142" t="str">
        <f>'iWork,IBP &amp; Framework_SOW Items'!D142</f>
        <v>DPDP</v>
      </c>
      <c r="B142" t="str">
        <f>'iWork,IBP &amp; Framework_SOW Items'!E142</f>
        <v>Milestone 5</v>
      </c>
      <c r="C142" t="str">
        <f>'iWork,IBP &amp; Framework_SOW Items'!F142</f>
        <v>Yet to start</v>
      </c>
      <c r="D142" t="str">
        <f>IFERROR(VLOOKUP(C142,Config!$A:$B,2,0),"Unknown")</f>
        <v>Not Started</v>
      </c>
      <c r="E142" t="str">
        <f>IFERROR(VLOOKUP(C142,Config!$A:$C,3,0),"N/A")</f>
        <v>Pending</v>
      </c>
    </row>
    <row r="143" spans="1:5">
      <c r="A143" t="str">
        <f>'iWork,IBP &amp; Framework_SOW Items'!D143</f>
        <v>DPDP</v>
      </c>
      <c r="B143" t="str">
        <f>'iWork,IBP &amp; Framework_SOW Items'!E143</f>
        <v>Milestone 5</v>
      </c>
      <c r="C143" t="str">
        <f>'iWork,IBP &amp; Framework_SOW Items'!F143</f>
        <v>Yet to start</v>
      </c>
      <c r="D143" t="str">
        <f>IFERROR(VLOOKUP(C143,Config!$A:$B,2,0),"Unknown")</f>
        <v>Not Started</v>
      </c>
      <c r="E143" t="str">
        <f>IFERROR(VLOOKUP(C143,Config!$A:$C,3,0),"N/A")</f>
        <v>Pending</v>
      </c>
    </row>
    <row r="144" spans="1:5">
      <c r="A144" t="str">
        <f>'iWork,IBP &amp; Framework_SOW Items'!D144</f>
        <v>DPDP</v>
      </c>
      <c r="B144" t="str">
        <f>'iWork,IBP &amp; Framework_SOW Items'!E144</f>
        <v>Milestone 5</v>
      </c>
      <c r="C144" t="str">
        <f>'iWork,IBP &amp; Framework_SOW Items'!F144</f>
        <v>Yet to start</v>
      </c>
      <c r="D144" t="str">
        <f>IFERROR(VLOOKUP(C144,Config!$A:$B,2,0),"Unknown")</f>
        <v>Not Started</v>
      </c>
      <c r="E144" t="str">
        <f>IFERROR(VLOOKUP(C144,Config!$A:$C,3,0),"N/A")</f>
        <v>Pending</v>
      </c>
    </row>
    <row r="145" spans="1:5">
      <c r="A145" t="str">
        <f>'iWork,IBP &amp; Framework_SOW Items'!D145</f>
        <v>DPDP</v>
      </c>
      <c r="B145" t="str">
        <f>'iWork,IBP &amp; Framework_SOW Items'!E145</f>
        <v>Milestone 5</v>
      </c>
      <c r="C145" t="str">
        <f>'iWork,IBP &amp; Framework_SOW Items'!F145</f>
        <v>Yet to start</v>
      </c>
      <c r="D145" t="str">
        <f>IFERROR(VLOOKUP(C145,Config!$A:$B,2,0),"Unknown")</f>
        <v>Not Started</v>
      </c>
      <c r="E145" t="str">
        <f>IFERROR(VLOOKUP(C145,Config!$A:$C,3,0),"N/A")</f>
        <v>Pending</v>
      </c>
    </row>
    <row r="146" spans="1:5">
      <c r="A146" t="str">
        <f>'iWork,IBP &amp; Framework_SOW Items'!D146</f>
        <v>DPDP</v>
      </c>
      <c r="B146" t="str">
        <f>'iWork,IBP &amp; Framework_SOW Items'!E146</f>
        <v>Milestone 5</v>
      </c>
      <c r="C146" t="str">
        <f>'iWork,IBP &amp; Framework_SOW Items'!F146</f>
        <v>Dev - WIP</v>
      </c>
      <c r="D146" t="str">
        <f>IFERROR(VLOOKUP(C146,Config!$A:$B,2,0),"Unknown")</f>
        <v>In Development</v>
      </c>
      <c r="E146" t="str">
        <f>IFERROR(VLOOKUP(C146,Config!$A:$C,3,0),"N/A")</f>
        <v>Pending</v>
      </c>
    </row>
    <row r="147" spans="1:5">
      <c r="A147" t="str">
        <f>'iWork,IBP &amp; Framework_SOW Items'!D147</f>
        <v>IBP</v>
      </c>
      <c r="B147" t="str">
        <f>'iWork,IBP &amp; Framework_SOW Items'!E147</f>
        <v>Milestone 5</v>
      </c>
      <c r="C147" t="str">
        <f>'iWork,IBP &amp; Framework_SOW Items'!F147</f>
        <v>Delivered</v>
      </c>
      <c r="D147" t="str">
        <f>IFERROR(VLOOKUP(C147,Config!$A:$B,2,0),"Unknown")</f>
        <v>Delivered</v>
      </c>
      <c r="E147" t="str">
        <f>IFERROR(VLOOKUP(C147,Config!$A:$C,3,0),"N/A")</f>
        <v>Delivered</v>
      </c>
    </row>
    <row r="148" spans="1:5">
      <c r="A148" t="str">
        <f>'iWork,IBP &amp; Framework_SOW Items'!D148</f>
        <v>IBP</v>
      </c>
      <c r="B148" t="str">
        <f>'iWork,IBP &amp; Framework_SOW Items'!E148</f>
        <v>Milestone 5</v>
      </c>
      <c r="C148" t="str">
        <f>'iWork,IBP &amp; Framework_SOW Items'!F148</f>
        <v>Delivered</v>
      </c>
      <c r="D148" t="str">
        <f>IFERROR(VLOOKUP(C148,Config!$A:$B,2,0),"Unknown")</f>
        <v>Delivered</v>
      </c>
      <c r="E148" t="str">
        <f>IFERROR(VLOOKUP(C148,Config!$A:$C,3,0),"N/A")</f>
        <v>Delivered</v>
      </c>
    </row>
    <row r="149" spans="1:5">
      <c r="A149" t="str">
        <f>'iWork,IBP &amp; Framework_SOW Items'!D149</f>
        <v>IBP</v>
      </c>
      <c r="B149" t="str">
        <f>'iWork,IBP &amp; Framework_SOW Items'!E149</f>
        <v>Milestone 5</v>
      </c>
      <c r="C149" t="str">
        <f>'iWork,IBP &amp; Framework_SOW Items'!F149</f>
        <v>Delivered</v>
      </c>
      <c r="D149" t="str">
        <f>IFERROR(VLOOKUP(C149,Config!$A:$B,2,0),"Unknown")</f>
        <v>Delivered</v>
      </c>
      <c r="E149" t="str">
        <f>IFERROR(VLOOKUP(C149,Config!$A:$C,3,0),"N/A")</f>
        <v>Delivered</v>
      </c>
    </row>
    <row r="150" spans="1:5">
      <c r="A150" t="str">
        <f>'iWork,IBP &amp; Framework_SOW Items'!D150</f>
        <v>IBP</v>
      </c>
      <c r="B150" t="str">
        <f>'iWork,IBP &amp; Framework_SOW Items'!E150</f>
        <v>Milestone 5</v>
      </c>
      <c r="C150" t="str">
        <f>'iWork,IBP &amp; Framework_SOW Items'!F150</f>
        <v>Yet to start</v>
      </c>
      <c r="D150" t="str">
        <f>IFERROR(VLOOKUP(C150,Config!$A:$B,2,0),"Unknown")</f>
        <v>Not Started</v>
      </c>
      <c r="E150" t="str">
        <f>IFERROR(VLOOKUP(C150,Config!$A:$C,3,0),"N/A")</f>
        <v>Pending</v>
      </c>
    </row>
    <row r="151" spans="1:5">
      <c r="A151" t="str">
        <f>'iWork,IBP &amp; Framework_SOW Items'!D151</f>
        <v>IBP</v>
      </c>
      <c r="B151" t="str">
        <f>'iWork,IBP &amp; Framework_SOW Items'!E151</f>
        <v>Milestone 5</v>
      </c>
      <c r="C151" t="str">
        <f>'iWork,IBP &amp; Framework_SOW Items'!F151</f>
        <v>Delivered</v>
      </c>
      <c r="D151" t="str">
        <f>IFERROR(VLOOKUP(C151,Config!$A:$B,2,0),"Unknown")</f>
        <v>Delivered</v>
      </c>
      <c r="E151" t="str">
        <f>IFERROR(VLOOKUP(C151,Config!$A:$C,3,0),"N/A")</f>
        <v>Delivered</v>
      </c>
    </row>
    <row r="152" spans="1:5">
      <c r="A152" t="str">
        <f>'iWork,IBP &amp; Framework_SOW Items'!D152</f>
        <v>IBP</v>
      </c>
      <c r="B152" t="str">
        <f>'iWork,IBP &amp; Framework_SOW Items'!E152</f>
        <v>Milestone 5</v>
      </c>
      <c r="C152" t="str">
        <f>'iWork,IBP &amp; Framework_SOW Items'!F152</f>
        <v>Delivered</v>
      </c>
      <c r="D152" t="str">
        <f>IFERROR(VLOOKUP(C152,Config!$A:$B,2,0),"Unknown")</f>
        <v>Delivered</v>
      </c>
      <c r="E152" t="str">
        <f>IFERROR(VLOOKUP(C152,Config!$A:$C,3,0),"N/A")</f>
        <v>Delivered</v>
      </c>
    </row>
    <row r="153" spans="1:5">
      <c r="A153" t="str">
        <f>'iWork,IBP &amp; Framework_SOW Items'!D153</f>
        <v>IBP</v>
      </c>
      <c r="B153" t="str">
        <f>'iWork,IBP &amp; Framework_SOW Items'!E153</f>
        <v>Milestone 5</v>
      </c>
      <c r="C153" t="str">
        <f>'iWork,IBP &amp; Framework_SOW Items'!F153</f>
        <v>Delivered</v>
      </c>
      <c r="D153" t="str">
        <f>IFERROR(VLOOKUP(C153,Config!$A:$B,2,0),"Unknown")</f>
        <v>Delivered</v>
      </c>
      <c r="E153" t="str">
        <f>IFERROR(VLOOKUP(C153,Config!$A:$C,3,0),"N/A")</f>
        <v>Delivered</v>
      </c>
    </row>
    <row r="154" spans="1:5">
      <c r="A154" t="str">
        <f>'iWork,IBP &amp; Framework_SOW Items'!D154</f>
        <v>IBP</v>
      </c>
      <c r="B154" t="str">
        <f>'iWork,IBP &amp; Framework_SOW Items'!E154</f>
        <v>Milestone 5</v>
      </c>
      <c r="C154" t="str">
        <f>'iWork,IBP &amp; Framework_SOW Items'!F154</f>
        <v>Delivered</v>
      </c>
      <c r="D154" t="str">
        <f>IFERROR(VLOOKUP(C154,Config!$A:$B,2,0),"Unknown")</f>
        <v>Delivered</v>
      </c>
      <c r="E154" t="str">
        <f>IFERROR(VLOOKUP(C154,Config!$A:$C,3,0),"N/A")</f>
        <v>Delivered</v>
      </c>
    </row>
    <row r="155" spans="1:5">
      <c r="A155" t="str">
        <f>'iWork,IBP &amp; Framework_SOW Items'!D155</f>
        <v>IBP</v>
      </c>
      <c r="B155" t="str">
        <f>'iWork,IBP &amp; Framework_SOW Items'!E155</f>
        <v>Milestone 5</v>
      </c>
      <c r="C155" t="str">
        <f>'iWork,IBP &amp; Framework_SOW Items'!F155</f>
        <v>Delivered - Deficit</v>
      </c>
      <c r="D155" t="str">
        <f>IFERROR(VLOOKUP(C155,Config!$A:$B,2,0),"Unknown")</f>
        <v>Partial Delivery</v>
      </c>
      <c r="E155" t="str">
        <f>IFERROR(VLOOKUP(C155,Config!$A:$C,3,0),"N/A")</f>
        <v>Pending</v>
      </c>
    </row>
    <row r="156" spans="1:5">
      <c r="A156" t="str">
        <f>'iWork,IBP &amp; Framework_SOW Items'!D156</f>
        <v>IBP</v>
      </c>
      <c r="B156" t="str">
        <f>'iWork,IBP &amp; Framework_SOW Items'!E156</f>
        <v>Milestone 5</v>
      </c>
      <c r="C156" t="str">
        <f>'iWork,IBP &amp; Framework_SOW Items'!F156</f>
        <v>Delivered - Deficit</v>
      </c>
      <c r="D156" t="str">
        <f>IFERROR(VLOOKUP(C156,Config!$A:$B,2,0),"Unknown")</f>
        <v>Partial Delivery</v>
      </c>
      <c r="E156" t="str">
        <f>IFERROR(VLOOKUP(C156,Config!$A:$C,3,0),"N/A")</f>
        <v>Pending</v>
      </c>
    </row>
    <row r="157" spans="1:5">
      <c r="A157" t="str">
        <f>'iWork,IBP &amp; Framework_SOW Items'!D157</f>
        <v>IBP</v>
      </c>
      <c r="B157" t="str">
        <f>'iWork,IBP &amp; Framework_SOW Items'!E157</f>
        <v>Milestone 5</v>
      </c>
      <c r="C157" t="str">
        <f>'iWork,IBP &amp; Framework_SOW Items'!F157</f>
        <v>Delivered - Deficit</v>
      </c>
      <c r="D157" t="str">
        <f>IFERROR(VLOOKUP(C157,Config!$A:$B,2,0),"Unknown")</f>
        <v>Partial Delivery</v>
      </c>
      <c r="E157" t="str">
        <f>IFERROR(VLOOKUP(C157,Config!$A:$C,3,0),"N/A")</f>
        <v>Pending</v>
      </c>
    </row>
    <row r="158" spans="1:5">
      <c r="A158" t="str">
        <f>'iWork,IBP &amp; Framework_SOW Items'!D158</f>
        <v>IBP</v>
      </c>
      <c r="B158" t="str">
        <f>'iWork,IBP &amp; Framework_SOW Items'!E158</f>
        <v>Milestone 5</v>
      </c>
      <c r="C158" t="str">
        <f>'iWork,IBP &amp; Framework_SOW Items'!F158</f>
        <v>Delivered - Deficit</v>
      </c>
      <c r="D158" t="str">
        <f>IFERROR(VLOOKUP(C158,Config!$A:$B,2,0),"Unknown")</f>
        <v>Partial Delivery</v>
      </c>
      <c r="E158" t="str">
        <f>IFERROR(VLOOKUP(C158,Config!$A:$C,3,0),"N/A")</f>
        <v>Pending</v>
      </c>
    </row>
    <row r="159" spans="1:5">
      <c r="A159" t="str">
        <f>'iWork,IBP &amp; Framework_SOW Items'!D159</f>
        <v>IBP</v>
      </c>
      <c r="B159" t="str">
        <f>'iWork,IBP &amp; Framework_SOW Items'!E159</f>
        <v>Milestone 5</v>
      </c>
      <c r="C159" t="str">
        <f>'iWork,IBP &amp; Framework_SOW Items'!F159</f>
        <v>Delivered - Deficit</v>
      </c>
      <c r="D159" t="str">
        <f>IFERROR(VLOOKUP(C159,Config!$A:$B,2,0),"Unknown")</f>
        <v>Partial Delivery</v>
      </c>
      <c r="E159" t="str">
        <f>IFERROR(VLOOKUP(C159,Config!$A:$C,3,0),"N/A")</f>
        <v>Pending</v>
      </c>
    </row>
    <row r="160" spans="1:5">
      <c r="A160" t="str">
        <f>'iWork,IBP &amp; Framework_SOW Items'!D160</f>
        <v>IBP</v>
      </c>
      <c r="B160" t="str">
        <f>'iWork,IBP &amp; Framework_SOW Items'!E160</f>
        <v>Milestone 5</v>
      </c>
      <c r="C160" t="str">
        <f>'iWork,IBP &amp; Framework_SOW Items'!F160</f>
        <v>Yet to start</v>
      </c>
      <c r="D160" t="str">
        <f>IFERROR(VLOOKUP(C160,Config!$A:$B,2,0),"Unknown")</f>
        <v>Not Started</v>
      </c>
      <c r="E160" t="str">
        <f>IFERROR(VLOOKUP(C160,Config!$A:$C,3,0),"N/A")</f>
        <v>Pending</v>
      </c>
    </row>
    <row r="161" spans="1:5">
      <c r="A161" t="str">
        <f>'iWork,IBP &amp; Framework_SOW Items'!D161</f>
        <v>IBP</v>
      </c>
      <c r="B161" t="str">
        <f>'iWork,IBP &amp; Framework_SOW Items'!E161</f>
        <v>Milestone 5</v>
      </c>
      <c r="C161" t="str">
        <f>'iWork,IBP &amp; Framework_SOW Items'!F161</f>
        <v>Yet to start</v>
      </c>
      <c r="D161" t="str">
        <f>IFERROR(VLOOKUP(C161,Config!$A:$B,2,0),"Unknown")</f>
        <v>Not Started</v>
      </c>
      <c r="E161" t="str">
        <f>IFERROR(VLOOKUP(C161,Config!$A:$C,3,0),"N/A")</f>
        <v>Pending</v>
      </c>
    </row>
    <row r="162" spans="1:5">
      <c r="A162" t="str">
        <f>'iWork,IBP &amp; Framework_SOW Items'!D162</f>
        <v>IBP</v>
      </c>
      <c r="B162" t="str">
        <f>'iWork,IBP &amp; Framework_SOW Items'!E162</f>
        <v>Milestone 5</v>
      </c>
      <c r="C162" t="str">
        <f>'iWork,IBP &amp; Framework_SOW Items'!F162</f>
        <v>Yet to start</v>
      </c>
      <c r="D162" t="str">
        <f>IFERROR(VLOOKUP(C162,Config!$A:$B,2,0),"Unknown")</f>
        <v>Not Started</v>
      </c>
      <c r="E162" t="str">
        <f>IFERROR(VLOOKUP(C162,Config!$A:$C,3,0),"N/A")</f>
        <v>Pending</v>
      </c>
    </row>
    <row r="163" spans="1:5">
      <c r="A163" t="str">
        <f>'iWork,IBP &amp; Framework_SOW Items'!D163</f>
        <v>IBP</v>
      </c>
      <c r="B163" t="str">
        <f>'iWork,IBP &amp; Framework_SOW Items'!E163</f>
        <v>Milestone 5</v>
      </c>
      <c r="C163" t="str">
        <f>'iWork,IBP &amp; Framework_SOW Items'!F163</f>
        <v>Yet to start</v>
      </c>
      <c r="D163" t="str">
        <f>IFERROR(VLOOKUP(C163,Config!$A:$B,2,0),"Unknown")</f>
        <v>Not Started</v>
      </c>
      <c r="E163" t="str">
        <f>IFERROR(VLOOKUP(C163,Config!$A:$C,3,0),"N/A")</f>
        <v>Pending</v>
      </c>
    </row>
    <row r="164" spans="1:5">
      <c r="A164" t="str">
        <f>'iWork,IBP &amp; Framework_SOW Items'!D164</f>
        <v>IBP</v>
      </c>
      <c r="B164" t="str">
        <f>'iWork,IBP &amp; Framework_SOW Items'!E164</f>
        <v>Milestone 5</v>
      </c>
      <c r="C164" t="str">
        <f>'iWork,IBP &amp; Framework_SOW Items'!F164</f>
        <v>Yet to start</v>
      </c>
      <c r="D164" t="str">
        <f>IFERROR(VLOOKUP(C164,Config!$A:$B,2,0),"Unknown")</f>
        <v>Not Started</v>
      </c>
      <c r="E164" t="str">
        <f>IFERROR(VLOOKUP(C164,Config!$A:$C,3,0),"N/A")</f>
        <v>Pending</v>
      </c>
    </row>
    <row r="165" spans="1:5">
      <c r="A165" t="str">
        <f>'iWork,IBP &amp; Framework_SOW Items'!D165</f>
        <v>IBP</v>
      </c>
      <c r="B165" t="str">
        <f>'iWork,IBP &amp; Framework_SOW Items'!E165</f>
        <v>Milestone 5</v>
      </c>
      <c r="C165" t="str">
        <f>'iWork,IBP &amp; Framework_SOW Items'!F165</f>
        <v>Yet to start</v>
      </c>
      <c r="D165" t="str">
        <f>IFERROR(VLOOKUP(C165,Config!$A:$B,2,0),"Unknown")</f>
        <v>Not Started</v>
      </c>
      <c r="E165" t="str">
        <f>IFERROR(VLOOKUP(C165,Config!$A:$C,3,0),"N/A")</f>
        <v>Pending</v>
      </c>
    </row>
    <row r="166" spans="1:5">
      <c r="A166" t="str">
        <f>'iWork,IBP &amp; Framework_SOW Items'!D166</f>
        <v>IBP</v>
      </c>
      <c r="B166" t="str">
        <f>'iWork,IBP &amp; Framework_SOW Items'!E166</f>
        <v>Milestone 5</v>
      </c>
      <c r="C166" t="str">
        <f>'iWork,IBP &amp; Framework_SOW Items'!F166</f>
        <v>Yet to start</v>
      </c>
      <c r="D166" t="str">
        <f>IFERROR(VLOOKUP(C166,Config!$A:$B,2,0),"Unknown")</f>
        <v>Not Started</v>
      </c>
      <c r="E166" t="str">
        <f>IFERROR(VLOOKUP(C166,Config!$A:$C,3,0),"N/A")</f>
        <v>Pending</v>
      </c>
    </row>
    <row r="167" spans="1:5">
      <c r="A167" t="str">
        <f>'iWork,IBP &amp; Framework_SOW Items'!D167</f>
        <v>IBP</v>
      </c>
      <c r="B167" t="str">
        <f>'iWork,IBP &amp; Framework_SOW Items'!E167</f>
        <v>Milestone 5</v>
      </c>
      <c r="C167" t="str">
        <f>'iWork,IBP &amp; Framework_SOW Items'!F167</f>
        <v>Yet to start</v>
      </c>
      <c r="D167" t="str">
        <f>IFERROR(VLOOKUP(C167,Config!$A:$B,2,0),"Unknown")</f>
        <v>Not Started</v>
      </c>
      <c r="E167" t="str">
        <f>IFERROR(VLOOKUP(C167,Config!$A:$C,3,0),"N/A")</f>
        <v>Pending</v>
      </c>
    </row>
    <row r="168" spans="1:5">
      <c r="A168" t="str">
        <f>'iWork,IBP &amp; Framework_SOW Items'!D168</f>
        <v>IBP</v>
      </c>
      <c r="B168" t="str">
        <f>'iWork,IBP &amp; Framework_SOW Items'!E168</f>
        <v>Milestone 5</v>
      </c>
      <c r="C168" t="str">
        <f>'iWork,IBP &amp; Framework_SOW Items'!F168</f>
        <v>Yet to start</v>
      </c>
      <c r="D168" t="str">
        <f>IFERROR(VLOOKUP(C168,Config!$A:$B,2,0),"Unknown")</f>
        <v>Not Started</v>
      </c>
      <c r="E168" t="str">
        <f>IFERROR(VLOOKUP(C168,Config!$A:$C,3,0),"N/A")</f>
        <v>Pending</v>
      </c>
    </row>
    <row r="169" spans="1:5">
      <c r="A169" t="str">
        <f>'iWork,IBP &amp; Framework_SOW Items'!D169</f>
        <v>IBP</v>
      </c>
      <c r="B169" t="str">
        <f>'iWork,IBP &amp; Framework_SOW Items'!E169</f>
        <v>Milestone 5</v>
      </c>
      <c r="C169" t="str">
        <f>'iWork,IBP &amp; Framework_SOW Items'!F169</f>
        <v>Yet to start</v>
      </c>
      <c r="D169" t="str">
        <f>IFERROR(VLOOKUP(C169,Config!$A:$B,2,0),"Unknown")</f>
        <v>Not Started</v>
      </c>
      <c r="E169" t="str">
        <f>IFERROR(VLOOKUP(C169,Config!$A:$C,3,0),"N/A")</f>
        <v>Pending</v>
      </c>
    </row>
    <row r="170" spans="1:5">
      <c r="A170" t="str">
        <f>'iWork,IBP &amp; Framework_SOW Items'!D170</f>
        <v>IBP</v>
      </c>
      <c r="B170" t="str">
        <f>'iWork,IBP &amp; Framework_SOW Items'!E170</f>
        <v>Milestone 5</v>
      </c>
      <c r="C170" t="str">
        <f>'iWork,IBP &amp; Framework_SOW Items'!F170</f>
        <v>Yet to start</v>
      </c>
      <c r="D170" t="str">
        <f>IFERROR(VLOOKUP(C170,Config!$A:$B,2,0),"Unknown")</f>
        <v>Not Started</v>
      </c>
      <c r="E170" t="str">
        <f>IFERROR(VLOOKUP(C170,Config!$A:$C,3,0),"N/A")</f>
        <v>Pending</v>
      </c>
    </row>
    <row r="171" spans="1:5">
      <c r="A171" t="str">
        <f>'iWork,IBP &amp; Framework_SOW Items'!D171</f>
        <v>IBP</v>
      </c>
      <c r="B171" t="str">
        <f>'iWork,IBP &amp; Framework_SOW Items'!E171</f>
        <v>Milestone 5</v>
      </c>
      <c r="C171" t="str">
        <f>'iWork,IBP &amp; Framework_SOW Items'!F171</f>
        <v>Yet to start</v>
      </c>
      <c r="D171" t="str">
        <f>IFERROR(VLOOKUP(C171,Config!$A:$B,2,0),"Unknown")</f>
        <v>Not Started</v>
      </c>
      <c r="E171" t="str">
        <f>IFERROR(VLOOKUP(C171,Config!$A:$C,3,0),"N/A")</f>
        <v>Pending</v>
      </c>
    </row>
    <row r="172" spans="1:5">
      <c r="A172" t="str">
        <f>'iWork,IBP &amp; Framework_SOW Items'!D172</f>
        <v>IBP</v>
      </c>
      <c r="B172" t="str">
        <f>'iWork,IBP &amp; Framework_SOW Items'!E172</f>
        <v>Milestone 5</v>
      </c>
      <c r="C172" t="str">
        <f>'iWork,IBP &amp; Framework_SOW Items'!F172</f>
        <v>Yet to start</v>
      </c>
      <c r="D172" t="str">
        <f>IFERROR(VLOOKUP(C172,Config!$A:$B,2,0),"Unknown")</f>
        <v>Not Started</v>
      </c>
      <c r="E172" t="str">
        <f>IFERROR(VLOOKUP(C172,Config!$A:$C,3,0),"N/A")</f>
        <v>Pending</v>
      </c>
    </row>
    <row r="173" spans="1:5">
      <c r="A173" t="str">
        <f>'iWork,IBP &amp; Framework_SOW Items'!D173</f>
        <v>IBP</v>
      </c>
      <c r="B173" t="str">
        <f>'iWork,IBP &amp; Framework_SOW Items'!E173</f>
        <v>Milestone 5</v>
      </c>
      <c r="C173" t="str">
        <f>'iWork,IBP &amp; Framework_SOW Items'!F173</f>
        <v>Yet to start</v>
      </c>
      <c r="D173" t="str">
        <f>IFERROR(VLOOKUP(C173,Config!$A:$B,2,0),"Unknown")</f>
        <v>Not Started</v>
      </c>
      <c r="E173" t="str">
        <f>IFERROR(VLOOKUP(C173,Config!$A:$C,3,0),"N/A")</f>
        <v>Pending</v>
      </c>
    </row>
    <row r="174" spans="1:5">
      <c r="A174" t="str">
        <f>'iWork,IBP &amp; Framework_SOW Items'!D174</f>
        <v>IBP</v>
      </c>
      <c r="B174" t="str">
        <f>'iWork,IBP &amp; Framework_SOW Items'!E174</f>
        <v>Milestone 5</v>
      </c>
      <c r="C174" t="str">
        <f>'iWork,IBP &amp; Framework_SOW Items'!F174</f>
        <v>Yet to start</v>
      </c>
      <c r="D174" t="str">
        <f>IFERROR(VLOOKUP(C174,Config!$A:$B,2,0),"Unknown")</f>
        <v>Not Started</v>
      </c>
      <c r="E174" t="str">
        <f>IFERROR(VLOOKUP(C174,Config!$A:$C,3,0),"N/A")</f>
        <v>Pending</v>
      </c>
    </row>
    <row r="175" spans="1:5">
      <c r="A175" t="str">
        <f>'iWork,IBP &amp; Framework_SOW Items'!D175</f>
        <v>IBP</v>
      </c>
      <c r="B175" t="str">
        <f>'iWork,IBP &amp; Framework_SOW Items'!E175</f>
        <v>Milestone 5</v>
      </c>
      <c r="C175" t="str">
        <f>'iWork,IBP &amp; Framework_SOW Items'!F175</f>
        <v>Yet to start</v>
      </c>
      <c r="D175" t="str">
        <f>IFERROR(VLOOKUP(C175,Config!$A:$B,2,0),"Unknown")</f>
        <v>Not Started</v>
      </c>
      <c r="E175" t="str">
        <f>IFERROR(VLOOKUP(C175,Config!$A:$C,3,0),"N/A")</f>
        <v>Pending</v>
      </c>
    </row>
    <row r="176" spans="1:5">
      <c r="A176" t="str">
        <f>'iWork,IBP &amp; Framework_SOW Items'!D176</f>
        <v>IBP</v>
      </c>
      <c r="B176" t="str">
        <f>'iWork,IBP &amp; Framework_SOW Items'!E176</f>
        <v>Milestone 5</v>
      </c>
      <c r="C176" t="str">
        <f>'iWork,IBP &amp; Framework_SOW Items'!F176</f>
        <v>Yet to start</v>
      </c>
      <c r="D176" t="str">
        <f>IFERROR(VLOOKUP(C176,Config!$A:$B,2,0),"Unknown")</f>
        <v>Not Started</v>
      </c>
      <c r="E176" t="str">
        <f>IFERROR(VLOOKUP(C176,Config!$A:$C,3,0),"N/A")</f>
        <v>Pending</v>
      </c>
    </row>
    <row r="177" spans="1:5">
      <c r="A177" t="str">
        <f>'iWork,IBP &amp; Framework_SOW Items'!D177</f>
        <v>IBP</v>
      </c>
      <c r="B177" t="str">
        <f>'iWork,IBP &amp; Framework_SOW Items'!E177</f>
        <v>Milestone 5</v>
      </c>
      <c r="C177" t="str">
        <f>'iWork,IBP &amp; Framework_SOW Items'!F177</f>
        <v>Yet to start</v>
      </c>
      <c r="D177" t="str">
        <f>IFERROR(VLOOKUP(C177,Config!$A:$B,2,0),"Unknown")</f>
        <v>Not Started</v>
      </c>
      <c r="E177" t="str">
        <f>IFERROR(VLOOKUP(C177,Config!$A:$C,3,0),"N/A")</f>
        <v>Pending</v>
      </c>
    </row>
    <row r="178" spans="1:5">
      <c r="A178" t="str">
        <f>'iWork,IBP &amp; Framework_SOW Items'!D178</f>
        <v>IBP/iWork</v>
      </c>
      <c r="B178" t="str">
        <f>'iWork,IBP &amp; Framework_SOW Items'!E178</f>
        <v>Milestone 5</v>
      </c>
      <c r="C178" t="str">
        <f>'iWork,IBP &amp; Framework_SOW Items'!F178</f>
        <v>Delivered</v>
      </c>
      <c r="D178" t="str">
        <f>IFERROR(VLOOKUP(C178,Config!$A:$B,2,0),"Unknown")</f>
        <v>Delivered</v>
      </c>
      <c r="E178" t="str">
        <f>IFERROR(VLOOKUP(C178,Config!$A:$C,3,0),"N/A")</f>
        <v>Delivered</v>
      </c>
    </row>
    <row r="179" spans="1:5">
      <c r="A179" t="str">
        <f>'iWork,IBP &amp; Framework_SOW Items'!D179</f>
        <v>IBP/iWork</v>
      </c>
      <c r="B179" t="str">
        <f>'iWork,IBP &amp; Framework_SOW Items'!E179</f>
        <v>Milestone 5</v>
      </c>
      <c r="C179" t="str">
        <f>'iWork,IBP &amp; Framework_SOW Items'!F179</f>
        <v>Dev - WIP</v>
      </c>
      <c r="D179" t="str">
        <f>IFERROR(VLOOKUP(C179,Config!$A:$B,2,0),"Unknown")</f>
        <v>In Development</v>
      </c>
      <c r="E179" t="str">
        <f>IFERROR(VLOOKUP(C179,Config!$A:$C,3,0),"N/A")</f>
        <v>Pending</v>
      </c>
    </row>
    <row r="180" spans="1:5">
      <c r="A180" t="str">
        <f>'iWork,IBP &amp; Framework_SOW Items'!D180</f>
        <v>IBP/iWork</v>
      </c>
      <c r="B180" t="str">
        <f>'iWork,IBP &amp; Framework_SOW Items'!E180</f>
        <v>Milestone 5</v>
      </c>
      <c r="C180" t="str">
        <f>'iWork,IBP &amp; Framework_SOW Items'!F180</f>
        <v>Delivered</v>
      </c>
      <c r="D180" t="str">
        <f>IFERROR(VLOOKUP(C180,Config!$A:$B,2,0),"Unknown")</f>
        <v>Delivered</v>
      </c>
      <c r="E180" t="str">
        <f>IFERROR(VLOOKUP(C180,Config!$A:$C,3,0),"N/A")</f>
        <v>Delivered</v>
      </c>
    </row>
    <row r="181" spans="1:5">
      <c r="A181" t="str">
        <f>'iWork,IBP &amp; Framework_SOW Items'!D181</f>
        <v>IBP/iWork</v>
      </c>
      <c r="B181" t="str">
        <f>'iWork,IBP &amp; Framework_SOW Items'!E181</f>
        <v>Milestone 5</v>
      </c>
      <c r="C181" t="str">
        <f>'iWork,IBP &amp; Framework_SOW Items'!F181</f>
        <v>Delivered - Deficit</v>
      </c>
      <c r="D181" t="str">
        <f>IFERROR(VLOOKUP(C181,Config!$A:$B,2,0),"Unknown")</f>
        <v>Partial Delivery</v>
      </c>
      <c r="E181" t="str">
        <f>IFERROR(VLOOKUP(C181,Config!$A:$C,3,0),"N/A")</f>
        <v>Pending</v>
      </c>
    </row>
    <row r="182" spans="1:5">
      <c r="A182" t="str">
        <f>'iWork,IBP &amp; Framework_SOW Items'!D182</f>
        <v>IBP/iWork</v>
      </c>
      <c r="B182" t="str">
        <f>'iWork,IBP &amp; Framework_SOW Items'!E182</f>
        <v>Milestone 5</v>
      </c>
      <c r="C182" t="str">
        <f>'iWork,IBP &amp; Framework_SOW Items'!F182</f>
        <v>Yet to start</v>
      </c>
      <c r="D182" t="str">
        <f>IFERROR(VLOOKUP(C182,Config!$A:$B,2,0),"Unknown")</f>
        <v>Not Started</v>
      </c>
      <c r="E182" t="str">
        <f>IFERROR(VLOOKUP(C182,Config!$A:$C,3,0),"N/A")</f>
        <v>Pending</v>
      </c>
    </row>
    <row r="183" spans="1:5">
      <c r="A183" t="str">
        <f>'iWork,IBP &amp; Framework_SOW Items'!D183</f>
        <v>IBP/iWork</v>
      </c>
      <c r="B183" t="str">
        <f>'iWork,IBP &amp; Framework_SOW Items'!E183</f>
        <v>Milestone 5</v>
      </c>
      <c r="C183" t="str">
        <f>'iWork,IBP &amp; Framework_SOW Items'!F183</f>
        <v>Yet to start</v>
      </c>
      <c r="D183" t="str">
        <f>IFERROR(VLOOKUP(C183,Config!$A:$B,2,0),"Unknown")</f>
        <v>Not Started</v>
      </c>
      <c r="E183" t="str">
        <f>IFERROR(VLOOKUP(C183,Config!$A:$C,3,0),"N/A")</f>
        <v>Pending</v>
      </c>
    </row>
    <row r="184" spans="1:5">
      <c r="A184" t="str">
        <f>'iWork,IBP &amp; Framework_SOW Items'!D184</f>
        <v>iWork</v>
      </c>
      <c r="B184" t="str">
        <f>'iWork,IBP &amp; Framework_SOW Items'!E184</f>
        <v>Milestone 5</v>
      </c>
      <c r="C184" t="str">
        <f>'iWork,IBP &amp; Framework_SOW Items'!F184</f>
        <v>Yet to start</v>
      </c>
      <c r="D184" t="str">
        <f>IFERROR(VLOOKUP(C184,Config!$A:$B,2,0),"Unknown")</f>
        <v>Not Started</v>
      </c>
      <c r="E184" t="str">
        <f>IFERROR(VLOOKUP(C184,Config!$A:$C,3,0),"N/A")</f>
        <v>Pending</v>
      </c>
    </row>
    <row r="185" spans="1:5">
      <c r="A185" t="str">
        <f>'iWork,IBP &amp; Framework_SOW Items'!D185</f>
        <v>iWork</v>
      </c>
      <c r="B185" t="str">
        <f>'iWork,IBP &amp; Framework_SOW Items'!E185</f>
        <v>Milestone 5</v>
      </c>
      <c r="C185" t="str">
        <f>'iWork,IBP &amp; Framework_SOW Items'!F185</f>
        <v>Yet to start</v>
      </c>
      <c r="D185" t="str">
        <f>IFERROR(VLOOKUP(C185,Config!$A:$B,2,0),"Unknown")</f>
        <v>Not Started</v>
      </c>
      <c r="E185" t="str">
        <f>IFERROR(VLOOKUP(C185,Config!$A:$C,3,0),"N/A")</f>
        <v>Pending</v>
      </c>
    </row>
    <row r="186" spans="1:5">
      <c r="A186" t="str">
        <f>'iWork,IBP &amp; Framework_SOW Items'!D186</f>
        <v>iWork</v>
      </c>
      <c r="B186" t="str">
        <f>'iWork,IBP &amp; Framework_SOW Items'!E186</f>
        <v>Milestone 5</v>
      </c>
      <c r="C186" t="str">
        <f>'iWork,IBP &amp; Framework_SOW Items'!F186</f>
        <v>Yet to start</v>
      </c>
      <c r="D186" t="str">
        <f>IFERROR(VLOOKUP(C186,Config!$A:$B,2,0),"Unknown")</f>
        <v>Not Started</v>
      </c>
      <c r="E186" t="str">
        <f>IFERROR(VLOOKUP(C186,Config!$A:$C,3,0),"N/A")</f>
        <v>Pending</v>
      </c>
    </row>
    <row r="187" spans="1:5">
      <c r="A187" t="str">
        <f>'iWork,IBP &amp; Framework_SOW Items'!D187</f>
        <v>iWork</v>
      </c>
      <c r="B187" t="str">
        <f>'iWork,IBP &amp; Framework_SOW Items'!E187</f>
        <v>Milestone 5</v>
      </c>
      <c r="C187" t="str">
        <f>'iWork,IBP &amp; Framework_SOW Items'!F187</f>
        <v>Yet to start</v>
      </c>
      <c r="D187" t="str">
        <f>IFERROR(VLOOKUP(C187,Config!$A:$B,2,0),"Unknown")</f>
        <v>Not Started</v>
      </c>
      <c r="E187" t="str">
        <f>IFERROR(VLOOKUP(C187,Config!$A:$C,3,0),"N/A")</f>
        <v>Pending</v>
      </c>
    </row>
    <row r="188" spans="1:5">
      <c r="A188" t="str">
        <f>'iWork,IBP &amp; Framework_SOW Items'!D188</f>
        <v>iWork</v>
      </c>
      <c r="B188" t="str">
        <f>'iWork,IBP &amp; Framework_SOW Items'!E188</f>
        <v>Milestone 5</v>
      </c>
      <c r="C188" t="str">
        <f>'iWork,IBP &amp; Framework_SOW Items'!F188</f>
        <v>Delivered</v>
      </c>
      <c r="D188" t="str">
        <f>IFERROR(VLOOKUP(C188,Config!$A:$B,2,0),"Unknown")</f>
        <v>Delivered</v>
      </c>
      <c r="E188" t="str">
        <f>IFERROR(VLOOKUP(C188,Config!$A:$C,3,0),"N/A")</f>
        <v>Delivered</v>
      </c>
    </row>
    <row r="189" spans="1:5">
      <c r="A189" t="str">
        <f>'iWork,IBP &amp; Framework_SOW Items'!D189</f>
        <v>iWork</v>
      </c>
      <c r="B189" t="str">
        <f>'iWork,IBP &amp; Framework_SOW Items'!E189</f>
        <v>Milestone 5</v>
      </c>
      <c r="C189" t="str">
        <f>'iWork,IBP &amp; Framework_SOW Items'!F189</f>
        <v>Delivered</v>
      </c>
      <c r="D189" t="str">
        <f>IFERROR(VLOOKUP(C189,Config!$A:$B,2,0),"Unknown")</f>
        <v>Delivered</v>
      </c>
      <c r="E189" t="str">
        <f>IFERROR(VLOOKUP(C189,Config!$A:$C,3,0),"N/A")</f>
        <v>Delivered</v>
      </c>
    </row>
    <row r="190" spans="1:5">
      <c r="A190" t="str">
        <f>'iWork,IBP &amp; Framework_SOW Items'!D190</f>
        <v>iWork</v>
      </c>
      <c r="B190" t="str">
        <f>'iWork,IBP &amp; Framework_SOW Items'!E190</f>
        <v>Milestone 5</v>
      </c>
      <c r="C190" t="str">
        <f>'iWork,IBP &amp; Framework_SOW Items'!F190</f>
        <v>Delivered</v>
      </c>
      <c r="D190" t="str">
        <f>IFERROR(VLOOKUP(C190,Config!$A:$B,2,0),"Unknown")</f>
        <v>Delivered</v>
      </c>
      <c r="E190" t="str">
        <f>IFERROR(VLOOKUP(C190,Config!$A:$C,3,0),"N/A")</f>
        <v>Delivered</v>
      </c>
    </row>
    <row r="191" spans="1:5">
      <c r="A191" t="str">
        <f>'iWork,IBP &amp; Framework_SOW Items'!D191</f>
        <v>iWork</v>
      </c>
      <c r="B191" t="str">
        <f>'iWork,IBP &amp; Framework_SOW Items'!E191</f>
        <v>Milestone 5</v>
      </c>
      <c r="C191" t="str">
        <f>'iWork,IBP &amp; Framework_SOW Items'!F191</f>
        <v>Delivered</v>
      </c>
      <c r="D191" t="str">
        <f>IFERROR(VLOOKUP(C191,Config!$A:$B,2,0),"Unknown")</f>
        <v>Delivered</v>
      </c>
      <c r="E191" t="str">
        <f>IFERROR(VLOOKUP(C191,Config!$A:$C,3,0),"N/A")</f>
        <v>Delivered</v>
      </c>
    </row>
    <row r="192" spans="1:5">
      <c r="A192" t="str">
        <f>'iWork,IBP &amp; Framework_SOW Items'!D192</f>
        <v>iWork</v>
      </c>
      <c r="B192" t="str">
        <f>'iWork,IBP &amp; Framework_SOW Items'!E192</f>
        <v>Milestone 5</v>
      </c>
      <c r="C192" t="str">
        <f>'iWork,IBP &amp; Framework_SOW Items'!F192</f>
        <v>Delivered</v>
      </c>
      <c r="D192" t="str">
        <f>IFERROR(VLOOKUP(C192,Config!$A:$B,2,0),"Unknown")</f>
        <v>Delivered</v>
      </c>
      <c r="E192" t="str">
        <f>IFERROR(VLOOKUP(C192,Config!$A:$C,3,0),"N/A")</f>
        <v>Delivered</v>
      </c>
    </row>
    <row r="193" spans="1:5">
      <c r="A193" t="str">
        <f>'iWork,IBP &amp; Framework_SOW Items'!D193</f>
        <v>iWork</v>
      </c>
      <c r="B193" t="str">
        <f>'iWork,IBP &amp; Framework_SOW Items'!E193</f>
        <v>Milestone 5</v>
      </c>
      <c r="C193" t="str">
        <f>'iWork,IBP &amp; Framework_SOW Items'!F193</f>
        <v>Delivered</v>
      </c>
      <c r="D193" t="str">
        <f>IFERROR(VLOOKUP(C193,Config!$A:$B,2,0),"Unknown")</f>
        <v>Delivered</v>
      </c>
      <c r="E193" t="str">
        <f>IFERROR(VLOOKUP(C193,Config!$A:$C,3,0),"N/A")</f>
        <v>Delivered</v>
      </c>
    </row>
    <row r="194" spans="1:5">
      <c r="A194" t="str">
        <f>'iWork,IBP &amp; Framework_SOW Items'!D194</f>
        <v>iWork</v>
      </c>
      <c r="B194" t="str">
        <f>'iWork,IBP &amp; Framework_SOW Items'!E194</f>
        <v>Milestone 5</v>
      </c>
      <c r="C194" t="str">
        <f>'iWork,IBP &amp; Framework_SOW Items'!F194</f>
        <v>Delivered - Deficit</v>
      </c>
      <c r="D194" t="str">
        <f>IFERROR(VLOOKUP(C194,Config!$A:$B,2,0),"Unknown")</f>
        <v>Partial Delivery</v>
      </c>
      <c r="E194" t="str">
        <f>IFERROR(VLOOKUP(C194,Config!$A:$C,3,0),"N/A")</f>
        <v>Pending</v>
      </c>
    </row>
    <row r="195" spans="1:5">
      <c r="A195" t="str">
        <f>'iWork,IBP &amp; Framework_SOW Items'!D195</f>
        <v>iWork</v>
      </c>
      <c r="B195" t="str">
        <f>'iWork,IBP &amp; Framework_SOW Items'!E195</f>
        <v>Milestone 5</v>
      </c>
      <c r="C195" t="str">
        <f>'iWork,IBP &amp; Framework_SOW Items'!F195</f>
        <v>Yet to start</v>
      </c>
      <c r="D195" t="str">
        <f>IFERROR(VLOOKUP(C195,Config!$A:$B,2,0),"Unknown")</f>
        <v>Not Started</v>
      </c>
      <c r="E195" t="str">
        <f>IFERROR(VLOOKUP(C195,Config!$A:$C,3,0),"N/A")</f>
        <v>Pending</v>
      </c>
    </row>
    <row r="196" spans="1:5">
      <c r="A196" t="str">
        <f>'iWork,IBP &amp; Framework_SOW Items'!D196</f>
        <v>NFR</v>
      </c>
      <c r="B196" t="str">
        <f>'iWork,IBP &amp; Framework_SOW Items'!E196</f>
        <v>Milestone 5</v>
      </c>
      <c r="C196" t="str">
        <f>'iWork,IBP &amp; Framework_SOW Items'!F196</f>
        <v>Delivered</v>
      </c>
      <c r="D196" t="str">
        <f>IFERROR(VLOOKUP(C196,Config!$A:$B,2,0),"Unknown")</f>
        <v>Delivered</v>
      </c>
      <c r="E196" t="str">
        <f>IFERROR(VLOOKUP(C196,Config!$A:$C,3,0),"N/A")</f>
        <v>Delivered</v>
      </c>
    </row>
    <row r="197" spans="1:5">
      <c r="A197" t="str">
        <f>'iWork,IBP &amp; Framework_SOW Items'!D197</f>
        <v>NFR</v>
      </c>
      <c r="B197" t="str">
        <f>'iWork,IBP &amp; Framework_SOW Items'!E197</f>
        <v>Milestone 5</v>
      </c>
      <c r="C197" t="str">
        <f>'iWork,IBP &amp; Framework_SOW Items'!F197</f>
        <v>Delivered</v>
      </c>
      <c r="D197" t="str">
        <f>IFERROR(VLOOKUP(C197,Config!$A:$B,2,0),"Unknown")</f>
        <v>Delivered</v>
      </c>
      <c r="E197" t="str">
        <f>IFERROR(VLOOKUP(C197,Config!$A:$C,3,0),"N/A")</f>
        <v>Delivered</v>
      </c>
    </row>
    <row r="198" spans="1:5">
      <c r="A198" t="str">
        <f>'iWork,IBP &amp; Framework_SOW Items'!D198</f>
        <v>NFR</v>
      </c>
      <c r="B198" t="str">
        <f>'iWork,IBP &amp; Framework_SOW Items'!E198</f>
        <v>Milestone 5</v>
      </c>
      <c r="C198" t="str">
        <f>'iWork,IBP &amp; Framework_SOW Items'!F198</f>
        <v>Yet to start</v>
      </c>
      <c r="D198" t="str">
        <f>IFERROR(VLOOKUP(C198,Config!$A:$B,2,0),"Unknown")</f>
        <v>Not Started</v>
      </c>
      <c r="E198" t="str">
        <f>IFERROR(VLOOKUP(C198,Config!$A:$C,3,0),"N/A")</f>
        <v>Pending</v>
      </c>
    </row>
    <row r="199" spans="1:5">
      <c r="A199" t="str">
        <f>'iWork,IBP &amp; Framework_SOW Items'!D199</f>
        <v>IBP</v>
      </c>
      <c r="B199" t="str">
        <f>'iWork,IBP &amp; Framework_SOW Items'!E199</f>
        <v>Milestone 6</v>
      </c>
      <c r="C199" t="str">
        <f>'iWork,IBP &amp; Framework_SOW Items'!F199</f>
        <v>Delivered</v>
      </c>
      <c r="D199" t="str">
        <f>IFERROR(VLOOKUP(C199,Config!$A:$B,2,0),"Unknown")</f>
        <v>Delivered</v>
      </c>
      <c r="E199" t="str">
        <f>IFERROR(VLOOKUP(C199,Config!$A:$C,3,0),"N/A")</f>
        <v>Delivered</v>
      </c>
    </row>
    <row r="200" spans="1:5">
      <c r="A200" t="str">
        <f>'iWork,IBP &amp; Framework_SOW Items'!D200</f>
        <v>IBP</v>
      </c>
      <c r="B200" t="str">
        <f>'iWork,IBP &amp; Framework_SOW Items'!E200</f>
        <v>Milestone 6</v>
      </c>
      <c r="C200" t="str">
        <f>'iWork,IBP &amp; Framework_SOW Items'!F200</f>
        <v>Dev - WIP</v>
      </c>
      <c r="D200" t="str">
        <f>IFERROR(VLOOKUP(C200,Config!$A:$B,2,0),"Unknown")</f>
        <v>In Development</v>
      </c>
      <c r="E200" t="str">
        <f>IFERROR(VLOOKUP(C200,Config!$A:$C,3,0),"N/A")</f>
        <v>Pending</v>
      </c>
    </row>
    <row r="201" spans="1:5">
      <c r="A201" t="str">
        <f>'iWork,IBP &amp; Framework_SOW Items'!D201</f>
        <v>IBP - CR</v>
      </c>
      <c r="B201" t="str">
        <f>'iWork,IBP &amp; Framework_SOW Items'!E201</f>
        <v>Milestone 6</v>
      </c>
      <c r="C201" t="str">
        <f>'iWork,IBP &amp; Framework_SOW Items'!F201</f>
        <v>Dev - WIP</v>
      </c>
      <c r="D201" t="str">
        <f>IFERROR(VLOOKUP(C201,Config!$A:$B,2,0),"Unknown")</f>
        <v>In Development</v>
      </c>
      <c r="E201" t="str">
        <f>IFERROR(VLOOKUP(C201,Config!$A:$C,3,0),"N/A")</f>
        <v>Pending</v>
      </c>
    </row>
    <row r="202" spans="1:5">
      <c r="A202" t="str">
        <f>'iWork,IBP &amp; Framework_SOW Items'!D202</f>
        <v>IBP/iWork</v>
      </c>
      <c r="B202" t="str">
        <f>'iWork,IBP &amp; Framework_SOW Items'!E202</f>
        <v>Milestone 6</v>
      </c>
      <c r="C202" t="str">
        <f>'iWork,IBP &amp; Framework_SOW Items'!F202</f>
        <v>Delivered</v>
      </c>
      <c r="D202" t="str">
        <f>IFERROR(VLOOKUP(C202,Config!$A:$B,2,0),"Unknown")</f>
        <v>Delivered</v>
      </c>
      <c r="E202" t="str">
        <f>IFERROR(VLOOKUP(C202,Config!$A:$C,3,0),"N/A")</f>
        <v>Delivered</v>
      </c>
    </row>
    <row r="203" spans="1:5">
      <c r="A203" t="str">
        <f>'iWork,IBP &amp; Framework_SOW Items'!D203</f>
        <v>IBP/iWork</v>
      </c>
      <c r="B203" t="str">
        <f>'iWork,IBP &amp; Framework_SOW Items'!E203</f>
        <v>Milestone 6</v>
      </c>
      <c r="C203" t="str">
        <f>'iWork,IBP &amp; Framework_SOW Items'!F203</f>
        <v>Delivered</v>
      </c>
      <c r="D203" t="str">
        <f>IFERROR(VLOOKUP(C203,Config!$A:$B,2,0),"Unknown")</f>
        <v>Delivered</v>
      </c>
      <c r="E203" t="str">
        <f>IFERROR(VLOOKUP(C203,Config!$A:$C,3,0),"N/A")</f>
        <v>Delivered</v>
      </c>
    </row>
    <row r="204" spans="1:5">
      <c r="A204" t="str">
        <f>'iWork,IBP &amp; Framework_SOW Items'!D204</f>
        <v>IBP/iWork</v>
      </c>
      <c r="B204" t="str">
        <f>'iWork,IBP &amp; Framework_SOW Items'!E204</f>
        <v>Milestone 6</v>
      </c>
      <c r="C204" t="str">
        <f>'iWork,IBP &amp; Framework_SOW Items'!F204</f>
        <v>Delivered</v>
      </c>
      <c r="D204" t="str">
        <f>IFERROR(VLOOKUP(C204,Config!$A:$B,2,0),"Unknown")</f>
        <v>Delivered</v>
      </c>
      <c r="E204" t="str">
        <f>IFERROR(VLOOKUP(C204,Config!$A:$C,3,0),"N/A")</f>
        <v>Delivered</v>
      </c>
    </row>
    <row r="205" spans="1:5">
      <c r="A205" t="str">
        <f>'iWork,IBP &amp; Framework_SOW Items'!D205</f>
        <v>IBP/iWork</v>
      </c>
      <c r="B205" t="str">
        <f>'iWork,IBP &amp; Framework_SOW Items'!E205</f>
        <v>Milestone 6</v>
      </c>
      <c r="C205" t="str">
        <f>'iWork,IBP &amp; Framework_SOW Items'!F205</f>
        <v>Dev - WIP</v>
      </c>
      <c r="D205" t="str">
        <f>IFERROR(VLOOKUP(C205,Config!$A:$B,2,0),"Unknown")</f>
        <v>In Development</v>
      </c>
      <c r="E205" t="str">
        <f>IFERROR(VLOOKUP(C205,Config!$A:$C,3,0),"N/A")</f>
        <v>Pending</v>
      </c>
    </row>
    <row r="206" spans="1:5">
      <c r="A206" t="str">
        <f>'iWork,IBP &amp; Framework_SOW Items'!D206</f>
        <v>iWork</v>
      </c>
      <c r="B206" t="str">
        <f>'iWork,IBP &amp; Framework_SOW Items'!E206</f>
        <v>Milestone 6</v>
      </c>
      <c r="C206" t="str">
        <f>'iWork,IBP &amp; Framework_SOW Items'!F206</f>
        <v>Delivered</v>
      </c>
      <c r="D206" t="str">
        <f>IFERROR(VLOOKUP(C206,Config!$A:$B,2,0),"Unknown")</f>
        <v>Delivered</v>
      </c>
      <c r="E206" t="str">
        <f>IFERROR(VLOOKUP(C206,Config!$A:$C,3,0),"N/A")</f>
        <v>Delivered</v>
      </c>
    </row>
    <row r="207" spans="1:5">
      <c r="A207" t="str">
        <f>'iWork,IBP &amp; Framework_SOW Items'!D207</f>
        <v>iWork</v>
      </c>
      <c r="B207" t="str">
        <f>'iWork,IBP &amp; Framework_SOW Items'!E207</f>
        <v>Milestone 6</v>
      </c>
      <c r="C207" t="str">
        <f>'iWork,IBP &amp; Framework_SOW Items'!F207</f>
        <v>Delivered</v>
      </c>
      <c r="D207" t="str">
        <f>IFERROR(VLOOKUP(C207,Config!$A:$B,2,0),"Unknown")</f>
        <v>Delivered</v>
      </c>
      <c r="E207" t="str">
        <f>IFERROR(VLOOKUP(C207,Config!$A:$C,3,0),"N/A")</f>
        <v>Delivered</v>
      </c>
    </row>
    <row r="208" spans="1:5">
      <c r="A208" t="str">
        <f>'iWork,IBP &amp; Framework_SOW Items'!D208</f>
        <v>iWork</v>
      </c>
      <c r="B208" t="str">
        <f>'iWork,IBP &amp; Framework_SOW Items'!E208</f>
        <v>Milestone 6</v>
      </c>
      <c r="C208" t="str">
        <f>'iWork,IBP &amp; Framework_SOW Items'!F208</f>
        <v>Delivered</v>
      </c>
      <c r="D208" t="str">
        <f>IFERROR(VLOOKUP(C208,Config!$A:$B,2,0),"Unknown")</f>
        <v>Delivered</v>
      </c>
      <c r="E208" t="str">
        <f>IFERROR(VLOOKUP(C208,Config!$A:$C,3,0),"N/A")</f>
        <v>Delivered</v>
      </c>
    </row>
    <row r="209" spans="1:5">
      <c r="A209" t="str">
        <f>'iWork,IBP &amp; Framework_SOW Items'!D209</f>
        <v>iWork</v>
      </c>
      <c r="B209" t="str">
        <f>'iWork,IBP &amp; Framework_SOW Items'!E209</f>
        <v>Milestone 6</v>
      </c>
      <c r="C209" t="str">
        <f>'iWork,IBP &amp; Framework_SOW Items'!F209</f>
        <v>Delivered</v>
      </c>
      <c r="D209" t="str">
        <f>IFERROR(VLOOKUP(C209,Config!$A:$B,2,0),"Unknown")</f>
        <v>Delivered</v>
      </c>
      <c r="E209" t="str">
        <f>IFERROR(VLOOKUP(C209,Config!$A:$C,3,0),"N/A")</f>
        <v>Delivered</v>
      </c>
    </row>
    <row r="210" spans="1:5">
      <c r="A210" t="str">
        <f>'iWork,IBP &amp; Framework_SOW Items'!D210</f>
        <v>iWork</v>
      </c>
      <c r="B210" t="str">
        <f>'iWork,IBP &amp; Framework_SOW Items'!E210</f>
        <v>Milestone 6</v>
      </c>
      <c r="C210" t="str">
        <f>'iWork,IBP &amp; Framework_SOW Items'!F210</f>
        <v>Delivered</v>
      </c>
      <c r="D210" t="str">
        <f>IFERROR(VLOOKUP(C210,Config!$A:$B,2,0),"Unknown")</f>
        <v>Delivered</v>
      </c>
      <c r="E210" t="str">
        <f>IFERROR(VLOOKUP(C210,Config!$A:$C,3,0),"N/A")</f>
        <v>Delivered</v>
      </c>
    </row>
    <row r="211" spans="1:5">
      <c r="A211" t="str">
        <f>'iWork,IBP &amp; Framework_SOW Items'!D211</f>
        <v>iWork</v>
      </c>
      <c r="B211" t="str">
        <f>'iWork,IBP &amp; Framework_SOW Items'!E211</f>
        <v>Milestone 6</v>
      </c>
      <c r="C211" t="str">
        <f>'iWork,IBP &amp; Framework_SOW Items'!F211</f>
        <v>Delivered</v>
      </c>
      <c r="D211" t="str">
        <f>IFERROR(VLOOKUP(C211,Config!$A:$B,2,0),"Unknown")</f>
        <v>Delivered</v>
      </c>
      <c r="E211" t="str">
        <f>IFERROR(VLOOKUP(C211,Config!$A:$C,3,0),"N/A")</f>
        <v>Delivered</v>
      </c>
    </row>
    <row r="212" spans="1:5">
      <c r="A212" t="str">
        <f>'iWork,IBP &amp; Framework_SOW Items'!D212</f>
        <v>iWork</v>
      </c>
      <c r="B212" t="str">
        <f>'iWork,IBP &amp; Framework_SOW Items'!E212</f>
        <v>Milestone 6</v>
      </c>
      <c r="C212" t="str">
        <f>'iWork,IBP &amp; Framework_SOW Items'!F212</f>
        <v>Delivered</v>
      </c>
      <c r="D212" t="str">
        <f>IFERROR(VLOOKUP(C212,Config!$A:$B,2,0),"Unknown")</f>
        <v>Delivered</v>
      </c>
      <c r="E212" t="str">
        <f>IFERROR(VLOOKUP(C212,Config!$A:$C,3,0),"N/A")</f>
        <v>Delivered</v>
      </c>
    </row>
    <row r="213" spans="1:5">
      <c r="A213" t="str">
        <f>'iWork,IBP &amp; Framework_SOW Items'!D213</f>
        <v>iWork</v>
      </c>
      <c r="B213" t="str">
        <f>'iWork,IBP &amp; Framework_SOW Items'!E213</f>
        <v>Milestone 6</v>
      </c>
      <c r="C213" t="str">
        <f>'iWork,IBP &amp; Framework_SOW Items'!F213</f>
        <v>Delivered</v>
      </c>
      <c r="D213" t="str">
        <f>IFERROR(VLOOKUP(C213,Config!$A:$B,2,0),"Unknown")</f>
        <v>Delivered</v>
      </c>
      <c r="E213" t="str">
        <f>IFERROR(VLOOKUP(C213,Config!$A:$C,3,0),"N/A")</f>
        <v>Delivered</v>
      </c>
    </row>
    <row r="214" spans="1:5">
      <c r="A214" t="str">
        <f>'iWork,IBP &amp; Framework_SOW Items'!D214</f>
        <v>iWork</v>
      </c>
      <c r="B214" t="str">
        <f>'iWork,IBP &amp; Framework_SOW Items'!E214</f>
        <v>Milestone 6</v>
      </c>
      <c r="C214" t="str">
        <f>'iWork,IBP &amp; Framework_SOW Items'!F214</f>
        <v>Delivered</v>
      </c>
      <c r="D214" t="str">
        <f>IFERROR(VLOOKUP(C214,Config!$A:$B,2,0),"Unknown")</f>
        <v>Delivered</v>
      </c>
      <c r="E214" t="str">
        <f>IFERROR(VLOOKUP(C214,Config!$A:$C,3,0),"N/A")</f>
        <v>Delivered</v>
      </c>
    </row>
    <row r="215" spans="1:5">
      <c r="A215" t="str">
        <f>'iWork,IBP &amp; Framework_SOW Items'!D215</f>
        <v>iWork</v>
      </c>
      <c r="B215" t="str">
        <f>'iWork,IBP &amp; Framework_SOW Items'!E215</f>
        <v>Milestone 6</v>
      </c>
      <c r="C215" t="str">
        <f>'iWork,IBP &amp; Framework_SOW Items'!F215</f>
        <v>Delivered</v>
      </c>
      <c r="D215" t="str">
        <f>IFERROR(VLOOKUP(C215,Config!$A:$B,2,0),"Unknown")</f>
        <v>Delivered</v>
      </c>
      <c r="E215" t="str">
        <f>IFERROR(VLOOKUP(C215,Config!$A:$C,3,0),"N/A")</f>
        <v>Delivered</v>
      </c>
    </row>
    <row r="216" spans="1:5">
      <c r="A216" t="str">
        <f>'iWork,IBP &amp; Framework_SOW Items'!D216</f>
        <v>iWork</v>
      </c>
      <c r="B216" t="str">
        <f>'iWork,IBP &amp; Framework_SOW Items'!E216</f>
        <v>Milestone 6</v>
      </c>
      <c r="C216" t="str">
        <f>'iWork,IBP &amp; Framework_SOW Items'!F216</f>
        <v>Delivered</v>
      </c>
      <c r="D216" t="str">
        <f>IFERROR(VLOOKUP(C216,Config!$A:$B,2,0),"Unknown")</f>
        <v>Delivered</v>
      </c>
      <c r="E216" t="str">
        <f>IFERROR(VLOOKUP(C216,Config!$A:$C,3,0),"N/A")</f>
        <v>Delivered</v>
      </c>
    </row>
    <row r="217" spans="1:5">
      <c r="A217" t="str">
        <f>'iWork,IBP &amp; Framework_SOW Items'!D217</f>
        <v>iWork</v>
      </c>
      <c r="B217" t="str">
        <f>'iWork,IBP &amp; Framework_SOW Items'!E217</f>
        <v>Milestone 6</v>
      </c>
      <c r="C217" t="str">
        <f>'iWork,IBP &amp; Framework_SOW Items'!F217</f>
        <v>Delivered</v>
      </c>
      <c r="D217" t="str">
        <f>IFERROR(VLOOKUP(C217,Config!$A:$B,2,0),"Unknown")</f>
        <v>Delivered</v>
      </c>
      <c r="E217" t="str">
        <f>IFERROR(VLOOKUP(C217,Config!$A:$C,3,0),"N/A")</f>
        <v>Delivered</v>
      </c>
    </row>
    <row r="218" spans="1:5">
      <c r="A218" t="str">
        <f>'iWork,IBP &amp; Framework_SOW Items'!D218</f>
        <v>iWork</v>
      </c>
      <c r="B218" t="str">
        <f>'iWork,IBP &amp; Framework_SOW Items'!E218</f>
        <v>Milestone 6</v>
      </c>
      <c r="C218" t="str">
        <f>'iWork,IBP &amp; Framework_SOW Items'!F218</f>
        <v>Delivered</v>
      </c>
      <c r="D218" t="str">
        <f>IFERROR(VLOOKUP(C218,Config!$A:$B,2,0),"Unknown")</f>
        <v>Delivered</v>
      </c>
      <c r="E218" t="str">
        <f>IFERROR(VLOOKUP(C218,Config!$A:$C,3,0),"N/A")</f>
        <v>Delivered</v>
      </c>
    </row>
    <row r="219" spans="1:5">
      <c r="A219" t="str">
        <f>'iWork,IBP &amp; Framework_SOW Items'!D219</f>
        <v>iWork</v>
      </c>
      <c r="B219" t="str">
        <f>'iWork,IBP &amp; Framework_SOW Items'!E219</f>
        <v>Milestone 6</v>
      </c>
      <c r="C219" t="str">
        <f>'iWork,IBP &amp; Framework_SOW Items'!F219</f>
        <v>Delivered</v>
      </c>
      <c r="D219" t="str">
        <f>IFERROR(VLOOKUP(C219,Config!$A:$B,2,0),"Unknown")</f>
        <v>Delivered</v>
      </c>
      <c r="E219" t="str">
        <f>IFERROR(VLOOKUP(C219,Config!$A:$C,3,0),"N/A")</f>
        <v>Delivered</v>
      </c>
    </row>
    <row r="220" spans="1:5">
      <c r="A220" t="str">
        <f>'iWork,IBP &amp; Framework_SOW Items'!D220</f>
        <v>iWork</v>
      </c>
      <c r="B220" t="str">
        <f>'iWork,IBP &amp; Framework_SOW Items'!E220</f>
        <v>Milestone 6</v>
      </c>
      <c r="C220" t="str">
        <f>'iWork,IBP &amp; Framework_SOW Items'!F220</f>
        <v>Delivered</v>
      </c>
      <c r="D220" t="str">
        <f>IFERROR(VLOOKUP(C220,Config!$A:$B,2,0),"Unknown")</f>
        <v>Delivered</v>
      </c>
      <c r="E220" t="str">
        <f>IFERROR(VLOOKUP(C220,Config!$A:$C,3,0),"N/A")</f>
        <v>Delivered</v>
      </c>
    </row>
    <row r="221" spans="1:5">
      <c r="A221" t="str">
        <f>'iWork,IBP &amp; Framework_SOW Items'!D221</f>
        <v>iWork</v>
      </c>
      <c r="B221" t="str">
        <f>'iWork,IBP &amp; Framework_SOW Items'!E221</f>
        <v>Milestone 6</v>
      </c>
      <c r="C221" t="str">
        <f>'iWork,IBP &amp; Framework_SOW Items'!F221</f>
        <v>Delivered</v>
      </c>
      <c r="D221" t="str">
        <f>IFERROR(VLOOKUP(C221,Config!$A:$B,2,0),"Unknown")</f>
        <v>Delivered</v>
      </c>
      <c r="E221" t="str">
        <f>IFERROR(VLOOKUP(C221,Config!$A:$C,3,0),"N/A")</f>
        <v>Delivered</v>
      </c>
    </row>
    <row r="222" spans="1:5">
      <c r="A222" t="str">
        <f>'iWork,IBP &amp; Framework_SOW Items'!D222</f>
        <v>iWork</v>
      </c>
      <c r="B222" t="str">
        <f>'iWork,IBP &amp; Framework_SOW Items'!E222</f>
        <v>Milestone 6</v>
      </c>
      <c r="C222" t="str">
        <f>'iWork,IBP &amp; Framework_SOW Items'!F222</f>
        <v>Delivered</v>
      </c>
      <c r="D222" t="str">
        <f>IFERROR(VLOOKUP(C222,Config!$A:$B,2,0),"Unknown")</f>
        <v>Delivered</v>
      </c>
      <c r="E222" t="str">
        <f>IFERROR(VLOOKUP(C222,Config!$A:$C,3,0),"N/A")</f>
        <v>Delivered</v>
      </c>
    </row>
    <row r="223" spans="1:5">
      <c r="A223" t="str">
        <f>'iWork,IBP &amp; Framework_SOW Items'!D223</f>
        <v>iWork</v>
      </c>
      <c r="B223" t="str">
        <f>'iWork,IBP &amp; Framework_SOW Items'!E223</f>
        <v>Milestone 6</v>
      </c>
      <c r="C223" t="str">
        <f>'iWork,IBP &amp; Framework_SOW Items'!F223</f>
        <v>Delivered</v>
      </c>
      <c r="D223" t="str">
        <f>IFERROR(VLOOKUP(C223,Config!$A:$B,2,0),"Unknown")</f>
        <v>Delivered</v>
      </c>
      <c r="E223" t="str">
        <f>IFERROR(VLOOKUP(C223,Config!$A:$C,3,0),"N/A")</f>
        <v>Delivered</v>
      </c>
    </row>
    <row r="224" spans="1:5">
      <c r="A224" t="str">
        <f>'iWork,IBP &amp; Framework_SOW Items'!D224</f>
        <v>iWork</v>
      </c>
      <c r="B224" t="str">
        <f>'iWork,IBP &amp; Framework_SOW Items'!E224</f>
        <v>Milestone 6</v>
      </c>
      <c r="C224" t="str">
        <f>'iWork,IBP &amp; Framework_SOW Items'!F224</f>
        <v>Delivered</v>
      </c>
      <c r="D224" t="str">
        <f>IFERROR(VLOOKUP(C224,Config!$A:$B,2,0),"Unknown")</f>
        <v>Delivered</v>
      </c>
      <c r="E224" t="str">
        <f>IFERROR(VLOOKUP(C224,Config!$A:$C,3,0),"N/A")</f>
        <v>Delivered</v>
      </c>
    </row>
    <row r="225" spans="1:5">
      <c r="A225" t="str">
        <f>'iWork,IBP &amp; Framework_SOW Items'!D225</f>
        <v>iWork</v>
      </c>
      <c r="B225" t="str">
        <f>'iWork,IBP &amp; Framework_SOW Items'!E225</f>
        <v>Milestone 6</v>
      </c>
      <c r="C225" t="str">
        <f>'iWork,IBP &amp; Framework_SOW Items'!F225</f>
        <v>Delivered</v>
      </c>
      <c r="D225" t="str">
        <f>IFERROR(VLOOKUP(C225,Config!$A:$B,2,0),"Unknown")</f>
        <v>Delivered</v>
      </c>
      <c r="E225" t="str">
        <f>IFERROR(VLOOKUP(C225,Config!$A:$C,3,0),"N/A")</f>
        <v>Delivered</v>
      </c>
    </row>
    <row r="226" spans="1:5">
      <c r="A226" t="str">
        <f>'iWork,IBP &amp; Framework_SOW Items'!D226</f>
        <v>iWork</v>
      </c>
      <c r="B226" t="str">
        <f>'iWork,IBP &amp; Framework_SOW Items'!E226</f>
        <v>Milestone 6</v>
      </c>
      <c r="C226" t="str">
        <f>'iWork,IBP &amp; Framework_SOW Items'!F226</f>
        <v>Delivered</v>
      </c>
      <c r="D226" t="str">
        <f>IFERROR(VLOOKUP(C226,Config!$A:$B,2,0),"Unknown")</f>
        <v>Delivered</v>
      </c>
      <c r="E226" t="str">
        <f>IFERROR(VLOOKUP(C226,Config!$A:$C,3,0),"N/A")</f>
        <v>Delivered</v>
      </c>
    </row>
    <row r="227" spans="1:5">
      <c r="A227" t="str">
        <f>'iWork,IBP &amp; Framework_SOW Items'!D227</f>
        <v>iWork</v>
      </c>
      <c r="B227" t="str">
        <f>'iWork,IBP &amp; Framework_SOW Items'!E227</f>
        <v>Milestone 6</v>
      </c>
      <c r="C227" t="str">
        <f>'iWork,IBP &amp; Framework_SOW Items'!F227</f>
        <v>Delivered</v>
      </c>
      <c r="D227" t="str">
        <f>IFERROR(VLOOKUP(C227,Config!$A:$B,2,0),"Unknown")</f>
        <v>Delivered</v>
      </c>
      <c r="E227" t="str">
        <f>IFERROR(VLOOKUP(C227,Config!$A:$C,3,0),"N/A")</f>
        <v>Delivered</v>
      </c>
    </row>
    <row r="228" spans="1:5">
      <c r="A228" t="str">
        <f>'iWork,IBP &amp; Framework_SOW Items'!D228</f>
        <v>iWork</v>
      </c>
      <c r="B228" t="str">
        <f>'iWork,IBP &amp; Framework_SOW Items'!E228</f>
        <v>Milestone 6</v>
      </c>
      <c r="C228" t="str">
        <f>'iWork,IBP &amp; Framework_SOW Items'!F228</f>
        <v>Delivered</v>
      </c>
      <c r="D228" t="str">
        <f>IFERROR(VLOOKUP(C228,Config!$A:$B,2,0),"Unknown")</f>
        <v>Delivered</v>
      </c>
      <c r="E228" t="str">
        <f>IFERROR(VLOOKUP(C228,Config!$A:$C,3,0),"N/A")</f>
        <v>Delivered</v>
      </c>
    </row>
    <row r="229" spans="1:5">
      <c r="A229" t="str">
        <f>'iWork,IBP &amp; Framework_SOW Items'!D229</f>
        <v>iWork</v>
      </c>
      <c r="B229" t="str">
        <f>'iWork,IBP &amp; Framework_SOW Items'!E229</f>
        <v>Milestone 6</v>
      </c>
      <c r="C229" t="str">
        <f>'iWork,IBP &amp; Framework_SOW Items'!F229</f>
        <v>Delivered</v>
      </c>
      <c r="D229" t="str">
        <f>IFERROR(VLOOKUP(C229,Config!$A:$B,2,0),"Unknown")</f>
        <v>Delivered</v>
      </c>
      <c r="E229" t="str">
        <f>IFERROR(VLOOKUP(C229,Config!$A:$C,3,0),"N/A")</f>
        <v>Delivered</v>
      </c>
    </row>
    <row r="230" spans="1:5">
      <c r="A230" t="str">
        <f>'iWork,IBP &amp; Framework_SOW Items'!D230</f>
        <v>iWork</v>
      </c>
      <c r="B230" t="str">
        <f>'iWork,IBP &amp; Framework_SOW Items'!E230</f>
        <v>Milestone 6</v>
      </c>
      <c r="C230" t="str">
        <f>'iWork,IBP &amp; Framework_SOW Items'!F230</f>
        <v>Delivered</v>
      </c>
      <c r="D230" t="str">
        <f>IFERROR(VLOOKUP(C230,Config!$A:$B,2,0),"Unknown")</f>
        <v>Delivered</v>
      </c>
      <c r="E230" t="str">
        <f>IFERROR(VLOOKUP(C230,Config!$A:$C,3,0),"N/A")</f>
        <v>Delivered</v>
      </c>
    </row>
    <row r="231" spans="1:5">
      <c r="A231" t="str">
        <f>'iWork,IBP &amp; Framework_SOW Items'!D231</f>
        <v>iWork</v>
      </c>
      <c r="B231" t="str">
        <f>'iWork,IBP &amp; Framework_SOW Items'!E231</f>
        <v>Milestone 6</v>
      </c>
      <c r="C231" t="str">
        <f>'iWork,IBP &amp; Framework_SOW Items'!F231</f>
        <v>Delivered</v>
      </c>
      <c r="D231" t="str">
        <f>IFERROR(VLOOKUP(C231,Config!$A:$B,2,0),"Unknown")</f>
        <v>Delivered</v>
      </c>
      <c r="E231" t="str">
        <f>IFERROR(VLOOKUP(C231,Config!$A:$C,3,0),"N/A")</f>
        <v>Delivered</v>
      </c>
    </row>
    <row r="232" spans="1:5">
      <c r="A232" t="str">
        <f>'iWork,IBP &amp; Framework_SOW Items'!D232</f>
        <v>iWork</v>
      </c>
      <c r="B232" t="str">
        <f>'iWork,IBP &amp; Framework_SOW Items'!E232</f>
        <v>Milestone 6</v>
      </c>
      <c r="C232" t="str">
        <f>'iWork,IBP &amp; Framework_SOW Items'!F232</f>
        <v>Delivered</v>
      </c>
      <c r="D232" t="str">
        <f>IFERROR(VLOOKUP(C232,Config!$A:$B,2,0),"Unknown")</f>
        <v>Delivered</v>
      </c>
      <c r="E232" t="str">
        <f>IFERROR(VLOOKUP(C232,Config!$A:$C,3,0),"N/A")</f>
        <v>Delivered</v>
      </c>
    </row>
    <row r="233" spans="1:5">
      <c r="A233" t="str">
        <f>'iWork,IBP &amp; Framework_SOW Items'!D233</f>
        <v>iWork</v>
      </c>
      <c r="B233" t="str">
        <f>'iWork,IBP &amp; Framework_SOW Items'!E233</f>
        <v>Milestone 6</v>
      </c>
      <c r="C233" t="str">
        <f>'iWork,IBP &amp; Framework_SOW Items'!F233</f>
        <v>Delivered</v>
      </c>
      <c r="D233" t="str">
        <f>IFERROR(VLOOKUP(C233,Config!$A:$B,2,0),"Unknown")</f>
        <v>Delivered</v>
      </c>
      <c r="E233" t="str">
        <f>IFERROR(VLOOKUP(C233,Config!$A:$C,3,0),"N/A")</f>
        <v>Delivered</v>
      </c>
    </row>
    <row r="234" spans="1:5">
      <c r="A234" t="str">
        <f>'iWork,IBP &amp; Framework_SOW Items'!D234</f>
        <v>iWork</v>
      </c>
      <c r="B234" t="str">
        <f>'iWork,IBP &amp; Framework_SOW Items'!E234</f>
        <v>Milestone 6</v>
      </c>
      <c r="C234" t="str">
        <f>'iWork,IBP &amp; Framework_SOW Items'!F234</f>
        <v>Delivered</v>
      </c>
      <c r="D234" t="str">
        <f>IFERROR(VLOOKUP(C234,Config!$A:$B,2,0),"Unknown")</f>
        <v>Delivered</v>
      </c>
      <c r="E234" t="str">
        <f>IFERROR(VLOOKUP(C234,Config!$A:$C,3,0),"N/A")</f>
        <v>Delivered</v>
      </c>
    </row>
    <row r="235" spans="1:5">
      <c r="A235" t="str">
        <f>'iWork,IBP &amp; Framework_SOW Items'!D235</f>
        <v>iWork</v>
      </c>
      <c r="B235" t="str">
        <f>'iWork,IBP &amp; Framework_SOW Items'!E235</f>
        <v>Milestone 6</v>
      </c>
      <c r="C235" t="str">
        <f>'iWork,IBP &amp; Framework_SOW Items'!F235</f>
        <v>Delivered</v>
      </c>
      <c r="D235" t="str">
        <f>IFERROR(VLOOKUP(C235,Config!$A:$B,2,0),"Unknown")</f>
        <v>Delivered</v>
      </c>
      <c r="E235" t="str">
        <f>IFERROR(VLOOKUP(C235,Config!$A:$C,3,0),"N/A")</f>
        <v>Delivered</v>
      </c>
    </row>
    <row r="236" spans="1:5">
      <c r="A236" t="str">
        <f>'iWork,IBP &amp; Framework_SOW Items'!D236</f>
        <v>iWork</v>
      </c>
      <c r="B236" t="str">
        <f>'iWork,IBP &amp; Framework_SOW Items'!E236</f>
        <v>Milestone 6</v>
      </c>
      <c r="C236" t="str">
        <f>'iWork,IBP &amp; Framework_SOW Items'!F236</f>
        <v>Delivered</v>
      </c>
      <c r="D236" t="str">
        <f>IFERROR(VLOOKUP(C236,Config!$A:$B,2,0),"Unknown")</f>
        <v>Delivered</v>
      </c>
      <c r="E236" t="str">
        <f>IFERROR(VLOOKUP(C236,Config!$A:$C,3,0),"N/A")</f>
        <v>Delivered</v>
      </c>
    </row>
    <row r="237" spans="1:5">
      <c r="A237" t="str">
        <f>'iWork,IBP &amp; Framework_SOW Items'!D237</f>
        <v>iWork</v>
      </c>
      <c r="B237" t="str">
        <f>'iWork,IBP &amp; Framework_SOW Items'!E237</f>
        <v>Milestone 6</v>
      </c>
      <c r="C237" t="str">
        <f>'iWork,IBP &amp; Framework_SOW Items'!F237</f>
        <v>Delivered</v>
      </c>
      <c r="D237" t="str">
        <f>IFERROR(VLOOKUP(C237,Config!$A:$B,2,0),"Unknown")</f>
        <v>Delivered</v>
      </c>
      <c r="E237" t="str">
        <f>IFERROR(VLOOKUP(C237,Config!$A:$C,3,0),"N/A")</f>
        <v>Delivered</v>
      </c>
    </row>
    <row r="238" spans="1:5">
      <c r="A238" t="str">
        <f>'iWork,IBP &amp; Framework_SOW Items'!D238</f>
        <v>iWork</v>
      </c>
      <c r="B238" t="str">
        <f>'iWork,IBP &amp; Framework_SOW Items'!E238</f>
        <v>Milestone 6</v>
      </c>
      <c r="C238" t="str">
        <f>'iWork,IBP &amp; Framework_SOW Items'!F238</f>
        <v>Delivered</v>
      </c>
      <c r="D238" t="str">
        <f>IFERROR(VLOOKUP(C238,Config!$A:$B,2,0),"Unknown")</f>
        <v>Delivered</v>
      </c>
      <c r="E238" t="str">
        <f>IFERROR(VLOOKUP(C238,Config!$A:$C,3,0),"N/A")</f>
        <v>Delivered</v>
      </c>
    </row>
    <row r="239" spans="1:5">
      <c r="A239" t="str">
        <f>'iWork,IBP &amp; Framework_SOW Items'!D239</f>
        <v>iWork</v>
      </c>
      <c r="B239" t="str">
        <f>'iWork,IBP &amp; Framework_SOW Items'!E239</f>
        <v>Milestone 6</v>
      </c>
      <c r="C239" t="str">
        <f>'iWork,IBP &amp; Framework_SOW Items'!F239</f>
        <v>Delivered</v>
      </c>
      <c r="D239" t="str">
        <f>IFERROR(VLOOKUP(C239,Config!$A:$B,2,0),"Unknown")</f>
        <v>Delivered</v>
      </c>
      <c r="E239" t="str">
        <f>IFERROR(VLOOKUP(C239,Config!$A:$C,3,0),"N/A")</f>
        <v>Delivered</v>
      </c>
    </row>
    <row r="240" spans="1:5">
      <c r="A240" t="str">
        <f>'iWork,IBP &amp; Framework_SOW Items'!D240</f>
        <v>iWork</v>
      </c>
      <c r="B240" t="str">
        <f>'iWork,IBP &amp; Framework_SOW Items'!E240</f>
        <v>Milestone 6</v>
      </c>
      <c r="C240" t="str">
        <f>'iWork,IBP &amp; Framework_SOW Items'!F240</f>
        <v>Delivered</v>
      </c>
      <c r="D240" t="str">
        <f>IFERROR(VLOOKUP(C240,Config!$A:$B,2,0),"Unknown")</f>
        <v>Delivered</v>
      </c>
      <c r="E240" t="str">
        <f>IFERROR(VLOOKUP(C240,Config!$A:$C,3,0),"N/A")</f>
        <v>Delivered</v>
      </c>
    </row>
    <row r="241" spans="1:5">
      <c r="A241" t="str">
        <f>'iWork,IBP &amp; Framework_SOW Items'!D241</f>
        <v>iWork</v>
      </c>
      <c r="B241" t="str">
        <f>'iWork,IBP &amp; Framework_SOW Items'!E241</f>
        <v>Milestone 6</v>
      </c>
      <c r="C241" t="str">
        <f>'iWork,IBP &amp; Framework_SOW Items'!F241</f>
        <v>Delivered</v>
      </c>
      <c r="D241" t="str">
        <f>IFERROR(VLOOKUP(C241,Config!$A:$B,2,0),"Unknown")</f>
        <v>Delivered</v>
      </c>
      <c r="E241" t="str">
        <f>IFERROR(VLOOKUP(C241,Config!$A:$C,3,0),"N/A")</f>
        <v>Delivered</v>
      </c>
    </row>
    <row r="242" spans="1:5">
      <c r="A242" t="str">
        <f>'iWork,IBP &amp; Framework_SOW Items'!D242</f>
        <v>iWork</v>
      </c>
      <c r="B242" t="str">
        <f>'iWork,IBP &amp; Framework_SOW Items'!E242</f>
        <v>Milestone 6</v>
      </c>
      <c r="C242" t="str">
        <f>'iWork,IBP &amp; Framework_SOW Items'!F242</f>
        <v>Delivered</v>
      </c>
      <c r="D242" t="str">
        <f>IFERROR(VLOOKUP(C242,Config!$A:$B,2,0),"Unknown")</f>
        <v>Delivered</v>
      </c>
      <c r="E242" t="str">
        <f>IFERROR(VLOOKUP(C242,Config!$A:$C,3,0),"N/A")</f>
        <v>Delivered</v>
      </c>
    </row>
    <row r="243" spans="1:5">
      <c r="A243" t="str">
        <f>'iWork,IBP &amp; Framework_SOW Items'!D243</f>
        <v>iWork</v>
      </c>
      <c r="B243" t="str">
        <f>'iWork,IBP &amp; Framework_SOW Items'!E243</f>
        <v>Milestone 6</v>
      </c>
      <c r="C243" t="str">
        <f>'iWork,IBP &amp; Framework_SOW Items'!F243</f>
        <v>Delivered - Deficit</v>
      </c>
      <c r="D243" t="str">
        <f>IFERROR(VLOOKUP(C243,Config!$A:$B,2,0),"Unknown")</f>
        <v>Partial Delivery</v>
      </c>
      <c r="E243" t="str">
        <f>IFERROR(VLOOKUP(C243,Config!$A:$C,3,0),"N/A")</f>
        <v>Pending</v>
      </c>
    </row>
    <row r="244" spans="1:5">
      <c r="A244" t="str">
        <f>'iWork,IBP &amp; Framework_SOW Items'!D244</f>
        <v>iWork</v>
      </c>
      <c r="B244" t="str">
        <f>'iWork,IBP &amp; Framework_SOW Items'!E244</f>
        <v>Milestone 6</v>
      </c>
      <c r="C244" t="str">
        <f>'iWork,IBP &amp; Framework_SOW Items'!F244</f>
        <v>Delivered</v>
      </c>
      <c r="D244" t="str">
        <f>IFERROR(VLOOKUP(C244,Config!$A:$B,2,0),"Unknown")</f>
        <v>Delivered</v>
      </c>
      <c r="E244" t="str">
        <f>IFERROR(VLOOKUP(C244,Config!$A:$C,3,0),"N/A")</f>
        <v>Delivered</v>
      </c>
    </row>
    <row r="245" spans="1:5">
      <c r="A245" t="str">
        <f>'iWork,IBP &amp; Framework_SOW Items'!D245</f>
        <v>iWork</v>
      </c>
      <c r="B245" t="str">
        <f>'iWork,IBP &amp; Framework_SOW Items'!E245</f>
        <v>Milestone 6</v>
      </c>
      <c r="C245" t="str">
        <f>'iWork,IBP &amp; Framework_SOW Items'!F245</f>
        <v>Yet to start</v>
      </c>
      <c r="D245" t="str">
        <f>IFERROR(VLOOKUP(C245,Config!$A:$B,2,0),"Unknown")</f>
        <v>Not Started</v>
      </c>
      <c r="E245" t="str">
        <f>IFERROR(VLOOKUP(C245,Config!$A:$C,3,0),"N/A")</f>
        <v>Pending</v>
      </c>
    </row>
    <row r="246" spans="1:5">
      <c r="A246" t="str">
        <f>'iWork,IBP &amp; Framework_SOW Items'!D246</f>
        <v>iWork</v>
      </c>
      <c r="B246" t="str">
        <f>'iWork,IBP &amp; Framework_SOW Items'!E246</f>
        <v>Milestone 6</v>
      </c>
      <c r="C246" t="str">
        <f>'iWork,IBP &amp; Framework_SOW Items'!F246</f>
        <v>Yet to start</v>
      </c>
      <c r="D246" t="str">
        <f>IFERROR(VLOOKUP(C246,Config!$A:$B,2,0),"Unknown")</f>
        <v>Not Started</v>
      </c>
      <c r="E246" t="str">
        <f>IFERROR(VLOOKUP(C246,Config!$A:$C,3,0),"N/A")</f>
        <v>Pending</v>
      </c>
    </row>
    <row r="247" spans="1:5">
      <c r="A247" t="str">
        <f>'iWork,IBP &amp; Framework_SOW Items'!D247</f>
        <v>iWork</v>
      </c>
      <c r="B247" t="str">
        <f>'iWork,IBP &amp; Framework_SOW Items'!E247</f>
        <v>Milestone 6</v>
      </c>
      <c r="C247" t="str">
        <f>'iWork,IBP &amp; Framework_SOW Items'!F247</f>
        <v>Yet to start</v>
      </c>
      <c r="D247" t="str">
        <f>IFERROR(VLOOKUP(C247,Config!$A:$B,2,0),"Unknown")</f>
        <v>Not Started</v>
      </c>
      <c r="E247" t="str">
        <f>IFERROR(VLOOKUP(C247,Config!$A:$C,3,0),"N/A")</f>
        <v>Pending</v>
      </c>
    </row>
    <row r="248" spans="1:5">
      <c r="A248" t="str">
        <f>'iWork,IBP &amp; Framework_SOW Items'!D248</f>
        <v>iWork</v>
      </c>
      <c r="B248" t="str">
        <f>'iWork,IBP &amp; Framework_SOW Items'!E248</f>
        <v>Milestone 6</v>
      </c>
      <c r="C248" t="str">
        <f>'iWork,IBP &amp; Framework_SOW Items'!F248</f>
        <v>Delivered</v>
      </c>
      <c r="D248" t="str">
        <f>IFERROR(VLOOKUP(C248,Config!$A:$B,2,0),"Unknown")</f>
        <v>Delivered</v>
      </c>
      <c r="E248" t="str">
        <f>IFERROR(VLOOKUP(C248,Config!$A:$C,3,0),"N/A")</f>
        <v>Delivered</v>
      </c>
    </row>
    <row r="249" spans="1:5">
      <c r="A249" t="str">
        <f>'iWork,IBP &amp; Framework_SOW Items'!D249</f>
        <v>iWork</v>
      </c>
      <c r="B249" t="str">
        <f>'iWork,IBP &amp; Framework_SOW Items'!E249</f>
        <v>Milestone 6</v>
      </c>
      <c r="C249" t="str">
        <f>'iWork,IBP &amp; Framework_SOW Items'!F249</f>
        <v>Delivered</v>
      </c>
      <c r="D249" t="str">
        <f>IFERROR(VLOOKUP(C249,Config!$A:$B,2,0),"Unknown")</f>
        <v>Delivered</v>
      </c>
      <c r="E249" t="str">
        <f>IFERROR(VLOOKUP(C249,Config!$A:$C,3,0),"N/A")</f>
        <v>Delivered</v>
      </c>
    </row>
    <row r="250" spans="1:5">
      <c r="A250" t="str">
        <f>'iWork,IBP &amp; Framework_SOW Items'!D250</f>
        <v>iWork</v>
      </c>
      <c r="B250" t="str">
        <f>'iWork,IBP &amp; Framework_SOW Items'!E250</f>
        <v>Milestone 6</v>
      </c>
      <c r="C250" t="str">
        <f>'iWork,IBP &amp; Framework_SOW Items'!F250</f>
        <v>Yet to start</v>
      </c>
      <c r="D250" t="str">
        <f>IFERROR(VLOOKUP(C250,Config!$A:$B,2,0),"Unknown")</f>
        <v>Not Started</v>
      </c>
      <c r="E250" t="str">
        <f>IFERROR(VLOOKUP(C250,Config!$A:$C,3,0),"N/A")</f>
        <v>Pending</v>
      </c>
    </row>
    <row r="251" spans="1:5">
      <c r="A251" t="str">
        <f>'iWork,IBP &amp; Framework_SOW Items'!D251</f>
        <v>iWork</v>
      </c>
      <c r="B251" t="str">
        <f>'iWork,IBP &amp; Framework_SOW Items'!E251</f>
        <v>Milestone 6</v>
      </c>
      <c r="C251" t="str">
        <f>'iWork,IBP &amp; Framework_SOW Items'!F251</f>
        <v>Yet to start</v>
      </c>
      <c r="D251" t="str">
        <f>IFERROR(VLOOKUP(C251,Config!$A:$B,2,0),"Unknown")</f>
        <v>Not Started</v>
      </c>
      <c r="E251" t="str">
        <f>IFERROR(VLOOKUP(C251,Config!$A:$C,3,0),"N/A")</f>
        <v>Pending</v>
      </c>
    </row>
    <row r="252" spans="1:5">
      <c r="A252" t="str">
        <f>'iWork,IBP &amp; Framework_SOW Items'!D252</f>
        <v>iWork</v>
      </c>
      <c r="B252" t="str">
        <f>'iWork,IBP &amp; Framework_SOW Items'!E252</f>
        <v>Milestone 6</v>
      </c>
      <c r="C252" t="str">
        <f>'iWork,IBP &amp; Framework_SOW Items'!F252</f>
        <v>Yet to start</v>
      </c>
      <c r="D252" t="str">
        <f>IFERROR(VLOOKUP(C252,Config!$A:$B,2,0),"Unknown")</f>
        <v>Not Started</v>
      </c>
      <c r="E252" t="str">
        <f>IFERROR(VLOOKUP(C252,Config!$A:$C,3,0),"N/A")</f>
        <v>Pending</v>
      </c>
    </row>
    <row r="253" spans="1:5">
      <c r="A253" t="str">
        <f>'iWork,IBP &amp; Framework_SOW Items'!D253</f>
        <v>iWork</v>
      </c>
      <c r="B253" t="str">
        <f>'iWork,IBP &amp; Framework_SOW Items'!E253</f>
        <v>Milestone 6</v>
      </c>
      <c r="C253" t="str">
        <f>'iWork,IBP &amp; Framework_SOW Items'!F253</f>
        <v>Yet to start</v>
      </c>
      <c r="D253" t="str">
        <f>IFERROR(VLOOKUP(C253,Config!$A:$B,2,0),"Unknown")</f>
        <v>Not Started</v>
      </c>
      <c r="E253" t="str">
        <f>IFERROR(VLOOKUP(C253,Config!$A:$C,3,0),"N/A")</f>
        <v>Pending</v>
      </c>
    </row>
    <row r="254" spans="1:5">
      <c r="A254" t="str">
        <f>'iWork,IBP &amp; Framework_SOW Items'!D254</f>
        <v>iWork - CR</v>
      </c>
      <c r="B254" t="str">
        <f>'iWork,IBP &amp; Framework_SOW Items'!E254</f>
        <v>Milestone 6</v>
      </c>
      <c r="C254" t="str">
        <f>'iWork,IBP &amp; Framework_SOW Items'!F254</f>
        <v>Delivered</v>
      </c>
      <c r="D254" t="str">
        <f>IFERROR(VLOOKUP(C254,Config!$A:$B,2,0),"Unknown")</f>
        <v>Delivered</v>
      </c>
      <c r="E254" t="str">
        <f>IFERROR(VLOOKUP(C254,Config!$A:$C,3,0),"N/A")</f>
        <v>Delivered</v>
      </c>
    </row>
    <row r="255" spans="1:5">
      <c r="A255" t="str">
        <f>'iWork,IBP &amp; Framework_SOW Items'!D255</f>
        <v>iWork - CR</v>
      </c>
      <c r="B255" t="str">
        <f>'iWork,IBP &amp; Framework_SOW Items'!E255</f>
        <v>Milestone 6</v>
      </c>
      <c r="C255" t="str">
        <f>'iWork,IBP &amp; Framework_SOW Items'!F255</f>
        <v>Delivered</v>
      </c>
      <c r="D255" t="str">
        <f>IFERROR(VLOOKUP(C255,Config!$A:$B,2,0),"Unknown")</f>
        <v>Delivered</v>
      </c>
      <c r="E255" t="str">
        <f>IFERROR(VLOOKUP(C255,Config!$A:$C,3,0),"N/A")</f>
        <v>Delivered</v>
      </c>
    </row>
    <row r="256" spans="1:5">
      <c r="A256" t="str">
        <f>'iWork,IBP &amp; Framework_SOW Items'!D256</f>
        <v>iWork - CR</v>
      </c>
      <c r="B256" t="str">
        <f>'iWork,IBP &amp; Framework_SOW Items'!E256</f>
        <v>Milestone 6</v>
      </c>
      <c r="C256" t="str">
        <f>'iWork,IBP &amp; Framework_SOW Items'!F256</f>
        <v>Yet to start</v>
      </c>
      <c r="D256" t="str">
        <f>IFERROR(VLOOKUP(C256,Config!$A:$B,2,0),"Unknown")</f>
        <v>Not Started</v>
      </c>
      <c r="E256" t="str">
        <f>IFERROR(VLOOKUP(C256,Config!$A:$C,3,0),"N/A")</f>
        <v>Pending</v>
      </c>
    </row>
    <row r="257" spans="1:5">
      <c r="A257" t="str">
        <f>'iWork,IBP &amp; Framework_SOW Items'!D257</f>
        <v>iWork - CR</v>
      </c>
      <c r="B257" t="str">
        <f>'iWork,IBP &amp; Framework_SOW Items'!E257</f>
        <v>Milestone 6</v>
      </c>
      <c r="C257" t="str">
        <f>'iWork,IBP &amp; Framework_SOW Items'!F257</f>
        <v>Dev - Done</v>
      </c>
      <c r="D257" t="str">
        <f>IFERROR(VLOOKUP(C257,Config!$A:$B,2,0),"Unknown")</f>
        <v>Dev Complete</v>
      </c>
      <c r="E257" t="str">
        <f>IFERROR(VLOOKUP(C257,Config!$A:$C,3,0),"N/A")</f>
        <v>Delivered</v>
      </c>
    </row>
    <row r="258" spans="1:5">
      <c r="A258" t="str">
        <f>'iWork,IBP &amp; Framework_SOW Items'!D258</f>
        <v>iWork - CR</v>
      </c>
      <c r="B258" t="str">
        <f>'iWork,IBP &amp; Framework_SOW Items'!E258</f>
        <v>Milestone 6</v>
      </c>
      <c r="C258" t="str">
        <f>'iWork,IBP &amp; Framework_SOW Items'!F258</f>
        <v>QA - WIP</v>
      </c>
      <c r="D258" t="str">
        <f>IFERROR(VLOOKUP(C258,Config!$A:$B,2,0),"Unknown")</f>
        <v>In QA</v>
      </c>
      <c r="E258" t="str">
        <f>IFERROR(VLOOKUP(C258,Config!$A:$C,3,0),"N/A")</f>
        <v>Pending</v>
      </c>
    </row>
    <row r="259" spans="1:5">
      <c r="A259" t="str">
        <f>'iWork,IBP &amp; Framework_SOW Items'!D259</f>
        <v>iWork - CR</v>
      </c>
      <c r="B259" t="str">
        <f>'iWork,IBP &amp; Framework_SOW Items'!E259</f>
        <v>Milestone 6</v>
      </c>
      <c r="C259" t="str">
        <f>'iWork,IBP &amp; Framework_SOW Items'!F259</f>
        <v>Yet to start</v>
      </c>
      <c r="D259" t="str">
        <f>IFERROR(VLOOKUP(C259,Config!$A:$B,2,0),"Unknown")</f>
        <v>Not Started</v>
      </c>
      <c r="E259" t="str">
        <f>IFERROR(VLOOKUP(C259,Config!$A:$C,3,0),"N/A")</f>
        <v>Pending</v>
      </c>
    </row>
    <row r="260" spans="1:5">
      <c r="A260" t="str">
        <f>'iWork,IBP &amp; Framework_SOW Items'!D260</f>
        <v>iWork - CR</v>
      </c>
      <c r="B260" t="str">
        <f>'iWork,IBP &amp; Framework_SOW Items'!E260</f>
        <v>Milestone 6</v>
      </c>
      <c r="C260" t="str">
        <f>'iWork,IBP &amp; Framework_SOW Items'!F260</f>
        <v>Yet to start</v>
      </c>
      <c r="D260" t="str">
        <f>IFERROR(VLOOKUP(C260,Config!$A:$B,2,0),"Unknown")</f>
        <v>Not Started</v>
      </c>
      <c r="E260" t="str">
        <f>IFERROR(VLOOKUP(C260,Config!$A:$C,3,0),"N/A")</f>
        <v>Pending</v>
      </c>
    </row>
    <row r="261" spans="1:5">
      <c r="A261" t="str">
        <f>'iWork,IBP &amp; Framework_SOW Items'!D261</f>
        <v>iWork - CR</v>
      </c>
      <c r="B261" t="str">
        <f>'iWork,IBP &amp; Framework_SOW Items'!E261</f>
        <v>Milestone 6</v>
      </c>
      <c r="C261" t="str">
        <f>'iWork,IBP &amp; Framework_SOW Items'!F261</f>
        <v>Yet to start</v>
      </c>
      <c r="D261" t="str">
        <f>IFERROR(VLOOKUP(C261,Config!$A:$B,2,0),"Unknown")</f>
        <v>Not Started</v>
      </c>
      <c r="E261" t="str">
        <f>IFERROR(VLOOKUP(C261,Config!$A:$C,3,0),"N/A")</f>
        <v>Pending</v>
      </c>
    </row>
    <row r="262" spans="1:5">
      <c r="A262" t="e">
        <f>'iWork,IBP &amp; Framework_SOW Items'!#REF!</f>
        <v>#REF!</v>
      </c>
      <c r="B262" t="e">
        <f>'iWork,IBP &amp; Framework_SOW Items'!#REF!</f>
        <v>#REF!</v>
      </c>
      <c r="C262" t="e">
        <f>'iWork,IBP &amp; Framework_SOW Items'!#REF!</f>
        <v>#REF!</v>
      </c>
      <c r="D262" t="str">
        <f>IFERROR(VLOOKUP(C262,Config!$A:$B,2,0),"Unknown")</f>
        <v>Unknown</v>
      </c>
      <c r="E262" t="str">
        <f>IFERROR(VLOOKUP(C262,Config!$A:$C,3,0),"N/A")</f>
        <v>N/A</v>
      </c>
    </row>
    <row r="263" spans="1:5">
      <c r="A263" t="e">
        <f>'iWork,IBP &amp; Framework_SOW Items'!#REF!</f>
        <v>#REF!</v>
      </c>
      <c r="B263" t="e">
        <f>'iWork,IBP &amp; Framework_SOW Items'!#REF!</f>
        <v>#REF!</v>
      </c>
      <c r="C263" t="e">
        <f>'iWork,IBP &amp; Framework_SOW Items'!#REF!</f>
        <v>#REF!</v>
      </c>
      <c r="D263" t="str">
        <f>IFERROR(VLOOKUP(C263,Config!$A:$B,2,0),"Unknown")</f>
        <v>Unknown</v>
      </c>
      <c r="E263" t="str">
        <f>IFERROR(VLOOKUP(C263,Config!$A:$C,3,0),"N/A")</f>
        <v>N/A</v>
      </c>
    </row>
    <row r="264" spans="1:5">
      <c r="A264" t="e">
        <f>'iWork,IBP &amp; Framework_SOW Items'!#REF!</f>
        <v>#REF!</v>
      </c>
      <c r="B264" t="e">
        <f>'iWork,IBP &amp; Framework_SOW Items'!#REF!</f>
        <v>#REF!</v>
      </c>
      <c r="C264" t="e">
        <f>'iWork,IBP &amp; Framework_SOW Items'!#REF!</f>
        <v>#REF!</v>
      </c>
      <c r="D264" t="str">
        <f>IFERROR(VLOOKUP(C264,Config!$A:$B,2,0),"Unknown")</f>
        <v>Unknown</v>
      </c>
      <c r="E264" t="str">
        <f>IFERROR(VLOOKUP(C264,Config!$A:$C,3,0),"N/A")</f>
        <v>N/A</v>
      </c>
    </row>
    <row r="265" spans="1:5">
      <c r="A265" t="e">
        <f>'iWork,IBP &amp; Framework_SOW Items'!#REF!</f>
        <v>#REF!</v>
      </c>
      <c r="B265" t="e">
        <f>'iWork,IBP &amp; Framework_SOW Items'!#REF!</f>
        <v>#REF!</v>
      </c>
      <c r="C265" t="e">
        <f>'iWork,IBP &amp; Framework_SOW Items'!#REF!</f>
        <v>#REF!</v>
      </c>
      <c r="D265" t="str">
        <f>IFERROR(VLOOKUP(C265,Config!$A:$B,2,0),"Unknown")</f>
        <v>Unknown</v>
      </c>
      <c r="E265" t="str">
        <f>IFERROR(VLOOKUP(C265,Config!$A:$C,3,0),"N/A")</f>
        <v>N/A</v>
      </c>
    </row>
    <row r="266" spans="1:5">
      <c r="A266">
        <f>'iWork,IBP &amp; Framework_SOW Items'!D266</f>
        <v>0</v>
      </c>
      <c r="B266">
        <f>'iWork,IBP &amp; Framework_SOW Items'!E266</f>
        <v>0</v>
      </c>
      <c r="C266">
        <f>'iWork,IBP &amp; Framework_SOW Items'!F266</f>
        <v>0</v>
      </c>
      <c r="D266" t="str">
        <f>IFERROR(VLOOKUP(C266,Config!$A:$B,2,0),"Unknown")</f>
        <v>Unknown</v>
      </c>
      <c r="E266" t="str">
        <f>IFERROR(VLOOKUP(C266,Config!$A:$C,3,0),"N/A")</f>
        <v>N/A</v>
      </c>
    </row>
    <row r="267" spans="1:5">
      <c r="A267">
        <f>'iWork,IBP &amp; Framework_SOW Items'!D267</f>
        <v>0</v>
      </c>
      <c r="B267">
        <f>'iWork,IBP &amp; Framework_SOW Items'!E267</f>
        <v>0</v>
      </c>
      <c r="C267">
        <f>'iWork,IBP &amp; Framework_SOW Items'!F267</f>
        <v>0</v>
      </c>
      <c r="D267" t="str">
        <f>IFERROR(VLOOKUP(C267,Config!$A:$B,2,0),"Unknown")</f>
        <v>Unknown</v>
      </c>
      <c r="E267" t="str">
        <f>IFERROR(VLOOKUP(C267,Config!$A:$C,3,0),"N/A")</f>
        <v>N/A</v>
      </c>
    </row>
    <row r="268" spans="1:5">
      <c r="A268">
        <f>'iWork,IBP &amp; Framework_SOW Items'!D268</f>
        <v>0</v>
      </c>
      <c r="B268">
        <f>'iWork,IBP &amp; Framework_SOW Items'!E268</f>
        <v>0</v>
      </c>
      <c r="C268">
        <f>'iWork,IBP &amp; Framework_SOW Items'!F268</f>
        <v>0</v>
      </c>
      <c r="D268" t="str">
        <f>IFERROR(VLOOKUP(C268,Config!$A:$B,2,0),"Unknown")</f>
        <v>Unknown</v>
      </c>
      <c r="E268" t="str">
        <f>IFERROR(VLOOKUP(C268,Config!$A:$C,3,0),"N/A")</f>
        <v>N/A</v>
      </c>
    </row>
    <row r="269" spans="1:5">
      <c r="A269">
        <f>'iWork,IBP &amp; Framework_SOW Items'!D270</f>
        <v>0</v>
      </c>
      <c r="B269">
        <f>'iWork,IBP &amp; Framework_SOW Items'!E270</f>
        <v>0</v>
      </c>
      <c r="C269">
        <f>'iWork,IBP &amp; Framework_SOW Items'!F270</f>
        <v>0</v>
      </c>
      <c r="D269" t="str">
        <f>IFERROR(VLOOKUP(C269,Config!$A:$B,2,0),"Unknown")</f>
        <v>Unknown</v>
      </c>
      <c r="E269" t="str">
        <f>IFERROR(VLOOKUP(C269,Config!$A:$C,3,0),"N/A")</f>
        <v>N/A</v>
      </c>
    </row>
    <row r="270" spans="1:5">
      <c r="A270">
        <f>'iWork,IBP &amp; Framework_SOW Items'!D271</f>
        <v>0</v>
      </c>
      <c r="B270">
        <f>'iWork,IBP &amp; Framework_SOW Items'!E271</f>
        <v>0</v>
      </c>
      <c r="C270">
        <f>'iWork,IBP &amp; Framework_SOW Items'!F271</f>
        <v>0</v>
      </c>
      <c r="D270" t="str">
        <f>IFERROR(VLOOKUP(C270,Config!$A:$B,2,0),"Unknown")</f>
        <v>Unknown</v>
      </c>
      <c r="E270" t="str">
        <f>IFERROR(VLOOKUP(C270,Config!$A:$C,3,0),"N/A")</f>
        <v>N/A</v>
      </c>
    </row>
    <row r="271" spans="1:5">
      <c r="A271">
        <f>'iWork,IBP &amp; Framework_SOW Items'!D272</f>
        <v>0</v>
      </c>
      <c r="B271">
        <f>'iWork,IBP &amp; Framework_SOW Items'!E272</f>
        <v>0</v>
      </c>
      <c r="C271">
        <f>'iWork,IBP &amp; Framework_SOW Items'!F272</f>
        <v>0</v>
      </c>
      <c r="D271" t="str">
        <f>IFERROR(VLOOKUP(C271,Config!$A:$B,2,0),"Unknown")</f>
        <v>Unknown</v>
      </c>
      <c r="E271" t="str">
        <f>IFERROR(VLOOKUP(C271,Config!$A:$C,3,0),"N/A")</f>
        <v>N/A</v>
      </c>
    </row>
    <row r="272" spans="1:5">
      <c r="A272">
        <f>'iWork,IBP &amp; Framework_SOW Items'!D273</f>
        <v>0</v>
      </c>
      <c r="B272">
        <f>'iWork,IBP &amp; Framework_SOW Items'!E273</f>
        <v>0</v>
      </c>
      <c r="C272">
        <f>'iWork,IBP &amp; Framework_SOW Items'!F273</f>
        <v>0</v>
      </c>
      <c r="D272" t="str">
        <f>IFERROR(VLOOKUP(C272,Config!$A:$B,2,0),"Unknown")</f>
        <v>Unknown</v>
      </c>
      <c r="E272" t="str">
        <f>IFERROR(VLOOKUP(C272,Config!$A:$C,3,0),"N/A")</f>
        <v>N/A</v>
      </c>
    </row>
    <row r="273" spans="1:5">
      <c r="A273">
        <f>'iWork,IBP &amp; Framework_SOW Items'!D274</f>
        <v>0</v>
      </c>
      <c r="B273">
        <f>'iWork,IBP &amp; Framework_SOW Items'!E274</f>
        <v>0</v>
      </c>
      <c r="C273">
        <f>'iWork,IBP &amp; Framework_SOW Items'!F274</f>
        <v>0</v>
      </c>
      <c r="D273" t="str">
        <f>IFERROR(VLOOKUP(C273,Config!$A:$B,2,0),"Unknown")</f>
        <v>Unknown</v>
      </c>
      <c r="E273" t="str">
        <f>IFERROR(VLOOKUP(C273,Config!$A:$C,3,0),"N/A")</f>
        <v>N/A</v>
      </c>
    </row>
    <row r="274" spans="1:5">
      <c r="A274">
        <f>'iWork,IBP &amp; Framework_SOW Items'!D275</f>
        <v>0</v>
      </c>
      <c r="B274">
        <f>'iWork,IBP &amp; Framework_SOW Items'!E275</f>
        <v>0</v>
      </c>
      <c r="C274">
        <f>'iWork,IBP &amp; Framework_SOW Items'!F275</f>
        <v>0</v>
      </c>
      <c r="D274" t="str">
        <f>IFERROR(VLOOKUP(C274,Config!$A:$B,2,0),"Unknown")</f>
        <v>Unknown</v>
      </c>
      <c r="E274" t="str">
        <f>IFERROR(VLOOKUP(C274,Config!$A:$C,3,0),"N/A")</f>
        <v>N/A</v>
      </c>
    </row>
    <row r="275" spans="1:5">
      <c r="A275">
        <f>'iWork,IBP &amp; Framework_SOW Items'!D276</f>
        <v>0</v>
      </c>
      <c r="B275">
        <f>'iWork,IBP &amp; Framework_SOW Items'!E276</f>
        <v>0</v>
      </c>
      <c r="C275">
        <f>'iWork,IBP &amp; Framework_SOW Items'!F276</f>
        <v>0</v>
      </c>
      <c r="D275" t="str">
        <f>IFERROR(VLOOKUP(C275,Config!$A:$B,2,0),"Unknown")</f>
        <v>Unknown</v>
      </c>
      <c r="E275" t="str">
        <f>IFERROR(VLOOKUP(C275,Config!$A:$C,3,0),"N/A")</f>
        <v>N/A</v>
      </c>
    </row>
    <row r="276" spans="1:5">
      <c r="A276">
        <f>'iWork,IBP &amp; Framework_SOW Items'!D277</f>
        <v>0</v>
      </c>
      <c r="B276">
        <f>'iWork,IBP &amp; Framework_SOW Items'!E277</f>
        <v>0</v>
      </c>
      <c r="C276">
        <f>'iWork,IBP &amp; Framework_SOW Items'!F277</f>
        <v>0</v>
      </c>
      <c r="D276" t="str">
        <f>IFERROR(VLOOKUP(C276,Config!$A:$B,2,0),"Unknown")</f>
        <v>Unknown</v>
      </c>
      <c r="E276" t="str">
        <f>IFERROR(VLOOKUP(C276,Config!$A:$C,3,0),"N/A")</f>
        <v>N/A</v>
      </c>
    </row>
    <row r="277" spans="1:5">
      <c r="A277">
        <f>'iWork,IBP &amp; Framework_SOW Items'!D278</f>
        <v>0</v>
      </c>
      <c r="B277">
        <f>'iWork,IBP &amp; Framework_SOW Items'!E278</f>
        <v>0</v>
      </c>
      <c r="C277">
        <f>'iWork,IBP &amp; Framework_SOW Items'!F278</f>
        <v>0</v>
      </c>
      <c r="D277" t="str">
        <f>IFERROR(VLOOKUP(C277,Config!$A:$B,2,0),"Unknown")</f>
        <v>Unknown</v>
      </c>
      <c r="E277" t="str">
        <f>IFERROR(VLOOKUP(C277,Config!$A:$C,3,0),"N/A")</f>
        <v>N/A</v>
      </c>
    </row>
    <row r="278" spans="1:5">
      <c r="A278" t="str">
        <f>'iWork,IBP &amp; Framework_SOW Items'!D265</f>
        <v>iWork</v>
      </c>
      <c r="B278" t="str">
        <f>'iWork,IBP &amp; Framework_SOW Items'!E265</f>
        <v>Milestone 5</v>
      </c>
      <c r="C278">
        <f>'iWork,IBP &amp; Framework_SOW Items'!F265</f>
        <v>0</v>
      </c>
      <c r="D278" t="str">
        <f>IFERROR(VLOOKUP(C278,Config!$A:$B,2,0),"Unknown")</f>
        <v>Unknown</v>
      </c>
      <c r="E278" t="str">
        <f>IFERROR(VLOOKUP(C278,Config!$A:$C,3,0),"N/A")</f>
        <v>N/A</v>
      </c>
    </row>
  </sheetData>
  <pageMargins left="0.75" right="0.75" top="1" bottom="1" header="0.511811023622047" footer="0.511811023622047"/>
  <pageSetup paperSize="9" orientation="portrait" horizontalDpi="300" verticalDpi="3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9"/>
  <sheetViews>
    <sheetView showGridLines="0" workbookViewId="0">
      <selection activeCell="A1" sqref="A1:M3"/>
    </sheetView>
  </sheetViews>
  <sheetFormatPr defaultColWidth="8.6796875" defaultRowHeight="16.8"/>
  <cols>
    <col min="1" max="1" width="24" customWidth="1"/>
    <col min="2" max="2" width="16" customWidth="1"/>
    <col min="3" max="3" width="7" customWidth="1"/>
    <col min="4" max="4" width="10" customWidth="1"/>
    <col min="5" max="5" width="9" customWidth="1"/>
    <col min="6" max="6" width="6" customWidth="1"/>
    <col min="7" max="7" width="11" customWidth="1"/>
    <col min="8" max="13" width="7" customWidth="1"/>
  </cols>
  <sheetData>
    <row r="1" ht="27.75" customHeight="1" spans="1:13">
      <c r="A1" s="12" t="s">
        <v>500</v>
      </c>
      <c r="B1" s="12"/>
      <c r="C1" s="12"/>
      <c r="D1" s="12"/>
      <c r="E1" s="12"/>
      <c r="F1" s="12"/>
      <c r="G1" s="12"/>
      <c r="H1" s="12"/>
      <c r="I1" s="12"/>
      <c r="J1" s="12"/>
      <c r="K1" s="12"/>
      <c r="L1" s="12"/>
      <c r="M1" s="12"/>
    </row>
    <row r="2" ht="27.75" customHeight="1" spans="1:13">
      <c r="A2" s="12"/>
      <c r="B2" s="12"/>
      <c r="C2" s="12"/>
      <c r="D2" s="12"/>
      <c r="E2" s="12"/>
      <c r="F2" s="12"/>
      <c r="G2" s="12"/>
      <c r="H2" s="12"/>
      <c r="I2" s="12"/>
      <c r="J2" s="12"/>
      <c r="K2" s="12"/>
      <c r="L2" s="12"/>
      <c r="M2" s="12"/>
    </row>
    <row r="3" ht="27.75" customHeight="1" spans="1:13">
      <c r="A3" s="12"/>
      <c r="B3" s="12"/>
      <c r="C3" s="12"/>
      <c r="D3" s="12"/>
      <c r="E3" s="12"/>
      <c r="F3" s="12"/>
      <c r="G3" s="12"/>
      <c r="H3" s="12"/>
      <c r="I3" s="12"/>
      <c r="J3" s="12"/>
      <c r="K3" s="12"/>
      <c r="L3" s="12"/>
      <c r="M3" s="12"/>
    </row>
    <row r="4" ht="18" customHeight="1" spans="1:13">
      <c r="A4" s="13" t="s">
        <v>501</v>
      </c>
      <c r="B4" s="13"/>
      <c r="C4" s="13"/>
      <c r="D4" s="13"/>
      <c r="E4" s="13"/>
      <c r="F4" s="13"/>
      <c r="G4" s="13"/>
      <c r="H4" s="13"/>
      <c r="I4" s="13"/>
      <c r="J4" s="13"/>
      <c r="K4" s="13"/>
      <c r="L4" s="13"/>
      <c r="M4" s="13"/>
    </row>
    <row r="5" ht="9.75" customHeight="1"/>
    <row r="6" ht="21.75" customHeight="1" spans="1:13">
      <c r="A6" s="14" t="s">
        <v>502</v>
      </c>
      <c r="B6" s="14"/>
      <c r="C6" s="14"/>
      <c r="D6" s="14"/>
      <c r="E6" s="14"/>
      <c r="F6" s="14"/>
      <c r="H6" s="14" t="s">
        <v>503</v>
      </c>
      <c r="I6" s="14"/>
      <c r="J6" s="14"/>
      <c r="K6" s="14"/>
      <c r="L6" s="14"/>
      <c r="M6" s="14"/>
    </row>
    <row r="7" ht="25.5" customHeight="1" spans="1:13">
      <c r="A7" s="15">
        <f>ROUND(COUNTIF(Helper!$E:$E,"Delivered")/(COUNTIF(Helper!$E:$E,"Delivered")+COUNTIF(Helper!$E:$E,"Pending")),3)</f>
        <v>0.669</v>
      </c>
      <c r="B7" s="15"/>
      <c r="C7" s="15"/>
      <c r="D7" s="16" t="str">
        <f>COUNTIF(Helper!$E:$E,"Delivered")&amp;" of "&amp;(COUNTIF(Helper!$E:$E,"Delivered")+COUNTIF(Helper!$E:$E,"Pending"))&amp;" scope items delivered"</f>
        <v>174 of 260 scope items delivered</v>
      </c>
      <c r="E7" s="16"/>
      <c r="F7" s="16"/>
      <c r="H7" s="17">
        <f>COUNTIF(Helper!$E:$E,"Pending")</f>
        <v>86</v>
      </c>
      <c r="I7" s="17"/>
      <c r="J7" s="18" t="s">
        <v>504</v>
      </c>
      <c r="K7" s="18"/>
      <c r="L7" s="18"/>
      <c r="M7" s="18"/>
    </row>
    <row r="8" ht="25.5" customHeight="1" spans="1:13">
      <c r="A8" s="15"/>
      <c r="B8" s="15"/>
      <c r="C8" s="15"/>
      <c r="D8" s="16"/>
      <c r="E8" s="16"/>
      <c r="F8" s="16"/>
      <c r="H8" s="17"/>
      <c r="I8" s="17"/>
      <c r="J8" s="18"/>
      <c r="K8" s="18"/>
      <c r="L8" s="18"/>
      <c r="M8" s="18"/>
    </row>
    <row r="9" ht="25.5" customHeight="1" spans="1:13">
      <c r="A9" s="15"/>
      <c r="B9" s="15"/>
      <c r="C9" s="15"/>
      <c r="D9" s="16"/>
      <c r="E9" s="16"/>
      <c r="F9" s="16"/>
      <c r="H9" s="17"/>
      <c r="I9" s="17"/>
      <c r="J9" s="18"/>
      <c r="K9" s="18"/>
      <c r="L9" s="18"/>
      <c r="M9" s="18"/>
    </row>
    <row r="10" ht="12" customHeight="1"/>
    <row r="11" ht="19.5" customHeight="1" spans="1:13">
      <c r="A11" s="19" t="s">
        <v>505</v>
      </c>
      <c r="B11" s="19"/>
      <c r="C11" s="19"/>
      <c r="D11" s="19"/>
      <c r="E11" s="19"/>
      <c r="F11" s="19"/>
      <c r="G11" s="19"/>
      <c r="H11" s="19"/>
      <c r="I11" s="19"/>
      <c r="J11" s="19"/>
      <c r="K11" s="19"/>
      <c r="L11" s="19"/>
      <c r="M11" s="19"/>
    </row>
    <row r="12" ht="30" customHeight="1" spans="1:13">
      <c r="A12" s="20">
        <f>COUNTIF(Helper!$D:$D,"Delivered")</f>
        <v>168</v>
      </c>
      <c r="B12" s="20"/>
      <c r="C12" s="20"/>
      <c r="D12" s="21">
        <f>COUNTIF(Helper!$D:$D,"Dev Complete")</f>
        <v>6</v>
      </c>
      <c r="E12" s="21"/>
      <c r="F12" s="21"/>
      <c r="G12" s="22">
        <f>COUNTIF(Helper!$D:$D,"In Development")</f>
        <v>8</v>
      </c>
      <c r="H12" s="22"/>
      <c r="I12" s="22"/>
      <c r="J12" s="23">
        <f>COUNTIF(Helper!$D:$D,"In QA")</f>
        <v>2</v>
      </c>
      <c r="K12" s="23"/>
      <c r="L12" s="23"/>
    </row>
    <row r="13" ht="15.75" customHeight="1" spans="1:13">
      <c r="A13" s="24" t="s">
        <v>15</v>
      </c>
      <c r="B13" s="24"/>
      <c r="C13" s="24"/>
      <c r="D13" s="25" t="s">
        <v>506</v>
      </c>
      <c r="E13" s="25"/>
      <c r="F13" s="25"/>
      <c r="G13" s="26" t="s">
        <v>507</v>
      </c>
      <c r="H13" s="26"/>
      <c r="I13" s="26"/>
      <c r="J13" s="27" t="s">
        <v>508</v>
      </c>
      <c r="K13" s="27"/>
      <c r="L13" s="27"/>
    </row>
    <row r="14" ht="30" customHeight="1" spans="1:13">
      <c r="A14" s="28">
        <f>COUNTIF(Helper!$D:$D,"Pre-PROD / UAT")</f>
        <v>4</v>
      </c>
      <c r="B14" s="28"/>
      <c r="C14" s="28"/>
      <c r="D14" s="29">
        <f>COUNTIF(Helper!$D:$D,"Not Started")</f>
        <v>59</v>
      </c>
      <c r="E14" s="29"/>
      <c r="F14" s="29"/>
      <c r="G14" s="30">
        <f>COUNTIF(Helper!$D:$D,"Partial Delivery")</f>
        <v>13</v>
      </c>
      <c r="H14" s="30"/>
      <c r="I14" s="30"/>
      <c r="J14" s="31">
        <f>COUNTIF(Helper!$D:$D,"N/A")</f>
        <v>0</v>
      </c>
      <c r="K14" s="31"/>
      <c r="L14" s="31"/>
    </row>
    <row r="15" ht="15.75" customHeight="1" spans="1:13">
      <c r="A15" s="32" t="s">
        <v>509</v>
      </c>
      <c r="B15" s="32"/>
      <c r="C15" s="32"/>
      <c r="D15" s="33" t="s">
        <v>510</v>
      </c>
      <c r="E15" s="33"/>
      <c r="F15" s="33"/>
      <c r="G15" s="34" t="s">
        <v>511</v>
      </c>
      <c r="H15" s="34"/>
      <c r="I15" s="34"/>
      <c r="J15" s="35" t="s">
        <v>512</v>
      </c>
      <c r="K15" s="35"/>
      <c r="L15" s="35"/>
    </row>
    <row r="16" ht="12" customHeight="1"/>
    <row r="17" ht="19.5" customHeight="1" spans="1:13">
      <c r="A17" s="19" t="s">
        <v>513</v>
      </c>
      <c r="B17" s="19"/>
      <c r="C17" s="19"/>
      <c r="D17" s="19"/>
      <c r="E17" s="19"/>
      <c r="F17" s="19"/>
      <c r="G17" s="19"/>
      <c r="H17" s="19"/>
      <c r="I17" s="19"/>
      <c r="J17" s="19"/>
      <c r="K17" s="19"/>
      <c r="L17" s="19"/>
      <c r="M17" s="19"/>
    </row>
    <row r="18" ht="24" customHeight="1" spans="1:13">
      <c r="A18" s="36" t="s">
        <v>3</v>
      </c>
      <c r="B18" s="36" t="s">
        <v>514</v>
      </c>
      <c r="C18" s="36" t="s">
        <v>515</v>
      </c>
      <c r="D18" s="36" t="s">
        <v>15</v>
      </c>
      <c r="E18" s="36" t="s">
        <v>516</v>
      </c>
      <c r="F18" s="36" t="s">
        <v>512</v>
      </c>
      <c r="G18" s="36" t="s">
        <v>517</v>
      </c>
      <c r="H18" s="3" t="s">
        <v>518</v>
      </c>
      <c r="I18" s="3"/>
      <c r="J18" s="3"/>
      <c r="K18" s="3"/>
      <c r="L18" s="3"/>
      <c r="M18" s="3"/>
    </row>
    <row r="19" ht="18" customHeight="1" spans="1:13">
      <c r="A19" s="37" t="s">
        <v>519</v>
      </c>
      <c r="B19" s="37" t="s">
        <v>520</v>
      </c>
      <c r="C19" s="38">
        <f>COUNTIF(Helper!$A:$A,"iWork")</f>
        <v>115</v>
      </c>
      <c r="D19" s="39">
        <f>COUNTIFS(Helper!$A:$A,"iWork",Helper!$E:$E,"Delivered")</f>
        <v>94</v>
      </c>
      <c r="E19" s="40">
        <f>COUNTIFS(Helper!$A:$A,"iWork",Helper!$E:$E,"Pending")</f>
        <v>21</v>
      </c>
      <c r="F19" s="38">
        <f>COUNTIFS(Helper!$A:$A,"iWork",Helper!$E:$E,"N/A")</f>
        <v>0</v>
      </c>
      <c r="G19" s="41">
        <f t="shared" ref="G19:G27" si="0">IFERROR(D19/(D19+E19),0)</f>
        <v>0.817391304347826</v>
      </c>
      <c r="H19" s="41">
        <f t="shared" ref="H19:H27" si="1">G19</f>
        <v>0.817391304347826</v>
      </c>
      <c r="I19" s="41"/>
      <c r="J19" s="41"/>
      <c r="K19" s="41"/>
      <c r="L19" s="41"/>
      <c r="M19" s="41"/>
    </row>
    <row r="20" ht="18" customHeight="1" spans="1:13">
      <c r="A20" s="42" t="s">
        <v>521</v>
      </c>
      <c r="B20" s="42" t="s">
        <v>522</v>
      </c>
      <c r="C20" s="43">
        <f>COUNTIF(Helper!$A:$A,"iWork - CR")</f>
        <v>8</v>
      </c>
      <c r="D20" s="39">
        <f>COUNTIFS(Helper!$A:$A,"iWork - CR",Helper!$E:$E,"Delivered")</f>
        <v>3</v>
      </c>
      <c r="E20" s="40">
        <f>COUNTIFS(Helper!$A:$A,"iWork - CR",Helper!$E:$E,"Pending")</f>
        <v>5</v>
      </c>
      <c r="F20" s="43">
        <f>COUNTIFS(Helper!$A:$A,"iWork - CR",Helper!$E:$E,"N/A")</f>
        <v>0</v>
      </c>
      <c r="G20" s="44">
        <f t="shared" si="0"/>
        <v>0.375</v>
      </c>
      <c r="H20" s="45">
        <f t="shared" si="1"/>
        <v>0.375</v>
      </c>
      <c r="I20" s="45"/>
      <c r="J20" s="45"/>
      <c r="K20" s="45"/>
      <c r="L20" s="45"/>
      <c r="M20" s="45"/>
    </row>
    <row r="21" ht="18" customHeight="1" spans="1:13">
      <c r="A21" s="37" t="s">
        <v>523</v>
      </c>
      <c r="B21" s="37" t="s">
        <v>520</v>
      </c>
      <c r="C21" s="38">
        <f>COUNTIF(Helper!$A:$A,"IBP")</f>
        <v>62</v>
      </c>
      <c r="D21" s="39">
        <f>COUNTIFS(Helper!$A:$A,"IBP",Helper!$E:$E,"Delivered")</f>
        <v>32</v>
      </c>
      <c r="E21" s="40">
        <f>COUNTIFS(Helper!$A:$A,"IBP",Helper!$E:$E,"Pending")</f>
        <v>30</v>
      </c>
      <c r="F21" s="38">
        <f>COUNTIFS(Helper!$A:$A,"IBP",Helper!$E:$E,"N/A")</f>
        <v>0</v>
      </c>
      <c r="G21" s="41">
        <f t="shared" si="0"/>
        <v>0.516129032258065</v>
      </c>
      <c r="H21" s="41">
        <f t="shared" si="1"/>
        <v>0.516129032258065</v>
      </c>
      <c r="I21" s="41"/>
      <c r="J21" s="41"/>
      <c r="K21" s="41"/>
      <c r="L21" s="41"/>
      <c r="M21" s="41"/>
    </row>
    <row r="22" ht="18" customHeight="1" spans="1:13">
      <c r="A22" s="42" t="s">
        <v>524</v>
      </c>
      <c r="B22" s="42" t="s">
        <v>522</v>
      </c>
      <c r="C22" s="43">
        <f>COUNTIF(Helper!$A:$A,"IBP - CR")</f>
        <v>1</v>
      </c>
      <c r="D22" s="39">
        <f>COUNTIFS(Helper!$A:$A,"IBP - CR",Helper!$E:$E,"Delivered")</f>
        <v>0</v>
      </c>
      <c r="E22" s="40">
        <f>COUNTIFS(Helper!$A:$A,"IBP - CR",Helper!$E:$E,"Pending")</f>
        <v>1</v>
      </c>
      <c r="F22" s="43">
        <f>COUNTIFS(Helper!$A:$A,"IBP - CR",Helper!$E:$E,"N/A")</f>
        <v>0</v>
      </c>
      <c r="G22" s="44">
        <f t="shared" si="0"/>
        <v>0</v>
      </c>
      <c r="H22" s="45">
        <f t="shared" si="1"/>
        <v>0</v>
      </c>
      <c r="I22" s="45"/>
      <c r="J22" s="45"/>
      <c r="K22" s="45"/>
      <c r="L22" s="45"/>
      <c r="M22" s="45"/>
    </row>
    <row r="23" ht="18" customHeight="1" spans="1:13">
      <c r="A23" s="37" t="s">
        <v>525</v>
      </c>
      <c r="B23" s="37" t="s">
        <v>520</v>
      </c>
      <c r="C23" s="38">
        <f>COUNTIF(Helper!$A:$A,"IBP/iWork")</f>
        <v>18</v>
      </c>
      <c r="D23" s="39">
        <f>COUNTIFS(Helper!$A:$A,"IBP/iWork",Helper!$E:$E,"Delivered")</f>
        <v>10</v>
      </c>
      <c r="E23" s="40">
        <f>COUNTIFS(Helper!$A:$A,"IBP/iWork",Helper!$E:$E,"Pending")</f>
        <v>8</v>
      </c>
      <c r="F23" s="38">
        <f>COUNTIFS(Helper!$A:$A,"IBP/iWork",Helper!$E:$E,"N/A")</f>
        <v>0</v>
      </c>
      <c r="G23" s="41">
        <f t="shared" si="0"/>
        <v>0.555555555555556</v>
      </c>
      <c r="H23" s="41">
        <f t="shared" si="1"/>
        <v>0.555555555555556</v>
      </c>
      <c r="I23" s="41"/>
      <c r="J23" s="41"/>
      <c r="K23" s="41"/>
      <c r="L23" s="41"/>
      <c r="M23" s="41"/>
    </row>
    <row r="24" ht="18" customHeight="1" spans="1:13">
      <c r="A24" s="46" t="s">
        <v>13</v>
      </c>
      <c r="B24" s="46" t="s">
        <v>520</v>
      </c>
      <c r="C24" s="7">
        <f>COUNTIF(Helper!$A:$A,"Framework")</f>
        <v>34</v>
      </c>
      <c r="D24" s="39">
        <f>COUNTIFS(Helper!$A:$A,"Framework",Helper!$E:$E,"Delivered")</f>
        <v>28</v>
      </c>
      <c r="E24" s="40">
        <f>COUNTIFS(Helper!$A:$A,"Framework",Helper!$E:$E,"Pending")</f>
        <v>6</v>
      </c>
      <c r="F24" s="7">
        <f>COUNTIFS(Helper!$A:$A,"Framework",Helper!$E:$E,"N/A")</f>
        <v>0</v>
      </c>
      <c r="G24" s="47">
        <f t="shared" si="0"/>
        <v>0.823529411764706</v>
      </c>
      <c r="H24" s="47">
        <f t="shared" si="1"/>
        <v>0.823529411764706</v>
      </c>
      <c r="I24" s="47"/>
      <c r="J24" s="47"/>
      <c r="K24" s="47"/>
      <c r="L24" s="47"/>
      <c r="M24" s="47"/>
    </row>
    <row r="25" ht="18" customHeight="1" spans="1:13">
      <c r="A25" s="37" t="s">
        <v>135</v>
      </c>
      <c r="B25" s="37" t="s">
        <v>520</v>
      </c>
      <c r="C25" s="38">
        <f>COUNTIF(Helper!$A:$A,"DPDP")</f>
        <v>19</v>
      </c>
      <c r="D25" s="39">
        <f>COUNTIFS(Helper!$A:$A,"DPDP",Helper!$E:$E,"Delivered")</f>
        <v>5</v>
      </c>
      <c r="E25" s="40">
        <f>COUNTIFS(Helper!$A:$A,"DPDP",Helper!$E:$E,"Pending")</f>
        <v>14</v>
      </c>
      <c r="F25" s="38">
        <f>COUNTIFS(Helper!$A:$A,"DPDP",Helper!$E:$E,"N/A")</f>
        <v>0</v>
      </c>
      <c r="G25" s="41">
        <f t="shared" si="0"/>
        <v>0.263157894736842</v>
      </c>
      <c r="H25" s="41">
        <f t="shared" si="1"/>
        <v>0.263157894736842</v>
      </c>
      <c r="I25" s="41"/>
      <c r="J25" s="41"/>
      <c r="K25" s="41"/>
      <c r="L25" s="41"/>
      <c r="M25" s="41"/>
    </row>
    <row r="26" ht="18" customHeight="1" spans="1:13">
      <c r="A26" s="46" t="s">
        <v>382</v>
      </c>
      <c r="B26" s="46" t="s">
        <v>520</v>
      </c>
      <c r="C26" s="7">
        <f>COUNTIF(Helper!$A:$A,"NFR")</f>
        <v>3</v>
      </c>
      <c r="D26" s="39">
        <f>COUNTIFS(Helper!$A:$A,"NFR",Helper!$E:$E,"Delivered")</f>
        <v>2</v>
      </c>
      <c r="E26" s="40">
        <f>COUNTIFS(Helper!$A:$A,"NFR",Helper!$E:$E,"Pending")</f>
        <v>1</v>
      </c>
      <c r="F26" s="7">
        <f>COUNTIFS(Helper!$A:$A,"NFR",Helper!$E:$E,"N/A")</f>
        <v>0</v>
      </c>
      <c r="G26" s="47">
        <f t="shared" si="0"/>
        <v>0.666666666666667</v>
      </c>
      <c r="H26" s="47">
        <f t="shared" si="1"/>
        <v>0.666666666666667</v>
      </c>
      <c r="I26" s="47"/>
      <c r="J26" s="47"/>
      <c r="K26" s="47"/>
      <c r="L26" s="47"/>
      <c r="M26" s="47"/>
    </row>
    <row r="27" ht="19.5" customHeight="1" spans="1:13">
      <c r="A27" s="10" t="s">
        <v>526</v>
      </c>
      <c r="B27" s="10" t="s">
        <v>527</v>
      </c>
      <c r="C27" s="11">
        <f>COUNTA(Helper!$A$2:$A$5000)</f>
        <v>260</v>
      </c>
      <c r="D27" s="11">
        <f>COUNTIF(Helper!$E:$E,"Delivered")</f>
        <v>174</v>
      </c>
      <c r="E27" s="11">
        <f>COUNTIF(Helper!$E:$E,"Pending")</f>
        <v>86</v>
      </c>
      <c r="F27" s="11">
        <f>COUNTIF(Helper!$E:$E,"N/A")</f>
        <v>0</v>
      </c>
      <c r="G27" s="48">
        <f t="shared" si="0"/>
        <v>0.669230769230769</v>
      </c>
      <c r="H27" s="48">
        <f t="shared" si="1"/>
        <v>0.669230769230769</v>
      </c>
      <c r="I27" s="48"/>
      <c r="J27" s="48"/>
      <c r="K27" s="48"/>
      <c r="L27" s="48"/>
      <c r="M27" s="48"/>
    </row>
    <row r="29" ht="25.5" customHeight="1" spans="1:13">
      <c r="A29" s="49" t="s">
        <v>578</v>
      </c>
      <c r="B29" s="49"/>
      <c r="C29" s="49"/>
      <c r="D29" s="49"/>
      <c r="E29" s="49"/>
      <c r="F29" s="49"/>
      <c r="G29" s="49"/>
      <c r="H29" s="49"/>
      <c r="I29" s="49"/>
      <c r="J29" s="49"/>
      <c r="K29" s="49"/>
      <c r="L29" s="49"/>
      <c r="M29" s="49"/>
    </row>
  </sheetData>
  <mergeCells count="37">
    <mergeCell ref="A4:M4"/>
    <mergeCell ref="A6:F6"/>
    <mergeCell ref="H6:M6"/>
    <mergeCell ref="A11:M11"/>
    <mergeCell ref="A12:C12"/>
    <mergeCell ref="D12:F12"/>
    <mergeCell ref="G12:I12"/>
    <mergeCell ref="J12:L12"/>
    <mergeCell ref="A13:C13"/>
    <mergeCell ref="D13:F13"/>
    <mergeCell ref="G13:I13"/>
    <mergeCell ref="J13:L13"/>
    <mergeCell ref="A14:C14"/>
    <mergeCell ref="D14:F14"/>
    <mergeCell ref="G14:I14"/>
    <mergeCell ref="J14:L14"/>
    <mergeCell ref="A15:C15"/>
    <mergeCell ref="D15:F15"/>
    <mergeCell ref="G15:I15"/>
    <mergeCell ref="J15:L15"/>
    <mergeCell ref="A17:M17"/>
    <mergeCell ref="H18:M18"/>
    <mergeCell ref="H19:M19"/>
    <mergeCell ref="H20:M20"/>
    <mergeCell ref="H21:M21"/>
    <mergeCell ref="H22:M22"/>
    <mergeCell ref="H23:M23"/>
    <mergeCell ref="H24:M24"/>
    <mergeCell ref="H25:M25"/>
    <mergeCell ref="H26:M26"/>
    <mergeCell ref="H27:M27"/>
    <mergeCell ref="A29:M29"/>
    <mergeCell ref="A1:M3"/>
    <mergeCell ref="A7:C9"/>
    <mergeCell ref="D7:F9"/>
    <mergeCell ref="H7:I9"/>
    <mergeCell ref="J7:M9"/>
  </mergeCells>
  <conditionalFormatting sqref="G19:G26">
    <cfRule type="dataBar" priority="2">
      <dataBar>
        <cfvo type="num" val="0"/>
        <cfvo type="num" val="1"/>
        <color rgb="FF63BE7B"/>
      </dataBar>
      <extLst>
        <ext xmlns:x14="http://schemas.microsoft.com/office/spreadsheetml/2009/9/main" uri="{B025F937-C7B1-47D3-B67F-A62EFF666E3E}">
          <x14:id>{156198c0-a5e2-46c0-b243-40ce54581631}</x14:id>
        </ext>
      </extLst>
    </cfRule>
  </conditionalFormatting>
  <pageMargins left="0.75" right="0.75" top="1" bottom="1" header="0.511811023622047" footer="0.511811023622047"/>
  <pageSetup paperSize="9" orientation="portrait" horizontalDpi="300" verticalDpi="300"/>
  <headerFooter/>
  <extLst>
    <ext xmlns:x14="http://schemas.microsoft.com/office/spreadsheetml/2009/9/main" uri="{78C0D931-6437-407d-A8EE-F0AAD7539E65}">
      <x14:conditionalFormattings>
        <x14:conditionalFormatting xmlns:xm="http://schemas.microsoft.com/office/excel/2006/main">
          <x14:cfRule type="dataBar" id="{156198c0-a5e2-46c0-b243-40ce54581631}">
            <x14:dataBar minLength="10" maxLength="90" axisPosition="none">
              <x14:cfvo type="num">
                <xm:f>0</xm:f>
              </x14:cfvo>
              <x14:cfvo type="num">
                <xm:f>1</xm:f>
              </x14:cfvo>
              <x14:negativeFillColor rgb="FF63BE7B"/>
              <x14:axisColor indexed="65"/>
            </x14:dataBar>
          </x14:cfRule>
          <xm:sqref>G19:G26</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showGridLines="0" workbookViewId="0">
      <selection activeCell="A1" sqref="A1:K2"/>
    </sheetView>
  </sheetViews>
  <sheetFormatPr defaultColWidth="8.6796875" defaultRowHeight="16.8"/>
  <cols>
    <col min="1" max="1" width="16" customWidth="1"/>
    <col min="2" max="10" width="14" customWidth="1"/>
  </cols>
  <sheetData>
    <row r="1" ht="21.75" customHeight="1" spans="1:11">
      <c r="A1" s="1" t="s">
        <v>568</v>
      </c>
      <c r="B1" s="1"/>
      <c r="C1" s="1"/>
      <c r="D1" s="1"/>
      <c r="E1" s="1"/>
      <c r="F1" s="1"/>
      <c r="G1" s="1"/>
      <c r="H1" s="1"/>
      <c r="I1" s="1"/>
      <c r="J1" s="1"/>
      <c r="K1" s="1"/>
    </row>
    <row r="2" ht="21.75" customHeight="1" spans="1:11">
      <c r="A2" s="1"/>
      <c r="B2" s="1"/>
      <c r="C2" s="1"/>
      <c r="D2" s="1"/>
      <c r="E2" s="1"/>
      <c r="F2" s="1"/>
      <c r="G2" s="1"/>
      <c r="H2" s="1"/>
      <c r="I2" s="1"/>
      <c r="J2" s="1"/>
      <c r="K2" s="1"/>
    </row>
    <row r="3" ht="15.75" customHeight="1" spans="1:11">
      <c r="A3" s="2" t="s">
        <v>569</v>
      </c>
      <c r="B3" s="2"/>
      <c r="C3" s="2"/>
      <c r="D3" s="2"/>
      <c r="E3" s="2"/>
      <c r="F3" s="2"/>
      <c r="G3" s="2"/>
      <c r="H3" s="2"/>
      <c r="I3" s="2"/>
      <c r="J3" s="2"/>
      <c r="K3" s="2"/>
    </row>
    <row r="4" ht="27.75" customHeight="1" spans="1:11">
      <c r="A4" s="3" t="s">
        <v>532</v>
      </c>
      <c r="B4" s="4" t="s">
        <v>519</v>
      </c>
      <c r="C4" s="4" t="s">
        <v>521</v>
      </c>
      <c r="D4" s="4" t="s">
        <v>523</v>
      </c>
      <c r="E4" s="4" t="s">
        <v>524</v>
      </c>
      <c r="F4" s="4" t="s">
        <v>525</v>
      </c>
      <c r="G4" s="4" t="s">
        <v>13</v>
      </c>
      <c r="H4" s="4" t="s">
        <v>135</v>
      </c>
      <c r="I4" s="4" t="s">
        <v>382</v>
      </c>
      <c r="J4" s="5" t="s">
        <v>570</v>
      </c>
    </row>
    <row r="5" ht="18" customHeight="1" spans="1:11">
      <c r="A5" s="6" t="s">
        <v>14</v>
      </c>
      <c r="B5" s="7">
        <f>COUNTIFS(Helper!$B:$B,"Milestone 1",Helper!$A:$A,"iWork",Helper!$E:$E,"Pending")</f>
        <v>0</v>
      </c>
      <c r="C5" s="7">
        <f>COUNTIFS(Helper!$B:$B,"Milestone 1",Helper!$A:$A,"iWork - CR",Helper!$E:$E,"Pending")</f>
        <v>0</v>
      </c>
      <c r="D5" s="7">
        <f>COUNTIFS(Helper!$B:$B,"Milestone 1",Helper!$A:$A,"IBP",Helper!$E:$E,"Pending")</f>
        <v>0</v>
      </c>
      <c r="E5" s="7">
        <f>COUNTIFS(Helper!$B:$B,"Milestone 1",Helper!$A:$A,"IBP - CR",Helper!$E:$E,"Pending")</f>
        <v>0</v>
      </c>
      <c r="F5" s="7">
        <f>COUNTIFS(Helper!$B:$B,"Milestone 1",Helper!$A:$A,"IBP/iWork",Helper!$E:$E,"Pending")</f>
        <v>0</v>
      </c>
      <c r="G5" s="7">
        <f>COUNTIFS(Helper!$B:$B,"Milestone 1",Helper!$A:$A,"Framework",Helper!$E:$E,"Pending")</f>
        <v>0</v>
      </c>
      <c r="H5" s="7">
        <f>COUNTIFS(Helper!$B:$B,"Milestone 1",Helper!$A:$A,"DPDP",Helper!$E:$E,"Pending")</f>
        <v>0</v>
      </c>
      <c r="I5" s="7">
        <f>COUNTIFS(Helper!$B:$B,"Milestone 1",Helper!$A:$A,"NFR",Helper!$E:$E,"Pending")</f>
        <v>0</v>
      </c>
      <c r="J5" s="8">
        <f t="shared" ref="J5:J10" si="0">SUM(B5:I5)</f>
        <v>0</v>
      </c>
    </row>
    <row r="6" ht="18" customHeight="1" spans="1:11">
      <c r="A6" s="6" t="s">
        <v>64</v>
      </c>
      <c r="B6" s="9">
        <f>COUNTIFS(Helper!$B:$B,"Milestone 2",Helper!$A:$A,"iWork",Helper!$E:$E,"Pending")</f>
        <v>1</v>
      </c>
      <c r="C6" s="7">
        <f>COUNTIFS(Helper!$B:$B,"Milestone 2",Helper!$A:$A,"iWork - CR",Helper!$E:$E,"Pending")</f>
        <v>0</v>
      </c>
      <c r="D6" s="7">
        <f>COUNTIFS(Helper!$B:$B,"Milestone 2",Helper!$A:$A,"IBP",Helper!$E:$E,"Pending")</f>
        <v>0</v>
      </c>
      <c r="E6" s="7">
        <f>COUNTIFS(Helper!$B:$B,"Milestone 2",Helper!$A:$A,"IBP - CR",Helper!$E:$E,"Pending")</f>
        <v>0</v>
      </c>
      <c r="F6" s="7">
        <f>COUNTIFS(Helper!$B:$B,"Milestone 2",Helper!$A:$A,"IBP/iWork",Helper!$E:$E,"Pending")</f>
        <v>0</v>
      </c>
      <c r="G6" s="9">
        <f>COUNTIFS(Helper!$B:$B,"Milestone 2",Helper!$A:$A,"Framework",Helper!$E:$E,"Pending")</f>
        <v>2</v>
      </c>
      <c r="H6" s="7">
        <f>COUNTIFS(Helper!$B:$B,"Milestone 2",Helper!$A:$A,"DPDP",Helper!$E:$E,"Pending")</f>
        <v>0</v>
      </c>
      <c r="I6" s="7">
        <f>COUNTIFS(Helper!$B:$B,"Milestone 2",Helper!$A:$A,"NFR",Helper!$E:$E,"Pending")</f>
        <v>0</v>
      </c>
      <c r="J6" s="8">
        <f t="shared" si="0"/>
        <v>3</v>
      </c>
    </row>
    <row r="7" ht="18" customHeight="1" spans="1:11">
      <c r="A7" s="6" t="s">
        <v>119</v>
      </c>
      <c r="B7" s="9">
        <f>COUNTIFS(Helper!$B:$B,"Milestone 3",Helper!$A:$A,"iWork",Helper!$E:$E,"Pending")</f>
        <v>2</v>
      </c>
      <c r="C7" s="7">
        <f>COUNTIFS(Helper!$B:$B,"Milestone 3",Helper!$A:$A,"iWork - CR",Helper!$E:$E,"Pending")</f>
        <v>0</v>
      </c>
      <c r="D7" s="9">
        <f>COUNTIFS(Helper!$B:$B,"Milestone 3",Helper!$A:$A,"IBP",Helper!$E:$E,"Pending")</f>
        <v>0</v>
      </c>
      <c r="E7" s="7">
        <f>COUNTIFS(Helper!$B:$B,"Milestone 3",Helper!$A:$A,"IBP - CR",Helper!$E:$E,"Pending")</f>
        <v>0</v>
      </c>
      <c r="F7" s="7">
        <f>COUNTIFS(Helper!$B:$B,"Milestone 3",Helper!$A:$A,"IBP/iWork",Helper!$E:$E,"Pending")</f>
        <v>0</v>
      </c>
      <c r="G7" s="7">
        <f>COUNTIFS(Helper!$B:$B,"Milestone 3",Helper!$A:$A,"Framework",Helper!$E:$E,"Pending")</f>
        <v>0</v>
      </c>
      <c r="H7" s="7">
        <f>COUNTIFS(Helper!$B:$B,"Milestone 3",Helper!$A:$A,"DPDP",Helper!$E:$E,"Pending")</f>
        <v>0</v>
      </c>
      <c r="I7" s="7">
        <f>COUNTIFS(Helper!$B:$B,"Milestone 3",Helper!$A:$A,"NFR",Helper!$E:$E,"Pending")</f>
        <v>0</v>
      </c>
      <c r="J7" s="8">
        <f t="shared" si="0"/>
        <v>2</v>
      </c>
    </row>
    <row r="8" ht="18" customHeight="1" spans="1:11">
      <c r="A8" s="6" t="s">
        <v>136</v>
      </c>
      <c r="B8" s="9">
        <f>COUNTIFS(Helper!$B:$B,"Milestone 4",Helper!$A:$A,"iWork",Helper!$E:$E,"Pending")</f>
        <v>4</v>
      </c>
      <c r="C8" s="7">
        <f>COUNTIFS(Helper!$B:$B,"Milestone 4",Helper!$A:$A,"iWork - CR",Helper!$E:$E,"Pending")</f>
        <v>0</v>
      </c>
      <c r="D8" s="9">
        <f>COUNTIFS(Helper!$B:$B,"Milestone 4",Helper!$A:$A,"IBP",Helper!$E:$E,"Pending")</f>
        <v>5</v>
      </c>
      <c r="E8" s="7">
        <f>COUNTIFS(Helper!$B:$B,"Milestone 4",Helper!$A:$A,"IBP - CR",Helper!$E:$E,"Pending")</f>
        <v>0</v>
      </c>
      <c r="F8" s="9">
        <f>COUNTIFS(Helper!$B:$B,"Milestone 4",Helper!$A:$A,"IBP/iWork",Helper!$E:$E,"Pending")</f>
        <v>3</v>
      </c>
      <c r="G8" s="9">
        <f>COUNTIFS(Helper!$B:$B,"Milestone 4",Helper!$A:$A,"Framework",Helper!$E:$E,"Pending")</f>
        <v>4</v>
      </c>
      <c r="H8" s="9">
        <f>COUNTIFS(Helper!$B:$B,"Milestone 4",Helper!$A:$A,"DPDP",Helper!$E:$E,"Pending")</f>
        <v>1</v>
      </c>
      <c r="I8" s="7">
        <f>COUNTIFS(Helper!$B:$B,"Milestone 4",Helper!$A:$A,"NFR",Helper!$E:$E,"Pending")</f>
        <v>0</v>
      </c>
      <c r="J8" s="8">
        <f t="shared" si="0"/>
        <v>17</v>
      </c>
    </row>
    <row r="9" ht="18" customHeight="1" spans="1:11">
      <c r="A9" s="6" t="s">
        <v>258</v>
      </c>
      <c r="B9" s="9">
        <f>COUNTIFS(Helper!$B:$B,"Milestone 5",Helper!$A:$A,"iWork",Helper!$E:$E,"Pending")</f>
        <v>6</v>
      </c>
      <c r="C9" s="7">
        <f>COUNTIFS(Helper!$B:$B,"Milestone 5",Helper!$A:$A,"iWork - CR",Helper!$E:$E,"Pending")</f>
        <v>0</v>
      </c>
      <c r="D9" s="9">
        <f>COUNTIFS(Helper!$B:$B,"Milestone 5",Helper!$A:$A,"IBP",Helper!$E:$E,"Pending")</f>
        <v>24</v>
      </c>
      <c r="E9" s="7">
        <f>COUNTIFS(Helper!$B:$B,"Milestone 5",Helper!$A:$A,"IBP - CR",Helper!$E:$E,"Pending")</f>
        <v>0</v>
      </c>
      <c r="F9" s="9">
        <f>COUNTIFS(Helper!$B:$B,"Milestone 5",Helper!$A:$A,"IBP/iWork",Helper!$E:$E,"Pending")</f>
        <v>4</v>
      </c>
      <c r="G9" s="7">
        <f>COUNTIFS(Helper!$B:$B,"Milestone 5",Helper!$A:$A,"Framework",Helper!$E:$E,"Pending")</f>
        <v>0</v>
      </c>
      <c r="H9" s="9">
        <f>COUNTIFS(Helper!$B:$B,"Milestone 5",Helper!$A:$A,"DPDP",Helper!$E:$E,"Pending")</f>
        <v>13</v>
      </c>
      <c r="I9" s="9">
        <f>COUNTIFS(Helper!$B:$B,"Milestone 5",Helper!$A:$A,"NFR",Helper!$E:$E,"Pending")</f>
        <v>1</v>
      </c>
      <c r="J9" s="8">
        <f t="shared" si="0"/>
        <v>48</v>
      </c>
    </row>
    <row r="10" ht="18" customHeight="1" spans="1:11">
      <c r="A10" s="6" t="s">
        <v>388</v>
      </c>
      <c r="B10" s="9">
        <f>COUNTIFS(Helper!$B:$B,"Milestone 6",Helper!$A:$A,"iWork",Helper!$E:$E,"Pending")</f>
        <v>8</v>
      </c>
      <c r="C10" s="9">
        <f>COUNTIFS(Helper!$B:$B,"Milestone 6",Helper!$A:$A,"iWork - CR",Helper!$E:$E,"Pending")</f>
        <v>5</v>
      </c>
      <c r="D10" s="9">
        <f>COUNTIFS(Helper!$B:$B,"Milestone 6",Helper!$A:$A,"IBP",Helper!$E:$E,"Pending")</f>
        <v>1</v>
      </c>
      <c r="E10" s="9">
        <f>COUNTIFS(Helper!$B:$B,"Milestone 6",Helper!$A:$A,"IBP - CR",Helper!$E:$E,"Pending")</f>
        <v>1</v>
      </c>
      <c r="F10" s="9">
        <f>COUNTIFS(Helper!$B:$B,"Milestone 6",Helper!$A:$A,"IBP/iWork",Helper!$E:$E,"Pending")</f>
        <v>1</v>
      </c>
      <c r="G10" s="7">
        <f>COUNTIFS(Helper!$B:$B,"Milestone 6",Helper!$A:$A,"Framework",Helper!$E:$E,"Pending")</f>
        <v>0</v>
      </c>
      <c r="H10" s="7">
        <f>COUNTIFS(Helper!$B:$B,"Milestone 6",Helper!$A:$A,"DPDP",Helper!$E:$E,"Pending")</f>
        <v>0</v>
      </c>
      <c r="I10" s="7">
        <f>COUNTIFS(Helper!$B:$B,"Milestone 6",Helper!$A:$A,"NFR",Helper!$E:$E,"Pending")</f>
        <v>0</v>
      </c>
      <c r="J10" s="8">
        <f t="shared" si="0"/>
        <v>16</v>
      </c>
    </row>
    <row r="11" ht="19.5" customHeight="1" spans="1:11">
      <c r="A11" s="10" t="s">
        <v>526</v>
      </c>
      <c r="B11" s="11">
        <f t="shared" ref="B11:J11" si="1">SUM(B5:B10)</f>
        <v>21</v>
      </c>
      <c r="C11" s="11">
        <f t="shared" si="1"/>
        <v>5</v>
      </c>
      <c r="D11" s="11">
        <f t="shared" si="1"/>
        <v>30</v>
      </c>
      <c r="E11" s="11">
        <f t="shared" si="1"/>
        <v>1</v>
      </c>
      <c r="F11" s="11">
        <f t="shared" si="1"/>
        <v>8</v>
      </c>
      <c r="G11" s="11">
        <f t="shared" si="1"/>
        <v>6</v>
      </c>
      <c r="H11" s="11">
        <f t="shared" si="1"/>
        <v>14</v>
      </c>
      <c r="I11" s="11">
        <f t="shared" si="1"/>
        <v>1</v>
      </c>
      <c r="J11" s="11">
        <f t="shared" si="1"/>
        <v>86</v>
      </c>
    </row>
  </sheetData>
  <mergeCells count="2">
    <mergeCell ref="A3:K3"/>
    <mergeCell ref="A1:K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18</vt:i4>
      </vt:variant>
    </vt:vector>
  </HeadingPairs>
  <TitlesOfParts>
    <vt:vector size="18" baseType="lpstr">
      <vt:lpstr>iWork,IBP &amp; Framework_SOW Items</vt:lpstr>
      <vt:lpstr>① Executive Summary</vt:lpstr>
      <vt:lpstr>📋 iWork</vt:lpstr>
      <vt:lpstr>📋 iWork CRs</vt:lpstr>
      <vt:lpstr>📋 IBP</vt:lpstr>
      <vt:lpstr>📋 IBP CRs</vt:lpstr>
      <vt:lpstr>📋 IBP-iWork</vt:lpstr>
      <vt:lpstr>📋 Framework</vt:lpstr>
      <vt:lpstr>📋 DPDP</vt:lpstr>
      <vt:lpstr>📋 NFR</vt:lpstr>
      <vt:lpstr>③ Milestone Summary</vt:lpstr>
      <vt:lpstr>Helper</vt:lpstr>
      <vt:lpstr>Config</vt:lpstr>
      <vt:lpstr>② Pending Roadmap</vt:lpstr>
      <vt:lpstr>Config1</vt:lpstr>
      <vt:lpstr>Helper1</vt:lpstr>
      <vt:lpstr>① Executive Summary1</vt:lpstr>
      <vt:lpstr>③ Milestone Summary1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dc:creator>
  <cp:lastModifiedBy>WPS_1761850622</cp:lastModifiedBy>
  <cp:revision>0</cp:revision>
  <dcterms:created xsi:type="dcterms:W3CDTF">2026-03-06T00:09:00Z</dcterms:created>
  <dcterms:modified xsi:type="dcterms:W3CDTF">2026-06-22T14:41:05Z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7439812E6911F7A7E3FDA7695E89927E_41</vt:lpwstr>
  </property>
  <property fmtid="{D5CDD505-2E9C-101B-9397-08002B2CF9AE}" pid="4" name="KSOProductBuildVer">
    <vt:lpwstr>1033-12.1.26015.26015</vt:lpwstr>
  </property>
</Properties>
</file>