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bookViews>
  <sheets>
    <sheet name="SOW, Feedbacks-Bug &amp; CR_Items" sheetId="1" r:id="rId1"/>
    <sheet name="① Executive Summary" sheetId="2" r:id="rId2"/>
    <sheet name="② Stablization Summary" sheetId="3" r:id="rId3"/>
    <sheet name="📅 27-Jul" sheetId="4" r:id="rId4"/>
    <sheet name="📍 03-Aug" sheetId="5" r:id="rId5"/>
    <sheet name="📅 10-Aug" sheetId="6" r:id="rId6"/>
    <sheet name="📅 Upcoming" sheetId="7" r:id="rId7"/>
    <sheet name="Unplanned (no ETA)" sheetId="8" r:id="rId8"/>
    <sheet name="VRK Feedbacks" sheetId="9" r:id="rId9"/>
    <sheet name="SOW - Actual Items" sheetId="10" r:id="rId10"/>
    <sheet name="Stablization Items" sheetId="11" r:id="rId11"/>
    <sheet name="Jira Report" sheetId="12" r:id="rId12"/>
    <sheet name="Helper" sheetId="13" state="hidden" r:id="rId13"/>
    <sheet name="Config" sheetId="14" state="hidden" r:id="rId14"/>
  </sheets>
  <definedNames>
    <definedName name="_xlnm._FilterDatabase" localSheetId="0" hidden="1">'SOW, Feedbacks-Bug &amp; CR_Items'!$A$1:$O$427</definedName>
    <definedName name="_xlnm._FilterDatabase" localSheetId="9" hidden="1">'SOW - Actual Items'!$A$1:$F$159</definedName>
    <definedName name="Z_6CB6AC3D_EE77_4574_A104_53765FCAEFAE_.wvu.FilterData" localSheetId="0" hidden="1">'SOW, Feedbacks-Bug &amp; CR_Items'!$A$1:$N$427</definedName>
    <definedName name="Z_331A609B_20C9_45C2_985F_8D4F15AF6685_.wvu.FilterData" localSheetId="0" hidden="1">'SOW, Feedbacks-Bug &amp; CR_Items'!$A$1:$O$427</definedName>
    <definedName name="Z_9E8CEB81_EE5C_4A50_8F2C_A308CBEC743E_.wvu.FilterData" localSheetId="0" hidden="1">'SOW, Feedbacks-Bug &amp; CR_Items'!$A$1:$O$427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<sst xmlns="http://schemas.openxmlformats.org/spreadsheetml/2006/main" count="54860" uniqueCount="17194">
  <si>
    <t>Area</t>
  </si>
  <si>
    <t>Feature</t>
  </si>
  <si>
    <t>Functionality</t>
  </si>
  <si>
    <t>Module</t>
  </si>
  <si>
    <t>Phase</t>
  </si>
  <si>
    <t>Status</t>
  </si>
  <si>
    <t>Remarks</t>
  </si>
  <si>
    <t>Requested Date</t>
  </si>
  <si>
    <t>ETA</t>
  </si>
  <si>
    <t>Priority</t>
  </si>
  <si>
    <t>Start Date</t>
  </si>
  <si>
    <t>End Date</t>
  </si>
  <si>
    <t>Resource</t>
  </si>
  <si>
    <t>Jira ID</t>
  </si>
  <si>
    <t>Framework: DPDP</t>
  </si>
  <si>
    <t>Enable SAST</t>
  </si>
  <si>
    <t>DPDP</t>
  </si>
  <si>
    <t>Milestone 5</t>
  </si>
  <si>
    <t>Delivered</t>
  </si>
  <si>
    <t>Integrate SSO / MFA</t>
  </si>
  <si>
    <t>Capture consent within app</t>
  </si>
  <si>
    <t>IIRM-8015</t>
  </si>
  <si>
    <t>Allow easy consent withdrawal</t>
  </si>
  <si>
    <t>Approval workflow</t>
  </si>
  <si>
    <t>Show privacy notice with purpose, retention, rights</t>
  </si>
  <si>
    <t>App vulnerability scans</t>
  </si>
  <si>
    <t>DEV - WIP</t>
  </si>
  <si>
    <t>Document Flows</t>
  </si>
  <si>
    <t>Perform security UAT</t>
  </si>
  <si>
    <t>Remove unnecessary fields</t>
  </si>
  <si>
    <t>DEV - Done</t>
  </si>
  <si>
    <t>Enforce business logic to restrict purpose</t>
  </si>
  <si>
    <t>Allow user corrections</t>
  </si>
  <si>
    <t>Delete expired data</t>
  </si>
  <si>
    <t>Map PII tables</t>
  </si>
  <si>
    <t>QA - WIP</t>
  </si>
  <si>
    <t>Rama</t>
  </si>
  <si>
    <t>Enable delete pipeline</t>
  </si>
  <si>
    <t>Yet to start</t>
  </si>
  <si>
    <t>Sign DPDP clauses</t>
  </si>
  <si>
    <t>Quarterly restore tests</t>
  </si>
  <si>
    <t>Pre-PROD</t>
  </si>
  <si>
    <t>FRAMEWORK: Frontend</t>
  </si>
  <si>
    <t>Project setup</t>
  </si>
  <si>
    <t>Basic project / Development environment setup</t>
  </si>
  <si>
    <t>Framework</t>
  </si>
  <si>
    <t>Milestone 1</t>
  </si>
  <si>
    <t>IIRM-17</t>
  </si>
  <si>
    <t>UI Approach Design System</t>
  </si>
  <si>
    <t>Building Design System</t>
  </si>
  <si>
    <t>IIRM-734</t>
  </si>
  <si>
    <t>Core Infrastructure</t>
  </si>
  <si>
    <t>Core Infra</t>
  </si>
  <si>
    <t>Build UI components</t>
  </si>
  <si>
    <t>This includes all the UI componnets to compose the application and module definitions: 
Form, Toast, Filter, Cards, Visualisation, Grid, Menu, Header, Footer,
Maps Integration</t>
  </si>
  <si>
    <t>IIRM-836</t>
  </si>
  <si>
    <t>UI Approach Style Establishment</t>
  </si>
  <si>
    <t>UI Style Establishment</t>
  </si>
  <si>
    <t>IIRM-838</t>
  </si>
  <si>
    <t>Service Workers Implementation</t>
  </si>
  <si>
    <t>IIRM-19</t>
  </si>
  <si>
    <t>Core System</t>
  </si>
  <si>
    <t>IIRM-80</t>
  </si>
  <si>
    <t>ACL &amp; RBAC Control Framework</t>
  </si>
  <si>
    <t>IIRM-18</t>
  </si>
  <si>
    <t>Micro Frontend Setup</t>
  </si>
  <si>
    <t>IIRM-15</t>
  </si>
  <si>
    <t>Landing Page</t>
  </si>
  <si>
    <t>Master Data Management</t>
  </si>
  <si>
    <t>Milestone 2</t>
  </si>
  <si>
    <t>IIRM-745</t>
  </si>
  <si>
    <t>User Management</t>
  </si>
  <si>
    <t>22-May: Other than iWork employee</t>
  </si>
  <si>
    <t>Pending: User deletion</t>
  </si>
  <si>
    <t>IIRM-744</t>
  </si>
  <si>
    <t>Visualization framework</t>
  </si>
  <si>
    <t>Charts and KPIs</t>
  </si>
  <si>
    <t>IIRM-743</t>
  </si>
  <si>
    <t>Document Management</t>
  </si>
  <si>
    <t>Create, Upload, Seach, Download</t>
  </si>
  <si>
    <t>IIRM-750</t>
  </si>
  <si>
    <t>Caching of API Data</t>
  </si>
  <si>
    <t>Notifications Management</t>
  </si>
  <si>
    <t>Different email notification - Madhav excel.
1. Renewal Reminders - ASAP
2. Instalment Reminders
3. Others</t>
  </si>
  <si>
    <t>Milestone 4</t>
  </si>
  <si>
    <t>Pushyami</t>
  </si>
  <si>
    <t>IIRM-761, IIRM-4740</t>
  </si>
  <si>
    <t>Accessibility</t>
  </si>
  <si>
    <t>20-Jul: Jagadees --&gt; Need More details</t>
  </si>
  <si>
    <t>IIRM-763</t>
  </si>
  <si>
    <t>Localisation</t>
  </si>
  <si>
    <t>Delivered - Deficit</t>
  </si>
  <si>
    <t>Pending: Service Flow</t>
  </si>
  <si>
    <t>Tharun</t>
  </si>
  <si>
    <t>IIRM-764</t>
  </si>
  <si>
    <t>Framework: NFR</t>
  </si>
  <si>
    <t>NFR_Usability</t>
  </si>
  <si>
    <t>NFR-USA-018: The session management should be configurable from UI
23-May: Configure from UI &amp; store in DB; When changed then restart server</t>
  </si>
  <si>
    <t>IBP</t>
  </si>
  <si>
    <t>Manjusha</t>
  </si>
  <si>
    <t>IIRM-9912</t>
  </si>
  <si>
    <t>NFR-USA-015: The system must show personalized welcome messages and profile information based on locale.</t>
  </si>
  <si>
    <t>IIRM-4477</t>
  </si>
  <si>
    <t>NFR-USA-016: Notification banners must be dismissible and configurable based on role.</t>
  </si>
  <si>
    <t>No notifications in IBP</t>
  </si>
  <si>
    <t>IIRM-4478</t>
  </si>
  <si>
    <t>NFR-USA-021: Guidelines for document management should be provided</t>
  </si>
  <si>
    <t>NFR</t>
  </si>
  <si>
    <t>Pending: Provide the document on how do we store and view it</t>
  </si>
  <si>
    <t>IIRM-4482</t>
  </si>
  <si>
    <t>NFR-USA-011: The system should support at least 100 concurrent users without performance degradation.</t>
  </si>
  <si>
    <t>Fine tuning the API's where there is a delay</t>
  </si>
  <si>
    <t>Akhila</t>
  </si>
  <si>
    <t>IIRM-4473</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</si>
  <si>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</si>
  <si>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IIRM-4480</t>
  </si>
  <si>
    <t>NFR-OTH-022: A self-service report generator must be available for dynamic query/report creation.</t>
  </si>
  <si>
    <t>Discussed this with Surya sir last visit to Divami office</t>
  </si>
  <si>
    <t>IIRM-4533</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</si>
  <si>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</si>
  <si>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IIRM-4526</t>
  </si>
  <si>
    <t>FRAMEWORK: Services - Basic Modules</t>
  </si>
  <si>
    <t>Access Control Management</t>
  </si>
  <si>
    <t>IIRM-1528</t>
  </si>
  <si>
    <t>Audit Data Capturing</t>
  </si>
  <si>
    <t>IIRM-4613</t>
  </si>
  <si>
    <t>Notification and Communication Management</t>
  </si>
  <si>
    <t>IIRM-746</t>
  </si>
  <si>
    <t>Usage Tracking System (Reports)</t>
  </si>
  <si>
    <t>23-May: Handle as a part of Reports</t>
  </si>
  <si>
    <t>Configuration Management</t>
  </si>
  <si>
    <t>IIRM-762</t>
  </si>
  <si>
    <t>Feature Flag Control Management</t>
  </si>
  <si>
    <t>FRAMEWORK: Services - Larger Modules</t>
  </si>
  <si>
    <t>Auth Module (Simple Auth)</t>
  </si>
  <si>
    <t>IIRM-62</t>
  </si>
  <si>
    <t>Micro Service Framework Setup</t>
  </si>
  <si>
    <t>IIRM-16, IIRM-834</t>
  </si>
  <si>
    <t>Data Security Considerations</t>
  </si>
  <si>
    <t>Duplicate of Covers in DPDP items</t>
  </si>
  <si>
    <t>IIRM-749</t>
  </si>
  <si>
    <t>CMS</t>
  </si>
  <si>
    <t>Used in IBP</t>
  </si>
  <si>
    <t>Document Generation</t>
  </si>
  <si>
    <t>Milestone 3</t>
  </si>
  <si>
    <t>IIRM-760</t>
  </si>
  <si>
    <t>Localistation Management</t>
  </si>
  <si>
    <t>Caching Implementation</t>
  </si>
  <si>
    <t>Workflow Management</t>
  </si>
  <si>
    <t>23-May: Integrate the 3'rd party libraries</t>
  </si>
  <si>
    <t>Not in scope</t>
  </si>
  <si>
    <t>23-Jul-2026: As per Gopal as this system custom and most of the data is driven from Master creating/plug any 3'rd Party will make complex.</t>
  </si>
  <si>
    <t>IIRM-766</t>
  </si>
  <si>
    <t>Rule Definition Management</t>
  </si>
  <si>
    <t>IIRM-765</t>
  </si>
  <si>
    <t>IBP: Common Components</t>
  </si>
  <si>
    <t>Simple Auth</t>
  </si>
  <si>
    <t>Username and Password based authentication and RBAC on simple-auth users. Auth rules needs configuration capability.
IBP - HR User Management</t>
  </si>
  <si>
    <t>Abhilash</t>
  </si>
  <si>
    <t>Whitelabelling Support</t>
  </si>
  <si>
    <t>IIRM-775</t>
  </si>
  <si>
    <t>3rd Party SSO</t>
  </si>
  <si>
    <t>Props based SSO links to 3rd Parties</t>
  </si>
  <si>
    <t>SSO Framework implemented fro TPA</t>
  </si>
  <si>
    <t>IIRM-10433</t>
  </si>
  <si>
    <t>IBP: FRONTEND</t>
  </si>
  <si>
    <t>HR Portal View</t>
  </si>
  <si>
    <t>Employee Search, Resend Email, Delete Employees, Extend Enrollment Windows, Reports, Bulk Email</t>
  </si>
  <si>
    <t>IIRM-776</t>
  </si>
  <si>
    <t>My Documents</t>
  </si>
  <si>
    <t>Document Hub - Covers Policies, Prescriptions, Reports</t>
  </si>
  <si>
    <t>Pending: Design</t>
  </si>
  <si>
    <t>Policy Document</t>
  </si>
  <si>
    <t>IBP-Risk Watch: Show the each policy document</t>
  </si>
  <si>
    <t>Company Plans</t>
  </si>
  <si>
    <t>6 Policies - GMC, GPA, GTL, Parental Plicy, Top-ups, OPD Policy (Summary view of policies)</t>
  </si>
  <si>
    <t>IIRM-774</t>
  </si>
  <si>
    <t>IBP Landing Page - Basic</t>
  </si>
  <si>
    <t>Basic Landing Page with only company plans and summart</t>
  </si>
  <si>
    <t>IIRM-771</t>
  </si>
  <si>
    <t>Contact Matrix View</t>
  </si>
  <si>
    <t>Contact Matrix View for end user</t>
  </si>
  <si>
    <t>IIRM-8036</t>
  </si>
  <si>
    <t>Per-policy Enrolment</t>
  </si>
  <si>
    <t>Enrolment and addon policy selection</t>
  </si>
  <si>
    <t>My Insurance</t>
  </si>
  <si>
    <t>Part-1: Hub of all plans I have as an employee - Company provided. Mostly a navigational page</t>
  </si>
  <si>
    <t>Wellness Discount List Management</t>
  </si>
  <si>
    <t>Add/Remove/update Discount program benefits</t>
  </si>
  <si>
    <t>IBP/iWork</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</si>
  <si>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</si>
  <si>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</si>
  <si>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</si>
  <si>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</si>
  <si>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</si>
  <si>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</si>
  <si>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</si>
  <si>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</si>
  <si>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Upload from Partner of services bought on Partner site</t>
  </si>
  <si>
    <t>Upload, listing, confirm &amp; load into DB by an Iwork user. These are services purchased / discounts availed on partner sites by IBP corporate users</t>
  </si>
  <si>
    <t>IIRM-793</t>
  </si>
  <si>
    <t>User Profile</t>
  </si>
  <si>
    <t>Profile, Service Subscriptions, Feedback</t>
  </si>
  <si>
    <t>Pending: Service Subscriptions, Feedback</t>
  </si>
  <si>
    <t>Ravi</t>
  </si>
  <si>
    <t>Static Info Sections - Landing</t>
  </si>
  <si>
    <t>Benefits Guide, FAQs, Help</t>
  </si>
  <si>
    <t>IIRM-791</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</si>
  <si>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</si>
  <si>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</si>
  <si>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</si>
  <si>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</si>
  <si>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</si>
  <si>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IIRM-7631</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</si>
  <si>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</si>
  <si>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</si>
  <si>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Dynamic Info Sections - Landing</t>
  </si>
  <si>
    <t>Hospital network, Offers and Discounts, Benfits at Glance, Quick Links</t>
  </si>
  <si>
    <t>Pending: Offers &amp; Discuounts</t>
  </si>
  <si>
    <t>Basic Wellness Hub</t>
  </si>
  <si>
    <t>Basic wellness hub - Currently only 3 wellness programs (3rd parties) supported</t>
  </si>
  <si>
    <t>Wellness</t>
  </si>
  <si>
    <t>IIRM-784</t>
  </si>
  <si>
    <t>Wellness Admin Configurator</t>
  </si>
  <si>
    <t>Admin side of IBP (in iWork) needs to customize/configure the offerings/page per Corporate.</t>
  </si>
  <si>
    <t>IIRM-790</t>
  </si>
  <si>
    <t>Book Ambulance</t>
  </si>
  <si>
    <t>Floater on the screen - Integrate to Ambulance Service</t>
  </si>
  <si>
    <t>Part-2: Hub of all plans I have as an employee - individually signed up. Mostly a navigational page</t>
  </si>
  <si>
    <t>Retail Business</t>
  </si>
  <si>
    <t>Wellness HR View</t>
  </si>
  <si>
    <t>HR View of Wellness usage by Employees</t>
  </si>
  <si>
    <t>IIRM-785</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</si>
  <si>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</si>
  <si>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</si>
  <si>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</si>
  <si>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</si>
  <si>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IIRM-788</t>
  </si>
  <si>
    <t>Individual Plan Summary</t>
  </si>
  <si>
    <t>View of individual Plans currently owned with renewal dates, premiums etc.</t>
  </si>
  <si>
    <t>Profile Migration</t>
  </si>
  <si>
    <t>Request migration of Corporate Profile to Individual</t>
  </si>
  <si>
    <t>Request migration of Individual Profile to Corporate</t>
  </si>
  <si>
    <t>IBP Landing Page - Customization</t>
  </si>
  <si>
    <t>Landing Page customization in Admin side of IBP - available in iWork (per Corporate)</t>
  </si>
  <si>
    <t>IIRM-786</t>
  </si>
  <si>
    <t>Wellness IIRM View</t>
  </si>
  <si>
    <t>IIRM View of Wellness usage by Corporates/Employees (IBP Admin)</t>
  </si>
  <si>
    <t>Chat Interface</t>
  </si>
  <si>
    <t>Floater on the screen - Integrate with AI Component and IWork support channel</t>
  </si>
  <si>
    <t>IIRM-789</t>
  </si>
  <si>
    <t>IBP: Services - AI Components</t>
  </si>
  <si>
    <t>Chat for End Users</t>
  </si>
  <si>
    <t>Chat Module to interact with Chat Bot and Customer Support Representative</t>
  </si>
  <si>
    <t>External chatbot integration?</t>
  </si>
  <si>
    <t>IBP: SERVICES - Basic Modules</t>
  </si>
  <si>
    <t>Personal Profile Mgmt</t>
  </si>
  <si>
    <t>Profile settings</t>
  </si>
  <si>
    <t>Pending:Add Dependents</t>
  </si>
  <si>
    <t>Document Mgmt for End User</t>
  </si>
  <si>
    <t>Insurance, Health Reports and Prescriptions {No automatic pull from Partners}</t>
  </si>
  <si>
    <t>IBP: Services - Basic Modules</t>
  </si>
  <si>
    <t>Basic Landing Page Services</t>
  </si>
  <si>
    <t>Company provided plans only</t>
  </si>
  <si>
    <t>Landing Page Services</t>
  </si>
  <si>
    <t>Benefits Summary View, Upcoming welness appointment, Policy renewals, Individual Plans Summary views</t>
  </si>
  <si>
    <t>Hospital Network Mgmt</t>
  </si>
  <si>
    <t>Based on the Insurer and TPA, network of hospitals needs to be presented in a consolidated view</t>
  </si>
  <si>
    <t>IIRM-7589</t>
  </si>
  <si>
    <t>Feedback Mgmt</t>
  </si>
  <si>
    <t>User Feedback capture service</t>
  </si>
  <si>
    <t>IBP support is already in place</t>
  </si>
  <si>
    <t>Benefits Summary</t>
  </si>
  <si>
    <t>End User's Summary View</t>
  </si>
  <si>
    <t>IBP: Services - Larger Modules</t>
  </si>
  <si>
    <t>IBP - User Management</t>
  </si>
  <si>
    <t>IBP: HR Portal - Company-Scoped Employee Access for Client HR (Ex. TeamLease's Customer)</t>
  </si>
  <si>
    <t>IIRM-10375</t>
  </si>
  <si>
    <t>IBP - Portal Setup</t>
  </si>
  <si>
    <t>Post policy creation, create default IBP Portal Config for all the company-policy(ies)</t>
  </si>
  <si>
    <t>IIRM-794</t>
  </si>
  <si>
    <t>Group Policy Mgmt - Enrollment</t>
  </si>
  <si>
    <t>Enrollment (Adding Dependents, Choosing Options available). Submit the enrollment to Insurer or TPA
6 Types of Policies to be considered</t>
  </si>
  <si>
    <t>Need Confirmation: If scope has, Insurer &amp; TPA integrations, then they are pending</t>
  </si>
  <si>
    <t>IIRM-773</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</si>
  <si>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</si>
  <si>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</si>
  <si>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</si>
  <si>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</si>
  <si>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IIRM-8572</t>
  </si>
  <si>
    <t>Contact Matrix Configuration</t>
  </si>
  <si>
    <t>Matrix of Contact Infomration</t>
  </si>
  <si>
    <t>HR/Admin Portal View</t>
  </si>
  <si>
    <t>Supporting services for Admin Portal</t>
  </si>
  <si>
    <t>Admin Reports</t>
  </si>
  <si>
    <t>Services for multiple reports</t>
  </si>
  <si>
    <t>IIRM-778</t>
  </si>
  <si>
    <t>Group Policy Mgmt - Data Load</t>
  </si>
  <si>
    <t>End User data load {Similar to inception data load only but this time it is from the policy definition stage and confiemd by HR of the Company}. Reuse of the inception data load</t>
  </si>
  <si>
    <t>Evexia Club Integration</t>
  </si>
  <si>
    <t>Integration to Evexia</t>
  </si>
  <si>
    <t>IIRM-795</t>
  </si>
  <si>
    <t>Premium Range Calculator</t>
  </si>
  <si>
    <t>Calculate insurance premium range. Calculate the IDV of various assets</t>
  </si>
  <si>
    <t>Multiple 3rd Party Service Mgmt</t>
  </si>
  <si>
    <t>Elderly Services, Dental Services etc. 3rd Party integrations. Multiple providers
3 such services are in scope at this stage {Redhealth, MyDental, AkinCare}</t>
  </si>
  <si>
    <t>Claims Mgmt</t>
  </si>
  <si>
    <t>Part-2: Personal Policy based claim mgmt, Tracking status, Document Mgmt related to claims</t>
  </si>
  <si>
    <t>Part-1: Company Provided Policy based claim mgmt, Tracking status, Document Mgmt related to claims</t>
  </si>
  <si>
    <t>End User Portal Configurator</t>
  </si>
  <si>
    <t>What set of features to be enabled or disabled, Offers, Benefits etc. More or less how portal should contain and visible to end user needs to be configured (per Corporate Configuration)</t>
  </si>
  <si>
    <t>Pending: Offer, Feature flagging (UI)</t>
  </si>
  <si>
    <t>Online Pharmacy Integration</t>
  </si>
  <si>
    <t>External Pharmacy integration(s), more than one pharmacy capability. SSO to the pharmacy.</t>
  </si>
  <si>
    <t>IIRM-792</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</si>
  <si>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</si>
  <si>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</si>
  <si>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Pending: Mobile responsive</t>
  </si>
  <si>
    <t>Velangini Raju</t>
  </si>
  <si>
    <t>iWORK: AI Components</t>
  </si>
  <si>
    <t>AI - (Non-OCR) Digital Document Processing for Content recognition (Company/Opportunity/Contact Creation from Previous Policy Document, Bizcard document)</t>
  </si>
  <si>
    <t>iWork</t>
  </si>
  <si>
    <t>AI - OCR for Content Collection</t>
  </si>
  <si>
    <t>AI - Company Information by AI Search</t>
  </si>
  <si>
    <t>iWORK: Common Components</t>
  </si>
  <si>
    <t>Common - Audit Trail Mgmt - Becomes critical in this phase iteself</t>
  </si>
  <si>
    <t>Common, Contexual Upload Component</t>
  </si>
  <si>
    <t>Common, Contexual Read and Spread Component (Utility)</t>
  </si>
  <si>
    <t>Policy Component - Strapi</t>
  </si>
  <si>
    <t>IBP Portal - Each card should have seperate points &amp; Policy feature documents</t>
  </si>
  <si>
    <t>iWORK: Frontend</t>
  </si>
  <si>
    <t>Add/View/Edit Opportunity</t>
  </si>
  <si>
    <t>Add Medium size form with 1-&gt;N list of Claims; Multiple drop downs
Large View with several widgets, Simple Edit</t>
  </si>
  <si>
    <t>IIRM-740</t>
  </si>
  <si>
    <t>Manage TPA/Insurer</t>
  </si>
  <si>
    <t>Basic Add, View with edit of basic data, with lists of policies/companies</t>
  </si>
  <si>
    <t>IIRM-741, IIRM-742</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</si>
  <si>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</si>
  <si>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</si>
  <si>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</si>
  <si>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</si>
  <si>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</si>
  <si>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</si>
  <si>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</si>
  <si>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IIRM-1556</t>
  </si>
  <si>
    <t>Company (Prospect) Hub</t>
  </si>
  <si>
    <t>Top 10/Latest companies, with search/filter, Table of basic attributes with GPS etc.</t>
  </si>
  <si>
    <t>IIRM-1560</t>
  </si>
  <si>
    <t>Contact Hub</t>
  </si>
  <si>
    <t>Top 10/Latest Contacts, with search/filter, list with basic attributes</t>
  </si>
  <si>
    <t>Opportunity Hub</t>
  </si>
  <si>
    <t>Top Opportunities with search/filter, List of opportunities with high level summaries</t>
  </si>
  <si>
    <t>IIRM-811</t>
  </si>
  <si>
    <t>Common Data Mapping Component</t>
  </si>
  <si>
    <t>Map input fields to output fields &amp; Order</t>
  </si>
  <si>
    <t>Pending: Additional/Dynamic columns</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</si>
  <si>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</si>
  <si>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</si>
  <si>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IIRM-752</t>
  </si>
  <si>
    <t>Smart Add Component</t>
  </si>
  <si>
    <t>Allow Upload of Document/Image, select what to create (Company/Contact/Opportunity)</t>
  </si>
  <si>
    <t>IIRM-754</t>
  </si>
  <si>
    <t>Dashboard - Drilldowns</t>
  </si>
  <si>
    <t>Drill down from the Tables (Targets vs. Actuals, Pending Activities, Followups, AR Report, Schedule)</t>
  </si>
  <si>
    <t>IIRM-751</t>
  </si>
  <si>
    <t>Sales Team Hierarchy</t>
  </si>
  <si>
    <t>Hierarchy / Org chart tied to Platform Users</t>
  </si>
  <si>
    <t>IIRM-753</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</si>
  <si>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</si>
  <si>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</si>
  <si>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</si>
  <si>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</si>
  <si>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</si>
  <si>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</si>
  <si>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</si>
  <si>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</si>
  <si>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</si>
  <si>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</si>
  <si>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IIRM-757</t>
  </si>
  <si>
    <t>MIR Entry Mgmt</t>
  </si>
  <si>
    <t>Entry Form, Print to Document, List of Earlier MIRs, Search on MIRs</t>
  </si>
  <si>
    <t>Sunil</t>
  </si>
  <si>
    <t>IIRM-758</t>
  </si>
  <si>
    <t>Knowledge Central</t>
  </si>
  <si>
    <t>Grouped list of Documents/Resources, Add a Document, Remove a Document (Add/remove only for admins)</t>
  </si>
  <si>
    <t>IIRM-768</t>
  </si>
  <si>
    <t>View Service Score</t>
  </si>
  <si>
    <t>My Client Portfolio: Service Score - Single Table (drillable) to calculate an overall score
Dashboard - Service Score - Widget</t>
  </si>
  <si>
    <t>Reports</t>
  </si>
  <si>
    <t>Generic template for all the reports, Bizdone Report, Missing entries from commission statement against policies</t>
  </si>
  <si>
    <t>Linked with Reconciliation Management &amp; Commission</t>
  </si>
  <si>
    <t>Integration UI Component</t>
  </si>
  <si>
    <t>Integration UI Component (for TPA, HRMS, Insurer)
Similar to TPA API Integration Framework for any 3'rd Party</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</si>
  <si>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</si>
  <si>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</si>
  <si>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</si>
  <si>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</si>
  <si>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</si>
  <si>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</si>
  <si>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Reconciliation Management
Upload Commission Statement</t>
  </si>
  <si>
    <t>Upload commission statement, reconcile against issued policies; 
Upload invoice &amp; reconcile against commission stmt; 
Upload invoice statuses and reconcile paid/unpaid
Premium vs Brokerage Invoice vs Brokerage Collected; Data from Finops</t>
  </si>
  <si>
    <t>Need inputs from Kapil</t>
  </si>
  <si>
    <t>iWORK: Services - Basic Modules</t>
  </si>
  <si>
    <t>Employee Mgmt</t>
  </si>
  <si>
    <t>User deletion need to be handled</t>
  </si>
  <si>
    <t>Contact /Company/Insurer/TPA Mgmt</t>
  </si>
  <si>
    <t>Task Mgmt</t>
  </si>
  <si>
    <t>IIRM-738</t>
  </si>
  <si>
    <t>Meeting Mgmt</t>
  </si>
  <si>
    <t>RBAC and ACL setup for Iwork Module</t>
  </si>
  <si>
    <t>Opportunity Mgmt</t>
  </si>
  <si>
    <t>Organisation, Branch, Employee, &amp; Hierarchy Mgmt</t>
  </si>
  <si>
    <t>Dashboard (Place Holder)</t>
  </si>
  <si>
    <t>Planning, Perform and Approval Mgmt</t>
  </si>
  <si>
    <t>Policy Mgmt</t>
  </si>
  <si>
    <t>Master Data Mgmt {Common, Contexual Master Data Mgmt}</t>
  </si>
  <si>
    <t>Cut Off Mgmt</t>
  </si>
  <si>
    <t>Karan</t>
  </si>
  <si>
    <t>Cover Mgmt</t>
  </si>
  <si>
    <t>Stage Mgmt (Activity/Transaction/Quote)</t>
  </si>
  <si>
    <t>Asset/Member Data Mgmt</t>
  </si>
  <si>
    <t>IIRM-759</t>
  </si>
  <si>
    <t>Endorsement Mgmt</t>
  </si>
  <si>
    <t>Module to manage MIR {Monthly Infomatiom Report}</t>
  </si>
  <si>
    <t>Archived Oppurtunity, Policy Mgmt {Archived Biz Data and Retrieval on need} - DPDP</t>
  </si>
  <si>
    <t>iWork: Services - Basic Modules</t>
  </si>
  <si>
    <t>Client - Associated Location (IBP HR Module)</t>
  </si>
  <si>
    <t>IBP - HR: Policy Location - Add Company Associated Locations, Flow to Opty., Policy &amp; Policy Config</t>
  </si>
  <si>
    <t>IIRM-10516</t>
  </si>
  <si>
    <t>TPA Integration Mgmt [Framework]</t>
  </si>
  <si>
    <t>1. Framework in iWork
2. Validate the integration for the existing 6 TPA's</t>
  </si>
  <si>
    <t>IIRM-783</t>
  </si>
  <si>
    <t>Bizonde filter/table - Add "Income type"</t>
  </si>
  <si>
    <t>Opportunity</t>
  </si>
  <si>
    <t>Opportunity History details are unavailable for the end user to view.
Show TAT section (Planned date, Performed/Completed date, Approved date) for planned acitivites</t>
  </si>
  <si>
    <t>IIRM-5292</t>
  </si>
  <si>
    <t>Additional columns in file like Department, DOJ, Emp. Location, Vertical, Others</t>
  </si>
  <si>
    <t>RO Scheduler Enhancements</t>
  </si>
  <si>
    <t>Jagadeesh</t>
  </si>
  <si>
    <t>IIRM-10456</t>
  </si>
  <si>
    <t>TAT/SLA Mgmt (Including Service Score)</t>
  </si>
  <si>
    <t>IIRM-769, IIRM-770</t>
  </si>
  <si>
    <t>Country Handling {Data Source Mgmt}</t>
  </si>
  <si>
    <t>23-May: Respective org. data should reside in the same country.</t>
  </si>
  <si>
    <t>TPA Integration Mgmt [GHPL]</t>
  </si>
  <si>
    <t>Launch TPA - SSO
Ecards API - Read &amp; View Details
Hospital Network
Claims Status API - Read, Store &amp; View Details
Claim Intimation API
Claim Live Status - Single Claim</t>
  </si>
  <si>
    <t>CD Mgmt</t>
  </si>
  <si>
    <t>Claim Mgmt</t>
  </si>
  <si>
    <t>Insurer Integration Mgmt</t>
  </si>
  <si>
    <t>Can be used as a part of External API Intergration</t>
  </si>
  <si>
    <t>Reconciliation Mgmt</t>
  </si>
  <si>
    <t>HRMS Integration Mgmt
Framework provided to link the HRMS portal in Risk Watch</t>
  </si>
  <si>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</si>
  <si>
    <t>As per us Framework is Ready. Validate integrate HCL API's and test it.</t>
  </si>
  <si>
    <t>iWork: Services - Larger Modules</t>
  </si>
  <si>
    <t>Teams Integration</t>
  </si>
  <si>
    <t>MS Teams - Meetings &amp; Tasks integration into iWork
Bi-Directional</t>
  </si>
  <si>
    <t>Production - Bug</t>
  </si>
  <si>
    <t>PROD Bug: Data Discrepancy - Inception/Endorsement vs Send to Client/Insurer (Preview &amp; Excel)</t>
  </si>
  <si>
    <t>Milestone 6</t>
  </si>
  <si>
    <t>Prathiphala</t>
  </si>
  <si>
    <t>IIRM-10291</t>
  </si>
  <si>
    <t>PROD Bug: When download the TPA file, dependents are Missing in the file</t>
  </si>
  <si>
    <t>Infra &amp; Setup</t>
  </si>
  <si>
    <t>Based on recent billing - Identifying the gaps in Redis data storage and gaps in implementation</t>
  </si>
  <si>
    <t>VRK - PROD Feedback: 8-Jun-2026</t>
  </si>
  <si>
    <t>Commercial lines 25-26 numbers should be rectified; it should be 24.99</t>
  </si>
  <si>
    <t>funnels - alignment graph issues with grid;</t>
  </si>
  <si>
    <t>Security</t>
  </si>
  <si>
    <t>InfoSec - IBP Portal (Security Issue)</t>
  </si>
  <si>
    <t>Dashboard - Hide the widgets where there is NO data in the cards</t>
  </si>
  <si>
    <t>Risk Watch - Enrolment Drive</t>
  </si>
  <si>
    <t>Risk Watch - List view to see the list of enrolment drive</t>
  </si>
  <si>
    <t>AI</t>
  </si>
  <si>
    <t>AI Nudges are NOT working. If there is NO AI, then DB scripts should run and show data</t>
  </si>
  <si>
    <t>Service Flow - Upload Employee Details</t>
  </si>
  <si>
    <t>Upsert logic - Tough there is an employee data historically, when user upload latest file we have to update the "Empolyee" or "Dependent" details with the latest information</t>
  </si>
  <si>
    <t>IBP/iWork - CR</t>
  </si>
  <si>
    <t>Employee Details</t>
  </si>
  <si>
    <t>Trim spaces in the dependent names</t>
  </si>
  <si>
    <t>Show Insurer Policy Details</t>
  </si>
  <si>
    <t>Hide DOJ as there is NO source for us.</t>
  </si>
  <si>
    <t>IBP - FAQ</t>
  </si>
  <si>
    <t>Policy Level - FAQ</t>
  </si>
  <si>
    <t>iWork - Report</t>
  </si>
  <si>
    <t>When we generate 2025-2026 data for IIRM India then API request is a failure. Need to find a solution</t>
  </si>
  <si>
    <t>IBP - Enrolment Journey</t>
  </si>
  <si>
    <t>When user save &amp; exit is considered as Enrolled</t>
  </si>
  <si>
    <t>Jayakar reported</t>
  </si>
  <si>
    <t>Access Issue</t>
  </si>
  <si>
    <t>When a user above the hirerchary is accessing the data, application is throwing "unauthorized" message</t>
  </si>
  <si>
    <t>Income month prefilling in endorsements</t>
  </si>
  <si>
    <t>Dashboard and BizDone Brokerage mismatch</t>
  </si>
  <si>
    <t>Application Performance</t>
  </si>
  <si>
    <t>IIRM-10799_Performance (Database &amp; Infra)</t>
  </si>
  <si>
    <t>IIRM-10799</t>
  </si>
  <si>
    <t>My Client Portfolio</t>
  </si>
  <si>
    <t>My Client Portfolio: issues - company search and brokerage</t>
  </si>
  <si>
    <t>Dashboard issue - ISG planning count mismatch</t>
  </si>
  <si>
    <t>Business Performance-breakup - count mismatch</t>
  </si>
  <si>
    <t>Manage Insurer</t>
  </si>
  <si>
    <t>Insurer-branch-edit</t>
  </si>
  <si>
    <t>Enrolment Journey - EMI's</t>
  </si>
  <si>
    <t>Based on Employee's enrolment period, the EMI months should be pro-ration month.
Ex: Day-1 should show the all months EMI. If someone enrol after 2-months then EMI should be based on that.</t>
  </si>
  <si>
    <t>Kriti raised</t>
  </si>
  <si>
    <t>BizDone - Data Updates</t>
  </si>
  <si>
    <t>Bizdone 2025-26 - Ass. CRM &amp; Lead CRM Corrections</t>
  </si>
  <si>
    <t>Madhav sent in IIRM email</t>
  </si>
  <si>
    <t>IBP - Enrolment Details</t>
  </si>
  <si>
    <t>DVN Group - Dependent based on SI &amp; Premium changes</t>
  </si>
  <si>
    <t>Business Critical</t>
  </si>
  <si>
    <t>iWork/IBP - Claim Process - Intimation &amp; Submission (Different Flows)</t>
  </si>
  <si>
    <t>iWork/IBP</t>
  </si>
  <si>
    <t>Life Events - Create Endorsment &amp; next steps; Notification to CRM/KAM Team</t>
  </si>
  <si>
    <t>VRK - PROD Feedback: 6-Aug-2026</t>
  </si>
  <si>
    <t>PROD Bug: Table sorting in each result (Start with BizDone and continue other screen)</t>
  </si>
  <si>
    <t>Medium</t>
  </si>
  <si>
    <t>RO's are showing as 'SO'.
Identify the RCA, share the list, and update valid type</t>
  </si>
  <si>
    <t>Production - Feedback</t>
  </si>
  <si>
    <t>Asset fields which are captured at Broking slip, few of the asset fields should not be printed at the time of Placement slip (example, no of members at inception, total lives, prev policy expiring year etc.) only for GMC</t>
  </si>
  <si>
    <t>iWork - CR</t>
  </si>
  <si>
    <t>Policy Configuration</t>
  </si>
  <si>
    <t>DNV Group - Dependent based SI &amp; Premium configuration</t>
  </si>
  <si>
    <t>VRK - PROD Feedback</t>
  </si>
  <si>
    <t>Manage Insurer - Add Insurer Flow</t>
  </si>
  <si>
    <t>Opty. Flow - Add new Insurer Branch Details</t>
  </si>
  <si>
    <t>BizDone - Finance Team to see the respective Org. data similar to VRK</t>
  </si>
  <si>
    <t>Insurer Management</t>
  </si>
  <si>
    <t>Enhance Insurer - Add, Edit, &amp; Contacts</t>
  </si>
  <si>
    <t>IIRM-10435</t>
  </si>
  <si>
    <t>Enable Parent-Child Policy Mapping for GMC and Sub-Plans (Parental, OPD, Dental, Others)
- How to view config from Base to Child Policiy?
- How to handle endorsement &amp; Claims? (Entire Service Flow)</t>
  </si>
  <si>
    <t>IIRM-9443</t>
  </si>
  <si>
    <t>Claim Intimation &amp; Submission</t>
  </si>
  <si>
    <t>POC - Using AI(Amazon Textract) - Extract Claim documents and populate the data</t>
  </si>
  <si>
    <t>IBP - CR</t>
  </si>
  <si>
    <t>Using AI - Extract the Policy document and perform Policy Configuration (Premium, Family, Parameters, &amp; Others)</t>
  </si>
  <si>
    <t>Opportunity - Validate uploaded documents</t>
  </si>
  <si>
    <t>Using AI - Extract the documents, validate, populate the data in the Opty. flow (Ex. KDM Meeting, Policy Hard Copy, &amp; Others)</t>
  </si>
  <si>
    <t>Need some information about the document rules that defines the idenity of it</t>
  </si>
  <si>
    <t>Endorsement Mgmt (Non-Group / Non-GMC / Non-EB)</t>
  </si>
  <si>
    <t>Enhance the Non-GMC Process (Based on Kishore feedback)</t>
  </si>
  <si>
    <t>IIRM-10587</t>
  </si>
  <si>
    <t>Add new fields - Business Month &amp; Date of Business - Capture in Opty. &amp; Flow to Policy and add filters in BizDone
--&gt; Refer to Madhav email "Business Month Requirement"</t>
  </si>
  <si>
    <t>Pending: Additional filters</t>
  </si>
  <si>
    <t>End-2-End: Automation of IBP Go-live Setup</t>
  </si>
  <si>
    <t>1. Form based data collection
2. Default CMS details
3. Configure the sub-domain in AWS (any API)</t>
  </si>
  <si>
    <t>IIRM-10591</t>
  </si>
  <si>
    <t>IBP - Enrolment Journey - Reset</t>
  </si>
  <si>
    <t>VRK - PROD Feedback: 5-Jun-2026</t>
  </si>
  <si>
    <t>Manage SO - Update the date filters to "SO Expiry Date"</t>
  </si>
  <si>
    <t>SSO - MS AD Account</t>
  </si>
  <si>
    <t>iWork - SSO with Microsoft AD (POC)</t>
  </si>
  <si>
    <t>10-Jun-2026: POC Demo to Venu completed</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</si>
  <si>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</si>
  <si>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</si>
  <si>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</si>
  <si>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</si>
  <si>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</si>
  <si>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</si>
  <si>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</si>
  <si>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</si>
  <si>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</si>
  <si>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</si>
  <si>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</si>
  <si>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</si>
  <si>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VRK - PROD Feedback: 8-Jun-2026
IIRM-10589</t>
  </si>
  <si>
    <t>My client portfolio - Period (Company created) change to - Period (policies created) --- Show the same filters of Manage Policy</t>
  </si>
  <si>
    <t>IIRM-10589</t>
  </si>
  <si>
    <t>My RO clicked should not get highlighted to My SO menu link.</t>
  </si>
  <si>
    <t>My client portfolio - list of all companies for Active policies only</t>
  </si>
  <si>
    <t>Policy Expiry Timeline by SBU - when clicked, redirect to RO screen with the counts.</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</si>
  <si>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</si>
  <si>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</si>
  <si>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Not a bug</t>
  </si>
  <si>
    <t>10-Jun: As per Surya/Kapil Sir. It's Active Policies only</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</si>
  <si>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</si>
  <si>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Filter stickyness is not working for Bizdone and check with all the other screens.
(Filters Persistence in all the screens)</t>
  </si>
  <si>
    <t>my followup should be added into my actionalables with default display instead of "All" tab.</t>
  </si>
  <si>
    <t>VRK - PROD Feedback: 9-Jun-2026</t>
  </si>
  <si>
    <t>Dual approval mechanism - current logic and recommendation to enable as per the current CRM hierarchy</t>
  </si>
  <si>
    <t>BD/ISG planning dates should be empty and mandatory - should be mandatory to start the journey.</t>
  </si>
  <si>
    <t>In "Manage Quotes"/"Manage SO" page, a link should be provided on the activity name, it should get redirected to respective activity stage.</t>
  </si>
  <si>
    <t>Issue in Bizdone search results - Company name not visible</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</si>
  <si>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</si>
  <si>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</si>
  <si>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</si>
  <si>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</si>
  <si>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</si>
  <si>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</si>
  <si>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</si>
  <si>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</si>
  <si>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</si>
  <si>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</si>
  <si>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</si>
  <si>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</si>
  <si>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</si>
  <si>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</si>
  <si>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</si>
  <si>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Risk Watch - Endorsement - Documents &amp; Communication</t>
  </si>
  <si>
    <t>Wellness Banner &amp; SSO</t>
  </si>
  <si>
    <t>Add banner and SSO to Alyve Wellness (Only Banner)</t>
  </si>
  <si>
    <t>IIRM-10590</t>
  </si>
  <si>
    <t>Policy Config: Dependent Based Configurations
- Per life depedent addition &amp; increase SI
- Apply Policy Parameters for dependents</t>
  </si>
  <si>
    <t>Policy Config</t>
  </si>
  <si>
    <t>New Policy constraints
1. Allow first child as Twin
2. Allow second child as Triplet
3. SI per Dependent
4. Parent Lock-in period</t>
  </si>
  <si>
    <t>IIRM-10667</t>
  </si>
  <si>
    <t>iWork - Knowledge Central Re-Design</t>
  </si>
  <si>
    <t>IIRM-10668</t>
  </si>
  <si>
    <t>iLearn: Document Preview in-app</t>
  </si>
  <si>
    <t>Discuss with Madhav</t>
  </si>
  <si>
    <t>19-Jun-2026: Financial Impact fields should be seperated from actual fields. These fields should NOT be populated on their own. (Mainly BizDone &amp; Dashboard)
Also, check if we are there are any data loads for 2025-26</t>
  </si>
  <si>
    <t>Rewards</t>
  </si>
  <si>
    <t>Rewards - Generic (Specific - Out of scope)</t>
  </si>
  <si>
    <t>Risk Watch: Showing policy feature documents at each policy</t>
  </si>
  <si>
    <t>IBP Portal Configure - Wellness - Buttons, CMS, &amp; any other - Flag Driven</t>
  </si>
  <si>
    <t>IIRM-10666</t>
  </si>
  <si>
    <t>IBP - Policy Component Card Re-design</t>
  </si>
  <si>
    <t>Claims Corner - Screen Re-design</t>
  </si>
  <si>
    <t>IIRM-9988</t>
  </si>
  <si>
    <t>Claims Process</t>
  </si>
  <si>
    <t>Process claims without TPA ID (GPA &amp; GTL - flag based)</t>
  </si>
  <si>
    <t>Teamlease - Request</t>
  </si>
  <si>
    <t>Flexibility to configure multiple companies &amp; policies on a single domain</t>
  </si>
  <si>
    <t>VRK - PROD Feedback: 23-Jun-2026</t>
  </si>
  <si>
    <t>Additional section display: Placement Funnel, Schedule, Followup</t>
  </si>
  <si>
    <t>Ribbon level: Reports should include Poppins &amp; Bizdone report</t>
  </si>
  <si>
    <t>Hide "Reports" from Left Menu</t>
  </si>
  <si>
    <t>Remove "±5 days of expiry"</t>
  </si>
  <si>
    <t>Dashboard - SO - Add SBU schedule &amp; My Follow-ups</t>
  </si>
  <si>
    <t>Dashboard - RO - Add SBU schedule &amp; My Follow-ups</t>
  </si>
  <si>
    <t>Business Performance - Update to stacked bar</t>
  </si>
  <si>
    <t>My RO - SBU, Vertical, Branch break-down with details</t>
  </si>
  <si>
    <t>Manage SO - SBU, Vertical, Branch break-down with details</t>
  </si>
  <si>
    <t>BizDone - SBU, Vertical, Branch break-down with details</t>
  </si>
  <si>
    <t>My Client Portfolio - SBU, Vertical, Branch break-down with details</t>
  </si>
  <si>
    <t>Dashboard - Filter &amp; drill-down</t>
  </si>
  <si>
    <t>iWork and iTicket should be accessible via VPN</t>
  </si>
  <si>
    <t>InsureEasy</t>
  </si>
  <si>
    <t>InsureEasy Integration - Retail Business</t>
  </si>
  <si>
    <t>Wherever AI is implemented, there should be fallback if one day we turnoff AI then there shouldn’t be any impact in the working functionality</t>
  </si>
  <si>
    <t>Inception/Endorsement</t>
  </si>
  <si>
    <t>Endorsement data upload related
* Track-1: TeamLease - 2024-2025 Year policies
* All endorsement -&gt; Headers, Member data, &amp; endorsement Document
* Track-2: Old Financial data
* Track-3: Current Financial data
* Track-4: Handle the data in IBP-Risk Watch</t>
  </si>
  <si>
    <t>One URL multiple companies</t>
  </si>
  <si>
    <t>Flexibility to configure multiple companies on a single domain</t>
  </si>
  <si>
    <t>IIRM-10609</t>
  </si>
  <si>
    <t>Enrolment Journey</t>
  </si>
  <si>
    <t>Add GPA note based on employee type (Leadership vs Employee)</t>
  </si>
  <si>
    <t>No Policy Config - Enrolment Journey</t>
  </si>
  <si>
    <t>Enrolment Journey - Collect Dependents Details ONLY</t>
  </si>
  <si>
    <t>Only in IBP as there are changes for iWork which is seperate</t>
  </si>
  <si>
    <t>IIRM-10764</t>
  </si>
  <si>
    <t>Madhav &amp; Veera</t>
  </si>
  <si>
    <t>Data Load - Company, Policy, Broker &amp; Insurer - 30 Files</t>
  </si>
  <si>
    <t>Neeraj Joshi</t>
  </si>
  <si>
    <t>Policy - Inception/Endorsement - Data Load - 13 Files</t>
  </si>
  <si>
    <t>Toast Message - UI</t>
  </si>
  <si>
    <t>Update the font &amp; style for Toast message across application</t>
  </si>
  <si>
    <t>Surya sir provided an idea via email to Me &amp; Naveen</t>
  </si>
  <si>
    <t>IBP - Email Communication</t>
  </si>
  <si>
    <t>Send employee emails - Either AWS or Send Grid - Company Config</t>
  </si>
  <si>
    <t>Data Load - Company, Policy, &amp; Insurer - 38 Files</t>
  </si>
  <si>
    <t>Production Bugs - Via Emails/Tickets - 10</t>
  </si>
  <si>
    <t>VRK - PROD Feedback: 13-Jul-2026</t>
  </si>
  <si>
    <t>Enhanced Screens: Layout Changes - Remove the Vertical section. Keep only Branch.</t>
  </si>
  <si>
    <t>IIRM-10765</t>
  </si>
  <si>
    <t>Functional Changes - Make the Funnel interactive so that clicking on each stage navigates to the corresponding enhanced screen.
Also, when we click on "Numbers" also it has to move to respective screens</t>
  </si>
  <si>
    <t>Pending: Becuase the enhanced screens are yet to Approve</t>
  </si>
  <si>
    <t>Dashboard Issues - Organization-wise summary cards are not required.</t>
  </si>
  <si>
    <t>Madhav sir confirmed via Teams Chat</t>
  </si>
  <si>
    <t>Dashboard Issues - Under PL, the bar chart should represent SO-level data instead of the currently displayed RO-level data.</t>
  </si>
  <si>
    <t>Dashboard UI &amp; Visualization - Remove the SO/RO labels from the bar charts. Display only the figures inside the bars, with the corresponding details available on mouse hover (tooltip).</t>
  </si>
  <si>
    <t>Dashboard UI &amp; Visualization - Review and correct the display of negative values for TeamLease under RO, particularly for Q3 bar-chart.</t>
  </si>
  <si>
    <t>Brokerage Display - Display Brokerage information only. Hide Premium values in the enhanced screens.</t>
  </si>
  <si>
    <t>BizDone Enhanced Screen - Hide Premium.
Display:
RO Brokerage
SO Brokerage</t>
  </si>
  <si>
    <t>Dashboard UI &amp; Visualization - Resolve the Premium value formatting issue. Values should be displayed consistently in Millions/Billions.</t>
  </si>
  <si>
    <t>Dashboard UI &amp; Visualization - Display the Endorsement section above the section “Business Collection Summary”.</t>
  </si>
  <si>
    <t>Dashboard UI &amp; Visualization - Move the Policy Type Distribution section above RO by SBU.</t>
  </si>
  <si>
    <t>Dashboard UI &amp; Visualization - Rename/update the Policy Type names “Fire &amp; Engineering”, “Speciality Lines - Liability”</t>
  </si>
  <si>
    <t>Functional Changes - The SO Activity Follow-up screen should not display ISG-related activities.</t>
  </si>
  <si>
    <t>Dashboard Issues - When IIRM Holdings is selected, the Organization-level cards and graphs are not displayed. Verify and fix the issue.</t>
  </si>
  <si>
    <t>Enhanced Screens: Layout Changes - Display the data using an Accordion layout in the following order:
Company → SBU → Branch → Executive → Client → Policy</t>
  </si>
  <si>
    <t>Surya's feedback</t>
  </si>
  <si>
    <t>Policy Details - Strip - Remove view more button and company is clickable</t>
  </si>
  <si>
    <t>Application Access similar to SysAdmin</t>
  </si>
  <si>
    <t>Need one more user like SYSADMIN. This user to be below SYSADMIN - and should be 100% read-only user - access etc all like SYSADMIN including Bizdone report download etc
Also, inpersonate the user and see the data</t>
  </si>
  <si>
    <t>1. Kapil sir sent it via Teams Chat.
2. Surya sir mentioned this in Call on Saturday</t>
  </si>
  <si>
    <t>IBP - Send "Welcome Emails" or any email from IBP to include CC by HR or CRM User</t>
  </si>
  <si>
    <t>BizDone &amp; Dashboard - Data Issue</t>
  </si>
  <si>
    <t>Delete demo company, Demo company, Dummy company, Nokia Corporation (ref number 22337)</t>
  </si>
  <si>
    <t>Instead of delete, we maked the status NOT to show in the BizDone &amp; Dashboard</t>
  </si>
  <si>
    <t>BizDone</t>
  </si>
  <si>
    <t>Update the associate CRM and Lead CRM as per enclosed sheet. This sheet has policy data. As per this, related SO, RO, Company also to be updated. Their are few records without any associate CRM assignment. So leave them blank. -- Refer to Data update.msg &amp; CRM-Update.xlsx</t>
  </si>
  <si>
    <t>Update Net Premium, Brokerage %, Brokerage Amount, &amp; Income Month -- Refer to Data update - Set 2.msg &amp; cl-updated.xlsx</t>
  </si>
  <si>
    <t>Update Lead CRM as Policy Owner for the selected Policies provided by Kapil</t>
  </si>
  <si>
    <t>Update Opty. Owner value to Lead CRM of the Company</t>
  </si>
  <si>
    <t>Kapil's feedback</t>
  </si>
  <si>
    <t>Data change requests - Madhav's -  Ass. CRM &amp; Others - Refer to Jagadeesh email</t>
  </si>
  <si>
    <t>UX issue</t>
  </si>
  <si>
    <t>Display of complete amounts in KPI cards on hover</t>
  </si>
  <si>
    <t>Removal of + or - 5 days logic in the filters - Revert the logic</t>
  </si>
  <si>
    <t>In BizDone - Include Fee &amp; Rewards in Total Brokerage</t>
  </si>
  <si>
    <t>In Dashboard - Include Fee &amp; Rewards in Achieved</t>
  </si>
  <si>
    <t>Rewards will be added in RO as per Surya's sir and mention a note. Later based on VRK's feedback we will update it.</t>
  </si>
  <si>
    <t>For an enrolled employee with Dependents using Service, instead of Welcome Email they should get Confirmation email</t>
  </si>
  <si>
    <t>API is ready. Need to add into Notification framework</t>
  </si>
  <si>
    <t>Personal Line Data Integrations</t>
  </si>
  <si>
    <t>DSR and iWork Integration Enablement</t>
  </si>
  <si>
    <t>ISG Flow Changes</t>
  </si>
  <si>
    <t>Placement Slip flow - Terrorism premium in Insurer Sharing</t>
  </si>
  <si>
    <t>Enrollment reminders - Need another configuration "Every day" and send till last day of enrolment</t>
  </si>
  <si>
    <t>Enhanced screen: My Client Portfolio</t>
  </si>
  <si>
    <t>Using Policy Config, add only dependent &amp; complete the enrolment.
- Hide SI, Premiums, Rate Calculator
- Endorsement - Employee only should support SI &amp; Parameter</t>
  </si>
  <si>
    <t>Operational</t>
  </si>
  <si>
    <t>IBP - Raise Ticket: Edit the ticket and update the status by the Lead CRM &amp; System Admin
Same funtionality should be there in iWork for internal purpose.
Should send email notification when there are changes to status</t>
  </si>
  <si>
    <t>IBP - Emails: Dual approval/confirmation - Before sending to Employees.
1. 2 levels in iWork
2. CRM will submit &amp; HR will approve in Risk Watch</t>
  </si>
  <si>
    <t>Orphan Records</t>
  </si>
  <si>
    <t>Admin Screen - to view and delete the records</t>
  </si>
  <si>
    <t>S3 Document Mgmt.</t>
  </si>
  <si>
    <t>Admin Screen to Delete or Archive files in S3
Need a process to handle it</t>
  </si>
  <si>
    <t>2025-26 Ownership Updates: Endorsements - Policy - Company - Opportunity as per the endorsement_crm  provided</t>
  </si>
  <si>
    <t>Kapil is validating the data</t>
  </si>
  <si>
    <t>High</t>
  </si>
  <si>
    <t>Branches deletion &amp; Map to valid Branch - (PL-XXXXX)</t>
  </si>
  <si>
    <t>Update Target values in the Application</t>
  </si>
  <si>
    <t>IIRM Team to provide the data</t>
  </si>
  <si>
    <t>BizDone: Update "Policy Owner" to "Policy Created by"</t>
  </si>
  <si>
    <t>Rename "Associate CRM" with "Associate" throughout the Application and Report</t>
  </si>
  <si>
    <t>My RO - KPI - Definition &amp; based on business we have to update the logic</t>
  </si>
  <si>
    <t>Nithin Provided the definition</t>
  </si>
  <si>
    <t>Update "Won" Logic in Opty. Flow</t>
  </si>
  <si>
    <t>Bulk Assignment - Redesign to make up a wizard basis</t>
  </si>
  <si>
    <t>RO Expiry Date Logic to add "+1 day"
1. Retrofit the existing data
2. Update the logic in the RO Generation job</t>
  </si>
  <si>
    <t>My Client Portfolio - Drill-down Need a better design.
At Company level - View SO, View RO, View Policies</t>
  </si>
  <si>
    <t>Stablization</t>
  </si>
  <si>
    <t>PROD Bug: Dashboard vs RO page - When login user applied the same filters in Dashboard and the same in RO then counts are NO matching - Example Milind in email</t>
  </si>
  <si>
    <t>Orphan - Companies - Identifying the records, Validate &amp; Delete</t>
  </si>
  <si>
    <t>Gopal / Rama</t>
  </si>
  <si>
    <t>Orphan - Oppotunities - Identifying the records, Validate &amp; Delete</t>
  </si>
  <si>
    <t>Orphan - Policies - Identifying the records, Validate &amp; Delete</t>
  </si>
  <si>
    <t>Migration Data load should be always complete only after manual Performances Job Execution - Continous acitivity</t>
  </si>
  <si>
    <t>Anytime, manual load or adjustments are done, performance job needs to be executed for entire period</t>
  </si>
  <si>
    <t>Dashboard: Having individual component loaders on the landing page for each component and web-socket framework to avoid long-loading blank page issue.</t>
  </si>
  <si>
    <t>Dev - Done</t>
  </si>
  <si>
    <t>BizDone &amp; Dashboard: Filters Persistance</t>
  </si>
  <si>
    <t>BizDone - Download - User select the desired sheet</t>
  </si>
  <si>
    <t>BizDone - Download - Indian template along with Localization fields</t>
  </si>
  <si>
    <t>UAT - WIP</t>
  </si>
  <si>
    <t>Leela</t>
  </si>
  <si>
    <t>BizDone - Download - Performance (Offload Excel Generation) - API, Queue, Store in S3 &amp; Download</t>
  </si>
  <si>
    <t>BizDone - Applied filters in the Downloaded file in Sheet-1</t>
  </si>
  <si>
    <t>IBP - Risk Watch - Report Issues - Enrolment Drive - Validate, enhance, and document</t>
  </si>
  <si>
    <t>Ravikiran</t>
  </si>
  <si>
    <t>PR is ready, Waiting for nithin to verify</t>
  </si>
  <si>
    <t>The owner selection process remains highly user-unfriendly, with a very small expand ('&gt;') button, incomplete visibility of names, and insufficient hierarchy indentation.</t>
  </si>
  <si>
    <t>Raju</t>
  </si>
  <si>
    <t>BizDone - Old &amp; Enhance Screens - For now both will be live(Metrics)</t>
  </si>
  <si>
    <t xml:space="preserve">Dev - WIP </t>
  </si>
  <si>
    <t>Dashboard &amp; BizDone: Centralised code or utility to fetch the KPIs data for re-usability</t>
  </si>
  <si>
    <t>Dev - WIP</t>
  </si>
  <si>
    <t>Dashboard: Implementation of the dynamic fetching of widgets data without depending on performance output cron job</t>
  </si>
  <si>
    <t>BizDone &amp; Dashboard - Consider Fee &amp; Rewards as "Brokerage"</t>
  </si>
  <si>
    <t>BizDone - Screen &amp; Download data is not consistent</t>
  </si>
  <si>
    <t>leela</t>
  </si>
  <si>
    <t>IBP - Risk Watch - Company &amp; Policy Levels are not matching (CD, Endorsement, Claims)</t>
  </si>
  <si>
    <t>BizDone - Performance - Query Fine Tuning</t>
  </si>
  <si>
    <t>BizDone &amp; other filters - Multi-select for Vertical &amp; Branch</t>
  </si>
  <si>
    <t>Dashboard - Performance - Query Fine Tuning</t>
  </si>
  <si>
    <t xml:space="preserve">BizDone - Download - Reduce the file size (Ex. Excel binary or others) </t>
  </si>
  <si>
    <t>IBP - Email Notification - Company specific email templates for all types (Welcome, Confirmation, Reminder, Raise Ticket, &amp; Others)</t>
  </si>
  <si>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</si>
  <si>
    <t>Maintenance</t>
  </si>
  <si>
    <t>Convert Policy from Active to Generated</t>
  </si>
  <si>
    <t>Delete - Policy Configuration</t>
  </si>
  <si>
    <t>iWork - Reports - View Dump for each download for comparision</t>
  </si>
  <si>
    <t>Gopal</t>
  </si>
  <si>
    <t>PROD: Health Check of the Application, Alert notification &amp; Triage the situation</t>
  </si>
  <si>
    <t>Low</t>
  </si>
  <si>
    <t>Delete - Inception/Endorsement Data</t>
  </si>
  <si>
    <t>Employee Mgmt - Create, Update, Delete - Validate and document</t>
  </si>
  <si>
    <t>Hierarchy Mgmt - View &amp; Update - Report &amp; Visual Chart</t>
  </si>
  <si>
    <t>In any of the screen, we have to provide an info icon where it will help the users how critical fields in that screen are derieved or got populated</t>
  </si>
  <si>
    <t>IBP - Go-Live: Check-list document &amp; SOP</t>
  </si>
  <si>
    <t>Nithin</t>
  </si>
  <si>
    <t>iWork - Reports - Use BizDone framework</t>
  </si>
  <si>
    <t>Job - Dashboard - Review, Enhance and document</t>
  </si>
  <si>
    <t>Flag based development / remove job post approval</t>
  </si>
  <si>
    <t>Personal Lines Data Integration (DSR and iWork)</t>
  </si>
  <si>
    <t>Junaid</t>
  </si>
  <si>
    <t>Demo Env. - Stop all the Job; Make sure emails &amp; SMS are working as expected</t>
  </si>
  <si>
    <t>PROD &amp; Other env.: Database Vaccum - Schedule a periodic acitvity in all the env.</t>
  </si>
  <si>
    <t>Demo Env. - Record the application/Infrastruction/DevOps situation when application is in Zero state</t>
  </si>
  <si>
    <t>Tharun / Jagadeesh</t>
  </si>
  <si>
    <t>PROD &amp; Demo Env.: Database - Partitioning</t>
  </si>
  <si>
    <t>Notification Mgmt - Turn on, Turn off, History, Approval, template changes</t>
  </si>
  <si>
    <t>Job - Expiry Opportunity - Review, Enhance and document</t>
  </si>
  <si>
    <t>PROD &amp; Demo Env.: Database - Indexing</t>
  </si>
  <si>
    <t>Job - RO Creation - Review, Enhance and document</t>
  </si>
  <si>
    <t>6-Aug: Surya sir want to discuss thing</t>
  </si>
  <si>
    <t>PROD &amp; Demo Env.: Database - SQL Functions for all the reports</t>
  </si>
  <si>
    <t>PROD Bug: SES - Notifications - Check what is the configuration. (Scenario: For the very first time Email or SMS is taking time then rest are instant)</t>
  </si>
  <si>
    <t>Infra - Season based bumping (Example: When policies are expiring, need to bump the infra/DB because load will be more). Identify the data and plan this acitivity.</t>
  </si>
  <si>
    <t>Optimal allocate the memory/infra size based on the service operational usage rather than generic size for all</t>
  </si>
  <si>
    <t>Split Service - Risk Watch because it should run on it own and NOT impact other iWork or IBP services</t>
  </si>
  <si>
    <t>Split Service - Identify service areas because either iWork or IBP utilization should not impact other services</t>
  </si>
  <si>
    <t>Reports - iWork - Validate, enhance, and document</t>
  </si>
  <si>
    <t>Policy Config - Premium Rater Table</t>
  </si>
  <si>
    <t>CMS - Policy Level - Component Notes from Strapi</t>
  </si>
  <si>
    <t>Ex. TL - Parental 2-years Lock-in; SI may vary</t>
  </si>
  <si>
    <t>Automation process for Data Load (Gopal &amp; Rama's Task)</t>
  </si>
  <si>
    <t>Export to excel - iWork all the results table; Download is on Previlage</t>
  </si>
  <si>
    <t>Export - IBP-Risk Watch - All the results/Widget must be downloadable based onn Previlage</t>
  </si>
  <si>
    <t xml:space="preserve">Email Notifications - Policy Renewals - CRM users &amp; Insurer Contact </t>
  </si>
  <si>
    <t>Email Notifications - Opty. Lost/ Policy Renewals/ Instalments - CRM users</t>
  </si>
  <si>
    <t>Add/Update - Address &amp; Contact - Across Application</t>
  </si>
  <si>
    <t>PROJECT DELIVERY PLAN</t>
  </si>
  <si>
    <t>iWork · IBP · Framework  (IIRM SOW)   |   Status Overview &amp; Forward Roadmap   ·   As of 07-Aug-2026</t>
  </si>
  <si>
    <t>OVERALL COMPLETION</t>
  </si>
  <si>
    <t>REMAINING WORK</t>
  </si>
  <si>
    <t>items still to deliver across all modules — planned week by week in the weekly sheets</t>
  </si>
  <si>
    <t>SOW SCOPE  —  ORIGINAL vs CURRENT ITEMS</t>
  </si>
  <si>
    <t>Static comparison vs the 'SOW - Actual Items' reference sheet (original contracted scope). Matched by Module + Feature name. Recomputed on each re-run of the script.</t>
  </si>
  <si>
    <t>Original SOW items</t>
  </si>
  <si>
    <t>158</t>
  </si>
  <si>
    <t>Currently tracked (all items)</t>
  </si>
  <si>
    <t>426</t>
  </si>
  <si>
    <t>— new: DPDP / NFR / Change Requests</t>
  </si>
  <si>
    <t>77</t>
  </si>
  <si>
    <t>— new: organic growth (existing modules)</t>
  </si>
  <si>
    <t>199</t>
  </si>
  <si>
    <t>Net growth vs original SOW (158 → 426)</t>
  </si>
  <si>
    <t>+268</t>
  </si>
  <si>
    <t>⚠  2 original SOW item(s) still need review — no matching row in the tracker and no mapping note yet.</t>
  </si>
  <si>
    <t>🔗  15 item(s) already mapped by hand to a renamed/restructured tracker row — see notes in 'SOW - Actual Items'.</t>
  </si>
  <si>
    <t>WEEKLY INTAKE  —  items requested (by Requested Date)</t>
  </si>
  <si>
    <t>Period</t>
  </si>
  <si>
    <t>Added</t>
  </si>
  <si>
    <t>Pending</t>
  </si>
  <si>
    <t>% Closed</t>
  </si>
  <si>
    <t>Before 01-Jun-2026</t>
  </si>
  <si>
    <t>Week of 01 Jun 2026</t>
  </si>
  <si>
    <t>Week of 08 Jun 2026</t>
  </si>
  <si>
    <t>Week of 15 Jun 2026</t>
  </si>
  <si>
    <t>Week of 22 Jun 2026</t>
  </si>
  <si>
    <t>Week of 29 Jun 2026</t>
  </si>
  <si>
    <t>Week of 06 Jul 2026</t>
  </si>
  <si>
    <t>Week of 13 Jul 2026</t>
  </si>
  <si>
    <t>Week of 20 Jul 2026</t>
  </si>
  <si>
    <t>Week of 27 Jul 2026  — last week</t>
  </si>
  <si>
    <t>Week of 03 Aug 2026  — this week</t>
  </si>
  <si>
    <t>Requested ahead (after 09 Aug)</t>
  </si>
  <si>
    <t>No Requested Date</t>
  </si>
  <si>
    <t>TOTAL</t>
  </si>
  <si>
    <t>STATUS BREAKDOWN  (all items)</t>
  </si>
  <si>
    <t>Dev Complete</t>
  </si>
  <si>
    <t>In Development</t>
  </si>
  <si>
    <t>In QA</t>
  </si>
  <si>
    <t>Pre-PROD / UAT</t>
  </si>
  <si>
    <t>Not Started</t>
  </si>
  <si>
    <t>Partial Delivery</t>
  </si>
  <si>
    <t>N/A</t>
  </si>
  <si>
    <t>PROGRESS BY MODULE</t>
  </si>
  <si>
    <t>Type</t>
  </si>
  <si>
    <t>Total</t>
  </si>
  <si>
    <t>% Complete</t>
  </si>
  <si>
    <t>Progress</t>
  </si>
  <si>
    <t>iWork (Backlog)</t>
  </si>
  <si>
    <t>Backlog</t>
  </si>
  <si>
    <t>iWork (Change Requests)</t>
  </si>
  <si>
    <t>Change Request</t>
  </si>
  <si>
    <t>IBP (Backlog)</t>
  </si>
  <si>
    <t>IBP (Change Requests)</t>
  </si>
  <si>
    <t>IBP / iWork (Shared)</t>
  </si>
  <si>
    <t>IBP / iWork (Shared CRs)</t>
  </si>
  <si>
    <t>All</t>
  </si>
  <si>
    <t>PENDING BY MILESTONE &amp; MODULE</t>
  </si>
  <si>
    <t>Milestone</t>
  </si>
  <si>
    <t>TOTAL PENDING</t>
  </si>
  <si>
    <t>ITEMS BY MILESTONE &amp; STATUS</t>
  </si>
  <si>
    <t>% Complete = Delivered ÷ (Delivered + Pending).  N/A items (duplicates) are excluded from the calculation.  All figures update live from the 'SOW, Feedbacks-Bug &amp; CR_Items' sheet.</t>
  </si>
  <si>
    <t>STABILIZATION — STATUS OVERVIEW</t>
  </si>
  <si>
    <t>Stabilization Area  |  Break-up by Feature   ·   As of 07-Aug-2026</t>
  </si>
  <si>
    <t>Stabilization items still to deliver, broken up by Feature below</t>
  </si>
  <si>
    <t>STATUS BREAKDOWN  (Stabilization items)</t>
  </si>
  <si>
    <t>BREAKDOWN BY FEATURE</t>
  </si>
  <si>
    <t>Scope: rows where Area = 'Stablization' in the source sheet.  % Complete = Delivered ÷ (Delivered + Pending).  N/A items excluded.  Counts update live from the source sheet; re-run the script only if a new Feature value is added under this Area (to add its row here).</t>
  </si>
  <si>
    <t>PRIORITY vs STATUS</t>
  </si>
  <si>
    <t>Unknown</t>
  </si>
  <si>
    <t>Scope: rows where Area = 'Stablization', grouped by the 'Priority' column. Counts update live from the source sheet; re-run the script only if a new Priority value is used (to add its row here).</t>
  </si>
  <si>
    <t>DAILY PROGRESS  —  toward the 14-Aug-2026 deadline</t>
  </si>
  <si>
    <t>Date</t>
  </si>
  <si>
    <t>Planned Delivered</t>
  </si>
  <si>
    <t>Planned Pending</t>
  </si>
  <si>
    <t>Delivered Today</t>
  </si>
  <si>
    <t>Ahead/Behind Plan</t>
  </si>
  <si>
    <t>Days Left</t>
  </si>
  <si>
    <t>Req. Pace/day</t>
  </si>
  <si>
    <t>—</t>
  </si>
  <si>
    <t>Unplanned (no ETA / ETA beyond 14-Aug)</t>
  </si>
  <si>
    <t>Scope: only the 35 Stablization items with an ETA on or before 14-Aug-2026 — that's the actual plan for this deadline. Planned Delivered/Pending = cumulative count of those items due on or before that day, from their real ETA dates (not a smoothed ramp); recomputed every run, so it shifts if ETAs or the item set change. Ahead/Behind Plan = Delivered − Planned Delivered for that day. The 25 item(s) with no ETA (or an ETA after 14-Aug) are listed above, not counted toward this deadline.</t>
  </si>
  <si>
    <t>WEEK OF 27 Jul 2026  →  02 Aug 2026   —   11 items  ·  10 delivered  ·  1 pending  ·  LAST WEEK</t>
  </si>
  <si>
    <t>⚠️  Static snapshot.  To update: edit STATUS/ETA in the source sheet, then re-run build_iirm_summary.py</t>
  </si>
  <si>
    <t>#</t>
  </si>
  <si>
    <t>Requested</t>
  </si>
  <si>
    <t xml:space="preserve">  iWork (Backlog &amp; CRs)     ·     9 items  ·  8 delivered  ·  1 pending</t>
  </si>
  <si>
    <t>27-Jul-2026</t>
  </si>
  <si>
    <t/>
  </si>
  <si>
    <t>28-Jul-2026</t>
  </si>
  <si>
    <t>10-Jun-2025</t>
  </si>
  <si>
    <t>29-Jul-2026</t>
  </si>
  <si>
    <t>31-Jul-2025</t>
  </si>
  <si>
    <t>31-Jul-2026</t>
  </si>
  <si>
    <t>30-Jul-2026</t>
  </si>
  <si>
    <t xml:space="preserve">  IBP (Backlog &amp; CRs)     ·     2 items  ·  2 delivered  ·  0 pending</t>
  </si>
  <si>
    <t>WEEK OF 03 Aug 2026  →  09 Aug 2026   —   86 items  ·  11 delivered  ·  75 pending  ·  CURRENT WEEK</t>
  </si>
  <si>
    <t xml:space="preserve">  iWork (Backlog &amp; CRs)     ·     49 items  ·  8 delivered  ·  41 pending</t>
  </si>
  <si>
    <t>16-Apr-2025</t>
  </si>
  <si>
    <t>03-Aug-2026</t>
  </si>
  <si>
    <t>01-Aug-2026</t>
  </si>
  <si>
    <t>01-Jul-2026</t>
  </si>
  <si>
    <t>04-Aug-2026</t>
  </si>
  <si>
    <t>25-Jul-2026</t>
  </si>
  <si>
    <t>05-Aug-2026</t>
  </si>
  <si>
    <t>18-Jul-2026</t>
  </si>
  <si>
    <t>06-Aug-2026</t>
  </si>
  <si>
    <t>07-Aug-2026</t>
  </si>
  <si>
    <t>01-May-2026</t>
  </si>
  <si>
    <t>08-May-2026</t>
  </si>
  <si>
    <t>05-Jun-2026</t>
  </si>
  <si>
    <t>15-Jun-2026</t>
  </si>
  <si>
    <t>25-Jun-2026</t>
  </si>
  <si>
    <t>09-Jul-2026</t>
  </si>
  <si>
    <t>24-Jul-2026</t>
  </si>
  <si>
    <t xml:space="preserve">  IBP (Backlog &amp; CRs)     ·     19 items  ·  2 delivered  ·  17 pending</t>
  </si>
  <si>
    <t>21-Jun-2026</t>
  </si>
  <si>
    <t xml:space="preserve">  Framework (DPDP, NFR, Framework)     ·     18 items  ·  1 delivered  ·  17 pending</t>
  </si>
  <si>
    <t>WEEK OF 10 Aug 2026  →  16 Aug 2026   —   14 items  ·  0 delivered  ·  14 pending  ·  NEXT WEEK</t>
  </si>
  <si>
    <t xml:space="preserve">  iWork (Backlog &amp; CRs)     ·     13 items  ·  0 delivered  ·  13 pending</t>
  </si>
  <si>
    <t>10-Aug-2026</t>
  </si>
  <si>
    <t>11-Aug-2026</t>
  </si>
  <si>
    <t>12-Aug-2026</t>
  </si>
  <si>
    <t>13-Aug-2026</t>
  </si>
  <si>
    <t>14-Aug-2026</t>
  </si>
  <si>
    <t xml:space="preserve">  Other / Unassigned     ·     1 item  ·  0 delivered  ·  1 pending</t>
  </si>
  <si>
    <t>UPCOMING  (ETA beyond 10 Aug week)   —   0 items  ·  0 delivered  ·  0 pending</t>
  </si>
  <si>
    <t>UNPLANNED — PENDING, NO ETA     ·     36 items</t>
  </si>
  <si>
    <t>Pending items with no ETA yet.  Assign an ETA in the source sheet to move an item into its week.  Static snapshot — re-run to refresh.</t>
  </si>
  <si>
    <t xml:space="preserve">  iWork (Backlog &amp; CRs)     ·     28 items</t>
  </si>
  <si>
    <t>20-Apr-2026</t>
  </si>
  <si>
    <t>21-Apr-2026</t>
  </si>
  <si>
    <t>14-Jul-2026</t>
  </si>
  <si>
    <t>17-Jul-2026</t>
  </si>
  <si>
    <t xml:space="preserve">  IBP (Backlog &amp; CRs)     ·     4 items</t>
  </si>
  <si>
    <t>21-Jul-2026</t>
  </si>
  <si>
    <t xml:space="preserve">  Other / Unassigned     ·     4 items</t>
  </si>
  <si>
    <t>VRK — PROD FEEDBACK TRACKER     ·     80 items  ·  67 delivered  ·  13 pending</t>
  </si>
  <si>
    <t>All 'VRK - PROD Feedback:' items, broken up by week (status then ETA within a week).  Excluded from the other views.  Static snapshot.</t>
  </si>
  <si>
    <t xml:space="preserve">  📅  WEEK OF 08 Jun → 14 Jun 2026   ·   PAST     ·     27 items</t>
  </si>
  <si>
    <t>08-Jun-2026</t>
  </si>
  <si>
    <t>09-Jun-2026</t>
  </si>
  <si>
    <t>10-Jun-2026</t>
  </si>
  <si>
    <t>12-Jun-2026</t>
  </si>
  <si>
    <t xml:space="preserve">  📅  WEEK OF 15 Jun → 21 Jun 2026   ·   PAST     ·     8 items</t>
  </si>
  <si>
    <t>16-Jun-2026</t>
  </si>
  <si>
    <t>19-Jun-2026</t>
  </si>
  <si>
    <t xml:space="preserve">  📅  WEEK OF 22 Jun → 28 Jun 2026   ·   PAST     ·     1 item</t>
  </si>
  <si>
    <t>24-Jun-2026</t>
  </si>
  <si>
    <t xml:space="preserve">  📅  WEEK OF 29 Jun → 05 Jul 2026   ·   PAST     ·     8 items</t>
  </si>
  <si>
    <t>30-Jun-2026</t>
  </si>
  <si>
    <t>23-Jun-2026</t>
  </si>
  <si>
    <t>02-Jul-2026</t>
  </si>
  <si>
    <t xml:space="preserve">  📅  WEEK OF 06 Jul → 12 Jul 2026   ·   PAST     ·     3 items</t>
  </si>
  <si>
    <t>07-Jul-2026</t>
  </si>
  <si>
    <t>08-Jul-2026</t>
  </si>
  <si>
    <t xml:space="preserve">  📅  WEEK OF 13 Jul → 19 Jul 2026   ·   PAST     ·     13 items</t>
  </si>
  <si>
    <t>13-Jul-2026</t>
  </si>
  <si>
    <t>15-Jul-2026</t>
  </si>
  <si>
    <t xml:space="preserve">  📅  WEEK OF 20 Jul → 26 Jul 2026   ·   PAST     ·     3 items</t>
  </si>
  <si>
    <t>20-Jul-2026</t>
  </si>
  <si>
    <t>22-Jul-2026</t>
  </si>
  <si>
    <t xml:space="preserve">  📅  WEEK OF 27 Jul → 02 Aug 2026   ·   LAST WEEK     ·     2 items</t>
  </si>
  <si>
    <t xml:space="preserve">  📍  WEEK OF 03 Aug → 09 Aug 2026   ·   CURRENT WEEK     ·     8 items</t>
  </si>
  <si>
    <t xml:space="preserve">  🗓  No ETA assigned     ·     7 items</t>
  </si>
  <si>
    <t>Match Status</t>
  </si>
  <si>
    <t>Refer to "SOW, Feedbacks-Bug &amp; CR_Items"</t>
  </si>
  <si>
    <t>✓ Found in tracker</t>
  </si>
  <si>
    <t>Visualization framework (mobile)</t>
  </si>
  <si>
    <t>🔗 Mapped (see note)</t>
  </si>
  <si>
    <t>Map to line number 35 in Sheet-SOW, Feedbacks-Bug &amp; CR_Items</t>
  </si>
  <si>
    <t>Document Management (Mobile)</t>
  </si>
  <si>
    <t>Map to line number 36 in Sheet-SOW, Feedbacks-Bug &amp; CR_Items</t>
  </si>
  <si>
    <t>Caching of API Data (Mobile)</t>
  </si>
  <si>
    <t>Map to line number 37 in Sheet-SOW, Feedbacks-Bug &amp; CR_Items</t>
  </si>
  <si>
    <t>Usage Tracking System</t>
  </si>
  <si>
    <t>Map to line number 41 in Sheet-SOW, Feedbacks-Bug &amp; CR_Items</t>
  </si>
  <si>
    <t>Data ca n be accessed only through the APIs and in the same network 
Database can be accessed on through Jumphost
Database access is based on privilages</t>
  </si>
  <si>
    <t>Common, Contexual Read and Spread Component</t>
  </si>
  <si>
    <t>Map to line number 47 in Sheet-SOW, Feedbacks-Bug &amp; CR_Items</t>
  </si>
  <si>
    <t>Module to manage MIR {Monthly Information Report}</t>
  </si>
  <si>
    <t>Servicing Stats Dashboard - Single Table (drillable) to calculate an overall score</t>
  </si>
  <si>
    <t>Physical data storage is limiited to a particular country and can't be combined with other country data</t>
  </si>
  <si>
    <t>Map to line number 115 in Sheet-SOW, Feedbacks-Bug &amp; CR_Items</t>
  </si>
  <si>
    <t>Archived Oppurtunity, Policy Mgmt {Archived Biz Data and Retrieval on need}</t>
  </si>
  <si>
    <t>Map to line number 71 in Sheet-SOW, Feedbacks-Bug &amp; CR_Items</t>
  </si>
  <si>
    <t>Basic Landing Page with only company plans and summary</t>
  </si>
  <si>
    <t>Hub of all plans I have as an employee - both Company provided and individually signed up. Mostly a navigational page</t>
  </si>
  <si>
    <t>6 Policies - GMC, GPA, GTL, Parental Plicy, Top-ups, OPD Policy (Summary view of policies</t>
  </si>
  <si>
    <t>Document Hub - covers Policies, Prescriptions, Reports</t>
  </si>
  <si>
    <t>Map to line number 126 in Sheet-SOW, Feedbacks-Bug &amp; CR_Items</t>
  </si>
  <si>
    <t>Employee Search, Resend Email, Update Employee Info, Delete Employees, Extend Enrollment Windows, Reports, Bulk Email</t>
  </si>
  <si>
    <t>Map to line number 100 in Sheet-SOW, Feedbacks-Bug &amp; CR_Items</t>
  </si>
  <si>
    <t>Wellness Benefits Mgmt</t>
  </si>
  <si>
    <t>Company Sponsered, Personal Discounted services</t>
  </si>
  <si>
    <t>Username and Password based authentication and RBAC on simple-auth users. Auth rules needs configuration capability</t>
  </si>
  <si>
    <t>Reconciliation ManagementUpload Commission Statement</t>
  </si>
  <si>
    <t>Upload commission statement, reconcile against issued policies; 
Upload invoice &amp; reconcile against commission stmt; 
Upload invoice statuses and reconcile paid/unpaid</t>
  </si>
  <si>
    <t>Map to line number 190 in Sheet-SOW, Feedbacks-Bug &amp; CR_Items</t>
  </si>
  <si>
    <t>Integration UI Component (for TPA, HRMS, Insurer)</t>
  </si>
  <si>
    <t>TPA Integration Mgmt</t>
  </si>
  <si>
    <t>Map to line number 114 in Sheet-SOW, Feedbacks-Bug &amp; CR_Items</t>
  </si>
  <si>
    <t>HRMS Integration Mgmt</t>
  </si>
  <si>
    <t>Base framework needs to be built and actual integration shoudl be on need</t>
  </si>
  <si>
    <t>⚠ NOT in tracker</t>
  </si>
  <si>
    <t>Map to line number 127 in Sheet-SOW, Feedbacks-Bug &amp; CR_Items</t>
  </si>
  <si>
    <t>Admin side of IBM (in iWork) needs to customize/configure the offerings/page per Corporate.</t>
  </si>
  <si>
    <t>OPD Claims Process Mgmt</t>
  </si>
  <si>
    <t>Claim initiation - some metadata and upload of documents</t>
  </si>
  <si>
    <t>Map to line number 149 in Sheet-SOW, Feedbacks-Bug &amp; CR_Items</t>
  </si>
  <si>
    <t>2nd Opinion Claims Process Mgmt</t>
  </si>
  <si>
    <t>Managing 2nd opinion - initiate with data and upload documents</t>
  </si>
  <si>
    <t>OPD &amp; 2nd Opinon Claims Processing</t>
  </si>
  <si>
    <t>A report or generated file to be sent through manual processing</t>
  </si>
  <si>
    <t>My Services Mgmt</t>
  </si>
  <si>
    <t>Summary view of the services subscribed (Wellness)</t>
  </si>
  <si>
    <t>Map to line number 168 in Sheet-SOW, Feedbacks-Bug &amp; CR_Items</t>
  </si>
  <si>
    <t>Company Provided and Personal Policy based claim mgmt, Tracking status, Document Mgmt related to claims</t>
  </si>
  <si>
    <t>List of Stabilization Items</t>
  </si>
  <si>
    <t>Sl. #</t>
  </si>
  <si>
    <t>Sub-Module</t>
  </si>
  <si>
    <t>Item</t>
  </si>
  <si>
    <t>Efforts (Hrs.)</t>
  </si>
  <si>
    <t>Assigned To</t>
  </si>
  <si>
    <t>Offload Excel Generation: Disconnect report generation from HTTP requests to prevent timeout issues. Use an asynchronous thread or long polling for status updates and file downloading.</t>
  </si>
  <si>
    <t>1-A</t>
  </si>
  <si>
    <t>API Tweaks for making data request</t>
  </si>
  <si>
    <t>Implementing queue / query building</t>
  </si>
  <si>
    <t>Tweaks / Update Procees the data onto file and store / upload to storage</t>
  </si>
  <si>
    <t>Long Poling Implementation for Bizdone Download - Front End</t>
  </si>
  <si>
    <t>1-B</t>
  </si>
  <si>
    <t>Query Tuning for Binzdone Query, Dashboard Performances</t>
  </si>
  <si>
    <t>1-C</t>
  </si>
  <si>
    <t>Implementation of the dynamic fetching of the dashboard widgets data without depending on performance output cron job</t>
  </si>
  <si>
    <t>Centralised code or util function to fetch the KPIs in biz done report and dashboard data for re-usability</t>
  </si>
  <si>
    <t>1-D</t>
  </si>
  <si>
    <t>Migration Data load Should be always complete only Performances Job Execution - Continous acitivity</t>
  </si>
  <si>
    <t>Having individual component loaders on the landing page for each component and web-socket framework to avoid long-loading blank page issue.</t>
  </si>
  <si>
    <t>Jobs</t>
  </si>
  <si>
    <t>Process Jobs - Review, Enhance and document</t>
  </si>
  <si>
    <t>3-A</t>
  </si>
  <si>
    <t>Job - Expiry Opportunity - Review and Enhance</t>
  </si>
  <si>
    <t>3-B</t>
  </si>
  <si>
    <t>Job - Opportunity Creation - Review and Enhance</t>
  </si>
  <si>
    <t>3-C</t>
  </si>
  <si>
    <t>Job - Dashboard</t>
  </si>
  <si>
    <t>3-D</t>
  </si>
  <si>
    <t>3-E</t>
  </si>
  <si>
    <t>3-F</t>
  </si>
  <si>
    <t>3-G</t>
  </si>
  <si>
    <t>3-H</t>
  </si>
  <si>
    <t>Issue Type</t>
  </si>
  <si>
    <t>Summary</t>
  </si>
  <si>
    <t>Reporter</t>
  </si>
  <si>
    <t>Product</t>
  </si>
  <si>
    <t>Parent</t>
  </si>
  <si>
    <t>IIRM-4</t>
  </si>
  <si>
    <t>Story</t>
  </si>
  <si>
    <t>ACL Establishment</t>
  </si>
  <si>
    <t>Done</t>
  </si>
  <si>
    <t>Sai Vamsee K</t>
  </si>
  <si>
    <t>IIRM-18 — SOW#1 - ACL &amp; RBAC Control</t>
  </si>
  <si>
    <t>IIRM-6</t>
  </si>
  <si>
    <t>Architecture - iWork</t>
  </si>
  <si>
    <t>IIRM-64 — SOW#3 - Micro Service Framework</t>
  </si>
  <si>
    <t>IIRM-7</t>
  </si>
  <si>
    <t>Implement simple authentication</t>
  </si>
  <si>
    <t>IIRM-62 — SOW#2 - Authentication</t>
  </si>
  <si>
    <t>IIRM-9</t>
  </si>
  <si>
    <t>UX - Core System (Research &amp; Documentation)</t>
  </si>
  <si>
    <t>IIRM-80 — SOW#4 - Core System</t>
  </si>
  <si>
    <t>IIRM-11</t>
  </si>
  <si>
    <t>Design System - UI</t>
  </si>
  <si>
    <t>IIRM-734 — SOW#7 - UI Design System</t>
  </si>
  <si>
    <t>IIRM-13</t>
  </si>
  <si>
    <t>Product Spec - iWork (Org Structure, RBAC, Contacts, TPA, Insurer and Broker)</t>
  </si>
  <si>
    <t>IIRM-14</t>
  </si>
  <si>
    <t>UX/UI - Create/List and View Company</t>
  </si>
  <si>
    <t>IIRM-736 — SOW#9 - Add/Manage Company (Prospects)</t>
  </si>
  <si>
    <t>Frontend - Micro Frontend Setup</t>
  </si>
  <si>
    <t>IIRM-16</t>
  </si>
  <si>
    <t>Core System - Overall Project setup</t>
  </si>
  <si>
    <t>Epic</t>
  </si>
  <si>
    <t>SOW#1 - ACL &amp; RBAC Control</t>
  </si>
  <si>
    <t>Frontend - Service Workers Implementation</t>
  </si>
  <si>
    <t>IIRM-20</t>
  </si>
  <si>
    <t>Core System - Tech Tool Decisions (TechStack &amp; Integration Choices)</t>
  </si>
  <si>
    <t>IIRM-23</t>
  </si>
  <si>
    <t>Sub-task</t>
  </si>
  <si>
    <t>UX/UI - Manage Company</t>
  </si>
  <si>
    <t>IIRM-14 — UX/UI - Create/List and View Company</t>
  </si>
  <si>
    <t>IIRM-30</t>
  </si>
  <si>
    <t>Setting up Repositories with Users and permissions</t>
  </si>
  <si>
    <t>IIRM-6 — Architecture - iWork</t>
  </si>
  <si>
    <t>IIRM-31</t>
  </si>
  <si>
    <t>Analyse the Design Patterns to be followed</t>
  </si>
  <si>
    <t>IIRM-32</t>
  </si>
  <si>
    <t>Analyse and Create the Architectural Flow</t>
  </si>
  <si>
    <t>IIRM-33</t>
  </si>
  <si>
    <t>Analyse the CommonLib Implemenetation and Functions to include</t>
  </si>
  <si>
    <t>IIRM-38</t>
  </si>
  <si>
    <t>Set Up API Gateway</t>
  </si>
  <si>
    <t>IIRM-16 — Micro Service Framework Setup</t>
  </si>
  <si>
    <t>IIRM-39</t>
  </si>
  <si>
    <t>Setup Auth Service as Microservice</t>
  </si>
  <si>
    <t>IIRM-40</t>
  </si>
  <si>
    <t>Initialize Environment Configurations for Micro Services</t>
  </si>
  <si>
    <t>IIRM-41</t>
  </si>
  <si>
    <t>Setup the Service registry for Micro services</t>
  </si>
  <si>
    <t>IIRM-1739 — Microservices Framework Setup - Service registry, Gateway Config, Service Discovery, Service Config</t>
  </si>
  <si>
    <t>IIRM-42</t>
  </si>
  <si>
    <t>Analyse and Database Schema Design</t>
  </si>
  <si>
    <t>IIRM-7 — Implement simple authentication</t>
  </si>
  <si>
    <t>IIRM-43</t>
  </si>
  <si>
    <t>API Development for Simple Auth Implementation</t>
  </si>
  <si>
    <t>IIRM-44</t>
  </si>
  <si>
    <t>Tokenizing Simple Auth Authentication</t>
  </si>
  <si>
    <t>IIRM-45</t>
  </si>
  <si>
    <t>IIRM-17 — Core System - Overall Project setup</t>
  </si>
  <si>
    <t>IIRM-46</t>
  </si>
  <si>
    <t>Structurise the Frontend Micro Frontends</t>
  </si>
  <si>
    <t>IIRM-47</t>
  </si>
  <si>
    <t>Setup the Environment Configurations</t>
  </si>
  <si>
    <t>IIRM-48</t>
  </si>
  <si>
    <t>Define Micro Frontend Architecture and Structure</t>
  </si>
  <si>
    <t>IIRM-15 — Frontend - Micro Frontend Setup</t>
  </si>
  <si>
    <t>IIRM-49</t>
  </si>
  <si>
    <t>Set Up the Host Application</t>
  </si>
  <si>
    <t>IIRM-50</t>
  </si>
  <si>
    <t>Service Worker Setup &amp; Registration</t>
  </si>
  <si>
    <t>IIRM-19 — Frontend - Service Workers Implementation</t>
  </si>
  <si>
    <t>IIRM-51</t>
  </si>
  <si>
    <t>Caching Strategy &amp; Static Asset Caching</t>
  </si>
  <si>
    <t>IIRM-57</t>
  </si>
  <si>
    <t>Define access control reqiurement</t>
  </si>
  <si>
    <t>VedaVyas</t>
  </si>
  <si>
    <t>IIRM-4 — ACL Establishment</t>
  </si>
  <si>
    <t>IIRM-59</t>
  </si>
  <si>
    <t xml:space="preserve"> Implementing Background Sync for Offline Actions</t>
  </si>
  <si>
    <t>tharun</t>
  </si>
  <si>
    <t>IIRM-60</t>
  </si>
  <si>
    <t>Implement Push Notifications (8 hours)</t>
  </si>
  <si>
    <t>IIRM-61</t>
  </si>
  <si>
    <t>Testing, Debugging, and Optimizing Service Worker and Push Functionality</t>
  </si>
  <si>
    <t>SOW#2 - Authentication</t>
  </si>
  <si>
    <t>IIRM-64</t>
  </si>
  <si>
    <t>SOW#3 - Micro Service Framework</t>
  </si>
  <si>
    <t>WORK IN PROGRESS</t>
  </si>
  <si>
    <t>IIRM-65</t>
  </si>
  <si>
    <t>Set Up User Roles and Permissions Model</t>
  </si>
  <si>
    <t>IIRM-66</t>
  </si>
  <si>
    <t>Integrate ACL Logic into Authentication and Authorization Flow</t>
  </si>
  <si>
    <t>IIRM-67</t>
  </si>
  <si>
    <t>Implement Role-Based Access Control UI</t>
  </si>
  <si>
    <t>IIRM-71</t>
  </si>
  <si>
    <t>Configure Microfrontend Projects</t>
  </si>
  <si>
    <t>IIRM-72</t>
  </si>
  <si>
    <t>Develop Microfrontend Components</t>
  </si>
  <si>
    <t>IIRM-73</t>
  </si>
  <si>
    <t>Implement Communication Between Microfrontends</t>
  </si>
  <si>
    <t>IIRM-74</t>
  </si>
  <si>
    <t>Set Up API Gateway configuration</t>
  </si>
  <si>
    <t>IIRM-75</t>
  </si>
  <si>
    <t>Set Up Service Discovery</t>
  </si>
  <si>
    <t>IIRM-76</t>
  </si>
  <si>
    <t>Implement Inter-Service Communication</t>
  </si>
  <si>
    <t>IIRM-77</t>
  </si>
  <si>
    <t>Define Microservice Architecture and Components and basic setup</t>
  </si>
  <si>
    <t>IIRM-78</t>
  </si>
  <si>
    <t>Break Down and Detail Architectural Flow</t>
  </si>
  <si>
    <t>IIRM-79</t>
  </si>
  <si>
    <t>Develop CommonLib Functions and Utilities</t>
  </si>
  <si>
    <t>SOW#4 - Core System</t>
  </si>
  <si>
    <t>IIRM-83</t>
  </si>
  <si>
    <t>Grid component</t>
  </si>
  <si>
    <t>IIRM-733 — SOW#6 - UI Components</t>
  </si>
  <si>
    <t>IIRM-84</t>
  </si>
  <si>
    <t>Form generation component and utils</t>
  </si>
  <si>
    <t>IIRM-85</t>
  </si>
  <si>
    <t>Set Up the Table Component Skeleton</t>
  </si>
  <si>
    <t>IIRM-83 — Grid component</t>
  </si>
  <si>
    <t>IIRM-86</t>
  </si>
  <si>
    <t>Implement Sorting and Pagination Logic</t>
  </si>
  <si>
    <t>IIRM-87</t>
  </si>
  <si>
    <t>Implement Filtering and Data Population</t>
  </si>
  <si>
    <t>IIRM-88</t>
  </si>
  <si>
    <t>Add Custom Styling configuration and cell renderer templates</t>
  </si>
  <si>
    <t>IIRM-89</t>
  </si>
  <si>
    <t xml:space="preserve">Define the Object Structure for Form Generation </t>
  </si>
  <si>
    <t>IIRM-84 — Form generation component and utils</t>
  </si>
  <si>
    <t>IIRM-90</t>
  </si>
  <si>
    <t>Build Form Generation Logic</t>
  </si>
  <si>
    <t>IIRM-91</t>
  </si>
  <si>
    <t>Implement Validation Logic</t>
  </si>
  <si>
    <t>IIRM-92</t>
  </si>
  <si>
    <t>Create Utility Functions for Dynamic Form Handling</t>
  </si>
  <si>
    <t>IIRM-732</t>
  </si>
  <si>
    <t>SOW#5 - Access Control</t>
  </si>
  <si>
    <t>Sidhant Kumar Das</t>
  </si>
  <si>
    <t>IIRM-733</t>
  </si>
  <si>
    <t>SOW#6 - UI Components</t>
  </si>
  <si>
    <t>Draft</t>
  </si>
  <si>
    <t>SOW#7 - UI Design System</t>
  </si>
  <si>
    <t>IIRM-735</t>
  </si>
  <si>
    <t>SOW#8 - 11 Components / Modules</t>
  </si>
  <si>
    <t>IIRM-736</t>
  </si>
  <si>
    <t>SOW#9 - Add/Manage Company (Prospects)</t>
  </si>
  <si>
    <t>IIRM-737</t>
  </si>
  <si>
    <t>SOW#10 - Add/Manage Contact</t>
  </si>
  <si>
    <t>SOW#11 - Manage Tasks, Meetings</t>
  </si>
  <si>
    <t>IIRM-739</t>
  </si>
  <si>
    <t>SOW#12 - Manage Employees</t>
  </si>
  <si>
    <t>SOW#13 - Add/Manage Opportunity</t>
  </si>
  <si>
    <t>IIRM-741</t>
  </si>
  <si>
    <t>SOW#14 - Add/Manage Insurer</t>
  </si>
  <si>
    <t>IIRM-742</t>
  </si>
  <si>
    <t>SOW#15 - Add/Manage TPA</t>
  </si>
  <si>
    <t>SOW#16 - Data Visualization Components</t>
  </si>
  <si>
    <t>SOW#17 - User Management</t>
  </si>
  <si>
    <t>SOW#18 - Master Data</t>
  </si>
  <si>
    <t>SOW#19 - Notification and Communication Management</t>
  </si>
  <si>
    <t>RELEASED</t>
  </si>
  <si>
    <t>IIRM-747</t>
  </si>
  <si>
    <t>SOW#20 - 11 Components / Modules</t>
  </si>
  <si>
    <t>IIRM-748</t>
  </si>
  <si>
    <t>SOW#21 - Usage &amp; Audit</t>
  </si>
  <si>
    <t>SOW#22 - Data Security (NFR)</t>
  </si>
  <si>
    <t>SOW#23 - Document Management - CMS</t>
  </si>
  <si>
    <t>SOW#24 - Dashboard &amp; Drilldowns</t>
  </si>
  <si>
    <t>SOW#25 - Manage iWork Stages (BD)</t>
  </si>
  <si>
    <t>SOW#26 - Sales Team Hierarchy</t>
  </si>
  <si>
    <t>SOW#27 - AI - Smart Adds</t>
  </si>
  <si>
    <t>IIRM-755</t>
  </si>
  <si>
    <t>SOW#28 - Manage BD 2 Stages &amp; Policy Creation</t>
  </si>
  <si>
    <t>IIRM-756</t>
  </si>
  <si>
    <t>SOW#29 - Manage ISG Stages</t>
  </si>
  <si>
    <t>SOW#30 - Manage Policy Endorsements</t>
  </si>
  <si>
    <t>SOW#31 - MIR Entry Mgmt. (Monthly Information Report)</t>
  </si>
  <si>
    <t>SOW#32 - Asset/Member Data Mgmt</t>
  </si>
  <si>
    <t>SOW#33 - Document Generation</t>
  </si>
  <si>
    <t>IIRM-761</t>
  </si>
  <si>
    <t>SOW#34 - Notifications Management</t>
  </si>
  <si>
    <t>SOW#35 - Configuration Management</t>
  </si>
  <si>
    <t>SOW#36 - Accessibility</t>
  </si>
  <si>
    <t>SOW#37 - Localisation</t>
  </si>
  <si>
    <t>SOW#38 - Rule Definition Management</t>
  </si>
  <si>
    <t>SOW#39 - Workflow Management</t>
  </si>
  <si>
    <t>IIRM-767</t>
  </si>
  <si>
    <t>SOW#40 - Caching Localisation</t>
  </si>
  <si>
    <t>SOW#41 - Knowledge Central</t>
  </si>
  <si>
    <t>IIRM-769</t>
  </si>
  <si>
    <t>SOW#42 - TAT mgmt</t>
  </si>
  <si>
    <t>IIRM-770</t>
  </si>
  <si>
    <t>SOW#43 - SLA mgmt (Including Service Score)</t>
  </si>
  <si>
    <t>SOW#44 - IBP Landing Page (Design)</t>
  </si>
  <si>
    <t>IIRM-772</t>
  </si>
  <si>
    <t>SOW#45 - Document Management</t>
  </si>
  <si>
    <t>SOW#46 - Enrolment Portal</t>
  </si>
  <si>
    <t>SOW#47 - Company Plans</t>
  </si>
  <si>
    <t>SOW#48 - Whitelabelling</t>
  </si>
  <si>
    <t>SOW#49 - HR Portal View</t>
  </si>
  <si>
    <t>IIRM-777</t>
  </si>
  <si>
    <t>SOW#50 - Policy Configurator</t>
  </si>
  <si>
    <t>SOW#51 - Admin Reports</t>
  </si>
  <si>
    <t>IIRM-779</t>
  </si>
  <si>
    <t>SOW#52 - Receivables &amp; Reconcilation</t>
  </si>
  <si>
    <t>IIRM-780</t>
  </si>
  <si>
    <t>SOW#53 - Report Hub &amp; Reports</t>
  </si>
  <si>
    <t>IIRM-781</t>
  </si>
  <si>
    <t>SOW#54 - CD Management</t>
  </si>
  <si>
    <t>IIRM-782</t>
  </si>
  <si>
    <t>SOW#55 - Claim Management</t>
  </si>
  <si>
    <t>SOW#56 - Insurer / TPA integration</t>
  </si>
  <si>
    <t>SOW#57 - Basic Wellness Hub</t>
  </si>
  <si>
    <t>SOW#58 - Wellness Usage Analytics</t>
  </si>
  <si>
    <t>SOW#59 - IBP: Landing Page (Admin Module)</t>
  </si>
  <si>
    <t>IIRM-787</t>
  </si>
  <si>
    <t>SOW#60 - Claims Corner</t>
  </si>
  <si>
    <t>SOW#61 - Individual insurance Plan Mgmt</t>
  </si>
  <si>
    <t>SOW#62 - AI Chatbot</t>
  </si>
  <si>
    <t>SOW#63 - Wellness Admin Config</t>
  </si>
  <si>
    <t>SOW#64 - Dynamic &amp; Static info sections</t>
  </si>
  <si>
    <t>SOW#65 - Online Pharmacy</t>
  </si>
  <si>
    <t>SOW#66 - Upload from Partner of services bought on Partner site</t>
  </si>
  <si>
    <t>SOW#67 - Portal Configuration</t>
  </si>
  <si>
    <t>SOW#68 - Evexia Club Integration</t>
  </si>
  <si>
    <t>IIRM-797</t>
  </si>
  <si>
    <t>SOW#69 - Manage Opportunities</t>
  </si>
  <si>
    <t>IIRM-740 — SOW#13 - Add/Manage Opportunity</t>
  </si>
  <si>
    <t>IIRM-813</t>
  </si>
  <si>
    <t>Manage TPA Contact</t>
  </si>
  <si>
    <t>IIRM-742 — SOW#15 - Add/Manage TPA</t>
  </si>
  <si>
    <t>IIRM-834</t>
  </si>
  <si>
    <t>Backend - Micro Service Framework Setup</t>
  </si>
  <si>
    <t>UI - Approach Style Establishment</t>
  </si>
  <si>
    <t>IIRM-1041</t>
  </si>
  <si>
    <t>UI Approach Style Establishment Option 1</t>
  </si>
  <si>
    <t>IIRM-838 — UI - Approach Style Establishment</t>
  </si>
  <si>
    <t>IIRM-1043</t>
  </si>
  <si>
    <t>UI Approach Style Establishment Option 2</t>
  </si>
  <si>
    <t>IIRM-1070</t>
  </si>
  <si>
    <t>Setup API Gate way</t>
  </si>
  <si>
    <t>IIRM-834 — Backend - Micro Service Framework Setup</t>
  </si>
  <si>
    <t>IIRM-1071</t>
  </si>
  <si>
    <t>IIRM-1072</t>
  </si>
  <si>
    <t>IIRM-1073</t>
  </si>
  <si>
    <t>IIRM-1104</t>
  </si>
  <si>
    <t>UI Components - Forms and Form Utils</t>
  </si>
  <si>
    <t>IIRM-836 — Build UI components</t>
  </si>
  <si>
    <t>IIRM-1105</t>
  </si>
  <si>
    <t>UI Components - Toast</t>
  </si>
  <si>
    <t>IIRM-1109</t>
  </si>
  <si>
    <t>UI Components - Grid</t>
  </si>
  <si>
    <t>IIRM-1110</t>
  </si>
  <si>
    <t>UI Components - Menu</t>
  </si>
  <si>
    <t>IIRM-1111</t>
  </si>
  <si>
    <t>UI Components - Header</t>
  </si>
  <si>
    <t>IIRM-1131</t>
  </si>
  <si>
    <t>IIRM-813 — Manage TPA Contact</t>
  </si>
  <si>
    <t>IIRM-1133</t>
  </si>
  <si>
    <t>IIRM-811 — Opportunity Hub</t>
  </si>
  <si>
    <t>IIRM-1481</t>
  </si>
  <si>
    <t>RBAC mapping of branch, department, organisation, based on Roles and designation</t>
  </si>
  <si>
    <t>IIRM-9 — UX - Core System (Research &amp; Documentation)</t>
  </si>
  <si>
    <t>IIRM-1483</t>
  </si>
  <si>
    <t>Workshop with chief designer &amp; design strategist</t>
  </si>
  <si>
    <t>IIRM-1485</t>
  </si>
  <si>
    <t>Product Spec - Detailing RBAC</t>
  </si>
  <si>
    <t>IIRM-13 — Product Spec - iWork (Org Structure, RBAC, Contacts, TPA, Insurer and Broker)</t>
  </si>
  <si>
    <t>IIRM-1486</t>
  </si>
  <si>
    <t>Product Research &amp; Analysis</t>
  </si>
  <si>
    <t>IIRM-1488</t>
  </si>
  <si>
    <t>Functional flow understanding of opportunity</t>
  </si>
  <si>
    <t>Nandini Kataria</t>
  </si>
  <si>
    <t>IIRM-1489</t>
  </si>
  <si>
    <t xml:space="preserve">Adding of an employee based on RBAC </t>
  </si>
  <si>
    <t>IIRM-1490</t>
  </si>
  <si>
    <t>Understanding of IIRM org structure</t>
  </si>
  <si>
    <t>IIRM-1491</t>
  </si>
  <si>
    <t>Task</t>
  </si>
  <si>
    <t>TC_001: Admin: Login with Valid Credentials</t>
  </si>
  <si>
    <t>SaikumarMahanthi</t>
  </si>
  <si>
    <t>IIRM-797 — SOW#69 - Manage Opportunities</t>
  </si>
  <si>
    <t>IIRM-1492</t>
  </si>
  <si>
    <t>QAlity Test</t>
  </si>
  <si>
    <t>TC_002: Admin: Login Attempt with Invalid Credentials</t>
  </si>
  <si>
    <t>IIRM-1493</t>
  </si>
  <si>
    <t>IIRM-1494</t>
  </si>
  <si>
    <t>TC_003: RBAC: Employee Tries to Access Admin Panel</t>
  </si>
  <si>
    <t>IIRM-1495</t>
  </si>
  <si>
    <t>UX/UI - Manage Contact</t>
  </si>
  <si>
    <t>IIRM-737 — SOW#10 - Add/Manage Contact</t>
  </si>
  <si>
    <t>IIRM-1496</t>
  </si>
  <si>
    <t>Design System - 1</t>
  </si>
  <si>
    <t>IIRM-11 — Design System - UI</t>
  </si>
  <si>
    <t>IIRM-1497</t>
  </si>
  <si>
    <t>Tech Tools Decision</t>
  </si>
  <si>
    <t>IIRM-20 — Core System - Tech Tool Decisions (TechStack &amp; Integration Choices)</t>
  </si>
  <si>
    <t>IIRM-1514</t>
  </si>
  <si>
    <t>Analyse and create Database Schema for Company Mgmt</t>
  </si>
  <si>
    <t>IIRM-1515</t>
  </si>
  <si>
    <t>Analyse and create Database Schema for Contact /Company/Insurer/TPA Mgmt</t>
  </si>
  <si>
    <t>IIRM-1516</t>
  </si>
  <si>
    <t>Analyse and Create Database Tables for Implementing Simple Auth</t>
  </si>
  <si>
    <t>IIRM-1517</t>
  </si>
  <si>
    <t>Analyse and create Masters and populate with data</t>
  </si>
  <si>
    <t>IIRM-1518</t>
  </si>
  <si>
    <t>IIRM-1519</t>
  </si>
  <si>
    <t>Analyse and Create the master tables required for RBAC</t>
  </si>
  <si>
    <t>IIRM-1521</t>
  </si>
  <si>
    <t>Analyse the Database Shema and Create Tables</t>
  </si>
  <si>
    <t>IIRM-1522</t>
  </si>
  <si>
    <t>Analyse the Database Shema and Create Tables for Employee Management</t>
  </si>
  <si>
    <t>IIRM-739 — SOW#12 - Manage Employees</t>
  </si>
  <si>
    <t>IIRM-1524</t>
  </si>
  <si>
    <t>Analyse the Database Shema and Create Tables for Opportunity Management</t>
  </si>
  <si>
    <t>IIRM-1525</t>
  </si>
  <si>
    <t>IIRM-1526</t>
  </si>
  <si>
    <t>Analysing Master required</t>
  </si>
  <si>
    <t>IIRM-1527</t>
  </si>
  <si>
    <t>Analysisng Schema Tables required</t>
  </si>
  <si>
    <t>API development for Access Control Management</t>
  </si>
  <si>
    <t>IIRM-732 — SOW#5 - Access Control</t>
  </si>
  <si>
    <t>IIRM-1529</t>
  </si>
  <si>
    <t>API development for Company Mgmt</t>
  </si>
  <si>
    <t>IIRM-1530</t>
  </si>
  <si>
    <t>API development for Contact /Company/Insurer/TPA Mgmt</t>
  </si>
  <si>
    <t>IIRM-1531</t>
  </si>
  <si>
    <t>API Development for Opportunity Management</t>
  </si>
  <si>
    <t>IIRM-1534</t>
  </si>
  <si>
    <t>API Development for Task Management for Employee Management</t>
  </si>
  <si>
    <t>IIRM-1536</t>
  </si>
  <si>
    <t>Authorzation Implementation as per ACL</t>
  </si>
  <si>
    <t>IIRM-1537</t>
  </si>
  <si>
    <t>Create an Populate the masters for ACL</t>
  </si>
  <si>
    <t>IIRM-1538</t>
  </si>
  <si>
    <t>Creating Database and Planning the roles</t>
  </si>
  <si>
    <t>IIRM-1539</t>
  </si>
  <si>
    <t>Creating Database Users and Permissions</t>
  </si>
  <si>
    <t>IIRM-1540</t>
  </si>
  <si>
    <t>Creating Schema Tables required</t>
  </si>
  <si>
    <t>IIRM-1541</t>
  </si>
  <si>
    <t>Creating Scripts for Database</t>
  </si>
  <si>
    <t>IIRM-1542</t>
  </si>
  <si>
    <t>Creating the Masters and lookups</t>
  </si>
  <si>
    <t>IIRM-1543</t>
  </si>
  <si>
    <t>Encription and Tokenization Implementation</t>
  </si>
  <si>
    <t>IIRM-1545</t>
  </si>
  <si>
    <t>Initial Implementation of Design Pattern</t>
  </si>
  <si>
    <t>IIRM-1546</t>
  </si>
  <si>
    <t>IIRM-1547</t>
  </si>
  <si>
    <t>IIRM-1548</t>
  </si>
  <si>
    <t>IIRM-1549</t>
  </si>
  <si>
    <t>IIRM-1550</t>
  </si>
  <si>
    <t>Setup the iwork Microservice API</t>
  </si>
  <si>
    <t>IIRM-1551</t>
  </si>
  <si>
    <t>IIRM-1552</t>
  </si>
  <si>
    <t>Structurise the iwork Microservice API with respective modules</t>
  </si>
  <si>
    <t>IIRM-1554</t>
  </si>
  <si>
    <t>Tweak / Update / Create APIs for masters</t>
  </si>
  <si>
    <t>IIRM-1555</t>
  </si>
  <si>
    <t>IIRM-1557</t>
  </si>
  <si>
    <t>Add/View/Edit Employee</t>
  </si>
  <si>
    <t>IIRM-1561</t>
  </si>
  <si>
    <t>IIRM-1562</t>
  </si>
  <si>
    <t>Core System - Frontend Setup</t>
  </si>
  <si>
    <t>IIRM-1563</t>
  </si>
  <si>
    <t>Employee Hub</t>
  </si>
  <si>
    <t>IIRM-1564</t>
  </si>
  <si>
    <t>Landing Page - Engineering</t>
  </si>
  <si>
    <t>IIRM-1565</t>
  </si>
  <si>
    <t>IIRM-1538 — Creating Database and Planning the roles</t>
  </si>
  <si>
    <t>IIRM-1566</t>
  </si>
  <si>
    <t>IIRM-1539 — Creating Database Users and Permissions</t>
  </si>
  <si>
    <t>IIRM-1567</t>
  </si>
  <si>
    <t>Analysing Matser required</t>
  </si>
  <si>
    <t>IIRM-1526 — Analysing Master required</t>
  </si>
  <si>
    <t>IIRM-1568</t>
  </si>
  <si>
    <t>Creating the Masters</t>
  </si>
  <si>
    <t>IIRM-1542 — Creating the Masters and lookups</t>
  </si>
  <si>
    <t>IIRM-1569</t>
  </si>
  <si>
    <t>IIRM-1527 — Analysisng Schema Tables required</t>
  </si>
  <si>
    <t>IIRM-1570</t>
  </si>
  <si>
    <t>IIRM-1540 — Creating Schema Tables required</t>
  </si>
  <si>
    <t>IIRM-1571</t>
  </si>
  <si>
    <t>IIRM-1541 — Creating Scripts for Database</t>
  </si>
  <si>
    <t>IIRM-1572</t>
  </si>
  <si>
    <t>Analyse and create Masters for Application  for master data</t>
  </si>
  <si>
    <t>IIRM-1517 — Analyse and create Masters and populate with data</t>
  </si>
  <si>
    <t>IIRM-1573</t>
  </si>
  <si>
    <t>Db Scripts aand and populate masters with data</t>
  </si>
  <si>
    <t>IIRM-1574</t>
  </si>
  <si>
    <t>Create APIs for masters - Create</t>
  </si>
  <si>
    <t>IIRM-1554 — Tweak / Update / Create APIs for masters</t>
  </si>
  <si>
    <t>IIRM-1575</t>
  </si>
  <si>
    <t>Update / Disabling APIs for masters</t>
  </si>
  <si>
    <t>IIRM-1576</t>
  </si>
  <si>
    <t>Create repository and have intital branches created</t>
  </si>
  <si>
    <t>IIRM-1547 — Setting up Repositories with Users and permissions</t>
  </si>
  <si>
    <t>IIRM-1577</t>
  </si>
  <si>
    <t>Add the users and apply permisiosn for the users</t>
  </si>
  <si>
    <t>IIRM-1578</t>
  </si>
  <si>
    <t>IIRM-1525 — Analyse the Design Patterns to be followed</t>
  </si>
  <si>
    <t>IIRM-1579</t>
  </si>
  <si>
    <t>IIRM-1545 — Initial Implementation of Design Pattern</t>
  </si>
  <si>
    <t>IIRM-1580</t>
  </si>
  <si>
    <t>Analyse Architectural Flow</t>
  </si>
  <si>
    <t>IIRM-1518 — Analyse and Create the Architectural Flow</t>
  </si>
  <si>
    <t>IIRM-1581</t>
  </si>
  <si>
    <t>Create the  Architectural Flow Diagrams</t>
  </si>
  <si>
    <t>IIRM-1582</t>
  </si>
  <si>
    <t>Verifying the structure of created project is as per the estimated architecture</t>
  </si>
  <si>
    <t>IIRM-1585</t>
  </si>
  <si>
    <t>IIRM-1550 — Setup the iwork Microservice API</t>
  </si>
  <si>
    <t>IIRM-1586</t>
  </si>
  <si>
    <t>Create the iwork Microservice API with respective modules</t>
  </si>
  <si>
    <t>IIRM-1552 — Structurise the iwork Microservice API with respective modules</t>
  </si>
  <si>
    <t>IIRM-1587</t>
  </si>
  <si>
    <t>Configure iwork Microservice with env variables required</t>
  </si>
  <si>
    <t>IIRM-1588</t>
  </si>
  <si>
    <t>Plan the controllers for Iwork  with respct to modules</t>
  </si>
  <si>
    <t>IIRM-1589</t>
  </si>
  <si>
    <t>Analyse the masters for ACL</t>
  </si>
  <si>
    <t>IIRM-1537 — Create an Populate the masters for ACL</t>
  </si>
  <si>
    <t>IIRM-1590</t>
  </si>
  <si>
    <t>Create Masters for ACL</t>
  </si>
  <si>
    <t>IIRM-1591</t>
  </si>
  <si>
    <t>API Planning for Access Control Management</t>
  </si>
  <si>
    <t>IIRM-1528 — API development for Access Control Management</t>
  </si>
  <si>
    <t>IIRM-1592</t>
  </si>
  <si>
    <t>API development for Access Control Management - List</t>
  </si>
  <si>
    <t>IIRM-1593</t>
  </si>
  <si>
    <t>API development for Access Control Management - Update</t>
  </si>
  <si>
    <t>IIRM-1594</t>
  </si>
  <si>
    <t>Identify the routes to include and exclude for Authorization</t>
  </si>
  <si>
    <t>IIRM-1536 — Authorzation Implementation as per ACL</t>
  </si>
  <si>
    <t>IIRM-1595</t>
  </si>
  <si>
    <t>API Implementation of Authroization</t>
  </si>
  <si>
    <t>IIRM-1596</t>
  </si>
  <si>
    <t>Validating the Implementation of Authorization</t>
  </si>
  <si>
    <t>IIRM-1597</t>
  </si>
  <si>
    <t>Encription Analysis for data</t>
  </si>
  <si>
    <t>IIRM-1543 — Encription and Tokenization Implementation</t>
  </si>
  <si>
    <t>IIRM-1598</t>
  </si>
  <si>
    <t>Encription Implemenbtation for Data</t>
  </si>
  <si>
    <t>IIRM-1599</t>
  </si>
  <si>
    <t>IIRM-1519 — Analyse and Create the master tables required for RBAC</t>
  </si>
  <si>
    <t>IIRM-1603</t>
  </si>
  <si>
    <t>Creating and Structuring API Gate way</t>
  </si>
  <si>
    <t>IIRM-1548 — Setup API Gate way</t>
  </si>
  <si>
    <t>IIRM-1604</t>
  </si>
  <si>
    <t>Configure API Gate way for Service Registry</t>
  </si>
  <si>
    <t>IIRM-1605</t>
  </si>
  <si>
    <t>Implement the Initial required routes for API gateway</t>
  </si>
  <si>
    <t>IIRM-1606</t>
  </si>
  <si>
    <t>Creating and Structuring Auth Micro service</t>
  </si>
  <si>
    <t>IIRM-1549 — Setup Auth Service as Microservice</t>
  </si>
  <si>
    <t>IIRM-1607</t>
  </si>
  <si>
    <t>Configure Service Registry Enpoint for Auth Service</t>
  </si>
  <si>
    <t>IIRM-1608</t>
  </si>
  <si>
    <t>Implement the Initial required routes for Auth Service</t>
  </si>
  <si>
    <t>IIRM-1609</t>
  </si>
  <si>
    <t>Setup  Environment Configurations for Micro Services</t>
  </si>
  <si>
    <t>IIRM-1546 — Initialize Environment Configurations for Micro Services</t>
  </si>
  <si>
    <t>IIRM-1610</t>
  </si>
  <si>
    <t>Populate Environment Configuration Variables</t>
  </si>
  <si>
    <t>IIRM-1611</t>
  </si>
  <si>
    <t>Structurize the Service registry service</t>
  </si>
  <si>
    <t>IIRM-1551 — Setup the Service registry for Micro services</t>
  </si>
  <si>
    <t>IIRM-1612</t>
  </si>
  <si>
    <t>Endpoint development for microservices to get registered and to get searched</t>
  </si>
  <si>
    <t>IIRM-1613</t>
  </si>
  <si>
    <t>Analyze the Table schema for Simple Auth</t>
  </si>
  <si>
    <t>IIRM-1516 — Analyse and Create Database Tables for Implementing Simple Auth</t>
  </si>
  <si>
    <t>IIRM-1614</t>
  </si>
  <si>
    <t>Create a table for Simple Auth</t>
  </si>
  <si>
    <t>IIRM-1618</t>
  </si>
  <si>
    <t>IIRM-1619</t>
  </si>
  <si>
    <t>Analyze the shcema fro. Employe management schema</t>
  </si>
  <si>
    <t>IIRM-1522 — Analyse the Database Shema and Create Tables for Employee Management</t>
  </si>
  <si>
    <t>IIRM-1620</t>
  </si>
  <si>
    <t>Create the tables for Employee management</t>
  </si>
  <si>
    <t>IIRM-1621</t>
  </si>
  <si>
    <t>Create API development for Employee management</t>
  </si>
  <si>
    <t>IIRM-1534 — API Development for Task Management for Employee Management</t>
  </si>
  <si>
    <t>IIRM-1622</t>
  </si>
  <si>
    <t>Update API development for Employee management</t>
  </si>
  <si>
    <t>IIRM-1623</t>
  </si>
  <si>
    <t>List and serach API development for Employee management</t>
  </si>
  <si>
    <t>IIRM-1624</t>
  </si>
  <si>
    <t>Delete API development for Employee management</t>
  </si>
  <si>
    <t>IIRM-1625</t>
  </si>
  <si>
    <t>IIRM-1514 — Analyse and create Database Schema for Company Mgmt</t>
  </si>
  <si>
    <t>IIRM-1626</t>
  </si>
  <si>
    <t>Create API development for Company Mgmt</t>
  </si>
  <si>
    <t>IIRM-1529 — API development for Company Mgmt</t>
  </si>
  <si>
    <t>IIRM-1627</t>
  </si>
  <si>
    <t>Update API development for Company Mgmt</t>
  </si>
  <si>
    <t>IIRM-1628</t>
  </si>
  <si>
    <t>List and serach API development for Company Mgmt</t>
  </si>
  <si>
    <t>IIRM-1629</t>
  </si>
  <si>
    <t>IIRM-1515 — Analyse and create Database Schema for Contact /Company/Insurer/TPA Mgmt</t>
  </si>
  <si>
    <t>IIRM-1630</t>
  </si>
  <si>
    <t>Create API development for Contact Management</t>
  </si>
  <si>
    <t>IIRM-1530 — API development for Contact /Company/Insurer/TPA Mgmt</t>
  </si>
  <si>
    <t>IIRM-1631</t>
  </si>
  <si>
    <t>Update API development for Contact /Company/Insurer/TPA Mgmt</t>
  </si>
  <si>
    <t>IIRM-1632</t>
  </si>
  <si>
    <t>List and serach API development for Contact /Company/Insurer/TPA Mgmt</t>
  </si>
  <si>
    <t>IIRM-1633</t>
  </si>
  <si>
    <t>Analyse and create Database Schema for Opportunity Mgmt</t>
  </si>
  <si>
    <t>IIRM-1524 — Analyse the Database Shema and Create Tables for Opportunity Management</t>
  </si>
  <si>
    <t>IIRM-1634</t>
  </si>
  <si>
    <t>Create API development for Opportunity Mgmt</t>
  </si>
  <si>
    <t>IIRM-1531 — API Development for Opportunity Management</t>
  </si>
  <si>
    <t>IIRM-1635</t>
  </si>
  <si>
    <t>Update API development for Opportunity Mgmt</t>
  </si>
  <si>
    <t>IIRM-1636</t>
  </si>
  <si>
    <t>List and serach API development for Opportunity Mgmt</t>
  </si>
  <si>
    <t>IIRM-1637</t>
  </si>
  <si>
    <t>Analyse the Database Shema and Create Tables for tasks</t>
  </si>
  <si>
    <t>IIRM-1521 — Analyse the Database Shema and Create Tables</t>
  </si>
  <si>
    <t>IIRM-1645</t>
  </si>
  <si>
    <t>UI Implementation - Build Table for list of employess based on login, with search/filter, list with basic attributes</t>
  </si>
  <si>
    <t>IIRM-1563 — Employee Hub</t>
  </si>
  <si>
    <t>IIRM-1646</t>
  </si>
  <si>
    <t>API data handling in all cases Build Table for list of employess based on login, with search/filter, list with basic attributes</t>
  </si>
  <si>
    <t>IIRM-1647</t>
  </si>
  <si>
    <t>Handle the interactions built on table</t>
  </si>
  <si>
    <t>IIRM-1648</t>
  </si>
  <si>
    <t>View mode - UI Implementation to look at the employee data</t>
  </si>
  <si>
    <t>IIRM-1557 — Add/View/Edit Employee</t>
  </si>
  <si>
    <t>IIRM-1649</t>
  </si>
  <si>
    <t>View mode - API integration - View mode to look at the employee data</t>
  </si>
  <si>
    <t>IIRM-1650</t>
  </si>
  <si>
    <t>Create - Form UI Implementation for create employee</t>
  </si>
  <si>
    <t>IIRM-1651</t>
  </si>
  <si>
    <t>Create - Form Data, interaction and validation handling for create employee</t>
  </si>
  <si>
    <t>IIRM-1652</t>
  </si>
  <si>
    <t>Create - API data handling for create employee</t>
  </si>
  <si>
    <t>IIRM-1653</t>
  </si>
  <si>
    <t>Edit UI and interactions for the selected fields on create employee form</t>
  </si>
  <si>
    <t>IIRM-1654</t>
  </si>
  <si>
    <t>Edit mode -  API integration for employee details updation</t>
  </si>
  <si>
    <t>IIRM-1655</t>
  </si>
  <si>
    <t>Build Table for Top 10/Latest companies, with search/filter, GPS etc.</t>
  </si>
  <si>
    <t>IIRM-1560 — Company (Prospect) Hub</t>
  </si>
  <si>
    <t>IIRM-1656</t>
  </si>
  <si>
    <t>IIRM-1657</t>
  </si>
  <si>
    <t>API integration to load companies data on to the table</t>
  </si>
  <si>
    <t>IIRM-1658</t>
  </si>
  <si>
    <t>View mode - UI Implementation to look at the already created company data</t>
  </si>
  <si>
    <t>IIRM-1555 — Add/View/Edit Company</t>
  </si>
  <si>
    <t>IIRM-1659</t>
  </si>
  <si>
    <t>View mode - API integration - View mode to update the already created company data</t>
  </si>
  <si>
    <t>IIRM-1660</t>
  </si>
  <si>
    <t>Create - Form UI Implementation - Large form with basic format based validations, some mandatory fields, multiple addresses, couple of Rich Text Editor fields; Some multi-line fields (e.g., GST), uploads; Duplicate detection on Company name, GST/PAN etc.</t>
  </si>
  <si>
    <t>IIRM-1661</t>
  </si>
  <si>
    <t>Create - Form Data, interaction and validation handling - Large form with basic format based validations, some mandatory fields, multiple addresses, couple of Rich Text Editor fields; Some multi-line fields (e.g., GST), uploads; Duplicate detection on ...</t>
  </si>
  <si>
    <t>IIRM-1662</t>
  </si>
  <si>
    <t>Create - API integration - Large form with basic format based validations, some mandatory fields, multiple addresses, couple of Rich Text Editor fields; Some multi-line fields (e.g., GST), uploads; Duplicate detection on Company name, GST/PAN etc.</t>
  </si>
  <si>
    <t>IIRM-1663</t>
  </si>
  <si>
    <t>Edit mode - Form UI Implementation - Edit feature View with multiple widgets (Contacts, Opportunities, Policies, Claims, SLAs, Document list)</t>
  </si>
  <si>
    <t>IIRM-1664</t>
  </si>
  <si>
    <t>Edit mode - Form Data, interaction and validation handling - Edit feature View with multiple widgets (Contacts, Opportunities, Policies, Claims, SLAs, Document list)</t>
  </si>
  <si>
    <t>IIRM-1665</t>
  </si>
  <si>
    <t>Edit mode - API integration - Edit multiple widgets (Contacts, Opportunities, Policies, Claims, SLAs, Document list)</t>
  </si>
  <si>
    <t>IIRM-1666</t>
  </si>
  <si>
    <t>UI Implementation - Build Table for Top 10/Latest Contacts, with search/filter, list with basic attributes</t>
  </si>
  <si>
    <t>IIRM-1561 — Contact Hub</t>
  </si>
  <si>
    <t>IIRM-1667</t>
  </si>
  <si>
    <t>Handle the interactions built on contacts table</t>
  </si>
  <si>
    <t>IIRM-1668</t>
  </si>
  <si>
    <t>API Integration - Build Table for Top 10/Latest Contacts, with search/filter, list with basic attributes</t>
  </si>
  <si>
    <t>IIRM-1669</t>
  </si>
  <si>
    <t>View mode - UI Implementation - List of all contacts</t>
  </si>
  <si>
    <t>IIRM-1556 — Add/View/Edit Contact</t>
  </si>
  <si>
    <t>IIRM-1670</t>
  </si>
  <si>
    <t>View mode - API Integration - List of all contacts</t>
  </si>
  <si>
    <t>IIRM-1671</t>
  </si>
  <si>
    <t>Create - Form UI Implementation - Simple AddContacts should maintain Company history although only 1 Company active with 1 contact; Medium size form with fields, linked in connect</t>
  </si>
  <si>
    <t>IIRM-1672</t>
  </si>
  <si>
    <t>Create - Form Data, interaction and validation handling - Simple edit like AddContacts should maintain Company history although only 1 Company active with 1 contact; Medium size form with fields, linked in connect</t>
  </si>
  <si>
    <t>IIRM-1673</t>
  </si>
  <si>
    <t>Create - API data handling in all cases Simple edit like AddContacts should maintain Company history although only 1 Company active with 1 contact; Medium size form with fields, linked in connect</t>
  </si>
  <si>
    <t>IIRM-1674</t>
  </si>
  <si>
    <t>Edit mode - Form UI Implementation - Simple AddContacts should maintain Company history although only 1 Company active with 1 contact; Medium size form with fields, linked in connect</t>
  </si>
  <si>
    <t>IIRM-1675</t>
  </si>
  <si>
    <t>Edit mode - Form Data, interaction and validation handling - Simple edit like AddContacts should maintain Company history although only 1 Company active with 1 contact; Medium size form with fields, linked in connect</t>
  </si>
  <si>
    <t>IIRM-1676</t>
  </si>
  <si>
    <t>Edit mode - API data handling in all cases Simple edit like AddContacts should maintain Company history although only 1 Company active with 1 contact; Medium size form with fields, linked in connect</t>
  </si>
  <si>
    <t>IIRM-1677</t>
  </si>
  <si>
    <t>Product Spec - Org Structure &amp; RBAC</t>
  </si>
  <si>
    <t>IIRM-1678</t>
  </si>
  <si>
    <t>Product Spec - Contacts, TPA, Insurer, Broker</t>
  </si>
  <si>
    <t>IIRM-1679</t>
  </si>
  <si>
    <t>Product Spec - Company</t>
  </si>
  <si>
    <t>IIRM-1681</t>
  </si>
  <si>
    <t>Folder Structure, and Global styling</t>
  </si>
  <si>
    <t>IIRM-1562 — Core System - Frontend Setup</t>
  </si>
  <si>
    <t>IIRM-1682</t>
  </si>
  <si>
    <t>Navigation/Routing</t>
  </si>
  <si>
    <t>IIRM-1683</t>
  </si>
  <si>
    <t>API Service using React Query</t>
  </si>
  <si>
    <t>IIRM-1684</t>
  </si>
  <si>
    <t>Error handling and logging</t>
  </si>
  <si>
    <t>IIRM-1685</t>
  </si>
  <si>
    <t>Basic Guideline Documentation</t>
  </si>
  <si>
    <t>IIRM-1686</t>
  </si>
  <si>
    <t>TC_004: 365 Outh: Successful Login via Microsoft 365 Authentication</t>
  </si>
  <si>
    <t>IIRM-1687</t>
  </si>
  <si>
    <t>TC_005: 365 Outh: Signout Functionality And OAuth Token Expiry Test</t>
  </si>
  <si>
    <t>IIRM-1688</t>
  </si>
  <si>
    <t>TC_006: 365 Outh: Multi-Factor Authentication (MFA) Validation</t>
  </si>
  <si>
    <t>IIRM-1689</t>
  </si>
  <si>
    <t>QA Test Strategy Document Preparation</t>
  </si>
  <si>
    <t>IIRM-1690</t>
  </si>
  <si>
    <t>Test Plan Documentation - ACL &amp; RBAC</t>
  </si>
  <si>
    <t>IIRM-1691</t>
  </si>
  <si>
    <t>Test Case Documentation - ACL &amp;  RBAC</t>
  </si>
  <si>
    <t>IIRM-1692</t>
  </si>
  <si>
    <t>Amendments to Architecture - AWS cost calculator needs to be updated with all the new components</t>
  </si>
  <si>
    <t>IIRM-1693</t>
  </si>
  <si>
    <t xml:space="preserve"> TC_007: RBAC: Verify Employee Role Assignment and Access Privileges</t>
  </si>
  <si>
    <t>IIRM-1694</t>
  </si>
  <si>
    <t>TC_008: RBAC: Validate Organization Hierarchy and Entity-Level Access Restrictions</t>
  </si>
  <si>
    <t>IIRM-1695</t>
  </si>
  <si>
    <t>TC_009: RBAC: Validate Super Admin Role &amp; Unrestricted Access</t>
  </si>
  <si>
    <t>IIRM-1696</t>
  </si>
  <si>
    <t>TC_010: RBAC: Verify Functional Admin’s Organization-Level Control</t>
  </si>
  <si>
    <t>IIRM-1697</t>
  </si>
  <si>
    <t>TC_011: RBAC: Validate Organization Creation and Cross-Organization Access Control</t>
  </si>
  <si>
    <t>IIRM-1698</t>
  </si>
  <si>
    <t>TC_012: RBAC: Validate Department Creation, Assignment, and Access Control</t>
  </si>
  <si>
    <t>IIRM-1699</t>
  </si>
  <si>
    <t>TC_013: RBAC: Assign Employee to a Branch and Verify Branch Restrictions</t>
  </si>
  <si>
    <t>IIRM-1700</t>
  </si>
  <si>
    <t>TC_014: RBAC: Validate Designation-Based Reporting Hierarchy and Scope of Access</t>
  </si>
  <si>
    <t>IIRM-1701</t>
  </si>
  <si>
    <t>Create API development for TPA Management</t>
  </si>
  <si>
    <t>IIRM-1702</t>
  </si>
  <si>
    <t>Create API development for Insurer Management</t>
  </si>
  <si>
    <t>Rama K</t>
  </si>
  <si>
    <t>IIRM-1703</t>
  </si>
  <si>
    <t xml:space="preserve">ACL &amp; RBAC </t>
  </si>
  <si>
    <t>IIRM-1704</t>
  </si>
  <si>
    <t>TC_015: RBAC: Role Assignment Validations</t>
  </si>
  <si>
    <t>IIRM-1705</t>
  </si>
  <si>
    <t>TC_016: RBAC: Authentication &amp; Unauthorized Access Prevention</t>
  </si>
  <si>
    <t>IIRM-1706</t>
  </si>
  <si>
    <t>Workshop with IIRM &amp; Divami Team</t>
  </si>
  <si>
    <t>IIRM-1709</t>
  </si>
  <si>
    <t xml:space="preserve">Test Plan documentation </t>
  </si>
  <si>
    <t>IIRM-1710</t>
  </si>
  <si>
    <t>Create an APIs for the creating, deleting and modifying the Master data into the Master tables</t>
  </si>
  <si>
    <t>IIRM-1711</t>
  </si>
  <si>
    <t>Create an APIs for the creating, deleting and modifying the lookup data into the lookup table</t>
  </si>
  <si>
    <t>IIRM-1712</t>
  </si>
  <si>
    <t>QA - Employee create/ update/ delete</t>
  </si>
  <si>
    <t>meghana</t>
  </si>
  <si>
    <t>IIRM-1713</t>
  </si>
  <si>
    <t>Test data documentation</t>
  </si>
  <si>
    <t>PENDING PEER or LEAD REVIEW</t>
  </si>
  <si>
    <t>IIRM-1712 — QA - Employee create/ update/ delete</t>
  </si>
  <si>
    <t>IIRM-1714</t>
  </si>
  <si>
    <t>Test case documentation</t>
  </si>
  <si>
    <t>IIRM-1717</t>
  </si>
  <si>
    <t>QA - Company create/ update/ delete</t>
  </si>
  <si>
    <t>IIRM-1718</t>
  </si>
  <si>
    <t>Test plan documentation</t>
  </si>
  <si>
    <t>IIRM-1717 — QA - Company create/ update/ delete</t>
  </si>
  <si>
    <t>IIRM-1719</t>
  </si>
  <si>
    <t>Test case&amp; test data documentation</t>
  </si>
  <si>
    <t>IIRM-1720</t>
  </si>
  <si>
    <t>Test cases Execution/Reporting bugs</t>
  </si>
  <si>
    <t>IIRM-2178 — CLONE - QA - Company create/ update/ delete-2</t>
  </si>
  <si>
    <t>IIRM-1721</t>
  </si>
  <si>
    <t>Bugfix Verification</t>
  </si>
  <si>
    <t>IIRM-1722</t>
  </si>
  <si>
    <t>TC_015: Company: Test data</t>
  </si>
  <si>
    <t>IIRM-1723</t>
  </si>
  <si>
    <t>Employee login UI implementation</t>
  </si>
  <si>
    <t>IIRM-1564 — Landing Page - Engineering</t>
  </si>
  <si>
    <t>IIRM-1724</t>
  </si>
  <si>
    <t>Employee login API integration</t>
  </si>
  <si>
    <t>IIRM-1725</t>
  </si>
  <si>
    <t xml:space="preserve">Swagger Integration into All the Backend services </t>
  </si>
  <si>
    <t>IIRM-1726</t>
  </si>
  <si>
    <t>API Development for Address Entity</t>
  </si>
  <si>
    <t>IIRM-1736</t>
  </si>
  <si>
    <t>Creating Database and Planning the roles after Product Spec Analysis</t>
  </si>
  <si>
    <t>IIRM-1737</t>
  </si>
  <si>
    <t>CLONE - Creating Database and Planning the roles</t>
  </si>
  <si>
    <t>IIRM-1736 — Creating Database and Planning the roles after Product Spec Analysis</t>
  </si>
  <si>
    <t>IIRM-1738</t>
  </si>
  <si>
    <t>Implement State Management across the application</t>
  </si>
  <si>
    <t>IIRM-1739</t>
  </si>
  <si>
    <t>Microservices Framework Setup - Service registry, Gateway Config, Service Discovery, Service Config</t>
  </si>
  <si>
    <t>IIRM-1742</t>
  </si>
  <si>
    <t>Company: Verify Successful Company Creation</t>
  </si>
  <si>
    <t>In Progress</t>
  </si>
  <si>
    <t>IIRM-1743</t>
  </si>
  <si>
    <t>Company: Verify field validations with invalid formats</t>
  </si>
  <si>
    <t>IIRM-1744</t>
  </si>
  <si>
    <t>Company: Verify duplicate &amp; Empty filed validations</t>
  </si>
  <si>
    <t>IIRM-1745</t>
  </si>
  <si>
    <t>Company: Verify AI-Based Auto-Filling from Tracxn</t>
  </si>
  <si>
    <t>IIRM-1746</t>
  </si>
  <si>
    <t>Company:  – Verify Company Group Association with an Existing Parent Company</t>
  </si>
  <si>
    <t>IIRM-1747</t>
  </si>
  <si>
    <t>Company: Verify Multiple Address Addition with Address Type</t>
  </si>
  <si>
    <t>IIRM-1748</t>
  </si>
  <si>
    <t>Company: Verify Document Attachment for a New Company</t>
  </si>
  <si>
    <t>IIRM-1749</t>
  </si>
  <si>
    <t xml:space="preserve">Company: Verify Role-Based Editing Permissions an Existing Company </t>
  </si>
  <si>
    <t>IIRM-1750</t>
  </si>
  <si>
    <t>Company: Verify Company Status Management: Approval, Closure, Merging, and Soft Deletion</t>
  </si>
  <si>
    <t>IIRM-1751</t>
  </si>
  <si>
    <t>TC_025: Employee: Verify Successful Employee Creation</t>
  </si>
  <si>
    <t>IIRM-1752</t>
  </si>
  <si>
    <t>TC_026: Employee: Verify Successful Employee Editing with permission</t>
  </si>
  <si>
    <t>IIRM-1753</t>
  </si>
  <si>
    <t>TC_027: Employee: Verify Field Validations for Employee Creation</t>
  </si>
  <si>
    <t>IIRM-1754</t>
  </si>
  <si>
    <t>TC_028: Employee: Validate UI/UX Consistency and Responsiveness for Employee Creation.</t>
  </si>
  <si>
    <t>IIRM-1755</t>
  </si>
  <si>
    <t xml:space="preserve">TC_029: Employee: Verify Employee Creation with Bulk Upload </t>
  </si>
  <si>
    <t>IIRM-1756</t>
  </si>
  <si>
    <t>IIRM : Employee Test data</t>
  </si>
  <si>
    <t>IIRM-1757</t>
  </si>
  <si>
    <t>Company: Verify Prioritization and Display of Companies</t>
  </si>
  <si>
    <t>IIRM-1758</t>
  </si>
  <si>
    <t>Company: Verify Filtering, Sorting, Smart Search, Pagination, and Detailed View in Company List</t>
  </si>
  <si>
    <t>IIRM-1759</t>
  </si>
  <si>
    <t>Company: Verify Default Metrics for Newly Created Roles in Company Hub</t>
  </si>
  <si>
    <t>IIRM-1760</t>
  </si>
  <si>
    <t>Company: Verify Role-Specific Key Metrics in Company Hub</t>
  </si>
  <si>
    <t>IIRM-1761</t>
  </si>
  <si>
    <t>Company: : Verify Referral Source, Ownership, and Currency Auto-Population</t>
  </si>
  <si>
    <t>IIRM-1762</t>
  </si>
  <si>
    <t>Company: Verify Entity Relationships for Company and Associated Entities</t>
  </si>
  <si>
    <t>IIRM-1763</t>
  </si>
  <si>
    <t>TC_036: Contact: Verify Contact Addition and Association with Company</t>
  </si>
  <si>
    <t>IIRM-1764</t>
  </si>
  <si>
    <t>TC_037: Contact:  Verify Contact Search, Filtering, and List Pagination</t>
  </si>
  <si>
    <t>IIRM-1765</t>
  </si>
  <si>
    <t>TC_038: Contact: Verify Contact Details View Displays Correct Information</t>
  </si>
  <si>
    <t>IIRM-1766</t>
  </si>
  <si>
    <t>TC_039: Contact: Verify Contact Profile Actions (Edit, Restore, LinkedIn Profile Access)</t>
  </si>
  <si>
    <t>IIRM-1767</t>
  </si>
  <si>
    <t>TC_040: Contact: Test Case: Verify Contact Addition with All Functionalities</t>
  </si>
  <si>
    <t>IIRM-1768</t>
  </si>
  <si>
    <t>TC_037: Contact:Contact Management (Editing, Duplicate Prevention, Moving Companies, Inactivation, &amp; Status Updates)</t>
  </si>
  <si>
    <t>IIRM-1769</t>
  </si>
  <si>
    <t>TC_041: Conatct: Verify Communication, Audit Trail, and Greetings for Contacts</t>
  </si>
  <si>
    <t>IIRM-1774</t>
  </si>
  <si>
    <t>Clarification</t>
  </si>
  <si>
    <t>Internal Dependencies List for IIRM</t>
  </si>
  <si>
    <t>IIRM-1775</t>
  </si>
  <si>
    <t>Template for Organisation list for employees</t>
  </si>
  <si>
    <t>Pushed to Backlog</t>
  </si>
  <si>
    <t>IIRM-1774 — Internal Dependencies List for IIRM</t>
  </si>
  <si>
    <t>IIRM-1779</t>
  </si>
  <si>
    <t>QA - Lead Tasks</t>
  </si>
  <si>
    <t>IIRM-1782</t>
  </si>
  <si>
    <t>UX/UI - Create/List and View Tasks, Meetings</t>
  </si>
  <si>
    <t>IIRM-738 — SOW#11 - Manage Tasks, Meetings</t>
  </si>
  <si>
    <t>IIRM-1783</t>
  </si>
  <si>
    <t>UX/UI - Create/List and View Employees</t>
  </si>
  <si>
    <t>IIRM-1784</t>
  </si>
  <si>
    <t>UX/UI - Create/List and View Opportunity</t>
  </si>
  <si>
    <t>IIRM-1786</t>
  </si>
  <si>
    <t>UX/UI - Create/List and View TPA</t>
  </si>
  <si>
    <t>IIRM-1787</t>
  </si>
  <si>
    <t>Prepare: Test data &amp; RTM from Company hub</t>
  </si>
  <si>
    <t>IIRM-1788</t>
  </si>
  <si>
    <t>Product Spec - iWork (Opportunities)</t>
  </si>
  <si>
    <t>IIRM-1789</t>
  </si>
  <si>
    <t>Product Spec - Manage Opportunities</t>
  </si>
  <si>
    <t>IIRM-1788 — Product Spec - iWork (Opportunities)</t>
  </si>
  <si>
    <t>IIRM-1791</t>
  </si>
  <si>
    <t>Implement the Auth gaurds for the validating the users and access permissions</t>
  </si>
  <si>
    <t>IIRM-1792</t>
  </si>
  <si>
    <t>TC_042: Contact: Verify Contact Management Functionalities</t>
  </si>
  <si>
    <t>IIRM-1793</t>
  </si>
  <si>
    <t>TC_043: Contact: Verify Contact Search and List Display</t>
  </si>
  <si>
    <t>IIRM-1794</t>
  </si>
  <si>
    <t>TC_044: Contact: Verify System Constraints for Contact Management</t>
  </si>
  <si>
    <t>IIRM-1795</t>
  </si>
  <si>
    <t>TC_045: Contact: Verify Role-Based Access Control (RBAC) for Contact Management</t>
  </si>
  <si>
    <t>IIRM-1796</t>
  </si>
  <si>
    <t>TC_046: Contact: Verify Contact Search, Pagination, Sorting, and Contact Linking</t>
  </si>
  <si>
    <t>IIRM-1797</t>
  </si>
  <si>
    <t>TC_047: Contact: Creating a New Contact (Verifying All Functionality)</t>
  </si>
  <si>
    <t>IIRM-1798</t>
  </si>
  <si>
    <t>TC_048: Contact: Conditional Display of Fields Based on User's Country</t>
  </si>
  <si>
    <t>IIRM-1799</t>
  </si>
  <si>
    <t>TC_049: Contact: Managing Contact Status Based on Company Association</t>
  </si>
  <si>
    <t>IIRM-1800</t>
  </si>
  <si>
    <t>TC_050: Contact: Communication Tracking and Duplicate Contact Detection</t>
  </si>
  <si>
    <t>IIRM-1801</t>
  </si>
  <si>
    <t>Prepare Test cases for Add/ Edit Contact Screen</t>
  </si>
  <si>
    <t>IIRM-1802</t>
  </si>
  <si>
    <t>IIRM-1495 — UX/UI - Manage Contact</t>
  </si>
  <si>
    <t>IIRM-1803</t>
  </si>
  <si>
    <t xml:space="preserve">User stories- TPA, Insurer, Broker, contact </t>
  </si>
  <si>
    <t>IIRM-783 — SOW#56 - Insurer / TPA integration</t>
  </si>
  <si>
    <t>IIRM-1804</t>
  </si>
  <si>
    <t>Product Spec - Manage Tasks/Meetings</t>
  </si>
  <si>
    <t>IIRM-1805</t>
  </si>
  <si>
    <t>Product Spec - Manage Employees</t>
  </si>
  <si>
    <t>IIRM-1806</t>
  </si>
  <si>
    <t xml:space="preserve"> Test Scenarios for company hub</t>
  </si>
  <si>
    <t>IIRM-1807</t>
  </si>
  <si>
    <t>Prepare Test Scenarios for company</t>
  </si>
  <si>
    <t>IIRM-1866</t>
  </si>
  <si>
    <t>Implementing business logic for Manage Company APIs - 1</t>
  </si>
  <si>
    <t>IIRM-1867</t>
  </si>
  <si>
    <t>Implementing business logic for Manage Company screens - 1</t>
  </si>
  <si>
    <t>IIRM-1868</t>
  </si>
  <si>
    <t>Implementing business logic for Manage Contact APIs - 1</t>
  </si>
  <si>
    <t>IIRM-1869</t>
  </si>
  <si>
    <t>Implementing business logic for Manage Contact screens</t>
  </si>
  <si>
    <t>IIRM-1873</t>
  </si>
  <si>
    <t>Modify the database table based on the spec.</t>
  </si>
  <si>
    <t>IIRM-1866 — Implementing business logic for Manage Company APIs - 1</t>
  </si>
  <si>
    <t>IIRM-1874</t>
  </si>
  <si>
    <t>Update create Company API.</t>
  </si>
  <si>
    <t>IIRM-1875</t>
  </si>
  <si>
    <t>Implement the businness logic for the update Company API.</t>
  </si>
  <si>
    <t>IIRM-1876</t>
  </si>
  <si>
    <t>Update get list of companies and get company by id API</t>
  </si>
  <si>
    <t>IIRM-1878</t>
  </si>
  <si>
    <t>Utiliy function for the gobal level search and filters for all the APIs</t>
  </si>
  <si>
    <t>IIRM-1879</t>
  </si>
  <si>
    <t>Analytics API for the individual company</t>
  </si>
  <si>
    <t>IIRM-1880</t>
  </si>
  <si>
    <t>Analytics API for the overall companies</t>
  </si>
  <si>
    <t>IIRM-1882</t>
  </si>
  <si>
    <t>Create a function to store the docs in the cloud</t>
  </si>
  <si>
    <t>IIRM-1883</t>
  </si>
  <si>
    <t>File uploading API</t>
  </si>
  <si>
    <t>IIRM-1884</t>
  </si>
  <si>
    <t>File deleting API</t>
  </si>
  <si>
    <t>IIRM-1895</t>
  </si>
  <si>
    <t>Create quick company KPI cards to show counts and percentage</t>
  </si>
  <si>
    <t>IIRM-1867 — Implementing business logic for Manage Company screens - 1</t>
  </si>
  <si>
    <t>IIRM-1897</t>
  </si>
  <si>
    <t>Smart search implementation</t>
  </si>
  <si>
    <t>IIRM-1898</t>
  </si>
  <si>
    <t>update List of the companies (Company nameSales Opportunity countRenewal Opportunity countPolicy countSum InsuredAnnual PremiumTypePriorityIndustryCityLead CRMSentiment)</t>
  </si>
  <si>
    <t>IIRM-1899</t>
  </si>
  <si>
    <t>Create a company section building</t>
  </si>
  <si>
    <t>IIRM-1900</t>
  </si>
  <si>
    <t>Create a company details page</t>
  </si>
  <si>
    <t>IIRM-1901</t>
  </si>
  <si>
    <t>Create a company details page API integration</t>
  </si>
  <si>
    <t>IIRM-1902</t>
  </si>
  <si>
    <t>Analytics Graph component build</t>
  </si>
  <si>
    <t>IIRM-2111 — CLONE - Implementing business logic for Manage Company screens - 2</t>
  </si>
  <si>
    <t>IIRM-1904</t>
  </si>
  <si>
    <t>File upload, File preview, File listing</t>
  </si>
  <si>
    <t>IIRM-1905</t>
  </si>
  <si>
    <t>Modify the database table of contact based on the spec.</t>
  </si>
  <si>
    <t>IIRM-1868 — Implementing business logic for Manage Contact APIs - 1</t>
  </si>
  <si>
    <t>IIRM-1906</t>
  </si>
  <si>
    <t>Update create contact API.</t>
  </si>
  <si>
    <t>IIRM-1907</t>
  </si>
  <si>
    <t>Implement the businness logic for the update contact API.</t>
  </si>
  <si>
    <t>IIRM-1908</t>
  </si>
  <si>
    <t>Update get list of contact and get contact by id API</t>
  </si>
  <si>
    <t>IIRM-1909</t>
  </si>
  <si>
    <t>Create contact KPI to show</t>
  </si>
  <si>
    <t>IIRM-1912</t>
  </si>
  <si>
    <t>IIRM-1917</t>
  </si>
  <si>
    <t>Create quick contact KPI cards to show counts and percentage(total contacts and total companies)</t>
  </si>
  <si>
    <t>IIRM-1869 — Implementing business logic for Manage Contact screens</t>
  </si>
  <si>
    <t>IIRM-1918</t>
  </si>
  <si>
    <t>modification of the create/edit contact form</t>
  </si>
  <si>
    <t>IIRM-1919</t>
  </si>
  <si>
    <t>IIRM-1921</t>
  </si>
  <si>
    <t>update List of the contact (Company namePriority WebsiteIndustry SegmentDisplay nameAll the fields of potential opportunities sectionAll the fields of industry intelligence section)</t>
  </si>
  <si>
    <t>IIRM-1922</t>
  </si>
  <si>
    <t>Create contact details page(Contact detailsCompany detailsMultiple email detailsMultiple phone number detailsContact AddressSales OpportunityRenewal OpportunityPolicyDocuments)</t>
  </si>
  <si>
    <t>IIRM-1928</t>
  </si>
  <si>
    <t>Implementing business logic for Manage Employee APIs</t>
  </si>
  <si>
    <t>IIRM-1929</t>
  </si>
  <si>
    <t>Implementing business logic for Manage Employee screens</t>
  </si>
  <si>
    <t>IIRM-1932</t>
  </si>
  <si>
    <t>QA - Opportunity create/ update/ delete</t>
  </si>
  <si>
    <t>IIRM-1933</t>
  </si>
  <si>
    <t xml:space="preserve">Test data preparation  </t>
  </si>
  <si>
    <t>IIRM-1932 — QA - Opportunity create/ update/ delete</t>
  </si>
  <si>
    <t>IIRM-1934</t>
  </si>
  <si>
    <t xml:space="preserve">Test cases Documentation &amp; Update the test case </t>
  </si>
  <si>
    <t>IIRM-1935</t>
  </si>
  <si>
    <t>IIRM-1936</t>
  </si>
  <si>
    <t>CLONE - Bugfix Verification</t>
  </si>
  <si>
    <t>IIRM-1937</t>
  </si>
  <si>
    <t>QA: Contact Test case &amp; test data documentation</t>
  </si>
  <si>
    <t>IIRM-1938</t>
  </si>
  <si>
    <t>IIRM-1937 — QA: Contact Test case &amp; test data documentation</t>
  </si>
  <si>
    <t>IIRM-1939</t>
  </si>
  <si>
    <t>Test case &amp; test data documentation</t>
  </si>
  <si>
    <t>IIRM-1940</t>
  </si>
  <si>
    <t>IIRM-2116 — CLONE - QA: Contact Test case &amp; test data documentation-2</t>
  </si>
  <si>
    <t>IIRM-1942</t>
  </si>
  <si>
    <t xml:space="preserve">IIRM: Company Page: Quick Cards: By default correct data should get displayed in all cards </t>
  </si>
  <si>
    <t>IIRM-1943</t>
  </si>
  <si>
    <t>IIRM: Company Page: Quick Cards: Correct data should get updated based on seach and filter results</t>
  </si>
  <si>
    <t>IIRM-1944</t>
  </si>
  <si>
    <t>Company Page: Quick Cards: Count of newly added company is reflected in Quick Cards</t>
  </si>
  <si>
    <t>IIRM-1945</t>
  </si>
  <si>
    <t>IIRM: Company Page: Quick Cards: Mark the company as inactive verify the KPI are upated</t>
  </si>
  <si>
    <t>IIRM-1946</t>
  </si>
  <si>
    <t>IIRM: Company Page: List: Verify the companies associated with the currently logged-in user’s organisation are displayed</t>
  </si>
  <si>
    <t>IIRM-1947</t>
  </si>
  <si>
    <t>IIRM: Company Page: Manage Company: Restrict access to unauthorized users</t>
  </si>
  <si>
    <t>IIRM-1948</t>
  </si>
  <si>
    <t>IIRM: Company Page: Manage Company: UX: Verify that page design matches approved Figma screens</t>
  </si>
  <si>
    <t>IIRM-1952</t>
  </si>
  <si>
    <t>FR_COM_02: Company: Search: Seach for a company and edit details</t>
  </si>
  <si>
    <t>IIRM-1954</t>
  </si>
  <si>
    <t>FR_COM_02: Company: Edit: Open company details from different pages from sorted table and edit</t>
  </si>
  <si>
    <t>IIRM-1956</t>
  </si>
  <si>
    <t>FR_COM_02: Company: Edit: Edit all permitted fields of the Company</t>
  </si>
  <si>
    <t>IIRM-1957</t>
  </si>
  <si>
    <t>FR_COM_02: RBAC: Company: Edit: Only current owner is able to edit company details</t>
  </si>
  <si>
    <t>IIRM-1958</t>
  </si>
  <si>
    <t>FR_COM_02: Company: Edit: Missing data from Tracxn can be added by user while adding a new Company</t>
  </si>
  <si>
    <t>IIRM-1960</t>
  </si>
  <si>
    <t>FR_COM_02: Company: Edit: User should be able to edit data captured from Tracxn while adding a new Company</t>
  </si>
  <si>
    <t>IIRM-1961</t>
  </si>
  <si>
    <t>FR_COM_02: Company: Edit: User should be able to edit data captured from Company Card while adding a new Company</t>
  </si>
  <si>
    <t>IIRM-1962</t>
  </si>
  <si>
    <t>FR_COM_02: Company: Add: Appropriate validations and errors are displayed when invalid data is input during Company creation</t>
  </si>
  <si>
    <t>IIRM-1963</t>
  </si>
  <si>
    <t>FR_COM_02: Company: Add: Appropriate error messages displayed when required inputs are missing during Company creation</t>
  </si>
  <si>
    <t>IIRM-1965</t>
  </si>
  <si>
    <t xml:space="preserve">QA - Add/Manage Insurer </t>
  </si>
  <si>
    <t>IIRM-1966</t>
  </si>
  <si>
    <t>Test Data documentation</t>
  </si>
  <si>
    <t xml:space="preserve">IIRM-1965 — QA - Add/Manage Insurer </t>
  </si>
  <si>
    <t>IIRM-1967</t>
  </si>
  <si>
    <t>Test cases and scenarios authoring</t>
  </si>
  <si>
    <t>IIRM-1968</t>
  </si>
  <si>
    <t>IIRM-1969</t>
  </si>
  <si>
    <t>Insurer Contact Test cases Execution</t>
  </si>
  <si>
    <t>IIRM-1970</t>
  </si>
  <si>
    <t>TC - Dummy - ACL Establishment</t>
  </si>
  <si>
    <t>IIRM-1971</t>
  </si>
  <si>
    <t>IIRM-1783 — UX/UI - Create/List and View Employees</t>
  </si>
  <si>
    <t>IIRM-1972</t>
  </si>
  <si>
    <t>IIRM-1782 — UX/UI - Create/List and View Tasks, Meetings</t>
  </si>
  <si>
    <t>IIRM-1974</t>
  </si>
  <si>
    <t>sample RTM Strategy</t>
  </si>
  <si>
    <t>IIRM-1779 — QA - Lead Tasks</t>
  </si>
  <si>
    <t>IIRM-1975</t>
  </si>
  <si>
    <t>Extension - Subtask</t>
  </si>
  <si>
    <t>Style options 3 and 4</t>
  </si>
  <si>
    <t>IIRM-1976</t>
  </si>
  <si>
    <t xml:space="preserve">Breakdown Company and Contact requriemnts into test scenarios </t>
  </si>
  <si>
    <t>IIRM-1977</t>
  </si>
  <si>
    <t>Company Page: Quick Cards: By default, correct data should be displayed on all cards</t>
  </si>
  <si>
    <t>Leela Pakalapati</t>
  </si>
  <si>
    <t>IIRM-1978</t>
  </si>
  <si>
    <t>Company Page: Quick Cards: Correct data should get updated based on search and filter results</t>
  </si>
  <si>
    <t>IIRM-1979</t>
  </si>
  <si>
    <t>Company Page: Quick Cards: The count of newly added companies is reflected in Quick Cards</t>
  </si>
  <si>
    <t>IIRM-1980</t>
  </si>
  <si>
    <t>Company Page: Quick Cards: Mark the company as inactive and verify the KPIs are updated</t>
  </si>
  <si>
    <t>IIRM-1982</t>
  </si>
  <si>
    <t>NFR Review and Discussion</t>
  </si>
  <si>
    <t>IIRM-749 — SOW#22 - Data Security (NFR)</t>
  </si>
  <si>
    <t>IIRM-1985</t>
  </si>
  <si>
    <t>Company Page: Manage Company: UX: Verify that page design matches approved Figma screens</t>
  </si>
  <si>
    <t>To Do</t>
  </si>
  <si>
    <t>IIRM-1989</t>
  </si>
  <si>
    <t>Company: Search: Search for a company and edit details</t>
  </si>
  <si>
    <t>Completed</t>
  </si>
  <si>
    <t>IIRM-1990</t>
  </si>
  <si>
    <t>Company: Add: Display name gets pre-filled from the Company name and allows user to edit</t>
  </si>
  <si>
    <t>IIRM-1991</t>
  </si>
  <si>
    <t>Company: Edit: Open company details from different pages from the sorted table and edit</t>
  </si>
  <si>
    <t>IIRM-1993</t>
  </si>
  <si>
    <t>Company: Edit: Edit all permitted fields of the Company</t>
  </si>
  <si>
    <t>IIRM-1994</t>
  </si>
  <si>
    <t xml:space="preserve">Company: Edit: RBAC: Only the current owner is able to edit company details </t>
  </si>
  <si>
    <t>IIRM-1996</t>
  </si>
  <si>
    <t>Company: Edit: Missing data from the Company Card can be added by the user while adding a new Company</t>
  </si>
  <si>
    <t>IIRM-1999</t>
  </si>
  <si>
    <t>Company: Add: Appropriate validations and errors are displayed when invalid data is input during Company creation</t>
  </si>
  <si>
    <t>IIRM-2000</t>
  </si>
  <si>
    <t>Company: Add: Appropriate error messages displayed when required inputs are missing during Company creation</t>
  </si>
  <si>
    <t>IIRM-2001</t>
  </si>
  <si>
    <t>Company: Add: User is not allowed to create Duplicate Companies</t>
  </si>
  <si>
    <t>IIRM-2002</t>
  </si>
  <si>
    <t>Company: Edit: Only one user at a time can edit Company details</t>
  </si>
  <si>
    <t>IIRM-2003</t>
  </si>
  <si>
    <t>Company: Edit: The user is not allowed to edit details of a Company that is not ACTIVE</t>
  </si>
  <si>
    <t>IIRM-2007</t>
  </si>
  <si>
    <t>Company: List: RBAC: Manager: Manager roles can see all companies owned by them and their reporters companies</t>
  </si>
  <si>
    <t>IIRM-2008</t>
  </si>
  <si>
    <t>Company: List: Search: Verify that a search on listed Companies yields correct results</t>
  </si>
  <si>
    <t>IIRM-2009</t>
  </si>
  <si>
    <t>Company: List: Sort: Verify that sort operations on listed Companies yield correct results</t>
  </si>
  <si>
    <t>IIRM-2010</t>
  </si>
  <si>
    <t>Company: List: Filter: Verify that filter operations on listed Companies yield correct results</t>
  </si>
  <si>
    <t>IIRM-2015</t>
  </si>
  <si>
    <t>Company Record: Filter: Verify that correct data is retrieved based on the filter criteria across supported fields</t>
  </si>
  <si>
    <t>IIRM-2016</t>
  </si>
  <si>
    <t>Company Record: Filter: Verify that the user is able to apply one or more filters and that the data is retrieved correctly</t>
  </si>
  <si>
    <t>IIRM-2017</t>
  </si>
  <si>
    <t>Company Record: Search: Verify that correct data is retrieved based on the search criteria across supported fields</t>
  </si>
  <si>
    <t>IIRM-2019</t>
  </si>
  <si>
    <t>Company List: Columns: Verify that the company list should be displayed with correct details across all expected columns</t>
  </si>
  <si>
    <t>IIRM-2020</t>
  </si>
  <si>
    <t>Company List: Table: Table operations should work properly (draggable, pagination, sorting, filters, resize, scrolling)</t>
  </si>
  <si>
    <t>IIRM-2021</t>
  </si>
  <si>
    <t>UX: Company List: Verify that page design matches approved Figma screens</t>
  </si>
  <si>
    <t>IIRM-2022</t>
  </si>
  <si>
    <t>IIRM: Company: Verify that a company can be created with all fields, with multiple addresses</t>
  </si>
  <si>
    <t>IIRM-2023</t>
  </si>
  <si>
    <t>IIRM: Company: Verify that a company can be created with only mandatory fields</t>
  </si>
  <si>
    <t>IIRM-2024</t>
  </si>
  <si>
    <t>IIRM: Company: Verify that multiple contacts can be created for a company with mandatory fields</t>
  </si>
  <si>
    <t>IIRM-2025</t>
  </si>
  <si>
    <t>Contact Page: Quick Cards: By default, correct data should be displayed in all cards</t>
  </si>
  <si>
    <t>Akhila Gattu</t>
  </si>
  <si>
    <t>IIRM-2028</t>
  </si>
  <si>
    <t>Contact Page: Quick Cards: Correct data should get updated based on search and filter results</t>
  </si>
  <si>
    <t>IIRM-2030</t>
  </si>
  <si>
    <t>Company Detail: Sections: Verify that company detail page should get displayed with correct details across all expected sections</t>
  </si>
  <si>
    <t>IIRM-2031</t>
  </si>
  <si>
    <t>Company Detail: Verify that the user should be able to drill-down to respective entities from various sections of the company detail</t>
  </si>
  <si>
    <t>IIRM-2038</t>
  </si>
  <si>
    <t>Mailbox: Receive: Verify all active users should be able to receive emails along with attachments using their own inbox</t>
  </si>
  <si>
    <t>IIRM-2039</t>
  </si>
  <si>
    <t>Company: Verify that region-specific data is exposed to the user dynamically</t>
  </si>
  <si>
    <t>IIRM-2040</t>
  </si>
  <si>
    <t>Company: Documents: Validation: Verify that authorized users only can upload files with valid file formats up to supported size limits.</t>
  </si>
  <si>
    <t>IIRM-2050</t>
  </si>
  <si>
    <t>Company: Sales Opportunities: Verify that one or more Sales Opportunities can be associated with a Company with a separate label for each</t>
  </si>
  <si>
    <t>IIRM-2051</t>
  </si>
  <si>
    <t>Company Records: Bulk: Verify that the system allows uploading an Excel/CSV for bulk company record entry</t>
  </si>
  <si>
    <t>IIRM-2052</t>
  </si>
  <si>
    <t>Contact Page: Quick Cards: Count of newly added contact is reflected in Quick Cards</t>
  </si>
  <si>
    <t>IIRM-2056</t>
  </si>
  <si>
    <t>Company Records: Bulk: Validations: Vefiy invalid  cases(Size limit, upload limit, formats, types,  fail in uploading etc.)</t>
  </si>
  <si>
    <t>IIRM-2057</t>
  </si>
  <si>
    <t>Manage Contact: KPI: Total companies should only show unique companies of current user.</t>
  </si>
  <si>
    <t>IIRM-2061</t>
  </si>
  <si>
    <t>Contact Page: List: All expected region-specific columns are present in Column list for Active contacts</t>
  </si>
  <si>
    <t>IIRM-2066</t>
  </si>
  <si>
    <t>Company: Multiple Records: Verify that the system allows entering multiple insurers/borker/TPAs for different policy types</t>
  </si>
  <si>
    <t>IIRM-2068</t>
  </si>
  <si>
    <t>Company Record: Validation: Verify data validation when entering insurers, brokers, and TPAs</t>
  </si>
  <si>
    <t>IIRM-2070</t>
  </si>
  <si>
    <t>Contact Page: Manage Contact: UX: Verify that page design matches approved Figma screens</t>
  </si>
  <si>
    <t>IIRM-2071</t>
  </si>
  <si>
    <t>Company: Add: Owner: Verify that when a new company is created, the system automatically tags the assigned owner as "Lead CRM."</t>
  </si>
  <si>
    <t>IIRM-2074</t>
  </si>
  <si>
    <t>Contact: Add: Display name gets prefilled from Contact name and allows user to edit</t>
  </si>
  <si>
    <t>IIRM-2075</t>
  </si>
  <si>
    <t>Contact: Add: Appropriate validations and errors are displayed when invalid data is input during TPA Contact creation</t>
  </si>
  <si>
    <t>IIRM-2076</t>
  </si>
  <si>
    <t>Company: Owner: Validation: Verify that only one user can be tagged as "Lead CRM" for a company.</t>
  </si>
  <si>
    <t>IIRM-2081</t>
  </si>
  <si>
    <t>Contact: Edit: RBAC: Remove, Delink and relink a Company for a Contact</t>
  </si>
  <si>
    <t>IIRM-2083</t>
  </si>
  <si>
    <t>Contact: Add: User should be able to add one or more addresses of same Company for the Contact</t>
  </si>
  <si>
    <t>IIRM-2085</t>
  </si>
  <si>
    <t>Contact: Edit: Appropriate validations and errors are displayed when invalid data is input while editing Contact details</t>
  </si>
  <si>
    <t>IIRM-2086</t>
  </si>
  <si>
    <t>Contact: Search: Search for a contact on all supported search columns and edit details</t>
  </si>
  <si>
    <t>IIRM-2093</t>
  </si>
  <si>
    <t>Company: RO Fields: RBAC: Verify that based on the permissions assigned to the user role restricted fields will be displayed read-only or hidden</t>
  </si>
  <si>
    <t>IIRM-2094</t>
  </si>
  <si>
    <t>Company: Add: Verify that when multiple companies with same name exist</t>
  </si>
  <si>
    <t>IIRM-2098</t>
  </si>
  <si>
    <t>User stories - company contacts and SO</t>
  </si>
  <si>
    <t>IIRM-2099</t>
  </si>
  <si>
    <t>IIRM-2101</t>
  </si>
  <si>
    <t>IIRM-2104</t>
  </si>
  <si>
    <t>Contact: Whatsapp: Verify graceful handling of Whatsapp integration from various devices</t>
  </si>
  <si>
    <t>IIRM-2107</t>
  </si>
  <si>
    <t>Bug</t>
  </si>
  <si>
    <t>IIRM:API: Company: Landing screen displays continuous loading</t>
  </si>
  <si>
    <t>IIRM-2109</t>
  </si>
  <si>
    <t>IIRM: Company: Create Company API fails with 502 error</t>
  </si>
  <si>
    <t>IIRM-2111</t>
  </si>
  <si>
    <t>CLONE - Implementing business logic for Manage Company screens - 2</t>
  </si>
  <si>
    <t>IIRM-2116</t>
  </si>
  <si>
    <t>CLONE - QA: Contact Test case &amp; test data documentation-2</t>
  </si>
  <si>
    <t>IIRM-2117</t>
  </si>
  <si>
    <t xml:space="preserve">API - Implementing business logic for Manage opportunity </t>
  </si>
  <si>
    <t>IIRM-2118</t>
  </si>
  <si>
    <t>Implementing business logic for Manage opportunity screens</t>
  </si>
  <si>
    <t>IIRM-2119</t>
  </si>
  <si>
    <t>Implementing business logic for Manage TPA APIs - 1</t>
  </si>
  <si>
    <t>IIRM-2120</t>
  </si>
  <si>
    <t>Implementing business logic for Manage TPA screens</t>
  </si>
  <si>
    <t>IIRM-2121</t>
  </si>
  <si>
    <t>Implementing business logic for Manage Insurer APIs - 1</t>
  </si>
  <si>
    <t>IIRM-741 — SOW#14 - Add/Manage Insurer</t>
  </si>
  <si>
    <t>IIRM-2122</t>
  </si>
  <si>
    <t>Implementing business logic for Manage Insurer screens</t>
  </si>
  <si>
    <t>IIRM-2127</t>
  </si>
  <si>
    <t xml:space="preserve">API Development for List of the opportunity </t>
  </si>
  <si>
    <t xml:space="preserve">IIRM-2117 — API - Implementing business logic for Manage opportunity </t>
  </si>
  <si>
    <t>IIRM-2128</t>
  </si>
  <si>
    <t>Opportunity details page UI</t>
  </si>
  <si>
    <t>IIRM-2118 — Implementing business logic for Manage opportunity screens</t>
  </si>
  <si>
    <t>IIRM-2129</t>
  </si>
  <si>
    <t>Opportunity details page API integration</t>
  </si>
  <si>
    <t>IIRM-2131</t>
  </si>
  <si>
    <t>Create Opportunity(highlevel feilds as belowcomapny,contact,insurar,tpa,address,broker,detialsprevious policy details,mutiple challenges, from date , to date ,period, claim detial)</t>
  </si>
  <si>
    <t>IIRM-2132</t>
  </si>
  <si>
    <t>Reportee list</t>
  </si>
  <si>
    <t>IIRM-2133</t>
  </si>
  <si>
    <t>Analyse the KPI to fetch showcase the KPI data(companies,opportunity,primunm,sum insured)</t>
  </si>
  <si>
    <t>IIRM-2137</t>
  </si>
  <si>
    <t>Develop an functionality for the smart search</t>
  </si>
  <si>
    <t>IIRM-2145</t>
  </si>
  <si>
    <t>Modify the database table of TPA based on the spec.</t>
  </si>
  <si>
    <t>IIRM-2119 — Implementing business logic for Manage TPA APIs - 1</t>
  </si>
  <si>
    <t>IIRM-2146</t>
  </si>
  <si>
    <t>Update create TPA API.</t>
  </si>
  <si>
    <t>IIRM-2147</t>
  </si>
  <si>
    <t>Implement the businness logic for the update TPA API.</t>
  </si>
  <si>
    <t>IIRM-2148</t>
  </si>
  <si>
    <t>Update get list of contact and get TPA by id API</t>
  </si>
  <si>
    <t>IIRM-2149</t>
  </si>
  <si>
    <t>Create TPA KPI to show</t>
  </si>
  <si>
    <t>IIRM-2150</t>
  </si>
  <si>
    <t>IIRM-2153</t>
  </si>
  <si>
    <t>Create quick TPA KPI cards to show counts and percentage(total contacts and total companies)</t>
  </si>
  <si>
    <t>IIRM-2120 — Implementing business logic for Manage TPA screens</t>
  </si>
  <si>
    <t>IIRM-2154</t>
  </si>
  <si>
    <t>modification of the create/edit TPA form</t>
  </si>
  <si>
    <t>IIRM-2155</t>
  </si>
  <si>
    <t>IIRM-2156</t>
  </si>
  <si>
    <t>Create a common component for the Gobal level search (Contact nameCompany namePhone) and filter.</t>
  </si>
  <si>
    <t>IIRM-2157</t>
  </si>
  <si>
    <t>update List of the TPA (Contact nameCompany namePhoneEmailDepartmentDesignationOwnerStatus)</t>
  </si>
  <si>
    <t>IIRM-2158</t>
  </si>
  <si>
    <t>Create TPA details page(TPA NameDisplay NameCompany Type(Private/Public)WebsiteRemarksAddress TypeAddress (refer attributes table))</t>
  </si>
  <si>
    <t>IIRM-2160</t>
  </si>
  <si>
    <t>Modify the database table of Insurer based on the spec.</t>
  </si>
  <si>
    <t>IIRM-2121 — Implementing business logic for Manage Insurer APIs - 1</t>
  </si>
  <si>
    <t>IIRM-2161</t>
  </si>
  <si>
    <t>Update create Insurer API.</t>
  </si>
  <si>
    <t>IIRM-2162</t>
  </si>
  <si>
    <t>Implement the businness logic for the update Insurer API.</t>
  </si>
  <si>
    <t>IIRM-2163</t>
  </si>
  <si>
    <t>Update get list of Insurer and get Insurer by id API</t>
  </si>
  <si>
    <t>IIRM-2164</t>
  </si>
  <si>
    <t>Create Insurer KPI to show</t>
  </si>
  <si>
    <t>IIRM-2168</t>
  </si>
  <si>
    <t>Create quick Insurer KPI cards to show counts and percentage(total Insurers and total Insurers)</t>
  </si>
  <si>
    <t>IIRM-2122 — Implementing business logic for Manage Insurer screens</t>
  </si>
  <si>
    <t>IIRM-2169</t>
  </si>
  <si>
    <t>IIRM-2170</t>
  </si>
  <si>
    <t>IIRM-2171</t>
  </si>
  <si>
    <t>Create a common component for the Gobal level search (Contact nameCompany namePhoneStatus) and filter.</t>
  </si>
  <si>
    <t>IIRM-2172</t>
  </si>
  <si>
    <t>update List of the insurers (Company namePriority WebsiteIndustry SegmentDisplay nameAll the fields of potential opportunities sectionAll the fields of industry intelligence section)</t>
  </si>
  <si>
    <t>IIRM-2173</t>
  </si>
  <si>
    <t>Create insurers details page(Insurer nameInsurer BranchInsurer AddressCityStatePhoneEdit action)</t>
  </si>
  <si>
    <t>IIRM-2178</t>
  </si>
  <si>
    <t>CLONE - QA - Company create/ update/ delete-2</t>
  </si>
  <si>
    <t>IIRM-2179</t>
  </si>
  <si>
    <t>Miscellanous - Tech Specs Walkthrough meeting</t>
  </si>
  <si>
    <t>Nikhil</t>
  </si>
  <si>
    <t>IIRM-2180</t>
  </si>
  <si>
    <t>Review and updated the TPA/Insurer/broker test cases</t>
  </si>
  <si>
    <t>IIRM-2181</t>
  </si>
  <si>
    <t>API Testing: Prepare test scripts for Company hub</t>
  </si>
  <si>
    <t>IIRM-2182</t>
  </si>
  <si>
    <t>Company: API: Create company is not working</t>
  </si>
  <si>
    <t>IIRM-2183</t>
  </si>
  <si>
    <t>IIRM: Company: Company list view: Label displays 'Company Type' instead of 'Type'</t>
  </si>
  <si>
    <t>IIRM-2184</t>
  </si>
  <si>
    <t>IIRM: Company : Company list : Row selection cursor not appearing, default pointer shown instead</t>
  </si>
  <si>
    <t>IIRM-2185</t>
  </si>
  <si>
    <t>IIRM: Company : Search results do not match the entered search string</t>
  </si>
  <si>
    <t>Done - Not Reproducible</t>
  </si>
  <si>
    <t>IIRM-2186</t>
  </si>
  <si>
    <t>IIRM: Company : Quick cards: Company Quick Cards KPI count not updating based on data</t>
  </si>
  <si>
    <t>IIRM-2188</t>
  </si>
  <si>
    <t>IIRM: Company: Company list : In pagination we are not showing total count of company list.</t>
  </si>
  <si>
    <t>IIRM-2189</t>
  </si>
  <si>
    <t>IIRM: Company : Create Company : Validation error on Date of Incorporation should not appear on first click of Create Company</t>
  </si>
  <si>
    <t>IIRM-2191</t>
  </si>
  <si>
    <t>IIRM: Company : Create company : Search in dropdown not visible when text entry is allowed</t>
  </si>
  <si>
    <t>IIRM-2192</t>
  </si>
  <si>
    <t>IIRM: Company : Create Company : GST : Empty GST fields should not get saved.</t>
  </si>
  <si>
    <t>IIRM-2193</t>
  </si>
  <si>
    <t>IIRM: Company : Create Company : GST : Instead of digits selected state and GST category should be shown</t>
  </si>
  <si>
    <t>IIRM-2194</t>
  </si>
  <si>
    <t>IIRM: Company : Create Company : View company details : Broker details displayed on View Company Details page despite not being added</t>
  </si>
  <si>
    <t>IIRM-2195</t>
  </si>
  <si>
    <t>IIRM : Company : Create Company : View company details page : Back navigation missing on Company Details page</t>
  </si>
  <si>
    <t>IIRM-2196</t>
  </si>
  <si>
    <t>IIRM: Create company : Validation error should only show for mandatory fields.</t>
  </si>
  <si>
    <t>IIRM-2197</t>
  </si>
  <si>
    <t xml:space="preserve">IIRM: Company : Create Company : Alphabetics should get restricted on phone number fields </t>
  </si>
  <si>
    <t>IIRM-2198</t>
  </si>
  <si>
    <t>IIRM:API: Company: Create company: Address update : Unable to update address with emails ID , thrown 400 on API response</t>
  </si>
  <si>
    <t>IIRM-2199</t>
  </si>
  <si>
    <t>IIRM: Company : Create Company : Reset functionality not working</t>
  </si>
  <si>
    <t>IIRM-2200</t>
  </si>
  <si>
    <t>IIRM: Company : Duplicate API calls triggered when clicking 'Cancel' on Create Company page</t>
  </si>
  <si>
    <t>IIRM-2201</t>
  </si>
  <si>
    <t>IIRM: Company : Back option : Back navigation not working as expected</t>
  </si>
  <si>
    <t>IIRM-2202</t>
  </si>
  <si>
    <t>IIRM: API: Contact: Contact view: Search functionality not working</t>
  </si>
  <si>
    <t>IIRM-2203</t>
  </si>
  <si>
    <t>IIRM: Contact: Quick cards CTA not working</t>
  </si>
  <si>
    <t>IIRM-2204</t>
  </si>
  <si>
    <t>IIRM: Contact: New Contact: ID's should not be shown on UI</t>
  </si>
  <si>
    <t>IIRM-2205</t>
  </si>
  <si>
    <t>IIRM: Contact: Create contact: Unable to create contact due to non-mandatory fields not being optional</t>
  </si>
  <si>
    <t>IIRM-2206</t>
  </si>
  <si>
    <t>Company: API: Create Test scripts for Company Hub</t>
  </si>
  <si>
    <t>IIRM-2207</t>
  </si>
  <si>
    <t>Contact: API: Create Test scripts for Contact Hub</t>
  </si>
  <si>
    <t>IIRM-2208</t>
  </si>
  <si>
    <t>API Testing: Prepare test scripts for Add/Edit Contact</t>
  </si>
  <si>
    <t>IIRM-2209</t>
  </si>
  <si>
    <t>user stories -meetings and tasks</t>
  </si>
  <si>
    <t>IIRM-2210</t>
  </si>
  <si>
    <t>Implementing business logic for the Employee -1</t>
  </si>
  <si>
    <t>IIRM-2211</t>
  </si>
  <si>
    <t>Modify the employee create API based on the spec</t>
  </si>
  <si>
    <t>IIRM-2210 — Implementing business logic for the Employee -1</t>
  </si>
  <si>
    <t>IIRM-2212</t>
  </si>
  <si>
    <t>Modify the employee update API based on the spec</t>
  </si>
  <si>
    <t>IIRM-2213</t>
  </si>
  <si>
    <t>Modify the TPA contact APIs</t>
  </si>
  <si>
    <t>IIRM-2214</t>
  </si>
  <si>
    <t>Modify the Insurar contact APIs</t>
  </si>
  <si>
    <t>IIRM-2215</t>
  </si>
  <si>
    <t>Technical Debt</t>
  </si>
  <si>
    <t>Gopal Gottumukkala</t>
  </si>
  <si>
    <t>IIRM-2216</t>
  </si>
  <si>
    <t>Swagger - All services swagger docs to one accessible point</t>
  </si>
  <si>
    <t>IIRM-2215 — Technical Debt</t>
  </si>
  <si>
    <t>IIRM-2218</t>
  </si>
  <si>
    <t>UX- add, view, edit and list</t>
  </si>
  <si>
    <t>IIRM-1786 — UX/UI - Create/List and View TPA</t>
  </si>
  <si>
    <t>IIRM-2219</t>
  </si>
  <si>
    <t>IIRM-1784 — UX/UI - Create/List and View Opportunity</t>
  </si>
  <si>
    <t>IIRM-2225</t>
  </si>
  <si>
    <t>UI- add, view, edit and list</t>
  </si>
  <si>
    <t>IIRM-2226</t>
  </si>
  <si>
    <t>TPA Page: Manage TPA:  UX: Verify that page design matches approved Figma screens</t>
  </si>
  <si>
    <t>IIRM-2227</t>
  </si>
  <si>
    <t>TPA: Verify TPA Creation and verification in overview page,listpage and edit page</t>
  </si>
  <si>
    <t>IIRM-2232</t>
  </si>
  <si>
    <t>TPA:  Edit: Edit all permitted fields of the TPA</t>
  </si>
  <si>
    <t>IIRM-2235</t>
  </si>
  <si>
    <t xml:space="preserve"> TPA:  Add: Appropriate validations and errors are displayed when invalid data is input during TPA creation</t>
  </si>
  <si>
    <t>IIRM-2236</t>
  </si>
  <si>
    <t>TPA:  Add: Appropriate error messages displayed when required inputs are missing during TPA creation</t>
  </si>
  <si>
    <t>IIRM-2238</t>
  </si>
  <si>
    <t xml:space="preserve"> TPA: Only authorized user can create a new TPA with only mandatory fields.</t>
  </si>
  <si>
    <t>IIRM-2239</t>
  </si>
  <si>
    <t>TPA: Only authorized user can create a new TPA with all fields.</t>
  </si>
  <si>
    <t>IIRM-2246</t>
  </si>
  <si>
    <t>TPA List: Table: Table operations should work properly (pagination, sorting, filters, resize, scrolling)</t>
  </si>
  <si>
    <t>IIRM-2252</t>
  </si>
  <si>
    <t>IIRM:API: Manage contact: Page refresh to load data on UI should not exceed 3secs</t>
  </si>
  <si>
    <t>IIRM-2264</t>
  </si>
  <si>
    <t>TPA BrokerContact Page: Manage Contact: UX: Verify that page design matches approved Figma screens</t>
  </si>
  <si>
    <t>IIRM-2268</t>
  </si>
  <si>
    <t>Company: API:  Mapped  Id values are not able to view(Values should be in String format)</t>
  </si>
  <si>
    <t>IIRM-2269</t>
  </si>
  <si>
    <t>TPA_Insurer_Broker Contact: Add: Add contacts to TPA Companies.</t>
  </si>
  <si>
    <t>IIRM-2270</t>
  </si>
  <si>
    <t>Broker_Contact: Verify that user can create a Broker Contact for the selected Broker</t>
  </si>
  <si>
    <t>IIRM-2271</t>
  </si>
  <si>
    <t>Broker Contact: Add: Appropriate error messages displayed when required inputs are missing during Contact creation</t>
  </si>
  <si>
    <t>IIRM-2274</t>
  </si>
  <si>
    <t>TPA Contact: Edit: Authorized users can edit all permitted fields of the TPA Contact.</t>
  </si>
  <si>
    <t>IIRM-2275</t>
  </si>
  <si>
    <t>TPA Contact  – Creation and Verification in Overview page,List page and Edit page .</t>
  </si>
  <si>
    <t>IIRM-2277</t>
  </si>
  <si>
    <t>TPA/Broker/Insurer Contact: Edit Verify that privileged user is able to edit all permitted fields</t>
  </si>
  <si>
    <t>IIRM-2280</t>
  </si>
  <si>
    <t>TPA_Insurer_Broker Contact: Search: Search for a contact on all supported search columns and edit details</t>
  </si>
  <si>
    <t>IIRM-2282</t>
  </si>
  <si>
    <t>TPA_Insurer_Broker Contact: Filter: filtered list should show based on the pagination count.</t>
  </si>
  <si>
    <t>IIRM-2285</t>
  </si>
  <si>
    <t>TPA_Insurer_Broker Contact: List: Sort order is preserved across pages</t>
  </si>
  <si>
    <t>IIRM-2286</t>
  </si>
  <si>
    <t>TPA_Contact: Create TPA Contact for each address of a TPA</t>
  </si>
  <si>
    <t>IIRM-2288</t>
  </si>
  <si>
    <t>Insurer_Contact: Verify that user can create a Insurer Contact for the selected Insurer</t>
  </si>
  <si>
    <t>IIRM-2289</t>
  </si>
  <si>
    <t>TPA  BrokerContact Address: User should be able to residential address to TPA contact and that it can not be linked to TPA Company</t>
  </si>
  <si>
    <t>IIRM-2292</t>
  </si>
  <si>
    <t>TPA BrokerContact: Email: Send: Verify all active users should be able to send emails along with attachments using their own inbox.</t>
  </si>
  <si>
    <t>IIRM-2293</t>
  </si>
  <si>
    <t>TPA BrokerContact: Verify that region-specific data is exposed to the user dynamically</t>
  </si>
  <si>
    <t>IIRM-2299</t>
  </si>
  <si>
    <t>TPA Audit logs : All the events performance on TPA contact should be logged in chronological order.</t>
  </si>
  <si>
    <t>IIRM-2300</t>
  </si>
  <si>
    <t>Company: API: The 'approverId' field should not be included in the payload when creating a company</t>
  </si>
  <si>
    <t>IIRM-2302</t>
  </si>
  <si>
    <t xml:space="preserve"> Insurer  Page: Quick Cards: Correct data should get updated based on search and filter results</t>
  </si>
  <si>
    <t>IIRM-2304</t>
  </si>
  <si>
    <t xml:space="preserve"> Insurer  Page: Quick Cards: The count of Total Active Policies with Insurer is reflected in Quick Cards.</t>
  </si>
  <si>
    <t>IIRM-2306</t>
  </si>
  <si>
    <t xml:space="preserve"> Insurer  Page: Manage Insurer:  UX: Verify that page design matches approved Figma screens</t>
  </si>
  <si>
    <t>IIRM-2307</t>
  </si>
  <si>
    <t>Insurer: Add: Verify that privillage user is able to add new Insurer</t>
  </si>
  <si>
    <t>IIRM-2311</t>
  </si>
  <si>
    <t>Insurer Creation: Verify in overview page,list page and edit page.</t>
  </si>
  <si>
    <t>IIRM-2314</t>
  </si>
  <si>
    <t xml:space="preserve"> Insurer  :  Add: Appropriate validations and errors are displayed when invalid data is input during Insurer creation</t>
  </si>
  <si>
    <t>IIRM-2315</t>
  </si>
  <si>
    <t>Insurer Contact  :  Add: Appropriate error messages displayed when required inputs are missing during Insurer Contact creation</t>
  </si>
  <si>
    <t>IIRM-2317</t>
  </si>
  <si>
    <t xml:space="preserve"> Insurer  : Only authorized user can create a new Insurer with only mandatory fields.</t>
  </si>
  <si>
    <t>IIRM-2318</t>
  </si>
  <si>
    <t xml:space="preserve"> Insurer  : Only authorized user can create a new Insurer with all fields.</t>
  </si>
  <si>
    <t>IIRM-2320</t>
  </si>
  <si>
    <t>Insurer  Record: Filter: Verify that correct data is retrieved based on the filter criteria across supported fields</t>
  </si>
  <si>
    <t>IIRM-2325</t>
  </si>
  <si>
    <t xml:space="preserve"> Insurer  List: Table: Table operations should work properly (draggable, pagination, sorting, filters, resize, scrolling)</t>
  </si>
  <si>
    <t>IIRM-2327</t>
  </si>
  <si>
    <t>Company Insurer  : Authorized users are able to edit Insurers from list</t>
  </si>
  <si>
    <t>IIRM-2331</t>
  </si>
  <si>
    <t>Implement business logic for the manage Broker APIs</t>
  </si>
  <si>
    <t>IIRM-2332</t>
  </si>
  <si>
    <t>Modify the Create Broker API based on the spec</t>
  </si>
  <si>
    <t>IIRM-2331 — Implement business logic for the manage Broker APIs</t>
  </si>
  <si>
    <t>IIRM-2333</t>
  </si>
  <si>
    <t>Create and Modify Update and delete Broker API based on the spec</t>
  </si>
  <si>
    <t>IIRM-2334</t>
  </si>
  <si>
    <t>Create the Get broker and Get broker list APIs</t>
  </si>
  <si>
    <t>IIRM-2335</t>
  </si>
  <si>
    <t>Modify the Create and edit broker contact APIs accordingly to the spec</t>
  </si>
  <si>
    <t>IIRM-2337</t>
  </si>
  <si>
    <t>Broker Page: Quick Cards: Correct data should get updated based on search and filter results</t>
  </si>
  <si>
    <t>IIRM-2338</t>
  </si>
  <si>
    <t>Broker Page: Quick Cards: The count of Total Active Brokers is reflected in Quick Cards</t>
  </si>
  <si>
    <t>IIRM-2341</t>
  </si>
  <si>
    <t>Broker Page: Manage Broker :  UX: Verify that page design matches approved Figma screens</t>
  </si>
  <si>
    <t>IIRM-2346</t>
  </si>
  <si>
    <t>Broker : Edit: Edit details of a Broker from the filtered list</t>
  </si>
  <si>
    <t>IIRM-2347</t>
  </si>
  <si>
    <t>Insurer/Broker/TPA: Verify that privileged user can edit all permitted fields</t>
  </si>
  <si>
    <t>IIRM-2350</t>
  </si>
  <si>
    <t>Broker :Add: Appropriate error messages displayed when required inputs are missing during Broker creation</t>
  </si>
  <si>
    <t>IIRM-2352</t>
  </si>
  <si>
    <t>Broker :Only authorized user can create a new Broker with only mandatory fields.</t>
  </si>
  <si>
    <t>IIRM-2354</t>
  </si>
  <si>
    <t>Broker Record: Filter: Verify that correct data is retrieved based on the filter criteria across supported fields</t>
  </si>
  <si>
    <t>IIRM-2356</t>
  </si>
  <si>
    <t>Broker Record: Search: Verify that correct data is retrieved based on the search criteria across supported fields</t>
  </si>
  <si>
    <t>IIRM-2363</t>
  </si>
  <si>
    <t xml:space="preserve"> Broker Creation: Verify in overview page,list page and edit page.</t>
  </si>
  <si>
    <t>IIRM-2365</t>
  </si>
  <si>
    <t>Company: API: Correct the response body message when the group member ID does not exist</t>
  </si>
  <si>
    <t>IIRM-2366</t>
  </si>
  <si>
    <t>IIRM: Create Company: Newly created company appears in the middle of the list instead of at the beginning or end</t>
  </si>
  <si>
    <t>IIRM-2367</t>
  </si>
  <si>
    <t>IIRM: Create Company : Auto-generation interrupted when backspace is pressed during company name entry</t>
  </si>
  <si>
    <t>IIRM-2368</t>
  </si>
  <si>
    <t>IIRM: Company: Remove up/down arrow controls from DOI field as they are not used and affect user experience</t>
  </si>
  <si>
    <t>IIRM-2369</t>
  </si>
  <si>
    <t>IIRM: Create Company:  Default text not centered within the input field</t>
  </si>
  <si>
    <t>IIRM-2370</t>
  </si>
  <si>
    <t>IIRM : Create company : Industry segment , Currency, Existing broker Dropdown selection causes overlapping of other fields</t>
  </si>
  <si>
    <t>IIRM-2371</t>
  </si>
  <si>
    <t>IIRM: Company: API : Company not created within the Remarks text Limit</t>
  </si>
  <si>
    <t>IIRM-2372</t>
  </si>
  <si>
    <t>IIRM:Company: API: Inconsistent key[StatusCode, Status] in response body</t>
  </si>
  <si>
    <t>IIRM-2373</t>
  </si>
  <si>
    <t>Company: API: Company creation is successful even when an invalid "companyTypeLid" is provided</t>
  </si>
  <si>
    <t>IIRM-2374</t>
  </si>
  <si>
    <t>Contact Test data Documentation</t>
  </si>
  <si>
    <t>IIRM-2375</t>
  </si>
  <si>
    <t>Repo clone and Go through the code of iWork</t>
  </si>
  <si>
    <t>Gundam Sree Sahithi</t>
  </si>
  <si>
    <t>IIRM-2376</t>
  </si>
  <si>
    <t>Requirement breakdown and Prepare Test scenarios for RBAC</t>
  </si>
  <si>
    <t>IIRM-2377</t>
  </si>
  <si>
    <t>Company: API: "503 - Error: Service Unavailable" message is received while creating a company</t>
  </si>
  <si>
    <t>IIRM-2378</t>
  </si>
  <si>
    <t>Company: UI:Company is not created with all required fields</t>
  </si>
  <si>
    <t>IIRM-2379</t>
  </si>
  <si>
    <t xml:space="preserve">IIRM: Add company could be within manage company </t>
  </si>
  <si>
    <t>IIRM-2381</t>
  </si>
  <si>
    <t>IIRM: Company: FR Comp15 and FR Comp 17 - search combination criteria is needed</t>
  </si>
  <si>
    <t>IIRM-2382</t>
  </si>
  <si>
    <t>IIRM: Company : FR Comp 27 sort functionality for each column within the company list is needed. Right now only the company column has it.</t>
  </si>
  <si>
    <t>IIRM-2383</t>
  </si>
  <si>
    <t>IIRM: FR Comp 30 - Status -Active or Inactive(deleted) - Field is required (however it is only for specific users , ideally Managers and functional admins - it is needed and missing)</t>
  </si>
  <si>
    <t>IIRM-2384</t>
  </si>
  <si>
    <t xml:space="preserve">IIRM: Company: FR Comp 37 - From Company name drill down - Sales opportunity, renewal opportunity and policies and their respective fields should be here : refer attached image </t>
  </si>
  <si>
    <t>IIRM-2385</t>
  </si>
  <si>
    <t xml:space="preserve">IIRM: Company : FR Comp 37 Insurer broker TPA sections and fields - associated with the respective above opportunities (no.6) should be displayed </t>
  </si>
  <si>
    <t>IIRM-2386</t>
  </si>
  <si>
    <t xml:space="preserve">IIRM: Company : Document upload and document view functionality is missing </t>
  </si>
  <si>
    <t>IIRM-2387</t>
  </si>
  <si>
    <t>IIRM: Company : FR Comp 46 - +add button for adding multiple company contacts, SO , Insurer, Broker, TPA is needed within edit functionality of company.</t>
  </si>
  <si>
    <t>IIRM-2388</t>
  </si>
  <si>
    <t>IIRM: Company: FR Comp 48 - Bulk upload button to upload a list of companies is missing and needed</t>
  </si>
  <si>
    <t>IIRM-2389</t>
  </si>
  <si>
    <t xml:space="preserve">IIRM: Company: FR comp 51 - From edit journey certain fields should be uneditable - refer FRCOMP51 . Right now , it is allowing the user to edit, Please change that. </t>
  </si>
  <si>
    <t>IIRM-2390</t>
  </si>
  <si>
    <t>IIRM: Company : FR comp 53 should be considered for no.7 FR Comp 37</t>
  </si>
  <si>
    <t>IIRM-2391</t>
  </si>
  <si>
    <t xml:space="preserve">IIRM: Company : Type , Tag , Priority and Industry Segment should be mandatory - refer 6.1 </t>
  </si>
  <si>
    <t>IIRM-2392</t>
  </si>
  <si>
    <t>IIRM: Company : In priority field IMP and LOW are missing refer 6.1 attributes table priority field.</t>
  </si>
  <si>
    <t>IIRM-2393</t>
  </si>
  <si>
    <t>IIRM: Company : No. of employees, Date of Incorporation, Registration number are mandatory but they should be optional - refer 6.1 attributes table</t>
  </si>
  <si>
    <t>IIRM-2394</t>
  </si>
  <si>
    <t>IIRM: Company : Date of Incorporation - Still able to select future date . Flagging that. Please change</t>
  </si>
  <si>
    <t>IIRM-2395</t>
  </si>
  <si>
    <t>IIRM: Company : Annual Premium field is missing, Paid up capital should be taken out (not necessary).</t>
  </si>
  <si>
    <t>IIRM-2396</t>
  </si>
  <si>
    <t>IIRM: Company : Address type should be mandatory, Country should be mandatory , country LOVS missing and none within dropdown. State field is missing.</t>
  </si>
  <si>
    <t>IIRM-2397</t>
  </si>
  <si>
    <t>IIRM: Company : Category field in GST section has following field e.g, GST , IGST, CGST refer 6.3 in company</t>
  </si>
  <si>
    <t>IIRM-2398</t>
  </si>
  <si>
    <t>Company: API: Not able to create a company through API</t>
  </si>
  <si>
    <t>IIRM-2399</t>
  </si>
  <si>
    <t>IIRM: Company: API: Pincode is not automatically validated based on the selected State and City.</t>
  </si>
  <si>
    <t>IIRM-2400</t>
  </si>
  <si>
    <t>IIRM: Company : Character count validation for Display Name does not match the required limit</t>
  </si>
  <si>
    <t>IIRM-2401</t>
  </si>
  <si>
    <t>IIRM: Company : Company Name field accepts more than 200 characters, exceeding the defined character limit.</t>
  </si>
  <si>
    <t>IIRM-2403</t>
  </si>
  <si>
    <t>IIRM : Company : Registration number field allows only strict format (U12345AB1234PLC123456); throws error if any character deviates</t>
  </si>
  <si>
    <t>IIRM-2404</t>
  </si>
  <si>
    <t>IIRM: Company : Edit &amp; Updated Functionality is not working</t>
  </si>
  <si>
    <t>IIRM-2405</t>
  </si>
  <si>
    <t>IIRM : Company : Unable to add new GST details during the company update process</t>
  </si>
  <si>
    <t>IIRM-2406</t>
  </si>
  <si>
    <t>IIRM: Update Company  : Call-to-Action (CTA) button not functioning for Mail option</t>
  </si>
  <si>
    <t>IIRM-2407</t>
  </si>
  <si>
    <t>SO: Create: Verify by creating opty from all entry points</t>
  </si>
  <si>
    <t>IIRM-2408</t>
  </si>
  <si>
    <t>SO: Create :Verify that users can create a Sales Opportunity using the direct link from the Manage Opportunities</t>
  </si>
  <si>
    <t>IIRM-2409</t>
  </si>
  <si>
    <t>SO: Create :Verify that users can create a Sales Opportunity from the Contact Detail page</t>
  </si>
  <si>
    <t>IIRM-2410</t>
  </si>
  <si>
    <t>Contact: Smart Search is not functioning on the Manage Contact page</t>
  </si>
  <si>
    <t>IIRM-2411</t>
  </si>
  <si>
    <t>Contact: Missing drill-down functionality for Company Name on Manage Contact page</t>
  </si>
  <si>
    <t>IIRM-2412</t>
  </si>
  <si>
    <t>Contact: Missing SO, RO, Policies, Whatsapp redirections  are not implemneted in Contact details screen</t>
  </si>
  <si>
    <t>IIRM-2414</t>
  </si>
  <si>
    <t xml:space="preserve">Contact: WhatsApp button along with redirection is missing </t>
  </si>
  <si>
    <t>IIRM-2415</t>
  </si>
  <si>
    <t>Contact: Button(+add) is missing for adding multiple children within add personal contact information</t>
  </si>
  <si>
    <t>IIRM-2416</t>
  </si>
  <si>
    <t>IIRM: Contact: UI: Status -Active or Inactive(deleted) - Field (only for specific users , ideally Managers and functional admins is needed and missing)</t>
  </si>
  <si>
    <t>IIRM-2417</t>
  </si>
  <si>
    <t>Company/Contact: API are Failing Periodically</t>
  </si>
  <si>
    <t>IIRM-2418</t>
  </si>
  <si>
    <t>So: Link company  and company contact to new sales opportunities</t>
  </si>
  <si>
    <t>IIRM-2419</t>
  </si>
  <si>
    <t>SO: Tags: Policy Type:  Attach and Detach policy type Tage,  a) Previous broker  b) Previous Insurance company c) Previous TPA</t>
  </si>
  <si>
    <t>IIRM-2421</t>
  </si>
  <si>
    <t>Opportunity: Edit Verify that privileged user is able to edit all permitted fields</t>
  </si>
  <si>
    <t>IIRM-2422</t>
  </si>
  <si>
    <t>SO: List: Verify display, pagination, and sorting functionality of the Opportunities</t>
  </si>
  <si>
    <t>IIRM-2424</t>
  </si>
  <si>
    <t>SO: Quick cards: company count: Verify correct data should get updated on Quick cards</t>
  </si>
  <si>
    <t>IIRM-2425</t>
  </si>
  <si>
    <t>SO: Quick cards: SO count: Verfiy correct lost opty data is displayed</t>
  </si>
  <si>
    <t>IIRM-2426</t>
  </si>
  <si>
    <t xml:space="preserve">Broker API: Prepare the test script for Broker API </t>
  </si>
  <si>
    <t>IIRM-2428</t>
  </si>
  <si>
    <t>Manage.SO: Smart Search and table settings</t>
  </si>
  <si>
    <t>IIRM-2430</t>
  </si>
  <si>
    <t>Analyse and develop the create employee API</t>
  </si>
  <si>
    <t>IIRM-1928 — Implementing business logic for Manage Employee APIs</t>
  </si>
  <si>
    <t>IIRM-2431</t>
  </si>
  <si>
    <t>Manage SO: All Opty owned by the current user of the list</t>
  </si>
  <si>
    <t>IIRM-2432</t>
  </si>
  <si>
    <t>Analyse and create the list of employee API</t>
  </si>
  <si>
    <t>IIRM-2434</t>
  </si>
  <si>
    <t>Analyse and create the update API for employee edit</t>
  </si>
  <si>
    <t>IIRM-2435</t>
  </si>
  <si>
    <t>Manage SO: Seach list columns: Each column captures correct data</t>
  </si>
  <si>
    <t>IIRM-2437</t>
  </si>
  <si>
    <t>Build screen to display the list of employee</t>
  </si>
  <si>
    <t>IIRM-1929 — Implementing business logic for Manage Employee screens</t>
  </si>
  <si>
    <t>IIRM-2439</t>
  </si>
  <si>
    <t>Build the employee details page</t>
  </si>
  <si>
    <t>IIRM-2440</t>
  </si>
  <si>
    <t>SO: Filter: Verify filter operations as per functionality</t>
  </si>
  <si>
    <t>IIRM-2441</t>
  </si>
  <si>
    <t xml:space="preserve">Build the employee create and update </t>
  </si>
  <si>
    <t>IIRM-2442</t>
  </si>
  <si>
    <t>SO: Sort:Verify sort operations of all supported fields as per functionality</t>
  </si>
  <si>
    <t>IIRM-2443</t>
  </si>
  <si>
    <t>Update the test cases for the contact</t>
  </si>
  <si>
    <t>IIRM-2444</t>
  </si>
  <si>
    <t>SO: Add: Verify that the system allows the complete creation of a new Sales Opportunity with all required linkages and default stage settings</t>
  </si>
  <si>
    <t>IIRM-2445</t>
  </si>
  <si>
    <t xml:space="preserve">Insurer API Testing: Test case Execution </t>
  </si>
  <si>
    <t>IIRM-2448</t>
  </si>
  <si>
    <t>Review and updated Opportunity test cases</t>
  </si>
  <si>
    <t>IIRM-2452</t>
  </si>
  <si>
    <t>SO: Mark SO as lost</t>
  </si>
  <si>
    <t>IIRM-2453</t>
  </si>
  <si>
    <t>IIRM: Manage Company: Search  functionality not working as expected.</t>
  </si>
  <si>
    <t>IIRM-2454</t>
  </si>
  <si>
    <t>SO: View sales funnel based on stage or brokerage based on the filters selected.</t>
  </si>
  <si>
    <t>IIRM-2456</t>
  </si>
  <si>
    <t>API: Duplicate Role Details Returned in Login API Response</t>
  </si>
  <si>
    <t>IIRM-2457</t>
  </si>
  <si>
    <t>API: Security Concern – User Details Exposed in Login API Response</t>
  </si>
  <si>
    <t>IIRM-2459</t>
  </si>
  <si>
    <t>SO:  Drilldown: Verify that clicking on the Policy Type field drills down and navigates to the Opportunity Detail page</t>
  </si>
  <si>
    <t>IIRM-2461</t>
  </si>
  <si>
    <t xml:space="preserve">SO: Details: Edit Fileds </t>
  </si>
  <si>
    <t>IIRM-2707</t>
  </si>
  <si>
    <t>Contact: Display name should be a combination of First Name and Last Name on the Add Contact screen</t>
  </si>
  <si>
    <t>IIRM-2709</t>
  </si>
  <si>
    <t>Contact: UI issues</t>
  </si>
  <si>
    <t>IIRM-2710</t>
  </si>
  <si>
    <t>IIRM: Contact: Relationship field is missing on the Add Contact screen</t>
  </si>
  <si>
    <t>IIRM-2711</t>
  </si>
  <si>
    <t>Contact:  Not all cities are displayed based on selected Country and State</t>
  </si>
  <si>
    <t>IIRM-2712</t>
  </si>
  <si>
    <t>Contact: Missing LinkedIn profile field in the Create Contact form</t>
  </si>
  <si>
    <t>IIRM-2713</t>
  </si>
  <si>
    <t>Contacts: IDs are displayed instead of names in address fields</t>
  </si>
  <si>
    <t>IIRM-2714</t>
  </si>
  <si>
    <t>Contact: Confirmation popup should be displayed before deleting a record on the Add Contact screen</t>
  </si>
  <si>
    <t>IIRM-2716</t>
  </si>
  <si>
    <t>IIRM: Contact: Sort functionality is not working on the Manage Contact screen</t>
  </si>
  <si>
    <t>IIRM-2718</t>
  </si>
  <si>
    <t>Contact: Remove Display Name and Tag columns from the Manage Contact list</t>
  </si>
  <si>
    <t>IIRM-2720</t>
  </si>
  <si>
    <t xml:space="preserve">UX/UI - Integrated flow for Opportunity - contacts and company </t>
  </si>
  <si>
    <t>IIRM-2721</t>
  </si>
  <si>
    <t>Contact: Link functionality to select Company Address for Contact is missing</t>
  </si>
  <si>
    <t>IIRM-2722</t>
  </si>
  <si>
    <t>Contact: Functionality to add multiple Email and Phone number records is missing</t>
  </si>
  <si>
    <t>IIRM-2723</t>
  </si>
  <si>
    <t xml:space="preserve">Integrated flow of contacts </t>
  </si>
  <si>
    <t>IIRM-2724</t>
  </si>
  <si>
    <t>UI for adding, editing and viewing contact</t>
  </si>
  <si>
    <t>IIRM-2725</t>
  </si>
  <si>
    <t>FR-COMP-01 As a user, I want to access the Manage Company page, so that I can view various sections such as Company Quick Cards, Company Search, and Company List.</t>
  </si>
  <si>
    <t>IIRM-2726</t>
  </si>
  <si>
    <t>FR-COMP-02 As a user, I want to add, edit, and search company records, so that I can manage company data as per the application functionality.</t>
  </si>
  <si>
    <t>IIRM-2727</t>
  </si>
  <si>
    <t>FR-COMP-03 As a user, I should not be able to delete company records to maintain data integrity.</t>
  </si>
  <si>
    <t>IIRM-2728</t>
  </si>
  <si>
    <t>FR-COMP-04 As a user, I want to see Company Quick Cards categorized into My Leads, My Prospects, QCR, and My Clients, so that I can have an overview of different categories of companies.</t>
  </si>
  <si>
    <t>IIRM-2729</t>
  </si>
  <si>
    <t>FR-COMP-05 As a user, I want to view only the records I created or those created by users reporting to me, so that I can focus on relevant data.</t>
  </si>
  <si>
    <t>IIRM-2730</t>
  </si>
  <si>
    <t>FR-COMP-06 As a user, I want to filter the company records to view only the records I created or those created by users reporting to me, so that I can easily access relevant information.</t>
  </si>
  <si>
    <t>IIRM-2731</t>
  </si>
  <si>
    <t>FR-COMP-07 As a user, I want to see the name/owner of company records created by users reporting to me, so that I can identify who created a particular record.</t>
  </si>
  <si>
    <t>IIRM-2732</t>
  </si>
  <si>
    <t>FR-COMP-08 As a user, I want the My Leads quick card to show the count of companies with at least one sales opportunity that has not completed the meeting with KDM stage, so that I can track leads effectively.</t>
  </si>
  <si>
    <t>IIRM-2733</t>
  </si>
  <si>
    <t>FR-COMP-09 As a user, I want the My Prospects card to show the count of companies with at least one active sales opportunity that has completed the meeting with KDM stage, so that I can track prospects effectively.</t>
  </si>
  <si>
    <t>IIRM-2734</t>
  </si>
  <si>
    <t>FR-COMP-10 As a user, I want the QCR card to show the count of companies with at least one active sales opportunity that has completed the QCR stage, so that I can track quality checks effectively.</t>
  </si>
  <si>
    <t>IIRM-2735</t>
  </si>
  <si>
    <t>FR-COMP-11 As a user, I want the My Clients card to show the count of companies that have at least one active policy, so that I can track my active clients effectively.</t>
  </si>
  <si>
    <t>IIRM-2736</t>
  </si>
  <si>
    <t>Contacts: Drill-down functionality for each record is missing</t>
  </si>
  <si>
    <t>IIRM-2737</t>
  </si>
  <si>
    <t>FR-COMP-12 As a user, I want to see the total count of company records on all quick cards, so that I can have an overall view of the company records.</t>
  </si>
  <si>
    <t>IIRM-2738</t>
  </si>
  <si>
    <t>FR-COMP-13 As a user, I want to see the percentage of records shown in each quick card, so that I can understand the distribution of records across categories.</t>
  </si>
  <si>
    <t>IIRM-2739</t>
  </si>
  <si>
    <t>FR-COMP-14 As a user, I want the quick cards to reflect the counts based on the company records shown in the company list section, so that the counts are always accurate according to the displayed records.</t>
  </si>
  <si>
    <t>IIRM-2740</t>
  </si>
  <si>
    <t>FR-COMP-15 As a user, I want to filter company records based on search criteria in the Company Search section, so that I can narrow down the displayed results effectively.</t>
  </si>
  <si>
    <t>IIRM-2741</t>
  </si>
  <si>
    <t>FR-COMP-16 As a user, I want to search company records using various fields (Company name, Company type, Industry, Priority, City), so that I can retrieve relevant information easily.</t>
  </si>
  <si>
    <t>IIRM-2742</t>
  </si>
  <si>
    <t>FR-COMP-17 As a user, I want to view all company records in the Company List section, so that I can access the data relevant to the application functionality.</t>
  </si>
  <si>
    <t>IIRM-2743</t>
  </si>
  <si>
    <t>FR-COMP-18 As a user, I want to see the Company List within my scope of access</t>
  </si>
  <si>
    <t>IIRM-2744</t>
  </si>
  <si>
    <t>FR-COMP-19 As a user, I want to see the details of each company record in the Company List section, so that I can quickly access relevant information.</t>
  </si>
  <si>
    <t>IIRM-2745</t>
  </si>
  <si>
    <t>FR-COMP-20 As a user, I want to view only the count of active sales opportunities in the Company List section, so that I can track active opportunities effectively.</t>
  </si>
  <si>
    <t>IIRM-2746</t>
  </si>
  <si>
    <t>FR-COMP-21 As a user, I want to view only the count of active renewal opportunities in the Company List section, so that I can track renewal opportunities effectively.</t>
  </si>
  <si>
    <t>IIRM-2747</t>
  </si>
  <si>
    <t>FR-COMP-22 As a user, I want to view only the count of active policies in the Company List section, so that I can track active policies effectively.</t>
  </si>
  <si>
    <t>IIRM-2748</t>
  </si>
  <si>
    <t>FR-COMP-23 As a user, I want to view the total sum insured for each company in the Company List section, so that I can track the insurance value accurately.</t>
  </si>
  <si>
    <t>IIRM-2749</t>
  </si>
  <si>
    <t>FR-COMP-24 As a user, I want to view the total annual premium for each company in the Company List section, so that I can track the premium value accurately.</t>
  </si>
  <si>
    <t>IIRM-2750</t>
  </si>
  <si>
    <t>FR-COMP-25 As a user, I want the Company List section to use pagination, so that I can easily navigate through a large number of records.</t>
  </si>
  <si>
    <t>IIRM-2751</t>
  </si>
  <si>
    <t>FR-COMP-26 As a user, I want to click on a company name in the Company List section to view its detailed information, so that I can easily access specific company details.</t>
  </si>
  <si>
    <t>IIRM-2752</t>
  </si>
  <si>
    <t>FR-COMP-27 As a user, I want to sort the records displayed in the Company List section, so that I can view the data in a preferred order.</t>
  </si>
  <si>
    <t>IIRM-2753</t>
  </si>
  <si>
    <t>FR-COMP-28 As a user, I want different colors to highlight the priority of company records in the Company List section, so that I can quickly identify high-priority records.</t>
  </si>
  <si>
    <t>IIRM-2754</t>
  </si>
  <si>
    <t>FR-COMP-29 As a user, I want to create a new company record, so that I can add company details to the system.</t>
  </si>
  <si>
    <t>IIRM-2755</t>
  </si>
  <si>
    <t>FR-COMP-30 As a user(applicable to limited users), I want to set the status of a company to Active, Deleted, or Under Review, so that I can manage the status of companies accurately.</t>
  </si>
  <si>
    <t>IIRM-2756</t>
  </si>
  <si>
    <t>FR-COMP-31 As a user, I want to prevent transactions from being created for companies marked as 'Under Review,' so that only approved companies can have related transactions.</t>
  </si>
  <si>
    <t>IIRM-2758</t>
  </si>
  <si>
    <t>FR-COMP-33 As a user, I want to approve companies marked as 'Under Review' so that they can be made active and usable in the system.</t>
  </si>
  <si>
    <t>IIRM-2759</t>
  </si>
  <si>
    <t>FR-COMP-34 As a user, I want to reject companies marked as 'Under Review' with a reason, so that inappropriate companies are not added to the system.</t>
  </si>
  <si>
    <t>IIRM-2760</t>
  </si>
  <si>
    <t>FR-COMP-35 As a user, I want to ensure companies marked as 'Deleted' are not displayed in the Company List section, so that only relevant companies are visible.</t>
  </si>
  <si>
    <t>IIRM-2761</t>
  </si>
  <si>
    <t>FR-COMP-36 As a user, I want to enter all the details while creating a new company, so that the company record is comprehensive and accurate.</t>
  </si>
  <si>
    <t>IIRM-2762</t>
  </si>
  <si>
    <t>FR-COMP-37 As a user, I want to view all the sections of company details, so that I can access all relevant information about a company.</t>
  </si>
  <si>
    <t>IIRM-2763</t>
  </si>
  <si>
    <t>FR-COMP-38 As a user, I want to create or edit records for various sections in company details, so that the information remains accurate and updated.</t>
  </si>
  <si>
    <t>IIRM-2764</t>
  </si>
  <si>
    <t>FR-COMP-39 As a user, I want to drill down from various sections of company details to their respective entities, so that I can view more detailed information.</t>
  </si>
  <si>
    <t>IIRM-2765</t>
  </si>
  <si>
    <t>FR-COMP-40 As a user, I want to view a portfolio overview of active policies, so that I can see the sum insured, premium amounts, and renewal calendar for the company.</t>
  </si>
  <si>
    <t>IIRM-2766</t>
  </si>
  <si>
    <t>FR-COMP-41 As a user, I want to navigate to Tracxn from the specific company record, so that I can view company details within the Tracxn application.</t>
  </si>
  <si>
    <t>IIRM-2767</t>
  </si>
  <si>
    <t>FR-COMP-42 As a user, I want to see all incoming and outgoing mails related to a company, so that I can have a complete communication history.</t>
  </si>
  <si>
    <t>IIRM-2768</t>
  </si>
  <si>
    <t>FR-COMP-43 As a user, I want the system to hide or display fields based on the country of the logged-in user, so that irrelevant fields are not shown.</t>
  </si>
  <si>
    <t>IIRM-2769</t>
  </si>
  <si>
    <t>FR-COMP-44 As a user, I want to upload relevant documents with appropriate document type segregation, so that files are organized properly.</t>
  </si>
  <si>
    <t>IIRM-2770</t>
  </si>
  <si>
    <t>FR-COMP-45 As a user, I want the system to pull data from external applications like ChatGPT based on the industry segment of the company, so that I can have relevant insights and suggestions.</t>
  </si>
  <si>
    <t>IIRM-2771</t>
  </si>
  <si>
    <t>FR-COMP-46 As a user, I want to add multiple records for specific sections (Company Contacts, Company Address, Sales Opportunity, Insurer, Broker, TPA, Documents), so that I can have comprehensive records for a company.</t>
  </si>
  <si>
    <t>IIRM-2772</t>
  </si>
  <si>
    <t>FR-COMP-47 As a user, I want to change the status of a company to 'Deleted' only if there are no active related transactions, so that data integrity is maintained.</t>
  </si>
  <si>
    <t>IIRM-2773</t>
  </si>
  <si>
    <t>FR-COMP-48 As a user, I want to upload company records in bulk from an Excel file, so that I can add multiple records efficiently.</t>
  </si>
  <si>
    <t>Open</t>
  </si>
  <si>
    <t>IIRM-2774</t>
  </si>
  <si>
    <t>FR-COMP-49 The system should have all the fields that are present in the iwork application and in the prototype application in addition to the specific fields mentioned in the requirements, if any.</t>
  </si>
  <si>
    <t>IIRM-2775</t>
  </si>
  <si>
    <t>FR-COMP-50 As a user, I want to see all company records with visibility controlled by ownership, so that I can view only the relevant records.</t>
  </si>
  <si>
    <t>IIRM-2776</t>
  </si>
  <si>
    <t>FR-COMP-51 As a user, I want to edit all company fields except restricted ones, so that sensitive data remains unchanged.</t>
  </si>
  <si>
    <t>IIRM-2777</t>
  </si>
  <si>
    <t>FR-COMP-52 As a user, I want the system to automatically populate the company display name based on the data entered in the company name, so that data entry is streamlined.</t>
  </si>
  <si>
    <t>IIRM-2778</t>
  </si>
  <si>
    <t>FR-COMP-53 As a user, I want to enter multiple records for insurers, brokers, and TPAs along with their policy types, so that I can maintain accurate relationships for each company.</t>
  </si>
  <si>
    <t>IIRM-2779</t>
  </si>
  <si>
    <t>FR-COMP-54 As a user, I want the system to tag the owner of a company as Lead CRM, so that the ownership structure is accurately reflected.</t>
  </si>
  <si>
    <t>IIRM-2780</t>
  </si>
  <si>
    <t>FR-Cntc-01 As a user, I should have access to the "Manage Contact" page that displays the Contact Quick Card, Contact Search, and Contact List sections.</t>
  </si>
  <si>
    <t>IIRM-2781</t>
  </si>
  <si>
    <t>FR-Cntc-02 As a user, I should be able to add, edit, and search contact records on the "Manage Contact" page.</t>
  </si>
  <si>
    <t>IIRM-2782</t>
  </si>
  <si>
    <t>FR-Cntc-03 As a user(limited), I should be able to make a contact inactive.</t>
  </si>
  <si>
    <t>IIRM-2783</t>
  </si>
  <si>
    <t>FR-Cntc-04 As a user, I should not be allowed to delete contact records</t>
  </si>
  <si>
    <t>IIRM-2784</t>
  </si>
  <si>
    <t>FR-Cntc-05 As a user, I should not be allowed to create or edit a contact record without linking it to a company.</t>
  </si>
  <si>
    <t>IIRM-2785</t>
  </si>
  <si>
    <t>FR-Cntc-06 As a user, I should only see contacts that are linked with a valid company.</t>
  </si>
  <si>
    <t>IIRM-2786</t>
  </si>
  <si>
    <t>FR-Cntc-07 As a user, I should not be able to add a contact to a company that is under review.</t>
  </si>
  <si>
    <t>IIRM-2787</t>
  </si>
  <si>
    <t>FR-Cntc-08 As a user, I should see quick card metrics for total contacts and total companies in the "Manage Contact" page.</t>
  </si>
  <si>
    <t>IIRM-2788</t>
  </si>
  <si>
    <t>FR-Cntc-09 As a user, I should only see contacts that I own or those owned by my subordinates.</t>
  </si>
  <si>
    <t>IIRM-2789</t>
  </si>
  <si>
    <t>FR-Cntc-10 As a user, I should be able to filter contact records based on user ownership (logged-in user or subordinate).</t>
  </si>
  <si>
    <t>IIRM-2790</t>
  </si>
  <si>
    <t>FR-Cntc-11 As a user, I should be able to view the contact owner’s name for subordinate-owned contact records.</t>
  </si>
  <si>
    <t>IIRM-2791</t>
  </si>
  <si>
    <t>FR-Cntc-12 As a user, I should see a quick card displaying the total number of contacts owned by me.</t>
  </si>
  <si>
    <t>IIRM-2792</t>
  </si>
  <si>
    <t>FR-Cntc-13 As a user, I should see a quick card displaying the total number of unique companies associated with contacts owned by me.</t>
  </si>
  <si>
    <t>IIRM-2793</t>
  </si>
  <si>
    <t>FR-Cntc-14 As a user, the quick card counts should update dynamically when filters are applied in the contact list.</t>
  </si>
  <si>
    <t>IIRM-2794</t>
  </si>
  <si>
    <t>FR-Cntc-15 As a user, I should be able to search for contacts by name, company, phone, and status.</t>
  </si>
  <si>
    <t>IIRM-2795</t>
  </si>
  <si>
    <t>FR-Cntc-16 As a user, I should be able to search for contacts using fields like contact name, company name, phone number, and status.</t>
  </si>
  <si>
    <t>IIRM-2796</t>
  </si>
  <si>
    <t>FR-Cntc-17 As a user, I should be able to search using multiple fields at once (e.g., name and company).</t>
  </si>
  <si>
    <t>IIRM-2797</t>
  </si>
  <si>
    <t>FR-Cntc-18 As a user, I should be able to paginate through the contact list for better navigation.</t>
  </si>
  <si>
    <t>IIRM-2798</t>
  </si>
  <si>
    <t>FR-Cntc-19 As a user, I should be able to sort contact records by fields like name, company, phone, and status.</t>
  </si>
  <si>
    <t>IIRM-2799</t>
  </si>
  <si>
    <t>FR-Cntc-20 As a user, I should see contact details like name, company, phone, and email in the contact list.</t>
  </si>
  <si>
    <t>IIRM-2800</t>
  </si>
  <si>
    <t>FR-Cntc-21 As a user, I should be able to view a table displaying all the necessary attributes for a contact.</t>
  </si>
  <si>
    <t>IIRM-2801</t>
  </si>
  <si>
    <t>FR-Cntc-22 As a user, I should be able to link a contact to a company address when creating or editing a contact.</t>
  </si>
  <si>
    <t>IIRM-2802</t>
  </si>
  <si>
    <t>FR-Cntc-23 As a user, I should be able to add a new address for a contact under the linked company.</t>
  </si>
  <si>
    <t>IIRM-2803</t>
  </si>
  <si>
    <t>FR-Cntc-24 As a user, I should not be able to add duplicate addresses for a company when linking contacts.</t>
  </si>
  <si>
    <t>IIRM-2804</t>
  </si>
  <si>
    <t>FR-Cntc-25 As a user, I should be able to add a residential address separately from the business address for a contact.</t>
  </si>
  <si>
    <t>IIRM-2805</t>
  </si>
  <si>
    <t>FR-Cntc-26 As a user, I should be able to drill down into a contact's name in the contact list for more details.</t>
  </si>
  <si>
    <t>IIRM-2806</t>
  </si>
  <si>
    <t>FR-Cntc-27 As a user, I should be able to drill down into a company’s name to view detailed company information.</t>
  </si>
  <si>
    <t>IIRM-2807</t>
  </si>
  <si>
    <t>FR-Cntc-28 As a user, I should receive a notification when a contact’s information has been updated.</t>
  </si>
  <si>
    <t>IIRM-2808</t>
  </si>
  <si>
    <t>FR-Cntc-29 As a user, I should be able to view detailed sections of a contact's profile, including contact details, company details, multiple emails, phone numbers, and associated opportunities.</t>
  </si>
  <si>
    <t>IIRM-2809</t>
  </si>
  <si>
    <t>FR-Cntc-30 As a user, I should be able to view a contact's LinkedIn profile directly from their contact detail page.</t>
  </si>
  <si>
    <t>IIRM-2810</t>
  </si>
  <si>
    <t>FR-Cntc-31 As a user, I should be able to click on a contact's email in their contact detail page to open my email client with the contact’s email pre-populated in the "To" field.</t>
  </si>
  <si>
    <t>IIRM-2811</t>
  </si>
  <si>
    <t>FR-Cntc-32 As a user, I should be able to edit existing contact records for all sections (contact details, company, email, phone).</t>
  </si>
  <si>
    <t>IIRM-2812</t>
  </si>
  <si>
    <t>FR-Cntc-33 As a user, I should be able to drill down into other entities (e.g., related sales opportunities, documents) from the contact detail page.</t>
  </si>
  <si>
    <t>IIRM-2813</t>
  </si>
  <si>
    <t>FR-Cntc-34 As a user, I should be able to view and hide certain fields based on the country of the logged-in user.</t>
  </si>
  <si>
    <t>IIRM-2814</t>
  </si>
  <si>
    <t>FR-Cntc-35 As a user, I should be able to add multiple records for contact details such as phone numbers, email addresses, and addresses.</t>
  </si>
  <si>
    <t>IIRM-2815</t>
  </si>
  <si>
    <t>FR-Cntc-36 As a user, I should be able to view all contact records, but access will be controlled based on ownership, as defined by the role-based access control (RBAC) system.</t>
  </si>
  <si>
    <t>IIRM-2816</t>
  </si>
  <si>
    <t>FR-Cntc-37 As a user, I should be able to make a contact inactive when it is delinked from a company.</t>
  </si>
  <si>
    <t>IIRM-2817</t>
  </si>
  <si>
    <t>FR-Cntc-38 As a user, I should be able to link an inactive contact back to a company.</t>
  </si>
  <si>
    <t>IIRM-2818</t>
  </si>
  <si>
    <t>FR-Cntc-39 As a user, I should be able to make an inactive contact active again when it is linked back to a company.</t>
  </si>
  <si>
    <t>IIRM-2819</t>
  </si>
  <si>
    <t>FR-Cntc-40 As a user, I should be able to change the company of an active contact.</t>
  </si>
  <si>
    <t>IIRM-2820</t>
  </si>
  <si>
    <t>FR-Cntc-41 As a user, I should be able to click on a contact’s phone number and open WhatsApp to send a message directly to the contact.</t>
  </si>
  <si>
    <t>IIRM-2821</t>
  </si>
  <si>
    <t>FR-Cntc-42 As a user, I should be able to capture the type of communication (e.g., email, call) for all outbound communication done with a contact.</t>
  </si>
  <si>
    <t>IIRM-2822</t>
  </si>
  <si>
    <t>FR-Cntc-43 As a system, I should be able to identify duplicate contacts based on the contact’s phone number within the same company.</t>
  </si>
  <si>
    <t>IIRM-2823</t>
  </si>
  <si>
    <t>FR-SO-01 As a user, I should be able to create sales opportunities from various sources, including the company and contact detail pages.</t>
  </si>
  <si>
    <t>IIRM-2824</t>
  </si>
  <si>
    <t>FR-SO-02 As a user, I should be able to create a new sales opportunity directly from the Sales Opportunity section in the company detail page.</t>
  </si>
  <si>
    <t>IIRM-2825</t>
  </si>
  <si>
    <t>FR-SO-03 As a user, I should be able to create a new sales opportunity directly from the Sales Opportunity section in the contact detail page.</t>
  </si>
  <si>
    <t>IIRM-2826</t>
  </si>
  <si>
    <t>FR-SO-04 As a user, I should be able to view the manage sales opportunity page, which includes the sales funnel graph, funnel effectiveness graph, opportunity quick cards, opportunity search, and opportunity list.</t>
  </si>
  <si>
    <t>IIRM-2827</t>
  </si>
  <si>
    <t>FR-SO-05 As a user, I should be able to add, edit, or search existing sales opportunity records from the manage opportunity page.</t>
  </si>
  <si>
    <t>IIRM-2828</t>
  </si>
  <si>
    <t>FR-SO-06 As a user, I should be able to view a sales funnel graph that shows the stage-wise distribution of sales opportunities versus brokerage percentage.</t>
  </si>
  <si>
    <t>IIRM-2829</t>
  </si>
  <si>
    <t>FR-SO-07 As a user, I should be able to create a new sales opportunity and link it to an existing account.</t>
  </si>
  <si>
    <t>IIRM-2830</t>
  </si>
  <si>
    <t>FR-SO-08 As a user, I should be able to create a new sales opportunity within the system.</t>
  </si>
  <si>
    <t>IIRM-2831</t>
  </si>
  <si>
    <t>FR-SO-09 As a user, I should be able to link a company and its associated contact while creating a new sales opportunity.</t>
  </si>
  <si>
    <t>IIRM-2832</t>
  </si>
  <si>
    <t>FR-SO-10 As a user, I should be able to select the contact name, address location, department, and designation while creating a new sales opportunity.</t>
  </si>
  <si>
    <t>IIRM-2833</t>
  </si>
  <si>
    <t>FR-SO-11 As a user, I should be able to use all the fields available in the iWork application and the Wireframe application, in addition to the specific fields mentioned in the document, when creating or managing a sales opportunity.</t>
  </si>
  <si>
    <t>IIRM-2834</t>
  </si>
  <si>
    <t>FR-SO-12 As a user, I should be able to tag a policy type to a sales opportunity.</t>
  </si>
  <si>
    <t>IIRM-2835</t>
  </si>
  <si>
    <t>FR-SO-13 As a user, I should be able to tag the previous insurance company, address location, and branch to a sales opportunity.</t>
  </si>
  <si>
    <t>IIRM-2836</t>
  </si>
  <si>
    <t>FR-SO-14 As a user, I should be able to tag the previous broker company, address location, and branch to a sales opportunity.</t>
  </si>
  <si>
    <t>IIRM-2837</t>
  </si>
  <si>
    <t>FR-SO-15 As a user, I should be able to tag the previous Third Party Administrator (TPA), company, address location, and branch to a sales opportunity.</t>
  </si>
  <si>
    <t>IIRM-2838</t>
  </si>
  <si>
    <t>FR-SO-16 As a user, I should be able to select multiple address types (e.g., official, personal) for the company when creating a sales opportunity.</t>
  </si>
  <si>
    <t>IIRM-2839</t>
  </si>
  <si>
    <t>FR-SO-17 As a user, I should be able to add previous policy and claim details of the company when creating a sales opportunity.</t>
  </si>
  <si>
    <t>IIRM-2840</t>
  </si>
  <si>
    <t>FR-SO-18 As a user, I should be able to add various document types (e.g., contracts, reports) for the company when creating a sales opportunity.</t>
  </si>
  <si>
    <t>IIRM-2841</t>
  </si>
  <si>
    <t>FR-SO-19 As a user, I should be able to add multiple challenges to a new sales opportunity upon its creation</t>
  </si>
  <si>
    <t>IIRM-2842</t>
  </si>
  <si>
    <t>FR-SO-20 As a user, I should be able to view a quick card showing the count of companies based on sales opportunities that are neither won nor lost.</t>
  </si>
  <si>
    <t>IIRM-2843</t>
  </si>
  <si>
    <t>FR-SO-21 As a user, I should be able to view an opportunity card showing the count of sales opportunities that are neither won nor lost.</t>
  </si>
  <si>
    <t>IIRM-2844</t>
  </si>
  <si>
    <t>FR-SO-22 As a user, I should be able to view a Premium card showing the total premium from sales opportunities that are neither won nor lost.</t>
  </si>
  <si>
    <t>IIRM-2845</t>
  </si>
  <si>
    <t>FR-SO-23 As a user, I should be able to view a Sum Insured card showing the total sum insured from sales opportunities that are neither won nor lost.</t>
  </si>
  <si>
    <t>IIRM-2846</t>
  </si>
  <si>
    <t>FR-SO-24 As a user, I should be able to search for sales opportunities based on the value selected in one or more search fields.</t>
  </si>
  <si>
    <t>IIRM-2847</t>
  </si>
  <si>
    <t>FR-SO-25 As a user, I should be able to view all sales opportunity records in the company list section, based on the record display functionality and ownership settings.</t>
  </si>
  <si>
    <t>IIRM-2848</t>
  </si>
  <si>
    <t>FR-SO-26 As a user, I should be able to view the following details of the company in the sales opportunity search list: Company name, Priority, From Date, To Date, Period, Branch, Industry Segment, Assigned To, Activity, Stage, Contact.</t>
  </si>
  <si>
    <t>IIRM-2849</t>
  </si>
  <si>
    <t>FR-SO-27 As a user, I should be able to use the opportunity creation date to automatically populate the fields "From Date", "To Date", and "Period" for a sales opportunity.</t>
  </si>
  <si>
    <t>IIRM-2850</t>
  </si>
  <si>
    <t>FR-SO-28 As a user, I should see my own name (self record) and the names of the users who report to me in the "Assigned To" field. If no users report to me, this field should remain empty.</t>
  </si>
  <si>
    <t>IIRM-2851</t>
  </si>
  <si>
    <t>FR-SO-29 As a user, I should be able to view a sales opportunity list that includes the following details: Company Name, Policy Type, Activity Name, Stage, Priority, Opportunity Creation Date, Assigned To, Branch, Expected Close Date, Premium, Sum Insu...</t>
  </si>
  <si>
    <t>IIRM-2852</t>
  </si>
  <si>
    <t>FR-SO-30 As a user, I should be able to view the priority of the company linked to a sales opportunity.</t>
  </si>
  <si>
    <t>IIRM-2853</t>
  </si>
  <si>
    <t>FR-SO-31 As a user, I should be able to click on the company field in the sales opportunity and be navigated directly to the company detail page.</t>
  </si>
  <si>
    <t>IIRM-2854</t>
  </si>
  <si>
    <t>FR-SO-32 As a user, I should be able to click on the Policy Type field and be navigated directly to the Opportunity detail page.</t>
  </si>
  <si>
    <t>IIRM-2855</t>
  </si>
  <si>
    <t>FR-SO-33 As a user, I should be able to click on the Contact field and navigate directly to the Contact detail page.</t>
  </si>
  <si>
    <t>IIRM-2856</t>
  </si>
  <si>
    <t>FR-SO-34 As a user, I should be able to navigate through the sales opportunity list using pagination when there are many records.</t>
  </si>
  <si>
    <t>IIRM-2857</t>
  </si>
  <si>
    <t>FR-SO-35 As a user, I should be able to view detailed information about a sales opportunity, including company, priority, contact, policy type, sum insured, premium, stage, status, expiry date, and related details (e.g., risk locations, claim details, ...</t>
  </si>
  <si>
    <t>IIRM-2858</t>
  </si>
  <si>
    <t>FR-SO-36 As a user, I should be able to enter multiple records for related risk locations, claim details, documents, insurers, brokers, TPA, and challenges when creating or managing a sales opportunity.</t>
  </si>
  <si>
    <t>IIRM-2859</t>
  </si>
  <si>
    <t>FR-SO-37 As a user, I should be able to edit all the fields of a sales opportunity if its stage is set to "under planning."</t>
  </si>
  <si>
    <t>IIRM-2860</t>
  </si>
  <si>
    <t>FR-SO-38 As a user, I should be able to capture the company's previous claim ratio details, including policy duration, nature of loss, premium, claim amount, and have the system automatically calculate the claim percentage.</t>
  </si>
  <si>
    <t>IIRM-2861</t>
  </si>
  <si>
    <t>FR-SO-39 As a user, I should be able to view a graphical representation of the Sales Funnel and Funnel Effectiveness on the dashboard.</t>
  </si>
  <si>
    <t>IIRM-2862</t>
  </si>
  <si>
    <t>FR-SO-40 As a user, I should not have the ability to delete a sales opportunity record in the system.</t>
  </si>
  <si>
    <t>IIRM-2863</t>
  </si>
  <si>
    <t>FR-SO-41 As a user, I should only be able to see sales opportunity records that I created or the records of users who report to me.</t>
  </si>
  <si>
    <t>IIRM-2864</t>
  </si>
  <si>
    <t>FR-SO-42 As a user, I should be able to filter records to view only those created by me or those of users who report to me.</t>
  </si>
  <si>
    <t>IIRM-2865</t>
  </si>
  <si>
    <t>FR-SO-43 As a user, I should be able to see the name or owner of the sales opportunity record for the records created by users reporting to me.</t>
  </si>
  <si>
    <t>IIRM-2866</t>
  </si>
  <si>
    <t>FR-SO-44 As a user, I should be able to see the updated count of records in various graphs and quick cards (e.g., sales funnel, funnel effectiveness, client CSAT score) as per the filtered records shown in the sales opportunity list.</t>
  </si>
  <si>
    <t>IIRM-2867</t>
  </si>
  <si>
    <t>FR-SO-45 As a user, I should be able to filter sales opportunity records in the sales opportunity list section based on the search criteria selected in the sales opportunity search section.</t>
  </si>
  <si>
    <t>IIRM-2868</t>
  </si>
  <si>
    <t>FR-SO-46 As a user, I should be able to sort the records displayed in the sales opportunity list section based on the fields shown in the list.</t>
  </si>
  <si>
    <t>IIRM-2869</t>
  </si>
  <si>
    <t>FR-SO-47 As a user, I should be able to mark a sales opportunity as lost if the stage is not "policy confirmation" and the expiry date has passed.</t>
  </si>
  <si>
    <t>IIRM-2870</t>
  </si>
  <si>
    <t>FR-SO-48 As a user, I should be able to delete a sales opportunity by selecting a mandatory deletion reason.</t>
  </si>
  <si>
    <t>IIRM-2871</t>
  </si>
  <si>
    <t>FR-SO-49 As a user, I should be able to automatically assign the "under planning" stage when creating a new sales opportunity.</t>
  </si>
  <si>
    <t>IIRM-2872</t>
  </si>
  <si>
    <t>FR-TPA-01 As a user, I want to view the Manage TPA page, which should display sections for Quick Cards, Search, and List, so that I can easily navigate through TPA details.</t>
  </si>
  <si>
    <t>IIRM-2873</t>
  </si>
  <si>
    <t>FR-TPA-02 As a user, I want to see Quick Cards displaying total active TPAs and total active policies with TPAs, so that I can get an overview of the TPA data at a glance.</t>
  </si>
  <si>
    <t>IIRM-2874</t>
  </si>
  <si>
    <t>FR-TPA-03 As a user, I want to add, edit, and search TPA records, so that I can manage TPA data efficiently.</t>
  </si>
  <si>
    <t>IIRM-2875</t>
  </si>
  <si>
    <t>FR-TPA-04 As a user, I should not be able to delete a TPA record to maintain data integrity.</t>
  </si>
  <si>
    <t>IIRM-2876</t>
  </si>
  <si>
    <t>FR-TPA-05 As a user, I want to view a list of all TPAs with pagination, so that I can browse through all available TPAs.</t>
  </si>
  <si>
    <t>IIRM-2877</t>
  </si>
  <si>
    <t>FR-TPA-06 As a user, I want to search for TPA records by TPA name, so that I can quickly find a specific TPA.</t>
  </si>
  <si>
    <t>IIRM-2878</t>
  </si>
  <si>
    <t>FR-TPA-07 As a user, I want the TPA list to display relevant details like TPA name, address, city, state, and phone, so that I can quickly access key information about each TPA.</t>
  </si>
  <si>
    <t>IIRM-2879</t>
  </si>
  <si>
    <t>FR-TPA-08 As a user, I want to drill down on a TPA name to view all active policies linked to the TPA, so that I can see policy details such as Policy Number, Policy Type, Start Date, End Date, Sum Insured, and Premium.</t>
  </si>
  <si>
    <t>IIRM-2880</t>
  </si>
  <si>
    <t>FR-TPA-09 As a user, I want to add a new TPA record, so that I can create new TPA entries in the system.</t>
  </si>
  <si>
    <t>IIRM-2881</t>
  </si>
  <si>
    <t>FR-TPA-10 As a user, I want to provide details for the new TPA, such as TPA name, display name, company type, website, and address, so that I can accurately input TPA information.</t>
  </si>
  <si>
    <t>IIRM-2882</t>
  </si>
  <si>
    <t>FR-TPA-11 As a user, I want to update, edit, or delete addresses for a TPA, so that I can maintain accurate address records.</t>
  </si>
  <si>
    <t>IIRM-2883</t>
  </si>
  <si>
    <t>FR-TPA-12 As a user, I want to add contacts to a TPA record, so that I can link relevant contact information to the TPA.</t>
  </si>
  <si>
    <t>IIRM-2884</t>
  </si>
  <si>
    <t>FR-TPA-13 As a user, I want the system to ensure data integrity with duplicate checks during TPA record creation, so that I do not enter duplicate TPAs.</t>
  </si>
  <si>
    <t>IIRM-2885</t>
  </si>
  <si>
    <t>FR-INS-01 As a user, I want to view the Manage Insurer page, which should display sections for Quick Cards, Search, and List, so that I can efficiently manage Insurer data.</t>
  </si>
  <si>
    <t>IIRM-2886</t>
  </si>
  <si>
    <t>FR-INS-02 As a user, I want to see Quick Cards displaying total active Insurers and total active policies with Insurers, so that I can easily get an overview of the Insurer data.</t>
  </si>
  <si>
    <t>IIRM-2887</t>
  </si>
  <si>
    <t>FR-INS-03 As a user, I want to add, edit, and search Insurer records, so that I can manage Insurer data.</t>
  </si>
  <si>
    <t>IIRM-2888</t>
  </si>
  <si>
    <t>FR-INS-04 As a user, I should not be able to delete an Insurer record to preserve data integrity.</t>
  </si>
  <si>
    <t>IIRM-2889</t>
  </si>
  <si>
    <t>FR-INS-05 As a user, I want to view a list of all Insurers with pagination, so that I can browse through all available Insurers.</t>
  </si>
  <si>
    <t>IIRM-2890</t>
  </si>
  <si>
    <t>FR-INS-06 As a user, I want to search for Insurer records by name or tag (e.g., General, Preferred), so that I can quickly locate a specific Insurer.</t>
  </si>
  <si>
    <t>IIRM-2891</t>
  </si>
  <si>
    <t>FR-INS-07 As a user, I want the Insurer list to show relevant details like Insurer name, branch, address, and phone, so that I can easily manage Insurer information.</t>
  </si>
  <si>
    <t>IIRM-2892</t>
  </si>
  <si>
    <t>FR-INS-08 As a user, I want to drill down into an Insurer record to view all active policies linked to it, so that I can see detailed policy information such as policy number, type, and premium.</t>
  </si>
  <si>
    <t>IIRM-2893</t>
  </si>
  <si>
    <t>FR-INS-09 As a user, I want to add a new Insurer record, so that I can create new entries in the system.</t>
  </si>
  <si>
    <t>IIRM-2894</t>
  </si>
  <si>
    <t>FR-INS-10 As a user, I want to provide details for the new Insurer, such as Insurer name, display name, company type, and website, so that I can add accurate information.</t>
  </si>
  <si>
    <t>IIRM-2895</t>
  </si>
  <si>
    <t>FR-INS-11 As a user, I want to update or edit Insurer addresses, so that I can maintain accurate contact information.</t>
  </si>
  <si>
    <t>IIRM-2896</t>
  </si>
  <si>
    <t>FR-INS-12 As a user, I want to add contacts to the Insurer record, so that I can link relevant people or departments to the Insurer.</t>
  </si>
  <si>
    <t>IIRM-2897</t>
  </si>
  <si>
    <t>FR-INS-13 As a user, I want the system to check for duplicate Insurer records during creation to ensure data integrity.</t>
  </si>
  <si>
    <t>IIRM-2898</t>
  </si>
  <si>
    <t>FR-BRO-01 As a user, I want to view the Manage Broker page, which should display sections for Quick Cards, Search, and List, so that I can efficiently manage Broker records.</t>
  </si>
  <si>
    <t>IIRM-2899</t>
  </si>
  <si>
    <t>FR-BRO-02 As a user, I want to see Quick Cards displaying the total number of Brokers, so that I can get an overview of the Brokers in the system.</t>
  </si>
  <si>
    <t>IIRM-2900</t>
  </si>
  <si>
    <t>FR-BRO-03 As a user, I want to add, edit, and search Broker records, so that I can manage Broker data effectively.</t>
  </si>
  <si>
    <t>IIRM-2901</t>
  </si>
  <si>
    <t>FR-BRO-04 As a user, I should not be able to delete a Broker record to maintain data integrity.</t>
  </si>
  <si>
    <t>IIRM-2902</t>
  </si>
  <si>
    <t>FR-BRO-05 As a user, I want to view a list of all Brokers with pagination, so that I can browse through all available Brokers.</t>
  </si>
  <si>
    <t>IIRM-2903</t>
  </si>
  <si>
    <t>FR-BRO-06 As a user, I want to search for Broker records by name, so that I can quickly locate a specific Broker.</t>
  </si>
  <si>
    <t>IIRM-2904</t>
  </si>
  <si>
    <t>FR-BRO-07 As a user, I want the Broker list to show relevant details like Broker name, branch, address, and phone, so that I can easily manage Broker information.</t>
  </si>
  <si>
    <t>IIRM-2905</t>
  </si>
  <si>
    <t>FR-BRO-08 As a user, I want to drill down on a Broker name to view all active policies linked to it, so that I can see detailed policy information.</t>
  </si>
  <si>
    <t>IIRM-2906</t>
  </si>
  <si>
    <t>FR-BRO-09 As a user, I want to add a new Broker record, so that I can create new entries in the system.</t>
  </si>
  <si>
    <t>IIRM-2907</t>
  </si>
  <si>
    <t>FR-BRO-10 As a user, I want to provide details for the new Broker, such as Broker name, display name, company type, and website, so that I can accurately input Broker information.</t>
  </si>
  <si>
    <t>IIRM-2908</t>
  </si>
  <si>
    <t>FR-BRO-11 As a user, I want to update or edit Broker addresses, so that I can maintain accurate contact information.</t>
  </si>
  <si>
    <t>IIRM-2909</t>
  </si>
  <si>
    <t>FR-BRO-12 As a user, I want the system to ensure data integrity with duplicate checks during Broker record creation, so that duplicate Brokers are not added.</t>
  </si>
  <si>
    <t>IIRM-2910</t>
  </si>
  <si>
    <t>FR-01 As a user, I want to access the respective contact management pages for TPA, Insurer, and Broker, where I can view contact details, search, and filter contacts.</t>
  </si>
  <si>
    <t>IIRM-2911</t>
  </si>
  <si>
    <t>FR-02 As a user, I want to add, edit, and search contact records for TPA, Insurer, and Broker.</t>
  </si>
  <si>
    <t>IIRM-2912</t>
  </si>
  <si>
    <t>FR-03 As a user, I want to mark a contact as inactive when it's no longer needed.</t>
  </si>
  <si>
    <t>IIRM-2913</t>
  </si>
  <si>
    <t>FR-04 As a user, I want the system to prevent the deletion of a contact.</t>
  </si>
  <si>
    <t>IIRM-2914</t>
  </si>
  <si>
    <t>FR-05 As a user, I want to link a contact with a TPA, Insurer, or Broker company when creating or editing contact information.</t>
  </si>
  <si>
    <t>IIRM-2915</t>
  </si>
  <si>
    <t>FR-06 As a user, I want the system to display only those contacts that are linked to the respective company (TPA, Insurer, Broker).</t>
  </si>
  <si>
    <t>IIRM-2916</t>
  </si>
  <si>
    <t>FR-07 As a user, I want to see quick cards displaying the total number of contacts and companies for TPA, Insurer, and Broker.</t>
  </si>
  <si>
    <t>IIRM-2917</t>
  </si>
  <si>
    <t>FR-08 As a user, I want the quick card counts to update when I filter the contact list using search criteria.</t>
  </si>
  <si>
    <t>IIRM-2918</t>
  </si>
  <si>
    <t>FR-09 As a user, I want to filter TPA, Insurer, or Broker contacts by selected search criteria.</t>
  </si>
  <si>
    <t>IIRM-2919</t>
  </si>
  <si>
    <t>FR-10 As a user, I want the search section to include fields such as Contact Name, Company Name, and Tags.</t>
  </si>
  <si>
    <t>IIRM-2920</t>
  </si>
  <si>
    <t>FR-11 As a user, I want the ability to search using a combination of multiple criteria.</t>
  </si>
  <si>
    <t>IIRM-2921</t>
  </si>
  <si>
    <t>FR-12 As a user, I want the contact list to use pagination to handle large volumes of records.</t>
  </si>
  <si>
    <t>IIRM-2922</t>
  </si>
  <si>
    <t>FR-13 As a user, I want to sort the contact list by various fields (e.g., Name, Company, Status).</t>
  </si>
  <si>
    <t>IIRM-2923</t>
  </si>
  <si>
    <t>FR-14 As a user, I want the contact list to display fields such as Contact Name, Company Name, Phone, Email, Department, and Designation.</t>
  </si>
  <si>
    <t>IIRM-2924</t>
  </si>
  <si>
    <t>FR-15 N/A</t>
  </si>
  <si>
    <t>IIRM-2925</t>
  </si>
  <si>
    <t>FR-16 As a user, I want to link company addresses to contacts.</t>
  </si>
  <si>
    <t>IIRM-2926</t>
  </si>
  <si>
    <t>FR-17 As a user, I want to add a new address for a contact if it's not already added under the linked company.</t>
  </si>
  <si>
    <t>IIRM-2927</t>
  </si>
  <si>
    <t>FR-18 As a user, I want the system to prevent the creation of duplicate addresses for a contact linked to a TPA, Insurer, or Broker company.</t>
  </si>
  <si>
    <t>IIRM-2928</t>
  </si>
  <si>
    <t>FR-19 As a user, I want the ability to enter a residential address for a contact separately from the company address.</t>
  </si>
  <si>
    <t>IIRM-2929</t>
  </si>
  <si>
    <t>FR-20 As a user, I want to drill down into the contact name in the contact list to see detailed information for TPA, Insurer, or Broker contacts.</t>
  </si>
  <si>
    <t>IIRM-2930</t>
  </si>
  <si>
    <t>FR-21 As a user, I want to drill down into the company name in the contact list to see respective detailed company information for TPA, Insurer, or Broker.</t>
  </si>
  <si>
    <t>IIRM-2931</t>
  </si>
  <si>
    <t>FR-22 As a user, I should be able to enter all the required details when creating a new contact, including contact details, company details, and multiple communication methods (email, phone).</t>
  </si>
  <si>
    <t>IIRM-2932</t>
  </si>
  <si>
    <t>FR-23 As a user, I want to view the contact details sections, which should include contact details, company details, multiple email details, multiple phone numbers, and contact address.</t>
  </si>
  <si>
    <t>IIRM-2933</t>
  </si>
  <si>
    <t>FR-24 As a user, I want to click on the contact’s email in the contact details and have it open the default email client with the contact’s email pre-filled in the "To" field.</t>
  </si>
  <si>
    <t>IIRM-2934</t>
  </si>
  <si>
    <t>FR-25 As a user, I should be able to create a new record or edit an existing contact’s information for all sections in the contact details.</t>
  </si>
  <si>
    <t>IIRM-2935</t>
  </si>
  <si>
    <t>FR-26 As a user, I want to drill down into various entities from the contact detail page, such as the company, sales opportunities, or related activities.</t>
  </si>
  <si>
    <t>IIRM-2936</t>
  </si>
  <si>
    <t>FR-27 As a user, I want the system to hide or display certain fields based on the country of the logged-in user.</t>
  </si>
  <si>
    <t>IIRM-2937</t>
  </si>
  <si>
    <t>FR-28 As a user, I want the system to allow adding multiple records for email, phone, and address in the contact details.</t>
  </si>
  <si>
    <t>IIRM-2938</t>
  </si>
  <si>
    <t>FR-29 As a user, I want the system to automatically make the contact inactive when it is delinked from the company.</t>
  </si>
  <si>
    <t>IIRM-2939</t>
  </si>
  <si>
    <t>FR-30 As a user, I want to be able to link inactive contacts back to a company.</t>
  </si>
  <si>
    <t>IIRM-2940</t>
  </si>
  <si>
    <t>FR-31 As a user, I want the system to activate a contact when it is linked to a company after being inactive.</t>
  </si>
  <si>
    <t>IIRM-2941</t>
  </si>
  <si>
    <t>FR-32 As a user, I want to be able to change the company of an active contact.</t>
  </si>
  <si>
    <t>IIRM-2942</t>
  </si>
  <si>
    <t>FR-33 As a user, I want to click on a contact’s phone number to open WhatsApp and send a message.</t>
  </si>
  <si>
    <t>IIRM-2943</t>
  </si>
  <si>
    <t>FR-34 As a user, I want the system to capture the type of communication for all outbound communications done with a contact.</t>
  </si>
  <si>
    <t>IIRM-2944</t>
  </si>
  <si>
    <t>FR-35 As a user, I want the system to identify duplicate contacts based on the contact’s phone number within the same company.</t>
  </si>
  <si>
    <t>IIRM-2945</t>
  </si>
  <si>
    <t>FR-36 As a user, I want the system to provide an audit trail for contact creation, editing, and communication logs.</t>
  </si>
  <si>
    <t>IIRM-2946</t>
  </si>
  <si>
    <t>1. Add Employee to the System (Super Admin)-As a Super Admin, I want to add a new employee to the system, so that they can be assigned roles and designations.</t>
  </si>
  <si>
    <t>IIRM-2947</t>
  </si>
  <si>
    <t>2. Assign Role to an Employee (Functional Admin)-As a Functional Admin, I want to assign a role to an employee, so that their access privileges can be controlled</t>
  </si>
  <si>
    <t>IIRM-2948</t>
  </si>
  <si>
    <t>3. Modify Role of Employee (Super Admin)-As a Super Admin, I want to modify the role of an employee to update their access privileges as required.</t>
  </si>
  <si>
    <t>IIRM-2949</t>
  </si>
  <si>
    <t>4. Assign Designation to Employee (Super Admin/Functional Admin)-As a Super Admin or Functional Admin, I want to assign a designation to an employee, so that their position within the organizational hierarchy is defined.</t>
  </si>
  <si>
    <t>IIRM-2950</t>
  </si>
  <si>
    <t>5.Create and Manage Organizations (Super Admin)-As a Super Admin, I want to create and manage organizations within the system, so that I can define the business entities within the company.</t>
  </si>
  <si>
    <t>IIRM-2951</t>
  </si>
  <si>
    <t>6. Create and Manage Departments (Super Admin/Functional Admin)-As a Super Admin or Functional Admin, I want to create and manage departments within an organization, so that employees can be grouped based on their business line.</t>
  </si>
  <si>
    <t>IIRM-2952</t>
  </si>
  <si>
    <t>7. Assign Employees to Branches (Super Admin/Functional Admin)-As a Super Admin or Functional Admin, I want to assign employees to branches within the organization, so that they can be mapped to a physical location or region.</t>
  </si>
  <si>
    <t>IIRM-2953</t>
  </si>
  <si>
    <t>8. Role-Based Access Control (RBAC) Enforcement (Super Admin/Functional Admin)-As a Super Admin or Functional Admin, I want to enforce role-based access control (RBAC) for employees, ensuring they can only access data that is appropriate for their role.</t>
  </si>
  <si>
    <t>IIRM-2954</t>
  </si>
  <si>
    <t>9. Audit Role and Access Modifications (Super Admin)-As a Super Admin, I want to maintain an audit log of all role and access modifications, so that I can track changes for security and compliance purposes.</t>
  </si>
  <si>
    <t>IIRM-2955</t>
  </si>
  <si>
    <t>10. Grant/Revoking Cross-Organization/Department Access (Super Admin/Functional Admin)-As a Super Admin or Functional Admin, I want to grant or revoke cross-organization or cross-department access to employees, so that their data access scope can be ad...</t>
  </si>
  <si>
    <t>IIRM-2956</t>
  </si>
  <si>
    <t>Contact: Duplicate contact validation is missing while creating a new contact</t>
  </si>
  <si>
    <t>Reopen</t>
  </si>
  <si>
    <t>IIRM-2957</t>
  </si>
  <si>
    <t>FR-03: Contact: Active or Inactive- Field (only for specific users , ideally Managers and functional admins is needed and missing)</t>
  </si>
  <si>
    <t>IIRM-2958</t>
  </si>
  <si>
    <t>Contact: Newly created contacts are not listed in the Reporting To/Assign Id dropdown</t>
  </si>
  <si>
    <t>IIRM-2959</t>
  </si>
  <si>
    <t>Updated feedback changes  and insights from IIRM client meeting</t>
  </si>
  <si>
    <t>IIRM-2960</t>
  </si>
  <si>
    <t>IIRM: Create Company : Validation Error Message Not Clearing Automatically After Field Input</t>
  </si>
  <si>
    <t>IIRM-2961</t>
  </si>
  <si>
    <t>View with edit of basic data, with lists of companies</t>
  </si>
  <si>
    <t>Manjusha Paritala</t>
  </si>
  <si>
    <t>IIRM-2962</t>
  </si>
  <si>
    <t>Insurer: Duplicate TPA&amp; Address verifcation not happing</t>
  </si>
  <si>
    <t>IIRM-2963</t>
  </si>
  <si>
    <t>Contact: Table column order is changeable</t>
  </si>
  <si>
    <t>IIRM-2964</t>
  </si>
  <si>
    <t>IIRM-2962 — Insurer: Duplicate TPA&amp; Address verifcation not happing</t>
  </si>
  <si>
    <t>IIRM-2965</t>
  </si>
  <si>
    <t>Basic Add and edit of basic data, with lists of companies</t>
  </si>
  <si>
    <t>IIRM-2966</t>
  </si>
  <si>
    <t>Prepare Test Cases for Add / Edit Contact Screen</t>
  </si>
  <si>
    <t>IIRM-1801 — Prepare Test cases for Add/ Edit Contact Screen</t>
  </si>
  <si>
    <t>IIRM-2967</t>
  </si>
  <si>
    <t>IIRM: Employee: Mismatch Between UI Validation Errors and API Response Errors</t>
  </si>
  <si>
    <t>IIRM-2969</t>
  </si>
  <si>
    <t>IIRM: Employee: Search functionality not working as expected.</t>
  </si>
  <si>
    <t>IIRM-2972</t>
  </si>
  <si>
    <t>IIRM: Employee: System allows self-assign as reporting manager during employee update</t>
  </si>
  <si>
    <t>IIRM-2973</t>
  </si>
  <si>
    <t>IIRM: Employee: Mobile number field should not accepts non-numeric characters on paste</t>
  </si>
  <si>
    <t>IIRM-2974</t>
  </si>
  <si>
    <t>UI components and stitching of the flows</t>
  </si>
  <si>
    <t>IIRM-2975</t>
  </si>
  <si>
    <t>UX- Manage Company</t>
  </si>
  <si>
    <t>gowtham</t>
  </si>
  <si>
    <t>IIRM-2976</t>
  </si>
  <si>
    <t>IIRM: Employee: Quick cards, Search and list view functionality</t>
  </si>
  <si>
    <t>IIRM-2977</t>
  </si>
  <si>
    <t>Integrated flow</t>
  </si>
  <si>
    <t>IIRM-2978</t>
  </si>
  <si>
    <t>UX Design</t>
  </si>
  <si>
    <t>IIRM-2979</t>
  </si>
  <si>
    <t>IIRM-2980</t>
  </si>
  <si>
    <t>IIRM-2978 — UX Design</t>
  </si>
  <si>
    <t>IIRM-2981</t>
  </si>
  <si>
    <t>Feedback changes</t>
  </si>
  <si>
    <t>IIRM-2982</t>
  </si>
  <si>
    <t>IIRM-2990</t>
  </si>
  <si>
    <t>Insurer: API: Incorrect response message displayed</t>
  </si>
  <si>
    <t>IIRM-2991</t>
  </si>
  <si>
    <t>Insurer: API: address2 field is missing in Create insurer Request Body but presented in Get insurer response body</t>
  </si>
  <si>
    <t>IIRM-2993</t>
  </si>
  <si>
    <t>Insurer: Autofilll display name not happening</t>
  </si>
  <si>
    <t>IIRM-2995</t>
  </si>
  <si>
    <t>Insurer: Contact linking functionality is not implemented with the insurer</t>
  </si>
  <si>
    <t>IIRM-2997</t>
  </si>
  <si>
    <t>IIRM: Insurer: Active Policy linking functionality is not there</t>
  </si>
  <si>
    <t>IIRM-2999</t>
  </si>
  <si>
    <t>Contact: Date is incorrectly displayed on Edit Contact screen after saving</t>
  </si>
  <si>
    <t>IIRM-3000</t>
  </si>
  <si>
    <t>Contact: Year of Qualification field auto-fills by default on creating, and Address2 value is not retained on Edit form</t>
  </si>
  <si>
    <t>IIRM-3002</t>
  </si>
  <si>
    <t>Update the test cases &amp; Import into JIRA</t>
  </si>
  <si>
    <t>IIRM-3003</t>
  </si>
  <si>
    <t xml:space="preserve">QA - Add/Manage Broker </t>
  </si>
  <si>
    <t>IIRM-3004</t>
  </si>
  <si>
    <t>Brocker: API: Creating API test scripts</t>
  </si>
  <si>
    <t xml:space="preserve">IIRM-3003 — QA - Add/Manage Broker </t>
  </si>
  <si>
    <t>IIRM-3005</t>
  </si>
  <si>
    <t>Brocker: API: Preparing Test Data</t>
  </si>
  <si>
    <t>IIRM-3006</t>
  </si>
  <si>
    <t>Regression Testing on Company &amp; Contact Module</t>
  </si>
  <si>
    <t>IIRM-3007</t>
  </si>
  <si>
    <t>IIRM: Company : Company details page</t>
  </si>
  <si>
    <t>IIRM-3008</t>
  </si>
  <si>
    <t>IIRM: Company : Company update : PAN and embedded PAN in GSTIN not matching during input validation</t>
  </si>
  <si>
    <t>IIRM-3019</t>
  </si>
  <si>
    <t>IIRM: "Cancel button missing on Company Creation UI</t>
  </si>
  <si>
    <t>IIRM-3020</t>
  </si>
  <si>
    <t>IIRM: Company : Acquisition History and Service Performance data is not getting stored while and updating</t>
  </si>
  <si>
    <t>IIRM-3021</t>
  </si>
  <si>
    <t>IIRM : Create/ Update Company bugs</t>
  </si>
  <si>
    <t>IIRM-3022</t>
  </si>
  <si>
    <t>IIRM: Company : Add company: Date of Incorporation should not accept with current date.</t>
  </si>
  <si>
    <t>IIRM-3023</t>
  </si>
  <si>
    <t>IIRM : Company : Create / Update company : No copy-paste is allowed in the entire application.</t>
  </si>
  <si>
    <t>IIRM-3026</t>
  </si>
  <si>
    <t>UI screens for opportunity - an integrated flow with cases</t>
  </si>
  <si>
    <t>IIRM-3027</t>
  </si>
  <si>
    <t>Review with IIRM team</t>
  </si>
  <si>
    <t>IIRM-3026 — UI screens for opportunity - an integrated flow with cases</t>
  </si>
  <si>
    <t>IIRM-3030</t>
  </si>
  <si>
    <t>IIRM : TPA contact : Create TPA contact Bugs</t>
  </si>
  <si>
    <t>IIRM-3031</t>
  </si>
  <si>
    <t>TPA: Creating TPA</t>
  </si>
  <si>
    <t>IIRM-3032</t>
  </si>
  <si>
    <t>IIRM: SO: Opportunities bugs</t>
  </si>
  <si>
    <t>IIRM-3033</t>
  </si>
  <si>
    <t>IIRM :  Company : Create Company : Source and Address 1fields allows input beyond character limit without showing validation error</t>
  </si>
  <si>
    <t>IIRM-3035</t>
  </si>
  <si>
    <t>IIRM : Contact: Create contact bugs</t>
  </si>
  <si>
    <t>IIRM-3036</t>
  </si>
  <si>
    <t>IIRM: Broker: Failed to create Broker/Broker Contact</t>
  </si>
  <si>
    <t>IIRM-3037</t>
  </si>
  <si>
    <t>TPA: Manage TPA</t>
  </si>
  <si>
    <t>IIRM-3038</t>
  </si>
  <si>
    <t>IIRM-3039</t>
  </si>
  <si>
    <t>IIRM : Manage Broker: Pressing Enter in Search Field Resets Results Instead of Maintaining Filter.</t>
  </si>
  <si>
    <t>IIRM-3040</t>
  </si>
  <si>
    <t>IIRM : Broker : Contact Broker Address Appears in Manage Broker Details</t>
  </si>
  <si>
    <t>IIRM-3041</t>
  </si>
  <si>
    <t>IIRM: Broker Contact: Residence Address of Company Broker Should Not Be Linkable in Contact Broker Page</t>
  </si>
  <si>
    <t>IIRM-3046</t>
  </si>
  <si>
    <t>Company: API: API allows company creation with an invalid ID</t>
  </si>
  <si>
    <t>IIRM-3048</t>
  </si>
  <si>
    <t>IIRM: Create contact :Company Selection in Create Contact Flow Redirects to Error Page</t>
  </si>
  <si>
    <t>IIRM-3049</t>
  </si>
  <si>
    <t xml:space="preserve">IIRM: Company : Company details view is not displayed </t>
  </si>
  <si>
    <t>IIRM-3050</t>
  </si>
  <si>
    <t>IIRM: Broker/TPA/Insurer contact: Create contact fails -communication error</t>
  </si>
  <si>
    <t>IIRM-3052</t>
  </si>
  <si>
    <t>TPA Page: Manage TPA: Verify the pagination functionality</t>
  </si>
  <si>
    <t>IIRM-3053</t>
  </si>
  <si>
    <t>IIRM : Company : Create company :Self Company Displayed When 'Group Company' Option is Set to Yes</t>
  </si>
  <si>
    <t>IIRM-3054</t>
  </si>
  <si>
    <t>IIRM : Company : Manage company issues</t>
  </si>
  <si>
    <t>IIRM-3056</t>
  </si>
  <si>
    <t>IIRM : Add Broker contact : Personal Address from Manage Broker Should Not Link in Add Broker Contact</t>
  </si>
  <si>
    <t>IIRM-3057</t>
  </si>
  <si>
    <t>IIRM : Opportunities: Updated Sum Assured and Annual Premium via Opportunities Not Reflecting on Company Profile</t>
  </si>
  <si>
    <t>IIRM-3059</t>
  </si>
  <si>
    <t>Add / Manage Insurer</t>
  </si>
  <si>
    <t>IIRM-3060</t>
  </si>
  <si>
    <t>Add / Manage Broker</t>
  </si>
  <si>
    <t>IIRM-3061</t>
  </si>
  <si>
    <t>IIRM-3059 — Add / Manage Insurer</t>
  </si>
  <si>
    <t>IIRM-3062</t>
  </si>
  <si>
    <t>IIRM: Company : Accepting invalid URL on Website</t>
  </si>
  <si>
    <t>IIRM-3063</t>
  </si>
  <si>
    <t xml:space="preserve">Prepare Test data documentation Employee </t>
  </si>
  <si>
    <t>IIRM-3064</t>
  </si>
  <si>
    <t>IIRM:TPA/Insurer/broker Sanity testing</t>
  </si>
  <si>
    <t>IIRM-3065</t>
  </si>
  <si>
    <t xml:space="preserve">IIRM: Contact :  Bug fixes Verification and Regression Testing </t>
  </si>
  <si>
    <t>IIRM-3066</t>
  </si>
  <si>
    <t>IIRM: API: Automation Scripst for Company &amp; Contact features</t>
  </si>
  <si>
    <t>IIRM-3067</t>
  </si>
  <si>
    <t xml:space="preserve">IIRM: TPA : Bug fixes Verification and Regression Testing </t>
  </si>
  <si>
    <t>IIRM-3068</t>
  </si>
  <si>
    <t xml:space="preserve">IIRM: Prepare &amp; Update Test artifacts for milestoneOne features </t>
  </si>
  <si>
    <t>IIRM-3069</t>
  </si>
  <si>
    <t>IIRM: Bug fixes verification and Regression Testing Insurer/Insurer Contact</t>
  </si>
  <si>
    <t>IIRM-3070</t>
  </si>
  <si>
    <t>IIRM: Bug fixes verification and Regression Testing Broker/Broker Contact</t>
  </si>
  <si>
    <t>IIRM-3071</t>
  </si>
  <si>
    <t>IIRM: Update the Test cycle with latest results and link the Open bugs to respective test cases</t>
  </si>
  <si>
    <t>IIRM-3072</t>
  </si>
  <si>
    <t>IIRM: Create Test data for TPA/TPA Contact</t>
  </si>
  <si>
    <t>IIRM-3073</t>
  </si>
  <si>
    <t>Insurer test data documentation</t>
  </si>
  <si>
    <t>IIRM-3074</t>
  </si>
  <si>
    <t>IIRM: Update the Test data for Company and Contact creation</t>
  </si>
  <si>
    <t>IIRM-3173</t>
  </si>
  <si>
    <t>TPA Contact:Status : Inactive TPA contacts are linked with the TPA company and also delink TPA contacts from TPA Company</t>
  </si>
  <si>
    <t>IIRM-3174</t>
  </si>
  <si>
    <t>IIRM: Import &amp; update the Test case for TPA/Insurer/Broker</t>
  </si>
  <si>
    <t>IIRM-3175</t>
  </si>
  <si>
    <t>IIRM: Imoprt &amp; update the contact and Insurer/broker/TPA test cases</t>
  </si>
  <si>
    <t>IIRM-3176</t>
  </si>
  <si>
    <t>IIRM: Prepare Insurer and Contact Insurer Test data</t>
  </si>
  <si>
    <t>IIRM-3177</t>
  </si>
  <si>
    <t>IIRM: Prepare Broker/Contact Broker Test data</t>
  </si>
  <si>
    <t>IIRM-3178</t>
  </si>
  <si>
    <t>Manage Company</t>
  </si>
  <si>
    <t>IIRM-3180</t>
  </si>
  <si>
    <t>Company details styling</t>
  </si>
  <si>
    <t>IIRM-3178 — Manage Company</t>
  </si>
  <si>
    <t>IIRM-3181</t>
  </si>
  <si>
    <t>Company listing styling</t>
  </si>
  <si>
    <t>IIRM-3182</t>
  </si>
  <si>
    <t>Company create/edit updates and styling</t>
  </si>
  <si>
    <t>IIRM-3183</t>
  </si>
  <si>
    <t>API Tweaks for Company Work flow</t>
  </si>
  <si>
    <t>IIRM-3185</t>
  </si>
  <si>
    <t>UI - Manage Contact Updates</t>
  </si>
  <si>
    <t>IIRM-3186</t>
  </si>
  <si>
    <t>Contact listing styling</t>
  </si>
  <si>
    <t>IIRM-3185 — UI - Manage Contact Updates</t>
  </si>
  <si>
    <t>IIRM-3187</t>
  </si>
  <si>
    <t>Contact create/edit updates and styling</t>
  </si>
  <si>
    <t>IIRM-3188</t>
  </si>
  <si>
    <t>Contact details styling</t>
  </si>
  <si>
    <t>IIRM-3189</t>
  </si>
  <si>
    <t>API Tweaks for Create Contact Work flow</t>
  </si>
  <si>
    <t>IIRM-3405 — API - Manage Contacts Update</t>
  </si>
  <si>
    <t>IIRM-3190</t>
  </si>
  <si>
    <t>API Tweaks for Update Contact Work flow</t>
  </si>
  <si>
    <t>IIRM-3191</t>
  </si>
  <si>
    <t>UI - Manage Insurer/TPA/Broker</t>
  </si>
  <si>
    <t>IIRM-3192</t>
  </si>
  <si>
    <t>Insurer/TPA/Broker listing styling</t>
  </si>
  <si>
    <t>IIRM-3191 — UI - Manage Insurer/TPA/Broker</t>
  </si>
  <si>
    <t>IIRM-3193</t>
  </si>
  <si>
    <t>Insurer/TPA/Broker create/edit updates and styling</t>
  </si>
  <si>
    <t>IIRM-3546 — UI - Manage TPA/Broker/Insurer - Test</t>
  </si>
  <si>
    <t>IIRM-3194</t>
  </si>
  <si>
    <t>Insurer/TPA/Broker details styling</t>
  </si>
  <si>
    <t>IIRM-3195</t>
  </si>
  <si>
    <t>API Tweaks for Insurer Work flow</t>
  </si>
  <si>
    <t>IIRM-3406 — API - Manage Insurer , TPA, Broker</t>
  </si>
  <si>
    <t>IIRM-3196</t>
  </si>
  <si>
    <t>API Tweaks for TPA Work flow</t>
  </si>
  <si>
    <t>IIRM-3197</t>
  </si>
  <si>
    <t>API Tweaks for Broker Work flow</t>
  </si>
  <si>
    <t>IIRM-3198</t>
  </si>
  <si>
    <t>Manage Employee</t>
  </si>
  <si>
    <t>IIRM-3199</t>
  </si>
  <si>
    <t>API Tweaks for Employee Work flow</t>
  </si>
  <si>
    <t>IIRM-3198 — Manage Employee</t>
  </si>
  <si>
    <t>IIRM-3200</t>
  </si>
  <si>
    <t>Employee List and Details styling</t>
  </si>
  <si>
    <t>IIRM-3201</t>
  </si>
  <si>
    <t>Employee create/edit updates and styling</t>
  </si>
  <si>
    <t>IIRM-3203</t>
  </si>
  <si>
    <t>Common Module</t>
  </si>
  <si>
    <t>IIRM-3204</t>
  </si>
  <si>
    <t>Develop Global level style classess as per Designs</t>
  </si>
  <si>
    <t>IIRM-3203 — Common Module</t>
  </si>
  <si>
    <t>IIRM-3205</t>
  </si>
  <si>
    <t>Smart Filter UI Tweaks and Implementation</t>
  </si>
  <si>
    <t>IIRM-3402 — Common Stepper and Smart Search</t>
  </si>
  <si>
    <t>IIRM-3206</t>
  </si>
  <si>
    <t>Create Header menu</t>
  </si>
  <si>
    <t>IIRM-3207</t>
  </si>
  <si>
    <t>Design system - Grid,  Based on UI Designs</t>
  </si>
  <si>
    <t>IIRM-3208</t>
  </si>
  <si>
    <t>Grid settings and functional implementations</t>
  </si>
  <si>
    <t>IIRM-3209</t>
  </si>
  <si>
    <t>Design system - Text Input and Rich Text</t>
  </si>
  <si>
    <t>IIRM-3210</t>
  </si>
  <si>
    <t>Create Side bar along with  Icons As per Design</t>
  </si>
  <si>
    <t>IIRM-3211</t>
  </si>
  <si>
    <t>Design system - Select Dropdown</t>
  </si>
  <si>
    <t>IIRM-3212</t>
  </si>
  <si>
    <t>Design system - Breadcrumb, RadioButtons and Buttons</t>
  </si>
  <si>
    <t>IIRM-3213</t>
  </si>
  <si>
    <t>Design system - Stepper with Progress Indications</t>
  </si>
  <si>
    <t>IIRM-3214</t>
  </si>
  <si>
    <t>Design system - Toggle, Tabs, KPI cards  and Cards</t>
  </si>
  <si>
    <t>IIRM-3215</t>
  </si>
  <si>
    <t>Tweak Common function to get the list from the entities based on the filters and RBAC</t>
  </si>
  <si>
    <t>IIRM-3216</t>
  </si>
  <si>
    <t>API - File Uploading Tweaks</t>
  </si>
  <si>
    <t>IIRM-3217</t>
  </si>
  <si>
    <t>Smart Search  and Sort for Grid data  API Update</t>
  </si>
  <si>
    <t>IIRM-3219</t>
  </si>
  <si>
    <t>BD Stages - UX/UI</t>
  </si>
  <si>
    <t>IIRM-752 — SOW#25 - Manage iWork Stages (BD)</t>
  </si>
  <si>
    <t>IIRM-3220</t>
  </si>
  <si>
    <t>ISG Stages - UX/UI</t>
  </si>
  <si>
    <t>IIRM-756 — SOW#29 - Manage ISG Stages</t>
  </si>
  <si>
    <t>IIRM-3221</t>
  </si>
  <si>
    <t>UX - Validating data collected from the company</t>
  </si>
  <si>
    <t>IIRM-3219 — BD Stages - UX/UI</t>
  </si>
  <si>
    <t>IIRM-3222</t>
  </si>
  <si>
    <t>UX - KDM Meeting</t>
  </si>
  <si>
    <t>IIRM-3223</t>
  </si>
  <si>
    <t>UX - Company gives a mandate that IIRM can contact insurers behalf of the company for any kind of policy or a specific policy and date</t>
  </si>
  <si>
    <t>IIRM-3224</t>
  </si>
  <si>
    <t>UX - Enter details given by the company in the RFP</t>
  </si>
  <si>
    <t>IIRM-3225</t>
  </si>
  <si>
    <t>UI - Validating data collected from the company</t>
  </si>
  <si>
    <t>IIRM-3226</t>
  </si>
  <si>
    <t>UI - KDM Meeting</t>
  </si>
  <si>
    <t>IIRM-3227</t>
  </si>
  <si>
    <t>UI - Company gives a mandate that IIRM can contact insurers behalf of the company for any kind of policy or a specific policy and date</t>
  </si>
  <si>
    <t>IIRM-3228</t>
  </si>
  <si>
    <t>UI - Enter details given by the company in the RFP</t>
  </si>
  <si>
    <t>IIRM-3229</t>
  </si>
  <si>
    <t>UX - Generate Broking Slip by adding all the covers and other details</t>
  </si>
  <si>
    <t>IIRM-3220 — ISG Stages - UX/UI</t>
  </si>
  <si>
    <t>IIRM-3230</t>
  </si>
  <si>
    <t>UX - Enter quotes received from insurers - multiple quotes by single or multiple insurers</t>
  </si>
  <si>
    <t>IIRM-3231</t>
  </si>
  <si>
    <t>UX - Generate a Quote comparison report</t>
  </si>
  <si>
    <t>IIRM-3232</t>
  </si>
  <si>
    <t>UX - Schedule a meeting with insurers for final negotiation</t>
  </si>
  <si>
    <t>IIRM-3233</t>
  </si>
  <si>
    <t>UX - Generate placement slip to share it with the insurer</t>
  </si>
  <si>
    <t>IIRM-3234</t>
  </si>
  <si>
    <t>UX - Calculation of premium and entering employees details</t>
  </si>
  <si>
    <t>IIRM-3235</t>
  </si>
  <si>
    <t>UI - Generate Broking Slip by adding all the covers and other details</t>
  </si>
  <si>
    <t>IIRM-3236</t>
  </si>
  <si>
    <t>UI - Enter quotes received from insurers - multiple quotes by single or multiple insurers</t>
  </si>
  <si>
    <t>IIRM-3237</t>
  </si>
  <si>
    <t>UI - Generate a Quote comparison report</t>
  </si>
  <si>
    <t>IIRM-3238</t>
  </si>
  <si>
    <t>UI - Schedule a meeting with insurers for final negotiation</t>
  </si>
  <si>
    <t>IIRM-3239</t>
  </si>
  <si>
    <t>UI - Generate placement slip to share it with the insurer</t>
  </si>
  <si>
    <t>IIRM-3240</t>
  </si>
  <si>
    <t>UI - Calculation of premium and entering employees details</t>
  </si>
  <si>
    <t>IIRM-3241</t>
  </si>
  <si>
    <t>Design Solutioning for Manage Opportunitites &amp; RBAC</t>
  </si>
  <si>
    <t>IIRM-3242</t>
  </si>
  <si>
    <t>Design Solutioning for Manage Opportunities</t>
  </si>
  <si>
    <t>IIRM-3241 — Design Solutioning for Manage Opportunitites &amp; RBAC</t>
  </si>
  <si>
    <t>IIRM-3243</t>
  </si>
  <si>
    <t>Design Solutioning for RBAC</t>
  </si>
  <si>
    <t>IIRM-3244</t>
  </si>
  <si>
    <t>Design- Manage Tasks &amp; Meetings</t>
  </si>
  <si>
    <t>IIRM-3245</t>
  </si>
  <si>
    <t>UX - Manage Tasks &amp; Meetings</t>
  </si>
  <si>
    <t>IIRM-3244 — Design- Manage Tasks &amp; Meetings</t>
  </si>
  <si>
    <t>IIRM-3246</t>
  </si>
  <si>
    <t>UI - Manage Tasks &amp; Meetings</t>
  </si>
  <si>
    <t>IIRM-3248</t>
  </si>
  <si>
    <t>Milestone 2 Product Spec (Manage Opty, Approvals, Sales Hierarchy, User Management, AI Smart Ads)</t>
  </si>
  <si>
    <t>IIRM-3249</t>
  </si>
  <si>
    <t>Test data documentation with latest changes</t>
  </si>
  <si>
    <t>IIRM-3250</t>
  </si>
  <si>
    <t>API Test script for both positive and negative cases</t>
  </si>
  <si>
    <t>IIRM-3251</t>
  </si>
  <si>
    <t xml:space="preserve">Executing API &amp;Bug logging  </t>
  </si>
  <si>
    <t>IIRM-3252</t>
  </si>
  <si>
    <t xml:space="preserve">Upated UI Test cases </t>
  </si>
  <si>
    <t>IIRM-3254</t>
  </si>
  <si>
    <t>IIRM-3255</t>
  </si>
  <si>
    <t>API Test scrpit preparation</t>
  </si>
  <si>
    <t>IIRM-3256</t>
  </si>
  <si>
    <t>API Test cases &amp; Scripts Execution</t>
  </si>
  <si>
    <t>IIRM-3257</t>
  </si>
  <si>
    <t>UI Test cases update with latest changes</t>
  </si>
  <si>
    <t>IIRM-3258</t>
  </si>
  <si>
    <t>UI-Test execution</t>
  </si>
  <si>
    <t>IIRM-3259</t>
  </si>
  <si>
    <t>IIRM-3260</t>
  </si>
  <si>
    <t>Test script preparation</t>
  </si>
  <si>
    <t>IIRM-3261</t>
  </si>
  <si>
    <t>API-Test execution</t>
  </si>
  <si>
    <t>IIRM-3262</t>
  </si>
  <si>
    <t>UI-Test execution and bugs logging</t>
  </si>
  <si>
    <t>IIRM-3263</t>
  </si>
  <si>
    <t>UI Test cases Execution  for TPA/Broker</t>
  </si>
  <si>
    <t>IIRM-3264</t>
  </si>
  <si>
    <t xml:space="preserve">integrated flow upload - manual and drop flow </t>
  </si>
  <si>
    <t>IIRM-3265</t>
  </si>
  <si>
    <t xml:space="preserve">table settings and list view </t>
  </si>
  <si>
    <t>IIRM-3266</t>
  </si>
  <si>
    <t>smart filter - expand and collapse view</t>
  </si>
  <si>
    <t>IIRM-3267</t>
  </si>
  <si>
    <t xml:space="preserve">stepper enhancement </t>
  </si>
  <si>
    <t>IIRM-3268</t>
  </si>
  <si>
    <t>company details</t>
  </si>
  <si>
    <t>IIRM-3269</t>
  </si>
  <si>
    <t>feedback updates from Naveen</t>
  </si>
  <si>
    <t>IIRM-3270</t>
  </si>
  <si>
    <t>brainstorming on timeline view of opty</t>
  </si>
  <si>
    <t>IIRM-3271</t>
  </si>
  <si>
    <t>Engineering KT</t>
  </si>
  <si>
    <t>IIRM-3272</t>
  </si>
  <si>
    <t>acknowledgement screens</t>
  </si>
  <si>
    <t>IIRM-3274</t>
  </si>
  <si>
    <t>Review and updated the TPA/Insurer/broker Test data</t>
  </si>
  <si>
    <t>IIRM-3303</t>
  </si>
  <si>
    <t>FR-MOPTY-01 Plan BD Activities</t>
  </si>
  <si>
    <t>IIRM-3311</t>
  </si>
  <si>
    <t>UX/UI for BD Stages 2</t>
  </si>
  <si>
    <t>IIRM-755 — SOW#28 - Manage BD 2 Stages &amp; Policy Creation</t>
  </si>
  <si>
    <t>IIRM-3341</t>
  </si>
  <si>
    <t>UX - Held Cover Note	Provisional policy document to share with the company</t>
  </si>
  <si>
    <t>IIRM-3311 — UX/UI for BD Stages 2</t>
  </si>
  <si>
    <t>IIRM-3357</t>
  </si>
  <si>
    <t>UX- Plan Activity</t>
  </si>
  <si>
    <t>IIRM-3358</t>
  </si>
  <si>
    <t>UX- Feedback Changes</t>
  </si>
  <si>
    <t>IIRM-3359</t>
  </si>
  <si>
    <t>Design - Lead Tasks</t>
  </si>
  <si>
    <t>IIRM-3360</t>
  </si>
  <si>
    <t>UI Manage Opportunity updates</t>
  </si>
  <si>
    <t>IIRM-3361</t>
  </si>
  <si>
    <t>Tweaks for API in Opportunity Create  as per updated design flow</t>
  </si>
  <si>
    <t>IIRM-3404 — API - Manager Opportunity Updates</t>
  </si>
  <si>
    <t>IIRM-3362</t>
  </si>
  <si>
    <t>DB Schema Tweaks for Opportunity as per updated design flow</t>
  </si>
  <si>
    <t>IIRM-3363</t>
  </si>
  <si>
    <t xml:space="preserve">UI Changes  in Opportunity Details and Create / Edit Update as per updated design flow </t>
  </si>
  <si>
    <t>IIRM-3360 — UI Manage Opportunity updates</t>
  </si>
  <si>
    <t>IIRM-3364</t>
  </si>
  <si>
    <t>Opportunities Listing Page Styling Changes</t>
  </si>
  <si>
    <t>IIRM-3365</t>
  </si>
  <si>
    <t xml:space="preserve">Apply the UI Styling for Components As per figma </t>
  </si>
  <si>
    <t>IIRM-3366</t>
  </si>
  <si>
    <t>IIRM: SO: Test cases Authoring for Manage Opportunity</t>
  </si>
  <si>
    <t>IIRM-3367</t>
  </si>
  <si>
    <t>Test cases documentation</t>
  </si>
  <si>
    <t>IIRM-3368</t>
  </si>
  <si>
    <t>IIRM : Create company : API:  Unable to create company thrown 400</t>
  </si>
  <si>
    <t>IIRM-3369</t>
  </si>
  <si>
    <t>Timeline creation, page layout and foundation of flow</t>
  </si>
  <si>
    <t>IIRM-3370</t>
  </si>
  <si>
    <t>Test Script for Broker</t>
  </si>
  <si>
    <t>IIRM-3371</t>
  </si>
  <si>
    <t>Test Script for Insurer</t>
  </si>
  <si>
    <t>IIRM-3372</t>
  </si>
  <si>
    <t xml:space="preserve">Update the Sort and Searching for Company API </t>
  </si>
  <si>
    <t>IIRM-3373</t>
  </si>
  <si>
    <t xml:space="preserve">Update the Sort and Search for Insurer TPA and broker APIs </t>
  </si>
  <si>
    <t>IIRM-3374</t>
  </si>
  <si>
    <t>Update Sort and Search for Contact APIs</t>
  </si>
  <si>
    <t>IIRM-3375</t>
  </si>
  <si>
    <t>IIRM: Company: API: Enforce to update GSTIN number  while udpating a company</t>
  </si>
  <si>
    <t>IIRM-3376</t>
  </si>
  <si>
    <t xml:space="preserve">IIRM: Company API: Incorrect Response Message When Address Fields Are Missing in Request </t>
  </si>
  <si>
    <t>IIRM-3377</t>
  </si>
  <si>
    <t>IIRM: Company: API: Able to create a company without Group Company ID</t>
  </si>
  <si>
    <t>IIRM-3378</t>
  </si>
  <si>
    <t>Create Masters</t>
  </si>
  <si>
    <t>IIRM-3379</t>
  </si>
  <si>
    <t>Opty API Tweaks</t>
  </si>
  <si>
    <t>IIRM-3380</t>
  </si>
  <si>
    <t>Opty Activities</t>
  </si>
  <si>
    <t>IIRM-3381</t>
  </si>
  <si>
    <t>Opty Covers</t>
  </si>
  <si>
    <t>IIRM-3382</t>
  </si>
  <si>
    <t>User Management &amp; RBAC</t>
  </si>
  <si>
    <t>IIRM-3383</t>
  </si>
  <si>
    <t xml:space="preserve">Analyse and Identify the Stages of Opportunity and create Masters   - Must have sequence and role based access </t>
  </si>
  <si>
    <t>IIRM-3378 — Create Masters</t>
  </si>
  <si>
    <t>IIRM-3384</t>
  </si>
  <si>
    <t>Analyse and identify the Activities of Opportunity and create a Master.</t>
  </si>
  <si>
    <t>IIRM-3385</t>
  </si>
  <si>
    <t>"Analyse and Identify the Covers of Opportunity and create Masters   - Must have sequence and role based access "</t>
  </si>
  <si>
    <t>IIRM-3386</t>
  </si>
  <si>
    <t>Create daatabase tables based on the analyse schema and respective entites of Opty Stages , Activities , Covers</t>
  </si>
  <si>
    <t>IIRM-3387</t>
  </si>
  <si>
    <t>Tweaks for create the opportunity POST API</t>
  </si>
  <si>
    <t>IIRM-3379 — Opty API Tweaks</t>
  </si>
  <si>
    <t>IIRM-3388</t>
  </si>
  <si>
    <t>Analyse and create a function for the storing opportunity activities on opportunity creation</t>
  </si>
  <si>
    <t>IIRM-3380 — Opty Activities</t>
  </si>
  <si>
    <t>IIRM-3389</t>
  </si>
  <si>
    <t>Develop an API to get the opportunity activity meta from the opportunity activities table</t>
  </si>
  <si>
    <t>IIRM-3390</t>
  </si>
  <si>
    <t>Analyse and create a function for getting opportunity activities meta</t>
  </si>
  <si>
    <t>IIRM-3391</t>
  </si>
  <si>
    <t>Analyse and create a function for the storing covers for the opportunity</t>
  </si>
  <si>
    <t>IIRM-3381 — Opty Covers</t>
  </si>
  <si>
    <t>IIRM-3392</t>
  </si>
  <si>
    <t>Develop an API to get the opportunity covers from the opportunity activities table</t>
  </si>
  <si>
    <t>IIRM-3393</t>
  </si>
  <si>
    <t xml:space="preserve">RBAC Implement on API for Activity were participants need to edit the activity
</t>
  </si>
  <si>
    <t>IIRM-3965 — RBAC Backend</t>
  </si>
  <si>
    <t>IIRM-3394</t>
  </si>
  <si>
    <t>RBAC Implement on API for Activity were hirerachy</t>
  </si>
  <si>
    <t>IIRM-3395</t>
  </si>
  <si>
    <t>RBAC Implement on API for Activity were custom and tagged permissions</t>
  </si>
  <si>
    <t>IIRM-3396</t>
  </si>
  <si>
    <t>Develop an update API to store the opportunity activities while planning</t>
  </si>
  <si>
    <t>IIRM-3303 — FR-MOPTY-01 Plan BD Activities</t>
  </si>
  <si>
    <t>IIRM-3397</t>
  </si>
  <si>
    <t>Analyse and create a function to store the transaction/data of the opportunity activities and planning</t>
  </si>
  <si>
    <t>IIRM-3398</t>
  </si>
  <si>
    <t>Develop an API to store the activity details for the opportunity</t>
  </si>
  <si>
    <t>IIRM-3400</t>
  </si>
  <si>
    <t>IIRM: Company: API: The "landmark" field provided in the API is not being captured in UI</t>
  </si>
  <si>
    <t>IIRM-3401</t>
  </si>
  <si>
    <t xml:space="preserve">Implement complex password for login </t>
  </si>
  <si>
    <t>IIRM-3402</t>
  </si>
  <si>
    <t>Common Stepper and Smart Search</t>
  </si>
  <si>
    <t>IIRM-3404</t>
  </si>
  <si>
    <t>API - Manager Opportunity Updates</t>
  </si>
  <si>
    <t>IIRM-3405</t>
  </si>
  <si>
    <t>API - Manage Contacts Update</t>
  </si>
  <si>
    <t>IIRM-3406</t>
  </si>
  <si>
    <t>API - Manage Insurer , TPA, Broker</t>
  </si>
  <si>
    <t>IIRM-3407</t>
  </si>
  <si>
    <t>Approval Management</t>
  </si>
  <si>
    <t>IIRM-3408</t>
  </si>
  <si>
    <t>Meetings &amp; Tasks</t>
  </si>
  <si>
    <t>IIRM-3409</t>
  </si>
  <si>
    <t>Document Upload</t>
  </si>
  <si>
    <t>IIRM-3411</t>
  </si>
  <si>
    <t>Analyse and create API for Appropving the stages when required</t>
  </si>
  <si>
    <t>IIRM-3407 — Approval Management</t>
  </si>
  <si>
    <t>IIRM-3412</t>
  </si>
  <si>
    <t>Analyse and create Database Tables fro Meetings and Tasks</t>
  </si>
  <si>
    <t>IIRM-3408 — Meetings &amp; Tasks</t>
  </si>
  <si>
    <t>IIRM-3413</t>
  </si>
  <si>
    <t>Analyse and create APIs for Meetings and tasks</t>
  </si>
  <si>
    <t>IIRM-3414</t>
  </si>
  <si>
    <t>Tweaks for Upload Document API (PDF, Excel , Word)</t>
  </si>
  <si>
    <t>IIRM-3409 — Document Upload</t>
  </si>
  <si>
    <t>IIRM-3415</t>
  </si>
  <si>
    <t>Analyse and create a function for getting cover of the activities of the opportunity</t>
  </si>
  <si>
    <t>IIRM-3419</t>
  </si>
  <si>
    <t>FR-MOPTY-02 Data Validation</t>
  </si>
  <si>
    <t>IIRM-3420</t>
  </si>
  <si>
    <t>FR-MOPTY-03	Meeting with KDM</t>
  </si>
  <si>
    <t>IIRM-3421</t>
  </si>
  <si>
    <t>FR-MOPTY-04	Mandate Details Entry</t>
  </si>
  <si>
    <t>IIRM-3422</t>
  </si>
  <si>
    <t>FR-MOPTY-05	RFP Data Collection</t>
  </si>
  <si>
    <t>IIRM-3423</t>
  </si>
  <si>
    <t>FR-MOPTY-06	RFP Details Entry</t>
  </si>
  <si>
    <t>IIRM-3424</t>
  </si>
  <si>
    <t>FR-MOPTY-08	Opportunity Assignment - Manager</t>
  </si>
  <si>
    <t>IIRM-3425</t>
  </si>
  <si>
    <t>FR-MOPTY-09	Manage Quotes</t>
  </si>
  <si>
    <t>IIRM-3426</t>
  </si>
  <si>
    <t>FR-MOPTY-10	Broking Slip Generation</t>
  </si>
  <si>
    <t>IIRM-3427</t>
  </si>
  <si>
    <t>FR-MOPTY-11	Enter Quote</t>
  </si>
  <si>
    <t>IIRM-3428</t>
  </si>
  <si>
    <t>FR-MOPTY-12	QCR Generation</t>
  </si>
  <si>
    <t>IIRM-3429</t>
  </si>
  <si>
    <t>FR-MOPTY-13	Meeting for Final Negotiation</t>
  </si>
  <si>
    <t>IIRM-3430</t>
  </si>
  <si>
    <t>FR-MOPTY-14	Placement Slip Generation</t>
  </si>
  <si>
    <t>IIRM-3431</t>
  </si>
  <si>
    <t>FR-MOPTY-15	Premium Calculation (TBD)</t>
  </si>
  <si>
    <t>IIRM-3432</t>
  </si>
  <si>
    <t>FR-MOPTY-16	Held Cover Note</t>
  </si>
  <si>
    <t>IIRM-3433</t>
  </si>
  <si>
    <t>FR-MOPTY-17	Policy Hard Copy Receipt</t>
  </si>
  <si>
    <t>IIRM-3434</t>
  </si>
  <si>
    <t>FR-MOPTY-18	Policy Confirmation</t>
  </si>
  <si>
    <t>IIRM-3435</t>
  </si>
  <si>
    <t>FR-MOPTY-19	Policy Docket</t>
  </si>
  <si>
    <t>IIRM-3436</t>
  </si>
  <si>
    <t>FR-MOPTY-20	Hand Over Meet</t>
  </si>
  <si>
    <t>IIRM-3437</t>
  </si>
  <si>
    <t>FR-MOPTY-21	Opportunity Lost</t>
  </si>
  <si>
    <t>IIRM-3439</t>
  </si>
  <si>
    <t>Common Form</t>
  </si>
  <si>
    <t>IIRM-3440</t>
  </si>
  <si>
    <t>Common UI Components</t>
  </si>
  <si>
    <t>IIRM-3442</t>
  </si>
  <si>
    <t>IIRM-3443</t>
  </si>
  <si>
    <t xml:space="preserve">UI Implementing Approvals from Manager </t>
  </si>
  <si>
    <t>IIRM-3424 — FR-MOPTY-08	Opportunity Assignment - Manager</t>
  </si>
  <si>
    <t>IIRM-3444</t>
  </si>
  <si>
    <t xml:space="preserve">UI for Assign Another Executive </t>
  </si>
  <si>
    <t>IIRM-3445</t>
  </si>
  <si>
    <t xml:space="preserve">UI for BD &amp; ISG Activities Plan </t>
  </si>
  <si>
    <t>IIRM-3446</t>
  </si>
  <si>
    <t>Analyse &amp; Document the JSON sturcture for creating form controls</t>
  </si>
  <si>
    <t>IIRM-3439 — Common Form</t>
  </si>
  <si>
    <t>IIRM-3447</t>
  </si>
  <si>
    <t>Display the input text controls based on JSON config</t>
  </si>
  <si>
    <t>IIRM-3448</t>
  </si>
  <si>
    <t>Display the dropdowns, radio buttons, checkbox controls based on JSON config</t>
  </si>
  <si>
    <t>IIRM-3450</t>
  </si>
  <si>
    <t>UI for Document Uploading</t>
  </si>
  <si>
    <t>IIRM-3442 — Document Upload</t>
  </si>
  <si>
    <t>IIRM-3451</t>
  </si>
  <si>
    <t>UI - Grid to Display Opty stages/activity list for plan and perform</t>
  </si>
  <si>
    <t>IIRM-3440 — Common UI Components</t>
  </si>
  <si>
    <t>IIRM-3452</t>
  </si>
  <si>
    <t>UI to Show the Progress Tabs - the Current Stage of Opty</t>
  </si>
  <si>
    <t>IIRM-3454</t>
  </si>
  <si>
    <t>Analyse and create a function to Data Validation</t>
  </si>
  <si>
    <t>IIRM-3419 — FR-MOPTY-02 Data Validation</t>
  </si>
  <si>
    <t>IIRM-3455</t>
  </si>
  <si>
    <t>UI for Opportunity Data Validation activity</t>
  </si>
  <si>
    <t>IIRM-3456</t>
  </si>
  <si>
    <t>Analyse and create a function to KDM Meeting</t>
  </si>
  <si>
    <t>IIRM-3420 — FR-MOPTY-03	Meeting with KDM</t>
  </si>
  <si>
    <t>IIRM-3457</t>
  </si>
  <si>
    <t>UI for Meeting With KDM</t>
  </si>
  <si>
    <t>IIRM-3458</t>
  </si>
  <si>
    <t>Analyse and create a function to Mandate Form</t>
  </si>
  <si>
    <t>IIRM-3421 — FR-MOPTY-04	Mandate Details Entry</t>
  </si>
  <si>
    <t>IIRM-3459</t>
  </si>
  <si>
    <t>Analyse and create function for getting the existing madate form</t>
  </si>
  <si>
    <t>IIRM-3460</t>
  </si>
  <si>
    <t>UI for Mandate Details Entry</t>
  </si>
  <si>
    <t>IIRM-3461</t>
  </si>
  <si>
    <t>Analyse and create a function to store the transaction/data of the covers of the opportunity</t>
  </si>
  <si>
    <t>IIRM-3422 — FR-MOPTY-05	RFP Data Collection</t>
  </si>
  <si>
    <t>IIRM-3462</t>
  </si>
  <si>
    <t>Analyse and create a function to store the transaction/version of the RFP Data Collection</t>
  </si>
  <si>
    <t>IIRM-3463</t>
  </si>
  <si>
    <t>UI For RFP Data Collection</t>
  </si>
  <si>
    <t>IIRM-3464</t>
  </si>
  <si>
    <t>Analyse and identify the RFP version tables Activities</t>
  </si>
  <si>
    <t>IIRM-3423 — FR-MOPTY-06	RFP Details Entry</t>
  </si>
  <si>
    <t>IIRM-3465</t>
  </si>
  <si>
    <t>Create daatabase tables based on the analyse schema and respective entites</t>
  </si>
  <si>
    <t>IIRM-3466</t>
  </si>
  <si>
    <t>Analyse and create a function to store the transaction/version of the RFP Detail Entry</t>
  </si>
  <si>
    <t>IIRM-3467</t>
  </si>
  <si>
    <t>UI for RFP Details Entry</t>
  </si>
  <si>
    <t>IIRM-3468</t>
  </si>
  <si>
    <t>UI for RFP Approval</t>
  </si>
  <si>
    <t>IIRM-3469</t>
  </si>
  <si>
    <t>Analyse and create a function to broking slip generation</t>
  </si>
  <si>
    <t>IIRM-3426 — FR-MOPTY-10	Broking Slip Generation</t>
  </si>
  <si>
    <t>IIRM-3470</t>
  </si>
  <si>
    <t>UI for Broking slip generation</t>
  </si>
  <si>
    <t>IIRM-3471</t>
  </si>
  <si>
    <t>Analyse and create a function to QCR Data Entry</t>
  </si>
  <si>
    <t>IIRM-3427 — FR-MOPTY-11	Enter Quote</t>
  </si>
  <si>
    <t>IIRM-3472</t>
  </si>
  <si>
    <t>UI for Manage Quotes</t>
  </si>
  <si>
    <t>IIRM-3473</t>
  </si>
  <si>
    <t>Analyse and Identify the QCR version tables Activities</t>
  </si>
  <si>
    <t>IIRM-3428 — FR-MOPTY-12	QCR Generation</t>
  </si>
  <si>
    <t>IIRM-3474</t>
  </si>
  <si>
    <t>IIRM-3475</t>
  </si>
  <si>
    <t>Analyse and create a function to store the transaction/version of the QCR of the opportunity activities and planning</t>
  </si>
  <si>
    <t>IIRM-3476</t>
  </si>
  <si>
    <t>Analyse and create a function to QCR generation</t>
  </si>
  <si>
    <t>IIRM-3477</t>
  </si>
  <si>
    <t>UI for QCR generation</t>
  </si>
  <si>
    <t>IIRM-3478</t>
  </si>
  <si>
    <t>Analyse and create function for Final negatiation</t>
  </si>
  <si>
    <t>IIRM-3429 — FR-MOPTY-13	Meeting for Final Negotiation</t>
  </si>
  <si>
    <t>IIRM-3479</t>
  </si>
  <si>
    <t>UI for Final negatiation meeting</t>
  </si>
  <si>
    <t>IIRM-3480</t>
  </si>
  <si>
    <t>Analyse and create a function to Placement slip generation</t>
  </si>
  <si>
    <t>IIRM-3430 — FR-MOPTY-14	Placement Slip Generation</t>
  </si>
  <si>
    <t>IIRM-3481</t>
  </si>
  <si>
    <t>UI for Placement Slip generation</t>
  </si>
  <si>
    <t>IIRM-3482</t>
  </si>
  <si>
    <t>Analyse and create a function to Premium Calculation</t>
  </si>
  <si>
    <t>IIRM-3431 — FR-MOPTY-15	Premium Calculation (TBD)</t>
  </si>
  <si>
    <t>IIRM-3483</t>
  </si>
  <si>
    <t>UI for Premium Calculation</t>
  </si>
  <si>
    <t>IIRM-3484</t>
  </si>
  <si>
    <t>Anlyse and create function for Policy Data Entry &amp; creation</t>
  </si>
  <si>
    <t>IIRM-3434 — FR-MOPTY-18	Policy Confirmation</t>
  </si>
  <si>
    <t>IIRM-3485</t>
  </si>
  <si>
    <t>UI for Policy Confirmation</t>
  </si>
  <si>
    <t>IIRM-3486</t>
  </si>
  <si>
    <t>Analyse and create a function to Policy held Cover note</t>
  </si>
  <si>
    <t>IIRM-3432 — FR-MOPTY-16	Held Cover Note</t>
  </si>
  <si>
    <t>IIRM-3487</t>
  </si>
  <si>
    <t>UI for Held Cover Note</t>
  </si>
  <si>
    <t>IIRM-3488</t>
  </si>
  <si>
    <t>Analyse and create a function to Policy Hard Copy reciept</t>
  </si>
  <si>
    <t>IIRM-3433 — FR-MOPTY-17	Policy Hard Copy Receipt</t>
  </si>
  <si>
    <t>IIRM-3489</t>
  </si>
  <si>
    <t>UI for Policy Hard Copy Receipt Generation</t>
  </si>
  <si>
    <t>IIRM-3490</t>
  </si>
  <si>
    <t>Analyse and create a function to Policy docket</t>
  </si>
  <si>
    <t>IIRM-3435 — FR-MOPTY-19	Policy Docket</t>
  </si>
  <si>
    <t>IIRM-3491</t>
  </si>
  <si>
    <t>UI for Policy Docket Management</t>
  </si>
  <si>
    <t>IIRM-3492</t>
  </si>
  <si>
    <t>Analyse and create a function to Handover meet</t>
  </si>
  <si>
    <t>IIRM-3436 — FR-MOPTY-20	Hand Over Meet</t>
  </si>
  <si>
    <t>IIRM-3493</t>
  </si>
  <si>
    <t>UI for Handover Meet</t>
  </si>
  <si>
    <t>IIRM-3494</t>
  </si>
  <si>
    <t>IIRM: Company: API Retrieves a paginated list of companies API's returns 10 results without applying any filters or parameters</t>
  </si>
  <si>
    <t>IIRM-3495</t>
  </si>
  <si>
    <t>IIRM-3496</t>
  </si>
  <si>
    <t>FR-MOPTY-01a Plan ISG Activities</t>
  </si>
  <si>
    <t>IIRM-3497</t>
  </si>
  <si>
    <t>FR-MOPTY-01b Perform BD &amp; ISG Activities</t>
  </si>
  <si>
    <t>IIRM-3498</t>
  </si>
  <si>
    <t>FR-MOPTY-07 RFP Details Entry Approval</t>
  </si>
  <si>
    <t>IIRM-3514</t>
  </si>
  <si>
    <t>Internal Demo Feedback on Manage Company Demo [2nd May]</t>
  </si>
  <si>
    <t>IIRM-3515</t>
  </si>
  <si>
    <t>Existing company check to be added while adding a company. This validation to happen in the beginning of the creation rather than waiting until submit to check validation</t>
  </si>
  <si>
    <t>IIRM-3514 — Internal Demo Feedback on Manage Company Demo [2nd May]</t>
  </si>
  <si>
    <t>IIRM-3516</t>
  </si>
  <si>
    <t>UX of interlinked - opportunity, company and contact flow to be implemented</t>
  </si>
  <si>
    <t>IIRM-3517</t>
  </si>
  <si>
    <t xml:space="preserve">Don't show the toast message let's build your profile. </t>
  </si>
  <si>
    <t>IIRM-3518</t>
  </si>
  <si>
    <t>In stepper, change label from "Translation" to "Regulation"</t>
  </si>
  <si>
    <t>IIRM-3519</t>
  </si>
  <si>
    <t>Remove validation for GST. Make non-mandatory validations as non-mandatory</t>
  </si>
  <si>
    <t>IIRM-3520</t>
  </si>
  <si>
    <t xml:space="preserve">Make all text-areas as expandable text areas. </t>
  </si>
  <si>
    <t>IIRM-3521</t>
  </si>
  <si>
    <t xml:space="preserve">While viewing, text areas also to be expandable text areas. </t>
  </si>
  <si>
    <t>IIRM-3522</t>
  </si>
  <si>
    <t xml:space="preserve">In list view, clickable items - on hover should change the hand-pointer </t>
  </si>
  <si>
    <t>IIRM-3523</t>
  </si>
  <si>
    <t>In company details, take out mailbox</t>
  </si>
  <si>
    <t>IIRM-3524</t>
  </si>
  <si>
    <t>In company overview, in address details. branch should be there. Also remove the 2nd label called"address" since the header anyways says "Address Details"</t>
  </si>
  <si>
    <t>IIRM-3525</t>
  </si>
  <si>
    <t>Company Name in UI is much larger in the new UI. Change this UI in Engineering</t>
  </si>
  <si>
    <t>IIRM-3529</t>
  </si>
  <si>
    <t>Test data  &amp; Test script preparation for Broker contact</t>
  </si>
  <si>
    <t>IIRM-3530</t>
  </si>
  <si>
    <t>Test data  &amp; Test script preparation for TPA contact</t>
  </si>
  <si>
    <t>IIRM-3531</t>
  </si>
  <si>
    <t>Test data  &amp; Test script preparation for Insurer contact</t>
  </si>
  <si>
    <t>IIRM-3532</t>
  </si>
  <si>
    <t>Test data and Test script for Broker</t>
  </si>
  <si>
    <t>IIRM-3533</t>
  </si>
  <si>
    <t>Test data and Test script for TPA</t>
  </si>
  <si>
    <t>IIRM-3534</t>
  </si>
  <si>
    <t xml:space="preserve">UX Feedback </t>
  </si>
  <si>
    <t>IIRM-3535</t>
  </si>
  <si>
    <t>UX - Policy Hard Copy Receipt	After receiving policy hard copy from the insurer,</t>
  </si>
  <si>
    <t>IIRM-3536</t>
  </si>
  <si>
    <t>UX - Policy Docket	Defining dates for document submission</t>
  </si>
  <si>
    <t>IIRM-3537</t>
  </si>
  <si>
    <t>UX - Hand Over Meet	Schedule a physical meeting with the company to handover the policy docket.</t>
  </si>
  <si>
    <t>IIRM-3538</t>
  </si>
  <si>
    <t>UI - Held Cover Note	Provisional policy document to share with the company</t>
  </si>
  <si>
    <t>IIRM-3539</t>
  </si>
  <si>
    <t>UI - Policy Hard Copy Receipt	After receiving policy hard copy from the insurer,</t>
  </si>
  <si>
    <t>IIRM-3540</t>
  </si>
  <si>
    <t>UI - Policy Docket	Defining dates for document submission</t>
  </si>
  <si>
    <t>IIRM-3541</t>
  </si>
  <si>
    <t>UI - Hand Over Meet	Schedule a physical meeting with the company to handover the policy docket.</t>
  </si>
  <si>
    <t>IIRM-3542</t>
  </si>
  <si>
    <t>PO - Product Spec for Endorsements, Dashboards, Notifications</t>
  </si>
  <si>
    <t>IIRM-757 — SOW#30 - Manage Policy Endorsements</t>
  </si>
  <si>
    <t>IIRM-3543</t>
  </si>
  <si>
    <t>Product Spec for Dashboards &amp; Drilldowns</t>
  </si>
  <si>
    <t>IIRM-3542 — PO - Product Spec for Endorsements, Dashboards, Notifications</t>
  </si>
  <si>
    <t>IIRM-3544</t>
  </si>
  <si>
    <t>Product Spec for Notifications</t>
  </si>
  <si>
    <t>IIRM-3545</t>
  </si>
  <si>
    <t>Product Spec for Endorsements</t>
  </si>
  <si>
    <t>IIRM-3546</t>
  </si>
  <si>
    <t>UI - Manage TPA/Broker/Insurer - Test</t>
  </si>
  <si>
    <t>IIRM-3547</t>
  </si>
  <si>
    <t>IIRM: Contact: API: Date field accepts invalid/multiple date formats"</t>
  </si>
  <si>
    <t>IIRM-3548</t>
  </si>
  <si>
    <t>IIRM: Contact: API: Able to create a Company Contact with invalid linkedIn URL</t>
  </si>
  <si>
    <t>IIRM-3549</t>
  </si>
  <si>
    <t>IIRM: Contact: API: "Contact Query creation failed" error message is displayed</t>
  </si>
  <si>
    <t>IIRM-3550</t>
  </si>
  <si>
    <t>IIRM: Contact: API: Able to create a contact without contactTypeId</t>
  </si>
  <si>
    <t>IIRM-3551</t>
  </si>
  <si>
    <t>IIRM: Contact: API: "Location" field is missing in request payload</t>
  </si>
  <si>
    <t>IIRM-3552</t>
  </si>
  <si>
    <t>IIRM: Contact: API: Able to create a contact without Address</t>
  </si>
  <si>
    <t>IIRM-3553</t>
  </si>
  <si>
    <t>IIRM: Contact: API: Unable to create a contact with different phone number formats</t>
  </si>
  <si>
    <t>IIRM-3554</t>
  </si>
  <si>
    <t>Test Execution for TPA/Insurer/Broker</t>
  </si>
  <si>
    <t>IIRM-3555</t>
  </si>
  <si>
    <t>Database Tables Cleanup</t>
  </si>
  <si>
    <t>IIRM-3556</t>
  </si>
  <si>
    <t>Remove unused tables</t>
  </si>
  <si>
    <t>IIRM-3555 — Database Tables Cleanup</t>
  </si>
  <si>
    <t>IIRM-3557</t>
  </si>
  <si>
    <t>Rename inappropriately named tables</t>
  </si>
  <si>
    <t>IIRM-3558</t>
  </si>
  <si>
    <t>Rename inappropriately named columns</t>
  </si>
  <si>
    <t>IIRM-3559</t>
  </si>
  <si>
    <t>Test data and Test script for Insurer contact , TPA contact , Broker Contact</t>
  </si>
  <si>
    <t>IIRM-3560</t>
  </si>
  <si>
    <t>Test case Ececution for Insuer contact, broker contact, TPA conact</t>
  </si>
  <si>
    <t>IIRM-3561</t>
  </si>
  <si>
    <t>IIRM: Contact: API: UI: 400 thrown on Create Contact Without Qualification Details</t>
  </si>
  <si>
    <t>IIRM-3562</t>
  </si>
  <si>
    <t>IIRM : Contact: API: Get Contact API Failed to Retrieve Data</t>
  </si>
  <si>
    <t>IIRM-3563</t>
  </si>
  <si>
    <t>IIRM :Contact: Next Button Stuck on Loading After Validation Errors</t>
  </si>
  <si>
    <t>IIRM-3565</t>
  </si>
  <si>
    <t>IIRM: Contact: Unable to Select Year after 1900 in Professional Experience Calendar</t>
  </si>
  <si>
    <t>IIRM-3566</t>
  </si>
  <si>
    <t xml:space="preserve">Company contact Test cases execution </t>
  </si>
  <si>
    <t>IIRM-3567</t>
  </si>
  <si>
    <t>IIRM: Company: API: "noOfEmployees" field is accepting Negative numbers</t>
  </si>
  <si>
    <t>IIRM-3568</t>
  </si>
  <si>
    <t xml:space="preserve">Update API Test scripts and Execute test cases </t>
  </si>
  <si>
    <t>IIRM-3569</t>
  </si>
  <si>
    <t>IIRM :Contact: UI : System Allows Duplicate Contact Creation</t>
  </si>
  <si>
    <t>IIRM-3570</t>
  </si>
  <si>
    <t>IIRM: Contact: Contact Details Missing in List View for UI-Based contact creation</t>
  </si>
  <si>
    <t>IIRM-3575</t>
  </si>
  <si>
    <t>IIRM : Contact: UI: API : Thrown 400 error on Search by Contact name and Search by Branch Functionality</t>
  </si>
  <si>
    <t>IIRM-3576</t>
  </si>
  <si>
    <t>IIRM: Contact: UI : Invalid Linked URL Thrown on Contact Update</t>
  </si>
  <si>
    <t>IIRM-3577</t>
  </si>
  <si>
    <t>IIRM: Contact: UI: Self-User Appears in ReportingTo List When Editing Contact</t>
  </si>
  <si>
    <t>IIRM-3579</t>
  </si>
  <si>
    <t>Company : List page: Company Type Filter is missing for smart seach</t>
  </si>
  <si>
    <t>IIRM-3580</t>
  </si>
  <si>
    <t>IIRM: Company: "Group Company" and "Status" Fields Should Be in switch Format Instead of Dropdown</t>
  </si>
  <si>
    <t>IIRM-3581</t>
  </si>
  <si>
    <t>IIRM: Company: API: Country details are displayed as null by providing invalid ID</t>
  </si>
  <si>
    <t>IIRM-3582</t>
  </si>
  <si>
    <t>Company Create Page: Dollar Symbol ($) Displayed on "Annual Premium" Field for INR Currency</t>
  </si>
  <si>
    <t>IIRM-3583</t>
  </si>
  <si>
    <t>IIRM: Company: API: Error message is not user friendly</t>
  </si>
  <si>
    <t>IIRM-3584</t>
  </si>
  <si>
    <t>IIRM: Contact: UI : Display name not getting updated on editing first and last names</t>
  </si>
  <si>
    <t>IIRM-3585</t>
  </si>
  <si>
    <t>Manage Company List Page: "RO" Column Missing in Table but Available in Filters</t>
  </si>
  <si>
    <t>IIRM-3586</t>
  </si>
  <si>
    <t>IIRM: Company: API: "SentimentId" details are missing in the response payload</t>
  </si>
  <si>
    <t>IIRM-3587</t>
  </si>
  <si>
    <t>IIRM: Contact: Edit: Updated Personal Details Not Reflected After Saving Contact Edit</t>
  </si>
  <si>
    <t>IIRM-3588</t>
  </si>
  <si>
    <t>IIRM: Company: API: Able to create a company with invalid Email format and Phone number</t>
  </si>
  <si>
    <t>IIRM-3590</t>
  </si>
  <si>
    <t>IIRM: Contact: Edit: Edit Action Does Not Preserve Active Tab – Always Opens First Tab</t>
  </si>
  <si>
    <t>IIRM-3591</t>
  </si>
  <si>
    <t>Excute UI Test Cases for company</t>
  </si>
  <si>
    <t>IIRM-3592</t>
  </si>
  <si>
    <t>IIRM: Contact:Company: TPA: Insurer: Broker: Next Button Becomes Unresponsive When Remarks Field Reaches Max Characters with Styling Applied</t>
  </si>
  <si>
    <t>IIRM-3593</t>
  </si>
  <si>
    <t>IIRM: Contact: Personal details: Date of wedding Field Not Disabled When Marital Status Is Set to Single</t>
  </si>
  <si>
    <t>IIRM-3599</t>
  </si>
  <si>
    <t xml:space="preserve">Json formConfig and common form component refactor to separate the json and methods in it </t>
  </si>
  <si>
    <t>IIRM-3600</t>
  </si>
  <si>
    <t>POC - Quote Entry form</t>
  </si>
  <si>
    <t>IIRM-3601</t>
  </si>
  <si>
    <t>IIRM: Opportunity: Unable to create Opportunity with mandatory fields</t>
  </si>
  <si>
    <t>IIRM-3602</t>
  </si>
  <si>
    <t>UI - Insurer/TPA/Broker contact listing updates and styling</t>
  </si>
  <si>
    <t>IIRM-3603</t>
  </si>
  <si>
    <t>IIRM : Create company : Checkbox Missing for Selecting Newly Created/existing Company</t>
  </si>
  <si>
    <t>IIRM-3604</t>
  </si>
  <si>
    <t xml:space="preserve">Execute Test cases </t>
  </si>
  <si>
    <t>IIRM-3605</t>
  </si>
  <si>
    <t>IIRM: Insurer: TPA: Broker: Unable to Create Manage Insurer/TPA/Broker Without Providing Alternate Phone Number</t>
  </si>
  <si>
    <t>IIRM-3606</t>
  </si>
  <si>
    <t>IIRM: TPA: Broker: Insurer: Incorrect Validation Error When Phone Number and Email is Null in Communication Details</t>
  </si>
  <si>
    <t>IIRM-3607</t>
  </si>
  <si>
    <t>IIRM: TPA: Insurer: Contact: Bugs on Create and Edit process</t>
  </si>
  <si>
    <t>IIRM-3608</t>
  </si>
  <si>
    <t>IIRM: TPA: Broker: Insurer: Search Returns "No Data to Show" Despite Existing Records</t>
  </si>
  <si>
    <t>IIRM-3612</t>
  </si>
  <si>
    <t>IIRM_Contact_API: Create Contact API issues</t>
  </si>
  <si>
    <t>IIRM-3613</t>
  </si>
  <si>
    <t>Stepper functionality - Integration flow for Creating - Company - Contact- Opportunity</t>
  </si>
  <si>
    <t>IIRM-3614</t>
  </si>
  <si>
    <t>UI - Integration flow for Creating - Company - Contact- Opportunity</t>
  </si>
  <si>
    <t>IIRM-3615</t>
  </si>
  <si>
    <t xml:space="preserve">Company : API: Test data and test script for negative scenarios </t>
  </si>
  <si>
    <t>IIRM-3616</t>
  </si>
  <si>
    <t>IIRM-3496 — FR-MOPTY-01a Plan ISG Activities</t>
  </si>
  <si>
    <t>IIRM-3617</t>
  </si>
  <si>
    <t>IIRM-3497 — FR-MOPTY-01b Perform BD &amp; ISG Activities</t>
  </si>
  <si>
    <t>IIRM-3618</t>
  </si>
  <si>
    <t>IIRM-3498 — FR-MOPTY-07 RFP Details Entry Approval</t>
  </si>
  <si>
    <t>IIRM-3619</t>
  </si>
  <si>
    <t>FR-MOPTY-09 Manage Quotes</t>
  </si>
  <si>
    <t>IIRM-3425 — FR-MOPTY-09	Manage Quotes</t>
  </si>
  <si>
    <t>IIRM-3620</t>
  </si>
  <si>
    <t>IIRM: Company : Default Suggestions Overlap with Other Form Fields</t>
  </si>
  <si>
    <t>IIRM-3626</t>
  </si>
  <si>
    <t>Mail Box Integration - Integrate Email Inbox of the attached company</t>
  </si>
  <si>
    <t>IIRM-3627</t>
  </si>
  <si>
    <t>Traxcn Database Integration</t>
  </si>
  <si>
    <t>IIRM-3629</t>
  </si>
  <si>
    <t>IIRM: Company: Functional: Inconsistency in Cancel Functionality in Smart Search Section</t>
  </si>
  <si>
    <t>IIRM-3630</t>
  </si>
  <si>
    <t>IIRM: Opportunities: Search functionality: Based on the search data Quick cards should get updated</t>
  </si>
  <si>
    <t>IIRM-3632</t>
  </si>
  <si>
    <t>IIRM: Company: Functional: Atleast one column option should be checked</t>
  </si>
  <si>
    <t>IIRM-3633</t>
  </si>
  <si>
    <t>IIRM: Opportunities : Edit issues</t>
  </si>
  <si>
    <t>QA in Progress</t>
  </si>
  <si>
    <t>IIRM-3634</t>
  </si>
  <si>
    <t>IIRM: Opportunities : UI Issues</t>
  </si>
  <si>
    <t>IIRM-3635</t>
  </si>
  <si>
    <t>IIRM: Company: UI: Manage Company</t>
  </si>
  <si>
    <t>IIRM-3636</t>
  </si>
  <si>
    <t>IIRM: Company: Contact: Manage partners: UI issues</t>
  </si>
  <si>
    <t>IIRM-3637</t>
  </si>
  <si>
    <t>IIRM: Company: UI: Manage Company UI Issues</t>
  </si>
  <si>
    <t>IIRM-3638</t>
  </si>
  <si>
    <t>IIRM: Contact: "N/A" Displayed When Multiple Emails or Phone Numbers Are Provided</t>
  </si>
  <si>
    <t>IIRM-3639</t>
  </si>
  <si>
    <t>UI - Update the UI changes for Insurer / TPA / Broker Contact Form as per Figma Designs</t>
  </si>
  <si>
    <t>IIRM-3640</t>
  </si>
  <si>
    <t>IIRM: Contact: Address: Address Details &gt;1 address Not Displayed on Overview Page After Adding or Updating Contact</t>
  </si>
  <si>
    <t>IIRM-3641</t>
  </si>
  <si>
    <t>IIRM: TPA : Toolbar Formatting Not Reflected on Overview Page (e.g., Bold Text in Remarks)</t>
  </si>
  <si>
    <t>IIRM-3642</t>
  </si>
  <si>
    <t>Side menu will change - names and structure. The required structure is as follows:</t>
  </si>
  <si>
    <t>IIRM-3643</t>
  </si>
  <si>
    <t>Industry Intelligence – This section should have following sub headings to display the content:</t>
  </si>
  <si>
    <t>IIRM-3644</t>
  </si>
  <si>
    <t>Sales Pitch – this section should have following sub headings to display the content:</t>
  </si>
  <si>
    <t>IIRM-3645</t>
  </si>
  <si>
    <t>Potential Opportunities - this section should list all the potential opportunities as per company industry segment. For example:</t>
  </si>
  <si>
    <t>IIRM-3646</t>
  </si>
  <si>
    <t>In Insurer, instead of asking “is Life”, ask what type of insurance company with defined values in LOV.</t>
  </si>
  <si>
    <t>IIRM-3647</t>
  </si>
  <si>
    <t>In SO &amp; RO – provide functionality of defining the sales pitch. It will be user entry field.</t>
  </si>
  <si>
    <t>IIRM-3648</t>
  </si>
  <si>
    <t>Login Page Design: A fresh and visually appealing design is needed for the login page.</t>
  </si>
  <si>
    <t>IIRM-3649</t>
  </si>
  <si>
    <t>Look and Feel: We need to finalize the colour combination for the overall look and feel of the application</t>
  </si>
  <si>
    <t>IIRM-3650</t>
  </si>
  <si>
    <t>Label and Value Colour Differentiation: Clear differentiation between labels and values using distinct colours</t>
  </si>
  <si>
    <t>IIRM-3651</t>
  </si>
  <si>
    <t>Company and Contact Section: These elements should be emphasized, with sizes similar to the 'Lovable' layout</t>
  </si>
  <si>
    <t>IIRM-3652</t>
  </si>
  <si>
    <t>Additional Colours: Incorporate more colours to enhance the design.</t>
  </si>
  <si>
    <t>IIRM-3653</t>
  </si>
  <si>
    <t>Manage Companies: The cards should be larger, and excessive white space should be minimized for a cleaner look</t>
  </si>
  <si>
    <t>IIRM-3654</t>
  </si>
  <si>
    <t>Task and Meeting Notes: Notes related to tasks and meetings should be integrated into the Company and Contact pages</t>
  </si>
  <si>
    <t>IIRM-3655</t>
  </si>
  <si>
    <t>Motivation Messages: These should be more prominent and visually highlighted.</t>
  </si>
  <si>
    <t>IIRM-3656</t>
  </si>
  <si>
    <t>Tracxn Button Position: The Tracxn button should be moved to the right for better alignment</t>
  </si>
  <si>
    <t>IIRM-3657</t>
  </si>
  <si>
    <t>Contacts Section: A new tab called "Add Contacts" should be added to the Contacts section for easier access</t>
  </si>
  <si>
    <t>IIRM-3658</t>
  </si>
  <si>
    <t>Knowledge Central: A new tab for "Knowledge Central" should be included for seamless navigation.</t>
  </si>
  <si>
    <t>IIRM-768 — SOW#41 - Knowledge Central</t>
  </si>
  <si>
    <t>IIRM-3659</t>
  </si>
  <si>
    <t>CR - Change the Stepper % Calculation formula while creation of company, contact, opportunity, TPA, Insurer, Broker</t>
  </si>
  <si>
    <t>IIRM-5477 — CR In IIRM</t>
  </si>
  <si>
    <t>IIRM-3661</t>
  </si>
  <si>
    <t>Internal Demo Feedback on Milestone 1.1 - 8th May</t>
  </si>
  <si>
    <t>IIRM-3662</t>
  </si>
  <si>
    <t>Quick Cards - percentage of leads is not shown</t>
  </si>
  <si>
    <t>IIRM-3661 — Internal Demo Feedback on Milestone 1.1 - 8th May</t>
  </si>
  <si>
    <t>IIRM-3663</t>
  </si>
  <si>
    <t>Order of filters and snapshot  (when collapsed) is different</t>
  </si>
  <si>
    <t>IIRM-3664</t>
  </si>
  <si>
    <t xml:space="preserve">Default order of the table to be changed as per the design </t>
  </si>
  <si>
    <t>IIRM-3665</t>
  </si>
  <si>
    <t>Profile should be initials of the executive, it is BD right now</t>
  </si>
  <si>
    <t>IIRM-3666</t>
  </si>
  <si>
    <t>While sorting with priority level, Vimp should be the 1st one **</t>
  </si>
  <si>
    <t>IIRM-3667</t>
  </si>
  <si>
    <t>When 0 is present for any field, sorting is not working</t>
  </si>
  <si>
    <t>IIRM-3668</t>
  </si>
  <si>
    <t>Add company details to “Company name”</t>
  </si>
  <si>
    <t>IIRM-3669</t>
  </si>
  <si>
    <t>CTAs should be : Save &amp; Exit, Cancel, Next should be there</t>
  </si>
  <si>
    <t>IIRM-3670</t>
  </si>
  <si>
    <t>All fields are editable except Company Primary Name, currency and Country</t>
  </si>
  <si>
    <t>IIRM-3671</t>
  </si>
  <si>
    <t>Lead CRM name should be displayed</t>
  </si>
  <si>
    <t>IIRM-3672</t>
  </si>
  <si>
    <t>IIRM-3673</t>
  </si>
  <si>
    <t>IIRM-3674</t>
  </si>
  <si>
    <t>IIRM-3675</t>
  </si>
  <si>
    <t>Once next is clicked, go to top of the page</t>
  </si>
  <si>
    <t>IIRM-3676</t>
  </si>
  <si>
    <t>Currency symbol should be picked up from currency</t>
  </si>
  <si>
    <t>IIRM-3677</t>
  </si>
  <si>
    <t>Opportunities, policies tabs missing</t>
  </si>
  <si>
    <t>IIRM-3678</t>
  </si>
  <si>
    <t>Website link should display the actual website and not as ‘Website link’</t>
  </si>
  <si>
    <t>IIRM-3679</t>
  </si>
  <si>
    <t>Company’s website to Website, Company’s Number to Phone Number</t>
  </si>
  <si>
    <t>IIRM-3680</t>
  </si>
  <si>
    <t>If the form is not filled, exclamation should be shown instead of tick mark in the header</t>
  </si>
  <si>
    <t>IIRM-3681</t>
  </si>
  <si>
    <t>Phone number field names - Phone number, Alternate Phone Number</t>
  </si>
  <si>
    <t>IIRM-3682</t>
  </si>
  <si>
    <t>Show phone numbers against each address</t>
  </si>
  <si>
    <t>IIRM-3683</t>
  </si>
  <si>
    <t>Address Type: Branch, HQ, Warehouse, Factory, Corporate Office</t>
  </si>
  <si>
    <t>IIRM-3684</t>
  </si>
  <si>
    <t>Order of address is changing every time - so company contact number is changing (Primary address should be marked)</t>
  </si>
  <si>
    <t>IIRM-3685</t>
  </si>
  <si>
    <t>Country should be locked in the address details</t>
  </si>
  <si>
    <t>IIRM-3686</t>
  </si>
  <si>
    <t>Parent company LOV - remove companies which are already a group company</t>
  </si>
  <si>
    <t>IIRM-3687</t>
  </si>
  <si>
    <t xml:space="preserve">Personal Details: Spouse Section is different </t>
  </si>
  <si>
    <t>IIRM-3688</t>
  </si>
  <si>
    <t>Contact Information: Company Name is not there</t>
  </si>
  <si>
    <t>IIRM-3689</t>
  </si>
  <si>
    <t>Contact Information: LinkedIn link text is interfering with the next field value</t>
  </si>
  <si>
    <t>IIRM-3690</t>
  </si>
  <si>
    <t>email should be clickable (future scope)</t>
  </si>
  <si>
    <t>IIRM-3691</t>
  </si>
  <si>
    <t xml:space="preserve">Contact Details and Communication Details is confusing - Communication Details come under </t>
  </si>
  <si>
    <t>IIRM-3692</t>
  </si>
  <si>
    <t>Contact Name should be Display Name ideally</t>
  </si>
  <si>
    <t>IIRM-3693</t>
  </si>
  <si>
    <t xml:space="preserve">Search should be expanded to contact name, display name, Department, Designation, Phone number, email, company Name </t>
  </si>
  <si>
    <t>IIRM-3694</t>
  </si>
  <si>
    <t>Status should go to Filter</t>
  </si>
  <si>
    <t>IIRM-3695</t>
  </si>
  <si>
    <t>Organisation Name should be Company Name</t>
  </si>
  <si>
    <t>IIRM-3696</t>
  </si>
  <si>
    <t>Department should be a freeform text</t>
  </si>
  <si>
    <t>IIRM-3697</t>
  </si>
  <si>
    <t xml:space="preserve">Designation should be a freeform text </t>
  </si>
  <si>
    <t>IIRM-3698</t>
  </si>
  <si>
    <t xml:space="preserve">Reporting to: List should not include self </t>
  </si>
  <si>
    <t>IIRM-3699</t>
  </si>
  <si>
    <t xml:space="preserve">Relation Type to Relationship type </t>
  </si>
  <si>
    <t>IIRM-3700</t>
  </si>
  <si>
    <t>Hide Tag (Remove Tag in Backlog)</t>
  </si>
  <si>
    <t>IIRM-3701</t>
  </si>
  <si>
    <t>LinkedIn URL validation - tool tip is wrong</t>
  </si>
  <si>
    <t>IIRM-3702</t>
  </si>
  <si>
    <t xml:space="preserve">Company Location: Location drop down should have address type+line 1+city </t>
  </si>
  <si>
    <t>IIRM-3703</t>
  </si>
  <si>
    <t>Address Type: Contact Address Type should show Residence in LOV</t>
  </si>
  <si>
    <t>IIRM-3704</t>
  </si>
  <si>
    <t>No multiple addresses in Contact - Remove + Icon</t>
  </si>
  <si>
    <t>IIRM-3705</t>
  </si>
  <si>
    <t>Spouse's Name Date of Birth - Change to 'Spouse's Date of Birth'</t>
  </si>
  <si>
    <t>IIRM-3706</t>
  </si>
  <si>
    <t xml:space="preserve">Professional Experience: From Date should not be greater than To date </t>
  </si>
  <si>
    <t>IIRM-3707</t>
  </si>
  <si>
    <t>Regression Testing on Company/Contact/TPA/Insuer/Broker</t>
  </si>
  <si>
    <t>IIRM-3708</t>
  </si>
  <si>
    <t>UI - Milestone-1 Refactoring</t>
  </si>
  <si>
    <t>IIRM-3709</t>
  </si>
  <si>
    <t>Company: Sum of Sum Insured of SO,RO , Policy is not updated on company details screen</t>
  </si>
  <si>
    <t>IIRM-3711</t>
  </si>
  <si>
    <t>UI changes as per meeting on 12th May - Data Validation, KDM Meeting, Mandate Entry</t>
  </si>
  <si>
    <t>Keerthi Polepalle</t>
  </si>
  <si>
    <t>IIRM-3712</t>
  </si>
  <si>
    <t>UI: Implementing Contacts Sections</t>
  </si>
  <si>
    <t>Nikhil V</t>
  </si>
  <si>
    <t>IIRM-3713</t>
  </si>
  <si>
    <t>UI: Implementing Profiles Sections</t>
  </si>
  <si>
    <t>IIRM-3714</t>
  </si>
  <si>
    <t>CLONE - UI changes as per meeting on 12th May - Data Validation, KDM Meeting, Mandate Entry</t>
  </si>
  <si>
    <t>IIRM-3715</t>
  </si>
  <si>
    <t>AI Smart Addon Integration for Card and Document Reading</t>
  </si>
  <si>
    <t>IIRM-754 — SOW#27 - AI - Smart Adds</t>
  </si>
  <si>
    <t>IIRM-3716</t>
  </si>
  <si>
    <t>Implement the Regulatory Details and GST cards</t>
  </si>
  <si>
    <t>Karan Agarwal</t>
  </si>
  <si>
    <t>IIRM-3708 — UI - Milestone-1 Refactoring</t>
  </si>
  <si>
    <t>IIRM-3717</t>
  </si>
  <si>
    <t xml:space="preserve">Company details </t>
  </si>
  <si>
    <t>IIRM-3718</t>
  </si>
  <si>
    <t>Feedback updates and enhancements</t>
  </si>
  <si>
    <t>IIRM-3719</t>
  </si>
  <si>
    <t>Knowledge Transfer to Dev for activities</t>
  </si>
  <si>
    <t>IIRM-3720</t>
  </si>
  <si>
    <t>Company: Manage and Create page UI issues</t>
  </si>
  <si>
    <t>IIRM-3721</t>
  </si>
  <si>
    <t>Contact : Create and Manage list page issues</t>
  </si>
  <si>
    <t>IIRM-3722</t>
  </si>
  <si>
    <t>Company : Company details page Issues</t>
  </si>
  <si>
    <t>IIRM-3723</t>
  </si>
  <si>
    <t>Opportunity Issues</t>
  </si>
  <si>
    <t>IIRM-3724</t>
  </si>
  <si>
    <t>Opportunity: Requirement Analysis</t>
  </si>
  <si>
    <t>IIRM-3725</t>
  </si>
  <si>
    <t>Opportunity: API: Preparing Test Scripts and Documenting Test Data</t>
  </si>
  <si>
    <t>IIRM-3726</t>
  </si>
  <si>
    <t>Company_Contact_API: Bug fix verification and regression testing</t>
  </si>
  <si>
    <t>IIRM-3727</t>
  </si>
  <si>
    <t>IIRM: Create and update the test cycle for Oppotunity creation</t>
  </si>
  <si>
    <t>IIRM-3728</t>
  </si>
  <si>
    <t>Verify client feedback and link all open issues to the existing ones</t>
  </si>
  <si>
    <t>IIRM-3729</t>
  </si>
  <si>
    <t>Opportunity requriments and UX descussion</t>
  </si>
  <si>
    <t>IIRM-3730</t>
  </si>
  <si>
    <t>Removal of unused files and variables</t>
  </si>
  <si>
    <t>IIRM-3731</t>
  </si>
  <si>
    <t>Implement the Sentiment Chip based on the Figma.</t>
  </si>
  <si>
    <t>IIRM-3732</t>
  </si>
  <si>
    <t>Create Company : Default Country</t>
  </si>
  <si>
    <t>Prajakta Vijay Kadam</t>
  </si>
  <si>
    <t>IIRM-3733</t>
  </si>
  <si>
    <t>CREATE COMPANY_Inactive Status</t>
  </si>
  <si>
    <t>IIRM-3734</t>
  </si>
  <si>
    <t>IIRM-3735</t>
  </si>
  <si>
    <t>Multiple company creation on registration number</t>
  </si>
  <si>
    <t>IIRM-3737</t>
  </si>
  <si>
    <t>Unable to change status of the company to inactive</t>
  </si>
  <si>
    <t>IIRM-3738</t>
  </si>
  <si>
    <t>document upload option is missing</t>
  </si>
  <si>
    <t>IIRM-3739</t>
  </si>
  <si>
    <t>date of birth should not take todays date</t>
  </si>
  <si>
    <t>IIRM-3740</t>
  </si>
  <si>
    <t>pincode can be taken 000 or any 6 digit number</t>
  </si>
  <si>
    <t>IIRM-3741</t>
  </si>
  <si>
    <t>mobile number can be taken any like 5555</t>
  </si>
  <si>
    <t>IIRM-3742</t>
  </si>
  <si>
    <t>IIRM: Search : Filter icon fails to display upon search collapse action.</t>
  </si>
  <si>
    <t>IIRM-3743</t>
  </si>
  <si>
    <t>Create Company - Two companies with same registration no can be created</t>
  </si>
  <si>
    <t>IIRM-3744</t>
  </si>
  <si>
    <t>For create company for address options extension is added but can't be collapsed if we want to delete it</t>
  </si>
  <si>
    <t>IIRM-3745</t>
  </si>
  <si>
    <t>Create company - duplicate gst and PAN isnt accepted but registration number is accepted</t>
  </si>
  <si>
    <t>IIRM-3746</t>
  </si>
  <si>
    <t>Priority is changing-: Sometimes the priority is changing automatically</t>
  </si>
  <si>
    <t>IIRM-3747</t>
  </si>
  <si>
    <t>Company List-:When  we try to click the count in list view of company it is freezed</t>
  </si>
  <si>
    <t>IIRM-3748</t>
  </si>
  <si>
    <t>Create Contact - Company name must be freezed while creating contact however any company can be selected from the drop down currently</t>
  </si>
  <si>
    <t>IIRM-3749</t>
  </si>
  <si>
    <t xml:space="preserve"> portfolio-: Sometimes details entered during company creation aren't visible like contact mail and phone</t>
  </si>
  <si>
    <t>IIRM-3750</t>
  </si>
  <si>
    <t>After creating a company there should be a pop-up for successful creation</t>
  </si>
  <si>
    <t>IIRM-3751</t>
  </si>
  <si>
    <t>Manage Company -Randomly an error occurred while creating a company.  "Found company for selection"</t>
  </si>
  <si>
    <t>IIRM-3752</t>
  </si>
  <si>
    <t>portfolio-:sometimes details entered during company creation aren't visible like contact mail and phone</t>
  </si>
  <si>
    <t>IIRM-3753</t>
  </si>
  <si>
    <t>Menu navigation is tedious everytime.  Menu bar does not display description when cursor placed on any icon.  The arrow at the bottom needs to be clicked every time.  Also, it must be sequential</t>
  </si>
  <si>
    <t>IIRM-3754</t>
  </si>
  <si>
    <t>Company &amp; Contact Creation-: Once a company is created and add contact option is displayed the blue arrow doesn’t work.  Also there is a radio button which is not clickable</t>
  </si>
  <si>
    <t>IIRM-3755</t>
  </si>
  <si>
    <t>Currency should mandatory as per the localization aspects</t>
  </si>
  <si>
    <t>IIRM-764 — SOW#37 - Localisation</t>
  </si>
  <si>
    <t>IIRM-3756</t>
  </si>
  <si>
    <t>Company Quick Cards-: % option not available</t>
  </si>
  <si>
    <t>IIRM-3757</t>
  </si>
  <si>
    <t>What is the logic applied to display the names of "Lead CRM"</t>
  </si>
  <si>
    <t>IIRM-3758</t>
  </si>
  <si>
    <t>What is the logic applied to display the names of "Account Manager"</t>
  </si>
  <si>
    <t>IIRM-3759</t>
  </si>
  <si>
    <t>company creted with the name LIBAS is showing image for original LIBAS.  IS there any logic to control this</t>
  </si>
  <si>
    <t>IIRM-3760</t>
  </si>
  <si>
    <t>Role based login credentials must be available</t>
  </si>
  <si>
    <t>IIRM-3761</t>
  </si>
  <si>
    <t>Manage company- Edit company, enables Basic, Regulatory, Profile and Strategy section editable but seems modifying the data inernally eventhough there is no modification in all the sections.</t>
  </si>
  <si>
    <t>IIRM-3762</t>
  </si>
  <si>
    <t>API integration for Placement Slip Generation</t>
  </si>
  <si>
    <t>IIRM-3763</t>
  </si>
  <si>
    <t>API integration for Final Negotiation</t>
  </si>
  <si>
    <t>IIRM-3764</t>
  </si>
  <si>
    <t>API integration for Opty Planning</t>
  </si>
  <si>
    <t>IIRM-3765</t>
  </si>
  <si>
    <t>API intergration for Data Validation</t>
  </si>
  <si>
    <t>IIRM-3766</t>
  </si>
  <si>
    <t>API integration for Mandate Form</t>
  </si>
  <si>
    <t>IIRM-3767</t>
  </si>
  <si>
    <t>IIRM : Opportunity: Overview page: Linked Contact Details Not Displayed on Opportunity Overview Page</t>
  </si>
  <si>
    <t>IIRM-3769</t>
  </si>
  <si>
    <t>API integration for KDM Meeting</t>
  </si>
  <si>
    <t>IIRM-3770</t>
  </si>
  <si>
    <t>API integration for RFP Data Entry</t>
  </si>
  <si>
    <t>IIRM-3771</t>
  </si>
  <si>
    <t>API integration for Broking slip generation</t>
  </si>
  <si>
    <t>IIRM-3772</t>
  </si>
  <si>
    <t>API integration for for Manage Quotes</t>
  </si>
  <si>
    <t>IIRM-3773</t>
  </si>
  <si>
    <t>Integration for QCR generation</t>
  </si>
  <si>
    <t>IIRM-3774</t>
  </si>
  <si>
    <t>Integration for Premium Calculation</t>
  </si>
  <si>
    <t>IIRM-3775</t>
  </si>
  <si>
    <t>Integration for Policy Confirmation</t>
  </si>
  <si>
    <t>IIRM-3776</t>
  </si>
  <si>
    <t>Integration for Held Cover Note</t>
  </si>
  <si>
    <t>IIRM-3777</t>
  </si>
  <si>
    <t>Integration for Policy Hard Copy</t>
  </si>
  <si>
    <t>IIRM-3778</t>
  </si>
  <si>
    <t xml:space="preserve">IIRM: Test  cases Execution for Company And Contact </t>
  </si>
  <si>
    <t>IIRM-3779</t>
  </si>
  <si>
    <t xml:space="preserve">API integration for RFP Data Collection </t>
  </si>
  <si>
    <t>IIRM-3780</t>
  </si>
  <si>
    <t>IIRM: Company: Quick cards: The system should also show the percentage of the records shown in each quick card.</t>
  </si>
  <si>
    <t>IIRM-3781</t>
  </si>
  <si>
    <t>IIRM: Company: Company should have status values.</t>
  </si>
  <si>
    <t>IIRM-3782</t>
  </si>
  <si>
    <t>IIRM: Company : The system should not display company record having status as Inactive in the company list section.</t>
  </si>
  <si>
    <t>IIRM-3783</t>
  </si>
  <si>
    <t>IIRM: Company : Company details sections missing</t>
  </si>
  <si>
    <t>IIRM-3784</t>
  </si>
  <si>
    <t>IIRM: Company : The system should allow creation of new records or edit of existing data for all the sections in company detail.</t>
  </si>
  <si>
    <t>IIRM-3785</t>
  </si>
  <si>
    <t>IIRM : Company : The system should allow drill-down to respective entities from the various sections of company detail.</t>
  </si>
  <si>
    <t>IIRM-3786</t>
  </si>
  <si>
    <t>IIRM: Company : The system should allow to upload the relevant documents with appropriate segregation of the document type.</t>
  </si>
  <si>
    <t>IIRM-3787</t>
  </si>
  <si>
    <t>IIRM: Company: The system should allow addition of multiple records for the sections of company details.</t>
  </si>
  <si>
    <t>IIRM-3788</t>
  </si>
  <si>
    <t>IIRM: Contact: The system should have the functionality of making a contact as inactive contact.</t>
  </si>
  <si>
    <t>IIRM-3789</t>
  </si>
  <si>
    <t>IIRM: Contact : Update the hint text of the search field.</t>
  </si>
  <si>
    <t>IIRM-3790</t>
  </si>
  <si>
    <t>IIRM: Contacts: Few fields were missing on contact list view page.</t>
  </si>
  <si>
    <t>IIRM-3791</t>
  </si>
  <si>
    <t>Prepare API collection for performance testing</t>
  </si>
  <si>
    <t>IIRM-3794</t>
  </si>
  <si>
    <t>URL ISSUE</t>
  </si>
  <si>
    <t>IIRM-3795</t>
  </si>
  <si>
    <t>Contact Name - Special Characters</t>
  </si>
  <si>
    <t>IIRM-3796</t>
  </si>
  <si>
    <t xml:space="preserve">change the word reporting told in pop-up </t>
  </si>
  <si>
    <t>IIRM-3797</t>
  </si>
  <si>
    <t>Update the test script and test data for TPA/Insurer/Broker</t>
  </si>
  <si>
    <t>IIRM-3798</t>
  </si>
  <si>
    <t>Retesting the bugs on Company/Contact/TPA/Insurer/Broker</t>
  </si>
  <si>
    <t>IIRM-3799</t>
  </si>
  <si>
    <t xml:space="preserve">In contact information the email is not update after adding data to the email field in mange contact page </t>
  </si>
  <si>
    <t>IIRM-3800</t>
  </si>
  <si>
    <t>Font size options not there in drop down</t>
  </si>
  <si>
    <t>IIRM-3801</t>
  </si>
  <si>
    <t>Child gender is not getting captured</t>
  </si>
  <si>
    <t>IIRM-3802</t>
  </si>
  <si>
    <t>Smart Search Editing issue</t>
  </si>
  <si>
    <t>IIRM-3803</t>
  </si>
  <si>
    <t xml:space="preserve">reporting to </t>
  </si>
  <si>
    <t>IIRM-3804</t>
  </si>
  <si>
    <t>Contact Status- Inactive</t>
  </si>
  <si>
    <t>IIRM-3805</t>
  </si>
  <si>
    <t>Duplicate contact</t>
  </si>
  <si>
    <t>IIRM-3806</t>
  </si>
  <si>
    <t>Contact Search dept</t>
  </si>
  <si>
    <t>IIRM-3807</t>
  </si>
  <si>
    <t>IIRM: Verify QA Ready on both company and contact and update the environment data on postman</t>
  </si>
  <si>
    <t>IIRM-3808</t>
  </si>
  <si>
    <t>Prepare testcases for manage BD stages</t>
  </si>
  <si>
    <t>IIRM-3810</t>
  </si>
  <si>
    <t>Manage Contact - Tag can be seen in contact details but there is no field to add tag.  Please confirm</t>
  </si>
  <si>
    <t>IIRM-3811</t>
  </si>
  <si>
    <t>UI Workshop and UI tweaks</t>
  </si>
  <si>
    <t>IIRM-3814</t>
  </si>
  <si>
    <t>IIRM : Company : Unable to submit company creation.</t>
  </si>
  <si>
    <t>IIRM-3815</t>
  </si>
  <si>
    <t>IIRM : Contact: Residence option should be shown on selecting address type.</t>
  </si>
  <si>
    <t>IIRM-3816</t>
  </si>
  <si>
    <t>IIRM: Opportunities: Saved Sales Pitch Details Not Displayed on Opportunity Overview Page</t>
  </si>
  <si>
    <t>IIRM-3817</t>
  </si>
  <si>
    <t>Data Migration</t>
  </si>
  <si>
    <t>IIRM-3818</t>
  </si>
  <si>
    <t>Data Migrations - Expediting migration specs (static data (LOVs etc) + Company, contact, TPA, Insure for UAT)</t>
  </si>
  <si>
    <t>IIRM-3817 — Data Migration</t>
  </si>
  <si>
    <t>IIRM-3819</t>
  </si>
  <si>
    <t>Data Migrations - Close the final specs to migrate the transactional date</t>
  </si>
  <si>
    <t>IIRM-3820</t>
  </si>
  <si>
    <t>UAT setup readiness</t>
  </si>
  <si>
    <t>IIRM-3821</t>
  </si>
  <si>
    <t>Data Migrations - Masters screens with latest UI for feedback</t>
  </si>
  <si>
    <t>IIRM-3822</t>
  </si>
  <si>
    <t>Static dashboards specs</t>
  </si>
  <si>
    <t>IIRM-751 — SOW#24 - Dashboard &amp; Drilldowns</t>
  </si>
  <si>
    <t>IIRM-3823</t>
  </si>
  <si>
    <t>Data Migrations - Transaction screens with latest UI for feedback</t>
  </si>
  <si>
    <t>IIRM-3824</t>
  </si>
  <si>
    <t>Data Migrations - Policy configurator link for trials</t>
  </si>
  <si>
    <t>IIRM-3825</t>
  </si>
  <si>
    <t>Data Migrations - Link for enrolment based on policy configurator</t>
  </si>
  <si>
    <t>IIRM-3826</t>
  </si>
  <si>
    <t>IIRM: Across the application on the listing pages, there is no visual indication that the table is horizontally scrollable</t>
  </si>
  <si>
    <t>Prabhakar Mantripragada</t>
  </si>
  <si>
    <t>IIRM-3827</t>
  </si>
  <si>
    <t>Company Search - Display name</t>
  </si>
  <si>
    <t>IIRM-3828</t>
  </si>
  <si>
    <t>Can't  create Add company</t>
  </si>
  <si>
    <t>sathyusha</t>
  </si>
  <si>
    <t>IIRM-3829</t>
  </si>
  <si>
    <t>Verified build with - QA Ready bugs, Figma comparison.</t>
  </si>
  <si>
    <t>IIRM-3830</t>
  </si>
  <si>
    <t>IIRM: TPA Contact: Unable to add a new TPA/Broker/Insurer Contact</t>
  </si>
  <si>
    <t>IIRM-3831</t>
  </si>
  <si>
    <t xml:space="preserve">UI: Implementing Client feedback changes </t>
  </si>
  <si>
    <t>IIRM-3832</t>
  </si>
  <si>
    <t>IIRM: Contact: Insurer: Broker:TPA: Unable to create Insurer contact</t>
  </si>
  <si>
    <t>IIRM-3833</t>
  </si>
  <si>
    <t>IIRM_Company_UI: Company Flow UI Issues</t>
  </si>
  <si>
    <t>IIRM-3834</t>
  </si>
  <si>
    <t>IIRM: Manage contact: UI issues</t>
  </si>
  <si>
    <t>IIRM-3835</t>
  </si>
  <si>
    <t>IIRM_Company: Opportunity Details are not populated in the opportunity tab of company details</t>
  </si>
  <si>
    <t>IIRM-3836</t>
  </si>
  <si>
    <t>IIRM: Broker: Company type details not showning on Basic details card</t>
  </si>
  <si>
    <t>IIRM-3837</t>
  </si>
  <si>
    <t>CLONE - Company contact Test cases execution</t>
  </si>
  <si>
    <t>IIRM-3838 — QA- UI - Manage Contact Updates</t>
  </si>
  <si>
    <t>IIRM-3838</t>
  </si>
  <si>
    <t>QA- UI - Manage Contact Updates</t>
  </si>
  <si>
    <t>IIRM-3839</t>
  </si>
  <si>
    <t>CLONE - Execute Test cases</t>
  </si>
  <si>
    <t>IIRM-3842 — QA- UI Manage Opportunity updates</t>
  </si>
  <si>
    <t>IIRM-3840</t>
  </si>
  <si>
    <t>Opportunity: Requirement Analysis &amp; Test cases Preparation</t>
  </si>
  <si>
    <t>IIRM-3841</t>
  </si>
  <si>
    <t>IIRM-3842</t>
  </si>
  <si>
    <t>QA- UI Manage Opportunity updates</t>
  </si>
  <si>
    <t>IIRM-3843</t>
  </si>
  <si>
    <t>IIRM_Company_Pagination: Pagination Not Updating Correctly When Changing Records Per Page when user is on Last Page</t>
  </si>
  <si>
    <t>IIRM-3844</t>
  </si>
  <si>
    <t>Process</t>
  </si>
  <si>
    <t>Process Adherence - Sprint IIRM Sprint 7</t>
  </si>
  <si>
    <t>Automation for Jira</t>
  </si>
  <si>
    <t>IIRM-3845</t>
  </si>
  <si>
    <t>Process Sub Task</t>
  </si>
  <si>
    <t xml:space="preserve">Daily Standup </t>
  </si>
  <si>
    <t>IIRM-3844 — Process Adherence - Sprint IIRM Sprint 7</t>
  </si>
  <si>
    <t>IIRM-3846</t>
  </si>
  <si>
    <t xml:space="preserve">Daily Status Email from TL to PM </t>
  </si>
  <si>
    <t>IIRM-3847</t>
  </si>
  <si>
    <t>Daily Status Email from PM to Client</t>
  </si>
  <si>
    <t>IIRM-3848</t>
  </si>
  <si>
    <t>Log Hours in JIRA Tickets</t>
  </si>
  <si>
    <t>IIRM-3849</t>
  </si>
  <si>
    <t>Approve Timesheets</t>
  </si>
  <si>
    <t>IIRM-3850</t>
  </si>
  <si>
    <t>Design Review</t>
  </si>
  <si>
    <t>IIRM-3851</t>
  </si>
  <si>
    <t>Weekly Internal Demo</t>
  </si>
  <si>
    <t>IIRM-3852</t>
  </si>
  <si>
    <t xml:space="preserve">Create JIRA Tickets with acceptance criteria </t>
  </si>
  <si>
    <t>IIRM-3853</t>
  </si>
  <si>
    <t xml:space="preserve">Strategy Meeting with DM </t>
  </si>
  <si>
    <t>IIRM-3854</t>
  </si>
  <si>
    <t xml:space="preserve">Sprint Planning </t>
  </si>
  <si>
    <t>IIRM-3855</t>
  </si>
  <si>
    <t>Sprint Plan Presentation</t>
  </si>
  <si>
    <t>IIRM-3856</t>
  </si>
  <si>
    <t>Sprint Retrospective</t>
  </si>
  <si>
    <t>IIRM-3857</t>
  </si>
  <si>
    <t>Sprint Kickoff</t>
  </si>
  <si>
    <t>IIRM-3858</t>
  </si>
  <si>
    <t>Sprint Goals Email</t>
  </si>
  <si>
    <t>IIRM-3859</t>
  </si>
  <si>
    <t>UX - User Management</t>
  </si>
  <si>
    <t>IIRM-744 — SOW#17 - User Management</t>
  </si>
  <si>
    <t>IIRM-3860</t>
  </si>
  <si>
    <t>UX- User Management</t>
  </si>
  <si>
    <t>IIRM-3859 — UX - User Management</t>
  </si>
  <si>
    <t>IIRM-3861</t>
  </si>
  <si>
    <t>UI- User Management</t>
  </si>
  <si>
    <t>IIRM-3862</t>
  </si>
  <si>
    <t>UX - Dashboards</t>
  </si>
  <si>
    <t>IIRM-3863</t>
  </si>
  <si>
    <t>UX- Dashboards</t>
  </si>
  <si>
    <t>IIRM-3862 — UX - Dashboards</t>
  </si>
  <si>
    <t>IIRM-3864</t>
  </si>
  <si>
    <t>UI- Dashboards</t>
  </si>
  <si>
    <t>IIRM-3865</t>
  </si>
  <si>
    <t>IIRM: Contact: TPA: Broker: Insurer: Bugs</t>
  </si>
  <si>
    <t>IIRM-3866</t>
  </si>
  <si>
    <t>Integration for Policy Docket</t>
  </si>
  <si>
    <t>IIRM-3867</t>
  </si>
  <si>
    <t>Integration for Handover Meet</t>
  </si>
  <si>
    <t>IIRM-3868</t>
  </si>
  <si>
    <t>IIRM: Insurer: Create insurer and edit insurer issues</t>
  </si>
  <si>
    <t>IIRM-3869</t>
  </si>
  <si>
    <t>IIRM: Contact Insurer : Create and edit bugs</t>
  </si>
  <si>
    <t>IIRM-3870</t>
  </si>
  <si>
    <t>IIRM_AllFeatures: Common functional issues in all features</t>
  </si>
  <si>
    <t>IIRM-3871</t>
  </si>
  <si>
    <t>IIRM: Company : Strategy page: Text color not maintains same on potential opportunity field</t>
  </si>
  <si>
    <t>IIRM-3872</t>
  </si>
  <si>
    <t>IIRM_Insurer/Broker/TPA: UI Issues</t>
  </si>
  <si>
    <t>IIRM-3873</t>
  </si>
  <si>
    <t>IIRM_TPA/Insurer/Broker: Company name is not displayed in contact view details page</t>
  </si>
  <si>
    <t>IIRM-3874</t>
  </si>
  <si>
    <t>UI- Login Screen</t>
  </si>
  <si>
    <t>IIRM-3875</t>
  </si>
  <si>
    <t>UI- Feedback Changes</t>
  </si>
  <si>
    <t>IIRM-3876</t>
  </si>
  <si>
    <t>Company was added without submitting the details.</t>
  </si>
  <si>
    <t>IIRM-3877</t>
  </si>
  <si>
    <t>UI adjustment</t>
  </si>
  <si>
    <t>IIRM-3878</t>
  </si>
  <si>
    <t>Dollar signs mentioned in pre-fill.</t>
  </si>
  <si>
    <t>IIRM-3879</t>
  </si>
  <si>
    <t>Deleted companies are still visible in the company selection.</t>
  </si>
  <si>
    <t>IIRM-3880</t>
  </si>
  <si>
    <t>IIRM: Contact creation: inactive companies should not be available for contact creation</t>
  </si>
  <si>
    <t>IIRM-3881</t>
  </si>
  <si>
    <t>Contact : Edit: Status is not updated on editing a contact</t>
  </si>
  <si>
    <t>IIRM-3882</t>
  </si>
  <si>
    <t>IIRM: Company: Company got created without provided Area field on address.</t>
  </si>
  <si>
    <t>IIRM-3883</t>
  </si>
  <si>
    <t>IIRM_Company_API: "department and designation" values are displayed as objects</t>
  </si>
  <si>
    <t>IIRM-3884</t>
  </si>
  <si>
    <t>IIRM: Random console errors</t>
  </si>
  <si>
    <t>IIRM-3885</t>
  </si>
  <si>
    <t>Provide clickable link for +2 more in smart search section</t>
  </si>
  <si>
    <t>IIRM-3886</t>
  </si>
  <si>
    <t>IIRM: Floater duration should get increase</t>
  </si>
  <si>
    <t>IIRM-3887</t>
  </si>
  <si>
    <t>IIRM: Opportunities: Sum assured digits not getting restricted</t>
  </si>
  <si>
    <t>IIRM-3888</t>
  </si>
  <si>
    <t xml:space="preserve">Company: Arrow not clickable after company create , only proceed is clickable </t>
  </si>
  <si>
    <t>IIRM-3889</t>
  </si>
  <si>
    <t xml:space="preserve">IIRM: Stepper Percentage 75&amp; need to be Bright </t>
  </si>
  <si>
    <t>IIRM-3890</t>
  </si>
  <si>
    <t>IIRM_Company: Comma separator should be applied based on Currency Format after tab-out</t>
  </si>
  <si>
    <t>IIRM-3891</t>
  </si>
  <si>
    <t>IIRM: Opportunity: Filters: Contact dropdown lists Companies</t>
  </si>
  <si>
    <t>IIRM-3892</t>
  </si>
  <si>
    <t>Opportunity: Automatic claim% should be displayed on claim experience page</t>
  </si>
  <si>
    <t>IIRM-3893</t>
  </si>
  <si>
    <t>Bug Fixes</t>
  </si>
  <si>
    <t>IIRM-3894</t>
  </si>
  <si>
    <t>IIRM_Company: Creating a company with current logged in user should be the lead CRM of the company</t>
  </si>
  <si>
    <t>IIRM-3895</t>
  </si>
  <si>
    <t>IIRM: Perf: API: Multiple calls for APIs are made</t>
  </si>
  <si>
    <t>IIRM-3896</t>
  </si>
  <si>
    <t>IIRM_Company_Contact_Opportunity_API: Correct the date format to dd/mm/yyyy format</t>
  </si>
  <si>
    <t>IIRM-3897</t>
  </si>
  <si>
    <t>IIRM_Opportunity_API: Date fields are accepting Present and future dates</t>
  </si>
  <si>
    <t>IIRM-3898</t>
  </si>
  <si>
    <t>Unable to go ahead and create an opportunity</t>
  </si>
  <si>
    <t>IIRM-3899</t>
  </si>
  <si>
    <t>IIRM_Opportinities_ API: API allows to create opportunity with negative values</t>
  </si>
  <si>
    <t>IIRM-3900</t>
  </si>
  <si>
    <t>No Option to create opportunity from portfolio</t>
  </si>
  <si>
    <t>IIRM-3901</t>
  </si>
  <si>
    <t xml:space="preserve">IIRM_Opportunity_API: Able to create an opportunity with null value to the field "opportunityTypeLid" </t>
  </si>
  <si>
    <t>IIRM-3902</t>
  </si>
  <si>
    <t xml:space="preserve">IIRM_Opportunities_ API: Source field allows creation of an SO with Max+1 characters </t>
  </si>
  <si>
    <t>IIRM-3903</t>
  </si>
  <si>
    <t>Create Opportunity - Risk Location</t>
  </si>
  <si>
    <t>IIRM-3904</t>
  </si>
  <si>
    <t xml:space="preserve">Create Opportunity - Contact details not visible </t>
  </si>
  <si>
    <t>IIRM-3905</t>
  </si>
  <si>
    <t>Not able add new company because of unknow  pop-up</t>
  </si>
  <si>
    <t>IIRM-3906</t>
  </si>
  <si>
    <t>Green ticks for stages not completed is visible in progress bar</t>
  </si>
  <si>
    <t>IIRM-3907</t>
  </si>
  <si>
    <t>IIRM: Opportunity : On update Opportunity SO expiry date shows validation error</t>
  </si>
  <si>
    <t>IIRM-3908</t>
  </si>
  <si>
    <t>Create Opportunity - RO option freezed in the menu bar</t>
  </si>
  <si>
    <t>IIRM-3909</t>
  </si>
  <si>
    <t>Empty fields in list View- SO</t>
  </si>
  <si>
    <t>IIRM-3910</t>
  </si>
  <si>
    <t>company name can be change in EDIT SO</t>
  </si>
  <si>
    <t>IIRM-3911</t>
  </si>
  <si>
    <t>IIRM: Opportunity : Decimal values are getting captured in the Sum Insured field</t>
  </si>
  <si>
    <t>IIRM-3912</t>
  </si>
  <si>
    <t>Add a word limit to the all text box like sales pitch,remarks in SO module,</t>
  </si>
  <si>
    <t>IIRM-3913</t>
  </si>
  <si>
    <t>Company Status - Under review</t>
  </si>
  <si>
    <t>IIRM-3914</t>
  </si>
  <si>
    <t>IIRM_Opportunity_API: Invalid Status Code and  Status text is displayed</t>
  </si>
  <si>
    <t>IIRM-3915</t>
  </si>
  <si>
    <t>Not able search with contact in manage insurer</t>
  </si>
  <si>
    <t>IIRM-3916</t>
  </si>
  <si>
    <t>There is no option to make contact as in-active</t>
  </si>
  <si>
    <t>IIRM-3917</t>
  </si>
  <si>
    <t>When user click on Designation to sort, the data disappears and keeps on loading.</t>
  </si>
  <si>
    <t>IIRM-3918</t>
  </si>
  <si>
    <t>Broker Branch issue</t>
  </si>
  <si>
    <t>IIRM-3919</t>
  </si>
  <si>
    <t>Inactive contact</t>
  </si>
  <si>
    <t>IIRM-3920</t>
  </si>
  <si>
    <t>The functionality to open WhatsApp Web when clicking on Contact is missing.</t>
  </si>
  <si>
    <t>IIRM-3921</t>
  </si>
  <si>
    <t>On same contact user can create multiple insure contact</t>
  </si>
  <si>
    <t>IIRM-3922</t>
  </si>
  <si>
    <t>UI- Development Tasks and Meetings</t>
  </si>
  <si>
    <t>IIRM-3923</t>
  </si>
  <si>
    <t xml:space="preserve">UI - Screen Development for Tasks </t>
  </si>
  <si>
    <t>IIRM-3922 — UI- Development Tasks and Meetings</t>
  </si>
  <si>
    <t>IIRM-3924</t>
  </si>
  <si>
    <t>UI - Screen Development for Meetings</t>
  </si>
  <si>
    <t>IIRM-3925</t>
  </si>
  <si>
    <t>UI - Screen Development for Notes</t>
  </si>
  <si>
    <t>IIRM-3926</t>
  </si>
  <si>
    <t xml:space="preserve">UI - Integrate API for Tasks , Meetings and Notes </t>
  </si>
  <si>
    <t>IIRM-3927</t>
  </si>
  <si>
    <t>Opportunity: Blank screen displayed on selecting policy type in Opportunity List page</t>
  </si>
  <si>
    <t>IIRM-3928</t>
  </si>
  <si>
    <t>IIRM: Create company: For filters we don't have a cancel option to close the filter</t>
  </si>
  <si>
    <t>IIRM-3929</t>
  </si>
  <si>
    <t>Login Page creation and dashboard screen</t>
  </si>
  <si>
    <t>IIRM-3930</t>
  </si>
  <si>
    <t>IIRM: Company: Floater issues</t>
  </si>
  <si>
    <t>IIRM-3931</t>
  </si>
  <si>
    <t>IIRM: Login page: Login details were not center aligned.</t>
  </si>
  <si>
    <t>IIRM-3932</t>
  </si>
  <si>
    <t>IIRM: Company: No Toast Message or Field Navigation on Validation Failure</t>
  </si>
  <si>
    <t>IIRM-3933</t>
  </si>
  <si>
    <t>IIRM: Opportunity: Commas not showing for Estimated fee field on overview page</t>
  </si>
  <si>
    <t>IIRM-3934</t>
  </si>
  <si>
    <t>IIRM: Company: Overview page issues</t>
  </si>
  <si>
    <t>IIRM-3935</t>
  </si>
  <si>
    <t>IIRM: All Features : Sales Pitch Details(Rich Text Fields) Displaying with HTML Tags (e.g., &lt;p&gt;) Instead of Rendered Text</t>
  </si>
  <si>
    <t>IIRM-3936</t>
  </si>
  <si>
    <t>IIRM:  Company &amp; Contact test cases Execution and updated test cycle</t>
  </si>
  <si>
    <t>IIRM-3937</t>
  </si>
  <si>
    <t>IIRM: TPA/Insurer/Broker test case Exection and upadate test cycle</t>
  </si>
  <si>
    <t>IIRM-3938</t>
  </si>
  <si>
    <t>IIRM: Opportunity test cases execution and update the test cycle</t>
  </si>
  <si>
    <t>IIRM-3939</t>
  </si>
  <si>
    <t>Smart Search Options</t>
  </si>
  <si>
    <t>IIRM-3940</t>
  </si>
  <si>
    <t xml:space="preserve">IIRM: Bugfixes verification and regression testing on UAT issues </t>
  </si>
  <si>
    <t>IIRM-3941</t>
  </si>
  <si>
    <t>Create Opportunities - Contact not populated in SO</t>
  </si>
  <si>
    <t>IIRM-3942</t>
  </si>
  <si>
    <t>SO smartsearch filter - contact</t>
  </si>
  <si>
    <t>IIRM-3943</t>
  </si>
  <si>
    <t>System log out</t>
  </si>
  <si>
    <t>IIRM-3944</t>
  </si>
  <si>
    <t>SO Smart Search - Leads filter is not showing and leads</t>
  </si>
  <si>
    <t>IIRM-3945</t>
  </si>
  <si>
    <t>Date Selection</t>
  </si>
  <si>
    <t>IIRM-3946</t>
  </si>
  <si>
    <t>IIRM_Opportunity_API: Correct the error messages</t>
  </si>
  <si>
    <t>IIRM-3947</t>
  </si>
  <si>
    <t>Lead CRM in SO details view is blank</t>
  </si>
  <si>
    <t>IIRM-3948</t>
  </si>
  <si>
    <t>Add contacts - Multiple email and phone nos entry</t>
  </si>
  <si>
    <t>IIRM-3949</t>
  </si>
  <si>
    <t>IIRM_Opportunity_UI &amp; API: Company Name field should be disable while editing the opportunity</t>
  </si>
  <si>
    <t>IIRM-3950</t>
  </si>
  <si>
    <t>Defining global configuration to get and store RBAC data</t>
  </si>
  <si>
    <t>IIRM-3382 — User Management &amp; RBAC</t>
  </si>
  <si>
    <t>IIRM-3951</t>
  </si>
  <si>
    <t>Defining and Implementation of AuthGuards for all the necessary pages</t>
  </si>
  <si>
    <t>IIRM-3952</t>
  </si>
  <si>
    <t>RBAC Framework Implementation</t>
  </si>
  <si>
    <t>IIRM-3953</t>
  </si>
  <si>
    <t>Defining and implementing access restriction functionality on interactions all over the application - Company,Contact</t>
  </si>
  <si>
    <t>IIRM-3954</t>
  </si>
  <si>
    <t>RBAC Implementation on Each API by Auth and Role gaurds</t>
  </si>
  <si>
    <t>IIRM-3955</t>
  </si>
  <si>
    <t>Defining and implementing access restriction functionality on interactions all over the application - TPA, Broker, Insurer</t>
  </si>
  <si>
    <t>IIRM-3956</t>
  </si>
  <si>
    <t>RBAC Master setup/Update master tables and insert the seed data</t>
  </si>
  <si>
    <t>IIRM-3957</t>
  </si>
  <si>
    <t>Defining and implementing access restriction functionality on interactions all over the application - Opportunity create and manage</t>
  </si>
  <si>
    <t>IIRM-3958</t>
  </si>
  <si>
    <t>Common API to fetch the RBAC details by page, by entity, or overall details</t>
  </si>
  <si>
    <t>IIRM-3959</t>
  </si>
  <si>
    <t>RBAC tagging and custom access</t>
  </si>
  <si>
    <t>IIRM-3960</t>
  </si>
  <si>
    <t>Entity approval process based on the RBAC and ACL hierarchy</t>
  </si>
  <si>
    <t>IIRM-3961</t>
  </si>
  <si>
    <t>API to fetch the user hierarchy</t>
  </si>
  <si>
    <t>IIRM-3962</t>
  </si>
  <si>
    <t>Apply filters based on the org hierarchy</t>
  </si>
  <si>
    <t>IIRM-3963</t>
  </si>
  <si>
    <t>Validating and testing the RBAC with all possible user roles and access privileges</t>
  </si>
  <si>
    <t>IIRM-3964</t>
  </si>
  <si>
    <t>IIRM_Company_API: Able to create a company with invalid Ids</t>
  </si>
  <si>
    <t>IIRM-3965</t>
  </si>
  <si>
    <t>RBAC Backend</t>
  </si>
  <si>
    <t>IIRM-3966</t>
  </si>
  <si>
    <t>Dates displayed in SO details</t>
  </si>
  <si>
    <t>IIRM-3967</t>
  </si>
  <si>
    <t>Company : Error messgae text correction on create company form</t>
  </si>
  <si>
    <t>IIRM-3968</t>
  </si>
  <si>
    <t>IIRM: Login page: Intelligence-related text is not displayed in a single line</t>
  </si>
  <si>
    <t>IIRM-3969</t>
  </si>
  <si>
    <t>IIRM: Company : Lead CRM is not shown by default during company creation</t>
  </si>
  <si>
    <t>IIRM-3970</t>
  </si>
  <si>
    <t>Company Creation- No error displayed</t>
  </si>
  <si>
    <t>IIRM-3971</t>
  </si>
  <si>
    <t>UI- screen dev for display of tasks</t>
  </si>
  <si>
    <t>IIRM-3972</t>
  </si>
  <si>
    <t>UI- screen dev for display of meetings and notes</t>
  </si>
  <si>
    <t>IIRM-3974</t>
  </si>
  <si>
    <t>IIRM-750 — SOW#23 - Document Management - CMS</t>
  </si>
  <si>
    <t>IIRM-3975</t>
  </si>
  <si>
    <t>Backend- Knowledge Central</t>
  </si>
  <si>
    <t>IIRM-3974 — Knowledge Central</t>
  </si>
  <si>
    <t>IIRM-3976</t>
  </si>
  <si>
    <t>Frontend- Knowledge Central</t>
  </si>
  <si>
    <t>IIRM-3977</t>
  </si>
  <si>
    <t>Manage Broker - Cannot search by department and Designation</t>
  </si>
  <si>
    <t>IIRM-3978</t>
  </si>
  <si>
    <t xml:space="preserve">unable fetch the data if user search with full TPA contact name </t>
  </si>
  <si>
    <t>IIRM-3979</t>
  </si>
  <si>
    <t>IIRM_Opportunity_API: Failed to retrieve opportunities list</t>
  </si>
  <si>
    <t>IIRM-3980</t>
  </si>
  <si>
    <t>Phone no not synced in broker details</t>
  </si>
  <si>
    <t>IIRM-3981</t>
  </si>
  <si>
    <t>IIRM_Company_API: Mismatch between create company API request and response body fields</t>
  </si>
  <si>
    <t>IIRM-3982</t>
  </si>
  <si>
    <t>Filter are not available in TPA CONTACT</t>
  </si>
  <si>
    <t>IIRM-3983</t>
  </si>
  <si>
    <t>manage broker, insurer&amp; tpa</t>
  </si>
  <si>
    <t>IIRM-3984</t>
  </si>
  <si>
    <t>IIRM_Opportunity_API: previousPlacementDetails are displayed twice in opportunity response body</t>
  </si>
  <si>
    <t>IIRM-3985</t>
  </si>
  <si>
    <t>Manage: So: Planing Stage  UI issues</t>
  </si>
  <si>
    <t>IIRM-3986</t>
  </si>
  <si>
    <t>Manage SO: Data validation  and KDM meeting UI/UX Mismatch</t>
  </si>
  <si>
    <t>IIRM-3987</t>
  </si>
  <si>
    <t>IIRM: Contact: Missing 'Residence' in Address Type and Remarks Not Displayed on Contact Overview Page</t>
  </si>
  <si>
    <t>IIRM-3988</t>
  </si>
  <si>
    <t>IIRM: Opportunities: Opty Stages UI issues</t>
  </si>
  <si>
    <t>IIRM-3989</t>
  </si>
  <si>
    <t>Additional Participants UI control should show only the firstname</t>
  </si>
  <si>
    <t>Richa Bagchi Mazumdar</t>
  </si>
  <si>
    <t>IIRM-3990</t>
  </si>
  <si>
    <t>Target Date for the activities - second condition to be fixed - allow users to change the date after the lead days from opty start date.</t>
  </si>
  <si>
    <t>IIRM-3991</t>
  </si>
  <si>
    <t>Make planning stages clickable to navigate to the corresponding sections</t>
  </si>
  <si>
    <t>IIRM-3992</t>
  </si>
  <si>
    <t>Number the according control labels from 1..15</t>
  </si>
  <si>
    <t>IIRM-3993</t>
  </si>
  <si>
    <t>Users need to create the tasks</t>
  </si>
  <si>
    <t>IIRM-3994</t>
  </si>
  <si>
    <t>Users can create the tasks from anywhere</t>
  </si>
  <si>
    <t>IIRM-3995</t>
  </si>
  <si>
    <t>Blanks on the right side should be covered</t>
  </si>
  <si>
    <t>IIRM-3996</t>
  </si>
  <si>
    <t xml:space="preserve">UX - Creation View </t>
  </si>
  <si>
    <t>IIRM-3997</t>
  </si>
  <si>
    <t>UX - Calendar view</t>
  </si>
  <si>
    <t>IIRM-3999</t>
  </si>
  <si>
    <t>IIRM-4000</t>
  </si>
  <si>
    <t>IIRM: Opportunity: Linked opportunities associated with a company are not visible on the Create Company page</t>
  </si>
  <si>
    <t>IIRM-4001</t>
  </si>
  <si>
    <t>UI: Contacts &amp; Company Bugs Management</t>
  </si>
  <si>
    <t>IIRM-4002</t>
  </si>
  <si>
    <t>IIRM: Insuer/TPA/Broker contact  PI test cases updation with latest changes</t>
  </si>
  <si>
    <t>IIRM-4003</t>
  </si>
  <si>
    <t>dev support</t>
  </si>
  <si>
    <t>IIRM-3359 — Design - Lead Tasks</t>
  </si>
  <si>
    <t>IIRM-4004</t>
  </si>
  <si>
    <t>IIRM: Opportunity stages: UI issues</t>
  </si>
  <si>
    <t>IIRM-4005</t>
  </si>
  <si>
    <t>IIRM: Login page and Dashboard page as per Kapil's recommendation</t>
  </si>
  <si>
    <t>IIRM-4006</t>
  </si>
  <si>
    <t>IIRM: Stepper field names are not fully visible on Create/Edit page</t>
  </si>
  <si>
    <t>IIRM-4007</t>
  </si>
  <si>
    <t>The date of incorporate is limited to 1900.  However, there are some famous companies which were incorporated in the 19th century.  If this is as per requirement no changes required.</t>
  </si>
  <si>
    <t>IIRM-4008</t>
  </si>
  <si>
    <t>AI - Smart Adds</t>
  </si>
  <si>
    <t>IIRM-4009</t>
  </si>
  <si>
    <t>Smart Assistance Design</t>
  </si>
  <si>
    <t>IIRM-4008 — AI - Smart Adds</t>
  </si>
  <si>
    <t>IIRM-4010</t>
  </si>
  <si>
    <t>Smart Assistance Engineering</t>
  </si>
  <si>
    <t>IIRM-4011</t>
  </si>
  <si>
    <t>KT to dev team</t>
  </si>
  <si>
    <t>IIRM-4012</t>
  </si>
  <si>
    <t>Process Adherence - Sprint IIRM Sprint 8</t>
  </si>
  <si>
    <t>IIRM-4013</t>
  </si>
  <si>
    <t>IIRM-4012 — Process Adherence - Sprint IIRM Sprint 8</t>
  </si>
  <si>
    <t>IIRM-4014</t>
  </si>
  <si>
    <t>IIRM-4015</t>
  </si>
  <si>
    <t>IIRM-4016</t>
  </si>
  <si>
    <t>IIRM-4017</t>
  </si>
  <si>
    <t>IIRM-4018</t>
  </si>
  <si>
    <t>IIRM-4019</t>
  </si>
  <si>
    <t>IIRM-4020</t>
  </si>
  <si>
    <t>IIRM-4021</t>
  </si>
  <si>
    <t>IIRM-4022</t>
  </si>
  <si>
    <t>IIRM-4023</t>
  </si>
  <si>
    <t>IIRM-4024</t>
  </si>
  <si>
    <t>IIRM-4025</t>
  </si>
  <si>
    <t>IIRM-4026</t>
  </si>
  <si>
    <t>IIRM-4027</t>
  </si>
  <si>
    <t>IIRM: Company Create: Address Fields Not Retained When Navigating Back Basic Details</t>
  </si>
  <si>
    <t>IIRM-4028</t>
  </si>
  <si>
    <t>IIRM: Edit Company: Jerk shown on edit company(name) details page</t>
  </si>
  <si>
    <t>IIRM-4044</t>
  </si>
  <si>
    <t>The Date of Incorporation changes automatically when clicking on Annual Premium field.</t>
  </si>
  <si>
    <t>IIRM-4045</t>
  </si>
  <si>
    <t>Map Integrations</t>
  </si>
  <si>
    <t>IIRM-4046</t>
  </si>
  <si>
    <t>Whatsapp Integrations</t>
  </si>
  <si>
    <t>IIRM-4048</t>
  </si>
  <si>
    <t>Notifications</t>
  </si>
  <si>
    <t>IIRM-4050</t>
  </si>
  <si>
    <t>IIRM: Opty stages: Unable to Expand Stages When Clicking on Opty Activities</t>
  </si>
  <si>
    <t>IIRM-4052</t>
  </si>
  <si>
    <t>In the create contact , the placeholder says "Create Company" instead of "Create Contact", which is confusing for users.</t>
  </si>
  <si>
    <t>IIRM-4053</t>
  </si>
  <si>
    <t>The "Manage Placement" dropdown should be disabled or shown in a light color, since it's not used right now and may confuse users.</t>
  </si>
  <si>
    <t>IIRM-4054</t>
  </si>
  <si>
    <t>IIRM: Opportunity: Oops something went wrong show on edit Opportunity details.</t>
  </si>
  <si>
    <t>IIRM-4055</t>
  </si>
  <si>
    <t>There’s no scroll bar on the home page to view all the text.</t>
  </si>
  <si>
    <t>IIRM-4056</t>
  </si>
  <si>
    <t>navigation issue in add contact</t>
  </si>
  <si>
    <t>IIRM-4057</t>
  </si>
  <si>
    <t>In the SO screen, when an  SO expired  date is selected and the user clicks on the Premium Paid field, the date changes automatically.</t>
  </si>
  <si>
    <t>IIRM-4058</t>
  </si>
  <si>
    <t>Unable submit  MY SO because of  pop-up appeared "can't PUT /opportunity"</t>
  </si>
  <si>
    <t>IIRM-4059</t>
  </si>
  <si>
    <t>unable to edit my so (opportunity)</t>
  </si>
  <si>
    <t>IIRM-4060</t>
  </si>
  <si>
    <t>The Sales Funnel Graph and Funnel Effective Graph are missing from the Manage Opportunity screen. These graphs are mentioned in FR-SO-04 but are not currently visible in the UI.</t>
  </si>
  <si>
    <t>IIRM-4061</t>
  </si>
  <si>
    <t>In the My SO screen, when using the filter and selecting a contact, it only shows the first three digits of the contact number.</t>
  </si>
  <si>
    <t>IIRM-4062</t>
  </si>
  <si>
    <t>In the My SO screen, the contact number is not displayed in the contact row. The field appears completely blank even though a contact is linked.</t>
  </si>
  <si>
    <t>IIRM-4063</t>
  </si>
  <si>
    <t>Keep a scrollbar in the left handside menu</t>
  </si>
  <si>
    <t>IIRM-4064</t>
  </si>
  <si>
    <t>TPA - City search</t>
  </si>
  <si>
    <t>IIRM-4065</t>
  </si>
  <si>
    <t>SO Header space</t>
  </si>
  <si>
    <t>IIRM-4066</t>
  </si>
  <si>
    <t>If the target date is greater than the expiry date, show a popup saying: "Target Date cannot be greater than Expiry Date." ONLY BD activity.</t>
  </si>
  <si>
    <t>IIRM-4067</t>
  </si>
  <si>
    <t>There is not option of tagging previous insurance address,company.etc.  option  as per BRD FR-SO-13 IN MY SO</t>
  </si>
  <si>
    <t>IIRM-4068</t>
  </si>
  <si>
    <t>There is no option of tagging pervious broker address ,company etc as per BRD FR-SO-14 IN MY SO</t>
  </si>
  <si>
    <t>IIRM-4069</t>
  </si>
  <si>
    <t>There is no option of tagging perviousTPA address ,company etc as per BRD FR-SO-15 IN my SO</t>
  </si>
  <si>
    <t>IIRM-4070</t>
  </si>
  <si>
    <t>all field  data are missing in previous placement details in MY SO</t>
  </si>
  <si>
    <t>IIRM-4071</t>
  </si>
  <si>
    <t>IIRM: Broker: Validation error for display name is not getting removed on Create Broker process</t>
  </si>
  <si>
    <t>IIRM-4072</t>
  </si>
  <si>
    <t>IIRM: Manage SO: Fail to retrive the data while opening "My SO" page</t>
  </si>
  <si>
    <t>IIRM-4073</t>
  </si>
  <si>
    <t>multiple address can't be able added and lot of confusion for the user  after adding the address in risk location</t>
  </si>
  <si>
    <t>IIRM-4074</t>
  </si>
  <si>
    <t xml:space="preserve">Claim percentage is not automatically calculated based on the premium amount in SO </t>
  </si>
  <si>
    <t>IIRM-4075</t>
  </si>
  <si>
    <t>The Contact field is showing the Company Name in the filters on the My Opportunity screen.</t>
  </si>
  <si>
    <t>IIRM-4076</t>
  </si>
  <si>
    <t>IIRM: Broker: Automation scripts for broker test cases</t>
  </si>
  <si>
    <t>IIRM-4077</t>
  </si>
  <si>
    <t>IIRM: Broker: Automation scripts for broker contact test cases</t>
  </si>
  <si>
    <t>IIRM-4078</t>
  </si>
  <si>
    <t xml:space="preserve">IIRM: TPA/Insuer/broker and contact bugfixes verification and regression tesing </t>
  </si>
  <si>
    <t>IIRM-4079</t>
  </si>
  <si>
    <t>IIRM:Automation test script for Insurer test cases</t>
  </si>
  <si>
    <t>IIRM-4080</t>
  </si>
  <si>
    <t>IIRM:Automation test script for Insurer contact test cases</t>
  </si>
  <si>
    <t>IIRM-4081</t>
  </si>
  <si>
    <t>IIRM: Company and Contact bugfixes and regression testing</t>
  </si>
  <si>
    <t>IIRM-4082</t>
  </si>
  <si>
    <t>IIRM: Support contact number not displayed on Overview page</t>
  </si>
  <si>
    <t>IIRM-4083</t>
  </si>
  <si>
    <t>Task and meetings Drag n drop feature</t>
  </si>
  <si>
    <t>IIRM-4084</t>
  </si>
  <si>
    <t>Localization of Srilanka</t>
  </si>
  <si>
    <t>IIRM-4085</t>
  </si>
  <si>
    <t>IIRM: TPA: Requirement missing</t>
  </si>
  <si>
    <t>IIRM-4086</t>
  </si>
  <si>
    <t>Client Feedback - 29th May</t>
  </si>
  <si>
    <t>IIRM-4087</t>
  </si>
  <si>
    <t>Company - When you are creating a company and reaching a contact we need messaging</t>
  </si>
  <si>
    <t>IIRM-4086 — Client Feedback - 29th May</t>
  </si>
  <si>
    <t>IIRM-4088</t>
  </si>
  <si>
    <t>Company- Dev application - exit (from integrated flow)</t>
  </si>
  <si>
    <t>IIRM-4089</t>
  </si>
  <si>
    <t>Company- Extra screens for business card flow in integrated flow ( just for showcase)</t>
  </si>
  <si>
    <t>IIRM-4090</t>
  </si>
  <si>
    <t>Company- Breadcrumb messaging and exit - check</t>
  </si>
  <si>
    <t>IIRM-4091</t>
  </si>
  <si>
    <t>Company- Rename exit to cancel and go back to where we started</t>
  </si>
  <si>
    <t>IIRM-4092</t>
  </si>
  <si>
    <t>Company- Give a back button for the previous step (can be fixed with breadcrumb)</t>
  </si>
  <si>
    <t>IIRM-4093</t>
  </si>
  <si>
    <t>Company- Extra screens for filtering task message etc on side panel ( just for showcase)</t>
  </si>
  <si>
    <t>IIRM-4094</t>
  </si>
  <si>
    <t>Knowledge Central- Reverse sort by uploaded date</t>
  </si>
  <si>
    <t>IIRM-4095</t>
  </si>
  <si>
    <t>Knowledge Central- Add document upload (for people with privilege)</t>
  </si>
  <si>
    <t>IIRM-4096</t>
  </si>
  <si>
    <t xml:space="preserve">Knowledge Central- Side panel as well with doc type </t>
  </si>
  <si>
    <t>IIRM-4097</t>
  </si>
  <si>
    <t>Knowledge Central- Edit Privilege opens side panel and re-upload doc</t>
  </si>
  <si>
    <t>IIRM-4098</t>
  </si>
  <si>
    <t>Knowledge Central- Selected state of KC - top nav</t>
  </si>
  <si>
    <t>IIRM-4099</t>
  </si>
  <si>
    <t>Knowledge Central- Distinction between sections</t>
  </si>
  <si>
    <t>IIRM-4100</t>
  </si>
  <si>
    <t>Task and Meetings- Drag n drop</t>
  </si>
  <si>
    <t>IIRM-4101</t>
  </si>
  <si>
    <t>Task and Meetings- Survey of the meeting</t>
  </si>
  <si>
    <t>IIRM-4102</t>
  </si>
  <si>
    <t>IIRM: Insurer: Requirements missing</t>
  </si>
  <si>
    <t>IIRM-4103</t>
  </si>
  <si>
    <t>IIRM: Broker: Requirement missing</t>
  </si>
  <si>
    <t>IIRM-4104</t>
  </si>
  <si>
    <t>LinkedIn Integration (out of scope)</t>
  </si>
  <si>
    <t>IIRM-4105</t>
  </si>
  <si>
    <t>IIRM: TPA Contact: Requirements missing</t>
  </si>
  <si>
    <t>IIRM-4106</t>
  </si>
  <si>
    <t>IIRM: InsurerContact: Requirements missing</t>
  </si>
  <si>
    <t>IIRM-4107</t>
  </si>
  <si>
    <t>IIRM: BrokerContact: Requirements missing</t>
  </si>
  <si>
    <t>IIRM-4108</t>
  </si>
  <si>
    <t>UI Changes- Company, Contact, Opportunity</t>
  </si>
  <si>
    <t>IIRM-4109</t>
  </si>
  <si>
    <t>SO: Create: Edited opportunity details are not reflected on the Opportunity Details page</t>
  </si>
  <si>
    <t>IIRM-4110</t>
  </si>
  <si>
    <t>RO: List  : Contact drill-down is not working on RO list page</t>
  </si>
  <si>
    <t>IIRM-4111</t>
  </si>
  <si>
    <t>So:Create:UI glitch observed after submitting Create SO form</t>
  </si>
  <si>
    <t>IIRM-4112</t>
  </si>
  <si>
    <t>IIRM_Contact_UI: Manage Contact flow issue</t>
  </si>
  <si>
    <t>IIRM-4113</t>
  </si>
  <si>
    <t>IIRM_Company: Error Message indication is not displayed for the Invalid data GST field</t>
  </si>
  <si>
    <t>IIRM-4114</t>
  </si>
  <si>
    <t>IIRM: Calendar: Past dates are visible in "To" calendar after selecting a "From" date</t>
  </si>
  <si>
    <t>IIRM-4115</t>
  </si>
  <si>
    <t>Validation missing  Contact name, address location, department, designation for user selection while creating a new Sales opportunity.</t>
  </si>
  <si>
    <t>IIRM-4116</t>
  </si>
  <si>
    <t>IIRM: Company : Edit Company Name is incorrectly shown during Company Creation flow</t>
  </si>
  <si>
    <t>IIRM-4117</t>
  </si>
  <si>
    <t>IIRM_Company_Contact: Manage Company Flow Error Messages</t>
  </si>
  <si>
    <t>IIRM-4118</t>
  </si>
  <si>
    <t>IIRM: Company &amp; Contacts: Display order of the details are based on the created order</t>
  </si>
  <si>
    <t>IIRM-4119</t>
  </si>
  <si>
    <t>IIRM_Company: Data inconsistency in Lead CRM Field</t>
  </si>
  <si>
    <t>IIRM-4120</t>
  </si>
  <si>
    <t>IIRM_Company: Residence option is displayed for Address Type dropdown</t>
  </si>
  <si>
    <t>IIRM-4121</t>
  </si>
  <si>
    <t>IIRM_All Features: The search functionality is not working</t>
  </si>
  <si>
    <t>IIRM-4122</t>
  </si>
  <si>
    <t>IIRM: Automation Test script for TPA</t>
  </si>
  <si>
    <t>IIRM-4123</t>
  </si>
  <si>
    <t>IIRM: Automation Test script for TPA Contact</t>
  </si>
  <si>
    <t>IIRM-4124</t>
  </si>
  <si>
    <t>IIRM_Company: Table setting are getting reset after browser refresh</t>
  </si>
  <si>
    <t>IIRM-4125</t>
  </si>
  <si>
    <t>IIRM_Contact: Contact Linking Flow with Company</t>
  </si>
  <si>
    <t>IIRM-4126</t>
  </si>
  <si>
    <t>UI Testing</t>
  </si>
  <si>
    <t>IIRM-4127</t>
  </si>
  <si>
    <t>IIRM-4128</t>
  </si>
  <si>
    <t>IIRM-4129</t>
  </si>
  <si>
    <t>IIRM: UAT Bug fix verification and Regression testing on latest build</t>
  </si>
  <si>
    <t>IIRM-4130</t>
  </si>
  <si>
    <t>IIRM_Insurer/Broker/TPA: Not able to create an Insurer/Broker/TPA</t>
  </si>
  <si>
    <t>IIRM-4131</t>
  </si>
  <si>
    <t>IIRM: TPA : Insurer: Broker: Contacts: Default country should be show on Address card</t>
  </si>
  <si>
    <t>IIRM-4132</t>
  </si>
  <si>
    <t>IIRM: Opty stages: Stages order mismatch</t>
  </si>
  <si>
    <t>IIRM-4133</t>
  </si>
  <si>
    <t>IIRM: OptyStages: Company Validation Fails During Data Validation Stage</t>
  </si>
  <si>
    <t>IIRM-4134</t>
  </si>
  <si>
    <t>IIRM: OptyStages: Oops something went wrong shown on selecting mandate details entry</t>
  </si>
  <si>
    <t>IIRM-4135</t>
  </si>
  <si>
    <t>IIRM: Opty stages: NO option to select * fields on Held cover note</t>
  </si>
  <si>
    <t>IIRM-4136</t>
  </si>
  <si>
    <t>IIRM: Opty stages: Policy hard copy stage failed</t>
  </si>
  <si>
    <t>IIRM-4137</t>
  </si>
  <si>
    <t>IIMR: Optystages: Policy Docket Handover and Policy Confirmation Stages Failing</t>
  </si>
  <si>
    <t>IIRM-4138</t>
  </si>
  <si>
    <t>IIMR: Contact: Inactive Companies and Contacts Not Displayed in List View</t>
  </si>
  <si>
    <t>IIRM-4139</t>
  </si>
  <si>
    <t>IIRM_Contacts: Inactive contacts are not displayed in the contact listing page</t>
  </si>
  <si>
    <t>IIRM-4140</t>
  </si>
  <si>
    <t>IIRM_Contact_UI: UI is Breaking when a contact display name with Max characters in Reporting To field</t>
  </si>
  <si>
    <t>IIRM-4141</t>
  </si>
  <si>
    <t>IIRM: Opportunity: Company name field should get default, If SO is getting created through company portfolio</t>
  </si>
  <si>
    <t>IIRM-4142</t>
  </si>
  <si>
    <t>IIRM:  Unable to create Contact&gt;TPA:Insurer:Broker:</t>
  </si>
  <si>
    <t>IIRM-4143</t>
  </si>
  <si>
    <t>Commas to be there in Sum Insured/premium wherever applicable</t>
  </si>
  <si>
    <t>IIRM-4144</t>
  </si>
  <si>
    <t>Empty space in the box while company creation</t>
  </si>
  <si>
    <t>IIRM-4145</t>
  </si>
  <si>
    <t>Default currency to be INR instead of GBP</t>
  </si>
  <si>
    <t>IIRM-4146</t>
  </si>
  <si>
    <t>Incorrect Validation message</t>
  </si>
  <si>
    <t>IIRM-4147</t>
  </si>
  <si>
    <t>Add another contact</t>
  </si>
  <si>
    <t>IIRM-4148</t>
  </si>
  <si>
    <t>Personal history is 499 characters still maximum character validation</t>
  </si>
  <si>
    <t>IIRM-4149</t>
  </si>
  <si>
    <t>COuntry is hardcoded as India.</t>
  </si>
  <si>
    <t>IIRM-4150</t>
  </si>
  <si>
    <t>Risk location details are not properly displayed in Overview</t>
  </si>
  <si>
    <t>IIRM-4151</t>
  </si>
  <si>
    <t>Company name not autopopulating</t>
  </si>
  <si>
    <t>IIRM-4152</t>
  </si>
  <si>
    <t>IIRM: SO: Drill down not working for contact column in SO list view</t>
  </si>
  <si>
    <t>IIRM-4153</t>
  </si>
  <si>
    <t>When the user enters a comma in the "Annual Premium" field (like 10,000), and then goes to the next page and comes back using the "Previous" button, the field becomes empty.</t>
  </si>
  <si>
    <t>IIRM-4154</t>
  </si>
  <si>
    <t>When the user enters data in the Profile or Strategy screen, then goes to the next page and clicks the Previous button, the entered data disappears.</t>
  </si>
  <si>
    <t>IIRM-4155</t>
  </si>
  <si>
    <t>Design- Knowledge Central</t>
  </si>
  <si>
    <t>IIRM-4156</t>
  </si>
  <si>
    <t>The user can add an opportunity without adding a contact to the company.</t>
  </si>
  <si>
    <t>IIRM-4157</t>
  </si>
  <si>
    <t>Company name already present</t>
  </si>
  <si>
    <t>IIRM-4158</t>
  </si>
  <si>
    <t xml:space="preserve">IIRM: Insurer/TPA/Broker Spec wise testing and verify existing bugs </t>
  </si>
  <si>
    <t>IIRM-4159</t>
  </si>
  <si>
    <t xml:space="preserve">IIRM: TPA/Insurer/Broker Contact Spec wise tesing and all bugfixes verification </t>
  </si>
  <si>
    <t>IIRM-4160</t>
  </si>
  <si>
    <t>need to change the text in add contact page when navigate from add opportunity</t>
  </si>
  <si>
    <t>IIRM-4161</t>
  </si>
  <si>
    <t>BD can plan all activities in the application</t>
  </si>
  <si>
    <t>IIRM-4162</t>
  </si>
  <si>
    <t xml:space="preserve">Add status in manage companies </t>
  </si>
  <si>
    <t>IIRM-4163</t>
  </si>
  <si>
    <t>Filter Scope - RBAC - User's and reporting user's companies/ contacts/ optys</t>
  </si>
  <si>
    <t>IIRM-4164</t>
  </si>
  <si>
    <t xml:space="preserve">Contacts in Opportunity </t>
  </si>
  <si>
    <t>IIRM-4165</t>
  </si>
  <si>
    <t xml:space="preserve">Add opty from company overview - take to wizard with selected company </t>
  </si>
  <si>
    <t>IIRM-4166</t>
  </si>
  <si>
    <t>need to change the flow for cancel and back button</t>
  </si>
  <si>
    <t>IIRM-4167</t>
  </si>
  <si>
    <t>Opty Expriy date should not be editable once planning is done</t>
  </si>
  <si>
    <t>IIRM-4168</t>
  </si>
  <si>
    <t>IIRM: Smart Assistance: Let us help you create an opportunity should be shown on clicking Add SO from Smart Assistance</t>
  </si>
  <si>
    <t>IIRM-4169</t>
  </si>
  <si>
    <t>Backlog Items - Company</t>
  </si>
  <si>
    <t>IIRM-4170</t>
  </si>
  <si>
    <t>Backlog Items - Contact</t>
  </si>
  <si>
    <t>IIRM-4171</t>
  </si>
  <si>
    <t>Backlog Items - TPA/Insurer/Broker</t>
  </si>
  <si>
    <t>IIRM-4172</t>
  </si>
  <si>
    <t>Backlog Items - Manage So</t>
  </si>
  <si>
    <t>IIRM-4173</t>
  </si>
  <si>
    <t>Code Refactoring for AI generated - Tasks Meetings UI &amp; APIs</t>
  </si>
  <si>
    <t>IIRM-4174</t>
  </si>
  <si>
    <t>IIRM: Opty View: Verify that user can navigate to the Opportunity Page and view all associated BD stages and activities.</t>
  </si>
  <si>
    <t>IIRM-4175</t>
  </si>
  <si>
    <t>Opty: Broking Slip View</t>
  </si>
  <si>
    <t>IIRM-4176</t>
  </si>
  <si>
    <t>IIRM: Opty: Verify that user with access privilege can plan &amp; complete the BD activities</t>
  </si>
  <si>
    <t>IIRM-4177</t>
  </si>
  <si>
    <t>IIRM: Opty: View and Confirm Policy Details</t>
  </si>
  <si>
    <t>IIRM-4178</t>
  </si>
  <si>
    <t>IIRM: Opty: Verify that ISG user can navigate to the Opportunity Page and update default dates and assign executives for each activity.</t>
  </si>
  <si>
    <t>IIRM-4179</t>
  </si>
  <si>
    <t>Opty: Broking Slip Edit &amp; Versioning</t>
  </si>
  <si>
    <t>IIRM-4180</t>
  </si>
  <si>
    <t>IIRM:Opty: Document Upload: Verify that user can upload required documents for a specific activity.</t>
  </si>
  <si>
    <t>IIRM-4181</t>
  </si>
  <si>
    <t>IIRM: Opty: Submit Policy Confirmation &amp; Add Remarks</t>
  </si>
  <si>
    <t>IIRM-4182</t>
  </si>
  <si>
    <t>IIRM:Opty: Save Activity Progress: Verify that user can save the entered data in an activity form without submitting it.</t>
  </si>
  <si>
    <t>IIRM-4183</t>
  </si>
  <si>
    <t>IIRM:Opty: Submit for Approval: Verify that user can submit the activity data if the activity requires approval.</t>
  </si>
  <si>
    <t>IIRM-4184</t>
  </si>
  <si>
    <t>IIRM:Opty: Mark Activity Complete: Verify that user can mark the activity as complete when submission or approval is not required.</t>
  </si>
  <si>
    <t>IIRM-4185</t>
  </si>
  <si>
    <t>Opty: Broking Slip Additional Details &amp; Approval</t>
  </si>
  <si>
    <t>IIRM-4186</t>
  </si>
  <si>
    <t>IIRM: Perform BD Opportunity Activties with privillaged user</t>
  </si>
  <si>
    <t>IIRM-4188</t>
  </si>
  <si>
    <t>IIRM:Opty: Data Validation Edit: Verify that user with edit privileges can update opportunity and company details</t>
  </si>
  <si>
    <t>IIRM-4190</t>
  </si>
  <si>
    <t xml:space="preserve">IIRM: RFP Policy Covers: Verify adding RFP collection through existing covers deatils </t>
  </si>
  <si>
    <t>IIRM-4191</t>
  </si>
  <si>
    <t xml:space="preserve">IIRM:Opty: KDM Meeting: Schedule a meeting in real-time with valid KDM Meeting and verify the details </t>
  </si>
  <si>
    <t>IIRM-4192</t>
  </si>
  <si>
    <t>IIRM: Opty: Schedule Hand Over Meet and verify the details in meeting</t>
  </si>
  <si>
    <t>IIRM-4193</t>
  </si>
  <si>
    <t>IIRM:Opty: Mandate Details: Verify in mandate details received from the company into the system.</t>
  </si>
  <si>
    <t>IIRM-4195</t>
  </si>
  <si>
    <t>Opty: Quote Entry – Insurer Selection &amp; Details Entry</t>
  </si>
  <si>
    <t>IIRM-4196</t>
  </si>
  <si>
    <t>Opty: Quote Upload – Document &amp; Remarks</t>
  </si>
  <si>
    <t>IIRM-4197</t>
  </si>
  <si>
    <t>Opty: Quote Entry Without Insurer Selection</t>
  </si>
  <si>
    <t>IIRM-4198</t>
  </si>
  <si>
    <t>IIRM:Opty: Upload Policy Document &amp; Compare with Held Cover Note</t>
  </si>
  <si>
    <t>IIRM-4199</t>
  </si>
  <si>
    <t>Opty: Quote Upload Without Document</t>
  </si>
  <si>
    <t>IIRM-4201</t>
  </si>
  <si>
    <t>Opty: Quote Entry – Multiple Insurers</t>
  </si>
  <si>
    <t>IIRM-4203</t>
  </si>
  <si>
    <t>IIRM: Opty: Upload Held Cover Note &amp; Compare with Placement Slip</t>
  </si>
  <si>
    <t>IIRM-4204</t>
  </si>
  <si>
    <t>IIRM: Opty: Capture Deviation Details</t>
  </si>
  <si>
    <t>IIRM-4205</t>
  </si>
  <si>
    <t>Opty: QCR Policy &amp; Quote Selection – Multiple Quotes</t>
  </si>
  <si>
    <t>IIRM-4206</t>
  </si>
  <si>
    <t>Opty: QCR Export – Excel &amp; CSV</t>
  </si>
  <si>
    <t>IIRM-4207</t>
  </si>
  <si>
    <t>Verify that the system prevents QCR generation if no quotes are selected and displays an appropriate error message</t>
  </si>
  <si>
    <t>IIRM-4209</t>
  </si>
  <si>
    <t xml:space="preserve"> Verify that QCR is generated even if some selected quotes are missing optional fields (e.g., remarks, clauses) and these are clearly indicated.</t>
  </si>
  <si>
    <t>IIRM-4210</t>
  </si>
  <si>
    <t>Opty: QCR With Large Number of Quotes</t>
  </si>
  <si>
    <t>IIRM-4211</t>
  </si>
  <si>
    <t>Opty: Meeting Scheduling &amp; Stakeholder Selection</t>
  </si>
  <si>
    <t>IIRM-4214</t>
  </si>
  <si>
    <t>Opty: View Broking Slip &amp; Generate Placement Slip</t>
  </si>
  <si>
    <t>IIRM-4216</t>
  </si>
  <si>
    <t>Opty: Placement Slip Submission &amp; Manager Approval</t>
  </si>
  <si>
    <t>IIRM-4217</t>
  </si>
  <si>
    <t>Opty: Placement Slip Approval/Rejection Workflow</t>
  </si>
  <si>
    <t>IIRM-4218</t>
  </si>
  <si>
    <t>IIRM: Verify that when the self or dependent details are updated, the premium calculator automatically recalculates the premium correctly..</t>
  </si>
  <si>
    <t>IIRM-4219</t>
  </si>
  <si>
    <t xml:space="preserve">Opty: ISG: Verfiy the Notifications after optys internal transfer(BD to ISG) </t>
  </si>
  <si>
    <t>IIRM-4220</t>
  </si>
  <si>
    <t xml:space="preserve">Opty: ISG: Verify transformed optys should be assigned to stage Executives </t>
  </si>
  <si>
    <t>IIRM-4221</t>
  </si>
  <si>
    <t>Opty: ISG Quotes View: Verify that the user can view all quotes or opportunities assigned to them after the RFP stage is marked as complete.</t>
  </si>
  <si>
    <t>IIRM-4222</t>
  </si>
  <si>
    <t>Opty: ISG Plan Activities: Verify that the user can select an opportunity from the Manage Quotes section and plan ISG activities relevant to their role.</t>
  </si>
  <si>
    <t>IIRM-4223</t>
  </si>
  <si>
    <t>IIRM: Perform ISG Opportunity Activities with privileged user</t>
  </si>
  <si>
    <t>IIRM-4224</t>
  </si>
  <si>
    <t>Backlog for the PR-904 code refractoring</t>
  </si>
  <si>
    <t>IIRM-4225</t>
  </si>
  <si>
    <t>Backlog for the PR-901 code refractoring</t>
  </si>
  <si>
    <t>IIRM-4226</t>
  </si>
  <si>
    <t>IIRM: Opportunities: While editing the opportunity details -&gt; header should get display as edit Opportunity details</t>
  </si>
  <si>
    <t>IIRM-4227</t>
  </si>
  <si>
    <t>IIRM: Opty Stages: Validation error is not user friendly while Opportunity expiry date exceeds Opty stages</t>
  </si>
  <si>
    <t>IIRM-4228</t>
  </si>
  <si>
    <t>IIRM: Opty stages: Data validation : data validation not found thrown , on submitting data validation form</t>
  </si>
  <si>
    <t>IIRM-4229</t>
  </si>
  <si>
    <t>IIRM: Opty stages: KDM meeting: "Oops, Something Went Wrong" Error Displayed on Clicking KDM Meeting</t>
  </si>
  <si>
    <t>IIRM-4230</t>
  </si>
  <si>
    <t>IIRm: Opty Stages: Mandate entry details: Opportunity table not found error thrown on submitting mandate details</t>
  </si>
  <si>
    <t>IIRM-4231</t>
  </si>
  <si>
    <t>IIRM: Opty stages: RFP Data collection: RFP details entry: Empty page shown on RFP data collection stage</t>
  </si>
  <si>
    <t>IIRM-4232</t>
  </si>
  <si>
    <t>IIRM: Tasks &amp; Notes issues</t>
  </si>
  <si>
    <t>IIRM-4233</t>
  </si>
  <si>
    <t>IIRM: My Meetings" and "My Tasks" are both pointing to "my-meetings" page.</t>
  </si>
  <si>
    <t>IIRM-4234</t>
  </si>
  <si>
    <t>IIRM: Opty stages: Planning stage: Cant update the planning stage once planning stage activities got successfully updated</t>
  </si>
  <si>
    <t>IIRM-4235</t>
  </si>
  <si>
    <t>Planning of activity - Error showing up even if the date is before SO expiry date - "Date cannot exceed expiry Date"</t>
  </si>
  <si>
    <t>IIRM-4237</t>
  </si>
  <si>
    <t>Add Contact - Address should be optional and should have only Residence</t>
  </si>
  <si>
    <t>IIRM-4238</t>
  </si>
  <si>
    <t>Planning Default dates exceeding expiry date</t>
  </si>
  <si>
    <t>IIRM-4239</t>
  </si>
  <si>
    <t>Address in ad company has residence in LOV</t>
  </si>
  <si>
    <t>IIRM-4240</t>
  </si>
  <si>
    <t>Issue while creating task</t>
  </si>
  <si>
    <t>IIRM-4241</t>
  </si>
  <si>
    <t>IIRM: Knowledge central issues</t>
  </si>
  <si>
    <t>IIRM-4242</t>
  </si>
  <si>
    <t>Side Menu &amp; Top Menu Bar Changes</t>
  </si>
  <si>
    <t>IIRM-4318</t>
  </si>
  <si>
    <t>application logout by default when user  add new document in knowledge center</t>
  </si>
  <si>
    <t>IIRM-4387</t>
  </si>
  <si>
    <t>IIRM: Company: Default Currency Selection Not Persisting When Navigating Using Previous/Next Options</t>
  </si>
  <si>
    <t>IIRM-4388</t>
  </si>
  <si>
    <t>functionality of show completed  check box  was not working properly and user Confusion</t>
  </si>
  <si>
    <t>IIRM-4389</t>
  </si>
  <si>
    <t>Notes are not updating after submit; they appear only after a refresh.</t>
  </si>
  <si>
    <t>IIRM-4390</t>
  </si>
  <si>
    <t xml:space="preserve">List view needs to be corrected.  eg. latest companies created must be on top. </t>
  </si>
  <si>
    <t>IIRM-4459</t>
  </si>
  <si>
    <t>&lt;Place holder: Use it&gt;</t>
  </si>
  <si>
    <t>IIRM-4460</t>
  </si>
  <si>
    <t>&lt;Place Holder: Use it&gt;</t>
  </si>
  <si>
    <t>IIRM-4461</t>
  </si>
  <si>
    <t>IIRM-4462</t>
  </si>
  <si>
    <t>&lt;Place Holder: Use It&gt;</t>
  </si>
  <si>
    <t>IIRM-4463</t>
  </si>
  <si>
    <t>IIRM-4464</t>
  </si>
  <si>
    <t>IIRM-4465</t>
  </si>
  <si>
    <t>IIRM-4466</t>
  </si>
  <si>
    <t>NFR-USA-001: Logout should invalidate the JWT tokenSession timeout also should clear the JWT token</t>
  </si>
  <si>
    <t>None</t>
  </si>
  <si>
    <t>IIRM-9782 — SOW #22 - Data Security (6. NFR - Usability)</t>
  </si>
  <si>
    <t>IIRM-4467</t>
  </si>
  <si>
    <t>NFR-USA-002: Captcha Implementation on Login Screen (Non Intrusive)MFA for login, forgot password rate limiting on Login, forgot password and logout pages, All these on any public pages in the application if they</t>
  </si>
  <si>
    <t>IIRM-4468</t>
  </si>
  <si>
    <t>NFR-USA-005: Terms and Conditions</t>
  </si>
  <si>
    <t>IIRM-4469</t>
  </si>
  <si>
    <t>NFR-USA-007: The application cannot be opened in more than one browser in a system</t>
  </si>
  <si>
    <t>IIRM-4470</t>
  </si>
  <si>
    <t>NFR-USA-008: Except for approved flows, do not allow download featureFor the files that must not go out of IIRM (to Insurer or TPA) etc</t>
  </si>
  <si>
    <t>IIRM-4471</t>
  </si>
  <si>
    <t>NFR-USA-009: The module must be available 99.5% of the time, excluding scheduled maintenance</t>
  </si>
  <si>
    <t>IIRM-4472</t>
  </si>
  <si>
    <t>NFR-USA-010: The system must maintain consistency of data during updates, merges, or concurrent access.</t>
  </si>
  <si>
    <t>IIRM-4474</t>
  </si>
  <si>
    <t>NFR-USA-012: The system shall respond to user actions within 3 seconds.</t>
  </si>
  <si>
    <t>IIRM-4475</t>
  </si>
  <si>
    <t>NFR-USA-013: The application must provide a common user interface for all user roles.</t>
  </si>
  <si>
    <t>IIRM-4476</t>
  </si>
  <si>
    <t>NFR-USA-014: Dynamic logos and institution names must be context-sensitive and role-based -  White labelling in Portal Configuration for IBP</t>
  </si>
  <si>
    <t>NFR-USA-015: The system must show personalized welcome messages and profile information based on locale</t>
  </si>
  <si>
    <t>IIRM-4479</t>
  </si>
  <si>
    <t>NFR-USA-017: Menus must be role-based and collapsible to improve navigation</t>
  </si>
  <si>
    <t xml:space="preserve">NFR-USA-019: Template confirmation should be done from application. Example: email - Templates used in notifications and communication via system must have been approved by system admin in the UI </t>
  </si>
  <si>
    <t>IIRM-4481</t>
  </si>
  <si>
    <t>NFR-USA-020: In case of an exception, a proper error page with the relevant error code and message should be displayed</t>
  </si>
  <si>
    <t>IIRM-4483</t>
  </si>
  <si>
    <t>NFR-USA-022: Bulk document download facility should be available</t>
  </si>
  <si>
    <t>IIRM-4484</t>
  </si>
  <si>
    <t>NFR-USA-024 - All telemetry data should be captured - Document explaining on how to reach to the telemtrics reports</t>
  </si>
  <si>
    <t>IIRM-4485</t>
  </si>
  <si>
    <t>NFR-USA-025: Teams Calendar and meeting integration in iWork</t>
  </si>
  <si>
    <t>IIRM-4486</t>
  </si>
  <si>
    <t>NFR-USA-026: Data archival facility for all the logs should be available - Configuration notes to be captured as document for log retention and archival</t>
  </si>
  <si>
    <t>IIRM-4487</t>
  </si>
  <si>
    <t>NFR-SEC-001: All categories of roles and permissions must be defined at the level of user creation - RBAC and Scope of Data Implementation</t>
  </si>
  <si>
    <t>IIRM-9781 — SOW#22 - Data Security (5. NFR - Security)</t>
  </si>
  <si>
    <t>IIRM-4488</t>
  </si>
  <si>
    <t>NFR-SEC-002: SSO( Single Sign-On) or MFA(Multi-Factor Authentication) feature must be implemented based on the availability/requirement.</t>
  </si>
  <si>
    <t>IIRM-4489</t>
  </si>
  <si>
    <t>NFR-SEC-005: The application must data loss or data corruption preventions - All the communication external to application and with in must be SSL driven</t>
  </si>
  <si>
    <t>IIRM-4490</t>
  </si>
  <si>
    <t>NFR-SEC-006: Password encryption - Password must be stored in encrypted and hashed manner. Should never be able to decrypted</t>
  </si>
  <si>
    <t>Duplicate</t>
  </si>
  <si>
    <t>IIRM-4491</t>
  </si>
  <si>
    <t>NFR-SEC-008: On inactivity, session should timeout and logout the user. Time out period must be coming from configuration</t>
  </si>
  <si>
    <t>IIRM-4492</t>
  </si>
  <si>
    <t>NFR-SEC-009: Authentication credentials like user ID and password cannot be displayed - Do not allow save password as much as possible</t>
  </si>
  <si>
    <t>IIRM-4493</t>
  </si>
  <si>
    <t>NFR-SEC-015: The application must online Key Distribution - Use secure mechanism to expose API Keys for external party connecting to the platform. Expose the API keys only via https driven UI and must have timeout associated</t>
  </si>
  <si>
    <t>IIRM-4494</t>
  </si>
  <si>
    <t>NFR-SEC-016: The application must manual Key loading process - Use salt along with secure key where encryption is being implemented</t>
  </si>
  <si>
    <t>IIRM-4495</t>
  </si>
  <si>
    <t>NFR-SEC-017: PBE password distribution - Do not share the password when document is password protected. How the password must be constructed using PII information has to be via a different email</t>
  </si>
  <si>
    <t>IIRM-4496</t>
  </si>
  <si>
    <t>NFR-SEC-018: The application must certificates Validation - Periodic 3rd party certificates validation needs to be implemented</t>
  </si>
  <si>
    <t>IIRM-4497</t>
  </si>
  <si>
    <t>NFR-SEC-023: System-to-System Authentication - Any 3rd party communication must be passed only when there is an authentication layer is involved. Do not build open access 3rd party connectors</t>
  </si>
  <si>
    <t>IIRM-4498</t>
  </si>
  <si>
    <t>NFR-SEC-024: Web Login: The login page must be on the version of SSL/TLS to protect authentication credentials in transit - Must use SSL and with approved versionsPassword must not be readable in transit</t>
  </si>
  <si>
    <t>IIRM-4499</t>
  </si>
  <si>
    <t>NFR-SEC-025: Session Identifier Generation: The application must generate session identifiers (IDs) using a cryptographically secure pseudo-random number generator</t>
  </si>
  <si>
    <t>IIRM-4500</t>
  </si>
  <si>
    <t>NFR-SEC-026: Session Identifier Passage: The application must prevent session identifiers from being passed over unencrypted channels</t>
  </si>
  <si>
    <t>IIRM-4501</t>
  </si>
  <si>
    <t>NFR-SEC-031: Database Authentication: Application must use a common database Functional ID to connect to the database rather than passing through end user credentials to the database for access</t>
  </si>
  <si>
    <t>IIRM-4502</t>
  </si>
  <si>
    <t>NFR-SEC-032: Database Password Protection in Storage: Database connection strings contain authentication data and, therefore, must be encrypted in storage.</t>
  </si>
  <si>
    <t>IIRM-4503</t>
  </si>
  <si>
    <t>NFR-SEC-033: Database Password Protection in Transit: Application must enable/implement a secure protocol (e.g., SSL) to protect database passwords in transit</t>
  </si>
  <si>
    <t>IIRM-4504</t>
  </si>
  <si>
    <t>NFR-SEC-034: Database Authorization: If the application uses a common database Functional ID, the application must conduct authorization checks on user actions for more granular user access control to the database</t>
  </si>
  <si>
    <t>IIRM-4505</t>
  </si>
  <si>
    <t>NFR-SEC-044: PIN/Password Display: The application must prevent the echo of the PIN/Password upon entry</t>
  </si>
  <si>
    <t>IIRM-4506</t>
  </si>
  <si>
    <t>NFR-SEC-047: PINS for Backend Authentication - Password should be accepted with NOT PII info in or as part of it. Maintain password policy to prevent this</t>
  </si>
  <si>
    <t>IIRM-4507</t>
  </si>
  <si>
    <t>NFR-SEC-052: Cross Frame Scripting (XFS)</t>
  </si>
  <si>
    <t>IIRM-4508</t>
  </si>
  <si>
    <t>NFR-SEC-053: SQL Injection Controls</t>
  </si>
  <si>
    <t>IIRM-4509</t>
  </si>
  <si>
    <t>NFR-SEC-054: The application must ensure that the Business does not periodically remind its customers that manually changing their static passwords provides greater security</t>
  </si>
  <si>
    <t>IIRM-4510</t>
  </si>
  <si>
    <t>NFR-SEC-059: The Open Web Application Security Project (OWASP) found top 10 steps are most effective ways to make the web applications/code to be more secured.</t>
  </si>
  <si>
    <t>IIRM-4511</t>
  </si>
  <si>
    <t>NFR-SEC-060: The application must insecure Design is a new category currently, with a focus on risks related to design flaws</t>
  </si>
  <si>
    <t>IIRM-4512</t>
  </si>
  <si>
    <t>NFR-SEC-062: The application must identification and Authentication Failures was previously Broken Authentication and is sliding down from the second position</t>
  </si>
  <si>
    <t>IIRM-4513</t>
  </si>
  <si>
    <t>NFR-SEC-063: The application must software and Data Integrity Failures is a new category for 2021, focusing on making assumptions related to software updates, critical data, and CI/CD pipelines without verifying integrity.</t>
  </si>
  <si>
    <t>IIRM-4514</t>
  </si>
  <si>
    <t>NFR-SEC-064: iWork Application should not allow right click, copy(ctrl+c) and contents capturing, print screen functionality across all the forms in application.</t>
  </si>
  <si>
    <t>IIRM-4515</t>
  </si>
  <si>
    <t>NFR-SEC-066: The platform must support Single Sign-On (SSO) using OAuth2, OpenID Connect, or LDAP</t>
  </si>
  <si>
    <t>IIRM-4516</t>
  </si>
  <si>
    <t>NFR-OTH-001: The application must ensure that Any application should pass the VAPT assessment test. Assessment is subjected with in the lines of the client/customer or end user requirements</t>
  </si>
  <si>
    <t>IIRM-9783 — SOW#22 - Data Security (7. NFR - Others)</t>
  </si>
  <si>
    <t>IIRM-4517</t>
  </si>
  <si>
    <t>NFR-OTH-002: Application Identity</t>
  </si>
  <si>
    <t>IIRM-4518</t>
  </si>
  <si>
    <t>NFR-OTH-003: The application must perimeter Security</t>
  </si>
  <si>
    <t>IIRM-4519</t>
  </si>
  <si>
    <t>NFR-OTH-004:  Input Length: The application must limit the length of each user input field and validate the length of the supplied input on the server side of the connection.</t>
  </si>
  <si>
    <t>IIRM-4520</t>
  </si>
  <si>
    <t>NFR-OTH-005: The application must prevent 'redirect' (i.e., 302 Object moved)</t>
  </si>
  <si>
    <t>IIRM-4521</t>
  </si>
  <si>
    <t>NFR-OTH-006: The application must file Upload</t>
  </si>
  <si>
    <t>IIRM-4522</t>
  </si>
  <si>
    <t>NFR-OTH-009: The application must acceptable SMS Uses. On consent only.</t>
  </si>
  <si>
    <t>IIRM-4523</t>
  </si>
  <si>
    <t>NFR-OTH-010: Sensitivity of Embedded Files: Embedded files in the application must be implemented, if used, limited to files with data classified as Public only</t>
  </si>
  <si>
    <t>IIRM-4524</t>
  </si>
  <si>
    <t>NFR-OTH-011: The application must secondary Channel for SMS</t>
  </si>
  <si>
    <t>IIRM-4525</t>
  </si>
  <si>
    <t>NFR-OTH-012: Generic Error Messages</t>
  </si>
  <si>
    <t>NFR-OTH-015: The application must cryptographic Failures, previously known as Sensitive Data Exposure</t>
  </si>
  <si>
    <t>IIRM-4527</t>
  </si>
  <si>
    <t>NFR-OTH-016: The application must injection slides. Security Scan of Code periodically</t>
  </si>
  <si>
    <t>IIRM-4528</t>
  </si>
  <si>
    <t>NFR-OTH-017: The application must security Misconfiguration</t>
  </si>
  <si>
    <t>IIRM-4529</t>
  </si>
  <si>
    <t>NFR-OTH-018: The application must server-Side Request Forgery is added from the Top 10 community survey (#1) - RBAC on APIs</t>
  </si>
  <si>
    <t>IIRM-4530</t>
  </si>
  <si>
    <t>NFR-OTH-019: The platform must support distributed caching and CDN integration for improved performance</t>
  </si>
  <si>
    <t>IIRM-4531</t>
  </si>
  <si>
    <t>NFR-OTH-020: The scheduler service must allow for automated night jobs and event-driven task execution.</t>
  </si>
  <si>
    <t>IIRM-4532</t>
  </si>
  <si>
    <t>NFR-OTH-021: The system must support localization including language translation, currency, tax ID formats, and timezone handling.</t>
  </si>
  <si>
    <t>IIRM-4534</t>
  </si>
  <si>
    <t>NFR-OTH-023: The platform must provide centralized logging, error codes, and alert mechanisms.</t>
  </si>
  <si>
    <t>IIRM-4535</t>
  </si>
  <si>
    <t>NFR-OTH-024: The system must generate structured logs compatible with ELK stack or Datadog.</t>
  </si>
  <si>
    <t>IIRM-4536</t>
  </si>
  <si>
    <t>NFR-MAI-002: Secrets should not be part of code and must be coming from key value kind of service</t>
  </si>
  <si>
    <t>IIRM-9780 — SOW#22 - Data Security (4. NFR - Maintainability)</t>
  </si>
  <si>
    <t>IIRM-4537</t>
  </si>
  <si>
    <t>NFR-MAI-004: Application Integrity. There must be a mechanism implemented to protect application configuration stores and maintain the integrity of critical application files</t>
  </si>
  <si>
    <t>IIRM-4538</t>
  </si>
  <si>
    <t>NFR-MAI-005: Audit/Logging of SMS: The application must capture SMS messages in audit logs</t>
  </si>
  <si>
    <t>IIRM-4539</t>
  </si>
  <si>
    <t>NFR-MAI-006: Sensitive Data Logging Prevention</t>
  </si>
  <si>
    <t>IIRM-4540</t>
  </si>
  <si>
    <t>NFR-MAI-007: The application must protection of Source Code</t>
  </si>
  <si>
    <t>IIRM-4541</t>
  </si>
  <si>
    <t>NFR-MAI-012: The application must support global platform configurations including module enable/disable, API Gateway and Communication Gateway settings.</t>
  </si>
  <si>
    <t>IIRM-4542</t>
  </si>
  <si>
    <t>NFR-MAI-014: Any long running query should be terminated in 300 seconds. It should be configurable.</t>
  </si>
  <si>
    <t>IIRM-4543</t>
  </si>
  <si>
    <t>NFR-INT-003 - 3rd party communication must not go through customer infra. Access must be via credentail driven for SCP, SFTP or API based or any other access. All these must be via publicly accessible end points on</t>
  </si>
  <si>
    <t>IIRM-9779 — SOW#22 - Data Security (3. NFR - Interoperability)</t>
  </si>
  <si>
    <t>IIRM-4544</t>
  </si>
  <si>
    <t>NFR-INT-006: The application must patch Management</t>
  </si>
  <si>
    <t>IIRM-4545</t>
  </si>
  <si>
    <t>NFR-INT-008 - Connector framework driven 3rd party access must be implemented. This gateway must be configurable for credentials, access point changes. Attribute mapping should be supported</t>
  </si>
  <si>
    <t>IIRM-4546</t>
  </si>
  <si>
    <t xml:space="preserve">NFR-INT-009 - Should support Email, In App Notifications </t>
  </si>
  <si>
    <t>IIRM-4547</t>
  </si>
  <si>
    <t>NFR-INT-010: API kit documentation should be available - Application must expose API docs as Swagger docs for all the environments except Production</t>
  </si>
  <si>
    <t>IIRM-4548</t>
  </si>
  <si>
    <t>NFR-INT-011 - Telemtry of all the services of application must be available</t>
  </si>
  <si>
    <t>IIRM-4549</t>
  </si>
  <si>
    <t>NFR-DAT-001: Backup and Recovery must be configured of the data sources (Database, Filesystem)Period recovery trails (mock drills) needs to be performed</t>
  </si>
  <si>
    <t>IIRM-9777 — SOW#22 - Data Security (2. NFR - Data Protection)</t>
  </si>
  <si>
    <t>IIRM-4550</t>
  </si>
  <si>
    <t>NFR-DAT-016: Periodic Security Scan and RBAC valiadtion on None UI and APIs must be done</t>
  </si>
  <si>
    <t>IIRM-4551</t>
  </si>
  <si>
    <t>NFR-COM-001  - Data change needs to be captured in audit history</t>
  </si>
  <si>
    <t>IIRM-9778 — SOW#22 - Data Security (1. NFR - Compliance)</t>
  </si>
  <si>
    <t>IIRM-4552</t>
  </si>
  <si>
    <t>NFR-COM-004 - Sensitive data must not go to Audit History capture</t>
  </si>
  <si>
    <t>IIRM-4553</t>
  </si>
  <si>
    <t>NFR-COM-005: Data pertaining to PII must be protected by RBAC, Scoping and Masking</t>
  </si>
  <si>
    <t>IIRM-4554</t>
  </si>
  <si>
    <t>NFR-COM-006: Make sure Keys are taken from AWS and are being maintained via key valut, this avoid the need of self key generation</t>
  </si>
  <si>
    <t>IIRM-4555</t>
  </si>
  <si>
    <t>NFR-COM-007: The application must password Based Encryption (PBE)</t>
  </si>
  <si>
    <t>IIRM-4556</t>
  </si>
  <si>
    <t>NFR-COM-008: Key Backup and Archiving - Data archival/backup process should have recovery mock drills and the same must be preserved (recovery drill logs)</t>
  </si>
  <si>
    <t>IIRM-4557</t>
  </si>
  <si>
    <t>NFR-COM-009: The application must prevent unauthorized access</t>
  </si>
  <si>
    <t>IIRM-4558</t>
  </si>
  <si>
    <t>NFR-COM-011: Secure Cookies: Application uses cookies containing Confidential or higher information</t>
  </si>
  <si>
    <t>IIRM-4559</t>
  </si>
  <si>
    <t>NFR-COM-012 - Avoid local storage for sensitive data in browser</t>
  </si>
  <si>
    <t>IIRM-4560</t>
  </si>
  <si>
    <t>NFR-COM-013: The application must sensitive Data Protection: Does the application encrypt sensitive data such as PII , authentication data and business sensitive information during transit</t>
  </si>
  <si>
    <t>IIRM-4561</t>
  </si>
  <si>
    <t>NFR-COM-014: The application must sensitive Data Protection at Rest. Does the application encrypt sensitive data such as PII, authentication data and business sensitive information during storage?</t>
  </si>
  <si>
    <t>IIRM-4562</t>
  </si>
  <si>
    <t>NFR-COM-020: Push Notification Controls - Must use an established provide for push notification</t>
  </si>
  <si>
    <t>IIRM-4563</t>
  </si>
  <si>
    <t>NFR-COM-022: Information Classification</t>
  </si>
  <si>
    <t>IIRM-4564</t>
  </si>
  <si>
    <t>NFR-COM-025 - Consent management must include display, revoke, and audit trail of actions based on consent.</t>
  </si>
  <si>
    <t>IIRM-4565</t>
  </si>
  <si>
    <t>NFR-COM-026 - The system must handle PII with consent-based processing, auto-de linking of data based on the consent, and anonymization.</t>
  </si>
  <si>
    <t>IIRM-4566</t>
  </si>
  <si>
    <t>NFR-COM-027 - Audit History must also capture user actions, related API usage and Module interactions Separate these data capture form entity level audit capture</t>
  </si>
  <si>
    <t>IIRM-4567</t>
  </si>
  <si>
    <t>unable to create meeting becuase of un -related pop-up</t>
  </si>
  <si>
    <t>IIRM-4568</t>
  </si>
  <si>
    <t>In create meeting attachment is mandatory with out attachment user unable create meeting</t>
  </si>
  <si>
    <t>IIRM-4569</t>
  </si>
  <si>
    <t>+2 tag is not working knowledge center screen</t>
  </si>
  <si>
    <t>IIRM-4570</t>
  </si>
  <si>
    <t>once time selected  there no option  to change the time in all time selection of my task .</t>
  </si>
  <si>
    <t>IIRM-4571</t>
  </si>
  <si>
    <t>Getting error while clicked o task checkbox</t>
  </si>
  <si>
    <t>IIRM-4572</t>
  </si>
  <si>
    <t>IIRM_Tasks: The number values should display with the comma</t>
  </si>
  <si>
    <t>IIRM-4573</t>
  </si>
  <si>
    <t>IIRM_Tasks: The Created Tasks/Changes are reflecting after the browser refresh</t>
  </si>
  <si>
    <t>IIRM-4574</t>
  </si>
  <si>
    <t>IIRM: Tasks: Value of the Priority dropdown is not retained after save</t>
  </si>
  <si>
    <t>IIRM-4575</t>
  </si>
  <si>
    <t>IIRM_Tasks: The clickable functionality of the Right Arrow in the Tasks card is not working</t>
  </si>
  <si>
    <t>IIRM-4576</t>
  </si>
  <si>
    <t>IIRM: Tasks &amp; Meetings: UI: UI Issues</t>
  </si>
  <si>
    <t>IIRM-4577</t>
  </si>
  <si>
    <t>IIRM_Taks: Error Messages are not user friendly</t>
  </si>
  <si>
    <t>IIRM-4578</t>
  </si>
  <si>
    <t>IIRM_Tasks: Able to create a task without providing data to the Description field</t>
  </si>
  <si>
    <t>IIRM-4579</t>
  </si>
  <si>
    <t>IIRM_Tasks: The task created on the 7th day is reflecting in the Future column in task listing page</t>
  </si>
  <si>
    <t>IIRM-4580</t>
  </si>
  <si>
    <t>IIRM_Tasks: Order of the Task cards should be as per the Task Due Date</t>
  </si>
  <si>
    <t>IIRM-4581</t>
  </si>
  <si>
    <t>IIRM: Tasks: Incorrect Tab Highlights on "My Calendar" from side navigationbar</t>
  </si>
  <si>
    <t>IIRM-4582</t>
  </si>
  <si>
    <t>IIRM: Opty stages: Selected Dates Not Persisting in Planning Stage</t>
  </si>
  <si>
    <t>IIRM-4583</t>
  </si>
  <si>
    <t>IIRM: Opty stages: Few stages were blocked to test</t>
  </si>
  <si>
    <t>IIRM-4584</t>
  </si>
  <si>
    <t>IIRM: Tasks &amp; Meeting: Able to create a Task and Meetings for current date</t>
  </si>
  <si>
    <t>IIRM-4585</t>
  </si>
  <si>
    <t>IIRM: Notes: Previously opened tab is displaying when we open the Note to edit</t>
  </si>
  <si>
    <t>IIRM-4586</t>
  </si>
  <si>
    <t>IIRM: Opty stages: Data validation issues</t>
  </si>
  <si>
    <t>IIRM-4587</t>
  </si>
  <si>
    <t>IIRM: Opty stages: KDM meeting issues</t>
  </si>
  <si>
    <t>IIRM-4588</t>
  </si>
  <si>
    <t>IIRM: Opty stages: Mandate details entry issues</t>
  </si>
  <si>
    <t>IIRM-4589</t>
  </si>
  <si>
    <t>Policy Creation Post Placement Slip</t>
  </si>
  <si>
    <t>IIRM-4590</t>
  </si>
  <si>
    <t>IIMR: Opty stages: RFP Data Collection</t>
  </si>
  <si>
    <t>IIRM-4591</t>
  </si>
  <si>
    <t>IIRM: Opty stages: RFP data entry issues</t>
  </si>
  <si>
    <t>IIRM-4592</t>
  </si>
  <si>
    <t>State Model: Manage Sales Opportunity State Transitions</t>
  </si>
  <si>
    <t>IIRM-4593</t>
  </si>
  <si>
    <t>IIRM: Opty stages: Premium calculation issues</t>
  </si>
  <si>
    <t>IIRM-4594</t>
  </si>
  <si>
    <t>View Policies in Manage Policies</t>
  </si>
  <si>
    <t>IIRM-4595</t>
  </si>
  <si>
    <t>IIRM: Opty stages: Held Cover issues</t>
  </si>
  <si>
    <t>IIRM-4596</t>
  </si>
  <si>
    <t>IIRM: Opty Stages: policy hard cover Receipt issues</t>
  </si>
  <si>
    <t>IIRM-4597</t>
  </si>
  <si>
    <t>Due date error</t>
  </si>
  <si>
    <t>IIRM-4598</t>
  </si>
  <si>
    <t>IIRM: Opty stages: Policy Docket hand over issues</t>
  </si>
  <si>
    <t>IIRM-4599</t>
  </si>
  <si>
    <t>IIRM: Opty stages: Hand Over meet issues</t>
  </si>
  <si>
    <t>IIRM-4600</t>
  </si>
  <si>
    <t>If future dates are disabled in the opportunity planning screen, the user won't be able to select them. So, to allow planning, future dates should be enabled.</t>
  </si>
  <si>
    <t>IIRM-4601</t>
  </si>
  <si>
    <t>Data archival</t>
  </si>
  <si>
    <t>IIRM-4602</t>
  </si>
  <si>
    <t>Bulk Messaging Mechanisms</t>
  </si>
  <si>
    <t>IIRM-761 — SOW#34 - Notifications Management</t>
  </si>
  <si>
    <t>IIRM-4603</t>
  </si>
  <si>
    <t>Company Name must be freezed in Opty</t>
  </si>
  <si>
    <t>IIRM-4604</t>
  </si>
  <si>
    <t>Employee participants selection issue</t>
  </si>
  <si>
    <t>IIRM-4605</t>
  </si>
  <si>
    <t>Unable to submit activities</t>
  </si>
  <si>
    <t>IIRM-4606</t>
  </si>
  <si>
    <t>Fetch mandate not working</t>
  </si>
  <si>
    <t>IIRM-4607</t>
  </si>
  <si>
    <t>Error while saving mandate</t>
  </si>
  <si>
    <t>IIRM-4608</t>
  </si>
  <si>
    <t>RFP Details Entry issues</t>
  </si>
  <si>
    <t>IIRM-4609</t>
  </si>
  <si>
    <t>Premium calculation activity submit issue</t>
  </si>
  <si>
    <t>IIRM-4610</t>
  </si>
  <si>
    <t>Service-Registry health issue devOps config</t>
  </si>
  <si>
    <t>IIRM-4611</t>
  </si>
  <si>
    <t>IIRM: Tasks &amp; Meeting: Scroll bar issues</t>
  </si>
  <si>
    <t>IIRM-4612</t>
  </si>
  <si>
    <t>IIRM:  Knowledge Central: Task menu is overlapped with Add Documents overlay</t>
  </si>
  <si>
    <t>IIRM-4614</t>
  </si>
  <si>
    <t>Handling PII data mechanism</t>
  </si>
  <si>
    <t>IIRM-4615</t>
  </si>
  <si>
    <t>IIRM_Notes: Not able to view the created notes in the Notes List</t>
  </si>
  <si>
    <t>IIRM-4616</t>
  </si>
  <si>
    <t>IIRM: SO: Opty Creation: Unauthorized Access shown after filling basic details</t>
  </si>
  <si>
    <t>IIRM-4617</t>
  </si>
  <si>
    <t>IIRM: Opty stages: 400 Error Thrown While Fetching Stages Data</t>
  </si>
  <si>
    <t>IIRM-4618</t>
  </si>
  <si>
    <t>Date format standardization across the application</t>
  </si>
  <si>
    <t>IIRM-4619</t>
  </si>
  <si>
    <t xml:space="preserve"> Display all participants added in planning on the activity along with the owner</t>
  </si>
  <si>
    <t>IIRM-4620</t>
  </si>
  <si>
    <t xml:space="preserve">Allow typing within the multi-select menus &amp; display the selected values below the menu </t>
  </si>
  <si>
    <t>IIRM-4621</t>
  </si>
  <si>
    <t xml:space="preserve"> Font size to be increased for headings</t>
  </si>
  <si>
    <t>IIRM-4622</t>
  </si>
  <si>
    <t xml:space="preserve">Feedback from IIRM: Expand the side nav bar whenever an icon is clicked </t>
  </si>
  <si>
    <t>IIRM-4623</t>
  </si>
  <si>
    <t>105% on header on opty completion</t>
  </si>
  <si>
    <t>IIRM-4624</t>
  </si>
  <si>
    <t>Risk location to display address line 1 along with city</t>
  </si>
  <si>
    <t>IIRM-4625</t>
  </si>
  <si>
    <t>When opening an existing meeting or task, a pop-up appears on the right side with a button labelled 'Create'</t>
  </si>
  <si>
    <t>IIRM-4626</t>
  </si>
  <si>
    <t>"When we create an activity plan, color dots are shown on the calendar to indicate the planned dates. However, if multiple plans fall on the same day or overlap with previous (past) dates, the UI becomes cluttered and visually disturbed."</t>
  </si>
  <si>
    <t>IIRM-4627</t>
  </si>
  <si>
    <t>IIRM_Knowledge Central: Created document is not reflecting on the UI</t>
  </si>
  <si>
    <t>IIRM-4628</t>
  </si>
  <si>
    <t>Error while saving activity</t>
  </si>
  <si>
    <t>IIRM-4629</t>
  </si>
  <si>
    <t>IIRM: Opportunites first set of stages testing</t>
  </si>
  <si>
    <t>IIRM-4630</t>
  </si>
  <si>
    <t>IIRM: Opportunites secound set of Stages testing</t>
  </si>
  <si>
    <t>IIRM-4631</t>
  </si>
  <si>
    <t xml:space="preserve">IIRM: Task &amp; Notes Testing </t>
  </si>
  <si>
    <t>IIRM-4632</t>
  </si>
  <si>
    <t>IIRM: Task &amp; Meetings, Notes Testing  &amp; Bug Fixes verification</t>
  </si>
  <si>
    <t>IIRM-4633</t>
  </si>
  <si>
    <t>IIRM: Knowledge central UI Verification</t>
  </si>
  <si>
    <t>IIRM-4634</t>
  </si>
  <si>
    <t>IIRM: Knowledge central Bugfixes and regression testing</t>
  </si>
  <si>
    <t>IIRM-4635</t>
  </si>
  <si>
    <t>Error on submission of KDM Meeting</t>
  </si>
  <si>
    <t>IIRM-4636</t>
  </si>
  <si>
    <t>IIRM:  Opportunites Stages  Bugfixes Verification &amp; Regression testing</t>
  </si>
  <si>
    <t>IIRM-4637</t>
  </si>
  <si>
    <t>IIRM: Knowledge Central: Verify category-based document upload, display, and download</t>
  </si>
  <si>
    <t>IIRM-4638</t>
  </si>
  <si>
    <t>IIRM: KnowledgeCentral: Verify document search and filtering by name and category</t>
  </si>
  <si>
    <t>IIRM-4639</t>
  </si>
  <si>
    <t>IIRM: Knowledge Central: Verify document management actions (add, delete, category change) by Admin</t>
  </si>
  <si>
    <t>IIRM-4640</t>
  </si>
  <si>
    <t>IIRM: Knowledge Central: Verify  restricted access for non-admin users</t>
  </si>
  <si>
    <t>IIRM-4641</t>
  </si>
  <si>
    <t>IIRM: Knowledge Central: Verify recent and popular document widgets display correctly</t>
  </si>
  <si>
    <t>IIRM-4642</t>
  </si>
  <si>
    <t>IIRM: Knowledge Central: Verify adding a new document with category selection, file validations, and permissions</t>
  </si>
  <si>
    <t>IIRM-4643</t>
  </si>
  <si>
    <t>IIRM: Dropdown Search Should Display All Records from DB, Not Limited by Pagination</t>
  </si>
  <si>
    <t>IIRM-4644</t>
  </si>
  <si>
    <t xml:space="preserve">document upload is mandatory in "planning" ,can't upload mandatory </t>
  </si>
  <si>
    <t>IIRM-4645</t>
  </si>
  <si>
    <t>kdm meeting can't be submit because of the selection issues in fields</t>
  </si>
  <si>
    <t>IIRM-4646</t>
  </si>
  <si>
    <t>"When all fields in an existing record are updated, the meeting is not syncing properly."</t>
  </si>
  <si>
    <t>IIRM-4647</t>
  </si>
  <si>
    <t>Localization code need to refractor</t>
  </si>
  <si>
    <t>IIRM-4648</t>
  </si>
  <si>
    <t>IIRM: Company creation : Searched string is getting changed</t>
  </si>
  <si>
    <t>IIRM-4649</t>
  </si>
  <si>
    <t>IIRM: Knowledge Central: Unable to upload the document: Internal Server Error</t>
  </si>
  <si>
    <t>IIRM-4650</t>
  </si>
  <si>
    <t>IIRM: SO: "Cannot PUT /opportunity" error message is displayed</t>
  </si>
  <si>
    <t>IIRM-4651</t>
  </si>
  <si>
    <t>Unable to create opty for any company</t>
  </si>
  <si>
    <t>IIRM-4652</t>
  </si>
  <si>
    <t>IIRM: All Features: "Add Opportunity" button is missing in Company View details screen</t>
  </si>
  <si>
    <t>IIRM-4653</t>
  </si>
  <si>
    <t>STatus ID issue in RFP Data collection stage</t>
  </si>
  <si>
    <t>IIRM-4654</t>
  </si>
  <si>
    <t xml:space="preserve">ISG planning shows not yet planned </t>
  </si>
  <si>
    <t>IIRM-4655</t>
  </si>
  <si>
    <t>IIRM: All Features: Data is not displayed in the quick cards</t>
  </si>
  <si>
    <t>IIRM-4656</t>
  </si>
  <si>
    <t>No Option to mark the task, meeting or notes as complete</t>
  </si>
  <si>
    <t>IIRM-4657</t>
  </si>
  <si>
    <t>Dropdown values getting blank while updating meetings and tasks</t>
  </si>
  <si>
    <t>IIRM-4658</t>
  </si>
  <si>
    <t>IIRM: Company allowed to be marked Inactive while Active optys are linked to it</t>
  </si>
  <si>
    <t>IIRM-4659</t>
  </si>
  <si>
    <t>IIRM: Contacts: Static values shown in "Departments" dropdown</t>
  </si>
  <si>
    <t>IIRM-4660</t>
  </si>
  <si>
    <t>IIRM: opportunity: "Oops! Something went wrong" screen is displayed</t>
  </si>
  <si>
    <t>IIRM-4661</t>
  </si>
  <si>
    <t>IIRM: Opty Stages: Credit sharing% is not allowing decimals</t>
  </si>
  <si>
    <t>IIRM-4662</t>
  </si>
  <si>
    <t>IIRM: Knowledge Central: Missing Confirmation Alert on Document Create and Delete Actions</t>
  </si>
  <si>
    <t>IIRM-4663</t>
  </si>
  <si>
    <t>IIRM: Knowledge Central: Duplicate Tags Are Being Added When Editing a Document</t>
  </si>
  <si>
    <t>IIRM-4664</t>
  </si>
  <si>
    <t>IIRM: Task: Unable to edit the tasks from All tab</t>
  </si>
  <si>
    <t>IIRM-4665</t>
  </si>
  <si>
    <t>IIRM: Meeting: Deleted Meeting Persists on UI Until Page Reload</t>
  </si>
  <si>
    <t>IIRM-4666</t>
  </si>
  <si>
    <t>IIRM: Meeting: Meeting Type Not Updating and Company Contacts State Not Retained During Meeting Update</t>
  </si>
  <si>
    <t>IIRM-4667</t>
  </si>
  <si>
    <t>IIRM: Task: Created Task Gets Removed When Updating Task Date</t>
  </si>
  <si>
    <t>IIRM-4668</t>
  </si>
  <si>
    <t>IIRM: Meeting: Unable to update meeting if location got changed</t>
  </si>
  <si>
    <t>IIRM-4669</t>
  </si>
  <si>
    <t>IIRM: Opportunities: Oops something went wrong shown after update opportunity.</t>
  </si>
  <si>
    <t>IIRM-4670</t>
  </si>
  <si>
    <t>IIRM: Company create is not working Error-&gt;Property "state" was not found in "OrgBranch</t>
  </si>
  <si>
    <t>IIRM-4671</t>
  </si>
  <si>
    <t>Refactoring for CD in Placmentslip - Schema level and Transactions to be maitained</t>
  </si>
  <si>
    <t>IIRM-781 — SOW#54 - CD Management</t>
  </si>
  <si>
    <t>IIRM-4672</t>
  </si>
  <si>
    <t xml:space="preserve">No users are shown in additional participants drop down. </t>
  </si>
  <si>
    <t>IIRM-4673</t>
  </si>
  <si>
    <t>Future date selection is not allowed in planning</t>
  </si>
  <si>
    <t>IIRM-4674</t>
  </si>
  <si>
    <t>IIRM: Access Denied Error After Submitting Opportunity Activities</t>
  </si>
  <si>
    <t>IIRM-4675</t>
  </si>
  <si>
    <t>IIRM: Company Creation Fails Due to Invalid URL Error</t>
  </si>
  <si>
    <t>IIRM-4676</t>
  </si>
  <si>
    <t>IIRM: Contact list are not displayed on so contact filters</t>
  </si>
  <si>
    <t>IIRM-4677</t>
  </si>
  <si>
    <t>IIRM: BD Planing is not working error-&gt;Opportunity status with key OPPORTUNITY_STATUS_SUBMITTED not found</t>
  </si>
  <si>
    <t>IIRM-4678</t>
  </si>
  <si>
    <t>IIRM: Reset Password: Not able to reset the password</t>
  </si>
  <si>
    <t>IIRM-4679</t>
  </si>
  <si>
    <t>IIRM: Reset Password: UI</t>
  </si>
  <si>
    <t>IIRM-4680</t>
  </si>
  <si>
    <t>IIRM: Opportunity: Assigned To field missing on create opportunity</t>
  </si>
  <si>
    <t>IIRM-4681</t>
  </si>
  <si>
    <t>IIRM: Broker Slip generation stage save version &amp; submit not working</t>
  </si>
  <si>
    <t>IIRM-4682</t>
  </si>
  <si>
    <t>IIRM: Opty stages: Held cover note on submit error shown as Unsupported opportunity table</t>
  </si>
  <si>
    <t>IIRM-4683</t>
  </si>
  <si>
    <t>IIRM: Opty stages: Policy Hard copy receipt error shown Unsupported opportuity table</t>
  </si>
  <si>
    <t>IIRM-4684</t>
  </si>
  <si>
    <t>IIRM: Opty stages: Policy Docket hand over error shown on UI " Unsupported opportunity table "</t>
  </si>
  <si>
    <t>IIRM-4685</t>
  </si>
  <si>
    <t>IIMR:Hand Over met: Handover error shown s "Unsupported opportunity table"</t>
  </si>
  <si>
    <t>IIRM-4686</t>
  </si>
  <si>
    <t>IIRM: Opty stages: Opportunity Lost shown as : Unsupported opportunity table</t>
  </si>
  <si>
    <t>IIRM-4687</t>
  </si>
  <si>
    <t>IIRM: Opty stages: Policy confirmation : on clicking submit "Property entry deviation config should not exist" shown</t>
  </si>
  <si>
    <t>IIRM-4688</t>
  </si>
  <si>
    <t>IIRM: Regression  testing and UAT Bugfixes verification</t>
  </si>
  <si>
    <t>IIRM-4689</t>
  </si>
  <si>
    <t>IIRM: Testing Smart Assistant and Create Wizard flow</t>
  </si>
  <si>
    <t>IIRM-4690</t>
  </si>
  <si>
    <t>IIRM-4691</t>
  </si>
  <si>
    <t>IIRM-4692</t>
  </si>
  <si>
    <t>Unable to view Opty</t>
  </si>
  <si>
    <t>IIRM-4693</t>
  </si>
  <si>
    <t>Department dropdown in smart srch  filter are not available while creating contact</t>
  </si>
  <si>
    <t>IIRM-4694</t>
  </si>
  <si>
    <t>In priority dropdown All &amp; default values have been added</t>
  </si>
  <si>
    <t>IIRM-4695</t>
  </si>
  <si>
    <t>State Option is only British COlumbia while creating company</t>
  </si>
  <si>
    <t>IIRM-4696</t>
  </si>
  <si>
    <t>Page unresponsive</t>
  </si>
  <si>
    <t>IIRM-4697</t>
  </si>
  <si>
    <t>city filter is showing wrong data in company screen</t>
  </si>
  <si>
    <t>IIRM-4698</t>
  </si>
  <si>
    <t>Personal History in contact details</t>
  </si>
  <si>
    <t>IIRM-4699</t>
  </si>
  <si>
    <t>not able to save or submit activity</t>
  </si>
  <si>
    <t>IIRM-4700</t>
  </si>
  <si>
    <t xml:space="preserve">IIRM: Notification Issues </t>
  </si>
  <si>
    <t>IIRM-4701</t>
  </si>
  <si>
    <t>IIRM: Updated Details Are Reflected on Task Update</t>
  </si>
  <si>
    <t>IIRM-4702</t>
  </si>
  <si>
    <t>Java script errors need to be addressed</t>
  </si>
  <si>
    <t>IIRM-4703</t>
  </si>
  <si>
    <t xml:space="preserve">Create Insurer - Insurance company type </t>
  </si>
  <si>
    <t>IIRM-4704</t>
  </si>
  <si>
    <t>Edit option not available</t>
  </si>
  <si>
    <t>IIRM-4705</t>
  </si>
  <si>
    <t>Company location is blank while add contact</t>
  </si>
  <si>
    <t>IIRM-4706</t>
  </si>
  <si>
    <t>Cannot add opty as contacts are not visible</t>
  </si>
  <si>
    <t>IIRM-4707</t>
  </si>
  <si>
    <t>Unable to create meeting- company participants not visible</t>
  </si>
  <si>
    <t>IIRM-4708</t>
  </si>
  <si>
    <t>IIRM: UAT: Company: LOV's are missing in the Parent Company Name in UAT environment</t>
  </si>
  <si>
    <t>IIRM-4709</t>
  </si>
  <si>
    <t>IIRM: UAT: RBAC: Previous user details are populated</t>
  </si>
  <si>
    <t>IIRM-4710</t>
  </si>
  <si>
    <t>IIRM: UAT: opportunity: Inactive users are displayed in the Assigned To field in Opty filters</t>
  </si>
  <si>
    <t>IIRM-4711</t>
  </si>
  <si>
    <t>IIRM: UAT: opportunity: Change label name from Assigned To to BD_CRM</t>
  </si>
  <si>
    <t>IIRM-4712</t>
  </si>
  <si>
    <t>IIRM: UAT: opportunity: Changes Label names from Opportunity type to SO and select SO option by default and make it readonly</t>
  </si>
  <si>
    <t>IIRM-4713</t>
  </si>
  <si>
    <t xml:space="preserve">IIRM: Create wizard: "Unknown" text is displayed instead of the company's country </t>
  </si>
  <si>
    <t>IIRM-4714</t>
  </si>
  <si>
    <t>IIRM:Show completed should not shown on tasks tab</t>
  </si>
  <si>
    <t>IIRM-4715</t>
  </si>
  <si>
    <t>IIRM: RBAC: The Contact list should display for all users in the Create Wizard screen</t>
  </si>
  <si>
    <t>IIRM-4716</t>
  </si>
  <si>
    <t>IIRM: UAT: Count is not updating in the company quick cards</t>
  </si>
  <si>
    <t>IIRM-4717</t>
  </si>
  <si>
    <t>IIRM:UAT: Opty Stages: "Oops Something went wrong!" screen is displayed by clicking on the Premium Calculation tab</t>
  </si>
  <si>
    <t>IIRM-4718</t>
  </si>
  <si>
    <t>IIRM: UAT: RBAC: The Contact list should display for all users in the Create Wizard screen</t>
  </si>
  <si>
    <t>IIRM-4719</t>
  </si>
  <si>
    <t>IIRM: UAT: Company: "Unknown" text is displayed instead of the company's country</t>
  </si>
  <si>
    <t>IIRM-4720</t>
  </si>
  <si>
    <t>IIRM: Invalid state shown on GST card.</t>
  </si>
  <si>
    <t>IIRM-4721</t>
  </si>
  <si>
    <t>IIRM: Company: Invalid limit count shown on strategy page</t>
  </si>
  <si>
    <t>IIRM-4722</t>
  </si>
  <si>
    <t>IIRM: Company: LOV's are missing in the State Dropdown for GST Details section</t>
  </si>
  <si>
    <t>IIRM-4723</t>
  </si>
  <si>
    <t>IIRM: UI: Inconsistency message text is displayed</t>
  </si>
  <si>
    <t>IIRM-4724</t>
  </si>
  <si>
    <t>IIRM: Company: "The id 31 does not match a valid look value for statusLid." message is displayed</t>
  </si>
  <si>
    <t>IIRM-4725</t>
  </si>
  <si>
    <t>IIRM: Opty Stages: The activity planned date is not auto updating till screen refreshes</t>
  </si>
  <si>
    <t>IIRM-4726</t>
  </si>
  <si>
    <t>IIRM: Opty Stages: Data Validation: Able to submit the Data validation step without validating the data</t>
  </si>
  <si>
    <t>IIRM-4727</t>
  </si>
  <si>
    <t>IIRM: opportunity: "Unsupported opportunity table: opportunity_rfp_cover_detail" message is displayed while saving RFP Data Collection activity</t>
  </si>
  <si>
    <t>IIRM-4728</t>
  </si>
  <si>
    <t>IIRM: Opty stages: RFP Details Entry error thrown on submit</t>
  </si>
  <si>
    <t>IIRM-4729</t>
  </si>
  <si>
    <t>IIRM: Contact: Company should get auto prefill while creating contact</t>
  </si>
  <si>
    <t>IIRM-4730</t>
  </si>
  <si>
    <t xml:space="preserve">IIRM: Company: Default 0 showing on Annual premium </t>
  </si>
  <si>
    <t>IIRM-4731</t>
  </si>
  <si>
    <t xml:space="preserve">IIRM: Default $ symbol showing on compensation payable filed </t>
  </si>
  <si>
    <t>IIRM-4732</t>
  </si>
  <si>
    <t>IIRM: Opty stages: Unsupported opportunity table: opportunity_rfp_cover_detail error shown for RFP Data collection</t>
  </si>
  <si>
    <t>IIRM-4733</t>
  </si>
  <si>
    <t>IIRM: Opty stages: Unable to submit Enter Quote stage</t>
  </si>
  <si>
    <t>IIRM-4734</t>
  </si>
  <si>
    <t>IIRM: Opty stages: QCR Generation stage not working</t>
  </si>
  <si>
    <t>IIRM-4735</t>
  </si>
  <si>
    <t>IIRM: Tasks &amp; Meetings: All the companies are not listed in the company dropdown</t>
  </si>
  <si>
    <t>IIRM-4736</t>
  </si>
  <si>
    <t>IIMR: Notes: For created notes , first time update not happening</t>
  </si>
  <si>
    <t>IIRM-4738</t>
  </si>
  <si>
    <t xml:space="preserve">Display Policy List view </t>
  </si>
  <si>
    <t>IIRM-777 — SOW#50 - Policy Configurator</t>
  </si>
  <si>
    <t>IIRM-4739</t>
  </si>
  <si>
    <t>Single Policy View</t>
  </si>
  <si>
    <t>IIRM-4740</t>
  </si>
  <si>
    <t>IIRM-4741</t>
  </si>
  <si>
    <t>Tasks and Meetings Drag and Drop</t>
  </si>
  <si>
    <t>IIRM-4743</t>
  </si>
  <si>
    <t>Opty Activity Scroll</t>
  </si>
  <si>
    <t>IIRM-4744</t>
  </si>
  <si>
    <t>User Management: Add, Edit, Delete</t>
  </si>
  <si>
    <t>IIRM-4745</t>
  </si>
  <si>
    <t>Role and ACL Map: Add edit del</t>
  </si>
  <si>
    <t>IIRM-4746</t>
  </si>
  <si>
    <t>Previous TPA / Broker / Insurer Placement</t>
  </si>
  <si>
    <t>IIRM-4747</t>
  </si>
  <si>
    <t>Cover Data AI</t>
  </si>
  <si>
    <t>IIRM-4748</t>
  </si>
  <si>
    <t>Localization</t>
  </si>
  <si>
    <t>IIRM-4749</t>
  </si>
  <si>
    <t>Add Contact, uncontrolled ACL</t>
  </si>
  <si>
    <t>IIRM-4750</t>
  </si>
  <si>
    <t>Add Contact in Opty</t>
  </si>
  <si>
    <t>IIRM-4752</t>
  </si>
  <si>
    <t>Smart Adds: Company flow and Add Intelligent Data</t>
  </si>
  <si>
    <t>IIRM-4753</t>
  </si>
  <si>
    <t xml:space="preserve">KDM Meeting - User has no option to complete the meeting </t>
  </si>
  <si>
    <t>IIRM-4754</t>
  </si>
  <si>
    <t>Make password reset guidelines in blue colour</t>
  </si>
  <si>
    <t>IIRM-4755</t>
  </si>
  <si>
    <t>add a floater scroll down in the login page</t>
  </si>
  <si>
    <t>IIRM-4756</t>
  </si>
  <si>
    <t>New iWork: Source code + tech doc + Architecture (Infra + source code), presentation next week</t>
  </si>
  <si>
    <t>IIRM-4757</t>
  </si>
  <si>
    <t>To give template for data migration for policies</t>
  </si>
  <si>
    <t>IIRM-4758</t>
  </si>
  <si>
    <t>Write a script for data mig, make it automated (csv)</t>
  </si>
  <si>
    <t>IIRM-4759</t>
  </si>
  <si>
    <t>Group Company: All Individual companies</t>
  </si>
  <si>
    <t>IIRM-4760</t>
  </si>
  <si>
    <t>alphabets should not enter in Annual premium field</t>
  </si>
  <si>
    <t>IIRM-4761</t>
  </si>
  <si>
    <t>IIRM: Opty creation progress: 5% completion shown on BD Planning</t>
  </si>
  <si>
    <t>IIRM-4762</t>
  </si>
  <si>
    <t>IIRM: Unauthorised Access: User able to view company but unable to complete Data Validation stage</t>
  </si>
  <si>
    <t>IIRM-4763</t>
  </si>
  <si>
    <t>Without Validating the Opty details, able to submit the activity "Data Validation"</t>
  </si>
  <si>
    <t>IIRM-4764</t>
  </si>
  <si>
    <t>IIRM: SO: Server is down for Opportunity page.</t>
  </si>
  <si>
    <t>IIRM-4765</t>
  </si>
  <si>
    <t>IIRM: Opty Stages: Mandate Details Entry: Compensation Type has additional value</t>
  </si>
  <si>
    <t>IIRM-4766</t>
  </si>
  <si>
    <t>Check tool for generating CSAT Survey + Course and assessment</t>
  </si>
  <si>
    <t>IIRM-4767</t>
  </si>
  <si>
    <t>IIRM: To give LoVs for meeting feedback</t>
  </si>
  <si>
    <t>IIRM-4768</t>
  </si>
  <si>
    <t>Mandate Details Entry - Date fields validation to be changed</t>
  </si>
  <si>
    <t>IIRM-4770</t>
  </si>
  <si>
    <t>Smart Action Panel should show Contact sensitivity in search</t>
  </si>
  <si>
    <t>IIRM-4772</t>
  </si>
  <si>
    <t>Check application and change the navigation breadcrumb behaviour</t>
  </si>
  <si>
    <t>IIRM-4773</t>
  </si>
  <si>
    <t>Quote 2 is not getting added</t>
  </si>
  <si>
    <t>IIRM-4774</t>
  </si>
  <si>
    <t>Covers List is missing in Policy hard Copy receipt</t>
  </si>
  <si>
    <t>IIRM-4775</t>
  </si>
  <si>
    <t>Broking slip download in Excel</t>
  </si>
  <si>
    <t>IIRM-4776</t>
  </si>
  <si>
    <t>In Quote comparison: Under Premium comparison, similar table should come</t>
  </si>
  <si>
    <t>IIRM-4777</t>
  </si>
  <si>
    <t>The numbers of activities should be circled and BD stages to have 1 colour and ISG to have one colour</t>
  </si>
  <si>
    <t>IIRM-4778</t>
  </si>
  <si>
    <t>Using AI: Policy to Quote</t>
  </si>
  <si>
    <t>IIRM-4779</t>
  </si>
  <si>
    <t>Using AI: Policy to Create Opportunity</t>
  </si>
  <si>
    <t>IIRM-4780</t>
  </si>
  <si>
    <t>IIRM: Opportunity Stages: Doc Upload Issues</t>
  </si>
  <si>
    <t>IIRM-760 — SOW#33 - Document Generation</t>
  </si>
  <si>
    <t>IIRM-4781</t>
  </si>
  <si>
    <t>opty planning for activity meeting final negotiation can't submit because TPA id pop-up</t>
  </si>
  <si>
    <t>IIRM-4782</t>
  </si>
  <si>
    <t>No quotes are reflecting for comparision</t>
  </si>
  <si>
    <t>IIRM-4783</t>
  </si>
  <si>
    <t>Enter quote process is very confusing.  After versions are displyayed we have toadd quote and the details arent synced from the version.  Also the 'compare' is not working as well as 'submit for approval'</t>
  </si>
  <si>
    <t>IIRM-4784</t>
  </si>
  <si>
    <t>submit button is disable in brokering slip generation</t>
  </si>
  <si>
    <t>IIRM-4785</t>
  </si>
  <si>
    <t>IIRM: Opty stages: Duplicate stages shown in Activities for newly created SO</t>
  </si>
  <si>
    <t>IIRM-4786</t>
  </si>
  <si>
    <t xml:space="preserve">IIRM: UAT: After contact creation, navigation should get redirects to the contact portfolio on company overview page </t>
  </si>
  <si>
    <t>IIRM-4787</t>
  </si>
  <si>
    <t xml:space="preserve">IIRM: Opty stages: Participants not showing on stages </t>
  </si>
  <si>
    <t>IIRM-4788</t>
  </si>
  <si>
    <t>IIRM: Opty stages: Unauthorized access shown on validating company from data validation stage</t>
  </si>
  <si>
    <t>IIRM-4789</t>
  </si>
  <si>
    <t>IIRM: Opty stages: On Doc upload API response thrown 500 error</t>
  </si>
  <si>
    <t>IIRM-4790</t>
  </si>
  <si>
    <t>IIRM: Opty stages: Can't submit the KDM meeting stage</t>
  </si>
  <si>
    <t>IIRM-4791</t>
  </si>
  <si>
    <t>Backlog: Assign Country to TPA, Insurers, Brokers</t>
  </si>
  <si>
    <t>IIRM-4792</t>
  </si>
  <si>
    <t xml:space="preserve">Data Validation - Have 2 buttons for validate - Validate Company, Validate SO </t>
  </si>
  <si>
    <t>IIRM-4793</t>
  </si>
  <si>
    <t>IIRM: Insurer: Unable to create insurer, error thrown: read ECONNRESET</t>
  </si>
  <si>
    <t>IIRM-4794</t>
  </si>
  <si>
    <t>IIRM: Opty stages: Cover details data missing in RFP Data collection stage</t>
  </si>
  <si>
    <t>IIRM-4795</t>
  </si>
  <si>
    <t>IIRM: Opty stages: QCR generation failed thrown error like "Required fields are missing in the request."</t>
  </si>
  <si>
    <t>IIRM-4797</t>
  </si>
  <si>
    <t>IIRM: Opty stages: Handover meet stage: cant submit : Error thrown "Meeting type with ID 7602 is not a Handover Meeting"</t>
  </si>
  <si>
    <t>IIRM-4798</t>
  </si>
  <si>
    <t>IIRM: OPty stages: Opportunity Lost stage: Cant submit error thrown "documents: property documents should not exist"</t>
  </si>
  <si>
    <t>IIRM-4799</t>
  </si>
  <si>
    <t>Add covers in policy hard copy and make it editable</t>
  </si>
  <si>
    <t>IIRM-4800</t>
  </si>
  <si>
    <t>Breadcrumb Navigation: verify that breadcrumb navigation is correctly implemented and consistent across all pages.</t>
  </si>
  <si>
    <t>Ready for QA</t>
  </si>
  <si>
    <t>IIRM-4801</t>
  </si>
  <si>
    <t>Manager's approval in activities implementation</t>
  </si>
  <si>
    <t>IIRM-4802</t>
  </si>
  <si>
    <t>Form Fields &amp; Button to be disabled post activity Completion</t>
  </si>
  <si>
    <t>IIRM-4803</t>
  </si>
  <si>
    <t>KDM Meeting: MoM required for submit</t>
  </si>
  <si>
    <t>IIRM-4804</t>
  </si>
  <si>
    <t>Data validation: 2 buttons for validating company &amp; SO</t>
  </si>
  <si>
    <t>IIRM-4805</t>
  </si>
  <si>
    <t>Data Validation: Enable submit only after SO is validated</t>
  </si>
  <si>
    <t>IIRM-4806</t>
  </si>
  <si>
    <t>IIRM: Companies: KPIs for my leads</t>
  </si>
  <si>
    <t>IIRM-4807</t>
  </si>
  <si>
    <t>Mandate details: Issues to be fixed</t>
  </si>
  <si>
    <t>IIRM-4808</t>
  </si>
  <si>
    <t>RFP Data Collection - crash</t>
  </si>
  <si>
    <t>IIRM-4809</t>
  </si>
  <si>
    <t>"Broking Slip: Brokerage % is accepting strings Should only accept positive decimals until 100"</t>
  </si>
  <si>
    <t>IIRM-4810</t>
  </si>
  <si>
    <t>Broking Slip: Policy From date, policy to date (not from date and to date)</t>
  </si>
  <si>
    <t>IIRM-4811</t>
  </si>
  <si>
    <t>"Broking Slip: Save Version should be a small button instead of long one A separator below the button"</t>
  </si>
  <si>
    <t>IIRM-4812</t>
  </si>
  <si>
    <t>RFP Data Collection: Date Picker Icon Allignment</t>
  </si>
  <si>
    <t>IIRM-4814</t>
  </si>
  <si>
    <t>RFP Details Entry Excluded TPA - Remove branch location and contact</t>
  </si>
  <si>
    <t>IIRM-4815</t>
  </si>
  <si>
    <t>RFP Details Entry Target QCR Date - should be before opty close date</t>
  </si>
  <si>
    <t>IIRM-4816</t>
  </si>
  <si>
    <t>ISG Planning ISG planning is also submitted along with BD planning - ISg planning should be open after RFP Details Entry</t>
  </si>
  <si>
    <t>IIRM-4817</t>
  </si>
  <si>
    <t>Broking Slip Generation Edit Version not available on hover</t>
  </si>
  <si>
    <t>IIRM-4818</t>
  </si>
  <si>
    <t>Broking Slip Generation Toast message when broking slip version is saved</t>
  </si>
  <si>
    <t>IIRM-4819</t>
  </si>
  <si>
    <t>Broking Slip Generation Save Version is working like submit and the activity goes to disabled state</t>
  </si>
  <si>
    <t>IIRM-4820</t>
  </si>
  <si>
    <t>Broking Slip Generation Insurers list is taking 3.6 mins to load</t>
  </si>
  <si>
    <t>IIRM-4821</t>
  </si>
  <si>
    <t>Broking Slip Generation Popup on deletion of broking slip version</t>
  </si>
  <si>
    <t>IIRM-4822</t>
  </si>
  <si>
    <t>Enter Quote Net Premium should be calculated (Basic Premium + Terrorism + Tax)</t>
  </si>
  <si>
    <t>IIRM-4823</t>
  </si>
  <si>
    <t>Enter Quote Insurers's Remarks should be changed to "Insurer's Remarks"</t>
  </si>
  <si>
    <t>IIRM-4824</t>
  </si>
  <si>
    <t>Enter Quote Moving to next field is not keyboard enabled</t>
  </si>
  <si>
    <t>IIRM-4825</t>
  </si>
  <si>
    <t>Enter Quote Document error - Save Quote</t>
  </si>
  <si>
    <t>IIRM-4826</t>
  </si>
  <si>
    <t>Enter Quote Document Error - Submit Activity</t>
  </si>
  <si>
    <t>IIRM-4827</t>
  </si>
  <si>
    <t>Meeting for Final Negotiation If new meeting is selected, Select meeting should be disabled</t>
  </si>
  <si>
    <t>IIRM-4828</t>
  </si>
  <si>
    <t>Meeting for Final Negotiation MOM should be mandatory to submit</t>
  </si>
  <si>
    <t>IIRM-4829</t>
  </si>
  <si>
    <t>Meeting for Final Negotiation If multiple insurers is selected, Insurer share percentage should be removed or disabled</t>
  </si>
  <si>
    <t>IIRM-4830</t>
  </si>
  <si>
    <t>Meeting for Final Negotiation Single Insurer vs multiple insurer</t>
  </si>
  <si>
    <t>IIRM-4831</t>
  </si>
  <si>
    <t>IIRM-4832</t>
  </si>
  <si>
    <t xml:space="preserve">IIRM: UAT Bug fix verification and Regression testing on Opty stages </t>
  </si>
  <si>
    <t>IIRM-4833</t>
  </si>
  <si>
    <t>IIRM: Execute Opportunity test cases and create a test cycle for Opportunity stages.</t>
  </si>
  <si>
    <t>IIRM-4834</t>
  </si>
  <si>
    <t xml:space="preserve">IIRM; Bug fixes and Regression checking on Company , TPA/Insurer modules </t>
  </si>
  <si>
    <t>IIRM-4835</t>
  </si>
  <si>
    <t>IIRM: Regression testing on contact &amp; Opty creation modules</t>
  </si>
  <si>
    <t>IIRM-4836</t>
  </si>
  <si>
    <t>IIRM: Bug fixes and Regression testing on TPA/Broker/Insurer contact</t>
  </si>
  <si>
    <t>IIRM-4837</t>
  </si>
  <si>
    <t xml:space="preserve">IIRM: Opportunites stages verification &amp; Bug fixes </t>
  </si>
  <si>
    <t>IIRM-4838</t>
  </si>
  <si>
    <t>IIRM: Verify the UAT builds and regression checking On opportunites stages</t>
  </si>
  <si>
    <t>IIRM-4839</t>
  </si>
  <si>
    <t xml:space="preserve">IIRM: Ready for QA  Bugfixes verification and regression testing on latest build </t>
  </si>
  <si>
    <t>IIRM-4840</t>
  </si>
  <si>
    <t>Enter Quote - Insurer remarks is not marked mandatory but able to submit without entering insurer remarks</t>
  </si>
  <si>
    <t>IIRM-4841</t>
  </si>
  <si>
    <t xml:space="preserve">All Covers should be mandatory in Enter Quote </t>
  </si>
  <si>
    <t>IIRM-4842</t>
  </si>
  <si>
    <t>QCR - RFP and Broking slip are displayed after insurer details in the comparison report</t>
  </si>
  <si>
    <t>IIRM-4843</t>
  </si>
  <si>
    <t>QCR - Insurer not displayed in the report</t>
  </si>
  <si>
    <t>IIRM-4844</t>
  </si>
  <si>
    <t>QCR Generation - Placement Dynamics - Not optional on screen but not able to complete activity without entering data</t>
  </si>
  <si>
    <t>IIRM-4845</t>
  </si>
  <si>
    <t xml:space="preserve">Meeting for final negotiation: "Would you like to edit quote?" should be after covers </t>
  </si>
  <si>
    <t>IIRM-4846</t>
  </si>
  <si>
    <t xml:space="preserve">IIRM: TPA/Insurer/Broker UI issues </t>
  </si>
  <si>
    <t>IIRM-4847</t>
  </si>
  <si>
    <t>Meeting for final negotiation: By default New Meeting should be selected</t>
  </si>
  <si>
    <t>IIRM-4848</t>
  </si>
  <si>
    <t>IIRM: ALL Number in  Quote comparison should be comma seperated and Right aligned</t>
  </si>
  <si>
    <t>IIRM-4849</t>
  </si>
  <si>
    <t>Save Activity - Proper Implementation</t>
  </si>
  <si>
    <t>IIRM-4850</t>
  </si>
  <si>
    <t>IIRM: Static data displayed on meeting feedback form</t>
  </si>
  <si>
    <t>IIRM-4851</t>
  </si>
  <si>
    <t>ISG Planning - all activities have single default date</t>
  </si>
  <si>
    <t>IIRM-4852</t>
  </si>
  <si>
    <t>Meeting for final negotiation: Versions are showed even if there are no quotes entered for the version</t>
  </si>
  <si>
    <t>IIRM-4853</t>
  </si>
  <si>
    <t>Notifications UI Implementation</t>
  </si>
  <si>
    <t>IIRM-4854</t>
  </si>
  <si>
    <t>Opty Stages Bug fixes</t>
  </si>
  <si>
    <t>IIRM-4855</t>
  </si>
  <si>
    <t>Apply geo restriction for the application access</t>
  </si>
  <si>
    <t>joshuva</t>
  </si>
  <si>
    <t>IIRM-4856</t>
  </si>
  <si>
    <t>WAF Rules implementation</t>
  </si>
  <si>
    <t>IIRM-4858</t>
  </si>
  <si>
    <t>IIRM: opportunity: "Cannot PUT /opportunity" Message is displayed</t>
  </si>
  <si>
    <t>IIRM-4859</t>
  </si>
  <si>
    <t>Opportunity Lost activity should be open only when an opportunity is lost</t>
  </si>
  <si>
    <t>IIRM-4860</t>
  </si>
  <si>
    <t>Policy Confirmation Activity should be after policy hard copy receipt</t>
  </si>
  <si>
    <t>IIRM-4861</t>
  </si>
  <si>
    <t>Sri Lanka Data Migration</t>
  </si>
  <si>
    <t>IIRM-4862</t>
  </si>
  <si>
    <t>Policy data structure</t>
  </si>
  <si>
    <t>IIRM-4861 — Sri Lanka Data Migration</t>
  </si>
  <si>
    <t>IIRM-4863</t>
  </si>
  <si>
    <t>Clean database + Lanka data</t>
  </si>
  <si>
    <t>IIRM-4864</t>
  </si>
  <si>
    <t xml:space="preserve"> Infrastructure </t>
  </si>
  <si>
    <t>IIRM-4865</t>
  </si>
  <si>
    <t>Docs and code review</t>
  </si>
  <si>
    <t>IIRM-4866</t>
  </si>
  <si>
    <t>Participants not reflecting in activities</t>
  </si>
  <si>
    <t>IIRM-4868</t>
  </si>
  <si>
    <t>IIRM_OptyStages: Every activity is duplicated for existing opportunities</t>
  </si>
  <si>
    <t>IIRM-4869</t>
  </si>
  <si>
    <t>IIRM_Data Validation: Validate Company Details button issues</t>
  </si>
  <si>
    <t>IIRM-4870</t>
  </si>
  <si>
    <t>IIRM: Opty stages: Upload doc: Reupload and delete icons should not shown for already submitted activity.</t>
  </si>
  <si>
    <t>IIRM-4871</t>
  </si>
  <si>
    <t>IIRM: Opty stages: Cant proceed with RFP details entry on clicking submit for approval</t>
  </si>
  <si>
    <t>IIRM-4872</t>
  </si>
  <si>
    <t>Lost Opportunity is a showstopper for final step (Unable to create Policy)</t>
  </si>
  <si>
    <t>IIRM-4873</t>
  </si>
  <si>
    <t>IIRM_Placement Slip Generation: Error message is displayed when we click on the Approve button</t>
  </si>
  <si>
    <t>IIRM-4874</t>
  </si>
  <si>
    <t>IIRM_Approvals: No notifications are displayed when a user sends an activity for approval/Rejects</t>
  </si>
  <si>
    <t>IIRM-4875</t>
  </si>
  <si>
    <t>IIRM_Approvals: The activity to be approved should display by default on clicking on the Approval Request card from the Approvals tab</t>
  </si>
  <si>
    <t>IIRM-4876</t>
  </si>
  <si>
    <t>IIRM_Approvals: Activities Enabled and Disable functionalities based on the Approval status are not working</t>
  </si>
  <si>
    <t>IIRM-4877</t>
  </si>
  <si>
    <t>User Management: Add, Edit</t>
  </si>
  <si>
    <t>IIRM-4878</t>
  </si>
  <si>
    <t>IIRM: Opty stages: Final negotiation stage edit meeting issues</t>
  </si>
  <si>
    <t>IIRM-4879</t>
  </si>
  <si>
    <t>IIRM-4880</t>
  </si>
  <si>
    <t>IIRM_Approvals: Correct the pop up messages when The activity sends for Approval/Approved/Rejected</t>
  </si>
  <si>
    <t>IIRM-4881</t>
  </si>
  <si>
    <t>IIRM: Opty stages: Quote comparison report issues</t>
  </si>
  <si>
    <t>IIRM-4882</t>
  </si>
  <si>
    <t>IIRM_Approvals: Approve and Reject buttons should not display for the users who send the activity for approval(BD Executive)</t>
  </si>
  <si>
    <t>IIRM-4883</t>
  </si>
  <si>
    <t>IIRM_Opportunity: The Percentage of the Opty activities should not include BD and ISG planning stages</t>
  </si>
  <si>
    <t>IIRM-4885</t>
  </si>
  <si>
    <t xml:space="preserve">Approvals &amp; Assignments </t>
  </si>
  <si>
    <t>IIRM-4886</t>
  </si>
  <si>
    <t>Export QCR to Excel and Mail</t>
  </si>
  <si>
    <t>IIRM-4887</t>
  </si>
  <si>
    <t>RO related business flow</t>
  </si>
  <si>
    <t>IIRM-4888</t>
  </si>
  <si>
    <t>IIRM-4889</t>
  </si>
  <si>
    <t>IIRM: Opty stages: Data validation activity workflow issues</t>
  </si>
  <si>
    <t>IIRM-4890</t>
  </si>
  <si>
    <t>"Installment dates are being marked as mandatory even when 'Installment' is set to 'No'. Please update the logic so that installment dates are only required when 'Installment' is set to 'Yes'."</t>
  </si>
  <si>
    <t>IIRM-4891</t>
  </si>
  <si>
    <t>Decimal is not allowed in brokerage %</t>
  </si>
  <si>
    <t>IIRM-4892</t>
  </si>
  <si>
    <t>Role and ACL Map: Add edit delete</t>
  </si>
  <si>
    <t>IIRM-4893</t>
  </si>
  <si>
    <t>If fee is selected in installment no option to add installment details</t>
  </si>
  <si>
    <t>IIRM-4894</t>
  </si>
  <si>
    <t xml:space="preserve">IIRM: Opty stages: Enter Quote Activity: The timestamp should not display for the  "Quote received on" </t>
  </si>
  <si>
    <t>IIRM-4895</t>
  </si>
  <si>
    <t>Mandate details showing blank after activity completion</t>
  </si>
  <si>
    <t>IIRM-4896</t>
  </si>
  <si>
    <t xml:space="preserve"> In meeting final negotiation  activity and rfp details entry Variation/issues from QCR 1 module and Insurer service level agreement 1  are  missing</t>
  </si>
  <si>
    <t>IIRM-4897</t>
  </si>
  <si>
    <t>mandate details entry are disappear after submit</t>
  </si>
  <si>
    <t>IIRM-4898</t>
  </si>
  <si>
    <t>IIRM: Opty stages: Can't submit RFP details entry error thrown "remarks: nested property remarks must be either object or array"</t>
  </si>
  <si>
    <t>IIRM-4899</t>
  </si>
  <si>
    <t>IIRM_All Feature: User is navigated to the Login screen</t>
  </si>
  <si>
    <t>IIRM-4900</t>
  </si>
  <si>
    <t>IIRM_Localization: City Dropdown LOVs Missing for Uva and Eastern States</t>
  </si>
  <si>
    <t>IIRM-4901</t>
  </si>
  <si>
    <t>IIRM_Localization: Pincode and Phone Number Fields Rejects Valid Format for Lanka</t>
  </si>
  <si>
    <t>IIRM-4902</t>
  </si>
  <si>
    <t>IIRM_Localization: VAT/ SVAT/ Business registration number field errors</t>
  </si>
  <si>
    <t>IIRM-4903</t>
  </si>
  <si>
    <t>IIRM_Company_UI: UI issues</t>
  </si>
  <si>
    <t>IIRM-4904</t>
  </si>
  <si>
    <t>IIRM_Localization: No option is displayed for adding Multiple VAT/SVAT details</t>
  </si>
  <si>
    <t>IIRM-4905</t>
  </si>
  <si>
    <t>IIRM_Localization: Indian Country code is displayed in view details page</t>
  </si>
  <si>
    <t>IIRM-4906</t>
  </si>
  <si>
    <t>Meeting feedback can't be submit after filling the data.</t>
  </si>
  <si>
    <t>IIRM-4908</t>
  </si>
  <si>
    <t>gst number field can't accept the format and issue appear.</t>
  </si>
  <si>
    <t>IIRM-4911</t>
  </si>
  <si>
    <t>Meta Data should be in front end for Activities</t>
  </si>
  <si>
    <t>IIRM-4912</t>
  </si>
  <si>
    <t>Save activity in activities: Front End</t>
  </si>
  <si>
    <t>IIRM-4913</t>
  </si>
  <si>
    <t>Save activity in activities: Back End</t>
  </si>
  <si>
    <t>IIRM-4914</t>
  </si>
  <si>
    <t>State Management for Opty Activities in Accordian</t>
  </si>
  <si>
    <t>IIRM-4915</t>
  </si>
  <si>
    <t>IIRM_Localization: Able to view the Indian employees and Companies in LOV's</t>
  </si>
  <si>
    <t>IIRM-4916</t>
  </si>
  <si>
    <t>IIRM_Localization_UI: Change the text from India to Sri Lanka</t>
  </si>
  <si>
    <t>IIRM-4917</t>
  </si>
  <si>
    <t>IIRM_Localization: Make the Country dropdown read-only</t>
  </si>
  <si>
    <t>IIRM-4918</t>
  </si>
  <si>
    <t>IIRM_Localization_UI: Service Tax field is highlighted in red colour</t>
  </si>
  <si>
    <t>IIRM-4919</t>
  </si>
  <si>
    <t xml:space="preserve">Unable upload document in create company </t>
  </si>
  <si>
    <t>IIRM-4920</t>
  </si>
  <si>
    <t>Lanka_Contact address shows India by default</t>
  </si>
  <si>
    <t>IIRM-4921</t>
  </si>
  <si>
    <t>IIRM_Placement Slip Generation: "Unable to retrieve hierarchy for the user" error message is displayed</t>
  </si>
  <si>
    <t>IIRM-4922</t>
  </si>
  <si>
    <t xml:space="preserve">IIRM: Employee Creation not working </t>
  </si>
  <si>
    <t>IIRM-4923</t>
  </si>
  <si>
    <t>IIRM_Document: [object object] is displayed when we downloaded the uploaded document</t>
  </si>
  <si>
    <t>IIRM-4924</t>
  </si>
  <si>
    <t>IIRM_Document: The uploaded document is not retrieved</t>
  </si>
  <si>
    <t>IIRM-4925</t>
  </si>
  <si>
    <t>IIRM_Approvals: "Failed to approve opportunity activity: Opportunity activity with ID 3461 is not submitted." error message is dispalyed</t>
  </si>
  <si>
    <t>IIRM-4926</t>
  </si>
  <si>
    <t xml:space="preserve">IIRM: In  KDM&amp; Mandate details Contact details are not retrived </t>
  </si>
  <si>
    <t>IIRM-4927</t>
  </si>
  <si>
    <t>Victoria  reflecting in location dropdown through out the app</t>
  </si>
  <si>
    <t>IIRM-4928</t>
  </si>
  <si>
    <t>Empty Tabs visiblein between activity stages</t>
  </si>
  <si>
    <t>IIRM-4929</t>
  </si>
  <si>
    <t>No option to approve activity details</t>
  </si>
  <si>
    <t>IIRM-4930</t>
  </si>
  <si>
    <t>Data not showing after submitting activity- RFP Details entry</t>
  </si>
  <si>
    <t>IIRM-4931</t>
  </si>
  <si>
    <t>IIRM: Incorrect Error Message Displayed on Clicking Policies Tab in Company Details Page</t>
  </si>
  <si>
    <t>IIRM-4932</t>
  </si>
  <si>
    <t>IIRM: Opty Lost: Incorrect % displayed</t>
  </si>
  <si>
    <t>IIRM-4933</t>
  </si>
  <si>
    <t>IIRM_Meeting For Final Negotiation: "request entity too large" message is displayed</t>
  </si>
  <si>
    <t>IIRM-4934</t>
  </si>
  <si>
    <t>IIRM_Aprovals: Correct the "Activity Planned Date" displayed in the Approvals tab for the Approver (BD Manager)</t>
  </si>
  <si>
    <t>IIRM-4935</t>
  </si>
  <si>
    <t>insurer company type_Yes/No</t>
  </si>
  <si>
    <t>IIRM-4936</t>
  </si>
  <si>
    <t>IIRM_Approvals: Reject and Approve buttons are displayed even there is privilege for the role</t>
  </si>
  <si>
    <t>IIRM-4937</t>
  </si>
  <si>
    <t>Lanka_Add insurer&lt;add&lt;country is freezed</t>
  </si>
  <si>
    <t>IIRM-4938</t>
  </si>
  <si>
    <t>IIRM: SO: ID displays for BD/CRM filter</t>
  </si>
  <si>
    <t>IIRM-4939</t>
  </si>
  <si>
    <t>Lanka_Account manager list is of India</t>
  </si>
  <si>
    <t>IIRM-4940</t>
  </si>
  <si>
    <t>IIRM: Company: Upload doc: Unable to create a company from Business card upload</t>
  </si>
  <si>
    <t>IIRM-4941</t>
  </si>
  <si>
    <t>IIRM: Company: AI Business card: Address details not fetching from card</t>
  </si>
  <si>
    <t>IIRM-4942</t>
  </si>
  <si>
    <t>IIRM: Company: No Error Message Displayed for Unaccepted Cards</t>
  </si>
  <si>
    <t>IIRM-4943</t>
  </si>
  <si>
    <t>Lanka_Add insurer_preprod_mobile and postal code validation wrong</t>
  </si>
  <si>
    <t>IIRM-4944</t>
  </si>
  <si>
    <t>IIRM: Contact: Typo issue on Contact type dropdown</t>
  </si>
  <si>
    <t>IIRM-4945</t>
  </si>
  <si>
    <t>for lanka users CURRENCY row  visible as INR in manage company screen in demo</t>
  </si>
  <si>
    <t>IIRM-4946</t>
  </si>
  <si>
    <t>IIRM_Opportunity: B(Billion) is displayed in the "Sum insured" quick card</t>
  </si>
  <si>
    <t>IIRM-4947</t>
  </si>
  <si>
    <t>IIRM: Bugfixes verification and regression testing</t>
  </si>
  <si>
    <t xml:space="preserve">IIRM-4950 — IIRM: Testing roles and Employess </t>
  </si>
  <si>
    <t>IIRM-4948</t>
  </si>
  <si>
    <t>IIRM:Testing Opportunite  stages blockers in Local environment</t>
  </si>
  <si>
    <t>IIRM-4949</t>
  </si>
  <si>
    <t>IIRM: Approval flow and QA-Ready bugs Testing</t>
  </si>
  <si>
    <t>IIRM-4826 — Enter Quote Document Error - Submit Activity</t>
  </si>
  <si>
    <t>IIRM-4950</t>
  </si>
  <si>
    <t xml:space="preserve">IIRM: Testing roles and Employess </t>
  </si>
  <si>
    <t>IIRM-4952</t>
  </si>
  <si>
    <t>The Manage company and manage contact flow needs to be redesigned</t>
  </si>
  <si>
    <t>IIRM-4953</t>
  </si>
  <si>
    <t>Put a disclaimer: Different AI card types may be read and interpreted differently based on their structure and content. Please review each card carefully before use. Do you want to proceed with it or clear this</t>
  </si>
  <si>
    <t>IIRM-4954</t>
  </si>
  <si>
    <t>Remove all the decimals from the application</t>
  </si>
  <si>
    <t>IIRM-4955</t>
  </si>
  <si>
    <t>Srilanka amount to change to million from Lakhs</t>
  </si>
  <si>
    <t>IIRM-4956</t>
  </si>
  <si>
    <t>IIRM_Company_DB Issues: "No Info" is displayed in the state dropdown in GST details section</t>
  </si>
  <si>
    <t>IIRM-4957</t>
  </si>
  <si>
    <t xml:space="preserve">IIRM: Opty stages: Cant submit Held Cover Note Activity </t>
  </si>
  <si>
    <t>IIRM-4958</t>
  </si>
  <si>
    <t>IIRM: Opty Stages: Cant submit the Final negotiation meeting with Document upload</t>
  </si>
  <si>
    <t>IIRM-4959</t>
  </si>
  <si>
    <t xml:space="preserve">IIRM:  Ready for QA Bugfixes verification and regression testing </t>
  </si>
  <si>
    <t>IIRM-4960</t>
  </si>
  <si>
    <t>IIRM: Approval flow and Localization Testing</t>
  </si>
  <si>
    <t>IIRM-4961</t>
  </si>
  <si>
    <t>IIRM: Ready for QA bugs and UAT, Prepod Testing</t>
  </si>
  <si>
    <t>IIRM-4962</t>
  </si>
  <si>
    <t>IIRM-4963</t>
  </si>
  <si>
    <t>IIRM: Approvals, Localization Testing on latest</t>
  </si>
  <si>
    <t>IIRM-4964</t>
  </si>
  <si>
    <t xml:space="preserve">IIRM: Opportunites test cases updation with latest design changes </t>
  </si>
  <si>
    <t>IIRM-4965</t>
  </si>
  <si>
    <t>VAT &amp; SVAT Format: Kapil Sir to check and confirm.</t>
  </si>
  <si>
    <t>IIRM-4966</t>
  </si>
  <si>
    <t>Validation Removal: Remove validation for PAN, TAN, VAT, and SVAT fields</t>
  </si>
  <si>
    <t>IIRM-4967</t>
  </si>
  <si>
    <t>AI: Business Card Reader: Should override Manage Contacts (renamed to Manage Companies) — redesign this journey.</t>
  </si>
  <si>
    <t>IIRM-4968</t>
  </si>
  <si>
    <t>AI Card Issues: Different company cards failed; model training required.</t>
  </si>
  <si>
    <t>IIRM-4969</t>
  </si>
  <si>
    <t>Disclaimer to Add: "Different AI card types may be read and interpreted differently based on their structure and content. Please review each card carefully before use." → Team to confirm if this should be implemented or cleared.</t>
  </si>
  <si>
    <t>IIRM-4970</t>
  </si>
  <si>
    <t>Decimal Cleanup: Remove all decimals from the app except in Percentage fields</t>
  </si>
  <si>
    <t>IIRM-4971</t>
  </si>
  <si>
    <t>Sri Lanka Currency: Change amount representation from Lakhs to Millions.</t>
  </si>
  <si>
    <t>IIRM-4972</t>
  </si>
  <si>
    <t>Policy view: Insurer Info: Display insurer name in header.</t>
  </si>
  <si>
    <t>IIRM-4973</t>
  </si>
  <si>
    <t>Policy View: New Tab: Add “Policy Document” as an additional tab</t>
  </si>
  <si>
    <t>IIRM-4974</t>
  </si>
  <si>
    <t>Lost Opportunities: Sales Order (SO) to be created for lost opportunities and NOT RO</t>
  </si>
  <si>
    <t>IIRM-4975</t>
  </si>
  <si>
    <t>Instalment Reminders (Email): For Policy owners for each instalment</t>
  </si>
  <si>
    <t>IIRM-4976</t>
  </si>
  <si>
    <t>Policy &amp; CD Management: Policy Dates: Format for start and end dates needs correction.</t>
  </si>
  <si>
    <t>IIRM-4977</t>
  </si>
  <si>
    <t>CD Account – Opening Balance: Should reflect cheque amount.</t>
  </si>
  <si>
    <t>IIRM-4978</t>
  </si>
  <si>
    <t>Top-up in CD Management: Include a Transaction Type field.</t>
  </si>
  <si>
    <t>IIRM-4979</t>
  </si>
  <si>
    <t>Low Balance Alert: Notify CRM if CD balance is low.</t>
  </si>
  <si>
    <t>IIRM-4980</t>
  </si>
  <si>
    <t>CD Validation: Cheque amount must be ≥10% of premium. To be checked daily.</t>
  </si>
  <si>
    <t>IIRM-4981</t>
  </si>
  <si>
    <t>Assignments: BD Planning Assignment: Assignment functionality should also be available under BD Planning. Users should be able to reassign the activity to another BD user as long as the Opportunity (Opty) is active.</t>
  </si>
  <si>
    <t>IIRM-4982</t>
  </si>
  <si>
    <t>Ownership Update: The BD user to whom the activity is reassigned will become the new owner of that activity. User with assignment priviledge can assign it</t>
  </si>
  <si>
    <t>IIRM-4983</t>
  </si>
  <si>
    <t>Navigation Panel 📐 Sub-Menu Indentation: Increase the indentation level for sub-menu items to improve visual hierarchy and clarity.</t>
  </si>
  <si>
    <t>IIRM-4984</t>
  </si>
  <si>
    <t>Clarify whether the application should allow users to operate in the same browser across different tabs simultaneously.</t>
  </si>
  <si>
    <t>IIRM-4985</t>
  </si>
  <si>
    <t>Session Management 🔒 Auto Logout on Browser Close: The user session should automatically log out when the browser is closed to enhance security.</t>
  </si>
  <si>
    <t>IIRM-4986</t>
  </si>
  <si>
    <t>Masking the URL: After the fixed domain(https://newiwork.indiainsure.com), the rest of the url should be masked</t>
  </si>
  <si>
    <t>IIRM-4987</t>
  </si>
  <si>
    <t>Add more logs based on the activities being done in the application</t>
  </si>
  <si>
    <t>IIRM-4989</t>
  </si>
  <si>
    <t>SonarQube findings need to be addressed.</t>
  </si>
  <si>
    <t>IIRM-4990</t>
  </si>
  <si>
    <t>Security Scan - Flyingduck Issues &amp; Resolution</t>
  </si>
  <si>
    <t>IIRM-4991</t>
  </si>
  <si>
    <t>IIRM: SO: Duplicate SO got created</t>
  </si>
  <si>
    <t>IIRM-4992</t>
  </si>
  <si>
    <t>IIRM: Opty stages: GTL and GMC policy : AI Functionality Covers file upload dropdown field data not getting retrieved from upload file.</t>
  </si>
  <si>
    <t>IIRM-4993</t>
  </si>
  <si>
    <t>IIRM_RFP Data Collection: Covers upload functionalities issues</t>
  </si>
  <si>
    <t>IIRM-4994</t>
  </si>
  <si>
    <t>Requirement from Kapil sir: Monthly email to go to Arindam about the list of opty Lost And also Monthly report of email: Opty Won</t>
  </si>
  <si>
    <t>IIRM-4995</t>
  </si>
  <si>
    <t>The smart assistance should be made more noticeable add animation</t>
  </si>
  <si>
    <t>IIRM-4996</t>
  </si>
  <si>
    <t>Opportunity approval hard refresh screens need to fix</t>
  </si>
  <si>
    <t>IIRM-4998</t>
  </si>
  <si>
    <t>KYC details for Srilanka are giving wrong validation for format</t>
  </si>
  <si>
    <t>IIRM-4999</t>
  </si>
  <si>
    <t>Comma format for Srilanka is - 1,000,000,000 (after 3 digits)</t>
  </si>
  <si>
    <t>IIRM-5000</t>
  </si>
  <si>
    <t>INR can be seen in the list view for lanka: Company</t>
  </si>
  <si>
    <t>IIRM-5001</t>
  </si>
  <si>
    <t>Cannot add data in broking slip and ISG planning is freezed</t>
  </si>
  <si>
    <t>IIRM-5002</t>
  </si>
  <si>
    <t>IIMR: Company: Business Card: Company name should get reflected based on business card</t>
  </si>
  <si>
    <t>IIRM-5003</t>
  </si>
  <si>
    <t>IIRM: Company: Business Card: few fields were missing from business card while creating company</t>
  </si>
  <si>
    <t>IIRM-5004</t>
  </si>
  <si>
    <t>IIMR: Company: Business card: Previously fetched company name from business card not clearing when navigating to 'Manage Company' → 'Create Company</t>
  </si>
  <si>
    <t>IIRM-5005</t>
  </si>
  <si>
    <t>IIMR: Contact: Business card: Mobile number not getting fetch on contact create page</t>
  </si>
  <si>
    <t>IIRM-5006</t>
  </si>
  <si>
    <t>IIRM: Company: Business card: Address type not getting captured if business card have a Address type</t>
  </si>
  <si>
    <t>IIRM-5007</t>
  </si>
  <si>
    <t>IIRM: Failed to create Opportunity on selecting previous TPA/Insurer/Broker</t>
  </si>
  <si>
    <t>IIRM-5008</t>
  </si>
  <si>
    <t>IIRM: Opty stages: few fields were not getting prefilled on cover file upload</t>
  </si>
  <si>
    <t>IIRM-5009</t>
  </si>
  <si>
    <t>IIRM: Opty stages: To approve RFP details entry ,Preferred TPA details not fetching for BD manager role</t>
  </si>
  <si>
    <t>IIRM-5010</t>
  </si>
  <si>
    <t>IIRM: Company List: Default order</t>
  </si>
  <si>
    <t>IIRM-5011</t>
  </si>
  <si>
    <t>IIRM: Opportunity: Risk Location: Address format</t>
  </si>
  <si>
    <t>IIRM-5012</t>
  </si>
  <si>
    <t>IIRM: Company : Invalid error thrown on KYC details page</t>
  </si>
  <si>
    <t>IIRM-5013</t>
  </si>
  <si>
    <t>IIRM: Company : Can't Proceed with TAN</t>
  </si>
  <si>
    <t>IIRM-5014</t>
  </si>
  <si>
    <t>Renewal Opportunity (RO) Creation</t>
  </si>
  <si>
    <t>IIRM-5015</t>
  </si>
  <si>
    <t>Handling Lost Opportunities</t>
  </si>
  <si>
    <t>IIRM-5016</t>
  </si>
  <si>
    <t>Tpa is not required for lanka users and it shouldn't be mandatory for  lanka users</t>
  </si>
  <si>
    <t>IIRM-5017</t>
  </si>
  <si>
    <t>IIRM: Lanka and India user: Unable to create insurer/TPA/Broker</t>
  </si>
  <si>
    <t>IIRM-5018</t>
  </si>
  <si>
    <t>IIRM_Knowledge Central: Unable to upload document</t>
  </si>
  <si>
    <t>IIRM-5019</t>
  </si>
  <si>
    <t>Implement RO Visibility Logic with Custom Start Date and Filters</t>
  </si>
  <si>
    <t>IIRM-5020</t>
  </si>
  <si>
    <t>Enhance Opportunity Creation with Start Date and Lost Opty Expiry Capture</t>
  </si>
  <si>
    <t>IIRM-5021</t>
  </si>
  <si>
    <t>Infra-Prowler-Report</t>
  </si>
  <si>
    <t>Anyarambhatla Nitish Bharadwaj</t>
  </si>
  <si>
    <t>IIRM-5022</t>
  </si>
  <si>
    <t>Disable Public Access to EBS Snapshots</t>
  </si>
  <si>
    <t>IIRM-5021 — Infra-Prowler-Report</t>
  </si>
  <si>
    <t>IIRM-5023</t>
  </si>
  <si>
    <t>Verify Default Root Object Across All CloudFront Distributions</t>
  </si>
  <si>
    <t>IIRM-5024</t>
  </si>
  <si>
    <t>Restrict Ingress from 0.0.0.0/0 to High-Risk Ports in Security Groups</t>
  </si>
  <si>
    <t>IIRM-5025</t>
  </si>
  <si>
    <t>Complete IAM Role Configuration for Cross-Service and Deputy Prevention</t>
  </si>
  <si>
    <t>IIRM-5026</t>
  </si>
  <si>
    <t xml:space="preserve">Enable MFA for the Users </t>
  </si>
  <si>
    <t>IIRM-5027</t>
  </si>
  <si>
    <t>Enforce the SSL in the RDS</t>
  </si>
  <si>
    <t>IIRM-5028</t>
  </si>
  <si>
    <t>Ensure All SNS Topics Are Encrypted</t>
  </si>
  <si>
    <t>IIRM-5029</t>
  </si>
  <si>
    <t>Check S3 Account Level Public Access Block.</t>
  </si>
  <si>
    <t>IIRM-5030</t>
  </si>
  <si>
    <t>Review and Restrict Cross-Account Access on All S3 Bucket Policies</t>
  </si>
  <si>
    <t>IIRM-5031</t>
  </si>
  <si>
    <t>IIRM: Created Tasks are not displayed on Task Tab</t>
  </si>
  <si>
    <t>IIRM-5032</t>
  </si>
  <si>
    <t xml:space="preserve">IIRM: India: Lanka: TPA: BROKER: INSURER: Contacts: Country name not freezed  </t>
  </si>
  <si>
    <t>IIRM-5033</t>
  </si>
  <si>
    <t>IIRM: Srilanka: Insurer: Insurer name already exists shown</t>
  </si>
  <si>
    <t>IIRM-5034</t>
  </si>
  <si>
    <t>IIRM: Lanka: Country code not accepting</t>
  </si>
  <si>
    <t>IIRM-5035</t>
  </si>
  <si>
    <t>IIRM: Opty stages: Data changes made before approval are not retained</t>
  </si>
  <si>
    <t>IIRM-5036</t>
  </si>
  <si>
    <t>IIRM_Company: "Something went wrong. Please try again." displayed</t>
  </si>
  <si>
    <t>IIRM-5037</t>
  </si>
  <si>
    <t>IIRM_Meeting: The feedback data is not being retrieved</t>
  </si>
  <si>
    <t>IIRM-5041</t>
  </si>
  <si>
    <t>IIRM: Correct the error message through out the application</t>
  </si>
  <si>
    <t>IIRM-5042</t>
  </si>
  <si>
    <t>IIRM_Company: An error appears for some Industry filter selections in Smart Search</t>
  </si>
  <si>
    <t>IIRM-5043</t>
  </si>
  <si>
    <t>IIRM_Company: LOV's are missing for the City filter of smart search</t>
  </si>
  <si>
    <t>IIRM-5044</t>
  </si>
  <si>
    <t>IIRM_Company: Sort functionality is not working for few columns in company listing table</t>
  </si>
  <si>
    <t>IIRM-5045</t>
  </si>
  <si>
    <t>IIRM_Company: "Something went wrong. Please try again." message is displayed when we click on the Manage Company</t>
  </si>
  <si>
    <t>IIRM-5046</t>
  </si>
  <si>
    <t>IIRM_Contacts: Sort functionality is not working for a few columns in listing table</t>
  </si>
  <si>
    <t>IIRM-5047</t>
  </si>
  <si>
    <t>For fire policy getting max age of dependent field which related  to gmc in placement slip generation activity</t>
  </si>
  <si>
    <t>IIRM-5048</t>
  </si>
  <si>
    <t>IIRM_Contacts: The status filter for inactive selection in the smart search is not working</t>
  </si>
  <si>
    <t>IIRM-5049</t>
  </si>
  <si>
    <t xml:space="preserve">IIRM: UAT Sanity Testing </t>
  </si>
  <si>
    <t>IIRM-5050</t>
  </si>
  <si>
    <t>IIRM: Opportinunity bugfixes and regression Testing</t>
  </si>
  <si>
    <t>IIRM-5051</t>
  </si>
  <si>
    <t>IIRM: All Feature Ready for QA issues and Regression Testing</t>
  </si>
  <si>
    <t>IIRM-5052</t>
  </si>
  <si>
    <t>IIRM: TPA/Insuer/Broker Bugfixes and Sanity testing</t>
  </si>
  <si>
    <t>IIRM-5053</t>
  </si>
  <si>
    <t>IIRM: Company &amp;Contact Bugfixes and Sanity Testing</t>
  </si>
  <si>
    <t>IIRM-5054</t>
  </si>
  <si>
    <t>IIRM: UAT Sanity Testing &amp; Bug fixes Verification</t>
  </si>
  <si>
    <t>IIRM-5055</t>
  </si>
  <si>
    <t>IIRM: Opportinunity bugfixes and Sanity verification</t>
  </si>
  <si>
    <t>IIRM-5056</t>
  </si>
  <si>
    <t>IIRM: UAT Sanity Testing &amp; Preproduction Testing</t>
  </si>
  <si>
    <t>IIRM-5057</t>
  </si>
  <si>
    <t>IIRM: Data Issues in Location drop downs</t>
  </si>
  <si>
    <t>IIRM-5058</t>
  </si>
  <si>
    <t>IIRM: Opty Activities: Sri Lanka users are listed for assignment Opty activities in Indian user</t>
  </si>
  <si>
    <t>IIRM-5059</t>
  </si>
  <si>
    <t>IIRM: Opty validation: Failed to create opportunity error when validating opty</t>
  </si>
  <si>
    <t>IIRM-5060</t>
  </si>
  <si>
    <t>IIRM: File Uploads: Drag drop does not work</t>
  </si>
  <si>
    <t>IIRM-5061</t>
  </si>
  <si>
    <t>IIRM: Notifications: Notification alert is not indicated near the bell icon</t>
  </si>
  <si>
    <t>IIRM-5062</t>
  </si>
  <si>
    <t>IIRM: Installment Fee: Unable to provide installment fee option for multiple instalments scenario</t>
  </si>
  <si>
    <t>IIRM-5063</t>
  </si>
  <si>
    <t>IIRM: Held Cover Note: Deviation fields to be made mandatory when Deviations are present</t>
  </si>
  <si>
    <t>IIRM-5064</t>
  </si>
  <si>
    <t>IIRM: Compare button does not work</t>
  </si>
  <si>
    <t>IIRM-5065</t>
  </si>
  <si>
    <t>IIRM: Contacts not listed for Company with Optys</t>
  </si>
  <si>
    <t>IIRM-5066</t>
  </si>
  <si>
    <t>IIRM: Company: Policies Tab: Something went wrong. Please try again. error shown when navigated to</t>
  </si>
  <si>
    <t>IIRM-5067</t>
  </si>
  <si>
    <t>IIRM: Pre-production testing after data migration</t>
  </si>
  <si>
    <t>IIRM-5068</t>
  </si>
  <si>
    <t>In held cover note hide the compare button</t>
  </si>
  <si>
    <t>IIRM-5069</t>
  </si>
  <si>
    <t>IIRM - Deviations in the policy confirmation if Yes need to stop the activity</t>
  </si>
  <si>
    <t>IIRM-5070</t>
  </si>
  <si>
    <t>IN RFP: Policy upload excel should also be allowed</t>
  </si>
  <si>
    <t>IIRM-5073</t>
  </si>
  <si>
    <t>We need to get the release version information on the hidden route</t>
  </si>
  <si>
    <t>IIRM-5074</t>
  </si>
  <si>
    <t>We need to build a page where we need to show the application is unavailable (page is message configrable)</t>
  </si>
  <si>
    <t>IIRM-5075</t>
  </si>
  <si>
    <t>IIRM: Opty stages: RFP details entry field validation not showing if char count exceeded</t>
  </si>
  <si>
    <t>IIRM-5076</t>
  </si>
  <si>
    <t>IIRM: Brokers not yet visible</t>
  </si>
  <si>
    <t>IIRM-5078</t>
  </si>
  <si>
    <t>IIRM: Installment Option to be corrected. If selected NO, mandatory installment dates to be filled</t>
  </si>
  <si>
    <t>IIRM-5079</t>
  </si>
  <si>
    <t>IIRM: Fee option in installment has no option for installment dates</t>
  </si>
  <si>
    <t>IIRM-5081</t>
  </si>
  <si>
    <t>IIRM: Led By details are not visible</t>
  </si>
  <si>
    <t>IIRM-5082</t>
  </si>
  <si>
    <t>IIRM: Company: Edit: Verify the Edit Functionality of the company</t>
  </si>
  <si>
    <t>IIRM-5083</t>
  </si>
  <si>
    <t>IIRM: Company/Contact: Business Card: Verify the user can create a company/contact through document upload</t>
  </si>
  <si>
    <t>IIRM-5084</t>
  </si>
  <si>
    <t>User should be able to complete meeting even if the meeting is scheduled and the meeting time is not completed</t>
  </si>
  <si>
    <t>IIRM-5085</t>
  </si>
  <si>
    <t>IIRM: Meeting: Meeting issues</t>
  </si>
  <si>
    <t>IIRM-5087</t>
  </si>
  <si>
    <t>IIRM: Policy type SO throws an “Error loading activities</t>
  </si>
  <si>
    <t>IIRM-5088</t>
  </si>
  <si>
    <t xml:space="preserve">IIRM: Data Migration – Renewal Opportunities (RO) Cron Job </t>
  </si>
  <si>
    <t>IIRM-5089</t>
  </si>
  <si>
    <t>Supperannuation SO Drill down is giving error</t>
  </si>
  <si>
    <t>IIRM-5090</t>
  </si>
  <si>
    <t>Opportunity Stage is showing, active in process</t>
  </si>
  <si>
    <t>IIRM-5091</t>
  </si>
  <si>
    <t>Creating Meetings attachments: Document Type</t>
  </si>
  <si>
    <t>IIRM-5092</t>
  </si>
  <si>
    <t>PDF only message in the covers data</t>
  </si>
  <si>
    <t>IIRM-5093</t>
  </si>
  <si>
    <t>comments box in close meetings</t>
  </si>
  <si>
    <t>IIRM-5094</t>
  </si>
  <si>
    <t>Implement Activity Filter in Smart Filters of SO Screen</t>
  </si>
  <si>
    <t>IIRM-5095</t>
  </si>
  <si>
    <t>In Add contact: Contact Type: Lov has to be Finance, Accounts, Procurement, Purchase, Insurance, HR, SPOC</t>
  </si>
  <si>
    <t>IIRM-5096</t>
  </si>
  <si>
    <t>IIRM:Completed state not maintained in Data Validation stage for SO details verification</t>
  </si>
  <si>
    <t>IIRM-5097</t>
  </si>
  <si>
    <t>Display Version label in the application</t>
  </si>
  <si>
    <t>IIRM-5098</t>
  </si>
  <si>
    <t>IIRM: Data Validation: The fields are getting re-set after validating the company details</t>
  </si>
  <si>
    <t>IIRM-5099</t>
  </si>
  <si>
    <t>IIRM: Enter Quote: Enter Quote form is getting added when we refresh the screen every time</t>
  </si>
  <si>
    <t>IIRM-5100</t>
  </si>
  <si>
    <t>IIRM: Contact Address: Functional Issues in Address Step</t>
  </si>
  <si>
    <t>IIRM-5101</t>
  </si>
  <si>
    <t>IIRM: Few fields missing in Policies list and details view</t>
  </si>
  <si>
    <t>IIRM-5102</t>
  </si>
  <si>
    <t>IIRM: Company locations not retrieved in Policy details page → Add New TPA Contact form</t>
  </si>
  <si>
    <t>IIRM-5103</t>
  </si>
  <si>
    <t>IIRM: Policies: Policy status is Inactive by default</t>
  </si>
  <si>
    <t>IIRM-5104</t>
  </si>
  <si>
    <t>IIRM: TPA/Broker: Edit functionality is not working</t>
  </si>
  <si>
    <t>IIRM-5105</t>
  </si>
  <si>
    <t>RO Creation through cron</t>
  </si>
  <si>
    <t>IIRM-5106</t>
  </si>
  <si>
    <t>IIRM: Broker/TPA/Insurer: Incorrect Error Message Shown When Mandatory Fields Are Missing in creation</t>
  </si>
  <si>
    <t>IIRM-5107</t>
  </si>
  <si>
    <t>IIRM: Broker/Insurer/TPA Contacts: Broker Overview Section – Text Overflow</t>
  </si>
  <si>
    <t>IIRM-5108</t>
  </si>
  <si>
    <t>Document for Dashboard + Quick Cards</t>
  </si>
  <si>
    <t>IIRM-5109</t>
  </si>
  <si>
    <t>IIRM: Company: Sri Lanka: Company already exists message is displayed</t>
  </si>
  <si>
    <t>IIRM-5110</t>
  </si>
  <si>
    <t>Manage Company Quick card logic</t>
  </si>
  <si>
    <t>IIRM-5111</t>
  </si>
  <si>
    <t>Manage Contacts Quick card logic</t>
  </si>
  <si>
    <t>IIRM-5112</t>
  </si>
  <si>
    <t>Manage SO - Update logic for KPI  Counts  in Manage SO  screen</t>
  </si>
  <si>
    <t>IIRM-5113</t>
  </si>
  <si>
    <t>IIRM: KDM Metting: Not able to complete the activity with existing meeting details</t>
  </si>
  <si>
    <t>IIRM-5114</t>
  </si>
  <si>
    <t>IIRM: Approvals: The edited changes by the Approver is not reflecting</t>
  </si>
  <si>
    <t>IIRM-5115</t>
  </si>
  <si>
    <t>Basic covers section is freeezed in Held cover note activity before the compare button was removed it was editable</t>
  </si>
  <si>
    <t>IIRM-5116</t>
  </si>
  <si>
    <t>CR - Story</t>
  </si>
  <si>
    <t>CR: For Bulk Assignment</t>
  </si>
  <si>
    <t>IIRM-5117</t>
  </si>
  <si>
    <t>IIRM: Regression testing all Functionality &amp; QA- Ready Bug fixes verification</t>
  </si>
  <si>
    <t>IIRM-5118</t>
  </si>
  <si>
    <t>IIRM: Policy list and details page testing</t>
  </si>
  <si>
    <t>IIRM-5119</t>
  </si>
  <si>
    <t xml:space="preserve">IIRM: Company test cases updation with latest changes </t>
  </si>
  <si>
    <t>IIRM-5120</t>
  </si>
  <si>
    <t>IIRM:New -CR's Testing  and regression testing on both QA&amp; UAT</t>
  </si>
  <si>
    <t>IIRM-5121</t>
  </si>
  <si>
    <t>IIRM: Verify the Policy configuration  end -to end testing</t>
  </si>
  <si>
    <t>IIRM-5122</t>
  </si>
  <si>
    <t xml:space="preserve">IIRM: Preapre test cases for Policy confiuration </t>
  </si>
  <si>
    <t>IIRM-5123</t>
  </si>
  <si>
    <t xml:space="preserve">IIRM: Bugfixes verification on Ready for QA  issues and regression testing </t>
  </si>
  <si>
    <t>IIRM-5124</t>
  </si>
  <si>
    <t>Mandate details entry page "Compensation Payable" if we give 0 then it throws this error. Also it should accept decimal value</t>
  </si>
  <si>
    <t>IIRM-5125</t>
  </si>
  <si>
    <t>IIRM: Company: Verify the user can create multiple address and GST Details for a company</t>
  </si>
  <si>
    <t>IIRM-5126</t>
  </si>
  <si>
    <t>Listing in RO and SO, Country need to consider</t>
  </si>
  <si>
    <t>IIRM-5127</t>
  </si>
  <si>
    <t>IIRM: Company: View: Verify the company view details page</t>
  </si>
  <si>
    <t>IIRM-5128</t>
  </si>
  <si>
    <t>IIRM: Appropriate validations messages are displayed for invalid data inputs and required input data is missing</t>
  </si>
  <si>
    <t>IIRM-5129</t>
  </si>
  <si>
    <t>IIRM: Manage Company: UX: Verify that page design matches approved Figma screens</t>
  </si>
  <si>
    <t>IIRM-5130</t>
  </si>
  <si>
    <t>IIRM: Manage Company: Verify the Functionalities of the Quick Cards</t>
  </si>
  <si>
    <t>IIRM-5131</t>
  </si>
  <si>
    <t>IIRM: Verify the Sorting, Pagination, and Table Settings Functionality</t>
  </si>
  <si>
    <t>IIRM-5132</t>
  </si>
  <si>
    <t>Sales activities Tasks should not be as per hierarchy</t>
  </si>
  <si>
    <t>IIRM-5133</t>
  </si>
  <si>
    <t>Cross Imports from Micro-Services need to refractor</t>
  </si>
  <si>
    <t>IIRM-5136</t>
  </si>
  <si>
    <t>Add Organization &amp; SBU when defining sales stages</t>
  </si>
  <si>
    <t>IIRM-5137</t>
  </si>
  <si>
    <t xml:space="preserve">Assignment - Add name and branch </t>
  </si>
  <si>
    <t>IIRM-5138</t>
  </si>
  <si>
    <t>In Smart Assistant, when "Help me add a Company / Contact / Opportunity"</t>
  </si>
  <si>
    <t>IIRM-5139</t>
  </si>
  <si>
    <t>Bulk Assignment logic for SO, RO, Policy, Company. Provide Bulk Assignment function in the Manage pages of these entities and control by privileges</t>
  </si>
  <si>
    <t>IIRM-5140</t>
  </si>
  <si>
    <t>Manage Company changes</t>
  </si>
  <si>
    <t>IIRM-5141</t>
  </si>
  <si>
    <t>Company creation process</t>
  </si>
  <si>
    <t>IIRM-5142</t>
  </si>
  <si>
    <t>Contact creation process</t>
  </si>
  <si>
    <t>IIRM-5143</t>
  </si>
  <si>
    <t>Make these changes in SO creation (P0)</t>
  </si>
  <si>
    <t>IIRM-5144</t>
  </si>
  <si>
    <t>Flow Changes</t>
  </si>
  <si>
    <t>IIRM-5145</t>
  </si>
  <si>
    <t>Following changes are required in the Meetings</t>
  </si>
  <si>
    <t>IIRM-5146</t>
  </si>
  <si>
    <t>Meetings: Time control to be replaced with better control</t>
  </si>
  <si>
    <t>IIRM-5147</t>
  </si>
  <si>
    <t>In all the data entry pages, all the mandatory fields should be together in the beginning</t>
  </si>
  <si>
    <t>IIRM-5148</t>
  </si>
  <si>
    <t>Business Done report generation</t>
  </si>
  <si>
    <t>IIRM-5149</t>
  </si>
  <si>
    <t>Policy upload functionality in the application</t>
  </si>
  <si>
    <t>IIRM-5150</t>
  </si>
  <si>
    <t>HOLD: Provide one new menu option in the application top menu as "Telemetry". Put this as first option followed by Feedback and other options. This should be iFrame opening the lovable page in it. We will provide the Lovable page link</t>
  </si>
  <si>
    <t>IIRM-5151</t>
  </si>
  <si>
    <t>iWork "Stage" field is missing in SO and RO. This needs to be added. Status - Open, WIP, won, lost; Stage - RFP/ Policy Issuance etc Sales Activity and Sales Stage should be maintained across application</t>
  </si>
  <si>
    <t>IIRM-5152</t>
  </si>
  <si>
    <t>All the changes of SO to be validated in RO also and implemented as applicable</t>
  </si>
  <si>
    <t>IIRM-5153</t>
  </si>
  <si>
    <t>In Contact drill-down, associated policy, SO &amp; RO to be shown in different tabs.</t>
  </si>
  <si>
    <t>IIRM-5154</t>
  </si>
  <si>
    <t>In company drill-down, associated policy, SO &amp; RO to be shown in different tabs. "Policy" tab to be renames as "Our Portfolio" SO and RO - different tabs</t>
  </si>
  <si>
    <t>IIRM-5155</t>
  </si>
  <si>
    <t>In Contact details, drill down on company name to be provided In the header of contact details page, company name should be clickable</t>
  </si>
  <si>
    <t>IIRM-5156</t>
  </si>
  <si>
    <t>For all LOV fields, option to delete the selected value to be provided.</t>
  </si>
  <si>
    <t>IIRM-5157</t>
  </si>
  <si>
    <t>AI to be enabled during manual company creation. It should fetch the data based on Industry</t>
  </si>
  <si>
    <t>IIRM-5158</t>
  </si>
  <si>
    <t>In KDM Meeting - field "MOM" to be renamed as "Agenda"</t>
  </si>
  <si>
    <t>IIRM-5159</t>
  </si>
  <si>
    <t>In Company Drill Down Rename - Overview tab as More Info Rename - Profile tab as Overview Add new tab as Profile Company level Dashboard</t>
  </si>
  <si>
    <t>IIRM-5160</t>
  </si>
  <si>
    <t>Sales activities tasks should not be with hierarchy</t>
  </si>
  <si>
    <t>IIRM-5163</t>
  </si>
  <si>
    <t>IIRM: Smart Search: Verify the Functionalities of the Smart Search</t>
  </si>
  <si>
    <t>IIRM-5164</t>
  </si>
  <si>
    <t>Refresh token and access token time needs to be reduced</t>
  </si>
  <si>
    <t>IIRM-5165</t>
  </si>
  <si>
    <t>Java script/CSS errors need to be addressed in console</t>
  </si>
  <si>
    <t>IIRM-5166</t>
  </si>
  <si>
    <t>iWork: Mobile responsive</t>
  </si>
  <si>
    <t>IIRM-5167</t>
  </si>
  <si>
    <t>Implement Notification for service down</t>
  </si>
  <si>
    <t>IIRM-5169</t>
  </si>
  <si>
    <t>Left menu- Expanded Menu</t>
  </si>
  <si>
    <t>IIRM-5170</t>
  </si>
  <si>
    <t>Left menu- Under India Insure logo</t>
  </si>
  <si>
    <t>IIRM-5171</t>
  </si>
  <si>
    <t>Top Menu</t>
  </si>
  <si>
    <t>IIRM-5172</t>
  </si>
  <si>
    <t>Right side Smart Actions Tab - Pull Button</t>
  </si>
  <si>
    <t>IIRM-5173</t>
  </si>
  <si>
    <t>Right side Smart Actions Tab</t>
  </si>
  <si>
    <t>IIRM-5174</t>
  </si>
  <si>
    <t>Smart Assistant</t>
  </si>
  <si>
    <t>IIRM-5175</t>
  </si>
  <si>
    <t>Notifications Bell</t>
  </si>
  <si>
    <t>IIRM-5176</t>
  </si>
  <si>
    <t>Login screen- Branding section</t>
  </si>
  <si>
    <t>IIRM-5178</t>
  </si>
  <si>
    <t>Indentation of main menu and sub menu differentiation</t>
  </si>
  <si>
    <t>IIRM-5169 — Left menu- Expanded Menu</t>
  </si>
  <si>
    <t>IIRM-5179</t>
  </si>
  <si>
    <t>Icons should be reworked</t>
  </si>
  <si>
    <t>IIRM-5180</t>
  </si>
  <si>
    <t>Icon repetition should be avoided</t>
  </si>
  <si>
    <t>IIRM-5181</t>
  </si>
  <si>
    <t xml:space="preserve">Move collapsable icon to top or middle </t>
  </si>
  <si>
    <t>IIRM-5182</t>
  </si>
  <si>
    <t>Change collapsible icon image</t>
  </si>
  <si>
    <t>IIRM-5183</t>
  </si>
  <si>
    <t>Top menu background color should not be white</t>
  </si>
  <si>
    <t>IIRM-5171 — Top Menu</t>
  </si>
  <si>
    <t>IIRM-5184</t>
  </si>
  <si>
    <t>Profile picture should be visible</t>
  </si>
  <si>
    <t>IIRM-5185</t>
  </si>
  <si>
    <t>On click on profile name should also have an option for Profile Page link, then on mouse hover should change to actionable(Mouse icon). Arrow should become hand</t>
  </si>
  <si>
    <t>IIRM-5186</t>
  </si>
  <si>
    <t>Right pull button should be animated(to be more noticeable)</t>
  </si>
  <si>
    <t>IIRM-5172 — Right side Smart Actions Tab - Pull Button</t>
  </si>
  <si>
    <t>IIRM-5187</t>
  </si>
  <si>
    <t>Remove Approvals and Assignments from the smart action tab</t>
  </si>
  <si>
    <t>IIRM-5188</t>
  </si>
  <si>
    <t>Smart action tab should relate to the center page, based on the opty those meetings, tasks, should come first</t>
  </si>
  <si>
    <t>IIRM-5189</t>
  </si>
  <si>
    <t>When smart actions tab is open, smart assistant should not disappear</t>
  </si>
  <si>
    <t>IIRM-5173 — Right side Smart Actions Tab</t>
  </si>
  <si>
    <t>IIRM-5190</t>
  </si>
  <si>
    <t>Smart action row should have toggle for completion and closure action(for meetings)</t>
  </si>
  <si>
    <t>IIRM-5191</t>
  </si>
  <si>
    <t>Red dot should disappear after viewing all</t>
  </si>
  <si>
    <t>IIRM-5175 — Notifications Bell</t>
  </si>
  <si>
    <t>IIRM-5192</t>
  </si>
  <si>
    <t>Notification Linking to be clarified</t>
  </si>
  <si>
    <t>IIRM-5194</t>
  </si>
  <si>
    <t>IIRM: Contact: Add: Verify that the user who has create privilege can add a new contact</t>
  </si>
  <si>
    <t>IIRM-5195</t>
  </si>
  <si>
    <t>Company Creation - Only Company name, Address Type, City is mandatory at the time of company creation. Rest all fields are non mandatory fields.</t>
  </si>
  <si>
    <t>IIRM-5196</t>
  </si>
  <si>
    <t xml:space="preserve">Contact Creation - Only contact First Name, Last Name, Company Location, Department, Designation, Phone is mandatory. Rest all fields are non mandatory. </t>
  </si>
  <si>
    <t>IIRM-5197</t>
  </si>
  <si>
    <t>IIRM: Contact: Edit: Verify the edit functionality of the create contact</t>
  </si>
  <si>
    <t>IIRM-5198</t>
  </si>
  <si>
    <t>IIRM: Contact: View: Verify the company view details page</t>
  </si>
  <si>
    <t>IIRM-5199</t>
  </si>
  <si>
    <t>IIRM: Contact: Verify the contact creation by adding multiple data</t>
  </si>
  <si>
    <t>IIRM-5200</t>
  </si>
  <si>
    <t>IIRM: Manage Contacts: Verify the Functionalities of the Smart Search</t>
  </si>
  <si>
    <t>IIRM-5201</t>
  </si>
  <si>
    <t>IIRM: Manage Contacts: Verify the Functionalities of the Quick Cards</t>
  </si>
  <si>
    <t>IIRM-5202</t>
  </si>
  <si>
    <t>Opportunity Lost : Verify that user is able to mark an Opportunity as lost</t>
  </si>
  <si>
    <t>IIRM-5217</t>
  </si>
  <si>
    <t>Company Creation Wizard - changes</t>
  </si>
  <si>
    <t>IIRM-5218</t>
  </si>
  <si>
    <t>Insurer Details in Placement Slip as per policy placed type</t>
  </si>
  <si>
    <t>IIRM-5219</t>
  </si>
  <si>
    <t>Create Admin Module Links in Side Navbar</t>
  </si>
  <si>
    <t>IIRM-5220</t>
  </si>
  <si>
    <t>IIRM: Company: UI: Company view details page</t>
  </si>
  <si>
    <t>IIRM-5221</t>
  </si>
  <si>
    <t xml:space="preserve">ISG Assignment tasks need to assign to active users only </t>
  </si>
  <si>
    <t>IIRM-5222</t>
  </si>
  <si>
    <t>IIRM: Contacts: Contacts are missing in the create wizard</t>
  </si>
  <si>
    <t>IIRM-5223</t>
  </si>
  <si>
    <t>IIRM: Contacts: Company name not auto-populated when creating a contact from the Sales opportinities tab</t>
  </si>
  <si>
    <t>IIRM-5224</t>
  </si>
  <si>
    <t>IIRM: MY SO: Correct the LOV's for the status filter</t>
  </si>
  <si>
    <t>IIRM-5225</t>
  </si>
  <si>
    <t>Front End -  Lead tasks (Planning, Code Review, team Support)</t>
  </si>
  <si>
    <t>IIRM-6276 — SOW-TBD</t>
  </si>
  <si>
    <t>IIRM-5227</t>
  </si>
  <si>
    <t>IIRM: Company: Verify that multiple contacts can be created for a company with all field data</t>
  </si>
  <si>
    <t>IIRM-5228</t>
  </si>
  <si>
    <t>IIRM: Smart Search: Verify the Functionalities of the filters in Smart Search</t>
  </si>
  <si>
    <t>IIRM-5229</t>
  </si>
  <si>
    <t>IIRM: Smart Assistant: UI issues</t>
  </si>
  <si>
    <t>IIRM-5230</t>
  </si>
  <si>
    <t>IIRM: Smart Assistant: Policy Status is set to 'Fresh' by default for opportunities created via Smart Assistant</t>
  </si>
  <si>
    <t>IIRM-5231</t>
  </si>
  <si>
    <t>Rename MOM at all places with Agenda/ MOM</t>
  </si>
  <si>
    <t>IIRM-5232</t>
  </si>
  <si>
    <t>IIRM: Manage Company: Verify the details in Manage Company Page</t>
  </si>
  <si>
    <t>IIRM-5233</t>
  </si>
  <si>
    <t>Fuzzy search (Create Company)</t>
  </si>
  <si>
    <t>IIRM-5234</t>
  </si>
  <si>
    <t>IIRM: Opty stages: Cant approve RFP details entry activity</t>
  </si>
  <si>
    <t>IIRM-5235</t>
  </si>
  <si>
    <t>Contact Creation - Designation and Department - Adding LOVs and if user types an option, add it to the LOV</t>
  </si>
  <si>
    <t>IIRM-5236</t>
  </si>
  <si>
    <t>IIRM: Company: "Something went wrong" screen is displayed</t>
  </si>
  <si>
    <t>IIRM-5237</t>
  </si>
  <si>
    <t>Meetings change - participants as per meeting type; Meeting links and participants design rework</t>
  </si>
  <si>
    <t>IIRM-5238</t>
  </si>
  <si>
    <t>From Business card reader to create quick company flow</t>
  </si>
  <si>
    <t>IIRM-5239</t>
  </si>
  <si>
    <t>IIRM: Company: Undefined screen is displayed</t>
  </si>
  <si>
    <t>IIRM-5240</t>
  </si>
  <si>
    <t>Opportunity planning after opty creation through quick create is missing</t>
  </si>
  <si>
    <t>IIRM-5241</t>
  </si>
  <si>
    <t>IIRM: Policy Details: Insurer Contact Created from Contacts Portfolio Not Displayed in Contact Tab</t>
  </si>
  <si>
    <t>IIRM-5242</t>
  </si>
  <si>
    <t>Srilanka users fetching in acknowledged by in held cover note</t>
  </si>
  <si>
    <t>Pampana Ravi Kiran</t>
  </si>
  <si>
    <t>IIRM-5243</t>
  </si>
  <si>
    <t xml:space="preserve">IIRM: AI - Company Creation: Empty display name is displayed </t>
  </si>
  <si>
    <t>IIRM-5244</t>
  </si>
  <si>
    <t>Google Address Lookup POC</t>
  </si>
  <si>
    <t>IIRM-5245</t>
  </si>
  <si>
    <t>Multi select drop downs - checkboxes required for the selection</t>
  </si>
  <si>
    <t>IIRM-5247</t>
  </si>
  <si>
    <t>Multiple Insurers case handling in Placement Slip and Meeting for final negotiation</t>
  </si>
  <si>
    <t>IIRM-5248</t>
  </si>
  <si>
    <t>IIRM: SO Edit not working Error(Estimated brokerage percentage must be a valid number)</t>
  </si>
  <si>
    <t>IIRM-5249</t>
  </si>
  <si>
    <t>IIRM: UAT:Created opportunities are not listed under the Opportunities tab on the Company Details page</t>
  </si>
  <si>
    <t>IIRM-5250</t>
  </si>
  <si>
    <t>IIRM: UAT Bug fix verification and Regression testing</t>
  </si>
  <si>
    <t>IIRM-5251</t>
  </si>
  <si>
    <t>IIRM: Update the all test artificates and test cases</t>
  </si>
  <si>
    <t>IIRM-5252</t>
  </si>
  <si>
    <t>Company Wizard</t>
  </si>
  <si>
    <t>IIRM-5253</t>
  </si>
  <si>
    <t>Meeting Date to be defaulted for today</t>
  </si>
  <si>
    <t>IIRM-5254</t>
  </si>
  <si>
    <t>Meetings - If internal is selected, then client location should be defaulted to IIRM Office and disable</t>
  </si>
  <si>
    <t>IIRM-5255</t>
  </si>
  <si>
    <t>Global Sort</t>
  </si>
  <si>
    <t>IIRM-5256</t>
  </si>
  <si>
    <t>Count in Paranthesis in Manage Company</t>
  </si>
  <si>
    <t>IIRM-5257</t>
  </si>
  <si>
    <t xml:space="preserve">Manage Company: Policy Premium to be added </t>
  </si>
  <si>
    <t>IIRM-5258</t>
  </si>
  <si>
    <t>Company Details - Profile - Company Dashboard</t>
  </si>
  <si>
    <t>IIRM-5259</t>
  </si>
  <si>
    <t>Company Details - SO, RO, Documents Tabs</t>
  </si>
  <si>
    <t>IIRM-5260</t>
  </si>
  <si>
    <t>Company Details: Make Profile the first tab</t>
  </si>
  <si>
    <t>IIRM-5261</t>
  </si>
  <si>
    <t>Company Details - SO &amp; RO Tab - Active &amp; Inactive SOs</t>
  </si>
  <si>
    <t>IIRM-5262</t>
  </si>
  <si>
    <t xml:space="preserve">Manage Company - Drill down SO/ RO count </t>
  </si>
  <si>
    <t>IIRM-5263</t>
  </si>
  <si>
    <t>Dashboard - Align Tasks &amp; follow ups section (left side) bottom with the smart assistant section (on the right side) bottom</t>
  </si>
  <si>
    <t>AR-45 — Metrics Dashboard</t>
  </si>
  <si>
    <t>IIRM-5264</t>
  </si>
  <si>
    <t>CR: Create Tasks - Self and Assign to others</t>
  </si>
  <si>
    <t>IIRM-5265</t>
  </si>
  <si>
    <t>Assignments - ISG lead to executives</t>
  </si>
  <si>
    <t>IIRM-5266</t>
  </si>
  <si>
    <t>Backlog - Capture Brokerage amount in placement slip</t>
  </si>
  <si>
    <t>IIRM-5267</t>
  </si>
  <si>
    <t>Design: Button to open meetings bar to be redesigned</t>
  </si>
  <si>
    <t>IIRM-5268</t>
  </si>
  <si>
    <t xml:space="preserve">Design: Self explanatory icons in the left navigation panel </t>
  </si>
  <si>
    <t>IIRM-5269</t>
  </si>
  <si>
    <t>Generic Policy Creation - API for Company Creation</t>
  </si>
  <si>
    <t>IIRM-5270</t>
  </si>
  <si>
    <t>Generic Policy Creation - API for Policy Creation</t>
  </si>
  <si>
    <t>IIRM-5271</t>
  </si>
  <si>
    <t>IIRM: Company &amp; Contact Test cases Updation</t>
  </si>
  <si>
    <t>IIRM-5272</t>
  </si>
  <si>
    <t>IIRM: Ready for QA  tickets verification and regression testing</t>
  </si>
  <si>
    <t>IIRM-5273</t>
  </si>
  <si>
    <t>IIRM: New RO Creations and Stages verification</t>
  </si>
  <si>
    <t>IIRM-5275</t>
  </si>
  <si>
    <t>Company Details Page - Rename the Tabs Sale Opportunity to SO , Renewal Opportunity to RO</t>
  </si>
  <si>
    <t>IIRM-5276</t>
  </si>
  <si>
    <t>PO Tasks</t>
  </si>
  <si>
    <t>IIRM-5277</t>
  </si>
  <si>
    <t>Company Creation: All Independent Companies are not Listed in the Parent Company Dropdown lLst.</t>
  </si>
  <si>
    <t>IIRM-5278</t>
  </si>
  <si>
    <t>Team Support</t>
  </si>
  <si>
    <t>IIRM-5276 — PO Tasks</t>
  </si>
  <si>
    <t>IIRM-5279</t>
  </si>
  <si>
    <t>Meetings/KT</t>
  </si>
  <si>
    <t>IIRM-5280</t>
  </si>
  <si>
    <t>The BD team did not complete several key tasks, such as entering Mandate, collecting RFP details, and progressing through the Entry stages in the application</t>
  </si>
  <si>
    <t>IIRM-5281</t>
  </si>
  <si>
    <t>The system did not prevent BD users from submitting stages like Mandate without uploading the required documents.</t>
  </si>
  <si>
    <t>IIRM-5282</t>
  </si>
  <si>
    <t>The BD team did not complete several key tasks, such as entering Mandate, collecting RFP details, and progressing through the Entry stages in the application:RFP covers were not entered, as the application does not mark them as mandatory</t>
  </si>
  <si>
    <t>IIRM-5283</t>
  </si>
  <si>
    <t>Policy coverage details have not been updated with the latest provided data</t>
  </si>
  <si>
    <t>IIRM-5284</t>
  </si>
  <si>
    <t>The coverage items are out of sequence.</t>
  </si>
  <si>
    <t>IIRM-5285</t>
  </si>
  <si>
    <t>Mandatory covers have not been indicated.</t>
  </si>
  <si>
    <t>IIRM-5286</t>
  </si>
  <si>
    <t>Recent additions or deletions of covers are not reflected (Data Change)</t>
  </si>
  <si>
    <t>IIRM-5287</t>
  </si>
  <si>
    <t>Certain asset fields, based on the selected policy type in the application and the broking slip, are missing.</t>
  </si>
  <si>
    <t>IIRM-5288</t>
  </si>
  <si>
    <t>Broking slip activity: The Excel export option does not align with the expected template</t>
  </si>
  <si>
    <t>IIRM-5289</t>
  </si>
  <si>
    <t>Broking Slip Activity: The Excel file lacks a logo, is poorly structured, and is missing key sections</t>
  </si>
  <si>
    <t>IIRM-5290</t>
  </si>
  <si>
    <t>Broking Slip Activity: There is no header or footer information, and asset fields and covers are not properly organized (as per the template).</t>
  </si>
  <si>
    <t>IIRM-5291</t>
  </si>
  <si>
    <t>Broking Slip Activity: The mandatory document upload section is not visible for the ISG user to upload the relevant documents.</t>
  </si>
  <si>
    <t>Opportunity History details are unavailable for the end user to view.</t>
  </si>
  <si>
    <t>IIRM-5293</t>
  </si>
  <si>
    <t>Approver details are not displayed, including the Approver's name and the approval date/time.</t>
  </si>
  <si>
    <t>IIRM-5295</t>
  </si>
  <si>
    <t xml:space="preserve">IIRM: QCR Generation: UAT: The buttons are enable and able to complete the activity </t>
  </si>
  <si>
    <t>IIRM-5296</t>
  </si>
  <si>
    <t>IIRM: Created TPAs are not displayed in TPA contact creation dropdown</t>
  </si>
  <si>
    <t>IIRM-5297</t>
  </si>
  <si>
    <t>SO: Create: Verify by creating one Opty of each type (using the Company details page SO tab)</t>
  </si>
  <si>
    <t>IIRM-5298</t>
  </si>
  <si>
    <t xml:space="preserve">Manage Company - Add SO/RO/Policy indication colour  in company list </t>
  </si>
  <si>
    <t>IIRM-5299</t>
  </si>
  <si>
    <t>IIRM: Contact: Inactive contacts are displayed</t>
  </si>
  <si>
    <t>IIRM-5300</t>
  </si>
  <si>
    <t>API Development for Add SO/RO/Policy indication colour in company list</t>
  </si>
  <si>
    <t xml:space="preserve">IIRM-5298 — Manage Company - Add SO/RO/Policy indication colour  in company list </t>
  </si>
  <si>
    <t>IIRM-5301</t>
  </si>
  <si>
    <t xml:space="preserve">Multi Select - All the Multi select need to be shown with Checkbox </t>
  </si>
  <si>
    <t>IIRM-5302</t>
  </si>
  <si>
    <t>Companies having active policies - shown GREEN colour small dot in the beginning of company name column</t>
  </si>
  <si>
    <t>IIRM-5303</t>
  </si>
  <si>
    <t>Companies without Active Policies, but with SOs --- Amber</t>
  </si>
  <si>
    <t>IIRM-5304</t>
  </si>
  <si>
    <t>Companies without any SO &amp; RO - shown RED colour small dot in the beginning of company name column</t>
  </si>
  <si>
    <t>IIRM-5305</t>
  </si>
  <si>
    <t>The buttons required are - Cancel, Back, Next Step, Create Company. Let user decide the action that needs to be done. User should be allowed to enter data for all mandatory fields only and do Create Company without going to next steps.</t>
  </si>
  <si>
    <t>IIRM-5306</t>
  </si>
  <si>
    <t xml:space="preserve">Contact Creation: The buttons required are - Cancel, Back, Next Step, Create Contact. Let user decide the action that needs to be done. User should be allowed to enter data for all mandatory fields only and do Create Contact without going to next steps.  </t>
  </si>
  <si>
    <t>IIRM-5307</t>
  </si>
  <si>
    <t>Policy Premium column to be added in Manage Companies List</t>
  </si>
  <si>
    <t>IIRM-5308</t>
  </si>
  <si>
    <t>Backlog: Opportunity Status should have Won (In Progress) and Won (Completed)</t>
  </si>
  <si>
    <t>IIRM-5309</t>
  </si>
  <si>
    <t>Add Risk Location and Service Level to Policy Entity</t>
  </si>
  <si>
    <t>IIRM-5310</t>
  </si>
  <si>
    <t>Policy Details  - Company name, show brokerage instead of sum insured</t>
  </si>
  <si>
    <t>IIRM-5311</t>
  </si>
  <si>
    <t>Policy Details - Contact Drill Down</t>
  </si>
  <si>
    <t>IIRM-5312</t>
  </si>
  <si>
    <t>Manage Policies - changes</t>
  </si>
  <si>
    <t>IIRM-5313</t>
  </si>
  <si>
    <t xml:space="preserve">Manage SO- Statuses - won should be Won, lost should be Lost, check spellings </t>
  </si>
  <si>
    <t>IIRM-5314</t>
  </si>
  <si>
    <t>Design: Dashboard</t>
  </si>
  <si>
    <t>IIRM-5315</t>
  </si>
  <si>
    <t>Create Company- Company’s history name error</t>
  </si>
  <si>
    <t>IIRM-5316</t>
  </si>
  <si>
    <t xml:space="preserve">User Activity Report Generation </t>
  </si>
  <si>
    <t>IIRM-5317</t>
  </si>
  <si>
    <t xml:space="preserve">Reports should be available for everyone and not just super user </t>
  </si>
  <si>
    <t>IIRM-778 — SOW#51 - Admin Reports</t>
  </si>
  <si>
    <t>IIRM-5318</t>
  </si>
  <si>
    <t>Policy Attribute - Data Model is updated to take the new columns (SO/RO, Mined, Brokerage Amount)</t>
  </si>
  <si>
    <t>IIRM-5319</t>
  </si>
  <si>
    <t>Manage Policies - Owner hierarchy should be in the filter </t>
  </si>
  <si>
    <t>IIRM-5320</t>
  </si>
  <si>
    <t>Smart assist Form (Company, contact, opportunity, meetings)</t>
  </si>
  <si>
    <t>IIRM-5174 — Smart Assistant</t>
  </si>
  <si>
    <t>IIRM-5321</t>
  </si>
  <si>
    <t>AI integration with quick creation of company, contact, opportunity</t>
  </si>
  <si>
    <t>IIRM-5322</t>
  </si>
  <si>
    <t xml:space="preserve"> APIs for smart assist</t>
  </si>
  <si>
    <t>IIRM-5323</t>
  </si>
  <si>
    <t>API integration of smart assist form</t>
  </si>
  <si>
    <t>IIRM-5324</t>
  </si>
  <si>
    <t xml:space="preserve">Dashboard - Business Performance </t>
  </si>
  <si>
    <t>IIRM-5325</t>
  </si>
  <si>
    <t xml:space="preserve">Dashboard - Funnel </t>
  </si>
  <si>
    <t>IIRM-5326</t>
  </si>
  <si>
    <t>IIRM: Incorrect navigation when clicking on SO count in Manage List page</t>
  </si>
  <si>
    <t>IIRM-5327</t>
  </si>
  <si>
    <t>Menu Icons Redesigns</t>
  </si>
  <si>
    <t>bala</t>
  </si>
  <si>
    <t>IIRM-5328</t>
  </si>
  <si>
    <t>Dashboard - Funnel graph and Speedometer graph designs and meeting</t>
  </si>
  <si>
    <t>IIRM-5329</t>
  </si>
  <si>
    <t>Smart Actions Overlay design</t>
  </si>
  <si>
    <t>IIRM-5330</t>
  </si>
  <si>
    <t>Dashboard - Filters</t>
  </si>
  <si>
    <t>IIRM-5331</t>
  </si>
  <si>
    <t>Updated Business performance chart</t>
  </si>
  <si>
    <t>IIRM-5332</t>
  </si>
  <si>
    <t>Brokerage column to be added in Manage Companies listing</t>
  </si>
  <si>
    <t>IIRM-5333</t>
  </si>
  <si>
    <t>IIRM: RO: Change the text from SO to RO in Edit RO details flow</t>
  </si>
  <si>
    <t>IIRM-5334</t>
  </si>
  <si>
    <t>IIRM: RO: Smart Search: Activity filter is disabled</t>
  </si>
  <si>
    <t>IIRM-5335</t>
  </si>
  <si>
    <t>IIRM: Manage Company: Green dot indicator missing and policy count not updating for companies with active policies</t>
  </si>
  <si>
    <t>IIRM-5336</t>
  </si>
  <si>
    <t>IIRM: Placement Slip Generation: Installment dates required when 'No' is selected for "Premium is Installment Based"</t>
  </si>
  <si>
    <t>IIRM-5337</t>
  </si>
  <si>
    <t>IIRM: Company: "Address update failed" while updating the address</t>
  </si>
  <si>
    <t>IIRM-5338</t>
  </si>
  <si>
    <t>In UAT we are not able to select company while creating meeting</t>
  </si>
  <si>
    <t>IIRM-5339</t>
  </si>
  <si>
    <t>Documents Tab  to show documents in opty details</t>
  </si>
  <si>
    <t>IIRM-5340</t>
  </si>
  <si>
    <t>A. Add following in the smart filter - Branch, Led By, SBU, Vertical</t>
  </si>
  <si>
    <t>IIRM-5341</t>
  </si>
  <si>
    <t>The activity name of company pursuit --- Park for now, but need to discuss with Business for the value. (Not priority)</t>
  </si>
  <si>
    <t>IIRM-5342</t>
  </si>
  <si>
    <t>Front End: Activities front end implementation gaps</t>
  </si>
  <si>
    <t>IIRM-5343</t>
  </si>
  <si>
    <t>IIRM: Opty Stages: The amounts should be display in currency format separated with comma's</t>
  </si>
  <si>
    <t>IIRM-5344</t>
  </si>
  <si>
    <t>IIRM: Contacts: Missing company name in Contact Details view under Professional Experience</t>
  </si>
  <si>
    <t>IIRM-5345</t>
  </si>
  <si>
    <t>IRM: Previous Placement Details Missing for SO Created After Opportunity is Lost</t>
  </si>
  <si>
    <t>IIRM-5346</t>
  </si>
  <si>
    <t>IIRM: SO: Claim Percentage Calculation Correction Based on Sum Insured</t>
  </si>
  <si>
    <t>IIRM-5347</t>
  </si>
  <si>
    <t>IIRM: RO: Service Level and Policy Status are set to default values and read only</t>
  </si>
  <si>
    <t>IIRM-5348</t>
  </si>
  <si>
    <t>Task and meetings overlay design</t>
  </si>
  <si>
    <t>IIRM-5349</t>
  </si>
  <si>
    <t>IIRM: Approvals: Due date is not displayed correctly</t>
  </si>
  <si>
    <t>IIRM-5350</t>
  </si>
  <si>
    <t>Name Changes in Dashboard</t>
  </si>
  <si>
    <t>IIRM-5351</t>
  </si>
  <si>
    <t>Dashboard: Business Performance - In speedometer control, show the target figure also. </t>
  </si>
  <si>
    <t>IIRM-5352</t>
  </si>
  <si>
    <t>In Sales Funnel and Renewal Funnel, show the % from previous stage to next stage.</t>
  </si>
  <si>
    <t>IIRM-5353</t>
  </si>
  <si>
    <t>Dashboard: Activate Filters</t>
  </si>
  <si>
    <t>IIRM-5354</t>
  </si>
  <si>
    <t>Dashboard: Work on the right side sections in the dashboard</t>
  </si>
  <si>
    <t>IIRM-5355</t>
  </si>
  <si>
    <t>Stalled Companies Follow-up</t>
  </si>
  <si>
    <t>IIRM-5356</t>
  </si>
  <si>
    <t>Inactive Key Accounts Alert</t>
  </si>
  <si>
    <t>IIRM-5357</t>
  </si>
  <si>
    <t>Multiple Stakeholders, No Meetings</t>
  </si>
  <si>
    <t>IIRM-5358</t>
  </si>
  <si>
    <t>Dashboard: Scenarios for Smart Assistant Section of Dashboard</t>
  </si>
  <si>
    <t>IIRM-5359</t>
  </si>
  <si>
    <t>IIRM: Manage Policies: The Company Name is not presented in the smart filters</t>
  </si>
  <si>
    <t>IIRM-5360</t>
  </si>
  <si>
    <t>IIRM: Manage Policies: Clickable Pointer is missing</t>
  </si>
  <si>
    <t>IIRM-5361</t>
  </si>
  <si>
    <t>Quick Contact Creation: Company Location not reflected in Contact Details</t>
  </si>
  <si>
    <t>IIRM-5362</t>
  </si>
  <si>
    <t>IIRM: Manage Company: Policy Premium(# Count) and Brokerage columns are missing</t>
  </si>
  <si>
    <t>IIRM-5363</t>
  </si>
  <si>
    <t>Provide decimal entry in estimated brokerage amount</t>
  </si>
  <si>
    <t>IIRM-5364</t>
  </si>
  <si>
    <t>IIRM: Contacts: Unable to recognise the contact if it's created with the same name in the 'Reporting To' field</t>
  </si>
  <si>
    <t>IIRM-5365</t>
  </si>
  <si>
    <t>IIRM: Right Side Menu: Arrow is not functioning correctly</t>
  </si>
  <si>
    <t>IIRM-5366</t>
  </si>
  <si>
    <t>IIRM: Manage Contacts: Correct the Typo</t>
  </si>
  <si>
    <t>IIRM-5367</t>
  </si>
  <si>
    <t>IIRM: Document Upload: Multiple toast messages are conveying the same information</t>
  </si>
  <si>
    <t>IIRM-5368</t>
  </si>
  <si>
    <t>Icons and feedback changes on menu</t>
  </si>
  <si>
    <t>IIRM-5369</t>
  </si>
  <si>
    <t>IIRM: Ready for QA  Bugfixes verification and regression testing on new CRS</t>
  </si>
  <si>
    <t>IIRM-5370</t>
  </si>
  <si>
    <t>IIRM: Combine testing on UAT Environment with bugfixes</t>
  </si>
  <si>
    <t>IIRM-5371</t>
  </si>
  <si>
    <t>IIRM: Opportunity stages verifications after bug fixes</t>
  </si>
  <si>
    <t>IIRM-5372</t>
  </si>
  <si>
    <t>IIRM: Opportunity test cases updation with latest CRs</t>
  </si>
  <si>
    <t>IIRM-5373</t>
  </si>
  <si>
    <t>IIRM: Ready for QA primary blocklog tickets verification</t>
  </si>
  <si>
    <t>IIRM-5374</t>
  </si>
  <si>
    <t xml:space="preserve">IIRM: Oppoortunity Satges verifications with different typs of Policies </t>
  </si>
  <si>
    <t>IIRM-5375</t>
  </si>
  <si>
    <t>IIRM: Approval and Assessments tabs should not be displayed for Executive role</t>
  </si>
  <si>
    <t>IIRM-5376</t>
  </si>
  <si>
    <t>IIRM: Covers are disabled in Held Cover Note even though they are mandatory to submit the activity</t>
  </si>
  <si>
    <t>IIRM-5377</t>
  </si>
  <si>
    <t>IIRM: Dashboard: Dashboard filters are not functioning</t>
  </si>
  <si>
    <t>IIRM-5378</t>
  </si>
  <si>
    <t>IIRM: Manage RO: In Smart Search add Vertical and BAU also.</t>
  </si>
  <si>
    <t>IIRM-5379</t>
  </si>
  <si>
    <t>IIRM: Smart Filters: The 'Owned By' dropdown is not resetting when the Reset button is clicked.</t>
  </si>
  <si>
    <t>IIRM-5380</t>
  </si>
  <si>
    <t>IIRM: Planning: Additional participants dropdown should display with the checkboxes</t>
  </si>
  <si>
    <t>IIRM-5381</t>
  </si>
  <si>
    <t xml:space="preserve">Display Assets at  RFP Data Collection and need to appear into the  next activities </t>
  </si>
  <si>
    <t>IIRM-5382</t>
  </si>
  <si>
    <t>Approvals - Only users with approval privilege should be able to see approvals</t>
  </si>
  <si>
    <t>IIRM-5383</t>
  </si>
  <si>
    <t>Validation in Meeting activities - if meeting time is in future, cannot complete activity</t>
  </si>
  <si>
    <t>IIRM-5384</t>
  </si>
  <si>
    <t>IRM: Delete (–) icon not working for multiple claim experience entries in Create SO page</t>
  </si>
  <si>
    <t>IIRM-782 — SOW#55 - Claim Management</t>
  </si>
  <si>
    <t>IIRM-5385</t>
  </si>
  <si>
    <t>IIRM: "Oops! Something went wrong" error displayed when user logs in with empty role</t>
  </si>
  <si>
    <t>IIRM-5386</t>
  </si>
  <si>
    <t>IIRM: Dashboard: Funnel Visualization Fixes &amp; Dashboard Enhancements</t>
  </si>
  <si>
    <t>IIRM-5387</t>
  </si>
  <si>
    <t>RO list of records not matching with the actual ROs from excel</t>
  </si>
  <si>
    <t>IIRM-5389</t>
  </si>
  <si>
    <t>RO/SO List - Grid feedback changes</t>
  </si>
  <si>
    <t>IIRM-5390</t>
  </si>
  <si>
    <t xml:space="preserve">Smart Filters - Feedback changes </t>
  </si>
  <si>
    <t>IIRM-5391</t>
  </si>
  <si>
    <t>SO / RO - KPI count feedback changes</t>
  </si>
  <si>
    <t>IIRM-5392</t>
  </si>
  <si>
    <t>Endorsement flow screen Designs</t>
  </si>
  <si>
    <t>IIRM-5393</t>
  </si>
  <si>
    <t>Endorsement flow design changes</t>
  </si>
  <si>
    <t>IIRM-5394</t>
  </si>
  <si>
    <t xml:space="preserve">Include Lead_CRM field in Policy Table  </t>
  </si>
  <si>
    <t>IIRM-5395</t>
  </si>
  <si>
    <t xml:space="preserve">Company Quick Card - My client data is not updated if Company have one policy, or so, Ro then counts should be updated </t>
  </si>
  <si>
    <t>IIRM-5396</t>
  </si>
  <si>
    <t>IIRM: Verify production backlog QA-Ready Issue</t>
  </si>
  <si>
    <t>IIRM-5397</t>
  </si>
  <si>
    <t>IIRM; Regression on Testing on company &amp; Contact , Opportunities Madules</t>
  </si>
  <si>
    <t>IIRM-5398</t>
  </si>
  <si>
    <t xml:space="preserve">IIRM: Playwriight setup and Automation Test script for Company Madule </t>
  </si>
  <si>
    <t>IIRM-5399</t>
  </si>
  <si>
    <t xml:space="preserve">IIRM: Verify the QA And  UAT builds and regression checking </t>
  </si>
  <si>
    <t>IIRM-5400</t>
  </si>
  <si>
    <t>IIRM: NEW CRs testing from primary backlog list</t>
  </si>
  <si>
    <t>IIRM-5401</t>
  </si>
  <si>
    <t>IIRM: SO Filter style  showing different height</t>
  </si>
  <si>
    <t>IIRM-5402</t>
  </si>
  <si>
    <t>IIRM: All Features: Inactive contacts are displayed inside the company contacts dropdown</t>
  </si>
  <si>
    <t>IIRM-5403</t>
  </si>
  <si>
    <t>IIRM: SO/RO: Planning activity is missing in the Activity filter</t>
  </si>
  <si>
    <t>IIRM-5404</t>
  </si>
  <si>
    <t>GMC top up covers are same as GMC, But Currently in application showing GPA covers</t>
  </si>
  <si>
    <t>IIRM-5405</t>
  </si>
  <si>
    <t>Covers &amp; Assests need to be in order as per the Policy sheet shared</t>
  </si>
  <si>
    <t>IIRM-5406</t>
  </si>
  <si>
    <t xml:space="preserve">Where ever Enter Quote - At insurer Need to Show Insurer Name + Location </t>
  </si>
  <si>
    <t>IIRM-5407</t>
  </si>
  <si>
    <t>In Broking Slip , Location is showing wrong- Person sitting in Pune, Bangalore location is capture</t>
  </si>
  <si>
    <t>IIRM-5408</t>
  </si>
  <si>
    <t xml:space="preserve"> Some Covers and Assets are Repeated and some are not required</t>
  </si>
  <si>
    <t>IIRM-5409</t>
  </si>
  <si>
    <t xml:space="preserve">Implement Dashboard Performance Outcomes </t>
  </si>
  <si>
    <t>IIRM-5410</t>
  </si>
  <si>
    <t>Bizdone report changes</t>
  </si>
  <si>
    <t>IIRM-5411</t>
  </si>
  <si>
    <t>Bizdone: Create two new roles and need to assign permissions</t>
  </si>
  <si>
    <t>IIRM-5412</t>
  </si>
  <si>
    <t>Need to update the policy creation fields in the database table</t>
  </si>
  <si>
    <t>IIRM-5413</t>
  </si>
  <si>
    <t xml:space="preserve">IIRM: Cover details are not displayed in RFP data collection stage </t>
  </si>
  <si>
    <t>IIRM-5414</t>
  </si>
  <si>
    <t xml:space="preserve">After SO  / RO Expiry, Need to provide privilege to manager so that expiry can be extended </t>
  </si>
  <si>
    <t>IIRM-5415</t>
  </si>
  <si>
    <t>IIRM: Communication details are not saved on the Contact Details page</t>
  </si>
  <si>
    <t>IIRM-5416</t>
  </si>
  <si>
    <t>IIRM: Only 10 companies are retrieved in the Parent Company dropdown/search</t>
  </si>
  <si>
    <t>IIRM-774 — SOW#47 - Company Plans</t>
  </si>
  <si>
    <t>IIRM-5417</t>
  </si>
  <si>
    <t>IIRM: Inactive companies are displayed in the Parent Company dropdown list</t>
  </si>
  <si>
    <t>IIRM-5418</t>
  </si>
  <si>
    <t>IIRM: Admin side menu opens unexpectedly when creating Company, Contact, or SO</t>
  </si>
  <si>
    <t>IIRM-5419</t>
  </si>
  <si>
    <t>IIRM: Data not preserved when navigating back in Contact creation form</t>
  </si>
  <si>
    <t>IIRM-5420</t>
  </si>
  <si>
    <t>IIRM: Display Name validation error shown despite auto-population and no required field indication</t>
  </si>
  <si>
    <t>IIRM-5436</t>
  </si>
  <si>
    <t>IIRM: Incorrect access denied message displayed when non-owner tries to edit a contact</t>
  </si>
  <si>
    <t>IIRM-5437</t>
  </si>
  <si>
    <t>Design: Dashboard: Birthdays and Anniversaries</t>
  </si>
  <si>
    <t>IIRM-5438</t>
  </si>
  <si>
    <t>IIRM: Sanity verifications on UAT Environment</t>
  </si>
  <si>
    <t>IIRM-5439</t>
  </si>
  <si>
    <t>IIRM: Verify Ready for QA issues and Regression checking</t>
  </si>
  <si>
    <t>IIRM-5440</t>
  </si>
  <si>
    <t>Enhancement User Activity Report</t>
  </si>
  <si>
    <t>IIRM-5441</t>
  </si>
  <si>
    <t>Biz Done Reports</t>
  </si>
  <si>
    <t>IIRM-5442</t>
  </si>
  <si>
    <t>Executive and Manager Roles Issues</t>
  </si>
  <si>
    <t>IIRM-5459</t>
  </si>
  <si>
    <t>CR - Subtask</t>
  </si>
  <si>
    <t>My Team Celebration Widget Implementation (FE+BE)</t>
  </si>
  <si>
    <t>IIRM-5474 — CR: Birthday and Anniversary</t>
  </si>
  <si>
    <t>IIRM-5460</t>
  </si>
  <si>
    <t>Organization Announcements Widget Implementation (FE+BE)</t>
  </si>
  <si>
    <t>IIRM-5461</t>
  </si>
  <si>
    <t>IIRM: Improve multi-select combo box usability — Show selected values at the top or allow clearing with delete icons</t>
  </si>
  <si>
    <t>IIRM-5462</t>
  </si>
  <si>
    <t>IIRM: Contact: Verify Data Preservation While Navigating Backward Direction</t>
  </si>
  <si>
    <t>IIRM-5463</t>
  </si>
  <si>
    <t>IIRM: UAT Sanity Testing On QA-Ceritified issues</t>
  </si>
  <si>
    <t>IIRM-5464</t>
  </si>
  <si>
    <t>IIRM: Performed regression testing on the Opportunity, Company, and Contact</t>
  </si>
  <si>
    <t>IIRM-5465</t>
  </si>
  <si>
    <t>IIRM: Dashboard Funnel graphs verification</t>
  </si>
  <si>
    <t>IIRM-5466</t>
  </si>
  <si>
    <t>IIRM: TPA details blocking Final Negotiation submission despite not being mandatory</t>
  </si>
  <si>
    <t>IIRM-5467</t>
  </si>
  <si>
    <t>UI Implementation of the Bizdone Screen</t>
  </si>
  <si>
    <t>IIRM-5441 — Biz Done Reports</t>
  </si>
  <si>
    <t>IIRM-5468</t>
  </si>
  <si>
    <t>IIRM: Sanity Testing AI-card upload functionality</t>
  </si>
  <si>
    <t>IIRM-5469</t>
  </si>
  <si>
    <t>IIRM: Company not visible in search results after clearing all editable field data</t>
  </si>
  <si>
    <t>IIRM-5470</t>
  </si>
  <si>
    <t>Others in Placement slip should be a amount field</t>
  </si>
  <si>
    <t>IIRM-5471</t>
  </si>
  <si>
    <t>IIRM-5472</t>
  </si>
  <si>
    <t>IIRM-5473</t>
  </si>
  <si>
    <t>TPA Contact Validation</t>
  </si>
  <si>
    <t>KOWTRAPU KAVYA SRI</t>
  </si>
  <si>
    <t>IIRM-5474</t>
  </si>
  <si>
    <t>CR: Birthday and Anniversary</t>
  </si>
  <si>
    <t>IIRM-5475</t>
  </si>
  <si>
    <t>IIRM: UI issues on Contact Details – Text overlap and label casing inconsistencies</t>
  </si>
  <si>
    <t>IIRM-5476</t>
  </si>
  <si>
    <t>IRM: Only First Name displayed in reporting fields instead of Display Name</t>
  </si>
  <si>
    <t>IIRM-5477</t>
  </si>
  <si>
    <t>CR In IIRM</t>
  </si>
  <si>
    <t>IIRM-5478</t>
  </si>
  <si>
    <t>IIRM: Account Manager dropdown fails to return results when search contains spaces</t>
  </si>
  <si>
    <t>IIRM-5479</t>
  </si>
  <si>
    <t>IIRM: Order of data retrieved is different from the stored order in Contact/Profile Details page</t>
  </si>
  <si>
    <t>Done - Not a Bug</t>
  </si>
  <si>
    <t>IIRM-5480</t>
  </si>
  <si>
    <t>IIRM: MY SO: "Undefined" screen is displayed by clicking on the "Save &amp; Exit and Next" button while creating SO</t>
  </si>
  <si>
    <t>IIRM-5481</t>
  </si>
  <si>
    <t>[CR] - Stage Activity Template - Names should be different for SO and RO</t>
  </si>
  <si>
    <t>IIRM-5482</t>
  </si>
  <si>
    <t>Manage company: Document/Profile tab related to be made functional</t>
  </si>
  <si>
    <t>IIRM-5483</t>
  </si>
  <si>
    <t>Logo overlapping issues, Placement slip and Broking slip download file issues for ISG team</t>
  </si>
  <si>
    <t>IIRM-5484</t>
  </si>
  <si>
    <t>No screen provided to configure the notifications/communications from front-end</t>
  </si>
  <si>
    <t>IIRM-5485</t>
  </si>
  <si>
    <t>No screen provided to view the usage/Audits</t>
  </si>
  <si>
    <t>IIRM-748 — SOW#21 - Usage &amp; Audit</t>
  </si>
  <si>
    <t>IIRM-5486</t>
  </si>
  <si>
    <t>Coverages entered in brokingslip generation stage are not depicting/populating in Enter quote stage and also same are not visible in QCR and finally in placementslip activity stage.</t>
  </si>
  <si>
    <t>IIRM-5487</t>
  </si>
  <si>
    <t>Remove mandatory requirement for Coverages, Brokerage %, and Brokerage Amount in Policy Hardcopy Receipt stage.</t>
  </si>
  <si>
    <t>IIRM-5488</t>
  </si>
  <si>
    <t>When brokerage % &amp; GST % are entered, it is not calculating brokerage amount &amp; GST amount automatically.</t>
  </si>
  <si>
    <t>IIRM-5489</t>
  </si>
  <si>
    <t>GMC Top up Policy Issues</t>
  </si>
  <si>
    <t>IIRM-5490</t>
  </si>
  <si>
    <t>Issue in completing SO / RO  activities with Vippinc and Surya Account</t>
  </si>
  <si>
    <t>IIRM-5491</t>
  </si>
  <si>
    <t>Business performance Outcomes implementation</t>
  </si>
  <si>
    <t>IIRM-5492</t>
  </si>
  <si>
    <t>Updating Reporting Manager issue</t>
  </si>
  <si>
    <t>IIRM-5493</t>
  </si>
  <si>
    <t>Sorting functionality implementation update</t>
  </si>
  <si>
    <t>IIRM-5494</t>
  </si>
  <si>
    <t>Retail Policy &amp; Company / user creation APIs</t>
  </si>
  <si>
    <t>IIRM-5495</t>
  </si>
  <si>
    <t>IIRM: Parent Company field appears empty when navigating back from the Submit page</t>
  </si>
  <si>
    <t>IIRM-5496</t>
  </si>
  <si>
    <t>Insurer Contact: Edit: RBAC: Authorized users can edit all permitted fields of the Insurer Contact.</t>
  </si>
  <si>
    <t>IIRM-5497</t>
  </si>
  <si>
    <t>Broker Contact: Edit: RBAC: Authorized users can edit all permitted fields of the Broker Contact.</t>
  </si>
  <si>
    <t>IIRM-5498</t>
  </si>
  <si>
    <t>Insurer Contact: Add: Appropriate validations and errors are displayed when invalid data is input during Insurer Contact creation</t>
  </si>
  <si>
    <t>IIRM-5499</t>
  </si>
  <si>
    <t>Broker Contact: Add: Appropriate validations and errors are displayed when invalid data is input during  Broker Contact creation</t>
  </si>
  <si>
    <t>IIRM-5500</t>
  </si>
  <si>
    <t>NFR-SEC-067: The platform must implement strong password policies including complexity and expiration rules.</t>
  </si>
  <si>
    <t>IIRM-5502</t>
  </si>
  <si>
    <t>Internal meeting users are not populated</t>
  </si>
  <si>
    <t>IIRM-5503</t>
  </si>
  <si>
    <t>CR: In Tasks and meetings, we need option in Task to tag others</t>
  </si>
  <si>
    <t>IIRM-5504</t>
  </si>
  <si>
    <t>Policy Dashboard design changes &amp; status stepper design in table</t>
  </si>
  <si>
    <t>IIRM-5505</t>
  </si>
  <si>
    <t>IIRM: Reverifying the issues</t>
  </si>
  <si>
    <t>IIRM-5506</t>
  </si>
  <si>
    <t>Change the following Menu items</t>
  </si>
  <si>
    <t>IIRM-5507</t>
  </si>
  <si>
    <t>Hide other links (Reinsurance hub, personal lines, LIA consulting, Fin Ops, Manthan, Poppins) for all users. Links in the header, let them be as they are.</t>
  </si>
  <si>
    <t>IIRM-5508</t>
  </si>
  <si>
    <t>Display ownership guidance message in listing pages when ownership-driven data is unavailable.</t>
  </si>
  <si>
    <t>IIRM-5509</t>
  </si>
  <si>
    <t>Update card labels in SO/RO listing screen</t>
  </si>
  <si>
    <t>IIRM-5510</t>
  </si>
  <si>
    <t>SO and RO listing has performance issue, taking long time to load on each change and first load as well. Especially RO is taking way longer.</t>
  </si>
  <si>
    <t>IIRM-5511</t>
  </si>
  <si>
    <t>In policy details page Change Configure --&gt; Configuration &amp; View Configure to -&gt; View Configuration</t>
  </si>
  <si>
    <t>IIRM-5512</t>
  </si>
  <si>
    <t>Bring in SBU into Org -&gt; Vertical hierarchy. It has to be Org -&gt; SBU -&gt; Vertical. T</t>
  </si>
  <si>
    <t>IIRM-5513</t>
  </si>
  <si>
    <t>IIRM: My SO: Not able to create an SO</t>
  </si>
  <si>
    <t>IIRM-5514</t>
  </si>
  <si>
    <t>Company: Edit: Assign Owner: Verify that the manager can assign a new Lead CRM for a Company</t>
  </si>
  <si>
    <t>IIRM-5515</t>
  </si>
  <si>
    <t>IIRM: Opty Stages: All the activities set should be enabled for the user. Till the activities set are sent for approval/Approved</t>
  </si>
  <si>
    <t>IIRM-5516</t>
  </si>
  <si>
    <t>IIRM:Permission issue encountered while logging out of the system</t>
  </si>
  <si>
    <t>IIRM-5517</t>
  </si>
  <si>
    <t>Investigate and fix permission error encountered on logout in QA environment</t>
  </si>
  <si>
    <t>IIRM-5518</t>
  </si>
  <si>
    <t>IIRM: Task: Data issues for the Deviation tasks created from the activities</t>
  </si>
  <si>
    <t>IIRM-5519</t>
  </si>
  <si>
    <t>Quick create: Meeting should have a text box</t>
  </si>
  <si>
    <t>IIRM-5535</t>
  </si>
  <si>
    <t>IIRM: Logout: "You don’t have the required permissions to access this resource" message displayed</t>
  </si>
  <si>
    <t>IIRM-5536</t>
  </si>
  <si>
    <t>IIRM: Manager role unable to associate another BD Exec as Lead CRM for a company</t>
  </si>
  <si>
    <t>IIRM-5537</t>
  </si>
  <si>
    <t>Prototype for the policy flow</t>
  </si>
  <si>
    <t>IIRM-5538</t>
  </si>
  <si>
    <t>Demo on Approvals to IIRM team</t>
  </si>
  <si>
    <t>IIRM-5539</t>
  </si>
  <si>
    <t>In the database, create "ISG Manager 2" role for VRK garu without the "Assignment" privilege</t>
  </si>
  <si>
    <t>IIRM-5540</t>
  </si>
  <si>
    <t xml:space="preserve">Need to add SBU Item (get more details from Naveen &amp; Rama) </t>
  </si>
  <si>
    <t>IIRM-5541</t>
  </si>
  <si>
    <t>in RO table, show the recent 3 months data.</t>
  </si>
  <si>
    <t>IIRM-5542</t>
  </si>
  <si>
    <t xml:space="preserve">List of records to have "My Records" and "My Team's records" </t>
  </si>
  <si>
    <t>IIRM-5543</t>
  </si>
  <si>
    <t xml:space="preserve">Include filter on "Vertical" </t>
  </si>
  <si>
    <t>IIRM-5544</t>
  </si>
  <si>
    <t>Disable 3 letter validation for Last name field (when adding employee)</t>
  </si>
  <si>
    <t>IIRM-5545</t>
  </si>
  <si>
    <t>Add "Consulting" and "Speciality Lines" to the list of SBU. When adding employees</t>
  </si>
  <si>
    <t>IIRM-5546</t>
  </si>
  <si>
    <t>Ensure to match data from Bizdone reports vs dashboard (by considering Inactive user's count)</t>
  </si>
  <si>
    <t>IIRM-5547</t>
  </si>
  <si>
    <t>Policy Renewal notification to be sent to CRM users</t>
  </si>
  <si>
    <t>IIRM-5548</t>
  </si>
  <si>
    <t>All users of Sri Lanka, Maldives, Kenya &amp; Safe Risk to be added.</t>
  </si>
  <si>
    <t>IIRM-5549</t>
  </si>
  <si>
    <t>IIRM-5550</t>
  </si>
  <si>
    <t>IIRM-5551</t>
  </si>
  <si>
    <t>Divami Bold: Figma Testing</t>
  </si>
  <si>
    <t>IIRM-5552</t>
  </si>
  <si>
    <t>IIRM: Contacts: Inactive users are displayed in Reporting to field</t>
  </si>
  <si>
    <t>IIRM-5553</t>
  </si>
  <si>
    <t>Dashboard Data Consistency</t>
  </si>
  <si>
    <t>IIRM-5554</t>
  </si>
  <si>
    <t>Approval Issues – Pending approval-related problems need to be fixed.</t>
  </si>
  <si>
    <t>IIRM-5555</t>
  </si>
  <si>
    <t>State Model Functionality (BE + FE)</t>
  </si>
  <si>
    <t>IIRM-5557</t>
  </si>
  <si>
    <t>UAT Merge</t>
  </si>
  <si>
    <t>IIRM-5558</t>
  </si>
  <si>
    <t>For lost RO/SO, please activate all of them till 25th October</t>
  </si>
  <si>
    <t>IIRM-5559</t>
  </si>
  <si>
    <t>IIRM: Duplicate phone numbers allowed while creating multiple TPA contacts</t>
  </si>
  <si>
    <t>IIRM-5561</t>
  </si>
  <si>
    <t>Dev - Lead Tasks</t>
  </si>
  <si>
    <t>IIRM-5562</t>
  </si>
  <si>
    <t>Org and SBU also to be added in all tabs of Bizdone report</t>
  </si>
  <si>
    <t>IIRM-5563</t>
  </si>
  <si>
    <t xml:space="preserve">IIRM: Close (×) icon is misaligned in all dropdown fields On Opty </t>
  </si>
  <si>
    <t>IIRM-5564</t>
  </si>
  <si>
    <t>IIRM: City name displayed with state name in IIRM (e.g., “Andhra Pradesh Nelluru” instead of “Nelluru”)</t>
  </si>
  <si>
    <t>IIRM-5565</t>
  </si>
  <si>
    <t>Main Dashboard Changes_Priority</t>
  </si>
  <si>
    <t>IIRM-5566</t>
  </si>
  <si>
    <t>IIRM: Company: Not able to view the created company in Create Company wizard</t>
  </si>
  <si>
    <t>IIRM-5567</t>
  </si>
  <si>
    <t>IIRM: Approve name not displayd</t>
  </si>
  <si>
    <t>IIRM-5568</t>
  </si>
  <si>
    <t>IIRM: Quote issues in broking slip</t>
  </si>
  <si>
    <t>IIRM-5569</t>
  </si>
  <si>
    <t>IIRM: Manage Policies: Policy numbers are not displayed</t>
  </si>
  <si>
    <t>IIRM-5570</t>
  </si>
  <si>
    <t>IIRM: Company: Full name should be display in Lead CRM field while creating a company</t>
  </si>
  <si>
    <t>IIRM-5571</t>
  </si>
  <si>
    <t xml:space="preserve">IIRM: Quick Company: "Cancel" button is not displayed </t>
  </si>
  <si>
    <t>IIRM-5572</t>
  </si>
  <si>
    <t>IIMR:Invalid Date name Displayed for Policy From and To Dates</t>
  </si>
  <si>
    <t>IIRM-5573</t>
  </si>
  <si>
    <t>IIRM: Search is not working on My SO list page</t>
  </si>
  <si>
    <t>IIRM-5574</t>
  </si>
  <si>
    <t>Claims Corner Page - UI Design</t>
  </si>
  <si>
    <t>IIRM-787 — SOW#60 - Claims Corner</t>
  </si>
  <si>
    <t>IIRM-5575</t>
  </si>
  <si>
    <t>UX- Claims Corner</t>
  </si>
  <si>
    <t>IIRM-5576</t>
  </si>
  <si>
    <t>Policy Template</t>
  </si>
  <si>
    <t>IIRM-5577</t>
  </si>
  <si>
    <t>IIRM-5578</t>
  </si>
  <si>
    <t>Policy Creation</t>
  </si>
  <si>
    <t>IIRM-5579</t>
  </si>
  <si>
    <t>Analyze and design database tables to store policy configuration data related to policies.</t>
  </si>
  <si>
    <t>IIRM-5577 — Policy Configuration</t>
  </si>
  <si>
    <t>IIRM-5580</t>
  </si>
  <si>
    <t>Develop an API to create a policy configuration for a given policy.</t>
  </si>
  <si>
    <t>IIRM-5581</t>
  </si>
  <si>
    <t>Implement APIs to update and retrieve the policy configuration for a policy.</t>
  </si>
  <si>
    <t>IIRM-5582</t>
  </si>
  <si>
    <t>Create an API to approve or reject a policy configuration.</t>
  </si>
  <si>
    <t>IIRM-5583</t>
  </si>
  <si>
    <t>UI: Policy Listing Page</t>
  </si>
  <si>
    <t>IIRM-5584</t>
  </si>
  <si>
    <t>UI: Policy Configuration Stepper</t>
  </si>
  <si>
    <t>IIRM-5585</t>
  </si>
  <si>
    <t>UI: Policy Configuration API Integration</t>
  </si>
  <si>
    <t>IIRM-5586</t>
  </si>
  <si>
    <t>UI: Policy Template Creation</t>
  </si>
  <si>
    <t>IIRM-5587</t>
  </si>
  <si>
    <t>UI Tweaks for Configurator</t>
  </si>
  <si>
    <t>IIRM-5588</t>
  </si>
  <si>
    <t>Implement Validations for Policy configurator</t>
  </si>
  <si>
    <t>IIRM-5589</t>
  </si>
  <si>
    <t>API to fetch Policy list</t>
  </si>
  <si>
    <t>IIRM-5590</t>
  </si>
  <si>
    <t xml:space="preserve">API to Fetch Policy Details </t>
  </si>
  <si>
    <t>IIRM-5591</t>
  </si>
  <si>
    <t xml:space="preserve">Policy details page </t>
  </si>
  <si>
    <t>IIRM-5592</t>
  </si>
  <si>
    <t>API to store the Policy Configuration (POST, UPDATE)</t>
  </si>
  <si>
    <t>IIRM-5593</t>
  </si>
  <si>
    <t xml:space="preserve">Implement Filters at Policy Listing Page </t>
  </si>
  <si>
    <t>IIRM-5594</t>
  </si>
  <si>
    <t>In My Ro listing page add 3 moths as default search value in period</t>
  </si>
  <si>
    <t>IIRM-5595</t>
  </si>
  <si>
    <t>Quick Links Card in the Policy dashboard</t>
  </si>
  <si>
    <t>IIRM-5596</t>
  </si>
  <si>
    <t>Design and create policy-related tables</t>
  </si>
  <si>
    <t>IIRM-5578 — Policy Creation</t>
  </si>
  <si>
    <t>IIRM-5597</t>
  </si>
  <si>
    <t>Analyze and create entities, relationships and Dto's</t>
  </si>
  <si>
    <t>IIRM-5598</t>
  </si>
  <si>
    <t>Analyse existing opportunity details relevant to policy creation</t>
  </si>
  <si>
    <t>IIRM-5599</t>
  </si>
  <si>
    <t>Implement logic to insert or associate opportunity data with policy creation in their respective sections</t>
  </si>
  <si>
    <t>IIRM-5600</t>
  </si>
  <si>
    <t xml:space="preserve">API to create policy tempate </t>
  </si>
  <si>
    <t>IIRM-5576 — Policy Template</t>
  </si>
  <si>
    <t>IIRM-5601</t>
  </si>
  <si>
    <t xml:space="preserve">UI to Download / Upload Policy Template </t>
  </si>
  <si>
    <t>IIRM-5602</t>
  </si>
  <si>
    <t>UI for Policy overview, components, relationships, parameters, template, choices and constraints and final review</t>
  </si>
  <si>
    <t>IIRM-5603</t>
  </si>
  <si>
    <t>User stories and acceptance criteria for Policy Configurator</t>
  </si>
  <si>
    <t>IIRM-5623</t>
  </si>
  <si>
    <t xml:space="preserve">Upload of Corporate Employee Data </t>
  </si>
  <si>
    <t>IIRM-759 — SOW#32 - Asset/Member Data Mgmt</t>
  </si>
  <si>
    <t>IIRM-5624</t>
  </si>
  <si>
    <t>Provide Excel template based on Policy configuration</t>
  </si>
  <si>
    <t>IIRM-5625</t>
  </si>
  <si>
    <t>Design- Landing Page</t>
  </si>
  <si>
    <t>IIRM-771 — SOW#44 - IBP Landing Page (Design)</t>
  </si>
  <si>
    <t>IIRM-5626</t>
  </si>
  <si>
    <t>TPA Processing: BE+FE</t>
  </si>
  <si>
    <t>IIRM-5627</t>
  </si>
  <si>
    <t>CD Management</t>
  </si>
  <si>
    <t>IIRM-5628</t>
  </si>
  <si>
    <t>IBP - TPA</t>
  </si>
  <si>
    <t>IIRM-5629</t>
  </si>
  <si>
    <t>Claim Data Ingestion</t>
  </si>
  <si>
    <t>IIRM-5630</t>
  </si>
  <si>
    <t>Policy Enrollment</t>
  </si>
  <si>
    <t>IIRM-773 — SOW#46 - Enrolment Portal</t>
  </si>
  <si>
    <t>IIRM-5631</t>
  </si>
  <si>
    <t>IBP: UI: Login page implementation</t>
  </si>
  <si>
    <t>IIRM-786 — SOW#59 - IBP: Landing Page (Admin Module)</t>
  </si>
  <si>
    <t>IIRM-5632</t>
  </si>
  <si>
    <t>UI: API Integration in the dahboard page</t>
  </si>
  <si>
    <t>IIRM-5633</t>
  </si>
  <si>
    <t>UI: Implement relationship enrollment flow static</t>
  </si>
  <si>
    <t>IIRM-5634</t>
  </si>
  <si>
    <t>Design - Policy Enrolment</t>
  </si>
  <si>
    <t>IIRM-5635</t>
  </si>
  <si>
    <t xml:space="preserve">Backend - Upload of Corporate Employee Data </t>
  </si>
  <si>
    <t xml:space="preserve">IIRM-5623 — Upload of Corporate Employee Data </t>
  </si>
  <si>
    <t>IIRM-5636</t>
  </si>
  <si>
    <t xml:space="preserve">UI - Upload of Corporate Employee Data </t>
  </si>
  <si>
    <t>IIRM-5637</t>
  </si>
  <si>
    <t>Backend - Provide Excel template based on Policy configuration</t>
  </si>
  <si>
    <t>IIRM-5624 — Provide Excel template based on Policy configuration</t>
  </si>
  <si>
    <t>IIRM-5638</t>
  </si>
  <si>
    <t>UI - Provide Excel template based on Policy configuration</t>
  </si>
  <si>
    <t>IIRM-5639</t>
  </si>
  <si>
    <t xml:space="preserve">BE:Analyze DB Schema for CD management </t>
  </si>
  <si>
    <t>IIRM-5627 — CD Management</t>
  </si>
  <si>
    <t>IIRM-5640</t>
  </si>
  <si>
    <t xml:space="preserve">BE:API for Creating CD Account Based on Company and Policy </t>
  </si>
  <si>
    <t>IIRM-5641</t>
  </si>
  <si>
    <t xml:space="preserve">BE:API for updating the CD Premium amount and maintaing the transactions </t>
  </si>
  <si>
    <t>IIRM-5642</t>
  </si>
  <si>
    <t xml:space="preserve">BE:API For fetching the List of CD account Transactions </t>
  </si>
  <si>
    <t>IIRM-5643</t>
  </si>
  <si>
    <t>UI - For Adding Premium amount into CD account</t>
  </si>
  <si>
    <t>IIRM-5644</t>
  </si>
  <si>
    <t xml:space="preserve">UI - Displaying the CD account Transactions </t>
  </si>
  <si>
    <t>IIRM-5645</t>
  </si>
  <si>
    <t>Analysis of the database schema for mapping tpa ids against employees &amp; dependents</t>
  </si>
  <si>
    <t>IIRM-5628 — IBP - TPA</t>
  </si>
  <si>
    <t>IIRM-5646</t>
  </si>
  <si>
    <t>Backend processing to add the TPA ids against employees and dependents</t>
  </si>
  <si>
    <t>IIRM-5647</t>
  </si>
  <si>
    <t>Fetch TPA ids mapped to the employees and dependents</t>
  </si>
  <si>
    <t>IIRM-5648</t>
  </si>
  <si>
    <t xml:space="preserve">UI for TPA processing screens </t>
  </si>
  <si>
    <t>IIRM-5649</t>
  </si>
  <si>
    <t xml:space="preserve">Integrate API to capture TPA processing screens </t>
  </si>
  <si>
    <t>IIRM-5650</t>
  </si>
  <si>
    <t xml:space="preserve">UX- Policy Enrollment </t>
  </si>
  <si>
    <t>IIRM-5634 — Design - Policy Enrolment</t>
  </si>
  <si>
    <t>IIRM-5651</t>
  </si>
  <si>
    <t>UI- Policy Enrollement</t>
  </si>
  <si>
    <t>IIRM-5652</t>
  </si>
  <si>
    <t>UX-Feedback changes</t>
  </si>
  <si>
    <t>IIRM-5653</t>
  </si>
  <si>
    <t>BE:Update the template with mock data while downloading</t>
  </si>
  <si>
    <t>IIRM-5626 — TPA Processing: BE+FE</t>
  </si>
  <si>
    <t>IIRM-5654</t>
  </si>
  <si>
    <t>BE:Analysis of the database schema for mapping tpa ids against employees &amp; dependents</t>
  </si>
  <si>
    <t>IIRM-5655</t>
  </si>
  <si>
    <t>BE:Backend processing to add the TPA ids against employees and dependents</t>
  </si>
  <si>
    <t>IIRM-5656</t>
  </si>
  <si>
    <t>BE:Fetch TPA ids mapped to the employees and dependents</t>
  </si>
  <si>
    <t>IIRM-5657</t>
  </si>
  <si>
    <t>UI for TPA processing screens  - Tweaks for the endorsement table and add the TPA upload functionality</t>
  </si>
  <si>
    <t>IIRM-5658</t>
  </si>
  <si>
    <t>Analyse the Database schema for saving the claims report received from the TPA</t>
  </si>
  <si>
    <t>IIRM-5629 — Claim Data Ingestion</t>
  </si>
  <si>
    <t>IIRM-5659</t>
  </si>
  <si>
    <t>"API for mapping the claims data received from the TPA and mapping that against the policy of the employees, CD balance updation and balance sum insured for the users"</t>
  </si>
  <si>
    <t>IIRM-5660</t>
  </si>
  <si>
    <t>API for fetching the claims data specific to policy / employee</t>
  </si>
  <si>
    <t>IIRM-5661</t>
  </si>
  <si>
    <t xml:space="preserve">UI for Claim Data Ingestion processing screens </t>
  </si>
  <si>
    <t>IIRM-5662</t>
  </si>
  <si>
    <t>Integrate API to capture Claim Data Ingestion processing screens</t>
  </si>
  <si>
    <t>IIRM-5663</t>
  </si>
  <si>
    <t>Landing section</t>
  </si>
  <si>
    <t>IIRM-5625 — Design- Landing Page</t>
  </si>
  <si>
    <t>IIRM-5664</t>
  </si>
  <si>
    <t>wellness section</t>
  </si>
  <si>
    <t>IIRM-5665</t>
  </si>
  <si>
    <t>KPI's/values</t>
  </si>
  <si>
    <t>IIRM-5666</t>
  </si>
  <si>
    <t>Numbers</t>
  </si>
  <si>
    <t>IIRM-5667</t>
  </si>
  <si>
    <t>commitment section</t>
  </si>
  <si>
    <t>IIRM-5668</t>
  </si>
  <si>
    <t>Why IWH ? section</t>
  </si>
  <si>
    <t>IIRM-5669</t>
  </si>
  <si>
    <t xml:space="preserve">collaborating companies </t>
  </si>
  <si>
    <t>IIRM-5670</t>
  </si>
  <si>
    <t>Need help page</t>
  </si>
  <si>
    <t>IIRM-5671</t>
  </si>
  <si>
    <t>footer</t>
  </si>
  <si>
    <t>IIRM-5672</t>
  </si>
  <si>
    <t>Login Page- login section</t>
  </si>
  <si>
    <t>IIRM-5673</t>
  </si>
  <si>
    <t>UI: Implement Policy Enrollment flow static</t>
  </si>
  <si>
    <t>IIRM-5630 — Policy Enrollment</t>
  </si>
  <si>
    <t>IIRM-5674</t>
  </si>
  <si>
    <t>UI: API integration for the policy enrollment flow</t>
  </si>
  <si>
    <t>IIRM-5675</t>
  </si>
  <si>
    <t>UI: API Integration for the Relationship flow</t>
  </si>
  <si>
    <t>IIRM-5676</t>
  </si>
  <si>
    <t>UI: Implementing common component for the enrollment flow</t>
  </si>
  <si>
    <t>IIRM-5677</t>
  </si>
  <si>
    <t xml:space="preserve">Create user Login based on Uploaded Data </t>
  </si>
  <si>
    <t>IIRM-5678</t>
  </si>
  <si>
    <t xml:space="preserve">Dashboard Banner Section design with Static data </t>
  </si>
  <si>
    <t>IIRM-5679</t>
  </si>
  <si>
    <t xml:space="preserve">Dashboard Details section design with Static data </t>
  </si>
  <si>
    <t>IIRM-5680</t>
  </si>
  <si>
    <t xml:space="preserve">Animations for Banner section </t>
  </si>
  <si>
    <t>IIRM-5681</t>
  </si>
  <si>
    <t xml:space="preserve">Animations for Details  section </t>
  </si>
  <si>
    <t>IIRM-5682</t>
  </si>
  <si>
    <t xml:space="preserve">API to fetch the Policies available based on company and Logged in User </t>
  </si>
  <si>
    <t>IIRM-5683</t>
  </si>
  <si>
    <t xml:space="preserve">API to get user details for a logged in user </t>
  </si>
  <si>
    <t>IIRM-5684</t>
  </si>
  <si>
    <t xml:space="preserve">API to Update user details for a logged in user </t>
  </si>
  <si>
    <t>IIRM-5685</t>
  </si>
  <si>
    <t>API to get Policy Configured details for logged in user</t>
  </si>
  <si>
    <t>IIRM-5686</t>
  </si>
  <si>
    <t xml:space="preserve">API to save the data for policy configuration submitted by the user </t>
  </si>
  <si>
    <t>IIRM-5687</t>
  </si>
  <si>
    <t xml:space="preserve">API to save the draft data </t>
  </si>
  <si>
    <t>IIRM-5688</t>
  </si>
  <si>
    <t>Integrations for Policy selction by the logged in user (7 screens )</t>
  </si>
  <si>
    <t>IIRM-5689</t>
  </si>
  <si>
    <t xml:space="preserve">API to Implement Enrollment Management when Employees not using IBP - Directly form HR </t>
  </si>
  <si>
    <t>IIRM-5690</t>
  </si>
  <si>
    <t xml:space="preserve">UI Screen implementation for Enrollment Management when Employees not using IBP - Directly form HR </t>
  </si>
  <si>
    <t>IIRM-5691</t>
  </si>
  <si>
    <t xml:space="preserve">UI Integration for Enrollment Management when Employees not using IBP - Directly form HR </t>
  </si>
  <si>
    <t>IIRM-5692</t>
  </si>
  <si>
    <t>Design- Endorsements</t>
  </si>
  <si>
    <t>IIRM-5693</t>
  </si>
  <si>
    <t xml:space="preserve">Evaluate the integration of Excel enrollment data into database tables </t>
  </si>
  <si>
    <t>IIRM-5694</t>
  </si>
  <si>
    <t xml:space="preserve">Analyse the data intake process for enrollment data </t>
  </si>
  <si>
    <t>IIRM-5695</t>
  </si>
  <si>
    <t>Review and refine the template structure for adding employee intake data</t>
  </si>
  <si>
    <t>IIRM-5696</t>
  </si>
  <si>
    <t>My Documents - UI Designs</t>
  </si>
  <si>
    <t>IIRM-5697</t>
  </si>
  <si>
    <t>Claim history page UI design</t>
  </si>
  <si>
    <t>IIRM-5698</t>
  </si>
  <si>
    <t>If there is no error, the error file should be disabled</t>
  </si>
  <si>
    <t>IIRM-5699</t>
  </si>
  <si>
    <t>The error message should be specific</t>
  </si>
  <si>
    <t>IIRM-5700</t>
  </si>
  <si>
    <t>Modify the cron job to include employee enrollment data</t>
  </si>
  <si>
    <t>IIRM-5701</t>
  </si>
  <si>
    <t xml:space="preserve">Design - Portal Configuration </t>
  </si>
  <si>
    <t>IIRM-794 — SOW#67 - Portal Configuration</t>
  </si>
  <si>
    <t>IIRM-5702</t>
  </si>
  <si>
    <t>My insurance and login page design review and Client meeting</t>
  </si>
  <si>
    <t>IIRM-5703</t>
  </si>
  <si>
    <t>My Insurance Page UI Design - card designs</t>
  </si>
  <si>
    <t>IIRM-5704</t>
  </si>
  <si>
    <t>Policy Dashboard UI Design</t>
  </si>
  <si>
    <t>IIRM-5705</t>
  </si>
  <si>
    <t>Update insurer acknowledgement file label change.</t>
  </si>
  <si>
    <t>IIRM-5706</t>
  </si>
  <si>
    <t>Dashboard redesign &amp; Login Page</t>
  </si>
  <si>
    <t>IIRM-5707</t>
  </si>
  <si>
    <t>My Insurance Page UI Design - Accordion design</t>
  </si>
  <si>
    <t>IIRM-5708</t>
  </si>
  <si>
    <t>Outside development time test, we need to create a screen to check whether the configuration is correct or not.</t>
  </si>
  <si>
    <t>IIRM-5709</t>
  </si>
  <si>
    <t xml:space="preserve"> ''the file is created it will take few mins to process the file"</t>
  </si>
  <si>
    <t>IIRM-5710</t>
  </si>
  <si>
    <t>send email to the owner of the policies</t>
  </si>
  <si>
    <t>IIRM-5711</t>
  </si>
  <si>
    <t>All the primary columns need to be aligned(columns need to be aligned).</t>
  </si>
  <si>
    <t>IIRM-5712</t>
  </si>
  <si>
    <t>Claims corner Page Feedback changes</t>
  </si>
  <si>
    <t>IIRM-5713</t>
  </si>
  <si>
    <t>Icon design review</t>
  </si>
  <si>
    <t>IIRM-5714</t>
  </si>
  <si>
    <t>summarization of the company needs to be their</t>
  </si>
  <si>
    <t>IIRM-5715</t>
  </si>
  <si>
    <t>Backend - Enrollment readiness for Corporate Employees - Auth, etc.</t>
  </si>
  <si>
    <t>IIRM-5716</t>
  </si>
  <si>
    <t>Backend- Create Users &amp; Logins based on Uploaded Data</t>
  </si>
  <si>
    <t>IIRM-5717</t>
  </si>
  <si>
    <t xml:space="preserve">Backend- Process Uploaded Data and DB Storage </t>
  </si>
  <si>
    <t>IIRM-5718</t>
  </si>
  <si>
    <t>IBP: Verified endorsement build and bugs raising</t>
  </si>
  <si>
    <t>IIRM-5719</t>
  </si>
  <si>
    <t>IBP: Endorsement: Verifying QA Ready bugs and endorsement functionality</t>
  </si>
  <si>
    <t>IIRM-5720</t>
  </si>
  <si>
    <t>IBP: Employee data build verified and raised bugs onit</t>
  </si>
  <si>
    <t>IIRM-5721</t>
  </si>
  <si>
    <t>IBP: Endorsement: Verifying QA Ready bugs and verifying Endorsement and raising bugs</t>
  </si>
  <si>
    <t>IIRM-5722</t>
  </si>
  <si>
    <t>IBP: Employee data build received verifying sanity and Preparing testdata of employee data</t>
  </si>
  <si>
    <t>IIRM-5723</t>
  </si>
  <si>
    <t xml:space="preserve">IBP: Endorsement: Verifying QA Ready bugs, validating endorsement feature and testcases updating </t>
  </si>
  <si>
    <t>IIRM-5724</t>
  </si>
  <si>
    <t>IBP- Verifying data intake build</t>
  </si>
  <si>
    <t>IIRM-5725</t>
  </si>
  <si>
    <t>IBP: Endorsement: Verifying functionality and raising bugs</t>
  </si>
  <si>
    <t>IIRM-5726</t>
  </si>
  <si>
    <t xml:space="preserve">IBP: Prepared testdata for employee and verified build on policy configure </t>
  </si>
  <si>
    <t>IIRM-5727</t>
  </si>
  <si>
    <t>IBP: Updating testcases</t>
  </si>
  <si>
    <t>IIRM-5728</t>
  </si>
  <si>
    <t xml:space="preserve">Analyse the template for the data intake for enrollment </t>
  </si>
  <si>
    <t>IIRM-5729</t>
  </si>
  <si>
    <t>.Create a template for the enrollment through Excel</t>
  </si>
  <si>
    <t>IIRM-5730</t>
  </si>
  <si>
    <t>Excel template should have the same choices</t>
  </si>
  <si>
    <t>IIRM-5731</t>
  </si>
  <si>
    <t>User journey: For clients who don't have portal access still IIRM have to do it in a structured format as of they have access to the portal</t>
  </si>
  <si>
    <t>IIRM-5733</t>
  </si>
  <si>
    <t>Review testcases ,updated testplan, test stretagy  Verifying QA Ready bugs on latest build Prepared RTM for policyconfigure"</t>
  </si>
  <si>
    <t>IIRM-5734</t>
  </si>
  <si>
    <t>"Testcycle created for policy configure ZAP report generated"</t>
  </si>
  <si>
    <t>IIRM-5735</t>
  </si>
  <si>
    <t>Worked on policy configure QA build,  Test execution report send</t>
  </si>
  <si>
    <t>IIRM-5736</t>
  </si>
  <si>
    <t>Preparing testcases for employee data and review</t>
  </si>
  <si>
    <t>IIRM-5737</t>
  </si>
  <si>
    <t>IBP - build on employee data verifying</t>
  </si>
  <si>
    <t>IIRM-5738</t>
  </si>
  <si>
    <t>User stories and Acceptance Criteria for CD Management</t>
  </si>
  <si>
    <t>IIRM-5739</t>
  </si>
  <si>
    <t>User stories and Acceptance Criteria for MIR Entry Management</t>
  </si>
  <si>
    <t>IIRM-758 — SOW#31 - MIR Entry Mgmt. (Monthly Information Report)</t>
  </si>
  <si>
    <t>IIRM-5740</t>
  </si>
  <si>
    <t>User stories and Acceptance Criteria for Enrollment Portal</t>
  </si>
  <si>
    <t>IIRM-5741</t>
  </si>
  <si>
    <t>User stories and Acceptance Criteria for Endorsements</t>
  </si>
  <si>
    <t>IIRM-5742</t>
  </si>
  <si>
    <t>Style Establishment</t>
  </si>
  <si>
    <t>IIRM-5743</t>
  </si>
  <si>
    <t>UX- My Insurance Page for Client employee</t>
  </si>
  <si>
    <t>IIRM-5744</t>
  </si>
  <si>
    <t>Dashboard animation and Overlay animation</t>
  </si>
  <si>
    <t>IIRM-5745</t>
  </si>
  <si>
    <t>Design- Landing page for Client employee</t>
  </si>
  <si>
    <t>IIRM-5746</t>
  </si>
  <si>
    <t>Insurance cards design</t>
  </si>
  <si>
    <t>IIRM-5747</t>
  </si>
  <si>
    <t>wellness Benefits section design</t>
  </si>
  <si>
    <t>IIRM-784 — SOW#57 - Basic Wellness Hub</t>
  </si>
  <si>
    <t>IIRM-5748</t>
  </si>
  <si>
    <t>Dashboard redesigns with new sections UI design</t>
  </si>
  <si>
    <t>IIRM-5749</t>
  </si>
  <si>
    <t>Enrollment design changes with new sections addons</t>
  </si>
  <si>
    <t>IIRM-5750</t>
  </si>
  <si>
    <t xml:space="preserve">IBP Initial Setup of Code into Repo </t>
  </si>
  <si>
    <t>IIRM-5752</t>
  </si>
  <si>
    <t>Endorsements</t>
  </si>
  <si>
    <t>IIRM-5753</t>
  </si>
  <si>
    <t>Details Page Fixes</t>
  </si>
  <si>
    <t>IIRM-5754</t>
  </si>
  <si>
    <t>Hospital Network</t>
  </si>
  <si>
    <t>IIRM-5755</t>
  </si>
  <si>
    <t>API Gateway concept in enrollment portal</t>
  </si>
  <si>
    <t>IIRM-5756</t>
  </si>
  <si>
    <t>HR Corner UI Designs</t>
  </si>
  <si>
    <t>IIRM-776 — SOW#49 - HR Portal View</t>
  </si>
  <si>
    <t>IIRM-5757</t>
  </si>
  <si>
    <t>Enrolment page - Policy Cards Designs</t>
  </si>
  <si>
    <t>IIRM-5758</t>
  </si>
  <si>
    <t>Experience design Brainstorming with internal team</t>
  </si>
  <si>
    <t>IIRM-5759</t>
  </si>
  <si>
    <t>API to Upload the Employee data of the Policy to S3</t>
  </si>
  <si>
    <t>IIRM-5760</t>
  </si>
  <si>
    <t>Enrolment flow - Changes and feedback</t>
  </si>
  <si>
    <t>IIRM-5761</t>
  </si>
  <si>
    <t xml:space="preserve">UI to Display the List of Processed data details </t>
  </si>
  <si>
    <t>IIRM-5762</t>
  </si>
  <si>
    <t>Animation landing page and illustration</t>
  </si>
  <si>
    <t>IIRM-5763</t>
  </si>
  <si>
    <t>Futuristic Page with car and flight insurance and personal insurance banner design</t>
  </si>
  <si>
    <t>IIRM-5764</t>
  </si>
  <si>
    <t xml:space="preserve">Dataabase schema analysis for processing the employee data </t>
  </si>
  <si>
    <t>IIRM-5765</t>
  </si>
  <si>
    <t xml:space="preserve">API to Fetch the list of Processed data details </t>
  </si>
  <si>
    <t>IIRM-5766</t>
  </si>
  <si>
    <t xml:space="preserve">Crone to Process employee records from S3 Uploaded file to Database </t>
  </si>
  <si>
    <t>IIRM-5767</t>
  </si>
  <si>
    <t>Experience design dashboard design and internal feedback changes</t>
  </si>
  <si>
    <t>IIRM-5768</t>
  </si>
  <si>
    <t>FAQ page - UI Design</t>
  </si>
  <si>
    <t>IIRM-5769</t>
  </si>
  <si>
    <t xml:space="preserve">API Business logic for Processing the data into Success and Failure records </t>
  </si>
  <si>
    <t>IIRM-5770</t>
  </si>
  <si>
    <t xml:space="preserve">Update the Depenedents List for the processed Employee record </t>
  </si>
  <si>
    <t>IIRM-5771</t>
  </si>
  <si>
    <t xml:space="preserve">Implement the Validations of Employee data at API for the uploaded data </t>
  </si>
  <si>
    <t>IIRM-5772</t>
  </si>
  <si>
    <t>IIRM-5773</t>
  </si>
  <si>
    <t>IBP: Hospital Network Page Redesign - UI</t>
  </si>
  <si>
    <t>IIRM-5774</t>
  </si>
  <si>
    <t>Dashboard illustration Animation</t>
  </si>
  <si>
    <t>IIRM-5775</t>
  </si>
  <si>
    <t>Dashboard illustration tracing</t>
  </si>
  <si>
    <t>IIRM-5776</t>
  </si>
  <si>
    <t>UI Approach2 for Internal Wireframe</t>
  </si>
  <si>
    <t>IIRM-5777</t>
  </si>
  <si>
    <t>IBP: Verification on Policy Configurator</t>
  </si>
  <si>
    <t>IIRM-5778</t>
  </si>
  <si>
    <t>Claims corner edge cases design</t>
  </si>
  <si>
    <t>IIRM-5779</t>
  </si>
  <si>
    <t>Review and Design changes</t>
  </si>
  <si>
    <t>IIRM-5780</t>
  </si>
  <si>
    <t>Design - IBP Portal</t>
  </si>
  <si>
    <t>IIRM-5781</t>
  </si>
  <si>
    <t xml:space="preserve">IBP: Policy Configure: Preparing testcases </t>
  </si>
  <si>
    <t>IIRM-5782</t>
  </si>
  <si>
    <t>UX- HR Corner (Future Scope)</t>
  </si>
  <si>
    <t>IIRM-5783</t>
  </si>
  <si>
    <t>IBP: PolicyConfigure: Preparing testcases</t>
  </si>
  <si>
    <t>IIRM-5784</t>
  </si>
  <si>
    <t>IBP: PolicyConfigure: Preparing flowchart of configurator process</t>
  </si>
  <si>
    <t>IIRM-5785</t>
  </si>
  <si>
    <t>IBP: PolicyConfigure: Verifying Configure API's</t>
  </si>
  <si>
    <t>IIRM-5786</t>
  </si>
  <si>
    <t>IBP: PolicyConfigure: Modifying testcases</t>
  </si>
  <si>
    <t>IIRM-5787</t>
  </si>
  <si>
    <t>UX- Listing Page</t>
  </si>
  <si>
    <t>IIRM-5743 — UX- My Insurance Page for Client employee</t>
  </si>
  <si>
    <t>IIRM-5788</t>
  </si>
  <si>
    <t>UX- Enrollment Details</t>
  </si>
  <si>
    <t>IIRM-5789</t>
  </si>
  <si>
    <t>UX- Enrollment Summary</t>
  </si>
  <si>
    <t>IIRM-5790</t>
  </si>
  <si>
    <t>UX- Landing Page for first time users</t>
  </si>
  <si>
    <t>IIRM-5745 — Design- Landing page for Client employee</t>
  </si>
  <si>
    <t>IIRM-5791</t>
  </si>
  <si>
    <t>UX- Landing page for existing users</t>
  </si>
  <si>
    <t>IIRM-5792</t>
  </si>
  <si>
    <t>IIRM-5793</t>
  </si>
  <si>
    <t>IIRM-5794</t>
  </si>
  <si>
    <t>Analyse and extract endorsement data into an Excel sheet for the insurer</t>
  </si>
  <si>
    <t>IIRM-5752 — Endorsements</t>
  </si>
  <si>
    <t>IIRM-5795</t>
  </si>
  <si>
    <t>Analyse the Database schema for managing Endorsements</t>
  </si>
  <si>
    <t>IIRM-5796</t>
  </si>
  <si>
    <t>Review the template creation process for endorsement data</t>
  </si>
  <si>
    <t>IIRM-5797</t>
  </si>
  <si>
    <t>API to fetch endorsement data for insurer</t>
  </si>
  <si>
    <t>IIRM-5798</t>
  </si>
  <si>
    <t>UI to Display the endorsement stats and upload /download template</t>
  </si>
  <si>
    <t>IIRM-5799</t>
  </si>
  <si>
    <t>Integrate API to display the endorsement stats and download template</t>
  </si>
  <si>
    <t>IIRM-5800</t>
  </si>
  <si>
    <t>Analyse the Database schema for saving the acknowledgement of endorsements from insurer</t>
  </si>
  <si>
    <t>IIRM-5801</t>
  </si>
  <si>
    <t>API to fetch / add endorsement acknowledgments</t>
  </si>
  <si>
    <t>IIRM-5802</t>
  </si>
  <si>
    <t>Tweaks for the database schema based on the overall analysis of the Endorsement UI form to capture the endorsement acknowledgments</t>
  </si>
  <si>
    <t>IIRM-5803</t>
  </si>
  <si>
    <t>Integrate API to capture the endorsement acknowledgments</t>
  </si>
  <si>
    <t>IIRM-5804</t>
  </si>
  <si>
    <t>API to get the stats of the endorsement specific to a policy</t>
  </si>
  <si>
    <t>IIRM-5805</t>
  </si>
  <si>
    <t xml:space="preserve">Endorsement listing page </t>
  </si>
  <si>
    <t>IIRM-5806</t>
  </si>
  <si>
    <t>Hospital List</t>
  </si>
  <si>
    <t>IIRM-5754 — Hospital Network</t>
  </si>
  <si>
    <t>IIRM-5807</t>
  </si>
  <si>
    <t>Hospital Details</t>
  </si>
  <si>
    <t>IIRM-5808</t>
  </si>
  <si>
    <t>UX- Details page Fixes</t>
  </si>
  <si>
    <t>IIRM-5753 — Details Page Fixes</t>
  </si>
  <si>
    <t>IIRM-5809</t>
  </si>
  <si>
    <t>UI- Details page fixes</t>
  </si>
  <si>
    <t>IIRM-5810</t>
  </si>
  <si>
    <t>Approach and research experiential design</t>
  </si>
  <si>
    <t>IIRM-5742 — Style Establishment</t>
  </si>
  <si>
    <t>IIRM-5811</t>
  </si>
  <si>
    <t>Approach 1 with existing client wireframe</t>
  </si>
  <si>
    <t>IIRM-5812</t>
  </si>
  <si>
    <t>login page design and animation</t>
  </si>
  <si>
    <t>IIRM-5813</t>
  </si>
  <si>
    <t xml:space="preserve">wireframe for the dashboard </t>
  </si>
  <si>
    <t>IIRM-5814</t>
  </si>
  <si>
    <t>experiential design approach for the internal wireframe</t>
  </si>
  <si>
    <t>IIRM-5815</t>
  </si>
  <si>
    <t>Defining use case</t>
  </si>
  <si>
    <t>IIRM-5692 — Design- Endorsements</t>
  </si>
  <si>
    <t>IIRM-5816</t>
  </si>
  <si>
    <t>Drafting Design (iteration 1)</t>
  </si>
  <si>
    <t>IIRM-5817</t>
  </si>
  <si>
    <t>Policy dashboard</t>
  </si>
  <si>
    <t>IIRM-5818</t>
  </si>
  <si>
    <t>Add employee/Del endorsement workflow</t>
  </si>
  <si>
    <t>IIRM-5819</t>
  </si>
  <si>
    <t>Create endoresement workflow</t>
  </si>
  <si>
    <t>IIRM-5820</t>
  </si>
  <si>
    <t>UX- My Documents page</t>
  </si>
  <si>
    <t>IIRM-5780 — Design - IBP Portal</t>
  </si>
  <si>
    <t>IIRM-5821</t>
  </si>
  <si>
    <t>UX- History Page</t>
  </si>
  <si>
    <t>IIRM-5822</t>
  </si>
  <si>
    <t>UX- Life events flow</t>
  </si>
  <si>
    <t>IIRM-5823</t>
  </si>
  <si>
    <t xml:space="preserve">Logo management </t>
  </si>
  <si>
    <t xml:space="preserve">IIRM-5701 — Design - Portal Configuration </t>
  </si>
  <si>
    <t>IIRM-5824</t>
  </si>
  <si>
    <t>Policy Linking</t>
  </si>
  <si>
    <t>IIRM-5825</t>
  </si>
  <si>
    <t>Policy Feature</t>
  </si>
  <si>
    <t>IIRM-5826</t>
  </si>
  <si>
    <t>FAQ Management</t>
  </si>
  <si>
    <t>IIRM-5827</t>
  </si>
  <si>
    <t>Utility Management</t>
  </si>
  <si>
    <t>IIRM-5828</t>
  </si>
  <si>
    <t>Claim Process Management</t>
  </si>
  <si>
    <t>IIRM-5829</t>
  </si>
  <si>
    <t xml:space="preserve">Contact Detail Management </t>
  </si>
  <si>
    <t>IIRM-5830</t>
  </si>
  <si>
    <t>Communication management</t>
  </si>
  <si>
    <t>IIRM-5831</t>
  </si>
  <si>
    <t>Enrollment Window Management</t>
  </si>
  <si>
    <t>IIRM-5832</t>
  </si>
  <si>
    <t>User stories and Acceptance Criteria for Enrollment Portal (Client Employee)</t>
  </si>
  <si>
    <t>IIRM-5740 — User stories and Acceptance Criteria for Enrollment Portal</t>
  </si>
  <si>
    <t>IIRM-5833</t>
  </si>
  <si>
    <t>User stories and Acceptance Criteria for Enrollment Portal (Insurance Broker)</t>
  </si>
  <si>
    <t>IIRM-5834</t>
  </si>
  <si>
    <t>In endorsement page convert all the drawers into modal views</t>
  </si>
  <si>
    <t>IIRM-5835</t>
  </si>
  <si>
    <t>IBP: Endorsement: ‘Ready for Endorsement’ Count Incorrect for Large File Uploads (20,000 Records)</t>
  </si>
  <si>
    <t>IIRM-5836</t>
  </si>
  <si>
    <t>IBP: PolicyConfiguration: UI : Alignments were incorrect</t>
  </si>
  <si>
    <t>IIRM-5837</t>
  </si>
  <si>
    <t>IBP: Endorsement : Invalid effective date shown on error file</t>
  </si>
  <si>
    <t>IIRM-5838</t>
  </si>
  <si>
    <t>IBP: Endorsement: marital status parameter functionality not working</t>
  </si>
  <si>
    <t>IIRM-5839</t>
  </si>
  <si>
    <t>IBP: Manage endorsement : Search functionality not working</t>
  </si>
  <si>
    <t>IIRM-5840</t>
  </si>
  <si>
    <t xml:space="preserve">IBP- PolicyConfigure: Min age validation missing </t>
  </si>
  <si>
    <t>IIRM-5841</t>
  </si>
  <si>
    <t>IBP: Endorsement: Endorsement functionality not working</t>
  </si>
  <si>
    <t>IIRM-5842</t>
  </si>
  <si>
    <t>IBP: Enrollment: Dependencies can be restrict with designation and CTC</t>
  </si>
  <si>
    <t>IIRM-5843</t>
  </si>
  <si>
    <t>IBP: Endorsement: Uploaded file not able to view on dashboard</t>
  </si>
  <si>
    <t>IIRM-5844</t>
  </si>
  <si>
    <t>IBP: Endorsement: Fake data template shown invalid data for relationship parameter</t>
  </si>
  <si>
    <t>IIRM-5845</t>
  </si>
  <si>
    <t>IBP: Employeedata: Enrollment template upload functionality not working</t>
  </si>
  <si>
    <t>IIRM-5846</t>
  </si>
  <si>
    <t>IBP: TPA : Once endorsement file got successful, track endorsement is not getting updated.</t>
  </si>
  <si>
    <t>IIRM-5847</t>
  </si>
  <si>
    <t>IBP: CD: CD balance empty showing on policy header</t>
  </si>
  <si>
    <t>IIRM-5848</t>
  </si>
  <si>
    <t>IBP: PolicyConfigure: Custom range field restricts input to 3 digits, preventing entry of larger values</t>
  </si>
  <si>
    <t>IIRM-5849</t>
  </si>
  <si>
    <t>IBP: File upload: Only Excel Files should accept — Non-Excel Formats gets Restricted</t>
  </si>
  <si>
    <t>IIRM-5850</t>
  </si>
  <si>
    <t>IBP Endorsement: ‘Ready for Endorsement’ Count Underreports on 1000-Record Upload</t>
  </si>
  <si>
    <t>IIRM-5851</t>
  </si>
  <si>
    <t>IBP: TPA: TPA Data count should get updated after TPA file upload</t>
  </si>
  <si>
    <t>IIRM-5852</t>
  </si>
  <si>
    <t>IBP: PolicyConfigure: Provided years on constraints stage not maintains after approval</t>
  </si>
  <si>
    <t>IIRM-5853</t>
  </si>
  <si>
    <t>IBP: employeeData: For dependencies CTC error should not shown</t>
  </si>
  <si>
    <t>IIRM-5854</t>
  </si>
  <si>
    <t>IBP: EmployeeData: More than one same relation type cant be accept</t>
  </si>
  <si>
    <t>IIRM-5855</t>
  </si>
  <si>
    <t>IBP: EmployeeData: Invalid Error file shown on employee data upload</t>
  </si>
  <si>
    <t>IIRM-5856</t>
  </si>
  <si>
    <t>IBP: PolicyConfigure: Policy status is not updating to Active, on configure status is live.</t>
  </si>
  <si>
    <t>IIRM-5857</t>
  </si>
  <si>
    <t>IBP: Endorsement: 2 records were getting triggered on error file for same dependency</t>
  </si>
  <si>
    <t>IIRM-5858</t>
  </si>
  <si>
    <t>IBP: Endorsement: File Upload: Unexpected Double Pop‑Up Appears Post‑Upload</t>
  </si>
  <si>
    <t>IIRM-5859</t>
  </si>
  <si>
    <t>IBP: EmployeeData: Valid Date of Birth (DOB) triggers incorrect validation error message</t>
  </si>
  <si>
    <t>IIRM-5860</t>
  </si>
  <si>
    <t>IBP: Track Endorsement: Ack received date, uploaded by, Endorsement type not getting updated on track endorsement</t>
  </si>
  <si>
    <t>IIRM-5861</t>
  </si>
  <si>
    <t>IBP: Endorsement: Grade Parameter: Endorsement functionality not working</t>
  </si>
  <si>
    <t>IIRM-5862</t>
  </si>
  <si>
    <t>IBP: Insurerack &amp; TPA upload: Drag and drop functionality not working</t>
  </si>
  <si>
    <t>IIRM-5863</t>
  </si>
  <si>
    <t>IBP: Endorsement: Remove Serial no column on downloaded endorsement file</t>
  </si>
  <si>
    <t>IIRM-5864</t>
  </si>
  <si>
    <t>IBP: Insurer ack &amp; TPA : Multiple files were getting uploaded , file is not getting replaced on file re-upload process</t>
  </si>
  <si>
    <t>IIRM-5865</t>
  </si>
  <si>
    <t>IBP: CD: NEFT, RTGS should be in upper case</t>
  </si>
  <si>
    <t>IIRM-5866</t>
  </si>
  <si>
    <t>IBP: Endorsement: Disable the future dates, if future dates were restricted</t>
  </si>
  <si>
    <t>IIRM-5867</t>
  </si>
  <si>
    <t>IBP: Endorsement: Designation Parameter: File Upload Count Remains ‘Not Started’ Instead of Transitioning to ‘Ready for Endorsement’”</t>
  </si>
  <si>
    <t>IIRM-5868</t>
  </si>
  <si>
    <t>IBP: DOJ is getting empty on endorsement file</t>
  </si>
  <si>
    <t>IIRM-5869</t>
  </si>
  <si>
    <t>IBP: Endorsement: MaritualStatus Parameter: File Upload Count Remains ‘Not Started’ Instead of Transitioning to ‘Ready for Endorsement’”</t>
  </si>
  <si>
    <t>IIRM-5870</t>
  </si>
  <si>
    <t>IBP: Endorsement: RelationShip Parameter: File Upload Count Remains ‘Not Started’ Instead of Transitioning to ‘Ready for Endorsement’”</t>
  </si>
  <si>
    <t>IIRM-5871</t>
  </si>
  <si>
    <t>IBP: PolicyConfigure: Validation error should show when 'Parental Policy' is selected and user clicks Next</t>
  </si>
  <si>
    <t>IIRM-5872</t>
  </si>
  <si>
    <t>IBP: Endorsement : Instead of Employee Number , Employee ID should be shown</t>
  </si>
  <si>
    <t>IIRM-5873</t>
  </si>
  <si>
    <t>IBP: Policy: Policy is not reflecting on manage policies Error thrown : Socket hangup</t>
  </si>
  <si>
    <t>IIRM-5875</t>
  </si>
  <si>
    <t>IBP: TPA: Yet to receive TPA count not getting updated on " Need your attention " card</t>
  </si>
  <si>
    <t>IIRM-5876</t>
  </si>
  <si>
    <t>IBP: Endorsement: Added dependents not showing on endorsement file</t>
  </si>
  <si>
    <t>IIRM-5877</t>
  </si>
  <si>
    <t>IBP: Enrollment: Uploaded data not reflecting on UI</t>
  </si>
  <si>
    <t>IIRM-5878</t>
  </si>
  <si>
    <t>IBP: Endorsement: CustomRange Parameter: Proper remarks should shown on error file</t>
  </si>
  <si>
    <t>IIRM-5879</t>
  </si>
  <si>
    <t>IBP: Endorsement: Dependency deletion functionality not working</t>
  </si>
  <si>
    <t>IIRM-5880</t>
  </si>
  <si>
    <t>IBP: PolicyConfigure: Field error message should not get change</t>
  </si>
  <si>
    <t>IIRM-5881</t>
  </si>
  <si>
    <t>IBP: CD: Empty field shown on Placement slip generation for existing account if opening balance is 0</t>
  </si>
  <si>
    <t>IIRM-5882</t>
  </si>
  <si>
    <t>IBP: CD: Empty transaction details showing on Debit process(CD details)</t>
  </si>
  <si>
    <t>IIRM-5883</t>
  </si>
  <si>
    <t>IBP:CD: Reference type dropdown not matching with spec</t>
  </si>
  <si>
    <t>IIRM-5884</t>
  </si>
  <si>
    <t>IBP: CD : CD balance not updating after adding via 'Add CD Balance' option</t>
  </si>
  <si>
    <t>IIRM-5885</t>
  </si>
  <si>
    <t>IBP: PolicyConfigure: "-" Value Not Removing Field and Should Be Hidden When only one Field is available</t>
  </si>
  <si>
    <t>IIRM-5886</t>
  </si>
  <si>
    <t>IBP: PolicyConfigure: "0" Value Should Not Be Accepted or Saved in SI Fields</t>
  </si>
  <si>
    <t>IIRM-5887</t>
  </si>
  <si>
    <t>IBP: PolicyConfigure: Mandatory Field Validation Message Not Displayed Below the Field</t>
  </si>
  <si>
    <t>IIRM-5888</t>
  </si>
  <si>
    <t>IBP: API: PolicyConfigure: PUT API Response Successful but Data Not Reflected on UI</t>
  </si>
  <si>
    <t>IIRM-5889</t>
  </si>
  <si>
    <t>IBP: API: PolicyConfig: Get By Policy ID API Returns 400 Bad Request</t>
  </si>
  <si>
    <t>IIRM-5890</t>
  </si>
  <si>
    <t>IBP: API: PolicyConfigure: Get By PolicyConfigurator ID API Returns 404 not found</t>
  </si>
  <si>
    <t>IIRM-5891</t>
  </si>
  <si>
    <t>IBP: PolicyConfigure: Empty details shown on CD details page</t>
  </si>
  <si>
    <t>IIRM-5892</t>
  </si>
  <si>
    <t>IBP: CD Account: Endorsement: Unable to download endorsement file</t>
  </si>
  <si>
    <t>IIRM-5893</t>
  </si>
  <si>
    <t>IBP: Policy Dashboard: Duplicate endorsement track record is getting added on file download fail</t>
  </si>
  <si>
    <t>IIRM-5894</t>
  </si>
  <si>
    <t>IBP: DataInTake: Employee data template not triggered after policy configuration is activated</t>
  </si>
  <si>
    <t>IIRM-5895</t>
  </si>
  <si>
    <t>IBP: Policy Configure: Saved Breadcrumb Data Displayed Incorrectly on Reopening Policy – Not Navigating to Unsaved/Next Stage</t>
  </si>
  <si>
    <t>IIRM-5896</t>
  </si>
  <si>
    <t>IBP: Policy configure: Policy components: Invalid SI Values Accepted – Missing Min/Max Validation</t>
  </si>
  <si>
    <t>IIRM-5897</t>
  </si>
  <si>
    <t>IBP: Policy configure: Policy components: Mandatory Symbol Missing for Required Fields</t>
  </si>
  <si>
    <t>IIRM-5898</t>
  </si>
  <si>
    <t>IBP: Policy Configure: Policy components: Commas Not Auto-Applying While Typing</t>
  </si>
  <si>
    <t>IIRM-5899</t>
  </si>
  <si>
    <t>IBP: Policy configure: Policy Template: Sequence column not properly aligned</t>
  </si>
  <si>
    <t>IIRM-5900</t>
  </si>
  <si>
    <t>IBP: Policy Configure: Policy relationships: Validation Missing for Spouse/Partner Type – Multiple Checkboxes Allowed</t>
  </si>
  <si>
    <t>IIRM-5901</t>
  </si>
  <si>
    <t>IBP: Policy configure: Policy relationships: Max Number Field Not Reset to default state on Checkbox Deselect</t>
  </si>
  <si>
    <t>IIRM-5902</t>
  </si>
  <si>
    <t>IBP: Policy Configure: Policy choices: UI is not user friendly</t>
  </si>
  <si>
    <t>IIRM-5903</t>
  </si>
  <si>
    <t>IBP: Policy configure: Policy choices: Remove shortcut words on policy choices stage</t>
  </si>
  <si>
    <t>IIRM-5904</t>
  </si>
  <si>
    <t>IBP: Policy configure: Constraints &amp;Final Review: Age limit not restricted</t>
  </si>
  <si>
    <t>IIRM-5905</t>
  </si>
  <si>
    <t>IBP: EnrollmentTemplate: File upload is getting rejected with valid data</t>
  </si>
  <si>
    <t>IIRM-5906</t>
  </si>
  <si>
    <t>IBP: EnrollmentTemplate: Failed status file not displayed after enrollment file upload</t>
  </si>
  <si>
    <t>IIRM-5907</t>
  </si>
  <si>
    <t>IBP: Policy configure: Policy list: Rejected Status Still Displayed on Configuration Status After Policy Approval</t>
  </si>
  <si>
    <t>IIRM-5908</t>
  </si>
  <si>
    <t>IBP: EmployeeData: Invalid DOB shown on error file and DOB validation missing</t>
  </si>
  <si>
    <t>IIRM-5909</t>
  </si>
  <si>
    <t>IBP: EmployeeData: 400 thrown on Employee data</t>
  </si>
  <si>
    <t>IIRM-5910</t>
  </si>
  <si>
    <t>IBP: EmployeeData: File upload not returns as success status with valid data</t>
  </si>
  <si>
    <t>IIRM-5911</t>
  </si>
  <si>
    <t>IBP: API: PolicyConfigure: API Response Successful but Data Not Reflected on UI</t>
  </si>
  <si>
    <t>IIRM-5912</t>
  </si>
  <si>
    <t>IBP:API: PolicyConfigure: Duplicate API Request with Same Payload Incorrectly Returns 'Created Successfully'</t>
  </si>
  <si>
    <t>IIRM-5913</t>
  </si>
  <si>
    <t>IBP: PolicyConfigure: Error message 'Oops! Something went wrong' displayed on navigating from View Configure to Policy Components</t>
  </si>
  <si>
    <t>IIRM-5914</t>
  </si>
  <si>
    <t>IBP: Policy: empty policy number shown on UI</t>
  </si>
  <si>
    <t>IIRM-5915</t>
  </si>
  <si>
    <t>IBP: EmployeeData: Employee data is getting ingesting with empty intake type</t>
  </si>
  <si>
    <t>IIRM-5916</t>
  </si>
  <si>
    <t>IBP: EmployeeData: Employee data is getting ingested with empty name type</t>
  </si>
  <si>
    <t>IIRM-5917</t>
  </si>
  <si>
    <t>IBP: EmployeeData: Employee data is getting ingested with empty gender type dependency</t>
  </si>
  <si>
    <t>IIRM-5918</t>
  </si>
  <si>
    <t>IBP: EmployeeData: Employee data is getting ingested with empty mobile number type</t>
  </si>
  <si>
    <t>IIRM-5919</t>
  </si>
  <si>
    <t>IBP: EmployeeData: Data is getting uploaded with empty CTC , error not thrown</t>
  </si>
  <si>
    <t>IIRM-5920</t>
  </si>
  <si>
    <t>IBP: Employeedata: File upload takes excessive time to reflect on UI and lacks delay message</t>
  </si>
  <si>
    <t>IIRM-5921</t>
  </si>
  <si>
    <t xml:space="preserve">IBP: PolicyConfigure:  Age validations missing on PolicyRelationships , Policy Parameters, </t>
  </si>
  <si>
    <t>IIRM-5922</t>
  </si>
  <si>
    <t>IBP: EmployeeData: For empty data row upload error thrown</t>
  </si>
  <si>
    <t>IIRM-5923</t>
  </si>
  <si>
    <t>IBP: Employeedata: Database error encountered during upload of 1000-event data file</t>
  </si>
  <si>
    <t>IIRM-5924</t>
  </si>
  <si>
    <t>IBP: EmployeeData: Invalid Date text shown in Date column</t>
  </si>
  <si>
    <t>IIRM-5925</t>
  </si>
  <si>
    <t>IBP: EmployeeData: Dependencies data upload fails when using separate file – error thrown</t>
  </si>
  <si>
    <t>IIRM-5926</t>
  </si>
  <si>
    <t>IBP: PolicyConfigure: Typo error on "PolicyDefinition" text and duplicate tabs</t>
  </si>
  <si>
    <t>IIRM-5927</t>
  </si>
  <si>
    <t>IBP: EmployeeData: Incorrect no.of records shown on UI</t>
  </si>
  <si>
    <t>IIRM-5928</t>
  </si>
  <si>
    <t xml:space="preserve">IBP: Endorsement: Relationship parameter policy endorsement functionality not working error thrown "Invalid choices are mapped to this employee for this policy. Please verify." </t>
  </si>
  <si>
    <t>IIRM-5929</t>
  </si>
  <si>
    <t>IBP: PolicyConfigure: Previous Partner Age Values Displayed by Default When "Another Relationship" Checkbox is Selected</t>
  </si>
  <si>
    <t>IIRM-5930</t>
  </si>
  <si>
    <t>IBP: TPA: Upload TPA IDs: File Is Ingested Without Required ‘TPA ID’ Column</t>
  </si>
  <si>
    <t>IIRM-5931</t>
  </si>
  <si>
    <t>IBP: Endorsement: Error thrown "Invalid choices are mapped to this employee for this policy. Please verify "on endorsement file upload</t>
  </si>
  <si>
    <t>IIRM-5932</t>
  </si>
  <si>
    <t>IBP: Endorsement : Empty Topup sum insured column showing on endorsement file</t>
  </si>
  <si>
    <t>IIRM-5933</t>
  </si>
  <si>
    <t>IBP: Endorsement: Download failed error thrown for 4000 employees</t>
  </si>
  <si>
    <t>IIRM-5934</t>
  </si>
  <si>
    <t>IBP: endorsement: Error on file upload with Age parameter</t>
  </si>
  <si>
    <t>IIRM-5935</t>
  </si>
  <si>
    <t>IBP: EmployeeData: Duplicate employee data tab shown on policy details</t>
  </si>
  <si>
    <t>IIRM-5936</t>
  </si>
  <si>
    <t>IBP: Endorsement: Invalid remarks shown for invalid data</t>
  </si>
  <si>
    <t>IIRM-5937</t>
  </si>
  <si>
    <t>IBP- Endorsement: Invalid DOB shown on Error file</t>
  </si>
  <si>
    <t>IIRM-5938</t>
  </si>
  <si>
    <t>IBP: Endorsement: Gender parameter policy endorsement fucntionality not working</t>
  </si>
  <si>
    <t>IIRM-5939</t>
  </si>
  <si>
    <t xml:space="preserve">IBP: EmployeeData: Validation should trigger for current year </t>
  </si>
  <si>
    <t>IIRM-5940</t>
  </si>
  <si>
    <t>IBP: Endorsement: Endorsement file upload fails when 2 parents are provided and 1 is deleted in the same file, despite only single parent being allowed</t>
  </si>
  <si>
    <t>IIRM-5941</t>
  </si>
  <si>
    <t>IBP: EmployeeData: Template API is getting failed, even if data is not present</t>
  </si>
  <si>
    <t>IIRM-5942</t>
  </si>
  <si>
    <t>IBP: Endorsement: file upload validation message should get change</t>
  </si>
  <si>
    <t>IIRM-5943</t>
  </si>
  <si>
    <t>IBP: PolicyConfigure: Verify Owner of the policy is able to update the policy configuration.</t>
  </si>
  <si>
    <t>IIRM-5944</t>
  </si>
  <si>
    <t>IBP: SanityLevel: PolicyTemplate: Verify Policy Template screen loads correctly.</t>
  </si>
  <si>
    <t>IIRM-5945</t>
  </si>
  <si>
    <t>IBP: PolicyConfigure: Verify Policy Configurator is disabled for inactive policies, for policies where current user is not the owner and submitted policies</t>
  </si>
  <si>
    <t>IIRM-5946</t>
  </si>
  <si>
    <t>IBP: PolicyConfigure: verify validations for each of the types covering only the default options</t>
  </si>
  <si>
    <t>IIRM-5947</t>
  </si>
  <si>
    <t>IBP: PolicyConfigure: Verify Configure policies of all supported types</t>
  </si>
  <si>
    <t>IIRM-5948</t>
  </si>
  <si>
    <t>IBP: PolicyConfigure: Verify Configure policies of all supported types and validations for each of the types covering age bands</t>
  </si>
  <si>
    <t>IIRM-5949</t>
  </si>
  <si>
    <t>IBP: PolicyConfigure: Verify Configure policies of all supported types and validations for each of the relationship types</t>
  </si>
  <si>
    <t>IIRM-5950</t>
  </si>
  <si>
    <t>IBP: PolicyConfigure: verify Configure set of complex policies with combinations of all supported parameters</t>
  </si>
  <si>
    <t>IIRM-5951</t>
  </si>
  <si>
    <t>IBP: PolicyConfigure: verify validations for each of the types covering multiple sum insured options - SI, CTC, etc. using non-default options</t>
  </si>
  <si>
    <t>IIRM-5952</t>
  </si>
  <si>
    <t>IBP: SanityLevel: PolicyTemplate: Validate Policy Template Screen Loading, Field Inputs, Radio Button Functionality, and Navigation Buttons</t>
  </si>
  <si>
    <t>IIRM-5953</t>
  </si>
  <si>
    <t>IBP:SanityLevel: PolicyRelationship: Verify Policy Relationships screen loads correctly.</t>
  </si>
  <si>
    <t>IIRM-5954</t>
  </si>
  <si>
    <t>IBP: SanityLevel: PolicyRelationship: Validate Policy Relationships Screen Defaults, Field Inputs, Checkbox Functionality, and Navigation Buttons</t>
  </si>
  <si>
    <t>IIRM-5955</t>
  </si>
  <si>
    <t>IBP: SanityLevel: PolicyParameter: Verify Policy Parameters screen loads correctly.</t>
  </si>
  <si>
    <t>IIRM-5960</t>
  </si>
  <si>
    <t>IBP: SanityLevel: PolicyParameter: Validate Policy Parameters Screen: Parameter Addition, Saving, and Navigation</t>
  </si>
  <si>
    <t>IIRM-5961</t>
  </si>
  <si>
    <t>IBP: SanityLevel: PolicyChoices: Verify Policy Choices screen loads correctly.</t>
  </si>
  <si>
    <t>IIRM-5962</t>
  </si>
  <si>
    <t>IBP: SanityLevel: PolicyChoices:  Validate Policy Choices Screen: Component Selection, Checkboxes, Saving, and Navigation</t>
  </si>
  <si>
    <t>IIRM-5963</t>
  </si>
  <si>
    <t>IBP: SanityLevel: Constraints: Verify "Constraints &amp; Final Review" screen loads correctly.</t>
  </si>
  <si>
    <t>IIRM-5964</t>
  </si>
  <si>
    <t>IBP: SanityLevel: Constraints: Validate Constraints &amp; Final Review Screen: Field Inputs, Radio Buttons, Saving, and Navigation</t>
  </si>
  <si>
    <t>IIRM-5965</t>
  </si>
  <si>
    <t>IBP:UIValidation: PoliyComponent: Validate "Sequence (Seq)" Field: Required, Numeric, Positive Integer, and Uniqueness Rules</t>
  </si>
  <si>
    <t>IIRM-5966</t>
  </si>
  <si>
    <t>IBP: UIValidation: PolicyComponent: Verify default selection for Yes/No radio buttons on screen load.</t>
  </si>
  <si>
    <t>IIRM-5967</t>
  </si>
  <si>
    <t>IBP: UIvalidation: PolicyComponent: Verify add-on component checkboxes can be checked/unchecked.</t>
  </si>
  <si>
    <t>IIRM-5968</t>
  </si>
  <si>
    <t>IBP: UIValidation: PolicyComponent: Verify 'Display Label' respects maximum character limit.</t>
  </si>
  <si>
    <t>IIRM-5969</t>
  </si>
  <si>
    <t>IBP: UIvalidation: PolicyComponent: Verify all applicable validation rules are enforced upon clicking 'Save'.</t>
  </si>
  <si>
    <t>IIRM-5972</t>
  </si>
  <si>
    <t>IBP: EmployeeData: Verify Error validation file should generate , if dependencies were added without self</t>
  </si>
  <si>
    <t>IIRM-5973</t>
  </si>
  <si>
    <t>IBP: EmployeeData: Verify bulk employees data can upload  with their dependencies</t>
  </si>
  <si>
    <t>IIRM-5974</t>
  </si>
  <si>
    <t>IBP: EmployeeData: Verify Download functionality for rejected data</t>
  </si>
  <si>
    <t>IIRM-5975</t>
  </si>
  <si>
    <t>IBP: EmployeeData: Verify DOB should not contain present day</t>
  </si>
  <si>
    <t>IIRM-5976</t>
  </si>
  <si>
    <t>IBP: EmployeeData: Verify validation on data file contains more than one same relation type</t>
  </si>
  <si>
    <t>IIRM-5977</t>
  </si>
  <si>
    <t>IBP: EmployeeData: Verify validations on employee data file upload for DOB, Gender, Email, Phno.</t>
  </si>
  <si>
    <t>IIRM-5978</t>
  </si>
  <si>
    <t>IBP: EmployeeData: Verify proper remarks should be shown on error file</t>
  </si>
  <si>
    <t>IIRM-5979</t>
  </si>
  <si>
    <t>IBP: EmployeeData: Verify null intake on file upload should get rejected</t>
  </si>
  <si>
    <t>IIRM-5980</t>
  </si>
  <si>
    <t>IBP: EmployeeData: Verify on error file, all columns data should get match with uploaded data</t>
  </si>
  <si>
    <t>IIRM-5981</t>
  </si>
  <si>
    <t>IBP: EmployeeData: Verify all columns data on employee data page, should get properly generated after file upload</t>
  </si>
  <si>
    <t>IIRM-5982</t>
  </si>
  <si>
    <t>IBP: EmployeeData: Verify Employee data should get rejected, if already existing data is getting uploaded with proper remarks</t>
  </si>
  <si>
    <t>IIRM-5984</t>
  </si>
  <si>
    <t>IBP: CD: Verify CD amount for new account in policy dashboard</t>
  </si>
  <si>
    <t>IIRM-5985</t>
  </si>
  <si>
    <t>IBP: CD: Verify CD balance credited on endorsement file uploaded with deletion of employees/Dependencies</t>
  </si>
  <si>
    <t>IIRM-5986</t>
  </si>
  <si>
    <t>IBP: CD: Verify CD amount for existing account in policy dashboard</t>
  </si>
  <si>
    <t>IIRM-5990</t>
  </si>
  <si>
    <t>IBP: CD: Verify endorsement without sufficient CD balance</t>
  </si>
  <si>
    <t>IIRM-5991</t>
  </si>
  <si>
    <t>IBP: CD: Verify validation on policy dashboard, CD amount is less than premium amount</t>
  </si>
  <si>
    <t>IIRM-5992</t>
  </si>
  <si>
    <t>IBP: CD: Verify Credit and Debit actions were getting reflect on CD details tab</t>
  </si>
  <si>
    <t>IIRM-5993</t>
  </si>
  <si>
    <t>IBP: CD: Verify CD amount reduced on Endorsement file upload with Ingestion/Addition of employees</t>
  </si>
  <si>
    <t>IIRM-5994</t>
  </si>
  <si>
    <t>IBP: CD: Verify CD amount is equal to premium amount</t>
  </si>
  <si>
    <t>IIRM-5995</t>
  </si>
  <si>
    <t>IBP: CD: Verify CD amount less than premium amount</t>
  </si>
  <si>
    <t>IIRM-5996</t>
  </si>
  <si>
    <t>IBP: PolicyConfigure: BasePolicy: Verify SI Amount Field Functionality for Flat Sum Insured Model</t>
  </si>
  <si>
    <t>IIRM-5997</t>
  </si>
  <si>
    <t>IBP: Policyconfigure: BasePolicy: Verify Premium Calculation Behavior When 'Per Family' Option is Selected</t>
  </si>
  <si>
    <t>IIRM-6000</t>
  </si>
  <si>
    <t>IBP: PolicyConfigure: BasePolicy: Verify Mid-Year Enrollment Toggle, Default State and SI Visibility Toggles Behavior for Base Policy</t>
  </si>
  <si>
    <t>IIRM-6001</t>
  </si>
  <si>
    <t>IBP: PolicyConfigure: BasePolicy: Verify Max Number Field Accepts Valid Input for Each Relationship Type in Base Policy</t>
  </si>
  <si>
    <t>IIRM-6002</t>
  </si>
  <si>
    <t>IBP: PolicyConfigure: BasePolicy: Verify Min and Max Age Limit for Permitted Relations Configured Under Base Policy</t>
  </si>
  <si>
    <t>IIRM-6003</t>
  </si>
  <si>
    <t>IBP: PolicyConfigure: BasePolicy: Verify Dropdown List Displays All Available Policy Parameters for Base Policy</t>
  </si>
  <si>
    <t>IIRM-6004</t>
  </si>
  <si>
    <t>IBP: PolicyConfigure: BasePolicy: Verify Range Display and Min/Max Fields Functionality Upon Selecting a Policy Parameter</t>
  </si>
  <si>
    <t>IIRM-6005</t>
  </si>
  <si>
    <t>IBP: PolicyConfigure: BasePolicy: Verify Configuration of Base Policy with Sum Insured, Availability, Default Selection, and Contributions</t>
  </si>
  <si>
    <t>IIRM-6006</t>
  </si>
  <si>
    <t>IBP: PolicyConfigure: BasePolicy: Verify Final Review Constraints in Base Policy for GPA, GTL, GMC</t>
  </si>
  <si>
    <t>IIRM-6007</t>
  </si>
  <si>
    <t>IBP: CD: Verify CD balance is getting updated on CD details and CD balance card after adding via 'Add CD Balance' option</t>
  </si>
  <si>
    <t>IIRM-6008</t>
  </si>
  <si>
    <t>IBP: Policy Configure: Verify Policy configure for Base +Optional policy</t>
  </si>
  <si>
    <t>IIRM-6009</t>
  </si>
  <si>
    <t>IBP: Policy Configure: Verify Policy configure for Base +Parental+Optional policy</t>
  </si>
  <si>
    <t>IIRM-6010</t>
  </si>
  <si>
    <t>IBP: Policy Configure: Verify policy configure for Base +parental policy</t>
  </si>
  <si>
    <t>IIRM-6011</t>
  </si>
  <si>
    <t>IBP: Policy Configure: Verify policy configure for Base policy</t>
  </si>
  <si>
    <t>IIRM-6012</t>
  </si>
  <si>
    <t>IBP: Policy Configure: Verify policy configure for other policy types</t>
  </si>
  <si>
    <t>IIRM-6014</t>
  </si>
  <si>
    <t>IBP: PolicyConfigure: Verify Configure policy to be paid in installments</t>
  </si>
  <si>
    <t>IIRM-6015</t>
  </si>
  <si>
    <t>IBP: PolicyConfigure: Verify policy using GST flag and verify that relevant messages are displayed.</t>
  </si>
  <si>
    <t>IIRM-6016</t>
  </si>
  <si>
    <t>IBP: PolicyConfigure: Verify policy configuration validations from admin side</t>
  </si>
  <si>
    <t>IIRM-6017</t>
  </si>
  <si>
    <t>IBP: PolicyConfigure: Verify Reconfigure existing policy to update ages and see its impact on the premium logic</t>
  </si>
  <si>
    <t>IIRM-6018</t>
  </si>
  <si>
    <t>IBP: PolicyConfigure: Verify Enable re-enrollment in the mid year for life events</t>
  </si>
  <si>
    <t>IIRM-6019</t>
  </si>
  <si>
    <t>IBP: PolicyConfigure: Verify policy linking with other active policies</t>
  </si>
  <si>
    <t>IIRM-6020</t>
  </si>
  <si>
    <t>IBP: PolicyConfigure: Verify activate button for inactive / expired policies</t>
  </si>
  <si>
    <t>IIRM-6021</t>
  </si>
  <si>
    <t>IBP: PolicyConfigure: Verify active button for configured policies</t>
  </si>
  <si>
    <t>IIRM-6022</t>
  </si>
  <si>
    <t>IBP: PolicyConfigure: Verify UI for all stages before submit and after submit</t>
  </si>
  <si>
    <t>IIRM-6023</t>
  </si>
  <si>
    <t>IBP: PolicyConfigure: Verify commas for all numeric fields</t>
  </si>
  <si>
    <t>IIRM-6024</t>
  </si>
  <si>
    <t>IBP: EmployeeData: Verify employee data can be uploaded for GMC, GTL, GPA</t>
  </si>
  <si>
    <t>IIRM-6025</t>
  </si>
  <si>
    <t>IBP: EmployeeData: Verify employee data template can be upload policy types( apart of GPA,GMC, GTL)</t>
  </si>
  <si>
    <t>IIRM-6026</t>
  </si>
  <si>
    <t>IBP: EmployeeData: Verify generated error file can be uploaded by removing remarks column</t>
  </si>
  <si>
    <t>IIRM-6027</t>
  </si>
  <si>
    <t>IBP: Endorsement: Verify Functionality of Ins ACK and Upload TPA's should get work from Manage service</t>
  </si>
  <si>
    <t>IIRM-6028</t>
  </si>
  <si>
    <t>IBP: Endorsement: Verify list of endorsements were displayed under manage service</t>
  </si>
  <si>
    <t>IIRM-6029</t>
  </si>
  <si>
    <t>IBP: HLT: PolicyConfigure: Verify that the system allows selecting an active policy and correctly associates all configuration changes with it.</t>
  </si>
  <si>
    <t>IIRM-6030</t>
  </si>
  <si>
    <t>IBP: HLT: PolicyConfigure: Verify that the system ensures only a single policy type can be selected and that this selection is accurately reflected and saved.</t>
  </si>
  <si>
    <t>IIRM-6031</t>
  </si>
  <si>
    <t>IBP:HTL: Policy Configure: Verify that the system allows for the creation, modification, and deletion of custom age bands while enforcing non-overlapping ranges.</t>
  </si>
  <si>
    <t>IIRM-6032</t>
  </si>
  <si>
    <t>IBP: HLT: Policy Configure: Verify that the system correctly restricts the relationships applicable in a policy to only those selected from a master list.</t>
  </si>
  <si>
    <t>IIRM-6033</t>
  </si>
  <si>
    <t>IBP: UIvalidation: PolicyTemplate:Validate "Sum Insured Model" Radio Buttons Rendering, Initial State, Selection Behavior, and Event Handling</t>
  </si>
  <si>
    <t>IIRM-6034</t>
  </si>
  <si>
    <t>IBP: UIValidation: PolicyRelationship: Validate "Show Company Contribution" Checkbox Rendering, Initial State, Toggling, and Event Handling</t>
  </si>
  <si>
    <t>IIRM-6035</t>
  </si>
  <si>
    <t>IBP: HLT: Policy Configure: Verify that the system allows defining minimum and maximum age limits for selected relationships and enforces valid age ranges.</t>
  </si>
  <si>
    <t>IIRM-6036</t>
  </si>
  <si>
    <t>IBP: HLT: Policy Configure: Verify that the system allows setting and enforcing limits for people per relationship and the total family size.</t>
  </si>
  <si>
    <t>IIRM-6037</t>
  </si>
  <si>
    <t>IBP: HLT: Policy Configure: Verify that the system supports the creation of multiple relationship groups and the association of selected relationships within these groups.</t>
  </si>
  <si>
    <t>IIRM-6038</t>
  </si>
  <si>
    <t>IBP: HLT: Policy Configure: Verify that the system allows the definition of multiple unique sum insured options and makes these available for selection during enrollment.</t>
  </si>
  <si>
    <t>IIRM-6039</t>
  </si>
  <si>
    <t>IBP: HLT: Policy Configure: Verify that the system allows defining and storing unique employee grades for use in policy mapping.</t>
  </si>
  <si>
    <t>IIRM-6040</t>
  </si>
  <si>
    <t>IBP: HLT: Policy Configure: Verify that the system enables linking employee grades, relationship groups, and sum insured options, preventing incomplete mappings.</t>
  </si>
  <si>
    <t>IIRM-6041</t>
  </si>
  <si>
    <t>IBP: HLT: Policy Configure: Verify that the system supports various premium calculation logics (e.g., Flat, Age Band) and dynamically adjusts the input interface accordingly.</t>
  </si>
  <si>
    <t>IIRM-6042</t>
  </si>
  <si>
    <t>IBP: HLT: Policy Configure: Verify that the system provides functionality to define and enter premiums for complex combinations such as grade, relationship, and gender.</t>
  </si>
  <si>
    <t>IIRM-6043</t>
  </si>
  <si>
    <t>IBP: HLT: Policy Configure: Verify that the system allows defining employer and employee premium sharing percentages and validates that their sum equals 100%.</t>
  </si>
  <si>
    <t>IIRM-6044</t>
  </si>
  <si>
    <t>IBP: HLT: Policy Configure: Verify that the system provides mutually exclusive options for defining whether the sum insured is fixed or floater.</t>
  </si>
  <si>
    <t>IIRM-6045</t>
  </si>
  <si>
    <t>IBP: HLT: Policy Configure: Verify that the system provides mutually exclusive options for defining whether the premium is calculated per life, per family, or not applicable.</t>
  </si>
  <si>
    <t>IIRM-6046</t>
  </si>
  <si>
    <t>IBP: HLT: Policy Configure: Verify that the system allows administrators to configure the visibility of employee and employer premium shares to employees.</t>
  </si>
  <si>
    <t>IIRM-6047</t>
  </si>
  <si>
    <t>IBP: UIValidation: PolicyParameter: Validate "Max No." and "Min/Max Age" Fields: Required, Numeric, Positive Integer, Range, and Min-Max Constraints</t>
  </si>
  <si>
    <t>IIRM-6048</t>
  </si>
  <si>
    <t>IBP: HLT: Policy Configure: Verify that the system allows defining and enforcing cross-parent selection rules during the enrollment process.</t>
  </si>
  <si>
    <t>IIRM-6049</t>
  </si>
  <si>
    <t>IBP: HLT: PolicyConfigure: Verify that the system allows configuring and enforcing twin allowance for the second child.</t>
  </si>
  <si>
    <t>IIRM-6050</t>
  </si>
  <si>
    <t>IBP: HLT: Policy Configure: Verify that the system allows configuring and displaying GST and enrollment confirmation messages.</t>
  </si>
  <si>
    <t>IIRM-6051</t>
  </si>
  <si>
    <t>IBP: HLT: Policy Configure: Verify that the system allows configuring installment payment options and generates a corresponding payment schedule.</t>
  </si>
  <si>
    <t>IIRM-6052</t>
  </si>
  <si>
    <t>IBP:UIValidation: PolicyChoices: Validate "Co. Contrib", "Emp. Contrib" Fields, Default/Available Checkbox Interactions, and Form-Level Validations</t>
  </si>
  <si>
    <t>IIRM-6053</t>
  </si>
  <si>
    <t>IBP: HLT: Policy Configure: Verify that the system allows configuring and applying employee age calculation methods for premiums.</t>
  </si>
  <si>
    <t>IIRM-6054</t>
  </si>
  <si>
    <t>IBP: HLT: Policy Configure: Verify that the system provides comprehensive controls for defining various detailed policy behavior rules, including visibility, parent selection logic, age restrictions, and eligibility.</t>
  </si>
  <si>
    <t>IIRM-6055</t>
  </si>
  <si>
    <t>IBP: UIValidation: Constraints: Validate Complete Policy Configuration Workflow: Screen Navigation, Core Field Validations, Component Configuration, and Final Submission</t>
  </si>
  <si>
    <t>IIRM-6056</t>
  </si>
  <si>
    <t>IBP: HLT: Policy Configure: Verify that the system allows linking the policy to other active policies belonging to the same client.</t>
  </si>
  <si>
    <t>IIRM-6057</t>
  </si>
  <si>
    <t>IBP: HLT: Policy Configure: Verify that the system allows defining and applying sum insured relationship logic with linked policies.</t>
  </si>
  <si>
    <t>IIRM-6058</t>
  </si>
  <si>
    <t>IBP: HLT: Policy Configure: Verify that the system allows administrators to select predefined life events that trigger mid-year policy changes and re-enrollment functionality.</t>
  </si>
  <si>
    <t>IIRM-6059</t>
  </si>
  <si>
    <t>IBP: HLT: Policy Configure: Verify that the system controls policy activation based on mandatory fields and subsequently locks settings while enabling enrollment upon activation.</t>
  </si>
  <si>
    <t>IIRM-6060</t>
  </si>
  <si>
    <t>IBP: API: PolicyConfigure: GET: Retrieve Policy Template configuration.</t>
  </si>
  <si>
    <t>IIRM-6061</t>
  </si>
  <si>
    <t>IBP: PolicyConfigure: Validate Boolean fields accept only true/false.</t>
  </si>
  <si>
    <t>IIRM-6062</t>
  </si>
  <si>
    <t>IBP: PolicyConfigure: Verify Unauthorized access attempt.</t>
  </si>
  <si>
    <t>IIRM-6063</t>
  </si>
  <si>
    <t>IBP: PolicyConfigure: Verify Forbidden access attempt (if user lacks permission).</t>
  </si>
  <si>
    <t>IIRM-6064</t>
  </si>
  <si>
    <t>IBP: EnrollmentTemplate: Verify when the policy ID is not a number</t>
  </si>
  <si>
    <t>IIRM-6065</t>
  </si>
  <si>
    <t>IBP: EnrollmentTemplate: Verify  If this endpoint requires a token or API key in the headers, it's missing or invalid.</t>
  </si>
  <si>
    <t>IIRM-6066</t>
  </si>
  <si>
    <t>IBP: EnrollmentTemplate: Verify If a policy exists but for some reason, an enrollment template is not associated with it,</t>
  </si>
  <si>
    <t>IIRM-6068</t>
  </si>
  <si>
    <t>IBP: Enrollment template: Verify enrollment template download with download API</t>
  </si>
  <si>
    <t>IIRM-6069</t>
  </si>
  <si>
    <t>IBP: EnrollmentTemplate: Verify policy ID that does not exist in the system is provided.</t>
  </si>
  <si>
    <t>IIRM-6071</t>
  </si>
  <si>
    <t>IBP: PolicyConfiguration: Verify payload updating an existing configuration.</t>
  </si>
  <si>
    <t>IIRM-6072</t>
  </si>
  <si>
    <t>IBP: PolicyConfiguration: Verify put call on existing payload</t>
  </si>
  <si>
    <t>IIRM-6073</t>
  </si>
  <si>
    <t>IBP: PolicyConfiguration: Verify PUT API with single and multiple policy step</t>
  </si>
  <si>
    <t>IIRM-6074</t>
  </si>
  <si>
    <t>IBP: SanityLevel: PolicyConfigure: Verify policy got generated after placementslip generation approved</t>
  </si>
  <si>
    <t>IIRM-6075</t>
  </si>
  <si>
    <t>IBP: EnrollmentTemplate: Verify template is uploaded with only mandatary fields</t>
  </si>
  <si>
    <t>IIRM-6076</t>
  </si>
  <si>
    <t>IBP: SanityLevel: PolicyConfigure: Policy Component:  Validate Display Label Text Field Rendering, Input Functionality, and Constraints</t>
  </si>
  <si>
    <t>IIRM-6077</t>
  </si>
  <si>
    <t>IBP: EmployeeData: Verify Employeedata file uploaded with mandatary fields</t>
  </si>
  <si>
    <t>IIRM-6078</t>
  </si>
  <si>
    <t>IBP: EnrollmentTemplate: Verify enrollment data is uploaded for per family policy</t>
  </si>
  <si>
    <t>IIRM-6079</t>
  </si>
  <si>
    <t>IBP: Enrollment Template: Verify enrollment data is uploaded with empty file</t>
  </si>
  <si>
    <t>IIRM-6080</t>
  </si>
  <si>
    <t>IBP: EnrollmentTemplate: Verify enrollment data is uploaded with data type mismatch</t>
  </si>
  <si>
    <t>IIRM-6081</t>
  </si>
  <si>
    <t>IBP: EnrollmentTemplate : Verify enrollment data is uplaoded only with non-mandatary fields.</t>
  </si>
  <si>
    <t>IIRM-6082</t>
  </si>
  <si>
    <t>IBP: EnrollmentTemplate: Verify Enrollment data is uploaded with single record</t>
  </si>
  <si>
    <t>IIRM-6083</t>
  </si>
  <si>
    <t>IBP: EnrollmentTemplate: Verify enrollment data is uploaded with 100 records.</t>
  </si>
  <si>
    <t>IIRM-6084</t>
  </si>
  <si>
    <t>IBP: EnrollmentTemplate: Verify Enrollment data is uploaded with 10,000 events</t>
  </si>
  <si>
    <t>IIRM-6085</t>
  </si>
  <si>
    <t>IBP: EnrollmentTemplate: Verify Enrollment template data is uploaded for per life policy</t>
  </si>
  <si>
    <t>IIRM-6086</t>
  </si>
  <si>
    <t>IBP: SanityLevel: PolicyConfigure: PolicyComponents: Validate "Sum Insured Model" Radio Buttons Rendering, Initial State, Selection Behavior, and Event Handling</t>
  </si>
  <si>
    <t>IIRM-6087</t>
  </si>
  <si>
    <t>IBP: SanityLevel: PolicyConfigure: Policy Component: Validate "SI Amount" Field Rendering, Input Type, Increment/Decrement Functionality, Value Limits, and Formatting</t>
  </si>
  <si>
    <t>IIRM-6089</t>
  </si>
  <si>
    <t>IBP: SanityLevel: policyComponent: Validate "Show Company Contribution" Checkbox Rendering, Initial State, Toggling, and Event Handling</t>
  </si>
  <si>
    <t>IIRM-6094</t>
  </si>
  <si>
    <t>IBP: EmployeeData: Verify employee data is uploaded with 100 records</t>
  </si>
  <si>
    <t>IIRM-6095</t>
  </si>
  <si>
    <t>IBP: EmployeeData: verify employee data can be uploaded with 10000 records</t>
  </si>
  <si>
    <t>IIRM-6098</t>
  </si>
  <si>
    <t>IBP: enployeeData: EmployeeData is uplaoded with non mandatary fields</t>
  </si>
  <si>
    <t>IIRM-6099</t>
  </si>
  <si>
    <t>IBP: SanityLevel: policyComponent: Validate "Premium Calculation" Radio Buttons Rendering, Initial State, Selection Behavior, and Event Handling</t>
  </si>
  <si>
    <t>IIRM-6100</t>
  </si>
  <si>
    <t>IBP: SanityLevel: PolicyComponent: Validate Rendering and Click Functionality of "Save", "Save &amp; Exit", and "Next" Buttons</t>
  </si>
  <si>
    <t>IIRM-6111</t>
  </si>
  <si>
    <t>IIRM-6112</t>
  </si>
  <si>
    <t>IIRM-6113</t>
  </si>
  <si>
    <t xml:space="preserve">IIRM: No Maximum Character Validation for Company and Contact Fields </t>
  </si>
  <si>
    <t>IIRM-6114</t>
  </si>
  <si>
    <t>IIRM: KDM Meeting: Inconsistency in displaying the city name in the Employee Participants field</t>
  </si>
  <si>
    <t>IIRM-6115</t>
  </si>
  <si>
    <t>IIRM-6116</t>
  </si>
  <si>
    <t>IIRM: Approval flow and Opportunity stages verification</t>
  </si>
  <si>
    <t>IIRM-6117</t>
  </si>
  <si>
    <t>IIRM: Primary backlogs and Regression Testing</t>
  </si>
  <si>
    <t>IIRM-6118</t>
  </si>
  <si>
    <t>IBP: Policy details card: Commas should be shown for CD balance and for updated premium</t>
  </si>
  <si>
    <t>IIRM-6119</t>
  </si>
  <si>
    <t>IIRM: Insurer/TPA Name Missing in RFP Details on Approval</t>
  </si>
  <si>
    <t>IIRM-6120</t>
  </si>
  <si>
    <t>IIRM: Invalid Name (ISG Assigned Name) Displayed as BD Planning Assignee</t>
  </si>
  <si>
    <t>IIRM-6121</t>
  </si>
  <si>
    <t>IIRM: Opty. - No Notification on Activity Rejection by Approver</t>
  </si>
  <si>
    <t>IIRM-6122</t>
  </si>
  <si>
    <t>Add new indicators in the My Business Performance section to display Total Premium, Premium Collected, and Uncollected Premium</t>
  </si>
  <si>
    <t>IIRM-6123</t>
  </si>
  <si>
    <t>Implement a clear indication message when no activities are available, instead of showing a blank screen.</t>
  </si>
  <si>
    <t>Jadhav Sai Prasad</t>
  </si>
  <si>
    <t>IIRM-6124</t>
  </si>
  <si>
    <t>Implement Smart Search functionality across the application</t>
  </si>
  <si>
    <t>IIRM-6125</t>
  </si>
  <si>
    <t>Manage Company Screen Enhancements</t>
  </si>
  <si>
    <t>IIRM-6126</t>
  </si>
  <si>
    <t>IIRM: Update Expiry Date for WIP/Lost Sales and Renewal Opportunities and Validate Reflection</t>
  </si>
  <si>
    <t>IIRM-6127</t>
  </si>
  <si>
    <t>Dashboard Discrepancy – Sales Funnel</t>
  </si>
  <si>
    <t>IIRM-6128</t>
  </si>
  <si>
    <t>IBP: Endorsement: CTA not working on Need your attention card</t>
  </si>
  <si>
    <t>IIRM-6129</t>
  </si>
  <si>
    <t>When we click on my portfolio, by default My RO should come, don't change the sequence</t>
  </si>
  <si>
    <t>IIRM-6130</t>
  </si>
  <si>
    <t>Remove brokerage amount from opty form</t>
  </si>
  <si>
    <t>IIRM-6131</t>
  </si>
  <si>
    <t>Data Allignment changes in RO and SO Premium in list of records in company</t>
  </si>
  <si>
    <t>IIRM-6132</t>
  </si>
  <si>
    <t>IBP: CD: Verify multiple policies with single CD account</t>
  </si>
  <si>
    <t>IIRM-6133</t>
  </si>
  <si>
    <t>IBP: CD: Verify policy with multiple CD accounts</t>
  </si>
  <si>
    <t>IIRM-6134</t>
  </si>
  <si>
    <t>IBP: CD: Verify validations on Add CD balance</t>
  </si>
  <si>
    <t>IIRM-6135</t>
  </si>
  <si>
    <t>Manager Insurer: Page Unresponsive</t>
  </si>
  <si>
    <t>IIRM-6136</t>
  </si>
  <si>
    <t>IBP: CD: Validation missing for CD reference type as Cheque</t>
  </si>
  <si>
    <t>IIRM-6137</t>
  </si>
  <si>
    <t>IBP: CD: Error validations showing background to the popup</t>
  </si>
  <si>
    <t>IIRM-6138</t>
  </si>
  <si>
    <t>IBP: Endorsement: Invalid status shown on uploaded employee data</t>
  </si>
  <si>
    <t>IIRM-6139</t>
  </si>
  <si>
    <t>Sales Dashboard, my business performance and Renewal Funnel</t>
  </si>
  <si>
    <t>IIRM-6140</t>
  </si>
  <si>
    <t>In sales dashboard, after My Business Performance</t>
  </si>
  <si>
    <t>IIRM-6139 — Sales Dashboard, my business performance and Renewal Funnel</t>
  </si>
  <si>
    <t>IIRM-6141</t>
  </si>
  <si>
    <t>In My Business Performance</t>
  </si>
  <si>
    <t>IIRM-6142</t>
  </si>
  <si>
    <t>Create a new section after My Renewal Funnel section</t>
  </si>
  <si>
    <t>IIRM-6143</t>
  </si>
  <si>
    <t>Create a new section after Brokerage to Collect section – My Follow-up</t>
  </si>
  <si>
    <t>IIRM-6144</t>
  </si>
  <si>
    <t>Every policy record should have the following fields</t>
  </si>
  <si>
    <t>IIRM-6145</t>
  </si>
  <si>
    <t>IBP: Endorsement: Employee data reflecting in not started state.</t>
  </si>
  <si>
    <t>IIRM-6146</t>
  </si>
  <si>
    <t>Industry Insight &amp; Potential Opportunity Sections</t>
  </si>
  <si>
    <t>IIRM-6147</t>
  </si>
  <si>
    <t>Sales Pitch Tab in SO &amp; RO</t>
  </si>
  <si>
    <t>IIRM-6148</t>
  </si>
  <si>
    <t>IIRM: Employee Update Fails – Loading Screen Persists on Create/Update</t>
  </si>
  <si>
    <t>IIRM-6149</t>
  </si>
  <si>
    <t>Default column Sequence for company, contact, SO, RO, Policy</t>
  </si>
  <si>
    <t>IIRM-6150</t>
  </si>
  <si>
    <t>Filter Persistence: Filters applied by a user should remain active upon navigating away from and returning to the same page</t>
  </si>
  <si>
    <t>IIRM-6151</t>
  </si>
  <si>
    <t>Brokerage Amount should not be applied on gross, it should be on net/base premium</t>
  </si>
  <si>
    <t>IIRM-6152</t>
  </si>
  <si>
    <t>IIRM: Ready for QA  Bugfixes verification and regression testing</t>
  </si>
  <si>
    <t>IIRM-6153</t>
  </si>
  <si>
    <t>IIRM: Verify bizdone report</t>
  </si>
  <si>
    <t>IIRM-6154</t>
  </si>
  <si>
    <t>IIRM: Dashboard data verification</t>
  </si>
  <si>
    <t>IIRM-6155</t>
  </si>
  <si>
    <t>IIRM: Ready for QA Bugfixes verification in Sprint the current srpint</t>
  </si>
  <si>
    <t>IIRM-6156</t>
  </si>
  <si>
    <t>IIRM: Bizdone Report Fails to Load – “Something Went Wrong” Error</t>
  </si>
  <si>
    <t>IIRM-6157</t>
  </si>
  <si>
    <t xml:space="preserve">Include endorsement data into business performances </t>
  </si>
  <si>
    <t>IIRM-6158</t>
  </si>
  <si>
    <t>IIRM-6159</t>
  </si>
  <si>
    <t>IIRM: Bizdone , Dashboard Funnel, Opportunity Changes verifcations</t>
  </si>
  <si>
    <t>IIRM-6160</t>
  </si>
  <si>
    <t>IIRM: Quick Create / Company Creation Fails – “Invalid Input Syntax for Type Integer”</t>
  </si>
  <si>
    <t>IIRM-6161</t>
  </si>
  <si>
    <t>ISG process: Deviation process, upon manager approval, the respective stage/activity should enable for the ISG user to modify the data. Screen should be editable for all the fields.</t>
  </si>
  <si>
    <t>IIRM-6162</t>
  </si>
  <si>
    <t>IIRM: Drilldown functionality from dashboards</t>
  </si>
  <si>
    <t>IIRM-6163</t>
  </si>
  <si>
    <t>Policy Type Covers should be updated as per Neeraj sheet and also I shared another sheet to Gopal garu to delete and re-map with the correct policy types and renaming the active records.</t>
  </si>
  <si>
    <t>IIRM-6164</t>
  </si>
  <si>
    <t>Endorsements premiums, brokerage amount reflecting in the application dashboards, bizdone, RO/SO/Policies</t>
  </si>
  <si>
    <t>IIRM-6166</t>
  </si>
  <si>
    <t>IIRM: API: Incorrect Error Message Displayed on Company Creation Failure</t>
  </si>
  <si>
    <t>IIRM-6167</t>
  </si>
  <si>
    <t>IIRM: Incorrect Status code displayed for Access denied request(401 instead of 403)</t>
  </si>
  <si>
    <t>IIRM-6168</t>
  </si>
  <si>
    <t>Bizdone Report with Endorsement data</t>
  </si>
  <si>
    <t>IIRM-6169</t>
  </si>
  <si>
    <t>Contact mapping to Opportunity</t>
  </si>
  <si>
    <t>IIRM-6170</t>
  </si>
  <si>
    <t>IIRM: Manage Company: Verify the Table Settings Functionality</t>
  </si>
  <si>
    <t>IIRM-6171</t>
  </si>
  <si>
    <t>IIRM: RO: Verify the RO creation when a policy meets eligibility criteria</t>
  </si>
  <si>
    <t>IIRM-6172</t>
  </si>
  <si>
    <t>IIRM: RO: BD activities and ISG Activities for newly created RO</t>
  </si>
  <si>
    <t>IIRM-6173</t>
  </si>
  <si>
    <t>IIRM: CreateCompany: Loading takes more time on create company</t>
  </si>
  <si>
    <t>IIRM-6174</t>
  </si>
  <si>
    <t>IIRM: API:Employee Creation API Fails – 504 Gateway Timeout</t>
  </si>
  <si>
    <t>IIRM-6175</t>
  </si>
  <si>
    <t xml:space="preserve">IIRM: CompanyCreate: Validation shown on clicking next from KYC </t>
  </si>
  <si>
    <t>IIRM-6176</t>
  </si>
  <si>
    <t>IIRM:QuickCreate: Proper validation error not showing for meeting invalid time slot</t>
  </si>
  <si>
    <t>IIRM-6177</t>
  </si>
  <si>
    <t>IIRM: Meeting: Count should not be show for Opportunity type</t>
  </si>
  <si>
    <t>IIRM-6178</t>
  </si>
  <si>
    <t>IIRM: Incorrect Snackbar Message Shown When Searching Non-Existing Employee</t>
  </si>
  <si>
    <t>IIRM-6179</t>
  </si>
  <si>
    <t>Dynamic Form Input Fields Refactoring</t>
  </si>
  <si>
    <t>IIRM-6180</t>
  </si>
  <si>
    <t>Auto-calculate Service Tax and Total Premium in Placement Slip (BE+FE)</t>
  </si>
  <si>
    <t>IIRM-6181</t>
  </si>
  <si>
    <t>Wherever the word Commission is used, Change it to Brokerage, including Bizdone report</t>
  </si>
  <si>
    <t>IIRM-6182</t>
  </si>
  <si>
    <t>IIRM:InsurerContact: Unable to create insurer contact invalid validation thrown</t>
  </si>
  <si>
    <t>IIRM-6183</t>
  </si>
  <si>
    <t>IIRM: API :API Returns Incorrect Message for Long Text Input and Duplicate Entry</t>
  </si>
  <si>
    <t>IIRM-6184</t>
  </si>
  <si>
    <t>IIRM: Opportunity Contacts Filter: Fails on Multiple Contacts</t>
  </si>
  <si>
    <t>IIRM-6185</t>
  </si>
  <si>
    <t>RO Screen cosmetic changes: rename Total Commision Amount to Total Expected Brokerage Amount and rename Total Premium Amount to Total Expected Premium Amount</t>
  </si>
  <si>
    <t>IIRM-6186</t>
  </si>
  <si>
    <t>IIRM: Assigned Opportunities Not Displayed in SO Tab</t>
  </si>
  <si>
    <t>IIRM-6187</t>
  </si>
  <si>
    <t xml:space="preserve">Add collected amount related columns to Policy Entity </t>
  </si>
  <si>
    <t>IIRM-6188</t>
  </si>
  <si>
    <t>Update the Bizdone Report with brokerage_collected and premium_collected columns</t>
  </si>
  <si>
    <t>IIRM-6189</t>
  </si>
  <si>
    <t>Manage Company Quick Cards</t>
  </si>
  <si>
    <t>IIRM-6190</t>
  </si>
  <si>
    <t>IIRM: Duplicate Options Displayed in Dropdowns</t>
  </si>
  <si>
    <t>IIRM-6191</t>
  </si>
  <si>
    <t>IIRM: Total Companies list Not Displayed When Owner Unchecked</t>
  </si>
  <si>
    <t>IIRM-6192</t>
  </si>
  <si>
    <t>Inception / Endorsement request received / Data upload</t>
  </si>
  <si>
    <t>IIRM-6193</t>
  </si>
  <si>
    <t>Open Enrolment Portal</t>
  </si>
  <si>
    <t>IIRM-6194</t>
  </si>
  <si>
    <t>Send  Inception/ Endorsement to Insurer</t>
  </si>
  <si>
    <t>IIRM-6195</t>
  </si>
  <si>
    <t>Insurer Acknowledgement</t>
  </si>
  <si>
    <t>IIRM-6196</t>
  </si>
  <si>
    <t>Client Confirmation</t>
  </si>
  <si>
    <t>IIRM-6197</t>
  </si>
  <si>
    <t>TPA ID Upload</t>
  </si>
  <si>
    <t>IIRM-6199</t>
  </si>
  <si>
    <t>Data Reconciliation &amp; Closure</t>
  </si>
  <si>
    <t>IIRM-6201</t>
  </si>
  <si>
    <t>Manage Endorsement Screen</t>
  </si>
  <si>
    <t>IIRM-6202</t>
  </si>
  <si>
    <t>For Companies with Enrollment Portal, A two-step endorsement flow will be followed</t>
  </si>
  <si>
    <t>IIRM-6192 — Inception / Endorsement request received / Data upload</t>
  </si>
  <si>
    <t>IIRM-6205</t>
  </si>
  <si>
    <t>The system must allow the user to enter and capture the Insurer Communication Date, Endorsement Document, and Communication Details before sending</t>
  </si>
  <si>
    <t>IIRM-6194 — Send  Inception/ Endorsement to Insurer</t>
  </si>
  <si>
    <t>IIRM-6206</t>
  </si>
  <si>
    <t>The screen must display a summary of the endorsement batch including</t>
  </si>
  <si>
    <t>IIRM-6207</t>
  </si>
  <si>
    <t xml:space="preserve"> If CD Balance is insufficient, the system should prevent submission and display an alert.</t>
  </si>
  <si>
    <t>IIRM-6213</t>
  </si>
  <si>
    <t>1. The system must allow the user to input Acknowledgement Details, Acknowledgement Reference, and upload an Acknowledgement Document.</t>
  </si>
  <si>
    <t>IIRM-6195 — Insurer Acknowledgement</t>
  </si>
  <si>
    <t>IIRM-6214</t>
  </si>
  <si>
    <t>The system must provide fields to capture Client Confirmation Date, Client Confirmation Method (e.g., phone, email, meeting), and Client Response.</t>
  </si>
  <si>
    <t>IIRM-6196 — Client Confirmation</t>
  </si>
  <si>
    <t>IIRM-6215</t>
  </si>
  <si>
    <t>The system must allow the user to upload a TPA ID file, enter the TPA ID upload date, and provide remarks.</t>
  </si>
  <si>
    <t>IIRM-6197 — TPA ID Upload</t>
  </si>
  <si>
    <t>IIRM-6217</t>
  </si>
  <si>
    <t>The system must allow users to enter a Reconciliation Date, Closure Date, and Final Remarks.</t>
  </si>
  <si>
    <t>IIRM-6199 — Data Reconciliation &amp; Closure</t>
  </si>
  <si>
    <t>IIRM-6218</t>
  </si>
  <si>
    <t xml:space="preserve"> The system must display additional three quick links  on the policy page    a. Insurer Acknowledgement</t>
  </si>
  <si>
    <t>IIRM-6201 — Manage Endorsement Screen</t>
  </si>
  <si>
    <t>IIRM-6219</t>
  </si>
  <si>
    <t>On clicking quick links / Cards:</t>
  </si>
  <si>
    <t>IIRM-6221</t>
  </si>
  <si>
    <t>IIRM: White Screen Appears Immediately After Login/Reload</t>
  </si>
  <si>
    <t>IIRM-6227</t>
  </si>
  <si>
    <t>Once clicked SO Funnel, it should navigate to Sales Opty and if KDM is clicked automatically filter should be applied on that</t>
  </si>
  <si>
    <t>IIRM-6232</t>
  </si>
  <si>
    <t>IIRM: Manage Contacts: Verify the Table Settings Functionality</t>
  </si>
  <si>
    <t>IIRM-6238</t>
  </si>
  <si>
    <t>IIRM: Manage TPA : Verify the Table Settings Functionality</t>
  </si>
  <si>
    <t>IIRM-6240</t>
  </si>
  <si>
    <t>IIRM: Manage Insurer : Verify the Table Settings Functionality</t>
  </si>
  <si>
    <t>IIRM-6241</t>
  </si>
  <si>
    <t>IIRM: Manage Broker: Verify the Table Settings Functionality</t>
  </si>
  <si>
    <t>IIRM-6243</t>
  </si>
  <si>
    <t>IIRM: TPA Contacts: Verify the Table Settings Functionality</t>
  </si>
  <si>
    <t>IIRM-6244</t>
  </si>
  <si>
    <t>IIRM: Insurer Contacts : Verify the Table Settings Functionality</t>
  </si>
  <si>
    <t>IIRM-6246</t>
  </si>
  <si>
    <t>IIRM: Broker Contacts: Verify the Table Settings Functionality</t>
  </si>
  <si>
    <t>IIRM-6247</t>
  </si>
  <si>
    <t>IIRM:SO : Verify the Table Settings Functionality</t>
  </si>
  <si>
    <t>IIRM-6248</t>
  </si>
  <si>
    <t>IIRM: RO : Verify the Table Settings Functionality</t>
  </si>
  <si>
    <t>IIRM-6267</t>
  </si>
  <si>
    <t xml:space="preserve">IIRM: Meeting Agenda/MoM Not Reflected in Meeting Tab from Activities </t>
  </si>
  <si>
    <t>IIRM-6268</t>
  </si>
  <si>
    <t>Multitexting variant in Covers</t>
  </si>
  <si>
    <t>IIRM-6272</t>
  </si>
  <si>
    <t>Unable to complete Placement slip generation for - Systopic Laboratories | GMC | Opp Nos 931633, 931640, and 931641</t>
  </si>
  <si>
    <t>IIRM-6273</t>
  </si>
  <si>
    <t>Endorsement: Verify create endorsement filtered with companyname and policy type</t>
  </si>
  <si>
    <t>IIRM-6275</t>
  </si>
  <si>
    <t>Add Widget with graph to show the metrics about Brokerage Collected in My Business Performance</t>
  </si>
  <si>
    <t>IIRM-6276</t>
  </si>
  <si>
    <t>SOW-TBD</t>
  </si>
  <si>
    <t>IIRM-6277</t>
  </si>
  <si>
    <t>Default Portfolio View</t>
  </si>
  <si>
    <t>IIRM-6278</t>
  </si>
  <si>
    <t>Default screen must show</t>
  </si>
  <si>
    <t>IIRM-6277 — Default Portfolio View</t>
  </si>
  <si>
    <t>IIRM-6279</t>
  </si>
  <si>
    <t>Drilldown to Company Details</t>
  </si>
  <si>
    <t>IIRM-6280</t>
  </si>
  <si>
    <t>On clicking View, two drilldown tables must appear</t>
  </si>
  <si>
    <t>IIRM-6279 — Drilldown to Company Details</t>
  </si>
  <si>
    <t>IIRM-6281</t>
  </si>
  <si>
    <t>Policy Details Table</t>
  </si>
  <si>
    <t>IIRM-6282</t>
  </si>
  <si>
    <t>Service Score Table</t>
  </si>
  <si>
    <t>QA Failed</t>
  </si>
  <si>
    <t>IIRM-770 — SOW#43 - SLA mgmt (Including Service Score)</t>
  </si>
  <si>
    <t>IIRM-6283</t>
  </si>
  <si>
    <t>Service Score Detail Drilldown</t>
  </si>
  <si>
    <t>IIRM-6284</t>
  </si>
  <si>
    <t>Policy Details Table must show columns: Policy Number, Company Name, Contact, Policy Type, Status, Sum Assured, Premium, Policy From, Policy To, Account Manager</t>
  </si>
  <si>
    <t>IIRM-6281 — Policy Details Table</t>
  </si>
  <si>
    <t>IIRM-6285</t>
  </si>
  <si>
    <t>On clicking any row/column, navigate to Manage Policy screen of that policy</t>
  </si>
  <si>
    <t>IIRM-6286</t>
  </si>
  <si>
    <t>Service Score Table must show columns: Month, Marks Scored, Total Marks, Scored %, Indicator, Action (View Details)</t>
  </si>
  <si>
    <t>IIRM-6282 — Service Score Table</t>
  </si>
  <si>
    <t>IIRM-6287</t>
  </si>
  <si>
    <t>Logic for populating service score is to be defined later</t>
  </si>
  <si>
    <t>IIRM-6288</t>
  </si>
  <si>
    <t>On clicking 'View Details', open drilldown Service Score Detail table</t>
  </si>
  <si>
    <t>IIRM-6289</t>
  </si>
  <si>
    <t xml:space="preserve"> Service Score Detail Table must show columns: Service Name, Number of Policies, &lt;7 Days, &lt;10 Days, &lt;21 Days, &lt;30 Days, &lt;45 Days, &gt;45 Days, Scored, WTG</t>
  </si>
  <si>
    <t>IIRM-6283 — Service Score Detail Drilldown</t>
  </si>
  <si>
    <t>IIRM-6290</t>
  </si>
  <si>
    <t>Data must correspond to company + month selected</t>
  </si>
  <si>
    <t>IIRM-6291</t>
  </si>
  <si>
    <t>Wrote Product Spec for Client Portfolio</t>
  </si>
  <si>
    <t>IIRM-6296</t>
  </si>
  <si>
    <t>Claims Overview Card</t>
  </si>
  <si>
    <t>IIRM-6297</t>
  </si>
  <si>
    <t>Additional Widget: Endorsement TAT Card</t>
  </si>
  <si>
    <t>IIRM-6298</t>
  </si>
  <si>
    <t>Additional Widgets - Claims TAT Card</t>
  </si>
  <si>
    <t>IIRM-6299</t>
  </si>
  <si>
    <t>Additonal: Widget Policy Type Distribution Card</t>
  </si>
  <si>
    <t>IIRM-6300</t>
  </si>
  <si>
    <t>Additional Widget : My Client Testimonials</t>
  </si>
  <si>
    <t>IIRM-6301</t>
  </si>
  <si>
    <t>Additional Widget: Policy Expiry Timeline Card</t>
  </si>
  <si>
    <t>IIRM-6303</t>
  </si>
  <si>
    <t>User Role-based Actions</t>
  </si>
  <si>
    <t>IIRM-6309</t>
  </si>
  <si>
    <t>Show Total Claims Amount (all reported claims irrespective of settlement/rejection)</t>
  </si>
  <si>
    <t>IIRM-6296 — Claims Overview Card</t>
  </si>
  <si>
    <t>IIRM-6310</t>
  </si>
  <si>
    <t>Show Customer Count for Claim Amount</t>
  </si>
  <si>
    <t>IIRM-6311</t>
  </si>
  <si>
    <t>Show Policy Count for Claim Amount</t>
  </si>
  <si>
    <t>IIRM-6312</t>
  </si>
  <si>
    <t>Show Claims Count for Total Claim Amount</t>
  </si>
  <si>
    <t>IIRM-6313</t>
  </si>
  <si>
    <t>Provide CTA: 'Manage Claims' → Redirect to Manage Claims screen</t>
  </si>
  <si>
    <t>IIRM-6314</t>
  </si>
  <si>
    <t>Show Open &gt;10 days → count of endorsements open &gt;10 days</t>
  </si>
  <si>
    <t>IIRM-6297 — Additional Widget: Endorsement TAT Card</t>
  </si>
  <si>
    <t>IIRM-6315</t>
  </si>
  <si>
    <t>Show Open &lt;10 days → count of endorsements open &lt;10 days</t>
  </si>
  <si>
    <t>IIRM-6316</t>
  </si>
  <si>
    <t>Show Closed &lt;10 days → count of endorsements acknowledged within 10 days</t>
  </si>
  <si>
    <t>IIRM-6317</t>
  </si>
  <si>
    <t>Show Closed 10–20 days → count of endorsements acknowledged within 10–20 days</t>
  </si>
  <si>
    <t>IIRM-6318</t>
  </si>
  <si>
    <t>Show Closed &gt;20 days → count of endorsements acknowledged in more than 20 days</t>
  </si>
  <si>
    <t>IIRM-6319</t>
  </si>
  <si>
    <t>On clicking any value, navigate to Manage Endorsement screen with corresponding filter pre-applied</t>
  </si>
  <si>
    <t>IIRM-6320</t>
  </si>
  <si>
    <t>Show Open &gt;15 days → claims open more than 15 days</t>
  </si>
  <si>
    <t>IIRM-6298 — Additional Widgets - Claims TAT Card</t>
  </si>
  <si>
    <t>IIRM-6321</t>
  </si>
  <si>
    <t>Show Open &lt;15 days → claims open less than 15 days</t>
  </si>
  <si>
    <t>IIRM-6322</t>
  </si>
  <si>
    <t>Show Closed &lt;15 days → claims settled within 15 days</t>
  </si>
  <si>
    <t>IIRM-6323</t>
  </si>
  <si>
    <t>Show Closed 15–30 days → claims settled in 15–30 days</t>
  </si>
  <si>
    <t>IIRM-6324</t>
  </si>
  <si>
    <t>Show Closed &gt;30 days → claims settled in more than 30 days</t>
  </si>
  <si>
    <t>IIRM-6325</t>
  </si>
  <si>
    <t>On clicking any value, navigate to Manage Claims screen with corresponding filter pre-applied</t>
  </si>
  <si>
    <t>IIRM-6326</t>
  </si>
  <si>
    <t>Display a pie chart showing distribution of Policy Count, Premium Amount, and Brokerage Amount</t>
  </si>
  <si>
    <t>IIRM-6299 — Additonal: Widget Policy Type Distribution Card</t>
  </si>
  <si>
    <t>IIRM-6327</t>
  </si>
  <si>
    <t>Provide CTA: 'View Portfolio' → Redirect to My Portfolio screen</t>
  </si>
  <si>
    <t>IIRM-6328</t>
  </si>
  <si>
    <t>Table/Chart must be generated by system after servicing</t>
  </si>
  <si>
    <t>IIRM-6300 — Additional Widget : My Client Testimonials</t>
  </si>
  <si>
    <t>IIRM-6330</t>
  </si>
  <si>
    <t>Show count of policies expiring in next 30 days</t>
  </si>
  <si>
    <t>IIRM-6301 — Additional Widget: Policy Expiry Timeline Card</t>
  </si>
  <si>
    <t>IIRM-6331</t>
  </si>
  <si>
    <t>Show count of policies expiring in next 60 days</t>
  </si>
  <si>
    <t>IIRM-6332</t>
  </si>
  <si>
    <t>Show count of policies expiring in next 90 days</t>
  </si>
  <si>
    <t>IIRM-6333</t>
  </si>
  <si>
    <t>Show count of policies expiring beyond 90 days</t>
  </si>
  <si>
    <t>IIRM-6334</t>
  </si>
  <si>
    <t>On clicking any value, navigate to Manage Policy screen with filter pre-applied</t>
  </si>
  <si>
    <t>IIRM-6336</t>
  </si>
  <si>
    <t>Users with Sales activity only → Show existing dashboard widgets</t>
  </si>
  <si>
    <t>IIRM-6303 — User Role-based Actions</t>
  </si>
  <si>
    <t>IIRM-6337</t>
  </si>
  <si>
    <t>Users with Service activity only → Show new Service Dashboard widgets</t>
  </si>
  <si>
    <t>IIRM-6338</t>
  </si>
  <si>
    <t>Users with both Sales and Service activity → Show both old + new widgets</t>
  </si>
  <si>
    <t>IIRM-6339</t>
  </si>
  <si>
    <t>Business Overview section should follow new widget design for combined users</t>
  </si>
  <si>
    <t>IIRM-6340</t>
  </si>
  <si>
    <t>IIRM: Manage Policies : Verify the Table Settings Functionality</t>
  </si>
  <si>
    <t>IIRM-6341</t>
  </si>
  <si>
    <t>IIRM: TPA/Insurer Company Name Not Displayed in TPA/Insurer Contact Edit</t>
  </si>
  <si>
    <t>IIRM-6342</t>
  </si>
  <si>
    <t>IIRM: SO: Can't proceed with meeting for final negotiation , error thrown on Insurer location ID</t>
  </si>
  <si>
    <t>IIRM-6343</t>
  </si>
  <si>
    <t>IIRM: Sorting Fails with Error in Brokerage &amp; Follow Up Tables</t>
  </si>
  <si>
    <t>IIRM-6344</t>
  </si>
  <si>
    <t>IIRM: “Something Went Wrong” Screen Displayed on Dashboard</t>
  </si>
  <si>
    <t>IIRM-6345</t>
  </si>
  <si>
    <t>IIMR: Filters data not fetching properly</t>
  </si>
  <si>
    <t>IIRM-6346</t>
  </si>
  <si>
    <t>IIRM: My sales funnel and My renewal funnel count mismatch on drilldown</t>
  </si>
  <si>
    <t>IIRM-6347</t>
  </si>
  <si>
    <t>IIRM: Manage Endorsement : Verify the Table Settings Functionality</t>
  </si>
  <si>
    <t>IIRM-6348</t>
  </si>
  <si>
    <t>IIRM: Manage Employees : Verify the Table Settings Functionality</t>
  </si>
  <si>
    <t>IIRM-6349</t>
  </si>
  <si>
    <t>IIRM-6350</t>
  </si>
  <si>
    <t xml:space="preserve">Bizdone report link need to be out of Admin module </t>
  </si>
  <si>
    <t>IIRM-6351</t>
  </si>
  <si>
    <t>Bizdone: Need to visble based on previllage (Downloadd is only for Chairman and System Admin)</t>
  </si>
  <si>
    <t>IIRM-6352</t>
  </si>
  <si>
    <t xml:space="preserve">Bizdone Report grid - Drill downs need to be enabled </t>
  </si>
  <si>
    <t>IIRM-6353</t>
  </si>
  <si>
    <t>Business Performances</t>
  </si>
  <si>
    <t>IIRM-6354</t>
  </si>
  <si>
    <t xml:space="preserve">Brokerage Collected Dial graph </t>
  </si>
  <si>
    <t>IIRM-6355</t>
  </si>
  <si>
    <t>Bizdone report Changes</t>
  </si>
  <si>
    <t>IIRM-6356</t>
  </si>
  <si>
    <t>IBP: ClientPortfolio: Login as CRM and open My Client Portfolio.</t>
  </si>
  <si>
    <t>IIRM-6357</t>
  </si>
  <si>
    <t>IBP: ClientPortfolio: Verify four KPI cards render on initial load.</t>
  </si>
  <si>
    <t>IIRM-6358</t>
  </si>
  <si>
    <t>IBP: ClientPortfolio: Check number/currency formatting for Premium and Brokerage on KPI cards.</t>
  </si>
  <si>
    <t>IIRM-6359</t>
  </si>
  <si>
    <t>IBP: ClientPortfolio: Validate columns in Company Overview table.</t>
  </si>
  <si>
    <t>IIRM-6360</t>
  </si>
  <si>
    <t>IBP: ClientPortfolio: Click 'View' under Action column for a company.</t>
  </si>
  <si>
    <t>IIRM-6361</t>
  </si>
  <si>
    <t>IBP: ClientPortfolio: Verify Policy Details table columns and order.</t>
  </si>
  <si>
    <t>IIRM-6362</t>
  </si>
  <si>
    <t>IBP: ClientPortfolio: Click a Policy Number link in Policy Details.</t>
  </si>
  <si>
    <t>IIRM-6363</t>
  </si>
  <si>
    <t>IBP: ClientPortfolio: Validate Service Score table columns.</t>
  </si>
  <si>
    <t>IIRM-6364</t>
  </si>
  <si>
    <t>IBP: ClientPortfolio: Click 'View details' in Service Score row to open the detailed scorecard table.</t>
  </si>
  <si>
    <t>IIRM-6365</t>
  </si>
  <si>
    <t>IBP: ClientPortfolio: Create a new policy for a company (pre-seeded) and refresh dashboard.</t>
  </si>
  <si>
    <t>IIRM-6366</t>
  </si>
  <si>
    <t>IBP: ClientPortfolio: Check High/Medium/Low priority badges in Company Overview.</t>
  </si>
  <si>
    <t>IIRM-6367</t>
  </si>
  <si>
    <t>IBP: ClientPortfolio: Validate Claim Amount displays in correct unit (Lakhs).</t>
  </si>
  <si>
    <t>IIRM-6368</t>
  </si>
  <si>
    <t>IBP: ClientPortfolio: Open 'View' for two different companies sequentially.</t>
  </si>
  <si>
    <t>IIRM-6369</t>
  </si>
  <si>
    <t>IBP: ClientPortfolio: Verify Smart Filter panel shows all filters.</t>
  </si>
  <si>
    <t>IIRM-6370</t>
  </si>
  <si>
    <t>IBP: ClientPortfolio: Set multiple filters and click Apply.</t>
  </si>
  <si>
    <t>IIRM-6371</t>
  </si>
  <si>
    <t>IBP: ClientPortfolio: After applying filters, click Clear Filters.</t>
  </si>
  <si>
    <t>IIRM-6372</t>
  </si>
  <si>
    <t>IBP: ClientPortfolio: Type a partial company name and apply filter.</t>
  </si>
  <si>
    <t>IIRM-6373</t>
  </si>
  <si>
    <t>IBP: ClientPortfolio: Enter From and To dates and apply.</t>
  </si>
  <si>
    <t>IIRM-6374</t>
  </si>
  <si>
    <t>IBP: ClientPortfolio: Toggle Period between Monthly, Quarterly, Yearly.</t>
  </si>
  <si>
    <t>IIRM-6375</t>
  </si>
  <si>
    <t>IBP: ClientPortfolio: Open a company drilldown and filter Policy Details by Policy Type.</t>
  </si>
  <si>
    <t>IIRM-6376</t>
  </si>
  <si>
    <t>IBP: ClientPortfolio: Open Portfolio with no accessible company data.</t>
  </si>
  <si>
    <t>IIRM-6377</t>
  </si>
  <si>
    <t>IBP: ClientPortfolio: Open Service Score for a company with no service scores.</t>
  </si>
  <si>
    <t>IIRM-6378</t>
  </si>
  <si>
    <t>IBP: ClientPortfolio: Click a Policy Number that no longer exists (deleted).</t>
  </si>
  <si>
    <t>IIRM-6379</t>
  </si>
  <si>
    <t>IBP: ClientPortfolio: Load &gt;1000 companies and interact with table.</t>
  </si>
  <si>
    <t>IIRM-6380</t>
  </si>
  <si>
    <t>IBP: ClientPortfolio: Open drilldown for a company with &gt;500 policies.</t>
  </si>
  <si>
    <t>IIRM-6381</t>
  </si>
  <si>
    <t>IBP: ClientPortfolio: Verify Indicator around threshold boundaries (e.g., 0%, boundary %, 100%).</t>
  </si>
  <si>
    <t>IIRM-6382</t>
  </si>
  <si>
    <t>IBP: ClientPortfolio: Open Service Score details and verify bucket counts and totals.</t>
  </si>
  <si>
    <t>IIRM-6383</t>
  </si>
  <si>
    <t>IBP: ClientPortfolio: Open Policy Details and Service Score, then collapse the parent company row.</t>
  </si>
  <si>
    <t>IIRM-6384</t>
  </si>
  <si>
    <t>IBP: ClientPortfolio: Apply filters → open a drilldown → use browser back.</t>
  </si>
  <si>
    <t>IIRM-6385</t>
  </si>
  <si>
    <t>IBP: ClientPortfolio: Simulate backend data update; refresh Portfolio.</t>
  </si>
  <si>
    <t>IIRM-6386</t>
  </si>
  <si>
    <t>IBP: ClientPortfolio: Open Portfolio as a user without CRM access.</t>
  </si>
  <si>
    <t>IIRM-6387</t>
  </si>
  <si>
    <t>IBP: ClientPortfolio: Simulate API failure while loading Company Overview.</t>
  </si>
  <si>
    <t>IIRM-6388</t>
  </si>
  <si>
    <t>In all stages, if entered deviation was yes then  activity should be editable</t>
  </si>
  <si>
    <t>IIRM-6389</t>
  </si>
  <si>
    <t>IIRM: CreateCompany: For new company , error thrown company already exists</t>
  </si>
  <si>
    <t>IIRM-6390</t>
  </si>
  <si>
    <t>My Companies: Header</t>
  </si>
  <si>
    <t>IIRM-6391</t>
  </si>
  <si>
    <t>Sys Admin is not able to see the data in SOs, ROs, Policies pages. Screen is blank. This user should see all the pages.</t>
  </si>
  <si>
    <t>IIRM-6392</t>
  </si>
  <si>
    <t>In my policies Financial year search does not work correctly in Manage Policies</t>
  </si>
  <si>
    <t>IIRM-6393</t>
  </si>
  <si>
    <t>IIRM: Error “Something Went Wrong” on Clicking Policy Link in Bizdone Report</t>
  </si>
  <si>
    <t>IIRM-6394</t>
  </si>
  <si>
    <t>IIRM: Knowledge Central Page:Remove training material section from Knowledge central and put it under iLearn</t>
  </si>
  <si>
    <t>Munganti Sravani</t>
  </si>
  <si>
    <t>IIRM-6395</t>
  </si>
  <si>
    <t>In Manage Policy: Please refer to screenshot and remove the links</t>
  </si>
  <si>
    <t>IIRM-6396</t>
  </si>
  <si>
    <t>At the time of company creation in the application, error is coming, check screenshot</t>
  </si>
  <si>
    <t>IIRM-6397</t>
  </si>
  <si>
    <t>IIRM-6398</t>
  </si>
  <si>
    <t>IIRM: NEW Change requests testing Dashboard functionality</t>
  </si>
  <si>
    <t>IIRM-6399</t>
  </si>
  <si>
    <t>Manage Company Screen Enhancement (2)</t>
  </si>
  <si>
    <t>IIRM-6400</t>
  </si>
  <si>
    <t>Insurer Details Refactor_Placement slip Generation Activity</t>
  </si>
  <si>
    <t>IIRM-6401</t>
  </si>
  <si>
    <t>Endorsement: Validate inception data upload allowed only once before policy effective date</t>
  </si>
  <si>
    <t>IIRM-6402</t>
  </si>
  <si>
    <t>Endorsement: Verify endorsement data upload handles additions, deletions, and corrections</t>
  </si>
  <si>
    <t>IIRM-6403</t>
  </si>
  <si>
    <t>Endorsement: Ensure OS Ticket ID, endorsement type, and receive date are mandatory for each batch</t>
  </si>
  <si>
    <t>IIRM-6404</t>
  </si>
  <si>
    <t>Endorsement: Validate insurer communication captures date, document, details, and computed premium fields</t>
  </si>
  <si>
    <t>IIRM-6405</t>
  </si>
  <si>
    <t>Endorsement: Verify acknowledgement from insurer must include reference and document</t>
  </si>
  <si>
    <t>IIRM-6406</t>
  </si>
  <si>
    <t>Endorsement: Validate client confirmation allows only supported methods (phone/email/portal)</t>
  </si>
  <si>
    <t>IIRM-6407</t>
  </si>
  <si>
    <t>Endorsement: Verify TPA ID upload supports only allowed file formats and size</t>
  </si>
  <si>
    <t>IIRM-6408</t>
  </si>
  <si>
    <t>Endorsement: Verify e-card generation captures date, delivery method, and remarks</t>
  </si>
  <si>
    <t>IIRM-6409</t>
  </si>
  <si>
    <t>Endorsement: Validate reconciliation and closure requires all mandatory fields completed</t>
  </si>
  <si>
    <t>IIRM-6410</t>
  </si>
  <si>
    <t>Endorsement: POST /endorsements should create new endorsement with OS Ticket and policy number</t>
  </si>
  <si>
    <t>IIRM-6411</t>
  </si>
  <si>
    <t>Endorsement: Manage Policy CTA - Create Endorsement flow from global CTA</t>
  </si>
  <si>
    <t>IIRM-6412</t>
  </si>
  <si>
    <t>Endorsement: Manage Policy CTA - Edit existing endorsement</t>
  </si>
  <si>
    <t>IIRM-6413</t>
  </si>
  <si>
    <t>Endorsement: Quick Cards - Visibility and counts on Policy page</t>
  </si>
  <si>
    <t>IIRM-6414</t>
  </si>
  <si>
    <t>Endorsement: Smart Filters - Presence of all filter controls</t>
  </si>
  <si>
    <t>IIRM-6415</t>
  </si>
  <si>
    <t>Endorsement: Smart Filters - Apply multiple filters together</t>
  </si>
  <si>
    <t>IIRM-6416</t>
  </si>
  <si>
    <t>Endorsement: Smart Filters - Clear filters resets to default view</t>
  </si>
  <si>
    <t>IIRM-6417</t>
  </si>
  <si>
    <t>Endorsement: Smart Filters - Invalid date range</t>
  </si>
  <si>
    <t>IIRM-6418</t>
  </si>
  <si>
    <t>Endorsement: Smart Filters - Period aggregation changes metrics</t>
  </si>
  <si>
    <t>IIRM-6419</t>
  </si>
  <si>
    <t>Endorsement: Smart Filters - Owned By (workflow) filter</t>
  </si>
  <si>
    <t>IIRM-6420</t>
  </si>
  <si>
    <t>Endorsement: Smart Filters - Large dataset performance</t>
  </si>
  <si>
    <t>IIRM-6421</t>
  </si>
  <si>
    <t>Endorsement: GET /endorsements with filter params</t>
  </si>
  <si>
    <t>IIRM-6422</t>
  </si>
  <si>
    <t>Endorsement: GET /policies/{id}/quick-cards aggregates counts by stage</t>
  </si>
  <si>
    <t>IIRM-6423</t>
  </si>
  <si>
    <t>Endorsement: Smart Filters - Unsupported values rejected</t>
  </si>
  <si>
    <t>IIRM-6424</t>
  </si>
  <si>
    <t>Endorsement: Filters + Drilldown persistence across navigation</t>
  </si>
  <si>
    <t>IIRM-6425</t>
  </si>
  <si>
    <t>Single Insurer and Multiple Insurer level data points</t>
  </si>
  <si>
    <t>IIRM-6426</t>
  </si>
  <si>
    <t>Payment Type by Cheque/CD level issues</t>
  </si>
  <si>
    <t>IIRM-6427</t>
  </si>
  <si>
    <t>ClientPortfolio: Error message on View CTA: Oops, something went wrong’ when company has policy</t>
  </si>
  <si>
    <t>IIRM-6428</t>
  </si>
  <si>
    <t>ClientPortfolio: Navigations were not properly implemented</t>
  </si>
  <si>
    <t>IIRM-6431</t>
  </si>
  <si>
    <t>Clientportfolio: Spacing after company table, policy table, service score table alignments are not properly aligned.</t>
  </si>
  <si>
    <t>IIRM-6432</t>
  </si>
  <si>
    <t>ClientPortfolio: Space b/w company table and pagination not matching with policy table and servicescore table</t>
  </si>
  <si>
    <t>IIRM-6433</t>
  </si>
  <si>
    <t>ClientPortfolio: Filters were not valid on client portfolio page</t>
  </si>
  <si>
    <t>IIRM-6434</t>
  </si>
  <si>
    <t>Brokerage Collected Dial graph</t>
  </si>
  <si>
    <t>IIRM-6435</t>
  </si>
  <si>
    <t>P0_Restructure: Side Menu bar Sequence</t>
  </si>
  <si>
    <t>IIRM-6436</t>
  </si>
  <si>
    <t>P1_Service score table ( dynamic)</t>
  </si>
  <si>
    <t>IIRM-6437</t>
  </si>
  <si>
    <t>P2_Service score table breakdown (Logic)</t>
  </si>
  <si>
    <t>IIRM-6438</t>
  </si>
  <si>
    <t>Client (Company, Insurer, &amp; TPA) Logos - Upload, Save &amp; Retrieve</t>
  </si>
  <si>
    <t>IIRM-6439</t>
  </si>
  <si>
    <t>IIRM: Company Details: UI: UI issues</t>
  </si>
  <si>
    <t>IIRM-6440</t>
  </si>
  <si>
    <t>ClientPortfolio: Lovable few columns were missing on portal</t>
  </si>
  <si>
    <t>IIRM-6441</t>
  </si>
  <si>
    <t xml:space="preserve">ClientPortfolio: Validation thrown: Something went wrong, Please try again shown on navigating to policy number </t>
  </si>
  <si>
    <t>IIRM-6442</t>
  </si>
  <si>
    <t>ClientPortfolio: Company empty page should not be shown while navigating from policy details</t>
  </si>
  <si>
    <t>IIRM-6443</t>
  </si>
  <si>
    <t>P3: CD Management list</t>
  </si>
  <si>
    <t>IIRM-6444</t>
  </si>
  <si>
    <t>P4: CD Management Details</t>
  </si>
  <si>
    <t>IIRM-6445</t>
  </si>
  <si>
    <t>&lt;Place Holder&gt;</t>
  </si>
  <si>
    <t>IIRM-6446</t>
  </si>
  <si>
    <t>P6: Manage claims list</t>
  </si>
  <si>
    <t>IIRM-6447</t>
  </si>
  <si>
    <t>P7: Create CD Account</t>
  </si>
  <si>
    <t>IIRM-6448</t>
  </si>
  <si>
    <t>For informational items displayed on the platform, an "informational CTA icon" should be available to guide users to further details or related actions</t>
  </si>
  <si>
    <t>IIRM-6449</t>
  </si>
  <si>
    <t>My Business Performance" Implementation - Need to introduce a Indicators for total collected , total non collected premium in ( for lanka ) highlight non collected premium</t>
  </si>
  <si>
    <t>IIRM-6450</t>
  </si>
  <si>
    <t>For users within the IIRM Holdings group, the system should by default display relevant "commercial line" information for a specified "period." This should align with user privilege and data visibility requirements, as well as role-based access control</t>
  </si>
  <si>
    <t>IIRM-6451</t>
  </si>
  <si>
    <t>For companies and contacts, the default listing display should present those owned by the user and their team and do not enforce time period</t>
  </si>
  <si>
    <t>IIRM-6452</t>
  </si>
  <si>
    <t>Ensure that criteria available in filters can also be applied and reflected in table settings</t>
  </si>
  <si>
    <t>IIRM-6453</t>
  </si>
  <si>
    <t>Certain users like (Chairman ) must see data across all teams and departments based on their privilege or designation, even if they are not part of the standard reporting hierarchy to facilitate testing and data visibility</t>
  </si>
  <si>
    <t>IIRM-6454</t>
  </si>
  <si>
    <t>AI agent to analyze email tones and sentiments, identifying annoyance or other negative emotions that could impact business opportunities</t>
  </si>
  <si>
    <t>IIRM-6455</t>
  </si>
  <si>
    <t>For Endorsements &amp; Claims, provide navigate to manage endorsements and manage claims pages respectively.</t>
  </si>
  <si>
    <t>IIRM-6456</t>
  </si>
  <si>
    <t>CDManagment: Verify CD account listing displays all required columns with hyperlinks</t>
  </si>
  <si>
    <t>IIRM-6457</t>
  </si>
  <si>
    <t>CDManagment: Verify Replenish/Top-up CTA adds CD amount</t>
  </si>
  <si>
    <t>IIRM-6458</t>
  </si>
  <si>
    <t>CDManagment: Validate CD Account detail page shows account details and linked policies</t>
  </si>
  <si>
    <t>IIRM-6459</t>
  </si>
  <si>
    <t>CDManagment: Verify transaction history shows correct debit/credit with constraints</t>
  </si>
  <si>
    <t>IIRM-6460</t>
  </si>
  <si>
    <t>CDManagment: Export functionality from transaction history</t>
  </si>
  <si>
    <t>IIRM-6461</t>
  </si>
  <si>
    <t>CDManagment: Filter capability for transaction history</t>
  </si>
  <si>
    <t>IIRM-6462</t>
  </si>
  <si>
    <t>CDManagment: Create CD Account without opening balance</t>
  </si>
  <si>
    <t>IIRM-6463</t>
  </si>
  <si>
    <t>CDManagment: Create CD Account with opening balance</t>
  </si>
  <si>
    <t>IIRM-6464</t>
  </si>
  <si>
    <t>CDManagment: Attempt to create CD Account linking policies with different insurers</t>
  </si>
  <si>
    <t>IIRM-6465</t>
  </si>
  <si>
    <t>CDManagment: Navigation from Policy Detail to Add CD Amount page</t>
  </si>
  <si>
    <t>IIRM-6466</t>
  </si>
  <si>
    <t>CDManagment: Navigation from CD Summary card on Policy Detail to CD Account Detail page</t>
  </si>
  <si>
    <t>IIRM-6467</t>
  </si>
  <si>
    <t>My service follow up Widget</t>
  </si>
  <si>
    <t>Blocked</t>
  </si>
  <si>
    <t>IIRM-6468</t>
  </si>
  <si>
    <t>For any unauthorized portion of the screen, you should not display as "Unauthorised access". Instead that place holder should be invisible and next portions should automatically adjust.</t>
  </si>
  <si>
    <t>IIRM-6470</t>
  </si>
  <si>
    <t>IIRM: Filters: Owner dropdown is not auto-selected with current user name when “View By” is applied</t>
  </si>
  <si>
    <t>IIRM-6471</t>
  </si>
  <si>
    <t>IIRM: Unable to Resubmit Held Cover Note Activity After Manager Rejection</t>
  </si>
  <si>
    <t>IIRM-6472</t>
  </si>
  <si>
    <t>IIRM: SO/RO – Managers list not displayed when filtering by current user and Manager</t>
  </si>
  <si>
    <t>IIRM-6473</t>
  </si>
  <si>
    <t>Production Issues</t>
  </si>
  <si>
    <t>IIRM-6474</t>
  </si>
  <si>
    <t>Biz done: Whenever I changing the owner, Manager+Team is getting unselected.</t>
  </si>
  <si>
    <t>IIRM-6475</t>
  </si>
  <si>
    <t>Other than IIRM India, no one is getting the following. If you have made this card specific to Country, just populate the same for them too.</t>
  </si>
  <si>
    <t>IIRM-6473 — Production Issues</t>
  </si>
  <si>
    <t>IIRM-6476</t>
  </si>
  <si>
    <t>Selected Deepali, who heads Speciality Lines should not get ROs not related to her. Whole filters started working differently.</t>
  </si>
  <si>
    <t>IIRM-6477</t>
  </si>
  <si>
    <t>My SO page is talking too much time to load.</t>
  </si>
  <si>
    <t>IIRM-6478</t>
  </si>
  <si>
    <t>Maintain two decimals only: Stage Conversion</t>
  </si>
  <si>
    <t>IIRM-6479</t>
  </si>
  <si>
    <t>some thing went wrong" appearing if data is not available on applied filters.</t>
  </si>
  <si>
    <t>IIRM-6480</t>
  </si>
  <si>
    <t>Even thou 'deviation addressed' marked No we can submit activity for approval</t>
  </si>
  <si>
    <t>IIRM-6481</t>
  </si>
  <si>
    <t>revised held cover selected as NO stll we were able to submit the activity</t>
  </si>
  <si>
    <t>IIRM-6482</t>
  </si>
  <si>
    <t>post submission from ISG exec it shows waiting for approval(freezed), however in ISG managers bucket it shows submit for approval(Unfreezed).</t>
  </si>
  <si>
    <t>IIRM-6483</t>
  </si>
  <si>
    <t>IIRM: Dashboard Changes Testing on QA Environment</t>
  </si>
  <si>
    <t>IIRM-6484</t>
  </si>
  <si>
    <t>IIRM-6485</t>
  </si>
  <si>
    <t>IIRM: Opportunity changes(Held cover note) verification</t>
  </si>
  <si>
    <t>IIRM-6486</t>
  </si>
  <si>
    <t>IIRM: Dashboard Changes verification on QA Environment</t>
  </si>
  <si>
    <t>IIRM-6487</t>
  </si>
  <si>
    <t>In policy section, the policy record should the link to the related RO. On click, navigate user to manage RO page.</t>
  </si>
  <si>
    <t>IIRM-6488</t>
  </si>
  <si>
    <t>Back End - Lead tasks (Planning, Code Review, team Support)</t>
  </si>
  <si>
    <t>IIRM-6489</t>
  </si>
  <si>
    <t>Project Lead tasks (Planning, Code Review, team Support)</t>
  </si>
  <si>
    <t>IIRM-6490</t>
  </si>
  <si>
    <t>Endorsement: Search functionality not working, Error thrown "Something went wrong"</t>
  </si>
  <si>
    <t>IIRM-6491</t>
  </si>
  <si>
    <t>Endorsement list – Count resets to 0 on page refresh with new data</t>
  </si>
  <si>
    <t>IIRM-6492</t>
  </si>
  <si>
    <t xml:space="preserve">Pending fixes &amp; enhancements after feedback - Manage Endorsement </t>
  </si>
  <si>
    <t>IIRM-6493</t>
  </si>
  <si>
    <t>Endorsement ID / upload</t>
  </si>
  <si>
    <t xml:space="preserve">IIRM-6492 — Pending fixes &amp; enhancements after feedback - Manage Endorsement </t>
  </si>
  <si>
    <t>IIRM-6494</t>
  </si>
  <si>
    <t>Defaults &amp; calculations</t>
  </si>
  <si>
    <t>IIRM-6495</t>
  </si>
  <si>
    <t>Tracking &amp; reporting</t>
  </si>
  <si>
    <t>IIRM-6496</t>
  </si>
  <si>
    <t>Emails, toasts &amp; confirmations</t>
  </si>
  <si>
    <t>IIRM-6497</t>
  </si>
  <si>
    <t>CD Management | My Client Portfolio | Claims listing demo feedback quick fixes and enhancements</t>
  </si>
  <si>
    <t>IIRM-6498</t>
  </si>
  <si>
    <t>Add Claims date in claims table in policy dashboard</t>
  </si>
  <si>
    <t>IIRM-6497 — CD Management | My Client Portfolio | Claims listing demo feedback quick fixes and enhancements</t>
  </si>
  <si>
    <t>IIRM-6499</t>
  </si>
  <si>
    <t>In Client Portfolio, Service score should show latest month</t>
  </si>
  <si>
    <t>IIRM-6500</t>
  </si>
  <si>
    <t>Adjust the table number rows to 10 ( Where ever tables are there)</t>
  </si>
  <si>
    <t>IIRM-6501</t>
  </si>
  <si>
    <t>Remove view button border</t>
  </si>
  <si>
    <t>IIRM-6502</t>
  </si>
  <si>
    <t>Remove all borders on all clicks</t>
  </si>
  <si>
    <t>IIRM-6503</t>
  </si>
  <si>
    <t>Add cross icon to close information popup on claims</t>
  </si>
  <si>
    <t>IIRM-6504</t>
  </si>
  <si>
    <t>TAT days may have 3 more buckets ( 15 - 30, 30 - 45, 45+) TBD</t>
  </si>
  <si>
    <t>IIRM-6505</t>
  </si>
  <si>
    <t>Change Status Label in CD management</t>
  </si>
  <si>
    <t>IIRM-6506</t>
  </si>
  <si>
    <t>CD Management List - change Amount to Balance</t>
  </si>
  <si>
    <t>IIRM-6507</t>
  </si>
  <si>
    <t>Add + Icon before (Add CD Balance)</t>
  </si>
  <si>
    <t>IIRM-6508</t>
  </si>
  <si>
    <t>Add CD Balance - Transaction Type might be Credit and Adjust (TBD)</t>
  </si>
  <si>
    <t>IIRM-6509</t>
  </si>
  <si>
    <t>Change the column name “Transactions / Checkid date”</t>
  </si>
  <si>
    <t>IIRM-6510</t>
  </si>
  <si>
    <t>Change the sub title CD management list page - Cash deposit to caution deposit</t>
  </si>
  <si>
    <t>IIRM-6511</t>
  </si>
  <si>
    <t>Alert in CD management list - If minimum balance is less than 7.5% ( of gross premium)</t>
  </si>
  <si>
    <t>IIRM-6512</t>
  </si>
  <si>
    <t>IIRM: Manage Company: “Something went wrong. Please try again.” message displayed</t>
  </si>
  <si>
    <t>IIRM-6513</t>
  </si>
  <si>
    <t>IIRM: Permission Error Thrown for Specific User (ISG Executive)</t>
  </si>
  <si>
    <t>IIRM-6514</t>
  </si>
  <si>
    <t>Endorsement: Uploaded records is not getting stored and not visible on track</t>
  </si>
  <si>
    <t>IIRM-6515</t>
  </si>
  <si>
    <t>Endorsement: Field input retains leading zero instead of trimming</t>
  </si>
  <si>
    <t>IIRM-6516</t>
  </si>
  <si>
    <t>Endorsement: Glitch appears on process steps</t>
  </si>
  <si>
    <t>IIRM-6517</t>
  </si>
  <si>
    <t>Myclientportfolio: Instead of Policynumber, policy type showing in policy number column</t>
  </si>
  <si>
    <t>IIRM-6518</t>
  </si>
  <si>
    <t>CD: Policytype should not be shown twice</t>
  </si>
  <si>
    <t>IIRM-6519</t>
  </si>
  <si>
    <t>Implement last-mile clickability for all relevant tables in the application.</t>
  </si>
  <si>
    <t>IIRM-6520</t>
  </si>
  <si>
    <t>IIRM: Planning Stage: Fields remain editable before activity assignment</t>
  </si>
  <si>
    <t>IIRM-6521</t>
  </si>
  <si>
    <t>Policy Update &amp; Activation</t>
  </si>
  <si>
    <t>IIRM-6522</t>
  </si>
  <si>
    <t>IIRM: AI Services Failing to Process Business Card</t>
  </si>
  <si>
    <t>IIRM-6523</t>
  </si>
  <si>
    <t>CD: Back naviagtion missing for CD management transaction page</t>
  </si>
  <si>
    <t>IIRM-6524</t>
  </si>
  <si>
    <t>CD: Back navigation missing for add CD balance page</t>
  </si>
  <si>
    <t>IIRM-6525</t>
  </si>
  <si>
    <t>CD: Cd account details: Empty displayed in alert column and Percentage level not shown in min balance column</t>
  </si>
  <si>
    <t>On Hold</t>
  </si>
  <si>
    <t>IIRM-6526</t>
  </si>
  <si>
    <t>CD: In create CD account page, Cd account number field should not get down and if policy linked to company "No policy message should be shown on UI"</t>
  </si>
  <si>
    <t>IIRM-6527</t>
  </si>
  <si>
    <t>CD: Created CD account not reflecting in CD account details</t>
  </si>
  <si>
    <t>IIRM-6528</t>
  </si>
  <si>
    <t>CD: Add a search default text as "Search by company name or CD account number"</t>
  </si>
  <si>
    <t>IIRM-6529</t>
  </si>
  <si>
    <t>Claims: Filters not matching when compared to lovable filters</t>
  </si>
  <si>
    <t>IIRM-6530</t>
  </si>
  <si>
    <t>IIRM: Policy Hard Copy Receipt: Basic Amount not updating when changes are made in previous activities</t>
  </si>
  <si>
    <t>IIRM-6531</t>
  </si>
  <si>
    <t>Client Service Score</t>
  </si>
  <si>
    <t>IIRM-6532</t>
  </si>
  <si>
    <t>Service Contribution</t>
  </si>
  <si>
    <t>IIRM-6533</t>
  </si>
  <si>
    <t>TAT Buckets</t>
  </si>
  <si>
    <t>IIRM-6534</t>
  </si>
  <si>
    <t>Service Period and Reporting Logic</t>
  </si>
  <si>
    <t>IIRM-6535</t>
  </si>
  <si>
    <t>Service-Level Score Calculation</t>
  </si>
  <si>
    <t>IIRM-6536</t>
  </si>
  <si>
    <t>Weighted Score Calculation</t>
  </si>
  <si>
    <t>IIRM-6537</t>
  </si>
  <si>
    <t>Exception Handling for Services</t>
  </si>
  <si>
    <t>IIRM-6538</t>
  </si>
  <si>
    <t>IIRM: Policy Hard Copy Receipt: Error message displayed when setting “Any Deviation = No” and completing the activity</t>
  </si>
  <si>
    <t>IIRM-6539</t>
  </si>
  <si>
    <t>IIRM: Policy Docket: Submit for Approval button unresponsive when mandate details are not entered</t>
  </si>
  <si>
    <t>IIRM-6540</t>
  </si>
  <si>
    <t>IIRM: Policy Hard Copy Receipt and Policy Confirmation: UI issues</t>
  </si>
  <si>
    <t>IIRM-6541</t>
  </si>
  <si>
    <t>ServiceScore: One service score per client per month is generated and stored</t>
  </si>
  <si>
    <t>IIRM-6542</t>
  </si>
  <si>
    <t>ServiceScore: Per-service Achieved vs Total counts follow TAT rule and configured weights</t>
  </si>
  <si>
    <t>IIRM-6543</t>
  </si>
  <si>
    <t>ServiceScore: Weighted Score = (Achieved / Total) × service weightage</t>
  </si>
  <si>
    <t>IIRM-6544</t>
  </si>
  <si>
    <t>ServiceScore: Overall client score equals sum of applicable services' weighted scores</t>
  </si>
  <si>
    <t>IIRM-6545</t>
  </si>
  <si>
    <t>ServiceScore: Exclude non-applicable services from calculation (Exception Service Weightage)</t>
  </si>
  <si>
    <t>IIRM-6546</t>
  </si>
  <si>
    <t>ServiceScore: Exclude services applicable but not availed in a month</t>
  </si>
  <si>
    <t>IIRM-6547</t>
  </si>
  <si>
    <t>ServiceScore: Zero Total transactions for a service (divide-by-zero handling)</t>
  </si>
  <si>
    <t>IIRM-6548</t>
  </si>
  <si>
    <t>ServiceScore: All transactions breach TAT (no compliant buckets)</t>
  </si>
  <si>
    <t>IIRM-6549</t>
  </si>
  <si>
    <t>ServiceScore: All transactions compliant (perfect TAT)</t>
  </si>
  <si>
    <t>IIRM-6550</t>
  </si>
  <si>
    <t>ServiceScore: TAT bucket mapping uses configured ranges per service</t>
  </si>
  <si>
    <t>IIRM-6551</t>
  </si>
  <si>
    <t>ServiceScore: Previous month service period calculation window logic</t>
  </si>
  <si>
    <t>IIRM-6552</t>
  </si>
  <si>
    <t>ServiceScore: Current month service period calculation window logic (reporting mid-month)</t>
  </si>
  <si>
    <t>IIRM-6553</t>
  </si>
  <si>
    <t>ServiceScore: UI: Aging and TAT views are separate but read from same backend table</t>
  </si>
  <si>
    <t>IIRM-6554</t>
  </si>
  <si>
    <t>ServiceScore: Recompute after late data changes updates monthly score</t>
  </si>
  <si>
    <t>IIRM-6555</t>
  </si>
  <si>
    <t>ServiceScore: Idempotency: Running scoring with same data yields same results</t>
  </si>
  <si>
    <t>IIRM-6556</t>
  </si>
  <si>
    <t>ServiceScore: Per-service detail drilldown: bucket counts and Achieved/Total</t>
  </si>
  <si>
    <t>IIRM-6557</t>
  </si>
  <si>
    <t>ServiceScore: Export of monthly scores matches on-screen values</t>
  </si>
  <si>
    <t>IIRM-6558</t>
  </si>
  <si>
    <t>ServiceScore: Very large dataset computes within SLA</t>
  </si>
  <si>
    <t>IIRM-6559</t>
  </si>
  <si>
    <t>ServiceScore: Role-based access: Only authorized roles can recompute or change config</t>
  </si>
  <si>
    <t>IIRM-6560</t>
  </si>
  <si>
    <t>ServiceScore: Indicator color (Green/Amber/Red) based on Scored% thresholds</t>
  </si>
  <si>
    <t>IIRM-6561</t>
  </si>
  <si>
    <t>ServiceScore: Per-service totals reconcile: sum of bucket counts equals Total; compliant bucket contributes Achieved</t>
  </si>
  <si>
    <t>IIRM-6562</t>
  </si>
  <si>
    <t>ServiceScore: Filter by client and month updates all widgets consistently</t>
  </si>
  <si>
    <t>IIRM-6563</t>
  </si>
  <si>
    <t>ServiceScore: Missing service weightage for applicable service triggers validation</t>
  </si>
  <si>
    <t>IIRM-6564</t>
  </si>
  <si>
    <t>ServiceScore: Missing TAT configuration prevents scoring for that service</t>
  </si>
  <si>
    <t>IIRM-6565</t>
  </si>
  <si>
    <t>ServiceScore: GET /service-scores?client&amp;month returns overall and per-service metrics</t>
  </si>
  <si>
    <t>IIRM-6566</t>
  </si>
  <si>
    <t>ServiceScore: POST /service-scores/recompute recomputes score and persists</t>
  </si>
  <si>
    <t>IIRM-6567</t>
  </si>
  <si>
    <t>ServiceScore: GET /service-scores without required params returns 400</t>
  </si>
  <si>
    <t>IIRM-6568</t>
  </si>
  <si>
    <t>ServiceScore: GET /service-scores/details returns Aging and TAT blocks from same source</t>
  </si>
  <si>
    <t>IIRM-6569</t>
  </si>
  <si>
    <t>ServiceScore: Rounding/precision uniform across UI and API for weighted and overall score</t>
  </si>
  <si>
    <t>IIRM-6570</t>
  </si>
  <si>
    <t>ServiceScore: Locking/finalization: monthly score snapshots become immutable when locked</t>
  </si>
  <si>
    <t>IIRM-6571</t>
  </si>
  <si>
    <t>IIRM: Manage Policy: Cover details not updating</t>
  </si>
  <si>
    <t>IIRM-6572</t>
  </si>
  <si>
    <t>Endorsement: File upload is getting failed for Self+dependent</t>
  </si>
  <si>
    <t>IIRM-6573</t>
  </si>
  <si>
    <t>Endorsment: Typo on insurer button</t>
  </si>
  <si>
    <t>IIRM-6574</t>
  </si>
  <si>
    <t>Endorsment: Negative values should not be shown on insurer akc</t>
  </si>
  <si>
    <t>IIRM-6575</t>
  </si>
  <si>
    <t>Endorsement: Track endorsement columns data not getting triggered</t>
  </si>
  <si>
    <t>IIRM-6576</t>
  </si>
  <si>
    <t>Manage Endorsement Non GMC |  Capture Endorsement Request / Inception Data</t>
  </si>
  <si>
    <t>IIRM-6577</t>
  </si>
  <si>
    <t>Manage Endorsement Non GMC | Manage Premium Handling for Non-GMC</t>
  </si>
  <si>
    <t>IIRM-6578</t>
  </si>
  <si>
    <t>Manage Endorsement Non GMC | Manage Covers and Sub-Covers</t>
  </si>
  <si>
    <t>IIRM-6579</t>
  </si>
  <si>
    <t>Manage Endorsement Non GMC | Handle Standardized Templates</t>
  </si>
  <si>
    <t>IIRM-6580</t>
  </si>
  <si>
    <t>Manage Endorsement Non GMC | Process Flow Alignment with GMC</t>
  </si>
  <si>
    <t>IIRM-6581</t>
  </si>
  <si>
    <t>CD Management: Unable to select policies</t>
  </si>
  <si>
    <t>IIRM-6582</t>
  </si>
  <si>
    <t>Generate Placement Slip PDF based on Policy &amp; Download</t>
  </si>
  <si>
    <t>IIRM-6584</t>
  </si>
  <si>
    <t>In the filter we have made the manager+team as default selection</t>
  </si>
  <si>
    <t>IIRM-6585</t>
  </si>
  <si>
    <t>In the financial year filter we are currently considering the fiscal year starting to till date changed it to fiscal year starting to fiscal year end</t>
  </si>
  <si>
    <t>IIRM-6586</t>
  </si>
  <si>
    <t>In the dashboard, Total drill down count mismatch issue</t>
  </si>
  <si>
    <t>IIRM-6587</t>
  </si>
  <si>
    <t>Addressed the Deviations related Issues in Held Cover Note Policy Hard Copy Receipt Policy Confirmation</t>
  </si>
  <si>
    <t>IIRM-6588</t>
  </si>
  <si>
    <t>Smart Filter - Fixed the issues with Period Filter</t>
  </si>
  <si>
    <t>IIRM-6589</t>
  </si>
  <si>
    <t>When a user selects a From Date and To Date in the filter, the system should display data only for that selected period. The user should not be allowed to select a predefined period (e.g., 3 months, 6 months) and then further customize the date range.</t>
  </si>
  <si>
    <t>IIRM-6590</t>
  </si>
  <si>
    <t>Addressed Dashboard Counts mismatch issue</t>
  </si>
  <si>
    <t>IIRM-6591</t>
  </si>
  <si>
    <t>RO / SO owner need to check and if the owner is from ISG team then need to check and change it to BD team member.</t>
  </si>
  <si>
    <t>IIRM-6592</t>
  </si>
  <si>
    <t>Assets need to add for the policies which has the default covers</t>
  </si>
  <si>
    <t>IIRM-6593</t>
  </si>
  <si>
    <t>Dashboard count mismatch issue.</t>
  </si>
  <si>
    <t>IIRM-6594</t>
  </si>
  <si>
    <t>IIRM: Dashboard: Incorrect data reflected in Business Overview, Claims Overview, and Policy Type Distribution KPIs</t>
  </si>
  <si>
    <t>IIRM-6595</t>
  </si>
  <si>
    <t>IIRM: Dashboard: View Portfolio button in Policy Type Distribution KPI navigates user to My Client Portfolio instead of Manage Policies</t>
  </si>
  <si>
    <t>IIRM-6596</t>
  </si>
  <si>
    <t>IIRM: Dashboard: Filters not set to correct values when navigating from KPI widgets</t>
  </si>
  <si>
    <t>IIRM-6597</t>
  </si>
  <si>
    <t>UAT Bugs</t>
  </si>
  <si>
    <t>IIRM-6598</t>
  </si>
  <si>
    <t>Unable to download endorsement template today.( yesterday we could download and proceed)</t>
  </si>
  <si>
    <t>IIRM-6597 — UAT Bugs</t>
  </si>
  <si>
    <t>IIRM-6599</t>
  </si>
  <si>
    <t>Inception data field- yet to be deployed.  Currently we are processing from Create endorsement tab for inception data as well.</t>
  </si>
  <si>
    <t>IIRM-6600</t>
  </si>
  <si>
    <t>Template for Non financial is same as financial</t>
  </si>
  <si>
    <t>IIRM-6601</t>
  </si>
  <si>
    <t>In Transaction history for CD- policy no, endt no, endt type is blank (list view)</t>
  </si>
  <si>
    <t>IIRM-6602</t>
  </si>
  <si>
    <t>Cannot continue the endt process if we pause in between eg.  if step 2 is done today and we try to continue step 3 next day we are unable to proceed.</t>
  </si>
  <si>
    <t>IIRM-6603</t>
  </si>
  <si>
    <t>Unable to create CD account</t>
  </si>
  <si>
    <t>IIRM-6604</t>
  </si>
  <si>
    <t>Endorsement: Intake type should be inception for inception download file.</t>
  </si>
  <si>
    <t>IIRM-6605</t>
  </si>
  <si>
    <t>IIRM: Mismatch in Filter Results Between Month and Start–End Date in Period Filter</t>
  </si>
  <si>
    <t>IIRM-6606</t>
  </si>
  <si>
    <t>Inception: Failed to create inception</t>
  </si>
  <si>
    <t>IIRM-6607</t>
  </si>
  <si>
    <t>Inception: Step saved successfully is not user friendly toast message at final step.</t>
  </si>
  <si>
    <t>IIRM-6608</t>
  </si>
  <si>
    <t>IIRM: Blank Screen Displayed on Save Action in Company List Page</t>
  </si>
  <si>
    <t>IIRM-6609</t>
  </si>
  <si>
    <t>Filters: From and to dates were not matching based on the financial year</t>
  </si>
  <si>
    <t>IIRM-6610</t>
  </si>
  <si>
    <t>Breadcrumb: Dashboard breadcrumb missing for business overview , manage claims , view portfolio and policy expiry timeline</t>
  </si>
  <si>
    <t>IIRM-6611</t>
  </si>
  <si>
    <t>Rectify Funnel Stage Labels &amp; Reorder Tabs</t>
  </si>
  <si>
    <t>IIRM-6612</t>
  </si>
  <si>
    <t>Filters: Owner field defaults to “Jom” instead of latest saved filter view when filters are Reset</t>
  </si>
  <si>
    <t>IIRM-6613</t>
  </si>
  <si>
    <t>Inception: Instead of step saved successfully show relative step message</t>
  </si>
  <si>
    <t>IIRM-6614</t>
  </si>
  <si>
    <t>Create Claims - Group policies</t>
  </si>
  <si>
    <t>IIRM-6615</t>
  </si>
  <si>
    <t>Claims: Oops something went wrong shown on upload claim data file</t>
  </si>
  <si>
    <t>IIRM-6616</t>
  </si>
  <si>
    <t>IIRM:Complete Filter and Settings Persistence Across Navigation and Sessions</t>
  </si>
  <si>
    <t>IIRM-6617</t>
  </si>
  <si>
    <t>IIRM: Default Configuration Update and Override</t>
  </si>
  <si>
    <t>IIRM-6618</t>
  </si>
  <si>
    <t>IIRM: Maximum Configuration Load in all filter and table settings</t>
  </si>
  <si>
    <t>IIRM-6619</t>
  </si>
  <si>
    <t>IIRM: Financial Year and Period Selection with Field Interdependencies</t>
  </si>
  <si>
    <t>IIRM-6620</t>
  </si>
  <si>
    <t>IIRM: Month Selection and Manual FromDate with Complex Field Logic</t>
  </si>
  <si>
    <t>IIRM-6621</t>
  </si>
  <si>
    <t xml:space="preserve">Manager is not able to see CD ac details created by executive  and himself </t>
  </si>
  <si>
    <t>IIRM-6622</t>
  </si>
  <si>
    <t>IIRM-6623</t>
  </si>
  <si>
    <t xml:space="preserve"> In my client portfolio screen policy count sorting is not working</t>
  </si>
  <si>
    <t>IIRM-6624</t>
  </si>
  <si>
    <t>Claims (Non-GMC): Create &amp; Manage</t>
  </si>
  <si>
    <t>IIRM-6625</t>
  </si>
  <si>
    <t>Search by company is disabled in Manage endorsements</t>
  </si>
  <si>
    <t>IIRM-6626</t>
  </si>
  <si>
    <t>IIRM: SO Records Count Mismatch Between Yearly and Monthly Filters</t>
  </si>
  <si>
    <t>Not - Reproducible</t>
  </si>
  <si>
    <t>IIRM-6627</t>
  </si>
  <si>
    <t>CD balance not reflecting after add cd balance - eg Company name "Royals'</t>
  </si>
  <si>
    <t>IIRM-6628</t>
  </si>
  <si>
    <t>Endorsement issues</t>
  </si>
  <si>
    <t>IIRM-6629</t>
  </si>
  <si>
    <t>IIRM: City Filter in Contact List Showing Results Based on Company City Instead of Contact City</t>
  </si>
  <si>
    <t>IIRM-6630</t>
  </si>
  <si>
    <t>Inception/ ENdorsement: NEFT , RTGS should be in capital</t>
  </si>
  <si>
    <t>IIRM-6631</t>
  </si>
  <si>
    <t>TAT widgets are placed above Team celebrations  and announcements</t>
  </si>
  <si>
    <t>IIRM-6632</t>
  </si>
  <si>
    <t>Dollar sign in my portfolio and manage claims</t>
  </si>
  <si>
    <t>IIRM-6633</t>
  </si>
  <si>
    <t>Business View My Portfolio filter drilldown and count mismatch</t>
  </si>
  <si>
    <t>IIRM-6634</t>
  </si>
  <si>
    <t>Inception: For inception process, endorsement should not show in download endorsement file</t>
  </si>
  <si>
    <t>IIRM-6635</t>
  </si>
  <si>
    <t>IIRM:Dashboard Filter and new Widgets verification</t>
  </si>
  <si>
    <t>IIRM-6636</t>
  </si>
  <si>
    <t>IIRM: Filter persistance and Breadcrumb Navigation on QA Environment</t>
  </si>
  <si>
    <t>IIRM-6637</t>
  </si>
  <si>
    <t>IIRM: Ready for QA  tickets verification and regression on related module testing</t>
  </si>
  <si>
    <t>IIRM-6638</t>
  </si>
  <si>
    <t xml:space="preserve">Claim: Unable to get uploaded claim count on settled and pending </t>
  </si>
  <si>
    <t>IIRM-6639</t>
  </si>
  <si>
    <t>Claims: claim batch Sorting is not matching through out the application</t>
  </si>
  <si>
    <t>IIRM-6640</t>
  </si>
  <si>
    <t>Claims: Processing message is not getting updated</t>
  </si>
  <si>
    <t>IIRM-6641</t>
  </si>
  <si>
    <t>Finalised Quotes are not getting displayed in Meeting for Final Negotiation</t>
  </si>
  <si>
    <t>SaiBhargavi</t>
  </si>
  <si>
    <t>IIRM-6642</t>
  </si>
  <si>
    <t>IIRM: Navigation Steps Not Displayed Properly (N+2 Issue)</t>
  </si>
  <si>
    <t>IIRM-6643</t>
  </si>
  <si>
    <t>If a configuration is first rejected and then approved, the approved update is not applied, and the process cannot move forward</t>
  </si>
  <si>
    <t>IIRM-762 — SOW#35 - Configuration Management</t>
  </si>
  <si>
    <t>IIRM-6644</t>
  </si>
  <si>
    <t>In the Manage Endorsement screen, no data is displayed, and an error message “Something went wrong” appears every time.</t>
  </si>
  <si>
    <t>IIRM-6645</t>
  </si>
  <si>
    <t>In the CD Management screen, the filter module is missing.</t>
  </si>
  <si>
    <t>IIRM-6646</t>
  </si>
  <si>
    <t>IIRM: Dashboard: Filters selected in Dashboard are not applied in the Manage Policy Screen navigated through Policy Expiry Timelines section</t>
  </si>
  <si>
    <t>IIRM-6647</t>
  </si>
  <si>
    <t>Policy premium doesnt match in all screens</t>
  </si>
  <si>
    <t>IIRM-6648</t>
  </si>
  <si>
    <t>Claims: On policy dashboard claims summary count not matching</t>
  </si>
  <si>
    <t>IIRM-6649</t>
  </si>
  <si>
    <t>Claims: For self + dependent claim data upload is getting fail</t>
  </si>
  <si>
    <t>IIRM-6650</t>
  </si>
  <si>
    <t>ISG Executive Policy Ownership Requirement</t>
  </si>
  <si>
    <t>IIRM-6651</t>
  </si>
  <si>
    <t>If a configuration is first rejected and then approved, the approved update is not applied, and the process cannot move forward.</t>
  </si>
  <si>
    <t>IIRM-6652</t>
  </si>
  <si>
    <t>In the inception stage, while uploading a file, a pop-up appears and prevents the file from being uploaded.</t>
  </si>
  <si>
    <t>IIRM-6653</t>
  </si>
  <si>
    <t>IIRM-6654</t>
  </si>
  <si>
    <t>IIRM-6655</t>
  </si>
  <si>
    <t>When the user navigates from the Policy Expiry Timeline, the filters selected there are not applied in the Manage Policy screen.</t>
  </si>
  <si>
    <t>IIRM-6656</t>
  </si>
  <si>
    <t>bread crumbs &amp;drill down are not working (new widgets)</t>
  </si>
  <si>
    <t>IIRM-6657</t>
  </si>
  <si>
    <t>count doesn't match at drill down at policy expiry timeline widget.</t>
  </si>
  <si>
    <t>IIRM-6658</t>
  </si>
  <si>
    <t>Filter are not applicable when going through Policy expiry timeline widget to manage policy screen.</t>
  </si>
  <si>
    <t>IIRM-6659</t>
  </si>
  <si>
    <t>For all users in UAT by default owner is selected as Surya Mohan.</t>
  </si>
  <si>
    <t>IIRM-6660</t>
  </si>
  <si>
    <t>policy type distribution count are not matching with manage policy count.</t>
  </si>
  <si>
    <t>IIRM-6661</t>
  </si>
  <si>
    <t>In manage endorsement filters and search button is freezed.</t>
  </si>
  <si>
    <t>IIRM-6662</t>
  </si>
  <si>
    <t>My client portfolio search button is not working and drill down count is not matching.</t>
  </si>
  <si>
    <t>IIRM-6663</t>
  </si>
  <si>
    <t>Remove the dollar $ sign in dash board(claims overview business overview).</t>
  </si>
  <si>
    <t>IIRM-6664</t>
  </si>
  <si>
    <t>Dashboard Issue: The color coding need to be adjusted for better visibility in Endorsement TAT and Claims TAT widgets.</t>
  </si>
  <si>
    <t>IIRM-6665</t>
  </si>
  <si>
    <t>Manage Endorsement Screen – Filter Issue: The filters on the Manage Endorsement screen are frozen and not functioning as expected.</t>
  </si>
  <si>
    <t>IIRM-6666</t>
  </si>
  <si>
    <t>Navigation Error: Clicking on any policy in the Manage Endorsement screen redirects to the</t>
  </si>
  <si>
    <t>IIRM-6667</t>
  </si>
  <si>
    <t>Manage Policy screen, but results in a "Something went wrong" error.</t>
  </si>
  <si>
    <t>IIRM-6668</t>
  </si>
  <si>
    <t>Title Correction: The title "Employee Dependent Status" should be updated to "Employee and Dependent Status" for clarity.</t>
  </si>
  <si>
    <t>IIRM-6669</t>
  </si>
  <si>
    <t>CD Balance Clarification: Users should be informed of the exact amount to be added to the CD balance based on the gross premium value.,</t>
  </si>
  <si>
    <t>IIRM-6670</t>
  </si>
  <si>
    <t>CD Balance Tracking: All three types of CD balances—IIRM, Client, and Insurer should be tracked and displayed clearly in the system.</t>
  </si>
  <si>
    <t>IIRM-6671</t>
  </si>
  <si>
    <t>Add * mark in ADD CD balance screen which are mandatory and for endorsement flow.</t>
  </si>
  <si>
    <t>IIRM-6672</t>
  </si>
  <si>
    <t>CD Management: Implement Filter</t>
  </si>
  <si>
    <t>IIRM-6673</t>
  </si>
  <si>
    <t>Claims: Claim ID not getting triggered in track claims table</t>
  </si>
  <si>
    <t>IIRM-6675</t>
  </si>
  <si>
    <t>Navigate to Create a Claim for a Non-GMC Policy</t>
  </si>
  <si>
    <t>IIRM-6624 — Claims (Non-GMC): Create &amp; Manage</t>
  </si>
  <si>
    <t>IIRM-6676</t>
  </si>
  <si>
    <t>Scenario-2: Save a Claim as Draft</t>
  </si>
  <si>
    <t>IIRM-6677</t>
  </si>
  <si>
    <t>Scenario-3: Create a Claim ID in both scenario either as Draft or Next CTA in the “Claim Informed“</t>
  </si>
  <si>
    <t>IIRM-6678</t>
  </si>
  <si>
    <t>Scenario-4: Validate data, Save it and Move to next step</t>
  </si>
  <si>
    <t>IIRM-6679</t>
  </si>
  <si>
    <t>IIRM: Verify Policy Type Distribution Card Functionality</t>
  </si>
  <si>
    <t>IIRM-6680</t>
  </si>
  <si>
    <t>Scenario-5: Auto-save and replace document during claim process with validations and error handling</t>
  </si>
  <si>
    <t>IIRM-6681</t>
  </si>
  <si>
    <t>Claim initiation and stepwise process tracking</t>
  </si>
  <si>
    <t>IIRM-6682</t>
  </si>
  <si>
    <t>Action Buttons: Save Draft, Next CTA, Document Upload</t>
  </si>
  <si>
    <t>IIRM-6683</t>
  </si>
  <si>
    <t>IIRM: Verify Policy Distribution Edge Cases and Error Handling</t>
  </si>
  <si>
    <t>IIRM-6684</t>
  </si>
  <si>
    <t>IIRM: Dashboard: Verify Smart Search Section Display and Basic Search Functionality</t>
  </si>
  <si>
    <t>IIRM-6685</t>
  </si>
  <si>
    <t>IIRM: Dashboard: Verify Applied Filters Display and Filter Management</t>
  </si>
  <si>
    <t>IIRM-6686</t>
  </si>
  <si>
    <t>IIRM: Dashboard: Verify Save Filter View Functionality</t>
  </si>
  <si>
    <t>IIRM-6687</t>
  </si>
  <si>
    <t>IIRM: Dashboard: Verify Reset Filters and Latest Saved View Restoration</t>
  </si>
  <si>
    <t>IIRM-6688</t>
  </si>
  <si>
    <t>IIRM Dashboard: Verify My Business Performance Section Display with All Metric Categories</t>
  </si>
  <si>
    <t>IIRM-6689</t>
  </si>
  <si>
    <t>IIRM: Dashboard:  Verify New Business Metrics Calculation Accuracy and Filter Responsiveness</t>
  </si>
  <si>
    <t>IIRM-6690</t>
  </si>
  <si>
    <t>IIRM: Dashboard: Verify Retention (Renewals) Metrics Calculation and Business Logic</t>
  </si>
  <si>
    <t>IIRM-6691</t>
  </si>
  <si>
    <t>IIRM: Dashboard: Verify Mined Business Metrics Calculation for Flagged Opportunities</t>
  </si>
  <si>
    <t>IIRM-6692</t>
  </si>
  <si>
    <t>IIRM: Dashboard: Verify Total Business Metrics as Mathematical Sum of All Categories</t>
  </si>
  <si>
    <t>IIRM-6693</t>
  </si>
  <si>
    <t>IIRM: Dashboard: Verify Premium Amount Calculation Across All Opportunity Types</t>
  </si>
  <si>
    <t>IIRM-6694</t>
  </si>
  <si>
    <t>IIRM: Dashboard: Verify Brokerage Amount Calculation and Commission Revenue Tracking</t>
  </si>
  <si>
    <t>IIRM-6695</t>
  </si>
  <si>
    <t>IIRM: Dashboard: Verify My Business Performance Quarterly View Accuracy and Consistency</t>
  </si>
  <si>
    <t>IIRM-6696</t>
  </si>
  <si>
    <t>Display Total Claims Amount</t>
  </si>
  <si>
    <t>IIRM-6697</t>
  </si>
  <si>
    <t>Non-GMC: Template helper not matching with Asset template</t>
  </si>
  <si>
    <t>IIRM-6698</t>
  </si>
  <si>
    <t>NON- GMC: File is getting failed on asset inception</t>
  </si>
  <si>
    <t>IIRM-6699</t>
  </si>
  <si>
    <t xml:space="preserve">NON- GMC: Unable to enable next button from step 2 </t>
  </si>
  <si>
    <t>IIRM-6700</t>
  </si>
  <si>
    <t>NON- GMC: Cover code should be same for asset and sub asset on Inception/Create asset endorsement</t>
  </si>
  <si>
    <t>IIRM-6701</t>
  </si>
  <si>
    <t>NON-GMC: Deletion functionality not working for sub asset</t>
  </si>
  <si>
    <t>IIRM-6702</t>
  </si>
  <si>
    <t>NON-GMC: For inception process , inception type should not be in disable state</t>
  </si>
  <si>
    <t>IIRM-6703</t>
  </si>
  <si>
    <t>NON-GMC: Inception file should get upload only with Inception type = Inception</t>
  </si>
  <si>
    <t>IIRM-6704</t>
  </si>
  <si>
    <t>NON-GMC: Alert we are not showing if CD&lt; Premium amount</t>
  </si>
  <si>
    <t>IIRM-6705</t>
  </si>
  <si>
    <t>NON-GMC: Count not getting updated on asset and sub asset card</t>
  </si>
  <si>
    <t>IIRM-6706</t>
  </si>
  <si>
    <t>IIRM: AI Chatbot and Version Info Overlapping on Side Menu Expansion</t>
  </si>
  <si>
    <t>IIRM-6707</t>
  </si>
  <si>
    <t>IIRM: Planning Stage Not Disabled After Activity Submission</t>
  </si>
  <si>
    <t>IIRM-6708</t>
  </si>
  <si>
    <t>IIRM: Compensation Type Field Accepting Incorrect Format in Mandate Details</t>
  </si>
  <si>
    <t>IIRM-6709</t>
  </si>
  <si>
    <t>IIRM: Broking Slip: Insurer details are not reflected correctly in the exported file</t>
  </si>
  <si>
    <t>IIRM-6710</t>
  </si>
  <si>
    <t>IRM: Broking Slip: Able to submit the activity for approval without providing data in the "Other Risk Mitigation Features" field (mandatory field)</t>
  </si>
  <si>
    <t>IIRM-6711</t>
  </si>
  <si>
    <t>Non-GMC: Step-1 Form Defaults &amp; Mandatory Validation</t>
  </si>
  <si>
    <t>IIRM-6712</t>
  </si>
  <si>
    <t>Non-GMC: Auto-populate &amp; Read-only: Sum Insured and Basic Premium</t>
  </si>
  <si>
    <t>IIRM-6713</t>
  </si>
  <si>
    <t>Non-GMC: Downloadable Templates: Asset &amp; Sub-Asset</t>
  </si>
  <si>
    <t>IIRM-6714</t>
  </si>
  <si>
    <t>Non-GMC: Asset Upload - Valid Data Happy Path</t>
  </si>
  <si>
    <t>IIRM-6715</t>
  </si>
  <si>
    <t>Non-GMC: Asset Upload - Template Validation (missing/extra/duplicate)</t>
  </si>
  <si>
    <t>IIRM-6716</t>
  </si>
  <si>
    <t>Non-GMC: Sub-Asset Upload - Valid Data &amp; Parent Linkage</t>
  </si>
  <si>
    <t>IIRM-6717</t>
  </si>
  <si>
    <t>Non-GMC: Sub-Asset Upload - Orphan Prevention</t>
  </si>
  <si>
    <t>IIRM-6718</t>
  </si>
  <si>
    <t>Non-GMC: Financial Logic: No Auto Premium Calc + CD Balance Adjustments</t>
  </si>
  <si>
    <t>IIRM-6719</t>
  </si>
  <si>
    <t>Non-GMC: Non-GMC UI Deltas &amp; Step Availability</t>
  </si>
  <si>
    <t>IIRM-6720</t>
  </si>
  <si>
    <t>Non-GMC: Covers &amp; Sub-Covers Link Presence and Navigation</t>
  </si>
  <si>
    <t>IIRM-6721</t>
  </si>
  <si>
    <t>Non-GMC: E2E Non-Financial Happy Path</t>
  </si>
  <si>
    <t>IIRM-6722</t>
  </si>
  <si>
    <t>Non-GMC: E2E Financial Happy Path with CD Balance</t>
  </si>
  <si>
    <t>IIRM-6723</t>
  </si>
  <si>
    <t>Non-GMC: Edit After Upload (Asset &amp; Sub-Asset)</t>
  </si>
  <si>
    <t>IIRM-6724</t>
  </si>
  <si>
    <t>Non- GMC: Date Validations</t>
  </si>
  <si>
    <t>IIRM-6725</t>
  </si>
  <si>
    <t>Non-GMC: Authorization &amp; Performance Essentials</t>
  </si>
  <si>
    <t>IIRM-6726</t>
  </si>
  <si>
    <t>NON-GMC: Self asset should't get uploaded , if sub asset got failed on file upload process</t>
  </si>
  <si>
    <t>IIRM-6727</t>
  </si>
  <si>
    <t>Invalid format showing on downlaoded template</t>
  </si>
  <si>
    <t>IIRM-6728</t>
  </si>
  <si>
    <t>PolicyConfigure: Template not matching for configured policy</t>
  </si>
  <si>
    <t>IIRM-6729</t>
  </si>
  <si>
    <t>Inception/Endorsement - File Processing Error Remarks -  Update the messages</t>
  </si>
  <si>
    <t>IIRM-6730</t>
  </si>
  <si>
    <t>PolicyConfigure: Age limit not matching for son with provided constraints.</t>
  </si>
  <si>
    <t>IIRM-6731</t>
  </si>
  <si>
    <t>PolicyConfigure: Gender validation missing on endorsement file upload</t>
  </si>
  <si>
    <t>IIRM-6732</t>
  </si>
  <si>
    <t>PolicyConfigure: Empty error file downloaded for configured policy</t>
  </si>
  <si>
    <t>IIRM-6733</t>
  </si>
  <si>
    <t>PolicyConfigure: For dependent claim ID file upload not working error thrown "Employee not found for provided policy and TPA ID"</t>
  </si>
  <si>
    <t>IIRM-6735</t>
  </si>
  <si>
    <t>IIRM:Breadcrumb navigation &amp; Dasboard chnages verifcation</t>
  </si>
  <si>
    <t>IIRM-6736</t>
  </si>
  <si>
    <t>IIRM: Filter Persistance verifiaction in all screens</t>
  </si>
  <si>
    <t>IIRM-6737</t>
  </si>
  <si>
    <t>IIRM: Verify the Ready for QA Issues and Regression Testing</t>
  </si>
  <si>
    <t>IIRM-6738</t>
  </si>
  <si>
    <t>IIRM: Policy Configuration flows verifications</t>
  </si>
  <si>
    <t>IIRM-6739</t>
  </si>
  <si>
    <t>IIRM: Filters: Policies List filters issues</t>
  </si>
  <si>
    <t>IIRM-6740</t>
  </si>
  <si>
    <t>PolicyConfig: File should't get success , if children has same DOB</t>
  </si>
  <si>
    <t>IIRM-6741</t>
  </si>
  <si>
    <t>IRM: Created Date Missing in Company, Contact, and My Client Portfolio Lists</t>
  </si>
  <si>
    <t>IIRM-6742</t>
  </si>
  <si>
    <t>Cross Selection of Parents Allowed? — Config: No — father + mother-in-law not allowed, father-in-law+mother not allowed</t>
  </si>
  <si>
    <t>PT8-701 — Policy Configurator</t>
  </si>
  <si>
    <t>IIRM-6743</t>
  </si>
  <si>
    <t>Cross Selection of Parents Allowed? — Config: Yes — Employee adds Father + Father-in-law</t>
  </si>
  <si>
    <t>IIRM-6744</t>
  </si>
  <si>
    <t>Second Child as Twins Allowed? — Config: No — Two children with same DOB (twins) listed; second child flagged as twin</t>
  </si>
  <si>
    <t>IIRM-6745</t>
  </si>
  <si>
    <t>Second Child as Twins Allowed? — Config: Yes — Two children with same DOB (twins)</t>
  </si>
  <si>
    <t>IIRM-6746</t>
  </si>
  <si>
    <t>Allow male employees to cover their parents-in-law? — Config: No — Male employee adds Mother-in-law</t>
  </si>
  <si>
    <t>IIRM-6747</t>
  </si>
  <si>
    <t>Allow male employees to cover their parents-in-law? — Config: Yes — Male employee adds Father-in-law</t>
  </si>
  <si>
    <t>IIRM-6748</t>
  </si>
  <si>
    <t>Allow coverage for same-gender parent &amp; parent-in-law? — Config: No — Employee adds Mother + Mother-in-law together</t>
  </si>
  <si>
    <t>IIRM-6749</t>
  </si>
  <si>
    <t>Allow coverage for same-gender parent &amp; parent-in-law? — Config: Yes — Employee adds Father + Father-in-law together</t>
  </si>
  <si>
    <t>IIRM-6750</t>
  </si>
  <si>
    <t>Allow male employees to cover their own parents? — Config: No — Male employee adds Mother</t>
  </si>
  <si>
    <t>IIRM-6751</t>
  </si>
  <si>
    <t>Allow male employees to cover their own parents? — Config: Yes — Male employee adds Father</t>
  </si>
  <si>
    <t>IIRM-6752</t>
  </si>
  <si>
    <t>Allow female employees to cover their parents-in-law? — Config: No — Female employee adds Father-in-law</t>
  </si>
  <si>
    <t>IIRM-6753</t>
  </si>
  <si>
    <t>Allow female employees to cover their parents-in-law? — Config: Yes — Female employee adds Mother-in-law</t>
  </si>
  <si>
    <t>IIRM-6754</t>
  </si>
  <si>
    <t>Allow female employees to cover their own parents? — Config: No — Female employee adds Mother</t>
  </si>
  <si>
    <t>IIRM-6755</t>
  </si>
  <si>
    <t>Allow female employees to cover their own parents? — Config: Yes — Female employee adds Father</t>
  </si>
  <si>
    <t>IIRM-6756</t>
  </si>
  <si>
    <t>Studying Son Age Limit Extension (years) — Config: No (Base limit 21) — Son age 22 marked as 'Studying'</t>
  </si>
  <si>
    <t>IIRM-6757</t>
  </si>
  <si>
    <t>Studying Son Age Limit Extension (years) — Config: Yes (+2 years; Base 21 → 23) — Son age 22 marked as 'Studying'</t>
  </si>
  <si>
    <t>IIRM-6758</t>
  </si>
  <si>
    <t>Unmarried Daughter Age Limit Extension (years) — Config: No (Base limit 25) — Unmarried daughter age 26</t>
  </si>
  <si>
    <t>IIRM-6759</t>
  </si>
  <si>
    <t>Unmarried Daughter Age Limit Extension (years) — Config: Yes (+3 years; Base 25 → 28) — Unmarried daughter age 26</t>
  </si>
  <si>
    <t>IIRM-6760</t>
  </si>
  <si>
    <t>Minimum required age gap between employee and their parent (years, parent older) — Config: Yes (Min gap 18) — Employee 40; Mother 55 (gap 15)</t>
  </si>
  <si>
    <t>IIRM-6761</t>
  </si>
  <si>
    <t>Minimum required age gap between employee and their parent (years, parent older) — Config: Yes (Min gap 18) — Employee 30; Father 50 (gap 20)</t>
  </si>
  <si>
    <t>IIRM-6762</t>
  </si>
  <si>
    <t>Minimum required age gap between employee and their parent (years, parent older) — Config: No — Employee 40; Mother 55 (gap 15)</t>
  </si>
  <si>
    <t>IIRM-6763</t>
  </si>
  <si>
    <t>Minimum required age gap between employee and their child (years) — Config: Yes (Min gap 18) — Employee 35; Son 20 (gap 15)</t>
  </si>
  <si>
    <t>IIRM-6764</t>
  </si>
  <si>
    <t>Minimum required age gap between employee and their child (years) — Config: Yes (Min gap 18) — Employee 32; Daughter 10 (gap 22)</t>
  </si>
  <si>
    <t>IIRM-6765</t>
  </si>
  <si>
    <t>Minimum required age gap between employee and their child (years) — Config: No — Employee 35; Son 20 (gap 15)</t>
  </si>
  <si>
    <t>IIRM-6766</t>
  </si>
  <si>
    <t>Combined: Cross-Selection=No &amp; Same-Gender=No — Config: CrossSel=No; SameGender=No — Mother + Mother-in-law together</t>
  </si>
  <si>
    <t>IIRM-6767</t>
  </si>
  <si>
    <t>Combined: Male Parents-in-law=No &amp; Own Parents=Yes — Config: Male-&gt;In-law=No; Male-&gt;Own=Yes — Male adds Father + Father-in-law</t>
  </si>
  <si>
    <t>IIRM-6768</t>
  </si>
  <si>
    <t>Combined: Female Own Parents=No &amp; In-laws=Yes — Config: Female-&gt;Own=No; Female-&gt;In-law=Yes — Female adds Mother + Mother-in-law</t>
  </si>
  <si>
    <t>IIRM-6769</t>
  </si>
  <si>
    <t>Cross-Selection=No with Parent Age Gap=Yes (meets gap) — Config: C01 + C20 — Male employee adds Mother + Mother-in-law; EmpAge=30, Parent ages 55 &amp; 60 (gap 25 &amp; 30)</t>
  </si>
  <si>
    <t>IIRM-6770</t>
  </si>
  <si>
    <t>Cross-Selection=No with Parent Age Gap=Yes (violates gap) — Config: C01 + C19 — Male employee adds Mother + Mother-in-law; EmpAge=40, ages 55 &amp; 54 (gap 15 &amp; 14)</t>
  </si>
  <si>
    <t>IIRM-6771</t>
  </si>
  <si>
    <t>Cross-Selection=Yes with Parent Age Gap=Yes (meets gap) — Config: C02 + C20 — Female employee adds Father + Father-in-law; EmpAge=28, ages 50 &amp; 52 (gap 22 &amp; 24)</t>
  </si>
  <si>
    <t>IIRM-6772</t>
  </si>
  <si>
    <t>Cross-Selection=Yes with Parent Age Gap=Yes (violates gap) — Config: C02 + C19 — Female employee adds Father + Father-in-law; EmpAge=38, ages 50 &amp; 52 (gap 12 &amp; 14)</t>
  </si>
  <si>
    <t>IIRM-6773</t>
  </si>
  <si>
    <t>Male In-Laws=No vs Male Own Parents=Yes — Config: C05 + C10 — Male adds Father (own) + Father-in-law</t>
  </si>
  <si>
    <t>IIRM-6774</t>
  </si>
  <si>
    <t>Female In-Laws=No vs Female Own Parents=Yes — Config: C11 + C14 — Female adds Father (own) + Father-in-law</t>
  </si>
  <si>
    <t>IIRM-6775</t>
  </si>
  <si>
    <t>Same-Gender Parent+In-law=No with Cross-Selection=No — Config: C07 + C01 — Employee adds Mother + Mother-in-law</t>
  </si>
  <si>
    <t>IIRM-6776</t>
  </si>
  <si>
    <t>Same-Gender Parent+In-law=Yes with Cross-Selection=Yes — Config: C08 + C02 — Employee adds Father + Father-in-law</t>
  </si>
  <si>
    <t>IIRM-6777</t>
  </si>
  <si>
    <t>Twins=No with Child Age Gap=Yes (violates both) — Config: C03 + C22 — EmpAge=35; 2 children twins age 20 (gap 15)</t>
  </si>
  <si>
    <t>IIRM-6778</t>
  </si>
  <si>
    <t>Twins=Yes with Child Age Gap=Yes (meets gap) — Config: C04 + C23 — EmpAge=36; twins age 12 (gap 24)</t>
  </si>
  <si>
    <t>IIRM-6779</t>
  </si>
  <si>
    <t>Studying Son Extension=Yes with Child Age Gap=Yes (violates gap) — Config: C16 + C22 — EmpAge=35; son age 22 (studying)</t>
  </si>
  <si>
    <t>IIRM-6780</t>
  </si>
  <si>
    <t>Studying Son Extension=Yes with Child Age Gap=No — Config: C16 + C24 — EmpAge=35; son age 22 (studying)</t>
  </si>
  <si>
    <t>IIRM-6781</t>
  </si>
  <si>
    <t>Unmarried Daughter Extension=Yes with Female Own Parents=Yes — Config: C18 + C14 — Female employee adds unmarried daughter age 26 &amp; Father</t>
  </si>
  <si>
    <t>IIRM-6782</t>
  </si>
  <si>
    <t>Unmarried Daughter Extension=No with Female Own Parents=Yes — Config: C17 + C14 — Female employee adds unmarried daughter age 26 &amp; Father</t>
  </si>
  <si>
    <t>IIRM-6783</t>
  </si>
  <si>
    <t>Female In-Laws=No with Cross-Selection=No — Config: C11 + C01 — Female adds Mother + Mother-in-law</t>
  </si>
  <si>
    <t>IIRM-6784</t>
  </si>
  <si>
    <t>Male In-Laws=Yes with Cross-Selection=Yes — Config: C06 + C02 — Male adds Mother + Mother-in-law</t>
  </si>
  <si>
    <t>IIRM-6785</t>
  </si>
  <si>
    <t>Male Own Parents=No &amp; Male In-Laws=No — Config: C09 + C05 — Male adds Mother + Mother-in-law</t>
  </si>
  <si>
    <t>IIRM-6786</t>
  </si>
  <si>
    <t>Female Own Parents=No &amp; Female In-Laws=Yes — Config: C13 + C12 — Female adds Mother + Mother-in-law</t>
  </si>
  <si>
    <t>IIRM-6787</t>
  </si>
  <si>
    <t>Cross-Selection=No vs Female In-Laws=Yes — Config: C01 + C12 — Female adds Mother + Mother-in-law</t>
  </si>
  <si>
    <t>IIRM-6788</t>
  </si>
  <si>
    <t>Cross-Selection=Yes vs Female In-Laws=No — Config: C02 + C11 — Female adds Father + Father-in-law</t>
  </si>
  <si>
    <t>IIRM-6789</t>
  </si>
  <si>
    <t>Unmarried Daughter Extension=Yes with Child Age Gap=Yes (violates gap) — Config: C18 + C22 — EmpAge=32; unmarried daughter age 26 (gap 6)</t>
  </si>
  <si>
    <t>IIRM-6790</t>
  </si>
  <si>
    <t>Twins=No with Child Age Gap=No — Config: C03 + C24 — EmpAge=35; twins age 10</t>
  </si>
  <si>
    <t>IIRM-6791</t>
  </si>
  <si>
    <t>Parent Age Gap=Yes with Female In-Laws=Yes — Config: C20 + C12 — Female adds Mother-in-law (age gap met) + Father-in-law</t>
  </si>
  <si>
    <t>IIRM-6792</t>
  </si>
  <si>
    <t>Twins=Yes with Unmarried Daughter Extension=Yes — Config: C04 + C18 — Twins age 12; unmarried daughter age 26</t>
  </si>
  <si>
    <t>IIRM-6793</t>
  </si>
  <si>
    <t xml:space="preserve">Male/Female -in-laws = yes, Own parents =No — Config:  — </t>
  </si>
  <si>
    <t>IIRM-6794</t>
  </si>
  <si>
    <t>Studying Son Extension=Yes + Unmarried Daughter Extension=Yes (within limits) — Config: EmpAge=40; Son=22 (Studying, within 23); Daughter=26 (Unmarried, within 28) — C16: PASS; C18: PASS</t>
  </si>
  <si>
    <t>IIRM-6795</t>
  </si>
  <si>
    <t>Studying Son Extension=No + Unmarried Daughter Extension=Yes — Config: EmpAge=40; Son=22 (Studying, over base 21); Daughter=26 (Unmarried, within 28) — C15: FAIL; C18: PASS</t>
  </si>
  <si>
    <t>IIRM-6796</t>
  </si>
  <si>
    <t>Studying Son Extension=Yes + Unmarried Daughter Extension=No — Config: EmpAge=40; Son=22 (Studying, within 23); Daughter=26 (Unmarried, base 25 exceeded) — C16: PASS; C17: FAIL</t>
  </si>
  <si>
    <t>IIRM-6797</t>
  </si>
  <si>
    <t>Studying Son Extension=Yes + Parent Age Gap=Enforced (meets) — Config: EmpAge=30; Father=50 (gap 20); Son=22 (Studying within 23) — C16: PASS; C20: PASS</t>
  </si>
  <si>
    <t>IIRM-6798</t>
  </si>
  <si>
    <t>Studying Son Extension=Yes + Parent Age Gap=Enforced (violates) — Config: EmpAge=40; Mother=55 (gap 15&lt;18); Son=22 (Studying within 23) — C16: PASS; C19: FAIL</t>
  </si>
  <si>
    <t>IIRM-6799</t>
  </si>
  <si>
    <t>Studying Son Extension=No + Parent Age Gap=Not Enforced — Config: EmpAge=40; Parent=55 (gap 15 not enforced); Son=22 (Studying over base 21) — C15: FAIL; C21: PASS</t>
  </si>
  <si>
    <t>IIRM-6800</t>
  </si>
  <si>
    <t>Studying Son Extension=Yes + Child Age Gap=Enforced (meets) — Config: EmpAge=45; Son=22 (Studying within 23) → gap 23 — C16: PASS; C23: PASS</t>
  </si>
  <si>
    <t>IIRM-6801</t>
  </si>
  <si>
    <t>Studying Son Extension=Yes + Child Age Gap=Enforced (violates) — Config: EmpAge=35; Son=22 (Studying within 23) → gap 13 — C16: PASS; C22: FAIL</t>
  </si>
  <si>
    <t>IIRM-6802</t>
  </si>
  <si>
    <t>Studying Son Extension=No + Child Age Gap=Not Enforced — Config: EmpAge=35; Son=22 (Studying) — C15: FAIL; C24: PASS</t>
  </si>
  <si>
    <t>IIRM-6803</t>
  </si>
  <si>
    <t>Unmarried Daughter Extension=Yes + Parent Age Gap=Enforced (meets) — Config: EmpAge=30; Mother=50 (gap 20); Daughter=26 (Unmarried within 28) — C18: PASS; C20: PASS</t>
  </si>
  <si>
    <t>IIRM-6804</t>
  </si>
  <si>
    <t>Unmarried Daughter Extension=Yes + Parent Age Gap=Enforced (violates) — Config: EmpAge=40; Mother=55 (gap 15&lt;18); Daughter=26 (Unmarried within 28) — C18: PASS; C19: FAIL</t>
  </si>
  <si>
    <t>IIRM-6805</t>
  </si>
  <si>
    <t>Unmarried Daughter Extension=No + Parent Age Gap=Not Enforced — Config: EmpAge=40; Parent=55 (gap 15 not enforced); Daughter=26 (Unmarried over base 25) — C17: FAIL; C21: PASS</t>
  </si>
  <si>
    <t>IIRM-6806</t>
  </si>
  <si>
    <t>Unmarried Daughter Extension=Yes + Child Age Gap=Enforced (meets) — Config: EmpAge=45; Daughter=26 (Unmarried within 28) → gap 19 — C18: PASS; C23: PASS</t>
  </si>
  <si>
    <t>IIRM-6807</t>
  </si>
  <si>
    <t>Unmarried Daughter Extension=Yes + Child Age Gap=Enforced (violates) — Config: EmpAge=41; Daughter=26 → gap 15 — C18: PASS; C22: FAIL</t>
  </si>
  <si>
    <t>IIRM-6808</t>
  </si>
  <si>
    <t>Unmarried Daughter Extension=No + Child Age Gap=Not Enforced — Config: EmpAge=38; Daughter=26 (Unmarried) — C17: FAIL; C24: PASS</t>
  </si>
  <si>
    <t>IIRM-6809</t>
  </si>
  <si>
    <t>Parent Age Gap Enforced (meets) + Child Age Gap Enforced (meets) — Config: EmpAge=32; Father=52 (gap 20); Son=10 (gap 22) — C20: PASS; C23: PASS</t>
  </si>
  <si>
    <t>IIRM-6810</t>
  </si>
  <si>
    <t>Parent Age Gap Enforced (violates) + Child Age Gap Enforced (violates) — Config: EmpAge=35; Mother=50 (gap 15); Son=20 (gap 15) — C19: FAIL; C22: FAIL</t>
  </si>
  <si>
    <t>IIRM-6811</t>
  </si>
  <si>
    <t>Parent Age Gap Not Enforced + Child Age Gap Not Enforced — Config: EmpAge=35; Mother=50 (gap 15); Son=20 (gap 15) — C21: PASS; C24: PASS</t>
  </si>
  <si>
    <t>IIRM-6812</t>
  </si>
  <si>
    <t xml:space="preserve">Studying Son Extension=Yes — Config:  — </t>
  </si>
  <si>
    <t>IIRM-6813</t>
  </si>
  <si>
    <t xml:space="preserve">First child DOB = 2017-06-01, Second and thrid child DOB = 2018-06-01, TwinFlag = No — Config:  — </t>
  </si>
  <si>
    <t>IIRM-6814</t>
  </si>
  <si>
    <t xml:space="preserve">First child DOB = 2018-06-01, Second child DOB = 2018-06-01, TwinFlag = No — Config:  — </t>
  </si>
  <si>
    <t>IIRM-6815</t>
  </si>
  <si>
    <t>First child DOB = 2018-06-01, Second child DOB = 2018-06-01, TwinFlag = Yes — Config:  — Second kid twins allowed - Passed</t>
  </si>
  <si>
    <t>IIRM-6816</t>
  </si>
  <si>
    <t xml:space="preserve">First child DOB = 2018-06-01, Second child DOB = 2019-05-10, TwinFlag = No — Config:  — </t>
  </si>
  <si>
    <t>IIRM-6817</t>
  </si>
  <si>
    <t xml:space="preserve">More than two children, with two marked as twins (DOB same) and one separate child — Config:  — </t>
  </si>
  <si>
    <t>IIRM-6818</t>
  </si>
  <si>
    <t xml:space="preserve">Twins with DOB same but Age Gap Rule also applied (e.g., employee too young to have children that old) — Config:  — </t>
  </si>
  <si>
    <t>IIRM-6819</t>
  </si>
  <si>
    <t xml:space="preserve">Twins scenario combined with Studying Son Extension (twin sons over age limit) — Config:  — </t>
  </si>
  <si>
    <t>IIRM-6820</t>
  </si>
  <si>
    <t xml:space="preserve">IIRM: Filter My client Portfolio issues  </t>
  </si>
  <si>
    <t>IIRM-6821</t>
  </si>
  <si>
    <t>IIRM: Claim List Page Filter and Table Settings Issues</t>
  </si>
  <si>
    <t>IIRM-6822</t>
  </si>
  <si>
    <t>IIRM: Organization-Based Filter Not Displaying Records</t>
  </si>
  <si>
    <t>IIRM-6823</t>
  </si>
  <si>
    <t>IIRM: Company Creation Fails for Maldives Account</t>
  </si>
  <si>
    <t>IIRM-6824</t>
  </si>
  <si>
    <t>ManageEndorsement: Remove symbol of tilde(~)  for policy number</t>
  </si>
  <si>
    <t>IIRM-6825</t>
  </si>
  <si>
    <t>IIRM: Dashboard: "Something went wrong" message is displayed when navigating from the My Renewal funnel graph with more records</t>
  </si>
  <si>
    <t>IIRM-6826</t>
  </si>
  <si>
    <t>IIRM: Dashboard: Data is not displayed in Manage Claims when navigated using the Manage Claims button from the dashboard</t>
  </si>
  <si>
    <t>IIRM-6827</t>
  </si>
  <si>
    <t>Manage Policy</t>
  </si>
  <si>
    <t>IIRM-6828</t>
  </si>
  <si>
    <t>Policy Activation</t>
  </si>
  <si>
    <t>IIRM-6827 — Manage Policy</t>
  </si>
  <si>
    <t>IIRM-6829</t>
  </si>
  <si>
    <t>IIRM: Roles: Verify Restricted Access for Chairman, Vice Chairman, MD, HOD</t>
  </si>
  <si>
    <t>IIRM-6830</t>
  </si>
  <si>
    <t>IIRM: City Dropdown Not Populated for Kenya During Company Creation</t>
  </si>
  <si>
    <t>IIRM-6831</t>
  </si>
  <si>
    <t>IIRM: Dashboard: User is navigated to the Manage Policies screen by clicking on the My Portfolio button</t>
  </si>
  <si>
    <t>IIRM-6832</t>
  </si>
  <si>
    <t>IIRM: Manage Company: Total Premium Amount and Total Brokerage Amount displayed as 0</t>
  </si>
  <si>
    <t>IIRM-6833</t>
  </si>
  <si>
    <t>PolicyDashboard: Need your attention card UI not matching with other cards</t>
  </si>
  <si>
    <t>IIRM-6834</t>
  </si>
  <si>
    <t xml:space="preserve">Manage policies: Drilldown process not working as expected </t>
  </si>
  <si>
    <t>IIRM-6835</t>
  </si>
  <si>
    <t>Policy Expiry Timeline-Issue in count and logic for 30 and beyond 90 days</t>
  </si>
  <si>
    <t>IIRM-6836</t>
  </si>
  <si>
    <t>In endorsement TAT count showing as 0 even records are available</t>
  </si>
  <si>
    <t>IIRM-6837</t>
  </si>
  <si>
    <t>My portfolio when CTA goes to manage policies in Placement instead of client portfolio. Also no back button</t>
  </si>
  <si>
    <t>IIRM-6838</t>
  </si>
  <si>
    <t>Brokerage to collect- Data not populating for some filters. Eg we can see for Ramakrishna but no data for DeepaliRao. Total Count doesnt match for Satyushas login</t>
  </si>
  <si>
    <t>IIRM-6839</t>
  </si>
  <si>
    <t>Premium and policy count doesnt match in Business Service Overview. Drilldown shows a constant list of policies - 1336 In the Policy Type Distribution graph, the displayed count does not match the My Portfolio count.</t>
  </si>
  <si>
    <t>IIRM-6840</t>
  </si>
  <si>
    <t>Widget - Claims Overview -Not showing count even when manage claims widegt is showing some count</t>
  </si>
  <si>
    <t>IIRM-6841</t>
  </si>
  <si>
    <t>when filter are applied showing wrong data (eg.Login with any user having data → change the Owner → then navigate to Manage Claims and verify the data after changing the Owner</t>
  </si>
  <si>
    <t>IIRM-6842</t>
  </si>
  <si>
    <t>For vipinc login manage endorsment menu is missing and manage TPA also</t>
  </si>
  <si>
    <t>IIRM-6843</t>
  </si>
  <si>
    <t>if we add any meeting or any activity in service score details is not reflecting</t>
  </si>
  <si>
    <t>IIRM-6844</t>
  </si>
  <si>
    <t>In Manage Policies, after activating a policy, two endorsement icons appear. But none of them navigates to the Endorsement screen</t>
  </si>
  <si>
    <t>IIRM-6845</t>
  </si>
  <si>
    <t>Service Score details- if we add any meeting or any activity in service score details is not reflecting</t>
  </si>
  <si>
    <t>IIRM-6846</t>
  </si>
  <si>
    <t>In SO screen Total Premium Amount Total Brokerage Amount are showing as 0</t>
  </si>
  <si>
    <t>IIRM-6847</t>
  </si>
  <si>
    <t>Claim settled amount showing wrong in Claims upload data screen</t>
  </si>
  <si>
    <t>IIRM-6848</t>
  </si>
  <si>
    <t>Manage RO from Funnel drilldown - Not loading</t>
  </si>
  <si>
    <t>IIRM-6849</t>
  </si>
  <si>
    <t>Edit Policy Configuration until Policy is activated.</t>
  </si>
  <si>
    <t>IIRM-6850</t>
  </si>
  <si>
    <t>Dashboard: Correct the navigation to My Client Portfolio by clicking on the My Portfolio button</t>
  </si>
  <si>
    <t>IIRM-6851</t>
  </si>
  <si>
    <t>IIRM: New Dashboard Widgets Verification — Business, Claim, and Policy Distribution Widgets</t>
  </si>
  <si>
    <t>IIRM-6852</t>
  </si>
  <si>
    <t>IIRM: Ready-for-QA Bugs and Regression Testing related madules</t>
  </si>
  <si>
    <t>IIRM-6853</t>
  </si>
  <si>
    <t>IIRM: UAT Functional Testing</t>
  </si>
  <si>
    <t>IIRM-6854</t>
  </si>
  <si>
    <t>File Processing using Queue</t>
  </si>
  <si>
    <t>IIRM-6855</t>
  </si>
  <si>
    <t>Additional Widgets - My Client Testimonials</t>
  </si>
  <si>
    <t>IIRM-6856</t>
  </si>
  <si>
    <t>Additional Widget - My Delivery Performance / Service Score</t>
  </si>
  <si>
    <t>IIRM-6857</t>
  </si>
  <si>
    <t>Additional Widget - Smart Actions</t>
  </si>
  <si>
    <t>IIRM-6861</t>
  </si>
  <si>
    <t>Manage Broker</t>
  </si>
  <si>
    <t>IIRM-6862</t>
  </si>
  <si>
    <t>Manage TPA</t>
  </si>
  <si>
    <t>IIRM-6863</t>
  </si>
  <si>
    <t>IIRM-6864</t>
  </si>
  <si>
    <t>Quick Cards implementation</t>
  </si>
  <si>
    <t>IIRM-6866</t>
  </si>
  <si>
    <t>IIRM-6869</t>
  </si>
  <si>
    <t>Send email notification to insurer for ( Inception - Send to Insurer &amp; Endorsement - Send to Insurer)</t>
  </si>
  <si>
    <t>IIRM-6870</t>
  </si>
  <si>
    <t>Email Notifications - Claims - Send to Insurer</t>
  </si>
  <si>
    <t>IIRM-6871</t>
  </si>
  <si>
    <t>IIRM: Opportunity Editing Fails with “Property 'id' Not Found” Error</t>
  </si>
  <si>
    <t>IIRM-6872</t>
  </si>
  <si>
    <t>IIR: Insurer Contact – Creation and Verification in Overview page,List page and Edit page .</t>
  </si>
  <si>
    <t>IIRM-6873</t>
  </si>
  <si>
    <t xml:space="preserve">Broker Contact – Creation and Verification in Overview page,List page and Edit page </t>
  </si>
  <si>
    <t>IIRM-6874</t>
  </si>
  <si>
    <t>TPA Contact : Add: Appropriate error messages displayed when required inputs are missing during TPA Contact creation</t>
  </si>
  <si>
    <t>IIRM-6875</t>
  </si>
  <si>
    <t>Insurer :Add: Appropriate error messages displayed when required inputs are missing during Insurer creation</t>
  </si>
  <si>
    <t>IIRM-6876</t>
  </si>
  <si>
    <t>Broker : Only authorized user can create a new Broker with all  fields.</t>
  </si>
  <si>
    <t>IIRM-6877</t>
  </si>
  <si>
    <t>Insurer: Edit: Edit all permitted fields of the Insurer</t>
  </si>
  <si>
    <t>IIRM-6878</t>
  </si>
  <si>
    <t>Broker: Edit: Edit all permitted fields of the Broker</t>
  </si>
  <si>
    <t>IIRM-6879</t>
  </si>
  <si>
    <t xml:space="preserve">Insurer contact: Edit all permitted fields of Insurer contact </t>
  </si>
  <si>
    <t>IIRM-6880</t>
  </si>
  <si>
    <t xml:space="preserve">Broker contact : Edit all permitted fields of Broker contact </t>
  </si>
  <si>
    <t>IIRM-6881</t>
  </si>
  <si>
    <t>TPA Contact: Only authorized user can create a new TPA Contact with only mandatory fields.</t>
  </si>
  <si>
    <t>IIRM-6882</t>
  </si>
  <si>
    <t>Policydashboard: Empty hyphen should not be shown in policy card</t>
  </si>
  <si>
    <t>IIRM-6883</t>
  </si>
  <si>
    <t>Claim: Claim date format mismatch , when comparing to upload file and manage claims data on UI</t>
  </si>
  <si>
    <t>IIRM-6884</t>
  </si>
  <si>
    <t>IIRM:Insurer Contact: Only authorized user can create a new Insurer Contact with only mandatory fields.</t>
  </si>
  <si>
    <t>IIRM-6885</t>
  </si>
  <si>
    <t>IIRM: Broker Contact : Only authorized user can create a new Broker Contact with only mandatory fields.</t>
  </si>
  <si>
    <t>IIRM-6886</t>
  </si>
  <si>
    <t>IIRM: TPA Contact: Only authorized user can create a new TPA contact with all fields.</t>
  </si>
  <si>
    <t>IIRM-6887</t>
  </si>
  <si>
    <t>IIRM: Insurer Contact: Only authorized user can create a new Insurer contact with all fields.</t>
  </si>
  <si>
    <t>IIRM-6888</t>
  </si>
  <si>
    <t>IIRM: Broker Contact : Only authorized user can create a new Broker contact with all fields.</t>
  </si>
  <si>
    <t>IIRM-6889</t>
  </si>
  <si>
    <t>IIRM:Broker :Add: Appropriate error messages displayed when invalid data is input during Broker creation</t>
  </si>
  <si>
    <t>IIRM-6890</t>
  </si>
  <si>
    <t>Placement Slip Generation: Verify the View PDF button visibility and functionality post approval</t>
  </si>
  <si>
    <t>IIRM-6891</t>
  </si>
  <si>
    <t>Placement Slip Generation: Verify PDF content and data accuracy</t>
  </si>
  <si>
    <t>IIRM-6892</t>
  </si>
  <si>
    <t>Placement Slip Generation: Verify PDF generation with maximum characters in fields</t>
  </si>
  <si>
    <t>IIRM-6916</t>
  </si>
  <si>
    <t>Placement Slip Generation: Verify multiple downloads at a time</t>
  </si>
  <si>
    <t>IIRM-6917</t>
  </si>
  <si>
    <t>Placement Slip Generation: Print PDF functionality</t>
  </si>
  <si>
    <t>IIRM-6919</t>
  </si>
  <si>
    <t>Placement Slip Generation: Verify access and permission validation</t>
  </si>
  <si>
    <t>IIRM-6921</t>
  </si>
  <si>
    <t>IIRM: Placement Slip Generation: Cannot view or download the PDF in the Placement Slip generation activity</t>
  </si>
  <si>
    <t>IIRM-6927</t>
  </si>
  <si>
    <t>Endorsement TAT: TAT count displays 0</t>
  </si>
  <si>
    <t>IIRM-6928</t>
  </si>
  <si>
    <t xml:space="preserve">NON-GMC: Verify claim should not get uploaded without asset or sub-asset </t>
  </si>
  <si>
    <t>IIRM-6929</t>
  </si>
  <si>
    <t>NON-GMC: Verify track claims should gets updated for every steps</t>
  </si>
  <si>
    <t>IIRM-6930</t>
  </si>
  <si>
    <t>Launch Create Claim (Non-GMC)</t>
  </si>
  <si>
    <t>IIRM-6931</t>
  </si>
  <si>
    <t>Save as Draft (new) shows in Manage Claims</t>
  </si>
  <si>
    <t>IIRM-6932</t>
  </si>
  <si>
    <t>Claim ID generated on Save</t>
  </si>
  <si>
    <t>IIRM-6933</t>
  </si>
  <si>
    <t>Claim ID generated on Next</t>
  </si>
  <si>
    <t>IIRM-6934</t>
  </si>
  <si>
    <t>Next with valid data proceeds to next step</t>
  </si>
  <si>
    <t>IIRM-6935</t>
  </si>
  <si>
    <t>Auto-save on valid doc upload</t>
  </si>
  <si>
    <t>IIRM-6936</t>
  </si>
  <si>
    <t>Replace existing document (success)</t>
  </si>
  <si>
    <t>IIRM-6937</t>
  </si>
  <si>
    <t>Status chip reflects current stage on Save</t>
  </si>
  <si>
    <t>IIRM-6938</t>
  </si>
  <si>
    <t>Field names/order/rules match Excel</t>
  </si>
  <si>
    <t>IIRM-6939</t>
  </si>
  <si>
    <t>Navigation aligns with prototype</t>
  </si>
  <si>
    <t>IIRM-6940</t>
  </si>
  <si>
    <t>CTA visible only for Non-GMC</t>
  </si>
  <si>
    <t>IIRM-6941</t>
  </si>
  <si>
    <t>Draft update moves to top</t>
  </si>
  <si>
    <t>IIRM-6942</t>
  </si>
  <si>
    <t>Re-enter via status tag resumes same stage</t>
  </si>
  <si>
    <t>IIRM-6943</t>
  </si>
  <si>
    <t>Claim ID persists across steps and refresh</t>
  </si>
  <si>
    <t>IIRM-6944</t>
  </si>
  <si>
    <t>Claim ID uniqueness across claims</t>
  </si>
  <si>
    <t>IIRM-6945</t>
  </si>
  <si>
    <t>Next with server-side validation failure</t>
  </si>
  <si>
    <t>IIRM-6946</t>
  </si>
  <si>
    <t>Back navigation retains saved data</t>
  </si>
  <si>
    <t>IIRM-6947</t>
  </si>
  <si>
    <t>Invalid doc type blocked</t>
  </si>
  <si>
    <t>IIRM-6948</t>
  </si>
  <si>
    <t>Oversized doc blocked</t>
  </si>
  <si>
    <t>IIRM-6949</t>
  </si>
  <si>
    <t>Corrupted doc blocked</t>
  </si>
  <si>
    <t>IIRM-6950</t>
  </si>
  <si>
    <t>Auto-save failure on first upload</t>
  </si>
  <si>
    <t>IIRM-6951</t>
  </si>
  <si>
    <t>Replace failure retains previous</t>
  </si>
  <si>
    <t>IIRM-6952</t>
  </si>
  <si>
    <t>Document History &amp; Audit capture events</t>
  </si>
  <si>
    <t>IIRM-6953</t>
  </si>
  <si>
    <t>No Save/Upload → previous stage status persists</t>
  </si>
  <si>
    <t>IIRM-6954</t>
  </si>
  <si>
    <t>Next CTA saves and navigates</t>
  </si>
  <si>
    <t>IIRM-6955</t>
  </si>
  <si>
    <t>Manage Claims search by Claim ID</t>
  </si>
  <si>
    <t>IIRM-6956</t>
  </si>
  <si>
    <t>Manage Claims filter by status</t>
  </si>
  <si>
    <t>IIRM-6957</t>
  </si>
  <si>
    <t>Pagination / infinite scroll works</t>
  </si>
  <si>
    <t>IIRM-6958</t>
  </si>
  <si>
    <t>Access: Create Claim restricted per role</t>
  </si>
  <si>
    <t>IIRM-6959</t>
  </si>
  <si>
    <t>Access: Manage Claims visibility per role</t>
  </si>
  <si>
    <t>IIRM-6960</t>
  </si>
  <si>
    <t>Network timeout on Save</t>
  </si>
  <si>
    <t>IIRM-6961</t>
  </si>
  <si>
    <t>Network timeout on Next</t>
  </si>
  <si>
    <t>IIRM-6962</t>
  </si>
  <si>
    <t>Idempotent retry after Save failure</t>
  </si>
  <si>
    <t>IIRM-6963</t>
  </si>
  <si>
    <t>Duplicate uploads when only one allowed</t>
  </si>
  <si>
    <t>IIRM-6964</t>
  </si>
  <si>
    <t>Unsupported MIME with valid extension</t>
  </si>
  <si>
    <t>IIRM-6965</t>
  </si>
  <si>
    <t>Rapid successive Replace clicks (debounce)</t>
  </si>
  <si>
    <t>IIRM-6966</t>
  </si>
  <si>
    <t>Session expiry mid-flow</t>
  </si>
  <si>
    <t>IIRM-6967</t>
  </si>
  <si>
    <t>Invalid characters/length in text fields</t>
  </si>
  <si>
    <t>IIRM-6968</t>
  </si>
  <si>
    <t>Max attachments reached</t>
  </si>
  <si>
    <t>IIRM-6969</t>
  </si>
  <si>
    <t>Draft cleanup not losing data</t>
  </si>
  <si>
    <t>IIRM-6970</t>
  </si>
  <si>
    <t>Verify file format gets downlaodable</t>
  </si>
  <si>
    <t>IIRM-6971</t>
  </si>
  <si>
    <t>Claim: NON-GMC: Default time is not getting captured , when we open create claim.</t>
  </si>
  <si>
    <t>IIRM-6972</t>
  </si>
  <si>
    <t>Claims:Non-GMC: Step 1: Glitch occurs on clicking on save draft</t>
  </si>
  <si>
    <t>IIRM-6973</t>
  </si>
  <si>
    <t>Claims: NON_GMC: Remove the previous button in step 1</t>
  </si>
  <si>
    <t>IIRM-6974</t>
  </si>
  <si>
    <t>Claims:NON-GMC: Loss location should be shown as company location</t>
  </si>
  <si>
    <t>IIRM-6975</t>
  </si>
  <si>
    <t xml:space="preserve">Claims:NON-GMC: Claims is getting created with out asset functionality </t>
  </si>
  <si>
    <t>IIRM-6976</t>
  </si>
  <si>
    <t>Claims:NON-GMC: Non-standard templates are being uploaded — system should restrict uploads to only standard templates</t>
  </si>
  <si>
    <t>IIRM-6977</t>
  </si>
  <si>
    <t>Claims: NON-GMC: Unable to proceed from step2 with default date and time</t>
  </si>
  <si>
    <t>IIRM-6978</t>
  </si>
  <si>
    <t>Claims:NON-GMC: No where showing completed claim step name in track claims records</t>
  </si>
  <si>
    <t>IIRM-6979</t>
  </si>
  <si>
    <t>Claims:NON-GMC: Proper step navigation not happening while navigating through claim ID from track claim</t>
  </si>
  <si>
    <t>IIRM-6980</t>
  </si>
  <si>
    <t>Claims: NON-GMC: Uploaded file not showing on navigating to previous step</t>
  </si>
  <si>
    <t>IIRM-6981</t>
  </si>
  <si>
    <t>Claims:NON-GMC: Verify claim count is getting updating in dashboard</t>
  </si>
  <si>
    <t>Internal Review Pending</t>
  </si>
  <si>
    <t>IIRM-6982</t>
  </si>
  <si>
    <t>Claims: NON-GMC – Existing Claim IDs incorrectly mapped to New Policy Claim Track when claims share the same company</t>
  </si>
  <si>
    <t>IIRM-6983</t>
  </si>
  <si>
    <t>Claims:NON-GMC: Description of loss allows &gt; 500 chars</t>
  </si>
  <si>
    <t>IIRM-6984</t>
  </si>
  <si>
    <t>Claims:NON-GMC: File uploaded track details not getting after file upload</t>
  </si>
  <si>
    <t>IIRM-6985</t>
  </si>
  <si>
    <t>Claims: NON-GMC: Default supported files text needs to be changed</t>
  </si>
  <si>
    <t>IIRM-6986</t>
  </si>
  <si>
    <t>Claims:NON-GMC: Prepopulating insurer/company name not happening with Adjuster Assigned By field</t>
  </si>
  <si>
    <t>IIRM-6987</t>
  </si>
  <si>
    <t>Claims:NON-GMC: property should not be shown in validation error</t>
  </si>
  <si>
    <t>IIRM-6988</t>
  </si>
  <si>
    <t>Claims:NON-GMC: Char count validation missing for Adjuster Name</t>
  </si>
  <si>
    <t>IIRM-6989</t>
  </si>
  <si>
    <t>IIRM: Placement Slip Generation: Correct the file name format for the generated Placement Slip PDF</t>
  </si>
  <si>
    <t>IIRM-6990</t>
  </si>
  <si>
    <t>IIRM: Placement Slip Generation: Correct the data for accuracy in the generated PDF file</t>
  </si>
  <si>
    <t>IIRM-6991</t>
  </si>
  <si>
    <t>Claims:NON-GMC: step 4: When no file is uploaded then, No data should be shown</t>
  </si>
  <si>
    <t>IIRM-6992</t>
  </si>
  <si>
    <t>IIRM: Sri Lanka Users Are Getting Access to TPA Module</t>
  </si>
  <si>
    <t>IIRM-6993</t>
  </si>
  <si>
    <t>Claims:NON-GMC: Surveyor Name, Findings Summary fields char validation missing</t>
  </si>
  <si>
    <t>IIRM-6994</t>
  </si>
  <si>
    <t>Claims:NON-GMC: Other doc name field not showing</t>
  </si>
  <si>
    <t>IIRM-6995</t>
  </si>
  <si>
    <t>Claims:NON-GMC: Calendar is getting overlapped in documents collected step</t>
  </si>
  <si>
    <t>IIRM-6996</t>
  </si>
  <si>
    <t>IIRM: Placement Slip Generation: The footer section is breaking when generating the PDF with more data</t>
  </si>
  <si>
    <t>IIRM-6997</t>
  </si>
  <si>
    <t>Claims:NON-GMC: Inspected by field char validation missing</t>
  </si>
  <si>
    <t>IIRM-6998</t>
  </si>
  <si>
    <t>Claims:NON-GMC: Design not matching for Join inception report stage.</t>
  </si>
  <si>
    <t>IIRM-6999</t>
  </si>
  <si>
    <t>Claims:NON-GMC: Joint inception report: Inception finding field char validation and uploaded file report validation missing</t>
  </si>
  <si>
    <t>IIRM-7000</t>
  </si>
  <si>
    <t>Claims: NON-GMC: property showing in validation message</t>
  </si>
  <si>
    <t>IIRM-7001</t>
  </si>
  <si>
    <t>Claim:NON-GMC: LOR Copy: File upload and table view requirements not matching.</t>
  </si>
  <si>
    <t>IIRM-7002</t>
  </si>
  <si>
    <t>Claims:NON-GMC: Track document submission requirement missing</t>
  </si>
  <si>
    <t>IIRM-7003</t>
  </si>
  <si>
    <t>Claims: NON-GMC: Property showing in track document submission step</t>
  </si>
  <si>
    <t>IIRM-7004</t>
  </si>
  <si>
    <t>Claims:NON-GMC: Assessment report requirement not matching</t>
  </si>
  <si>
    <t>IIRM-7005</t>
  </si>
  <si>
    <t xml:space="preserve">Claims:NON-GMC: Approved by char count not matching to the requirement </t>
  </si>
  <si>
    <t>IIRM-7006</t>
  </si>
  <si>
    <t>Claims: NON-GMC: Discharge voucher gen file upload requirement missing</t>
  </si>
  <si>
    <t>IIRM-7007</t>
  </si>
  <si>
    <t>Claims: NON-GMC: no validation is showing on clicking submit, if file not uploaded</t>
  </si>
  <si>
    <t>IIRM-7008</t>
  </si>
  <si>
    <t>Claims: NON-GMC: Customer agreement remarks requirement not matching</t>
  </si>
  <si>
    <t>IIRM-7009</t>
  </si>
  <si>
    <t>Claim: NON-GMC: After claim steps completed , auto redirect not happening to policy dashboard</t>
  </si>
  <si>
    <t>IIRM-7010</t>
  </si>
  <si>
    <t>Claims: NON-GMC: Claim TAT count is not getting displayed</t>
  </si>
  <si>
    <t>IIRM-7011</t>
  </si>
  <si>
    <t>Claims: NON-GMC: Manage claims count not getting updated after claim has submitted</t>
  </si>
  <si>
    <t>IIRM-7012</t>
  </si>
  <si>
    <t>Editable Section with form fields including the buttons (Based on the design)</t>
  </si>
  <si>
    <t>IIRM-6828 — Policy Activation</t>
  </si>
  <si>
    <t>IIRM-7013</t>
  </si>
  <si>
    <t>API integration for the Policy Details Section</t>
  </si>
  <si>
    <t>IIRM-7014</t>
  </si>
  <si>
    <t>Field level validations in the form for policy Details</t>
  </si>
  <si>
    <t>IIRM-7015</t>
  </si>
  <si>
    <t>Covers Editable section (Based on the design)</t>
  </si>
  <si>
    <t>IIRM-7016</t>
  </si>
  <si>
    <t>API integration for the Covers Section</t>
  </si>
  <si>
    <t>IIRM-7017</t>
  </si>
  <si>
    <t>CD details Editable Section</t>
  </si>
  <si>
    <t>IIRM-7018</t>
  </si>
  <si>
    <t>API integration for the CD details section</t>
  </si>
  <si>
    <t>IIRM-7019</t>
  </si>
  <si>
    <t>Show the approval button based on the permission  and cases</t>
  </si>
  <si>
    <t>IIRM-7020</t>
  </si>
  <si>
    <t xml:space="preserve">Changes in the policy configuration </t>
  </si>
  <si>
    <t>IIRM-7021</t>
  </si>
  <si>
    <t xml:space="preserve">Show the Activate Policy button based on the approval </t>
  </si>
  <si>
    <t>IIRM-7022</t>
  </si>
  <si>
    <t>Create an API to update policy details .</t>
  </si>
  <si>
    <t>IIRM-7023</t>
  </si>
  <si>
    <t>Create an API to update existing covers for a policy.</t>
  </si>
  <si>
    <t>IIRM-7024</t>
  </si>
  <si>
    <t>Modify the existing “Get Policy by ID” API according to the new requirements.</t>
  </si>
  <si>
    <t>IIRM-7025</t>
  </si>
  <si>
    <t>Update the existing Configuration Approval API.</t>
  </si>
  <si>
    <t>IIRM-7026</t>
  </si>
  <si>
    <t>Create an API for policy activation.</t>
  </si>
  <si>
    <t>IIRM-7027</t>
  </si>
  <si>
    <t>Create an API to update CD  details.</t>
  </si>
  <si>
    <t>IIRM-7028</t>
  </si>
  <si>
    <t xml:space="preserve">Implement role-based approval in policy activation </t>
  </si>
  <si>
    <t>IIRM-7029</t>
  </si>
  <si>
    <t>Insurer contact details are not getting populated</t>
  </si>
  <si>
    <t>IIRM-7030</t>
  </si>
  <si>
    <t>IIRM:TPA Contact, Insurer Contact, Broker Contacts are accepting white spaces data without validation</t>
  </si>
  <si>
    <t>IIRM-7031</t>
  </si>
  <si>
    <t>IIRM: Placement Slip Generation: Nature of Business field is displayed with HTML tags in the Placement Slip generation PDF</t>
  </si>
  <si>
    <t>IIRM-7032</t>
  </si>
  <si>
    <t xml:space="preserve">Claims: NON-GMC: Claims track ID is not getting started from 1 </t>
  </si>
  <si>
    <t>IIRM-7033</t>
  </si>
  <si>
    <t>IRM: All Cover Details Not Populated in Placement PDF (GMC Cover)</t>
  </si>
  <si>
    <t>IIRM-7034</t>
  </si>
  <si>
    <t>Claims: NON-GMC: Error still remains even after saving the step</t>
  </si>
  <si>
    <t>IIRM-7035</t>
  </si>
  <si>
    <t>Claims: NON-GMC: Wrong validation message shown , if fields exceed with char count</t>
  </si>
  <si>
    <t>IIRM-7036</t>
  </si>
  <si>
    <t>IIRM: Placement Slip Generation: The layout and design of the generated Placement Slip is not as per the reference PDF</t>
  </si>
  <si>
    <t>IIRM-7037</t>
  </si>
  <si>
    <t>Claims: NON-GMC: Error thrown on claim settlement step</t>
  </si>
  <si>
    <t>IIRM-7038</t>
  </si>
  <si>
    <t>Claims: NON-GMC: TAT aging count is not getting display</t>
  </si>
  <si>
    <t>IIRM-7039</t>
  </si>
  <si>
    <t>IIRM: Permission Issue Occurs in Placement Slip When Selecting Existing CD Account</t>
  </si>
  <si>
    <t>IIRM-7040</t>
  </si>
  <si>
    <t>Claims: NON-GMC: Space should get reduce in need your attention card</t>
  </si>
  <si>
    <t>IIRM-7041</t>
  </si>
  <si>
    <t>Claims: NON-GMC: While adding document name from others,, text field was showing</t>
  </si>
  <si>
    <t>IIRM-7042</t>
  </si>
  <si>
    <t>Sync Policy fields to SO/RO Stages</t>
  </si>
  <si>
    <t>IIRM-7043</t>
  </si>
  <si>
    <t>Policy Visibility: Link ISG and AM to the Opportunities they are currently handling or have previously worked on</t>
  </si>
  <si>
    <t>IIRM-7044</t>
  </si>
  <si>
    <t>IBP: Login (Email Only) to IBP Application and Navigate to Enrolment Process</t>
  </si>
  <si>
    <t>IIRM-7045</t>
  </si>
  <si>
    <t>IBP: Landing Page</t>
  </si>
  <si>
    <t>IIRM-7046</t>
  </si>
  <si>
    <t>IBP: Dashboard (Release-1)</t>
  </si>
  <si>
    <t>IIRM-7047</t>
  </si>
  <si>
    <t>Scoping: Organization Hierarchy</t>
  </si>
  <si>
    <t>IIRM-7048</t>
  </si>
  <si>
    <t>Scoping: Special Priviledges</t>
  </si>
  <si>
    <t>IIRM-7049</t>
  </si>
  <si>
    <t>Policy Visibility: Add participants along with policy owners (AM, DB &amp; ISG)</t>
  </si>
  <si>
    <t>IIRM-7050</t>
  </si>
  <si>
    <t>Claims: Claim ID field is missing in step 1</t>
  </si>
  <si>
    <t>IIRM-7051</t>
  </si>
  <si>
    <t>Claims: NON-GMC: Sent By field missing in step 2</t>
  </si>
  <si>
    <t>IIRM-7052</t>
  </si>
  <si>
    <t>Claims: NON-GMC: Document received date, pending documents and file upload fields were missing in step 5</t>
  </si>
  <si>
    <t>IIRM-7053</t>
  </si>
  <si>
    <t>Claims: NON-GMC: Surveyor  filed is not available in Joint Inspection Report</t>
  </si>
  <si>
    <t>IIRM-7054</t>
  </si>
  <si>
    <t>Claims: NON-GMC: In Track Document Submission step status dropdown missing.</t>
  </si>
  <si>
    <t>IIRM-7055</t>
  </si>
  <si>
    <t>Claims: NON-GMC: Once file is saved into system, then show details in "Uploaded Survey Copy" section</t>
  </si>
  <si>
    <t>IIRM-7056</t>
  </si>
  <si>
    <t>IIRM: Placement Slip Data Not Retrieved Automatically After Approval</t>
  </si>
  <si>
    <t>IIRM-7096</t>
  </si>
  <si>
    <t>Verify access to Policy Details screen from Manage Policy</t>
  </si>
  <si>
    <t>IIRM-7097</t>
  </si>
  <si>
    <t>Verify Policy Details sections are displayed</t>
  </si>
  <si>
    <t>IIRM-7098</t>
  </si>
  <si>
    <t>Verify Edit functionality for policy sections</t>
  </si>
  <si>
    <t>IIRM-7099</t>
  </si>
  <si>
    <t>Verify Submit for Approval workflow</t>
  </si>
  <si>
    <t>IIRM-7100</t>
  </si>
  <si>
    <t>Verify Manager can approve Policy Details</t>
  </si>
  <si>
    <t>IIRM-7101</t>
  </si>
  <si>
    <t>Verify Cover Details display and edit</t>
  </si>
  <si>
    <t>IIRM-7102</t>
  </si>
  <si>
    <t>Verify Cover Details approval workflow</t>
  </si>
  <si>
    <t>IIRM-7103</t>
  </si>
  <si>
    <t>Verify successful policy activation</t>
  </si>
  <si>
    <t>IIRM-7104</t>
  </si>
  <si>
    <t>Verify post-activation CTA state changes</t>
  </si>
  <si>
    <t>IIRM-7105</t>
  </si>
  <si>
    <t>Verify policy visible in client portal</t>
  </si>
  <si>
    <t>IIRM-7106</t>
  </si>
  <si>
    <t>Verify rejection workflow with mandatory comment</t>
  </si>
  <si>
    <t>IIRM-7107</t>
  </si>
  <si>
    <t>Verify Edit disabled after approval</t>
  </si>
  <si>
    <t>IIRM-7108</t>
  </si>
  <si>
    <t>Verify audit log captures activation details</t>
  </si>
  <si>
    <t>IIRM-7109</t>
  </si>
  <si>
    <t>Verify notification on approval submission</t>
  </si>
  <si>
    <t>IIRM-7110</t>
  </si>
  <si>
    <t>Verify notification on Manager rejection</t>
  </si>
  <si>
    <t>IIRM-7111</t>
  </si>
  <si>
    <t>Verify notification on Manager approval</t>
  </si>
  <si>
    <t>IIRM-7112</t>
  </si>
  <si>
    <t>Verify Endorsement and Claims icons enabled post-activation</t>
  </si>
  <si>
    <t>IIRM-7113</t>
  </si>
  <si>
    <t>Verify backend reflects approved details before activation</t>
  </si>
  <si>
    <t>IIRM-7114</t>
  </si>
  <si>
    <t>Verify approved configuration can be edited before activation</t>
  </si>
  <si>
    <t>IIRM-7115</t>
  </si>
  <si>
    <t>Verify 'Approve Updated Configuration' creates audit log</t>
  </si>
  <si>
    <t>IIRM-7116</t>
  </si>
  <si>
    <t>Verify edit option only for Account Number</t>
  </si>
  <si>
    <t>IIRM-7117</t>
  </si>
  <si>
    <t>Verify Transaction table display</t>
  </si>
  <si>
    <t>IIRM-7118</t>
  </si>
  <si>
    <t>Verify activity tagged with Policy ID and approval type</t>
  </si>
  <si>
    <t>IIRM-7119</t>
  </si>
  <si>
    <t>Verify approved/rejected activity in Executive's assignment bucket</t>
  </si>
  <si>
    <t>IIRM-7120</t>
  </si>
  <si>
    <t>Verify 'Basic Details' renamed to 'Policy Details'</t>
  </si>
  <si>
    <t>IIRM-7121</t>
  </si>
  <si>
    <t>Verify multiple sections can be edited before submission</t>
  </si>
  <si>
    <t>IIRM-7122</t>
  </si>
  <si>
    <t>Verify saved state persists across navigation</t>
  </si>
  <si>
    <t>IIRM-7123</t>
  </si>
  <si>
    <t>Verify all covers edited together in single edit form</t>
  </si>
  <si>
    <t>IIRM-7124</t>
  </si>
  <si>
    <t>Verify sequential approval of Policy Details then Cover Details</t>
  </si>
  <si>
    <t>IIRM-7125</t>
  </si>
  <si>
    <t>Verify re-submission after rejection</t>
  </si>
  <si>
    <t>IIRM-7126</t>
  </si>
  <si>
    <t>Verify activation flow for Individual Policy (no configuration required)</t>
  </si>
  <si>
    <t>IIRM-7127</t>
  </si>
  <si>
    <t>Verify activation flow for Group Policy with configuration</t>
  </si>
  <si>
    <t>IIRM-7128</t>
  </si>
  <si>
    <t>Verify configuration update prompt after editing approved details</t>
  </si>
  <si>
    <t>IIRM-7129</t>
  </si>
  <si>
    <t>Verify auto-population of fields from Sales/Renewal data</t>
  </si>
  <si>
    <t>IIRM-7130</t>
  </si>
  <si>
    <t>Verify mandatory field validation in edit form</t>
  </si>
  <si>
    <t>IIRM-7131</t>
  </si>
  <si>
    <t>Verify Save button enabled only when all fields filled</t>
  </si>
  <si>
    <t>IIRM-7132</t>
  </si>
  <si>
    <t>Verify Manager cannot approve without reviewing details</t>
  </si>
  <si>
    <t>IIRM-7133</t>
  </si>
  <si>
    <t>Verify Account Number edit and save</t>
  </si>
  <si>
    <t>IIRM-7134</t>
  </si>
  <si>
    <t>Verify navigation between Policy Details, Covers, and CD Account tabs</t>
  </si>
  <si>
    <t>IIRM-7135</t>
  </si>
  <si>
    <t>Verify success message and redirection after activation</t>
  </si>
  <si>
    <t>IIRM-7136</t>
  </si>
  <si>
    <t>Verify behavior when no source data available for fields</t>
  </si>
  <si>
    <t>IIRM-7137</t>
  </si>
  <si>
    <t>Verify handling when Manager and Executive are same user</t>
  </si>
  <si>
    <t>IIRM-7138</t>
  </si>
  <si>
    <t>Verify behavior with single cover vs multiple covers</t>
  </si>
  <si>
    <t>IIRM-7139</t>
  </si>
  <si>
    <t>Verify activation when approval pending for long duration</t>
  </si>
  <si>
    <t>IIRM-7140</t>
  </si>
  <si>
    <t>Verify configuration changes saved but not approved before activation</t>
  </si>
  <si>
    <t>IIRM-7141</t>
  </si>
  <si>
    <t>Verify behavior when user edits form but doesn't save before closing</t>
  </si>
  <si>
    <t>IIRM-7142</t>
  </si>
  <si>
    <t>Verify multiple rejection and re-submission cycles</t>
  </si>
  <si>
    <t>IIRM-7143</t>
  </si>
  <si>
    <t>Verify notification delivery when user is offline</t>
  </si>
  <si>
    <t>IIRM-7144</t>
  </si>
  <si>
    <t>Verify activation attempt with partial approvals (only Policy Details approved)</t>
  </si>
  <si>
    <t>IIRM-7145</t>
  </si>
  <si>
    <t>Verify behavior when no transactions exist in CD Account</t>
  </si>
  <si>
    <t>IIRM-7146</t>
  </si>
  <si>
    <t>Verify backend sync when multiple users edit simultaneously</t>
  </si>
  <si>
    <t>IIRM-7147</t>
  </si>
  <si>
    <t>Verify behavior with extremely long field values</t>
  </si>
  <si>
    <t>IIRM-7148</t>
  </si>
  <si>
    <t>Verify activation blocked without Policy Details approval</t>
  </si>
  <si>
    <t>IIRM-7149</t>
  </si>
  <si>
    <t>Verify activation blocked without Cover Details approval</t>
  </si>
  <si>
    <t>IIRM-7150</t>
  </si>
  <si>
    <t>Verify Group Policy activation blocked without configuration</t>
  </si>
  <si>
    <t>IIRM-7151</t>
  </si>
  <si>
    <t>Verify Save blocked with empty mandatory fields</t>
  </si>
  <si>
    <t>IIRM-7152</t>
  </si>
  <si>
    <t>Verify Manager cannot reject without entering comment</t>
  </si>
  <si>
    <t>IIRM-7153</t>
  </si>
  <si>
    <t>Verify Edit blocked after approval</t>
  </si>
  <si>
    <t>IIRM-7154</t>
  </si>
  <si>
    <t>Verify Cover edit blocked after approval</t>
  </si>
  <si>
    <t>IIRM-7155</t>
  </si>
  <si>
    <t>Verify activation blocked before Policy Confirmation step</t>
  </si>
  <si>
    <t>IIRM-7156</t>
  </si>
  <si>
    <t>Verify invalid data format rejection in edit fields</t>
  </si>
  <si>
    <t>IIRM-7157</t>
  </si>
  <si>
    <t>Verify activation blocked with unapproved configuration changes</t>
  </si>
  <si>
    <t>IIRM-7158</t>
  </si>
  <si>
    <t>Verify unauthorized user cannot access Policy Details screen</t>
  </si>
  <si>
    <t>IIRM-7159</t>
  </si>
  <si>
    <t>Verify invalid Account Number format rejected</t>
  </si>
  <si>
    <t>IIRM-7160</t>
  </si>
  <si>
    <t>Verify already activated policy cannot be re-activated</t>
  </si>
  <si>
    <t>IIRM-7161</t>
  </si>
  <si>
    <t>Verify submission blocked with unsaved changes</t>
  </si>
  <si>
    <t>IIRM-7162</t>
  </si>
  <si>
    <t>Verify system handles network failure during save operation</t>
  </si>
  <si>
    <t>IIRM-7163</t>
  </si>
  <si>
    <t>Verify special characters validation in text fields</t>
  </si>
  <si>
    <t>IIRM-7164</t>
  </si>
  <si>
    <t>Verify negative values rejected in Premium/Sum Insured fields</t>
  </si>
  <si>
    <t>IIRM-7165</t>
  </si>
  <si>
    <t>Verify Executive cannot approve their own submission</t>
  </si>
  <si>
    <t>IIRM-7166</t>
  </si>
  <si>
    <t>Verify activation fails with expired policy dates</t>
  </si>
  <si>
    <t>IIRM-7167</t>
  </si>
  <si>
    <t>Verify date field validation (future/past date restrictions)</t>
  </si>
  <si>
    <t>IIRM-7168</t>
  </si>
  <si>
    <t>Endorsement: Verify once endorsement is created, Check dashboard count on endorsement TAT</t>
  </si>
  <si>
    <t>IIRM-7169</t>
  </si>
  <si>
    <t>Endorsement: Verify claim process for uploaded endorsement employee ID's</t>
  </si>
  <si>
    <t>IIRM-7170</t>
  </si>
  <si>
    <t>Endorsement: Verify claim TAT on dashboard for pending claims</t>
  </si>
  <si>
    <t>IIRM-7171</t>
  </si>
  <si>
    <t>Endorsement: Verify once claims is settled, count on Claims TAT and manage claims dashboard</t>
  </si>
  <si>
    <t>IIRM-7172</t>
  </si>
  <si>
    <t>Endorsement: Verify pending endorsement can be submit by using track endorsement ID's</t>
  </si>
  <si>
    <t>IIRM-7173</t>
  </si>
  <si>
    <t>Inception: Verify inception can only be done for newly created policy.</t>
  </si>
  <si>
    <t>IIRM-7174</t>
  </si>
  <si>
    <t>Inception: Verify inception process for already endorsement created policy</t>
  </si>
  <si>
    <t>IIRM-7175</t>
  </si>
  <si>
    <t>Inception: Verify endorsement track ID should not get for inception processed users</t>
  </si>
  <si>
    <t>IIRM-7176</t>
  </si>
  <si>
    <t>Inception: Verify endorsement TAT and claim TAT for inception processed users</t>
  </si>
  <si>
    <t>IIRM-7177</t>
  </si>
  <si>
    <t>CD: Verify for already CD account exists company can't be added CD balance.</t>
  </si>
  <si>
    <t>IIRM-7178</t>
  </si>
  <si>
    <t>CD: Verify added CD balance should get reflect in CD management, Policies</t>
  </si>
  <si>
    <t>IIRM-7179</t>
  </si>
  <si>
    <t>CD: Verify CD&lt; Premium amount , endorsement process can be done</t>
  </si>
  <si>
    <t>IIRM-7180</t>
  </si>
  <si>
    <t>Removal of the mandatory email and mobile number during the enrollment file processing section</t>
  </si>
  <si>
    <t>IIRM-7181</t>
  </si>
  <si>
    <t>Extraction of the policy enrollment file logic into common function with the new processing rules</t>
  </si>
  <si>
    <t>IIRM-7182</t>
  </si>
  <si>
    <t>Creation of new Endpoint in the ibp service for handling the enrollment file handling</t>
  </si>
  <si>
    <t>IIRM-7183</t>
  </si>
  <si>
    <t>IIRM-7184</t>
  </si>
  <si>
    <t>IIRM: Test cases authering for Placement Slip download functionality</t>
  </si>
  <si>
    <t>IIRM-7185</t>
  </si>
  <si>
    <t>IIRM: Test cases Execution for Placementslip download functionality</t>
  </si>
  <si>
    <t>IIRM-7186</t>
  </si>
  <si>
    <t>IIRM-7187</t>
  </si>
  <si>
    <t>IIRM: API Test data preparation for Company &amp; Contact</t>
  </si>
  <si>
    <t>IIRM-7188</t>
  </si>
  <si>
    <t>Opening Balance Issue in CD Account</t>
  </si>
  <si>
    <t>IIRM-7189</t>
  </si>
  <si>
    <t>IIRM: Automation test scripts refactor</t>
  </si>
  <si>
    <t>IIRM-7190</t>
  </si>
  <si>
    <t>NON- GMC : Claims: On download icon hover , object -ob ject showing</t>
  </si>
  <si>
    <t>IIRM-7191</t>
  </si>
  <si>
    <t>NON-GMC: claims: Commas were not showing for success and failure count</t>
  </si>
  <si>
    <t>IIRM-7192</t>
  </si>
  <si>
    <t>NON-GMC: Claims: Pending state not showing for step 2</t>
  </si>
  <si>
    <t>IIRM-7193</t>
  </si>
  <si>
    <t>Claims: NON-GMC: Lead insurer details not fetching</t>
  </si>
  <si>
    <t>IIRM-7194</t>
  </si>
  <si>
    <t>Policy Expiry Timeline section should display below Claims TAT section</t>
  </si>
  <si>
    <t>IIRM-7195</t>
  </si>
  <si>
    <t>Clicking on any link in Endorsement TAT section does not match endorsement count, and the Run/Reset buttons are also disabled.</t>
  </si>
  <si>
    <t>IIRM-7196</t>
  </si>
  <si>
    <t>Clicking on any link in Claim TAT section is not showing matching Claims count.</t>
  </si>
  <si>
    <t>IIRM-7197</t>
  </si>
  <si>
    <t>The policy count displayed in the graph in Policy Type Distribution section does not match the count in the Business Service Overview section.</t>
  </si>
  <si>
    <t>IIRM-7198</t>
  </si>
  <si>
    <t>Individual sections should not be visible to the person who is not authorized to see it.(RBAC)</t>
  </si>
  <si>
    <t>IIRM-7200</t>
  </si>
  <si>
    <t>Total Policies quick card value is not matching with applied default filter search result. Also, Manager+Team filter is not default.</t>
  </si>
  <si>
    <t>IIRM-7202</t>
  </si>
  <si>
    <t>Remove Sum Insured column from Policy details section.</t>
  </si>
  <si>
    <t>IIRM-7203</t>
  </si>
  <si>
    <t>Display month name instead of 01, 02 in Service score section.</t>
  </si>
  <si>
    <t>IIRM-7204</t>
  </si>
  <si>
    <t>The TAT title (e.g., "&gt;7 Days") should be displayed in the header section in brackets of the "Service score details" section.</t>
  </si>
  <si>
    <t>IIRM-7205</t>
  </si>
  <si>
    <t>PROD: During TPA upload (Step #6), if 100 records are uploaded and 30 fail, the system should allow uploading the remaining 30 records. Once all records are successfully uploaded, further uploads should be restricted.</t>
  </si>
  <si>
    <t>IIRM-7206</t>
  </si>
  <si>
    <t>During the Inception process, the system displays a message related to Endorsement and also in download excel, even though Inception data is being uploaded.</t>
  </si>
  <si>
    <t>IIRM-7207</t>
  </si>
  <si>
    <t>When uploading non-GMC data it is not considering sub assets.</t>
  </si>
  <si>
    <t>IIRM-7208</t>
  </si>
  <si>
    <t>The two labels on the Claim Upload page are not identical but seem to serve the same function, so clarification is needed, or the labels should be updated to better reflect their distinct purposes</t>
  </si>
  <si>
    <t>IIRM-7209</t>
  </si>
  <si>
    <t>Email configuration is still not set up; for testing purposes, the emails should be directed to a designated recipient.</t>
  </si>
  <si>
    <t>IIRM-7210</t>
  </si>
  <si>
    <t>Template helper is not in sync with the relationship configuration eg parent -in -laws are not available in template.</t>
  </si>
  <si>
    <t>IIRM-7211</t>
  </si>
  <si>
    <t>Any date format must be accepted in template</t>
  </si>
  <si>
    <t>IIRM-7212</t>
  </si>
  <si>
    <t>Success records must be visible</t>
  </si>
  <si>
    <t>IIRM-7213</t>
  </si>
  <si>
    <t>Deletion Endorsement not working.</t>
  </si>
  <si>
    <t>IIRM-7214</t>
  </si>
  <si>
    <t>Version number at the bottom of left menu is not updating</t>
  </si>
  <si>
    <t>IIRM-7215</t>
  </si>
  <si>
    <t>PolicyActivate: Company type is disabled, cant update the basic details</t>
  </si>
  <si>
    <t>IIRM-7216</t>
  </si>
  <si>
    <t>ActivatePolicy: Commas missing for premium&amp;Brokerage details</t>
  </si>
  <si>
    <t>IIRM-7217</t>
  </si>
  <si>
    <t>ActivatePolicy: Pending for approval needs to be shown for policy details, Once policy details got approved.</t>
  </si>
  <si>
    <t>IIRM-7218</t>
  </si>
  <si>
    <t>ActivatePolicy: For approve comment also mandatary should be there</t>
  </si>
  <si>
    <t>IIRM-7219</t>
  </si>
  <si>
    <t>ActivatePolicy: Submit for approval button glitch shown on UI</t>
  </si>
  <si>
    <t>IIRM-7220</t>
  </si>
  <si>
    <t>ActivatePolicy: Approved and Rejected buttons not showing for BD manager</t>
  </si>
  <si>
    <t>IIRM-7221</t>
  </si>
  <si>
    <t>Claims: NON-GMC: Pending and in progress count not getting trigger</t>
  </si>
  <si>
    <t>IIRM-7222</t>
  </si>
  <si>
    <t>IRM: Placement Slip Generation: Unable to enter values in the Service Tax Percentage field and unable to complete the activity</t>
  </si>
  <si>
    <t>IIRM-7223</t>
  </si>
  <si>
    <t>IIRM: KDM Meeting: Able to access the Employee Participants dropdown after the activity is completed</t>
  </si>
  <si>
    <t>IIRM-7224</t>
  </si>
  <si>
    <t>ActivatePolicy: Manage policy navigation missing.</t>
  </si>
  <si>
    <t>IIRM-7225</t>
  </si>
  <si>
    <t>ActivatePolicy: Activate button not getting redirected to policy dashboard page</t>
  </si>
  <si>
    <t>IIRM-7226</t>
  </si>
  <si>
    <t xml:space="preserve">ActivatePolicy: Premium, Deductible, and Status details not showing in Cover details </t>
  </si>
  <si>
    <t>IIRM-7227</t>
  </si>
  <si>
    <t>IIRM: Policy Activation: Few fields are missing</t>
  </si>
  <si>
    <t>IIRM-7228</t>
  </si>
  <si>
    <t>ActivatePolicy: Instead of update , save button should be available</t>
  </si>
  <si>
    <t>IIRM-7229</t>
  </si>
  <si>
    <t>IIRM: Policy Activation: Edit functionality is missing for a few fields</t>
  </si>
  <si>
    <t>IIRM-7230</t>
  </si>
  <si>
    <t>ActivatePolicy: Approve all covers button not available</t>
  </si>
  <si>
    <t>IIRM-7231</t>
  </si>
  <si>
    <t>IIRM: TPA/Insurer/Broker: Search is not working for Phone and Email is not displayed on row data while search with same</t>
  </si>
  <si>
    <t>IIRM-7232</t>
  </si>
  <si>
    <t>ActivatePolicy: Updated data on covers not maintains on switching tabs.</t>
  </si>
  <si>
    <t>IIRM-7233</t>
  </si>
  <si>
    <t>ActivatePolicy: Unable to approve policy config and activate policy</t>
  </si>
  <si>
    <t>IIRM-7234</t>
  </si>
  <si>
    <t>SO Creation Fails After RO Rejection – Cross-Client Validation Required</t>
  </si>
  <si>
    <t>IIRM-7235</t>
  </si>
  <si>
    <t>IIRM: Policy Activation: Amount and Percentage field issues</t>
  </si>
  <si>
    <t>IIRM-7236</t>
  </si>
  <si>
    <t>Production Deployment of Email Communication</t>
  </si>
  <si>
    <t>IIRM-7237</t>
  </si>
  <si>
    <t>Generic Option Standardization for Dependent Configurations</t>
  </si>
  <si>
    <t>IIRM-7238</t>
  </si>
  <si>
    <t>Logical Grouping &amp; Consolidation of Constraints</t>
  </si>
  <si>
    <t>IIRM-7239</t>
  </si>
  <si>
    <t>IIRM: Policy Activation – "Brokerage Amount as per Iwork" Value Not Mapping Correctly</t>
  </si>
  <si>
    <t>IIRM-7240</t>
  </si>
  <si>
    <t>IIRM: Manage Policy: Incorrect toast message displayed after successful update</t>
  </si>
  <si>
    <t>IIRM-7241</t>
  </si>
  <si>
    <t>ActivatePolicy: Recently updated tag not showing for policy details and for cover details as per design</t>
  </si>
  <si>
    <t>IIRM-7242</t>
  </si>
  <si>
    <t>IBP Scope and Timeline planning</t>
  </si>
  <si>
    <t>IIRM-7183 — PO Tasks</t>
  </si>
  <si>
    <t>IIRM-7243</t>
  </si>
  <si>
    <t>Create tickets for raised issues in client discussions 4 tickets</t>
  </si>
  <si>
    <t>IIRM-7244</t>
  </si>
  <si>
    <t>KT on the Claims - Non GMC to the client</t>
  </si>
  <si>
    <t>IIRM-7245</t>
  </si>
  <si>
    <t>Review "Policy activation" module</t>
  </si>
  <si>
    <t>IIRM-7246</t>
  </si>
  <si>
    <t>Connect with the Front-end dev for the blockers</t>
  </si>
  <si>
    <t>IIRM-7247</t>
  </si>
  <si>
    <t>Call with Client regarding the ad-hock requirements</t>
  </si>
  <si>
    <t>IIRM-7248</t>
  </si>
  <si>
    <t>Non-mandatory address fields show “required” validation errors during TPA Contact creation</t>
  </si>
  <si>
    <t>IIRM-7249</t>
  </si>
  <si>
    <t>IIRM: “Something Went Wrong” Error Displayed on Clicking Initiate Process in File Process</t>
  </si>
  <si>
    <t>IIRM-7250</t>
  </si>
  <si>
    <t>IIRM: File Status Not Updated Automatically After Upload in File Process</t>
  </si>
  <si>
    <t>IIRM-7251</t>
  </si>
  <si>
    <t>Welcome banner</t>
  </si>
  <si>
    <t>IIRM-7046 — IBP: Dashboard (Release-1)</t>
  </si>
  <si>
    <t>IIRM-7252</t>
  </si>
  <si>
    <t>Journey Cards</t>
  </si>
  <si>
    <t>IIRM-7253</t>
  </si>
  <si>
    <t>KPIs</t>
  </si>
  <si>
    <t>IIRM-7254</t>
  </si>
  <si>
    <t>Enrollment Banner</t>
  </si>
  <si>
    <t>IIRM-7255</t>
  </si>
  <si>
    <t>Policy Cards</t>
  </si>
  <si>
    <t>IIRM-7256</t>
  </si>
  <si>
    <t xml:space="preserve">Personal Insurance </t>
  </si>
  <si>
    <t>IIRM-7257</t>
  </si>
  <si>
    <t>Wellness Services Summary</t>
  </si>
  <si>
    <t>IIRM-7258</t>
  </si>
  <si>
    <t>Claim Summary</t>
  </si>
  <si>
    <t>IIRM-7259</t>
  </si>
  <si>
    <t>Explore wellness benefits</t>
  </si>
  <si>
    <t>IIRM-7260</t>
  </si>
  <si>
    <t>Login Form</t>
  </si>
  <si>
    <t>IIRM-7044 — IBP: Login (Email Only) to IBP Application and Navigate to Enrolment Process</t>
  </si>
  <si>
    <t>IIRM-7261</t>
  </si>
  <si>
    <t>Infographic</t>
  </si>
  <si>
    <t>IIRM-7262</t>
  </si>
  <si>
    <t>API integration</t>
  </si>
  <si>
    <t>IIRM-7263</t>
  </si>
  <si>
    <t>IBP: Enrolment</t>
  </si>
  <si>
    <t>IIRM-7264</t>
  </si>
  <si>
    <t>Illustrations Image towards right</t>
  </si>
  <si>
    <t>IIRM-7263 — IBP: Enrolment</t>
  </si>
  <si>
    <t>IIRM-7265</t>
  </si>
  <si>
    <t>Common Edit section for employee details</t>
  </si>
  <si>
    <t>IIRM-7266</t>
  </si>
  <si>
    <t xml:space="preserve">UI-Add Dependent section  </t>
  </si>
  <si>
    <t>IIRM-7267</t>
  </si>
  <si>
    <t>API: Add Dependent form</t>
  </si>
  <si>
    <t>IIRM-7268</t>
  </si>
  <si>
    <t>UI: Base health policy  selection</t>
  </si>
  <si>
    <t>IIRM-7269</t>
  </si>
  <si>
    <t>Accordion</t>
  </si>
  <si>
    <t>IIRM-7270</t>
  </si>
  <si>
    <t>UI &amp; API: sticky footer</t>
  </si>
  <si>
    <t>IIRM-7271</t>
  </si>
  <si>
    <t>API Integation &amp; Logic Handling</t>
  </si>
  <si>
    <t>IIRM-7272</t>
  </si>
  <si>
    <t>Summary Banner</t>
  </si>
  <si>
    <t>IIRM-7273</t>
  </si>
  <si>
    <t>GMC , SPA, GTL Key banner</t>
  </si>
  <si>
    <t>IIRM-7274</t>
  </si>
  <si>
    <t>IIRM-7275</t>
  </si>
  <si>
    <t>Success 	Policy cards</t>
  </si>
  <si>
    <t>IIRM-7276</t>
  </si>
  <si>
    <t>Success API Integation &amp; Logic Handling</t>
  </si>
  <si>
    <t>IIRM-7277</t>
  </si>
  <si>
    <t>Sticky header</t>
  </si>
  <si>
    <t>IIRM-7279</t>
  </si>
  <si>
    <t>IIRM: File Process Shows “Success” Without Self Employee Record in Uploaded Sheet</t>
  </si>
  <si>
    <t>IIRM-7280</t>
  </si>
  <si>
    <t>IIRM: File Process Takes Excessive Time to Process Files with 500 Records</t>
  </si>
  <si>
    <t>IIRM-7281</t>
  </si>
  <si>
    <t>IIRM: Policy Activation: "Policy Updated By" field is updated only after screen refresh</t>
  </si>
  <si>
    <t>IIRM-7282</t>
  </si>
  <si>
    <t>IIRM: Termiate actioin should be implement for file process</t>
  </si>
  <si>
    <t>IIRM-7283</t>
  </si>
  <si>
    <t>IIRM: UI Issues in Inception Data Upload Module</t>
  </si>
  <si>
    <t>IIRM-7284</t>
  </si>
  <si>
    <t>IIRM: Unsupported File Types Accepted During File Upload (Only Excel Formats Should Be Allowed)</t>
  </si>
  <si>
    <t>IIRM-7285</t>
  </si>
  <si>
    <t>ActivatePolicy: After approval invalid UI message should not be shown</t>
  </si>
  <si>
    <t>IIRM-7286</t>
  </si>
  <si>
    <t>IIRM: Verify concurrent file uploads and status updates</t>
  </si>
  <si>
    <t>IIRM-7287</t>
  </si>
  <si>
    <t>IIRM: Verify uploading different file formats</t>
  </si>
  <si>
    <t>IIRM-7288</t>
  </si>
  <si>
    <t>IIRM:Verify “Initiate File Process” changes the status to Processing</t>
  </si>
  <si>
    <t>IIRM-7289</t>
  </si>
  <si>
    <t>IIRM: Verify Large Volume File Upload and Processing</t>
  </si>
  <si>
    <t>IIRM-7290</t>
  </si>
  <si>
    <t>Organisation Hierarchy: Leadership Role – Full Permissions Verification</t>
  </si>
  <si>
    <t>IIRM-7291</t>
  </si>
  <si>
    <t>Organisations Hierarchy: Leadership Role – Organisation-specific Data Visibility</t>
  </si>
  <si>
    <t>IIRM-7292</t>
  </si>
  <si>
    <t>Organisation Hierarchy: Leadership Role – Approvals and Monitoring Across Modules</t>
  </si>
  <si>
    <t>IIRM-7293</t>
  </si>
  <si>
    <t>ActivatePolicy: Commas missing for Terrorism amount and Brokerage amount as per ISG</t>
  </si>
  <si>
    <t>IIRM-7294</t>
  </si>
  <si>
    <t>ActivatePolicy: Cursor not working for back option( to erase data on gross premium amount and fee amount</t>
  </si>
  <si>
    <t>IIRM-7295</t>
  </si>
  <si>
    <t>ActivatePolicy: Ready for approval polices were not showing for ISG manager on approval tab.</t>
  </si>
  <si>
    <t>IIRM-7296</t>
  </si>
  <si>
    <t>Asset and sub asset linking to the non group claims</t>
  </si>
  <si>
    <t>IIRM-7297</t>
  </si>
  <si>
    <t>UAT: Replace "PANEL OF SURVEYORS" for GMC Policy Type to "SERVICE  PROVIDER(TPA)""</t>
  </si>
  <si>
    <t>NithinKrishna Sirigiri</t>
  </si>
  <si>
    <t>IIRM-7298</t>
  </si>
  <si>
    <t>UAT: Show Co-Insurer Premium based on Permium Percentage</t>
  </si>
  <si>
    <t>IIRM-6582 — Generate Placement Slip PDF based on Policy &amp; Download</t>
  </si>
  <si>
    <t>IIRM-7299</t>
  </si>
  <si>
    <t>IBP: &lt;Placeholder Story - Re-use it&gt;</t>
  </si>
  <si>
    <t>IIRM-7300</t>
  </si>
  <si>
    <t>Lanka Localization</t>
  </si>
  <si>
    <t>IIRM-7301</t>
  </si>
  <si>
    <t>DB Changes of Framework</t>
  </si>
  <si>
    <t>IIRM-7300 — Lanka Localization</t>
  </si>
  <si>
    <t>IIRM-7302</t>
  </si>
  <si>
    <t>UI Forms of Sales</t>
  </si>
  <si>
    <t>IIRM-7303</t>
  </si>
  <si>
    <t>UI Forms of policy</t>
  </si>
  <si>
    <t>IIRM-7304</t>
  </si>
  <si>
    <t>UI Forms of Service</t>
  </si>
  <si>
    <t>IIRM-7305</t>
  </si>
  <si>
    <t>Query Transformation</t>
  </si>
  <si>
    <t>IIRM-7306</t>
  </si>
  <si>
    <t>Field Propagation</t>
  </si>
  <si>
    <t>IIRM-7307</t>
  </si>
  <si>
    <t>Dynamic Formula</t>
  </si>
  <si>
    <t>IIRM-7308</t>
  </si>
  <si>
    <t>Stage Validation</t>
  </si>
  <si>
    <t>IIRM-7309</t>
  </si>
  <si>
    <t>API: Base health policy  selection</t>
  </si>
  <si>
    <t>IIRM-7310</t>
  </si>
  <si>
    <t>CR: Re-Performing Placement slip Activity</t>
  </si>
  <si>
    <t>IIRM-7311</t>
  </si>
  <si>
    <t>CR: Policy Hard Copy Receipt Activity</t>
  </si>
  <si>
    <t>IIRM-7312</t>
  </si>
  <si>
    <t>Policy Docket Activity</t>
  </si>
  <si>
    <t>IIRM-7313</t>
  </si>
  <si>
    <t>Manage Policies</t>
  </si>
  <si>
    <t>IIRM-7314</t>
  </si>
  <si>
    <t>SO/RO: Documents Section</t>
  </si>
  <si>
    <t>IIRM-7315</t>
  </si>
  <si>
    <t>Opty Filters missing Planning</t>
  </si>
  <si>
    <t>IIRM-7316</t>
  </si>
  <si>
    <t>CD Management: Wrong reference type(description) showing on transaction history</t>
  </si>
  <si>
    <t>IIRM-7317</t>
  </si>
  <si>
    <t>KPI's: Look and fields of KPI's are inconsistance</t>
  </si>
  <si>
    <t>IIRM-7318</t>
  </si>
  <si>
    <t>IBP:Login: Verify successful login with valid credentials</t>
  </si>
  <si>
    <t>IIRM-7319</t>
  </si>
  <si>
    <t>IBP:Login: Verify redirect to Dashboard for completed enrolment</t>
  </si>
  <si>
    <t>IIRM-7320</t>
  </si>
  <si>
    <t>IBP:Login: Verify redirect to Enrolment for pending status</t>
  </si>
  <si>
    <t>IIRM-7321</t>
  </si>
  <si>
    <t>IBP:Login: Verify company identification from policy</t>
  </si>
  <si>
    <t>IIRM-7322</t>
  </si>
  <si>
    <t>IBP:Login: Verify Edit access for pending enrolment</t>
  </si>
  <si>
    <t>IIRM-7323</t>
  </si>
  <si>
    <t>IBP:Login: Verify View-only access for completed enrolment</t>
  </si>
  <si>
    <t>IIRM-7324</t>
  </si>
  <si>
    <t>IBP:Login: Verify secure session creation</t>
  </si>
  <si>
    <t>IIRM-7325</t>
  </si>
  <si>
    <t>IBP:Login: Verify login activity in audit logs</t>
  </si>
  <si>
    <t>IIRM-7326</t>
  </si>
  <si>
    <t>IBP:Login: Verify login fails with invalid email</t>
  </si>
  <si>
    <t>IIRM-7327</t>
  </si>
  <si>
    <t>IBP:Login: Verify login fails with incorrect password</t>
  </si>
  <si>
    <t>IIRM-7328</t>
  </si>
  <si>
    <t>IBP:Login: Verify generic error message (security)</t>
  </si>
  <si>
    <t>IIRM-7329</t>
  </si>
  <si>
    <t>IBP:Login: Verify account lockout after 5 failed attempts</t>
  </si>
  <si>
    <t>IIRM-7330</t>
  </si>
  <si>
    <t>IBP:Login: Verify account unlock after 15 minutes</t>
  </si>
  <si>
    <t>IIRM-7331</t>
  </si>
  <si>
    <t>IBP:Login: Verify failed login audit log</t>
  </si>
  <si>
    <t>IIRM-7332</t>
  </si>
  <si>
    <t>IBP:Login: Verify attempt counter increments</t>
  </si>
  <si>
    <t>IIRM-7333</t>
  </si>
  <si>
    <t>IBP:Login: Verify login fails for inactive account</t>
  </si>
  <si>
    <t>IIRM-7334</t>
  </si>
  <si>
    <t>IBP:Login: Verify login fails for expired account</t>
  </si>
  <si>
    <t>IIRM-7335</t>
  </si>
  <si>
    <t>IBP:Login: Verify no access for inactive/expired accounts</t>
  </si>
  <si>
    <t>IIRM-7336</t>
  </si>
  <si>
    <t>IBP:Login: Verify inactive/expired audit log</t>
  </si>
  <si>
    <t>IIRM-7337</t>
  </si>
  <si>
    <t>IBP: Login: Verify user can navigate dashboard</t>
  </si>
  <si>
    <t>IIRM-7338</t>
  </si>
  <si>
    <t>IBP:Login: Verify enrolment form functionality</t>
  </si>
  <si>
    <t>IIRM-7339</t>
  </si>
  <si>
    <t>IBP:Login: Verify email case-insensitivity</t>
  </si>
  <si>
    <t>IIRM-7340</t>
  </si>
  <si>
    <t>IBP:Login: Verify whitespace trimming</t>
  </si>
  <si>
    <t>IIRM-7341</t>
  </si>
  <si>
    <t>IBP:Login: Verify special characters in password</t>
  </si>
  <si>
    <t>IIRM-7342</t>
  </si>
  <si>
    <t>IBP:Login: Verify attempt counter with time gaps</t>
  </si>
  <si>
    <t>IIRM-7343</t>
  </si>
  <si>
    <t>IBP:Login: Verify login after immediate deactivation</t>
  </si>
  <si>
    <t>IIRM-7346</t>
  </si>
  <si>
    <t>IIRM: Placement Slip Generation: Unable to approve or reject the activity due to missing mandatory data</t>
  </si>
  <si>
    <t>IIRM-7347</t>
  </si>
  <si>
    <t>IIRM: India GST Categeroy Displayed for Sri Lanka User in Tax Details</t>
  </si>
  <si>
    <t>IIRM-7348</t>
  </si>
  <si>
    <t>IIRM: Unable to Submit Held Cover Note – Error: “opportunity_held_cover_note_cover_detail does not exist”</t>
  </si>
  <si>
    <t>IIRM-7349</t>
  </si>
  <si>
    <t>Policy Name in placement slip file should be exactly as policy type in system.</t>
  </si>
  <si>
    <t>IIRM-7350</t>
  </si>
  <si>
    <t>Update Field Applicability for GMC, GPA, GTL, and WC Policies</t>
  </si>
  <si>
    <t>IIRM-7351</t>
  </si>
  <si>
    <t>IBP:Login: Verify login functionality for deleted employee</t>
  </si>
  <si>
    <t>IIRM-7352</t>
  </si>
  <si>
    <t>IBP:Login:  Verify login functionality for employee, if email and phone number not provided on inception/endorsement process</t>
  </si>
  <si>
    <t>IIRM-7353</t>
  </si>
  <si>
    <t>IIRM: Placement Slip Generation: Able to select the same insurer details multiple times when “Policy Placed Type” is set to Multiple</t>
  </si>
  <si>
    <t>IIRM-7354</t>
  </si>
  <si>
    <t>IBP:Enrollment: Verify Dashboard loads with Enroll Now button</t>
  </si>
  <si>
    <t>IIRM-7355</t>
  </si>
  <si>
    <t>IBP:Enrollment: Enroll Now button navigates to Personal Details</t>
  </si>
  <si>
    <t>IIRM-7356</t>
  </si>
  <si>
    <t>IBP:Enrollment: Personal details page loads with all fields and pre-populated data</t>
  </si>
  <si>
    <t>IIRM-7357</t>
  </si>
  <si>
    <t>IBP:Enrollment: Edit and save personal details</t>
  </si>
  <si>
    <t>IIRM-7358</t>
  </si>
  <si>
    <t>IBP:Enrollment: Validate mandatory fields (Name, Email, Phone)</t>
  </si>
  <si>
    <t>IIRM-7359</t>
  </si>
  <si>
    <t>IBP:Enrollment: Validate field formats (Email, Phone, DOB)</t>
  </si>
  <si>
    <t>IIRM-7360</t>
  </si>
  <si>
    <t>IBP:Enrollment: Handle special characters in name and maintain data integrity</t>
  </si>
  <si>
    <t>IIRM-7361</t>
  </si>
  <si>
    <t>IBP:Enrollment: View, add, edit, and remove dependents with validation</t>
  </si>
  <si>
    <t>IIRM-7362</t>
  </si>
  <si>
    <t>IBP:Enrollment: Enforce dependent age constraints (min 18, max 75)</t>
  </si>
  <si>
    <t>IIRM-7363</t>
  </si>
  <si>
    <t>IBP:Enrollment: Enforce policy dependent limit and prevent duplicates</t>
  </si>
  <si>
    <t>IIRM-7364</t>
  </si>
  <si>
    <t>IBP:Enrollment: Validate dependent relationships are from allowed list</t>
  </si>
  <si>
    <t>IIRM-7365</t>
  </si>
  <si>
    <t>IBP:Enrollment: Dependent changes reflected in enrollment summary</t>
  </si>
  <si>
    <t>IIRM-7366</t>
  </si>
  <si>
    <t>IBP:Enrollment: Display plans based on count: Single (auto-select), Dual (comparison), Multiple (carousel)</t>
  </si>
  <si>
    <t>IIRM-7367</t>
  </si>
  <si>
    <t>IBP:Enrollment: Display plan details and selection with real-time summary</t>
  </si>
  <si>
    <t>IIRM-7368</t>
  </si>
  <si>
    <t>IBP:Enrollment: Plan selection persists across navigation steps</t>
  </si>
  <si>
    <t>IIRM-7369</t>
  </si>
  <si>
    <t>IBP:Enrollment: Verify responsive design on mobile, tablet, desktop</t>
  </si>
  <si>
    <t>IIRM-7370</t>
  </si>
  <si>
    <t>IBP:Enrollment: Display complete summary with all enrollment data</t>
  </si>
  <si>
    <t>IIRM-7371</t>
  </si>
  <si>
    <t>IBP:Enrollment: Edit each section from summary and verify changes reflected</t>
  </si>
  <si>
    <t>IIRM-7372</t>
  </si>
  <si>
    <t>IBP:Enrollment: Verify dynamic data fetching and no stale data</t>
  </si>
  <si>
    <t>IIRM-7373</t>
  </si>
  <si>
    <t>IBP:Enrollment: Navigate back and forward without data loss</t>
  </si>
  <si>
    <t>IIRM-7374</t>
  </si>
  <si>
    <t>IBP:Enrollment: Save progress and resume enrollment later</t>
  </si>
  <si>
    <t>IIRM-7375</t>
  </si>
  <si>
    <t>IBP:Enrollment: Submit enrollment and display success confirmation</t>
  </si>
  <si>
    <t>IIRM-7376</t>
  </si>
  <si>
    <t>IBP:Enrollment: Verify enrollment data persisted in system</t>
  </si>
  <si>
    <t>IIRM-7377</t>
  </si>
  <si>
    <t>IBP:Enrollment: Allow personal and dependent details without plan selection</t>
  </si>
  <si>
    <t>IIRM-7378</t>
  </si>
  <si>
    <t>IBP:Enrollment: Send confirmation email with all enrollment details</t>
  </si>
  <si>
    <t>IIRM-7379</t>
  </si>
  <si>
    <t>IBP:Enrollment: Send SMS notification for enrollment confirmation</t>
  </si>
  <si>
    <t>IIRM-7380</t>
  </si>
  <si>
    <t>IBP:Enrollment: Complete end-to-end enrollment flow</t>
  </si>
  <si>
    <t>IIRM-7381</t>
  </si>
  <si>
    <t>IBP:Enrollment: Handle session timeout gracefully</t>
  </si>
  <si>
    <t>IIRM-7382</t>
  </si>
  <si>
    <t>IBP:Enrollment: Verify enrollment for all combiantions of constraints.</t>
  </si>
  <si>
    <t>IIRM-7383</t>
  </si>
  <si>
    <t>IBP:Enrollement: Verify Policy Details page loads with all sections and data pre-populated</t>
  </si>
  <si>
    <t>IIRM-7384</t>
  </si>
  <si>
    <t>IBP:Enrollement: Verify edit, save, and data persistence across sections</t>
  </si>
  <si>
    <t>IIRM-7385</t>
  </si>
  <si>
    <t>IBP:Enrollement: Verify Submit for Approval locks details and changes status</t>
  </si>
  <si>
    <t>IIRM-7386</t>
  </si>
  <si>
    <t>IBP:Enrollement: Verify Manager approval workflow: Approve/Reject with comment</t>
  </si>
  <si>
    <t>IIRM-7387</t>
  </si>
  <si>
    <t>IBP:Enrollement: Verify Covers page displays all covers with edit and submit functionality</t>
  </si>
  <si>
    <t>IIRM-7388</t>
  </si>
  <si>
    <t>IBP:Enrollement: Verify CD Account tab with Account Number edit and transaction table</t>
  </si>
  <si>
    <t>IIRM-7389</t>
  </si>
  <si>
    <t>IBP:Enrollement: Verify successful policy activation when all prerequisites met</t>
  </si>
  <si>
    <t>IIRM-7390</t>
  </si>
  <si>
    <t>IBP:Enrollement: Verify Active tag replaces Activate button and permissions enabled</t>
  </si>
  <si>
    <t>IIRM-7391</t>
  </si>
  <si>
    <t>IBP:Enrollement: Verify re-submission after rejection: Edit, re-submit, approve</t>
  </si>
  <si>
    <t>IIRM-7392</t>
  </si>
  <si>
    <t>IBP:Enrollement: Verify approved config editable before activation and audit logged</t>
  </si>
  <si>
    <t>IIRM-7393</t>
  </si>
  <si>
    <t>IBP:Enrollement: Verify audit captures who activated, approved, timestamp, fields modified</t>
  </si>
  <si>
    <t>IIRM-7394</t>
  </si>
  <si>
    <t>IBP:Enrollement: Verify notifications sent on submission, rejection, and approval</t>
  </si>
  <si>
    <t>IIRM-7395</t>
  </si>
  <si>
    <t>IBP:Enrollement: Verify activity tagged with Policy ID and approval type in Manager bucket</t>
  </si>
  <si>
    <t>IIRM-7396</t>
  </si>
  <si>
    <t>IBP:Enrollement: Verify approved/rejected activity appears in Executive's assignment bucket</t>
  </si>
  <si>
    <t>IIRM-7397</t>
  </si>
  <si>
    <t>IBP:Enrollement: Verify backend reflects approved policy/cover details before activation</t>
  </si>
  <si>
    <t>IIRM-7398</t>
  </si>
  <si>
    <t>IBP:Enrollement: Verify activated policy immediately visible in client portal</t>
  </si>
  <si>
    <t>IIRM-7399</t>
  </si>
  <si>
    <t>IBP:Enrollement: Verify activation blocked without Policy Details approval</t>
  </si>
  <si>
    <t>IIRM-7400</t>
  </si>
  <si>
    <t>IBP:Enrollement: Verify activation blocked without Cover Details approval</t>
  </si>
  <si>
    <t>IIRM-7401</t>
  </si>
  <si>
    <t>IBP:Enrollement: Verify activation blocked for Group Policy without configuration</t>
  </si>
  <si>
    <t>IIRM-7402</t>
  </si>
  <si>
    <t>IBP:Enrollement: Verify mandatory field validation and format validation</t>
  </si>
  <si>
    <t>IIRM-7403</t>
  </si>
  <si>
    <t>IBP:Enrollement: Verify Manager cannot reject without mandatory comment</t>
  </si>
  <si>
    <t>IIRM-7404</t>
  </si>
  <si>
    <t>IBP:Enrollement: Verify activation blocked before Policy Confirmation step completed</t>
  </si>
  <si>
    <t>IIRM-7405</t>
  </si>
  <si>
    <t>IBP:Enrollement: Verify activation blocked with unapproved configuration changes</t>
  </si>
  <si>
    <t>IIRM-7406</t>
  </si>
  <si>
    <t>IBP:Enrollement: Verify invalid amounts and date constraints rejected</t>
  </si>
  <si>
    <t>IIRM-7407</t>
  </si>
  <si>
    <t>IBP:Enrollement: Verify already activated policy cannot be re-activated</t>
  </si>
  <si>
    <t>IIRM-7408</t>
  </si>
  <si>
    <t>IBP:Enrollement: Verify CD Account: Invalid Account Number format rejected</t>
  </si>
  <si>
    <t>IIRM-7409</t>
  </si>
  <si>
    <t>IBP:Enrollement: Verify special characters in text fields handled correctly</t>
  </si>
  <si>
    <t>IIRM-7410</t>
  </si>
  <si>
    <t>IBP:Enrollement: Verify concurrent approval handling and session timeout</t>
  </si>
  <si>
    <t>IIRM-7411</t>
  </si>
  <si>
    <t>IBP:Enrollement: Verify approval valid after long pending period (30+ days)</t>
  </si>
  <si>
    <t>IIRM-7412</t>
  </si>
  <si>
    <t>IBP:Enrollement: Verify complete end-to-end: Edit &gt; Submit &gt; Approve &gt; Activate &gt; Visible</t>
  </si>
  <si>
    <t>IIRM-7413</t>
  </si>
  <si>
    <t>IBP:Enrollement: Verify success message and redirect after activation</t>
  </si>
  <si>
    <t>IIRM-7414</t>
  </si>
  <si>
    <t>IBP:Enrollement: Verify tab names, CTAs, and behaviors as per spec</t>
  </si>
  <si>
    <t>IIRM-7415</t>
  </si>
  <si>
    <t>IBP:Login: Verify valid login in multiple machines at same time</t>
  </si>
  <si>
    <t>IIRM-7416</t>
  </si>
  <si>
    <t>IBP:Login: Verify login using reactivated account.</t>
  </si>
  <si>
    <t>IIRM-7417</t>
  </si>
  <si>
    <t>IBP:Login: Verify login with slow networks</t>
  </si>
  <si>
    <t>IIRM-7418</t>
  </si>
  <si>
    <t>IBP:Login: Verify concurrent login with 50 accounts in 5 seconds</t>
  </si>
  <si>
    <t>IIRM-7419</t>
  </si>
  <si>
    <t>IBP:Login: Verify login functionality with cross browsers</t>
  </si>
  <si>
    <t>IIRM-7420</t>
  </si>
  <si>
    <t>IBP:Login: Verify mobile number login with other country codes.</t>
  </si>
  <si>
    <t>IIRM-7421</t>
  </si>
  <si>
    <t>IBP:Login: Verify DB checks on login functionality</t>
  </si>
  <si>
    <t>IIRM-7422</t>
  </si>
  <si>
    <t>IBP:Login:ForgotPassword: Verify complete forgot password flow: Link click to email input</t>
  </si>
  <si>
    <t>IIRM-7423</t>
  </si>
  <si>
    <t>IBP:Login:ForgotPassword: Verify password reset link sent and received for valid email</t>
  </si>
  <si>
    <t>IIRM-7424</t>
  </si>
  <si>
    <t>IBP:Login:ForgotPassword: Verify reset link redirects to password reset screen and password update works</t>
  </si>
  <si>
    <t>IIRM-7425</t>
  </si>
  <si>
    <t>IBP:Login:ForgotPassword: Verify login with new password after reset</t>
  </si>
  <si>
    <t>IIRM-7426</t>
  </si>
  <si>
    <t>IBP:Login:ForgotPassword: Verify email validation and reset link contains unique token with expiry</t>
  </si>
  <si>
    <t>IIRM-7427</t>
  </si>
  <si>
    <t>IBP:Login:ForgotPassword: Verify password complexity validation and mismatch handling</t>
  </si>
  <si>
    <t>IIRM-7428</t>
  </si>
  <si>
    <t>IBP:Login:ForgotPassword: Verify reset link is one-time use only</t>
  </si>
  <si>
    <t>IIRM-7429</t>
  </si>
  <si>
    <t>IBP:Login:ForgotPassword: Verify multiple reset requests invalidate previous links</t>
  </si>
  <si>
    <t>IIRM-7430</t>
  </si>
  <si>
    <t>IBP:Login:ForgotPassword: Verify email field validations: empty and invalid format</t>
  </si>
  <si>
    <t>IIRM-7431</t>
  </si>
  <si>
    <t>IBP:Login:ForgotPassword: Verify unregistered email handling (security - no email disclosure)</t>
  </si>
  <si>
    <t>IIRM-7432</t>
  </si>
  <si>
    <t>IBP:Login:ForgotPassword: Verify expired and invalid reset token handling</t>
  </si>
  <si>
    <t>IIRM-7433</t>
  </si>
  <si>
    <t>IBP:Login:ForgotPassword: Verify password field validations: empty and weak passwords</t>
  </si>
  <si>
    <t>IIRM-7434</t>
  </si>
  <si>
    <t>IBP:Login:ForgotPassword: Verify password and confirm password mismatch validation</t>
  </si>
  <si>
    <t>IIRM-7435</t>
  </si>
  <si>
    <t>IBP:Login:ForgotPassword: Verify special characters in email and cross-browser compatibility</t>
  </si>
  <si>
    <t>IIRM-7436</t>
  </si>
  <si>
    <t>IBP:Login:ForgotPassword: Verify new password same as old password handling</t>
  </si>
  <si>
    <t>IIRM-7437</t>
  </si>
  <si>
    <t>IBP:Enrollment: Dashboard static issues</t>
  </si>
  <si>
    <t>IIRM-7438</t>
  </si>
  <si>
    <t>IBP:Dashboard: Not enrolled static data not showing on UI</t>
  </si>
  <si>
    <t>IIRM-7439</t>
  </si>
  <si>
    <t>IBP: Dashboard: Enroll button navigation does not scroll to top — next screen loads mid-page</t>
  </si>
  <si>
    <t>IIRM-7440</t>
  </si>
  <si>
    <t>IBP: Dashboard: If fields were not updated , update button not working</t>
  </si>
  <si>
    <t>IIRM-7441</t>
  </si>
  <si>
    <t>IBP:Dashboard: Declaration and terms missing on view enrollment summary and according to figma remove save button</t>
  </si>
  <si>
    <t>IIRM-7442</t>
  </si>
  <si>
    <t>IBP:ResetPassword: With existing password, reset password functionality should not work</t>
  </si>
  <si>
    <t>IIRM-7443</t>
  </si>
  <si>
    <t>IBP:ForgotPassword: Show proper validation on forgot password screen</t>
  </si>
  <si>
    <t>IIRM-7444</t>
  </si>
  <si>
    <t>IIRM: Sri Lanka: Opportunity: TPA details should not be displayed</t>
  </si>
  <si>
    <t>IIRM-7445</t>
  </si>
  <si>
    <t>IIRM: Policies Not Created for Won Sales Opportunities</t>
  </si>
  <si>
    <t>IIRM-7446</t>
  </si>
  <si>
    <t>IIRM: Opportunity: Fields deviation from the reference sheet</t>
  </si>
  <si>
    <t>IIRM-7447</t>
  </si>
  <si>
    <t>IIRM: India: Meeting for Final Negotiation: Terrorism field is missing</t>
  </si>
  <si>
    <t>IIRM-7448</t>
  </si>
  <si>
    <t>IIRM: Sri Lanka: Meeting for Final Negotiation: Terrorism field is displayed instead of TC and Total Net Premium amount is calculated incorrectly</t>
  </si>
  <si>
    <t>IIRM-7449</t>
  </si>
  <si>
    <t>IBP: Login (Other Options) to IBP Application and Navigate to Enrolment Process</t>
  </si>
  <si>
    <t>IIRM-7450</t>
  </si>
  <si>
    <t>IBP:Login: Dashboard is not getting view after successful login</t>
  </si>
  <si>
    <t>IIRM-7451</t>
  </si>
  <si>
    <t>IBP:Login: dummy email shown on password reset link screen</t>
  </si>
  <si>
    <t>IIRM-7452</t>
  </si>
  <si>
    <t>IIRM: Documents: Uploaded Document Appears in Documents Tab Before Activity Completion</t>
  </si>
  <si>
    <t>IIRM-7453</t>
  </si>
  <si>
    <t>IBP:Login:Dashboard: Jerk observed on login process while navigating to dashboard.</t>
  </si>
  <si>
    <t>IIRM-7454</t>
  </si>
  <si>
    <t xml:space="preserve">IBP:Dashboard: Welcome text missing on welcome card </t>
  </si>
  <si>
    <t>IIRM-7455</t>
  </si>
  <si>
    <t>IBP: Dashboard: Enrollment card and company provided cards were missing</t>
  </si>
  <si>
    <t>IIRM-7456</t>
  </si>
  <si>
    <t>IBP:Login: Account lockout after 5 failed attempts</t>
  </si>
  <si>
    <t>IIRM-7457</t>
  </si>
  <si>
    <t>IBP:Login:  Reset link should be one-time use only</t>
  </si>
  <si>
    <t>IIRM-7458</t>
  </si>
  <si>
    <t>IBP:Login: Week password should not get allowed</t>
  </si>
  <si>
    <t>IIRM-7459</t>
  </si>
  <si>
    <t xml:space="preserve">IBP:Login: New password same as old password should get handled. </t>
  </si>
  <si>
    <t>IIRM-7460</t>
  </si>
  <si>
    <t>IBP:Login: Non-existing users are able to request for reset password link</t>
  </si>
  <si>
    <t>IIRM-7461</t>
  </si>
  <si>
    <t>Localization fields for policy details</t>
  </si>
  <si>
    <t>IIRM-7462</t>
  </si>
  <si>
    <t>IIRM: SO Filters: SO Activity filter is not working</t>
  </si>
  <si>
    <t>IIRM-7463</t>
  </si>
  <si>
    <t>IBP: Forgot, Reset, &amp; Change Password</t>
  </si>
  <si>
    <t>IIRM-7464</t>
  </si>
  <si>
    <t>IIRM: Documents: Enter Quote: The file uploaded in the Enter Quote activity is not displayed in the Documents tab of that Opportunity</t>
  </si>
  <si>
    <t>IIRM-7465</t>
  </si>
  <si>
    <t>IIRM: Documents: Opportunity: Incorrect file name is displayed</t>
  </si>
  <si>
    <t>IIRM-7466</t>
  </si>
  <si>
    <t>IIRM: Documents: Meeting for Final Negotiation: Document Overriding Issue</t>
  </si>
  <si>
    <t>IIRM-772 — SOW#45 - Document Management</t>
  </si>
  <si>
    <t>IIRM-7467</t>
  </si>
  <si>
    <t>IIRM: Documents: Re-uploaded document not reflected in the Documents tab</t>
  </si>
  <si>
    <t>IIRM-7468</t>
  </si>
  <si>
    <t>For Srilankan companies change the owners</t>
  </si>
  <si>
    <t>IIRM-7469</t>
  </si>
  <si>
    <t>IIRM: Opportunity: RFP Details Entry: Unable to update activity after rejection</t>
  </si>
  <si>
    <t>IIRM-7470</t>
  </si>
  <si>
    <t>Unable to complete Placement Slip Activity</t>
  </si>
  <si>
    <t>IIRM-7471</t>
  </si>
  <si>
    <t>Retest  Srilanka Localization in QA Environment</t>
  </si>
  <si>
    <t>IIRM-7472</t>
  </si>
  <si>
    <t>UI- Make the UI changes b adding the personal and non-personal toggle and owner fields</t>
  </si>
  <si>
    <t>IIRM-5264 — CR: Create Tasks - Self and Assign to others</t>
  </si>
  <si>
    <t>IIRM-7473</t>
  </si>
  <si>
    <t>IBP:ActivatePolicy: Once policy gets activated , active tag should be shown on policy dashboard page</t>
  </si>
  <si>
    <t>IIRM-7474</t>
  </si>
  <si>
    <t>Implement Premium Calculation Logic for "SI Model - Multiple"</t>
  </si>
  <si>
    <t>IIRM-7475</t>
  </si>
  <si>
    <t>Send Inception / Endorsement to Insurer</t>
  </si>
  <si>
    <t>IIRM-7476</t>
  </si>
  <si>
    <t>Send Inception / Endorsement to Client</t>
  </si>
  <si>
    <t>IIRM-7477</t>
  </si>
  <si>
    <t>IIRM: Documents: Meeting for Final Negotiation: Uploaded file not reflecting in the Documents tab</t>
  </si>
  <si>
    <t>IIRM-7478</t>
  </si>
  <si>
    <t>IIRM: Tasks: "Task Association" and "Owner" fields are not retrieved during task update</t>
  </si>
  <si>
    <t>IIRM-7479</t>
  </si>
  <si>
    <t>IIRM: Tasks: Updated task not displayed in the Task List</t>
  </si>
  <si>
    <t>IIRM-7480</t>
  </si>
  <si>
    <t>Error messages are not differentiated for different error types</t>
  </si>
  <si>
    <t>IIRM-7481</t>
  </si>
  <si>
    <t>Users need to view success records after uploading data in both Inception and Endorsement.</t>
  </si>
  <si>
    <t>IIRM-7482</t>
  </si>
  <si>
    <t>Employee is added in inception. Baby added in endorsement with employee id. but got rejected in endorsement</t>
  </si>
  <si>
    <t>IIRM-7483</t>
  </si>
  <si>
    <t>The approval process for policy configuration is not functioning as expected</t>
  </si>
  <si>
    <t>IIRM-7484</t>
  </si>
  <si>
    <t>IIRM: Task: Incorrect data (0) displayed in the Opportunity field under “Link to Opportunity” section</t>
  </si>
  <si>
    <t>IIRM-7485</t>
  </si>
  <si>
    <t>IIRM: Task: Task Close functionality</t>
  </si>
  <si>
    <t>IIRM-7486</t>
  </si>
  <si>
    <t>IIRM: Task: Verify Users can create and assign tasks to self or reporters within their hierarchy</t>
  </si>
  <si>
    <t>IIRM-7487</t>
  </si>
  <si>
    <t xml:space="preserve">IIRM: Verify Ready for QA issues and  Regression testing on related madules </t>
  </si>
  <si>
    <t>IIRM-7488</t>
  </si>
  <si>
    <t>IIRM: Task: Verify functionality of “Personal” tasks</t>
  </si>
  <si>
    <t>IIRM-7489</t>
  </si>
  <si>
    <t>IIRM: Tasks: Verify Manager’s visibility for all non-personal tasks within their hierarchy</t>
  </si>
  <si>
    <t>IIRM-7490</t>
  </si>
  <si>
    <t>IIRM: Document upload functionaliy testing</t>
  </si>
  <si>
    <t>IIRM-7491</t>
  </si>
  <si>
    <t>IIRM: Policy docket and Planing activity new changes verification</t>
  </si>
  <si>
    <t>IIRM-7492</t>
  </si>
  <si>
    <t>IIRM: Task: Verify “Close task” CTA functionality to close tasks</t>
  </si>
  <si>
    <t>IIRM-7495</t>
  </si>
  <si>
    <t>Age as 0 in minimum configuration is not being accepted and the system is not calculating values correctly for age 0.</t>
  </si>
  <si>
    <t>IIRM-7496</t>
  </si>
  <si>
    <t>For some policy CD balance is showing as 0 in Policy Details page and when clicked on View CD Details it shows "Something went wrong"</t>
  </si>
  <si>
    <t>IIRM-7497</t>
  </si>
  <si>
    <t>IIRM-7498</t>
  </si>
  <si>
    <t>IIRM-7499</t>
  </si>
  <si>
    <t>cd balance showing wrong amount for existing records(migrated policy)</t>
  </si>
  <si>
    <t>IIRM-7500</t>
  </si>
  <si>
    <t>Add/Del count is not showing in track endorsment for previous endorsment done.Earlier it was showing</t>
  </si>
  <si>
    <t>IIRM-7501</t>
  </si>
  <si>
    <t>When we download error file date formate changes for some records</t>
  </si>
  <si>
    <t>IIRM-7502</t>
  </si>
  <si>
    <t>IIRM: Company Quick Create: The City field is disabled</t>
  </si>
  <si>
    <t>IIRM-7503</t>
  </si>
  <si>
    <t>Insurer location not visible in dropdown in Meetings</t>
  </si>
  <si>
    <t>IIRM-7504</t>
  </si>
  <si>
    <t>Lanka Localization: Frontend - Update &amp; Add Fields</t>
  </si>
  <si>
    <t>IIRM-7505</t>
  </si>
  <si>
    <t>Lanka Localization: Backend - Update &amp; Add Fields</t>
  </si>
  <si>
    <t>IIRM-7506</t>
  </si>
  <si>
    <t>In Receive Acknowledgement from Insurer step mandatory mark(*) was missing but going for next it was asking to upload the data file</t>
  </si>
  <si>
    <t>IIRM-7507</t>
  </si>
  <si>
    <t>In endorsment CD balance for new account is showing open balance + cheque amount.</t>
  </si>
  <si>
    <t>IIRM-7508</t>
  </si>
  <si>
    <t>There is no tracking available for inception, similar to Track Endorsement.</t>
  </si>
  <si>
    <t>IIRM-7509</t>
  </si>
  <si>
    <t>TPA ID Upload – No Confirmation Message and Uploaded File Not Visible</t>
  </si>
  <si>
    <t>IIRM-7510</t>
  </si>
  <si>
    <t>IIRM: Pre-Prod: Sri Lanka: Data Validation: Not able to complete the activity</t>
  </si>
  <si>
    <t>IIRM-7511</t>
  </si>
  <si>
    <t>Implement - Table Sort on Policy Premium, SO Premium, RO Premium</t>
  </si>
  <si>
    <t>IIRM-7512</t>
  </si>
  <si>
    <t>IIRM: Missing From and To Date Validation in Sales Opportunity Activities</t>
  </si>
  <si>
    <t>IIRM-7513</t>
  </si>
  <si>
    <t xml:space="preserve">Clicking on Claim id in Track claim is resulting some java script validation error message </t>
  </si>
  <si>
    <t>IIRM-7514</t>
  </si>
  <si>
    <t xml:space="preserve">No Mouse Hover in Claim Tracker for Claim ID field. </t>
  </si>
  <si>
    <t>IIRM-7515</t>
  </si>
  <si>
    <t>Localisation: Verify localised fields visibility for Sri Lanka organisation across ISG activities</t>
  </si>
  <si>
    <t>IIRM-7516</t>
  </si>
  <si>
    <t>Localisation: Verify localisation of Tax fields and dropdown values for Sri Lanka organisation</t>
  </si>
  <si>
    <t>IIRM-7517</t>
  </si>
  <si>
    <t>Localisation: Verify currency localisation and formatting for Sri Lanka organization</t>
  </si>
  <si>
    <t>IIRM-7518</t>
  </si>
  <si>
    <t>Localisation: Validate renamed field labels and new field additions for Sri Lanka</t>
  </si>
  <si>
    <t>IIRM-7519</t>
  </si>
  <si>
    <t>Localisation: Validate data validation for Sri Lanka localised numeric fields</t>
  </si>
  <si>
    <t>IIRM-7520</t>
  </si>
  <si>
    <t>Localisation: Validate end-to-end workflow across localized ISG activities</t>
  </si>
  <si>
    <t>IIRM-7521</t>
  </si>
  <si>
    <t>When uploading the sub-asset along with the asset which is already uploaded in a previous batch, it gives a validation error saying “Asset already mapped to this policy.”this for NON-GMC POLICY</t>
  </si>
  <si>
    <t>IIRM-7522</t>
  </si>
  <si>
    <t>For First American one set of employee data is failing in endorsement. The error message says "One or more dependent records failed validation; employee enrollment rejected." Data seems to be fine but generalized message is not allowing to understand the</t>
  </si>
  <si>
    <t>IIRM-7523</t>
  </si>
  <si>
    <t>For non-GMC, currently only one sub-asset can be attached with the main asset However,  the system should allow attaching multiple sub-assets with the main asset during inception.</t>
  </si>
  <si>
    <t>IIRM-7524</t>
  </si>
  <si>
    <t>The claim uploaded data is not reflecting in the “Policy Claims Uploaded Data” section of the Manage Policy page.</t>
  </si>
  <si>
    <t>IIRM-7525</t>
  </si>
  <si>
    <t>Before the policy is activated, the approval manager gets stuck on one screen. Even after navigating to other screens, the details from the previous (stuck) screen are still being reflected</t>
  </si>
  <si>
    <t>IIRM-7526</t>
  </si>
  <si>
    <t>IBP: PolicyParameters: RelationshipGroup: Family max total count  not in disabled state</t>
  </si>
  <si>
    <t>IIRM-7527</t>
  </si>
  <si>
    <t>No confirmation or file visibility after TPA ID upload; shows “Socket hang up” and “Something went wrong” errors</t>
  </si>
  <si>
    <t>IIRM-7528</t>
  </si>
  <si>
    <t>Lanka Localization - Update &amp; Add Fields_29-Oct-2025</t>
  </si>
  <si>
    <t>IIRM-7529</t>
  </si>
  <si>
    <t>Non-GMC policy allows inception before policy activation (validation missing)</t>
  </si>
  <si>
    <t>IIRM-7530</t>
  </si>
  <si>
    <t>Policy activation for non-GMC policy blocked by incorrect “Configure first” validation</t>
  </si>
  <si>
    <t>IIRM-7531</t>
  </si>
  <si>
    <t>Placement slip Download for Lanka</t>
  </si>
  <si>
    <t>IIRM-7532</t>
  </si>
  <si>
    <t xml:space="preserve">In the Inception process for GMC, when uploading only employee data, the system is not processing it correctly. The uploaded employee data is not moving forward to the next step, and the premium calculation is mismatched. </t>
  </si>
  <si>
    <t>IIRM-7604 — Production - Defects &amp; Tasks</t>
  </si>
  <si>
    <t>IIRM-7533</t>
  </si>
  <si>
    <t>when downloading the template containing only employee data, the “Base Policy Sum Insured” column and its corresponding values are missing from the template</t>
  </si>
  <si>
    <t>IIRM-7534</t>
  </si>
  <si>
    <t>EMPLOYEE ID value is changed in "Endorsement Document" with actual employee ids in "Send Inception to Insurer" stage. This is there for inception and for endorsement as well</t>
  </si>
  <si>
    <t>IIRM-7535</t>
  </si>
  <si>
    <t>IIRM: Placement Slip Submission Failed in prepod</t>
  </si>
  <si>
    <t>IIRM-7536</t>
  </si>
  <si>
    <t>Field Values Not Auto-Populating from “Meeting for Final Negotiation” Stage to Policy Confirmation Stages</t>
  </si>
  <si>
    <t>IIRM-7537</t>
  </si>
  <si>
    <t>IIRM: Enter Quote Submission Failed – Invalid Property Error</t>
  </si>
  <si>
    <t>IIRM-7538</t>
  </si>
  <si>
    <t>IIRM: Policy Dashboard Page Missing in Pre-PROD Environment</t>
  </si>
  <si>
    <t>IIRM-7539</t>
  </si>
  <si>
    <t>Inception/Endorsement: "Only Employee Data" Process</t>
  </si>
  <si>
    <t>IIRM-7540</t>
  </si>
  <si>
    <t>IBP:PolicyConfigure: Parameters: Removed default values cannot be restored or re-added as default values</t>
  </si>
  <si>
    <t>IIRM-7541</t>
  </si>
  <si>
    <t>Premium &amp; CD balance issue for addtion and deletion done together (Policyid - 555274)</t>
  </si>
  <si>
    <t>IIRM-7542</t>
  </si>
  <si>
    <t>Endorsement Summary values are changed after completion of endorsment.</t>
  </si>
  <si>
    <t>IIRM-7543</t>
  </si>
  <si>
    <t>Service org-service is Down - Intermittent issue occurred in application</t>
  </si>
  <si>
    <t>IIRM-7544</t>
  </si>
  <si>
    <t>TPA upload: iterations on deleting file happening, if the file got replaced multiple times</t>
  </si>
  <si>
    <t>IIRM-7545</t>
  </si>
  <si>
    <t>Sri Lanka: Fields Sequence &amp; Formulae</t>
  </si>
  <si>
    <t>IIRM-7546</t>
  </si>
  <si>
    <t>IIRM-7547</t>
  </si>
  <si>
    <t>IIRM: Fields Not Auto-Populated in Subsequent Activities for Sri Lanka Users</t>
  </si>
  <si>
    <t>IIRM-7548</t>
  </si>
  <si>
    <t>City Doesnt populate while doing quick create</t>
  </si>
  <si>
    <t>IIRM-7549</t>
  </si>
  <si>
    <t>Getting error while clicking on complete asset inception in UAT</t>
  </si>
  <si>
    <t>IIRM-7550</t>
  </si>
  <si>
    <t>IIRM: Lanka &amp; India: Placement Slip Generation: The fields get prefilled only after selecting Policy From and To dates</t>
  </si>
  <si>
    <t>IIRM-7551</t>
  </si>
  <si>
    <t>Endorsement: Track endorsement count not getting reflected</t>
  </si>
  <si>
    <t>IIRM-7552</t>
  </si>
  <si>
    <t>IIRM: Placement Slip: GPA: The screen freezes when clicking on the Service Tax Percentage field</t>
  </si>
  <si>
    <t>IIRM-7553</t>
  </si>
  <si>
    <t>IIRM: Broking Slip: Correct the alignment of the logo in the downloaded Excel file</t>
  </si>
  <si>
    <t>IIRM-7554</t>
  </si>
  <si>
    <t>Lanka Issues By Client</t>
  </si>
  <si>
    <t>IIRM-7555</t>
  </si>
  <si>
    <t>Mandate: Brokerage Fee is expecting %value in compensation payable field.</t>
  </si>
  <si>
    <t>IIRM-7554 — Lanka Issues By Client</t>
  </si>
  <si>
    <t>IIRM-7556</t>
  </si>
  <si>
    <t>Final negotiation: Brokerage % should not be displayed</t>
  </si>
  <si>
    <t>IIRM-7557</t>
  </si>
  <si>
    <t>Broking slip generation: Sum Insured to be autopopulated, brokerage percentage is not to be displayed, policy from and to auto populate, renewal date auto populate, preferred insurer details should be auto populated</t>
  </si>
  <si>
    <t>IIRM-7558</t>
  </si>
  <si>
    <t>ISG planning completion: After ISG executive assignment, assigned ISG user unable to view the task in the dashboard. Need to go to MySO</t>
  </si>
  <si>
    <t>IIRM-7559</t>
  </si>
  <si>
    <t>Enter quote: after saving quote, grid is not displaying brokerage amounts</t>
  </si>
  <si>
    <t>IIRM-7560</t>
  </si>
  <si>
    <t>QCR Parameters: RFP: variance showing blank, Last year showing blank, Total amount showing blank</t>
  </si>
  <si>
    <t>IIRM-7561</t>
  </si>
  <si>
    <t>QCR Parameters: Broking slip all values not displayed</t>
  </si>
  <si>
    <t>IIRM-7562</t>
  </si>
  <si>
    <t>QCR Parameters: Second insurer is not displayed</t>
  </si>
  <si>
    <t>IIRM-7563</t>
  </si>
  <si>
    <t>QCR Parameters: Insurer1 (Allianz) level few other fields are showing blank</t>
  </si>
  <si>
    <t>IIRM-7564</t>
  </si>
  <si>
    <t>QCR Parameters: Brokerage% should not be visible</t>
  </si>
  <si>
    <t>IIRM-7565</t>
  </si>
  <si>
    <t>QCR Parameters: Total amount is not relevant title. Is it premium?</t>
  </si>
  <si>
    <t>IIRM-7566</t>
  </si>
  <si>
    <t>Final negotiation: Insurer participant should not be mandatory</t>
  </si>
  <si>
    <t>IIRM-7567</t>
  </si>
  <si>
    <t>Premium calculation: Fields are not auto populated. Not moving further. Once I fixed, we will move next observations</t>
  </si>
  <si>
    <t>IIRM-7568</t>
  </si>
  <si>
    <t>Broking slip is downloaded in Excel format. But logo overlapping and email ID is displayed wrongly.</t>
  </si>
  <si>
    <t>IIRM-7569</t>
  </si>
  <si>
    <t>lanka cluster should be mapped with vertical</t>
  </si>
  <si>
    <t>IIRM-7570</t>
  </si>
  <si>
    <t>lead insurer section should be auto-populated with the value in case of single insurer level</t>
  </si>
  <si>
    <t>IIRM-7571</t>
  </si>
  <si>
    <t>Final negotiation activity - insurer participant should not be mandatory</t>
  </si>
  <si>
    <t>IIRM-7572</t>
  </si>
  <si>
    <t>service owner field to be included in policy details page</t>
  </si>
  <si>
    <t>IIRM-7573</t>
  </si>
  <si>
    <t>Copy and Paste to be enabled.</t>
  </si>
  <si>
    <t>IIRM-7574</t>
  </si>
  <si>
    <t>policy docket screen - remove lable "placement slip details" and change field title to "policy issuance date"</t>
  </si>
  <si>
    <t>IIRM-7575</t>
  </si>
  <si>
    <t>admin charges percentage &amp; cess percentage fields are not required and to be removed</t>
  </si>
  <si>
    <t>IIRM-7576</t>
  </si>
  <si>
    <t>Policy Renewal Date to be auto populated with the value entered in policy from date</t>
  </si>
  <si>
    <t>IIRM-7577</t>
  </si>
  <si>
    <t>IIRM-7578</t>
  </si>
  <si>
    <t>"insurer policy number" is not showing the value in policy details page</t>
  </si>
  <si>
    <t>IIRM-7579</t>
  </si>
  <si>
    <t>"insurer invoice number" field to be displayed in policy details page</t>
  </si>
  <si>
    <t>IIRM-7580</t>
  </si>
  <si>
    <t>Rearrange all premium and brokerage related fields and bring them together. As of now all fields are spread across the application screen.</t>
  </si>
  <si>
    <t>IIRM-7581</t>
  </si>
  <si>
    <t>Cover values entered in Placement Slip should be carried forward to all susuquent activities with the option for user to change the values</t>
  </si>
  <si>
    <t>IIRM-7582</t>
  </si>
  <si>
    <t>"max age of dependents" field should be removed from commercial fire covers.</t>
  </si>
  <si>
    <t>IIRM-7583</t>
  </si>
  <si>
    <t>IIRM: Service tax percentage calculation is incorrect in Placement Slip Generation.</t>
  </si>
  <si>
    <t>IIRM-7584</t>
  </si>
  <si>
    <t>IBP: InceptionProcess: Invalid grade is getting uploaded.</t>
  </si>
  <si>
    <t>IIRM-7585</t>
  </si>
  <si>
    <t>IIRM: Opty Activities: The Brokerage Amount fields are not auto-calculating based on the Brokerage Percentage fields</t>
  </si>
  <si>
    <t>IIRM-7586</t>
  </si>
  <si>
    <t>IIRM: Opty Activities: Not able to view the details after completing or approving the activity</t>
  </si>
  <si>
    <t>IIRM-7587</t>
  </si>
  <si>
    <t>IIRM: Pre-Prod: Lanka:  Meeting for Final Negotiation: The details are not updated in the UI after completing the activity</t>
  </si>
  <si>
    <t>IIRM-7588</t>
  </si>
  <si>
    <t>PolicyEnroll: For expired policy edit enroll functionality should not work</t>
  </si>
  <si>
    <t>IBP: Hospital Network Management</t>
  </si>
  <si>
    <t>IIRM-7590</t>
  </si>
  <si>
    <t>PolicyEnroll: Premiums were not getting calculated for enrolled policies</t>
  </si>
  <si>
    <t>IIRM-7591</t>
  </si>
  <si>
    <t>IBP: FAQs Management (CMS)</t>
  </si>
  <si>
    <t>IIRM-7592</t>
  </si>
  <si>
    <t xml:space="preserve">IIRM: Production Backlog verification  and regression checking </t>
  </si>
  <si>
    <t>IIRM-7593</t>
  </si>
  <si>
    <t>IIRM-7594</t>
  </si>
  <si>
    <t>IIRM: Localization Testing for India and Srilanka</t>
  </si>
  <si>
    <t>IIRM-7595</t>
  </si>
  <si>
    <t>IIRM: Policy docekt changes verication</t>
  </si>
  <si>
    <t>IIRM-7596</t>
  </si>
  <si>
    <t>IIRM: Company APIs Testing</t>
  </si>
  <si>
    <t>IIRM-7597</t>
  </si>
  <si>
    <t xml:space="preserve">IIRM: Automation Test cases refactor </t>
  </si>
  <si>
    <t>IIRM-7598</t>
  </si>
  <si>
    <t>QCR Premium Comparison – Missing Values and Sri Lanka Fields</t>
  </si>
  <si>
    <t>IIRM-7599</t>
  </si>
  <si>
    <t>Carry forwarded for 3 fields for India - SI Insurer, Tax, Brokerage Amount</t>
  </si>
  <si>
    <t>IIRM-7600</t>
  </si>
  <si>
    <t xml:space="preserve">Auto-populate “Sum Insured” </t>
  </si>
  <si>
    <t>IIRM-7601</t>
  </si>
  <si>
    <t>Broking Slip – Excel - Resize Logo</t>
  </si>
  <si>
    <t>IIRM-7602</t>
  </si>
  <si>
    <t>IIRM: Placement Slip Generation: The Open Balance field is not getting cleared</t>
  </si>
  <si>
    <t>IIRM-7603</t>
  </si>
  <si>
    <t>IIRM: My SO: The Activity name column is not correctly updated with the actual activity name of the SO in the listing table</t>
  </si>
  <si>
    <t>IIRM-7604</t>
  </si>
  <si>
    <t>Production - Defects &amp; Tasks</t>
  </si>
  <si>
    <t>IIRM-7605</t>
  </si>
  <si>
    <t>GMC Policy: Unable to complete "Policy Hard Copy Receipt" - Show error. Refer Description.</t>
  </si>
  <si>
    <t>IIRM-7606</t>
  </si>
  <si>
    <t>GMC Policy: Unable to perform inception - Unauthorised Access. Refer description</t>
  </si>
  <si>
    <t>IIRM-7607</t>
  </si>
  <si>
    <t>Placement Slips – PDF - Sri Lanka Fields and Currency Format</t>
  </si>
  <si>
    <t>IIRM-7608</t>
  </si>
  <si>
    <t>IIRM: Placement Slip Generation: Not able to submit the Placement Slip activity for approval</t>
  </si>
  <si>
    <t>IIRM-7609</t>
  </si>
  <si>
    <t>CR: For Bulk Deactivation</t>
  </si>
  <si>
    <t>IIRM-7610</t>
  </si>
  <si>
    <t>CR: For Bulk Reassignment</t>
  </si>
  <si>
    <t>IIRM-7611</t>
  </si>
  <si>
    <t>In Manage SO, if we select active in filters the status show is WIP it should be ISG planning. If we choose ISG planning the data shows zero</t>
  </si>
  <si>
    <t>IIRM-7612</t>
  </si>
  <si>
    <t>Service Flow: Inception/Endorsement: Tough the File Processing is failed status few records are stored and reflected in Policy Dashboard</t>
  </si>
  <si>
    <t>IIRM-7613</t>
  </si>
  <si>
    <t>DB Update: Policy Status to "Generated" for Policies created in new iWork</t>
  </si>
  <si>
    <t>IIRM-7614</t>
  </si>
  <si>
    <t>ISG Manager task is not displayed - Sri Lanka</t>
  </si>
  <si>
    <t>IIRM-7615</t>
  </si>
  <si>
    <t>IBP: Wrong validation thrown on self configured policy</t>
  </si>
  <si>
    <t>IIRM-7616</t>
  </si>
  <si>
    <t>Auto-Populate: Record Insurer and Co-Insurer Details</t>
  </si>
  <si>
    <t>IIRM-7618</t>
  </si>
  <si>
    <t>Create Company – Redirection from Contact Creation to SO Flow</t>
  </si>
  <si>
    <t>IIRM-7619</t>
  </si>
  <si>
    <t>SO – Fields Sequence Missing</t>
  </si>
  <si>
    <t>IIRM-7620</t>
  </si>
  <si>
    <t>Service Flow – Unauthorized Access on Inception Data Upload</t>
  </si>
  <si>
    <t>IIRM-7621</t>
  </si>
  <si>
    <t>SO – Approval Flow and Policy Dashboard Missing (BD Manager Issue)</t>
  </si>
  <si>
    <t>IIRM-7622</t>
  </si>
  <si>
    <t>SO – Approvals for Sathyush’s ID</t>
  </si>
  <si>
    <t>IIRM-7623</t>
  </si>
  <si>
    <t>Policy Configuration – Missing Configuration Button</t>
  </si>
  <si>
    <t>IIRM-7624</t>
  </si>
  <si>
    <t>Policy Activation – Incorrect Approval Routing</t>
  </si>
  <si>
    <t>IIRM-7625</t>
  </si>
  <si>
    <t>SO – “Enter Quote” Fields Not Populating</t>
  </si>
  <si>
    <t>IIRM-7626</t>
  </si>
  <si>
    <t>SO – Approval Failure: Value Too Long for Character Varying(255)</t>
  </si>
  <si>
    <t>IIRM-7627</t>
  </si>
  <si>
    <t>Policy Details – Missing Policy Values</t>
  </si>
  <si>
    <t>IIRM-7628</t>
  </si>
  <si>
    <t>Policy Details – Missing Policy Dashboard</t>
  </si>
  <si>
    <t>IIRM-7629</t>
  </si>
  <si>
    <t>IBP: Premium calculations were not getting triggered according to the effective date</t>
  </si>
  <si>
    <t>IIRM-7630</t>
  </si>
  <si>
    <t>[Production] “Submit for Approval” button visible to Manager even after approval – Policy No. 329116</t>
  </si>
  <si>
    <t>IBP: Claims Corner (Phase 1) - View Claims Details</t>
  </si>
  <si>
    <t>IIRM-7632</t>
  </si>
  <si>
    <t>Manage Policy: Filters "Save view" is not working as expected</t>
  </si>
  <si>
    <t>IIRM-7633</t>
  </si>
  <si>
    <t>Inception/Endorsement: Sent to client - Add a new file with Inception/Endorsement columns, Premium, Tax, Contributions</t>
  </si>
  <si>
    <t>IIRM-7634</t>
  </si>
  <si>
    <t>Inception/Endorsement: Employee count is getting captured from failed inception file</t>
  </si>
  <si>
    <t>IIRM-7635</t>
  </si>
  <si>
    <t>Endorsement: Database error thrown on remarks, if company data already exists.</t>
  </si>
  <si>
    <t>IIRM-7636</t>
  </si>
  <si>
    <t>Policy Details View – Header - Missing Field Values</t>
  </si>
  <si>
    <t>IIRM-7637</t>
  </si>
  <si>
    <t>QCR Comparison - word wrap not reflecting</t>
  </si>
  <si>
    <t>IIRM-7638</t>
  </si>
  <si>
    <t>CR: Policy Renewal Date to be auto populated with the value entered in policy from date</t>
  </si>
  <si>
    <t>IIRM-7639</t>
  </si>
  <si>
    <t>Localization Frame Work (Pending Items)</t>
  </si>
  <si>
    <t>IIRM-7640</t>
  </si>
  <si>
    <t>PolicyConfigure: Verify Policy creation through API</t>
  </si>
  <si>
    <t>IIRM-7641</t>
  </si>
  <si>
    <t>Inception/Endorsement - Validate Effective From date within Policy From &amp; To</t>
  </si>
  <si>
    <t>IIRM-7642</t>
  </si>
  <si>
    <t>IIRM: Lanka: Placement Slip Generation: Placement slip download issues</t>
  </si>
  <si>
    <t>IIRM-7643</t>
  </si>
  <si>
    <t>IBP: Policy details: Wrong popup showing on CD, cover, policy details approvals</t>
  </si>
  <si>
    <t>IIRM-7644</t>
  </si>
  <si>
    <t>IIRM: Contact Search Fails to Retrieve Data When Using Full Contact Name or Full Display Name</t>
  </si>
  <si>
    <t>Prathiphala Kandula</t>
  </si>
  <si>
    <t>IIRM-7645</t>
  </si>
  <si>
    <t>Inception: Unable to view inception process steps , if data got uploaded on step 1</t>
  </si>
  <si>
    <t>IIRM-7646</t>
  </si>
  <si>
    <t>Inception/Endorsement: Total records count mismatch from uploaded file</t>
  </si>
  <si>
    <t>IIRM-7647</t>
  </si>
  <si>
    <t>Inception/Endorsement: Duplicate serial no should not be shown on downloaded endorsement file</t>
  </si>
  <si>
    <t>IIRM-7648</t>
  </si>
  <si>
    <t>Set up core data models and DTOs in org-service</t>
  </si>
  <si>
    <t>IIRM-5116 — CR: For Bulk Assignment</t>
  </si>
  <si>
    <t>IIRM-7649</t>
  </si>
  <si>
    <t>Implement bulk edit API endpoints in document-service</t>
  </si>
  <si>
    <t>IIRM-7650</t>
  </si>
  <si>
    <t>Create "Bulk Edit" privilege in database</t>
  </si>
  <si>
    <t>IIRM-7651</t>
  </si>
  <si>
    <t>Implement Company bulk update with validation in company.service.ts</t>
  </si>
  <si>
    <t>IIRM-7652</t>
  </si>
  <si>
    <t>Implement Opportunity bulk update with validation in opportunity.service.ts</t>
  </si>
  <si>
    <t>IIRM-7653</t>
  </si>
  <si>
    <t>Implement Policy bulk update with validation in policy.service.ts</t>
  </si>
  <si>
    <t>IIRM-7654</t>
  </si>
  <si>
    <t xml:space="preserve"> Front End: Create JSON configuration for bulk editable fields</t>
  </si>
  <si>
    <t>IIRM-7655</t>
  </si>
  <si>
    <t>Implement bulk edit UI components</t>
  </si>
  <si>
    <t>IIRM-7656</t>
  </si>
  <si>
    <t>Integrate frontend with backend bulk edit APIs</t>
  </si>
  <si>
    <t>IIRM-7657</t>
  </si>
  <si>
    <t>Implement notification integration for ownership changes</t>
  </si>
  <si>
    <t>IIRM-7660</t>
  </si>
  <si>
    <t>IIRM: Broking Slip Generation: Not able to Approve or Reject the activity</t>
  </si>
  <si>
    <t>IIRM-7661</t>
  </si>
  <si>
    <t>PROD: Premium: On total premium amount decimals were not getting calculated in step 2</t>
  </si>
  <si>
    <t>IIRM-7662</t>
  </si>
  <si>
    <t>Claims: Uploaded with single record , but on track table showing multiple claim ID's</t>
  </si>
  <si>
    <t>IIRM-7663</t>
  </si>
  <si>
    <t>IBP: EmployeeDetails: For CTC commas missing</t>
  </si>
  <si>
    <t>IIRM-7664</t>
  </si>
  <si>
    <t>IBP:Enrollment: Verify Enrollment Tracking Screen Display for Employee-Only Upload</t>
  </si>
  <si>
    <t>IIRM-7665</t>
  </si>
  <si>
    <t>IBP:Enrollment: Verify 'Next' CTA is Disabled When Enrollment is In Progress</t>
  </si>
  <si>
    <t>IIRM-7666</t>
  </si>
  <si>
    <t>IBP:Enrollment: Verify 'Next' CTA Enabled After Enrollment Closure Date</t>
  </si>
  <si>
    <t>IIRM-7667</t>
  </si>
  <si>
    <t>IBP:Enrollment: Verify 'Next' CTA Enabled When All Employees Complete Enrollment Before Closure</t>
  </si>
  <si>
    <t>IIRM-7668</t>
  </si>
  <si>
    <t>IBP:Enrollment: Verify Real-Time Enrollment Progress Update</t>
  </si>
  <si>
    <t>IIRM-7669</t>
  </si>
  <si>
    <t>IBP:Enrollment: Verify Incomplete Enrollments Handled with Default Choices</t>
  </si>
  <si>
    <t>IIRM-7670</t>
  </si>
  <si>
    <t>IBP:Enrollment: Verify Enrollment Portal Creates Login for Each Employee</t>
  </si>
  <si>
    <t>IIRM-7671</t>
  </si>
  <si>
    <t>IBP:Enrollment: Verify Status Message Display for Inception</t>
  </si>
  <si>
    <t>IIRM-7672</t>
  </si>
  <si>
    <t>IBP:Enrollment: Verify Status Message Display for Endorsement</t>
  </si>
  <si>
    <t>IIRM-7673</t>
  </si>
  <si>
    <t>IBP:Enrollment: Verify Summary Table Metrics Display</t>
  </si>
  <si>
    <t>IIRM-7674</t>
  </si>
  <si>
    <t>IBP:Enrollment: Verify Employee with Dependents Upload Flow Not Affected</t>
  </si>
  <si>
    <t>IIRM-7675</t>
  </si>
  <si>
    <t>IBP:Enrollment: Verify Standard Inception Workflow After Enrollment Closure</t>
  </si>
  <si>
    <t>IIRM-7676</t>
  </si>
  <si>
    <t>IBP:Enrollment: Verify Data Integrity of Enrollment Data</t>
  </si>
  <si>
    <t>IIRM-7677</t>
  </si>
  <si>
    <t>IBP:Enrollment: Verify Multiple File Uploads in Same Case</t>
  </si>
  <si>
    <t>IIRM-7678</t>
  </si>
  <si>
    <t>IBP:Enrollment: Verify Performance with Large Employee Dataset</t>
  </si>
  <si>
    <t>IIRM-7679</t>
  </si>
  <si>
    <t>IBP:Enrollment: Verify Enrollment Window Extension</t>
  </si>
  <si>
    <t>IIRM-7680</t>
  </si>
  <si>
    <t>IBP:Enrollment: Verify User Attempts Inception Before Closure with Incomplete Enrollments</t>
  </si>
  <si>
    <t>IIRM-7681</t>
  </si>
  <si>
    <t>IBP:Enrollment: Verify Zero Employees Complete Enrollment by Closure</t>
  </si>
  <si>
    <t>IIRM-7682</t>
  </si>
  <si>
    <t>IBP:Enrollment: Verify Concurrent Employee Enrollments Update</t>
  </si>
  <si>
    <t>IIRM-7683</t>
  </si>
  <si>
    <t>IBP:Enrollment: Verify Integration Between CRM and Enrollment Portal</t>
  </si>
  <si>
    <t>IIRM-7684</t>
  </si>
  <si>
    <t>Convert the amount number into decimals with 3 after dot, starting with Policy Configuration</t>
  </si>
  <si>
    <t>IIRM-7685</t>
  </si>
  <si>
    <t xml:space="preserve">ConstraintsCombinations: Verify employer contribution and custom declaration on Base policy enroll for PerFamily contribution									</t>
  </si>
  <si>
    <t>IIRM-7686</t>
  </si>
  <si>
    <t xml:space="preserve">ConstraintsCombinations: Verify employer contribution and custom declaration on Base policy enroll for PerLife contribution								</t>
  </si>
  <si>
    <t>IIRM-7687</t>
  </si>
  <si>
    <t>Constraints:Combinations: Verify employer contribution and custom declaration on Base policy enroll for Multiple CTC SI</t>
  </si>
  <si>
    <t>IIRM-7688</t>
  </si>
  <si>
    <t>Technical Notes</t>
  </si>
  <si>
    <t>IIRM-7639 — Localization Frame Work (Pending Items)</t>
  </si>
  <si>
    <t>IIRM-7689</t>
  </si>
  <si>
    <t>PROD Issue: Update the relative brokerage% to the actual brokerage% | Opp No: 994930 | Hamlai Industries Pvt Ltd | Package (Post PROD Depolyment)</t>
  </si>
  <si>
    <t>IIRM-7616 — Auto-Populate: Record Insurer and Co-Insurer Details</t>
  </si>
  <si>
    <t>IIRM-7690</t>
  </si>
  <si>
    <t>Front End: Add the necessary fields in all the activities starting from Broking Slip Generation, wherever we have premium fields</t>
  </si>
  <si>
    <t>IIRM-7691</t>
  </si>
  <si>
    <t>Back End: Add the necessary fields in all the activities starting from Broking Slip Generation, wherever we have premium fields</t>
  </si>
  <si>
    <t>IIRM-7692</t>
  </si>
  <si>
    <t>Pre-populate the Preferred insurer details from RFP details entry to Broking Slip Generation activity</t>
  </si>
  <si>
    <t>IIRM-7693</t>
  </si>
  <si>
    <t>Pre-populate the insurer details from Broking Slip Generation to Meeting for Final Negotiation, Placement Slip Generation and deviation activities</t>
  </si>
  <si>
    <t>IIRM-7694</t>
  </si>
  <si>
    <t>Change the insurer dropdown so that the options contain only the preferred insurers from previous activities</t>
  </si>
  <si>
    <t>IIRM-7695</t>
  </si>
  <si>
    <t>Auto-calculation logic for the share amount and brokerage amount on their respective percentages and basic premium</t>
  </si>
  <si>
    <t>IIRM-7696</t>
  </si>
  <si>
    <t>Logic manipulation when the policy placed type changes from single to multiple and on Only Lead Insurer Pays Brokerage field</t>
  </si>
  <si>
    <t>IIRM-7697</t>
  </si>
  <si>
    <t>Backend: Implement the Preferred Insurers API based on the Opportunity ID.</t>
  </si>
  <si>
    <t>IIRM-7698</t>
  </si>
  <si>
    <t>Backend: Include preferred insurers in the deviation activities.</t>
  </si>
  <si>
    <t>IIRM-7699</t>
  </si>
  <si>
    <t>Backend: Update the policy with the preferred insurer details.</t>
  </si>
  <si>
    <t>IIRM-7700</t>
  </si>
  <si>
    <t>PROD Issue: File Processing &amp; Counts Mis-matching</t>
  </si>
  <si>
    <t>IIRM-7701</t>
  </si>
  <si>
    <t>PROD Issue: Premium Mis-Matching</t>
  </si>
  <si>
    <t>IIRM-7702</t>
  </si>
  <si>
    <t>PROD Issue: User roles issues - Reported by Neeraj</t>
  </si>
  <si>
    <t>IIRM-7703</t>
  </si>
  <si>
    <t>PROD Issue: Policy Configurations - Available &amp; Default options - Missing Mandatory</t>
  </si>
  <si>
    <t>IIRM-7704</t>
  </si>
  <si>
    <t>TASK-BE-B001: Employee hospital search API</t>
  </si>
  <si>
    <t>IIRM-7589 — IBP: Hospital Network Management</t>
  </si>
  <si>
    <t>IIRM-7705</t>
  </si>
  <si>
    <t>TASK-BE-B002: Excel export functionality</t>
  </si>
  <si>
    <t>IIRM-7706</t>
  </si>
  <si>
    <t>TASK-BE-B003: Excel upload and validation service</t>
  </si>
  <si>
    <t>IIRM-7707</t>
  </si>
  <si>
    <t>TASK-BE-B004: Save validated hospitals and sync mechanism</t>
  </si>
  <si>
    <t>IIRM-7708</t>
  </si>
  <si>
    <t>TASK-BE-B005: Template download and transaction history APIs</t>
  </si>
  <si>
    <t>IIRM-7710</t>
  </si>
  <si>
    <t>TASK-BE-C002: Audit logging and monitoring</t>
  </si>
  <si>
    <t>IIRM-7712</t>
  </si>
  <si>
    <t>TASK-FE-E001: Hospital Network page with tabs</t>
  </si>
  <si>
    <t>IIRM-7713</t>
  </si>
  <si>
    <t>TASK-FE-E002: Hospital search filters component</t>
  </si>
  <si>
    <t>IIRM-7714</t>
  </si>
  <si>
    <t>TASK-FE-E003: Hospital table with pagination</t>
  </si>
  <si>
    <t>IIRM-7715</t>
  </si>
  <si>
    <t>TASK-FE-E004: Hospital search and export functionality</t>
  </si>
  <si>
    <t>IIRM-7716</t>
  </si>
  <si>
    <t>TASK-FE-F001: Portal Configuration page structure</t>
  </si>
  <si>
    <t>IIRM-7717</t>
  </si>
  <si>
    <t>TASK-FE-F002: Excel upload section with validation display</t>
  </si>
  <si>
    <t>IIRM-7718</t>
  </si>
  <si>
    <t>TASK-FE-F003: Transaction history and hospital list</t>
  </si>
  <si>
    <t>IIRM-7722</t>
  </si>
  <si>
    <t>Manage Policy Quick Cards</t>
  </si>
  <si>
    <t>IIRM-7723</t>
  </si>
  <si>
    <t>IIRM: Validate Editable Fields for Company Entity in Bulk Edit</t>
  </si>
  <si>
    <t>IIRM-7724</t>
  </si>
  <si>
    <t>IIRM: Verify filtering results update dynamically on the Company Listing Page</t>
  </si>
  <si>
    <t>IIRM-7725</t>
  </si>
  <si>
    <t>IIRM: Verify multi-select user type filtering on Company listing</t>
  </si>
  <si>
    <t>IIRM-7726</t>
  </si>
  <si>
    <t>IIRM: Validate Editable Fields for Opportunity Entity</t>
  </si>
  <si>
    <t>IIRM-7727</t>
  </si>
  <si>
    <t>IIRM: Validate Editable Fields for Policy Entity in Bulk Edit</t>
  </si>
  <si>
    <t>IIRM-7728</t>
  </si>
  <si>
    <t xml:space="preserve">Test cases Documention </t>
  </si>
  <si>
    <t>IIRM-7729</t>
  </si>
  <si>
    <t xml:space="preserve">Test Cases Execution </t>
  </si>
  <si>
    <t>IIRM-7730</t>
  </si>
  <si>
    <t>IIRM: Auto-Populate: Verify that the user can provide Single/multiple preffered insurers in RFP Details Entry</t>
  </si>
  <si>
    <t>IIRM-7731</t>
  </si>
  <si>
    <t>IBP - Employee Login and Employee enrolment feedbacks from 07/11/25</t>
  </si>
  <si>
    <t>IIRM-7732</t>
  </si>
  <si>
    <t>IIRM: Auto-Populate: Verify user can Edit/Manually add new Preferred Insurers details in Broking Slip</t>
  </si>
  <si>
    <t>IIRM-7739</t>
  </si>
  <si>
    <t>IIRM: Bulk Assignment Notifications When Source User Is Active</t>
  </si>
  <si>
    <t>IIRM-7740</t>
  </si>
  <si>
    <t>IIRM: Auto-Population: Verify that editing insurer data in Broking Slip does not affect RFP Details</t>
  </si>
  <si>
    <t>IIRM-7741</t>
  </si>
  <si>
    <t>IIRM: Bulk Assignment Notifications When Source User Is Inactive</t>
  </si>
  <si>
    <t>IIRM-7742</t>
  </si>
  <si>
    <t>IIRM:Validate Notification Content for Bulk Assignment</t>
  </si>
  <si>
    <t>IIRM-7743</t>
  </si>
  <si>
    <t>IIRM: Validate Privilege-Based Permission Enforcement for Bulk Edit</t>
  </si>
  <si>
    <t>IIRM-7744</t>
  </si>
  <si>
    <t>IIRM: Validate Audit Logging for Bulk Edit Operations</t>
  </si>
  <si>
    <t>IIRM-7745</t>
  </si>
  <si>
    <t>IIRM: Auto-Population: Verify mandatory field validations for insurer details</t>
  </si>
  <si>
    <t>IIRM-7746</t>
  </si>
  <si>
    <t>IIRM: Privilege-Based Visibility of Multi-Select Checkboxes and Bulk Edit CTA</t>
  </si>
  <si>
    <t>IIRM-7747</t>
  </si>
  <si>
    <t>IIRM: Validate Filtering and Record Selection for Bulk Edit</t>
  </si>
  <si>
    <t>IIRM-7748</t>
  </si>
  <si>
    <t>IIRM: Validate Selection Persistence Across Pagination</t>
  </si>
  <si>
    <t>IIRM-7749</t>
  </si>
  <si>
    <t>IIRM:Validate Bulk Ownership Transfer Across Multiple Records</t>
  </si>
  <si>
    <t>IIRM-7750</t>
  </si>
  <si>
    <t>IIRM: Validate Bulk Updates for Status and Category Fields</t>
  </si>
  <si>
    <t>IIRM-7751</t>
  </si>
  <si>
    <t>IIRM: Validate Bulk Date Field Updates with Confirmation</t>
  </si>
  <si>
    <t>IIRM-7752</t>
  </si>
  <si>
    <t>IIRM: Auto-Population: Verify data flow of Preferred Insurers from Broking Slip to Meeting for Final Negotiation</t>
  </si>
  <si>
    <t>IIRM-7753</t>
  </si>
  <si>
    <t>Enable Copy &amp; Paste in the Opportunity flow</t>
  </si>
  <si>
    <t>IIRM-7754</t>
  </si>
  <si>
    <t>Sri Lanka: Allow BD Users to perform ISG Activities</t>
  </si>
  <si>
    <t>IIRM-7755</t>
  </si>
  <si>
    <t>IIRM: Auto-Population: Verify system behavior when Policy Placement Type set to Single</t>
  </si>
  <si>
    <t>IIRM-7756</t>
  </si>
  <si>
    <t>Disable 100% validation check for Insurer Share - Brokerage Percentage</t>
  </si>
  <si>
    <t>IIRM-7757</t>
  </si>
  <si>
    <t>IIRM: Auto-Populated: Verify system behavior when Policy Placement Type is set to Multiple</t>
  </si>
  <si>
    <t>IIRM-7758</t>
  </si>
  <si>
    <t>TASK-A001: Create FAQ database entities and migrations</t>
  </si>
  <si>
    <t>IIRM-7591 — IBP: FAQs Management (CMS)</t>
  </si>
  <si>
    <t>IIRM-7759</t>
  </si>
  <si>
    <t>TASK-A002: Set up FAQ module structure in Policy Service</t>
  </si>
  <si>
    <t>IIRM-7760</t>
  </si>
  <si>
    <t>TASK-A003: Implement FAQ DTOs and validation</t>
  </si>
  <si>
    <t>IIRM-7761</t>
  </si>
  <si>
    <t>TASK-B001: Implement FAQ CRUD operations</t>
  </si>
  <si>
    <t>IIRM-7762</t>
  </si>
  <si>
    <t>TASK-B002: Implement Excel upload and processing</t>
  </si>
  <si>
    <t>IIRM-7763</t>
  </si>
  <si>
    <t>TASK-B003: Implement audit logging system</t>
  </si>
  <si>
    <t>IIRM-7764</t>
  </si>
  <si>
    <t>TASK-B004: Create FAQ template and download endpoints</t>
  </si>
  <si>
    <t>IIRM-7765</t>
  </si>
  <si>
    <t>FE TASK-C001: Create FAQ display components for Employee Portal</t>
  </si>
  <si>
    <t>IIRM-7766</t>
  </si>
  <si>
    <t>TASK-C002: Build FAQ management interface for CRM</t>
  </si>
  <si>
    <t>IIRM-7767</t>
  </si>
  <si>
    <t>TASK-C003: Implement FAQ API integration and state management</t>
  </si>
  <si>
    <t>IIRM-7768</t>
  </si>
  <si>
    <t>TASK-C004: Enhance existing FAQ page with category filtering</t>
  </si>
  <si>
    <t>IIRM-7769</t>
  </si>
  <si>
    <t>IIRM: Auto-Population: Verify Share % and Brokerage % auto-calculation logic</t>
  </si>
  <si>
    <t>IIRM-7770</t>
  </si>
  <si>
    <t>IIRM: Auto-Population: Verify insurer details auto-populate correctly from Meeting for Final Negotiation to subsequent activities</t>
  </si>
  <si>
    <t>IIRM-7771</t>
  </si>
  <si>
    <t>IIRM: Expiry Date Fields Not Updated for Some Companies in Bulk Upload</t>
  </si>
  <si>
    <t>IIRM-7772</t>
  </si>
  <si>
    <t>IIRM: Bulk Assign: Incorrect text displayed</t>
  </si>
  <si>
    <t>IIRM-7773</t>
  </si>
  <si>
    <t>IIRM: Inconsistent SO Status Handling During Bulk Upload</t>
  </si>
  <si>
    <t>IIRM-7774</t>
  </si>
  <si>
    <t>PROD Bug: TPA Upload failed when it has self &amp; dependents in the backend process</t>
  </si>
  <si>
    <t>IIRM-7775</t>
  </si>
  <si>
    <t>IIRM: Incorrect Owner Name Mapping in Policy Bulk Upload</t>
  </si>
  <si>
    <t>IIRM-7776</t>
  </si>
  <si>
    <t>IIRM: ISG and Account Manager Details Not Updated in Bulk Edit</t>
  </si>
  <si>
    <t>IIRM-7777</t>
  </si>
  <si>
    <t>CS Role - Executive &amp; Manager MUST view Company, Opty &amp; Policies.</t>
  </si>
  <si>
    <t>IIRM-7778</t>
  </si>
  <si>
    <t>IIRM: Bulk Assign: Edit option is not displayed for the assigned user as Lead CRM through Bulk Edit</t>
  </si>
  <si>
    <t>IIRM-7779</t>
  </si>
  <si>
    <t>IIRM: Bulk Assign: My SO: The past dates should be disabled in the Expiry Date calendar</t>
  </si>
  <si>
    <t>IIRM-7780</t>
  </si>
  <si>
    <t>IIRM: Bulk Assign: The Owners dropdown LOVs should display based on the organisation</t>
  </si>
  <si>
    <t>IIRM-7781</t>
  </si>
  <si>
    <t>IIRM: Bulk Assign: Notification issues</t>
  </si>
  <si>
    <t>IIRM-7782</t>
  </si>
  <si>
    <t>IBP: Policy: Searched company resets on navigating from manage policy</t>
  </si>
  <si>
    <t>IIRM-7783</t>
  </si>
  <si>
    <t>IBP:HospitalNetwork: TotalRecordsCount, Coverage and last updated details were missing</t>
  </si>
  <si>
    <t>IIRM-7784</t>
  </si>
  <si>
    <t>IBP: HospitalNetwork: File uploaded time mismatch on audit history view</t>
  </si>
  <si>
    <t>IIRM-7785</t>
  </si>
  <si>
    <t>IBP: HospitalNetwork: Search button color not matching to the design.</t>
  </si>
  <si>
    <t>IIRM-7786</t>
  </si>
  <si>
    <t>IBP: HospitalNetwork: Policy Breadcrumb missing from view hospital page</t>
  </si>
  <si>
    <t>IIRM-7787</t>
  </si>
  <si>
    <t>CR: Create Tasks: Functionality and UI Changes</t>
  </si>
  <si>
    <t>IIRM-7788</t>
  </si>
  <si>
    <t>IBP:HospitalNetwork: Auto refresh not happening if search string removed</t>
  </si>
  <si>
    <t>IIRM-7789</t>
  </si>
  <si>
    <t>IBP:HospitalNetwork: Validation error not matching with the spec for search results</t>
  </si>
  <si>
    <t>IIRM-7790</t>
  </si>
  <si>
    <t>IBP:HospitalNetwork: Invalid pincode validation not matching with spec</t>
  </si>
  <si>
    <t>IIRM-7791</t>
  </si>
  <si>
    <t xml:space="preserve">IBP: HospitalNetwork: Portal configuration tab not matches with spec </t>
  </si>
  <si>
    <t>IIRM-7792</t>
  </si>
  <si>
    <t>My Follow up - Last Mile Clickability</t>
  </si>
  <si>
    <t>IIRM-7793</t>
  </si>
  <si>
    <t>Brokerage To Collect - Last Mile Click-ability</t>
  </si>
  <si>
    <t>IIRM-7794</t>
  </si>
  <si>
    <t>IBP: PolicyConfigure: On file inception error thrown as "Invalid choices are mapped to this employee for this policy. Please verify." with/ without parameters</t>
  </si>
  <si>
    <t>IIRM-7795</t>
  </si>
  <si>
    <t>My Business Performance - Quarterly View - Last Mile Clickable</t>
  </si>
  <si>
    <t>IIRM-6519 — Implement last-mile clickability for all relevant tables in the application.</t>
  </si>
  <si>
    <t>IIRM-7796</t>
  </si>
  <si>
    <t>My Business Performance - Last Mile Clickable</t>
  </si>
  <si>
    <t>IIRM-7797</t>
  </si>
  <si>
    <t>Enable 3 Decimal Places in Policy Configuration Amount Fields</t>
  </si>
  <si>
    <t>IIRM-7798</t>
  </si>
  <si>
    <t>IBP:HospitalNetwork: Search string count not matching with uploaded file</t>
  </si>
  <si>
    <t>IIRM-7799</t>
  </si>
  <si>
    <t>IBP:HospitalNetwork: First letter capital should get display on state and city</t>
  </si>
  <si>
    <t>IIRM-7800</t>
  </si>
  <si>
    <t>IBP:HospitalNetwork: On uploading bulk file, upload button CTA should get disabled until the file process should get completes</t>
  </si>
  <si>
    <t>IIRM-7801</t>
  </si>
  <si>
    <t>IBP:HospitalNetwork: On downloading source file message should be more clear</t>
  </si>
  <si>
    <t>IIRM-7802</t>
  </si>
  <si>
    <t>IBP: HospitalNetwork: Sorting functionality missing on view hospital page</t>
  </si>
  <si>
    <t>IIRM-7803</t>
  </si>
  <si>
    <t xml:space="preserve">Unable to update Policy Details - Showing internal server error </t>
  </si>
  <si>
    <t>IIRM-7804</t>
  </si>
  <si>
    <t>IBP:HospitalNetwork: Records were not getting deleted and Replace error not showing if existing file got uploaded.</t>
  </si>
  <si>
    <t>IIRM-7805</t>
  </si>
  <si>
    <t>IBP:HospitalNetwork: Search string is getting resets to default state on toggle change</t>
  </si>
  <si>
    <t>IIRM-7806</t>
  </si>
  <si>
    <t>IBP:FAQ: CTA not working on login page FAQ</t>
  </si>
  <si>
    <t>IIRM-7807</t>
  </si>
  <si>
    <t>IBP:FAQ: Instead of PolicyID , Policy details needs to be shown in breadcrumb</t>
  </si>
  <si>
    <t>IIRM-7808</t>
  </si>
  <si>
    <t>IBP:FAQ: On bulk categories UI is not user friendly</t>
  </si>
  <si>
    <t>IIRM-7809</t>
  </si>
  <si>
    <t>IIRM: Tasks: “Assigned To” field should display all users in the organisation</t>
  </si>
  <si>
    <t>IIRM-7810</t>
  </si>
  <si>
    <t>IBP: FAQ: On category selection error thrown: property  BILLING should not exist</t>
  </si>
  <si>
    <t>IIRM-7811</t>
  </si>
  <si>
    <t>IIRM Holding - Users hierarchy</t>
  </si>
  <si>
    <t>IIRM-7812</t>
  </si>
  <si>
    <t xml:space="preserve">IBP:FAQ: On clicking All option , all category questions were not showing </t>
  </si>
  <si>
    <t>IIRM-7813</t>
  </si>
  <si>
    <t>IIRM: Tasks: Tasks created through Quick create bar are incorrectly displayed under Completed Tasks</t>
  </si>
  <si>
    <t>IIRM-7814</t>
  </si>
  <si>
    <t>IBP:FAQ: First FAQ is getting expand and category change</t>
  </si>
  <si>
    <t>IIRM-7815</t>
  </si>
  <si>
    <t>IIRM: Task Update Not Working When Priority and Status Are Empty</t>
  </si>
  <si>
    <t>IIRM-7816</t>
  </si>
  <si>
    <t>IBP:FAQ: Premium billing FAQ's were not fetching</t>
  </si>
  <si>
    <t>IIRM-7817</t>
  </si>
  <si>
    <t>IBP:FAQ: All FAQ's were not getting triggered in All tab</t>
  </si>
  <si>
    <t>IIRM-7818</t>
  </si>
  <si>
    <t>IBP:HospitalNetwork: On clicking enter on search fields, Results were not getting fetch</t>
  </si>
  <si>
    <t>IIRM-7819</t>
  </si>
  <si>
    <t>IBP: PolicyConfigure: ContactsTab: Name is getting displayed instead of phonenumber</t>
  </si>
  <si>
    <t>IIRM-7820</t>
  </si>
  <si>
    <t>IBP:FAQ: If same FAQ file got uploaded on group polices ( GPA, GMC, GTL), duplicate FAQ's showing</t>
  </si>
  <si>
    <t>IIRM-7821</t>
  </si>
  <si>
    <t>IBP:FAQ: Auditlog missing on FAQ view all page</t>
  </si>
  <si>
    <t>IIRM-7822</t>
  </si>
  <si>
    <t>IIRM: Excluded Insurer Appearing Under Included Insurers on Brokering Slip</t>
  </si>
  <si>
    <t>IIRM-7823</t>
  </si>
  <si>
    <t>Hide “Add to Existing” and “Replace All” Options When No Previous Uploads Exist (Hospital Network &amp; FAQ)</t>
  </si>
  <si>
    <t>IIRM-7824</t>
  </si>
  <si>
    <t>IIRM: Inconsistency in My Follow-Up Drilldown Count</t>
  </si>
  <si>
    <t>IIRM-7825</t>
  </si>
  <si>
    <t>IIRM: Bulk Edit Failing in Pre-Pod--&gt; Internal server error during bulk edit execution</t>
  </si>
  <si>
    <t>IIRM-7826</t>
  </si>
  <si>
    <t>IBP: HospitalNetwork: Complete address of the hospital needs to display in multiple lines</t>
  </si>
  <si>
    <t>IIRM-7827</t>
  </si>
  <si>
    <t>IBP:FAQ: Instead of showing popup, message should get display if FAQ's were not available</t>
  </si>
  <si>
    <t>IIRM-7828</t>
  </si>
  <si>
    <t>IIRM: Employees: Unable to update employee details</t>
  </si>
  <si>
    <t>IIRM-7829</t>
  </si>
  <si>
    <t>IBP: ConstraintsCombinations: Verify employer contribution as off and custom declaration on Base policy enroll for PerFamily contribution</t>
  </si>
  <si>
    <t>IIRM-7830</t>
  </si>
  <si>
    <t>Issues in Approval Stage After Placement Slip Activity for Multi-Insurer / Co-Insurance Cases</t>
  </si>
  <si>
    <t>IIRM-7831</t>
  </si>
  <si>
    <t>coverage are not depicting in Marine Cargo Opportunity | Opp. No.1175309 | | Apollo Coated Products.</t>
  </si>
  <si>
    <t>IIRM-7832</t>
  </si>
  <si>
    <t>coverages are not available in CGL opportunity | Opp. No.888435 | Teamlease Services.</t>
  </si>
  <si>
    <t>IIRM-7833</t>
  </si>
  <si>
    <t>GST Percentage Entered in Placement Slip Captured Incorrectly as Amount in Held Cover Note Stage</t>
  </si>
  <si>
    <t>IIRM-7834</t>
  </si>
  <si>
    <t>Localization field India GST should reflect in Service Tax field.</t>
  </si>
  <si>
    <t>IIRM-7835</t>
  </si>
  <si>
    <t xml:space="preserve">Placement Slip Generation: Make CD related field Required &amp; Optional based on “Payment Type” </t>
  </si>
  <si>
    <t>IIRM-7836</t>
  </si>
  <si>
    <t>Service Tax field is populating with actual service tax value instead of % in policy details page</t>
  </si>
  <si>
    <t>IIRM-7837</t>
  </si>
  <si>
    <t>While uploading inception data we observed Date format issue. In File the dates are as per provided template but during upload records are getting rejected</t>
  </si>
  <si>
    <t>IIRM-7838</t>
  </si>
  <si>
    <t>Amount fields like Gross Premium need to have decimals up to 2 digits only in inception/endorsement</t>
  </si>
  <si>
    <t>IIRM-7839</t>
  </si>
  <si>
    <t>In Manage Policies screen, the system should allow searching by Policy Number/Insurer Policy Number.</t>
  </si>
  <si>
    <t>IIRM-7840</t>
  </si>
  <si>
    <t>All premium fields across activities should support decimal up to 2 digits</t>
  </si>
  <si>
    <t>IIRM-7841</t>
  </si>
  <si>
    <t>After uploading TPA ID file, there is no summary of upload of TPA ID file</t>
  </si>
  <si>
    <t>IIRM-7842</t>
  </si>
  <si>
    <t>IBP:HospitalNetwork: Verify that employee can access Hospital Network screen from dashboard</t>
  </si>
  <si>
    <t>IIRM-7843</t>
  </si>
  <si>
    <t>IBP:HospitalNetwork: Verify that basic hospital search works with valid criteria</t>
  </si>
  <si>
    <t>IIRM-7844</t>
  </si>
  <si>
    <t>IBP:HospitalNetwork: Verify admin can access Portal Configuration from Policy Details</t>
  </si>
  <si>
    <t>IIRM-7845</t>
  </si>
  <si>
    <t>IBP:HospitalNetwork: Verify hospital search functionality using Pin Code filter</t>
  </si>
  <si>
    <t>IIRM-7846</t>
  </si>
  <si>
    <t>IBP:HospitalNetwork: Verify keyword search filters hospital listing by name or address</t>
  </si>
  <si>
    <t>IIRM-7847</t>
  </si>
  <si>
    <t>IBP:HospitalNetwork: Verify export functionality exports all search results to Excel</t>
  </si>
  <si>
    <t>IIRM-7848</t>
  </si>
  <si>
    <t>IBP:HospitalNetwork: Verify navigation and functionality of Excluded Hospitals tab</t>
  </si>
  <si>
    <t>IIRM-7849</t>
  </si>
  <si>
    <t>IBP:HospitalNetwork: Verify map navigation link opens hospital location in Google Maps</t>
  </si>
  <si>
    <t>IIRM-7850</t>
  </si>
  <si>
    <t>IBP:HospitalNetwork: Verify admin can download hospital upload template</t>
  </si>
  <si>
    <t>IIRM-7851</t>
  </si>
  <si>
    <t>IBP:HospitalNetwork: Verify successful upload of hospital data with valid template</t>
  </si>
  <si>
    <t>IIRM-7852</t>
  </si>
  <si>
    <t>IBP:HospitalNetwork: Verify upload button behavior and configuration save functionality</t>
  </si>
  <si>
    <t>IIRM-7853</t>
  </si>
  <si>
    <t>IBP:HospitalNetwork: Verify transaction history shows upload history and allows download</t>
  </si>
  <si>
    <t>IIRM-7854</t>
  </si>
  <si>
    <t>IBP:HospitalNetwork: Verify delete functionality with option to add to excluded list</t>
  </si>
  <si>
    <t>IIRM-7855</t>
  </si>
  <si>
    <t>IBP:HospitalNetwork: Verify system handles invalid pin code entries correctly</t>
  </si>
  <si>
    <t>IIRM-7856</t>
  </si>
  <si>
    <t>IBP:HospitalNetwork: Verify appropriate message when no hospitals match search criteria</t>
  </si>
  <si>
    <t>IIRM-7857</t>
  </si>
  <si>
    <t>IBP:HospitalNetwork: Verify system validates all mandatory fields during upload</t>
  </si>
  <si>
    <t>IIRM-7858</t>
  </si>
  <si>
    <t>IBP:HospitalNetwork: Verify system prevents duplicate hospital entries</t>
  </si>
  <si>
    <t>IIRM-7859</t>
  </si>
  <si>
    <t>IBP:HospitalNetwork: Verify system validates file format and template structure</t>
  </si>
  <si>
    <t>IIRM-7860</t>
  </si>
  <si>
    <t>IBP:HospitalNetwork: Verify hospital data syncs from CRM to Employee Enrolment Portal after save</t>
  </si>
  <si>
    <t>IIRM-7861</t>
  </si>
  <si>
    <t>IBP:HospitalNetwork: Verify updates and Replace all in CRM reflect correctly in Employee Portal</t>
  </si>
  <si>
    <t>IIRM-7862</t>
  </si>
  <si>
    <t>IBP:HospitalNetwork: Verify all search functionality works correctly after system updates</t>
  </si>
  <si>
    <t>IIRM-7863</t>
  </si>
  <si>
    <t>IBP:HospitalNetwork: Verify hospital data upload functionality works after system updates</t>
  </si>
  <si>
    <t>IIRM-7864</t>
  </si>
  <si>
    <t>IIRM: Bulk Assign: Incorrect notification behavior during ownership assignment</t>
  </si>
  <si>
    <t>IIRM-7865</t>
  </si>
  <si>
    <t>IBP:FAQ: Validate that FAQ hyperlink is properly placed near Login CTA and opens FAQ screen correctly</t>
  </si>
  <si>
    <t>IIRM-7866</t>
  </si>
  <si>
    <t>IBP:FAQ: Validate that FAQs are displayed category-wise in collapsible accordion layout</t>
  </si>
  <si>
    <t>IIRM-7867</t>
  </si>
  <si>
    <t>IBP:FAQ: Validate that employee sees only FAQs associated with their specific policy</t>
  </si>
  <si>
    <t>IIRM-7868</t>
  </si>
  <si>
    <t>IBP:FAQ: Validate appropriate message display when no FAQs are configured for employee's policy</t>
  </si>
  <si>
    <t>IIRM-7869</t>
  </si>
  <si>
    <t>IBP:FAQ: Validate error message display when FAQ data cannot be loaded due to sync failure</t>
  </si>
  <si>
    <t>IIRM-7870</t>
  </si>
  <si>
    <t>IBP:FAQ: Validate navigation to FAQ Upload tab from Policy Details screen</t>
  </si>
  <si>
    <t>IIRM-7871</t>
  </si>
  <si>
    <t>IBP:FAQ: Validate download and structure of FAQ upload Excel template</t>
  </si>
  <si>
    <t>IIRM-7872</t>
  </si>
  <si>
    <t>IBP:FAQ: Validate complete bulk upload process with valid FAQ data</t>
  </si>
  <si>
    <t>IIRM-7873</t>
  </si>
  <si>
    <t>IBP:FAQ: Validate upload preview and error handling with partial invalid data</t>
  </si>
  <si>
    <t>IIRM-7874</t>
  </si>
  <si>
    <t>IBP:FAQ: Validate system's ability to detect and handle duplicate FAQs</t>
  </si>
  <si>
    <t>IIRM-7875</t>
  </si>
  <si>
    <t>IBP:FAQ: Validate manual FAQ addition functionality via Add FAQ button</t>
  </si>
  <si>
    <t>IIRM-7876</t>
  </si>
  <si>
    <t>IBP:FAQ: Validate FAQ deletion process with proper confirmation and audit logging</t>
  </si>
  <si>
    <t>IIRM-7877</t>
  </si>
  <si>
    <t>IBP:FAQ: Validate upload tracker section displays correct history and allows file downloads</t>
  </si>
  <si>
    <t>IIRM-7878</t>
  </si>
  <si>
    <t>IBP:FAQ: Validate all mandatory field validation messages during upload</t>
  </si>
  <si>
    <t>IIRM-7879</t>
  </si>
  <si>
    <t>IBP:FAQ: Validate file format restrictions and template structure requirements</t>
  </si>
  <si>
    <t>IIRM-7880</t>
  </si>
  <si>
    <t>IBP:FAQ: Validate Policy ID format and existence in system</t>
  </si>
  <si>
    <t>IIRM-7881</t>
  </si>
  <si>
    <t>IBP:FAQ: Validate that FAQ changes in CRM sync to Employee Portal correctly</t>
  </si>
  <si>
    <t>IIRM-7882</t>
  </si>
  <si>
    <t>IBP:FAQ: Validate that deleted FAQs in CRM are removed from Employee Portal</t>
  </si>
  <si>
    <t>IIRM-7883</t>
  </si>
  <si>
    <t>IBP:FAQ: Validate that bulk FAQ replacement in CRM replaces all FAQs in Employee Portal</t>
  </si>
  <si>
    <t>IIRM-7884</t>
  </si>
  <si>
    <t>IBP:FAQ: Validate that only authorized CRM users can access FAQ management features</t>
  </si>
  <si>
    <t>IIRM-7885</t>
  </si>
  <si>
    <t>IBP:FAQ: Validate system performance when handling large numbers of FAQs</t>
  </si>
  <si>
    <t>IIRM-7886</t>
  </si>
  <si>
    <t>IBP:FAQ: Validate FAQ feature works correctly on mobile devices and tablets</t>
  </si>
  <si>
    <t>IIRM-7887</t>
  </si>
  <si>
    <t>IBP:FAQ: Validate FAQ feature works consistently across major browsers</t>
  </si>
  <si>
    <t>IIRM-7888</t>
  </si>
  <si>
    <t>IBP: Inception: Date format validation missing in step 3 on inception/Endorsement process</t>
  </si>
  <si>
    <t>IIRM-7889</t>
  </si>
  <si>
    <t>IIRM: Verify Bulk Assgement Functionality</t>
  </si>
  <si>
    <t>IIRM-7890</t>
  </si>
  <si>
    <t>IIRM-7891</t>
  </si>
  <si>
    <t xml:space="preserve">IIRM: UAT and Pre-pod Sanity Checking </t>
  </si>
  <si>
    <t>IIRM-7892</t>
  </si>
  <si>
    <t>IIRM: NEW CRs testing and Regression testing</t>
  </si>
  <si>
    <t>IIRM-7893</t>
  </si>
  <si>
    <t>IBP:HospitalNetwork: Text should get changed to HospitalNetwork.</t>
  </si>
  <si>
    <t>IIRM-7894</t>
  </si>
  <si>
    <t>IBP: FAQ: Questions count not showing after file upload</t>
  </si>
  <si>
    <t>IIRM-7895</t>
  </si>
  <si>
    <t>IBP: FAQ: Empty FAQ file upload should get restricted</t>
  </si>
  <si>
    <t>IIRM-7896</t>
  </si>
  <si>
    <t>IBP:FAQ: For empty file upload popup should be same as API failed status message.</t>
  </si>
  <si>
    <t>IIRM-7897</t>
  </si>
  <si>
    <t>IBP:HospitalNetwork: Error thrown on clicking pagination ellipses</t>
  </si>
  <si>
    <t>IIRM-7898</t>
  </si>
  <si>
    <t>IIRM: Contacts:Filters: City filter is not appearing in the Applied Filters section on the My Contacts page</t>
  </si>
  <si>
    <t>PATIBANDLA VELANGINI RAJU</t>
  </si>
  <si>
    <t>IIRM-7899</t>
  </si>
  <si>
    <t xml:space="preserve">Export Capability </t>
  </si>
  <si>
    <t>IIRM-7900</t>
  </si>
  <si>
    <t>IIRM: Auto-Population – Preferred Insurer List Order Is Not Retained</t>
  </si>
  <si>
    <t>IIRM-7901</t>
  </si>
  <si>
    <t>IIRM: Auto-Population: Preferred Insurer selection should be excluded from Insurers dropdown in Excluded Insurer section</t>
  </si>
  <si>
    <t>IIRM-7902</t>
  </si>
  <si>
    <t>Service Tax Not Reflecting Post Upload for Policy Inception – GPA TeamLease Skills University (Policy ID: 527389)</t>
  </si>
  <si>
    <t>IIRM-7903</t>
  </si>
  <si>
    <t>IIRM: Auto-Population: Select Insurer Location field not auto-populated for the selected insurer</t>
  </si>
  <si>
    <t>IIRM-7904</t>
  </si>
  <si>
    <t>Deadlock issue in the service tat scheduler</t>
  </si>
  <si>
    <t>IIRM-7905</t>
  </si>
  <si>
    <t>IIRM: Auto-Population: Brokerage Percentage and Amount field issues in Final Negotiation activity</t>
  </si>
  <si>
    <t>IIRM-7906</t>
  </si>
  <si>
    <t>Selected Row Highlight Not Retained When Navigating Back to First Page</t>
  </si>
  <si>
    <t>IIRM-7907</t>
  </si>
  <si>
    <t>IIRM: Insurer details are not auto-populated for the selected Co-Insurer</t>
  </si>
  <si>
    <t>IIRM-7908</t>
  </si>
  <si>
    <t>Update Toggle Placement and Styling for SO/RO Switch - "My Follow up Widget"</t>
  </si>
  <si>
    <t>IIRM-7909</t>
  </si>
  <si>
    <t>Business performance - Breakup - Filter Persistance - Both Overall &amp; Quaterly</t>
  </si>
  <si>
    <t>IIRM-7910</t>
  </si>
  <si>
    <t>Brokerage collection and My Follow up - Back has to Navigate to respective table</t>
  </si>
  <si>
    <t>IIRM-7911</t>
  </si>
  <si>
    <t>My Follow Up - Change Position and Style</t>
  </si>
  <si>
    <t>IIRM-7912</t>
  </si>
  <si>
    <t>Biz Done Report - Add Insurer Filter</t>
  </si>
  <si>
    <t>IIRM-7913</t>
  </si>
  <si>
    <t>Browser - Mozilla Firefox - Whole application compatibility</t>
  </si>
  <si>
    <t>IIRM-7914</t>
  </si>
  <si>
    <t>If ASSIGNMENTS tab is only for ISG, let it appear only for those roles. NOT FOR ALL.</t>
  </si>
  <si>
    <t>IIRM-7916</t>
  </si>
  <si>
    <t>Opportunities Not Visible in Approval Bucket &amp; Unable to Approve from Held Cover Note Activity</t>
  </si>
  <si>
    <t>IIRM-7917</t>
  </si>
  <si>
    <t>Covers Not Available in Marine Sales Turnover Policy Opportunity in New iWork</t>
  </si>
  <si>
    <t>IIRM-7918</t>
  </si>
  <si>
    <t>Premium calculation Issue : Policy ID - POLICY ID 405351</t>
  </si>
  <si>
    <t>IIRM-7919</t>
  </si>
  <si>
    <t>Error File Not Generated After Failed Inception Upload — Policy ID 526388</t>
  </si>
  <si>
    <t>IIRM-7920</t>
  </si>
  <si>
    <t>Policy Not Activating After Approval — Policy ID 521453</t>
  </si>
  <si>
    <t>IIRM-7921</t>
  </si>
  <si>
    <t>PROD: Incorrect Status Displayed for Error Records on Inception Upload — Policy ID 526819</t>
  </si>
  <si>
    <t>IIRM-7922</t>
  </si>
  <si>
    <t>Unable to Submit Held Cover Note — Error Prompt Despite All Details Filled (Opp. 1042886 &amp; 1042888)</t>
  </si>
  <si>
    <t>IIRM-7923</t>
  </si>
  <si>
    <t>Premium not updated on dashboard after member upload (4359 members)</t>
  </si>
  <si>
    <t>IIRM-7924</t>
  </si>
  <si>
    <t>IIRM: Covers: Incorrect spellings are displayed across multiple covers</t>
  </si>
  <si>
    <t>IIRM-7925</t>
  </si>
  <si>
    <t>Make all numeric values clickable in the "Business performance - Breakup" table except Percentages (%)</t>
  </si>
  <si>
    <t>IIRM-7926</t>
  </si>
  <si>
    <t>IIRM: RFP Details Data Not Retrieved After Manager Rejects the Activity</t>
  </si>
  <si>
    <t>IIRM-7927</t>
  </si>
  <si>
    <t>IIRM: Auto-Population: Sri Lanka: Enter Quote: Screen becomes unresponsive when entering data in the Brokerage Percentage fields</t>
  </si>
  <si>
    <t>IIRM-7928</t>
  </si>
  <si>
    <t>Dual policy type names incorrectly clubbed under Opportunity No. 1175326</t>
  </si>
  <si>
    <t>IIRM-7929</t>
  </si>
  <si>
    <t>Multiple Issues Identified Across Opportunities – Policy Types, Deviation Updates, Covers &amp; Assignment</t>
  </si>
  <si>
    <t>IIRM-7930</t>
  </si>
  <si>
    <t>Incorrect activity ownership and team assignment for Won Opportunity – GTL (Opp. No. 1175351)</t>
  </si>
  <si>
    <t>IIRM-7931</t>
  </si>
  <si>
    <t>IBP: My Documents - Policy feature</t>
  </si>
  <si>
    <t>IIRM-7932</t>
  </si>
  <si>
    <t>IBP: Constraints: Verify combination of children and partner for base policy enroll</t>
  </si>
  <si>
    <t>IIRM-7933</t>
  </si>
  <si>
    <t>Create new components for placement slip (Front END)</t>
  </si>
  <si>
    <t>IIRM-7934</t>
  </si>
  <si>
    <t>For co-insurers LOV show list of all the active insureres</t>
  </si>
  <si>
    <t>IIRM-7935</t>
  </si>
  <si>
    <t>Create new components for final negotiation (Front END)</t>
  </si>
  <si>
    <t>IIRM-7936</t>
  </si>
  <si>
    <t>Add a label to GST% and GST Amount in Manage Policy -&gt; Policy Details tab</t>
  </si>
  <si>
    <t>IIRM-7937</t>
  </si>
  <si>
    <t>IBP: PolicyConfigure: Error thrown for same employee Data on different GMC's of same company</t>
  </si>
  <si>
    <t>IIRM-7938</t>
  </si>
  <si>
    <t>IIRM: Preferred Insurer Not Updated Correctly in RFP Details Entry Activity</t>
  </si>
  <si>
    <t>IIRM-7939</t>
  </si>
  <si>
    <t>IIRM: Insurer Contact ID Displayed Instead of Insurer contact Name</t>
  </si>
  <si>
    <t>IIRM-7940</t>
  </si>
  <si>
    <t>IBP: Inception: Employee records got failed, even if valid data provided on bulk file upload</t>
  </si>
  <si>
    <t>IIRM-7941</t>
  </si>
  <si>
    <t>337819-Application Error - Duplicate Employee-Mapping &amp; GST Update</t>
  </si>
  <si>
    <t>IIRM-7942</t>
  </si>
  <si>
    <t>405350 Application Error - 1763 uploaded but 4 records count is missing from the dashboard</t>
  </si>
  <si>
    <t>IIRM-7943</t>
  </si>
  <si>
    <t>521453 Application Error - 2 records successfully uploaded and are missing in the dashboard stats employee count and premiums</t>
  </si>
  <si>
    <t>IIRM-7944</t>
  </si>
  <si>
    <t>331354 Application Error - Approvals need to be rolled back</t>
  </si>
  <si>
    <t>IIRM-7945</t>
  </si>
  <si>
    <t>526388 Application Error - Company employee already exists (duplicate id/email/phone) and some random email ids created by system for the blank email cells.</t>
  </si>
  <si>
    <t>IIRM-7946</t>
  </si>
  <si>
    <t>337820 Application Error - Duplicate employee-policy mapping and random email ids created by system</t>
  </si>
  <si>
    <t>IIRM-7947</t>
  </si>
  <si>
    <t>337823 Application Error - Duplicate employee-policy mapping and random email ids created by system</t>
  </si>
  <si>
    <t>IIRM-7948</t>
  </si>
  <si>
    <t>521451 Application Error - Duplicate employee-policy mapping and random email ids created by system</t>
  </si>
  <si>
    <t>IIRM-7949</t>
  </si>
  <si>
    <t>548663 Application Error - Employee count and premiums are not matching</t>
  </si>
  <si>
    <t>IIRM-7950</t>
  </si>
  <si>
    <t>332657 Application Error - Need confirmation on premium reflection post configuration amendment</t>
  </si>
  <si>
    <t>IIRM-7951</t>
  </si>
  <si>
    <t>405351 Application Error - Premium is not reflecting correctly post configuration correction. - Data need to be deleted from backend</t>
  </si>
  <si>
    <t>IIRM-7952</t>
  </si>
  <si>
    <t>329116 Errors escalated to IT 11/14/2025 Date format, Employee ID not found for dependents, Employee id mismatch</t>
  </si>
  <si>
    <t>IIRM-7953</t>
  </si>
  <si>
    <t>337818 Application Error - Duplicate employee-policy mapping</t>
  </si>
  <si>
    <t>IIRM-7954</t>
  </si>
  <si>
    <t>IIRM: Opportunity page is fullly displayed after approal and rejected cases</t>
  </si>
  <si>
    <t>IIRM-7955</t>
  </si>
  <si>
    <t>IIRM: Auto-Population: Share Percentage field is not accepting the value 100 in final negotiation activity</t>
  </si>
  <si>
    <t>IIRM-7956</t>
  </si>
  <si>
    <t>IIRM: Auto-Population: Lanka: Brokerage Percentage and Amount fields should not be displayed</t>
  </si>
  <si>
    <t>IIRM-7957</t>
  </si>
  <si>
    <t>BA: Write Product Specs</t>
  </si>
  <si>
    <t>IIRM-7631 — IBP: Claims Corner (Phase 1) - View Claims Details</t>
  </si>
  <si>
    <t>IIRM-7958</t>
  </si>
  <si>
    <t>QA: Write Test Cases</t>
  </si>
  <si>
    <t>IIRM-7959</t>
  </si>
  <si>
    <t>TL: Write Technical Specs</t>
  </si>
  <si>
    <t>IIRM-7960</t>
  </si>
  <si>
    <t>IIRM: Saved Filters Not Working on Dashboard Screen</t>
  </si>
  <si>
    <t>IIRM-7961</t>
  </si>
  <si>
    <t>IIRM: ISG Planning: Incorrect text displayed in ISG Planning screen</t>
  </si>
  <si>
    <t>IIRM-7962</t>
  </si>
  <si>
    <t>IRM: "Failed Brokerage Summary" Error When Changing Hierarchy in Dashboard Filter</t>
  </si>
  <si>
    <t>IIRM-7963</t>
  </si>
  <si>
    <t xml:space="preserve">IIRM: Remove the empty links on Business performance - Breakup </t>
  </si>
  <si>
    <t>IIRM-7964</t>
  </si>
  <si>
    <t>IIRM: Auto-Population: Issues in "Insurers share % and Brokerage % details" section in Placement Slip activity</t>
  </si>
  <si>
    <t>IIRM-7965</t>
  </si>
  <si>
    <t>IIRM: Auto-Population: "Insurers share % and Brokerage % details" functionality not working as expected after submitting activity for approval in Placement Slip Activity</t>
  </si>
  <si>
    <t>IIRM-7966</t>
  </si>
  <si>
    <t>IIRM: Auto-Population: Lead Insurer missing and fields not resetting when Policy Placed Type is changed from Multiple to Single</t>
  </si>
  <si>
    <t>IIRM-7967</t>
  </si>
  <si>
    <t>The number of records processed is having gap with total records uploaded</t>
  </si>
  <si>
    <t>IIRM-7968</t>
  </si>
  <si>
    <t>IIRM: RFP Details Entry: Unable to complete the activity</t>
  </si>
  <si>
    <t>IIRM-7969</t>
  </si>
  <si>
    <t>Premium Calculation issue: Vyyomik Innovations</t>
  </si>
  <si>
    <t>IIRM-7970</t>
  </si>
  <si>
    <t>TASK-A001: Database schema and migration setup</t>
  </si>
  <si>
    <t>IIRM-7931 — IBP: My Documents - Policy feature</t>
  </si>
  <si>
    <t>IIRM-7971</t>
  </si>
  <si>
    <t>TASK-A002: Policy feature repository implementation</t>
  </si>
  <si>
    <t>IIRM-7972</t>
  </si>
  <si>
    <t>TASK-A003: Policy feature service layer and DTOs</t>
  </si>
  <si>
    <t>IIRM-7973</t>
  </si>
  <si>
    <t>TASK-A004: REST API endpoints and controller</t>
  </si>
  <si>
    <t>IIRM-7974</t>
  </si>
  <si>
    <t>TASK-A005: Module configuration and service integration</t>
  </si>
  <si>
    <t>IIRM-7975</t>
  </si>
  <si>
    <t>TASK-B001: Admin portal types and API service</t>
  </si>
  <si>
    <t>IIRM-7976</t>
  </si>
  <si>
    <t>TASK-B002: Upload policy features card component</t>
  </si>
  <si>
    <t>IIRM-7977</t>
  </si>
  <si>
    <t>TASK-B003: Policy feature document viewer component</t>
  </si>
  <si>
    <t>IIRM-7978</t>
  </si>
  <si>
    <t>TASK-B004: Portal configuration integration</t>
  </si>
  <si>
    <t>IIRM-7979</t>
  </si>
  <si>
    <t>TASK-C001: Employee portal types and API service</t>
  </si>
  <si>
    <t>IIRM-7980</t>
  </si>
  <si>
    <t>TASK-C002: Policy features dashboard button</t>
  </si>
  <si>
    <t>IIRM-7981</t>
  </si>
  <si>
    <t>TASK-C003: Documents screen with tabbed interface</t>
  </si>
  <si>
    <t>IIRM-7982</t>
  </si>
  <si>
    <t>TASK-C004: Multi-policy support and document loading</t>
  </si>
  <si>
    <t>IIRM-7983</t>
  </si>
  <si>
    <t>TASK-C005: Employee portal routing and integration</t>
  </si>
  <si>
    <t>IIRM-7984</t>
  </si>
  <si>
    <t>TASK-D001: Backend API comprehensive testing</t>
  </si>
  <si>
    <t>IIRM-7985</t>
  </si>
  <si>
    <t>TASK-D002: Frontend component testing</t>
  </si>
  <si>
    <t>IIRM-7986</t>
  </si>
  <si>
    <t>TASK-D003: Cross-service integration validation</t>
  </si>
  <si>
    <t>IIRM-7987</t>
  </si>
  <si>
    <t>TASK-D004: Performance testing and optimization</t>
  </si>
  <si>
    <t>IIRM-7988</t>
  </si>
  <si>
    <t>TASK-D005: Documentation and deployment preparation</t>
  </si>
  <si>
    <t>IIRM-7989</t>
  </si>
  <si>
    <t>Data Clean-up (PRODUCTION)</t>
  </si>
  <si>
    <t>IIRM-7990</t>
  </si>
  <si>
    <t xml:space="preserve">PROD Task: Delete Test/Dummy Transaction (From Company to last trnx.) </t>
  </si>
  <si>
    <t>IIRM-7989 — Data Clean-up (PRODUCTION)</t>
  </si>
  <si>
    <t>IIRM-7991</t>
  </si>
  <si>
    <t>IIRM: Auto-Population: Sri Lanka: Unable to Complete the Placement Slip Generation Activity</t>
  </si>
  <si>
    <t>IIRM-7992</t>
  </si>
  <si>
    <t>IIRM-4849 — Save Activity - Proper Implementation</t>
  </si>
  <si>
    <t>IIRM-7993</t>
  </si>
  <si>
    <t>IIRM-4973 — Policy View: New Tab: Add “Policy Document” as an additional tab</t>
  </si>
  <si>
    <t>IIRM-7994</t>
  </si>
  <si>
    <t>IIRM-4975 — Instalment Reminders (Email): For Policy owners for each instalment</t>
  </si>
  <si>
    <t>IIRM-7995</t>
  </si>
  <si>
    <t>IIRM-5292 — Opportunity History details are unavailable for the end user to view.</t>
  </si>
  <si>
    <t>IIRM-7996</t>
  </si>
  <si>
    <t>IIRM-7042 — Sync Policy fields to SO/RO Stages</t>
  </si>
  <si>
    <t>IIRM-7997</t>
  </si>
  <si>
    <t>IIRM-7998</t>
  </si>
  <si>
    <t>Build the function to derive the form config based on the organisation</t>
  </si>
  <si>
    <t>IIRM-7999</t>
  </si>
  <si>
    <t>Build the config items that are removed, replaced and newly added to the existing configs</t>
  </si>
  <si>
    <t>IIRM-8000</t>
  </si>
  <si>
    <t xml:space="preserve">Adjsut the form config to each activity based on the organisation key </t>
  </si>
  <si>
    <t>IIRM-8001</t>
  </si>
  <si>
    <t>Inception - handle the Sub group matches from configurator while processing Inception</t>
  </si>
  <si>
    <t>IIRM-8002</t>
  </si>
  <si>
    <t>IIRM: Failed to Retrieve Opportunities Error When Clearing and Saving Active Filters</t>
  </si>
  <si>
    <t>IIRM-8003</t>
  </si>
  <si>
    <t>IRM: Page Becomes Unresponsive When Selecting Insurer Location in Meeting for Final Negotiation</t>
  </si>
  <si>
    <t>IIRM-8004</t>
  </si>
  <si>
    <t>Enable Decimals in Amount Fields &amp; Apply VAT% on All Components</t>
  </si>
  <si>
    <t>IIRM-8005</t>
  </si>
  <si>
    <t>IIRM-8006 — Create Task: Link to Opportunity - Show Company, Opportunity &amp; Activities</t>
  </si>
  <si>
    <t>IIRM-8006</t>
  </si>
  <si>
    <t>Create Task: Link to Opportunity - Show Company, Opportunity &amp; Activities</t>
  </si>
  <si>
    <t>IIRM-8007</t>
  </si>
  <si>
    <t>From now, the order of self first followed by dependent is not mandatory , dependent can come before the self in this updated flow</t>
  </si>
  <si>
    <t>IIRM-8008</t>
  </si>
  <si>
    <t>During the endorsements, we can add dependent alone for employees (Self) who got already enrolled during the inception.</t>
  </si>
  <si>
    <t>IIRM-8009</t>
  </si>
  <si>
    <t xml:space="preserve">IBP: Inception: Some thing went wrong screen shown on inception upload </t>
  </si>
  <si>
    <t>IIRM-8010</t>
  </si>
  <si>
    <t>Change the status of Policies from Active to Generated so that policy can be activated</t>
  </si>
  <si>
    <t>IIRM-8011</t>
  </si>
  <si>
    <t>BA: Product Specs</t>
  </si>
  <si>
    <t>IIRM-8004 — Enable Decimals in Amount Fields &amp; Apply VAT% on All Components</t>
  </si>
  <si>
    <t>IIRM-8012</t>
  </si>
  <si>
    <t>Premiums change request - 529794</t>
  </si>
  <si>
    <t>IIRM-8013</t>
  </si>
  <si>
    <t xml:space="preserve">IIRM: Without reload aprove/reject buttons are not dispayed for approved </t>
  </si>
  <si>
    <t>Implement DPDP Act 2023 &amp; DPDP Rules 2025 Compliance Framework</t>
  </si>
  <si>
    <t>IIRM-8016</t>
  </si>
  <si>
    <t>India: Update new fields in the Biz Done report</t>
  </si>
  <si>
    <t>IIRM-8017</t>
  </si>
  <si>
    <t>Sri Lanka: Update new field in Biz Done report. Delete India fields</t>
  </si>
  <si>
    <t>IIRM-8018</t>
  </si>
  <si>
    <t>IIRM: Activity Not Loading or Updating Properly Without Page Reload</t>
  </si>
  <si>
    <t>IIRM-8019</t>
  </si>
  <si>
    <t>IIRM: Brokerage Percentage Decimals Rounding Mismatch Between Held Cover Note &amp; Placement Slip</t>
  </si>
  <si>
    <t>IIRM-8020</t>
  </si>
  <si>
    <t>API changes Save activity for the Data validation, Kdm Meeting, Mandate</t>
  </si>
  <si>
    <t>IIRM-8021</t>
  </si>
  <si>
    <t>UI - implementation Save activity for the Data validation, Kdm Meeting, Mandate</t>
  </si>
  <si>
    <t>IIRM-8022</t>
  </si>
  <si>
    <t>API changes Save activity for the Rfp cover, Rfp Details, QCR, premium Calculations</t>
  </si>
  <si>
    <t>IIRM-8023</t>
  </si>
  <si>
    <t>UI - implementation Save activity for the Rfp cover, Rfp Details, QCR, premium Calculations</t>
  </si>
  <si>
    <t>IIRM-8024</t>
  </si>
  <si>
    <t>API changes Save activity for the Held Cover note, policy hard copy, policy confirmation, policy docket</t>
  </si>
  <si>
    <t>IIRM-8025</t>
  </si>
  <si>
    <t>UI - implementation changes Save activity for the Held Cover note, policy hard copy, policy confirmation, policy docket</t>
  </si>
  <si>
    <t>IIRM-8026</t>
  </si>
  <si>
    <t>API changes Save activity for the Broking Slip/ Quote Entry</t>
  </si>
  <si>
    <t>IIRM-8027</t>
  </si>
  <si>
    <t>UI - implementation changes Save activity for the Broking Slip/ Quote Entry</t>
  </si>
  <si>
    <t>IIRM-8028</t>
  </si>
  <si>
    <t>API changes Save activity for the Final negoatiation/placement slip</t>
  </si>
  <si>
    <t>IIRM-8029</t>
  </si>
  <si>
    <t>UI -implementation changes Save activity for the Final negotiation/placement slip</t>
  </si>
  <si>
    <t>IIRM-8030</t>
  </si>
  <si>
    <t>API changes Save activity for the Hand over meet and bug fixes</t>
  </si>
  <si>
    <t>IIRM-8031</t>
  </si>
  <si>
    <t>UI - implementation changes Save activity for the Hand over meet and bug fixes</t>
  </si>
  <si>
    <t>IIRM-8032</t>
  </si>
  <si>
    <t>Premium calculation issue - 526387</t>
  </si>
  <si>
    <t>IIRM-8033</t>
  </si>
  <si>
    <t>Front end for the change</t>
  </si>
  <si>
    <t xml:space="preserve">IIRM-7835 — Placement Slip Generation: Make CD related field Required &amp; Optional based on “Payment Type” </t>
  </si>
  <si>
    <t>IIRM-8034</t>
  </si>
  <si>
    <t>BA: Review Test Cases</t>
  </si>
  <si>
    <t>IIRM-8035</t>
  </si>
  <si>
    <t>QA: Executing Test Cases</t>
  </si>
  <si>
    <t>IBP: Contact Matrix</t>
  </si>
  <si>
    <t>IIRM-8037</t>
  </si>
  <si>
    <t>BA Write Product Specs</t>
  </si>
  <si>
    <t>IIRM-8036 — IBP: Contact Matrix</t>
  </si>
  <si>
    <t>IIRM-8038</t>
  </si>
  <si>
    <t>IIRM: “Something Went Wrong” Screen Appears When Resetting Filters in SO/RO Screens</t>
  </si>
  <si>
    <t>IIRM-8039</t>
  </si>
  <si>
    <t>Approve and Activate the configuration update in DB brokerage as 7.5</t>
  </si>
  <si>
    <t>IIRM-8040</t>
  </si>
  <si>
    <t>IBP: Endorsement: Duplicate error entries generated for a single uploaded record</t>
  </si>
  <si>
    <t>IIRM-8041</t>
  </si>
  <si>
    <t>Biz Done Report: Display Records for Both Lead and Co-Insurers in "Insurer" Filter</t>
  </si>
  <si>
    <t>IIRM-8042</t>
  </si>
  <si>
    <t>Build and Stabilize Core Framework Components Across IIRM and Other Generic Projects</t>
  </si>
  <si>
    <t>IIRM-775 — SOW#48 - Whitelabelling</t>
  </si>
  <si>
    <t>IIRM-8043</t>
  </si>
  <si>
    <t>External API Access Management Framework</t>
  </si>
  <si>
    <t>IIRM-8042 — Build and Stabilize Core Framework Components Across IIRM and Other Generic Projects</t>
  </si>
  <si>
    <t>IIRM-8044</t>
  </si>
  <si>
    <t>JWT Library Development</t>
  </si>
  <si>
    <t>IIRM-8045</t>
  </si>
  <si>
    <t>ACL (Access Control List) Library Development</t>
  </si>
  <si>
    <t>IIRM-8046</t>
  </si>
  <si>
    <t>Payment Gateway Integration Library</t>
  </si>
  <si>
    <t>IIRM-8047</t>
  </si>
  <si>
    <t>ORM-based Database Script Management (TypeORM Migrations)</t>
  </si>
  <si>
    <t>IIRM-8048</t>
  </si>
  <si>
    <t>Stabilization of IIRM Frameworks</t>
  </si>
  <si>
    <t>IIRM-8049</t>
  </si>
  <si>
    <t>PolicyFeature: Document uplaoded should be there instead of uploaded</t>
  </si>
  <si>
    <t>IIRM-8050</t>
  </si>
  <si>
    <t>PolicyFeature: "Policy features document replaced successfully" should be shown on document replace</t>
  </si>
  <si>
    <t>IIRM-8051</t>
  </si>
  <si>
    <t>PolicyFeature: On document download retrieved message should not be shown.</t>
  </si>
  <si>
    <t>IIRM-8052</t>
  </si>
  <si>
    <t>PolicyFeature: Document appears blurry in view state but downloads as clear PDF</t>
  </si>
  <si>
    <t>IIRM-8053</t>
  </si>
  <si>
    <t>PolicyFeature: Close button missing on my documents as per spec</t>
  </si>
  <si>
    <t>IIRM-8054</t>
  </si>
  <si>
    <t>PolicyFeature: Instead of policy details, Policy dashboard should be shown on breadcrumb</t>
  </si>
  <si>
    <t>IIRM-8055</t>
  </si>
  <si>
    <t>PolicyFeature: Unable to view text from Uploaded PDF</t>
  </si>
  <si>
    <t>IIRM-8056</t>
  </si>
  <si>
    <t>Label change from Share Percentage to Premium share percentage</t>
  </si>
  <si>
    <t>IIRM-8057</t>
  </si>
  <si>
    <t>DB: One time activity to update TPA contacts</t>
  </si>
  <si>
    <t>IIRM-8058</t>
  </si>
  <si>
    <t>IBP: Portal Preferences - Company (Admin Module)</t>
  </si>
  <si>
    <t>IIRM-8059</t>
  </si>
  <si>
    <t>IBP: Portal Configurator - Policy (Admin Module)</t>
  </si>
  <si>
    <t>IIRM-8060</t>
  </si>
  <si>
    <t>Iwork: SO Activities: RFD Details Entry "Submit for approval" error thrown.</t>
  </si>
  <si>
    <t>IIRM-8061</t>
  </si>
  <si>
    <t>PolicyFeature: While document is under upload process, Choose file option should be disabale state</t>
  </si>
  <si>
    <t>IIRM-8062</t>
  </si>
  <si>
    <t>PolicyFeature: For 25MB file uplaod it is taking 27.83 sec , it should be less than 20 sec</t>
  </si>
  <si>
    <t>IIRM-8063</t>
  </si>
  <si>
    <t>&lt;Place Holder&gt; Use it.</t>
  </si>
  <si>
    <t>IIRM-8064</t>
  </si>
  <si>
    <t>Nudges &amp; Insights (AI - iWork Productivity)</t>
  </si>
  <si>
    <t>IIRM-789 — SOW#62 - AI Chatbot</t>
  </si>
  <si>
    <t>IIRM-8065</t>
  </si>
  <si>
    <t>IIRM: Ready for QA issues Testing and Regression  Checking</t>
  </si>
  <si>
    <t>IIRM-8066</t>
  </si>
  <si>
    <t>AI Chatbot (Release-1)</t>
  </si>
  <si>
    <t>IIRM-8067</t>
  </si>
  <si>
    <t>IIRM: Auto Papulate Testing in UAT and Ready for  QA issues verification</t>
  </si>
  <si>
    <t>IIRM-8068</t>
  </si>
  <si>
    <t>IIRM: Production Bocklog and  new CR Testing</t>
  </si>
  <si>
    <t>IIRM-8069</t>
  </si>
  <si>
    <t xml:space="preserve">IIRM: Srillanka Locatiozaton testing on activites </t>
  </si>
  <si>
    <t>IIRM-8070</t>
  </si>
  <si>
    <t>IIRM: SO Activities: Broking Slip Generation: Error - "Failed to Save Version"</t>
  </si>
  <si>
    <t>IIRM-8071</t>
  </si>
  <si>
    <t>Discrepancy in Uploaded vs. Picked Records in Module</t>
  </si>
  <si>
    <t>IIRM-8072</t>
  </si>
  <si>
    <t>&lt;Place Holder&gt; Please use it.</t>
  </si>
  <si>
    <t>IIRM-8073</t>
  </si>
  <si>
    <t>IBP: Dashboard Page – Policy expiry date not fetched in Enrollment Window card &amp; in Compulsory Benefits card on My Insurance page</t>
  </si>
  <si>
    <t>IIRM-8074</t>
  </si>
  <si>
    <t>Create New Policy Type: Marine cum Erection Policy (MCE)</t>
  </si>
  <si>
    <t>IIRM-8075</t>
  </si>
  <si>
    <t>Create Task: Show Link to Opportunity section</t>
  </si>
  <si>
    <t>IIRM-8076</t>
  </si>
  <si>
    <t>IBP: Support Request</t>
  </si>
  <si>
    <t>IIRM-8077</t>
  </si>
  <si>
    <t>IBP: Schedule Callback</t>
  </si>
  <si>
    <t>IIRM-8078</t>
  </si>
  <si>
    <t>IBP: Enrolment Status</t>
  </si>
  <si>
    <t>IIRM-8079</t>
  </si>
  <si>
    <t>Write Story</t>
  </si>
  <si>
    <t>IIRM-8076 — IBP: Support Request</t>
  </si>
  <si>
    <t>IIRM-8080</t>
  </si>
  <si>
    <t>Write Product Specs</t>
  </si>
  <si>
    <t>IIRM-8077 — IBP: Schedule Callback</t>
  </si>
  <si>
    <t>IIRM-8081</t>
  </si>
  <si>
    <t>IIRM-8078 — IBP: Enrolment Status</t>
  </si>
  <si>
    <t>IIRM-8082</t>
  </si>
  <si>
    <t>The TPA ID Upload functionality requires improvements to handle file validation, error visibility, and product-specific field requirements.</t>
  </si>
  <si>
    <t>IIRM-8083</t>
  </si>
  <si>
    <t>IBP: Inception/Endorsement: Next button should be in disable state if file status is in Complete state</t>
  </si>
  <si>
    <t>IIRM-8084</t>
  </si>
  <si>
    <t>IIRM: Save Activity: Incorrect Toast Message Displayed When Activity Is Saved</t>
  </si>
  <si>
    <t>IIRM-8085</t>
  </si>
  <si>
    <t>IIRM: Save Activity: Data Validation: Save Activity Button behaviour Not Working as Expected</t>
  </si>
  <si>
    <t>IIRM-8086</t>
  </si>
  <si>
    <t>IIRM: Save Activity: Uploaded Document Not Visible in Documents Tab</t>
  </si>
  <si>
    <t>IIRM-8087</t>
  </si>
  <si>
    <t>IIRM: Save Activity: Able to Save the Activity with Invalid Data</t>
  </si>
  <si>
    <t>IIRM-8088</t>
  </si>
  <si>
    <t>IIRM: Verify Ready for QA issues and Regression Testing</t>
  </si>
  <si>
    <t>IIRM-8089</t>
  </si>
  <si>
    <t>IIRM: Auto Papulate Testing in UAT for Srilanka Localization</t>
  </si>
  <si>
    <t>IIRM-8090</t>
  </si>
  <si>
    <t>IIRM: NEW CRs testing and Production Backlog testing</t>
  </si>
  <si>
    <t>IIRM-8091</t>
  </si>
  <si>
    <t>IIRM: SO And RO Activites Regression Testing</t>
  </si>
  <si>
    <t>IIRM-8092</t>
  </si>
  <si>
    <t>CR: Update GPA/GTL Upload Rules &amp; Enable Failed Record Visibility</t>
  </si>
  <si>
    <t>IIRM-8093</t>
  </si>
  <si>
    <t>IIRM: Save Activity: RFP Details Entry: Not able to Save the Activity without Mandate Details</t>
  </si>
  <si>
    <t>IIRM-8094</t>
  </si>
  <si>
    <t>TASK-A001: Setup Claims module structure in IBP service</t>
  </si>
  <si>
    <t>IIRM-8095</t>
  </si>
  <si>
    <t>TASK-A002: Create database views for claims aggregation</t>
  </si>
  <si>
    <t>IIRM-8096</t>
  </si>
  <si>
    <t>TASK-A003: Implement Claims Controller API endpoints</t>
  </si>
  <si>
    <t>IIRM-8097</t>
  </si>
  <si>
    <t>TASK-A004: Implement Claims Service business logic</t>
  </si>
  <si>
    <t>IIRM-8098</t>
  </si>
  <si>
    <t>TASK-B001: Enhance existing ClaimSummary component</t>
  </si>
  <si>
    <t>IIRM-8099</t>
  </si>
  <si>
    <t>TASK-B002: Add Claims Corner navigation and routing</t>
  </si>
  <si>
    <t>IIRM-8100</t>
  </si>
  <si>
    <t>TASK-B003: Create Claims Corner page component</t>
  </si>
  <si>
    <t>IIRM-8101</t>
  </si>
  <si>
    <t>TASK-C001: Implement API integration and data flow</t>
  </si>
  <si>
    <t>IIRM-8102</t>
  </si>
  <si>
    <t>IBP:PolicyFeature: Upload Policy Feature Document (Happy Path)</t>
  </si>
  <si>
    <t>IIRM-8103</t>
  </si>
  <si>
    <t>IBP:PolicyFeature: Upload Document - File Size Exceeds Limit</t>
  </si>
  <si>
    <t>IIRM-8104</t>
  </si>
  <si>
    <t>IBP:PolicyFeature: Upload Document - Invalid File Format</t>
  </si>
  <si>
    <t>IIRM-8105</t>
  </si>
  <si>
    <t>IBP:PolicyFeature: Upload Document - Filename with Special Characters</t>
  </si>
  <si>
    <t>IIRM-8106</t>
  </si>
  <si>
    <t>IBP:PolicyFeature: View Upload Modal Elements</t>
  </si>
  <si>
    <t>IIRM-8107</t>
  </si>
  <si>
    <t>IBP:PolicyFeature: Upload Document - Empty File</t>
  </si>
  <si>
    <t>IIRM-8108</t>
  </si>
  <si>
    <t>IBP:PolicyFeature: Replace Existing Document (Happy Path)</t>
  </si>
  <si>
    <t>IIRM-8109</t>
  </si>
  <si>
    <t>IBP:PolicyFeature: Replace Document - Cancel Confirmation</t>
  </si>
  <si>
    <t>IIRM-8110</t>
  </si>
  <si>
    <t>IBP:PolicyFeature: Replace Document - Upload History Tracking</t>
  </si>
  <si>
    <t>IIRM-8111</t>
  </si>
  <si>
    <t>IBP:PolicyFeature: Multiple Document Replacements</t>
  </si>
  <si>
    <t>IIRM-8112</t>
  </si>
  <si>
    <t>IBP:PolicyFeature: View Uploaded Document</t>
  </si>
  <si>
    <t>IIRM-8113</t>
  </si>
  <si>
    <t>IBP:PolicyFeature: View CTA Disabled State</t>
  </si>
  <si>
    <t>IIRM-8114</t>
  </si>
  <si>
    <t>IBP:PolicyFeature: Download Document from Viewer</t>
  </si>
  <si>
    <t>IIRM-8115</t>
  </si>
  <si>
    <t>IBP:PolicyFeature: Close Document Viewer</t>
  </si>
  <si>
    <t>IIRM-8116</t>
  </si>
  <si>
    <t>IBP:PolicyFeature: PDF Rendering in Viewer</t>
  </si>
  <si>
    <t>IIRM-8117</t>
  </si>
  <si>
    <t>IBP:PolicyFeature: View Upload History Panel</t>
  </si>
  <si>
    <t>IIRM-8118</t>
  </si>
  <si>
    <t>IBP:PolicyFeature: Download Historical Document</t>
  </si>
  <si>
    <t>IIRM-8119</t>
  </si>
  <si>
    <t>IBP:PolicyFeature: Upload History Ordering</t>
  </si>
  <si>
    <t>IIRM-8120</t>
  </si>
  <si>
    <t>IBP:PolicyFeature: Upload History - Column Data Validation</t>
  </si>
  <si>
    <t>IIRM-8121</t>
  </si>
  <si>
    <t>IBP:PolicyFeature: Close Upload History Panel</t>
  </si>
  <si>
    <t>IIRM-8122</t>
  </si>
  <si>
    <t>IBP:PolicyFeature: Policy Features Button Visibility</t>
  </si>
  <si>
    <t>IIRM-8123</t>
  </si>
  <si>
    <t>IBP:PolicyFeature: Click Policy Features Button</t>
  </si>
  <si>
    <t>IIRM-8124</t>
  </si>
  <si>
    <t>IBP:PolicyFeature: Policy Features Button - No Enrollment</t>
  </si>
  <si>
    <t>IIRM-8125</t>
  </si>
  <si>
    <t>IBP:PolicyFeature: View Document - Single Policy Enrollment</t>
  </si>
  <si>
    <t>IIRM-8126</t>
  </si>
  <si>
    <t>IBP:PolicyFeature: Switch to TPA Card Tab - Single Policy</t>
  </si>
  <si>
    <t>IIRM-8127</t>
  </si>
  <si>
    <t>IBP:PolicyFeature: No Document Available - Single Policy</t>
  </si>
  <si>
    <t>IIRM-8128</t>
  </si>
  <si>
    <t>IBP:PolicyFeature: Download Document - Single Policy</t>
  </si>
  <si>
    <t>IIRM-8129</t>
  </si>
  <si>
    <t>IBP:PolicyFeature: View Documents - Multiple Policy Enrollments</t>
  </si>
  <si>
    <t>IIRM-8130</t>
  </si>
  <si>
    <t>IBP:PolicyFeature: Navigate Between Policy Sub-tabs</t>
  </si>
  <si>
    <t>IIRM-8131</t>
  </si>
  <si>
    <t>IBP:PolicyFeature: Sub-tabs Persist Across Main Tab Switches</t>
  </si>
  <si>
    <t>IIRM-8132</t>
  </si>
  <si>
    <t>IBP:PolicyFeature: Multiple Policies - One Missing Document</t>
  </si>
  <si>
    <t>IIRM-8133</t>
  </si>
  <si>
    <t>IBP:PolicyFeature: Policy Sub-tab Labeling Format</t>
  </si>
  <si>
    <t>IIRM-8134</t>
  </si>
  <si>
    <t>IBP:PolicyFeature: Multiple Policies - All Documents Available</t>
  </si>
  <si>
    <t>IIRM-8135</t>
  </si>
  <si>
    <t>IBP:PolicyFeature: Multiple Policies - Tab Order</t>
  </si>
  <si>
    <t>IIRM-8136</t>
  </si>
  <si>
    <t>IBP:PolicyFeature: PDF Viewer Controls</t>
  </si>
  <si>
    <t>IIRM-8137</t>
  </si>
  <si>
    <t>IBP:PolicyFeature: Download Document - Employee</t>
  </si>
  <si>
    <t>IIRM-8138</t>
  </si>
  <si>
    <t>IBP:PolicyFeature: Close Documents Screen</t>
  </si>
  <si>
    <t>IIRM-8139</t>
  </si>
  <si>
    <t>IBP:PolicyFeature: Browser Back Button Behavior</t>
  </si>
  <si>
    <t>IIRM-8140</t>
  </si>
  <si>
    <t>IBP:PolicyFeature: Multi-page PDF Navigation</t>
  </si>
  <si>
    <t>IIRM-8141</t>
  </si>
  <si>
    <t>IBP:PolicyFeature: PDF Viewer - Mobile Responsiveness</t>
  </si>
  <si>
    <t>IIRM-8142</t>
  </si>
  <si>
    <t>IBP:PolicyFeature: Document Update Reflection Time</t>
  </si>
  <si>
    <t>IIRM-8143</t>
  </si>
  <si>
    <t>IBP:PolicyFeature: Concurrent Admin Uploads</t>
  </si>
  <si>
    <t>IIRM-8144</t>
  </si>
  <si>
    <t>IBP:PolicyFeature: Multiple Policy Documents Isolation</t>
  </si>
  <si>
    <t>IIRM-8145</t>
  </si>
  <si>
    <t>IBP:PolicyFeature: Permissions - Non-enrolled Employee Access</t>
  </si>
  <si>
    <t>IIRM-8146</t>
  </si>
  <si>
    <t>IBP:PolicyFeature: Document Availability After Policy Enrollment</t>
  </si>
  <si>
    <t>IIRM-8147</t>
  </si>
  <si>
    <t>IBP:PolicyFeature: Document Access After Policy Termination</t>
  </si>
  <si>
    <t>IIRM-8148</t>
  </si>
  <si>
    <t>IBP:PolicyFeature: Large PDF Upload Performance</t>
  </si>
  <si>
    <t>IIRM-8149</t>
  </si>
  <si>
    <t>IBP:PolicyFeature: Multiple Simultaneous Employee Views</t>
  </si>
  <si>
    <t>IIRM-8150</t>
  </si>
  <si>
    <t>IBP:PolicyFeature: Upload History with Large Number of Replacements</t>
  </si>
  <si>
    <t>IIRM-8151</t>
  </si>
  <si>
    <t>IBP:PolicyFeature: Document Viewer - Large PDF Performance</t>
  </si>
  <si>
    <t>IIRM-8152</t>
  </si>
  <si>
    <t>IBP:PolicyFeature: Keyboard Navigation - Admin</t>
  </si>
  <si>
    <t>IIRM-8153</t>
  </si>
  <si>
    <t>IBP:PolicyFeature: Screen Reader Compatibility - Employee</t>
  </si>
  <si>
    <t>IIRM-8154</t>
  </si>
  <si>
    <t>IBP:PolicyFeature: Keyboard Navigation - Employee Documents Screen</t>
  </si>
  <si>
    <t>IIRM-8155</t>
  </si>
  <si>
    <t>IBP:PolicyFeature: Color Contrast and Visual Accessibility</t>
  </si>
  <si>
    <t>IIRM-8156</t>
  </si>
  <si>
    <t>IBP:PolicyFeature: Network Interruption During Upload</t>
  </si>
  <si>
    <t>IIRM-8157</t>
  </si>
  <si>
    <t>IBP:PolicyFeature: Session Timeout During Upload</t>
  </si>
  <si>
    <t>IIRM-8158</t>
  </si>
  <si>
    <t>IBP:PolicyFeature: Browser Refresh During Document View</t>
  </si>
  <si>
    <t>IIRM-8159</t>
  </si>
  <si>
    <t>IBP:PolicyFeature: Corrupted PDF File Upload</t>
  </si>
  <si>
    <t>IIRM-8160</t>
  </si>
  <si>
    <t>IBP:PolicyFeature: Document Deleted from Storage (Backend Issue)</t>
  </si>
  <si>
    <t>IIRM-8161</t>
  </si>
  <si>
    <t>IBP:PolicyFeature: Duplicate Filename Upload</t>
  </si>
  <si>
    <t>IIRM-8162</t>
  </si>
  <si>
    <t>IBP:PolicyFeature: Browser Compatibility</t>
  </si>
  <si>
    <t>IIRM-8163</t>
  </si>
  <si>
    <t>IBP:PolicyFeature: Very Long Filename</t>
  </si>
  <si>
    <t>IIRM-8164</t>
  </si>
  <si>
    <t>IBP:PolicyFeature: Special Characters in PDF Content</t>
  </si>
  <si>
    <t>IIRM-8165</t>
  </si>
  <si>
    <t>IBP:PolicyFeature: Concurrent Document Views by Same Employee</t>
  </si>
  <si>
    <t>IIRM-8166</t>
  </si>
  <si>
    <t>IBP:PolicyFeature: End-to-End Smoke Test - Admin Flow</t>
  </si>
  <si>
    <t>IIRM-8167</t>
  </si>
  <si>
    <t>IBP:PolicyFeature: End-to-End Smoke Test - Employee Flow (Single Policy)</t>
  </si>
  <si>
    <t>IIRM-8168</t>
  </si>
  <si>
    <t>IBP:PolicyFeature: End-to-End Smoke Test - Employee Flow (Multiple Policies)</t>
  </si>
  <si>
    <t>IIRM-8169</t>
  </si>
  <si>
    <t>IBP:PolicyFeature: Portal Configuration - No Regression</t>
  </si>
  <si>
    <t>IIRM-8170</t>
  </si>
  <si>
    <t>IBP:PolicyFeature: Employee Dashboard - No Regression</t>
  </si>
  <si>
    <t>IIRM-8171</t>
  </si>
  <si>
    <t>Auto-Generate System Entry Reference Number for Every SO/RO Created</t>
  </si>
  <si>
    <t>IIRM-8172</t>
  </si>
  <si>
    <t>Make TPA upload step optional in Inception and Endorsement processes for GPA &amp; GTL (Configurable at policy type)</t>
  </si>
  <si>
    <t>IIRM-8174</t>
  </si>
  <si>
    <t>GPA / GTL Policies</t>
  </si>
  <si>
    <t>IIRM-8172 — Make TPA upload step optional in Inception and Endorsement processes for GPA &amp; GTL (Configurable at policy type)</t>
  </si>
  <si>
    <t>IIRM-8176</t>
  </si>
  <si>
    <t>IIRM: Pre-Prod: Tasks: Unable to Clear the Activity Dropdown Value</t>
  </si>
  <si>
    <t>IIRM-8177</t>
  </si>
  <si>
    <t>Search by Keywords field appears greyed out and needs UI enhancement</t>
  </si>
  <si>
    <t>IIRM-8178</t>
  </si>
  <si>
    <t>Add Policy Header Sticker to All View Screens</t>
  </si>
  <si>
    <t>IIRM-8179</t>
  </si>
  <si>
    <t>FAQ Ordering Not Configurable</t>
  </si>
  <si>
    <t>IIRM-8180</t>
  </si>
  <si>
    <t>FAQ UI/UX Improvements</t>
  </si>
  <si>
    <t>IIRM-8181</t>
  </si>
  <si>
    <t>Dashboard – Redirection of Static Icons and Tabs</t>
  </si>
  <si>
    <t>IIRM-8182</t>
  </si>
  <si>
    <t>CR: Enroll Now card should not disappear after enrollment submission</t>
  </si>
  <si>
    <t>IIRM-8183</t>
  </si>
  <si>
    <t>Enrolment Summary should display combined summary for multiple policies</t>
  </si>
  <si>
    <t>IIRM-8184</t>
  </si>
  <si>
    <t>IIRM: Bizdone Report: Incorrect Brokerage Percentage Displayed</t>
  </si>
  <si>
    <t>IIRM-8185</t>
  </si>
  <si>
    <t>14 Parental Records Rejected for Policy 340646 – "Duplicate employee ID in file"</t>
  </si>
  <si>
    <t>IIRM-8186</t>
  </si>
  <si>
    <t>Premium did not match for addition and deletion endorsement for policy number 521452</t>
  </si>
  <si>
    <t>IIRM-8187</t>
  </si>
  <si>
    <t>For policy number 521445(GMC) we saw below issues while doing the addition endorsements.</t>
  </si>
  <si>
    <t>IIRM-8188</t>
  </si>
  <si>
    <t xml:space="preserve">Records are rejected in inception#340646 </t>
  </si>
  <si>
    <t>IIRM-8189</t>
  </si>
  <si>
    <t>IIRM: Documents: "Uploaded By" Not Updating on Re-Upload</t>
  </si>
  <si>
    <t>IIRM-8190</t>
  </si>
  <si>
    <t>IIRM: Save Activity: Unable to Save Updated Version &amp; Quote Details</t>
  </si>
  <si>
    <t>IIRM-8191</t>
  </si>
  <si>
    <t>IIRM: Save Activity: Final Negotiation Activity: Unable to Save/Complete the activity</t>
  </si>
  <si>
    <t>IIRM-8192</t>
  </si>
  <si>
    <t>IIRM: Save Activity: Duplicate versions are getting added by clicking on the Save Activity button</t>
  </si>
  <si>
    <t>IIRM-8193</t>
  </si>
  <si>
    <t>IIRM: RO: Perform BD Opportunity Activties with privillaged user</t>
  </si>
  <si>
    <t>IIRM-8194</t>
  </si>
  <si>
    <t>Contract Matrix Front End</t>
  </si>
  <si>
    <t>IIRM-8195</t>
  </si>
  <si>
    <t>Contract Matrix Back End</t>
  </si>
  <si>
    <t>IIRM-8196</t>
  </si>
  <si>
    <t>Document in "Send Inception to Insurer" section has less records than the actual employees (Policy 405350)</t>
  </si>
  <si>
    <t>IIRM-8197</t>
  </si>
  <si>
    <t>IIRM-8198</t>
  </si>
  <si>
    <t>Gross premium is showing 3 decimals (Policy 337814)</t>
  </si>
  <si>
    <t>IIRM-8199</t>
  </si>
  <si>
    <t>Provisional Endorsement Number/Insurer Endorsement number/Provisional Inception Number/Insurer Inception Number should be alphanumeric.</t>
  </si>
  <si>
    <t>IIRM-8200</t>
  </si>
  <si>
    <t>Inception premium is not correct. Also, if more than one files are uploaded then file downloaded from "Send Inception to Insurer" section is not having all the records. it takes data from only 1 file. It should have all the data uploaded successfully.</t>
  </si>
  <si>
    <t>IIRM-8201</t>
  </si>
  <si>
    <t>Enter Quote: Show all Insurer in "Select Insurer" drop-down</t>
  </si>
  <si>
    <t>IIRM-8202</t>
  </si>
  <si>
    <t>Unable to Create Additional Brokingslip Versions</t>
  </si>
  <si>
    <t>IIRM-8203</t>
  </si>
  <si>
    <t>If we have endorsement too then downloading the file from "Send Inception to Insurer" is downloading endorsement file.</t>
  </si>
  <si>
    <t>IIRM-8204</t>
  </si>
  <si>
    <t>Error file shows different date format than the provided in the actual file. This is reported long back but no action.</t>
  </si>
  <si>
    <t>IIRM-8205</t>
  </si>
  <si>
    <t>Should have the dates in the same format as the original file. (Policy 521445)</t>
  </si>
  <si>
    <t>IIRM-8206</t>
  </si>
  <si>
    <t>Currently system is supporting only 10 MB file size, it must support according to the file size. It should throw proper error message in case of file size exceeds defined limit.</t>
  </si>
  <si>
    <t>IIRM-8207</t>
  </si>
  <si>
    <t>Some records are missing to be processed during "TPA ID Upload". There is no way to know the failed records here. Policy ID: 574574</t>
  </si>
  <si>
    <t>IIRM-8208</t>
  </si>
  <si>
    <t>One additional column is needed in Endorsement file to check the status of claims. This is needed for deletion. This will be confirmed by tomorrow morning.</t>
  </si>
  <si>
    <t>IIRM-8209</t>
  </si>
  <si>
    <t>In endorsement TPA deletion, records need to mention the TPA ID in the last column as confirmed by Nithin today.</t>
  </si>
  <si>
    <t>IIRM-8220</t>
  </si>
  <si>
    <t>IIRM: Auto-Population: Held Cover Note: Insurer details are missing when Policy Placed type is set to Multiple</t>
  </si>
  <si>
    <t>IIRM-8221</t>
  </si>
  <si>
    <t>IIRM: Placement Slip Generation: Lanka: Unable to Save or Complete the Activity</t>
  </si>
  <si>
    <t>IIRM-8222</t>
  </si>
  <si>
    <t>Non-Financial Endorsements</t>
  </si>
  <si>
    <t>IIRM-8223</t>
  </si>
  <si>
    <t>IIRM: Save Activity: Not able to save partial data in the Final Negotiation activity</t>
  </si>
  <si>
    <t>IIRM-8224</t>
  </si>
  <si>
    <t>Push current version to PRODUCTION (ETA 2 days)</t>
  </si>
  <si>
    <t>IIRM-8066 — AI Chatbot (Release-1)</t>
  </si>
  <si>
    <t>IIRM-8225</t>
  </si>
  <si>
    <t>IBP:HospitalNetwork: Pin point not showing on navigating to address details from HospitalNetwork page</t>
  </si>
  <si>
    <t>IIRM-8226</t>
  </si>
  <si>
    <t>IIRM: Save Activity: Policy Hard Copy: Data is not saved when clicking the Save button</t>
  </si>
  <si>
    <t>IIRM-8227</t>
  </si>
  <si>
    <t>IIRM: Srilanka and india Opportunities activites Testing</t>
  </si>
  <si>
    <t>IIRM-8228</t>
  </si>
  <si>
    <t>Biz Done Report: Add Sri Lanka related fields and show them only for Sri Lanka report.</t>
  </si>
  <si>
    <t>IIRM-8229</t>
  </si>
  <si>
    <t>Biz Done Report: DB Update: Share Amount, Share%, Brokerage Amount &amp; Brokerage% from Opportunity to Policy</t>
  </si>
  <si>
    <t>IIRM-8230</t>
  </si>
  <si>
    <t>Endorsement Issues: Upload pending</t>
  </si>
  <si>
    <t>IIRM-8231</t>
  </si>
  <si>
    <t>Inception Premium Mismatch Issues</t>
  </si>
  <si>
    <t>IIRM-8232</t>
  </si>
  <si>
    <t>Coverages Not Available | Industrial All Risk | Opp. No.1175419, 1175556 &amp; 1175558 | Inox Air Products</t>
  </si>
  <si>
    <t>IIRM-8233</t>
  </si>
  <si>
    <t>IIRM: Localizatioin Testing on QA Environment</t>
  </si>
  <si>
    <t>IIRM-8234</t>
  </si>
  <si>
    <t>IIRM:  Save Activity testing and ready for QA issues verification</t>
  </si>
  <si>
    <t>IIRM-8235</t>
  </si>
  <si>
    <t>IIRM: Backlog Ready for QA issues verification</t>
  </si>
  <si>
    <t>IIRM-8236</t>
  </si>
  <si>
    <t>IIRM: Sanity Verification on Pre-pod and production Environment</t>
  </si>
  <si>
    <t>IIRM-8237</t>
  </si>
  <si>
    <t>IBP:Document: Client confirmation data is not getting stored on documents tab.</t>
  </si>
  <si>
    <t>IIRM-8238</t>
  </si>
  <si>
    <t>IBP: Document: OS number is getting overridden if 2 files got uplaoded in inception process</t>
  </si>
  <si>
    <t>IIRM-8239</t>
  </si>
  <si>
    <t>IBP:Document: FileName column to show not mentioned in spec</t>
  </si>
  <si>
    <t>IIRM-8240</t>
  </si>
  <si>
    <t>IBP: Documents: Subactivity sequence missing on documents tab</t>
  </si>
  <si>
    <t>IIRM-8241</t>
  </si>
  <si>
    <t>IBP: Policy: Document: Client confirmation subactivity record mapping not captured</t>
  </si>
  <si>
    <t>IIRM-8242</t>
  </si>
  <si>
    <t>Unified Enrollment Process for Employee Insurance Policies</t>
  </si>
  <si>
    <t>IIRM-8243</t>
  </si>
  <si>
    <t>IBP:Policy: Document: Send endorsement to insurer Mapping record appears on Step 2 instead of Step 3</t>
  </si>
  <si>
    <t>IIRM-8244</t>
  </si>
  <si>
    <t>SO/RO sync up with policy FE</t>
  </si>
  <si>
    <t>IIRM-8245</t>
  </si>
  <si>
    <t>SO/RO sync up of fields in BE</t>
  </si>
  <si>
    <t>IIRM-8246</t>
  </si>
  <si>
    <t>IBP: Policy: Document: Claims records were getting mapped in middle of the inception and endorsement mapped records</t>
  </si>
  <si>
    <t>IIRM-8247</t>
  </si>
  <si>
    <t>IBP:Policy:Dashboard: 'From' and 'To' dates not working when same date is selected</t>
  </si>
  <si>
    <t>IIRM-8248</t>
  </si>
  <si>
    <t>PolicyDocument: Verify Documents Tab is Visible and Accessible</t>
  </si>
  <si>
    <t>IIRM-8249</t>
  </si>
  <si>
    <t>PolicyDocument: Verify Documents Tab Does Not Display for Invalid Policy ID</t>
  </si>
  <si>
    <t>IIRM-8250</t>
  </si>
  <si>
    <t>PolicyDocument: Verify Documents Tab Access with Insufficient Permissions</t>
  </si>
  <si>
    <t>IIRM-8251</t>
  </si>
  <si>
    <t>PolicyDocument: Verify Documents Tab State Persistence During Navigation</t>
  </si>
  <si>
    <t>IIRM-8252</t>
  </si>
  <si>
    <t>PolicyDocument: Verify Document Retrieval - All Inception Stages</t>
  </si>
  <si>
    <t>IIRM-8253</t>
  </si>
  <si>
    <t>PolicyDocument: Verify Retrieval with Missing Inception Documents</t>
  </si>
  <si>
    <t>IIRM-8254</t>
  </si>
  <si>
    <t>PolicyDocument: Verify Duplicate Document Uploads in Same Stage</t>
  </si>
  <si>
    <t>IIRM-8255</t>
  </si>
  <si>
    <t>PolicyDocument: Verify TPA ID Document Type Mapping</t>
  </si>
  <si>
    <t>IIRM-8256</t>
  </si>
  <si>
    <t>PolicyDocument: Verify Client Confirmation Stage Multiple Document Types</t>
  </si>
  <si>
    <t>IIRM-8257</t>
  </si>
  <si>
    <t>PolicyDocument: Verify Document Retrieval - All Endorsement Stages</t>
  </si>
  <si>
    <t>IIRM-8258</t>
  </si>
  <si>
    <t>PolicyDocument: Verify Combined Display of Inception and Endorsement Documents</t>
  </si>
  <si>
    <t>IIRM-8259</t>
  </si>
  <si>
    <t>PolicyDocument: Verify Multiple Endorsements Document Retrieval</t>
  </si>
  <si>
    <t>IIRM-8260</t>
  </si>
  <si>
    <t>PolicyDocument: Verify Endorsement Upload After Inception Document Deletion</t>
  </si>
  <si>
    <t>IIRM-8261</t>
  </si>
  <si>
    <t>PolicyDocument: Verify Endorsement TPA ID Does Not Overwrite Inception TPA ID</t>
  </si>
  <si>
    <t>IIRM-8262</t>
  </si>
  <si>
    <t>PolicyDocument: Verify Document Retrieval - TPA ID Upload Exclusion</t>
  </si>
  <si>
    <t>IIRM-8263</t>
  </si>
  <si>
    <t>PolicyDocument: Verify Non-Group Policy Endorsement Document Retrieval</t>
  </si>
  <si>
    <t>IIRM-8264</t>
  </si>
  <si>
    <t>PolicyDocument: Verify Policy Type Switch Document Handling</t>
  </si>
  <si>
    <t>IIRM-8265</t>
  </si>
  <si>
    <t>PolicyDocument: Verify All Table Columns Are Rendered Correctly</t>
  </si>
  <si>
    <t>IIRM-8266</t>
  </si>
  <si>
    <t>PolicyDocument: Verify OS Ticket Number Column Data Accuracy</t>
  </si>
  <si>
    <t>IIRM-8267</t>
  </si>
  <si>
    <t>PolicyDocument: Verify File Name Column Displays Original Filename</t>
  </si>
  <si>
    <t>IIRM-8268</t>
  </si>
  <si>
    <t>PolicyDocument: Verify Uploaded By Column Shows Correct User Information</t>
  </si>
  <si>
    <t>IIRM-8269</t>
  </si>
  <si>
    <t>PolicyDocument: Verify Uploaded Date Column Format and Timezone</t>
  </si>
  <si>
    <t>IIRM-8270</t>
  </si>
  <si>
    <t>PolicyDocument: Verify Download Column Icon Rendering and Accessibility</t>
  </si>
  <si>
    <t>IIRM-8271</t>
  </si>
  <si>
    <t>PolicyDocument: Verify Single Document Download via Download Icon</t>
  </si>
  <si>
    <t>IIRM-8272</t>
  </si>
  <si>
    <t>PolicyDocument: Verify Download of Large File (Over 10MB)</t>
  </si>
  <si>
    <t>IIRM-8273</t>
  </si>
  <si>
    <t>PolicyDocument: Verify Download Failure Handling for Deleted Document</t>
  </si>
  <si>
    <t>IIRM-8274</t>
  </si>
  <si>
    <t>PolicyDocument: Verify Concurrent Downloads of Multiple Documents</t>
  </si>
  <si>
    <t>IIRM-8275</t>
  </si>
  <si>
    <t>PolicyDocument: Verify Download with Special Characters in Filename</t>
  </si>
  <si>
    <t>IIRM-8276</t>
  </si>
  <si>
    <t>PolicyDocument: Verify Download Permission Enforcement</t>
  </si>
  <si>
    <t>IIRM-8277</t>
  </si>
  <si>
    <t>PolicyDocument: Verify Download During Slow Network Connection</t>
  </si>
  <si>
    <t>IIRM-8278</t>
  </si>
  <si>
    <t>PolicyDocument: Verify Activity Name Click Navigation to Inception Activity</t>
  </si>
  <si>
    <t>IIRM-8279</t>
  </si>
  <si>
    <t>PolicyDocument: Verify Activity Name Navigation to Endorsement Activity</t>
  </si>
  <si>
    <t>IIRM-8280</t>
  </si>
  <si>
    <t>PolicyDocument: Verify Activity Name Navigation for TPA ID Upload Stage</t>
  </si>
  <si>
    <t>IIRM-8281</t>
  </si>
  <si>
    <t>PolicyDocument: Verify Activity Name Navigation with Insufficient Permission</t>
  </si>
  <si>
    <t>IIRM-8282</t>
  </si>
  <si>
    <t>PolicyDocument: Verify Empty State Display When No Documents Exist</t>
  </si>
  <si>
    <t>IIRM-8283</t>
  </si>
  <si>
    <t>PolicyDocument: Verify Empty State After All Documents Are Deleted</t>
  </si>
  <si>
    <t>IIRM-8284</t>
  </si>
  <si>
    <t>PolicyDocument: Verify Empty State for New Policy Before Document Upload</t>
  </si>
  <si>
    <t>IIRM-8285</t>
  </si>
  <si>
    <t>PolicyDocument: Verify Document Upload with Unsupported File Type</t>
  </si>
  <si>
    <t>IIRM-8286</t>
  </si>
  <si>
    <t>PolicyDocument: Verify Document Upload File Size Boundary Validation</t>
  </si>
  <si>
    <t>IIRM-8287</t>
  </si>
  <si>
    <t>PolicyDocument: Verify Document Upload with Corrupted File</t>
  </si>
  <si>
    <t>IIRM-8288</t>
  </si>
  <si>
    <t>PolicyDocument: Verify File Format Spoofing Detection</t>
  </si>
  <si>
    <t>IIRM-8289</t>
  </si>
  <si>
    <t>PolicyDocument: Verify Document Upload with Empty File</t>
  </si>
  <si>
    <t>IIRM-8290</t>
  </si>
  <si>
    <t>Verify Dynamic Field Display Based on Country Selection</t>
  </si>
  <si>
    <t>IIRM-8291</t>
  </si>
  <si>
    <t>DB Changes: Localisation regulatory fields selection based upon different countries</t>
  </si>
  <si>
    <t>Rohit</t>
  </si>
  <si>
    <t>IIRM-8228 — Biz Done Report: Add Sri Lanka related fields and show them only for Sri Lanka report.</t>
  </si>
  <si>
    <t>IIRM-8292</t>
  </si>
  <si>
    <t>TC-001: Verify Save Draft with Missing Mandatory Fields</t>
  </si>
  <si>
    <t>IIRM-8293</t>
  </si>
  <si>
    <t>TC-002: Verify Save Draft Blocked on Format/Data Type/Range Validation Errors</t>
  </si>
  <si>
    <t>IIRM-8294</t>
  </si>
  <si>
    <t>TC-003: Verify Cross-Field Validation During Save Draft</t>
  </si>
  <si>
    <t>IIRM-8295</t>
  </si>
  <si>
    <t>TC-004: Verify Auto-populate Draft on Revisit and Overwrite Behavior</t>
  </si>
  <si>
    <t>IIRM-8296</t>
  </si>
  <si>
    <t>TC-005: Verify Draft Deletion After Stage Completion</t>
  </si>
  <si>
    <t>IIRM-8297</t>
  </si>
  <si>
    <t>TC-006: Verify Multiple Stages Maintain Independent Drafts</t>
  </si>
  <si>
    <t>IIRM-8298</t>
  </si>
  <si>
    <t>TC-007: Verify Save Draft After Failed Completion Attempt</t>
  </si>
  <si>
    <t>IIRM-8299</t>
  </si>
  <si>
    <t>TC-008: Verify Draft Persistence Across Sessions and Boundary Cases</t>
  </si>
  <si>
    <t>IIRM-8300</t>
  </si>
  <si>
    <t>Verify Country-Specific Validation Rules and Financial Calculations</t>
  </si>
  <si>
    <t>IIRM-8301</t>
  </si>
  <si>
    <t>IBP: Document: Document mapping functionality not working for non-group policies</t>
  </si>
  <si>
    <t>IIRM-8302</t>
  </si>
  <si>
    <t>Policy: Inception: In-law records mapped to Self record in dummy data</t>
  </si>
  <si>
    <t>IIRM-8303</t>
  </si>
  <si>
    <t>Policy: Inception process: Invalid choices are mapped to this employee for this policy. Please verify, error thrown for valid records</t>
  </si>
  <si>
    <t>IIRM-8304</t>
  </si>
  <si>
    <t xml:space="preserve">Rework on Designs </t>
  </si>
  <si>
    <t>IIRM-8305</t>
  </si>
  <si>
    <t>ServiceFlow: Claims: Without EMPLOYEE_ID claims upload functionality not working for GMC policy</t>
  </si>
  <si>
    <t>IIRM-8306</t>
  </si>
  <si>
    <t>Claims: ServiceFlow: For failed claims , remarks were not showing on error download file</t>
  </si>
  <si>
    <t>IIRM-8307</t>
  </si>
  <si>
    <t>Claims: ServiceFlow: IBP: IBP: Pending claims count not reflected on Claims Summary card after uploading file with pending claims</t>
  </si>
  <si>
    <t>IIRM-8308</t>
  </si>
  <si>
    <t>Claims: ServiceFlow: File failed records also getting captured in step 2</t>
  </si>
  <si>
    <t>IIRM-8309</t>
  </si>
  <si>
    <t xml:space="preserve">iLearn: Add, Edit and Show Training Materials ONLY </t>
  </si>
  <si>
    <t>IIRM-8310</t>
  </si>
  <si>
    <t>IBP: Claims: Claims file upload failed, If inception/Endorsement process done with choices data type</t>
  </si>
  <si>
    <t>IIRM-8311</t>
  </si>
  <si>
    <t>iLearn: Add, Edit and Show Training Materials ONLY</t>
  </si>
  <si>
    <t>Mallela Pushyami</t>
  </si>
  <si>
    <t xml:space="preserve">IIRM-8309 — iLearn: Add, Edit and Show Training Materials ONLY </t>
  </si>
  <si>
    <t>IIRM-8312</t>
  </si>
  <si>
    <t>IBP: Claims: Settled count not getting updated on IBP dashboard.</t>
  </si>
  <si>
    <t>IIRM-8313</t>
  </si>
  <si>
    <t>IBP: Claims: Invalid policy number shown on UI</t>
  </si>
  <si>
    <t>IIRM-8314</t>
  </si>
  <si>
    <t>IBP: Claims: Claims reference number not showing on IBP dashboard</t>
  </si>
  <si>
    <t>IIRM-8315</t>
  </si>
  <si>
    <t>TC-ISG-001: Verify Sequential ISG Activities Execution by Privileged User</t>
  </si>
  <si>
    <t>IIRM-8316</t>
  </si>
  <si>
    <t>TC-ISG-002: Verify Auto-Calculations, Multiple Versions, Multiple Insurers, and Deviations</t>
  </si>
  <si>
    <t>IIRM-8317</t>
  </si>
  <si>
    <t>IIRM: Hand Over Meet: Approval functionality inconsistency</t>
  </si>
  <si>
    <t>IIRM-8318</t>
  </si>
  <si>
    <t>IIRM: Existing Document Not Displayed on Document Edit Screen</t>
  </si>
  <si>
    <t>IIRM-8319</t>
  </si>
  <si>
    <t>IIRM: No confirmation popup displayed when deleting a document</t>
  </si>
  <si>
    <t>IIRM-8320</t>
  </si>
  <si>
    <t>RO Opportunity Nos 675403, 675422 &amp; 675461 – Standard Chartered</t>
  </si>
  <si>
    <t>IIRM-8321</t>
  </si>
  <si>
    <t>Changes the 2nd and 3rd setps processing in the inception and endorsment process</t>
  </si>
  <si>
    <t>IIRM-7645 — Inception: Unable to view inception process steps , if data got uploaded on step 1</t>
  </si>
  <si>
    <t>IIRM-8322</t>
  </si>
  <si>
    <t>In brokering slip generation basic premium and percentage is not appearing after save activity</t>
  </si>
  <si>
    <t>IIRM-8323</t>
  </si>
  <si>
    <t>In the broking slip activity preferred insurer issue</t>
  </si>
  <si>
    <t>IIRM-8324</t>
  </si>
  <si>
    <t>IBP: Claims: Settled amount shoud get allow &gt; claim amount for the same CLAIM_INS_ID</t>
  </si>
  <si>
    <t>IIRM-8325</t>
  </si>
  <si>
    <t>IIRM: Save Activity: Missing pop-up warning when saving the activity without saving the version</t>
  </si>
  <si>
    <t>IIRM-8326</t>
  </si>
  <si>
    <t>IIRM: Save Activity: Unable to save the activity without providing any data</t>
  </si>
  <si>
    <t>IIRM-8327</t>
  </si>
  <si>
    <t xml:space="preserve">IBP: Claims: For GPA, GTL policies dependent claims on UI showing it as self </t>
  </si>
  <si>
    <t>IIRM-8328</t>
  </si>
  <si>
    <t>IIRM: Duplicate covers are displayed for RO activites  RO-ID 678566</t>
  </si>
  <si>
    <t>IIRM-8329</t>
  </si>
  <si>
    <t>IIRM: Ilean Testing and Ready for QA Issues Testing</t>
  </si>
  <si>
    <t>IIRM-8330</t>
  </si>
  <si>
    <t>IIRM-8331</t>
  </si>
  <si>
    <t>IIRM: UAT And Production backlog verification</t>
  </si>
  <si>
    <t>IIRM-8332</t>
  </si>
  <si>
    <t>PROD Issue: Duplicate Covers - RO 675403, 675422 &amp; 675461 – Standard Chartered</t>
  </si>
  <si>
    <t>IIRM-8333</t>
  </si>
  <si>
    <t>PROD Issue: Broking Slip - Save Version failed (SCB)</t>
  </si>
  <si>
    <t>IIRM-8334</t>
  </si>
  <si>
    <t>India - Premium components &amp; brokerage amount calculation</t>
  </si>
  <si>
    <t>IIRM-8335</t>
  </si>
  <si>
    <t>PROD Request: Need to extract CD Details per policy</t>
  </si>
  <si>
    <t>IIRM-8336</t>
  </si>
  <si>
    <t>PROD Request: Delete 31 policies (Refer to IIRM Email)</t>
  </si>
  <si>
    <t>IIRM-8337</t>
  </si>
  <si>
    <t>PROD Request: Delete Opty. &amp; It's related policy (Opp. No.1018657)</t>
  </si>
  <si>
    <t>IIRM-8338</t>
  </si>
  <si>
    <t>PROD Request: Add Covers for Industrial All Risk (Refer Opty. ID: 175419, 1175556 &amp; 1175558)</t>
  </si>
  <si>
    <t>IIRM-8339</t>
  </si>
  <si>
    <t>IBP: Inception/Endorsement: FOr GPA and GTL dependention adding should get restricted.</t>
  </si>
  <si>
    <t>IIRM-8340</t>
  </si>
  <si>
    <t>PROD Request: Premium Update - Opty. ID: 1175469 &amp; 1175470 (From Kishore)</t>
  </si>
  <si>
    <t>IIRM-8341</t>
  </si>
  <si>
    <t>IBP: Switch between Employee &amp; HR Role by HR User</t>
  </si>
  <si>
    <t>IIRM-8342</t>
  </si>
  <si>
    <t>IBP - Employee - User Profile</t>
  </si>
  <si>
    <t>IIRM-8343</t>
  </si>
  <si>
    <t>Authorization Configuration</t>
  </si>
  <si>
    <t>IIRM-8344</t>
  </si>
  <si>
    <t>IIRM: Task Edit Button Enabled Even After Task Completion</t>
  </si>
  <si>
    <t>IIRM-8345</t>
  </si>
  <si>
    <t>IIRM: Task Status Not Updated After Task Completion</t>
  </si>
  <si>
    <t>IIRM-8346</t>
  </si>
  <si>
    <t>PROD Request: Update Premium at inception and Net premium amount to same (Opty ID/ Policy: 968554/555522))</t>
  </si>
  <si>
    <t>IIRM-8347</t>
  </si>
  <si>
    <t>AI Chatbot: Support Free form chat</t>
  </si>
  <si>
    <t>IIRM-8348</t>
  </si>
  <si>
    <t>AI Chatbot: BE: Nudge - API</t>
  </si>
  <si>
    <t>IIRM-8349</t>
  </si>
  <si>
    <t>AI Chatbot: FE: Show nudges relevant to the pages with static data</t>
  </si>
  <si>
    <t>IIRM-8350</t>
  </si>
  <si>
    <t>AI Chatbot: Nudges: Develop the Nudge cards with Pagination (scroll)</t>
  </si>
  <si>
    <t>IIRM-8349 — AI Chatbot: FE: Show nudges relevant to the pages with static data</t>
  </si>
  <si>
    <t>IIRM-8351</t>
  </si>
  <si>
    <t xml:space="preserve">AI Chatbot: Nudges: Integrate the Nugget Response into Nugget Card </t>
  </si>
  <si>
    <t>IIRM-8352</t>
  </si>
  <si>
    <t xml:space="preserve">AI Chatbot: Nudges: Enable the form for chat communication </t>
  </si>
  <si>
    <t>IIRM-8353</t>
  </si>
  <si>
    <t xml:space="preserve">AI Chatbot: Nudges: Bind the chat history to chat pannel </t>
  </si>
  <si>
    <t>IIRM-8354</t>
  </si>
  <si>
    <t xml:space="preserve">AI Chatbot: Nudges: Feeback UI development in chat panel </t>
  </si>
  <si>
    <t>IIRM-8355</t>
  </si>
  <si>
    <t xml:space="preserve">AI Chatbot: Nudges: UI development for Feedback list view </t>
  </si>
  <si>
    <t>IIRM-8356</t>
  </si>
  <si>
    <t>AI Chatbot: Nudge - prompts from Database</t>
  </si>
  <si>
    <t>IIRM-8357</t>
  </si>
  <si>
    <t>PROD Request: Update Company Name (28713, 28713)</t>
  </si>
  <si>
    <t>IIRM-8358</t>
  </si>
  <si>
    <t>AI Chatbot: Nudge - Run dynamic service to answer prompts</t>
  </si>
  <si>
    <t>IIRM-8359</t>
  </si>
  <si>
    <t>AI Chatbot: Nudge - Put to cache &amp; return to FE</t>
  </si>
  <si>
    <t>IIRM-8360</t>
  </si>
  <si>
    <t>AI Chatbot: Chat - History per user</t>
  </si>
  <si>
    <t>IIRM-8361</t>
  </si>
  <si>
    <t>AI Chatbot: Chat - Provide last 'n' prompts/context to AI</t>
  </si>
  <si>
    <t>IIRM-8362</t>
  </si>
  <si>
    <t>AI Chatbot: Nudge - Pre-computation as required</t>
  </si>
  <si>
    <t>IIRM-8363</t>
  </si>
  <si>
    <t>AI Chatbot: Chat - Feedback Mgmt</t>
  </si>
  <si>
    <t>IIRM-8364</t>
  </si>
  <si>
    <t>AI Chatbot: Chat - Favorites Mgmt</t>
  </si>
  <si>
    <t>IIRM-8365</t>
  </si>
  <si>
    <t>AI: Prepare Base Infrastructure for AI Chatbot and Nudges</t>
  </si>
  <si>
    <t>IIRM-8366</t>
  </si>
  <si>
    <t>RAG setup</t>
  </si>
  <si>
    <t>IIRM-8365 — AI: Prepare Base Infrastructure for AI Chatbot and Nudges</t>
  </si>
  <si>
    <t>IIRM-8367</t>
  </si>
  <si>
    <t>PydanticAI agent implementation</t>
  </si>
  <si>
    <t>IIRM-8368</t>
  </si>
  <si>
    <t>Schema ingestion pipeline</t>
  </si>
  <si>
    <t>IIRM-8369</t>
  </si>
  <si>
    <t>Query validation &amp; testing</t>
  </si>
  <si>
    <t>IIRM-8370</t>
  </si>
  <si>
    <t>AI: Support chat based responses for the entities</t>
  </si>
  <si>
    <t>IIRM-8371</t>
  </si>
  <si>
    <t>IIRM: Unable to Save Placement Slip Activity When No Data Is Entered(Placementship)</t>
  </si>
  <si>
    <t>IIRM-8372</t>
  </si>
  <si>
    <t>QCR Comparison Excel download template for Lanka</t>
  </si>
  <si>
    <t>IIRM-8373</t>
  </si>
  <si>
    <t xml:space="preserve"> IIRM: Srilanka : Perform BD Opportunity Activties with privillaged user</t>
  </si>
  <si>
    <t>IIRM-8374</t>
  </si>
  <si>
    <t>IIRM: UAT: Save Activity: Not able to save partial data in the Mandate Details Entry activity</t>
  </si>
  <si>
    <t>IIRM-8375</t>
  </si>
  <si>
    <t>IIRM: Assignee Name not displayed in RFP Details Entry, blocking ISG Planning stage creation.</t>
  </si>
  <si>
    <t>IIRM-8379</t>
  </si>
  <si>
    <t>IIRM: Create Task: Opportunity dropdown is empty</t>
  </si>
  <si>
    <t>IIRM-8380</t>
  </si>
  <si>
    <t>IIRM: Ai service not found is triggered when clicking Industry Intelligence When Company creation</t>
  </si>
  <si>
    <t>IIRM-8381</t>
  </si>
  <si>
    <t>Inception: For expired policy inception/endorsement process should't get allowed</t>
  </si>
  <si>
    <t>IIRM-8382</t>
  </si>
  <si>
    <t>IIRM: Save Activity: UAT: Partially saved data is not retained when the tab is refreshed in Broking Slip Generation</t>
  </si>
  <si>
    <t>IIRM-8383</t>
  </si>
  <si>
    <t>Enable Endorsement after successful process of Inception file upload (step-2) (Only GMC)</t>
  </si>
  <si>
    <t>IIRM-8384</t>
  </si>
  <si>
    <t>Show only dependent count in endorsement summary when adding dependents without employees</t>
  </si>
  <si>
    <t>IIRM-8385</t>
  </si>
  <si>
    <t>File name convention - Inception/Endorsement</t>
  </si>
  <si>
    <t>IIRM-8386</t>
  </si>
  <si>
    <t>In any file upload section, show file processing completion timestamp</t>
  </si>
  <si>
    <t>IIRM-8387</t>
  </si>
  <si>
    <t>Download option for the Inception/Endorsement process file (Step-1)</t>
  </si>
  <si>
    <t>IIRM-8388</t>
  </si>
  <si>
    <t>Support alphanumeric format for Provisional and Insurer Inception/Endorsement numbers</t>
  </si>
  <si>
    <t>IIRM-8389</t>
  </si>
  <si>
    <t>Make Policy configuration for policy types - GMC Top-up, Parental &amp; It's Top-up, OPD</t>
  </si>
  <si>
    <t>IIRM-8390</t>
  </si>
  <si>
    <t>Policy Configuration: Data Retrofit for IIRM-8393 Story</t>
  </si>
  <si>
    <t>IIRM-8391</t>
  </si>
  <si>
    <t>Add claim status column in endorsement upload template to determine deletion refund logic</t>
  </si>
  <si>
    <t>IIRM-8392</t>
  </si>
  <si>
    <t>IIRM: Auto-Population: Unable to approve the activity when brokerage percentage is 0 for multiple insurers</t>
  </si>
  <si>
    <t>IIRM-8393</t>
  </si>
  <si>
    <t>Policy Config: Link Policy Components with the Relationship &amp; it's related flags</t>
  </si>
  <si>
    <t>IIRM-8394</t>
  </si>
  <si>
    <t>Reorder Policy Configuration Steps: Move Policy Relationships Before Policy Template</t>
  </si>
  <si>
    <t>IIRM-8393 — Policy Config: Link Policy Components with the Relationship &amp; it's related flags</t>
  </si>
  <si>
    <t>IIRM-8395</t>
  </si>
  <si>
    <t>Add Policy Number Fields to Policy Component Configuration: Provisional, IIRM &amp; Insurer (Optional)</t>
  </si>
  <si>
    <t>IIRM-8396</t>
  </si>
  <si>
    <t>Policy Template - Define Relationship Mappings for Individual Policy Components</t>
  </si>
  <si>
    <t>IIRM-8397</t>
  </si>
  <si>
    <t>Policy Template - Add Combined SI and Linked Claims Flags to Policy Components</t>
  </si>
  <si>
    <t>IIRM-8398</t>
  </si>
  <si>
    <t>Data retrofit for existing Policies</t>
  </si>
  <si>
    <t>IIRM-8399</t>
  </si>
  <si>
    <t xml:space="preserve">Mid Year Enrollment Allowed? -- Can we move this to Policy level or company level? --Need Kapil's confimation for Policy Component - </t>
  </si>
  <si>
    <t>IIRM-8400</t>
  </si>
  <si>
    <t>Sum Insured Visible to Employee? -- Can we move this to Policy level or company level? -- Need Kapil's confirmation</t>
  </si>
  <si>
    <t>IIRM-8401</t>
  </si>
  <si>
    <t>Display enrolment status in step-2 for IBP-configured policies with employee-only file inception</t>
  </si>
  <si>
    <t>IIRM-8402</t>
  </si>
  <si>
    <t>Add Relationship Group Selection Column to Inception/Endorsement Upload Files</t>
  </si>
  <si>
    <t>IIRM-8403</t>
  </si>
  <si>
    <t>Add "Re-Activate" action to Policy ACL category</t>
  </si>
  <si>
    <t>IIRM-8404</t>
  </si>
  <si>
    <t>Retain user-entered data in subsequent steps when policy components are modified</t>
  </si>
  <si>
    <t>IIRM-8403 — Add "Re-Activate" action to Policy ACL category</t>
  </si>
  <si>
    <t>IIRM-8405</t>
  </si>
  <si>
    <t>IIRM: ISG Manager Unable to Assign ISG Executive from Assignment Tab</t>
  </si>
  <si>
    <t>IIRM-8406</t>
  </si>
  <si>
    <t>Add configurable TPA ID assignment mode (per-member or per-family) in GMC policy configuration</t>
  </si>
  <si>
    <t>IIRM-8407</t>
  </si>
  <si>
    <t>Build file transformation utility for inbound/outbound client-specific format conversion</t>
  </si>
  <si>
    <t>IIRM-735 — SOW#8 - 11 Components / Modules</t>
  </si>
  <si>
    <t>IIRM-8408</t>
  </si>
  <si>
    <t>Show size for upload or download files</t>
  </si>
  <si>
    <t>IIRM-8409</t>
  </si>
  <si>
    <t>IIRM: Save Activity: Unable to save partial data in Final Negotiation activity when quote documents are uploaded</t>
  </si>
  <si>
    <t>IIRM-8410</t>
  </si>
  <si>
    <t>Need to show the completion timestamp in the UI</t>
  </si>
  <si>
    <t>IIRM-8386 — In any file upload section, show file processing completion timestamp</t>
  </si>
  <si>
    <t>IIRM-8411</t>
  </si>
  <si>
    <t>IIRM: Current Activity Not Displayed in Enter Quote Task After Version Save</t>
  </si>
  <si>
    <t>IIRM-8412</t>
  </si>
  <si>
    <t>IIRM: Save Activity: Unable to save or submit the Placement Slip activity due to not-null constraint</t>
  </si>
  <si>
    <t>IIRM-8413</t>
  </si>
  <si>
    <t>IIRM: Manager Able to Approve Opportunity While Assigned Tasks Are Still In Progress</t>
  </si>
  <si>
    <t>IIRM-8414</t>
  </si>
  <si>
    <t>IIRM: Cannot Associate Task with Activity ID During Task Creation at Premium Calculation Stage</t>
  </si>
  <si>
    <t>IIRM-8417</t>
  </si>
  <si>
    <t>IIRM: Task ID Displayed Instead of Task Name While Updating Completed Task</t>
  </si>
  <si>
    <t>IIRM-8418</t>
  </si>
  <si>
    <t>IIRM: Selected Assignee Name Displays as “--” in Task Table for Opportunity stages.</t>
  </si>
  <si>
    <t>IIRM-8419</t>
  </si>
  <si>
    <t>IIRM: Permission Issue When Task Assigned to Executive Role – Opportunity Details Not Visible</t>
  </si>
  <si>
    <t>IIRM-8420</t>
  </si>
  <si>
    <t>IIRM (iWork) to External SSO</t>
  </si>
  <si>
    <t>IIRM-8421</t>
  </si>
  <si>
    <t>iWork to Poppins - SSO Implementation</t>
  </si>
  <si>
    <t>IIRM-8420 — IIRM (iWork) to External SSO</t>
  </si>
  <si>
    <t>IIRM-8422</t>
  </si>
  <si>
    <t xml:space="preserve">IIRM: Edit button not visible for few users in Opportuntiy Task table </t>
  </si>
  <si>
    <t>IIRM-8423</t>
  </si>
  <si>
    <t>Inception/Endorsement: UI Enchancement: Step 3 remains disabled after document appears on refresh</t>
  </si>
  <si>
    <t>IIRM-8424</t>
  </si>
  <si>
    <t>TASK-BE-001: Logo Upload Backend API (FR-01)</t>
  </si>
  <si>
    <t>IIRM-8058 — IBP: Portal Preferences - Company (Admin Module)</t>
  </si>
  <si>
    <t>IIRM-8425</t>
  </si>
  <si>
    <t>TASK-FE-001: Logo Upload Frontend Interface (FR-01)</t>
  </si>
  <si>
    <t>IIRM-8426</t>
  </si>
  <si>
    <t>TASK-BE-002: Header and Tagline Text Configuration Backend (FR-02)</t>
  </si>
  <si>
    <t>IIRM-8427</t>
  </si>
  <si>
    <t>TASK-FE-002: Header and Tagline Text Frontend Interface (FR-02)</t>
  </si>
  <si>
    <t>IIRM-8428</t>
  </si>
  <si>
    <t>TASK-BE-003: Portal URL Configuration and Validation Backend (FR-03)</t>
  </si>
  <si>
    <t>IIRM-8429</t>
  </si>
  <si>
    <t>TASK-FE-003: Portal URL Configuration Frontend Interface (FR-03)</t>
  </si>
  <si>
    <t>IIRM-8430</t>
  </si>
  <si>
    <t>TASK-BE-004: Login Method Configuration Backend (FR-04)</t>
  </si>
  <si>
    <t>IIRM-8431</t>
  </si>
  <si>
    <t>TASK-FE-004: Login Method Configuration Frontend Interface (FR-04)</t>
  </si>
  <si>
    <t>IIRM-8432</t>
  </si>
  <si>
    <t>TASK-BE-005: 2FA Enforcement Backend Configuration (FR-05)</t>
  </si>
  <si>
    <t>IIRM-8433</t>
  </si>
  <si>
    <t>TASK-FE-005: 2FA Configuration Frontend Interface (FR-05)</t>
  </si>
  <si>
    <t>IIRM-8434</t>
  </si>
  <si>
    <t>TASK-BE-006: Login-Specific Notification Rules Backend (FR-06)</t>
  </si>
  <si>
    <t>IIRM-8435</t>
  </si>
  <si>
    <t>TASK-FE-006: Notification Rules Display Frontend (FR-06)</t>
  </si>
  <si>
    <t>IIRM-8436</t>
  </si>
  <si>
    <t>TASK-BE-007: Corporate Wellness Configuration Backend (FR-07)</t>
  </si>
  <si>
    <t>IIRM-8437</t>
  </si>
  <si>
    <t>TASK-FE-007: Corporate Wellness Configuration Frontend Interface (FR-07)</t>
  </si>
  <si>
    <t>IIRM-8438</t>
  </si>
  <si>
    <t>TASK-BE-008: Insurance Wellness Toggle Backend (FR-08)</t>
  </si>
  <si>
    <t>IIRM-8439</t>
  </si>
  <si>
    <t>TASK-FE-008: Insurance Wellness Toggle Frontend Interface (FR-08</t>
  </si>
  <si>
    <t>IIRM-8440</t>
  </si>
  <si>
    <t>TASK-BE-009: Insurance Wellness Type Selection Backend (FR-09)</t>
  </si>
  <si>
    <t>IIRM-8441</t>
  </si>
  <si>
    <t>TASK-FE-009: Insurance Wellness Type Selection Frontend Interface (FR-09)</t>
  </si>
  <si>
    <t>IIRM-8442</t>
  </si>
  <si>
    <t>TASK-BE-010: Wellness Benefit Sub-Configuration Backend (FR-10)</t>
  </si>
  <si>
    <t>IIRM-8443</t>
  </si>
  <si>
    <t>TASK-FE-010: Wellness Benefit Sub-Configuration Frontend Interface (FR-10)</t>
  </si>
  <si>
    <t>IIRM-8444</t>
  </si>
  <si>
    <t>TASK-BE-011: Policy Assignment Backend (FR-11)</t>
  </si>
  <si>
    <t>IIRM-8445</t>
  </si>
  <si>
    <t>TASK-FE-011: Policy Assignment Frontend Interface (FR-11)</t>
  </si>
  <si>
    <t>IIRM-8446</t>
  </si>
  <si>
    <t>TASK-BE-012: Enrollment Window Configuration Backend (FR-12)</t>
  </si>
  <si>
    <t>IIRM-8447</t>
  </si>
  <si>
    <t>TASK-FE-012: Enrollment Window Configuration Frontend Interface (FR-12)</t>
  </si>
  <si>
    <t>IIRM-8448</t>
  </si>
  <si>
    <t>TASK-BE-013: Financial Settings Configuration Backend (FR-13)</t>
  </si>
  <si>
    <t>IIRM-8449</t>
  </si>
  <si>
    <t>TASK-FE-013: Financial Settings Configuration Frontend Interface (FR-13)</t>
  </si>
  <si>
    <t>IIRM-8450</t>
  </si>
  <si>
    <t>TASK-BE-014: Family Eligibility Configuration Backend (FR-14)</t>
  </si>
  <si>
    <t>IIRM-8451</t>
  </si>
  <si>
    <t>TASK-FE-014: Family Eligibility Configuration Frontend Interface (FR-14)</t>
  </si>
  <si>
    <t>IIRM-8453</t>
  </si>
  <si>
    <t>IIRM: Save Activity: Error message displayed when saving Final Negotiation activity without providing any data</t>
  </si>
  <si>
    <t>IIRM-8455</t>
  </si>
  <si>
    <t>Unable to Find Insurer in Placementslip Page and also in Held Cover Note | Opp. No.1175179</t>
  </si>
  <si>
    <t>IIRM-8456</t>
  </si>
  <si>
    <t>Gross premium is not getting displayed for deletion endorsements in Track Endorsements section of Policy Details page.(521452,337820)</t>
  </si>
  <si>
    <t>IIRM-8457</t>
  </si>
  <si>
    <t>Policy and CD account wise view</t>
  </si>
  <si>
    <t>IIRM-8458</t>
  </si>
  <si>
    <t>GST value has been given in activity (not percentage as we dont have gst % field) however, GST % in policy details is 0</t>
  </si>
  <si>
    <t>IIRM-8459</t>
  </si>
  <si>
    <t>IIRM: The RFP Details Entry is blocking policy creation, as the system displays an ‘Employee ID not found’ error when the ‘Submit for Approval’ button is clicked.”</t>
  </si>
  <si>
    <t>IIRM-8460</t>
  </si>
  <si>
    <t>IBP: Inception/Endorsement: No-of employee count 0 not accepting while adding only dependent through endorsement.</t>
  </si>
  <si>
    <t>IIRM-8461</t>
  </si>
  <si>
    <t>IBP: Endorsement: Wrong dependent count showing on step 2 Relation when only adding dependent</t>
  </si>
  <si>
    <t>IIRM-8462</t>
  </si>
  <si>
    <t>File name convention - Inception/Endorsement-IIRM IS PREFIX IS MISSING/in endorsement the file is named as enrollmen</t>
  </si>
  <si>
    <t>IIRM-8463</t>
  </si>
  <si>
    <t>AI: Support chat based responses for the Opportunity and related entities</t>
  </si>
  <si>
    <t>IIRM-8464</t>
  </si>
  <si>
    <t>AI: Support chart based responses for Tasks and Meetings</t>
  </si>
  <si>
    <t>IIRM-8465</t>
  </si>
  <si>
    <t>AI: Support the AI Agents are able to consume context and provide responses</t>
  </si>
  <si>
    <t>IIRM-8466</t>
  </si>
  <si>
    <t>AI: Optimise cost and improve query performance</t>
  </si>
  <si>
    <t>IIRM-8467</t>
  </si>
  <si>
    <t>IIRM :SO: Srilanka user got incorrect TC Brokerage Percentage in Meeting for final Negotiation</t>
  </si>
  <si>
    <t>IIRM-8468</t>
  </si>
  <si>
    <t>IWORK: Manage Policies: View Configuration button closes Nudges on first click and opens configuration only on second click</t>
  </si>
  <si>
    <t>IIRM-8469</t>
  </si>
  <si>
    <t>IBP: Inception/ Endorsement: Unable to upload claims file</t>
  </si>
  <si>
    <t>IIRM-8470</t>
  </si>
  <si>
    <t>IWORK: Policy Dashboard shows Inception Completed even when TPA Upload step is not completed</t>
  </si>
  <si>
    <t>IIRM-8471</t>
  </si>
  <si>
    <t>CD balance: Wrong CD balance shown for deletion of employee</t>
  </si>
  <si>
    <t>IIRM-8472</t>
  </si>
  <si>
    <t>ContactMatrix: Verify Contact Matrix displays complete contact details for employee with single active policy</t>
  </si>
  <si>
    <t>IIRM-8473</t>
  </si>
  <si>
    <t>ContactMatrix: Verify Contact Matrix displays policy-wise grouped contact details for employee with multiple active policies</t>
  </si>
  <si>
    <t>IIRM-8474</t>
  </si>
  <si>
    <t>ContactMatrix: Verify Contact Matrix displays available contacts and shows "Unavailable" for missing TPA Coordinator without blocking page load</t>
  </si>
  <si>
    <t>IIRM-8475</t>
  </si>
  <si>
    <t>ContactMatrix: Verify Contact Matrix displays universal Customer Service number when TPA Branch cannot be resolved</t>
  </si>
  <si>
    <t>IIRM-8476</t>
  </si>
  <si>
    <t>ContactMatrix: Verify Contact Matrix displays appropriate error message and guidance when employee has no active policies</t>
  </si>
  <si>
    <t>IIRM-8477</t>
  </si>
  <si>
    <t>ContactMatrix: Verify user can copy phone numbers from Contact Matrix to clipboard</t>
  </si>
  <si>
    <t>IIRM-8478</t>
  </si>
  <si>
    <t>ContactMatrix: Verify click-to-call functionality initiates phone call on mobile device when user taps phone number</t>
  </si>
  <si>
    <t>IIRM-8479</t>
  </si>
  <si>
    <t>ContactMatrix: Verify Contact Matrix maintains correct state when using browser back/forward navigation</t>
  </si>
  <si>
    <t>IIRM-8480</t>
  </si>
  <si>
    <t>ContactMatrix: Verify system validates and handles invalid phone number formats in contact data</t>
  </si>
  <si>
    <t>IIRM-8481</t>
  </si>
  <si>
    <t>ContactMatrix: Verify system validates email format and mailto: links work correctly in Contact Matrix</t>
  </si>
  <si>
    <t>IIRM-8482</t>
  </si>
  <si>
    <t>ContactMatrix: Verify Contact Matrix correctly displays and handles special characters, Unicode, and symbols in contact details</t>
  </si>
  <si>
    <t>IIRM-8483</t>
  </si>
  <si>
    <t>ContactMatrix: Verify Contact Matrix performs acceptably when employee has 20+ active policies</t>
  </si>
  <si>
    <t>IIRM-8484</t>
  </si>
  <si>
    <t>ContactMatrix: Verify Contact Matrix data integrity when policy-TPA mapping is updated while user is viewing the page</t>
  </si>
  <si>
    <t>IIRM-8485</t>
  </si>
  <si>
    <t>ContactMatrix: Verify Contact Matrix layout adapts correctly to different mobile orientations and screen sizes</t>
  </si>
  <si>
    <t>IIRM-8486</t>
  </si>
  <si>
    <t>ContactMatrix: Verify Contact Matrix API and UI perform acceptably under load of 100 concurrent users</t>
  </si>
  <si>
    <t>IIRM-8487</t>
  </si>
  <si>
    <t>ContactMatrix: Verify employee cannot view Contact Matrix for policies belonging to other employees</t>
  </si>
  <si>
    <t>IIRM-8488</t>
  </si>
  <si>
    <t>ContactMatrix: Verify Contact Matrix displays appropriate error when accessed without network connection</t>
  </si>
  <si>
    <t>IIRM-8489</t>
  </si>
  <si>
    <t>ContactMatrix: Verify Contact Matrix provides feedback and loads gracefully under slow network conditions (3G/2G speeds)</t>
  </si>
  <si>
    <t>IIRM-8490</t>
  </si>
  <si>
    <t>ContactMatrix: Verify system prevents XSS injection through malicious TPA name in Contact Matrix display</t>
  </si>
  <si>
    <t>IIRM-8491</t>
  </si>
  <si>
    <t>ContactMatrix: Verify system prevents SQL injection attacks through contact phone number fields</t>
  </si>
  <si>
    <t>IIRM-8492</t>
  </si>
  <si>
    <t>ContactMatrix: Verify Contact Matrix correctly handles scenario when employee's policy is deactivated while viewing contacts</t>
  </si>
  <si>
    <t>IIRM-8493</t>
  </si>
  <si>
    <t>ContactMatrix: Verify Contact Matrix updates correctly when TPA Branch is reassigned for an employee's policy</t>
  </si>
  <si>
    <t>IIRM-8494</t>
  </si>
  <si>
    <t>ContactMatrix: Verify Contact Matrix correctly handles and displays contact data in multiple languages and scripts (Hindi, Arabic, Chinese)</t>
  </si>
  <si>
    <t>IIRM-8495</t>
  </si>
  <si>
    <t>ClaimStatus: Verify Claim Status column exists in endorsement upload template</t>
  </si>
  <si>
    <t>IIRM-8496</t>
  </si>
  <si>
    <t>ClaimStatus: Verify Claim Status column name</t>
  </si>
  <si>
    <t>IIRM-8497</t>
  </si>
  <si>
    <t>ClaimStatus: Verify Claim Status accepts only Yes/No</t>
  </si>
  <si>
    <t>IIRM-8498</t>
  </si>
  <si>
    <t>ClaimStatus: Verify Claim Status is mandatory</t>
  </si>
  <si>
    <t>IIRM-8499</t>
  </si>
  <si>
    <t>ClaimStatus: Verify Refund should be 0 when Claim Status = Yes</t>
  </si>
  <si>
    <t>IIRM-8500</t>
  </si>
  <si>
    <t>ClaimStatus: Verify Ignore proration when Claim Status = Yes</t>
  </si>
  <si>
    <t>IIRM-8501</t>
  </si>
  <si>
    <t>ClaimStatus: Verify Prorated refund when Claim Status = No</t>
  </si>
  <si>
    <t>IIRM-8502</t>
  </si>
  <si>
    <t>ClaimStatus: Verify Refund calculation based on effective date</t>
  </si>
  <si>
    <t>IIRM-8503</t>
  </si>
  <si>
    <t>ClaimStatus: Verify Mismatch: system has claims but upload says No</t>
  </si>
  <si>
    <t>IIRM-8504</t>
  </si>
  <si>
    <t>ClaimStatus: Verify Multiple employees with mixed Claim Status</t>
  </si>
  <si>
    <t>IIRM-8505</t>
  </si>
  <si>
    <t>ClaimStatus: Verify Upload without Claim Status column</t>
  </si>
  <si>
    <t>IIRM-8506</t>
  </si>
  <si>
    <t>ClaimStatus: Verify Lowercase yes/no handling</t>
  </si>
  <si>
    <t>IIRM-8507</t>
  </si>
  <si>
    <t>ClaimStatus: Verify Leading/trailing spaces in Claim Status</t>
  </si>
  <si>
    <t>IIRM-8508</t>
  </si>
  <si>
    <t>ClaimStatus:  Verify Large volume upload</t>
  </si>
  <si>
    <t>IIRM-8509</t>
  </si>
  <si>
    <t>ClaimStatus: Verify Claim Status stored in DB</t>
  </si>
  <si>
    <t>IIRM-8510</t>
  </si>
  <si>
    <t>ClaimStatus: Verify CD amount and premiums in CD account tab</t>
  </si>
  <si>
    <t>IIRM-8520</t>
  </si>
  <si>
    <t xml:space="preserve"> IIRM: Held Cover Note shows unexpected validation errors after Placement Slip Generation with multiple insurers</t>
  </si>
  <si>
    <t>IIRM-8521</t>
  </si>
  <si>
    <t>IIRM:SO: Sri Lanka Placement Slip Generation fails for Existing Account with “Numerical Field Overflow” error</t>
  </si>
  <si>
    <t>IIRM-8522</t>
  </si>
  <si>
    <t>IIRM: SO: Meeting for Final Negotiation: Basic Brokerage Amount do not auto-fill when only Basic Brokerage Percentage is entered</t>
  </si>
  <si>
    <t>IIRM-8523</t>
  </si>
  <si>
    <t>IIRM: SO:Sri Lanka users – TC Premium, Total Brokerage, and VAT (Percentage &amp; Amount) auto-population inconsistencies across policy workflow</t>
  </si>
  <si>
    <t>IIRM-8524</t>
  </si>
  <si>
    <t>IIRM: SO: ISG Approval: “Navigate” button on approval notification card is not clickable</t>
  </si>
  <si>
    <t>IIRM-8525</t>
  </si>
  <si>
    <t>RelationshipGroup: Valid Relationship Group Selection with No Dependents</t>
  </si>
  <si>
    <t>IIRM-8526</t>
  </si>
  <si>
    <t>RelationshipGroup: Valid Relationship Group Selection with Fewer Dependents</t>
  </si>
  <si>
    <t>IIRM-8527</t>
  </si>
  <si>
    <t>RelationshipGroup: Invalid Relationship Group Selection</t>
  </si>
  <si>
    <t>IIRM-8528</t>
  </si>
  <si>
    <t>RelationshipGroup: Dependents Exceed Selected Relationship Group Limit</t>
  </si>
  <si>
    <t>IIRM-8529</t>
  </si>
  <si>
    <t>RelationshipGroup: Valid SELF Relationship Group with No Dependents</t>
  </si>
  <si>
    <t>IIRM-8530</t>
  </si>
  <si>
    <t>RelationshipGroup: Valid SELF+SPOUSE with Spouse Dependent</t>
  </si>
  <si>
    <t>IIRM-8531</t>
  </si>
  <si>
    <t>RelationshipGroup: Missing Relationship Group Selection Column</t>
  </si>
  <si>
    <t>IIRM-8532</t>
  </si>
  <si>
    <t>RelationshipGroup: Empty Relationship Group Selection Value</t>
  </si>
  <si>
    <t>IIRM-8533</t>
  </si>
  <si>
    <t>RelationshipGroup: Endorsement - Upgrade Relationship Group (SELF to SELF+SPOUSE)</t>
  </si>
  <si>
    <t>IIRM-8534</t>
  </si>
  <si>
    <t>RelationshipGroup: Endorsement - Downgrade Relationship Group (SELF+4 DEPENDENTS to SELF+2 DEPENDENTS)</t>
  </si>
  <si>
    <t>IIRM-8535</t>
  </si>
  <si>
    <t>RelationshipGroup: Endorsement - Invalid Downgrade with Excess Dependents</t>
  </si>
  <si>
    <t>IIRM-8536</t>
  </si>
  <si>
    <t>RelationshipGroup: Endorsement - No Change in Relationship Group</t>
  </si>
  <si>
    <t>IIRM-8537</t>
  </si>
  <si>
    <t>RelationshipGroup: Bulk Upload with Mixed Valid and Invalid Relationship Groups</t>
  </si>
  <si>
    <t>IIRM-8538</t>
  </si>
  <si>
    <t>RelationshipGroup: Case Sensitivity of Relationship Group Selection Values</t>
  </si>
  <si>
    <t>IIRM-8539</t>
  </si>
  <si>
    <t>RelationshipGroup: FAMILY Relationship Group with Maximum Dependents</t>
  </si>
  <si>
    <t>IIRM-8540</t>
  </si>
  <si>
    <t>RelationshipGroup: Multiple Endorsements in Single File with Different Relationship Group Changes</t>
  </si>
  <si>
    <t>IIRM-8541</t>
  </si>
  <si>
    <t>RelationshipGroup: Special Characters in Relationship Group Selection</t>
  </si>
  <si>
    <t>IIRM-8542</t>
  </si>
  <si>
    <t>RelationshipGroup: Premium Calculation Verification for Each Relationship Group Slab</t>
  </si>
  <si>
    <t>IIRM-8543</t>
  </si>
  <si>
    <t>RelationshipGroup: Endorsement Date Impact on Premium Calculation</t>
  </si>
  <si>
    <t>IIRM-8544</t>
  </si>
  <si>
    <t>RelationshipGroup: Template Download Includes Relationship Group Selection Column</t>
  </si>
  <si>
    <t>IIRM-8545</t>
  </si>
  <si>
    <t>RelationshipGroup: Template Download for Endorsement Includes Relationship Group Selection</t>
  </si>
  <si>
    <t>IIRM-8546</t>
  </si>
  <si>
    <t>RelationshipGroup: Policy Without Relationship Group Configuration</t>
  </si>
  <si>
    <t>IIRM-8547</t>
  </si>
  <si>
    <t>RelationshipGroup: Numeric Values in Relationship Group Selection</t>
  </si>
  <si>
    <t>IIRM-8548</t>
  </si>
  <si>
    <t>RelationshipGroup: Concurrent Endorsements with Relationship Group Change</t>
  </si>
  <si>
    <t>IIRM-8549</t>
  </si>
  <si>
    <t>RelationshipGroup: Maximum Length of Relationship Group Selection Value</t>
  </si>
  <si>
    <t>IIRM-8550</t>
  </si>
  <si>
    <t>IIRM: SO: Meeting for Final Negotiation: Auto-calculations update slowly and show incorrect values before stabilizing</t>
  </si>
  <si>
    <t>IIRM-8551</t>
  </si>
  <si>
    <t xml:space="preserve"> IIRM: SO: Enter Quote: Save shows schema error “quoteDetails.totalGrossPremiumIncTax: property totalGrossPremiumIncTax should not exist”</t>
  </si>
  <si>
    <t>IIRM-8552</t>
  </si>
  <si>
    <t>IIRM: SO: Sri Lanka – Meeting For Final Negotiation User Meeting Triggers Error for selectFinalisedQuote.totalGrossPremiumIncTax</t>
  </si>
  <si>
    <t>IIRM-8553</t>
  </si>
  <si>
    <t>IIRM: SO: Meeting for Final Negotiation: Brokerage Amount persists after clearing percentage and inflates multi-insurer totals (defaults to 1% of Basic Premium)</t>
  </si>
  <si>
    <t>IIRM-8554</t>
  </si>
  <si>
    <t>IIRM: SO: India: Enter Quote: Terrorism Premium not displayed with Indian comma formatting</t>
  </si>
  <si>
    <t>IIRM-8555</t>
  </si>
  <si>
    <t xml:space="preserve">RelationshipGroup: Premiums not matching </t>
  </si>
  <si>
    <t>IIRM-8556</t>
  </si>
  <si>
    <t>iWork to iConnect - SSO Implementation</t>
  </si>
  <si>
    <t>IIRM-8557</t>
  </si>
  <si>
    <t>Inception/Endorsement: AddTemplate helper static block</t>
  </si>
  <si>
    <t>IIRM-8558</t>
  </si>
  <si>
    <t>Only first 10 values can be visible /populated for Insurer contact details</t>
  </si>
  <si>
    <t>IIRM-8559</t>
  </si>
  <si>
    <t>Error File Not Generated and Upload Status Not Updated When Claim Upload Fails</t>
  </si>
  <si>
    <t>IIRM-8560</t>
  </si>
  <si>
    <t>Missing Field-Level and Business Rule Validations in Claim Upload</t>
  </si>
  <si>
    <t>IIRM-8561</t>
  </si>
  <si>
    <t>Dependent Claims Incorrectly Allowed for GTL and GPA Policies</t>
  </si>
  <si>
    <t>IIRM-8562</t>
  </si>
  <si>
    <t>Unable to Reopen or Navigate to Policy Step After Uploading Records</t>
  </si>
  <si>
    <t>IIRM-8563</t>
  </si>
  <si>
    <t>Track Claim Table Not Updating Claim Amount and Status Based on Upload Status</t>
  </si>
  <si>
    <t>IIRM-8564</t>
  </si>
  <si>
    <t>Claim Upload Reprocessing and Status Validation Not Working; Processed Counts Incorrect</t>
  </si>
  <si>
    <t>IIRM-8565</t>
  </si>
  <si>
    <t>Claim Summary - Count not updating as expected</t>
  </si>
  <si>
    <t>IIRM-8566</t>
  </si>
  <si>
    <t>Claim Summary Counts Not Updating and Missing Settled Status</t>
  </si>
  <si>
    <t>IIRM-8567</t>
  </si>
  <si>
    <t>Iwork: Portal Configuration implementation (FE)</t>
  </si>
  <si>
    <t>IIRM-8568</t>
  </si>
  <si>
    <t>Iwork: Portal Configuration Implementation (BE)</t>
  </si>
  <si>
    <t>IIRM-8569</t>
  </si>
  <si>
    <t>IIRM: Basic Premium label is displayed incorrectly for Indian users</t>
  </si>
  <si>
    <t>IIRM-8570</t>
  </si>
  <si>
    <t>IIRM: Task: QCR: Able to complete the activity even though an open task is linked</t>
  </si>
  <si>
    <t>IIRM-8571</t>
  </si>
  <si>
    <t>IIRM: Placement Slip Submission Fails Due to Missing Brokerage Percentage</t>
  </si>
  <si>
    <t>End User Onboarding</t>
  </si>
  <si>
    <t>IIRM-8573</t>
  </si>
  <si>
    <t>IIRM: Failed to create employe Error-&gt; missing FROM-clause entry for table "t</t>
  </si>
  <si>
    <t>IIRM-8574</t>
  </si>
  <si>
    <t>TPA Upload: TPA Step glitch is visible during Inception/Endorsement Flow Even When TPA Upload Constraint Is Set to “No”</t>
  </si>
  <si>
    <t>IIRM-8575</t>
  </si>
  <si>
    <t>TPA: Completion process of inception popupnot showing , if TPA constriant set as no</t>
  </si>
  <si>
    <t>IIRM-8576</t>
  </si>
  <si>
    <t>Claim: Verify Employee addition and deletion for premium count</t>
  </si>
  <si>
    <t>IIRM-8577</t>
  </si>
  <si>
    <t>IIRM: Updated Insurer Section Not Populated After CD Details Change or Task Creation</t>
  </si>
  <si>
    <t>IIRM-8578</t>
  </si>
  <si>
    <t>Premium needs to be changed to 0 for certain employees as there are some open claims - Total 6 requests so far. Sent separate email for each such request. (DB Change)</t>
  </si>
  <si>
    <t>IIRM-8579</t>
  </si>
  <si>
    <t>Policy #337816 - Premium is not calculating correctly when deletion is there. There are 2 endorsements for this policy where premium is not correct. (Endorsement No 1461 and 1477)</t>
  </si>
  <si>
    <t>IIRM-8580</t>
  </si>
  <si>
    <t>While uploading the deletion file, receiving an error message stating that the employee with ID TR10396897 is not enrolled in the selected policy. (Policy no : 337814 and Endorsement id:1463)</t>
  </si>
  <si>
    <t>IIRM-8581</t>
  </si>
  <si>
    <t>Opty.: "Select Insurer" drop-down show List of insurers from "Enter Quote" after Enter quote activity</t>
  </si>
  <si>
    <t>IIRM-8582</t>
  </si>
  <si>
    <t>Opty.: Final Negotiation - Provide option to "Edit Quote"</t>
  </si>
  <si>
    <t>IIRM-8583</t>
  </si>
  <si>
    <t>Endorsement - Delete Emp - Show failed records in the Error File</t>
  </si>
  <si>
    <t>IIRM-8584</t>
  </si>
  <si>
    <t>RelationshipGroup: On endorsement document download sheet we need to show relationship Group column</t>
  </si>
  <si>
    <t>IIRM-8585</t>
  </si>
  <si>
    <t>RelationshipGroup: Verify Premium calculation for PerLife and PerFamily</t>
  </si>
  <si>
    <t>IIRM-8586</t>
  </si>
  <si>
    <t>Inception/Endorsement: Handling large files (Ex. 3L records)</t>
  </si>
  <si>
    <t>IIRM-8587</t>
  </si>
  <si>
    <t>IIRM | Bizdone: Lead Insurer Name and Location Not Displayed in Bizdone Output</t>
  </si>
  <si>
    <t>IIRM-8588</t>
  </si>
  <si>
    <t>IBPLogin: Verify BD Executive can enable Email + Password authentication with all configuration options</t>
  </si>
  <si>
    <t>IIRM-8589</t>
  </si>
  <si>
    <t>IBPLogin: Verify system prevents enabling Email + OTP when Email + Password is active</t>
  </si>
  <si>
    <t>IIRM-8590</t>
  </si>
  <si>
    <t>IBPLogin: Verify end user can set up password for first time using email verification link</t>
  </si>
  <si>
    <t>IIRM-8591</t>
  </si>
  <si>
    <t>IBPLogin: Verify successful login with correct email and password credentials</t>
  </si>
  <si>
    <t>IIRM-8592</t>
  </si>
  <si>
    <t>IBPLogin: Verify account lockout after configured failed login attempts</t>
  </si>
  <si>
    <t>IIRM-8593</t>
  </si>
  <si>
    <t>IBPLogin: Verify BD Executive can configure Email + OTP authentication with all OTP settings</t>
  </si>
  <si>
    <t>IIRM-8594</t>
  </si>
  <si>
    <t>IBPLogin: Verify successful passwordless login using email and OTP</t>
  </si>
  <si>
    <t>IIRM-8595</t>
  </si>
  <si>
    <t>IBPLogin: Verify system rejects expired OTP and shows appropriate error</t>
  </si>
  <si>
    <t>IIRM-8596</t>
  </si>
  <si>
    <t>IBPLogin: Verify configuration of Phone + Password authentication with all settings</t>
  </si>
  <si>
    <t>IIRM-8597</t>
  </si>
  <si>
    <t>IBPLogin: Verify successful login with phone number and password</t>
  </si>
  <si>
    <t>IIRM-8598</t>
  </si>
  <si>
    <t>IBPLogin: Verify configuration of Phone + OTP authentication</t>
  </si>
  <si>
    <t>IIRM-8599</t>
  </si>
  <si>
    <t>IBPLogin: Verify passwordless login using phone and SMS OTP</t>
  </si>
  <si>
    <t>IIRM-8600</t>
  </si>
  <si>
    <t>IBPLogin: Verify configuration of Google OAuth authentication</t>
  </si>
  <si>
    <t>IIRM-8601</t>
  </si>
  <si>
    <t>IBPLogin: Verify successful login using Google OAuth</t>
  </si>
  <si>
    <t>IIRM-8602</t>
  </si>
  <si>
    <t>IBPLogin: Verify system rejects Google account not linked to Employee Master</t>
  </si>
  <si>
    <t>IIRM-8603</t>
  </si>
  <si>
    <t>IBPLogin: Verify configuration of Username + Password authentication with username format selection</t>
  </si>
  <si>
    <t>IIRM-8604</t>
  </si>
  <si>
    <t>IBPLogin: Verify login with username (Year + Employee ID) and Employee ID as password</t>
  </si>
  <si>
    <t>IIRM-8605</t>
  </si>
  <si>
    <t>IBPLogin: Verify configuration of Universal URL Default Login (Employee ID + Date of Birth)</t>
  </si>
  <si>
    <t>IIRM-8606</t>
  </si>
  <si>
    <t>IBPLogin: Verify login using Employee ID and Date of Birth on universal URL</t>
  </si>
  <si>
    <t>IIRM-8607</t>
  </si>
  <si>
    <t>IBPLogin: Verify error handling for invalid Employee ID</t>
  </si>
  <si>
    <t>IIRM-8608</t>
  </si>
  <si>
    <t>IBPLogin: Verify error handling for incorrect Date of Birth</t>
  </si>
  <si>
    <t>IIRM-8609</t>
  </si>
  <si>
    <t>IBPLogin: Verify configuration of Email MFA as second factor after password</t>
  </si>
  <si>
    <t>IIRM-8610</t>
  </si>
  <si>
    <t>IBPLogin: Verify complete MFA flow after successful password authentication</t>
  </si>
  <si>
    <t>IIRM-8611</t>
  </si>
  <si>
    <t>IBPLogin: Verify password reset flow using email verification</t>
  </si>
  <si>
    <t>IIRM-8612</t>
  </si>
  <si>
    <t>IBPLogin: Verify automatic session timeout after configured inactivity period</t>
  </si>
  <si>
    <t>IIRM-8613</t>
  </si>
  <si>
    <t>IBPLogin: Verify system prevents malicious file uploads by validating file content, not just extension</t>
  </si>
  <si>
    <t>IIRM-8614</t>
  </si>
  <si>
    <t>Render buttons based on policy status in My Insurance page</t>
  </si>
  <si>
    <t>IIRM-8242 — Unified Enrollment Process for Employee Insurance Policies</t>
  </si>
  <si>
    <t>IIRM-8615</t>
  </si>
  <si>
    <t>List all policy choices in Multi-enrollment page with Title separation</t>
  </si>
  <si>
    <t>IIRM-8616</t>
  </si>
  <si>
    <t>Summary page with consolidated policy overview</t>
  </si>
  <si>
    <t>IIRM-8617</t>
  </si>
  <si>
    <t>Cross-Policy Dependent Management system</t>
  </si>
  <si>
    <t>IIRM-8618</t>
  </si>
  <si>
    <t>Unified enrollment submission workflow</t>
  </si>
  <si>
    <t>IIRM-8619</t>
  </si>
  <si>
    <t>Premium calculation aggregation across policies</t>
  </si>
  <si>
    <t>IIRM-8620</t>
  </si>
  <si>
    <t>Enrollment status tracking and progress indicators</t>
  </si>
  <si>
    <t>IIRM-8621</t>
  </si>
  <si>
    <t>Multi-policy validation and error handling</t>
  </si>
  <si>
    <t>IIRM-8622</t>
  </si>
  <si>
    <t>Navigation flow between enrollment steps</t>
  </si>
  <si>
    <t>IIRM-8623</t>
  </si>
  <si>
    <t>Enrollment confirmation and success handling</t>
  </si>
  <si>
    <t>IIRM-8624</t>
  </si>
  <si>
    <t>Premium is not getting calculated properly for relationship group</t>
  </si>
  <si>
    <t>IIRM-8625</t>
  </si>
  <si>
    <t>Implement Audit Logs for inception and endorsement</t>
  </si>
  <si>
    <t>IIRM-8586 — Inception/Endorsement: Handling large files (Ex. 3L records)</t>
  </si>
  <si>
    <t>IIRM-8626</t>
  </si>
  <si>
    <t>IIRM: New insurer added in Broking Slip for Opty 1179915.</t>
  </si>
  <si>
    <t>IIRM-8627</t>
  </si>
  <si>
    <t>Excel writing for the large record processing mainly for creating error files in inception flow</t>
  </si>
  <si>
    <t>IIRM-8628</t>
  </si>
  <si>
    <t>IIRM: Add 2-decimal precision and reverse auto-calculation for brokerage amount/percentage</t>
  </si>
  <si>
    <t>IIRM-8629</t>
  </si>
  <si>
    <t>Backend Changes: Add per-component policy identifiers, relationships, and flags table for new Policy Configurator</t>
  </si>
  <si>
    <t>IIRM-8630</t>
  </si>
  <si>
    <t>IIRM: Select Insurer should auto-prefill for single-insurer quote</t>
  </si>
  <si>
    <t>EXTERNAL REVIEW PENDING</t>
  </si>
  <si>
    <t>IIRM-8631</t>
  </si>
  <si>
    <t>IIRM: Select Insurer should auto-prefill for multiple-insurer quote</t>
  </si>
  <si>
    <t>IIRM-8632</t>
  </si>
  <si>
    <t>IIRM: Ensure data consistency from Final Negotiation stage till Policy Confirmation</t>
  </si>
  <si>
    <t>IIRM-8633</t>
  </si>
  <si>
    <t>IIRM: Verify auto-population of insurer and financial fields on Finalised Version Quote selection</t>
  </si>
  <si>
    <t>IIRM-8634</t>
  </si>
  <si>
    <t>IIRM: Verify updated Final Version details are carried forward to subsequent activities</t>
  </si>
  <si>
    <t>IIRM-8635</t>
  </si>
  <si>
    <t>Opty.: Enable decimals for all the amount fields in Opportunity flow</t>
  </si>
  <si>
    <t>IIRM-8636</t>
  </si>
  <si>
    <t>UnifiedEnrollment: Verify enrollment eligibility enforcement based on policy-specific enrollment windows</t>
  </si>
  <si>
    <t>IIRM-8637</t>
  </si>
  <si>
    <t>UnifiedEnrollment: Verify all eligible policies under a benefit category are auto-selected when enrollment is initiated at benefit level</t>
  </si>
  <si>
    <t>IIRM-8638</t>
  </si>
  <si>
    <t>UnifiedEnrollment: Verify that only eligible policies are pre-selected when benefit-level enrollment is initiated with mixed policy eligibility</t>
  </si>
  <si>
    <t>IIRM-8639</t>
  </si>
  <si>
    <t>UnifiedEnrollment: Verify that only the selected policy is included when enrollment is initiated at policy level</t>
  </si>
  <si>
    <t>IIRM-8640</t>
  </si>
  <si>
    <t>UnifiedEnrollment: Verify global "Enroll All" includes all eligible policies across Compulsory, Flex, and Optional benefit categories</t>
  </si>
  <si>
    <t>IIRM-8641</t>
  </si>
  <si>
    <t>UnifiedEnrollment: Verify "Enroll All" correctly filters and includes only eligible policies when eligibility is mixed across benefit categories</t>
  </si>
  <si>
    <t>IIRM-8642</t>
  </si>
  <si>
    <t>UnifiedEnrollment: Verify partial enrollment behavior when user completes enrollment for subset of policies and resumes later</t>
  </si>
  <si>
    <t>IIRM-8643</t>
  </si>
  <si>
    <t>UnifiedEnrollment: Verify behavior when enrollment window expires for incomplete policies during partial enrollment scenario</t>
  </si>
  <si>
    <t>IIRM-8644</t>
  </si>
  <si>
    <t>UnifiedEnrollment: Verify dependent section is dynamically shown for GMC policy and hidden for GTL and GPA during unified enrollment</t>
  </si>
  <si>
    <t>IIRM-8645</t>
  </si>
  <si>
    <t>UnifiedEnrollment: Verify accurate premium calculation and breakdown when enrolling in multiple policies with company and employee contributions</t>
  </si>
  <si>
    <t>IIRM-8646</t>
  </si>
  <si>
    <t>UnifiedEnrollment: Verify premium calculation handles edge cases including zero amounts, missing contribution config, and calculation errors</t>
  </si>
  <si>
    <t>IIRM-8647</t>
  </si>
  <si>
    <t>UnifiedEnrollment: Verify single confirmation action enrolls all selected policies and updates status atomically</t>
  </si>
  <si>
    <t>IIRM-8648</t>
  </si>
  <si>
    <t>UnifiedEnrollment: Verify system handles enrollment confirmation failure gracefully with proper rollback and user notification</t>
  </si>
  <si>
    <t>IIRM-8649</t>
  </si>
  <si>
    <t>UnifiedEnrollment: Verify post-enrollment details page displays all enrolled policies with complete coverage and premium information</t>
  </si>
  <si>
    <t>IIRM-8650</t>
  </si>
  <si>
    <t>UnifiedEnrollment: Verify user cannot re-enroll or edit a frozen policy outside the modification window</t>
  </si>
  <si>
    <t>IIRM-8651</t>
  </si>
  <si>
    <t>UnifiedEnrollment: Verify policy-specific validation rules are enforced during cross-category unified enrollment</t>
  </si>
  <si>
    <t>IIRM-8652</t>
  </si>
  <si>
    <t>UnifiedEnrollment: Verify user can initiate enrollment only once per enrollment cycle and cannot re-initiate after completion</t>
  </si>
  <si>
    <t>IIRM-8653</t>
  </si>
  <si>
    <t>UnifiedEnrollment: Verify policy-specific plan rules (e.g., GMC Silver/Gold/Platinum) are enforced and displayed correctly during enrollment</t>
  </si>
  <si>
    <t>IIRM-8654</t>
  </si>
  <si>
    <t>UnifiedEnrollment: Verify policies outside enrollment window are correctly displayed as disabled and cannot be included in enrollment flow</t>
  </si>
  <si>
    <t>IIRM-8655</t>
  </si>
  <si>
    <t>IIRM: Ready for QA Bugs verifications and regression testing</t>
  </si>
  <si>
    <t>IIRM-8656</t>
  </si>
  <si>
    <t>IIRM: Enter Quote changes Test cases authering</t>
  </si>
  <si>
    <t>IIRM-8657</t>
  </si>
  <si>
    <t>IIRM: SO/RO/Policy sync verification and retesting</t>
  </si>
  <si>
    <t>IIRM-8658</t>
  </si>
  <si>
    <t>IBP: Login: Reset password with mobile number not working</t>
  </si>
  <si>
    <t>IIRM-8659</t>
  </si>
  <si>
    <t>IBP:Login: Resend count and change phone number not available in login with phone number screen</t>
  </si>
  <si>
    <t>IIRM-8660</t>
  </si>
  <si>
    <t xml:space="preserve">IBP: Login: Email with password login not available </t>
  </si>
  <si>
    <t>IIRM-8661</t>
  </si>
  <si>
    <t>Update the Excel format</t>
  </si>
  <si>
    <t>IIRM-8372 — QCR Comparison Excel download template for Lanka</t>
  </si>
  <si>
    <t>IIRM-8662</t>
  </si>
  <si>
    <t>Update Address based on the Org.</t>
  </si>
  <si>
    <t>IIRM-8663</t>
  </si>
  <si>
    <t>PolicyConfig: Typo in Policy Number Label – “Provision Policy Number” instead of “Provisional Policy Number”</t>
  </si>
  <si>
    <t>IIRM-8664</t>
  </si>
  <si>
    <t>PolicyConfig: Incorrect Relationship Options Displayed for Parent Policy Component</t>
  </si>
  <si>
    <t>IIRM-8665</t>
  </si>
  <si>
    <t>IBP: Login: Get OTP instead text missing as per design for login with mobilenumber+password</t>
  </si>
  <si>
    <t>IIRM-8666</t>
  </si>
  <si>
    <t>IBP: Login: Reset password screen for mobile number not showing as per figma</t>
  </si>
  <si>
    <t>IIRM-8667</t>
  </si>
  <si>
    <t>Allow 2 decimals in all the amount fields in Opty. activities</t>
  </si>
  <si>
    <t>IIRM-8668</t>
  </si>
  <si>
    <t>PolicyConfig: Policy Choices data is not fetched when navigating between policy steps using breadcrumb</t>
  </si>
  <si>
    <t>IIRM-8669</t>
  </si>
  <si>
    <t>Add “Add New Quotation” button in Final Negotiation Activity</t>
  </si>
  <si>
    <t>IIRM-8670</t>
  </si>
  <si>
    <t>Kenya localization for company fields</t>
  </si>
  <si>
    <t>IIRM-8671</t>
  </si>
  <si>
    <t>Localisation: Kenya - Fields</t>
  </si>
  <si>
    <t>IIRM-8672</t>
  </si>
  <si>
    <t>Kenya (Placement Slip and Broking Slip) changes</t>
  </si>
  <si>
    <t>IIRM-8673</t>
  </si>
  <si>
    <t>Final Secure SSO Flow: iWork → iConnect → Supabase</t>
  </si>
  <si>
    <t>IIRM-8674</t>
  </si>
  <si>
    <t>UnifiedEnrollment: Verify Single Policy Enrolment Flow</t>
  </si>
  <si>
    <t>IIRM-8675</t>
  </si>
  <si>
    <t>UnifiedEnrollment: Verify Single Policy Enrolment Does Not Affect Other Policies</t>
  </si>
  <si>
    <t>IIRM-8676</t>
  </si>
  <si>
    <t>UnifiedEnrollment: Verify Single Policy Edit After Enrolment</t>
  </si>
  <si>
    <t>IIRM-8677</t>
  </si>
  <si>
    <t>UnifiedEnrollment: Verify Single Policy Enrolment Within Cutoff Period</t>
  </si>
  <si>
    <t>IIRM-8678</t>
  </si>
  <si>
    <t>UnifiedEnrollment: Verify Single Policy Enrolment After Cutoff with Auto-Lock Disabled</t>
  </si>
  <si>
    <t>IIRM-8679</t>
  </si>
  <si>
    <t>UnifiedEnrollment: Verify "Enroll All" CTA Displays When No Enrolment Started</t>
  </si>
  <si>
    <t>IIRM-8680</t>
  </si>
  <si>
    <t>UnifiedEnrollment: Verify Unified Enrolment Screen Initialization</t>
  </si>
  <si>
    <t>IIRM-8681</t>
  </si>
  <si>
    <t>UnifiedEnrollment: Verify Multiple Policy Selection in Unified Enrolment</t>
  </si>
  <si>
    <t>IIRM-8682</t>
  </si>
  <si>
    <t>UnifiedEnrollment: Verify Default Selections for Collapsed Policies</t>
  </si>
  <si>
    <t>IIRM-8683</t>
  </si>
  <si>
    <t>UnifiedEnrollment: Verify Ineligible Policy Display in Unified Enrolment</t>
  </si>
  <si>
    <t>IIRM-8684</t>
  </si>
  <si>
    <t>UnifiedEnrollment: Verify Unified Enrolment with All Policies Ineligible</t>
  </si>
  <si>
    <t>IIRM-8685</t>
  </si>
  <si>
    <t>UnifiedEnrollment: Verify Unified Enrolment for GMC Policies Only</t>
  </si>
  <si>
    <t>IIRM-8686</t>
  </si>
  <si>
    <t>UnifiedEnrollment: Verify Unified Enrolment with Mixed Policy Types</t>
  </si>
  <si>
    <t>IIRM-8687</t>
  </si>
  <si>
    <t>UnifiedEnrollment: Verify Policy Before Enrolment Start Date</t>
  </si>
  <si>
    <t>IIRM-8688</t>
  </si>
  <si>
    <t>UnifiedEnrollment: Verify Policy After Enrolment End Date</t>
  </si>
  <si>
    <t>IIRM-8689</t>
  </si>
  <si>
    <t>UnifiedEnrollment: Verify Policy Within Enrolment Period - Not Enrolled</t>
  </si>
  <si>
    <t>IIRM-8690</t>
  </si>
  <si>
    <t>UnifiedEnrollment: Verify Policy Within Enrolment Period - Already Enrolled</t>
  </si>
  <si>
    <t>IIRM-8691</t>
  </si>
  <si>
    <t>UnifiedEnrollment: Verify Auto-Lock After Cutoff Date</t>
  </si>
  <si>
    <t>IIRM-8692</t>
  </si>
  <si>
    <t>UnifiedEnrollment: Verify Auto-Lock After Cutoff - Already Enrolled</t>
  </si>
  <si>
    <t>IIRM-8693</t>
  </si>
  <si>
    <t>UnifiedEnrollment: Verify Lock After Confirmation</t>
  </si>
  <si>
    <t>IIRM-8694</t>
  </si>
  <si>
    <t>UnifiedEnrollment: Verify Mid-Year Enrolment Allowed</t>
  </si>
  <si>
    <t>IIRM-8695</t>
  </si>
  <si>
    <t>UnifiedEnrollment: Verify Mid-Year Enrolment Disabled</t>
  </si>
  <si>
    <t>IIRM-8696</t>
  </si>
  <si>
    <t>UnifiedEnrollment: Verify Multiple Eligibility Criteria Evaluation</t>
  </si>
  <si>
    <t>IIRM-8697</t>
  </si>
  <si>
    <t>UnifiedEnrollment: Verify Subsequent Eligibility Changes - Policy Becomes Eligible</t>
  </si>
  <si>
    <t>IIRM-8698</t>
  </si>
  <si>
    <t>UnifiedEnrollment: Verify Subsequent Eligibility Changes - Policy Becomes Locked</t>
  </si>
  <si>
    <t>IIRM-8699</t>
  </si>
  <si>
    <t>UnifiedEnrollment: Verify "Enroll All" CTA - Initial State</t>
  </si>
  <si>
    <t>IIRM-8700</t>
  </si>
  <si>
    <t>UnifiedEnrollment: Verify "Continue Enrolment" CTA After Save</t>
  </si>
  <si>
    <t>IIRM-8701</t>
  </si>
  <si>
    <t>UnifiedEnrollment: Verify "View Past Enrolment Summaries" CTA</t>
  </si>
  <si>
    <t>IIRM-8702</t>
  </si>
  <si>
    <t>UnifiedEnrollment: Verify "Edit Enrolment" CTA</t>
  </si>
  <si>
    <t>IIRM-8703</t>
  </si>
  <si>
    <t>UnifiedEnrollment: Verify Disabled CTA - No Action Available</t>
  </si>
  <si>
    <t>IIRM-8704</t>
  </si>
  <si>
    <t>UnifiedEnrollment: Verify CTA Transition - Enroll All to Continue</t>
  </si>
  <si>
    <t>IIRM-8705</t>
  </si>
  <si>
    <t>UnifiedEnrollment: Verify CTA After Full Enrolment Completion</t>
  </si>
  <si>
    <t>IIRM-8706</t>
  </si>
  <si>
    <t>UnifiedEnrollment: Verify "Show Summary" for Enrolled &amp; Editable Policy</t>
  </si>
  <si>
    <t>IIRM-8707</t>
  </si>
  <si>
    <t>UnifiedEnrollment: Verify "Show Summary" for Enrolled &amp; Non-Editable Policy</t>
  </si>
  <si>
    <t>IIRM-8708</t>
  </si>
  <si>
    <t>UnifiedEnrollment: Verify "Enroll Now" for Eligible Policy</t>
  </si>
  <si>
    <t>IIRM-8709</t>
  </si>
  <si>
    <t>UnifiedEnrollment: Verify "Notify" CTA for Future Policy</t>
  </si>
  <si>
    <t>IIRM-8710</t>
  </si>
  <si>
    <t>UnifiedEnrollment: Verify CTA for Future Policy Without Email</t>
  </si>
  <si>
    <t>IIRM-8711</t>
  </si>
  <si>
    <t>UnifiedEnrollment: Verify Lock Icon Display for Locked Policy</t>
  </si>
  <si>
    <t>IIRM-8712</t>
  </si>
  <si>
    <t>UnifiedEnrollment: Verify Edit with No Lock Configuration</t>
  </si>
  <si>
    <t>IIRM-8713</t>
  </si>
  <si>
    <t>UnifiedEnrollment: Verify Edit Blocked by Lock After Confirmation</t>
  </si>
  <si>
    <t>IIRM-8714</t>
  </si>
  <si>
    <t>UnifiedEnrollment: Verify Edit Blocked by Cutoff Date Lock</t>
  </si>
  <si>
    <t>IIRM-8715</t>
  </si>
  <si>
    <t>UnifiedEnrollment: Verify Edit Allowed Before Cutoff</t>
  </si>
  <si>
    <t>IIRM-8716</t>
  </si>
  <si>
    <t>UnifiedEnrollment: Verify Lock Precedence Order</t>
  </si>
  <si>
    <t>IIRM-8717</t>
  </si>
  <si>
    <t>UnifiedEnrollment: Verify Unified Summary View-Only Mode</t>
  </si>
  <si>
    <t>IIRM-8718</t>
  </si>
  <si>
    <t>UnifiedEnrollment: Verify Aggregated Calculations Display</t>
  </si>
  <si>
    <t>IIRM-8719</t>
  </si>
  <si>
    <t>UnifiedEnrollment: Verify Policy-Specific Information Display</t>
  </si>
  <si>
    <t>IIRM-8720</t>
  </si>
  <si>
    <t>UnifiedEnrollment: Verify Past Enrolment Summaries Access</t>
  </si>
  <si>
    <t>IIRM-8721</t>
  </si>
  <si>
    <t>UnifiedEnrollment: Verify Sum Insured Visibility Enabled</t>
  </si>
  <si>
    <t>IIRM-8722</t>
  </si>
  <si>
    <t>UnifiedEnrollment: Verify Sum Insured Visibility Disabled</t>
  </si>
  <si>
    <t>IIRM-8723</t>
  </si>
  <si>
    <t>UnifiedEnrollment: Verify Employer Contribution Visibility Enabled</t>
  </si>
  <si>
    <t>IIRM-8724</t>
  </si>
  <si>
    <t>UnifiedEnrollment: Verify Employer Contribution Visibility Disabled</t>
  </si>
  <si>
    <t>IIRM-8725</t>
  </si>
  <si>
    <t>UnifiedEnrollment: Verify Mixed Employer Contribution Visibility</t>
  </si>
  <si>
    <t>IIRM-8726</t>
  </si>
  <si>
    <t>UnifiedEnrollment: Verify Disclaimer Requirement Enabled</t>
  </si>
  <si>
    <t>IIRM-8727</t>
  </si>
  <si>
    <t>UnifiedEnrollment: Verify Disclaimer Requirement Disabled</t>
  </si>
  <si>
    <t>IIRM-8728</t>
  </si>
  <si>
    <t>UnifiedEnrollment: Verify Auto-Enrolment with Default Selection</t>
  </si>
  <si>
    <t>IIRM-8729</t>
  </si>
  <si>
    <t>UnifiedEnrollment: Verify Landing Screen Initialization</t>
  </si>
  <si>
    <t>IIRM-8730</t>
  </si>
  <si>
    <t>UnifiedEnrollment: Verify Plan/Option Default Selection</t>
  </si>
  <si>
    <t>IIRM-8731</t>
  </si>
  <si>
    <t>UnifiedEnrollment: Verify Plan Expansion and Collapse</t>
  </si>
  <si>
    <t>IIRM-8732</t>
  </si>
  <si>
    <t>UnifiedEnrollment: Verify Dynamic Premium Summary Updates</t>
  </si>
  <si>
    <t>IIRM-8733</t>
  </si>
  <si>
    <t>UnifiedEnrollment: Verify Policy Information Visibility Per Configuration</t>
  </si>
  <si>
    <t>IIRM-8734</t>
  </si>
  <si>
    <t>UnifiedEnrollment: Verify Save and Exit Functionality</t>
  </si>
  <si>
    <t>IIRM-8735</t>
  </si>
  <si>
    <t>UnifiedEnrollment: Verify Resume via Continue from Unified Enrolment</t>
  </si>
  <si>
    <t>IIRM-8736</t>
  </si>
  <si>
    <t>UnifiedEnrollment: Verify Resume via Continue from Single Policy</t>
  </si>
  <si>
    <t>IIRM-8737</t>
  </si>
  <si>
    <t>UnifiedEnrollment: Verify Navigation to Summary Screen</t>
  </si>
  <si>
    <t>IIRM-8738</t>
  </si>
  <si>
    <t>UnifiedEnrollment: Verify Back Navigation from Summary</t>
  </si>
  <si>
    <t>IIRM-8739</t>
  </si>
  <si>
    <t>UnifiedEnrollment: Verify Confirmation and Submission</t>
  </si>
  <si>
    <t>IIRM-8740</t>
  </si>
  <si>
    <t>UnifiedEnrollment: Verify Submission Blocked Without Disclaimer Acceptance</t>
  </si>
  <si>
    <t>IIRM-8741</t>
  </si>
  <si>
    <t>UnifiedEnrollment: Verify Post-Confirmation Lock - Immediate Lock Enabled</t>
  </si>
  <si>
    <t>IIRM-8742</t>
  </si>
  <si>
    <t>UnifiedEnrollment: Verify Post-Confirmation Lock - Cutoff-Based Lock</t>
  </si>
  <si>
    <t>IIRM-8743</t>
  </si>
  <si>
    <t>UnifiedEnrollment: Verify Unified Enrolment with Partial Eligibility</t>
  </si>
  <si>
    <t>IIRM-8744</t>
  </si>
  <si>
    <t>UnifiedEnrollment: Verify Independent Dependent Lists per GMC Policy</t>
  </si>
  <si>
    <t>IIRM-8745</t>
  </si>
  <si>
    <t>UnifiedEnrollment: Verify Dependent Eligibility Validation per Policy</t>
  </si>
  <si>
    <t>IIRM-8746</t>
  </si>
  <si>
    <t>UnifiedEnrollment: Verify Separate Submission Records per GMC Policy</t>
  </si>
  <si>
    <t>IIRM-8747</t>
  </si>
  <si>
    <t>UnifiedEnrollment: Verify GMC and Non-GMC Policy Mix</t>
  </si>
  <si>
    <t>IIRM-8748</t>
  </si>
  <si>
    <t>UnifiedEnrollment: Verify Save Draft in Unified Enrolment</t>
  </si>
  <si>
    <t>IIRM-8749</t>
  </si>
  <si>
    <t>UnifiedEnrollment: Verify Resume from Saved Draft - Unified Flow</t>
  </si>
  <si>
    <t>IIRM-8750</t>
  </si>
  <si>
    <t>UnifiedEnrollment: Verify Resume from Saved Draft - Single Policy Flow</t>
  </si>
  <si>
    <t>IIRM-8751</t>
  </si>
  <si>
    <t>UnifiedEnrollment: Verify Cross-Device Draft Consistency</t>
  </si>
  <si>
    <t>IIRM-8752</t>
  </si>
  <si>
    <t>UnifiedEnrollment: Verify Multiple Save and Resume Cycles</t>
  </si>
  <si>
    <t>IIRM-8753</t>
  </si>
  <si>
    <t>UnifiedEnrollment: Verify Draft Preservation During Session Expiry</t>
  </si>
  <si>
    <t>IIRM-8754</t>
  </si>
  <si>
    <t>UnifiedEnrollment: Verify Consolidated Disclaimer Display</t>
  </si>
  <si>
    <t>IIRM-8755</t>
  </si>
  <si>
    <t>UnifiedEnrollment: Verify Disclaimer Acceptance Requirement</t>
  </si>
  <si>
    <t>IIRM-8756</t>
  </si>
  <si>
    <t>UnifiedEnrollment: Verify Mixed Disclaimer Configuration</t>
  </si>
  <si>
    <t>IIRM-8757</t>
  </si>
  <si>
    <t>UnifiedEnrollment: Verify Disclaimer Content and Mapping</t>
  </si>
  <si>
    <t>IIRM-8758</t>
  </si>
  <si>
    <t>UnifiedEnrollment: Verify Save Failure Handling</t>
  </si>
  <si>
    <t>IIRM-8759</t>
  </si>
  <si>
    <t>UnifiedEnrollment: Verify Submission Failure Handling</t>
  </si>
  <si>
    <t>IIRM-8760</t>
  </si>
  <si>
    <t>UnifiedEnrollment: Verify Session Expiry Handling</t>
  </si>
  <si>
    <t>IIRM-8761</t>
  </si>
  <si>
    <t>UnifiedEnrollment: Verify Concurrent Session Handling</t>
  </si>
  <si>
    <t>IIRM-8762</t>
  </si>
  <si>
    <t>UnifiedEnrollment: Verify Data Consistency During System Failures</t>
  </si>
  <si>
    <t>IIRM-8763</t>
  </si>
  <si>
    <t>UnifiedEnrollment: Verify Real-Time Premium Widget Updates</t>
  </si>
  <si>
    <t>IIRM-8764</t>
  </si>
  <si>
    <t>UnifiedEnrollment: Verify Aggregate Premium Calculations</t>
  </si>
  <si>
    <t>IIRM-8765</t>
  </si>
  <si>
    <t>UnifiedEnrollment: Verify Premium Calculation with Hidden Employer Contribution</t>
  </si>
  <si>
    <t>IIRM-8766</t>
  </si>
  <si>
    <t>UnifiedEnrollment: Verify Premium Breakdown by Policy</t>
  </si>
  <si>
    <t>IIRM-8767</t>
  </si>
  <si>
    <t>UnifiedEnrollment: Verify Premium Calculation Exclusions</t>
  </si>
  <si>
    <t>IIRM-8768</t>
  </si>
  <si>
    <t>UnifiedEnrollment: Verify Premium Calculation with Dependents</t>
  </si>
  <si>
    <t>IIRM-8769</t>
  </si>
  <si>
    <t>Add GST fields in enter quote for Indian user</t>
  </si>
  <si>
    <t>IIRM-8770</t>
  </si>
  <si>
    <t>IBP: Access denied while login with Email+OTP</t>
  </si>
  <si>
    <t>IIRM-8771</t>
  </si>
  <si>
    <t>IIRM: Dev: Approval notification card appears in "Overdue &amp; Today" instead of "Next 7 Days" after BD activities completion</t>
  </si>
  <si>
    <t>IIRM-8772</t>
  </si>
  <si>
    <t>IBp: UnifiedEnrollment: Policy enroll card not showing for with/without choices employees</t>
  </si>
  <si>
    <t>IIRM-8773</t>
  </si>
  <si>
    <t>IBp: UnifiedEnrollment: No policies found should not be shown on enrollment window</t>
  </si>
  <si>
    <t>IIRM-8774</t>
  </si>
  <si>
    <t>IBP: UnifiedEnrollment: On clicking cancel , already enrolled card is getting change to not enrolled</t>
  </si>
  <si>
    <t>IIRM-8775</t>
  </si>
  <si>
    <t>PROD Request: Update Employee Premium to '0' (Claim = Yes) in Endorsement</t>
  </si>
  <si>
    <t>IIRM-8776</t>
  </si>
  <si>
    <t>PROD Request_7-Jan-2026:</t>
  </si>
  <si>
    <t>IIRM-8777</t>
  </si>
  <si>
    <t>IIRM: SO – Terrorism Brokerage Percentage Does Not Allow Two Decimal Digits in Final Negotiation</t>
  </si>
  <si>
    <t>IIRM-8778</t>
  </si>
  <si>
    <t>PortalPreference: Upload Logo - Valid Format (PNG)</t>
  </si>
  <si>
    <t>IIRM-8779</t>
  </si>
  <si>
    <t>PortalPreference: Upload Logo - Valid Format (JPG)</t>
  </si>
  <si>
    <t>IIRM-8780</t>
  </si>
  <si>
    <t>PortalPreference: Upload Logo - Valid Format (SVG)</t>
  </si>
  <si>
    <t>IIRM-8781</t>
  </si>
  <si>
    <t>PortalPreference: Upload Logo - Invalid Format</t>
  </si>
  <si>
    <t>IIRM-8782</t>
  </si>
  <si>
    <t>Upload Logo - Exceeds Size Limit</t>
  </si>
  <si>
    <t>IIRM-8783</t>
  </si>
  <si>
    <t>Logo Display in Login Page</t>
  </si>
  <si>
    <t>IIRM-8784</t>
  </si>
  <si>
    <t>Logo Display in Portal Header</t>
  </si>
  <si>
    <t>IIRM-8785</t>
  </si>
  <si>
    <t>Header Text - Within Character Limit</t>
  </si>
  <si>
    <t>IIRM-8786</t>
  </si>
  <si>
    <t>Header Text - At Maximum Character Limit</t>
  </si>
  <si>
    <t>IIRM-8787</t>
  </si>
  <si>
    <t>Header Text - Exceeds Character Limit</t>
  </si>
  <si>
    <t>IIRM-8788</t>
  </si>
  <si>
    <t>Tagline Text - Within Character Limit</t>
  </si>
  <si>
    <t>IIRM-8789</t>
  </si>
  <si>
    <t>Tagline Text - Exceeds Character Limit</t>
  </si>
  <si>
    <t>IIRM-8790</t>
  </si>
  <si>
    <t>Character Counter Display - Real-Time Update</t>
  </si>
  <si>
    <t>IIRM-8791</t>
  </si>
  <si>
    <t>No Color Configuration Option Available</t>
  </si>
  <si>
    <t>IIRM-8792</t>
  </si>
  <si>
    <t>Replace Existing Logo</t>
  </si>
  <si>
    <t>IIRM-8793</t>
  </si>
  <si>
    <t>Portal URL Slug - Valid Input</t>
  </si>
  <si>
    <t>IIRM-8794</t>
  </si>
  <si>
    <t>Portal URL Preview - Real-Time Display</t>
  </si>
  <si>
    <t>IIRM-8795</t>
  </si>
  <si>
    <t>Portal URL Preview - Labels Display</t>
  </si>
  <si>
    <t>IIRM-8796</t>
  </si>
  <si>
    <t>Portal URL - Read-Only Preview</t>
  </si>
  <si>
    <t>IIRM-8797</t>
  </si>
  <si>
    <t>Portal URL Validation - Empty Field</t>
  </si>
  <si>
    <t>IIRM-8798</t>
  </si>
  <si>
    <t>Portal URL Validation - Uppercase Letters</t>
  </si>
  <si>
    <t>IIRM-8799</t>
  </si>
  <si>
    <t>Portal URL Validation - Special Characters</t>
  </si>
  <si>
    <t>IIRM-8800</t>
  </si>
  <si>
    <t>Portal URL Validation - Spaces</t>
  </si>
  <si>
    <t>IIRM-8801</t>
  </si>
  <si>
    <t>Portal URL Validation - Starts with Hyphen</t>
  </si>
  <si>
    <t>IIRM-8802</t>
  </si>
  <si>
    <t>Portal URL Validation - Ends with Hyphen</t>
  </si>
  <si>
    <t>IIRM-8803</t>
  </si>
  <si>
    <t>Portal URL - Valid with Numbers</t>
  </si>
  <si>
    <t>IIRM-8804</t>
  </si>
  <si>
    <t>Portal URL - Valid with Hyphens</t>
  </si>
  <si>
    <t>IIRM-8805</t>
  </si>
  <si>
    <t>Enable Email + Password Login</t>
  </si>
  <si>
    <t>IIRM-8806</t>
  </si>
  <si>
    <t>Enable Mobile + OTP Login</t>
  </si>
  <si>
    <t>IIRM-8807</t>
  </si>
  <si>
    <t>Enable Employee ID + Year of Birth Login</t>
  </si>
  <si>
    <t>IIRM-8808</t>
  </si>
  <si>
    <t>Enable Multiple Login Methods</t>
  </si>
  <si>
    <t>IIRM-8809</t>
  </si>
  <si>
    <t>2FA Configuration - Email Channel</t>
  </si>
  <si>
    <t>IIRM-8810</t>
  </si>
  <si>
    <t>2FA Configuration - Mobile Channel</t>
  </si>
  <si>
    <t>IIRM-8811</t>
  </si>
  <si>
    <t>2FA Configuration - Both Channels</t>
  </si>
  <si>
    <t>IIRM-8812</t>
  </si>
  <si>
    <t>2FA Not Configured - Publish Blocked</t>
  </si>
  <si>
    <t>IIRM-8813</t>
  </si>
  <si>
    <t>Notification Rule - Email + Password Login</t>
  </si>
  <si>
    <t>IIRM-8814</t>
  </si>
  <si>
    <t>Notification Rule - Mobile + OTP Login</t>
  </si>
  <si>
    <t>IIRM-8815</t>
  </si>
  <si>
    <t>Notification Rule - Employee ID + YOB Login</t>
  </si>
  <si>
    <t>IIRM-8816</t>
  </si>
  <si>
    <t>Notification Rules - Non-Editable</t>
  </si>
  <si>
    <t>IIRM-8817</t>
  </si>
  <si>
    <t>Employee ID + YOB - Both Fields Required</t>
  </si>
  <si>
    <t>IIRM-8818</t>
  </si>
  <si>
    <t>Disable All Login Methods</t>
  </si>
  <si>
    <t>IIRM-8819</t>
  </si>
  <si>
    <t>Switch Login Method After Configuration</t>
  </si>
  <si>
    <t>IIRM-8820</t>
  </si>
  <si>
    <t>2FA Section Visibility - Non-Password Login</t>
  </si>
  <si>
    <t>IIRM-8821</t>
  </si>
  <si>
    <t>Login Method Display on Portal</t>
  </si>
  <si>
    <t>IIRM-8822</t>
  </si>
  <si>
    <t>Multiple 2FA Channels - User Choice</t>
  </si>
  <si>
    <t>IIRM-8823</t>
  </si>
  <si>
    <t>Corporate Wellness - Always Enabled</t>
  </si>
  <si>
    <t>IIRM-8824</t>
  </si>
  <si>
    <t>Corporate Wellness - Benefit Configuration Required</t>
  </si>
  <si>
    <t>IIRM-8825</t>
  </si>
  <si>
    <t>Insurance Wellness Toggle - Allow</t>
  </si>
  <si>
    <t>IIRM-8826</t>
  </si>
  <si>
    <t>Insurance Wellness Toggle - Not Allow</t>
  </si>
  <si>
    <t>IIRM-8827</t>
  </si>
  <si>
    <t>Insurance Wellness Type - Corporate Policy</t>
  </si>
  <si>
    <t>IIRM-8828</t>
  </si>
  <si>
    <t>Insurance Wellness Type - Retail Policy</t>
  </si>
  <si>
    <t>IIRM-8829</t>
  </si>
  <si>
    <t>Insurance Wellness Type - Not Selected</t>
  </si>
  <si>
    <t>IIRM-8830</t>
  </si>
  <si>
    <t>Wellness Benefit Sub-Configuration - Section Display</t>
  </si>
  <si>
    <t>IIRM-8831</t>
  </si>
  <si>
    <t>Wellness Benefit Sub-Configuration - Complete Fields</t>
  </si>
  <si>
    <t>IIRM-8832</t>
  </si>
  <si>
    <t>Wellness Benefit Sub-Configuration - Incomplete Fields</t>
  </si>
  <si>
    <t>IIRM-8833</t>
  </si>
  <si>
    <t>Add Multiple Wellness Benefits - Corporate</t>
  </si>
  <si>
    <t>IIRM-8834</t>
  </si>
  <si>
    <t>Remove Wellness Benefit</t>
  </si>
  <si>
    <t>IIRM-8835</t>
  </si>
  <si>
    <t>Insurance Wellness - Switch Type After Configuration</t>
  </si>
  <si>
    <t>IIRM-8836</t>
  </si>
  <si>
    <t>Wellness Benefits Label Visibility</t>
  </si>
  <si>
    <t>IIRM-8837</t>
  </si>
  <si>
    <t>Corporate Wellness - Cannot Disable</t>
  </si>
  <si>
    <t>IIRM-8838</t>
  </si>
  <si>
    <t>Insurance Wellness - Toggle State Persistence</t>
  </si>
  <si>
    <t>IIRM-8839</t>
  </si>
  <si>
    <t>Wellness Configuration - Default State</t>
  </si>
  <si>
    <t>IIRM-8840</t>
  </si>
  <si>
    <t>Benefit Configuration - Field Validation</t>
  </si>
  <si>
    <t>IIRM-8841</t>
  </si>
  <si>
    <t>Multiple Benefits - Independent Configuration</t>
  </si>
  <si>
    <t>IIRM-8842</t>
  </si>
  <si>
    <t>Insurance Wellness Not Allowed - No Type Selection</t>
  </si>
  <si>
    <t>IIRM-8843</t>
  </si>
  <si>
    <t>Assign Single Policy</t>
  </si>
  <si>
    <t>IIRM-8844</t>
  </si>
  <si>
    <t>Assign Multiple Policies</t>
  </si>
  <si>
    <t>IIRM-8845</t>
  </si>
  <si>
    <t>Enrollment Start Date - Valid</t>
  </si>
  <si>
    <t>IIRM-8846</t>
  </si>
  <si>
    <t>Enrollment End Date - Valid</t>
  </si>
  <si>
    <t>IIRM-8847</t>
  </si>
  <si>
    <t>Enrollment Dates - Missing Start Date</t>
  </si>
  <si>
    <t>IIRM-8848</t>
  </si>
  <si>
    <t>Enrollment Dates - Missing End Date</t>
  </si>
  <si>
    <t>IIRM-8849</t>
  </si>
  <si>
    <t>Enrollment Dates - End Date Before Start Date</t>
  </si>
  <si>
    <t>IIRM-8850</t>
  </si>
  <si>
    <t>Enrollment Dates - Same Date</t>
  </si>
  <si>
    <t>IIRM-8851</t>
  </si>
  <si>
    <t>Overlapping Enrollment Windows</t>
  </si>
  <si>
    <t>IIRM-8852</t>
  </si>
  <si>
    <t>Financial Settings Configuration</t>
  </si>
  <si>
    <t>IIRM-8853</t>
  </si>
  <si>
    <t>Employer Contribution - Not Configurable</t>
  </si>
  <si>
    <t>IIRM-8854</t>
  </si>
  <si>
    <t>Family Eligibility - Configure Relationships</t>
  </si>
  <si>
    <t>IIRM-8855</t>
  </si>
  <si>
    <t>Family Eligibility - Dependent Limits</t>
  </si>
  <si>
    <t>IIRM-8856</t>
  </si>
  <si>
    <t>Remove Assigned Policy</t>
  </si>
  <si>
    <t>IIRM-8857</t>
  </si>
  <si>
    <t>Policy Configuration - All Sections Complete</t>
  </si>
  <si>
    <t>IIRM-8858</t>
  </si>
  <si>
    <t>Non-Overlapping Enrollment Windows</t>
  </si>
  <si>
    <t>IIRM-8859</t>
  </si>
  <si>
    <t>Preview Mode - Login Experience</t>
  </si>
  <si>
    <t>IIRM-8860</t>
  </si>
  <si>
    <t>Preview Mode - Wellness Experience</t>
  </si>
  <si>
    <t>IIRM-8861</t>
  </si>
  <si>
    <t>Preview Mode - Policy Enrollment Experience</t>
  </si>
  <si>
    <t>IIRM-8862</t>
  </si>
  <si>
    <t>Preview Mode - Breadcrumb Navigation</t>
  </si>
  <si>
    <t>IIRM-8863</t>
  </si>
  <si>
    <t>Preview Mode - Exit Preview</t>
  </si>
  <si>
    <t>IIRM-8864</t>
  </si>
  <si>
    <t>Preview Mode - Before Publish</t>
  </si>
  <si>
    <t>IIRM-8865</t>
  </si>
  <si>
    <t>Preview Mode - Incomplete Configuration</t>
  </si>
  <si>
    <t>IIRM-8866</t>
  </si>
  <si>
    <t>Preview Mode - URL Preview</t>
  </si>
  <si>
    <t>IIRM-8867</t>
  </si>
  <si>
    <t>Preview Mode - Responsive Design</t>
  </si>
  <si>
    <t>IIRM-8868</t>
  </si>
  <si>
    <t>Preview Mode - Reflect Latest Changes</t>
  </si>
  <si>
    <t>IIRM-8869</t>
  </si>
  <si>
    <t>Logo Format Validation - Valid</t>
  </si>
  <si>
    <t>IIRM-8870</t>
  </si>
  <si>
    <t>Logo Size Validation - Exceeds Limit</t>
  </si>
  <si>
    <t>IIRM-8871</t>
  </si>
  <si>
    <t>Character Limit Validation - Header Text</t>
  </si>
  <si>
    <t>IIRM-8872</t>
  </si>
  <si>
    <t>URL Format Validation - Valid</t>
  </si>
  <si>
    <t>IIRM-8873</t>
  </si>
  <si>
    <t>URL Hyphen Validation - Invalid</t>
  </si>
  <si>
    <t>IIRM-8874</t>
  </si>
  <si>
    <t>2FA Mandatory Validation</t>
  </si>
  <si>
    <t>IIRM-8875</t>
  </si>
  <si>
    <t>Employee ID + YOB Fields Validation</t>
  </si>
  <si>
    <t>IIRM-8876</t>
  </si>
  <si>
    <t>Insurance Wellness Type Mandatory Validation</t>
  </si>
  <si>
    <t>IIRM-8877</t>
  </si>
  <si>
    <t>Wellness Sub-Config Complete Validation</t>
  </si>
  <si>
    <t>IIRM-8878</t>
  </si>
  <si>
    <t>Enrollment Dates Mandatory Validation</t>
  </si>
  <si>
    <t>IIRM-8879</t>
  </si>
  <si>
    <t>Start Date Less Than End Date Validation</t>
  </si>
  <si>
    <t>IIRM-8880</t>
  </si>
  <si>
    <t>Multiple Validation Errors Display</t>
  </si>
  <si>
    <t>IIRM-8881</t>
  </si>
  <si>
    <t>Real-Time Validation Feedback</t>
  </si>
  <si>
    <t>IIRM-8882</t>
  </si>
  <si>
    <t>Validation Error Clearing</t>
  </si>
  <si>
    <t>IIRM-8883</t>
  </si>
  <si>
    <t>Save Button State Based on Validation</t>
  </si>
  <si>
    <t>IIRM-8884</t>
  </si>
  <si>
    <t>Complete Portal Configuration - New Company</t>
  </si>
  <si>
    <t>IIRM-8885</t>
  </si>
  <si>
    <t>Modify Existing Portal Configuration</t>
  </si>
  <si>
    <t>IIRM-8886</t>
  </si>
  <si>
    <t>Portal Configuration with Minimal Setup</t>
  </si>
  <si>
    <t>IIRM-8887</t>
  </si>
  <si>
    <t>Portal Configuration with Maximum Features</t>
  </si>
  <si>
    <t>IIRM-8888</t>
  </si>
  <si>
    <t>Publish Without Preview</t>
  </si>
  <si>
    <t>IIRM-8889</t>
  </si>
  <si>
    <t>Save Draft and Resume Configuration</t>
  </si>
  <si>
    <t>IIRM-8890</t>
  </si>
  <si>
    <t>Configuration Validation Before Publish</t>
  </si>
  <si>
    <t>IIRM-8891</t>
  </si>
  <si>
    <t>Multi-Admin Configuration Conflict</t>
  </si>
  <si>
    <t>IIRM-8892</t>
  </si>
  <si>
    <t>Show Employees Details in a Policy</t>
  </si>
  <si>
    <t>IIRM-8895</t>
  </si>
  <si>
    <t>IIRM: Unable to Submit Final Negotiation Meeting Due to Total Brokerage Amount decimal Mismatch</t>
  </si>
  <si>
    <t>IIRM-8898</t>
  </si>
  <si>
    <t>IIRM: Unable to submit for approval in CD Details/Cover Details tabs after configuration approval - "No user found with privileges for assigning activity with ID 4632358" error</t>
  </si>
  <si>
    <t>IIRM-8899</t>
  </si>
  <si>
    <t xml:space="preserve">IIRM: Decimals are not accepted for few fields on Opporuniy creation/activities </t>
  </si>
  <si>
    <t>IIRM-8900</t>
  </si>
  <si>
    <t>IIRM: SO : Excel columns order is changed with Generate Quote Comparison in QCR Generation activity.</t>
  </si>
  <si>
    <t>IIRM-8901</t>
  </si>
  <si>
    <t>IIRM : SO :Sri Lanka: Policy Hard Copy Receipt Submission Failing with Error “deviationsAddressedSection.basicPremium should not exist”</t>
  </si>
  <si>
    <t>IIRM-8902</t>
  </si>
  <si>
    <t>IIRM:SO : The terrorism premium and terrorism percentage is not giving the correctly calculated terrorism amount in Meeting for Final negotiation</t>
  </si>
  <si>
    <t>IIRM-8903</t>
  </si>
  <si>
    <t>IIRM: TPA ID upload fails when "TPA ID common for family members" is set to No</t>
  </si>
  <si>
    <t>IIRM-8904</t>
  </si>
  <si>
    <t>IIRM: TPA ID upload fails when "TPA ID common for family members" is set to Yes</t>
  </si>
  <si>
    <t>IIRM-8905</t>
  </si>
  <si>
    <t>IIRm: Inception: TPA ID Upload: Irrelevant data is displayed in the error file</t>
  </si>
  <si>
    <t>IIRM-8906</t>
  </si>
  <si>
    <t>IRM: Inception Data: TPA ID Upload fails when “TPA ID common for family members?” is set to Yes</t>
  </si>
  <si>
    <t>IIRM-8907</t>
  </si>
  <si>
    <t>IIRM: Submit for Approval button remains enabled after policy Configuration approval</t>
  </si>
  <si>
    <t>IIRM-8908</t>
  </si>
  <si>
    <t>IIRM: Stage navigation blocked after rejecting edited policy configuration</t>
  </si>
  <si>
    <t>IIRM-8909</t>
  </si>
  <si>
    <t>NFR - Subtask</t>
  </si>
  <si>
    <t>QA: Write Test Case</t>
  </si>
  <si>
    <t>IIRM-4559 — NFR-COM-012 - Avoid local storage for sensitive data in browser</t>
  </si>
  <si>
    <t>IIRM-8910</t>
  </si>
  <si>
    <t>IBP: EnrollAll: Suminsured should not visible to employee if toggle set to NO</t>
  </si>
  <si>
    <t>IIRM-8911</t>
  </si>
  <si>
    <t>Portal Preference - Pending Items and Feedback</t>
  </si>
  <si>
    <t>IIRM-8912</t>
  </si>
  <si>
    <t xml:space="preserve">QA: Test cases creation </t>
  </si>
  <si>
    <t>IIRM-4506 — NFR-SEC-047: PINS for Backend Authentication - Password should be accepted with NOT PII info in or as part of it. Maintain password policy to prevent this</t>
  </si>
  <si>
    <t>IIRM-8913</t>
  </si>
  <si>
    <t>QA: Testing &amp; Bug Fixes Verification</t>
  </si>
  <si>
    <t>IIRM-8914</t>
  </si>
  <si>
    <t>Integration of the external links</t>
  </si>
  <si>
    <t>IIRM-8915</t>
  </si>
  <si>
    <t>IIRM: Login: Reject PIN for backend authentication</t>
  </si>
  <si>
    <t>IIRM-8916</t>
  </si>
  <si>
    <t>IIRM: Login: Accept password with minimum required length and no PII content</t>
  </si>
  <si>
    <t>IIRM-8917</t>
  </si>
  <si>
    <t>IIRM: Login: Accept password with maximum allowed length and no PII content</t>
  </si>
  <si>
    <t>IIRM-8918</t>
  </si>
  <si>
    <t>IIRM: Login: Accept password that does not contain partial match of name (less than 3 characters)</t>
  </si>
  <si>
    <t>IIRM-8919</t>
  </si>
  <si>
    <t>IIRM:Login : Accept password change not matching last 5 password history</t>
  </si>
  <si>
    <t>IIRM-8920</t>
  </si>
  <si>
    <t>IIRM: Login: Allow login using password within 90-day validity period</t>
  </si>
  <si>
    <t>IIRM-8921</t>
  </si>
  <si>
    <t>IIRM: Login: Password reset link cannot be reused after password set</t>
  </si>
  <si>
    <t>IIRM-8922</t>
  </si>
  <si>
    <t>IIRM: Login: Reject password when it violates password policy, PII rules, or authentication restrictions</t>
  </si>
  <si>
    <t>IIRM-8923</t>
  </si>
  <si>
    <t>IIRM: Inception: Incorrect data count is reflected on the quick cards in Inception Uploaded Data Table</t>
  </si>
  <si>
    <t>IIRM-8924</t>
  </si>
  <si>
    <t>Dynamic Cron Scheduler (Backend)</t>
  </si>
  <si>
    <t>IIRM-4531 — NFR-OTH-020: The scheduler service must allow for automated night jobs and event-driven task execution.</t>
  </si>
  <si>
    <t>IIRM-8925</t>
  </si>
  <si>
    <t>Cron Configuration Management APIs</t>
  </si>
  <si>
    <t>IIRM-8926</t>
  </si>
  <si>
    <t>Cron Job Persistence &amp; Execution Tracking</t>
  </si>
  <si>
    <t>IIRM-8927</t>
  </si>
  <si>
    <t>Cron Jobs Management UI (Listing)</t>
  </si>
  <si>
    <t>IIRM-8928</t>
  </si>
  <si>
    <t>Edit Cron Schedule &amp; Status UI</t>
  </si>
  <si>
    <t>IIRM-8929</t>
  </si>
  <si>
    <t>IIRM: Re-Activate: The Parental Policy condition is not appearing in the Policy Template step</t>
  </si>
  <si>
    <t>IIRM-8930</t>
  </si>
  <si>
    <t>DEV: Migrate data stored in local storage to session storage in IWORK application</t>
  </si>
  <si>
    <t>Kowshik Atmakuri</t>
  </si>
  <si>
    <t>IIRM-8931</t>
  </si>
  <si>
    <t>DEV: Migrate data stored in local storage to session storage in IBP application</t>
  </si>
  <si>
    <t>IIRM-8932</t>
  </si>
  <si>
    <t>IIRM: Re-Activate: Unable to set newly added Sum Insured as default in Policy Choices step</t>
  </si>
  <si>
    <t>IIRM-8933</t>
  </si>
  <si>
    <t>Test IWORK application</t>
  </si>
  <si>
    <t>IIRM-8934</t>
  </si>
  <si>
    <t>Test IBP application</t>
  </si>
  <si>
    <t>IIRM-8935</t>
  </si>
  <si>
    <t>Iwork Frontend: Inactivity Session Timeout</t>
  </si>
  <si>
    <t>IIRM-4491 — NFR-SEC-008: On inactivity, session should timeout and logout the user. Time out period must be coming from configuration</t>
  </si>
  <si>
    <t>IIRM-8936</t>
  </si>
  <si>
    <t>IBP Frontend: Inactivity Timeout Integration with Shared Hook</t>
  </si>
  <si>
    <t>IIRM-8937</t>
  </si>
  <si>
    <t>Backend: Align Session &amp; Token Expiry with Inactivity Timeout</t>
  </si>
  <si>
    <t>IIRM-8938</t>
  </si>
  <si>
    <t>QA &amp; Rollout for Inactivity Session Timeout</t>
  </si>
  <si>
    <t>IIRM-8939</t>
  </si>
  <si>
    <t>IIRM: Re-Activate: Edited policy has no Save; back navigation clears entered fields.</t>
  </si>
  <si>
    <t>IIRM-8940</t>
  </si>
  <si>
    <t>Create common data-security utility</t>
  </si>
  <si>
    <t>Lakshmi Gopalakrishna Ratnala</t>
  </si>
  <si>
    <t>IIRM-4494 — NFR-SEC-016: The application must manual Key loading process - Use salt along with secure key where encryption is being implemented</t>
  </si>
  <si>
    <t>IIRM-8941</t>
  </si>
  <si>
    <t>Integrate encryption on DB writes (create/update)</t>
  </si>
  <si>
    <t>IIRM-8942</t>
  </si>
  <si>
    <t>Integrate decryption on API responses</t>
  </si>
  <si>
    <t>IIRM-8943</t>
  </si>
  <si>
    <t>IIRM: Login: Forgot password is not triggering to reset password page</t>
  </si>
  <si>
    <t>IIRM-8944</t>
  </si>
  <si>
    <t>Backward compatibility handling</t>
  </si>
  <si>
    <t>IIRM-8945</t>
  </si>
  <si>
    <t>Implement Field-Level Encryption and Dcryption  For PAN Field</t>
  </si>
  <si>
    <t>IIRM-8946</t>
  </si>
  <si>
    <t>IIRM: Login: Verify that the user session automatically expires after the configured inactivity timeout.</t>
  </si>
  <si>
    <t>IIRM-8947</t>
  </si>
  <si>
    <t>IIRM:Login: Verify that user activity resets the inactivity timer.</t>
  </si>
  <si>
    <t>IIRM-8948</t>
  </si>
  <si>
    <t>IIRM:Login: Verify that a token captured before inactivity timeout cannot be reused.</t>
  </si>
  <si>
    <t>IIRM-8949</t>
  </si>
  <si>
    <t>IIRM:Login: Verify frontend detects inactivity and triggers logout behavior.</t>
  </si>
  <si>
    <t>IIRM-8950</t>
  </si>
  <si>
    <t>IIRM: Login: Verify backend invalidates session/token after inactivity timeout.</t>
  </si>
  <si>
    <t>IIRM-8951</t>
  </si>
  <si>
    <t>IIRM: Login: Ensure no security gap exists if frontend logs out user.</t>
  </si>
  <si>
    <t>IIRM-8952</t>
  </si>
  <si>
    <t>IIRM: Login: Verify session timeout duration is configurable and not hardcoded.</t>
  </si>
  <si>
    <t>IIRM-8953</t>
  </si>
  <si>
    <t>IIRM: Login: Verify re-authentication is required after session timeout.</t>
  </si>
  <si>
    <t>IIRM-8954</t>
  </si>
  <si>
    <t>IIRM: Login: Verify inactivity timeout applies even when multiple tabs are open.</t>
  </si>
  <si>
    <t>IIRM-8955</t>
  </si>
  <si>
    <t>IIRM: Login: Verify API calls count as activity and keep session alive.</t>
  </si>
  <si>
    <t>IIRM-8956</t>
  </si>
  <si>
    <t>IIRM: Login: Verify session data is cleared on inactivity logout.</t>
  </si>
  <si>
    <t>IIRM-8957</t>
  </si>
  <si>
    <t>IIRM: Login: Verify closing browser does not bypass timeout.</t>
  </si>
  <si>
    <t>IIRM-8958</t>
  </si>
  <si>
    <t>IIRM: Login: Verify user cannot bypass timeout by changing system time.</t>
  </si>
  <si>
    <t>IIRM-8959</t>
  </si>
  <si>
    <t>IIRM: Login: Verify configuration timeout behavior with invalid timeout values.</t>
  </si>
  <si>
    <t>IIRM-8960</t>
  </si>
  <si>
    <t>IIRM: Login: Verify  the behaviour of application when config changes mid session</t>
  </si>
  <si>
    <t>IIRM-8961</t>
  </si>
  <si>
    <t>IIRM: Login: Verify warning appears before session expiry.</t>
  </si>
  <si>
    <t>IIRM-8962</t>
  </si>
  <si>
    <t>IIRM: Login: Verify inactivity timeout applies to all roles.</t>
  </si>
  <si>
    <t>IIRM-8963</t>
  </si>
  <si>
    <t>IIRM: Login: Verify timeout after network disconnect.</t>
  </si>
  <si>
    <t>IIRM-8964</t>
  </si>
  <si>
    <t>IIRM : Login : Verify per-device inactivity timeout.</t>
  </si>
  <si>
    <t>IIRM-8965</t>
  </si>
  <si>
    <t>IIRM: Login : Verify inactivity logout is logged</t>
  </si>
  <si>
    <t>IIRM-8966</t>
  </si>
  <si>
    <t>IIRM: Login: API burst after session expiration</t>
  </si>
  <si>
    <t>IIRM-8967</t>
  </si>
  <si>
    <t>IIRM: Login : Reduced timeout for automation</t>
  </si>
  <si>
    <t>IIRM-8968</t>
  </si>
  <si>
    <t>IIRM: Re-Activate: Inception summary doesn’t reflect uploaded counts; endorsement blocked</t>
  </si>
  <si>
    <t>IIRM-8969</t>
  </si>
  <si>
    <t>IIRM: Scheduling Service : Sorting is failed on all columns</t>
  </si>
  <si>
    <t>IIRM-8970</t>
  </si>
  <si>
    <t>IIRM: Incorrect and Non-Standard Time Format Displayed in Scheduling Service</t>
  </si>
  <si>
    <t>IIRM-8971</t>
  </si>
  <si>
    <t>IIRM: Non Finance: Valid members fail when one member in the relationship group fails validation</t>
  </si>
  <si>
    <t>IIRM-8972</t>
  </si>
  <si>
    <t>IIRM: Re-Activate: Endorsement Summary card data is missing after deletion in Step 2</t>
  </si>
  <si>
    <t>IIRM-8973</t>
  </si>
  <si>
    <t>IIRM: Non-Finance: Update functionality fails with duplicate employee validation error</t>
  </si>
  <si>
    <t>IIRM-8974</t>
  </si>
  <si>
    <t>IIRM: Session configuration failed for inactive session configuration.</t>
  </si>
  <si>
    <t>IIRM-8975</t>
  </si>
  <si>
    <t>IIRM: Scheduling Service Tooltip Displays Invalid Data on Column Hover</t>
  </si>
  <si>
    <t>IIRM-8976</t>
  </si>
  <si>
    <t xml:space="preserve">IIRM: Session configuration failed  for inactive user </t>
  </si>
  <si>
    <t>IIRM-8977</t>
  </si>
  <si>
    <t>IIRM: Session configuration failed for active user as per the configuration in IBP Portal configuration.</t>
  </si>
  <si>
    <t>IIRM-8978</t>
  </si>
  <si>
    <t>IIRM : Session configuration failed for active user.</t>
  </si>
  <si>
    <t>IIRM-8979</t>
  </si>
  <si>
    <t>IIRM: Session configuration fails for multiple tabs logged-in user</t>
  </si>
  <si>
    <t>IIRM-8980</t>
  </si>
  <si>
    <t>GMC - Upload Claims (Per Policy &amp; Per TPA)</t>
  </si>
  <si>
    <t>IIRM-8981</t>
  </si>
  <si>
    <t>IIRM: Non-Finance: Unable to complete Create Endorsement step</t>
  </si>
  <si>
    <t>IIRM-8982</t>
  </si>
  <si>
    <t xml:space="preserve">IIRM: Sensitive data stored in Local Storage instead of Session Storage </t>
  </si>
  <si>
    <t>IIRM-8983</t>
  </si>
  <si>
    <t>IIRM: Session storage: Access token remains valid after logout, allowing access to sensitive API data without logging in.</t>
  </si>
  <si>
    <t>IIRM-8984</t>
  </si>
  <si>
    <t>Make TPA step Optional for Non-Financial Endorsement Process</t>
  </si>
  <si>
    <t>IIRM-8222 — Non-Financial Endorsements</t>
  </si>
  <si>
    <t>IIRM-8985</t>
  </si>
  <si>
    <t xml:space="preserve">IIRM: Non-Finance: Verify Endorsement Process for Policy c,onfigured where the Age is included in the Relationship Group </t>
  </si>
  <si>
    <t>IIRM-8986</t>
  </si>
  <si>
    <t xml:space="preserve">IIRM: Non-Financial: Verify that DOB update is allowed when Age is not configured as a policy parameter </t>
  </si>
  <si>
    <t>IIRM-8987</t>
  </si>
  <si>
    <t xml:space="preserve">IIRM: Non-Financial: Verify that Gender modification is blocked when Gender is configured as a policy parameter </t>
  </si>
  <si>
    <t>IIRM-8988</t>
  </si>
  <si>
    <t xml:space="preserve">IIRM: Non-Financial: Verify that Gender update is allowed when Gender is not configured as a policy parameter </t>
  </si>
  <si>
    <t>IIRM-8989</t>
  </si>
  <si>
    <t>IIRM: Non-Financial: Verify that DOB modification is blocked when Age is configured as a policy parameter</t>
  </si>
  <si>
    <t>IIRM-8990</t>
  </si>
  <si>
    <t>IBP: Inception/endorsement: File upload count shows 0, if file has only deletion records</t>
  </si>
  <si>
    <t>IIRM-8991</t>
  </si>
  <si>
    <t>CD Management: PROD Bugs</t>
  </si>
  <si>
    <t>IIRM-8992</t>
  </si>
  <si>
    <t>IIRM: QCR: Risk Location field is missing in the downloaded template</t>
  </si>
  <si>
    <t>IIRM-8993</t>
  </si>
  <si>
    <t xml:space="preserve">NFR-INT-009-02 - Should support  SMS and Whatsapp Notifications </t>
  </si>
  <si>
    <t>IIRM-8994</t>
  </si>
  <si>
    <t>NFR-INT-009-03 - Should support Chatbot</t>
  </si>
  <si>
    <t>IIRM-8995</t>
  </si>
  <si>
    <t>IIRM-8996</t>
  </si>
  <si>
    <t>IIRM: Scheduling Service: Non group policies failed to load the data in Create inception stage</t>
  </si>
  <si>
    <t>IIRM-8997</t>
  </si>
  <si>
    <t>IIRM: Scheduling Service: Inception file upload fails for Group Personal Accident Policy</t>
  </si>
  <si>
    <t>IIRM-8998</t>
  </si>
  <si>
    <t>QA: Non-Finance: Documenting test cases</t>
  </si>
  <si>
    <t>IIRM-8999</t>
  </si>
  <si>
    <t>QA:Non-Finance: Executing test cases and documenting bugs</t>
  </si>
  <si>
    <t>IIRM-9000</t>
  </si>
  <si>
    <t>QA: Employee Tab: Documenting test cases</t>
  </si>
  <si>
    <t>IIRM-8892 — Show Employees Details in a Policy</t>
  </si>
  <si>
    <t>IIRM-9001</t>
  </si>
  <si>
    <t>QA: Employee Tab: Executing test cases and documenting bugs</t>
  </si>
  <si>
    <t>IIRM-9002</t>
  </si>
  <si>
    <t>IIRM : Scheduling Service: Verify cron job runs at scheduled time</t>
  </si>
  <si>
    <t>IIRM-9003</t>
  </si>
  <si>
    <t>QA: Executing test cases and bug reporting</t>
  </si>
  <si>
    <t>IIRM-9004</t>
  </si>
  <si>
    <t>IIRM : Scheduling Service: Verify data is processed only after cron execution</t>
  </si>
  <si>
    <t>IIRM-9005</t>
  </si>
  <si>
    <t>Update Statistics Section in Second Tab</t>
  </si>
  <si>
    <t>IIRM-9006</t>
  </si>
  <si>
    <t>Backend: Create Employee Listing API as per Defined Field Requirements</t>
  </si>
  <si>
    <t>IIRM-9007</t>
  </si>
  <si>
    <t>IIRM: Scheduling Service: Verify business rules and calculations for scheduled configuration time</t>
  </si>
  <si>
    <t>IIRM-9008</t>
  </si>
  <si>
    <t>Create testcases</t>
  </si>
  <si>
    <t>IIRM-8401 — Display enrolment status in step-2 for IBP-configured policies with employee-only file inception</t>
  </si>
  <si>
    <t>IIRM-9009</t>
  </si>
  <si>
    <t>Verify functionality</t>
  </si>
  <si>
    <t>IIRM-9010</t>
  </si>
  <si>
    <t xml:space="preserve">Retest bugs </t>
  </si>
  <si>
    <t>IIRM-9011</t>
  </si>
  <si>
    <t>IIRM: Inception/Endorsement: Unable to open Inception step after uploading 3L file</t>
  </si>
  <si>
    <t>IIRM-9012</t>
  </si>
  <si>
    <t>IIRM : Scheduling Service : Verify cron job performance and completion within SLA</t>
  </si>
  <si>
    <t>IIRM-9013</t>
  </si>
  <si>
    <t>Backend: Implement the filters and search based on the specified fields</t>
  </si>
  <si>
    <t>IIRM-9014</t>
  </si>
  <si>
    <t>IIRM : Scheduling Service: Verify re-run behavior and error handling</t>
  </si>
  <si>
    <t>IIRM-9015</t>
  </si>
  <si>
    <t>QA: Documenting test cases</t>
  </si>
  <si>
    <t>IIRM-8671 — Localisation: Kenya - Fields</t>
  </si>
  <si>
    <t>IIRM-9016</t>
  </si>
  <si>
    <t>IIRM-9017</t>
  </si>
  <si>
    <t>Enrollment: Verify 'Not Started' status when no enrollment initiated</t>
  </si>
  <si>
    <t>IIRM-9018</t>
  </si>
  <si>
    <t>Enrollment: Verify 'In Progress' status during partial enrollment</t>
  </si>
  <si>
    <t>IIRM-9019</t>
  </si>
  <si>
    <t>Enrollment: Verify 'Completed' status after full enrollment</t>
  </si>
  <si>
    <t>IIRM-9020</t>
  </si>
  <si>
    <t>Enrollment: Verify mixed enrollment statuses display</t>
  </si>
  <si>
    <t>IIRM-9021</t>
  </si>
  <si>
    <t>Enrollment: Verify enrollment status after adding new employees</t>
  </si>
  <si>
    <t>IIRM-9022</t>
  </si>
  <si>
    <t>Enrollment: Verify enrollment status after deleting employees in 'Not Started' state</t>
  </si>
  <si>
    <t>IIRM-9023</t>
  </si>
  <si>
    <t>Enrollment: Verify enrollment status after deleting employees in 'In Progress' state</t>
  </si>
  <si>
    <t>IIRM-9024</t>
  </si>
  <si>
    <t>Enrollment: Verify enrollment status after deleting employees in 'Completed' state</t>
  </si>
  <si>
    <t>IIRM-9025</t>
  </si>
  <si>
    <t>Enrollment: Verify enrollment status transition from 'In Progress' to 'Completed'</t>
  </si>
  <si>
    <t>IIRM-9026</t>
  </si>
  <si>
    <t>Enrollment: Verify premium calculation with 'Not Started' enrollment status</t>
  </si>
  <si>
    <t>IIRM-9027</t>
  </si>
  <si>
    <t>Enrollment: Verify premium calculation with 'Completed' enrollment status</t>
  </si>
  <si>
    <t>IIRM-9028</t>
  </si>
  <si>
    <t>Enrollment: Verify premium calculation with mixed enrollment statuses</t>
  </si>
  <si>
    <t>IIRM-9029</t>
  </si>
  <si>
    <t>Enrollment: Verify enrollment status persistence after session timeout</t>
  </si>
  <si>
    <t>IIRM-9030</t>
  </si>
  <si>
    <t>Enrollment: Verify enrollment status in Endorsement after Inception completion</t>
  </si>
  <si>
    <t>IIRM-9031</t>
  </si>
  <si>
    <t>Enrollment: Verify enrollment status update during Endorsement with new employees</t>
  </si>
  <si>
    <t>IIRM-9032</t>
  </si>
  <si>
    <t>Enrollment: Verify system behavior when no employees uploaded</t>
  </si>
  <si>
    <t>IIRM-9033</t>
  </si>
  <si>
    <t>Enrollment: Verify enrollment status after all employees deleted</t>
  </si>
  <si>
    <t>IIRM-9034</t>
  </si>
  <si>
    <t>Enrollment: Verify enrollment status with invalid/incomplete IBP login</t>
  </si>
  <si>
    <t>IIRM-9035</t>
  </si>
  <si>
    <t>Enrollment: Verify concurrent enrollment updates from multiple users</t>
  </si>
  <si>
    <t>IIRM-9036</t>
  </si>
  <si>
    <t>Enrollment: Verify enrollment status refresh/sync mechanism</t>
  </si>
  <si>
    <t>IIRM-9037</t>
  </si>
  <si>
    <t>TC-NFR-COM-012-001: Verify HTTP response headers prevent caching of sensitive pages</t>
  </si>
  <si>
    <t>IIRM-9038</t>
  </si>
  <si>
    <t>TC-NFR-COM-012-002: Verify sensitive data is stored ONLY in session storage with proper cleanup</t>
  </si>
  <si>
    <t>IIRM-9039</t>
  </si>
  <si>
    <t>TC-NFR-COM-012-003: Verify browser back button does not display cached sensitive pages after logout</t>
  </si>
  <si>
    <t>IIRM-9040</t>
  </si>
  <si>
    <t>TC-NFR-COM-012-004: Verify external application integrations (Poppins, IBP) follow cache and storage requirements</t>
  </si>
  <si>
    <t>IIRM-9041</t>
  </si>
  <si>
    <t>TC-NFR-COM-012-005:Verify complete migration from local storage to session storage maintains data integrity</t>
  </si>
  <si>
    <t>IIRM-9042</t>
  </si>
  <si>
    <t>TC-NFR-COM-012-006: Cross-browser security and performance verification</t>
  </si>
  <si>
    <t>IIRM-9043</t>
  </si>
  <si>
    <t>QA: Validating the data for the updated policies</t>
  </si>
  <si>
    <t>IIRM-9044</t>
  </si>
  <si>
    <t>IIRM: Session storage: User tokens are stored in local storage instead of session storage in IBP</t>
  </si>
  <si>
    <t>IIRM-9045</t>
  </si>
  <si>
    <t>Show Section Heading for Covers (Ref. to Package Policy)</t>
  </si>
  <si>
    <t>IIRM-9046</t>
  </si>
  <si>
    <t>IIRM: Session Storage Not Cleared When Navigating Back</t>
  </si>
  <si>
    <t>IIRM-9047</t>
  </si>
  <si>
    <t>IIRM: Scheduling Service – Invalid Cron Expression in Edit Configuration for the scheduler,schedule does not match the specified frequency.</t>
  </si>
  <si>
    <t>IIRM-9048</t>
  </si>
  <si>
    <t>IIRM: Verify Asset Insured tab is displayed for Non‑Group policies</t>
  </si>
  <si>
    <t>IIRM-9049</t>
  </si>
  <si>
    <t>IIRM: Verify Employee Insured tab is displayed for Group policies</t>
  </si>
  <si>
    <t>IIRM-9050</t>
  </si>
  <si>
    <t>IBP: Once employee got deleted through endorsement process( with/without choices), IBP login should't work for deleted employees</t>
  </si>
  <si>
    <t>IIRM-9051</t>
  </si>
  <si>
    <t>IIRM: Verify that both the Asset Insured Tab and Employee Insured Tab  doesn't display simultaneously for either of the policies(group or non group).</t>
  </si>
  <si>
    <t>IIRM-9052</t>
  </si>
  <si>
    <t>IIRM: Sensitive User Data Exposed in Session Storage Payload</t>
  </si>
  <si>
    <t>IIRM-9057</t>
  </si>
  <si>
    <t>IIRM : Login - Weak Passwords Allowed During Login</t>
  </si>
  <si>
    <t>IIRM-9058</t>
  </si>
  <si>
    <t>IIRM Login – Previous 5 Passwords Can Be Reused</t>
  </si>
  <si>
    <t>IIRM-9059</t>
  </si>
  <si>
    <t>IIRM : Login – Reset Password Link Does Not Expire After Use</t>
  </si>
  <si>
    <t>IIRM-9060</t>
  </si>
  <si>
    <t>IIRM: Verify the functionality of the Relationship Group filter for Self is only configured.</t>
  </si>
  <si>
    <t>IIRM-9061</t>
  </si>
  <si>
    <t>IIRM: Verify that the Relationship Group filter displays Self and Dependent records correctly in the table when the policy is configured with Self and dependent relationships.</t>
  </si>
  <si>
    <t>IIRM-9062</t>
  </si>
  <si>
    <t>IIRM: Verify Smart Search filters by Insured Name only</t>
  </si>
  <si>
    <t>IIRM-9063</t>
  </si>
  <si>
    <t>IIRM: Verify that Inc/End ID column contains hyperlinks that navigate to the corresponding Inception or Endorsement page</t>
  </si>
  <si>
    <t>IIRM-9064</t>
  </si>
  <si>
    <t>IIRM: NFR-OTH-020 : Test case Creation and  testing</t>
  </si>
  <si>
    <t>IIRM-9065</t>
  </si>
  <si>
    <t>Automation: Write API Framework for company quick create and Opportunity stages up Placement Slip generation</t>
  </si>
  <si>
    <t>IIRM-9066</t>
  </si>
  <si>
    <t>IIRM: Policy Details: Cover details are not displayed in the Cover Details tab</t>
  </si>
  <si>
    <t>IIRM-9067</t>
  </si>
  <si>
    <t xml:space="preserve">Enable the toggle of right side pannel only when nudges privilege is avaialbe for the user </t>
  </si>
  <si>
    <t>IIRM-8362 — AI Chatbot: Nudge - Pre-computation as required</t>
  </si>
  <si>
    <t>IIRM-9068</t>
  </si>
  <si>
    <t>Saferisk - SBU vs Vertical vs Department - Master Update (DB Request)</t>
  </si>
  <si>
    <t>IIRM-745 — SOW#18 - Master Data</t>
  </si>
  <si>
    <t>IIRM-9069</t>
  </si>
  <si>
    <t>IIRM: Scheduling Service – Recently configured items should appear at the top.</t>
  </si>
  <si>
    <t>IIRM-9070</t>
  </si>
  <si>
    <t>IIRM: Scheduling Service – Configuration title is missing</t>
  </si>
  <si>
    <t>IIRM-9071</t>
  </si>
  <si>
    <t>Saferisk - Hierarchy &amp; Designations (DB Request)</t>
  </si>
  <si>
    <t>IIRM-9072</t>
  </si>
  <si>
    <t>Automation: Refactor test data for opportunity stages up to Placement Slip Generation</t>
  </si>
  <si>
    <t>IIRM-9073</t>
  </si>
  <si>
    <t>IIRM: Inception: Inception document is not generated in Send Inception to Insurer step</t>
  </si>
  <si>
    <t>IIRM-9074</t>
  </si>
  <si>
    <t>IIRM: Inception: Failed records count and error file are not generated</t>
  </si>
  <si>
    <t>IIRM-9075</t>
  </si>
  <si>
    <t>IIRM: Employee Tab: Employee details are not reflected correctly</t>
  </si>
  <si>
    <t>IIRM-9076</t>
  </si>
  <si>
    <t>Refactor Scheduler Enrollment Upload to Run Shared IBP Processing Locally (Remove Axios, Continuous Single‑Batch Processing, Preserve Status Transitions</t>
  </si>
  <si>
    <t>Dongari Abhilash Varma</t>
  </si>
  <si>
    <t>IIRM-9077</t>
  </si>
  <si>
    <t>Satrapi Implementation</t>
  </si>
  <si>
    <t>IIRM-9078</t>
  </si>
  <si>
    <t>Logo management - Company , TPA, Insurer</t>
  </si>
  <si>
    <t>IIRM-9079</t>
  </si>
  <si>
    <t>RND Task - IBP Portal</t>
  </si>
  <si>
    <t>IIRM-9080</t>
  </si>
  <si>
    <t>TestCases for API</t>
  </si>
  <si>
    <t>IIRM-8572 — End User Onboarding</t>
  </si>
  <si>
    <t>IIRM-9081</t>
  </si>
  <si>
    <t>API verification on On boarding scenarios</t>
  </si>
  <si>
    <t>IIRM-9082</t>
  </si>
  <si>
    <t>Bugs revalidation.</t>
  </si>
  <si>
    <t>IIRM-9083</t>
  </si>
  <si>
    <t>Add the new columns in the Employee Insured tab</t>
  </si>
  <si>
    <t>IIRM-9084</t>
  </si>
  <si>
    <t>Database updates to support claim upload</t>
  </si>
  <si>
    <t>IIRM-8980 — GMC - Upload Claims (Per Policy &amp; Per TPA)</t>
  </si>
  <si>
    <t>IIRM-9085</t>
  </si>
  <si>
    <t>Backend changes to support claim upload at both Policy level and TPA level</t>
  </si>
  <si>
    <t>IIRM-9086</t>
  </si>
  <si>
    <t>Update GET API to Support New KPI and Additional Fields</t>
  </si>
  <si>
    <t>IIRM-9087</t>
  </si>
  <si>
    <t>Update CRON job to support the new claim template</t>
  </si>
  <si>
    <t>IIRM-9088</t>
  </si>
  <si>
    <t>UI changes to support claims upload by policy</t>
  </si>
  <si>
    <t>IIRM-9089</t>
  </si>
  <si>
    <t>UI changes to support claims upload by TPA</t>
  </si>
  <si>
    <t>IIRM-9090</t>
  </si>
  <si>
    <t>API integration for both Policy-level and TPA-level uploads</t>
  </si>
  <si>
    <t>IIRM-9091</t>
  </si>
  <si>
    <t>QA: Non Finance: Bug Fix verification</t>
  </si>
  <si>
    <t>IIRM-9092</t>
  </si>
  <si>
    <t>EmployeeInsured: N/A claim status shown on API trigger</t>
  </si>
  <si>
    <t>IIRM-9093</t>
  </si>
  <si>
    <t xml:space="preserve">EmployeeInsured: Search results not working companyEmpID includes "-" </t>
  </si>
  <si>
    <t>IIRM-9094</t>
  </si>
  <si>
    <t>Epic Analysis &amp; POC</t>
  </si>
  <si>
    <t xml:space="preserve">IIRM-4480 — NFR-USA-019: Template confirmation should be done from application. Example: email - Templates used in notifications and communication via system must have been approved by system admin in the UI </t>
  </si>
  <si>
    <t>IIRM-9095</t>
  </si>
  <si>
    <t>BE-001:  Set up new template module in notification-service</t>
  </si>
  <si>
    <t>IIRM-9096</t>
  </si>
  <si>
    <t>BE-002: Extend notification-service database schema for templates</t>
  </si>
  <si>
    <t>IIRM-9097</t>
  </si>
  <si>
    <t>BE-003: Implement template authorization in notification-service</t>
  </si>
  <si>
    <t>IIRM-9098</t>
  </si>
  <si>
    <t>BE-004: Implement template CRUD APIs</t>
  </si>
  <si>
    <t>IIRM-9099</t>
  </si>
  <si>
    <t>BE-005:  Implement unified approval workflow system</t>
  </si>
  <si>
    <t>IIRM-9100</t>
  </si>
  <si>
    <t>BE-006: Implement template validation and sanitization</t>
  </si>
  <si>
    <t>IIRM-9101</t>
  </si>
  <si>
    <t>BE-007: Implement multi-channel support using existing CHANNEL_TYPE integration</t>
  </si>
  <si>
    <t>IIRM-9102</t>
  </si>
  <si>
    <t>BE-008:  Implement insurance domain variable substitution system</t>
  </si>
  <si>
    <t>IIRM-9103</t>
  </si>
  <si>
    <t>FE-003: Create template pending approval and history routes, add necessary code and integrate template-service apis</t>
  </si>
  <si>
    <t>IIRM-9104</t>
  </si>
  <si>
    <t>BE-009: Implement approval workflow logging for template-service</t>
  </si>
  <si>
    <t>IIRM-9105</t>
  </si>
  <si>
    <t>FE-001:  Implement template management route in iWork admin module and add base code</t>
  </si>
  <si>
    <t>IIRM-9106</t>
  </si>
  <si>
    <t>FE-002: Create template dashboard, editor pages and integrate with template-service</t>
  </si>
  <si>
    <t>IIRM-9107</t>
  </si>
  <si>
    <t>Create PRD, TRD, Dev Tasks</t>
  </si>
  <si>
    <t>IIRM-9108</t>
  </si>
  <si>
    <t>Refactor the CronJob to run Non Financial Endorsement</t>
  </si>
  <si>
    <t>sunilkumar.chitikina</t>
  </si>
  <si>
    <t>IIRM-9109</t>
  </si>
  <si>
    <t>Populate Stats in Step-2 to retrieve data from employee endorsement</t>
  </si>
  <si>
    <t>IIRM-9110</t>
  </si>
  <si>
    <t>Refactor the Excel download utility for the “Sent to Insurer” step in Non-Financial Endorsements.</t>
  </si>
  <si>
    <t>IIRM-9111</t>
  </si>
  <si>
    <t>QA: Employee Tab: Re-Verifying the bugs</t>
  </si>
  <si>
    <t>IIRM-9112</t>
  </si>
  <si>
    <t>Basic CRUD UI integrations for user details</t>
  </si>
  <si>
    <t>IIRM-8342 — IBP - Employee - User Profile</t>
  </si>
  <si>
    <t>IIRM-9113</t>
  </si>
  <si>
    <t>Basic CRUD API's for user details</t>
  </si>
  <si>
    <t>IIRM-9114</t>
  </si>
  <si>
    <t>QA: Employee Tab: Documenting API testcases</t>
  </si>
  <si>
    <t>IIRM-9115</t>
  </si>
  <si>
    <t>QA: Employee Tab: Validating API</t>
  </si>
  <si>
    <t>IIRM-9116</t>
  </si>
  <si>
    <t>Frontend:Create tab for Employee details</t>
  </si>
  <si>
    <t>IIRM-9117</t>
  </si>
  <si>
    <t>API: EmployeeInsured: Functionality Tests</t>
  </si>
  <si>
    <t>IIRM-9118</t>
  </si>
  <si>
    <t>API: EmployeeInsured: Validate Pagination Tests</t>
  </si>
  <si>
    <t>IIRM-9119</t>
  </si>
  <si>
    <t>API: EmployeeInsured: Validate Filter Tests (Individual Filters)</t>
  </si>
  <si>
    <t>IIRM-9120</t>
  </si>
  <si>
    <t>API: EmployeeInsured: Validate Combined Filter Tests</t>
  </si>
  <si>
    <t>IIRM-9121</t>
  </si>
  <si>
    <t>API: EmployeeInsured: Validate Date Range Tests</t>
  </si>
  <si>
    <t>IIRM-9122</t>
  </si>
  <si>
    <t>API: EmployeeInsured: Validate Section Parameter Tests</t>
  </si>
  <si>
    <t>IIRM-9123</t>
  </si>
  <si>
    <t>API: EmployeeInsured: Validate Invalid Policy ID</t>
  </si>
  <si>
    <t>IIRM-9124</t>
  </si>
  <si>
    <t>API: EmployeeInsured: Verify Invalid Pagination</t>
  </si>
  <si>
    <t>IIRM-9125</t>
  </si>
  <si>
    <t>API: EmployeeInsured: Verify Invalid Filters</t>
  </si>
  <si>
    <t>IIRM-9126</t>
  </si>
  <si>
    <t>API: EmployeeInsured: Verify Missing Parameters and Data Validation</t>
  </si>
  <si>
    <t>IIRM-9127</t>
  </si>
  <si>
    <t>API: EmployeeInsured: Verify Performance,Security and edge cases</t>
  </si>
  <si>
    <t>IIRM-9128</t>
  </si>
  <si>
    <t>POC on Google Maps APIs</t>
  </si>
  <si>
    <t>SELF TESTED</t>
  </si>
  <si>
    <t>Gayathri Anamala</t>
  </si>
  <si>
    <t>IIRM-9079 — RND Task - IBP Portal</t>
  </si>
  <si>
    <t>IIRM-9129</t>
  </si>
  <si>
    <t>POC on Image Cropping</t>
  </si>
  <si>
    <t>IIRM-9130</t>
  </si>
  <si>
    <t>Creating customizable Email Templates</t>
  </si>
  <si>
    <t>IIRM-9131</t>
  </si>
  <si>
    <t>Creating static html pages</t>
  </si>
  <si>
    <t>IIRM-9132</t>
  </si>
  <si>
    <t>BE- Post, put and get api's for company</t>
  </si>
  <si>
    <t>saigangadhar</t>
  </si>
  <si>
    <t>IIRM-6438 — Client (Company, Insurer, &amp; TPA) Logos - Upload, Save &amp; Retrieve</t>
  </si>
  <si>
    <t>IIRM-9133</t>
  </si>
  <si>
    <t>BE- Post, put and get api's for Tpa</t>
  </si>
  <si>
    <t>IIRM-9134</t>
  </si>
  <si>
    <t>BE- Post, put and get api's for insurer</t>
  </si>
  <si>
    <t>IIRM-9135</t>
  </si>
  <si>
    <t>FE - POST, PUT and GET api integrations in Company Form and Company details pages</t>
  </si>
  <si>
    <t>IIRM-9136</t>
  </si>
  <si>
    <t>FE - POST, PUT and GET api integrations in Insurer Form and Insurer details pages</t>
  </si>
  <si>
    <t>IIRM-9137</t>
  </si>
  <si>
    <t>FE - POST, PUT and GET api integrations in TPA Form and TPA details pages</t>
  </si>
  <si>
    <t>IIRM-9138</t>
  </si>
  <si>
    <t xml:space="preserve">Email notification - Enrollment Start API Endpoint </t>
  </si>
  <si>
    <t>IIRM-9139</t>
  </si>
  <si>
    <t>Email notification - Enrollment Confirmation API Endpoint</t>
  </si>
  <si>
    <t>IIRM-9140</t>
  </si>
  <si>
    <t>Email notification - Enrollment Reminder API Endpoint</t>
  </si>
  <si>
    <t>IIRM-9141</t>
  </si>
  <si>
    <t>Email notification - Swagger Documentation &amp; Email Template Implementation</t>
  </si>
  <si>
    <t>IIRM-9142</t>
  </si>
  <si>
    <t>Email notification - Master Email Templates with Company-Level Scope Handling</t>
  </si>
  <si>
    <t>IIRM-9143</t>
  </si>
  <si>
    <t>Email notification - Persisting Copies of Sent Emails for Audit &amp; Tracking</t>
  </si>
  <si>
    <t>IIRM-9144</t>
  </si>
  <si>
    <t>Opportunities preproduction and auto population issues</t>
  </si>
  <si>
    <t>IIRM-9145</t>
  </si>
  <si>
    <t>Service flow pending DB requests, Premium issues and policy configuration errors</t>
  </si>
  <si>
    <t>IIRM-9146</t>
  </si>
  <si>
    <t>API: EndUser: Verify Enrollment -start endpoint</t>
  </si>
  <si>
    <t>IIRM-9147</t>
  </si>
  <si>
    <t>API: EndUser: Verify EnrollmentConfiguration endpoint</t>
  </si>
  <si>
    <t>IIRM-9148</t>
  </si>
  <si>
    <t>API: EndUser: Verify enrollment reminder endpoint</t>
  </si>
  <si>
    <t>IIRM-9149</t>
  </si>
  <si>
    <t>Disable of auto calculation amount fields</t>
  </si>
  <si>
    <t>IIRM-9144 — Opportunities preproduction and auto population issues</t>
  </si>
  <si>
    <t>IIRM-9150</t>
  </si>
  <si>
    <t>Data generation for file upload process</t>
  </si>
  <si>
    <t>IIRM-9151</t>
  </si>
  <si>
    <t>API: Success response shown with invalid empid</t>
  </si>
  <si>
    <t>IIRM-9152</t>
  </si>
  <si>
    <t>IIRM: Inception: Duplicate mobile number validation is not applied during file processing</t>
  </si>
  <si>
    <t>IIRM-9153</t>
  </si>
  <si>
    <t>API:EndUser:  400 status should be shown for invalid triggered date.</t>
  </si>
  <si>
    <t>IIRM-9154</t>
  </si>
  <si>
    <t>API: EndUser: 200 success should not shown if payload got triggered with empty policies ID</t>
  </si>
  <si>
    <t>IIRM-9155</t>
  </si>
  <si>
    <t>API: EndUser: 400 series should be shown on response , if policy ID provided in string</t>
  </si>
  <si>
    <t>IIRM-9156</t>
  </si>
  <si>
    <t>QA: TPA, Insurer testcases</t>
  </si>
  <si>
    <t>IIRM-9157</t>
  </si>
  <si>
    <t>QA: Validating the feature</t>
  </si>
  <si>
    <t>IIRM-9158</t>
  </si>
  <si>
    <t>QA: Revalidating bugs</t>
  </si>
  <si>
    <t>IIRM-9159</t>
  </si>
  <si>
    <t>Implement validation for invalid intake types and refactor dependent retrieval based on TPA ID</t>
  </si>
  <si>
    <t>IIRM-9160</t>
  </si>
  <si>
    <t>Send to Insurer/Client - View, Add, or Update receiver Email Id in Endorsement/Inception flow</t>
  </si>
  <si>
    <t>IIRM-9161</t>
  </si>
  <si>
    <t>Utility - File Transformation - Client - Outbound - Employee Data (Inception/Endorsement - Step-5: Send to Client)</t>
  </si>
  <si>
    <t>IIRM-9162</t>
  </si>
  <si>
    <t>Utility - File Transformation - Insurer - Outbound - Employee Data (Inception/Endorsement - Step-3: Send to Insurer)</t>
  </si>
  <si>
    <t>IIRM-9163</t>
  </si>
  <si>
    <t>Utility - File Transformation - Client - Inbound - Employee Data (Inception/Endorsement - Step-1: Upload Employee Data)</t>
  </si>
  <si>
    <t>IIRM-9164</t>
  </si>
  <si>
    <t>Utility - File Transformation - TPA - Inbound - Employee Data (Upload Claims per TPA)</t>
  </si>
  <si>
    <t>IIRM-9165</t>
  </si>
  <si>
    <t>IIRM: Non-Finance: Total records count is incorrect when empty rows are uploaded during endorsement</t>
  </si>
  <si>
    <t>IIRM-9166</t>
  </si>
  <si>
    <t>Errors While Uploading Data in iWork Edge - Policy ID 635422</t>
  </si>
  <si>
    <t>IIRM-9167</t>
  </si>
  <si>
    <t>Utility - Policy Config - Import from One Policy to Another Policy</t>
  </si>
  <si>
    <t>IIRM-9168</t>
  </si>
  <si>
    <t>Update Claim Submission Notice Popup to Include TPA-Level Claims</t>
  </si>
  <si>
    <t>IIRM-9169</t>
  </si>
  <si>
    <t xml:space="preserve">Database request changes in service flow - Production </t>
  </si>
  <si>
    <t>IIRM-9145 — Service flow pending DB requests, Premium issues and policy configuration errors</t>
  </si>
  <si>
    <t>IIRM-9170</t>
  </si>
  <si>
    <t>IIRM: Claims: Manage Policies: UI:  UI Issues</t>
  </si>
  <si>
    <t>IIRM-9171</t>
  </si>
  <si>
    <t>IIRM: Claims: Duplicate claim error is displayed when status is changed from Pending to Settled status.</t>
  </si>
  <si>
    <t>IIRM-9172</t>
  </si>
  <si>
    <t>IIRM: Non-Finance: File is processed successfully even when DOB conditions are not satisfied</t>
  </si>
  <si>
    <t>IIRM-9173</t>
  </si>
  <si>
    <t>IIRM: Claims: Incorrect validation message displayed for wrong Employee TPA ID</t>
  </si>
  <si>
    <t>IIRM-9174</t>
  </si>
  <si>
    <t>QA: Claims: Validate claims functionality</t>
  </si>
  <si>
    <t>IIRM-9175</t>
  </si>
  <si>
    <t>Rebuild employee hierarchy issue</t>
  </si>
  <si>
    <t>IIRM-9176</t>
  </si>
  <si>
    <t>No premium calculation covers found for Opportunity</t>
  </si>
  <si>
    <t>IIRM-9177</t>
  </si>
  <si>
    <t>IIRM: Non-Finance: Error file and record count are not generated when uploaded file fails</t>
  </si>
  <si>
    <t>IIRM-9178</t>
  </si>
  <si>
    <t>QA:  API Testing &amp; bug verification</t>
  </si>
  <si>
    <t>IIRM-4547 — NFR-INT-010: API kit documentation should be available - Application must expose API docs as Swagger docs for all the environments except Production</t>
  </si>
  <si>
    <t>IIRM-9179</t>
  </si>
  <si>
    <t>IIRM: Non-Finance: TPA ID Upload step is displayed and accessible for Non-Financial Endorsement</t>
  </si>
  <si>
    <t>IIRM-9180</t>
  </si>
  <si>
    <t>Bugfixes and Regression testing</t>
  </si>
  <si>
    <t>IIRM-9181</t>
  </si>
  <si>
    <t>QA: Test cases creation</t>
  </si>
  <si>
    <t>IIRM-9182</t>
  </si>
  <si>
    <t>QA: Testing &amp; bug fixes verification</t>
  </si>
  <si>
    <t>IIRM-9183</t>
  </si>
  <si>
    <t>Add a new scheduler component with year, month and day.</t>
  </si>
  <si>
    <t>IIRM-9184</t>
  </si>
  <si>
    <t>Develop the api's to fetch the cron configurations and update the cron configuration</t>
  </si>
  <si>
    <t>IIRM-9185</t>
  </si>
  <si>
    <t xml:space="preserve">Implement the scheduler registry so that the cron job runs based on the DB registered time </t>
  </si>
  <si>
    <t>IIRM-9186</t>
  </si>
  <si>
    <t>Develop the UI to see all the scheduler and edit the scheduler configuration</t>
  </si>
  <si>
    <t>IIRM-9187</t>
  </si>
  <si>
    <t>Create a utility to handle all the guessable words, personal info and pattern info to avoid those in the password</t>
  </si>
  <si>
    <t>IIRM-9188</t>
  </si>
  <si>
    <t>Define Download Restriction Rules</t>
  </si>
  <si>
    <t>IIRM-4470 — NFR-USA-008: Except for approved flows, do not allow download featureFor the files that must not go out of IIRM (to Insurer or TPA) etc</t>
  </si>
  <si>
    <t>IIRM-9189</t>
  </si>
  <si>
    <t>Backend Enforcement: Download Blocking</t>
  </si>
  <si>
    <t>IIRM-9190</t>
  </si>
  <si>
    <t>Password Protection for Approved Outbound Files</t>
  </si>
  <si>
    <t>IIRM-9191</t>
  </si>
  <si>
    <t>Configuration &amp; Feature Flag Support</t>
  </si>
  <si>
    <t>IIRM-9192</t>
  </si>
  <si>
    <t>FE - add TPA and Insurer logos in IBP</t>
  </si>
  <si>
    <t>IIRM-9193</t>
  </si>
  <si>
    <t xml:space="preserve">FE-get the user list by policy </t>
  </si>
  <si>
    <t>IIRM-8341 — IBP: Switch between Employee &amp; HR Role by HR User</t>
  </si>
  <si>
    <t>IIRM-9194</t>
  </si>
  <si>
    <t>IIRM: Non-Finance: Unable to update Full Name and DOB when policy parameter includes Gender</t>
  </si>
  <si>
    <t>IIRM-9195</t>
  </si>
  <si>
    <t>BE-IBP- Get logs for TPA's and Insurers</t>
  </si>
  <si>
    <t>IIRM-9196</t>
  </si>
  <si>
    <t>IIRM: Non-Finance: DOB can be updated even when Age is configured as a policy parameter</t>
  </si>
  <si>
    <t>IIRM-9197</t>
  </si>
  <si>
    <t>QA: Claims: Testing the claims flow</t>
  </si>
  <si>
    <t>IIRM-9198</t>
  </si>
  <si>
    <t>QA: Claims: Validate claim functionality</t>
  </si>
  <si>
    <t>IIRM-9199</t>
  </si>
  <si>
    <t>IIRM: Endorsement: Deleted employees count is not matching in Create Endorsement step</t>
  </si>
  <si>
    <t>IIRM-9200</t>
  </si>
  <si>
    <t>Location Id is not populating after submission in Final Negotiation activity</t>
  </si>
  <si>
    <t>IIRM-9201</t>
  </si>
  <si>
    <t>Upload valid logo while creating TPA profile</t>
  </si>
  <si>
    <t>IIRM-9202</t>
  </si>
  <si>
    <t>Create TPA profile without uploading logo</t>
  </si>
  <si>
    <t>IIRM-9203</t>
  </si>
  <si>
    <t>Reject unsupported file type for TPA logo</t>
  </si>
  <si>
    <t>IIRM-9204</t>
  </si>
  <si>
    <t>Reject TPA logo exceeding maximum file size</t>
  </si>
  <si>
    <t>IIRM-9205</t>
  </si>
  <si>
    <t>Handle corrupted/invalid image content for TPA logo</t>
  </si>
  <si>
    <t>IIRM-9206</t>
  </si>
  <si>
    <t>Preview/thumbnail display after selecting TPA logo</t>
  </si>
  <si>
    <t>IIRM-9207</t>
  </si>
  <si>
    <t>Display TPA logo on iWork TPA details page</t>
  </si>
  <si>
    <t>IIRM-9208</t>
  </si>
  <si>
    <t>Display TPA logo in IBP Customer Care tab</t>
  </si>
  <si>
    <t>IIRM-9209</t>
  </si>
  <si>
    <t>Update TPA logo in iWork and verify propagation</t>
  </si>
  <si>
    <t>IIRM-9210</t>
  </si>
  <si>
    <t>Prevent unauthorized TPA logo upload/update</t>
  </si>
  <si>
    <t>IIRM-9211</t>
  </si>
  <si>
    <t>Upload valid logo while creating Insurer profile</t>
  </si>
  <si>
    <t>IIRM-9212</t>
  </si>
  <si>
    <t>Create Insurer profile without uploading logo</t>
  </si>
  <si>
    <t>IIRM-9213</t>
  </si>
  <si>
    <t>Reject unsupported file type for Insurer logo</t>
  </si>
  <si>
    <t>IIRM-9214</t>
  </si>
  <si>
    <t>Reject Insurer logo exceeding maximum file size</t>
  </si>
  <si>
    <t>IIRM-9215</t>
  </si>
  <si>
    <t>Display Insurer logo on iWork Insurer details page</t>
  </si>
  <si>
    <t>IIRM-9216</t>
  </si>
  <si>
    <t>Display Insurer logo in IBP Customer Care tab</t>
  </si>
  <si>
    <t>IIRM-9217</t>
  </si>
  <si>
    <t>Update Insurer logo in iWork and verify propagation</t>
  </si>
  <si>
    <t>IIRM-9218</t>
  </si>
  <si>
    <t>Prevent unauthorized Insurer logo upload/update</t>
  </si>
  <si>
    <t>IIRM-9219</t>
  </si>
  <si>
    <t>Upload valid logo while creating Company</t>
  </si>
  <si>
    <t>IIRM-9220</t>
  </si>
  <si>
    <t>Create Company without uploading logo</t>
  </si>
  <si>
    <t>IIRM-9221</t>
  </si>
  <si>
    <t>Display company logo on iWork company details page</t>
  </si>
  <si>
    <t>IIRM-9222</t>
  </si>
  <si>
    <t>Update company logo in iWork</t>
  </si>
  <si>
    <t>IIRM-9223</t>
  </si>
  <si>
    <t>Reject unsupported file type for company logo</t>
  </si>
  <si>
    <t>IIRM-9224</t>
  </si>
  <si>
    <t>Prevent unauthorized company logo upload/update</t>
  </si>
  <si>
    <t>IIRM-9225</t>
  </si>
  <si>
    <t>Verify correct logo mapping (no cross-entity mix-up)</t>
  </si>
  <si>
    <t>IIRM-9226</t>
  </si>
  <si>
    <t>Logo removal/replace behavior on update (old logo not shown)</t>
  </si>
  <si>
    <t>IIRM-9227</t>
  </si>
  <si>
    <t>Direct URL access control for logo assets</t>
  </si>
  <si>
    <t>IIRM-9228</t>
  </si>
  <si>
    <t>Performance: logo loads within acceptable time and scales responsively</t>
  </si>
  <si>
    <t>IIRM-9229</t>
  </si>
  <si>
    <t>QA: Claims: Test Data Preparation</t>
  </si>
  <si>
    <t>IIRM-9230</t>
  </si>
  <si>
    <t>QA: Testing happy flow of Claims</t>
  </si>
  <si>
    <t>IIRM-9231</t>
  </si>
  <si>
    <t>QA: Executing Test cases on employee page</t>
  </si>
  <si>
    <t>IIRM-9232</t>
  </si>
  <si>
    <t>QA: Test Data Preparation</t>
  </si>
  <si>
    <t>IIRM-9233</t>
  </si>
  <si>
    <t>Enrollment navigation changes based on Feedback</t>
  </si>
  <si>
    <t>IIRM-9234</t>
  </si>
  <si>
    <t>Design changes based on feedback</t>
  </si>
  <si>
    <t>IIRM-9235</t>
  </si>
  <si>
    <t>IIRM: Claims Upload: Pending amount is duplicated when already processed records are re-uploaded</t>
  </si>
  <si>
    <t>IIRM-9236</t>
  </si>
  <si>
    <t>IIRM: Claims: Claim amount greater than Total Sum Insured is accepted and reflected in Pending Amount KPI</t>
  </si>
  <si>
    <t>IIRM-9237</t>
  </si>
  <si>
    <t>IIRM: Claims Upload: Record is accepted even when Total Sum Insured value is incorrect</t>
  </si>
  <si>
    <t>IIRM-9238</t>
  </si>
  <si>
    <t>IIRM: Claims Settlement: Settled Amount KPI is not updated correctly when claim status is changed to Settled</t>
  </si>
  <si>
    <t>IIRM-9239</t>
  </si>
  <si>
    <t>IIRM: Claims Upload: Record is accepted even when Total Available Balance value is incorrect</t>
  </si>
  <si>
    <t>IIRM-9240</t>
  </si>
  <si>
    <t>IIRM: Claims Upload: Settled Amount KPI is doubled when already successful records are re-uploaded after correcting failed records</t>
  </si>
  <si>
    <t>IIRM-9241</t>
  </si>
  <si>
    <t>IIRM: Claims Upload: Claim records are accepted even when Policy Dates are invalid</t>
  </si>
  <si>
    <t>IIRM-9242</t>
  </si>
  <si>
    <t>IIRM: Claims Upload: Claim records are accepted even when Patient details are incorrect</t>
  </si>
  <si>
    <t>IIRM-9243</t>
  </si>
  <si>
    <t>IIRM-9244</t>
  </si>
  <si>
    <t>Enrollment Upload Optimization(with out choices):file streaming + Chunking + Redis Buckets + Timing Analysis</t>
  </si>
  <si>
    <t>IIRM-9245</t>
  </si>
  <si>
    <t>NFR-SEC-020: Part-1: Disable Password Autocomplete and Prevent Browser Credential Saving</t>
  </si>
  <si>
    <t>IIRM-9246</t>
  </si>
  <si>
    <t>NFR-SEC-020: Part-3: Enforce CAPTCHA Validation on Public-Facing Authentication Forms</t>
  </si>
  <si>
    <t>IIRM-9247</t>
  </si>
  <si>
    <t>Implement Secure Forgot Password and Reset Password Flow</t>
  </si>
  <si>
    <t>IIRM-9248</t>
  </si>
  <si>
    <t>Implement Forced Password Change for Enhanced Account Security</t>
  </si>
  <si>
    <t>IIRM-9249</t>
  </si>
  <si>
    <t>Column Sorting</t>
  </si>
  <si>
    <t>IIRM-9250</t>
  </si>
  <si>
    <t>NFR-SEC-020: Part-2: Forgot Password - II</t>
  </si>
  <si>
    <t>IIRM-9251</t>
  </si>
  <si>
    <t>DPDP - Implementation - Application Level</t>
  </si>
  <si>
    <t>IIRM-9252</t>
  </si>
  <si>
    <t>DPDP - Implementation Database Level</t>
  </si>
  <si>
    <t>IIRM-9253</t>
  </si>
  <si>
    <t>DPDP - Implementation Infra Level</t>
  </si>
  <si>
    <t>IIRM-9254</t>
  </si>
  <si>
    <t>Privacy Notice Display</t>
  </si>
  <si>
    <t>IIRM-9251 — DPDP - Implementation - Application Level</t>
  </si>
  <si>
    <t>IIRM-9255</t>
  </si>
  <si>
    <t>Consent Capture</t>
  </si>
  <si>
    <t>IIRM-9256</t>
  </si>
  <si>
    <t>Consent Withdrawal</t>
  </si>
  <si>
    <t>IIRM-9257</t>
  </si>
  <si>
    <t>Purpose Limitation</t>
  </si>
  <si>
    <t>IIRM-9258</t>
  </si>
  <si>
    <t>Data Minimization</t>
  </si>
  <si>
    <t>IIRM-9259</t>
  </si>
  <si>
    <t>Strong Authentication</t>
  </si>
  <si>
    <t>IIRM-9260</t>
  </si>
  <si>
    <t>RBAC</t>
  </si>
  <si>
    <t>IIRM-9261</t>
  </si>
  <si>
    <t>Remove Shared Accounts</t>
  </si>
  <si>
    <t>IIRM-9262</t>
  </si>
  <si>
    <t>Session Timeout</t>
  </si>
  <si>
    <t>IIRM-9263</t>
  </si>
  <si>
    <t>Input Validation</t>
  </si>
  <si>
    <t>IIRM-9264</t>
  </si>
  <si>
    <t>API Authentication</t>
  </si>
  <si>
    <t>IIRM-9265</t>
  </si>
  <si>
    <t>Rate Limiting</t>
  </si>
  <si>
    <t>IIRM-9266</t>
  </si>
  <si>
    <t>App Activity Logging</t>
  </si>
  <si>
    <t>IIRM-9267</t>
  </si>
  <si>
    <t>Failed Login Logging</t>
  </si>
  <si>
    <t>IIRM-9268</t>
  </si>
  <si>
    <t>IIRM-9269</t>
  </si>
  <si>
    <t>IIRM-9270</t>
  </si>
  <si>
    <t>Log Retention 1 Year</t>
  </si>
  <si>
    <t>IIRM-9271</t>
  </si>
  <si>
    <t>SIEM Integration</t>
  </si>
  <si>
    <t>IIRM-9272</t>
  </si>
  <si>
    <t>Data Deletion Workflow</t>
  </si>
  <si>
    <t>IIRM-9273</t>
  </si>
  <si>
    <t>Data Correction</t>
  </si>
  <si>
    <t>IIRM-9274</t>
  </si>
  <si>
    <t>Data Export</t>
  </si>
  <si>
    <t>IIRM-9275</t>
  </si>
  <si>
    <t>Grievance/DPO Display</t>
  </si>
  <si>
    <t>IIRM-9276</t>
  </si>
  <si>
    <t>Secure Dev Practices</t>
  </si>
  <si>
    <t>IIRM-9277</t>
  </si>
  <si>
    <t>Static Code Scanning</t>
  </si>
  <si>
    <t>IIRM-9278</t>
  </si>
  <si>
    <t>Vulnerability Scanning</t>
  </si>
  <si>
    <t>IIRM-9279</t>
  </si>
  <si>
    <t>Pre-release Security Test</t>
  </si>
  <si>
    <t>IIRM-9280</t>
  </si>
  <si>
    <t>HTTPS/TLS - Enforce TLS 1.2+</t>
  </si>
  <si>
    <t>IIRM-9281</t>
  </si>
  <si>
    <t>Secrets in Vault - Store secrets securely</t>
  </si>
  <si>
    <t>IIRM-9282</t>
  </si>
  <si>
    <t>Application Data Flow Map</t>
  </si>
  <si>
    <t>IIRM-9283</t>
  </si>
  <si>
    <t>No Prod Data in UAT - Mask PII</t>
  </si>
  <si>
    <t>IIRM-9284</t>
  </si>
  <si>
    <t>CAPTCHA Implementation</t>
  </si>
  <si>
    <t>IIRM-9285</t>
  </si>
  <si>
    <t>DB Encryption at Rest (TDE) - Enable TDE</t>
  </si>
  <si>
    <t>IIRM-9252 — DPDP - Implementation Database Level</t>
  </si>
  <si>
    <t>IIRM-9286</t>
  </si>
  <si>
    <t>Encrypted DB Backups</t>
  </si>
  <si>
    <t>IIRM-9287</t>
  </si>
  <si>
    <t>Least Privilege DB Access</t>
  </si>
  <si>
    <t>IIRM-9288</t>
  </si>
  <si>
    <t>Unique DBA Accounts</t>
  </si>
  <si>
    <t>IIRM-9289</t>
  </si>
  <si>
    <t>DB MFA</t>
  </si>
  <si>
    <t>IIRM-9290</t>
  </si>
  <si>
    <t>Privilege Review Quarterly</t>
  </si>
  <si>
    <t>IIRM-9291</t>
  </si>
  <si>
    <t>DB-Level Data Minimization</t>
  </si>
  <si>
    <t>IIRM-9292</t>
  </si>
  <si>
    <t>DB Log Retention 1 Year</t>
  </si>
  <si>
    <t>IIRM-9293</t>
  </si>
  <si>
    <t>Forward DB Logs to SIEM</t>
  </si>
  <si>
    <t>IIRM-9294</t>
  </si>
  <si>
    <t>PII Masking in Non-Prod</t>
  </si>
  <si>
    <t>IIRM-9295</t>
  </si>
  <si>
    <t>IIRM-9296</t>
  </si>
  <si>
    <t>Archival Policy</t>
  </si>
  <si>
    <t>IIRM-9297</t>
  </si>
  <si>
    <t>DB Restore Testing</t>
  </si>
  <si>
    <t>IIRM-9298</t>
  </si>
  <si>
    <t>Backup Retention Policy</t>
  </si>
  <si>
    <t>IIRM-9299</t>
  </si>
  <si>
    <t>DB Patch Compliance</t>
  </si>
  <si>
    <t>IIRM-9300</t>
  </si>
  <si>
    <t>DB Hardening</t>
  </si>
  <si>
    <t>IIRM-9301</t>
  </si>
  <si>
    <t>DB VLAN Segregation</t>
  </si>
  <si>
    <t>IIRM-9302</t>
  </si>
  <si>
    <t>No Internet Exposure</t>
  </si>
  <si>
    <t>IIRM-9303</t>
  </si>
  <si>
    <t>TLS for DB Connections</t>
  </si>
  <si>
    <t>IIRM-9304</t>
  </si>
  <si>
    <t>DB Data Flow Map</t>
  </si>
  <si>
    <t>IIRM-9305</t>
  </si>
  <si>
    <t>Legacy DB Cleanup</t>
  </si>
  <si>
    <t>IIRM-9306</t>
  </si>
  <si>
    <t>Vendor DPDP Clauses</t>
  </si>
  <si>
    <t>IIRM-9307</t>
  </si>
  <si>
    <t>Schema Change Control</t>
  </si>
  <si>
    <t>IIRM-9308</t>
  </si>
  <si>
    <t>DB DR Plan</t>
  </si>
  <si>
    <t>IIRM-9309</t>
  </si>
  <si>
    <t>DB Credentials in Vault</t>
  </si>
  <si>
    <t>IIRM-9310</t>
  </si>
  <si>
    <t>DB Performance Logging</t>
  </si>
  <si>
    <t>IIRM-9311</t>
  </si>
  <si>
    <t>No Prod PII in Test</t>
  </si>
  <si>
    <t>IIRM-9312</t>
  </si>
  <si>
    <t>Utility - File Transformation - TPA - Inbound - TPA Data (Inception/Endorsement - Step-6: Upload TPA Data)</t>
  </si>
  <si>
    <t>IIRM-9313</t>
  </si>
  <si>
    <t>IIRM: Inception: Incorrect “Employee ID mismatch for dependent” error for child records</t>
  </si>
  <si>
    <t>IIRM-9314</t>
  </si>
  <si>
    <t>IIRM: Forgot Password: Incorrect Toast Message Displayed When Password Link Expires</t>
  </si>
  <si>
    <t>IIRM-9315</t>
  </si>
  <si>
    <t>IIRM: Manage Claims: Incorrect timestamp displayed on hovering uploaded files</t>
  </si>
  <si>
    <t>IIRM-9316</t>
  </si>
  <si>
    <t>IIRM: Manage Claims: Incorrect total, success, and failure record counts displayed after upload</t>
  </si>
  <si>
    <t>IIRM-9317</t>
  </si>
  <si>
    <t>IIRM: Manage Claims: Incorrect TPA validation error displayed while uploading claims</t>
  </si>
  <si>
    <t>IIRM-9319</t>
  </si>
  <si>
    <t>TPA_Insurer_Logo: Unable to view company, TPA, Insurer logo after upload</t>
  </si>
  <si>
    <t>IIRM-9320</t>
  </si>
  <si>
    <t>Lock User Account After Multiple Unsuccessful Login Attempts</t>
  </si>
  <si>
    <t>Vara Kumar Jagarapu</t>
  </si>
  <si>
    <t>IIRM-9321</t>
  </si>
  <si>
    <t>IIRM: Forgot password: Force password change on first login</t>
  </si>
  <si>
    <t>IIRM-9322</t>
  </si>
  <si>
    <t>Make Copy–Paste Behavior Configurable at Application Level</t>
  </si>
  <si>
    <t>IIRM-9323</t>
  </si>
  <si>
    <t>IIRM: Forgot Password: Block application access until password change is completed</t>
  </si>
  <si>
    <t>IIRM-9324</t>
  </si>
  <si>
    <t>Identify and Document Industry-Standard PII Fields</t>
  </si>
  <si>
    <t>IIRM-9325</t>
  </si>
  <si>
    <t>IIRM-9250 — NFR-SEC-020: Part-2: Forgot Password - II</t>
  </si>
  <si>
    <t>IIRM-9326</t>
  </si>
  <si>
    <t>QA: Testing and Bug Fixes verification</t>
  </si>
  <si>
    <t>IIRM-9327</t>
  </si>
  <si>
    <t>Export to Excel</t>
  </si>
  <si>
    <t>IIRM-9328</t>
  </si>
  <si>
    <t>IIRM: Forgot Password: Enforce password expiry and require reset</t>
  </si>
  <si>
    <t>IIRM-9329</t>
  </si>
  <si>
    <t xml:space="preserve">IIRM: Forgot Password: Prevent usage of last 5 passwords </t>
  </si>
  <si>
    <t>IIRM-9330</t>
  </si>
  <si>
    <t>IIRM: Downloaded Password-Protected ZIP Files Fail to Open on Windows</t>
  </si>
  <si>
    <t>IIRM-9331</t>
  </si>
  <si>
    <t>IIRM: Forgot Password: Verify that the Forgot Password reset link can be used only once</t>
  </si>
  <si>
    <t>IIRM-9332</t>
  </si>
  <si>
    <t>IIRM: Password Protection Not Enforced for Certain Downloadable Files</t>
  </si>
  <si>
    <t>IIRM-9334</t>
  </si>
  <si>
    <t>IIRM: Manage Claims: Claims upload is marked as Failed without generating error file</t>
  </si>
  <si>
    <t>IIRM-9335</t>
  </si>
  <si>
    <t>QA: Documenting Test Cases</t>
  </si>
  <si>
    <t>IIRM-9336</t>
  </si>
  <si>
    <t>IIRM-9160 — Send to Insurer/Client - View, Add, or Update receiver Email Id in Endorsement/Inception flow</t>
  </si>
  <si>
    <t>IIRM-9337</t>
  </si>
  <si>
    <t xml:space="preserve">PROD Bug: Insurer Location Getting Changed | Opp. No.666698 | Eurofins Amar | GMC </t>
  </si>
  <si>
    <t>IIRM-9338</t>
  </si>
  <si>
    <t>IIRM: Manage Policies: Claims Upload: Success KPI is not updated when an already settled claim record is edited</t>
  </si>
  <si>
    <t>IIRM-9339</t>
  </si>
  <si>
    <t>IIRM: Manage Policies: Claims Upload: Pending Amount and Success KPI are not updated after re-uploading updated claim amount</t>
  </si>
  <si>
    <t>IIRM-9340</t>
  </si>
  <si>
    <t>IIRM: Manage Policies: Claims Upload: Settled Amount KPI is not updated after re-uploading updated settled amount</t>
  </si>
  <si>
    <t>IIRM-9341</t>
  </si>
  <si>
    <t>IIRM: Manage Policies: Claims Upload: Records are marked as Success even when an invalid Policy ID is provided</t>
  </si>
  <si>
    <t>IIRM-9342</t>
  </si>
  <si>
    <t xml:space="preserve">QA:Test cases Creation </t>
  </si>
  <si>
    <t>IIRM-9343</t>
  </si>
  <si>
    <t>QA: Testing and Bug fixes verification</t>
  </si>
  <si>
    <t>IIRM-9344</t>
  </si>
  <si>
    <t>Non-visibility of updated Task Entries on i-Work Portal. - Iwork</t>
  </si>
  <si>
    <t>IIRM-9345</t>
  </si>
  <si>
    <t>cron-job for handling password hashing</t>
  </si>
  <si>
    <t>IIRM-9346</t>
  </si>
  <si>
    <t>FE - Refactored the utility to perform validations before saving configurations</t>
  </si>
  <si>
    <t>IIRM-9162 — Utility - File Transformation - Insurer - Outbound - Employee Data (Inception/Endorsement - Step-3: Send to Insurer)</t>
  </si>
  <si>
    <t>IIRM-9347</t>
  </si>
  <si>
    <t>BE - Refactored the ‘Send to Insurer’ step to generate Excel files based on the user-defined schema - Financial</t>
  </si>
  <si>
    <t>IIRM-9348</t>
  </si>
  <si>
    <t>BE - Refactored the ‘Send to Insurer’ step to generate Excel files based on the user-defined schema - Non Financial</t>
  </si>
  <si>
    <t>IIRM-9349</t>
  </si>
  <si>
    <t>IBP: relations-constraints-dependents API failed on login process for GMC policy</t>
  </si>
  <si>
    <t>IIRM-9350</t>
  </si>
  <si>
    <t>IBP: ActivePolicy: Instead of logo 0 displays on Policy enrolled card</t>
  </si>
  <si>
    <t>IIRM-9351</t>
  </si>
  <si>
    <t>Policy Config - Per Mille - Allow Maximum of 4 Decimals</t>
  </si>
  <si>
    <t>IIRM-9352</t>
  </si>
  <si>
    <t>IBP: Logo: Insurer logo not getting triggerd on customer care page</t>
  </si>
  <si>
    <t>IIRM-9353</t>
  </si>
  <si>
    <t>IBP:Logo: Insurer and TPA details not getting trigerred</t>
  </si>
  <si>
    <t>IIRM-9354</t>
  </si>
  <si>
    <t>IBP: Logo: Logo enchancement on active policy card</t>
  </si>
  <si>
    <t>IIRM-9355</t>
  </si>
  <si>
    <t>IIRM: File download is failed for existing files on Knowledge central</t>
  </si>
  <si>
    <t>IIRM-9356</t>
  </si>
  <si>
    <t>IIRM : Downloads are failed for some file formats</t>
  </si>
  <si>
    <t>IIRM-9357</t>
  </si>
  <si>
    <t>IIRM: Manage Claims: Incorrect error message displayed when an invalid Employee ID is uploaded for a valid Policy ID</t>
  </si>
  <si>
    <t>IIRM-9358</t>
  </si>
  <si>
    <t>IIRM: Manage Claims: Error file is not generated when claims are uploaded for a different TPA than the selected TPA</t>
  </si>
  <si>
    <t>IIRM-9359</t>
  </si>
  <si>
    <t>IIRM: Employee tab: "Ack date from insurer” data is not displayed for Dependents</t>
  </si>
  <si>
    <t>IIRM-9360</t>
  </si>
  <si>
    <t>IIRM: Employee Tab: “Endorsement Effective Date” is displayed inconsistently for Self and Dependents</t>
  </si>
  <si>
    <t>IIRM-9361</t>
  </si>
  <si>
    <t>IIRM: Employee Tab: “Insurer Endorsement Number” data is displayed inconsistently across Inc/End steps</t>
  </si>
  <si>
    <t>IIRM-9362</t>
  </si>
  <si>
    <t>IIRM: UAT: Inception: Employee details are missing in the Inception Document file during the “Send Inception to Insurer” step</t>
  </si>
  <si>
    <t>IIRM-9363</t>
  </si>
  <si>
    <t>IIRM: Employee tab: Deleted employees are completely removed from the Employees table</t>
  </si>
  <si>
    <t>IIRM-9367</t>
  </si>
  <si>
    <t>IIRM: Inception: Addition/Deletion employees count is incorrectly displayed in the Create Endorsement step and Track Endorsement table</t>
  </si>
  <si>
    <t>IIRM-9368</t>
  </si>
  <si>
    <t>Add master seed data to the master table</t>
  </si>
  <si>
    <t>IIRM-9312 — Utility - File Transformation - TPA - Inbound - TPA Data (Inception/Endorsement - Step-6: Upload TPA Data)</t>
  </si>
  <si>
    <t>IIRM-9369</t>
  </si>
  <si>
    <t>Integrate utility for TPA configuration</t>
  </si>
  <si>
    <t>IIRM-9370</t>
  </si>
  <si>
    <t>IIRM: Employee tab: Filters are not working as expected</t>
  </si>
  <si>
    <t>IIRM-9371</t>
  </si>
  <si>
    <t>QA: Validating the New Columns and Download Details functionality</t>
  </si>
  <si>
    <t>IIRM-9372</t>
  </si>
  <si>
    <t>IIRM-9161 — Utility - File Transformation - Client - Outbound - Employee Data (Inception/Endorsement - Step-5: Send to Client)</t>
  </si>
  <si>
    <t>IIRM-9373</t>
  </si>
  <si>
    <t>QA: Re-Verifying the bugs</t>
  </si>
  <si>
    <t>IIRM-9374</t>
  </si>
  <si>
    <t>QA: Test Case Execution and Documenting bugs</t>
  </si>
  <si>
    <t>IIRM-9375</t>
  </si>
  <si>
    <t>IIRM-9376</t>
  </si>
  <si>
    <t>IIRM-9164 — Utility - File Transformation - TPA - Inbound - Employee Data (Upload Claims per TPA)</t>
  </si>
  <si>
    <t>IIRM-9377</t>
  </si>
  <si>
    <t>IIRM-9378</t>
  </si>
  <si>
    <t>QA: Executing Test Cases and Documenting Bugs</t>
  </si>
  <si>
    <t>IIRM-9379</t>
  </si>
  <si>
    <t>IIRM-9380</t>
  </si>
  <si>
    <t>IIRM-9381</t>
  </si>
  <si>
    <t>IIRM-9382</t>
  </si>
  <si>
    <t>IIRM-9383</t>
  </si>
  <si>
    <t>QA: File Transformation: Send To Insurer(Step-3): Documenting Test Cases</t>
  </si>
  <si>
    <t>IIRM-9384</t>
  </si>
  <si>
    <t>QA: File Transformation: Send To Insurer(Step-3): Executing Test Cases and Documenting Bugs</t>
  </si>
  <si>
    <t>IIRM-9385</t>
  </si>
  <si>
    <t>QA: File Transformation: Send To Insurer(Step-3): Re-Verifying the bugs</t>
  </si>
  <si>
    <t>IIRM-9386</t>
  </si>
  <si>
    <t>QA: File Transformation: Send To Insurer(Step-3): Test Data Preparation</t>
  </si>
  <si>
    <t>IIRM-9387</t>
  </si>
  <si>
    <t>IIRM-9163 — Utility - File Transformation - Client - Inbound - Employee Data (Inception/Endorsement - Step-1: Upload Employee Data)</t>
  </si>
  <si>
    <t>IIRM-9388</t>
  </si>
  <si>
    <t>QA: Testing and Documenting Bugs</t>
  </si>
  <si>
    <t>IIRM-9389</t>
  </si>
  <si>
    <t>IIRM-9390</t>
  </si>
  <si>
    <t>IIRM-9391</t>
  </si>
  <si>
    <t>Create a GET api for insurers and clients</t>
  </si>
  <si>
    <t>IIRM-9392</t>
  </si>
  <si>
    <t>Create a POST api for insurers and clients</t>
  </si>
  <si>
    <t>IIRM-9393</t>
  </si>
  <si>
    <t>Implementation of modal as per screens</t>
  </si>
  <si>
    <t>IIRM-9394</t>
  </si>
  <si>
    <t xml:space="preserve">Implementation of add and edit contact </t>
  </si>
  <si>
    <t>IIRM-9395</t>
  </si>
  <si>
    <t>API integration for both insurers and companies</t>
  </si>
  <si>
    <t>IIRM-9396</t>
  </si>
  <si>
    <t>QA: File Transformation: TPA ID Upload(6th Step): Documenting Test Cases</t>
  </si>
  <si>
    <t>IIRM-9397</t>
  </si>
  <si>
    <t>QA: File Transformation: TPA ID Upload(6th Step): Executing Test Cases and Documenting Bugs</t>
  </si>
  <si>
    <t>IIRM-9398</t>
  </si>
  <si>
    <t>QA: File Transformation: TPA ID Upload(6th Step): Re-Verifying the bugs</t>
  </si>
  <si>
    <t>IIRM-9399</t>
  </si>
  <si>
    <t>QA: File Transformation: TPA ID Upload(6th Step): Test Data Preparation</t>
  </si>
  <si>
    <t>IIRM-9400</t>
  </si>
  <si>
    <t>Enrollment Batch Processing – Progress &amp; DB Timing Logs</t>
  </si>
  <si>
    <t>IIRM-9401</t>
  </si>
  <si>
    <t>Run Incremental Enrollment Load Tests (10k → 20k → 100k) &amp; Track Processing Time</t>
  </si>
  <si>
    <t>IIRM-9402</t>
  </si>
  <si>
    <t>QA: Testing&amp; Bug fixes verification</t>
  </si>
  <si>
    <t>IIRM-9403</t>
  </si>
  <si>
    <t>IIRM: Prepare Automation Test script for Bulk upload functionallity</t>
  </si>
  <si>
    <t>IIRM-9404</t>
  </si>
  <si>
    <t>IIRM: Verify TPA-specific template download and usage during TPA ID Upload</t>
  </si>
  <si>
    <t>IIRM-9405</t>
  </si>
  <si>
    <t>IIRM: Verify system behavior when TPA is selected but no template is configured</t>
  </si>
  <si>
    <t>IIRM-9406</t>
  </si>
  <si>
    <t>IIRM: Verify error handling when TPA is not selected during Placement Slip Generation</t>
  </si>
  <si>
    <t>IIRM-9407</t>
  </si>
  <si>
    <t>IIRM: Verify validation, error file generation, and remarks for TPA ID upload failures</t>
  </si>
  <si>
    <t>IIRM-9408</t>
  </si>
  <si>
    <t>Analysis of task</t>
  </si>
  <si>
    <t>IIRM-9409</t>
  </si>
  <si>
    <t>IIRM: Verify data persistence and downstream consistency after successful TPA ID upload</t>
  </si>
  <si>
    <t>IIRM-9410</t>
  </si>
  <si>
    <t>IIRM: Verify version-lock behavior when TPA template changes during upload</t>
  </si>
  <si>
    <t>IIRM-9411</t>
  </si>
  <si>
    <t>File Upload Infrastructure &amp; Processing Pipeline</t>
  </si>
  <si>
    <t>IIRM-9412</t>
  </si>
  <si>
    <t>Template Management System with Versioning &amp; Approval Workflow</t>
  </si>
  <si>
    <t>IIRM-9413</t>
  </si>
  <si>
    <t>Data Transformation Engine &amp; Validation Framework</t>
  </si>
  <si>
    <t>IIRM-9414</t>
  </si>
  <si>
    <t>Database Schema Implementation &amp; Enterprise Audit System</t>
  </si>
  <si>
    <t>IIRM-9415</t>
  </si>
  <si>
    <t>QA: API verification on notifications info API and email trigger API's</t>
  </si>
  <si>
    <t>IIRM-9416</t>
  </si>
  <si>
    <t>QA: Validating claims on manage claims page</t>
  </si>
  <si>
    <t>IIRM-9417</t>
  </si>
  <si>
    <t>India: Send to Client/Insurer from email address must be configurable</t>
  </si>
  <si>
    <t>IIRM-9418</t>
  </si>
  <si>
    <t>CR: Calculate premium based on age of dependent if policy is per life</t>
  </si>
  <si>
    <t>IIRM-9419</t>
  </si>
  <si>
    <t>IIRM: The SI is not reflected correctly in the Policy Choices step</t>
  </si>
  <si>
    <t>IIRM-9420</t>
  </si>
  <si>
    <t>R&amp;D: For file password protection issue debbug in windows</t>
  </si>
  <si>
    <t>IIRM-9421</t>
  </si>
  <si>
    <t>Password configuration for files</t>
  </si>
  <si>
    <t>IIRM-9422</t>
  </si>
  <si>
    <t>Policy Config: Calculate based on the live's (Self or Dependent) current age, not the running year from DOB</t>
  </si>
  <si>
    <t>IIRM-9423</t>
  </si>
  <si>
    <t>Inception/Endorsement File Processing - Trim the empty space in the "Intake Type" Column</t>
  </si>
  <si>
    <t>IIRM-9424</t>
  </si>
  <si>
    <t>Implement column mapping and persist mapped data to the database</t>
  </si>
  <si>
    <t>IIRM-9425</t>
  </si>
  <si>
    <t>Implement source-level validations</t>
  </si>
  <si>
    <t>IIRM-9426</t>
  </si>
  <si>
    <t>Analysis of the Story and Technical KT</t>
  </si>
  <si>
    <t>IIRM-9427</t>
  </si>
  <si>
    <t>IIRM: Manage Claims: Incorrect and irrelevant error message displayed when wrong dependent name is entered in Patient Name field</t>
  </si>
  <si>
    <t>IIRM-9428</t>
  </si>
  <si>
    <t>R&amp;D-trapi implementation</t>
  </si>
  <si>
    <t>IIRM-9077 — Satrapi Implementation</t>
  </si>
  <si>
    <t>IIRM-9429</t>
  </si>
  <si>
    <t>Task 1: Backend - Bulk Download API Implementation &amp; Gateway Configuration</t>
  </si>
  <si>
    <t>IIRM-4483 — NFR-USA-022: Bulk document download facility should be available</t>
  </si>
  <si>
    <t>IIRM-9430</t>
  </si>
  <si>
    <t>Task 2: Frontend - Bulk Download UI, User Interaction &amp; Download Functionality</t>
  </si>
  <si>
    <t>IIRM-9431</t>
  </si>
  <si>
    <t>Task 3: Frontend - Performance Optimization &amp; Multi-Page Integration</t>
  </si>
  <si>
    <t>IIRM-9432</t>
  </si>
  <si>
    <t>CITI_PRE_PROD: 647474 upload issues</t>
  </si>
  <si>
    <t>IIRM-9433</t>
  </si>
  <si>
    <t>PROD:526819 Issue with the file upload for the endorsement 1650</t>
  </si>
  <si>
    <t>IIRM-9434</t>
  </si>
  <si>
    <t>PROD: 645592 issue with inception data</t>
  </si>
  <si>
    <t>IIRM-9435</t>
  </si>
  <si>
    <t>PROD: 645593 Issue with inception data</t>
  </si>
  <si>
    <t>IIRM-9436</t>
  </si>
  <si>
    <t>PROD: 337821 Issue with 1491 endorsement</t>
  </si>
  <si>
    <t>IIRM-9437</t>
  </si>
  <si>
    <t>PROD: 644584 Issue with premiums for inception</t>
  </si>
  <si>
    <t>IIRM-9438</t>
  </si>
  <si>
    <t>IIRM: Bulk Download: Verify that a user can successfully select multiple valid documents and download them as a single ZIP file.</t>
  </si>
  <si>
    <t>IIRM-9439</t>
  </si>
  <si>
    <t>IIRM: Bulk Download: Validate frontend UI behavior during document selection and download flow.</t>
  </si>
  <si>
    <t>IIRM-9440</t>
  </si>
  <si>
    <t>IIRM: Bulk Download: Ensure smooth performance when selecting many documents and using “Select All”.</t>
  </si>
  <si>
    <t>IIRM-9441</t>
  </si>
  <si>
    <t>IIRM: Bulk Download: Verify bulk download works consistently across all document sections with correct ZIP naming.</t>
  </si>
  <si>
    <t>IIRM-9442</t>
  </si>
  <si>
    <t>GMC- Claims KPIs enhancement</t>
  </si>
  <si>
    <t>Enable Parent-Child Policy Mapping for GMC and Sub-Plans (Parental, OPD, Dental, Others)</t>
  </si>
  <si>
    <t>IIRM-9444</t>
  </si>
  <si>
    <t>Migrate from Azure OpenAI gpt-4o-mini to a supported model by 9 Mar 2026 (retired on 31 Mar 2026)</t>
  </si>
  <si>
    <t>IIRM-9445</t>
  </si>
  <si>
    <t>QA: Testing and Documenting bugs</t>
  </si>
  <si>
    <t>IIRM-9422 — Policy Config: Calculate based on the live's (Self or Dependent) current age, not the running year from DOB</t>
  </si>
  <si>
    <t>IIRM-9446</t>
  </si>
  <si>
    <t>IIRM-9423 — Inception/Endorsement File Processing - Trim the empty space in the "Intake Type" Column</t>
  </si>
  <si>
    <t>IIRM-9447</t>
  </si>
  <si>
    <t>IIRM-9351 — Policy Config - Per Mille - Allow Maximum of 4 Decimals</t>
  </si>
  <si>
    <t>IIRM-9448</t>
  </si>
  <si>
    <t>IIRM-9449</t>
  </si>
  <si>
    <t>FE-004: Add filters for approval_status, active_status, channel type &amp; subject search and integrate with get templates api</t>
  </si>
  <si>
    <t>Balendra kumar</t>
  </si>
  <si>
    <t>IIRM-9450</t>
  </si>
  <si>
    <t>IIRM: Manage Claims: Claim batch Sorting is not matching throughout the application</t>
  </si>
  <si>
    <t>IIRM-9451</t>
  </si>
  <si>
    <t>Inception/Endorsement: On downloaded template parents dummy data not showing.</t>
  </si>
  <si>
    <t>IIRM-9452</t>
  </si>
  <si>
    <t>IIRM: Bulk Download Fails for Large File Selection</t>
  </si>
  <si>
    <t>IIRM-9453</t>
  </si>
  <si>
    <t>Endorsement: For invalid data failure count not showing</t>
  </si>
  <si>
    <t>IIRM-9454</t>
  </si>
  <si>
    <t>Endorsement: Count mismatch occured from uploaded file.</t>
  </si>
  <si>
    <t>IIRM-9455</t>
  </si>
  <si>
    <t>Endorsment: Single remark should not be shown 1 combination of 3 records</t>
  </si>
  <si>
    <t>IIRM-9456</t>
  </si>
  <si>
    <t>Endorsment: Invalid remark shown, if intake type is provided as NULL.</t>
  </si>
  <si>
    <t>IIRM-9457</t>
  </si>
  <si>
    <t>Endorsement: Self record should get success, if email is not provided for self record, invalid remark should't be shown</t>
  </si>
  <si>
    <t>IIRM-9458</t>
  </si>
  <si>
    <t>IIRM: Bulk Download Button is removed When Selecting All Entries</t>
  </si>
  <si>
    <t>IIRM-9459</t>
  </si>
  <si>
    <t>IIRM: “Select All” Applies Only to Current Page, Not Across Paginated Pages</t>
  </si>
  <si>
    <t>IIRM-9460</t>
  </si>
  <si>
    <t>Create Company - Contact number - Duplicate check</t>
  </si>
  <si>
    <t>IIRM-9461</t>
  </si>
  <si>
    <t>Need to build the employee scope common function</t>
  </si>
  <si>
    <t>IIRM-9462</t>
  </si>
  <si>
    <t>Payline India Accounting Services Pvt Office Package Policy 1175653 Error in terrorism premium &amp; GST calculation</t>
  </si>
  <si>
    <t>IIRM-9463</t>
  </si>
  <si>
    <t>On the My Company page, the Portfolio section should include a hyperlink for the Policy Number column</t>
  </si>
  <si>
    <t>IIRM-9464</t>
  </si>
  <si>
    <t>Non-visibility of updated Task Entries on i-Work Portal - Iwork</t>
  </si>
  <si>
    <t>IIRM-9465</t>
  </si>
  <si>
    <t>Employee Hierarchy (Ex: Ramakrishna Sir should not report to the system user)</t>
  </si>
  <si>
    <t>IIRM-9466</t>
  </si>
  <si>
    <t>Link the Meetings into the Opportunity activities</t>
  </si>
  <si>
    <t>IIRM-9467</t>
  </si>
  <si>
    <t>Link the Notes into the Opportunity activities</t>
  </si>
  <si>
    <t>IIRM-9468</t>
  </si>
  <si>
    <t>Show only relevant Tasks, Meetings and notes when we are in the opportunity details page</t>
  </si>
  <si>
    <t>IIRM-9469</t>
  </si>
  <si>
    <t>Roles And Access needs to re-modify</t>
  </si>
  <si>
    <t>IIRM-9470</t>
  </si>
  <si>
    <t>Adding a policy to an existing CD account</t>
  </si>
  <si>
    <t>IIRM-9471</t>
  </si>
  <si>
    <t>CD Statement - Export to Excel (CD Statement - Export to Excel ( Remove Export Visibility to all users except "System Admin")</t>
  </si>
  <si>
    <t>IIRM-9472</t>
  </si>
  <si>
    <t>Manage Policy: Policy Id should be displayed in table &amp; in table setting. Also should be in Smart Search</t>
  </si>
  <si>
    <t>IIRM-9473</t>
  </si>
  <si>
    <t>Merging multiple CD accounts</t>
  </si>
  <si>
    <t>IIRM-9474</t>
  </si>
  <si>
    <t>Create/edit email templates with versioning and send email, save a copy and scoping at a company level</t>
  </si>
  <si>
    <t>IIRM-9475</t>
  </si>
  <si>
    <t>Optimise FAQ's and hospital network by reducing the duplicates</t>
  </si>
  <si>
    <t>IIRM-9476</t>
  </si>
  <si>
    <t>Implement Rich text editor for email templates and FAQ's (POC)</t>
  </si>
  <si>
    <t>IIRM-9477</t>
  </si>
  <si>
    <t>Company level logo's for Insurer, TPA and Company</t>
  </si>
  <si>
    <t>IIRM-9478</t>
  </si>
  <si>
    <t>Maps integration to identify nearby locations (BE calculations and FE representation)</t>
  </si>
  <si>
    <t>IIRM-9479</t>
  </si>
  <si>
    <t>IBP: HR Portal - Dashboard</t>
  </si>
  <si>
    <t>IIRM-9480</t>
  </si>
  <si>
    <t>Process the TPA input file</t>
  </si>
  <si>
    <t>IIRM-9481</t>
  </si>
  <si>
    <t>Generate error file based on user-defined headers</t>
  </si>
  <si>
    <t>IIRM-9482</t>
  </si>
  <si>
    <t>Endorsement Validation &amp; Inception File Errors – Member Enrollment, Premium Mismatch, and Parameter Format Issue</t>
  </si>
  <si>
    <t>IIRM-9483</t>
  </si>
  <si>
    <t>Endorsement: Delay in template download</t>
  </si>
  <si>
    <t>IIRM-9484</t>
  </si>
  <si>
    <t>Endorsement: Unable to get endorsement file in step 3 for addition/deletion process.</t>
  </si>
  <si>
    <t>IIRM-9485</t>
  </si>
  <si>
    <t>Create Privilege-Based UI Screen in iWork to Expose Swagger Links</t>
  </si>
  <si>
    <t>IIRM-9486</t>
  </si>
  <si>
    <t>NFR-INT-009 -01- Should support SMS, and WhatsappNote</t>
  </si>
  <si>
    <t>IIRM-9487</t>
  </si>
  <si>
    <t>NFR-OTH-020:  The scheduler service must allow for automated night jobs and event-driven task execution. Part-2</t>
  </si>
  <si>
    <t>IIRM-9488</t>
  </si>
  <si>
    <t>We need to get the nature of the scheduler and the drill down</t>
  </si>
  <si>
    <t>IIRM-9487 — NFR-OTH-020:  The scheduler service must allow for automated night jobs and event-driven task execution. Part-2</t>
  </si>
  <si>
    <t>IIRM-9489</t>
  </si>
  <si>
    <t>Email communication for the failed schedulars</t>
  </si>
  <si>
    <t>IIRM-9490</t>
  </si>
  <si>
    <t>Retriggering of the schedulers</t>
  </si>
  <si>
    <t>IIRM-9491</t>
  </si>
  <si>
    <t xml:space="preserve">Download Claims Template functionality </t>
  </si>
  <si>
    <t>IIRM-9492</t>
  </si>
  <si>
    <t>IIRM: Manage Claims: Incorrect TAT Display</t>
  </si>
  <si>
    <t>IIRM-9493</t>
  </si>
  <si>
    <t>IIRM: The 'Disable Password Autocomplete' and 'Prevent Browser Credential Saving' features are not working in the Firefox browser.</t>
  </si>
  <si>
    <t>IIRM-9494</t>
  </si>
  <si>
    <t>IIRM: TPA: Config Template: Upload Data File Step Issues</t>
  </si>
  <si>
    <t>IIRM-9495</t>
  </si>
  <si>
    <t>IIRM: Insurer: Config Template: Upload Data File Step Issues</t>
  </si>
  <si>
    <t>IIRM-9496</t>
  </si>
  <si>
    <t>IIRM: TPA: Template Mapping: Few Client Columns Are Not Visible in the UI</t>
  </si>
  <si>
    <t>IIRM-9497</t>
  </si>
  <si>
    <t>IIRM: Insurer: Template Mapping: Few Client Columns Are Not Visible in the UI</t>
  </si>
  <si>
    <t>IIRM-9498</t>
  </si>
  <si>
    <t>Several opportunities have passed their expiry date (e.g., expired on 31/12/2025) but are still not being automatically marked as Lost. As a result, these opportunities cannot be extended. This issue is occurring in multiple cases(1175632)</t>
  </si>
  <si>
    <t>IIRM-9499</t>
  </si>
  <si>
    <t>IIRM: Password Still Enforced for Inception Files Even When Password Is Disabled in Configuration</t>
  </si>
  <si>
    <t>IIRM-9500</t>
  </si>
  <si>
    <t>IIRM: File Utility: TPA/Insurer: Template Mapping: Date and Gender data transformation pop-up issues</t>
  </si>
  <si>
    <t>IIRM-9501</t>
  </si>
  <si>
    <t>For RO Opportunities, covers captured/modified are not getting saved in broking slip stage</t>
  </si>
  <si>
    <t>IIRM-9502</t>
  </si>
  <si>
    <t>RO opportunities starting with opportunity number of digit "6" have issue</t>
  </si>
  <si>
    <t>IIRM-9503</t>
  </si>
  <si>
    <t>Covers for Opportunity - Duplicate, Missing, Inactive, &amp; Active</t>
  </si>
  <si>
    <t>IIRM-9504</t>
  </si>
  <si>
    <t>IIRM: Default cursor is not present in the first text element on page load.</t>
  </si>
  <si>
    <t>IIRM-9505</t>
  </si>
  <si>
    <t>IIRM: Incorrect and Inconsistent Text Messages in Password Protection Scenarios</t>
  </si>
  <si>
    <t>IIRM-9506</t>
  </si>
  <si>
    <t>Instalments for a Policy Premium including Inception/Endorsement/Others</t>
  </si>
  <si>
    <t>IIRM-9507</t>
  </si>
  <si>
    <t>QA: Test cases preparation</t>
  </si>
  <si>
    <t>IIRM-9245 — NFR-SEC-020: Part-1: Disable Password Autocomplete and Prevent Browser Credential Saving</t>
  </si>
  <si>
    <t>IIRM-9508</t>
  </si>
  <si>
    <t>Move endorsement summary/premium calculations to scheduler (persist counts + premiums)</t>
  </si>
  <si>
    <t>IIRM-9509</t>
  </si>
  <si>
    <t>IIRM-9510</t>
  </si>
  <si>
    <t>Optimize endorsement‑steps GET API with SQL aggregates (fix large‑endorsement performance/bind errors)</t>
  </si>
  <si>
    <t>IIRM-9511</t>
  </si>
  <si>
    <t>QA: API Test cases preparation</t>
  </si>
  <si>
    <t>IIRM-9512</t>
  </si>
  <si>
    <t>IIRM: File Utility: Template Mapping: Screen refresh redirects to File Upload and mapping progress is lost</t>
  </si>
  <si>
    <t>IIRM-9513</t>
  </si>
  <si>
    <t>IIRM: File Utility: Preview/Edit/Download options are not available for versioned templates</t>
  </si>
  <si>
    <t>IIRM-9514</t>
  </si>
  <si>
    <t>V TECHWEB (INDIA) PRIVATE LIMITED fire 1018648 Held cover note; brokerage calculation error</t>
  </si>
  <si>
    <t>IIRM-9515</t>
  </si>
  <si>
    <t>IIRM: File Utility: Multiple template versions are created when configuration is saved without any changes</t>
  </si>
  <si>
    <t>IIRM-9516</t>
  </si>
  <si>
    <t>Endorsement: Unable to view endorsement step1 , if bulk files got uploaded.</t>
  </si>
  <si>
    <t>IIRM-9517</t>
  </si>
  <si>
    <t>IIRM: File Utility: Restore version functionality is not working</t>
  </si>
  <si>
    <t>IIRM-9518</t>
  </si>
  <si>
    <t>QA: Employee Tab: Re-Verification of Bugs and Sanity testing</t>
  </si>
  <si>
    <t>IIRM-9519</t>
  </si>
  <si>
    <t>TC01 — Feature Flag OFF: Lockout disabled, failures still logged</t>
  </si>
  <si>
    <t>IIRM-9520</t>
  </si>
  <si>
    <t>TC02 — Feature Flag ON: Lockout at configured threshold across sessions/devices/IPs</t>
  </si>
  <si>
    <t>IIRM-9521</t>
  </si>
  <si>
    <t>IIRM: Login - no autofill and minimized save prompt</t>
  </si>
  <si>
    <t>IIRM-9522</t>
  </si>
  <si>
    <t>IIRM: Login – Configuration to Enable/Disable Password Auto-Save</t>
  </si>
  <si>
    <t>IIRM-9523</t>
  </si>
  <si>
    <t>TC-03 : Lock Duration Enforcement: Blocked during window, correct credentials do not bypass</t>
  </si>
  <si>
    <t>IIRM-9524</t>
  </si>
  <si>
    <t>TC04 — Auto‑Unlock Enabled: Unlocks after duration and allows login</t>
  </si>
  <si>
    <t>IIRM-9525</t>
  </si>
  <si>
    <t>TC05 — Auto‑Unlock Disabled: Manual unlock required before login</t>
  </si>
  <si>
    <t>IIRM-9526</t>
  </si>
  <si>
    <t>TC: TC06 — Generic Error messages for All Scenarios</t>
  </si>
  <si>
    <t>IIRM-9527</t>
  </si>
  <si>
    <t>IIRM: Verify Username, and Password are not saved to prevent autofill</t>
  </si>
  <si>
    <t>IIRM-9528</t>
  </si>
  <si>
    <t>IIRM: Uniform behavior across different browsers - no autofill password</t>
  </si>
  <si>
    <t>IIRM-9529</t>
  </si>
  <si>
    <t>QA: Test Cases Creation</t>
  </si>
  <si>
    <t>IIRM-9320 — Lock User Account After Multiple Unsuccessful Login Attempts</t>
  </si>
  <si>
    <t>IIRM-9530</t>
  </si>
  <si>
    <t>QA:Testing and Bugfixes verification</t>
  </si>
  <si>
    <t>IIRM-9531</t>
  </si>
  <si>
    <t>QA: Test cases Creation</t>
  </si>
  <si>
    <t>IIRM-9532</t>
  </si>
  <si>
    <t>QA: Testing &amp; Bug fixess verification</t>
  </si>
  <si>
    <t>IIRM-9533</t>
  </si>
  <si>
    <t>TC-01: Verify password Enforces for files Open when password protection is enabled</t>
  </si>
  <si>
    <t>IIRM-9534</t>
  </si>
  <si>
    <t>IIRM: Manage Policies: Claims Upload: Incorrect and misleading error message displayed for dependent claim records</t>
  </si>
  <si>
    <t>IIRM-9535</t>
  </si>
  <si>
    <t>TC-03: Verify file access using admin-configured custom password</t>
  </si>
  <si>
    <t>IIRM-9536</t>
  </si>
  <si>
    <t>TC-02: Verify files open without password when file password protection is disabled</t>
  </si>
  <si>
    <t>IIRM-9537</t>
  </si>
  <si>
    <t>TC-04: Verify file access using system-generated password</t>
  </si>
  <si>
    <t>IIRM-9538</t>
  </si>
  <si>
    <t>TC-05: Verify system restricts file access when incorrect password is entered</t>
  </si>
  <si>
    <t>IIRM-9539</t>
  </si>
  <si>
    <t>IIRM: Employee tab: Effective Date is incorrectly displayed in the Employees table</t>
  </si>
  <si>
    <t>IIRM-9540</t>
  </si>
  <si>
    <t>Claims: Uploaded claims are not synced between Manage Claims and Manage Policies (Claims Uploaded Data table)</t>
  </si>
  <si>
    <t>IIRM-9541</t>
  </si>
  <si>
    <t>IIRM: Employee tab: Usability issues in filters and employee table display</t>
  </si>
  <si>
    <t>IIRM-9542</t>
  </si>
  <si>
    <t>TC-01: Verify unpublished templates are not used for system notifications and communications</t>
  </si>
  <si>
    <t>IIRM-9543</t>
  </si>
  <si>
    <t>IIRM: Manage Policies: Upload Claims: Download File option still visible in Claims Uploaded Data table</t>
  </si>
  <si>
    <t>IIRM-9544</t>
  </si>
  <si>
    <t>TC-02: Verify system admin approval using Publish option in Template Management screen</t>
  </si>
  <si>
    <t>IIRM-9545</t>
  </si>
  <si>
    <t>IIRM: Manage Policies: Upload Claims: Pending Amount KPI is not updated correctly for uploaded pending claims</t>
  </si>
  <si>
    <t>IIRM-9546</t>
  </si>
  <si>
    <t>IIRM : Exported file is corrupted in CD Management</t>
  </si>
  <si>
    <t>IIRM-9547</t>
  </si>
  <si>
    <t>IIRM: “Request Processing Exceeded 10 Seconds Timeout” Error Displayed while attempt Login</t>
  </si>
  <si>
    <t>IIRM-9548</t>
  </si>
  <si>
    <t>Convert password protection from zip to native</t>
  </si>
  <si>
    <t>IIRM-9549</t>
  </si>
  <si>
    <t>BE: Refactor the Send to Insurer step to fall back to the existing flow when no mappings are configured</t>
  </si>
  <si>
    <t>IIRM-9550</t>
  </si>
  <si>
    <t>BE: Refactor the Send to Client step to fall back to the existing flow when no mappings are configured</t>
  </si>
  <si>
    <t>IIRM-9551</t>
  </si>
  <si>
    <t>BE - Refactored the ‘Send to Client’ step to generate Excel files based on the user-defined schema - Financial</t>
  </si>
  <si>
    <t>IIRM-9552</t>
  </si>
  <si>
    <t>BE - Refactored the ‘Send to Client’ step to generate Excel files based on the user-defined schema - Non Financial</t>
  </si>
  <si>
    <t>IIRM-9553</t>
  </si>
  <si>
    <t xml:space="preserve">IIRM: Error Message for Account Lockout is static and not Not User-Friendly </t>
  </si>
  <si>
    <t>IIRM-9554</t>
  </si>
  <si>
    <t>IIRM: Lockout Timer Message Does Not Show Remaining Lock Duration Correctly</t>
  </si>
  <si>
    <t>IIRM-9555</t>
  </si>
  <si>
    <t>IIRM-9344 — Non-visibility of updated Task Entries on i-Work Portal. - Iwork</t>
  </si>
  <si>
    <t>IIRM-9556</t>
  </si>
  <si>
    <t>Disable Save Password &amp; Auto Fill Features at Safari Browser</t>
  </si>
  <si>
    <t>IIRM-9557</t>
  </si>
  <si>
    <t>Implementation of updated task visibility</t>
  </si>
  <si>
    <t>IIRM-9558</t>
  </si>
  <si>
    <t>IIRM: Bulk Download Fails in Policy Tab with “Server Returned an Error Page” Message</t>
  </si>
  <si>
    <t>IIRM-9559</t>
  </si>
  <si>
    <t>Mismatch in Dashboard and Bizdone December'25- Critical issue!</t>
  </si>
  <si>
    <t>IIRM-9560</t>
  </si>
  <si>
    <t>IIRM – “Something went wrong” error displayed when navigating to other modules</t>
  </si>
  <si>
    <t>IIRM-9561</t>
  </si>
  <si>
    <t>Request for Migration of RO's from old I WORK to new I WORK</t>
  </si>
  <si>
    <t>IIRM-9562</t>
  </si>
  <si>
    <t>Member not enrolled issue - 697721</t>
  </si>
  <si>
    <t>IIRM-9563</t>
  </si>
  <si>
    <t>574704 - Duplicate employee-policy mapping for employee ID 413</t>
  </si>
  <si>
    <t>IIRM-9564</t>
  </si>
  <si>
    <t>Issue in Performing Held Cover Note | Opp. No.985416</t>
  </si>
  <si>
    <t>IIRM-9565</t>
  </si>
  <si>
    <t>ROs | Opportunity Creation Date &amp; Duplicate Covers | Opp. No.678599, 678601, 678586</t>
  </si>
  <si>
    <t>IIRM-9566</t>
  </si>
  <si>
    <t>Verifying bulk records(10K, 20K, 50K, 80K, 10k)with combination of parameters for group policies.</t>
  </si>
  <si>
    <t>IIRM-9567</t>
  </si>
  <si>
    <t>IBP – Employee Portal Dashboard Revamp with New Design</t>
  </si>
  <si>
    <t>IIRM-9568</t>
  </si>
  <si>
    <t>BE: POC on Google Maps API Integration</t>
  </si>
  <si>
    <t>Navanitha Makulla</t>
  </si>
  <si>
    <t>IIRM-9569</t>
  </si>
  <si>
    <t>Export Capability Across Multiple Listing Pages</t>
  </si>
  <si>
    <t>IIRM-9570</t>
  </si>
  <si>
    <t xml:space="preserve">BE: Company - Company, Insurer, TPA, Broker </t>
  </si>
  <si>
    <t>IIRM-9569 — Export Capability Across Multiple Listing Pages</t>
  </si>
  <si>
    <t>IIRM-9571</t>
  </si>
  <si>
    <t>BE: Conatct - Contact, Insurer contact, TPA contact, Broker contact</t>
  </si>
  <si>
    <t>IIRM-9572</t>
  </si>
  <si>
    <t>BE: Export Excel: Opportunity</t>
  </si>
  <si>
    <t>IIRM-9573</t>
  </si>
  <si>
    <t>BE: Export Excel: Policy</t>
  </si>
  <si>
    <t>IIRM-9574</t>
  </si>
  <si>
    <t>IIRM-IBP:  R&amp;D on banner in Enrollment Summary page</t>
  </si>
  <si>
    <t>IIRM-9567 — IBP – Employee Portal Dashboard Revamp with New Design</t>
  </si>
  <si>
    <t>IIRM-9575</t>
  </si>
  <si>
    <t>BE: Export Excel: Caution deposits</t>
  </si>
  <si>
    <t>IIRM-9576</t>
  </si>
  <si>
    <t>BE: Export Excel: Endorsements</t>
  </si>
  <si>
    <t>IIRM-9577</t>
  </si>
  <si>
    <t>BE: Export Excel: Claims</t>
  </si>
  <si>
    <t>IIRM-9578</t>
  </si>
  <si>
    <t>IIRM: Inception: Client Confirmation: Company contact not reflected in “Send Client” popup</t>
  </si>
  <si>
    <t>IIRM-9579</t>
  </si>
  <si>
    <t>IIRM: Send to Insurer / Client Confirmation: Invalid selected email count displayed</t>
  </si>
  <si>
    <t>IIRM-9580</t>
  </si>
  <si>
    <t xml:space="preserve">IIRM-IBP: UI for Dashboard accordian benifit cards and FAQ's </t>
  </si>
  <si>
    <t>IIRM-9581</t>
  </si>
  <si>
    <t xml:space="preserve">IIRM-IBP: UI for Accordian premium amounts component </t>
  </si>
  <si>
    <t>IIRM-9582</t>
  </si>
  <si>
    <t>IIRM-IBP: UI for Multi and unified enrollment card</t>
  </si>
  <si>
    <t>IIRM-9583</t>
  </si>
  <si>
    <t>FE: Adding Download functionality to download excel and integrating API related to Company page</t>
  </si>
  <si>
    <t>IIRM-9584</t>
  </si>
  <si>
    <t>FE: Integrating APIs related to Contact,opportuninty services</t>
  </si>
  <si>
    <t>IIRM-9585</t>
  </si>
  <si>
    <t>FE: Integrating API related to My  Sales portfolio(RO,SO,Managebroker)</t>
  </si>
  <si>
    <t>IIRM-9586</t>
  </si>
  <si>
    <t>FE: integrating API related to Policies</t>
  </si>
  <si>
    <t>IIRM-9587</t>
  </si>
  <si>
    <t>FE: Integrating API related to CD Management, Endorsement,Cliams</t>
  </si>
  <si>
    <t>IIRM-9588</t>
  </si>
  <si>
    <t>Stream endorsement Excel generation to S3 to prevent heap OOM during create‑endorsement job step-3</t>
  </si>
  <si>
    <t>IIRM-9589</t>
  </si>
  <si>
    <t>Analyze enrollment processing stats for Dev and UAT builds</t>
  </si>
  <si>
    <t>IIRM-9590</t>
  </si>
  <si>
    <t>Handling the default test case and required scenarios</t>
  </si>
  <si>
    <t>IIRM-9591</t>
  </si>
  <si>
    <t>IIRM-IBP: UI for the dashboard banner and enrollment cards</t>
  </si>
  <si>
    <t>IIRM-9592</t>
  </si>
  <si>
    <t>IIRM-IBP: UI for the unified enrollment page</t>
  </si>
  <si>
    <t>IIRM-9593</t>
  </si>
  <si>
    <t>Dashboard Strapi implimentation</t>
  </si>
  <si>
    <t>IIRM-9594</t>
  </si>
  <si>
    <t>FAQ's Strapi implimentation</t>
  </si>
  <si>
    <t>IIRM-9595</t>
  </si>
  <si>
    <t>NFR-SEC-015 - Use secure mechanism to expose API Keys for external party conencting to the platformExpose the API keys only via https driven UI and must have timeout associated - 2</t>
  </si>
  <si>
    <t>IIRM-9596</t>
  </si>
  <si>
    <t>Local Storage data should be encrypted as the data at Rest to be encrypted as per DPDP Act</t>
  </si>
  <si>
    <t>IIRM-9597</t>
  </si>
  <si>
    <t>IIRM: Send To Insurer: Policy Configure: Inception: Send to Insurer: Employee IDs missing for Dependents in downloaded insurer template</t>
  </si>
  <si>
    <t>IIRM-9598</t>
  </si>
  <si>
    <t>Unable to activate the policy - 697739</t>
  </si>
  <si>
    <t>IIRM-9599</t>
  </si>
  <si>
    <t>IIRM: Inception: Employee upload fails with DB duplicate key error for valid data</t>
  </si>
  <si>
    <t>IIRM-9600</t>
  </si>
  <si>
    <t>QA: Testing &amp; Bug fixes verification</t>
  </si>
  <si>
    <t>IIRM-9322 — Make Copy–Paste Behavior Configurable at Application Level</t>
  </si>
  <si>
    <t>IIRM-9601</t>
  </si>
  <si>
    <t xml:space="preserve">NFR-USA-022: Enhancement: Password protection for bulkdownload files &amp; Policy tab </t>
  </si>
  <si>
    <t>IIRM-9602</t>
  </si>
  <si>
    <t>Calculation of percentage when amount is entered</t>
  </si>
  <si>
    <t>IIRM-9603</t>
  </si>
  <si>
    <t xml:space="preserve">Endorsement: Premium not getting stored in step4: receive acknowledgement </t>
  </si>
  <si>
    <t>IIRM-9604</t>
  </si>
  <si>
    <t>Endorsement: CD transaction details not getting captured on Cd details tab</t>
  </si>
  <si>
    <t>IIRM-9605</t>
  </si>
  <si>
    <t>IIRM: File Utility: TPA ID Upload: TPA-ID column is missing in template configuration</t>
  </si>
  <si>
    <t>IIRM-9606</t>
  </si>
  <si>
    <t>IIRM: Send to Insurer: File Utility: Inception data file is not generated based on the selected template version</t>
  </si>
  <si>
    <t>IIRM-9607</t>
  </si>
  <si>
    <t>IIRM-9608</t>
  </si>
  <si>
    <t>QA: Test execution and bug fixes verification</t>
  </si>
  <si>
    <t>Pushed to UAT</t>
  </si>
  <si>
    <t>IIRM-9609</t>
  </si>
  <si>
    <t>IIRM: Copy-paste functionality not working in Rich Text, Search, and Meeting “Any Remarks” fields</t>
  </si>
  <si>
    <t>IIRM-9610</t>
  </si>
  <si>
    <t>IIRM: Verify creation of Email, SMS, and WhatsApp templates in Template management</t>
  </si>
  <si>
    <t>IIRM-9611</t>
  </si>
  <si>
    <t>IIRM : Verify Template Viewing, Editing, and Deletion Functionality in Template Management</t>
  </si>
  <si>
    <t>IIRM-9612</t>
  </si>
  <si>
    <t>IIRM: Verify variable/placeholder replacement in templates</t>
  </si>
  <si>
    <t>IIRM-9613</t>
  </si>
  <si>
    <t>IIRM: Verify real-time template preview, validation, and approval workflow functionality</t>
  </si>
  <si>
    <t>IIRM-9614</t>
  </si>
  <si>
    <t>IIRM: Verify template search and filtering and reusable utility components in Template Management</t>
  </si>
  <si>
    <t>IIRM-9615</t>
  </si>
  <si>
    <t>IIRM: Inception: Send to Insurer: Outbound file not displayed and Refresh button missing</t>
  </si>
  <si>
    <t>IIRM-9616</t>
  </si>
  <si>
    <t>IIRM: Bulkdownload: Verify bulk upload of documents in all supported modules</t>
  </si>
  <si>
    <t>IIRM-9617</t>
  </si>
  <si>
    <t>IIRM:Bulk download: Verify secure document download using single, multiple, and “Select All” options</t>
  </si>
  <si>
    <t>IIRM-9618</t>
  </si>
  <si>
    <t>IIRM: Bulkdownload: Verify role-based download access and password protection enforcement</t>
  </si>
  <si>
    <t>IIRM-9619</t>
  </si>
  <si>
    <t>IIRM: Verify copy and paste is allowed when copy–paste control is set to false</t>
  </si>
  <si>
    <t>IIRM-9620</t>
  </si>
  <si>
    <t>IIRM: Verify copy and paste is disabled when copy–paste control is set to true</t>
  </si>
  <si>
    <t>IIRM-9621</t>
  </si>
  <si>
    <t>IIRM: File Utility: Import Template: Invalid template mapping allowed and uploaded file not cleared</t>
  </si>
  <si>
    <t>IIRM-9622</t>
  </si>
  <si>
    <t>QA: File Utility: Re-Verifying the bugs</t>
  </si>
  <si>
    <t>IIRM-8407 — Build file transformation utility for inbound/outbound client-specific format conversion</t>
  </si>
  <si>
    <t>IIRM-9623</t>
  </si>
  <si>
    <t>IIRM: Claim Amount, Policy Number, Employee ID and TPA ID fields do not accept numeric values</t>
  </si>
  <si>
    <t>IIRM-9624</t>
  </si>
  <si>
    <t>Preview Policy configuration capabilities</t>
  </si>
  <si>
    <t>IIRM-9625</t>
  </si>
  <si>
    <t xml:space="preserve">IIRM: Send to Insurer: Header names are converted to uppercase and spaces are not trimmed </t>
  </si>
  <si>
    <t>IIRM-9626</t>
  </si>
  <si>
    <t>IIRM: TPA ID Upload: Unable to upload TPA ID in Step 6 when only Insurer template is configured</t>
  </si>
  <si>
    <t>IIRM-9627</t>
  </si>
  <si>
    <t>IIRM : Forgot Password Redirects to Login Page Instead of Password Reset</t>
  </si>
  <si>
    <t>IIRM-9628</t>
  </si>
  <si>
    <t>IIRM: Send to Client: Insurer template format is used when Client template is not configured</t>
  </si>
  <si>
    <t>IIRM-9629</t>
  </si>
  <si>
    <t>Implement reverse calculation logic in Final Negotiation and  Placement Slip Generation modules</t>
  </si>
  <si>
    <t>IIRM-9602 — Calculation of percentage when amount is entered</t>
  </si>
  <si>
    <t>IIRM-9630</t>
  </si>
  <si>
    <t>Implement reverse calculation logic in deviations module</t>
  </si>
  <si>
    <t>IIRM-9631</t>
  </si>
  <si>
    <t>Implement reverse calculation logic in insurer details modules</t>
  </si>
  <si>
    <t>IIRM-9632</t>
  </si>
  <si>
    <t>IIRM: Send to Insurer / Send to Client: Emails are not sent to the selected email addresses</t>
  </si>
  <si>
    <t>IIRM-9633</t>
  </si>
  <si>
    <t>ReInsurance</t>
  </si>
  <si>
    <t>IIRM-9634</t>
  </si>
  <si>
    <t>IIRM: Manage Policies – Upload Claims: Incorrect error message displayed when no TPA is associated with the policy</t>
  </si>
  <si>
    <t>IIRM-9635</t>
  </si>
  <si>
    <t>IIRM: SO – Placement Slip Generation: Insurer Share &amp; Brokerage Details are cleared after approval when reopened</t>
  </si>
  <si>
    <t>IIRM-9636</t>
  </si>
  <si>
    <t>IIRM : Forgot Password Flow is blocked in all browsers due to captcha</t>
  </si>
  <si>
    <t>IIRM-9637</t>
  </si>
  <si>
    <t>IIRM-9638</t>
  </si>
  <si>
    <t>Enhancement- RBAC implementation for the bulk download</t>
  </si>
  <si>
    <t>IIRM-9639</t>
  </si>
  <si>
    <t>SAST – Backend – Design vulnerabilities and security design flows need to be validated.</t>
  </si>
  <si>
    <t>Anantha Lakshmi Gatta</t>
  </si>
  <si>
    <t>IIRM-4511 — NFR-SEC-060: The application must insecure Design is a new category currently, with a focus on risks related to design flaws</t>
  </si>
  <si>
    <t>IIRM-9640</t>
  </si>
  <si>
    <t>SAST – Frontend – Design vulnerabilities and security design flows need to be validated.</t>
  </si>
  <si>
    <t>IIRM-9641</t>
  </si>
  <si>
    <t>IIRM: MY SO – Placement Slip Generation, Broking Slip Generation: GST Amount auto-truncates digits and recalculates incorrectly when cleared</t>
  </si>
  <si>
    <t>IIRM-9642</t>
  </si>
  <si>
    <t>SCA – Vulnerabilities and security design flows need to be validated.</t>
  </si>
  <si>
    <t>IIRM-9643</t>
  </si>
  <si>
    <t>649929 - Invalid choices are mapped to this employee for this policy. Please verify.</t>
  </si>
  <si>
    <t>IIRM-9644</t>
  </si>
  <si>
    <t>649930 - Invalid choices are mapped to this employee for this policy. Please verify.</t>
  </si>
  <si>
    <t>IIRM-9645</t>
  </si>
  <si>
    <t>405625 - Policy status change</t>
  </si>
  <si>
    <t>IIRM-9646</t>
  </si>
  <si>
    <t>Issue with Inception Steps Upload - Client confirmation - 634581, 649656</t>
  </si>
  <si>
    <t>IIRM-9647</t>
  </si>
  <si>
    <t>IIRM: CAPTCHA Verification Fails After Multiple Page Reloads on Login Screen</t>
  </si>
  <si>
    <t>IIRM-9648</t>
  </si>
  <si>
    <t>IIRM: MY SO – Placement Slip Generation: Application crashes with “Maximum call stack size exceeded” after completion</t>
  </si>
  <si>
    <t>IIRM-9649</t>
  </si>
  <si>
    <t>IIRM: MY SO – Sri Lanka: VAT Amount and VAT Percentage are not calculated correctly</t>
  </si>
  <si>
    <t>IIRM-9650</t>
  </si>
  <si>
    <t>IIRM: MY SO – Held Cover Note (India): GST Amount is incorrectly calculated based on GST Percentage</t>
  </si>
  <si>
    <t>IIRM-9651</t>
  </si>
  <si>
    <t>IIRM-9246 — NFR-SEC-020: Part-3: Enforce CAPTCHA Validation on Public-Facing Authentication Forms</t>
  </si>
  <si>
    <t>IIRM-9652</t>
  </si>
  <si>
    <t>IIRM: Validation Failed message on Login After 10 Minutes of Idle Time</t>
  </si>
  <si>
    <t>IIRM-9653</t>
  </si>
  <si>
    <t>QA: Testing and Bug reporting</t>
  </si>
  <si>
    <t>IIRM-9654</t>
  </si>
  <si>
    <t>QA: Testing both India and Lanka and Bug Reporting</t>
  </si>
  <si>
    <t>IIRM-9655</t>
  </si>
  <si>
    <t>IBP - Landing Page</t>
  </si>
  <si>
    <t>IIRM-9656</t>
  </si>
  <si>
    <t>IBP: Footer</t>
  </si>
  <si>
    <t>IIRM-9657</t>
  </si>
  <si>
    <t>PROD Issue: Policy Config - Submit &amp; Approval</t>
  </si>
  <si>
    <t>IIRM-9658</t>
  </si>
  <si>
    <t>IIRM: File download fails for 10MB attachment and Date format is invalid</t>
  </si>
  <si>
    <t>IIRM-9659</t>
  </si>
  <si>
    <t>BA: Write Functional Requirements</t>
  </si>
  <si>
    <t>IIRM-9506 — Instalments for a Policy Premium including Inception/Endorsement/Others</t>
  </si>
  <si>
    <t>IIRM-9660</t>
  </si>
  <si>
    <t>TL: Write Technical Notes</t>
  </si>
  <si>
    <t>IIRM-9661</t>
  </si>
  <si>
    <t>QA: Write Test Scenarios</t>
  </si>
  <si>
    <t>IIRM-9662</t>
  </si>
  <si>
    <t>IIRM: Password Protection Not Enforced for Utilization Reports Despite Configuration Enabled</t>
  </si>
  <si>
    <t>IIRM-9663</t>
  </si>
  <si>
    <t>IIRM: Meetings – “Complete Activity” button is enabled when meeting status is still Scheduled</t>
  </si>
  <si>
    <t>IIRM-9664</t>
  </si>
  <si>
    <t>IIRM: Meetings: Meeting time auto-updates to next half hour instead of auto-updating meeting status</t>
  </si>
  <si>
    <t>IIRM-9665</t>
  </si>
  <si>
    <t>link dashboard meetings to opportunities</t>
  </si>
  <si>
    <t>IIRM-9466 — Link the Meetings into the Opportunity activities</t>
  </si>
  <si>
    <t>IIRM-9666</t>
  </si>
  <si>
    <t>Add create meeting in the opportunities for KDM meeting,final negotiation and hand over meet</t>
  </si>
  <si>
    <t>IIRM-9667</t>
  </si>
  <si>
    <t>IIRM-IBP: UI for Profile page</t>
  </si>
  <si>
    <t>IIRM-9668</t>
  </si>
  <si>
    <t>API for get call</t>
  </si>
  <si>
    <t>IIRM-9467 — Link the Notes into the Opportunity activities</t>
  </si>
  <si>
    <t>IIRM-9669</t>
  </si>
  <si>
    <t>UI for create notes in opportunities</t>
  </si>
  <si>
    <t>IIRM-9670</t>
  </si>
  <si>
    <t>Policy must be in place and archival must log properly and intimated to Administrators</t>
  </si>
  <si>
    <t>IIRM-9671</t>
  </si>
  <si>
    <t>NFR-COM-017: Audit/Logging of SMS: The application must capture SMS messages in audit logs</t>
  </si>
  <si>
    <t>IIRM-9672</t>
  </si>
  <si>
    <t>NFR-COM-021: The application must external Cloud Provider Approval</t>
  </si>
  <si>
    <t>IIRM-9673</t>
  </si>
  <si>
    <t>NFR-COM-023 - TPISA. If the application is hosted by a Third Party or using a Third Party's service, the Third Party Risk Assessment Process must be completed in accordance with the Third Party Management (TPM) Policy.</t>
  </si>
  <si>
    <t>IIRM-9674</t>
  </si>
  <si>
    <t>NFR-COM-024 - Audit trail should be available for every change. If there are any status changes in the application, the audit trail should capture date, time stamp, user ID along with effective date when the changed action takes into effect.</t>
  </si>
  <si>
    <t>IIRM-9675</t>
  </si>
  <si>
    <t>NFR-DAT-007: The application must password Based Encryption (PBE)</t>
  </si>
  <si>
    <t>IIRM-9676</t>
  </si>
  <si>
    <t>NFR-SEC-010: The application must provide logout capability such that the users can completely log out of the application</t>
  </si>
  <si>
    <t>IIRM-9677</t>
  </si>
  <si>
    <t>Enhance Amount and Percentage Fields to Support 4 Decimal Places</t>
  </si>
  <si>
    <t>IIRM-9678</t>
  </si>
  <si>
    <t>IIRM-IBP: strapi integration for updated dashboard and Faq's page</t>
  </si>
  <si>
    <t>IIRM-9679</t>
  </si>
  <si>
    <t>IIRM: Notes: Notes issues</t>
  </si>
  <si>
    <t>IIRM-9680</t>
  </si>
  <si>
    <t>IIRM: Meetings – Multiple usability issues in document attachment display</t>
  </si>
  <si>
    <t>IIRM-9681</t>
  </si>
  <si>
    <t>IIRM: Meetings: Incorrect edit access and Complete Activity button behavior for Cancelled and Auto-Completed meetings</t>
  </si>
  <si>
    <t>IIRM-9682</t>
  </si>
  <si>
    <t xml:space="preserve">IIRM : SnackBar is missing after performing save template in Template management </t>
  </si>
  <si>
    <t>IIRM-9683</t>
  </si>
  <si>
    <t>IIRM: ID Displayed on snack bar while deleting the tempate</t>
  </si>
  <si>
    <t>IIRM-9684</t>
  </si>
  <si>
    <t>IIRM: Withdraw Action Is Visible and Enabled for Approver User</t>
  </si>
  <si>
    <t>IIRM-9685</t>
  </si>
  <si>
    <t>IIRM-Template Mangement: UI Issues</t>
  </si>
  <si>
    <t>IIRM-9686</t>
  </si>
  <si>
    <t>IIRM: Template Creation Fails When Parameter Names Are Modified in Subject and Content</t>
  </si>
  <si>
    <t>IIRM-9687</t>
  </si>
  <si>
    <t>SECRETS - Resolve Secret Key Vulnerability in flying duck</t>
  </si>
  <si>
    <t>IIRM-9688</t>
  </si>
  <si>
    <t>IIRM: Meetings: Completed activities are displayed in Activity dropdown while creating a meeting</t>
  </si>
  <si>
    <t>IIRM-9689</t>
  </si>
  <si>
    <t xml:space="preserve">IIRM : Template Management Content Spacing Issues </t>
  </si>
  <si>
    <t>IIRM-9690</t>
  </si>
  <si>
    <t xml:space="preserve"> IIRM: Emails Are Triggered Even When Template Is in Inactive or Draft State</t>
  </si>
  <si>
    <t>IIRM-9691</t>
  </si>
  <si>
    <t>IIRM: Calendar Tab Displays Only Latest 10 Notes When More Than 10 Notes Are Created</t>
  </si>
  <si>
    <t>IIRM-9692</t>
  </si>
  <si>
    <t>IIRM: Meetings: Inconsistent default duration between Create and Update actions</t>
  </si>
  <si>
    <t>IIRM-9693</t>
  </si>
  <si>
    <t>IIRM: Incorrect Error Message Displayed for Invalid or Empty Data During Template Creation</t>
  </si>
  <si>
    <t>IIRM-9694</t>
  </si>
  <si>
    <t>IIRM: Updated Input Parameters Are Not Reflected in Template Subject and Content on Submit</t>
  </si>
  <si>
    <t>IIRM-9695</t>
  </si>
  <si>
    <t>QA: Testing and Bug Reporting</t>
  </si>
  <si>
    <t>IIRM-9696</t>
  </si>
  <si>
    <t>Enhancement- RBAC implementation for password configuration</t>
  </si>
  <si>
    <t>IIRM-9697</t>
  </si>
  <si>
    <t>IIRM: Meetings – Deleted meetings are still visible in the UI</t>
  </si>
  <si>
    <t>IIRM-9698</t>
  </si>
  <si>
    <t>Change the Policy configuration approval flow changes</t>
  </si>
  <si>
    <t>IIRM-9699</t>
  </si>
  <si>
    <t>Sync field names in Placementslip generation vs Add CD balance vs Transaction History Table</t>
  </si>
  <si>
    <t>IIRM-9700</t>
  </si>
  <si>
    <t>IIRM: Newly Created Notes / Tasks / Meetings Not Displayed Until Refresh &amp; Edit Button Missing for Tasks Created via Create Note</t>
  </si>
  <si>
    <t>IIRM-9701</t>
  </si>
  <si>
    <t>IIRM-9702</t>
  </si>
  <si>
    <t>IBP: UI: UI validation</t>
  </si>
  <si>
    <t>IIRM-9703</t>
  </si>
  <si>
    <t>IBP: UI Validation for support, claims intimation, hospital list, quick links overlay, contact metrics, faqs, e-cards and my documents screens</t>
  </si>
  <si>
    <t>IIRM-9704</t>
  </si>
  <si>
    <t>IIRM: Duplicate TPA ID Column Displayed in TPA ID Upload Template During Inception</t>
  </si>
  <si>
    <t>IIRM-9705</t>
  </si>
  <si>
    <t>IIRM: TPA ID Upload Template Downloaded Even When No TPA Is Linked to Policy</t>
  </si>
  <si>
    <t>IIRM-9706</t>
  </si>
  <si>
    <t>BE-009: Integrate task workflow of opportunity service for template approval workflow</t>
  </si>
  <si>
    <t>IIRM-9707</t>
  </si>
  <si>
    <t>BE-010: Create notifications for template approval workflow</t>
  </si>
  <si>
    <t>IIRM-9708</t>
  </si>
  <si>
    <t>FE-005: Add hyperlinks for template tasks in My calendar view, notifications to redirect to their respective template routes</t>
  </si>
  <si>
    <t>IIRM-9709</t>
  </si>
  <si>
    <t>BE-011: Create a entity in db that is dedicated to specifically manage all inactive templates</t>
  </si>
  <si>
    <t>IIRM-9710</t>
  </si>
  <si>
    <t>IIRM: “[object Object]” Displayed in Meeting Card When Creating Tasks in SO Activity</t>
  </si>
  <si>
    <t>IIRM-9711</t>
  </si>
  <si>
    <t>IIRM-IBP: E-Card UI</t>
  </si>
  <si>
    <t>IIRM-9712</t>
  </si>
  <si>
    <t>Confirmation page for the unified enrollment</t>
  </si>
  <si>
    <t>IIRM-9713</t>
  </si>
  <si>
    <t>IIRM-IBP: Strapi - Iwork token based login</t>
  </si>
  <si>
    <t>IIRM-9714</t>
  </si>
  <si>
    <t>IIRM-IBP: UI  for SupportPage</t>
  </si>
  <si>
    <t>Velisala Giresh</t>
  </si>
  <si>
    <t>IIRM-9715</t>
  </si>
  <si>
    <t>IIRM-IBP: UI for Claims Intimation Page</t>
  </si>
  <si>
    <t>IIRM-9716</t>
  </si>
  <si>
    <t>IIRM-IBP: UI for Contact Metrix Page</t>
  </si>
  <si>
    <t>IIRM-9717</t>
  </si>
  <si>
    <t>IIRM-IBP: UI for Identity Verify Popup With Flow</t>
  </si>
  <si>
    <t>IIRM-9718</t>
  </si>
  <si>
    <t>IIRM-IBP: UI for Reset Password Popup And AskEko Component</t>
  </si>
  <si>
    <t>IIRM-9719</t>
  </si>
  <si>
    <t>IIRM-IBP: UI for QuickLinks Popup And Document Cards Styling</t>
  </si>
  <si>
    <t>IIRM-9720</t>
  </si>
  <si>
    <t>optimising the endorsement file creation</t>
  </si>
  <si>
    <t>IIRM-9721</t>
  </si>
  <si>
    <t>IBP: StaticData: Congratulations Vaccumgroup01! You have completed the enrolment - data not matching with figma</t>
  </si>
  <si>
    <t>IIRM-9722</t>
  </si>
  <si>
    <t>IBP: Employee details not displayed on edit and footer not getting the dynamic data.</t>
  </si>
  <si>
    <t>IIRM-9723</t>
  </si>
  <si>
    <t>IIRM: Self Records Not Reflected in Employee Insured Tab After Employee Upload in Inception Step 1</t>
  </si>
  <si>
    <t>IIRM-9724</t>
  </si>
  <si>
    <t>QA: Executing Test cases</t>
  </si>
  <si>
    <t>IIRM-9468 — Show only relevant Tasks, Meetings and notes when we are in the opportunity details page</t>
  </si>
  <si>
    <t>IIRM-9725</t>
  </si>
  <si>
    <t>Reinsurance - Requirements from 13-Feb-2026</t>
  </si>
  <si>
    <t>IIRM-9633 — ReInsurance</t>
  </si>
  <si>
    <t>IIRM-9726</t>
  </si>
  <si>
    <t>QA: Testing and bug fixes verification</t>
  </si>
  <si>
    <t>IIRM-9638 — Enhancement- RBAC implementation for the bulk download</t>
  </si>
  <si>
    <t>IIRM-9727</t>
  </si>
  <si>
    <t>IIRM-IBP: Testing on static areas in enrollment process</t>
  </si>
  <si>
    <t>IIRM-9728</t>
  </si>
  <si>
    <t>IBP: Designation field appears two times in employee details</t>
  </si>
  <si>
    <t>IIRM-9729</t>
  </si>
  <si>
    <t>IIRM: Policy Config Import: Usability issue</t>
  </si>
  <si>
    <t>IIRM-9730</t>
  </si>
  <si>
    <t>IIRM-9731</t>
  </si>
  <si>
    <t>IIRM: Verify user is able to login successfully in a single browser session.</t>
  </si>
  <si>
    <t>IIRM-9732</t>
  </si>
  <si>
    <t>IIRM: Verify login is blocked when user tries to login from a second browser</t>
  </si>
  <si>
    <t>IIRM-9733</t>
  </si>
  <si>
    <t>IIRM: Verify user can login after closing the active browser session</t>
  </si>
  <si>
    <t>IIRM-9734</t>
  </si>
  <si>
    <t>IIRM: Verify login restriction when accessing from different devices</t>
  </si>
  <si>
    <t>IIRM-9735</t>
  </si>
  <si>
    <t>IIRM: Verify multiple tabs in the same browser are not allowed</t>
  </si>
  <si>
    <t>IIRM-9736</t>
  </si>
  <si>
    <t>IIRM: Policy: Incorrect Message and Time stamp is missing</t>
  </si>
  <si>
    <t>IIRM-9737</t>
  </si>
  <si>
    <t>IBP: Mobile responsive</t>
  </si>
  <si>
    <t>IIRM-9738</t>
  </si>
  <si>
    <t>IIRM: Incorrect Timestamp Displayed in CD Management Transaction History</t>
  </si>
  <si>
    <t>IIRM-9739</t>
  </si>
  <si>
    <t>QA: Testing and Bug Logging</t>
  </si>
  <si>
    <t>IIRM-9699 — Sync field names in Placementslip generation vs Add CD balance vs Transaction History Table</t>
  </si>
  <si>
    <t>IIRM-9740</t>
  </si>
  <si>
    <t>IIRM-6672 — CD Management: Implement Filter</t>
  </si>
  <si>
    <t>IIRM-9741</t>
  </si>
  <si>
    <t>IIRM-8457 — Policy and CD account wise view</t>
  </si>
  <si>
    <t>IIRM-9742</t>
  </si>
  <si>
    <t>IIRM: Automation Test script for Template Management</t>
  </si>
  <si>
    <t>IIRM-9743</t>
  </si>
  <si>
    <t>Show relevant tasks,meetings and notes for opportunity details</t>
  </si>
  <si>
    <t>IIRM-9744</t>
  </si>
  <si>
    <t>Implement the add a policy to the CD account</t>
  </si>
  <si>
    <t>IIRM-9470 — Adding a policy to an existing CD account</t>
  </si>
  <si>
    <t>IIRM-9745</t>
  </si>
  <si>
    <t>IIRM-9167 — Utility - Policy Config - Import from One Policy to Another Policy</t>
  </si>
  <si>
    <t>IIRM-9746</t>
  </si>
  <si>
    <t>QA: Bug Fix verification and Sanity testing</t>
  </si>
  <si>
    <t>IIRM-9747</t>
  </si>
  <si>
    <t>QA: Testing and Bug Reporting for template download</t>
  </si>
  <si>
    <t>IIRM-9750</t>
  </si>
  <si>
    <t>IIRM: Inception Template: Usability issue</t>
  </si>
  <si>
    <t>IIRM-9751</t>
  </si>
  <si>
    <t>IIRM: Shared CD Account Balance Not Updating Across Multiple Policies (Amount Not Summing Up)</t>
  </si>
  <si>
    <t>IIRM-9752</t>
  </si>
  <si>
    <t>IIRM: “[object, Object]” Displayed on Hover Over Empty CD Account Number Field</t>
  </si>
  <si>
    <t>IIRM-9753</t>
  </si>
  <si>
    <t>IIRM-9754</t>
  </si>
  <si>
    <t>IIRM: Inception: Default template is downloaded even when policy has a configured template</t>
  </si>
  <si>
    <t>IIRM-9755</t>
  </si>
  <si>
    <t>IIRM: Previous content is not displayed in Template Edit screen</t>
  </si>
  <si>
    <t>IIRM-9756</t>
  </si>
  <si>
    <t>IIRM-9757</t>
  </si>
  <si>
    <t>IIRM: Transaction History Does Not Display Policy Number/IIRM Policy Number for Transactions on Shared CD Account</t>
  </si>
  <si>
    <t>IIRM-9758</t>
  </si>
  <si>
    <t>IIRM: In Manage Policies, CD Details Shows Transactions from Another Policy When Both Share the Same CD Account</t>
  </si>
  <si>
    <t>IIRM-9759</t>
  </si>
  <si>
    <t>IIRM: CD Account Dropdown Appears Empty in Placement Slip Generation (My SO → Step 12) Even After Selecting Existing CD Account</t>
  </si>
  <si>
    <t>IIRM-9760</t>
  </si>
  <si>
    <t>Tasks + Meetings of the logged in user &amp; of all the people reporting to the logged in user</t>
  </si>
  <si>
    <t>IIRM-9761</t>
  </si>
  <si>
    <t>IIRM-IBP: UI fixes in enrollment flow</t>
  </si>
  <si>
    <t>IIRM-9762</t>
  </si>
  <si>
    <t>QA: Retesting and Bug Reporting</t>
  </si>
  <si>
    <t>IIRM-9763</t>
  </si>
  <si>
    <t>Instalments - Add/Modify Instalments section in the ISG opportunity flow</t>
  </si>
  <si>
    <t>IIRM-9764</t>
  </si>
  <si>
    <t>Add/Modify the policy instalments tab</t>
  </si>
  <si>
    <t>IIRM-9765</t>
  </si>
  <si>
    <t>Modify the instalment addition logic in the CD balance</t>
  </si>
  <si>
    <t>IIRM-9766</t>
  </si>
  <si>
    <t>QA: Validating the Bulk Records(50K, 80K and 100K)</t>
  </si>
  <si>
    <t>IIRM-9767</t>
  </si>
  <si>
    <t>Allow endorsement after Policy Expiry Date</t>
  </si>
  <si>
    <t>IIRM-9768</t>
  </si>
  <si>
    <t>MIR (Monthly Information Report)</t>
  </si>
  <si>
    <t>IIRM-9769</t>
  </si>
  <si>
    <t>Show TAT section (Planned vs Completed vs Approved Date) for Activities</t>
  </si>
  <si>
    <t>IIRM-9770</t>
  </si>
  <si>
    <t>Restrict Printing of Specific GMC Asset Fields on Placement Slip Based on Broking Slip Data</t>
  </si>
  <si>
    <t>IIRM-9771</t>
  </si>
  <si>
    <t>PROD Issue: Non-Group: Send to Insurer (Sri Lanka Demo)</t>
  </si>
  <si>
    <t>IIRM-9772</t>
  </si>
  <si>
    <t>Send to Insurer - Show Preview of the file before sending - Utility or Default Template based on config</t>
  </si>
  <si>
    <t>IIRM-9773</t>
  </si>
  <si>
    <t>Send to Client - Show Preview of the file before sending - Utility or Default Template based on config</t>
  </si>
  <si>
    <t>IIRM-9774</t>
  </si>
  <si>
    <t>Add 4 decimals in the Policy Config - Company &amp; Employee Contribution</t>
  </si>
  <si>
    <t>IIRM-9775</t>
  </si>
  <si>
    <t>Policy Config - Proration flag</t>
  </si>
  <si>
    <t>IIRM-9776</t>
  </si>
  <si>
    <t>Display From, To, and CC Email Fields with Add Option in Send to Insurer/Client Screen</t>
  </si>
  <si>
    <t>IIRM-9777</t>
  </si>
  <si>
    <t>SOW#22 - Data Security (2. NFR - Data Protection)</t>
  </si>
  <si>
    <t>IIRM-9778</t>
  </si>
  <si>
    <t>SOW#22 - Data Security (1. NFR - Compliance)</t>
  </si>
  <si>
    <t>IIRM-9779</t>
  </si>
  <si>
    <t>SOW#22 - Data Security (3. NFR - Interoperability)</t>
  </si>
  <si>
    <t>IIRM-9780</t>
  </si>
  <si>
    <t>SOW#22 - Data Security (4. NFR - Maintainability)</t>
  </si>
  <si>
    <t>IIRM-9781</t>
  </si>
  <si>
    <t>SOW#22 - Data Security (5. NFR - Security)</t>
  </si>
  <si>
    <t>IIRM-9782</t>
  </si>
  <si>
    <t>SOW #22 - Data Security (6. NFR - Usability)</t>
  </si>
  <si>
    <t>IIRM-9783</t>
  </si>
  <si>
    <t>SOW#22 - Data Security (7. NFR - Others)</t>
  </si>
  <si>
    <t>IIRM-9784</t>
  </si>
  <si>
    <t>Download - Premium Calculator in Step-2</t>
  </si>
  <si>
    <t>QA Verified</t>
  </si>
  <si>
    <t>IIRM-9785</t>
  </si>
  <si>
    <t>IBP - New Design | Functional data handling with different states of users and UI changes</t>
  </si>
  <si>
    <t>IIRM-9786</t>
  </si>
  <si>
    <t>IBP - New Design | Implement claim intimation form and listing, recent request</t>
  </si>
  <si>
    <t>IIRM-9787</t>
  </si>
  <si>
    <t>IBP - New Design | Handling regular document view and policy feature document at entry points needed</t>
  </si>
  <si>
    <t>IIRM-9788</t>
  </si>
  <si>
    <t>IBP - New Design | I-work token based login | CMS - Strapi</t>
  </si>
  <si>
    <t>IIRM-9789</t>
  </si>
  <si>
    <t>IBP - New Design | UI adustments for latest theme change | Ecards</t>
  </si>
  <si>
    <t>IIRM-9790</t>
  </si>
  <si>
    <t>IBP - New Design | Portal Config</t>
  </si>
  <si>
    <t>IIRM-9791</t>
  </si>
  <si>
    <t>IBP - New Design | Card view theme updates | Hospital Network</t>
  </si>
  <si>
    <t>IIRM-9792</t>
  </si>
  <si>
    <t>IBP - New Design | Dynamically creating company/policy level content | CMS - Strapi</t>
  </si>
  <si>
    <t>IIRM-9793</t>
  </si>
  <si>
    <t>IBP - New Design | CMS - Strapi implementation of multiple elements</t>
  </si>
  <si>
    <t>IIRM-9794</t>
  </si>
  <si>
    <t>IBP - New Design | Change password | User Profile</t>
  </si>
  <si>
    <t>IIRM-9795</t>
  </si>
  <si>
    <t>IBP - New Design | Adding dependents of each group policy and handling individual coverage</t>
  </si>
  <si>
    <t>IIRM-9796</t>
  </si>
  <si>
    <t>IBP - New Design | Support screen implementation</t>
  </si>
  <si>
    <t>IIRM-9797</t>
  </si>
  <si>
    <t>IBP: New Design | Enrolment confirmation with OTP/ verification</t>
  </si>
  <si>
    <t>IIRM-9798</t>
  </si>
  <si>
    <t>IBP: New Design | Functional data handling with different states of users</t>
  </si>
  <si>
    <t>IIRM-9799</t>
  </si>
  <si>
    <t>Incorrect Column Naming – “Transaction Date” Showing Entry Date; Need Separate “Creation Date” and “Transaction Date” Columns ( In policy Specific CD transaction history table)</t>
  </si>
  <si>
    <t>IIRM-9800</t>
  </si>
  <si>
    <t>BE: Refactor Inception step to support inbound file transformation utility - Financial</t>
  </si>
  <si>
    <t>IIRM-9801</t>
  </si>
  <si>
    <t>BE: Refactor Inception step to support inbound file transformation utility - Non Financial</t>
  </si>
  <si>
    <t>IIRM-9802</t>
  </si>
  <si>
    <t>FE: Add mapping configuration tab for policy setup</t>
  </si>
  <si>
    <t>IIRM-9803</t>
  </si>
  <si>
    <t>NFR-COM-002: Entitlement review of termination and revocation of the accounts must be captured and data must be stored in the audit log</t>
  </si>
  <si>
    <t>IIRM-9804</t>
  </si>
  <si>
    <t xml:space="preserve">NFR-COM-003: Data protection: Each time a record gets deleted, system or application should capture the deleted record in the audit log. </t>
  </si>
  <si>
    <t>IIRM-9805</t>
  </si>
  <si>
    <t>NFR-COM-010: The application must prevent storing of confidential and above data that persistently stored on a system in the DMZ. Persistently stored means storage beyond the session lifetime.</t>
  </si>
  <si>
    <t>IIRM-9806</t>
  </si>
  <si>
    <t>NFR-COM-015: The application must secure Cookies: If the application uses cookies containing Confidential or higher information</t>
  </si>
  <si>
    <t>IIRM-9807</t>
  </si>
  <si>
    <t>NFR-COM-016: Web Contents Cache</t>
  </si>
  <si>
    <t>IIRM-9808</t>
  </si>
  <si>
    <t>NFR-COM-018: Sensitive Data Protection: The application must encrypt sensitive data such as PII, authentication data and business sensitive information during transit</t>
  </si>
  <si>
    <t>IIRM-9809</t>
  </si>
  <si>
    <t xml:space="preserve">NFR-COM-019: Terms and Conditions: The application must ensure require the customer to accept the Terms &amp; Conditions at the first login to the application. </t>
  </si>
  <si>
    <t>IIRM-9810</t>
  </si>
  <si>
    <t>NFR-DAT-002: RBAC – Role Based Access Control</t>
  </si>
  <si>
    <t>IIRM-9811</t>
  </si>
  <si>
    <t>NFR-DAT-003: Data encryption in transit</t>
  </si>
  <si>
    <t>IIRM-9812</t>
  </si>
  <si>
    <t>NFR-DAT-004: Data encryption in Storage</t>
  </si>
  <si>
    <t>IIRM-9813</t>
  </si>
  <si>
    <t>NFR-DAT-005: The application must data loss or data corruption preventions</t>
  </si>
  <si>
    <t>IIRM-9814</t>
  </si>
  <si>
    <t>NFR-DAT-006: Password encryption</t>
  </si>
  <si>
    <t>IIRM-9815</t>
  </si>
  <si>
    <t>NFR-DAT-008: The application must prevent any encryption keys or passkey for PBEs from being included in the source code or configuration files.</t>
  </si>
  <si>
    <t>IIRM-9816</t>
  </si>
  <si>
    <t>NFR-DAT-009: Key Backup and Archiving</t>
  </si>
  <si>
    <t>IIRM-9817</t>
  </si>
  <si>
    <t xml:space="preserve">NFR-DAT-010: The application must prevent storing of confidential and above data that persistently stored on a system in the DMZ. </t>
  </si>
  <si>
    <t>IIRM-9818</t>
  </si>
  <si>
    <t>NFR-DAT-011: Database Password Protection in Storage</t>
  </si>
  <si>
    <t>IIRM-9819</t>
  </si>
  <si>
    <t>NFR-DAT-012: Database Authorization</t>
  </si>
  <si>
    <t>IIRM-9820</t>
  </si>
  <si>
    <t>NFR-DAT-013: The application must sensitive Data Protection at Rest</t>
  </si>
  <si>
    <t>IIRM-9821</t>
  </si>
  <si>
    <t>NFR-DAT-014: Token based Authentication Mechanism If the application makes use of SAML, Oauth, or JWT token for on-going Authentication;</t>
  </si>
  <si>
    <t>IIRM-9822</t>
  </si>
  <si>
    <t>NFR-DAT-015: Push Notification Controls</t>
  </si>
  <si>
    <t>IIRM-9823</t>
  </si>
  <si>
    <t>QA: API Setups for Jmeter</t>
  </si>
  <si>
    <t>IIRM-4473 — NFR-USA-011: The system should support at least 100 concurrent users without performance degradation.</t>
  </si>
  <si>
    <t>IIRM-9824</t>
  </si>
  <si>
    <t>IIRM: Inception Temp: Policies configured with Marital Status / Custom List / Custom Range parameters are not working during Employee Upload</t>
  </si>
  <si>
    <t>IIRM-9825</t>
  </si>
  <si>
    <t>QA: End to End Testing on Pre -pod Environment</t>
  </si>
  <si>
    <t>IIRM-9826</t>
  </si>
  <si>
    <t>IIRM: SO: Data population issues</t>
  </si>
  <si>
    <t>IIRM-9827</t>
  </si>
  <si>
    <t>IIRM: SO: Instalments: Unable to Save/Submit Placement Slip Generation Activity</t>
  </si>
  <si>
    <t>IIRM-9828</t>
  </si>
  <si>
    <t>IIRM: SO: Sri Lanka: “Total Installment Amount” Field Not Displayed When Premium is Installment Based = Yes</t>
  </si>
  <si>
    <t>IIRM-9829</t>
  </si>
  <si>
    <t>IIRM: SO:Instalments Usability Issue</t>
  </si>
  <si>
    <t>IIRM-9830</t>
  </si>
  <si>
    <t>IIRM: Preview: UI design not aligned with intended utility</t>
  </si>
  <si>
    <t>IIRM-9831</t>
  </si>
  <si>
    <t>IIRM: SO (Sri Lanka) – Page Becomes Unresponsive When Toggling from Single Insurer to Multiple Insurer in Policy Hard Copy Receipt</t>
  </si>
  <si>
    <t>IIRM-9832</t>
  </si>
  <si>
    <t>IIRM: SO (Sri Lanka and India) – Removed Installments in Held Covernote Not Reflected in Policy Hard Copy Receipt</t>
  </si>
  <si>
    <t>IIRM-9833</t>
  </si>
  <si>
    <t>QA: Testing and logging Bugs</t>
  </si>
  <si>
    <t>IIRM-9834</t>
  </si>
  <si>
    <t>IIRM-9772 — Send to Insurer - Show Preview of the file before sending - Utility or Default Template based on config</t>
  </si>
  <si>
    <t>IIRM-9835</t>
  </si>
  <si>
    <t>QA: Testing and bug reporting</t>
  </si>
  <si>
    <t>IIRM-9773 — Send to Client - Show Preview of the file before sending - Utility or Default Template based on config</t>
  </si>
  <si>
    <t>IIRM-9836</t>
  </si>
  <si>
    <t>IIRM: Dummy data is not generated for Policy Parameter fields in configured templates</t>
  </si>
  <si>
    <t>IIRM-9837</t>
  </si>
  <si>
    <t>IIRM: SO (Sri Lanka) – 400 Bad Request Error While Submitting Policy Hard Copy Receipt (tcBrokerageAmount Should Not Exist)</t>
  </si>
  <si>
    <t>IIRM-9838</t>
  </si>
  <si>
    <t>NFR-SEC-049: The application must ensure that Any application that changes the state at the backend should have a one-time session/state ID associated with it</t>
  </si>
  <si>
    <t>IIRM-9839</t>
  </si>
  <si>
    <t>NFR-MAI-011: The application must security Logging and Monitoring Failures was previously Insufficient Logging &amp; Monitoring and is added from the industry survey.</t>
  </si>
  <si>
    <t>IIRM-9840</t>
  </si>
  <si>
    <t xml:space="preserve">NFR-INT-002: System-to-System Authentication. Authentication mechanism must be implemented for system-to-system communication </t>
  </si>
  <si>
    <t>IIRM-9841</t>
  </si>
  <si>
    <t>NFR-SEC-057: The application must source Code Review: The application source code has to be reviewed for security flaws either via a manual source code review or via a corporate automated tool</t>
  </si>
  <si>
    <t>IIRM-9842</t>
  </si>
  <si>
    <t>NFR-SEC-061: The application must vulnerable and Outdated Components was previously titled Using Components with Known Vulnerabilities</t>
  </si>
  <si>
    <t>IIRM-9843</t>
  </si>
  <si>
    <t>IIRM: CC Email Recipients Also Appearing in “To” Field While Sending Emails to Insurer in Inception Process</t>
  </si>
  <si>
    <t>IIRM-9844</t>
  </si>
  <si>
    <t>IIRM: Attachments Sent Inconsistently in “Send to Insurer” and “Send to Client” Email Sections</t>
  </si>
  <si>
    <t>IIRM-9845</t>
  </si>
  <si>
    <t>IIRM: Pre-pod and UAT End to End Testing</t>
  </si>
  <si>
    <t>IIRM-9846</t>
  </si>
  <si>
    <t xml:space="preserve">IIRM: Template Management Testing &amp; Bug fixes </t>
  </si>
  <si>
    <t>IIRM-9847</t>
  </si>
  <si>
    <t>IIRM: Forgot password functionality testing</t>
  </si>
  <si>
    <t>IIRM-9848</t>
  </si>
  <si>
    <t xml:space="preserve">QA: Test cases Preparation </t>
  </si>
  <si>
    <t>IIRM-9849</t>
  </si>
  <si>
    <t>IIRM-9850</t>
  </si>
  <si>
    <t>Generate the Business performance / Bizdone Report  for policies and endorsements,  which are enable for Business performance</t>
  </si>
  <si>
    <t>IIRM-9851</t>
  </si>
  <si>
    <t>IIRM - Scheduling Service : Retriggering the scheduler button should run the chron immediately .</t>
  </si>
  <si>
    <t>IIRM-9852</t>
  </si>
  <si>
    <t>IIRM - Scheduling Service: Retrigger Scheduler Button Disabled When Job is Running</t>
  </si>
  <si>
    <t>IIRM-9853</t>
  </si>
  <si>
    <t>IIRM – Scheduling Service: Tooltip Display When Cron is Running</t>
  </si>
  <si>
    <t>IIRM-9854</t>
  </si>
  <si>
    <t>IIRM – Scheduling Service: Retrigger Scheduler Disabled During Edit Configuration</t>
  </si>
  <si>
    <t>IIRM-9855</t>
  </si>
  <si>
    <t>IIRM – Scheduling Service: Display Detailed View of Cron/Chron Execution</t>
  </si>
  <si>
    <t>IIRM-9856</t>
  </si>
  <si>
    <t>Add Insurer Endorsement No and Effective date columns in the Track Endorsement table</t>
  </si>
  <si>
    <t>IIRM-9857</t>
  </si>
  <si>
    <t>NFR-INT-001: Data encryption in transit</t>
  </si>
  <si>
    <t>IIRM-9858</t>
  </si>
  <si>
    <t>NFR-INT-004: Push Notification Controls</t>
  </si>
  <si>
    <t>IIRM-9859</t>
  </si>
  <si>
    <t>NFR-INT-005: The application must external Cloud Provider Approval</t>
  </si>
  <si>
    <t>IIRM-9860</t>
  </si>
  <si>
    <t>NFR-INT-007: TPISA</t>
  </si>
  <si>
    <t>IIRM-9861</t>
  </si>
  <si>
    <t>NFR-MAI-001: The application must generate its own keys for cryptographic functions</t>
  </si>
  <si>
    <t>IIRM-9862</t>
  </si>
  <si>
    <t>NFR-MAI-003: The application must prevent unauthorized access</t>
  </si>
  <si>
    <t>IIRM-9863</t>
  </si>
  <si>
    <t>NFR-MAI-008: The application must patch Management</t>
  </si>
  <si>
    <t>IIRM-9864</t>
  </si>
  <si>
    <t>NFR-MAI-009: The application must source Code Review</t>
  </si>
  <si>
    <t>IIRM-9865</t>
  </si>
  <si>
    <t>NFR-MAI-010: Roles and responsibilities for each phase of the key management life cycle must be clearly defined</t>
  </si>
  <si>
    <t>IIRM-9866</t>
  </si>
  <si>
    <t>NFR-MAI-013: The system must allow template creation, editing, testing, and publishing for multi-channel communication</t>
  </si>
  <si>
    <t>IIRM-9867</t>
  </si>
  <si>
    <t>NFR-OTH-013: The application must uRL Redirection Controls</t>
  </si>
  <si>
    <t>IIRM-9868</t>
  </si>
  <si>
    <t>NFR-OTH-014: The application must there are three new categories, four categories with naming and scoping changes, and some consolidation in the Top 10 for 2021.</t>
  </si>
  <si>
    <t>IIRM-9869</t>
  </si>
  <si>
    <t>IIRM-9444 — Migrate from Azure OpenAI gpt-4o-mini to a supported model by 9 Mar 2026 (retired on 31 Mar 2026)</t>
  </si>
  <si>
    <t>IIRM-9870</t>
  </si>
  <si>
    <t>IIRM-9775 — Policy Config - Proration flag</t>
  </si>
  <si>
    <t>IIRM-9871</t>
  </si>
  <si>
    <t>IIRM-9776 — Display From, To, and CC Email Fields with Add Option in Send to Insurer/Client Screen</t>
  </si>
  <si>
    <t>IIRM-9872</t>
  </si>
  <si>
    <t>IIRM-9873</t>
  </si>
  <si>
    <t>IIRM-9874</t>
  </si>
  <si>
    <t>IIRM-9875</t>
  </si>
  <si>
    <t>NFR-SEC-003: RBAC – Role Based Access Control</t>
  </si>
  <si>
    <t>IIRM-9876</t>
  </si>
  <si>
    <t>NFR-SEC-004: The application must application Security</t>
  </si>
  <si>
    <t>IIRM-9877</t>
  </si>
  <si>
    <t>NFR-SEC-007: PINs must be made as one of the sole method of authentications to access Information Systems</t>
  </si>
  <si>
    <t>IIRM-9878</t>
  </si>
  <si>
    <t>NFR-SEC-011: User-specific entitlement information must not be built into the business logic of the application code</t>
  </si>
  <si>
    <t>IIRM-9879</t>
  </si>
  <si>
    <t>NFR-SEC-012: The application must generate its own keys for cryptographic functions.</t>
  </si>
  <si>
    <t>IIRM-9880</t>
  </si>
  <si>
    <t>NFR-SEC-013: The application must password Based Encryption (PBE)</t>
  </si>
  <si>
    <t>IIRM-9881</t>
  </si>
  <si>
    <t>NFR-SEC-014: Signing Key Pair Generation</t>
  </si>
  <si>
    <t>IIRM-9882</t>
  </si>
  <si>
    <t>NFR-SEC-019: Key Backup and Archiving</t>
  </si>
  <si>
    <t>IIRM-9883</t>
  </si>
  <si>
    <t>NFR-SEC-021: The application must ensure that the application contains online forms which are available pre-authentication</t>
  </si>
  <si>
    <t>IIRM-9884</t>
  </si>
  <si>
    <t>NFR-SEC-022: The application must prevent storing of confidential and above data that persistently stored on a system in the DMZ. Persistently stored means storage beyond the session lifetime.</t>
  </si>
  <si>
    <t>IIRM-9885</t>
  </si>
  <si>
    <t>NFR-SEC-027: Session Identifier Manipulation: Application must prevent users from manipulating session identifiers that are being passed in query strings or form fields.</t>
  </si>
  <si>
    <t>IIRM-9886</t>
  </si>
  <si>
    <t>NFR-SEC-028: Session (authentication) cookies must be encrypted in transit to prevent session cookies from being stolen</t>
  </si>
  <si>
    <t>IIRM-9887</t>
  </si>
  <si>
    <t>NFR-SEC-029: Secure Cookies: Application uses cookies containing Confidential or higher information</t>
  </si>
  <si>
    <t>IIRM-9888</t>
  </si>
  <si>
    <t>NFR-SEC-030: Input Validation: Application must perform server side validation of the user supplied input</t>
  </si>
  <si>
    <t>IIRM-9889</t>
  </si>
  <si>
    <t>NFR-SEC-035: The application must sensitive Data Protection: Does the application encrypt sensitive data such as PII , authentication data and business sensitive information during transit</t>
  </si>
  <si>
    <t>IIRM-9890</t>
  </si>
  <si>
    <t>NFR-SEC-037: The application must ensure that the application contains online forms which are available pre-authentication</t>
  </si>
  <si>
    <t>IIRM-9891</t>
  </si>
  <si>
    <t>NFR-SEC-036: The application must sensitive Data Protection at Rest. Does the application encrypt sensitive data such as PII, authentication data and business sensitive information during storage?</t>
  </si>
  <si>
    <t>IIRM-9892</t>
  </si>
  <si>
    <t>NFR-SEC-038: The application must the login page must implement approved cryptographic algorithms and key lengths to protect authentication credentials in transit</t>
  </si>
  <si>
    <t>IIRM-9893</t>
  </si>
  <si>
    <t>NFR-SEC-039: Session Identifier Generation</t>
  </si>
  <si>
    <t>IIRM-9894</t>
  </si>
  <si>
    <t>NFR-SEC-040: Session Identifier Manipulation: The application must prevent users from manipulating session identifiers that are being passed in query strings or form fields?</t>
  </si>
  <si>
    <t>IIRM-9895</t>
  </si>
  <si>
    <t>NFR-SEC-041: The application must secure Cookies: If the application uses cookies containing Confidential or higher information</t>
  </si>
  <si>
    <t>IIRM-9896</t>
  </si>
  <si>
    <t>Preview document is overridden with last endorsement data</t>
  </si>
  <si>
    <t>IIRM-9897</t>
  </si>
  <si>
    <t>NFR-SEC-042: Sensitive Data Protection: The application must encrypt sensitive data such as PII, authentication data and business sensitive information during transit</t>
  </si>
  <si>
    <t>IIRM-9898</t>
  </si>
  <si>
    <t>NFR-SEC-043: Sensitive Data Logging Prevention: The application must exclude the logging of sensitive information such as PINs and passwords especially in transaction and interface logs</t>
  </si>
  <si>
    <t>IIRM-9899</t>
  </si>
  <si>
    <t>NFR-SEC-045: The application must secure Cookies: The application must set both the Secure and HTTP Only flags for cookies which contain the session ID</t>
  </si>
  <si>
    <t>IIRM-9900</t>
  </si>
  <si>
    <t>NFR-SEC-046: SMS as Receiver of OTP/OAC: If SMS is used as a receiver of One-Time Password (OTP)/Online Authorization Codes (OAC) tokens</t>
  </si>
  <si>
    <t>IIRM-9901</t>
  </si>
  <si>
    <t>NFR-SEC-048: Session ID Rotation: For session management solutions that are POST based due to browser limitations</t>
  </si>
  <si>
    <t>IIRM-9902</t>
  </si>
  <si>
    <t>Bug fixes for Inception/Endorsement in UAT</t>
  </si>
  <si>
    <t>IIRM-9903</t>
  </si>
  <si>
    <t>NFR-SEC-050: Token based Authentication Mechanism If the application makes use of SAML, Oauth, or JWT token for on-going Authentication</t>
  </si>
  <si>
    <t>IIRM-9904</t>
  </si>
  <si>
    <t>NFR-SEC-051: Push Notification Controls</t>
  </si>
  <si>
    <t>IIRM-9905</t>
  </si>
  <si>
    <t>NFR-SEC-055: Information Classification</t>
  </si>
  <si>
    <t>IIRM-9906</t>
  </si>
  <si>
    <t>NFR-SEC-056: System Security Testing</t>
  </si>
  <si>
    <t>IIRM-9907</t>
  </si>
  <si>
    <t>NFR-SEC-058: Roles and responsibilities for each phase of the key management life cycle must be clearly defined</t>
  </si>
  <si>
    <t>IIRM-9908</t>
  </si>
  <si>
    <t>NFR-SEC-065: The platform must enforce secure session management including timeout and persistent session settings</t>
  </si>
  <si>
    <t>IIRM-9909</t>
  </si>
  <si>
    <t>NFR-USA-003: The application must ensure that the application contains online forms which are available pre-authentication</t>
  </si>
  <si>
    <t>IIRM-9910</t>
  </si>
  <si>
    <t xml:space="preserve">NFR-USA-004: The application must ensure that the application contains online forms which are available pre-authentication </t>
  </si>
  <si>
    <t>IIRM-9911</t>
  </si>
  <si>
    <t>NFR-USA-006: The system should have the logout functionality in case of no action from user for 15 minutes.</t>
  </si>
  <si>
    <t>NFR-USA-018: The session management should be configurable from UI</t>
  </si>
  <si>
    <t>IIRM-9913</t>
  </si>
  <si>
    <t>NFR-OTH-007: Perimeter Security: For applications deployed in the DMZ, the application must prevent the unauthenticated users from the Internet from accessing a server on our intranet</t>
  </si>
  <si>
    <t>IIRM-9914</t>
  </si>
  <si>
    <t>NFR-USA-023: The application should support implicit saving of data</t>
  </si>
  <si>
    <t>IIRM-9915</t>
  </si>
  <si>
    <t>Document Management for Privileged role</t>
  </si>
  <si>
    <t>IIRM-9916</t>
  </si>
  <si>
    <t>Biz Done - Report filter - Enhancements</t>
  </si>
  <si>
    <t>IIRM-9917</t>
  </si>
  <si>
    <t>IIRM: Installments: Wrong field mapping in CD Management screen</t>
  </si>
  <si>
    <t>IIRM-9918</t>
  </si>
  <si>
    <t>BE - Create an API to merge CD Accounts with swagger spec</t>
  </si>
  <si>
    <t>IIRM-9473 — Merging multiple CD accounts</t>
  </si>
  <si>
    <t>IIRM-9919</t>
  </si>
  <si>
    <t>FE - Implement Merge CD Accounts integration as per design</t>
  </si>
  <si>
    <t>IIRM-9920</t>
  </si>
  <si>
    <t>IIRM: Notifications and Approval Tasks Functionality Not Working in Template Management</t>
  </si>
  <si>
    <t>IIRM-9921</t>
  </si>
  <si>
    <t>Proration with Claim Status combination issue (Ex. 697726 - 4350/4359)</t>
  </si>
  <si>
    <t>IIRM-9922</t>
  </si>
  <si>
    <t>IIRM: Transaction History Time Format and Time Value Mismatch in Exported Excel from CD Management</t>
  </si>
  <si>
    <t>IIRM-9923</t>
  </si>
  <si>
    <t>IIRM: CROSSSLOT Error Occurs When Logging In After Session Logout</t>
  </si>
  <si>
    <t>IIRM-9924</t>
  </si>
  <si>
    <t>IIRM: Error Message Alignment Issue After Forced Logout Due to Permission Changes</t>
  </si>
  <si>
    <t>IIRM-9925</t>
  </si>
  <si>
    <t>Duplicate ROs were created in the application</t>
  </si>
  <si>
    <t>IIRM-9926</t>
  </si>
  <si>
    <t>IIRM-9927</t>
  </si>
  <si>
    <t>IIRM: Unable to Create Email Template – “Validation Request Failed” Error</t>
  </si>
  <si>
    <t>IIRM-9928</t>
  </si>
  <si>
    <t>IIRM: Active User Session Not Logged Out After Role/Permission Changes</t>
  </si>
  <si>
    <t>IIRM-9929</t>
  </si>
  <si>
    <t>IIRM-4514 — NFR-SEC-064: iWork Application should not allow right click, copy(ctrl+c) and contents capturing, print screen functionality across all the forms in application.</t>
  </si>
  <si>
    <t>IIRM-9930</t>
  </si>
  <si>
    <t>QA: Testing &amp; Bugfixes verifications</t>
  </si>
  <si>
    <t>IIRM-9838 — NFR-SEC-049: The application must ensure that Any application that changes the state at the backend should have a one-time session/state ID associated with it</t>
  </si>
  <si>
    <t>IIRM-9931</t>
  </si>
  <si>
    <t>QA: End to End Testing</t>
  </si>
  <si>
    <t>IIRM-9674 — NFR-COM-024 - Audit trail should be available for every change. If there are any status changes in the application, the audit trail should capture date, time stamp, user ID along with effective date when the changed action takes into effect.</t>
  </si>
  <si>
    <t>IIRM-9932</t>
  </si>
  <si>
    <t>IIRM: Covers: Covers are duplicated in the Covers list</t>
  </si>
  <si>
    <t>AIML-740 — AI agents</t>
  </si>
  <si>
    <t>IIRM-9933</t>
  </si>
  <si>
    <t>IIRM-6729 — Inception/Endorsement - File Processing Error Remarks -  Update the messages</t>
  </si>
  <si>
    <t>IIRM-9934</t>
  </si>
  <si>
    <t>QA: Testing And Bug Reporting</t>
  </si>
  <si>
    <t>IIRM-9471 — CD Statement - Export to Excel (CD Statement - Export to Excel ( Remove Export Visibility to all users except "System Admin")</t>
  </si>
  <si>
    <t>IIRM-9935</t>
  </si>
  <si>
    <t>QA: Testing and Bug Reporting of Proration with claim status buils</t>
  </si>
  <si>
    <t>IIRM-9936</t>
  </si>
  <si>
    <t>IIRM-9937</t>
  </si>
  <si>
    <t>QA: Testing and Bug reporting for policy installment tab</t>
  </si>
  <si>
    <t>IIRM-9938</t>
  </si>
  <si>
    <t>QA: Re-Verification of bugs</t>
  </si>
  <si>
    <t>IIRM-9939</t>
  </si>
  <si>
    <t>IIRM: Covers: Covers order and segregation not as per the provided sheet</t>
  </si>
  <si>
    <t>IIRM-9940</t>
  </si>
  <si>
    <t>IIRM: Merge CD Accounts – Incorrect CD Account Balance Displayed in “Select CD Accounts” Table</t>
  </si>
  <si>
    <t>IIRM-9941</t>
  </si>
  <si>
    <t>IIRM: Merge CD Accounts – Source and Destination Accounts Show 0 Policies Even When Policies/SOs Are Linked</t>
  </si>
  <si>
    <t>IIRM-9942</t>
  </si>
  <si>
    <t>Implementation of Enrolment Start and End date</t>
  </si>
  <si>
    <t>IIRM-9943</t>
  </si>
  <si>
    <t>QA: Testing and Logging bugs</t>
  </si>
  <si>
    <t>IIRM-9944</t>
  </si>
  <si>
    <t>Enrolment Submission with Default choices</t>
  </si>
  <si>
    <t>IIRM-9945</t>
  </si>
  <si>
    <t>IIRM: CD Management: Filters are not working as expected</t>
  </si>
  <si>
    <t>IIRM-9946</t>
  </si>
  <si>
    <t>TPA Integration - Claims SFTP - Read, Store &amp; View Details</t>
  </si>
  <si>
    <t>IIRM-9947</t>
  </si>
  <si>
    <t>TPA Integration - Claims API - Read, Store &amp; View Details</t>
  </si>
  <si>
    <t>IIRM-9948</t>
  </si>
  <si>
    <t>TPA Integration - Ecards API - Read &amp; View Details</t>
  </si>
  <si>
    <t>IIRM-9949</t>
  </si>
  <si>
    <t>IIRM: Merge CD Accounts – Transaction Number Missing in Transaction History for Merged CD Accounts</t>
  </si>
  <si>
    <t>IIRM-9950</t>
  </si>
  <si>
    <t>IIRM-9951</t>
  </si>
  <si>
    <t>IIRM: CD Management: Transaction date is not updating correctly</t>
  </si>
  <si>
    <t>IIRM-9952</t>
  </si>
  <si>
    <t>Task-1:  In Filter need to have an option of selecting multiple months in Month dropdown</t>
  </si>
  <si>
    <t>IIRM-9916 — Biz Done - Report filter - Enhancements</t>
  </si>
  <si>
    <t>IIRM-9953</t>
  </si>
  <si>
    <t>Task-2: A new filter to select the income types – Policy, endorsements, rewards etc.</t>
  </si>
  <si>
    <t>UAT Client Certified</t>
  </si>
  <si>
    <t>IIRM-9954</t>
  </si>
  <si>
    <t>IRM: BizDone Report – UI Alignment Issue in Filter Section</t>
  </si>
  <si>
    <t>IIRM-9955</t>
  </si>
  <si>
    <t>Covers Master Management</t>
  </si>
  <si>
    <t>IIRM-9956</t>
  </si>
  <si>
    <t>IIRM: BizDone Report – Applied Filters Not Reflected in Downloaded Report</t>
  </si>
  <si>
    <t>IIRM-9957</t>
  </si>
  <si>
    <t>Whitelisting the vulnerabilities</t>
  </si>
  <si>
    <t>Harshavardhan Reddy</t>
  </si>
  <si>
    <t>IIRM-9958</t>
  </si>
  <si>
    <t>IIRM-9045 — Show Section Heading for Covers (Ref. to Package Policy)</t>
  </si>
  <si>
    <t>IIRM-9959</t>
  </si>
  <si>
    <t>IIRM-9960</t>
  </si>
  <si>
    <t>IIRM: Employee Hierarchy Pattern Does Not Match Require Doc</t>
  </si>
  <si>
    <t>IIRM-9961</t>
  </si>
  <si>
    <t>Add the cover sections in the activities level</t>
  </si>
  <si>
    <t>IIRM-9962</t>
  </si>
  <si>
    <t>Make UI changes as per the section bifurcation</t>
  </si>
  <si>
    <t>IIRM-9963</t>
  </si>
  <si>
    <t>Modify the covers in Placement slip PDF</t>
  </si>
  <si>
    <t>IIRM-9964</t>
  </si>
  <si>
    <t>Modify the covers section in the QCR Genration activity(Excel and table)</t>
  </si>
  <si>
    <t>IIRM-9965</t>
  </si>
  <si>
    <t>Modify the covers section in the Broking Slip Excel</t>
  </si>
  <si>
    <t>IIRM-9966</t>
  </si>
  <si>
    <t>Modify the API for the Covers section in the Policy Details</t>
  </si>
  <si>
    <t>IIRM-9967</t>
  </si>
  <si>
    <t>Modify the UI for the Covers section in the Policy Details</t>
  </si>
  <si>
    <t>IIRM-9968</t>
  </si>
  <si>
    <t>Add confirmation popup for confirmation</t>
  </si>
  <si>
    <t>IIRM-9969</t>
  </si>
  <si>
    <t>Design creation for screen</t>
  </si>
  <si>
    <t>IIRM-9970</t>
  </si>
  <si>
    <t>Implementation of screen</t>
  </si>
  <si>
    <t>IIRM-9971</t>
  </si>
  <si>
    <t>Show Section Heading for Covers (Ref. to Package Policy) - Opty. Flow - Activity</t>
  </si>
  <si>
    <t>IIRM-9972</t>
  </si>
  <si>
    <t>Show Section Heading for Covers (Ref. to Package Policy) - Policy Flow</t>
  </si>
  <si>
    <t>IIRM-9973</t>
  </si>
  <si>
    <t>IIRM: BizDone Report Download Fails with Invalid Date Format Error When Using Select All Filter</t>
  </si>
  <si>
    <t>IIRM-9974</t>
  </si>
  <si>
    <t>IIRM: Saved Filters Not Retained in BizDone Report</t>
  </si>
  <si>
    <t>IIRM-9975</t>
  </si>
  <si>
    <t>Show Section Heading for Covers (Ref. to Package Policy) - Opty. Flow - QCR, Broking Slip, &amp; Placement Slip</t>
  </si>
  <si>
    <t>IIRM-9976</t>
  </si>
  <si>
    <t>Biz Done - SBU column must be shown in table by default</t>
  </si>
  <si>
    <t>IIRM-9977</t>
  </si>
  <si>
    <t>Opportunity corrections - Meeting date is not allowing to capture before Policy start date (Remove validations for date)</t>
  </si>
  <si>
    <t>IIRM-9978</t>
  </si>
  <si>
    <t>Inception/Endorsement: Capture Brokerage amounts</t>
  </si>
  <si>
    <t>IIRM-9979</t>
  </si>
  <si>
    <t>IIRM: Quick Contact Creation Fails with “Query Contact Creation Failed” Error</t>
  </si>
  <si>
    <t>IIRM-9980</t>
  </si>
  <si>
    <t>IIRM: Policy List Not Fetched While Creating SO for Holdings User</t>
  </si>
  <si>
    <t>IIRM-9981</t>
  </si>
  <si>
    <t>IIRM-9463 — On the My Company page, the Portfolio section should include a hyperlink for the Policy Number column</t>
  </si>
  <si>
    <t>IIRM-9982</t>
  </si>
  <si>
    <t>IIRM: Manage Policy: Partial Policy ID search is not functioning correctly</t>
  </si>
  <si>
    <t>IIRM-9983</t>
  </si>
  <si>
    <t>IIRM: Meetings: Edit option available for past meetings and status auto-updates to Completed on edit</t>
  </si>
  <si>
    <t>IIRM-9984</t>
  </si>
  <si>
    <t>IBP: New Design | Pre Login screen Implementation</t>
  </si>
  <si>
    <t>IIRM-9985</t>
  </si>
  <si>
    <t>IBP: New Design | Login Functionality</t>
  </si>
  <si>
    <t>IIRM-9986</t>
  </si>
  <si>
    <t>IBP: New Design | Enrolment flow</t>
  </si>
  <si>
    <t>IIRM-9987</t>
  </si>
  <si>
    <t>IBP: New Design | Client Feedbacks</t>
  </si>
  <si>
    <t>IBP: New Design | Claims Corner</t>
  </si>
  <si>
    <t>IIRM-9989</t>
  </si>
  <si>
    <t xml:space="preserve">Dashboard: Shift the policy period date on top </t>
  </si>
  <si>
    <t>IIRM-9987 — IBP: New Design | Client Feedbacks</t>
  </si>
  <si>
    <t>IIRM-9990</t>
  </si>
  <si>
    <t>IBP: New Design | Hospital Network</t>
  </si>
  <si>
    <t>IIRM-9991</t>
  </si>
  <si>
    <t>Dashboard: Life Event - card to be shown in the quick cards.</t>
  </si>
  <si>
    <t>IIRM-9992</t>
  </si>
  <si>
    <t>IBP: New Design | Documents and Policy Features</t>
  </si>
  <si>
    <t>IIRM-9993</t>
  </si>
  <si>
    <t>Dashboard:“Add Dependent” and “Select Top-up” icons on the progress bar should activate only after the user navigates to the enrolment screen and saves enrolment. Even if no dependents are selected, saving enrolment should still trigger both icons.</t>
  </si>
  <si>
    <t>IIRM-9994</t>
  </si>
  <si>
    <t>Dashboard: Policy Card on the dashboard, should show "Sum Insured" along with the "Members covered"</t>
  </si>
  <si>
    <t>IIRM-9995</t>
  </si>
  <si>
    <t>Dashboard: Ask Eco icon creating disturbance , need to adjust to bottom</t>
  </si>
  <si>
    <t>IIRM-9996</t>
  </si>
  <si>
    <t>Login flow: Copy Past is required for credentials ( remove dropdowns)</t>
  </si>
  <si>
    <t>IIRM-9997</t>
  </si>
  <si>
    <t>Login flow: Upon hower on policy details cards on, Animation is missing</t>
  </si>
  <si>
    <t>IIRM-9998</t>
  </si>
  <si>
    <t>Login flow: Policy sequencing - GMC to come first in the policy listing</t>
  </si>
  <si>
    <t>IIRM-9999</t>
  </si>
  <si>
    <t>Login flow : Show warning for logout for session expiry</t>
  </si>
  <si>
    <t>IIRM-10000</t>
  </si>
  <si>
    <t>Login flow: Warnig should show only when user is not interacting with the application until the experiry period</t>
  </si>
  <si>
    <t>IIRM-10001</t>
  </si>
  <si>
    <t>Enrolment: The calculator should be displayed immediately when the user lands on the enrolment screen, regardless of whether any options have been selected or not.</t>
  </si>
  <si>
    <t>IIRM-10002</t>
  </si>
  <si>
    <t>Support screen: Tick Raise - rename to “Raise Ticket”</t>
  </si>
  <si>
    <t>IIRM-10003</t>
  </si>
  <si>
    <t>Support screen: "Contact Matrix Sequence    --Escalation Matrix ( Primary / Secondary - IIRM contacts)   --HR Contact ( Single contact)   --DPO  (Single contact)   --Grivance (Single contact)"</t>
  </si>
  <si>
    <t>IIRM-10004</t>
  </si>
  <si>
    <t>Support screen: "Raise Ticket" - form submission should be there</t>
  </si>
  <si>
    <t>IIRM-10005</t>
  </si>
  <si>
    <t>Hospital network: Map View showing latitude longitude instead of address and map view not functional</t>
  </si>
  <si>
    <t>IIRM-10006</t>
  </si>
  <si>
    <t>Hospital network: "Claim Intimation Form  1. date of admission - hopistal name and location these 3 are not * fot other than GMC policies 2. multiple same names should not get"</t>
  </si>
  <si>
    <t>IIRM-10007</t>
  </si>
  <si>
    <t>Hospital network: Add "Date of Addmission" In Claim Form</t>
  </si>
  <si>
    <t>IIRM-10008</t>
  </si>
  <si>
    <t>IBP: New Design | Support &amp; Raise Ticket</t>
  </si>
  <si>
    <t>IIRM-10009</t>
  </si>
  <si>
    <t>Other items: Footer should be consistent on prelogin screen and all other screens</t>
  </si>
  <si>
    <t>IIRM-10010</t>
  </si>
  <si>
    <t>Other items: If Ecard not available cases - show empty  state</t>
  </si>
  <si>
    <t>IIRM-10011</t>
  </si>
  <si>
    <t>Other items: Multi browser - Need to test in multiple browsers types and resolve resolution issues ( Duplicate)</t>
  </si>
  <si>
    <t>IIRM-10012</t>
  </si>
  <si>
    <t>Enrolment flow: Components selection CTA name rename to "Select" and after selection should be changed to selected</t>
  </si>
  <si>
    <t>IIRM-10013</t>
  </si>
  <si>
    <t>IBP: New Design | Quick Links</t>
  </si>
  <si>
    <t>IIRM-10014</t>
  </si>
  <si>
    <t xml:space="preserve">Enrolment flow: Allow multiple disclaimer selections with optional handling. If configured as required (e.g., pre-submission confirmation), they must be mandatory. Disclaimers added via CMS (policy/portal config) should remain optional, with clear notes </t>
  </si>
  <si>
    <t>IIRM-10015</t>
  </si>
  <si>
    <t>User profile: User Profile - Secondary contact heading - Rename to "Alternate Numbers"</t>
  </si>
  <si>
    <t>IIRM-10016</t>
  </si>
  <si>
    <t>User profile: User Profile - Dependents details to be shown in the profile screen between Personal details and contact details</t>
  </si>
  <si>
    <t>IIRM-10017</t>
  </si>
  <si>
    <t>IBP: New Design | User Profile</t>
  </si>
  <si>
    <t>IIRM-10018</t>
  </si>
  <si>
    <t>Notification: No multiple mails should trigger ,  mail should be triggred per configuration not per policy</t>
  </si>
  <si>
    <t>IIRM-10019</t>
  </si>
  <si>
    <t>Dashboard: Dashboard and enrolment screens - Components to show as per compulsary and optional, need micro animation and transition effects on this screen also ( Pre and post enrolment scenarios)</t>
  </si>
  <si>
    <t>IIRM-10020</t>
  </si>
  <si>
    <t>Landing screen: Support (or) Need Help? Contact Support (or) Contact Support CTA's - Show Contact Support details. What to show discuss with Client and get confirmation.</t>
  </si>
  <si>
    <t>IIRM-10021</t>
  </si>
  <si>
    <t>Footer :Currently it's NOT upto the mark. Try different Fonts and back-ground colour and apply the best</t>
  </si>
  <si>
    <t>IIRM-10022</t>
  </si>
  <si>
    <t>Login flow: Login options - Based on Portal configuration show only that option.</t>
  </si>
  <si>
    <t>IIRM-10023</t>
  </si>
  <si>
    <t>Login flow: Test Scenario: Portal configure should allow multiple login options and validate by login with any option</t>
  </si>
  <si>
    <t>IIRM-10024</t>
  </si>
  <si>
    <t>Login flow: In Login screen for first-time users, currently displays “Forgot Password” option, which is NOT right. Change the wording to “Forgot Password / Reset Password” (or) the flow to first enter username then show "Reset password".</t>
  </si>
  <si>
    <t>IIRM-10025</t>
  </si>
  <si>
    <t>Dashboard: Hero Banner - Days Counter - Font is not looking good compared to other screens. Try different fonts and apply it. Refer to Contact Matrix names or Policy cards.</t>
  </si>
  <si>
    <t>IIRM-10026</t>
  </si>
  <si>
    <t>Dashboard: Policy card - Both “Sum Insured” and “Members Covered” text should have different color. Highlight the key information.</t>
  </si>
  <si>
    <t>IIRM-10027</t>
  </si>
  <si>
    <t>Dashboard: Have a transition from Compulsory to Optional benefits. Need better user experience. Either different colour in the background or something.</t>
  </si>
  <si>
    <t>IIRM-10028</t>
  </si>
  <si>
    <t>Dashbaord: "Policy cards - Members covered - Show numbers for valid dependents. Example for Self &amp; Spouse counts is not needed. For Parents &amp; Children based on Policy configuration show them nicely. Like Parents or Parent-in-laws or 2 Children."</t>
  </si>
  <si>
    <t>IIRM-10029</t>
  </si>
  <si>
    <t>IBP: New Design | Portal Configuration</t>
  </si>
  <si>
    <t>IIRM-10030</t>
  </si>
  <si>
    <t xml:space="preserve">Dashboard: View Policy Details - On the blue banner - Simple UX scroll the page to the Policy Card because policy details already exists for each policy. </t>
  </si>
  <si>
    <t>IIRM-10031</t>
  </si>
  <si>
    <t>Enrolment: Emrolment - Compulsay &amp; Optional Category bifurcation - Similar to Dashboard</t>
  </si>
  <si>
    <t>IIRM-10032</t>
  </si>
  <si>
    <t>Enrolment flow: Multiple Sum Insured - By default, show sutle colour for all the options. Once user selected then highlight with different colour and also check-box icon. Sheild icon is NOT looking good.</t>
  </si>
  <si>
    <t>IIRM-10033</t>
  </si>
  <si>
    <t>Enrolment flow: Multiple Sum Insured - Add micro animations on mouse hover for each option.</t>
  </si>
  <si>
    <t>IIRM-10034</t>
  </si>
  <si>
    <t xml:space="preserve">Quick card: Quick card Section was displayed in the wrong place and looked aesthetically unpleasant </t>
  </si>
  <si>
    <t>IIRM-10035</t>
  </si>
  <si>
    <t>Quick card: Before enrolment dont show - Life events, enrolment status before enrolment confirmation</t>
  </si>
  <si>
    <t>IIRM-10036</t>
  </si>
  <si>
    <t xml:space="preserve">Others: Policy Feature to show the policy feature document uploaded in the portal configuration </t>
  </si>
  <si>
    <t>IIRM-10037</t>
  </si>
  <si>
    <t xml:space="preserve">Enrolment flow: The system should automatically populate the spouse’s gender based on the employee’s gender. However, a dropdown should be available to allow selection of other options, such as “Prefer not to disclose,” </t>
  </si>
  <si>
    <t>IIRM-10038</t>
  </si>
  <si>
    <t>Enrolment flow: Gender selection should have one more option to not disclose gender in the configuration. though this feature needs broder discussion does not need to be implemented immediately. and need requirement gathering</t>
  </si>
  <si>
    <t>IIRM-10039</t>
  </si>
  <si>
    <t>Enrolment flow: When adding dependents for another component, the dropdown should list previously added dependents eligible for that component. Selecting one auto-fills details. The dropdown should also provide an option to add a new dependent.</t>
  </si>
  <si>
    <t>IIRM-10040</t>
  </si>
  <si>
    <t>Enrolment flow: Disclaimers that are mandatory to accept should be clearly marked with a “Mandatory” tag.</t>
  </si>
  <si>
    <t>IIRM-10041</t>
  </si>
  <si>
    <t>Enrolment flow: On the Confirmation Screen, "Verify Your Identity" to be renamed as "Enrolment Confirmation Verification"</t>
  </si>
  <si>
    <t>IIRM-10042</t>
  </si>
  <si>
    <t>Enrolment flow: After Confirmation screen, Show "Congratulations" Instead of the Thank You</t>
  </si>
  <si>
    <t>IIRM-10043</t>
  </si>
  <si>
    <t>Enrolment flow: Self and dependent not aligned in same column (Remove left padding for dependents)</t>
  </si>
  <si>
    <t>IIRM-10044</t>
  </si>
  <si>
    <t>User profile: Show dependents list after personal info</t>
  </si>
  <si>
    <t>IIRM-10045</t>
  </si>
  <si>
    <t>Claims corner: Claims corner to show claims of only those policies which claim is raised ( example - if user has GMC, GTL and GPA policies, and user intimates the claim for GMC policy, show only GMC table in the claims corner</t>
  </si>
  <si>
    <t>IIRM-10046</t>
  </si>
  <si>
    <t>Claims : No differentiation when there are two same policies in claim intimation</t>
  </si>
  <si>
    <t>IIRM-10047</t>
  </si>
  <si>
    <t>others: Configurable pages currently appear too plain (“like a notepad”). Improve formatting, colors, and overall design. Enable support for table views, especially for FAQs and policy details, to enhance structure and visual clarity.</t>
  </si>
  <si>
    <t>IIRM-10048</t>
  </si>
  <si>
    <t>Others: Define a list of supported browsers to ensure portal compatibility. Divami will share the list with resolutions by tomorrow for testing across stable versions. The IIRM team will review, approve, and may suggest additional browsers if needed.</t>
  </si>
  <si>
    <t>IIRM-10049</t>
  </si>
  <si>
    <t>LIfe events: Reson for life event is mandatory</t>
  </si>
  <si>
    <t>IIRM-10050</t>
  </si>
  <si>
    <t>Life events: "Life Event -should design a new flow, need to reference of MB360 As of now provide functionality to natural addition and deletion"</t>
  </si>
  <si>
    <t>IIRM-10051</t>
  </si>
  <si>
    <t xml:space="preserve">Dashboard: No transition effect between components; users are unable to identify whether a component belongs to compulsory or optional benefits, and when navigating across components, the heading is missing, </t>
  </si>
  <si>
    <t>IIRM-10052</t>
  </si>
  <si>
    <t>Dashbaord: Enrolment screen should display compulsory and optional benefits as separate grouped trays</t>
  </si>
  <si>
    <t>IIRM-10053</t>
  </si>
  <si>
    <t>Dashbaord: Compulsory and optional sections should have clear visual distinction using colors and properly indicative headings</t>
  </si>
  <si>
    <t>IIRM-10054</t>
  </si>
  <si>
    <t>Dashboard: In the post enrolment scenario, show components cards ( currently we are showing policy cards)</t>
  </si>
  <si>
    <t>IIRM-10055</t>
  </si>
  <si>
    <t>Dashboard: When moving to the next component, there is no indication of previously selected components; add a “Selected” tag when the accordion is closed</t>
  </si>
  <si>
    <t>IIRM-10056</t>
  </si>
  <si>
    <t>Dashbaord: Hero banner should after enrolment scenario is not consistent with before enrolment in the length</t>
  </si>
  <si>
    <t>IIRM-10057</t>
  </si>
  <si>
    <t>Dashboard: Dashboard personal detail icons should be slightly larger for better visibility</t>
  </si>
  <si>
    <t>IIRM-10058</t>
  </si>
  <si>
    <t>Dashboard: After enrolment,inthe newly enrolled section, when the policy accordion is collapsed, show aggregated information such as company contribution and employee contribution along with a “View Details” indicator, and increase arrow size</t>
  </si>
  <si>
    <t>IIRM-10059</t>
  </si>
  <si>
    <t>Postenrolment:Dashboard: After enrolment,inthe newly enrolled section, when the policy accordion is collapsed, show aggregated information such as company contribution and employee contribution along with a “View Details” indicator</t>
  </si>
  <si>
    <t>IIRM-10060</t>
  </si>
  <si>
    <t>Postenrolment: Dashboard - amounts on cards cards should properly handle color states, especially when the available amount is zero</t>
  </si>
  <si>
    <t>IIRM-10061</t>
  </si>
  <si>
    <t>Postenrolment: Multiple sum insured values are not implemented on dashboard cards and should be supported</t>
  </si>
  <si>
    <t>IIRM-10062</t>
  </si>
  <si>
    <t>Enroment screen: Employee details card on enrolment screen should have a light blue background with a slightly darker shade for the lower section</t>
  </si>
  <si>
    <t>IIRM-10063</t>
  </si>
  <si>
    <t>Enrolment screen: Heading above the banner should be placed inside a box, and the calculator should be moved upward to align with the heading and improve layout</t>
  </si>
  <si>
    <t>IIRM-10064</t>
  </si>
  <si>
    <t>Enrolment screen: Total employee contribution in the calculator should be fixed (sticky) and always visible upfront</t>
  </si>
  <si>
    <t>IIRM-10065</t>
  </si>
  <si>
    <t>Enrolment screen: Add a scroll bar to the calculator section for better usability</t>
  </si>
  <si>
    <t>IIRM-10066</t>
  </si>
  <si>
    <t>Enrolment screen: Minimum age gap between mother and child should not be hardcoded to 18 and must be configurable</t>
  </si>
  <si>
    <t>IIRM-10067</t>
  </si>
  <si>
    <t>Policy details: Policy details page is not responsive on zoom; left-side content gets hidden and should be properly adjusted</t>
  </si>
  <si>
    <t>IIRM-10068</t>
  </si>
  <si>
    <t>Claim intimation: In claim intimation, remove policy number field and update fields as per shared requirements</t>
  </si>
  <si>
    <t>IIRM-10069</t>
  </si>
  <si>
    <t>Rasie ticket: In raise ticket module, remove policy number field</t>
  </si>
  <si>
    <t>IIRM-10070</t>
  </si>
  <si>
    <t>CS manager role user should see the entities pertaining to the user's SBU</t>
  </si>
  <si>
    <t>IIRM-10071</t>
  </si>
  <si>
    <t>Raise ticket: Rename “Topic” to “Category” in raise ticket</t>
  </si>
  <si>
    <t>IIRM-10072</t>
  </si>
  <si>
    <t>Raise ticket: Name input field should not be required in raise ticket</t>
  </si>
  <si>
    <t>IIRM-10073</t>
  </si>
  <si>
    <t>Rasie ticket: Email ID should not be mandatory; show available email IDs by default, allow input if not available but keep optional</t>
  </si>
  <si>
    <t>IIRM-10074</t>
  </si>
  <si>
    <t>Rasie ticket: Implement document upload option in raise ticket</t>
  </si>
  <si>
    <t>IIRM-10075</t>
  </si>
  <si>
    <t>Footer: Footer hyperlinks should have enhanced color visibility for better accessibility</t>
  </si>
  <si>
    <t>IIRM-10076</t>
  </si>
  <si>
    <t>Claims intimation: In claim intimation, remove policy number field and update fields as per shared requirements</t>
  </si>
  <si>
    <t>IIRM-10077</t>
  </si>
  <si>
    <t>FE: Implement premium calculator download functionality</t>
  </si>
  <si>
    <t>IIRM-9784 — Download - Premium Calculator in Step-2</t>
  </si>
  <si>
    <t>IIRM-10078</t>
  </si>
  <si>
    <t>BE: Implement premium calculator download functionality</t>
  </si>
  <si>
    <t>IIRM-10079</t>
  </si>
  <si>
    <t>IBP: New Design | E-Cards</t>
  </si>
  <si>
    <t>IIRM-10080</t>
  </si>
  <si>
    <t>IBP: New Design | Mail Notifications</t>
  </si>
  <si>
    <t>IIRM-10081</t>
  </si>
  <si>
    <t>IBP: New Design | Life Events</t>
  </si>
  <si>
    <t>IIRM-10082</t>
  </si>
  <si>
    <t xml:space="preserve">Inception/Endorsement: Instruction for file preparation (Static Text) </t>
  </si>
  <si>
    <t>IIRM-10083</t>
  </si>
  <si>
    <t>IIRM: Non GMC: Effective Date Validation Not Enforced for Non-GMC Policies in Inception Process</t>
  </si>
  <si>
    <t>IIRM-10084</t>
  </si>
  <si>
    <t>IIRM: Empty report downlaoded with applied filters</t>
  </si>
  <si>
    <t>IIRM-10085</t>
  </si>
  <si>
    <t>IIRM: Non GMC: Missing Field Validations for Asset Upload Fields in Inception Process (Including Sub Limit Description Length)</t>
  </si>
  <si>
    <t>IIRM-10086</t>
  </si>
  <si>
    <t>IIRM: Non GMC: Asset Upload Allows Empty Premium and Sum Insured Values Without Validation</t>
  </si>
  <si>
    <t>IIRM-10087</t>
  </si>
  <si>
    <t>IIRM: Non GMC: Asset Upload Allows Empty Intake Type and Effective Date Values Without Validation</t>
  </si>
  <si>
    <t>IIRM-10088</t>
  </si>
  <si>
    <t>IIRM: Inception/Endorsement: Values are not pre-filled until page refresh</t>
  </si>
  <si>
    <t>IIRM-10089</t>
  </si>
  <si>
    <t>IIRM: Inception/Endorsement: Broking Details section is missing</t>
  </si>
  <si>
    <t>IIRM-10090</t>
  </si>
  <si>
    <t>IIRM: UI Issues in Inception/Endorsement Screen – Bullet Misalignment and Non-Sticky Right Panel</t>
  </si>
  <si>
    <t>IIRM-10091</t>
  </si>
  <si>
    <t>IBP: HR Portal - Enrolment</t>
  </si>
  <si>
    <t>IIRM-10092</t>
  </si>
  <si>
    <t>IBP: HR Portal - Claims</t>
  </si>
  <si>
    <t>IIRM-10093</t>
  </si>
  <si>
    <t>IBP: HR Portal - Hospital Network</t>
  </si>
  <si>
    <t>IIRM-10094</t>
  </si>
  <si>
    <t>IBP: HR Portal - CD Management</t>
  </si>
  <si>
    <t>IIRM-10095</t>
  </si>
  <si>
    <t>IBP: HR Portal - HR User Profile</t>
  </si>
  <si>
    <t>IIRM-10096</t>
  </si>
  <si>
    <t>IBP: HR Portal - Claim - Intimate Claim on behalf of Employee</t>
  </si>
  <si>
    <t>IIRM-10097</t>
  </si>
  <si>
    <t>IBP: HR Portal - Claim - Insights</t>
  </si>
  <si>
    <t>IIRM-10098</t>
  </si>
  <si>
    <t>IBP: HR Portal - Enrolment - Reports</t>
  </si>
  <si>
    <t>IIRM-10099</t>
  </si>
  <si>
    <t>IBP: HR Portal - Switch between Policy Year's</t>
  </si>
  <si>
    <t>IIRM-10100</t>
  </si>
  <si>
    <t>IBP: HR Portal - Global Search</t>
  </si>
  <si>
    <t>IIRM-10101</t>
  </si>
  <si>
    <t>IBP: HR Portal - Endorsement Management</t>
  </si>
  <si>
    <t>IIRM-10102</t>
  </si>
  <si>
    <t>IBP: HR Portal - Employee Settings</t>
  </si>
  <si>
    <t>IIRM-10103</t>
  </si>
  <si>
    <t>IBP: HR Portal - Upload Inception/Endorsement File</t>
  </si>
  <si>
    <t>IIRM-10104</t>
  </si>
  <si>
    <t>Login Screen UI</t>
  </si>
  <si>
    <t>IIRM-10105</t>
  </si>
  <si>
    <t>Single Login Option - Email</t>
  </si>
  <si>
    <t>IIRM-10106</t>
  </si>
  <si>
    <t>Single Login Option - Phone</t>
  </si>
  <si>
    <t>IIRM-10107</t>
  </si>
  <si>
    <t>Single Login Option - Employee ID</t>
  </si>
  <si>
    <t>IIRM-10108</t>
  </si>
  <si>
    <t>Single Login Option UI</t>
  </si>
  <si>
    <t>IIRM-10109</t>
  </si>
  <si>
    <t>Multiple Login Options</t>
  </si>
  <si>
    <t>IIRM-10110</t>
  </si>
  <si>
    <t>Email Validation</t>
  </si>
  <si>
    <t>IIRM-10111</t>
  </si>
  <si>
    <t>Phone Validation</t>
  </si>
  <si>
    <t>IIRM-10112</t>
  </si>
  <si>
    <t>First-Time User (Email)</t>
  </si>
  <si>
    <t>IIRM-10113</t>
  </si>
  <si>
    <t>First-Time User (Phone)</t>
  </si>
  <si>
    <t>IIRM-10114</t>
  </si>
  <si>
    <t>First-Time Email Message</t>
  </si>
  <si>
    <t>IIRM-10115</t>
  </si>
  <si>
    <t>First-Time Phone Message</t>
  </si>
  <si>
    <t>IIRM-10116</t>
  </si>
  <si>
    <t>Reset Link Option</t>
  </si>
  <si>
    <t>IIRM-10117</t>
  </si>
  <si>
    <t>Reset Flow</t>
  </si>
  <si>
    <t>IIRM-10118</t>
  </si>
  <si>
    <t>Existing User Detection</t>
  </si>
  <si>
    <t>IIRM-10119</t>
  </si>
  <si>
    <t>Password Field Display</t>
  </si>
  <si>
    <t>IIRM-10120</t>
  </si>
  <si>
    <t>Valid Login</t>
  </si>
  <si>
    <t>IIRM-10121</t>
  </si>
  <si>
    <t>Invalid Login</t>
  </si>
  <si>
    <t>IIRM-10122</t>
  </si>
  <si>
    <t>Forgot Password Visibility</t>
  </si>
  <si>
    <t>IIRM-10123</t>
  </si>
  <si>
    <t>Forgot Password Flow</t>
  </si>
  <si>
    <t>IIRM-10124</t>
  </si>
  <si>
    <t>First-Time User UI</t>
  </si>
  <si>
    <t>IIRM-10125</t>
  </si>
  <si>
    <t>Combined Label Check</t>
  </si>
  <si>
    <t>IIRM-10126</t>
  </si>
  <si>
    <t>Empty Input Validation</t>
  </si>
  <si>
    <t>IIRM-10127</t>
  </si>
  <si>
    <t>Input Trimming</t>
  </si>
  <si>
    <t>IIRM-10128</t>
  </si>
  <si>
    <t>Email Case Handling</t>
  </si>
  <si>
    <t>IIRM-10129</t>
  </si>
  <si>
    <t>Post Login Flow</t>
  </si>
  <si>
    <t>IIRM-10130</t>
  </si>
  <si>
    <t>IIRM: Unauthorized Access Error When CS Manager Selects Policy Type After Applying SBU Filter in My RO and My SO Tabs</t>
  </si>
  <si>
    <t>IIRM-10131</t>
  </si>
  <si>
    <t>QA: Testing and Logging Bugs</t>
  </si>
  <si>
    <t>IIRM-10070 — CS manager role user should see the entities pertaining to the user's SBU</t>
  </si>
  <si>
    <t>IIRM-10132</t>
  </si>
  <si>
    <t xml:space="preserve">IIRM-10082 — Inception/Endorsement: Instruction for file preparation (Static Text) </t>
  </si>
  <si>
    <t>IIRM-10133</t>
  </si>
  <si>
    <t>QA: Functional Testing and bug fixes verification</t>
  </si>
  <si>
    <t>IIRM-10134</t>
  </si>
  <si>
    <t>Non-GMC Bugs</t>
  </si>
  <si>
    <t>IIRM-10135</t>
  </si>
  <si>
    <t>IIRM-9978 — Inception/Endorsement: Capture Brokerage amounts</t>
  </si>
  <si>
    <t>IIRM-10136</t>
  </si>
  <si>
    <t>IIRM-10137</t>
  </si>
  <si>
    <t>IIRM-9418 — CR: Calculate premium based on age of dependent if policy is per life</t>
  </si>
  <si>
    <t>IIRM-10138</t>
  </si>
  <si>
    <t>IIRM-9472 — Manage Policy: Policy Id should be displayed in table &amp; in table setting. Also should be in Smart Search</t>
  </si>
  <si>
    <t>IIRM-10139</t>
  </si>
  <si>
    <t>IIRM-10140</t>
  </si>
  <si>
    <t>IIRM-9977 — Opportunity corrections - Meeting date is not allowing to capture before Policy start date (Remove validations for date)</t>
  </si>
  <si>
    <t>IIRM-10141</t>
  </si>
  <si>
    <t>IIRM-10142</t>
  </si>
  <si>
    <t>IIRM-6697 — Non-GMC: Template helper not matching with Asset template</t>
  </si>
  <si>
    <t>IIRM-10143</t>
  </si>
  <si>
    <t>DevOps</t>
  </si>
  <si>
    <t>sravya.nanduri</t>
  </si>
  <si>
    <t>IIRM-10144</t>
  </si>
  <si>
    <t>Database Scripts execution and Deployments</t>
  </si>
  <si>
    <t>IIRM-10143 — DevOps</t>
  </si>
  <si>
    <t>IIRM-10145</t>
  </si>
  <si>
    <t>Static Images Configuration for IBP</t>
  </si>
  <si>
    <t>IIRM-10146</t>
  </si>
  <si>
    <t>Call with IIRM Client - Saferisk app deployment</t>
  </si>
  <si>
    <t>IIRM-10147</t>
  </si>
  <si>
    <t>Database Scripts and Deployments</t>
  </si>
  <si>
    <t>IIRM-10148</t>
  </si>
  <si>
    <t>BE: Compute premium per life for each endorsement</t>
  </si>
  <si>
    <t>IIRM-10149</t>
  </si>
  <si>
    <t>IIRM: Premium Calculation: Applicable Days for dependents are calculated incorrectly</t>
  </si>
  <si>
    <t>IIRM-10150</t>
  </si>
  <si>
    <t>IIRM: Inception (Per Family) – Optional Add-On Policies Incorrectly Appearing in Premium Calculator Download for Base and Parental Policies</t>
  </si>
  <si>
    <t>IIRM-10151</t>
  </si>
  <si>
    <t>IIRM: Premium Calculation: Net Premium in summary card is incorrect when Self and dependent have different Effective From dates</t>
  </si>
  <si>
    <t>IIRM-10152</t>
  </si>
  <si>
    <t>IIRM: Duplicate Columns (SL No. and Serial Number) in Inception Document Download (Send Inception to Insurer)</t>
  </si>
  <si>
    <t>IIRM-10153</t>
  </si>
  <si>
    <t>IIRM: Premium Calculator: Unable to add dependent for existing employee</t>
  </si>
  <si>
    <t>IIRM-10154</t>
  </si>
  <si>
    <t>IIRM: Failed to Load  Documents in Company Document Tab</t>
  </si>
  <si>
    <t>IIRM-10155</t>
  </si>
  <si>
    <t>IIRM-10156</t>
  </si>
  <si>
    <t>IIRM: Premium Calculator: Incorrect premium calculation for dependent when Self and dependent belong to different age bands</t>
  </si>
  <si>
    <t>IIRM-10157</t>
  </si>
  <si>
    <t>PROD Issue: Kirti - Opty. &amp; Policies - Data Mis-Match (Refer to Neeraj email)</t>
  </si>
  <si>
    <t>IIRM-10158</t>
  </si>
  <si>
    <t>IBP: New Design | New Login flow</t>
  </si>
  <si>
    <t>IIRM-10159</t>
  </si>
  <si>
    <t>Toggle for Number Formatting Lakhs / Millions based on Country</t>
  </si>
  <si>
    <t>IIRM-10160</t>
  </si>
  <si>
    <t>Dashboard: Display My tasks by default. Add radio button - Manager, Manager+Team, Organisation</t>
  </si>
  <si>
    <t>IIRM-10161</t>
  </si>
  <si>
    <t>IIRM: Claims TAT Functionality is not working as expected</t>
  </si>
  <si>
    <t>IIRM-10162</t>
  </si>
  <si>
    <t>Dashboard: Hide - Widget - Smart Actions, My Delivery Performance widget &amp; Others</t>
  </si>
  <si>
    <t>IIRM-10163</t>
  </si>
  <si>
    <t>Dashboard: My Business Performance - Clickable for New &amp; Renewal Business dials also - Same like Total</t>
  </si>
  <si>
    <t>IIRM-10164</t>
  </si>
  <si>
    <t>Endorsement TAT: Show only these TAT buckets: &lt;3 , &lt;7 , &lt;14 , &gt;14</t>
  </si>
  <si>
    <t>IIRM-10165</t>
  </si>
  <si>
    <t>Claims TAT: Show only these TAT buckets: &lt;3 , &lt;7 , &lt;14 , &gt;14</t>
  </si>
  <si>
    <t>IIRM-10166</t>
  </si>
  <si>
    <t>Dashboard: My Business Performance - Include Mined in New &amp; Update the sequence</t>
  </si>
  <si>
    <t>IIRM-10167</t>
  </si>
  <si>
    <t>Dashboard: My Follow Up - Show All, SO, &amp; RO's data</t>
  </si>
  <si>
    <t>IIRM-10168</t>
  </si>
  <si>
    <t>CR: My Company: Show data based on User Privileges</t>
  </si>
  <si>
    <t>IIRM-10169</t>
  </si>
  <si>
    <t>Dashboard: Policy Distribution - Update design &amp; values to show</t>
  </si>
  <si>
    <t>IIRM-10170</t>
  </si>
  <si>
    <t>Dashboard: My Business Performance - Re-Design UI for Yearly / Quarterly</t>
  </si>
  <si>
    <t>IIRM-10171</t>
  </si>
  <si>
    <t>Dashboard: Sales Funnel - Re-design</t>
  </si>
  <si>
    <t>IIRM-10172</t>
  </si>
  <si>
    <t>Dashboard: New Chart "Brokerage Collected" - Premium vs Brokerage Invoice vs Brokerage Collected Data from Finops</t>
  </si>
  <si>
    <t>IIRM-10173</t>
  </si>
  <si>
    <t>Dashboard: Brokerage to Collect - Buckets</t>
  </si>
  <si>
    <t>IIRM-10174</t>
  </si>
  <si>
    <t>Utility - Add New columns in the Send to Client (Refer to different Client template)</t>
  </si>
  <si>
    <t>IIRM-10175</t>
  </si>
  <si>
    <t>Premium based on new dependent additions (Refer to DNV Policy - 649733)</t>
  </si>
  <si>
    <t>IIRM-10176</t>
  </si>
  <si>
    <t>IIRM: Premium Calculator: Effective To Date is missing in downloaded document</t>
  </si>
  <si>
    <t>IIRM-10177</t>
  </si>
  <si>
    <t>IIRM: Premium Calculator: Parental policy premium is incorrectly derived from base policy</t>
  </si>
  <si>
    <t>IIRM-10178</t>
  </si>
  <si>
    <t>PROD Request: Update "Income Month" based on "Date of Income" (Madhav's Request)</t>
  </si>
  <si>
    <t>IIRM-10179</t>
  </si>
  <si>
    <t>Dashboard: My Business Performance - Quarterly View</t>
  </si>
  <si>
    <t>Test on Staging</t>
  </si>
  <si>
    <t>IIRM-10180</t>
  </si>
  <si>
    <t xml:space="preserve">While creating or resetting a password, even if the required conditions (such as including at least one uppercase letter) are not satisfied, the system is still allowing the user to create/set the password. </t>
  </si>
  <si>
    <t>IIRM-10181</t>
  </si>
  <si>
    <t>In the parental policy, other family members are being displayed even though they are not configured. Ideally, only parents should be shown.  It seems this behavior is being carried forward from the normal base policy, which is causing the issue.</t>
  </si>
  <si>
    <t>IIRM-10182</t>
  </si>
  <si>
    <t>As mentioned earlier, there should be a clear distinction or visual highlighting to indicate that the policy has changed from Group Mediclaim (Base) to Group Mediclaim (Parental).</t>
  </si>
  <si>
    <t>IIRM-10183</t>
  </si>
  <si>
    <t>if configuration per life then in permium calcuation it was not showing as expected ple check once for per life</t>
  </si>
  <si>
    <t>IIRM-10184</t>
  </si>
  <si>
    <t xml:space="preserve">	 At times, when we click on the parental policy, it is by default showing all family members that were added under the base policy. However, occasionally it shows a blank screen, and the “Add Dependents” option gets frozen.</t>
  </si>
  <si>
    <t>IIRM-10185</t>
  </si>
  <si>
    <t xml:space="preserve">	 Please check the login functionality to ensure it is working properly. Currently, users are unable to log in when uppercase letters are used</t>
  </si>
  <si>
    <t>IIRM-10186</t>
  </si>
  <si>
    <t>Still the intimation claim can be done before enrolment of members</t>
  </si>
  <si>
    <t>IIRM-10187</t>
  </si>
  <si>
    <t>The character validation is not working correctly. Users are able to enter alphabets in numeric fields and numeric values in fields meant for characters in intimation of claim</t>
  </si>
  <si>
    <t>IIRM-10188</t>
  </si>
  <si>
    <t>In the “Select Member to Include” section, the dropdown is not displaying all the relationships as per the configuration</t>
  </si>
  <si>
    <t>IIRM-10189</t>
  </si>
  <si>
    <t xml:space="preserve">	 When the user selects the Login with Email OTP option, the system asks the user to enter the email ID again, even though it was already entered in the previous login step. This causes unnecessary repetition and affects user experience.</t>
  </si>
  <si>
    <t>IIRM-10190</t>
  </si>
  <si>
    <t xml:space="preserve">While raising a ticket, when a document is uploaded, there is no indication or confirmation showing whether the document has been successfully uploaded or not. This creates confusion for the user. </t>
  </si>
  <si>
    <t>IIRM-10191</t>
  </si>
  <si>
    <t xml:space="preserve">	 Sometimes, when the OTP attempts are exhausted and the user clicks on “Change Email ID”, the system navigates to the email ID screen. However, after entering the email and clicking on “Send OTP”, the application gets frozen and does not respond</t>
  </si>
  <si>
    <t>IIRM-10192</t>
  </si>
  <si>
    <t>The behaviour of adding members and managing the default member is not working properly. In some cases, members are getting automatically set or removed as default without user action, and sometimes default members are getting deleted directly</t>
  </si>
  <si>
    <t>IIRM-10193</t>
  </si>
  <si>
    <t>While creating or resetting a password, even if the required conditions (such as including at least one uppercase letter) are not satisfied, the system is still allowing the user to create/set the password.</t>
  </si>
  <si>
    <t>IIRM-10194</t>
  </si>
  <si>
    <t>In the parental policy, other family members are being displayed even though they are not configured. Ideally, only parents should be shown.  It seems this behaviour is being carried forward from the normal base policy</t>
  </si>
  <si>
    <t>IIRM-10195</t>
  </si>
  <si>
    <t>As mentioned earlier, there should be a clear distinction or visual highlighting to indicate that the policy has changed from Group Mediclaim (Base) to Group Mediclaim (Parental)</t>
  </si>
  <si>
    <t>IIRM-10196</t>
  </si>
  <si>
    <t>I----------------f configuration per life then in premium calculation it was not showing as expected ple check once for per life</t>
  </si>
  <si>
    <t>IIRM-10197</t>
  </si>
  <si>
    <t>If configuration per life then in premium calculation it was not showing as expected ple check once for per life</t>
  </si>
  <si>
    <t>IIRM-10198</t>
  </si>
  <si>
    <t>At times, when we click on the parental policy, it is by default showing all family members that were added under the base policy. However, occasionally it shows a blank screen, and the “Add Dependents” option gets frozen</t>
  </si>
  <si>
    <t>IIRM-10199</t>
  </si>
  <si>
    <t xml:space="preserve">	 Please check the login functionality to ensure it is working properly. Currently, users are unable to log in when uppercase letters are used.</t>
  </si>
  <si>
    <t>IIRM-10200</t>
  </si>
  <si>
    <t>IIRM-10201</t>
  </si>
  <si>
    <t xml:space="preserve">	 The character validation is not working correctly. Users can enter alphabets in numeric fields and numeric values in fields meant for characters in intimation of claim</t>
  </si>
  <si>
    <t>IIRM-10202</t>
  </si>
  <si>
    <t>IIRM: Premium Calculator: Incorrect data and premium calculation in downloaded file when dependent is deleted</t>
  </si>
  <si>
    <t>IIRM-10203</t>
  </si>
  <si>
    <t>IIRM: Premium Calculator: Premium amount not handled correctly for deleted persons when proration is disabled</t>
  </si>
  <si>
    <t>IIRM-10204</t>
  </si>
  <si>
    <t>Email Notifications: User creation email notification should be triggered only once per user (not per policy). This should be managed by the service team, and executives should have the ability to manually send the welcome email.</t>
  </si>
  <si>
    <t>IIRM-10205</t>
  </si>
  <si>
    <t>Email Notifications: All email communications should be configurable through Strapi CMS.</t>
  </si>
  <si>
    <t>IIRM-10206</t>
  </si>
  <si>
    <t>IIRM-10207</t>
  </si>
  <si>
    <t>Enrolment: Premium calculator layout should be adjusted to a 70:30 ratio for better usability.</t>
  </si>
  <si>
    <t>IIRM-10208</t>
  </si>
  <si>
    <t>Enrolment: Show the heading in the box rather than showing in by underline</t>
  </si>
  <si>
    <t>IIRM-10209</t>
  </si>
  <si>
    <t>Enrolment: The “Selected” CTA should be positioned on the right side of the card and highlighted in green. ( Later Changed to Orange)</t>
  </si>
  <si>
    <t>IIRM-10210</t>
  </si>
  <si>
    <t>Enrolment: When navigating between components, there should be a clear visual indication that the component heading has changed.</t>
  </si>
  <si>
    <t>IIRM-10211</t>
  </si>
  <si>
    <t>Enrolment: Dependent selection across components should be implemented using checkbox selection instead of dropdowns.</t>
  </si>
  <si>
    <t>IIRM-10212</t>
  </si>
  <si>
    <t>Enrolment: The premium calculator slider should be consistently visible across all operating systems.</t>
  </si>
  <si>
    <t>IIRM-10213</t>
  </si>
  <si>
    <t>Enrolment: The premium calculator should occupy the full available width of the screen.</t>
  </si>
  <si>
    <t>IIRM-10214</t>
  </si>
  <si>
    <t>Enrolment: Rename “Back to Dashboard” to “Go to Dashboard” on the enrolment confirmation screen.</t>
  </si>
  <si>
    <t>IIRM-10215</t>
  </si>
  <si>
    <t>Policy Feature: Policy features should support a single document upload with multiple pages, displayed in a unified document view.</t>
  </si>
  <si>
    <t>IIRM-10216</t>
  </si>
  <si>
    <t>View Policy Details: In CMS, enable document upload functionality for the “View Policy Details” section.</t>
  </si>
  <si>
    <t>IIRM-10217</t>
  </si>
  <si>
    <t>View Policy Details: The UI should be responsive to zoom in/out, ensuring content adjusts properly without requiring horizontal scrolling.</t>
  </si>
  <si>
    <t>IIRM-10218</t>
  </si>
  <si>
    <t>View Policy Details: Upload a brochure for the next demo under the “View Policy Details” section.</t>
  </si>
  <si>
    <t>IIRM-10219</t>
  </si>
  <si>
    <t>View Policy Details: View Policy Details  from the bottom banner, when click open the policy feature screen should navigate to policy section</t>
  </si>
  <si>
    <t>IIRM-10220</t>
  </si>
  <si>
    <t>My Documents: My Document screen is not looking good, lot of empty space</t>
  </si>
  <si>
    <t>IIRM-10221</t>
  </si>
  <si>
    <t>Claim Intimation: Claim intimation module should include document upload functionality.</t>
  </si>
  <si>
    <t>IIRM-10222</t>
  </si>
  <si>
    <t>Claim Intimation: "Claim intimation Stepper Flow - As per the Jira story  "</t>
  </si>
  <si>
    <t>IIRM-10223</t>
  </si>
  <si>
    <t>User Profile: The dependent list should be displayed in a separate card, positioned between Personal Details and Activity History.</t>
  </si>
  <si>
    <t>IIRM-10224</t>
  </si>
  <si>
    <t>User Profile: User profile screen, the screen should open from top</t>
  </si>
  <si>
    <t>IIRM-10225</t>
  </si>
  <si>
    <t>Login: in the outlook, user is reciving the blank for the otm mail</t>
  </si>
  <si>
    <t>IIRM-10226</t>
  </si>
  <si>
    <t>Footer: Footer content font in enrolment screen</t>
  </si>
  <si>
    <t>IIRM-10227</t>
  </si>
  <si>
    <t>Login Flow: Login flow should be embedded within the same screen; avoid using popups.</t>
  </si>
  <si>
    <t>IIRM-10228</t>
  </si>
  <si>
    <t>Login Flow: Login Method sequence should be - Email id &gt; Phone Number &gt; Employee Id</t>
  </si>
  <si>
    <t>IIRM-10229</t>
  </si>
  <si>
    <t>Login Flow: Last Login Method memory to show for next login by default</t>
  </si>
  <si>
    <t>IIRM-10230</t>
  </si>
  <si>
    <t>Login Flow: Continue to OTP Verification and Login with Email OTP creating confusion. Need to handle Login with OTP method appropiatly</t>
  </si>
  <si>
    <t>IIRM-10231</t>
  </si>
  <si>
    <t>Login Flow: System should handle first time user and user with password with out confusion</t>
  </si>
  <si>
    <t>IIRM-10232</t>
  </si>
  <si>
    <t>Login Flow: After I click with " Continue with OTP verification CTA on previous screen, in the next screen system ask for Send OTP again which create confusion</t>
  </si>
  <si>
    <t>IIRM-10233</t>
  </si>
  <si>
    <t xml:space="preserve">Login Flow: Need to enhance complete login flow </t>
  </si>
  <si>
    <t>IIRM-10234</t>
  </si>
  <si>
    <t>Dashboard: The blue banner (font, icons, overall styling) is not visually appealing and needs redesign.</t>
  </si>
  <si>
    <t>IIRM-10235</t>
  </si>
  <si>
    <t>Dashboard: Personal information icons appear merged; they should be visually distinct and properly spaced.</t>
  </si>
  <si>
    <t>IIRM-10236</t>
  </si>
  <si>
    <t>“Days Left” and “Start Your Enrolment” CTA are not appealing and need enhancement.</t>
  </si>
  <si>
    <t>IIRM-10237</t>
  </si>
  <si>
    <t>Dashboard: Revisit sizing and color treatment of all elements within the blue banner.</t>
  </si>
  <si>
    <t>IIRM-10238</t>
  </si>
  <si>
    <t>Dashboard: Policy listing cards require better padding and spacing.</t>
  </si>
  <si>
    <t>IIRM-10239</t>
  </si>
  <si>
    <t>Dashboard: Policy information text lacks visual appeal; improve typography and readability.</t>
  </si>
  <si>
    <t>IIRM-10240</t>
  </si>
  <si>
    <t>Dashboard: Background grey color feels unnecessary; explore alternative design treatments.</t>
  </si>
  <si>
    <t>IIRM-10241</t>
  </si>
  <si>
    <t>Dashboard: “View Policy Details” should support document upload functionality.</t>
  </si>
  <si>
    <t>IIRM-10242</t>
  </si>
  <si>
    <t>Dashboard: “View Policy Details” and “Policy Features” should open as full pages instead of overlays.</t>
  </si>
  <si>
    <t>IIRM-10243</t>
  </si>
  <si>
    <t>Dashboard: Improve design and visibility of “Download” and “Continue Enrolment” CTAs.</t>
  </si>
  <si>
    <t>IIRM-10244</t>
  </si>
  <si>
    <t>Dashboard: For Newly Enrolled Policies rename as "Enroled Policies"</t>
  </si>
  <si>
    <t>IIRM-10245</t>
  </si>
  <si>
    <t>Dashboard: Review All the taglines accrose the application and all taglines should be appropiate</t>
  </si>
  <si>
    <t>IIRM-10246</t>
  </si>
  <si>
    <t>IIRM-10247</t>
  </si>
  <si>
    <t>Dashboard: Names fontos etc are better on the first time login dashboard rather than other dashboard</t>
  </si>
  <si>
    <t>IIRM-10248</t>
  </si>
  <si>
    <t>Dashboard: All the text, forns on the blue banners needs more experiment and enhancements</t>
  </si>
  <si>
    <t>IIRM-10249</t>
  </si>
  <si>
    <t>FAQ: FAQ section  contains excessive empty space; optimize layout usage.</t>
  </si>
  <si>
    <t>IIRM-10250</t>
  </si>
  <si>
    <t>FAQ: Handle variable content length (short vs long questions) effectively in UI.</t>
  </si>
  <si>
    <t>IIRM-10251</t>
  </si>
  <si>
    <t>Enrolment: Enhance the premium calculator (layout, usability, visibility).</t>
  </si>
  <si>
    <t>IIRM-10252</t>
  </si>
  <si>
    <t>Enrolment: Improve section headings for better clarity and hierarchy.</t>
  </si>
  <si>
    <t>IIRM-10253</t>
  </si>
  <si>
    <t>Enrolment: Add transition indicators when scrolling from compulsory to optional sections to clearly show progression.</t>
  </si>
  <si>
    <t>IIRM-10254</t>
  </si>
  <si>
    <t>Enrolment: When the last compulsory component is selected and user moves to optional, clearly indicate completion of compulsory and start of optional.</t>
  </si>
  <si>
    <t>IIRM-10255</t>
  </si>
  <si>
    <t>Enrolment: Improve grouping of “Compulsory” and “Optional” sections with better visual distinction (e.g., colors, trays).</t>
  </si>
  <si>
    <t>IIRM-10256</t>
  </si>
  <si>
    <t>Enrolment: Enhance visibility of selected components when the accordion is collapsed.</t>
  </si>
  <si>
    <t>IIRM-10257</t>
  </si>
  <si>
    <t>Enrolment: Ensure compulsory vs optional segregation is clearly visible on the confirmation screen.</t>
  </si>
  <si>
    <t>IIRM-10258</t>
  </si>
  <si>
    <t>Enrolment: Maintain consistency across Dashboard, Enrolment, and Summary screens.</t>
  </si>
  <si>
    <t>IIRM-10259</t>
  </si>
  <si>
    <t>Enrolment: Claim intimation flow should include a stepper; for demo, include document upload and show GMC by default.</t>
  </si>
  <si>
    <t>IIRM-10260</t>
  </si>
  <si>
    <t>Enrolment: Implement static E-card</t>
  </si>
  <si>
    <t>IIRM-10261</t>
  </si>
  <si>
    <t>Enrolment: Display dependent list in the user profile below personal details in a separate card.</t>
  </si>
  <si>
    <t>IIRM-10262</t>
  </si>
  <si>
    <t>Enrolment: Whenever we do the edit enrolment we need to show the  counters ( Edit date, time and counter (number of edits) and show in each confirmation mails</t>
  </si>
  <si>
    <t>IIRM-10263</t>
  </si>
  <si>
    <t xml:space="preserve">Enrolment: "On the Policy Cards in the left hand side, we should show some message that rates are with out gst ( Like GST excluded)  Scenario 1 - GST is applicable and show GST can be displayed ( In the configuration  Calculate GST, Display GST </t>
  </si>
  <si>
    <t>IIRM-10264</t>
  </si>
  <si>
    <t>Enrolment: Age Should be visible beside date of birth in the add dependent</t>
  </si>
  <si>
    <t>IIRM-10265</t>
  </si>
  <si>
    <t>Enrolment: Delete option required in the Add dependent and lot of white space when no dependents are available in the list</t>
  </si>
  <si>
    <t>IIRM-10266</t>
  </si>
  <si>
    <t>Enrolment: Check if the Dependent added in. inception, are they visible in the dependent list</t>
  </si>
  <si>
    <t>IIRM-10267</t>
  </si>
  <si>
    <t>Enrolment: Dashboard we are showing icons and enrolment we are showing lables, need to maintain consistancy, change to icons in the enrolment screen</t>
  </si>
  <si>
    <t>IIRM-10268</t>
  </si>
  <si>
    <t>Enrolment: "Add alternate phone / email, alignment was missing for client ( For us coming good, need to check Cancel and Update CTAs not required, simply show textbox, if come out of text box it should get updated "</t>
  </si>
  <si>
    <t>IIRM-10269</t>
  </si>
  <si>
    <t>Enrolment: "In the enrolment confirmation poppup show message  Show reference number and Counter ( What is the number of time ) Reference number should gone to confirmation mail Reference number should be</t>
  </si>
  <si>
    <t>IIRM-10270</t>
  </si>
  <si>
    <t>Life Event: Avoid separate second screen; bring all elements into the first screen with appropriate CTAs.</t>
  </si>
  <si>
    <t>IIRM-10271</t>
  </si>
  <si>
    <t>Life Event: Enable document upload during dependent addition; support multiple uploads (e.g., twins scenario).</t>
  </si>
  <si>
    <t>IIRM-10272</t>
  </si>
  <si>
    <t>Life Event: Component selection and approval flows will be defined by the client; retain current behavior for now.</t>
  </si>
  <si>
    <t>IIRM-10273</t>
  </si>
  <si>
    <t>Enrolment: Enrollment functionality ( Handle All Edge Cases)</t>
  </si>
  <si>
    <t>IIRM-10274</t>
  </si>
  <si>
    <t>Life Event: Life events</t>
  </si>
  <si>
    <t>IIRM-10275</t>
  </si>
  <si>
    <t>Claim Intimation: Claim intimation, Document type and document upload</t>
  </si>
  <si>
    <t>IIRM-10276</t>
  </si>
  <si>
    <t>My Documents: Proper My Documents - Section wise (Policies, Claim documents, Life events documents, Reminder mail copies, Confirmation mail copies). Date time stamps are very important</t>
  </si>
  <si>
    <t>IIRM-10277</t>
  </si>
  <si>
    <t>Others: Minimising data entry aspects, where applicable</t>
  </si>
  <si>
    <t>IIRM-10278</t>
  </si>
  <si>
    <t>User Profile: Dependants should be addable from profile page and selectable in enrollment. Other way around also, as currently done</t>
  </si>
  <si>
    <t>IIRM-10279</t>
  </si>
  <si>
    <t>Ask Eco: Change Ask Echo to TPA Login (For time being).</t>
  </si>
  <si>
    <t>IIRM-10280</t>
  </si>
  <si>
    <t>Email Notifications: All mail contents should be discussed with us for content modifications</t>
  </si>
  <si>
    <t>IIRM-10281</t>
  </si>
  <si>
    <t xml:space="preserve">Email Notifications: Template enhancements </t>
  </si>
  <si>
    <t>IIRM-10282</t>
  </si>
  <si>
    <t>Email Notifications: "Enrolment Start Mail and Enrolment Reminder Mails - Should show all the covered members along with the policy details  **Warm regards section Say as ""Team IIRM"" instead of IIRM"</t>
  </si>
  <si>
    <t>IIRM-10283</t>
  </si>
  <si>
    <t>Email Notifications: "Enrolment confirmation message should show ( Should be on top somewhere) Show reference number and Counter ( What is the number of time ) Reference number should gone to confirmation mail Reference number</t>
  </si>
  <si>
    <t>IIRM-10284</t>
  </si>
  <si>
    <t>Email Notifications: Policy details, member details can be shown in the table formats. for 7th not required, but design and experiment for future</t>
  </si>
  <si>
    <t>IIRM-10285</t>
  </si>
  <si>
    <t>View Policy Details: Screen looks fully, can be given border to look it appeling ( The view not looking as our application and not looking appeling) Client need a better mechanism here</t>
  </si>
  <si>
    <t>IIRM-10286</t>
  </si>
  <si>
    <t>Popups: Popes are coming on the blank page, should come on the exesting pages</t>
  </si>
  <si>
    <t>IIRM-10287</t>
  </si>
  <si>
    <t>Quick Cards : Quick Cards should be visible all the time all the screens including policy feature and policy document screen, dont show quick links in the header</t>
  </si>
  <si>
    <t>IIRM-10288</t>
  </si>
  <si>
    <t>Claims Corner: Screen view to be enhanced</t>
  </si>
  <si>
    <t>IIRM-10289</t>
  </si>
  <si>
    <t>Others: Other page minor modifications should be discussed with us</t>
  </si>
  <si>
    <t>IIRM-10290</t>
  </si>
  <si>
    <t>New Tab: Financial Info - Commission, Invoice, Collected &amp; Other details</t>
  </si>
  <si>
    <t>IIRM-10292</t>
  </si>
  <si>
    <t>IIRM: Incorrect Validation Message While Activating Already Approved Configured Policy</t>
  </si>
  <si>
    <t>IIRM-10293</t>
  </si>
  <si>
    <t>Dashboard: Add new filter "Insuer" and apply across all widgets</t>
  </si>
  <si>
    <t>IIRM-10294</t>
  </si>
  <si>
    <t>Smart Search: Financial Year must be dynamic based on the Current date and should be selected</t>
  </si>
  <si>
    <t>IIRM-10295</t>
  </si>
  <si>
    <t>Dashboard: Replace "My Business Performance" widget with new Chart</t>
  </si>
  <si>
    <t>IIRM-10296</t>
  </si>
  <si>
    <t>Dashboard: Floating Search</t>
  </si>
  <si>
    <t>IIRM-10297</t>
  </si>
  <si>
    <t>Prod: Dashboard: Policy Distribution issues</t>
  </si>
  <si>
    <t>IIRM-10298</t>
  </si>
  <si>
    <t>IIRM: Net Premium Incorrectly Calculated After Deletion When Pro-Ration is Not Selected</t>
  </si>
  <si>
    <t>IIRM-10299</t>
  </si>
  <si>
    <t>IIRM: Applicable Days Not Displayed for Dependent in Premium Calculator File When Pro-Ration is Not Selected</t>
  </si>
  <si>
    <t>IIRM-10300</t>
  </si>
  <si>
    <t>Performed testing in the Production Environment</t>
  </si>
  <si>
    <t>IIRM-10301</t>
  </si>
  <si>
    <t>IIRM-10302</t>
  </si>
  <si>
    <t>QA: Testing and Bug reporting[Age Policy Parameter]</t>
  </si>
  <si>
    <t>IIRM-10303</t>
  </si>
  <si>
    <t>QA: Re-Verifying the bugs [Age Policy Parameter]</t>
  </si>
  <si>
    <t>IIRM-10304</t>
  </si>
  <si>
    <t>IIRM-10163 — Dashboard: My Business Performance - Clickable for New &amp; Renewal Business dials also - Same like Total</t>
  </si>
  <si>
    <t>IIRM-10305</t>
  </si>
  <si>
    <t>IIRM-10164 — Endorsement TAT: Show only these TAT buckets: &lt;3 , &lt;7 , &lt;14 , &gt;14</t>
  </si>
  <si>
    <t>IIRM-10306</t>
  </si>
  <si>
    <t>Passed in QA</t>
  </si>
  <si>
    <t>IIRM-10165 — Claims TAT: Show only these TAT buckets: &lt;3 , &lt;7 , &lt;14 , &gt;14</t>
  </si>
  <si>
    <t>IIRM-10307</t>
  </si>
  <si>
    <t>IIRM-10166 — Dashboard: My Business Performance - Include Mined in New &amp; Update the sequence</t>
  </si>
  <si>
    <t>IIRM-10308</t>
  </si>
  <si>
    <t xml:space="preserve">QA: Bizdoen and NFR Chages Testing </t>
  </si>
  <si>
    <t>IIRM-10309</t>
  </si>
  <si>
    <t>IIRM: Net Premium is incorrect when users are deleted for proration-disabled (per-life) policy</t>
  </si>
  <si>
    <t>IIRM-10310</t>
  </si>
  <si>
    <t>IIRM: Per Family(Pro-ration unchecked): Incorrect Net Premium Calculation and Missing Premium Data in Endorsement Flow for Multiple Families</t>
  </si>
  <si>
    <t>IIRM-10311</t>
  </si>
  <si>
    <t>IIRM: Endorsement (Per Family, Proration Unchecked) – Premium Calculator File Not Found Error and Download Disabled</t>
  </si>
  <si>
    <t>IIRM-10312</t>
  </si>
  <si>
    <t>Dashboard: Income type should have All by default selected</t>
  </si>
  <si>
    <t>IIRM-10313</t>
  </si>
  <si>
    <t>IIRM: Net Premium and Effective From Date are incorrect when Self and Dependents are uploaded in different files within same enrolment</t>
  </si>
  <si>
    <t>IIRM-10314</t>
  </si>
  <si>
    <t>Policy to RO - Mis-Match</t>
  </si>
  <si>
    <t>IIRM-10315</t>
  </si>
  <si>
    <t>April 2025 Data</t>
  </si>
  <si>
    <t>IIRM-10314 — Policy to RO - Mis-Match</t>
  </si>
  <si>
    <t>IIRM-10316</t>
  </si>
  <si>
    <t>RO job's must be executed for ONLY Commercial lines</t>
  </si>
  <si>
    <t>IIRM-10317</t>
  </si>
  <si>
    <t>Decouple - SBU's from Users. Build Logic to handle it</t>
  </si>
  <si>
    <t>IIRM-10318</t>
  </si>
  <si>
    <t>Dashboard: Move the Claims, Endorsement, &amp; Policy Expiry TAT buckets into Center Page and apply filter</t>
  </si>
  <si>
    <t>IIRM-10319</t>
  </si>
  <si>
    <t>IIRM: Unable to map Insurer utility – Database error and mapping flow issues</t>
  </si>
  <si>
    <t>IIRM-10320</t>
  </si>
  <si>
    <t>The actual claim status is completed, but it is still being shown under pending.</t>
  </si>
  <si>
    <t>IIRM-10321</t>
  </si>
  <si>
    <t>Banner is showing - "The enrolment window for 2026-27 is now closed"</t>
  </si>
  <si>
    <t>IIRM-10322</t>
  </si>
  <si>
    <t>Dashboard: Claim amount should be visible on policy cards. If Total is provided by TPA show that as well</t>
  </si>
  <si>
    <t>IIRM-10323</t>
  </si>
  <si>
    <t>Document Preview: second page appears blank but the downloaded file displays the content correctly.</t>
  </si>
  <si>
    <t>IIRM-10324</t>
  </si>
  <si>
    <t>FAQ: Hosipital network link should avalible in FAQS for the where we can find hosipital list question  instead text.</t>
  </si>
  <si>
    <t>IIRM-10325</t>
  </si>
  <si>
    <t>Iwork: Unable to upload documents into iWork and also download documents</t>
  </si>
  <si>
    <t>IIRM-10326</t>
  </si>
  <si>
    <t>IIRM-10327</t>
  </si>
  <si>
    <t>Life events: Cross gender should come in life events</t>
  </si>
  <si>
    <t>IIRM-10328</t>
  </si>
  <si>
    <t>Life Events Management: trying to add Dependent, getting error "Invalid choice of component id 88"</t>
  </si>
  <si>
    <t>IIRM-10329</t>
  </si>
  <si>
    <t>unable to login showing error as link has expired while trying reset password</t>
  </si>
  <si>
    <t>IIRM-10330</t>
  </si>
  <si>
    <t>On a laptop using Microsoft Edge at 100% resolution, the login page is not scrolling properly, making it difficult to access all fields and options.</t>
  </si>
  <si>
    <t>IIRM-10331</t>
  </si>
  <si>
    <t>When attempting to log in as an employee id, users are unable to proceed as the login field is labeled as “Email ID,” causing confusion and preventing login with other credentials.</t>
  </si>
  <si>
    <t>IIRM-10332</t>
  </si>
  <si>
    <t>Logout button is overlapped by Quick link in 100% resolution. Shows better in 80%</t>
  </si>
  <si>
    <t>IIRM-10333</t>
  </si>
  <si>
    <t>My Documents showing documents not related to the logged-in company &amp; policy</t>
  </si>
  <si>
    <t>IIRM-10334</t>
  </si>
  <si>
    <t>"In policies document there is no ""Back button"" Pls add back button to all pages either at the top or bottom.  Users are using browser back button"</t>
  </si>
  <si>
    <t>IIRM-10335</t>
  </si>
  <si>
    <t>"- Premium amount is showing different at diffferent places - At top board premium is showing with GST where as down with out GST is showing policy details "</t>
  </si>
  <si>
    <t>IIRM-10336</t>
  </si>
  <si>
    <t>Request - Need a report daily to show the list of all Support Request raised. Include Life event requests as well.  User must be able to view the tickets he /she has raised</t>
  </si>
  <si>
    <t>IIRM-10337</t>
  </si>
  <si>
    <t>Form got submitted by entering only spaces in description. Hope the validation to be done post trim. Also please check if ticket is raised</t>
  </si>
  <si>
    <t>IIRM-10338</t>
  </si>
  <si>
    <t>Outlook App: A large amount of blank white space appears where content should be visible, requiring excessive scrolling to reach the actual text, similar to an issue encountered previously.</t>
  </si>
  <si>
    <t>IIRM-10339</t>
  </si>
  <si>
    <t xml:space="preserve">Title of page is showing as ibp </t>
  </si>
  <si>
    <t>IIRM-10340</t>
  </si>
  <si>
    <t>Add Dependents: Newly added dependents are automatically mapped to the GMC policy</t>
  </si>
  <si>
    <t>IIRM-10341</t>
  </si>
  <si>
    <t>Users are able to edit the enrolled dependents</t>
  </si>
  <si>
    <t>IIRM-10342</t>
  </si>
  <si>
    <t>Request - Implement a visibility toggle (eye icon) for the Date of Birth field in the User Profile, with the field hidden by default.</t>
  </si>
  <si>
    <t>IIRM-10343</t>
  </si>
  <si>
    <t>when trying to update alternate email getting error "Http Exception"</t>
  </si>
  <si>
    <t>IIRM-10344</t>
  </si>
  <si>
    <t>Employee date of joining is missing</t>
  </si>
  <si>
    <t>IIRM-10345</t>
  </si>
  <si>
    <t>Employee desigination and role is missing in employee profile</t>
  </si>
  <si>
    <t>IIRM-10346</t>
  </si>
  <si>
    <t>Request - GPA and GTL policies should support dependent addition - This should configuration</t>
  </si>
  <si>
    <t>IIRM-10347</t>
  </si>
  <si>
    <t>Dependent counts are missing</t>
  </si>
  <si>
    <t>IIRM-10348</t>
  </si>
  <si>
    <t>Alt. Phone &amp; Alt. Email doesn't have format validations</t>
  </si>
  <si>
    <t>IIRM-10349</t>
  </si>
  <si>
    <t>Inception/Endorsement: Premium calculation per life is not correct</t>
  </si>
  <si>
    <t>IIRM-10350</t>
  </si>
  <si>
    <t>Policy Document is not showing all the page. second page is missing</t>
  </si>
  <si>
    <t>IIRM-10351</t>
  </si>
  <si>
    <t>E-Card page is showing some random text in the empty page</t>
  </si>
  <si>
    <t>IIRM-10352</t>
  </si>
  <si>
    <t>Request - Daily report if any additions or deletions happend in the IBP Portal</t>
  </si>
  <si>
    <t>IIRM-10353</t>
  </si>
  <si>
    <t>Request - Need login implemented for IBP Login flow</t>
  </si>
  <si>
    <t>IIRM-10354</t>
  </si>
  <si>
    <t>Show the pre-requisite for Claims</t>
  </si>
  <si>
    <t>IIRM-10355</t>
  </si>
  <si>
    <t>Ecard - Directly downlaoded instead of showing in the page.</t>
  </si>
  <si>
    <t>IIRM-10356</t>
  </si>
  <si>
    <t>QA: Testing And Bug reporting the Send to Insurer/Client utility</t>
  </si>
  <si>
    <t>IIRM-10357</t>
  </si>
  <si>
    <t>QA: Testing and logging bugs</t>
  </si>
  <si>
    <t>IIRM-10169 — Dashboard: Policy Distribution - Update design &amp; values to show</t>
  </si>
  <si>
    <t>IIRM-10358</t>
  </si>
  <si>
    <t>IIRM-10359</t>
  </si>
  <si>
    <t>Hosipital network link should avalible in FAQS for the where we can find hosipital list question  instead text.</t>
  </si>
  <si>
    <t>IIRM-10360</t>
  </si>
  <si>
    <t>Unable to Login - Page is stuck after entering email</t>
  </si>
  <si>
    <t>IIRM-10361</t>
  </si>
  <si>
    <t>Users are able to set a password even without meeting the required password rules, indicating missing or ineffective validation.</t>
  </si>
  <si>
    <t>IIRM-10362</t>
  </si>
  <si>
    <t>Unable login using Employee ID &amp; Password</t>
  </si>
  <si>
    <t>IIRM-10363</t>
  </si>
  <si>
    <t>"Unable to login using Mobile number Users are unable to log in using their mobile number, preventing access to the application."</t>
  </si>
  <si>
    <t>IIRM-10364</t>
  </si>
  <si>
    <t>Password validation mismatch</t>
  </si>
  <si>
    <t>IIRM-10365</t>
  </si>
  <si>
    <t>"Also please note special characters like ' "" ; --   can cause sql injection  These are being blocked while PASSWORD update post login but not when resetting password"</t>
  </si>
  <si>
    <t>IIRM-10366</t>
  </si>
  <si>
    <t>For the login issue: here all the parameters are fulfilled still systame is not accepting password If there is a maximum validation of characters , pls mention.  Also there must be a scroll bar for change password window.</t>
  </si>
  <si>
    <t>IIRM-10367</t>
  </si>
  <si>
    <t>IIRM-10368</t>
  </si>
  <si>
    <t>Welcome Email - Not received</t>
  </si>
  <si>
    <t>IIRM-10369</t>
  </si>
  <si>
    <t xml:space="preserve">Permium is not showing </t>
  </si>
  <si>
    <t>IIRM-10370</t>
  </si>
  <si>
    <t>IIRM-10371</t>
  </si>
  <si>
    <t>Users are unable to attach documents properly while raising a ticket. Even after attaching and submitting, the same document remains visible and does not update or change for subsequent actions.</t>
  </si>
  <si>
    <t>IIRM-10372</t>
  </si>
  <si>
    <t>IIRM-10373</t>
  </si>
  <si>
    <t>Supported Formats displaying as  pdf, doc, png but it is accepting jpg file also while raising ticket.</t>
  </si>
  <si>
    <t>IIRM-10374</t>
  </si>
  <si>
    <t>IBP: Company-Scoped Employee Access for Client HR</t>
  </si>
  <si>
    <t>IIRM-10376</t>
  </si>
  <si>
    <t>IBP: HR Portal - HR's Department/Branch/Vertical Access</t>
  </si>
  <si>
    <t>IIRM-10377</t>
  </si>
  <si>
    <t>Dashboard: TAT: Filters not applied when navigating from Endorsemet TAT by SBU table to Manage Endorsement</t>
  </si>
  <si>
    <t>IIRM-10378</t>
  </si>
  <si>
    <t>Send to Client/Insurer: Data Mismatch</t>
  </si>
  <si>
    <t>IIRM-10379</t>
  </si>
  <si>
    <t>Send to Insurer/Client: Deleted records are not correctly displayed in preview</t>
  </si>
  <si>
    <t>IIRM-10380</t>
  </si>
  <si>
    <t>Inception/Endorsement: Premium Calculation</t>
  </si>
  <si>
    <t>IIRM-10381</t>
  </si>
  <si>
    <t>IIRM: Per Family (Age Parameter) – Incorrect Member Count Displayed After Dependent Deletion in Endorsement</t>
  </si>
  <si>
    <t>IIRM-10382</t>
  </si>
  <si>
    <t>Step-1: Enrollment issues in Inception/Endorsement</t>
  </si>
  <si>
    <t>IIRM-10383</t>
  </si>
  <si>
    <t>IIRM: Incorrect “Age Cannot Be Changed” Error While Updating Employee Name in Endorsement</t>
  </si>
  <si>
    <t>IIRM-10384</t>
  </si>
  <si>
    <t>IIRM: Company Pincode: Invalid pincode shown on updating company logo.</t>
  </si>
  <si>
    <t>IIRM-10385</t>
  </si>
  <si>
    <t>IBP: HR Portal - Login</t>
  </si>
  <si>
    <t>IIRM-10386</t>
  </si>
  <si>
    <t>Dashboard: Add Insurer Filter</t>
  </si>
  <si>
    <t>IIRM-10387</t>
  </si>
  <si>
    <t>Policy Details - Financial Info</t>
  </si>
  <si>
    <t>IIRM-10388</t>
  </si>
  <si>
    <t>IIRM: Send to Insurer/Client Utility – Missing columns in utility mapping</t>
  </si>
  <si>
    <t>IIRM-10389</t>
  </si>
  <si>
    <t>IIRM: Incorrect Date Filtering Logic for “Beyond 90 Days” in Policy Expiry Timeline by SBU</t>
  </si>
  <si>
    <t>IIRM-10390</t>
  </si>
  <si>
    <t>IIRM: Incorrect SBU Endorsement Count and Duplicate SBU Rows in Manage Endorsements</t>
  </si>
  <si>
    <t>IIRM-10391</t>
  </si>
  <si>
    <t>IIRM-10318 — Dashboard: Move the Claims, Endorsement, &amp; Policy Expiry TAT buckets into Center Page and apply filter</t>
  </si>
  <si>
    <t>IIRM-10392</t>
  </si>
  <si>
    <t>IIRM-10174 — Utility - Add New columns in the Send to Client (Refer to different Client template)</t>
  </si>
  <si>
    <t>IIRM-10393</t>
  </si>
  <si>
    <t>IIRM-10394</t>
  </si>
  <si>
    <t>QA: Uploading claims in the production</t>
  </si>
  <si>
    <t>IIRM-10395</t>
  </si>
  <si>
    <t>IIRM: Duplicate SBU Display with Different Spellings in Dashboard Sections (Endorsement TAT, Policy Expiry Timeline, Claims TAT)</t>
  </si>
  <si>
    <t>IIRM-10396</t>
  </si>
  <si>
    <t>TC-001: Insurer Filter — Rendering, Default State, Options Load, and Selection Behavior</t>
  </si>
  <si>
    <t>IIRM-10397</t>
  </si>
  <si>
    <t>TC-002: Run Button Applies Insurer Filter to All Widgets; Combined with All Other Filters; No Premature Re-fetch</t>
  </si>
  <si>
    <t>IIRM-10398</t>
  </si>
  <si>
    <t>TC-003: Non-Applicable Widgets Show Zero/Empty State; Reset Restores Defaults; API Error Graceful Degradation</t>
  </si>
  <si>
    <t>IIRM-10399</t>
  </si>
  <si>
    <t>TC-004: Last-Mile Clickability (Drill-Down) and Role-Based Insurer Scope</t>
  </si>
  <si>
    <t>IIRM-10400</t>
  </si>
  <si>
    <t>IIRM-10387 — Policy Details - Financial Info</t>
  </si>
  <si>
    <t>IIRM-10401</t>
  </si>
  <si>
    <t>IIRM-10386 — Dashboard: Add Insurer Filter</t>
  </si>
  <si>
    <t>IIRM-10402</t>
  </si>
  <si>
    <t>TC-001: Financial Info Tab — Role-Based Visibility and Tab Access</t>
  </si>
  <si>
    <t>IIRM-10403</t>
  </si>
  <si>
    <t>TC-002: Endorsement Frequency and Client Policy SPOC — Data Rendering</t>
  </si>
  <si>
    <t>IIRM-10404</t>
  </si>
  <si>
    <t>TC-003: Premium Receipts — Data Rendering and Business Booked Label</t>
  </si>
  <si>
    <t>IIRM-10405</t>
  </si>
  <si>
    <t>TC-004: Invoices and Collections — Data Rendering, Labels, and Full Category Coexistence</t>
  </si>
  <si>
    <t>IIRM-10406</t>
  </si>
  <si>
    <t>The screen is not allowing scroll down (edge issue)"</t>
  </si>
  <si>
    <t>IIRM-10407</t>
  </si>
  <si>
    <t>"Home Page: There is no scroll down option, so not able to see the USERNAME &amp; Password Tab ,Have to click on ‘tab’ button currently on laptop, so that the curser lands on Username and password tab "</t>
  </si>
  <si>
    <t>IIRM-10408</t>
  </si>
  <si>
    <t>Policy benefits &amp; summary: Page 1 shows all the policy details, whereas Page 2 is blank, needs to be removed</t>
  </si>
  <si>
    <t>IIRM-10409</t>
  </si>
  <si>
    <t>Look and feel can be enhanced more may be by changing some Fonts and color style.</t>
  </si>
  <si>
    <t>IIRM-10410</t>
  </si>
  <si>
    <t>Age band slab year fixation is required, as the parent age band is currently considered up to 139 years. Although the system may not be factoring this correctly, it is advisable to restrict the slab up to 90 years as per policy T&amp;C.</t>
  </si>
  <si>
    <t>IIRM-10411</t>
  </si>
  <si>
    <t>Post completion of parental selection, the system does not allow any modifications on the portal.</t>
  </si>
  <si>
    <t>IIRM-10412</t>
  </si>
  <si>
    <t>The option to opt out of the Critical Illness plan after selection is not available. The “Unselect Plan” tab is not functioning properly.</t>
  </si>
  <si>
    <t>IIRM-10413</t>
  </si>
  <si>
    <t>For Parent covers (Critical Illness / OPD / Dental &amp; Vision), the “Select” tab is not working, although the contribution amount is displayed on the screen.</t>
  </si>
  <si>
    <t>IIRM-10414</t>
  </si>
  <si>
    <t>IIRM: Insurer filter is missing in listing pages</t>
  </si>
  <si>
    <t>IIRM-10415</t>
  </si>
  <si>
    <t>Send to Insurer/Client Utility – Finance details displayed for non-financial endorsements</t>
  </si>
  <si>
    <t>IIRM-10416</t>
  </si>
  <si>
    <t>IBP: CRM HR Admin - User Management</t>
  </si>
  <si>
    <t>IIRM-10417</t>
  </si>
  <si>
    <t>Suppose one employee 2nd delivery is Twins and if he wants to add twins (1st delivery is one kid and 2nd delivery is 2 kids so total he want to add 3 kids its should show option to add as twins)</t>
  </si>
  <si>
    <t>IIRM-10418</t>
  </si>
  <si>
    <t>Let’s say employee age is 40 and if I enter mother age is 40 and father age is 40 portal is accepting it should give pop up that to check the age before submitting</t>
  </si>
  <si>
    <t>IIRM-10419</t>
  </si>
  <si>
    <t xml:space="preserve">While adding dependents- the drop down list showing the relation is not visible fully ( just initial 2-3 letter are seen, for example: If its Spouse then dropdown I can see only ‘sp’, similarly for daughter its seen as ‘dau’.. </t>
  </si>
  <si>
    <t>IIRM-10420</t>
  </si>
  <si>
    <t>Same is for Gender drop down listing – the page just shows ‘ Fe’ or</t>
  </si>
  <si>
    <t>IIRM-10421</t>
  </si>
  <si>
    <t>Can the font size reduce to see the exact details about OPTIONAL PLAN- currently as per screenshot shared below, employee may get confused as what would be the optional plan( OPD or CI ) unless he clicks on drop down arrow</t>
  </si>
  <si>
    <t>IIRM-10422</t>
  </si>
  <si>
    <t>The confirmation email subject needs to be changed- it currently says-‘’ Welcome to Insurance Benefits Portal’’, suggest if it gets changed to ‘’ Enrolment successfully submitted/registered’</t>
  </si>
  <si>
    <t>IIRM-10423</t>
  </si>
  <si>
    <t>Once I click on quick links tab called ‘ Enrolment status’ – it should show YOUR ENROLMENT IS COMPLETE.</t>
  </si>
  <si>
    <t>IIRM-10424</t>
  </si>
  <si>
    <t>On raising ticket- its better if employee gets some email confirmation with the ticket number</t>
  </si>
  <si>
    <t>IIRM-10425</t>
  </si>
  <si>
    <t>Unable to add two daughters under dependents.</t>
  </si>
  <si>
    <t>IIRM-10426</t>
  </si>
  <si>
    <t>No gender validation across all relationships</t>
  </si>
  <si>
    <t>IIRM-10427</t>
  </si>
  <si>
    <t>Optional benefits are appearing multiple times (duplication issue). - parental optional tag not showing</t>
  </si>
  <si>
    <t>IIRM-10428</t>
  </si>
  <si>
    <t>IIRM-10429</t>
  </si>
  <si>
    <t>PROD Issue: Placement Slip - Show Lead Insurer Brokerage Amount (Opty. ID: 681871)</t>
  </si>
  <si>
    <t>IIRM-10430</t>
  </si>
  <si>
    <t>PROD Issue: Policy Confirmation - Unable to upload document</t>
  </si>
  <si>
    <t>IIRM-10431</t>
  </si>
  <si>
    <t>Expiring policy terms(last year) of GMC policy are getting captured/carry forwarded in both enter quote and QCR and in Placement Slip activities (Opty. ID: 1996928 &amp; 2228826)</t>
  </si>
  <si>
    <t>IIRM-10432</t>
  </si>
  <si>
    <t>IBP - Claims - Chatbot - Similar to GHTL</t>
  </si>
  <si>
    <t>IBP - TPA Integration - Launch TPA - SSO</t>
  </si>
  <si>
    <t>IIRM-10434</t>
  </si>
  <si>
    <t>IIRM: Dashboard – Multiple Issues in My Follow Up Navigation, Filter-Based Metrics, and Total Overview Distribution</t>
  </si>
  <si>
    <t>Add/Manage Insurer - Enhancements (VRK Feedback)</t>
  </si>
  <si>
    <t>IIRM-10436</t>
  </si>
  <si>
    <t>Utility mapping for newly added columns Sent to Insurer/Client</t>
  </si>
  <si>
    <t>IIRM-10437</t>
  </si>
  <si>
    <t>Default template mapping for newly added columns Sent to Insurer/Client</t>
  </si>
  <si>
    <t>IIRM-10438</t>
  </si>
  <si>
    <t>Inception: Employee enrollment failed and Policy Extension error file generated</t>
  </si>
  <si>
    <t>IIRM-10439</t>
  </si>
  <si>
    <t>Insurer: Incorrect toast message displayed while adding insurer with invalid GST number</t>
  </si>
  <si>
    <t>IIRM-10440</t>
  </si>
  <si>
    <t>Policy Config - By Pass Config and Perform Inception/Endorsement (Premium Rater Table)</t>
  </si>
  <si>
    <t>IIRM-10441</t>
  </si>
  <si>
    <t>Policy Config Bypass: Unable to enroll dependents for data type “Employee Details with Premium”</t>
  </si>
  <si>
    <t>IIRM-10442</t>
  </si>
  <si>
    <t>QA: Documenting test cases and Bug reporting</t>
  </si>
  <si>
    <t>IIRM-10440 — Policy Config - By Pass Config and Perform Inception/Endorsement (Premium Rater Table)</t>
  </si>
  <si>
    <t>IIRM-10443</t>
  </si>
  <si>
    <t>CR: My SO &amp; My RO - Update Search Criteria</t>
  </si>
  <si>
    <t>IIRM-10444</t>
  </si>
  <si>
    <t>CR: Enhance QCR - 1. Remove RFP column. 2. Remove Variance row</t>
  </si>
  <si>
    <t>IIRM-10445</t>
  </si>
  <si>
    <t>Using AI - Read every document(s), validate it and confirm in the Opty. flow</t>
  </si>
  <si>
    <t>IIRM-10446</t>
  </si>
  <si>
    <t>Upload Document - Mandatory in all the activities of Opty. flow (SO &amp; RO)</t>
  </si>
  <si>
    <t>IIRM-10447</t>
  </si>
  <si>
    <t>Filters – Period filter is not working as expected</t>
  </si>
  <si>
    <t>IIRM-10448</t>
  </si>
  <si>
    <t>Policy Config Bypass: “Enrollment Premium Based” state is not updated until page refresh</t>
  </si>
  <si>
    <t>IIRM-10449</t>
  </si>
  <si>
    <t>Policy Config Bypass : Premium is incorrectly calculated and displayed in KPI cards in Step 2</t>
  </si>
  <si>
    <t>IIRM-10450</t>
  </si>
  <si>
    <t>Policy Config Bypass: Net Premium (Excl. GST) and Additional Premium (Excl. GST) displayed incorrectly</t>
  </si>
  <si>
    <t>Development in Progress</t>
  </si>
  <si>
    <t>IIRM-10451</t>
  </si>
  <si>
    <t>Policy Config Bypass: Duplicate email and phone number validation is not working during employee enrollment</t>
  </si>
  <si>
    <t>IIRM-10452</t>
  </si>
  <si>
    <t>Policy Config Bypass: Unable to download TPA ID upload template</t>
  </si>
  <si>
    <t>IIRM-10453</t>
  </si>
  <si>
    <t>Documents: Mandatory validation message displayed even after uploading document</t>
  </si>
  <si>
    <t>IIRM-10454</t>
  </si>
  <si>
    <t>Documents: Able to submit Broking Slip/Enter Quote/Placement slip activities without uploading documents</t>
  </si>
  <si>
    <t>IIRM-10455</t>
  </si>
  <si>
    <t>IIRM: Policy Extension Endorsement Does Not Retain Step 2 Data on Reopen</t>
  </si>
  <si>
    <t>IIRM-10457</t>
  </si>
  <si>
    <t>Policy Config Bypass: “Download failed. Try Again” message displayed while downloading endorsement template</t>
  </si>
  <si>
    <t>IIRM-10458</t>
  </si>
  <si>
    <t>Non-GMC/Group - Endorsement Enhancements</t>
  </si>
  <si>
    <t>IIRM-10459</t>
  </si>
  <si>
    <t>Prod: Endorsement Type Field Gets Cleared When Navigating Back to Step 1 in Policy Extension Endorsement</t>
  </si>
  <si>
    <t>IIRM-10460</t>
  </si>
  <si>
    <t>My SO Filters: Verify SO creation date logic in My SO search filters</t>
  </si>
  <si>
    <t>IIRM-10461</t>
  </si>
  <si>
    <t>My SO Filters: Verify updated UI changes in My SO search filters</t>
  </si>
  <si>
    <t>IIRM-10462</t>
  </si>
  <si>
    <t>My RO Filters: Verify updated search criteria behavior in My RO module</t>
  </si>
  <si>
    <t>IIRM-10463</t>
  </si>
  <si>
    <t>Manage Company: Verify inactive companies are restricted from SO creation</t>
  </si>
  <si>
    <t>IIRM-10464</t>
  </si>
  <si>
    <t>Prod: Incorrect “Endorsement Already in Progress” Popup Displayed While Updating Premium in Existing Policy Extension Endorsement</t>
  </si>
  <si>
    <t>IIRM-10465</t>
  </si>
  <si>
    <t>Prod: Duplicate IIRM Policy Number Displayed in Both “IIRM Policy Number” and “Insurer Policy Number” Columns in Extension History</t>
  </si>
  <si>
    <t>IIRM-10466</t>
  </si>
  <si>
    <t>Manage Company: Verify company visibility for Owner and Manager users without “View All Companies” privilege</t>
  </si>
  <si>
    <t>IIRM-10467</t>
  </si>
  <si>
    <t>Manage Company: Verify company visibility with “View All Companies” privilege enabled</t>
  </si>
  <si>
    <t>IIRM-10468</t>
  </si>
  <si>
    <t>Manage Company: Verify “View All Companies” privilege configuration in Roles module</t>
  </si>
  <si>
    <t>IIRM-10469</t>
  </si>
  <si>
    <t>Manage Company: Owners filter is not working correctly for users with “View All Companies” privilege</t>
  </si>
  <si>
    <t>IIRM-10470</t>
  </si>
  <si>
    <t>TC 01: Policy Extension – Successful submission with Financial Endorsement Type</t>
  </si>
  <si>
    <t>IIRM-10471</t>
  </si>
  <si>
    <t>TC 02: Policy Extension – Successful submission with Non-Financial Endorsement Type</t>
  </si>
  <si>
    <t>IIRM-10472</t>
  </si>
  <si>
    <t>TC 03: Policy Extension – Extension Date validation (date less than or equal to current policy end date)</t>
  </si>
  <si>
    <t>IIRM-10473</t>
  </si>
  <si>
    <t>TC 04: Policy Extension – Intermediate state verification (policy end date not updated after Step 1 only)</t>
  </si>
  <si>
    <t>IIRM-10474</t>
  </si>
  <si>
    <t>QCR: Verify removal of RFP column from QCR Comparison report table and downloaded excel</t>
  </si>
  <si>
    <t>IIRM-10475</t>
  </si>
  <si>
    <t>QCR: Verify removal of Variance row from Premium comparison table in QCR report and downloaded excel</t>
  </si>
  <si>
    <t>IIRM-10476</t>
  </si>
  <si>
    <t>QCR: Verify updated column order in QCR Comparison report based on selected insurers</t>
  </si>
  <si>
    <t>IIRM-10477</t>
  </si>
  <si>
    <t>TC 05: Policy Extension – Upload document functionality in Step 1 (Positive)</t>
  </si>
  <si>
    <t>IIRM-10478</t>
  </si>
  <si>
    <t>TC 06: Policy Extension – Verify no additional endorsement steps beyond Step 2 exist (Structural Positive)</t>
  </si>
  <si>
    <t>IIRM-10479</t>
  </si>
  <si>
    <t>Documents: Verify document upload is mandatory in all SO and RO activities</t>
  </si>
  <si>
    <t>IIRM-10480</t>
  </si>
  <si>
    <t>Documents: Verify uploaded documents are reflected in Documents tab of SO</t>
  </si>
  <si>
    <t>IIRM-10481</t>
  </si>
  <si>
    <t>Documents: Verify policy document upload is mandatory in Policy Hard Copy step for SO and RO</t>
  </si>
  <si>
    <t>IIRM-10482</t>
  </si>
  <si>
    <t>IIRM-10443 — CR: My SO &amp; My RO - Update Search Criteria</t>
  </si>
  <si>
    <t>IIRM-10483</t>
  </si>
  <si>
    <t>IIRM-10484</t>
  </si>
  <si>
    <t>QA: Re verification of bugs</t>
  </si>
  <si>
    <t>IIRM-10485</t>
  </si>
  <si>
    <t>IIRM-10168 — CR: My Company: Show data based on User Privileges</t>
  </si>
  <si>
    <t>IIRM-10486</t>
  </si>
  <si>
    <t>QA: Executing Test Cases and Bug reporting</t>
  </si>
  <si>
    <t>IIRM-10487</t>
  </si>
  <si>
    <t>QA: Re-testing and bug reporting</t>
  </si>
  <si>
    <t>IIRM-10488</t>
  </si>
  <si>
    <t>QA: Sanity testing in Prod</t>
  </si>
  <si>
    <t>IIRM-10489</t>
  </si>
  <si>
    <t>IIRM-10444 — CR: Enhance QCR - 1. Remove RFP column. 2. Remove Variance row</t>
  </si>
  <si>
    <t>IIRM-10490</t>
  </si>
  <si>
    <t>QA: Executing test cases and Bug Reporting</t>
  </si>
  <si>
    <t>IIRM-10491</t>
  </si>
  <si>
    <t>QA: Re-Verification of Bugs</t>
  </si>
  <si>
    <t>IIRM-10492</t>
  </si>
  <si>
    <t>QA: Sanity Testing in Prod</t>
  </si>
  <si>
    <t>IIRM-10493</t>
  </si>
  <si>
    <t>QA: Sanity test in prod</t>
  </si>
  <si>
    <t>IIRM-10494</t>
  </si>
  <si>
    <t>TC 07: Policy Extension – Track Endorsement table navigation and completed state verification after both steps</t>
  </si>
  <si>
    <t>IIRM-10495</t>
  </si>
  <si>
    <t>IIRM: RO Mandatory Document Upload Validation Is Not Working for All Expected Activities</t>
  </si>
  <si>
    <t>IIRM-10496</t>
  </si>
  <si>
    <t>Policy Bypass: Verify policy activation and inception flow when “Enrollment Premium Based” is set to Yes/True</t>
  </si>
  <si>
    <t>IIRM-10497</t>
  </si>
  <si>
    <t>Policy Bypass: Verify existing policy configuration and inception flow when “Enrollment Premium Based” is set to No/False</t>
  </si>
  <si>
    <t>IIRM-10498</t>
  </si>
  <si>
    <t>Policy Bypass: Verify policy activation validations based on approval status</t>
  </si>
  <si>
    <t>IIRM-10499</t>
  </si>
  <si>
    <t>Policy Bypass: Verify restrictions and behavior after approvals before policy activation</t>
  </si>
  <si>
    <t>IIRM-10500</t>
  </si>
  <si>
    <t>Policy Bypass: Verify employee and dependent management through Inception/Endorsement flow</t>
  </si>
  <si>
    <t>IIRM-10501</t>
  </si>
  <si>
    <t>IIRM-10502</t>
  </si>
  <si>
    <t>IIRM-10503</t>
  </si>
  <si>
    <t>IIRM-10446 — Upload Document - Mandatory in all the activities of Opty. flow (SO &amp; RO)</t>
  </si>
  <si>
    <t>IIRM-10504</t>
  </si>
  <si>
    <t>IIRM-10505</t>
  </si>
  <si>
    <t>IIRM-10506</t>
  </si>
  <si>
    <t>TC 08: Policy Extension – Extension History table records displayed correctly after saving Step 1</t>
  </si>
  <si>
    <t>IIRM-10507</t>
  </si>
  <si>
    <t>Policy Config Bypass: Able to enroll employees without premium data for premium-based policies</t>
  </si>
  <si>
    <t>IIRM-10508</t>
  </si>
  <si>
    <t>Policy Config Bypass: Premium details displayed as “0” in Send to Insurer/Client files for premium based policies</t>
  </si>
  <si>
    <t>IIRM-10509</t>
  </si>
  <si>
    <t>iWork - User Mgmt. - Delete Employee</t>
  </si>
  <si>
    <t>IIRM-10510</t>
  </si>
  <si>
    <t>UX/UI: Need to enhance the current user journey for Insurer CRUD Operations.</t>
  </si>
  <si>
    <t>IIRM-10435 — Add/Manage Insurer - Enhancements (VRK Feedback)</t>
  </si>
  <si>
    <t>IIRM-10511</t>
  </si>
  <si>
    <t>Policy Config: Net Premium is incorrectly calculated in Step 2 while adding dependents to existing Self</t>
  </si>
  <si>
    <t>IIRM-10512</t>
  </si>
  <si>
    <t>IIRM: Incorrect “Cannot Remove Policy Location Address” Popup Displayed While Adding Additional Policy Location Address</t>
  </si>
  <si>
    <t>IIRM-10513</t>
  </si>
  <si>
    <t>IIRM: Policy Location Address Gets Deleted Despite Validation Error Popup During Address Deletion</t>
  </si>
  <si>
    <t>IIRM-10514</t>
  </si>
  <si>
    <t>Policy Config Bypass – Net Premium is incorrectly calculated while deleting dependents</t>
  </si>
  <si>
    <t>IIRM-10515</t>
  </si>
  <si>
    <t>IIRM: Incorrect “Cannot Remove Policy Location Address” Popup Displayed While Saving Unrelated Company Edits</t>
  </si>
  <si>
    <t>Policy Configuration - Company Associated Locations (Policy Location)</t>
  </si>
  <si>
    <t>IIRM-10517</t>
  </si>
  <si>
    <t>[BUG] User Profile - Age column missing in Dependents table</t>
  </si>
  <si>
    <t>IIRM-10518</t>
  </si>
  <si>
    <t>[BUG] Support Tickets - Raise Tickets section visible in pre-login state</t>
  </si>
  <si>
    <t>IIRM-10519</t>
  </si>
  <si>
    <t>[BUG] Life Events - Cancel button on Add Dependent form navigates to Life Events management page</t>
  </si>
  <si>
    <t>IIRM-10520</t>
  </si>
  <si>
    <t>IBP: Enrolment &amp; HR - Demo Company Setup (Feedback)</t>
  </si>
  <si>
    <t>IIRM-10521</t>
  </si>
  <si>
    <t>Policy Config Bypass: Premium Calculator File Displays Duplicate Self Record and Incorrect Total Premium After Adding Dependent in Endorsement</t>
  </si>
  <si>
    <t>IIRM-10522</t>
  </si>
  <si>
    <t xml:space="preserve">Verify that the Income Type filter loads with "All" selected by default, displays exactly three options (All, Policy, Endorsements), and that selecting each option correctly updates the record grid to show only matching records. </t>
  </si>
  <si>
    <t>IIRM-10523</t>
  </si>
  <si>
    <t>Verify that for each Income Type filter selection the on-screen record count exactly matches the actual records in the dataset, and that no cross-type contamination exists (policy records never appear under Endorsements filter and vice versa).</t>
  </si>
  <si>
    <t>IIRM-10524</t>
  </si>
  <si>
    <t>Verify the filter behaves gracefully when the selected income type has no records in the dataset — empty state is shown without errors, and switching to another type still works correctly.</t>
  </si>
  <si>
    <t>IIRM-10525</t>
  </si>
  <si>
    <t>Verify that clicking "Download Report" produces a file whose records exactly match the current Income Type filter selection — All, Policy, or Endorsements — and that the file contains no extra or missing records.</t>
  </si>
  <si>
    <t>IIRM-10526</t>
  </si>
  <si>
    <t>Verify that the "Download Report" button is always visible and enabled for all filter states, the downloaded file uses the correct format, the file name is meaningful, and no corrupt or empty file is produced.</t>
  </si>
  <si>
    <t>IIRM-10527</t>
  </si>
  <si>
    <t>Verify that downloading the report when the active filter yields zero records produces a graceful outcome — either a header-only file or a clear user message — without any crash or unhandled error.</t>
  </si>
  <si>
    <t>IIRM-10528</t>
  </si>
  <si>
    <t>Policy Config Bypass: Net Premium is displayed for non-financial endorsements when premium data is updated</t>
  </si>
  <si>
    <t>IIRM-10529</t>
  </si>
  <si>
    <t>Verify that in Step 7 of policy configuration any number of labels can be added, the configuration can be submitted for approval, and upon approval the labels are saved and associated with the policy correctly.</t>
  </si>
  <si>
    <t>IIRM-10530</t>
  </si>
  <si>
    <t>Verify that after the policy configuration is approved, all labels added in Step 7 appear as new columns in the download template for both the inception process and the endorsement process — in the correct order and with correct header names.</t>
  </si>
  <si>
    <t>IIRM-10531</t>
  </si>
  <si>
    <t xml:space="preserve">Verify that during employee upload in both inception and endorsement processes, the label columns added from Step 7 accept any kind of data — plain text, numbers, special characters, alphanumeric combinations </t>
  </si>
  <si>
    <t>IIRM-10532</t>
  </si>
  <si>
    <t>Policy Config: Employees are displayed as "Not Started" after successful completion of Step 1 enrollment</t>
  </si>
  <si>
    <t>IIRM-10533</t>
  </si>
  <si>
    <t>IIRM: Table Count Displays 0 When "All" Option Is Selected in Income Type Filter</t>
  </si>
  <si>
    <t>IIRM-10534</t>
  </si>
  <si>
    <t>IIRM: BizDone Report Download Ignores Income Type Filter and Exports All Income Type Data</t>
  </si>
  <si>
    <t>IIRM-10535</t>
  </si>
  <si>
    <t>IBP: Portfolio Overview</t>
  </si>
  <si>
    <t>IIRM-10536</t>
  </si>
  <si>
    <t>Policy Bypass: Verify employee enrollment using "Only Employee Data" data type when "Enrollment Premium Based" is set to False/No</t>
  </si>
  <si>
    <t>IIRM-10537</t>
  </si>
  <si>
    <t>IIRM: Employee Only Enrollment - Employee Deletion Is Not Processed When Add and Delete Transactions Are Uploaded Together in Endorsement File</t>
  </si>
  <si>
    <t>IIRM-10538</t>
  </si>
  <si>
    <t>IIRM: Employee Only Enrollment - Premium Amount and Additions Stats Count Are Not Updated Correctly After Employee Addition in Step 2</t>
  </si>
  <si>
    <t>IIRM-10539</t>
  </si>
  <si>
    <t>Redesign of Import Policy Configuration</t>
  </si>
  <si>
    <t>IIRM-10540</t>
  </si>
  <si>
    <t>Verify that clicking "Import Policy Configuration" opens the confirmation popup with all 3 dropdowns, that Policy Type and Live Configuration dropdowns are disabled until their parent is selected</t>
  </si>
  <si>
    <t>IIRM-10541</t>
  </si>
  <si>
    <t>Manage Employees: UI and usability issues</t>
  </si>
  <si>
    <t>IIRM-10542</t>
  </si>
  <si>
    <t>Verify import policy configuration — complete selection and verify all config data is imported correctly into current policy</t>
  </si>
  <si>
    <t>IIRM-10543</t>
  </si>
  <si>
    <t>Verify import overwrite — importing into a partially configured policy replaces existing data correctly</t>
  </si>
  <si>
    <t>IIRM-10544</t>
  </si>
  <si>
    <t>Verify import Policy Configuration button — visible only on non-activated policies, hidden on activated policies</t>
  </si>
  <si>
    <t>IIRM-10545</t>
  </si>
  <si>
    <t>Manage Employees: Deactivate option is displayed for inactive employees and allows repeated deactivation</t>
  </si>
  <si>
    <t>IIRM-10546</t>
  </si>
  <si>
    <t>Verify import button — validation error shown when clicked without completing all 3 dropdowns</t>
  </si>
  <si>
    <t>IIRM-10551</t>
  </si>
  <si>
    <t>Manage Employees: Inactive Employees KPI count is not auto-updating after employee deactivation</t>
  </si>
  <si>
    <t>IIRM-10552</t>
  </si>
  <si>
    <t>Manage Employees: Unable to filter Active and Inactive users from the listing page</t>
  </si>
  <si>
    <t>IIRM-10553</t>
  </si>
  <si>
    <t>Sorting Functionality for SO Table and Our Portfolio Table in Manage Companies Page</t>
  </si>
  <si>
    <t>IIRM-10554</t>
  </si>
  <si>
    <t>Verify SO Table — alphabetical sorting for Policy Type, Priority Level and Activity Name columns</t>
  </si>
  <si>
    <t>IIRM-10555</t>
  </si>
  <si>
    <t>Verify SO Table — date sorting for Expiry Date column (ascending, descending, no sort)</t>
  </si>
  <si>
    <t>IIRM-10556</t>
  </si>
  <si>
    <t>Verify SO Table — numeric sorting for Premium and Estimated Brokerage columns</t>
  </si>
  <si>
    <t>IIRM-10557</t>
  </si>
  <si>
    <t>Verify Our Portfolio Table — alphanumeric sorting for Policy Number and alphabetical for Policy Type</t>
  </si>
  <si>
    <t>IIRM-10558</t>
  </si>
  <si>
    <t>Verify Our Portfolio Table — date sorting for Policy From and Policy To columns</t>
  </si>
  <si>
    <t>IIRM-10559</t>
  </si>
  <si>
    <t>Verify Our Portfolio Table — numeric sorting for Premium (WOST), Brokerage and RO Id columns</t>
  </si>
  <si>
    <t>IIRM-10560</t>
  </si>
  <si>
    <t>IIRM-10561</t>
  </si>
  <si>
    <t>IIRM: Lookup Value Text Box Is Misaligned Between Select Entity and Status Fields</t>
  </si>
  <si>
    <t>IIRM-10562</t>
  </si>
  <si>
    <t>IIRM: Policy Type Master Allows Invalid Record Management Due to Missing Mandatory Indicators, Duplicate Lookup Values, and Inconsistent Mandatory Field Validation</t>
  </si>
  <si>
    <t>IIRM-10563</t>
  </si>
  <si>
    <t>IIRM-10509 — iWork - User Mgmt. - Delete Employee</t>
  </si>
  <si>
    <t>IIRM-10564</t>
  </si>
  <si>
    <t>QA: Employee Management: Test Case Execution and Bug Reporting</t>
  </si>
  <si>
    <t>IIRM-10565</t>
  </si>
  <si>
    <t>IIRM-10566</t>
  </si>
  <si>
    <t>Master Covers: Able to add cover without selecting Organization and Policy Type</t>
  </si>
  <si>
    <t>IIRM-10567</t>
  </si>
  <si>
    <t>Policy Config Bypass: Selected Data Type Changes Automatically After Uploading Employee-Only Endorsement File</t>
  </si>
  <si>
    <t>IIRM-10568</t>
  </si>
  <si>
    <t>Master Covers: Mandatory icon and validation message displayed for non-mandatory covers</t>
  </si>
  <si>
    <t>IIRM-10569</t>
  </si>
  <si>
    <t>SO: Unable to complete Data Validation activity when no covers are configured for the selected policy</t>
  </si>
  <si>
    <t>IIRM-10570</t>
  </si>
  <si>
    <t>Verify Create Cover — all four attributes with all input types and verify cover is created without policy type linkage</t>
  </si>
  <si>
    <t>IIRM-10571</t>
  </si>
  <si>
    <t>Verify Create Cover — validation for missing fields, duplicate cover name and search functionality in covers list</t>
  </si>
  <si>
    <t>IIRM-10572</t>
  </si>
  <si>
    <t>Verify Map to Policy Type — select Organisation, Policy Type and Cover with search on all 3 fields and verify successful mapping</t>
  </si>
  <si>
    <t>IIRM-10573</t>
  </si>
  <si>
    <t>Verify Organisation isolation — cover mapped to one org must appear only in that org's policies and not in others</t>
  </si>
  <si>
    <t>IIRM-10574</t>
  </si>
  <si>
    <t>Organisation isolation — same policy type in multiple orgs, cover mapped to each org independently and verified separately</t>
  </si>
  <si>
    <t>IIRM-10575</t>
  </si>
  <si>
    <t>Employee Management: Verify Employees listing page KPIs, Status filter and KPI count updates</t>
  </si>
  <si>
    <t>IIRM-10576</t>
  </si>
  <si>
    <t>Employee Management: Verify employee deactivation popup details and available actions</t>
  </si>
  <si>
    <t>IIRM-10577</t>
  </si>
  <si>
    <t>Verify Map to Policy Type — add multiple covers, set mandatory flag, drag to reorder and submit mappings</t>
  </si>
  <si>
    <t>IIRM-10578</t>
  </si>
  <si>
    <t>Employee Management: Verify Cancel functionality during employee deactivation</t>
  </si>
  <si>
    <t>IIRM-10579</t>
  </si>
  <si>
    <t>Employee Management: Verify Auto Assign &amp; Deactivate functionality and data visibility</t>
  </si>
  <si>
    <t>IIRM-10580</t>
  </si>
  <si>
    <t>Verify Map to Policy Type — delete a mapped cover, validation for empty fields, and Submit Mappings without changes</t>
  </si>
  <si>
    <t>IIRM-10581</t>
  </si>
  <si>
    <t>Employee Management: Verify manual assignment stepper functionality during employee deactivation</t>
  </si>
  <si>
    <t>IIRM-10582</t>
  </si>
  <si>
    <t>Employee Management: Verify employee activation functionality</t>
  </si>
  <si>
    <t>IIRM-10583</t>
  </si>
  <si>
    <t>IIRM: Cover Values Added/Updated During Broking Slip Generation Are Not Persisted Across Subsequent SO Stages</t>
  </si>
  <si>
    <t>IIRM-10584</t>
  </si>
  <si>
    <t>IIRM: QCR Generation Displays Incomplete Cover List and Incorrect Cover Values</t>
  </si>
  <si>
    <t>IIRM-10585</t>
  </si>
  <si>
    <t>Cut Off Management</t>
  </si>
  <si>
    <t>IIRM-10586</t>
  </si>
  <si>
    <t>Final Negotiation: GST percentage is getting doubled during prefill</t>
  </si>
  <si>
    <t>Policy Details - Business Month &amp; Date of Business</t>
  </si>
  <si>
    <t>iWork - My Sales Portfolio &amp; Manage Placements &amp; their rule (Request 8-June-2026)</t>
  </si>
  <si>
    <t>iWork - My Client Portfolio (Request 8-June-2026)</t>
  </si>
  <si>
    <t>Policy Config: Dependent Based Configurations</t>
  </si>
  <si>
    <t>IIRM-10592</t>
  </si>
  <si>
    <t>iWork - SSO with Microsoft AD</t>
  </si>
  <si>
    <t>IIRM-10593</t>
  </si>
  <si>
    <t>Policy Config: Verify premium calculation when Apply Dependents flag is not selected</t>
  </si>
  <si>
    <t>IIRM-10594</t>
  </si>
  <si>
    <t>Verify SO creation — newly mapped covers appear in correct display order with correct mandatory flag during SO creation</t>
  </si>
  <si>
    <t>IIRM-10595</t>
  </si>
  <si>
    <t>Verify Policy covers details tab — all mapped covers displayed in correct order with correct mandatory status after SO is converted to policy</t>
  </si>
  <si>
    <t>IIRM-10596</t>
  </si>
  <si>
    <t>Policy Config: Verify premium calculation while adding employee/family when Apply Dependents flag is selected</t>
  </si>
  <si>
    <t>IIRM-10597</t>
  </si>
  <si>
    <t>Policy Config: Verify premium calculation when updating employee or dependent details with Apply Dependents enabled</t>
  </si>
  <si>
    <t>IIRM-10598</t>
  </si>
  <si>
    <t>Policy Config: Verify premium recalculation when deleting employee or dependent with Apply Dependents enabled</t>
  </si>
  <si>
    <t>IIRM-10599</t>
  </si>
  <si>
    <t>Policy Config: Verify premium calculation when adding existing dependent to an existing family with Apply Dependents flag enabled</t>
  </si>
  <si>
    <t>IIRM-10600</t>
  </si>
  <si>
    <t>Employee Management: Policies and SOs are displayed for a reactivated employee</t>
  </si>
  <si>
    <t>IIRM-10601</t>
  </si>
  <si>
    <t xml:space="preserve"> Dependent Base Config: Sum Insured values are displayed incorrectly when Dependent Count is selected as Policy Parameter</t>
  </si>
  <si>
    <t>IIRM-10602</t>
  </si>
  <si>
    <t>My Sales Portfolio &amp; Manage Quote: ISG user is able to create an Opportunity through Quick Create</t>
  </si>
  <si>
    <t>IIRM-10603</t>
  </si>
  <si>
    <t>My Sales Portfolio &amp; Manage Quote: Unauthorised modules can access through direct URL navigation</t>
  </si>
  <si>
    <t>IIRM-10604</t>
  </si>
  <si>
    <t>Policy Config: Constraints (New Request 13-Jun-2026)</t>
  </si>
  <si>
    <t>IIRM-10605</t>
  </si>
  <si>
    <t>Policy Configuration Changes</t>
  </si>
  <si>
    <t>IIRM-10604 — Policy Config: Constraints (New Request 13-Jun-2026)</t>
  </si>
  <si>
    <t>IIRM-10606</t>
  </si>
  <si>
    <t xml:space="preserve">IBP: Honour New Constraints </t>
  </si>
  <si>
    <t>IIRM-10607</t>
  </si>
  <si>
    <t>My Sales Portfolio &amp; Manage Quote: Activity owner is not updated after activity completion and users are missing in Assignee/Participants dropdowns</t>
  </si>
  <si>
    <t>IIRM-10608</t>
  </si>
  <si>
    <t>My Sales Portfolio &amp; Manage Quote: Remove BD Planning and ISG Planning from Status filter</t>
  </si>
  <si>
    <t>One IBP Portal (URL) for a set of Companies (1 configuration for children companies)</t>
  </si>
  <si>
    <t>IIRM-10610</t>
  </si>
  <si>
    <t>My Sales Portfolio &amp; Manage Quote: Opportunity opens at ISG Planning activity instead of the current activity</t>
  </si>
  <si>
    <t>IIRM-10611</t>
  </si>
  <si>
    <t>My Sales Portfolio &amp; Manage Quote: ISG user is able to create an SO through the Create widget</t>
  </si>
  <si>
    <t>IIRM-10612</t>
  </si>
  <si>
    <t>My Sales Portfolio &amp; Manage Quote: Unable to complete activity when selecting an existing CD Account</t>
  </si>
  <si>
    <t>IIRM-10613</t>
  </si>
  <si>
    <t>My Sales Portfolio &amp; Manage Quote: Incorrect activity name displayed for newly created SO in the listing table</t>
  </si>
  <si>
    <t>IIRM-10614</t>
  </si>
  <si>
    <t>IIRM: My Client Portfolio: RO Premium (#Count) and SO Premium (#Count) are not updating in Company Overview table</t>
  </si>
  <si>
    <t>IIRM-10615</t>
  </si>
  <si>
    <t>My Client Portfolio: Navigation link is missing for SOs and ROs in Company Overview</t>
  </si>
  <si>
    <t>IIRM-10616</t>
  </si>
  <si>
    <t>Insurer Rewards</t>
  </si>
  <si>
    <t>IIRM-10617</t>
  </si>
  <si>
    <t>My Client Portfolio: Verify company visibility in Client Portfolio for Active Companies</t>
  </si>
  <si>
    <t>IIRM-10618</t>
  </si>
  <si>
    <t>My Client Portfolio: Verify Client Portfolio table columns and premium/count calculations</t>
  </si>
  <si>
    <t>IIRM-10619</t>
  </si>
  <si>
    <t>My Client Portfolio: Verify Policy Premium (#Count) data integrity</t>
  </si>
  <si>
    <t>IIRM-10620</t>
  </si>
  <si>
    <t>Verify SO creation and Placement Slip — Business Month and Date of Business correctly captured from Policy_start_date</t>
  </si>
  <si>
    <t>IIRM-10621</t>
  </si>
  <si>
    <t>My Client Portfolio: Verify SO Premium (#Count) data integrity</t>
  </si>
  <si>
    <t>IIRM-10622</t>
  </si>
  <si>
    <t>Verify Manage Policies — Business Month and Date of Business columns in listing table and Business Month filter work correctly</t>
  </si>
  <si>
    <t>IIRM-10623</t>
  </si>
  <si>
    <t>Verify BizDone Report — Business Month and Date of Business columns, filter, and Policy Details navigation show consistent values</t>
  </si>
  <si>
    <t>IIRM-10624</t>
  </si>
  <si>
    <t>My Client portfolio: Verify RO Premium (#Count) data integrity</t>
  </si>
  <si>
    <t>IIRM-10625</t>
  </si>
  <si>
    <t>My Client Portfolio: Verify Policy Details table from the my client portfolio</t>
  </si>
  <si>
    <t>IIRM-10626</t>
  </si>
  <si>
    <t>My Client Portfolio: Verify Renewal Opportunities table from My Client Portfolio</t>
  </si>
  <si>
    <t>IIRM-10627</t>
  </si>
  <si>
    <t>My Client Portfolio: Verify Sales Opportunities table from the My client portfolio</t>
  </si>
  <si>
    <t>IIRM-10628</t>
  </si>
  <si>
    <t>Verify Manage Endorsements and Dashboard — Business Month filter only (no columns) works correctly in both modules</t>
  </si>
  <si>
    <t>IIRM-10629</t>
  </si>
  <si>
    <t>My Client Portfolio: Verify Past Companies functionality</t>
  </si>
  <si>
    <t>IIRM-10630</t>
  </si>
  <si>
    <t>Verify Data migration — all 2025 policies have Business Month and Date of Business = Income Month across all modules and Policy Details tab</t>
  </si>
  <si>
    <t>IIRM-10631</t>
  </si>
  <si>
    <t>My Client Portfolio: Verify Past Companies premium and count calculations</t>
  </si>
  <si>
    <t>IIRM-10632</t>
  </si>
  <si>
    <t>Verify End-to-end — SO → Placement Slip → verify Business Month and Date of Business consistently across Manage Policies, BizDone, Manage Endorsements, Dashboard and Policy Details tab</t>
  </si>
  <si>
    <t>IIRM-10633</t>
  </si>
  <si>
    <t>My Client Portfolio: Verify companies displayed in my Client Portfolio and Past Companies tab</t>
  </si>
  <si>
    <t>IIRM-10634</t>
  </si>
  <si>
    <t>My Client Portfolio: Verify functionality between Active Companies and Past Companies views</t>
  </si>
  <si>
    <t>IIRM-10635</t>
  </si>
  <si>
    <t>My sales Portfolio &amp; Manage Placements: Verify menu visibility for user having only BD role</t>
  </si>
  <si>
    <t>IIRM-10636</t>
  </si>
  <si>
    <t>My sales Portfolio &amp; Manage Placements: Verify menu visibility for user having only ISG role</t>
  </si>
  <si>
    <t>IIRM-10637</t>
  </si>
  <si>
    <t>My sales Portfolio &amp; Manage Placements: Verify menu visibility for user having both BD and ISG roles</t>
  </si>
  <si>
    <t>IIRM-10638</t>
  </si>
  <si>
    <t>My sales Portfolio &amp; Manage Placements: Verify opportunity visibility in Manage SO for BD users</t>
  </si>
  <si>
    <t>IIRM-10639</t>
  </si>
  <si>
    <t>My sales Portfolio &amp; Manage Placements: Verify opportunity visibility in Manage Quotes for ISG users</t>
  </si>
  <si>
    <t>IIRM-10640</t>
  </si>
  <si>
    <t>My sales Portfolio &amp; Manage Placements: Verify opportunity visibility for BD+ISG role user</t>
  </si>
  <si>
    <t>IIRM-10641</t>
  </si>
  <si>
    <t>My sales Portfolio &amp; Manage Placements: Verify Manage SO filters</t>
  </si>
  <si>
    <t>IIRM-10642</t>
  </si>
  <si>
    <t>My sales Portfolio &amp; Manage Placements: Verify Manage Quotes filters</t>
  </si>
  <si>
    <t>IIRM-10643</t>
  </si>
  <si>
    <t>My sales Portfolio &amp; Manage Placements: Verify hyperlink navigation from Manage Quotes</t>
  </si>
  <si>
    <t>IIRM-10644</t>
  </si>
  <si>
    <t>My sales Portfolio &amp; Manage Placements: Verify ISG user is restricted from creating a Sales Opportunity (SO)</t>
  </si>
  <si>
    <t>IIRM-10645</t>
  </si>
  <si>
    <t>Verify Add Insurer — create new insurer with all mandatory fields, HQ details, branch contact and KYC details; verify in listing table</t>
  </si>
  <si>
    <t>IIRM-10646</t>
  </si>
  <si>
    <t>Verify Add Insurer — validation for mandatory fields, Insurance Company Type dropdown values and edit restrictions on Insurer Name</t>
  </si>
  <si>
    <t>IIRM-10647</t>
  </si>
  <si>
    <t>Verify Add Branch — add a new branch to an existing insurer with Branch Type, Code, Name, Parent Branch and Contact; verify branch display name and listing</t>
  </si>
  <si>
    <t>IIRM-10648</t>
  </si>
  <si>
    <t>Verify Add multiple branches — add branches with different types under same insurer and verify Parent Branch dropdown shows all existing branches</t>
  </si>
  <si>
    <t>IIRM-10649</t>
  </si>
  <si>
    <t>Verify SO creation — newly added insurer and branch appear in Preferred Insurer, Excluded Insurer and all insurer-related dropdowns across all 18 SO stages</t>
  </si>
  <si>
    <t>IIRM-10650</t>
  </si>
  <si>
    <t>Verify SO creation — newly added branch (after SO creation feature was already used) appears immediately in all insurer dropdowns without any page refresh or rebuild</t>
  </si>
  <si>
    <t>IIRM-10651</t>
  </si>
  <si>
    <t>Verify Manage Insurer listing — filter by Org, Insurer Name, Branch Type, Branch Code and City; verify result columns and KPI cards respect filters</t>
  </si>
  <si>
    <t>IIRM-10652</t>
  </si>
  <si>
    <t>Policy Configuration: Employee Insured tab is not displaying updated premium values correctly</t>
  </si>
  <si>
    <t>IIRM-10653</t>
  </si>
  <si>
    <t>Policy Config: Marital Status is not displayed in Send to Insurer/Client document</t>
  </si>
  <si>
    <t>IIRM-10654</t>
  </si>
  <si>
    <t>IIRM: Family Validation Fails for Allowed Twin and Triplet Child Combination Despite Policy Configuration</t>
  </si>
  <si>
    <t>IIRM-10655</t>
  </si>
  <si>
    <t>Policy Config: Stats are displayed as zero when only dependents are deleted</t>
  </si>
  <si>
    <t>IIRM-10656</t>
  </si>
  <si>
    <t>Policy Config: Dependent premium amount(refund) is calculated incorrectly when self is deleted</t>
  </si>
  <si>
    <t>IIRM-10657</t>
  </si>
  <si>
    <t>IIRM: Per Life Premium Configuration Applies Premium Only to Self Instead of All Eligible Family Members</t>
  </si>
  <si>
    <t>IIRM-10658</t>
  </si>
  <si>
    <t>Policy Config: Dependent records are missing in Send to Insurer/Client files when self is deleted</t>
  </si>
  <si>
    <t>IIRM-10659</t>
  </si>
  <si>
    <t>Policy Config(Non-Finance): Self record is displayed when only a dependent is updated</t>
  </si>
  <si>
    <t>IIRM-10660</t>
  </si>
  <si>
    <t>IIRM: Valid Twin/Triplet Child Combination Is Rejected During Inception and Error File Contains Incomplete Dependent Records</t>
  </si>
  <si>
    <t>IIRM-10661</t>
  </si>
  <si>
    <t>Add Insurer branch (Concat on Branch Code + Branch Name + Address1)</t>
  </si>
  <si>
    <t>IIRM-10662</t>
  </si>
  <si>
    <t>IIRM: Valid Child Combination (First Child: Single, Second Child: Triplet) Is Incorrectly Rejected During Inception</t>
  </si>
  <si>
    <t>IIRM-10663</t>
  </si>
  <si>
    <t>IIRM: Invalid Child Combination (First Child: Single, Second Child: Twin) Is Incorrectly Accepted During Inception</t>
  </si>
  <si>
    <t>IIRM-10664</t>
  </si>
  <si>
    <t>IIRM-10665</t>
  </si>
  <si>
    <t>IIRM: Valid Child Combination (First Child: Single, Second Child: Single) Is Incorrectly Rejected During Inception</t>
  </si>
  <si>
    <t>IIRM-10669</t>
  </si>
  <si>
    <t>IIRM: Sum Insured Per Life Is Applied Only to Employee and Not to Dependents</t>
  </si>
  <si>
    <t>IIRM-10670</t>
  </si>
  <si>
    <t>IIRM: Inception "Send to Insurer" Step Displays Only Employee Data Instead of Employee and Dependents</t>
  </si>
  <si>
    <t>IIRM-10671</t>
  </si>
  <si>
    <t>Placement Slip Generation: Placement details are not reflecting in the generated placement slip pdf</t>
  </si>
  <si>
    <t>IIRM-10672</t>
  </si>
  <si>
    <t>Policy Config: Unable to update dependent First Name and DOB in Non-Finance endorsement when Gender is configured as a Policy Parameter</t>
  </si>
  <si>
    <t>IIRM-10673</t>
  </si>
  <si>
    <t>When OTP verification is required after entering the password, please mention it clearly as “2-Factor Authentication” or “Additional Security Verification”.</t>
  </si>
  <si>
    <t>IIRM-10674</t>
  </si>
  <si>
    <t>Hospital network filters were not working</t>
  </si>
  <si>
    <t>IIRM-10675</t>
  </si>
  <si>
    <t xml:space="preserve">learn more banner is alo navigating to login page </t>
  </si>
  <si>
    <t>IIRM-10676</t>
  </si>
  <si>
    <t>PDF Policy Configuration Import Exhibits UI, Validation, and Inconsistent Import Behavior Issues</t>
  </si>
  <si>
    <t>IIRM-10677</t>
  </si>
  <si>
    <t>Biz-Done Report: 'All' option does not select all months in the Business Month filter</t>
  </si>
  <si>
    <t>IIRM-10678</t>
  </si>
  <si>
    <t>Biz-Done Report: "No data to show" message is displayed when filtering records using Income Month</t>
  </si>
  <si>
    <t>IIRM-10679</t>
  </si>
  <si>
    <t>Biz-Done Report: From Date and To Date are not pre-filled when all months are selected for the income Month</t>
  </si>
  <si>
    <t>IIRM-10680</t>
  </si>
  <si>
    <t>Policy Config: Dependent premium is calculated incorrectly when dependent actions are performed independently</t>
  </si>
  <si>
    <t>IIRM-10681</t>
  </si>
  <si>
    <t>Policy: Extract Policy Configuration from PDF</t>
  </si>
  <si>
    <t>IIRM-10682</t>
  </si>
  <si>
    <t>Verify Twins/Triplets — each constraint individually enabled/disabled; verify inception and endorsement honour the setting</t>
  </si>
  <si>
    <t>IIRM-10683</t>
  </si>
  <si>
    <t>Verify Twins/Triplets — all possible combinations of the three constraints verified in inception and endorsement</t>
  </si>
  <si>
    <t>IIRM-10684</t>
  </si>
  <si>
    <t>Verify Sum Insured Per Life — each family member gets individual SI; verify correct SI assignment in inception and endorsement</t>
  </si>
  <si>
    <t>IIRM-10685</t>
  </si>
  <si>
    <t>Verify Sum Insured Per Family — single SI for employee shared by all dependents; verify SI and premium in all toggle combinations</t>
  </si>
  <si>
    <t>IIRM-10686</t>
  </si>
  <si>
    <t>Policy Config: Verify employee and dependent data consistency in Employee Insured tab/Send to Insurer/Send to Client document</t>
  </si>
  <si>
    <t>IIRM-10687</t>
  </si>
  <si>
    <t>Verify Parental Lock-in Period = 0 — no "Parental Lock" column in inception and endorsement download templates</t>
  </si>
  <si>
    <t>IIRM-10688</t>
  </si>
  <si>
    <t>Verify Parental Lock-in Period ≥ 1 — "Parental Lock" column appears in inception and endorsement templates with Yes/No pre-filled</t>
  </si>
  <si>
    <t>IIRM-10689</t>
  </si>
  <si>
    <t>Verify End-to-end — all constraints combined: twins/triplets + SI Per Life + Parental Lock ≥ 1; verify inception and endorsement honour all simultaneously</t>
  </si>
  <si>
    <t>IIRM-10690</t>
  </si>
  <si>
    <t>Verify Policy Extension Step 2 — Net Premium and Gross Premium KPIs correctly calculated and displayed from Step 1 input</t>
  </si>
  <si>
    <t>IIRM-10691</t>
  </si>
  <si>
    <t>Verify Policy Extension Step 2 — Gross Premium edge cases: decimal Net Premium, zero GST, and GST rate boundary values</t>
  </si>
  <si>
    <t>IIRM-10692</t>
  </si>
  <si>
    <t>Verify CD Balance — Submit enabled only when CD Balance entered equals Gross Premium exactly; any other value keeps Submit disabled</t>
  </si>
  <si>
    <t>IIRM-10693</t>
  </si>
  <si>
    <t>Verify CD transaction — must NOT appear in Policy CD Details tab or CD Management Transaction History after Policy Extension endorsement is submitted</t>
  </si>
  <si>
    <t>IIRM-10694</t>
  </si>
  <si>
    <t>Verify Negative — CD Balance with incorrect values, decimal mismatch, and attempting to bypass Submit disable via direct actions</t>
  </si>
  <si>
    <t>IIRM-10695</t>
  </si>
  <si>
    <t>Verify Filter cascade — selecting Insurer loads only that insurer's branches in Branch dropdown; changing Insurer resets Branch</t>
  </si>
  <si>
    <t>IIRM-10696</t>
  </si>
  <si>
    <t>View By toggle — "Branch" shows exact branch records only; "Branch + Head" shows selected branch plus all sub-branches</t>
  </si>
  <si>
    <t>IIRM-10697</t>
  </si>
  <si>
    <t>Verify My RO tab — Insurer + Branch + View By filters show correct ROs for Branch and Branch + Head modes</t>
  </si>
  <si>
    <t>IIRM-10698</t>
  </si>
  <si>
    <t>Verify Manage Policies tab — Insurer + Branch + View By filters show correct policies for Branch and Branch + Head modes</t>
  </si>
  <si>
    <t>IIRM-10699</t>
  </si>
  <si>
    <t>Verify BizDone Report — Insurer + Branch + View By filters show correct policy records for Branch and Branch + Head modes</t>
  </si>
  <si>
    <t>IIRM-10700</t>
  </si>
  <si>
    <t>Policy: Verify Extract policy from PDF popup and document upload functionality</t>
  </si>
  <si>
    <t>IIRM-10701</t>
  </si>
  <si>
    <t>Policy Config: Verify successful extraction of all policy configuration stages</t>
  </si>
  <si>
    <t>IIRM-10702</t>
  </si>
  <si>
    <t>Policy Config: Verify partial extraction of policy configuration</t>
  </si>
  <si>
    <t>IIRM-10703</t>
  </si>
  <si>
    <t>Policy Config: Verify behavior when no policy configuration can be extracted</t>
  </si>
  <si>
    <t>IIRM-10704</t>
  </si>
  <si>
    <t>Policy Config: Verify extracted configuration accuracy across all policy configuration stages</t>
  </si>
  <si>
    <t>IIRM-10705</t>
  </si>
  <si>
    <t>Verify Edge cases — insurer with one branch, branch with no sub-branches, branch with no records, and clearing filters mid-selection</t>
  </si>
  <si>
    <t>IIRM-10706</t>
  </si>
  <si>
    <t xml:space="preserve"> Verify consistent extraction results when uploading the same policy configuration PDF multiple times</t>
  </si>
  <si>
    <t>IIRM-10707</t>
  </si>
  <si>
    <t>Verify policy configuration extraction for a valid PDF containing supported policy configuration data</t>
  </si>
  <si>
    <t>IIRM-10708</t>
  </si>
  <si>
    <t>Rewards: Financial Year filter is missing in the Rewards listing and Add Reward screens</t>
  </si>
  <si>
    <t>IIRM-10616 — Insurer Rewards</t>
  </si>
  <si>
    <t>IIRM-10709</t>
  </si>
  <si>
    <t>Rewards – Listing page UI and navigation issues</t>
  </si>
  <si>
    <t>IIRM-10710</t>
  </si>
  <si>
    <t>Rewards: Usability issues in the Add Reward screen</t>
  </si>
  <si>
    <t>IIRM-10711</t>
  </si>
  <si>
    <t>Rewards: Insurer field is blank and disabled while editing a reward</t>
  </si>
  <si>
    <t>IIRM-10712</t>
  </si>
  <si>
    <t>Verify Privilege combinations — user with all 5 permissions sees all UI elements; partial combinations show only the corresponding subset</t>
  </si>
  <si>
    <t>IIRM-10713</t>
  </si>
  <si>
    <t>Verify Add New Record — all fields filled correctly, Income Month pre-fill logic, and per-insurer rewards table visibility</t>
  </si>
  <si>
    <t>IIRM-10714</t>
  </si>
  <si>
    <t>Verify Add New Record — mandatory field validation, Edit existing record, and Delete record from Actions column</t>
  </si>
  <si>
    <t>IIRM-10715</t>
  </si>
  <si>
    <t>Verify Listing filters — Reward Category, Insurer, Financial Year, From Date and To Date filter the rewards table correctly</t>
  </si>
  <si>
    <t>IIRM-10716</t>
  </si>
  <si>
    <t>Verify Period Type filter — "Income Month" vs "Business Month" mode correctly changes which date field From/To Date filters apply to</t>
  </si>
  <si>
    <t>IIRM-10717</t>
  </si>
  <si>
    <t>Rewards: "Existing Rewards for the Selected Insurer" section is displayed on the Edit Reward screen</t>
  </si>
  <si>
    <t>IIRM-10718</t>
  </si>
  <si>
    <t>Verify Documents column — displays "1 file" or "2 files" as clickable links that navigate to the correct document; Export downloads full report</t>
  </si>
  <si>
    <t>IIRM-10719</t>
  </si>
  <si>
    <t>Save View — applied filters persist after page refresh and after logout/login; updating a saved view overwrites the previous filter set</t>
  </si>
  <si>
    <t>IIRM-10720</t>
  </si>
  <si>
    <t>Rewards: Save View functionality is not working in Insurer rewards module</t>
  </si>
  <si>
    <t>IIRM-10721</t>
  </si>
  <si>
    <t>Rewards:  Uploaded documents are not retained in Edit Reward mode</t>
  </si>
  <si>
    <t>IIRM-10722</t>
  </si>
  <si>
    <t>Rewards: Unable to update reward after deleting an existing document</t>
  </si>
  <si>
    <t>IIRM-10723</t>
  </si>
  <si>
    <t>Rewards: Document issues</t>
  </si>
  <si>
    <t>IIRM-10724</t>
  </si>
  <si>
    <t>Dashboard: Funnel Enhancements</t>
  </si>
  <si>
    <t>IIRM-10725</t>
  </si>
  <si>
    <t>Verify Dashboard layout — all sections appear in correct order with new sections inserted between existing sections without breaking existing ones</t>
  </si>
  <si>
    <t>IIRM-10726</t>
  </si>
  <si>
    <t>Verify Sales Schedule by SBU — SO counts per SBU displayed correctly across all 4 time bucket columns (≤30, ≤60, ≤90, Beyond 90 days)</t>
  </si>
  <si>
    <t>IIRM-10727</t>
  </si>
  <si>
    <t>Verify Sales Follow Up — SO activity counts displayed across all 4 time buckets; verify activities are SO-specific and not mixed with RO activities</t>
  </si>
  <si>
    <t>IIRM-10728</t>
  </si>
  <si>
    <t>Verify Renewal Schedule by SBU — RO counts per SBU across all 4 time buckets; verify parity with Sales Schedule by SBU structure</t>
  </si>
  <si>
    <t>IIRM-10729</t>
  </si>
  <si>
    <t>Verify Renewal Follow Up — RO activity counts across all 4 time buckets; verify only RO activities shown and parity with My Follow Up RO toggle</t>
  </si>
  <si>
    <t>IIRM-10730</t>
  </si>
  <si>
    <t>Verify Cross-section integrity — SO/RO counts in new sections are consistent with My Sales Funnel, My Renewal Funnel and My Follow Up; no data mixing</t>
  </si>
  <si>
    <t>IIRM-10731</t>
  </si>
  <si>
    <t>Verify Edge cases — sections with zero data, SBU with no SOs or ROs, time bucket boundary dates and real-time count updates</t>
  </si>
  <si>
    <t>IIRM-10732</t>
  </si>
  <si>
    <t>IIRM: Upload Policy Document: Valid data is not pre-filled after document upload</t>
  </si>
  <si>
    <t>IIRM-10733</t>
  </si>
  <si>
    <t>IIRM: Saved Views Are Not Persisted for "Rewards" Income Type in BizDone Report</t>
  </si>
  <si>
    <t>IIRM-10734</t>
  </si>
  <si>
    <t>Biz done Report: Filters enhancements (Group Company, Brokerage agent)</t>
  </si>
  <si>
    <t>IIRM-10735</t>
  </si>
  <si>
    <t>IIRM: BizDone Report - Group Company Filter Displays Incorrect Results and Duplicate Company Entries</t>
  </si>
  <si>
    <t>IIRM-10736</t>
  </si>
  <si>
    <t>Dashboard Issues</t>
  </si>
  <si>
    <t>IIRM-10737</t>
  </si>
  <si>
    <t>IIRM: MIR Report Displays Inception Premium as Basic Premium in "Critical Issues Needing Your Immediate Attention" Section</t>
  </si>
  <si>
    <t>IIRM-10738</t>
  </si>
  <si>
    <t>IIRM: MIR Report Displays Duplicate Entries for the Same Policy Type in "Critical Issues Needing Your Immediate Attention" Section</t>
  </si>
  <si>
    <t>IIRM-10739</t>
  </si>
  <si>
    <t>IIRM: Past Generated Reports Do Not Reflect Updated Lead CRM for Existing Company</t>
  </si>
  <si>
    <t>IIRM-10740</t>
  </si>
  <si>
    <t>IIRM: MIR Report Allows Data Changes After Report Publication and Permits Report Generation for Current and Future Periods</t>
  </si>
  <si>
    <t>IIRM-10741</t>
  </si>
  <si>
    <t>IIRM: Credit and Debit Columns Are Displayed Empty in Cash Deposit Account Section</t>
  </si>
  <si>
    <t>IIRM-10742</t>
  </si>
  <si>
    <t>IIRM: Policy Extension Endorsements Are Incorrectly Counted as Pending in MIR Report Claims Documentation Section</t>
  </si>
  <si>
    <t>IIRM-10743</t>
  </si>
  <si>
    <t>IIRM: Claims Section in MIR Report Displays Incorrect Values for Received, Paid, and End of the Month Columns</t>
  </si>
  <si>
    <t>IIRM-10744</t>
  </si>
  <si>
    <t>Enrolment Drive Report</t>
  </si>
  <si>
    <t>IIRM-10745</t>
  </si>
  <si>
    <t>IIRM: Portfolio Details Section Displays Incorrect Claim YTD Values in MIR Report</t>
  </si>
  <si>
    <t>IIRM-10746</t>
  </si>
  <si>
    <t>IIRM: Service Tracker Section in MIR Report Displays Incorrect Endorsement and Non-Health Claims Policy Counts</t>
  </si>
  <si>
    <t>IIRM-10747</t>
  </si>
  <si>
    <t>IIRM: Our Service Tracker Section Displays Blank Values for MIR, Quarterly Meeting, Monthly Meeting, and Renewal Notice Services</t>
  </si>
  <si>
    <t>IIRM-10748</t>
  </si>
  <si>
    <t>IIRM: Rejected MIR Notification Does Not Navigate to the Corresponding Report or Display Rejection Comments</t>
  </si>
  <si>
    <t>IIRM-10749</t>
  </si>
  <si>
    <t>IIRM-10750</t>
  </si>
  <si>
    <t>My Client Portfolio - VRK Feedback (23-Jun-2026)</t>
  </si>
  <si>
    <t>IIRM-10751</t>
  </si>
  <si>
    <t>Verify Access control — only the Lead CRM (company owner) can generate MIR; unauthorised users see validation message; ownership transfer updates access</t>
  </si>
  <si>
    <t>IIRM-10752</t>
  </si>
  <si>
    <t>Verify MIR generation — navigate to form, generate for new company, duplicate report validation, and verify Post Generated Reports list</t>
  </si>
  <si>
    <t>IIRM-10753</t>
  </si>
  <si>
    <t>Verify Policy table, Ince. Premium calculation, Portfolio details and policy count updates after approval/publish</t>
  </si>
  <si>
    <t>IIRM-10754</t>
  </si>
  <si>
    <t>Verify Renewals due in 3 months, Claims table and Claim Documentation table — data accuracy and completeness</t>
  </si>
  <si>
    <t>IIRM-10755</t>
  </si>
  <si>
    <t>Verify MIR status flow — both flows (Reject back to Draft and Approve to Published) work correctly with correct status transitions</t>
  </si>
  <si>
    <t>IIRM-10756</t>
  </si>
  <si>
    <t>Verify Edit, Reject flow and authorisation — only Draft reports editable; reject includes mandatory comment; unauthorised user cannot edit; text fields saved in draft state</t>
  </si>
  <si>
    <t>IIRM-10757</t>
  </si>
  <si>
    <t>Verify Head Count, CD Account and Service Tracker tables — data accuracy and column verification</t>
  </si>
  <si>
    <t>IIRM-10758</t>
  </si>
  <si>
    <t>Verify Policy Insurer details, Renewal dates match and View functionality in Past Generated Reports</t>
  </si>
  <si>
    <t>IIRM-10759</t>
  </si>
  <si>
    <t>IIRM-10760</t>
  </si>
  <si>
    <t>Verify MIR Notifications — correct person notified on each status event via both Email and In-App channels; no notification sent to wrong recipient</t>
  </si>
  <si>
    <t>IIRM-10761</t>
  </si>
  <si>
    <t>Prod: Manage SO: Incorrect Activity Name is displayed when navigating from the SO funnel</t>
  </si>
  <si>
    <t>IIRM-10762</t>
  </si>
  <si>
    <t>Dashboard Enhancement issues</t>
  </si>
  <si>
    <t>IIRM-10763</t>
  </si>
  <si>
    <t>KPI should display. Endorsment TAT, Claims TAT, Service score trend line month-wise, KPI trend graph</t>
  </si>
  <si>
    <t>IIRM-10750 — My Client Portfolio - VRK Feedback (23-Jun-2026)</t>
  </si>
  <si>
    <t>IBP - Enrolment without Policy Configuration</t>
  </si>
  <si>
    <t>VRK Feedback changes on the Dashboard</t>
  </si>
  <si>
    <t>IIRM-10766</t>
  </si>
  <si>
    <t>Verify Dependent Attribute setup — fields, Display Name default, Target Relation Category shows only Step 2 relations, Attribute Name column in template</t>
  </si>
  <si>
    <t>IIRM-10767</t>
  </si>
  <si>
    <t>Verify Attribute Kind = Range — configure bands with min/max/premiums; verify correct band premium applied in Inception and Endorsement Step 2 stats</t>
  </si>
  <si>
    <t>IIRM-10768</t>
  </si>
  <si>
    <t>Verify Attribute Kind = List — configure options with premiums; verify correct option premium applied in Inception and Endorsement Step 2 stats</t>
  </si>
  <si>
    <t>IIRM-10769</t>
  </si>
  <si>
    <t>Verify Default premium fallback — when Attribute Name column is left empty, Policy Choices default premium is applied for that relation</t>
  </si>
  <si>
    <t>IIRM-10770</t>
  </si>
  <si>
    <t>Verify Step 2 Net Premium and Gross Premium stats — correct totals when multiple relations have different bands/options and some have default premium</t>
  </si>
  <si>
    <t>IIRM-10771</t>
  </si>
  <si>
    <t>Verify Edge cases — multiple Dependent Attributes, invalid band/option values, and Dependent Attribute applied to multiple relations</t>
  </si>
  <si>
    <t>IIRM-10772</t>
  </si>
  <si>
    <t>IIRM-10773</t>
  </si>
  <si>
    <t>IIRM: Net Premium Is Calculated Incorrectly When Dependent Attribute Premium Is Applied During Inception</t>
  </si>
  <si>
    <t>IIRM-10774</t>
  </si>
  <si>
    <t>IIRM: Inception Job Fails Instead of Generating Error File When Invalid Dependent Attribute Name Is Configured</t>
  </si>
  <si>
    <t>IIRM-10775</t>
  </si>
  <si>
    <t>IIRM: Inception Template Displays Multiple Dependent Attribute Columns for Multiple Dependent Attribute Parameters</t>
  </si>
  <si>
    <t>IIRM-10776</t>
  </si>
  <si>
    <t>IIRM: Inception Template Does Not Display Attribute Name Column for Configured Dependent Attribute</t>
  </si>
  <si>
    <t>IIRM-10777</t>
  </si>
  <si>
    <t>IIRM: Service Score Table Displays "0" Instead of "--" for Empty Score Values</t>
  </si>
  <si>
    <t>IIRM-10778</t>
  </si>
  <si>
    <t>IIRM: Service Score Displays Incorrect Meeting Data for Monthly, Multilateral, and Quarterly Meetings</t>
  </si>
  <si>
    <t>IIRM-10779</t>
  </si>
  <si>
    <t>IIRM: Service Score UI Does Not Display Meeting Completed Date, MIR Published Date, and QCR Generated Date</t>
  </si>
  <si>
    <t>IIRM-10780</t>
  </si>
  <si>
    <t>Cut-Off: Verify the placement slip cut-off is calculated correctly in the background, only the planned date is shown in the UI, and placement slips with no planned date are not restricted</t>
  </si>
  <si>
    <t>IIRM-10781</t>
  </si>
  <si>
    <t>Cut-Off: Verify a placement slip finished on time is accepted, and one finished late is blocked with the correct message</t>
  </si>
  <si>
    <t>IIRM-10782</t>
  </si>
  <si>
    <t>Cut-Off: Verify the cut-off is enforced to the exact minute in India time and is not moved for weekends or holidays</t>
  </si>
  <si>
    <t>IIRM-10783</t>
  </si>
  <si>
    <t>Cut-Off: Verify Income Month is set correctly for on-time, late-without-override, and late-with-override placement slips</t>
  </si>
  <si>
    <t>IIRM-10784</t>
  </si>
  <si>
    <t>Cut-Off: Verify the placement slip date can be typed manually in ISG Planning activity with no restriction (known limitation)</t>
  </si>
  <si>
    <t>IIRM-10785</t>
  </si>
  <si>
    <t>Cut-Off: Verify endorsement window and cut-off are calculated and shown, and late submissions are accepted into the next month's cycle</t>
  </si>
  <si>
    <t>IIRM-10786</t>
  </si>
  <si>
    <t>Cut-Off: Verify an authorised admin can change the endorsement end date (cut-off follows and is logged), but an unauthorised user cannot</t>
  </si>
  <si>
    <t>IIRM-10787</t>
  </si>
  <si>
    <t>Cut-Off: Verify a manager can open an override with a reason, it unblocks the placement slip and books it to the correct month, and the manager can see the person's past blocked attempts</t>
  </si>
  <si>
    <t>IIRM-10788</t>
  </si>
  <si>
    <t>Cut-Off: Verify only allowed people can open an override, and only once per person per cycle</t>
  </si>
  <si>
    <t>IIRM-10789</t>
  </si>
  <si>
    <t>Cut-Off: Verify the override closes automatically at the end of its window, can be closed early, and never changes any dates</t>
  </si>
  <si>
    <t>IIRM-10790</t>
  </si>
  <si>
    <t>Cut-Off: Verify only the Super Admin can change settings, changes apply only to new records, the buffer is shared, and the on/off switches work</t>
  </si>
  <si>
    <t>IIRM-10791</t>
  </si>
  <si>
    <t>Cut-Off: Verify reports(Biz done) group records by the correct month/cycle and older pre-feature records are unaffected</t>
  </si>
  <si>
    <t>IIRM-10792</t>
  </si>
  <si>
    <t>Cut-Off: Verify override actions, date changes, and setting changes are recorded and cannot be edited or deleted</t>
  </si>
  <si>
    <t>IIRM-10793</t>
  </si>
  <si>
    <t>Cut-Off: Verify past business can always be entered, late entries book to the current month, and data entry is never blocked</t>
  </si>
  <si>
    <t>IIRM-10794</t>
  </si>
  <si>
    <t>Cut-Off: Verify the go-live grace period, the protection of closed months, the gradual rollout stages, and the manager heads-up</t>
  </si>
  <si>
    <t>IIRM-10795</t>
  </si>
  <si>
    <t>Cut-Off: Verify reminder and override emails are sent to the right people</t>
  </si>
  <si>
    <t>IIRM-10796</t>
  </si>
  <si>
    <t>Cut-Off: Verify managers cannot open overrides until the override permission is assigned, and can once it is</t>
  </si>
  <si>
    <t>IIRM-10797</t>
  </si>
  <si>
    <t>IIRM: Net Premium Statistics Display Incorrect Value When Deleting Dependents with Dependent Attributes in Proration-Enabled Policy</t>
  </si>
  <si>
    <t>IIRM-10798</t>
  </si>
  <si>
    <t>IIRM: Dependent Attribute Premium Is Not Deducted from Net Premium Statistics When Deleting Self in Proration-Enabled Policy</t>
  </si>
  <si>
    <t>Application - Performance (Database &amp; Infra)</t>
  </si>
  <si>
    <t>IIRM-10800</t>
  </si>
  <si>
    <t>IIRM: Dependent Attribute Premium Is Not Applied for List-Type Dependent Attributes During Inception</t>
  </si>
  <si>
    <t>IIRM-10801</t>
  </si>
  <si>
    <t>IIRM: Employee Enrollment Fails When Both Dependent Attribute and Dependent Count Are Configured in Policy</t>
  </si>
  <si>
    <t>IIRM-10802</t>
  </si>
  <si>
    <t>System Admin Read User UI issues</t>
  </si>
  <si>
    <t>IIRM-10803</t>
  </si>
  <si>
    <t>System Admin Read – Data inconsistency between System Admin and System Admin Read users in Manage SO</t>
  </si>
  <si>
    <t>IIRM-10804</t>
  </si>
  <si>
    <t>IIRM: Service Score Company Dropdown Is Not Updated Based on Selected Owner in Dashboard</t>
  </si>
  <si>
    <t>IIRM-10805</t>
  </si>
  <si>
    <t>IIRM: Approve Button Is Visible to Activity Submitter Despite Dual Approval Configuration</t>
  </si>
  <si>
    <t>IIRM-10806</t>
  </si>
  <si>
    <t>IIRM: Second-Level Approver Name Is Incorrectly Displayed as Lead CRM in Dual Approval Workflow</t>
  </si>
  <si>
    <t>IIRM-10807</t>
  </si>
  <si>
    <t>Dual Approval Process</t>
  </si>
  <si>
    <t>IIRM-10808</t>
  </si>
  <si>
    <t>IIRM: Incorrect Next Approver Displayed in ISG Activity Dual Approval Workflow</t>
  </si>
  <si>
    <t>IIRM-10809</t>
  </si>
  <si>
    <t>IIRM: Incorrect Approval Status Message Displayed for BD Executive in Parallel Dual Approval Workflow</t>
  </si>
  <si>
    <t>IIRM-10810</t>
  </si>
  <si>
    <t>IIRM: Lead CRM Cannot Approve ISG Activities When Configured as Approver 2 in Parallel Dual Approval Workflow</t>
  </si>
  <si>
    <t>IIRM-10811</t>
  </si>
  <si>
    <t>IIRM: Next ISG Activity Is Navigated After First Approval Instead of Waiting for Final Approval</t>
  </si>
  <si>
    <t>IIRM-10812</t>
  </si>
  <si>
    <t>Cut-Off: Placement Slip Planned Date is Considered as the Income Date</t>
  </si>
  <si>
    <t>IIRM-10813</t>
  </si>
  <si>
    <t>Cut-off: Activity Override Is Applied to the Entire Opportunity Flow Instead of the Selected Opportunity for the User</t>
  </si>
  <si>
    <t>Category</t>
  </si>
  <si>
    <t>Bucket</t>
  </si>
  <si>
    <t>ReqDate</t>
  </si>
  <si>
    <t>Status_Raw</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</si>
</sst>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yy"/>
    <numFmt numFmtId="177" formatCode="[$₹]#,##0"/>
    <numFmt numFmtId="178" formatCode="[$-409]d\-mmm\-yyyy"/>
    <numFmt numFmtId="179" formatCode="d\-mmm\-yyyy"/>
  </numFmts>
  <fonts count="74">
    <font>
      <sz val="11"/>
      <color theme="1"/>
      <name val="Calibri"/>
      <charset val="134"/>
      <scheme val="minor"/>
    </font>
    <font>
      <b/>
      <sz val="11"/>
      <color theme="1"/>
      <name val="Calibri"/>
      <charset val="134"/>
    </font>
    <font>
      <sz val="11"/>
      <color theme="1"/>
      <name val="Calibri"/>
      <charset val="134"/>
    </font>
    <font>
      <b/>
      <sz val="11"/>
      <color theme="1"/>
      <name val="Arial"/>
      <charset val="134"/>
    </font>
    <font>
      <sz val="11"/>
      <color theme="1"/>
      <name val="Arial"/>
      <charset val="134"/>
    </font>
    <font>
      <b/>
      <sz val="10"/>
      <color theme="1"/>
      <name val="Arial"/>
      <charset val="134"/>
    </font>
    <font>
      <b/>
      <sz val="9"/>
      <color rgb="FFFFFFFF"/>
      <name val="Arial"/>
      <charset val="134"/>
    </font>
    <font>
      <sz val="10"/>
      <color theme="1"/>
      <name val="Calibri"/>
      <charset val="134"/>
    </font>
    <font>
      <b/>
      <sz val="10"/>
      <color theme="1"/>
      <name val="Calibri"/>
      <charset val="134"/>
    </font>
    <font>
      <sz val="10"/>
      <color theme="1"/>
      <name val="Arial"/>
      <charset val="134"/>
    </font>
    <font>
      <sz val="9"/>
      <color rgb="FF375623"/>
      <name val="Arial"/>
      <charset val="134"/>
    </font>
    <font>
      <sz val="9"/>
      <color rgb="FF1F4E79"/>
      <name val="Arial"/>
      <charset val="134"/>
    </font>
    <font>
      <b/>
      <sz val="9"/>
      <color rgb="FF9C0006"/>
      <name val="Arial"/>
      <charset val="134"/>
    </font>
    <font>
      <b/>
      <sz val="14"/>
      <color rgb="FFFFFFFF"/>
      <name val="Arial"/>
      <charset val="134"/>
    </font>
    <font>
      <sz val="8"/>
      <color rgb="FF843C0C"/>
      <name val="Arial"/>
      <charset val="134"/>
    </font>
    <font>
      <b/>
      <sz val="10"/>
      <color rgb="FFFFFFFF"/>
      <name val="Arial"/>
      <charset val="134"/>
    </font>
    <font>
      <sz val="8"/>
      <color rgb="FF3D3D3D"/>
      <name val="Arial"/>
      <charset val="134"/>
    </font>
    <font>
      <b/>
      <sz val="8"/>
      <color rgb="FF375623"/>
      <name val="Arial"/>
      <charset val="134"/>
    </font>
    <font>
      <b/>
      <sz val="10"/>
      <color rgb="FF3D3D3D"/>
      <name val="Arial"/>
      <charset val="134"/>
    </font>
    <font>
      <b/>
      <sz val="8"/>
      <color rgb="FF9C0006"/>
      <name val="Arial"/>
      <charset val="134"/>
    </font>
    <font>
      <b/>
      <sz val="8"/>
      <color rgb="FF1F4E79"/>
      <name val="Arial"/>
      <charset val="134"/>
    </font>
    <font>
      <b/>
      <sz val="8"/>
      <color rgb="FF2E5F8A"/>
      <name val="Arial"/>
      <charset val="134"/>
    </font>
    <font>
      <b/>
      <sz val="8"/>
      <color rgb="FF843C0C"/>
      <name val="Arial"/>
      <charset val="134"/>
    </font>
    <font>
      <b/>
      <sz val="14"/>
      <color rgb="FF3D3D3D"/>
      <name val="Arial"/>
      <charset val="134"/>
    </font>
    <font>
      <b/>
      <sz val="8"/>
      <color rgb="FF006B6B"/>
      <name val="Arial"/>
      <charset val="134"/>
    </font>
    <font>
      <b/>
      <sz val="8"/>
      <color rgb="FF7F6000"/>
      <name val="Arial"/>
      <charset val="134"/>
    </font>
    <font>
      <b/>
      <sz val="22"/>
      <color rgb="FFFFFFFF"/>
      <name val="Arial"/>
      <charset val="134"/>
    </font>
    <font>
      <sz val="10"/>
      <color rgb="FFC9D3DD"/>
      <name val="Arial"/>
      <charset val="134"/>
    </font>
    <font>
      <b/>
      <sz val="11"/>
      <color rgb="FF3D3D3D"/>
      <name val="Arial"/>
      <charset val="134"/>
    </font>
    <font>
      <b/>
      <sz val="44"/>
      <color rgb="FF375623"/>
      <name val="Arial"/>
      <charset val="134"/>
    </font>
    <font>
      <b/>
      <sz val="13"/>
      <color rgb="FF3D3D3D"/>
      <name val="Arial"/>
      <charset val="134"/>
    </font>
    <font>
      <b/>
      <sz val="44"/>
      <color rgb="FF9C0006"/>
      <name val="Arial"/>
      <charset val="134"/>
    </font>
    <font>
      <b/>
      <sz val="11"/>
      <color rgb="FFFFFFFF"/>
      <name val="Arial"/>
      <charset val="134"/>
    </font>
    <font>
      <b/>
      <sz val="20"/>
      <color rgb="FF375623"/>
      <name val="Arial"/>
      <charset val="134"/>
    </font>
    <font>
      <b/>
      <sz val="20"/>
      <color rgb="FF006B6B"/>
      <name val="Arial"/>
      <charset val="134"/>
    </font>
    <font>
      <b/>
      <sz val="20"/>
      <color rgb="FF1F4E79"/>
      <name val="Arial"/>
      <charset val="134"/>
    </font>
    <font>
      <b/>
      <sz val="20"/>
      <color rgb="FF2E5F8A"/>
      <name val="Arial"/>
      <charset val="134"/>
    </font>
    <font>
      <b/>
      <sz val="20"/>
      <color rgb="FF843C0C"/>
      <name val="Arial"/>
      <charset val="134"/>
    </font>
    <font>
      <b/>
      <sz val="20"/>
      <color rgb="FF9C0006"/>
      <name val="Arial"/>
      <charset val="134"/>
    </font>
    <font>
      <b/>
      <sz val="20"/>
      <color rgb="FF7F6000"/>
      <name val="Arial"/>
      <charset val="134"/>
    </font>
    <font>
      <b/>
      <sz val="20"/>
      <color rgb="FF595959"/>
      <name val="Arial"/>
      <charset val="134"/>
    </font>
    <font>
      <b/>
      <sz val="8"/>
      <color rgb="FF595959"/>
      <name val="Arial"/>
      <charset val="134"/>
    </font>
    <font>
      <sz val="9"/>
      <color rgb="FF3D3D3D"/>
      <name val="Arial"/>
      <charset val="134"/>
    </font>
    <font>
      <b/>
      <sz val="9"/>
      <color rgb="FF375623"/>
      <name val="Arial"/>
      <charset val="134"/>
    </font>
    <font>
      <sz val="8"/>
      <color rgb="FF7A7A7A"/>
      <name val="Arial"/>
      <charset val="134"/>
    </font>
    <font>
      <b/>
      <sz val="8"/>
      <color rgb="FFFFFFFF"/>
      <name val="Arial"/>
      <charset val="134"/>
    </font>
    <font>
      <b/>
      <sz val="9"/>
      <color rgb="FF3D3D3D"/>
      <name val="Arial"/>
      <charset val="134"/>
    </font>
    <font>
      <b/>
      <sz val="9"/>
      <color rgb="FF7F6000"/>
      <name val="Arial"/>
      <charset val="134"/>
    </font>
    <font>
      <b/>
      <sz val="9"/>
      <color rgb="FF1F4E79"/>
      <name val="Arial"/>
      <charset val="134"/>
    </font>
    <font>
      <sz val="9"/>
      <color rgb="FF7F6000"/>
      <name val="Arial"/>
      <charset val="134"/>
    </font>
    <font>
      <sz val="8"/>
      <color rgb="FF1F4E79"/>
      <name val="Arial"/>
      <charset val="134"/>
    </font>
    <font>
      <b/>
      <sz val="9"/>
      <color rgb="FF2E4057"/>
      <name val="Arial"/>
      <charset val="134"/>
    </font>
    <font>
      <sz val="10"/>
      <color rgb="FFFF0000"/>
      <name val="Arial"/>
      <charset val="134"/>
    </font>
    <font>
      <sz val="10"/>
      <color rgb="FF242424"/>
      <name val="Arial"/>
      <charset val="134"/>
    </font>
    <font>
      <strike/>
      <sz val="10"/>
      <color rgb="FF242424"/>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6">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92D050"/>
        <bgColor rgb="FF92D050"/>
      </patternFill>
    </fill>
    <fill>
      <patternFill patternType="solid">
        <fgColor rgb="FF3D3D3D"/>
        <bgColor indexed="64"/>
      </patternFill>
    </fill>
    <fill>
      <patternFill patternType="solid">
        <fgColor rgb="FFFFFFFF"/>
        <bgColor rgb="FFFFFFFF"/>
      </patternFill>
    </fill>
    <fill>
      <patternFill patternType="solid">
        <fgColor rgb="FFE2EFDA"/>
        <bgColor indexed="64"/>
      </patternFill>
    </fill>
    <fill>
      <patternFill patternType="solid">
        <fgColor rgb="FFDEEAF1"/>
        <bgColor indexed="64"/>
      </patternFill>
    </fill>
    <fill>
      <patternFill patternType="solid">
        <fgColor rgb="FFFFC7CE"/>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FFFFFF"/>
        <bgColor indexed="64"/>
      </patternFill>
    </fill>
    <fill>
      <patternFill patternType="solid">
        <fgColor rgb="FFB26A00"/>
        <bgColor indexed="64"/>
      </patternFill>
    </fill>
    <fill>
      <patternFill patternType="solid">
        <fgColor rgb="FFC9A227"/>
        <bgColor indexed="64"/>
      </patternFill>
    </fill>
    <fill>
      <patternFill patternType="solid">
        <fgColor rgb="FFBDD7EE"/>
        <bgColor indexed="64"/>
      </patternFill>
    </fill>
    <fill>
      <patternFill patternType="solid">
        <fgColor rgb="FFFCE4D6"/>
        <bgColor indexed="64"/>
      </patternFill>
    </fill>
    <fill>
      <patternFill patternType="solid">
        <fgColor rgb="FF7F8C8D"/>
        <bgColor indexed="64"/>
      </patternFill>
    </fill>
    <fill>
      <patternFill patternType="solid">
        <fgColor rgb="FF5D6D7E"/>
        <bgColor indexed="64"/>
      </patternFill>
    </fill>
    <fill>
      <patternFill patternType="solid">
        <fgColor rgb="FF2E4057"/>
        <bgColor indexed="64"/>
      </patternFill>
    </fill>
    <fill>
      <patternFill patternType="solid">
        <fgColor rgb="FF4A6741"/>
        <bgColor indexed="64"/>
      </patternFill>
    </fill>
    <fill>
      <patternFill patternType="solid">
        <fgColor rgb="FFD4F0F0"/>
        <bgColor indexed="64"/>
      </patternFill>
    </fill>
    <fill>
      <patternFill patternType="solid">
        <fgColor rgb="FFFFEB9C"/>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EDEDED"/>
        <bgColor indexed="64"/>
      </patternFill>
    </fill>
    <fill>
      <patternFill patternType="solid">
        <fgColor rgb="FFF7F9FB"/>
        <bgColor indexed="64"/>
      </patternFill>
    </fill>
    <fill>
      <patternFill patternType="solid">
        <fgColor rgb="FFFFE3E6"/>
        <bgColor indexed="64"/>
      </patternFill>
    </fill>
    <fill>
      <patternFill patternType="solid">
        <fgColor rgb="FFF2F2F2"/>
        <bgColor indexed="64"/>
      </patternFill>
    </fill>
    <fill>
      <patternFill patternType="solid">
        <fgColor rgb="FFE8F0FE"/>
        <bgColor indexed="64"/>
      </patternFill>
    </fill>
    <fill>
      <patternFill patternType="solid">
        <fgColor rgb="FF000000"/>
        <bgColor rgb="FF000000"/>
      </patternFill>
    </fill>
    <fill>
      <patternFill patternType="solid">
        <fgColor rgb="FF00FFFF"/>
        <bgColor rgb="FF00FFFF"/>
      </patternFill>
    </fill>
    <fill>
      <patternFill patternType="solid">
        <fgColor theme="1"/>
        <bgColor theme="1"/>
      </patternFill>
    </fill>
    <fill>
      <patternFill patternType="solid">
        <fgColor theme="5"/>
        <bgColor theme="5"/>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D8D8D8"/>
      </left>
      <right style="thin">
        <color rgb="FFD8D8D8"/>
      </right>
      <top style="thin">
        <color rgb="FFD8D8D8"/>
      </top>
      <bottom style="thin">
        <color rgb="FFD8D8D8"/>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5" fillId="0" borderId="0">
      <alignment vertical="center"/>
    </xf>
    <xf numFmtId="0" fontId="56" fillId="0" borderId="0">
      <alignment vertical="center"/>
    </xf>
    <xf numFmtId="0" fontId="0" fillId="38" borderId="11">
      <alignment vertical="center"/>
    </xf>
    <xf numFmtId="0" fontId="57" fillId="0" borderId="0">
      <alignment vertical="center"/>
    </xf>
    <xf numFmtId="0" fontId="58" fillId="0" borderId="0">
      <alignment vertical="center"/>
    </xf>
    <xf numFmtId="0" fontId="59" fillId="0" borderId="0">
      <alignment vertical="center"/>
    </xf>
    <xf numFmtId="0" fontId="60" fillId="0" borderId="12">
      <alignment vertical="center"/>
    </xf>
    <xf numFmtId="0" fontId="61" fillId="0" borderId="12">
      <alignment vertical="center"/>
    </xf>
    <xf numFmtId="0" fontId="62" fillId="0" borderId="13">
      <alignment vertical="center"/>
    </xf>
    <xf numFmtId="0" fontId="62" fillId="0" borderId="0">
      <alignment vertical="center"/>
    </xf>
    <xf numFmtId="0" fontId="63" fillId="39" borderId="14">
      <alignment vertical="center"/>
    </xf>
    <xf numFmtId="0" fontId="64" fillId="32" borderId="15">
      <alignment vertical="center"/>
    </xf>
    <xf numFmtId="0" fontId="65" fillId="32" borderId="14">
      <alignment vertical="center"/>
    </xf>
    <xf numFmtId="0" fontId="66" fillId="40" borderId="16">
      <alignment vertical="center"/>
    </xf>
    <xf numFmtId="0" fontId="67" fillId="0" borderId="17">
      <alignment vertical="center"/>
    </xf>
    <xf numFmtId="0" fontId="68" fillId="0" borderId="18">
      <alignment vertical="center"/>
    </xf>
    <xf numFmtId="0" fontId="69" fillId="41" borderId="0">
      <alignment vertical="center"/>
    </xf>
    <xf numFmtId="0" fontId="70" fillId="9" borderId="0">
      <alignment vertical="center"/>
    </xf>
    <xf numFmtId="0" fontId="71" fillId="24" borderId="0">
      <alignment vertical="center"/>
    </xf>
    <xf numFmtId="0" fontId="72" fillId="42" borderId="0">
      <alignment vertical="center"/>
    </xf>
    <xf numFmtId="0" fontId="73" fillId="43" borderId="0">
      <alignment vertical="center"/>
    </xf>
    <xf numFmtId="0" fontId="73" fillId="44" borderId="0">
      <alignment vertical="center"/>
    </xf>
    <xf numFmtId="0" fontId="72" fillId="45" borderId="0">
      <alignment vertical="center"/>
    </xf>
    <xf numFmtId="0" fontId="72" fillId="46" borderId="0">
      <alignment vertical="center"/>
    </xf>
    <xf numFmtId="0" fontId="73" fillId="47" borderId="0">
      <alignment vertical="center"/>
    </xf>
    <xf numFmtId="0" fontId="73" fillId="48" borderId="0">
      <alignment vertical="center"/>
    </xf>
    <xf numFmtId="0" fontId="72" fillId="49" borderId="0">
      <alignment vertical="center"/>
    </xf>
    <xf numFmtId="0" fontId="72" fillId="50" borderId="0">
      <alignment vertical="center"/>
    </xf>
    <xf numFmtId="0" fontId="73" fillId="51" borderId="0">
      <alignment vertical="center"/>
    </xf>
    <xf numFmtId="0" fontId="73" fillId="52" borderId="0">
      <alignment vertical="center"/>
    </xf>
    <xf numFmtId="0" fontId="72" fillId="53" borderId="0">
      <alignment vertical="center"/>
    </xf>
    <xf numFmtId="0" fontId="72" fillId="54" borderId="0">
      <alignment vertical="center"/>
    </xf>
    <xf numFmtId="0" fontId="73" fillId="55" borderId="0">
      <alignment vertical="center"/>
    </xf>
    <xf numFmtId="0" fontId="73" fillId="56" borderId="0">
      <alignment vertical="center"/>
    </xf>
    <xf numFmtId="0" fontId="72" fillId="57" borderId="0">
      <alignment vertical="center"/>
    </xf>
    <xf numFmtId="0" fontId="72" fillId="58" borderId="0">
      <alignment vertical="center"/>
    </xf>
    <xf numFmtId="0" fontId="73" fillId="59" borderId="0">
      <alignment vertical="center"/>
    </xf>
    <xf numFmtId="0" fontId="73" fillId="60" borderId="0">
      <alignment vertical="center"/>
    </xf>
    <xf numFmtId="0" fontId="72" fillId="61" borderId="0">
      <alignment vertical="center"/>
    </xf>
    <xf numFmtId="0" fontId="72" fillId="62" borderId="0">
      <alignment vertical="center"/>
    </xf>
    <xf numFmtId="0" fontId="73" fillId="63" borderId="0">
      <alignment vertical="center"/>
    </xf>
    <xf numFmtId="0" fontId="73" fillId="64" borderId="0">
      <alignment vertical="center"/>
    </xf>
    <xf numFmtId="0" fontId="72" fillId="65" borderId="0">
      <alignment vertical="center"/>
    </xf>
  </cellStyleXfs>
  <cellXfs count="176">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3" fillId="3" borderId="2" xfId="0" applyFont="1" applyFill="1" applyBorder="1" applyAlignment="1">
      <alignment horizontal="center" vertical="top"/>
    </xf>
    <xf numFmtId="0" fontId="0" fillId="0" borderId="3" xfId="0" applyBorder="1"/>
    <xf numFmtId="0" fontId="0" fillId="0" borderId="4" xfId="0" applyBorder="1"/>
    <xf numFmtId="0" fontId="3" fillId="2" borderId="2" xfId="0" applyFont="1" applyFill="1" applyBorder="1" applyAlignment="1">
      <alignment horizontal="center" vertical="top"/>
    </xf>
    <xf numFmtId="0" fontId="3" fillId="2" borderId="2" xfId="0" applyFont="1" applyFill="1" applyBorder="1" applyAlignment="1">
      <alignment vertical="top"/>
    </xf>
    <xf numFmtId="0" fontId="3" fillId="2" borderId="2" xfId="0" applyFont="1" applyFill="1" applyBorder="1" applyAlignment="1">
      <alignment horizontal="center" vertical="top" wrapText="1"/>
    </xf>
    <xf numFmtId="0" fontId="3" fillId="2" borderId="2" xfId="0" applyFont="1" applyFill="1" applyBorder="1" applyAlignment="1">
      <alignment vertical="top" wrapText="1"/>
    </xf>
    <xf numFmtId="0" fontId="3" fillId="0" borderId="2" xfId="0" applyFont="1" applyBorder="1" applyAlignment="1">
      <alignment horizontal="center" vertical="center"/>
    </xf>
    <xf numFmtId="0" fontId="4" fillId="0" borderId="2" xfId="0" applyFont="1" applyBorder="1" applyAlignment="1">
      <alignment vertical="top"/>
    </xf>
    <xf numFmtId="0" fontId="4" fillId="0" borderId="2" xfId="0" applyFont="1" applyBorder="1" applyAlignment="1">
      <alignment horizontal="center" vertical="top"/>
    </xf>
    <xf numFmtId="0" fontId="4" fillId="0" borderId="2" xfId="0" applyFont="1" applyBorder="1" applyAlignment="1">
      <alignment vertical="top" wrapText="1"/>
    </xf>
    <xf numFmtId="0" fontId="0" fillId="0" borderId="5" xfId="0" applyBorder="1"/>
    <xf numFmtId="0" fontId="4" fillId="4" borderId="2" xfId="0" applyFont="1" applyFill="1" applyBorder="1" applyAlignment="1">
      <alignment horizontal="center" vertical="center" wrapText="1"/>
    </xf>
    <xf numFmtId="176" fontId="4" fillId="0" borderId="2" xfId="0" applyNumberFormat="1" applyFont="1" applyBorder="1" applyAlignment="1">
      <alignment horizontal="right" vertical="top"/>
    </xf>
    <xf numFmtId="0" fontId="0" fillId="0" borderId="6" xfId="0" applyBorder="1"/>
    <xf numFmtId="0" fontId="4" fillId="4" borderId="2" xfId="0" applyFont="1" applyFill="1" applyBorder="1" applyAlignment="1">
      <alignment horizontal="center" vertical="top" wrapText="1"/>
    </xf>
    <xf numFmtId="0" fontId="4" fillId="4" borderId="2" xfId="0" applyFont="1" applyFill="1" applyBorder="1" applyAlignment="1">
      <alignment horizontal="center" vertical="top"/>
    </xf>
    <xf numFmtId="0" fontId="4" fillId="0" borderId="2" xfId="0" applyFont="1" applyBorder="1" applyAlignment="1">
      <alignment horizontal="center" vertical="center"/>
    </xf>
    <xf numFmtId="0" fontId="4" fillId="0" borderId="2" xfId="0" applyFont="1" applyBorder="1" applyAlignment="1">
      <alignment horizontal="left" vertical="top"/>
    </xf>
    <xf numFmtId="0" fontId="5" fillId="2" borderId="2" xfId="0" applyFont="1" applyFill="1" applyBorder="1" applyAlignment="1">
      <alignment vertical="top" wrapText="1"/>
    </xf>
    <xf numFmtId="0" fontId="5" fillId="2" borderId="2" xfId="0" applyFont="1" applyFill="1" applyBorder="1" applyAlignment="1">
      <alignment vertical="top"/>
    </xf>
    <xf numFmtId="0" fontId="6" fillId="5" borderId="0" xfId="0" applyFont="1" applyFill="1" applyAlignment="1">
      <alignment horizontal="center" vertical="center"/>
    </xf>
    <xf numFmtId="0" fontId="7" fillId="0" borderId="0" xfId="0" applyFont="1" applyAlignment="1">
      <alignment vertical="top"/>
    </xf>
    <xf numFmtId="0" fontId="8" fillId="0" borderId="0" xfId="0" applyFont="1" applyAlignment="1">
      <alignment vertical="top"/>
    </xf>
    <xf numFmtId="0" fontId="9" fillId="6" borderId="2" xfId="0" applyFont="1" applyFill="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xf>
    <xf numFmtId="0" fontId="10" fillId="7" borderId="7" xfId="0" applyFont="1" applyFill="1" applyBorder="1" applyAlignment="1">
      <alignment horizontal="center" vertical="center"/>
    </xf>
    <xf numFmtId="1" fontId="10" fillId="7" borderId="7" xfId="0" applyNumberFormat="1" applyFont="1" applyFill="1" applyBorder="1" applyAlignment="1">
      <alignment horizontal="center" vertical="center"/>
    </xf>
    <xf numFmtId="177" fontId="7" fillId="0" borderId="0" xfId="0" applyNumberFormat="1" applyFont="1" applyAlignment="1">
      <alignment vertical="top"/>
    </xf>
    <xf numFmtId="0" fontId="11" fillId="8" borderId="7" xfId="0" applyFont="1" applyFill="1" applyBorder="1" applyAlignment="1">
      <alignment horizontal="center" vertical="center"/>
    </xf>
    <xf numFmtId="0" fontId="12" fillId="9" borderId="7" xfId="0" applyFont="1" applyFill="1" applyBorder="1" applyAlignment="1">
      <alignment horizontal="center" vertical="center"/>
    </xf>
    <xf numFmtId="0" fontId="9" fillId="0" borderId="0" xfId="0" applyFont="1" applyAlignment="1">
      <alignment vertical="top"/>
    </xf>
    <xf numFmtId="0" fontId="8" fillId="0" borderId="0" xfId="0" applyFont="1" applyAlignment="1">
      <alignment vertical="top" wrapText="1"/>
    </xf>
    <xf numFmtId="0" fontId="7" fillId="0" borderId="0" xfId="0" applyFont="1" applyAlignment="1">
      <alignment vertical="top" wrapText="1"/>
    </xf>
    <xf numFmtId="0" fontId="2" fillId="0" borderId="0" xfId="0" applyFont="1"/>
    <xf numFmtId="0" fontId="13" fillId="10" borderId="0" xfId="0" applyFont="1" applyFill="1" applyAlignment="1">
      <alignment horizontal="left" vertical="center"/>
    </xf>
    <xf numFmtId="0" fontId="14" fillId="11" borderId="0" xfId="0" applyFont="1" applyFill="1" applyAlignment="1">
      <alignment horizontal="left" vertical="center"/>
    </xf>
    <xf numFmtId="0" fontId="6" fillId="5" borderId="8" xfId="0" applyFont="1" applyFill="1" applyBorder="1" applyAlignment="1">
      <alignment horizontal="center" vertical="center" wrapText="1"/>
    </xf>
    <xf numFmtId="0" fontId="15" fillId="12" borderId="0" xfId="0" applyFont="1" applyFill="1" applyAlignment="1">
      <alignment horizontal="left" vertical="center"/>
    </xf>
    <xf numFmtId="0" fontId="16" fillId="13" borderId="8" xfId="0" applyFont="1" applyFill="1" applyBorder="1" applyAlignment="1">
      <alignment horizontal="center" vertical="center"/>
    </xf>
    <xf numFmtId="0" fontId="16" fillId="13" borderId="8" xfId="0" applyFont="1" applyFill="1" applyBorder="1" applyAlignment="1">
      <alignment horizontal="left" vertical="center"/>
    </xf>
    <xf numFmtId="0" fontId="16" fillId="13" borderId="8" xfId="0" applyFont="1" applyFill="1" applyBorder="1" applyAlignment="1">
      <alignment horizontal="left" vertical="center" wrapText="1"/>
    </xf>
    <xf numFmtId="0" fontId="17" fillId="7" borderId="8" xfId="0" applyFont="1" applyFill="1" applyBorder="1" applyAlignment="1">
      <alignment horizontal="center" vertical="center"/>
    </xf>
    <xf numFmtId="0" fontId="16" fillId="14" borderId="8" xfId="0" applyFont="1" applyFill="1" applyBorder="1" applyAlignment="1">
      <alignment horizontal="center" vertical="center"/>
    </xf>
    <xf numFmtId="0" fontId="16" fillId="14" borderId="8" xfId="0" applyFont="1" applyFill="1" applyBorder="1" applyAlignment="1">
      <alignment horizontal="left" vertical="center"/>
    </xf>
    <xf numFmtId="0" fontId="16" fillId="14" borderId="8" xfId="0" applyFont="1" applyFill="1" applyBorder="1" applyAlignment="1">
      <alignment horizontal="left" vertical="center" wrapText="1"/>
    </xf>
    <xf numFmtId="0" fontId="15" fillId="15" borderId="0" xfId="0" applyFont="1" applyFill="1" applyAlignment="1">
      <alignment horizontal="left" vertical="center"/>
    </xf>
    <xf numFmtId="0" fontId="18" fillId="16" borderId="0" xfId="0" applyFont="1" applyFill="1" applyAlignment="1">
      <alignment horizontal="left" vertical="center"/>
    </xf>
    <xf numFmtId="0" fontId="19" fillId="9" borderId="8" xfId="0" applyFont="1" applyFill="1" applyBorder="1" applyAlignment="1">
      <alignment horizontal="center" vertical="center"/>
    </xf>
    <xf numFmtId="0" fontId="20" fillId="8" borderId="8" xfId="0" applyFont="1" applyFill="1" applyBorder="1" applyAlignment="1">
      <alignment horizontal="center" vertical="center"/>
    </xf>
    <xf numFmtId="0" fontId="21" fillId="17" borderId="8" xfId="0" applyFont="1" applyFill="1" applyBorder="1" applyAlignment="1">
      <alignment horizontal="center" vertical="center"/>
    </xf>
    <xf numFmtId="0" fontId="22" fillId="18" borderId="8" xfId="0" applyFont="1" applyFill="1" applyBorder="1" applyAlignment="1">
      <alignment horizontal="center" vertical="center"/>
    </xf>
    <xf numFmtId="0" fontId="15" fillId="19" borderId="0" xfId="0" applyFont="1" applyFill="1" applyAlignment="1">
      <alignment horizontal="left" vertical="center"/>
    </xf>
    <xf numFmtId="0" fontId="13" fillId="20" borderId="0" xfId="0" applyFont="1" applyFill="1" applyAlignment="1">
      <alignment horizontal="left" vertical="center"/>
    </xf>
    <xf numFmtId="0" fontId="15" fillId="21" borderId="0" xfId="0" applyFont="1" applyFill="1" applyAlignment="1">
      <alignment horizontal="left" vertical="center"/>
    </xf>
    <xf numFmtId="0" fontId="13" fillId="22" borderId="0" xfId="0" applyFont="1" applyFill="1" applyAlignment="1">
      <alignment horizontal="left" vertical="center"/>
    </xf>
    <xf numFmtId="0" fontId="13" fillId="21" borderId="0" xfId="0" applyFont="1" applyFill="1" applyAlignment="1">
      <alignment horizontal="left" vertical="center"/>
    </xf>
    <xf numFmtId="0" fontId="23" fillId="16" borderId="0" xfId="0" applyFont="1" applyFill="1" applyAlignment="1">
      <alignment horizontal="left" vertical="center"/>
    </xf>
    <xf numFmtId="0" fontId="24" fillId="23" borderId="8" xfId="0" applyFont="1" applyFill="1" applyBorder="1" applyAlignment="1">
      <alignment horizontal="center" vertical="center"/>
    </xf>
    <xf numFmtId="0" fontId="25" fillId="24" borderId="8" xfId="0" applyFont="1" applyFill="1" applyBorder="1" applyAlignment="1">
      <alignment horizontal="center" vertical="center"/>
    </xf>
    <xf numFmtId="0" fontId="13" fillId="15" borderId="0" xfId="0" applyFont="1" applyFill="1" applyAlignment="1">
      <alignment horizontal="left" vertical="center"/>
    </xf>
    <xf numFmtId="0" fontId="26" fillId="21" borderId="0" xfId="0" applyFont="1" applyFill="1" applyAlignment="1">
      <alignment horizontal="center" vertical="center"/>
    </xf>
    <xf numFmtId="0" fontId="27" fillId="25" borderId="0" xfId="0" applyFont="1" applyFill="1" applyAlignment="1">
      <alignment horizontal="center" vertical="center"/>
    </xf>
    <xf numFmtId="0" fontId="28" fillId="0" borderId="0" xfId="0" applyFont="1" applyAlignment="1">
      <alignment horizontal="left" vertical="center"/>
    </xf>
    <xf numFmtId="9" fontId="29" fillId="7" borderId="0" xfId="0" applyNumberFormat="1" applyFont="1" applyFill="1" applyAlignment="1">
      <alignment horizontal="center" vertical="center"/>
    </xf>
    <xf numFmtId="0" fontId="30" fillId="26" borderId="0" xfId="0" applyFont="1" applyFill="1" applyAlignment="1">
      <alignment horizontal="center" vertical="center" wrapText="1"/>
    </xf>
    <xf numFmtId="0" fontId="31" fillId="9" borderId="0" xfId="0" applyFont="1" applyFill="1" applyAlignment="1">
      <alignment horizontal="center" vertical="center"/>
    </xf>
    <xf numFmtId="0" fontId="28" fillId="27" borderId="0" xfId="0" applyFont="1" applyFill="1" applyAlignment="1">
      <alignment horizontal="center" vertical="center" wrapText="1"/>
    </xf>
    <xf numFmtId="0" fontId="32" fillId="28" borderId="0" xfId="0" applyFont="1" applyFill="1" applyAlignment="1">
      <alignment horizontal="left" vertical="center"/>
    </xf>
    <xf numFmtId="0" fontId="33" fillId="7" borderId="0" xfId="0" applyFont="1" applyFill="1" applyAlignment="1">
      <alignment horizontal="center" vertical="center"/>
    </xf>
    <xf numFmtId="0" fontId="34" fillId="23" borderId="0" xfId="0" applyFont="1" applyFill="1" applyAlignment="1">
      <alignment horizontal="center" vertical="center"/>
    </xf>
    <xf numFmtId="0" fontId="35" fillId="8" borderId="0" xfId="0" applyFont="1" applyFill="1" applyAlignment="1">
      <alignment horizontal="center" vertical="center"/>
    </xf>
    <xf numFmtId="0" fontId="36" fillId="17" borderId="0" xfId="0" applyFont="1" applyFill="1" applyAlignment="1">
      <alignment horizontal="center" vertical="center"/>
    </xf>
    <xf numFmtId="0" fontId="17" fillId="7" borderId="0" xfId="0" applyFont="1" applyFill="1" applyAlignment="1">
      <alignment horizontal="center" vertical="center"/>
    </xf>
    <xf numFmtId="0" fontId="24" fillId="23" borderId="0" xfId="0" applyFont="1" applyFill="1" applyAlignment="1">
      <alignment horizontal="center" vertical="center"/>
    </xf>
    <xf numFmtId="0" fontId="20" fillId="8" borderId="0" xfId="0" applyFont="1" applyFill="1" applyAlignment="1">
      <alignment horizontal="center" vertical="center"/>
    </xf>
    <xf numFmtId="0" fontId="21" fillId="17" borderId="0" xfId="0" applyFont="1" applyFill="1" applyAlignment="1">
      <alignment horizontal="center" vertical="center"/>
    </xf>
    <xf numFmtId="0" fontId="37" fillId="18" borderId="0" xfId="0" applyFont="1" applyFill="1" applyAlignment="1">
      <alignment horizontal="center" vertical="center"/>
    </xf>
    <xf numFmtId="0" fontId="38" fillId="9" borderId="0" xfId="0" applyFont="1" applyFill="1" applyAlignment="1">
      <alignment horizontal="center" vertical="center"/>
    </xf>
    <xf numFmtId="0" fontId="39" fillId="24" borderId="0" xfId="0" applyFont="1" applyFill="1" applyAlignment="1">
      <alignment horizontal="center" vertical="center"/>
    </xf>
    <xf numFmtId="0" fontId="40" fillId="29" borderId="0" xfId="0" applyFont="1" applyFill="1" applyAlignment="1">
      <alignment horizontal="center" vertical="center"/>
    </xf>
    <xf numFmtId="0" fontId="22" fillId="18" borderId="0" xfId="0" applyFont="1" applyFill="1" applyAlignment="1">
      <alignment horizontal="center" vertical="center"/>
    </xf>
    <xf numFmtId="0" fontId="19" fillId="9" borderId="0" xfId="0" applyFont="1" applyFill="1" applyAlignment="1">
      <alignment horizontal="center" vertical="center"/>
    </xf>
    <xf numFmtId="0" fontId="25" fillId="24" borderId="0" xfId="0" applyFont="1" applyFill="1" applyAlignment="1">
      <alignment horizontal="center" vertical="center"/>
    </xf>
    <xf numFmtId="0" fontId="41" fillId="29" borderId="0" xfId="0" applyFont="1" applyFill="1" applyAlignment="1">
      <alignment horizontal="center" vertical="center"/>
    </xf>
    <xf numFmtId="0" fontId="6" fillId="5" borderId="7" xfId="0" applyFont="1" applyFill="1" applyBorder="1" applyAlignment="1">
      <alignment horizontal="center" vertical="center" wrapText="1"/>
    </xf>
    <xf numFmtId="0" fontId="6" fillId="5" borderId="7" xfId="0" applyFont="1" applyFill="1" applyBorder="1" applyAlignment="1">
      <alignment horizontal="center" vertical="center"/>
    </xf>
    <xf numFmtId="0" fontId="0" fillId="0" borderId="9" xfId="0" applyBorder="1"/>
    <xf numFmtId="0" fontId="0" fillId="0" borderId="10" xfId="0" applyBorder="1"/>
    <xf numFmtId="0" fontId="42" fillId="30" borderId="7" xfId="0" applyFont="1" applyFill="1" applyBorder="1" applyAlignment="1">
      <alignment horizontal="left" vertical="center"/>
    </xf>
    <xf numFmtId="0" fontId="42" fillId="30" borderId="7" xfId="0" applyFont="1" applyFill="1" applyBorder="1" applyAlignment="1">
      <alignment horizontal="center" vertical="center"/>
    </xf>
    <xf numFmtId="0" fontId="43" fillId="7" borderId="7" xfId="0" applyFont="1" applyFill="1" applyBorder="1" applyAlignment="1">
      <alignment horizontal="center" vertical="center"/>
    </xf>
    <xf numFmtId="0" fontId="12" fillId="31" borderId="7" xfId="0" applyFont="1" applyFill="1" applyBorder="1" applyAlignment="1">
      <alignment horizontal="center" vertical="center"/>
    </xf>
    <xf numFmtId="9" fontId="42" fillId="30" borderId="7" xfId="0" applyNumberFormat="1" applyFont="1" applyFill="1" applyBorder="1" applyAlignment="1">
      <alignment horizontal="center" vertical="center"/>
    </xf>
    <xf numFmtId="0" fontId="42" fillId="14" borderId="7" xfId="0" applyFont="1" applyFill="1" applyBorder="1" applyAlignment="1">
      <alignment horizontal="left" vertical="center"/>
    </xf>
    <xf numFmtId="0" fontId="42" fillId="14" borderId="7" xfId="0" applyFont="1" applyFill="1" applyBorder="1" applyAlignment="1">
      <alignment horizontal="center" vertical="center"/>
    </xf>
    <xf numFmtId="9" fontId="42" fillId="14" borderId="7" xfId="0" applyNumberFormat="1" applyFont="1" applyFill="1" applyBorder="1" applyAlignment="1">
      <alignment horizontal="center" vertical="center"/>
    </xf>
    <xf numFmtId="0" fontId="6" fillId="21" borderId="7" xfId="0" applyFont="1" applyFill="1" applyBorder="1" applyAlignment="1">
      <alignment horizontal="left" vertical="center"/>
    </xf>
    <xf numFmtId="0" fontId="6" fillId="21" borderId="7" xfId="0" applyFont="1" applyFill="1" applyBorder="1" applyAlignment="1">
      <alignment horizontal="center" vertical="center"/>
    </xf>
    <xf numFmtId="9" fontId="6" fillId="21" borderId="7" xfId="0" applyNumberFormat="1" applyFont="1" applyFill="1" applyBorder="1" applyAlignment="1">
      <alignment horizontal="center" vertical="center"/>
    </xf>
    <xf numFmtId="0" fontId="44" fillId="0" borderId="0" xfId="0" applyFont="1" applyAlignment="1">
      <alignment horizontal="left" vertical="center" wrapText="1"/>
    </xf>
    <xf numFmtId="0" fontId="17" fillId="7" borderId="7" xfId="0" applyFont="1" applyFill="1" applyBorder="1" applyAlignment="1">
      <alignment horizontal="center" vertical="center" wrapText="1"/>
    </xf>
    <xf numFmtId="0" fontId="24" fillId="23" borderId="7" xfId="0" applyFont="1" applyFill="1" applyBorder="1" applyAlignment="1">
      <alignment horizontal="center" vertical="center" wrapText="1"/>
    </xf>
    <xf numFmtId="0" fontId="20" fillId="8" borderId="7" xfId="0" applyFont="1" applyFill="1" applyBorder="1" applyAlignment="1">
      <alignment horizontal="center" vertical="center" wrapText="1"/>
    </xf>
    <xf numFmtId="0" fontId="21" fillId="17" borderId="7" xfId="0" applyFont="1" applyFill="1" applyBorder="1" applyAlignment="1">
      <alignment horizontal="center" vertical="center" wrapText="1"/>
    </xf>
    <xf numFmtId="0" fontId="22" fillId="18" borderId="7" xfId="0" applyFont="1" applyFill="1" applyBorder="1" applyAlignment="1">
      <alignment horizontal="center" vertical="center" wrapText="1"/>
    </xf>
    <xf numFmtId="0" fontId="19" fillId="9" borderId="7" xfId="0" applyFont="1" applyFill="1" applyBorder="1" applyAlignment="1">
      <alignment horizontal="center" vertical="center" wrapText="1"/>
    </xf>
    <xf numFmtId="0" fontId="25" fillId="24" borderId="7" xfId="0" applyFont="1" applyFill="1" applyBorder="1" applyAlignment="1">
      <alignment horizontal="center" vertical="center" wrapText="1"/>
    </xf>
    <xf numFmtId="0" fontId="41" fillId="29" borderId="7" xfId="0" applyFont="1" applyFill="1" applyBorder="1" applyAlignment="1">
      <alignment horizontal="center" vertical="center" wrapText="1"/>
    </xf>
    <xf numFmtId="0" fontId="45" fillId="16" borderId="7" xfId="0" applyFont="1" applyFill="1" applyBorder="1" applyAlignment="1">
      <alignment horizontal="center" vertical="center" wrapText="1"/>
    </xf>
    <xf numFmtId="0" fontId="46" fillId="32" borderId="7" xfId="0" applyFont="1" applyFill="1" applyBorder="1" applyAlignment="1">
      <alignment horizontal="left" vertical="center"/>
    </xf>
    <xf numFmtId="0" fontId="42" fillId="0" borderId="7" xfId="0" applyFont="1" applyBorder="1" applyAlignment="1">
      <alignment horizontal="center" vertical="center"/>
    </xf>
    <xf numFmtId="0" fontId="47" fillId="24" borderId="7" xfId="0" applyFont="1" applyFill="1" applyBorder="1" applyAlignment="1">
      <alignment horizontal="center" vertical="center"/>
    </xf>
    <xf numFmtId="176" fontId="42" fillId="0" borderId="7" xfId="0" applyNumberFormat="1" applyFont="1" applyBorder="1" applyAlignment="1">
      <alignment horizontal="left" vertical="center"/>
    </xf>
    <xf numFmtId="0" fontId="42" fillId="8" borderId="7" xfId="0" applyFont="1" applyFill="1" applyBorder="1" applyAlignment="1">
      <alignment horizontal="center" vertical="center"/>
    </xf>
    <xf numFmtId="9" fontId="42" fillId="0" borderId="7" xfId="0" applyNumberFormat="1" applyFont="1" applyBorder="1" applyAlignment="1">
      <alignment horizontal="center" vertical="center"/>
    </xf>
    <xf numFmtId="0" fontId="42" fillId="29" borderId="7" xfId="0" applyFont="1" applyFill="1" applyBorder="1" applyAlignment="1">
      <alignment horizontal="center" vertical="center"/>
    </xf>
    <xf numFmtId="0" fontId="47" fillId="24" borderId="7" xfId="0" applyFont="1" applyFill="1" applyBorder="1" applyAlignment="1">
      <alignment horizontal="left" vertical="center"/>
    </xf>
    <xf numFmtId="0" fontId="42" fillId="32" borderId="7" xfId="0" applyFont="1" applyFill="1" applyBorder="1" applyAlignment="1">
      <alignment horizontal="left" vertical="center"/>
    </xf>
    <xf numFmtId="0" fontId="46" fillId="32" borderId="7" xfId="0" applyFont="1" applyFill="1" applyBorder="1" applyAlignment="1">
      <alignment horizontal="center" vertical="center"/>
    </xf>
    <xf numFmtId="0" fontId="11" fillId="8" borderId="7" xfId="0" applyFont="1" applyFill="1" applyBorder="1" applyAlignment="1">
      <alignment horizontal="left" vertical="center"/>
    </xf>
    <xf numFmtId="0" fontId="48" fillId="8" borderId="7" xfId="0" applyFont="1" applyFill="1" applyBorder="1" applyAlignment="1">
      <alignment horizontal="center" vertical="center"/>
    </xf>
    <xf numFmtId="0" fontId="49" fillId="24" borderId="7" xfId="0" applyFont="1" applyFill="1" applyBorder="1" applyAlignment="1">
      <alignment horizontal="left" vertical="center"/>
    </xf>
    <xf numFmtId="0" fontId="50" fillId="8" borderId="0" xfId="0" applyFont="1" applyFill="1" applyAlignment="1">
      <alignment horizontal="left" vertical="center"/>
    </xf>
    <xf numFmtId="0" fontId="42" fillId="29" borderId="7" xfId="0" applyFont="1" applyFill="1" applyBorder="1" applyAlignment="1">
      <alignment horizontal="left" vertical="center"/>
    </xf>
    <xf numFmtId="9" fontId="42" fillId="29" borderId="7" xfId="0" applyNumberFormat="1" applyFont="1" applyFill="1" applyBorder="1" applyAlignment="1">
      <alignment horizontal="center" vertical="center"/>
    </xf>
    <xf numFmtId="0" fontId="42" fillId="0" borderId="7" xfId="0" applyFont="1" applyBorder="1" applyAlignment="1">
      <alignment horizontal="left" vertical="center"/>
    </xf>
    <xf numFmtId="0" fontId="42" fillId="7" borderId="7" xfId="0" applyFont="1" applyFill="1" applyBorder="1" applyAlignment="1">
      <alignment horizontal="center" vertical="center"/>
    </xf>
    <xf numFmtId="0" fontId="42" fillId="31" borderId="7" xfId="0" applyFont="1" applyFill="1" applyBorder="1" applyAlignment="1">
      <alignment horizontal="center" vertical="center"/>
    </xf>
    <xf numFmtId="0" fontId="51" fillId="33" borderId="7" xfId="0" applyFont="1" applyFill="1" applyBorder="1" applyAlignment="1">
      <alignment horizontal="left" vertical="center"/>
    </xf>
    <xf numFmtId="0" fontId="51" fillId="33" borderId="7" xfId="0" applyFont="1" applyFill="1" applyBorder="1" applyAlignment="1">
      <alignment horizontal="center" vertical="center"/>
    </xf>
    <xf numFmtId="9" fontId="51" fillId="33" borderId="7" xfId="0" applyNumberFormat="1" applyFont="1" applyFill="1" applyBorder="1" applyAlignment="1">
      <alignment horizontal="center" vertical="center"/>
    </xf>
    <xf numFmtId="9" fontId="42" fillId="33" borderId="7" xfId="0" applyNumberFormat="1" applyFont="1" applyFill="1" applyBorder="1" applyAlignment="1">
      <alignment horizontal="center" vertical="center"/>
    </xf>
    <xf numFmtId="0" fontId="45" fillId="5" borderId="7" xfId="0" applyFont="1" applyFill="1" applyBorder="1" applyAlignment="1">
      <alignment horizontal="center" vertical="center" wrapText="1"/>
    </xf>
    <xf numFmtId="0" fontId="42" fillId="9" borderId="7" xfId="0" applyFont="1" applyFill="1" applyBorder="1" applyAlignment="1">
      <alignment horizontal="center" vertical="center"/>
    </xf>
    <xf numFmtId="0" fontId="5" fillId="2" borderId="1" xfId="0" applyFont="1" applyFill="1" applyBorder="1" applyAlignment="1">
      <alignment horizontal="left" vertical="top" wrapText="1" readingOrder="1"/>
    </xf>
    <xf numFmtId="0" fontId="9" fillId="2" borderId="1" xfId="0" applyFont="1" applyFill="1" applyBorder="1" applyAlignment="1">
      <alignment horizontal="left" vertical="top" wrapText="1" readingOrder="1"/>
    </xf>
    <xf numFmtId="0" fontId="15" fillId="34" borderId="1" xfId="0" applyFont="1" applyFill="1" applyBorder="1" applyAlignment="1">
      <alignment horizontal="left" vertical="top" wrapText="1" readingOrder="1"/>
    </xf>
    <xf numFmtId="178" fontId="5" fillId="35" borderId="1" xfId="0" applyNumberFormat="1" applyFont="1" applyFill="1" applyBorder="1" applyAlignment="1">
      <alignment horizontal="left" vertical="top" wrapText="1" readingOrder="1"/>
    </xf>
    <xf numFmtId="178" fontId="15" fillId="36" borderId="1" xfId="0" applyNumberFormat="1" applyFont="1" applyFill="1" applyBorder="1" applyAlignment="1">
      <alignment horizontal="left" vertical="top" wrapText="1" readingOrder="1"/>
    </xf>
    <xf numFmtId="178" fontId="15" fillId="37" borderId="1" xfId="0" applyNumberFormat="1" applyFont="1" applyFill="1" applyBorder="1" applyAlignment="1">
      <alignment horizontal="left" vertical="top" readingOrder="1"/>
    </xf>
    <xf numFmtId="178" fontId="15" fillId="37" borderId="1" xfId="0" applyNumberFormat="1" applyFont="1" applyFill="1" applyBorder="1" applyAlignment="1">
      <alignment horizontal="left" vertical="top" wrapText="1" readingOrder="1"/>
    </xf>
    <xf numFmtId="0" fontId="5" fillId="2" borderId="1" xfId="0" applyFont="1" applyFill="1" applyBorder="1" applyAlignment="1">
      <alignment vertical="top"/>
    </xf>
    <xf numFmtId="0" fontId="9" fillId="0" borderId="1" xfId="0" applyFont="1" applyBorder="1" applyAlignment="1">
      <alignment horizontal="left" vertical="top" wrapText="1" readingOrder="1"/>
    </xf>
    <xf numFmtId="178" fontId="9" fillId="0" borderId="1" xfId="0" applyNumberFormat="1" applyFont="1" applyBorder="1" applyAlignment="1">
      <alignment horizontal="right" vertical="top" wrapText="1" readingOrder="1"/>
    </xf>
    <xf numFmtId="178" fontId="9" fillId="0" borderId="1" xfId="0" applyNumberFormat="1" applyFont="1" applyBorder="1" applyAlignment="1">
      <alignment horizontal="left" vertical="top" readingOrder="1"/>
    </xf>
    <xf numFmtId="0" fontId="9" fillId="0" borderId="1" xfId="0" applyFont="1" applyBorder="1"/>
    <xf numFmtId="0" fontId="9" fillId="0" borderId="0" xfId="0" applyFont="1"/>
    <xf numFmtId="0" fontId="9" fillId="6" borderId="1" xfId="0" applyFont="1" applyFill="1" applyBorder="1" applyAlignment="1">
      <alignment horizontal="left" vertical="top" wrapText="1" readingOrder="1"/>
    </xf>
    <xf numFmtId="178" fontId="9" fillId="0" borderId="1" xfId="0" applyNumberFormat="1" applyFont="1" applyBorder="1" applyAlignment="1">
      <alignment horizontal="left" vertical="top" wrapText="1" readingOrder="1"/>
    </xf>
    <xf numFmtId="0" fontId="9" fillId="0" borderId="1" xfId="0" applyFont="1" applyBorder="1" applyAlignment="1">
      <alignment vertical="top" wrapText="1"/>
    </xf>
    <xf numFmtId="0" fontId="52" fillId="0" borderId="1" xfId="0" applyFont="1" applyBorder="1" applyAlignment="1">
      <alignment horizontal="left" vertical="top" wrapText="1" readingOrder="1"/>
    </xf>
    <xf numFmtId="0" fontId="9" fillId="0" borderId="1" xfId="0" applyFont="1" applyBorder="1" applyAlignment="1">
      <alignment vertical="top"/>
    </xf>
    <xf numFmtId="0" fontId="9" fillId="0" borderId="1" xfId="0" applyFont="1" applyBorder="1" applyAlignment="1">
      <alignment horizontal="left" vertical="top" readingOrder="1"/>
    </xf>
    <xf numFmtId="179" fontId="9" fillId="0" borderId="1" xfId="0" applyNumberFormat="1" applyFont="1" applyBorder="1" applyAlignment="1">
      <alignment horizontal="right" vertical="top" wrapText="1" readingOrder="1"/>
    </xf>
    <xf numFmtId="0" fontId="53" fillId="6" borderId="1" xfId="0" applyFont="1" applyFill="1" applyBorder="1" applyAlignment="1">
      <alignment horizontal="left" vertical="top" wrapText="1" readingOrder="1"/>
    </xf>
    <xf numFmtId="0" fontId="54" fillId="6" borderId="1" xfId="0" applyFont="1" applyFill="1" applyBorder="1" applyAlignment="1">
      <alignment vertical="top" wrapText="1"/>
    </xf>
    <xf numFmtId="0" fontId="53" fillId="6" borderId="1" xfId="0" applyFont="1" applyFill="1" applyBorder="1" applyAlignment="1">
      <alignment vertical="top" wrapText="1"/>
    </xf>
    <xf numFmtId="0" fontId="9" fillId="6" borderId="1" xfId="0" applyFont="1" applyFill="1" applyBorder="1" applyAlignment="1">
      <alignment vertical="top" wrapText="1"/>
    </xf>
    <xf numFmtId="0" fontId="9" fillId="0" borderId="2" xfId="0" applyFont="1" applyBorder="1" applyAlignment="1">
      <alignment horizontal="left" vertical="top" wrapText="1" readingOrder="1"/>
    </xf>
    <xf numFmtId="0" fontId="9" fillId="0" borderId="1" xfId="0" applyFont="1" applyBorder="1" applyAlignment="1">
      <alignment horizontal="left" vertical="top" wrapText="1"/>
    </xf>
    <xf numFmtId="0" fontId="9" fillId="0" borderId="0" xfId="0" applyFont="1" applyAlignment="1">
      <alignment horizontal="left" vertical="top" wrapText="1" readingOrder="1"/>
    </xf>
    <xf numFmtId="178" fontId="9" fillId="0" borderId="0" xfId="0" applyNumberFormat="1" applyFont="1" applyAlignment="1">
      <alignment horizontal="left" vertical="top" wrapText="1" readingOrder="1"/>
    </xf>
    <xf numFmtId="178" fontId="9" fillId="0" borderId="0" xfId="0" applyNumberFormat="1" applyFont="1" applyAlignment="1">
      <alignment horizontal="left" vertical="top" readingOrder="1"/>
    </xf>
    <xf numFmtId="0" fontId="9" fillId="0" borderId="0" xfId="0" applyFont="1" applyAlignment="1">
      <alignment horizontal="left" wrapText="1" readingOrder="1"/>
    </xf>
    <xf numFmtId="178" fontId="9" fillId="0" borderId="0" xfId="0" applyNumberFormat="1" applyFont="1" applyAlignment="1">
      <alignment horizontal="left" wrapText="1" readingOrder="1"/>
    </xf>
    <xf numFmtId="178" fontId="9" fillId="0" borderId="0" xfId="0" applyNumberFormat="1" applyFont="1" applyAlignment="1">
      <alignment horizontal="left" readingOrder="1"/>
    </xf>
    <xf numFmtId="0" fontId="9" fillId="0" borderId="0" xfId="0" applyFont="1" applyAlignment="1">
      <alignment wrapText="1"/>
    </xf>
    <xf numFmtId="178" fontId="9" fillId="0" borderId="0" xfId="0" applyNumberFormat="1" applyFont="1"/>
    <xf numFmtId="178" fontId="9" fillId="0" borderId="0" xfId="0" applyNumberFormat="1"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Z1002"/>
  <sheetViews>
    <sheetView showGridLines="0" tabSelected="1" workbookViewId="0">
      <pane ySplit="1" topLeftCell="A2" activePane="bottomLeft" state="frozen"/>
      <selection/>
      <selection pane="bottomLeft" activeCell="A2" sqref="A2"/>
    </sheetView>
  </sheetViews>
  <sheetFormatPr defaultColWidth="14.4296875" defaultRowHeight="16.8"/>
  <cols>
    <col min="1" max="1" width="21.5703125" customWidth="1"/>
    <col min="2" max="2" width="22.140625" customWidth="1"/>
    <col min="3" max="3" width="64.7109375" customWidth="1"/>
    <col min="4" max="4" width="10.7109375" customWidth="1"/>
    <col min="5" max="5" width="10.859375" customWidth="1"/>
    <col min="6" max="6" width="10.7109375" customWidth="1"/>
    <col min="7" max="7" width="20.4296875" customWidth="1"/>
    <col min="8" max="8" width="13.7109375" customWidth="1"/>
    <col min="9" max="9" width="12.4296875" customWidth="1"/>
    <col min="10" max="10" width="10.7109375" customWidth="1"/>
    <col min="11" max="11" width="13" customWidth="1"/>
    <col min="12" max="12" width="12.2890625" customWidth="1"/>
    <col min="13" max="13" width="13.2890625" customWidth="1"/>
    <col min="14" max="14" width="18.859375" customWidth="1"/>
    <col min="15" max="15" width="33.140625" customWidth="1"/>
  </cols>
  <sheetData>
    <row r="1" spans="1:26">
      <c r="A1" s="141" t="s">
        <v>0</v>
      </c>
      <c r="B1" s="141" t="s">
        <v>1</v>
      </c>
      <c r="C1" s="141" t="s">
        <v>2</v>
      </c>
      <c r="D1" s="142" t="s">
        <v>3</v>
      </c>
      <c r="E1" s="141" t="s">
        <v>4</v>
      </c>
      <c r="F1" s="143" t="s">
        <v>5</v>
      </c>
      <c r="G1" s="143" t="s">
        <v>6</v>
      </c>
      <c r="H1" s="144" t="s">
        <v>7</v>
      </c>
      <c r="I1" s="145" t="s">
        <v>8</v>
      </c>
      <c r="J1" s="146" t="s">
        <v>9</v>
      </c>
      <c r="K1" s="147" t="s">
        <v>10</v>
      </c>
      <c r="L1" s="147" t="s">
        <v>11</v>
      </c>
      <c r="M1" s="143" t="s">
        <v>12</v>
      </c>
      <c r="N1" s="148" t="s">
        <v>13</v>
      </c>
      <c r="O1" s="37"/>
      <c r="P1" s="37"/>
      <c r="Q1" s="37"/>
      <c r="R1" s="37"/>
      <c r="S1" s="37"/>
      <c r="T1" s="37"/>
      <c r="U1" s="37"/>
      <c r="V1" s="37"/>
      <c r="W1" s="37"/>
      <c r="X1" s="37"/>
      <c r="Y1" s="37"/>
      <c r="Z1" s="37"/>
    </row>
    <row r="2" spans="1:26">
      <c r="A2" s="149" t="s">
        <v>14</v>
      </c>
      <c r="B2" s="149" t="s">
        <v>15</v>
      </c>
      <c r="C2" s="149"/>
      <c r="D2" s="149" t="s">
        <v>16</v>
      </c>
      <c r="E2" s="149" t="s">
        <v>17</v>
      </c>
      <c r="F2" s="149" t="s">
        <v>18</v>
      </c>
      <c r="G2" s="149"/>
      <c r="H2" s="150">
        <v>45869</v>
      </c>
      <c r="I2" s="150">
        <v>46188</v>
      </c>
      <c r="J2" s="151"/>
      <c r="K2" s="150"/>
      <c r="L2" s="150"/>
      <c r="M2" s="149"/>
      <c r="N2" s="152"/>
      <c r="O2" s="153"/>
      <c r="P2" s="153"/>
      <c r="Q2" s="153"/>
      <c r="R2" s="153"/>
      <c r="S2" s="153"/>
      <c r="T2" s="153"/>
      <c r="U2" s="153"/>
      <c r="V2" s="153"/>
      <c r="W2" s="153"/>
      <c r="X2" s="153"/>
      <c r="Y2" s="153"/>
      <c r="Z2" s="153"/>
    </row>
    <row r="3" spans="1:26">
      <c r="A3" s="149" t="s">
        <v>14</v>
      </c>
      <c r="B3" s="149" t="s">
        <v>19</v>
      </c>
      <c r="C3" s="149"/>
      <c r="D3" s="149" t="s">
        <v>16</v>
      </c>
      <c r="E3" s="149" t="s">
        <v>17</v>
      </c>
      <c r="F3" s="149" t="s">
        <v>18</v>
      </c>
      <c r="G3" s="149"/>
      <c r="H3" s="150">
        <v>45869</v>
      </c>
      <c r="I3" s="150">
        <v>46142</v>
      </c>
      <c r="J3" s="151"/>
      <c r="K3" s="150"/>
      <c r="L3" s="150"/>
      <c r="M3" s="149"/>
      <c r="N3" s="152"/>
      <c r="O3" s="153"/>
      <c r="P3" s="153"/>
      <c r="Q3" s="153"/>
      <c r="R3" s="153"/>
      <c r="S3" s="153"/>
      <c r="T3" s="153"/>
      <c r="U3" s="153"/>
      <c r="V3" s="153"/>
      <c r="W3" s="153"/>
      <c r="X3" s="153"/>
      <c r="Y3" s="153"/>
      <c r="Z3" s="153"/>
    </row>
    <row r="4" spans="1:26">
      <c r="A4" s="149" t="s">
        <v>14</v>
      </c>
      <c r="B4" s="149" t="s">
        <v>20</v>
      </c>
      <c r="C4" s="149"/>
      <c r="D4" s="149" t="s">
        <v>16</v>
      </c>
      <c r="E4" s="149" t="s">
        <v>17</v>
      </c>
      <c r="F4" s="149" t="s">
        <v>18</v>
      </c>
      <c r="G4" s="149"/>
      <c r="H4" s="150">
        <v>45869</v>
      </c>
      <c r="I4" s="150">
        <v>46172</v>
      </c>
      <c r="J4" s="151"/>
      <c r="K4" s="150"/>
      <c r="L4" s="150"/>
      <c r="M4" s="149"/>
      <c r="N4" s="152" t="s">
        <v>21</v>
      </c>
      <c r="O4" s="153"/>
      <c r="P4" s="153"/>
      <c r="Q4" s="153"/>
      <c r="R4" s="153"/>
      <c r="S4" s="153"/>
      <c r="T4" s="153"/>
      <c r="U4" s="153"/>
      <c r="V4" s="153"/>
      <c r="W4" s="153"/>
      <c r="X4" s="153"/>
      <c r="Y4" s="153"/>
      <c r="Z4" s="153"/>
    </row>
    <row r="5" ht="29" spans="1:26">
      <c r="A5" s="149" t="s">
        <v>14</v>
      </c>
      <c r="B5" s="149" t="s">
        <v>22</v>
      </c>
      <c r="C5" s="149"/>
      <c r="D5" s="149" t="s">
        <v>16</v>
      </c>
      <c r="E5" s="149" t="s">
        <v>17</v>
      </c>
      <c r="F5" s="149" t="s">
        <v>18</v>
      </c>
      <c r="G5" s="149"/>
      <c r="H5" s="150">
        <v>45869</v>
      </c>
      <c r="I5" s="150">
        <v>46172</v>
      </c>
      <c r="J5" s="151"/>
      <c r="K5" s="150"/>
      <c r="L5" s="150"/>
      <c r="M5" s="149"/>
      <c r="N5" s="152" t="s">
        <v>21</v>
      </c>
      <c r="O5" s="153"/>
      <c r="P5" s="153"/>
      <c r="Q5" s="153"/>
      <c r="R5" s="153"/>
      <c r="S5" s="153"/>
      <c r="T5" s="153"/>
      <c r="U5" s="153"/>
      <c r="V5" s="153"/>
      <c r="W5" s="153"/>
      <c r="X5" s="153"/>
      <c r="Y5" s="153"/>
      <c r="Z5" s="153"/>
    </row>
    <row r="6" spans="1:26">
      <c r="A6" s="149" t="s">
        <v>14</v>
      </c>
      <c r="B6" s="149" t="s">
        <v>23</v>
      </c>
      <c r="C6" s="149"/>
      <c r="D6" s="149" t="s">
        <v>16</v>
      </c>
      <c r="E6" s="149" t="s">
        <v>17</v>
      </c>
      <c r="F6" s="149" t="s">
        <v>18</v>
      </c>
      <c r="G6" s="149"/>
      <c r="H6" s="150">
        <v>45869</v>
      </c>
      <c r="I6" s="150">
        <v>46172</v>
      </c>
      <c r="J6" s="151"/>
      <c r="K6" s="150"/>
      <c r="L6" s="150"/>
      <c r="M6" s="149"/>
      <c r="N6" s="152"/>
      <c r="O6" s="153"/>
      <c r="P6" s="153"/>
      <c r="Q6" s="153"/>
      <c r="R6" s="153"/>
      <c r="S6" s="153"/>
      <c r="T6" s="153"/>
      <c r="U6" s="153"/>
      <c r="V6" s="153"/>
      <c r="W6" s="153"/>
      <c r="X6" s="153"/>
      <c r="Y6" s="153"/>
      <c r="Z6" s="153"/>
    </row>
    <row r="7" ht="29" spans="1:26">
      <c r="A7" s="149" t="s">
        <v>14</v>
      </c>
      <c r="B7" s="149" t="s">
        <v>24</v>
      </c>
      <c r="C7" s="149"/>
      <c r="D7" s="149" t="s">
        <v>16</v>
      </c>
      <c r="E7" s="149" t="s">
        <v>17</v>
      </c>
      <c r="F7" s="149" t="s">
        <v>18</v>
      </c>
      <c r="G7" s="149"/>
      <c r="H7" s="150">
        <v>45869</v>
      </c>
      <c r="I7" s="150">
        <v>46172</v>
      </c>
      <c r="J7" s="151"/>
      <c r="K7" s="150"/>
      <c r="L7" s="150"/>
      <c r="M7" s="149"/>
      <c r="N7" s="152"/>
      <c r="O7" s="153"/>
      <c r="P7" s="153"/>
      <c r="Q7" s="153"/>
      <c r="R7" s="153"/>
      <c r="S7" s="153"/>
      <c r="T7" s="153"/>
      <c r="U7" s="153"/>
      <c r="V7" s="153"/>
      <c r="W7" s="153"/>
      <c r="X7" s="153"/>
      <c r="Y7" s="153"/>
      <c r="Z7" s="153"/>
    </row>
    <row r="8" spans="1:26">
      <c r="A8" s="149" t="s">
        <v>14</v>
      </c>
      <c r="B8" s="149" t="s">
        <v>25</v>
      </c>
      <c r="C8" s="149"/>
      <c r="D8" s="149" t="s">
        <v>16</v>
      </c>
      <c r="E8" s="149" t="s">
        <v>17</v>
      </c>
      <c r="F8" s="149" t="s">
        <v>26</v>
      </c>
      <c r="G8" s="149"/>
      <c r="H8" s="150">
        <v>45869</v>
      </c>
      <c r="I8" s="150">
        <v>46241</v>
      </c>
      <c r="J8" s="151"/>
      <c r="K8" s="150"/>
      <c r="L8" s="150"/>
      <c r="M8" s="149"/>
      <c r="N8" s="152"/>
      <c r="O8" s="153"/>
      <c r="P8" s="153"/>
      <c r="Q8" s="153"/>
      <c r="R8" s="153"/>
      <c r="S8" s="153"/>
      <c r="T8" s="153"/>
      <c r="U8" s="153"/>
      <c r="V8" s="153"/>
      <c r="W8" s="153"/>
      <c r="X8" s="153"/>
      <c r="Y8" s="153"/>
      <c r="Z8" s="153"/>
    </row>
    <row r="9" spans="1:26">
      <c r="A9" s="149" t="s">
        <v>14</v>
      </c>
      <c r="B9" s="149" t="s">
        <v>27</v>
      </c>
      <c r="C9" s="149"/>
      <c r="D9" s="149" t="s">
        <v>16</v>
      </c>
      <c r="E9" s="149" t="s">
        <v>17</v>
      </c>
      <c r="F9" s="149" t="s">
        <v>26</v>
      </c>
      <c r="G9" s="149"/>
      <c r="H9" s="150">
        <v>45869</v>
      </c>
      <c r="I9" s="150">
        <v>46241</v>
      </c>
      <c r="J9" s="151"/>
      <c r="K9" s="150"/>
      <c r="L9" s="150"/>
      <c r="M9" s="149"/>
      <c r="N9" s="152"/>
      <c r="O9" s="153"/>
      <c r="P9" s="153"/>
      <c r="Q9" s="153"/>
      <c r="R9" s="153"/>
      <c r="S9" s="153"/>
      <c r="T9" s="153"/>
      <c r="U9" s="153"/>
      <c r="V9" s="153"/>
      <c r="W9" s="153"/>
      <c r="X9" s="153"/>
      <c r="Y9" s="153"/>
      <c r="Z9" s="153"/>
    </row>
    <row r="10" spans="1:26">
      <c r="A10" s="149" t="s">
        <v>14</v>
      </c>
      <c r="B10" s="149" t="s">
        <v>28</v>
      </c>
      <c r="C10" s="149"/>
      <c r="D10" s="149" t="s">
        <v>16</v>
      </c>
      <c r="E10" s="149" t="s">
        <v>17</v>
      </c>
      <c r="F10" s="149" t="s">
        <v>26</v>
      </c>
      <c r="G10" s="149"/>
      <c r="H10" s="150">
        <v>45869</v>
      </c>
      <c r="I10" s="150">
        <v>46241</v>
      </c>
      <c r="J10" s="151"/>
      <c r="K10" s="150"/>
      <c r="L10" s="150"/>
      <c r="M10" s="149"/>
      <c r="N10" s="152"/>
      <c r="O10" s="153"/>
      <c r="P10" s="153"/>
      <c r="Q10" s="153"/>
      <c r="R10" s="153"/>
      <c r="S10" s="153"/>
      <c r="T10" s="153"/>
      <c r="U10" s="153"/>
      <c r="V10" s="153"/>
      <c r="W10" s="153"/>
      <c r="X10" s="153"/>
      <c r="Y10" s="153"/>
      <c r="Z10" s="153"/>
    </row>
    <row r="11" spans="1:26">
      <c r="A11" s="149" t="s">
        <v>14</v>
      </c>
      <c r="B11" s="149" t="s">
        <v>29</v>
      </c>
      <c r="C11" s="149"/>
      <c r="D11" s="149" t="s">
        <v>16</v>
      </c>
      <c r="E11" s="149" t="s">
        <v>17</v>
      </c>
      <c r="F11" s="149" t="s">
        <v>30</v>
      </c>
      <c r="G11" s="149"/>
      <c r="H11" s="150">
        <v>45869</v>
      </c>
      <c r="I11" s="150">
        <v>46241</v>
      </c>
      <c r="J11" s="151"/>
      <c r="K11" s="150"/>
      <c r="L11" s="150"/>
      <c r="M11" s="149"/>
      <c r="N11" s="152"/>
      <c r="O11" s="153"/>
      <c r="P11" s="153"/>
      <c r="Q11" s="153"/>
      <c r="R11" s="153"/>
      <c r="S11" s="153"/>
      <c r="T11" s="153"/>
      <c r="U11" s="153"/>
      <c r="V11" s="153"/>
      <c r="W11" s="153"/>
      <c r="X11" s="153"/>
      <c r="Y11" s="153"/>
      <c r="Z11" s="153"/>
    </row>
    <row r="12" ht="29" spans="1:26">
      <c r="A12" s="149" t="s">
        <v>14</v>
      </c>
      <c r="B12" s="149" t="s">
        <v>31</v>
      </c>
      <c r="C12" s="149"/>
      <c r="D12" s="149" t="s">
        <v>16</v>
      </c>
      <c r="E12" s="149" t="s">
        <v>17</v>
      </c>
      <c r="F12" s="149" t="s">
        <v>26</v>
      </c>
      <c r="G12" s="149"/>
      <c r="H12" s="150">
        <v>45869</v>
      </c>
      <c r="I12" s="150">
        <v>46241</v>
      </c>
      <c r="J12" s="151"/>
      <c r="K12" s="150"/>
      <c r="L12" s="150"/>
      <c r="M12" s="149"/>
      <c r="N12" s="152"/>
      <c r="O12" s="153"/>
      <c r="P12" s="153"/>
      <c r="Q12" s="153"/>
      <c r="R12" s="153"/>
      <c r="S12" s="153"/>
      <c r="T12" s="153"/>
      <c r="U12" s="153"/>
      <c r="V12" s="153"/>
      <c r="W12" s="153"/>
      <c r="X12" s="153"/>
      <c r="Y12" s="153"/>
      <c r="Z12" s="153"/>
    </row>
    <row r="13" spans="1:26">
      <c r="A13" s="149" t="s">
        <v>14</v>
      </c>
      <c r="B13" s="149" t="s">
        <v>32</v>
      </c>
      <c r="C13" s="149"/>
      <c r="D13" s="149" t="s">
        <v>16</v>
      </c>
      <c r="E13" s="149" t="s">
        <v>17</v>
      </c>
      <c r="F13" s="149" t="s">
        <v>26</v>
      </c>
      <c r="G13" s="149"/>
      <c r="H13" s="150">
        <v>45869</v>
      </c>
      <c r="I13" s="150">
        <v>46241</v>
      </c>
      <c r="J13" s="151"/>
      <c r="K13" s="150"/>
      <c r="L13" s="150"/>
      <c r="M13" s="149"/>
      <c r="N13" s="152" t="s">
        <v>21</v>
      </c>
      <c r="O13" s="153"/>
      <c r="P13" s="153"/>
      <c r="Q13" s="153"/>
      <c r="R13" s="153"/>
      <c r="S13" s="153"/>
      <c r="T13" s="153"/>
      <c r="U13" s="153"/>
      <c r="V13" s="153"/>
      <c r="W13" s="153"/>
      <c r="X13" s="153"/>
      <c r="Y13" s="153"/>
      <c r="Z13" s="153"/>
    </row>
    <row r="14" spans="1:26">
      <c r="A14" s="149" t="s">
        <v>14</v>
      </c>
      <c r="B14" s="149" t="s">
        <v>33</v>
      </c>
      <c r="C14" s="149"/>
      <c r="D14" s="149" t="s">
        <v>16</v>
      </c>
      <c r="E14" s="149" t="s">
        <v>17</v>
      </c>
      <c r="F14" s="149" t="s">
        <v>26</v>
      </c>
      <c r="G14" s="149"/>
      <c r="H14" s="150">
        <v>45869</v>
      </c>
      <c r="I14" s="150">
        <v>46241</v>
      </c>
      <c r="J14" s="151"/>
      <c r="K14" s="150"/>
      <c r="L14" s="150"/>
      <c r="M14" s="149"/>
      <c r="N14" s="152" t="s">
        <v>21</v>
      </c>
      <c r="O14" s="153"/>
      <c r="P14" s="153"/>
      <c r="Q14" s="153"/>
      <c r="R14" s="153"/>
      <c r="S14" s="153"/>
      <c r="T14" s="153"/>
      <c r="U14" s="153"/>
      <c r="V14" s="153"/>
      <c r="W14" s="153"/>
      <c r="X14" s="153"/>
      <c r="Y14" s="153"/>
      <c r="Z14" s="153"/>
    </row>
    <row r="15" spans="1:26">
      <c r="A15" s="149" t="s">
        <v>14</v>
      </c>
      <c r="B15" s="149" t="s">
        <v>34</v>
      </c>
      <c r="C15" s="149"/>
      <c r="D15" s="149" t="s">
        <v>16</v>
      </c>
      <c r="E15" s="149" t="s">
        <v>17</v>
      </c>
      <c r="F15" s="149" t="s">
        <v>35</v>
      </c>
      <c r="G15" s="149"/>
      <c r="H15" s="150">
        <v>45869</v>
      </c>
      <c r="I15" s="150">
        <v>46241</v>
      </c>
      <c r="J15" s="151"/>
      <c r="K15" s="150"/>
      <c r="L15" s="150"/>
      <c r="M15" s="149" t="s">
        <v>36</v>
      </c>
      <c r="N15" s="152"/>
      <c r="O15" s="153"/>
      <c r="P15" s="153"/>
      <c r="Q15" s="153"/>
      <c r="R15" s="153"/>
      <c r="S15" s="153"/>
      <c r="T15" s="153"/>
      <c r="U15" s="153"/>
      <c r="V15" s="153"/>
      <c r="W15" s="153"/>
      <c r="X15" s="153"/>
      <c r="Y15" s="153"/>
      <c r="Z15" s="153"/>
    </row>
    <row r="16" spans="1:26">
      <c r="A16" s="149" t="s">
        <v>14</v>
      </c>
      <c r="B16" s="149" t="s">
        <v>37</v>
      </c>
      <c r="C16" s="149"/>
      <c r="D16" s="149" t="s">
        <v>16</v>
      </c>
      <c r="E16" s="149" t="s">
        <v>17</v>
      </c>
      <c r="F16" s="149" t="s">
        <v>38</v>
      </c>
      <c r="G16" s="149"/>
      <c r="H16" s="150">
        <v>45869</v>
      </c>
      <c r="I16" s="150">
        <v>46241</v>
      </c>
      <c r="J16" s="151"/>
      <c r="K16" s="150"/>
      <c r="L16" s="150"/>
      <c r="M16" s="149"/>
      <c r="N16" s="152" t="s">
        <v>21</v>
      </c>
      <c r="O16" s="153"/>
      <c r="P16" s="153"/>
      <c r="Q16" s="153"/>
      <c r="R16" s="153"/>
      <c r="S16" s="153"/>
      <c r="T16" s="153"/>
      <c r="U16" s="153"/>
      <c r="V16" s="153"/>
      <c r="W16" s="153"/>
      <c r="X16" s="153"/>
      <c r="Y16" s="153"/>
      <c r="Z16" s="153"/>
    </row>
    <row r="17" spans="1:26">
      <c r="A17" s="149" t="s">
        <v>14</v>
      </c>
      <c r="B17" s="149" t="s">
        <v>39</v>
      </c>
      <c r="C17" s="149"/>
      <c r="D17" s="149" t="s">
        <v>16</v>
      </c>
      <c r="E17" s="149" t="s">
        <v>17</v>
      </c>
      <c r="F17" s="149" t="s">
        <v>26</v>
      </c>
      <c r="G17" s="149"/>
      <c r="H17" s="150">
        <v>45869</v>
      </c>
      <c r="I17" s="150">
        <v>46241</v>
      </c>
      <c r="J17" s="151"/>
      <c r="K17" s="150"/>
      <c r="L17" s="150"/>
      <c r="M17" s="149"/>
      <c r="N17" s="152" t="s">
        <v>21</v>
      </c>
      <c r="O17" s="153"/>
      <c r="P17" s="153"/>
      <c r="Q17" s="153"/>
      <c r="R17" s="153"/>
      <c r="S17" s="153"/>
      <c r="T17" s="153"/>
      <c r="U17" s="153"/>
      <c r="V17" s="153"/>
      <c r="W17" s="153"/>
      <c r="X17" s="153"/>
      <c r="Y17" s="153"/>
      <c r="Z17" s="153"/>
    </row>
    <row r="18" spans="1:26">
      <c r="A18" s="149" t="s">
        <v>14</v>
      </c>
      <c r="B18" s="149" t="s">
        <v>40</v>
      </c>
      <c r="C18" s="149"/>
      <c r="D18" s="149" t="s">
        <v>16</v>
      </c>
      <c r="E18" s="149" t="s">
        <v>17</v>
      </c>
      <c r="F18" s="149" t="s">
        <v>41</v>
      </c>
      <c r="G18" s="149"/>
      <c r="H18" s="150">
        <v>45869</v>
      </c>
      <c r="I18" s="150">
        <v>46241</v>
      </c>
      <c r="J18" s="151"/>
      <c r="K18" s="150"/>
      <c r="L18" s="150"/>
      <c r="M18" s="149" t="s">
        <v>36</v>
      </c>
      <c r="N18" s="152"/>
      <c r="O18" s="153"/>
      <c r="P18" s="153"/>
      <c r="Q18" s="153"/>
      <c r="R18" s="153"/>
      <c r="S18" s="153"/>
      <c r="T18" s="153"/>
      <c r="U18" s="153"/>
      <c r="V18" s="153"/>
      <c r="W18" s="153"/>
      <c r="X18" s="153"/>
      <c r="Y18" s="153"/>
      <c r="Z18" s="153"/>
    </row>
    <row r="19" spans="1:26">
      <c r="A19" s="154" t="s">
        <v>42</v>
      </c>
      <c r="B19" s="154" t="s">
        <v>43</v>
      </c>
      <c r="C19" s="149" t="s">
        <v>44</v>
      </c>
      <c r="D19" s="149" t="s">
        <v>45</v>
      </c>
      <c r="E19" s="149" t="s">
        <v>46</v>
      </c>
      <c r="F19" s="149" t="s">
        <v>18</v>
      </c>
      <c r="G19" s="149"/>
      <c r="H19" s="150">
        <v>45717</v>
      </c>
      <c r="I19" s="155"/>
      <c r="J19" s="151"/>
      <c r="K19" s="155"/>
      <c r="L19" s="155"/>
      <c r="M19" s="149"/>
      <c r="N19" s="152" t="s">
        <v>47</v>
      </c>
      <c r="O19" s="153"/>
      <c r="P19" s="153"/>
      <c r="Q19" s="153"/>
      <c r="R19" s="153"/>
      <c r="S19" s="153"/>
      <c r="T19" s="153"/>
      <c r="U19" s="153"/>
      <c r="V19" s="153"/>
      <c r="W19" s="153"/>
      <c r="X19" s="153"/>
      <c r="Y19" s="153"/>
      <c r="Z19" s="153"/>
    </row>
    <row r="20" spans="1:26">
      <c r="A20" s="154" t="s">
        <v>42</v>
      </c>
      <c r="B20" s="154" t="s">
        <v>48</v>
      </c>
      <c r="C20" s="149" t="s">
        <v>49</v>
      </c>
      <c r="D20" s="149" t="s">
        <v>45</v>
      </c>
      <c r="E20" s="149" t="s">
        <v>46</v>
      </c>
      <c r="F20" s="149" t="s">
        <v>18</v>
      </c>
      <c r="G20" s="149"/>
      <c r="H20" s="150">
        <v>45717</v>
      </c>
      <c r="I20" s="155"/>
      <c r="J20" s="151"/>
      <c r="K20" s="155"/>
      <c r="L20" s="155"/>
      <c r="M20" s="149"/>
      <c r="N20" s="152" t="s">
        <v>50</v>
      </c>
      <c r="O20" s="153"/>
      <c r="P20" s="153"/>
      <c r="Q20" s="153"/>
      <c r="R20" s="153"/>
      <c r="S20" s="153"/>
      <c r="T20" s="153"/>
      <c r="U20" s="153"/>
      <c r="V20" s="153"/>
      <c r="W20" s="153"/>
      <c r="X20" s="153"/>
      <c r="Y20" s="153"/>
      <c r="Z20" s="153"/>
    </row>
    <row r="21" spans="1:26">
      <c r="A21" s="154" t="s">
        <v>42</v>
      </c>
      <c r="B21" s="154" t="s">
        <v>51</v>
      </c>
      <c r="C21" s="149" t="s">
        <v>52</v>
      </c>
      <c r="D21" s="149" t="s">
        <v>45</v>
      </c>
      <c r="E21" s="149" t="s">
        <v>46</v>
      </c>
      <c r="F21" s="149" t="s">
        <v>18</v>
      </c>
      <c r="G21" s="149"/>
      <c r="H21" s="150">
        <v>45717</v>
      </c>
      <c r="I21" s="155"/>
      <c r="J21" s="151"/>
      <c r="K21" s="155"/>
      <c r="L21" s="155"/>
      <c r="M21" s="149"/>
      <c r="N21" s="152"/>
      <c r="O21" s="153"/>
      <c r="P21" s="153"/>
      <c r="Q21" s="153"/>
      <c r="R21" s="153"/>
      <c r="S21" s="153"/>
      <c r="T21" s="153"/>
      <c r="U21" s="153"/>
      <c r="V21" s="153"/>
      <c r="W21" s="153"/>
      <c r="X21" s="153"/>
      <c r="Y21" s="153"/>
      <c r="Z21" s="153"/>
    </row>
    <row r="22" ht="44" spans="1:26">
      <c r="A22" s="154" t="s">
        <v>42</v>
      </c>
      <c r="B22" s="149" t="s">
        <v>53</v>
      </c>
      <c r="C22" s="156" t="s">
        <v>54</v>
      </c>
      <c r="D22" s="149" t="s">
        <v>45</v>
      </c>
      <c r="E22" s="149" t="s">
        <v>46</v>
      </c>
      <c r="F22" s="149" t="s">
        <v>18</v>
      </c>
      <c r="G22" s="149"/>
      <c r="H22" s="150">
        <v>45717</v>
      </c>
      <c r="I22" s="155"/>
      <c r="J22" s="151"/>
      <c r="K22" s="155"/>
      <c r="L22" s="155"/>
      <c r="M22" s="149"/>
      <c r="N22" s="152" t="s">
        <v>55</v>
      </c>
      <c r="O22" s="153"/>
      <c r="P22" s="153"/>
      <c r="Q22" s="153"/>
      <c r="R22" s="153"/>
      <c r="S22" s="153"/>
      <c r="T22" s="153"/>
      <c r="U22" s="153"/>
      <c r="V22" s="153"/>
      <c r="W22" s="153"/>
      <c r="X22" s="153"/>
      <c r="Y22" s="153"/>
      <c r="Z22" s="153"/>
    </row>
    <row r="23" ht="29" spans="1:26">
      <c r="A23" s="154" t="s">
        <v>42</v>
      </c>
      <c r="B23" s="154" t="s">
        <v>56</v>
      </c>
      <c r="C23" s="149" t="s">
        <v>57</v>
      </c>
      <c r="D23" s="149" t="s">
        <v>45</v>
      </c>
      <c r="E23" s="149" t="s">
        <v>46</v>
      </c>
      <c r="F23" s="149" t="s">
        <v>18</v>
      </c>
      <c r="G23" s="149"/>
      <c r="H23" s="150">
        <v>45717</v>
      </c>
      <c r="I23" s="155"/>
      <c r="J23" s="151"/>
      <c r="K23" s="155"/>
      <c r="L23" s="155"/>
      <c r="M23" s="149"/>
      <c r="N23" s="152" t="s">
        <v>58</v>
      </c>
      <c r="O23" s="153"/>
      <c r="P23" s="153"/>
      <c r="Q23" s="153"/>
      <c r="R23" s="153"/>
      <c r="S23" s="153"/>
      <c r="T23" s="153"/>
      <c r="U23" s="153"/>
      <c r="V23" s="153"/>
      <c r="W23" s="153"/>
      <c r="X23" s="153"/>
      <c r="Y23" s="153"/>
      <c r="Z23" s="153"/>
    </row>
    <row r="24" ht="29" spans="1:26">
      <c r="A24" s="154" t="s">
        <v>42</v>
      </c>
      <c r="B24" s="149" t="s">
        <v>59</v>
      </c>
      <c r="C24" s="149"/>
      <c r="D24" s="149" t="s">
        <v>45</v>
      </c>
      <c r="E24" s="149" t="s">
        <v>46</v>
      </c>
      <c r="F24" s="149" t="s">
        <v>18</v>
      </c>
      <c r="G24" s="149"/>
      <c r="H24" s="150">
        <v>45717</v>
      </c>
      <c r="I24" s="155"/>
      <c r="J24" s="151"/>
      <c r="K24" s="155"/>
      <c r="L24" s="155"/>
      <c r="M24" s="149"/>
      <c r="N24" s="152" t="s">
        <v>60</v>
      </c>
      <c r="O24" s="153"/>
      <c r="P24" s="153"/>
      <c r="Q24" s="153"/>
      <c r="R24" s="153"/>
      <c r="S24" s="153"/>
      <c r="T24" s="153"/>
      <c r="U24" s="153"/>
      <c r="V24" s="153"/>
      <c r="W24" s="153"/>
      <c r="X24" s="153"/>
      <c r="Y24" s="153"/>
      <c r="Z24" s="153"/>
    </row>
    <row r="25" spans="1:26">
      <c r="A25" s="154" t="s">
        <v>42</v>
      </c>
      <c r="B25" s="149" t="s">
        <v>61</v>
      </c>
      <c r="C25" s="149"/>
      <c r="D25" s="149" t="s">
        <v>45</v>
      </c>
      <c r="E25" s="149" t="s">
        <v>46</v>
      </c>
      <c r="F25" s="149" t="s">
        <v>18</v>
      </c>
      <c r="G25" s="149"/>
      <c r="H25" s="150">
        <v>45717</v>
      </c>
      <c r="I25" s="155"/>
      <c r="J25" s="151"/>
      <c r="K25" s="155"/>
      <c r="L25" s="155"/>
      <c r="M25" s="149"/>
      <c r="N25" s="152" t="s">
        <v>62</v>
      </c>
      <c r="O25" s="153"/>
      <c r="P25" s="153"/>
      <c r="Q25" s="153"/>
      <c r="R25" s="153"/>
      <c r="S25" s="153"/>
      <c r="T25" s="153"/>
      <c r="U25" s="153"/>
      <c r="V25" s="153"/>
      <c r="W25" s="153"/>
      <c r="X25" s="153"/>
      <c r="Y25" s="153"/>
      <c r="Z25" s="153"/>
    </row>
    <row r="26" ht="29" spans="1:26">
      <c r="A26" s="154" t="s">
        <v>42</v>
      </c>
      <c r="B26" s="149" t="s">
        <v>63</v>
      </c>
      <c r="C26" s="149"/>
      <c r="D26" s="149" t="s">
        <v>45</v>
      </c>
      <c r="E26" s="149" t="s">
        <v>46</v>
      </c>
      <c r="F26" s="149" t="s">
        <v>18</v>
      </c>
      <c r="G26" s="149"/>
      <c r="H26" s="150">
        <v>45717</v>
      </c>
      <c r="I26" s="155"/>
      <c r="J26" s="151"/>
      <c r="K26" s="155"/>
      <c r="L26" s="155"/>
      <c r="M26" s="149"/>
      <c r="N26" s="152" t="s">
        <v>64</v>
      </c>
      <c r="O26" s="153"/>
      <c r="P26" s="153"/>
      <c r="Q26" s="153"/>
      <c r="R26" s="153"/>
      <c r="S26" s="153"/>
      <c r="T26" s="153"/>
      <c r="U26" s="153"/>
      <c r="V26" s="153"/>
      <c r="W26" s="153"/>
      <c r="X26" s="153"/>
      <c r="Y26" s="153"/>
      <c r="Z26" s="153"/>
    </row>
    <row r="27" spans="1:26">
      <c r="A27" s="154" t="s">
        <v>42</v>
      </c>
      <c r="B27" s="149" t="s">
        <v>65</v>
      </c>
      <c r="C27" s="149"/>
      <c r="D27" s="149" t="s">
        <v>45</v>
      </c>
      <c r="E27" s="149" t="s">
        <v>46</v>
      </c>
      <c r="F27" s="149" t="s">
        <v>18</v>
      </c>
      <c r="G27" s="149"/>
      <c r="H27" s="150">
        <v>45717</v>
      </c>
      <c r="I27" s="155"/>
      <c r="J27" s="151"/>
      <c r="K27" s="155"/>
      <c r="L27" s="155"/>
      <c r="M27" s="149"/>
      <c r="N27" s="152" t="s">
        <v>66</v>
      </c>
      <c r="O27" s="153"/>
      <c r="P27" s="153"/>
      <c r="Q27" s="153"/>
      <c r="R27" s="153"/>
      <c r="S27" s="153"/>
      <c r="T27" s="153"/>
      <c r="U27" s="153"/>
      <c r="V27" s="153"/>
      <c r="W27" s="153"/>
      <c r="X27" s="153"/>
      <c r="Y27" s="153"/>
      <c r="Z27" s="153"/>
    </row>
    <row r="28" spans="1:26">
      <c r="A28" s="154" t="s">
        <v>42</v>
      </c>
      <c r="B28" s="149" t="s">
        <v>67</v>
      </c>
      <c r="C28" s="149"/>
      <c r="D28" s="149" t="s">
        <v>45</v>
      </c>
      <c r="E28" s="149" t="s">
        <v>46</v>
      </c>
      <c r="F28" s="149" t="s">
        <v>18</v>
      </c>
      <c r="G28" s="149"/>
      <c r="H28" s="150">
        <v>45717</v>
      </c>
      <c r="I28" s="155"/>
      <c r="J28" s="151"/>
      <c r="K28" s="155"/>
      <c r="L28" s="155"/>
      <c r="M28" s="149"/>
      <c r="N28" s="152"/>
      <c r="O28" s="153"/>
      <c r="P28" s="153"/>
      <c r="Q28" s="153"/>
      <c r="R28" s="153"/>
      <c r="S28" s="153"/>
      <c r="T28" s="153"/>
      <c r="U28" s="153"/>
      <c r="V28" s="153"/>
      <c r="W28" s="153"/>
      <c r="X28" s="153"/>
      <c r="Y28" s="153"/>
      <c r="Z28" s="153"/>
    </row>
    <row r="29" spans="1:26">
      <c r="A29" s="154" t="s">
        <v>42</v>
      </c>
      <c r="B29" s="149" t="s">
        <v>68</v>
      </c>
      <c r="C29" s="149"/>
      <c r="D29" s="149" t="s">
        <v>45</v>
      </c>
      <c r="E29" s="149" t="s">
        <v>69</v>
      </c>
      <c r="F29" s="149" t="s">
        <v>18</v>
      </c>
      <c r="G29" s="149"/>
      <c r="H29" s="150">
        <v>45763</v>
      </c>
      <c r="I29" s="150">
        <v>46169</v>
      </c>
      <c r="J29" s="151"/>
      <c r="K29" s="150"/>
      <c r="L29" s="150"/>
      <c r="M29" s="149"/>
      <c r="N29" s="152" t="s">
        <v>70</v>
      </c>
      <c r="O29" s="153"/>
      <c r="P29" s="153"/>
      <c r="Q29" s="153"/>
      <c r="R29" s="153"/>
      <c r="S29" s="153"/>
      <c r="T29" s="153"/>
      <c r="U29" s="153"/>
      <c r="V29" s="153"/>
      <c r="W29" s="153"/>
      <c r="X29" s="153"/>
      <c r="Y29" s="153"/>
      <c r="Z29" s="153"/>
    </row>
    <row r="30" spans="1:26">
      <c r="A30" s="154" t="s">
        <v>42</v>
      </c>
      <c r="B30" s="149" t="s">
        <v>71</v>
      </c>
      <c r="C30" s="149" t="s">
        <v>72</v>
      </c>
      <c r="D30" s="149" t="s">
        <v>45</v>
      </c>
      <c r="E30" s="149" t="s">
        <v>69</v>
      </c>
      <c r="F30" s="149" t="s">
        <v>18</v>
      </c>
      <c r="G30" s="149" t="s">
        <v>73</v>
      </c>
      <c r="H30" s="150">
        <v>45763</v>
      </c>
      <c r="I30" s="150">
        <v>46185</v>
      </c>
      <c r="J30" s="151"/>
      <c r="K30" s="150"/>
      <c r="L30" s="150"/>
      <c r="M30" s="149"/>
      <c r="N30" s="152" t="s">
        <v>74</v>
      </c>
      <c r="O30" s="153"/>
      <c r="P30" s="153"/>
      <c r="Q30" s="153"/>
      <c r="R30" s="153"/>
      <c r="S30" s="153"/>
      <c r="T30" s="153"/>
      <c r="U30" s="153"/>
      <c r="V30" s="153"/>
      <c r="W30" s="153"/>
      <c r="X30" s="153"/>
      <c r="Y30" s="153"/>
      <c r="Z30" s="153"/>
    </row>
    <row r="31" spans="1:26">
      <c r="A31" s="154" t="s">
        <v>42</v>
      </c>
      <c r="B31" s="149" t="s">
        <v>75</v>
      </c>
      <c r="C31" s="149" t="s">
        <v>76</v>
      </c>
      <c r="D31" s="149" t="s">
        <v>45</v>
      </c>
      <c r="E31" s="149" t="s">
        <v>69</v>
      </c>
      <c r="F31" s="149" t="s">
        <v>18</v>
      </c>
      <c r="G31" s="149"/>
      <c r="H31" s="150">
        <v>45763</v>
      </c>
      <c r="I31" s="155"/>
      <c r="J31" s="151"/>
      <c r="K31" s="155"/>
      <c r="L31" s="155"/>
      <c r="M31" s="149"/>
      <c r="N31" s="152" t="s">
        <v>77</v>
      </c>
      <c r="O31" s="153"/>
      <c r="P31" s="153"/>
      <c r="Q31" s="153"/>
      <c r="R31" s="153"/>
      <c r="S31" s="153"/>
      <c r="T31" s="153"/>
      <c r="U31" s="153"/>
      <c r="V31" s="153"/>
      <c r="W31" s="153"/>
      <c r="X31" s="153"/>
      <c r="Y31" s="153"/>
      <c r="Z31" s="153"/>
    </row>
    <row r="32" spans="1:26">
      <c r="A32" s="154" t="s">
        <v>42</v>
      </c>
      <c r="B32" s="149" t="s">
        <v>78</v>
      </c>
      <c r="C32" s="149" t="s">
        <v>79</v>
      </c>
      <c r="D32" s="149" t="s">
        <v>45</v>
      </c>
      <c r="E32" s="149" t="s">
        <v>69</v>
      </c>
      <c r="F32" s="149" t="s">
        <v>18</v>
      </c>
      <c r="G32" s="149"/>
      <c r="H32" s="150">
        <v>45763</v>
      </c>
      <c r="I32" s="155"/>
      <c r="J32" s="151"/>
      <c r="K32" s="155"/>
      <c r="L32" s="155"/>
      <c r="M32" s="149"/>
      <c r="N32" s="152" t="s">
        <v>80</v>
      </c>
      <c r="O32" s="153"/>
      <c r="P32" s="153"/>
      <c r="Q32" s="153"/>
      <c r="R32" s="153"/>
      <c r="S32" s="153"/>
      <c r="T32" s="153"/>
      <c r="U32" s="153"/>
      <c r="V32" s="153"/>
      <c r="W32" s="153"/>
      <c r="X32" s="153"/>
      <c r="Y32" s="153"/>
      <c r="Z32" s="153"/>
    </row>
    <row r="33" spans="1:26">
      <c r="A33" s="154" t="s">
        <v>42</v>
      </c>
      <c r="B33" s="149" t="s">
        <v>81</v>
      </c>
      <c r="C33" s="149"/>
      <c r="D33" s="149" t="s">
        <v>45</v>
      </c>
      <c r="E33" s="149" t="s">
        <v>69</v>
      </c>
      <c r="F33" s="149" t="s">
        <v>18</v>
      </c>
      <c r="G33" s="149"/>
      <c r="H33" s="150">
        <v>45763</v>
      </c>
      <c r="I33" s="155"/>
      <c r="J33" s="151"/>
      <c r="K33" s="155"/>
      <c r="L33" s="155"/>
      <c r="M33" s="149"/>
      <c r="N33" s="152"/>
      <c r="O33" s="153"/>
      <c r="P33" s="153"/>
      <c r="Q33" s="153"/>
      <c r="R33" s="153"/>
      <c r="S33" s="153"/>
      <c r="T33" s="153"/>
      <c r="U33" s="153"/>
      <c r="V33" s="153"/>
      <c r="W33" s="153"/>
      <c r="X33" s="153"/>
      <c r="Y33" s="153"/>
      <c r="Z33" s="153"/>
    </row>
    <row r="34" ht="58" spans="1:26">
      <c r="A34" s="154" t="s">
        <v>42</v>
      </c>
      <c r="B34" s="149" t="s">
        <v>82</v>
      </c>
      <c r="C34" s="156" t="s">
        <v>83</v>
      </c>
      <c r="D34" s="149" t="s">
        <v>45</v>
      </c>
      <c r="E34" s="149" t="s">
        <v>84</v>
      </c>
      <c r="F34" s="149" t="s">
        <v>41</v>
      </c>
      <c r="G34" s="149"/>
      <c r="H34" s="150">
        <v>45818</v>
      </c>
      <c r="I34" s="150">
        <v>46237</v>
      </c>
      <c r="J34" s="151"/>
      <c r="K34" s="150"/>
      <c r="L34" s="150"/>
      <c r="M34" s="149" t="s">
        <v>85</v>
      </c>
      <c r="N34" s="152" t="s">
        <v>86</v>
      </c>
      <c r="O34" s="153"/>
      <c r="P34" s="153"/>
      <c r="Q34" s="153"/>
      <c r="R34" s="153"/>
      <c r="S34" s="153"/>
      <c r="T34" s="153"/>
      <c r="U34" s="153"/>
      <c r="V34" s="153"/>
      <c r="W34" s="153"/>
      <c r="X34" s="153"/>
      <c r="Y34" s="153"/>
      <c r="Z34" s="153"/>
    </row>
    <row r="35" spans="1:26">
      <c r="A35" s="154" t="s">
        <v>42</v>
      </c>
      <c r="B35" s="157" t="s">
        <v>87</v>
      </c>
      <c r="C35" s="157" t="s">
        <v>88</v>
      </c>
      <c r="D35" s="149" t="s">
        <v>45</v>
      </c>
      <c r="E35" s="149" t="s">
        <v>84</v>
      </c>
      <c r="F35" s="149" t="s">
        <v>38</v>
      </c>
      <c r="G35" s="149"/>
      <c r="H35" s="150">
        <v>45818</v>
      </c>
      <c r="I35" s="150">
        <v>46241</v>
      </c>
      <c r="J35" s="151"/>
      <c r="K35" s="150"/>
      <c r="L35" s="150"/>
      <c r="M35" s="149"/>
      <c r="N35" s="152" t="s">
        <v>89</v>
      </c>
      <c r="O35" s="153"/>
      <c r="P35" s="153"/>
      <c r="Q35" s="153"/>
      <c r="R35" s="153"/>
      <c r="S35" s="153"/>
      <c r="T35" s="153"/>
      <c r="U35" s="153"/>
      <c r="V35" s="153"/>
      <c r="W35" s="153"/>
      <c r="X35" s="153"/>
      <c r="Y35" s="153"/>
      <c r="Z35" s="153"/>
    </row>
    <row r="36" ht="29" spans="1:26">
      <c r="A36" s="154" t="s">
        <v>42</v>
      </c>
      <c r="B36" s="149" t="s">
        <v>90</v>
      </c>
      <c r="C36" s="149"/>
      <c r="D36" s="149" t="s">
        <v>45</v>
      </c>
      <c r="E36" s="149" t="s">
        <v>84</v>
      </c>
      <c r="F36" s="149" t="s">
        <v>91</v>
      </c>
      <c r="G36" s="156" t="s">
        <v>92</v>
      </c>
      <c r="H36" s="150">
        <v>45818</v>
      </c>
      <c r="I36" s="150">
        <v>46241</v>
      </c>
      <c r="J36" s="151"/>
      <c r="K36" s="150"/>
      <c r="L36" s="150"/>
      <c r="M36" s="149" t="s">
        <v>93</v>
      </c>
      <c r="N36" s="152" t="s">
        <v>94</v>
      </c>
      <c r="O36" s="153"/>
      <c r="P36" s="153"/>
      <c r="Q36" s="153"/>
      <c r="R36" s="153"/>
      <c r="S36" s="153"/>
      <c r="T36" s="153"/>
      <c r="U36" s="153"/>
      <c r="V36" s="153"/>
      <c r="W36" s="153"/>
      <c r="X36" s="153"/>
      <c r="Y36" s="153"/>
      <c r="Z36" s="153"/>
    </row>
    <row r="37" ht="29" spans="1:26">
      <c r="A37" s="149" t="s">
        <v>95</v>
      </c>
      <c r="B37" s="149" t="s">
        <v>96</v>
      </c>
      <c r="C37" s="156" t="s">
        <v>97</v>
      </c>
      <c r="D37" s="149" t="s">
        <v>98</v>
      </c>
      <c r="E37" s="149" t="s">
        <v>84</v>
      </c>
      <c r="F37" s="149" t="s">
        <v>18</v>
      </c>
      <c r="G37" s="149"/>
      <c r="H37" s="150">
        <v>45818</v>
      </c>
      <c r="I37" s="150">
        <v>46188</v>
      </c>
      <c r="J37" s="151"/>
      <c r="K37" s="150"/>
      <c r="L37" s="150"/>
      <c r="M37" s="149" t="s">
        <v>99</v>
      </c>
      <c r="N37" s="152" t="s">
        <v>100</v>
      </c>
      <c r="O37" s="153"/>
      <c r="P37" s="153"/>
      <c r="Q37" s="153"/>
      <c r="R37" s="153"/>
      <c r="S37" s="153"/>
      <c r="T37" s="153"/>
      <c r="U37" s="153"/>
      <c r="V37" s="153"/>
      <c r="W37" s="153"/>
      <c r="X37" s="153"/>
      <c r="Y37" s="153"/>
      <c r="Z37" s="153"/>
    </row>
    <row r="38" ht="29" spans="1:26">
      <c r="A38" s="149" t="s">
        <v>95</v>
      </c>
      <c r="B38" s="149" t="s">
        <v>96</v>
      </c>
      <c r="C38" s="149" t="s">
        <v>101</v>
      </c>
      <c r="D38" s="149" t="s">
        <v>98</v>
      </c>
      <c r="E38" s="149" t="s">
        <v>84</v>
      </c>
      <c r="F38" s="149" t="s">
        <v>18</v>
      </c>
      <c r="G38" s="149"/>
      <c r="H38" s="150">
        <v>45818</v>
      </c>
      <c r="I38" s="155"/>
      <c r="J38" s="151"/>
      <c r="K38" s="155"/>
      <c r="L38" s="155"/>
      <c r="M38" s="149"/>
      <c r="N38" s="152" t="s">
        <v>102</v>
      </c>
      <c r="O38" s="153"/>
      <c r="P38" s="153"/>
      <c r="Q38" s="153"/>
      <c r="R38" s="153"/>
      <c r="S38" s="153"/>
      <c r="T38" s="153"/>
      <c r="U38" s="153"/>
      <c r="V38" s="153"/>
      <c r="W38" s="153"/>
      <c r="X38" s="153"/>
      <c r="Y38" s="153"/>
      <c r="Z38" s="153"/>
    </row>
    <row r="39" spans="1:26">
      <c r="A39" s="149" t="s">
        <v>95</v>
      </c>
      <c r="B39" s="149" t="s">
        <v>96</v>
      </c>
      <c r="C39" s="149" t="s">
        <v>103</v>
      </c>
      <c r="D39" s="149" t="s">
        <v>98</v>
      </c>
      <c r="E39" s="149" t="s">
        <v>84</v>
      </c>
      <c r="F39" s="149" t="s">
        <v>18</v>
      </c>
      <c r="G39" s="149" t="s">
        <v>104</v>
      </c>
      <c r="H39" s="150">
        <v>45818</v>
      </c>
      <c r="I39" s="155"/>
      <c r="J39" s="151"/>
      <c r="K39" s="155"/>
      <c r="L39" s="155"/>
      <c r="M39" s="149"/>
      <c r="N39" s="152" t="s">
        <v>105</v>
      </c>
      <c r="O39" s="153"/>
      <c r="P39" s="153"/>
      <c r="Q39" s="153"/>
      <c r="R39" s="153"/>
      <c r="S39" s="153"/>
      <c r="T39" s="153"/>
      <c r="U39" s="153"/>
      <c r="V39" s="153"/>
      <c r="W39" s="153"/>
      <c r="X39" s="153"/>
      <c r="Y39" s="153"/>
      <c r="Z39" s="153"/>
    </row>
    <row r="40" ht="44" spans="1:26">
      <c r="A40" s="149" t="s">
        <v>95</v>
      </c>
      <c r="B40" s="149" t="s">
        <v>96</v>
      </c>
      <c r="C40" s="149" t="s">
        <v>106</v>
      </c>
      <c r="D40" s="149" t="s">
        <v>107</v>
      </c>
      <c r="E40" s="149" t="s">
        <v>84</v>
      </c>
      <c r="F40" s="149" t="s">
        <v>91</v>
      </c>
      <c r="G40" s="149" t="s">
        <v>108</v>
      </c>
      <c r="H40" s="150">
        <v>45818</v>
      </c>
      <c r="I40" s="150">
        <v>46241</v>
      </c>
      <c r="J40" s="151"/>
      <c r="K40" s="150"/>
      <c r="L40" s="150"/>
      <c r="M40" s="149" t="s">
        <v>36</v>
      </c>
      <c r="N40" s="152" t="s">
        <v>109</v>
      </c>
      <c r="O40" s="153"/>
      <c r="P40" s="153"/>
      <c r="Q40" s="153"/>
      <c r="R40" s="153"/>
      <c r="S40" s="153"/>
      <c r="T40" s="153"/>
      <c r="U40" s="153"/>
      <c r="V40" s="153"/>
      <c r="W40" s="153"/>
      <c r="X40" s="153"/>
      <c r="Y40" s="153"/>
      <c r="Z40" s="153"/>
    </row>
    <row r="41" ht="29" spans="1:26">
      <c r="A41" s="149" t="s">
        <v>95</v>
      </c>
      <c r="B41" s="149" t="s">
        <v>96</v>
      </c>
      <c r="C41" s="149" t="s">
        <v>110</v>
      </c>
      <c r="D41" s="149" t="s">
        <v>98</v>
      </c>
      <c r="E41" s="149" t="s">
        <v>84</v>
      </c>
      <c r="F41" s="149" t="s">
        <v>41</v>
      </c>
      <c r="G41" s="149" t="s">
        <v>111</v>
      </c>
      <c r="H41" s="150">
        <v>45818</v>
      </c>
      <c r="I41" s="150">
        <v>46241</v>
      </c>
      <c r="J41" s="151"/>
      <c r="K41" s="150"/>
      <c r="L41" s="150"/>
      <c r="M41" s="149" t="s">
        <v>112</v>
      </c>
      <c r="N41" s="152" t="s">
        <v>113</v>
      </c>
      <c r="O41" s="153"/>
      <c r="P41" s="153"/>
      <c r="Q41" s="153"/>
      <c r="R41" s="153"/>
      <c r="S41" s="153"/>
      <c r="T41" s="153"/>
      <c r="U41" s="153"/>
      <c r="V41" s="153"/>
      <c r="W41" s="153"/>
      <c r="X41" s="153"/>
      <c r="Y41" s="153"/>
      <c r="Z41" s="153"/>
    </row>
    <row r="42" ht="216" spans="1:26">
      <c r="A42" s="149" t="s">
        <v>95</v>
      </c>
      <c r="B42" s="156" t="s">
        <v>114</v>
      </c>
      <c r="C42" s="149"/>
      <c r="D42" s="149" t="s">
        <v>107</v>
      </c>
      <c r="E42" s="149" t="s">
        <v>17</v>
      </c>
      <c r="F42" s="149" t="s">
        <v>18</v>
      </c>
      <c r="G42" s="149"/>
      <c r="H42" s="150">
        <v>45869</v>
      </c>
      <c r="I42" s="150">
        <v>46178</v>
      </c>
      <c r="J42" s="151"/>
      <c r="K42" s="150"/>
      <c r="L42" s="150"/>
      <c r="M42" s="149"/>
      <c r="N42" s="152" t="s">
        <v>115</v>
      </c>
      <c r="O42" s="153"/>
      <c r="P42" s="153"/>
      <c r="Q42" s="153"/>
      <c r="R42" s="153"/>
      <c r="S42" s="153"/>
      <c r="T42" s="153"/>
      <c r="U42" s="153"/>
      <c r="V42" s="153"/>
      <c r="W42" s="153"/>
      <c r="X42" s="153"/>
      <c r="Y42" s="153"/>
      <c r="Z42" s="153"/>
    </row>
    <row r="43" ht="58" spans="1:26">
      <c r="A43" s="149" t="s">
        <v>95</v>
      </c>
      <c r="B43" s="149" t="s">
        <v>116</v>
      </c>
      <c r="C43" s="149"/>
      <c r="D43" s="149" t="s">
        <v>107</v>
      </c>
      <c r="E43" s="149" t="s">
        <v>17</v>
      </c>
      <c r="F43" s="149" t="s">
        <v>38</v>
      </c>
      <c r="G43" s="157" t="s">
        <v>117</v>
      </c>
      <c r="H43" s="150">
        <v>45869</v>
      </c>
      <c r="I43" s="150">
        <v>46241</v>
      </c>
      <c r="J43" s="151"/>
      <c r="K43" s="150"/>
      <c r="L43" s="150"/>
      <c r="M43" s="149"/>
      <c r="N43" s="152" t="s">
        <v>118</v>
      </c>
      <c r="O43" s="153"/>
      <c r="P43" s="153"/>
      <c r="Q43" s="153"/>
      <c r="R43" s="153"/>
      <c r="S43" s="153"/>
      <c r="T43" s="153"/>
      <c r="U43" s="153"/>
      <c r="V43" s="153"/>
      <c r="W43" s="153"/>
      <c r="X43" s="153"/>
      <c r="Y43" s="153"/>
      <c r="Z43" s="153"/>
    </row>
    <row r="44" ht="173" spans="1:26">
      <c r="A44" s="149" t="s">
        <v>95</v>
      </c>
      <c r="B44" s="149" t="s">
        <v>119</v>
      </c>
      <c r="C44" s="149"/>
      <c r="D44" s="149" t="s">
        <v>107</v>
      </c>
      <c r="E44" s="149" t="s">
        <v>17</v>
      </c>
      <c r="F44" s="149" t="s">
        <v>26</v>
      </c>
      <c r="G44" s="149"/>
      <c r="H44" s="150">
        <v>45869</v>
      </c>
      <c r="I44" s="150">
        <v>46241</v>
      </c>
      <c r="J44" s="151"/>
      <c r="K44" s="150"/>
      <c r="L44" s="150"/>
      <c r="M44" s="149"/>
      <c r="N44" s="152" t="s">
        <v>120</v>
      </c>
      <c r="O44" s="153"/>
      <c r="P44" s="153"/>
      <c r="Q44" s="153"/>
      <c r="R44" s="153"/>
      <c r="S44" s="153"/>
      <c r="T44" s="153"/>
      <c r="U44" s="153"/>
      <c r="V44" s="153"/>
      <c r="W44" s="153"/>
      <c r="X44" s="153"/>
      <c r="Y44" s="153"/>
      <c r="Z44" s="153"/>
    </row>
    <row r="45" ht="29" spans="1:26">
      <c r="A45" s="154" t="s">
        <v>121</v>
      </c>
      <c r="B45" s="149" t="s">
        <v>122</v>
      </c>
      <c r="C45" s="149"/>
      <c r="D45" s="149" t="s">
        <v>45</v>
      </c>
      <c r="E45" s="149" t="s">
        <v>46</v>
      </c>
      <c r="F45" s="149" t="s">
        <v>18</v>
      </c>
      <c r="G45" s="149"/>
      <c r="H45" s="150">
        <v>45717</v>
      </c>
      <c r="I45" s="155"/>
      <c r="J45" s="151"/>
      <c r="K45" s="155"/>
      <c r="L45" s="155"/>
      <c r="M45" s="149"/>
      <c r="N45" s="152" t="s">
        <v>123</v>
      </c>
      <c r="O45" s="153"/>
      <c r="P45" s="153"/>
      <c r="Q45" s="153"/>
      <c r="R45" s="153"/>
      <c r="S45" s="153"/>
      <c r="T45" s="153"/>
      <c r="U45" s="153"/>
      <c r="V45" s="153"/>
      <c r="W45" s="153"/>
      <c r="X45" s="153"/>
      <c r="Y45" s="153"/>
      <c r="Z45" s="153"/>
    </row>
    <row r="46" ht="29" spans="1:26">
      <c r="A46" s="154" t="s">
        <v>121</v>
      </c>
      <c r="B46" s="149" t="s">
        <v>71</v>
      </c>
      <c r="C46" s="149" t="s">
        <v>72</v>
      </c>
      <c r="D46" s="149" t="s">
        <v>45</v>
      </c>
      <c r="E46" s="149" t="s">
        <v>69</v>
      </c>
      <c r="F46" s="149" t="s">
        <v>18</v>
      </c>
      <c r="G46" s="149" t="s">
        <v>73</v>
      </c>
      <c r="H46" s="150">
        <v>45763</v>
      </c>
      <c r="I46" s="150">
        <v>46185</v>
      </c>
      <c r="J46" s="151"/>
      <c r="K46" s="150"/>
      <c r="L46" s="150"/>
      <c r="M46" s="149"/>
      <c r="N46" s="152" t="s">
        <v>74</v>
      </c>
      <c r="O46" s="153"/>
      <c r="P46" s="153"/>
      <c r="Q46" s="153"/>
      <c r="R46" s="153"/>
      <c r="S46" s="153"/>
      <c r="T46" s="153"/>
      <c r="U46" s="153"/>
      <c r="V46" s="153"/>
      <c r="W46" s="153"/>
      <c r="X46" s="153"/>
      <c r="Y46" s="153"/>
      <c r="Z46" s="153"/>
    </row>
    <row r="47" ht="29" spans="1:26">
      <c r="A47" s="154" t="s">
        <v>121</v>
      </c>
      <c r="B47" s="149" t="s">
        <v>124</v>
      </c>
      <c r="C47" s="149"/>
      <c r="D47" s="149" t="s">
        <v>45</v>
      </c>
      <c r="E47" s="149" t="s">
        <v>69</v>
      </c>
      <c r="F47" s="149" t="s">
        <v>18</v>
      </c>
      <c r="G47" s="149"/>
      <c r="H47" s="150">
        <v>45763</v>
      </c>
      <c r="I47" s="155"/>
      <c r="J47" s="151"/>
      <c r="K47" s="155"/>
      <c r="L47" s="155"/>
      <c r="M47" s="149"/>
      <c r="N47" s="152" t="s">
        <v>125</v>
      </c>
      <c r="O47" s="153"/>
      <c r="P47" s="153"/>
      <c r="Q47" s="153"/>
      <c r="R47" s="153"/>
      <c r="S47" s="153"/>
      <c r="T47" s="153"/>
      <c r="U47" s="153"/>
      <c r="V47" s="153"/>
      <c r="W47" s="153"/>
      <c r="X47" s="153"/>
      <c r="Y47" s="153"/>
      <c r="Z47" s="153"/>
    </row>
    <row r="48" ht="29" spans="1:26">
      <c r="A48" s="154" t="s">
        <v>121</v>
      </c>
      <c r="B48" s="149" t="s">
        <v>126</v>
      </c>
      <c r="C48" s="149"/>
      <c r="D48" s="149" t="s">
        <v>45</v>
      </c>
      <c r="E48" s="149" t="s">
        <v>69</v>
      </c>
      <c r="F48" s="149" t="s">
        <v>18</v>
      </c>
      <c r="G48" s="149"/>
      <c r="H48" s="150">
        <v>45763</v>
      </c>
      <c r="I48" s="155"/>
      <c r="J48" s="151"/>
      <c r="K48" s="155"/>
      <c r="L48" s="155"/>
      <c r="M48" s="149"/>
      <c r="N48" s="152" t="s">
        <v>127</v>
      </c>
      <c r="O48" s="153"/>
      <c r="P48" s="153"/>
      <c r="Q48" s="153"/>
      <c r="R48" s="153"/>
      <c r="S48" s="153"/>
      <c r="T48" s="153"/>
      <c r="U48" s="153"/>
      <c r="V48" s="153"/>
      <c r="W48" s="153"/>
      <c r="X48" s="153"/>
      <c r="Y48" s="153"/>
      <c r="Z48" s="153"/>
    </row>
    <row r="49" ht="29" spans="1:26">
      <c r="A49" s="154" t="s">
        <v>121</v>
      </c>
      <c r="B49" s="149" t="s">
        <v>128</v>
      </c>
      <c r="C49" s="149" t="s">
        <v>129</v>
      </c>
      <c r="D49" s="149" t="s">
        <v>45</v>
      </c>
      <c r="E49" s="149" t="s">
        <v>69</v>
      </c>
      <c r="F49" s="149" t="s">
        <v>18</v>
      </c>
      <c r="G49" s="149"/>
      <c r="H49" s="150">
        <v>45763</v>
      </c>
      <c r="I49" s="155"/>
      <c r="J49" s="151"/>
      <c r="K49" s="155"/>
      <c r="L49" s="155"/>
      <c r="M49" s="149"/>
      <c r="N49" s="152"/>
      <c r="O49" s="153"/>
      <c r="P49" s="153"/>
      <c r="Q49" s="153"/>
      <c r="R49" s="153"/>
      <c r="S49" s="153"/>
      <c r="T49" s="153"/>
      <c r="U49" s="153"/>
      <c r="V49" s="153"/>
      <c r="W49" s="153"/>
      <c r="X49" s="153"/>
      <c r="Y49" s="153"/>
      <c r="Z49" s="153"/>
    </row>
    <row r="50" ht="29" spans="1:26">
      <c r="A50" s="154" t="s">
        <v>121</v>
      </c>
      <c r="B50" s="149" t="s">
        <v>130</v>
      </c>
      <c r="C50" s="149"/>
      <c r="D50" s="149" t="s">
        <v>45</v>
      </c>
      <c r="E50" s="149" t="s">
        <v>84</v>
      </c>
      <c r="F50" s="149" t="s">
        <v>18</v>
      </c>
      <c r="G50" s="149"/>
      <c r="H50" s="150">
        <v>45818</v>
      </c>
      <c r="I50" s="155"/>
      <c r="J50" s="151"/>
      <c r="K50" s="155"/>
      <c r="L50" s="155"/>
      <c r="M50" s="149"/>
      <c r="N50" s="152" t="s">
        <v>131</v>
      </c>
      <c r="O50" s="153"/>
      <c r="P50" s="153"/>
      <c r="Q50" s="153"/>
      <c r="R50" s="153"/>
      <c r="S50" s="153"/>
      <c r="T50" s="153"/>
      <c r="U50" s="153"/>
      <c r="V50" s="153"/>
      <c r="W50" s="153"/>
      <c r="X50" s="153"/>
      <c r="Y50" s="153"/>
      <c r="Z50" s="153"/>
    </row>
    <row r="51" ht="29" spans="1:26">
      <c r="A51" s="154" t="s">
        <v>121</v>
      </c>
      <c r="B51" s="149" t="s">
        <v>132</v>
      </c>
      <c r="C51" s="149"/>
      <c r="D51" s="149" t="s">
        <v>45</v>
      </c>
      <c r="E51" s="149" t="s">
        <v>84</v>
      </c>
      <c r="F51" s="149" t="s">
        <v>18</v>
      </c>
      <c r="G51" s="149"/>
      <c r="H51" s="150">
        <v>45818</v>
      </c>
      <c r="I51" s="155"/>
      <c r="J51" s="151"/>
      <c r="K51" s="155"/>
      <c r="L51" s="155"/>
      <c r="M51" s="149"/>
      <c r="N51" s="152"/>
      <c r="O51" s="153"/>
      <c r="P51" s="153"/>
      <c r="Q51" s="153"/>
      <c r="R51" s="153"/>
      <c r="S51" s="153"/>
      <c r="T51" s="153"/>
      <c r="U51" s="153"/>
      <c r="V51" s="153"/>
      <c r="W51" s="153"/>
      <c r="X51" s="153"/>
      <c r="Y51" s="153"/>
      <c r="Z51" s="153"/>
    </row>
    <row r="52" ht="29" spans="1:26">
      <c r="A52" s="154" t="s">
        <v>133</v>
      </c>
      <c r="B52" s="149" t="s">
        <v>134</v>
      </c>
      <c r="C52" s="149"/>
      <c r="D52" s="149" t="s">
        <v>45</v>
      </c>
      <c r="E52" s="149" t="s">
        <v>46</v>
      </c>
      <c r="F52" s="149" t="s">
        <v>18</v>
      </c>
      <c r="G52" s="149"/>
      <c r="H52" s="150">
        <v>45717</v>
      </c>
      <c r="I52" s="155"/>
      <c r="J52" s="151"/>
      <c r="K52" s="155"/>
      <c r="L52" s="155"/>
      <c r="M52" s="149"/>
      <c r="N52" s="152" t="s">
        <v>135</v>
      </c>
      <c r="O52" s="153"/>
      <c r="P52" s="153"/>
      <c r="Q52" s="153"/>
      <c r="R52" s="153"/>
      <c r="S52" s="153"/>
      <c r="T52" s="153"/>
      <c r="U52" s="153"/>
      <c r="V52" s="153"/>
      <c r="W52" s="153"/>
      <c r="X52" s="153"/>
      <c r="Y52" s="153"/>
      <c r="Z52" s="153"/>
    </row>
    <row r="53" ht="29" spans="1:26">
      <c r="A53" s="154" t="s">
        <v>133</v>
      </c>
      <c r="B53" s="149" t="s">
        <v>136</v>
      </c>
      <c r="C53" s="149"/>
      <c r="D53" s="149" t="s">
        <v>45</v>
      </c>
      <c r="E53" s="149" t="s">
        <v>46</v>
      </c>
      <c r="F53" s="149" t="s">
        <v>18</v>
      </c>
      <c r="G53" s="149"/>
      <c r="H53" s="150">
        <v>45717</v>
      </c>
      <c r="I53" s="155"/>
      <c r="J53" s="151"/>
      <c r="K53" s="155"/>
      <c r="L53" s="155"/>
      <c r="M53" s="149"/>
      <c r="N53" s="152" t="s">
        <v>137</v>
      </c>
      <c r="O53" s="153"/>
      <c r="P53" s="153"/>
      <c r="Q53" s="153"/>
      <c r="R53" s="153"/>
      <c r="S53" s="153"/>
      <c r="T53" s="153"/>
      <c r="U53" s="153"/>
      <c r="V53" s="153"/>
      <c r="W53" s="153"/>
      <c r="X53" s="153"/>
      <c r="Y53" s="153"/>
      <c r="Z53" s="153"/>
    </row>
    <row r="54" ht="29" spans="1:26">
      <c r="A54" s="154" t="s">
        <v>133</v>
      </c>
      <c r="B54" s="149" t="s">
        <v>138</v>
      </c>
      <c r="C54" s="149"/>
      <c r="D54" s="149" t="s">
        <v>45</v>
      </c>
      <c r="E54" s="149" t="s">
        <v>69</v>
      </c>
      <c r="F54" s="149" t="s">
        <v>18</v>
      </c>
      <c r="G54" s="149" t="s">
        <v>139</v>
      </c>
      <c r="H54" s="150">
        <v>45763</v>
      </c>
      <c r="I54" s="150">
        <v>46203</v>
      </c>
      <c r="J54" s="151"/>
      <c r="K54" s="150"/>
      <c r="L54" s="150"/>
      <c r="M54" s="149"/>
      <c r="N54" s="152" t="s">
        <v>140</v>
      </c>
      <c r="O54" s="153"/>
      <c r="P54" s="153"/>
      <c r="Q54" s="153"/>
      <c r="R54" s="153"/>
      <c r="S54" s="153"/>
      <c r="T54" s="153"/>
      <c r="U54" s="153"/>
      <c r="V54" s="153"/>
      <c r="W54" s="153"/>
      <c r="X54" s="153"/>
      <c r="Y54" s="153"/>
      <c r="Z54" s="153"/>
    </row>
    <row r="55" ht="29" spans="1:26">
      <c r="A55" s="154" t="s">
        <v>133</v>
      </c>
      <c r="B55" s="149" t="s">
        <v>141</v>
      </c>
      <c r="C55" s="149"/>
      <c r="D55" s="149" t="s">
        <v>45</v>
      </c>
      <c r="E55" s="149" t="s">
        <v>69</v>
      </c>
      <c r="F55" s="149" t="s">
        <v>18</v>
      </c>
      <c r="G55" s="149" t="s">
        <v>142</v>
      </c>
      <c r="H55" s="150">
        <v>45763</v>
      </c>
      <c r="I55" s="155"/>
      <c r="J55" s="151"/>
      <c r="K55" s="155"/>
      <c r="L55" s="155"/>
      <c r="M55" s="149"/>
      <c r="N55" s="152" t="s">
        <v>80</v>
      </c>
      <c r="O55" s="153"/>
      <c r="P55" s="153"/>
      <c r="Q55" s="153"/>
      <c r="R55" s="153"/>
      <c r="S55" s="153"/>
      <c r="T55" s="153"/>
      <c r="U55" s="153"/>
      <c r="V55" s="153"/>
      <c r="W55" s="153"/>
      <c r="X55" s="153"/>
      <c r="Y55" s="153"/>
      <c r="Z55" s="153"/>
    </row>
    <row r="56" ht="29" spans="1:26">
      <c r="A56" s="154" t="s">
        <v>133</v>
      </c>
      <c r="B56" s="149" t="s">
        <v>143</v>
      </c>
      <c r="C56" s="149"/>
      <c r="D56" s="149" t="s">
        <v>45</v>
      </c>
      <c r="E56" s="149" t="s">
        <v>144</v>
      </c>
      <c r="F56" s="149" t="s">
        <v>18</v>
      </c>
      <c r="G56" s="149"/>
      <c r="H56" s="150">
        <v>45793</v>
      </c>
      <c r="I56" s="155"/>
      <c r="J56" s="151"/>
      <c r="K56" s="155"/>
      <c r="L56" s="155"/>
      <c r="M56" s="149"/>
      <c r="N56" s="152" t="s">
        <v>145</v>
      </c>
      <c r="O56" s="153"/>
      <c r="P56" s="153"/>
      <c r="Q56" s="153"/>
      <c r="R56" s="153"/>
      <c r="S56" s="153"/>
      <c r="T56" s="153"/>
      <c r="U56" s="153"/>
      <c r="V56" s="153"/>
      <c r="W56" s="153"/>
      <c r="X56" s="153"/>
      <c r="Y56" s="153"/>
      <c r="Z56" s="153"/>
    </row>
    <row r="57" ht="29" spans="1:26">
      <c r="A57" s="154" t="s">
        <v>133</v>
      </c>
      <c r="B57" s="149" t="s">
        <v>146</v>
      </c>
      <c r="C57" s="149"/>
      <c r="D57" s="149" t="s">
        <v>45</v>
      </c>
      <c r="E57" s="149" t="s">
        <v>84</v>
      </c>
      <c r="F57" s="149" t="s">
        <v>18</v>
      </c>
      <c r="G57" s="149"/>
      <c r="H57" s="150">
        <v>45818</v>
      </c>
      <c r="I57" s="155"/>
      <c r="J57" s="151"/>
      <c r="K57" s="155"/>
      <c r="L57" s="155"/>
      <c r="M57" s="149"/>
      <c r="N57" s="152" t="s">
        <v>94</v>
      </c>
      <c r="O57" s="153"/>
      <c r="P57" s="153"/>
      <c r="Q57" s="153"/>
      <c r="R57" s="153"/>
      <c r="S57" s="153"/>
      <c r="T57" s="153"/>
      <c r="U57" s="153"/>
      <c r="V57" s="153"/>
      <c r="W57" s="153"/>
      <c r="X57" s="153"/>
      <c r="Y57" s="153"/>
      <c r="Z57" s="153"/>
    </row>
    <row r="58" ht="29" spans="1:26">
      <c r="A58" s="154" t="s">
        <v>133</v>
      </c>
      <c r="B58" s="149" t="s">
        <v>147</v>
      </c>
      <c r="C58" s="149"/>
      <c r="D58" s="149" t="s">
        <v>45</v>
      </c>
      <c r="E58" s="149" t="s">
        <v>84</v>
      </c>
      <c r="F58" s="149" t="s">
        <v>18</v>
      </c>
      <c r="G58" s="149"/>
      <c r="H58" s="150">
        <v>45818</v>
      </c>
      <c r="I58" s="155"/>
      <c r="J58" s="151"/>
      <c r="K58" s="155"/>
      <c r="L58" s="155"/>
      <c r="M58" s="149"/>
      <c r="N58" s="152"/>
      <c r="O58" s="153"/>
      <c r="P58" s="153"/>
      <c r="Q58" s="153"/>
      <c r="R58" s="153"/>
      <c r="S58" s="153"/>
      <c r="T58" s="153"/>
      <c r="U58" s="153"/>
      <c r="V58" s="153"/>
      <c r="W58" s="153"/>
      <c r="X58" s="153"/>
      <c r="Y58" s="153"/>
      <c r="Z58" s="153"/>
    </row>
    <row r="59" ht="87" spans="1:26">
      <c r="A59" s="154" t="s">
        <v>133</v>
      </c>
      <c r="B59" s="149" t="s">
        <v>148</v>
      </c>
      <c r="C59" s="149" t="s">
        <v>149</v>
      </c>
      <c r="D59" s="149" t="s">
        <v>45</v>
      </c>
      <c r="E59" s="149" t="s">
        <v>84</v>
      </c>
      <c r="F59" s="149" t="s">
        <v>150</v>
      </c>
      <c r="G59" s="149" t="s">
        <v>151</v>
      </c>
      <c r="H59" s="150">
        <v>45818</v>
      </c>
      <c r="I59" s="150"/>
      <c r="J59" s="151"/>
      <c r="K59" s="150"/>
      <c r="L59" s="150"/>
      <c r="M59" s="149"/>
      <c r="N59" s="152" t="s">
        <v>152</v>
      </c>
      <c r="O59" s="153"/>
      <c r="P59" s="153"/>
      <c r="Q59" s="153"/>
      <c r="R59" s="153"/>
      <c r="S59" s="153"/>
      <c r="T59" s="153"/>
      <c r="U59" s="153"/>
      <c r="V59" s="153"/>
      <c r="W59" s="153"/>
      <c r="X59" s="153"/>
      <c r="Y59" s="153"/>
      <c r="Z59" s="153"/>
    </row>
    <row r="60" ht="87" spans="1:26">
      <c r="A60" s="154" t="s">
        <v>133</v>
      </c>
      <c r="B60" s="149" t="s">
        <v>153</v>
      </c>
      <c r="C60" s="149" t="s">
        <v>149</v>
      </c>
      <c r="D60" s="149" t="s">
        <v>45</v>
      </c>
      <c r="E60" s="149" t="s">
        <v>84</v>
      </c>
      <c r="F60" s="149" t="s">
        <v>150</v>
      </c>
      <c r="G60" s="149" t="s">
        <v>151</v>
      </c>
      <c r="H60" s="150">
        <v>45818</v>
      </c>
      <c r="I60" s="150"/>
      <c r="J60" s="151"/>
      <c r="K60" s="150"/>
      <c r="L60" s="150"/>
      <c r="M60" s="149"/>
      <c r="N60" s="152" t="s">
        <v>154</v>
      </c>
      <c r="O60" s="153"/>
      <c r="P60" s="153"/>
      <c r="Q60" s="153"/>
      <c r="R60" s="153"/>
      <c r="S60" s="153"/>
      <c r="T60" s="153"/>
      <c r="U60" s="153"/>
      <c r="V60" s="153"/>
      <c r="W60" s="153"/>
      <c r="X60" s="153"/>
      <c r="Y60" s="153"/>
      <c r="Z60" s="153"/>
    </row>
    <row r="61" ht="44" spans="1:26">
      <c r="A61" s="149" t="s">
        <v>155</v>
      </c>
      <c r="B61" s="149" t="s">
        <v>156</v>
      </c>
      <c r="C61" s="156" t="s">
        <v>157</v>
      </c>
      <c r="D61" s="149" t="s">
        <v>98</v>
      </c>
      <c r="E61" s="149" t="s">
        <v>84</v>
      </c>
      <c r="F61" s="149" t="s">
        <v>18</v>
      </c>
      <c r="G61" s="149"/>
      <c r="H61" s="150">
        <v>45818</v>
      </c>
      <c r="I61" s="150">
        <v>46185</v>
      </c>
      <c r="J61" s="151"/>
      <c r="K61" s="150"/>
      <c r="L61" s="150"/>
      <c r="M61" s="149" t="s">
        <v>158</v>
      </c>
      <c r="N61" s="152"/>
      <c r="O61" s="153"/>
      <c r="P61" s="153"/>
      <c r="Q61" s="153"/>
      <c r="R61" s="153"/>
      <c r="S61" s="153"/>
      <c r="T61" s="153"/>
      <c r="U61" s="153"/>
      <c r="V61" s="153"/>
      <c r="W61" s="153"/>
      <c r="X61" s="153"/>
      <c r="Y61" s="153"/>
      <c r="Z61" s="153"/>
    </row>
    <row r="62" spans="1:26">
      <c r="A62" s="149" t="s">
        <v>155</v>
      </c>
      <c r="B62" s="149" t="s">
        <v>159</v>
      </c>
      <c r="C62" s="149"/>
      <c r="D62" s="149" t="s">
        <v>98</v>
      </c>
      <c r="E62" s="149" t="s">
        <v>84</v>
      </c>
      <c r="F62" s="149" t="s">
        <v>18</v>
      </c>
      <c r="G62" s="149"/>
      <c r="H62" s="150">
        <v>45818</v>
      </c>
      <c r="I62" s="155"/>
      <c r="J62" s="151"/>
      <c r="K62" s="155"/>
      <c r="L62" s="155"/>
      <c r="M62" s="149"/>
      <c r="N62" s="152" t="s">
        <v>160</v>
      </c>
      <c r="O62" s="153"/>
      <c r="P62" s="153"/>
      <c r="Q62" s="153"/>
      <c r="R62" s="153"/>
      <c r="S62" s="153"/>
      <c r="T62" s="153"/>
      <c r="U62" s="153"/>
      <c r="V62" s="153"/>
      <c r="W62" s="153"/>
      <c r="X62" s="153"/>
      <c r="Y62" s="153"/>
      <c r="Z62" s="153"/>
    </row>
    <row r="63" ht="29" spans="1:26">
      <c r="A63" s="149" t="s">
        <v>155</v>
      </c>
      <c r="B63" s="149" t="s">
        <v>161</v>
      </c>
      <c r="C63" s="149" t="s">
        <v>162</v>
      </c>
      <c r="D63" s="149" t="s">
        <v>98</v>
      </c>
      <c r="E63" s="149" t="s">
        <v>17</v>
      </c>
      <c r="F63" s="149" t="s">
        <v>18</v>
      </c>
      <c r="G63" s="149" t="s">
        <v>163</v>
      </c>
      <c r="H63" s="150">
        <v>45869</v>
      </c>
      <c r="I63" s="150"/>
      <c r="J63" s="151"/>
      <c r="K63" s="150"/>
      <c r="L63" s="150"/>
      <c r="M63" s="149" t="s">
        <v>158</v>
      </c>
      <c r="N63" s="152" t="s">
        <v>164</v>
      </c>
      <c r="O63" s="153"/>
      <c r="P63" s="153"/>
      <c r="Q63" s="153"/>
      <c r="R63" s="153"/>
      <c r="S63" s="153"/>
      <c r="T63" s="153"/>
      <c r="U63" s="153"/>
      <c r="V63" s="153"/>
      <c r="W63" s="153"/>
      <c r="X63" s="153"/>
      <c r="Y63" s="153"/>
      <c r="Z63" s="153"/>
    </row>
    <row r="64" ht="29" spans="1:26">
      <c r="A64" s="149" t="s">
        <v>165</v>
      </c>
      <c r="B64" s="149" t="s">
        <v>166</v>
      </c>
      <c r="C64" s="149" t="s">
        <v>167</v>
      </c>
      <c r="D64" s="149" t="s">
        <v>98</v>
      </c>
      <c r="E64" s="149" t="s">
        <v>84</v>
      </c>
      <c r="F64" s="149" t="s">
        <v>18</v>
      </c>
      <c r="G64" s="149"/>
      <c r="H64" s="150">
        <v>45818</v>
      </c>
      <c r="I64" s="150">
        <v>46184</v>
      </c>
      <c r="J64" s="151"/>
      <c r="K64" s="150"/>
      <c r="L64" s="150"/>
      <c r="M64" s="149" t="s">
        <v>158</v>
      </c>
      <c r="N64" s="152" t="s">
        <v>168</v>
      </c>
      <c r="O64" s="153"/>
      <c r="P64" s="153"/>
      <c r="Q64" s="153"/>
      <c r="R64" s="153"/>
      <c r="S64" s="153"/>
      <c r="T64" s="153"/>
      <c r="U64" s="153"/>
      <c r="V64" s="153"/>
      <c r="W64" s="153"/>
      <c r="X64" s="153"/>
      <c r="Y64" s="153"/>
      <c r="Z64" s="153"/>
    </row>
    <row r="65" spans="1:26">
      <c r="A65" s="149" t="s">
        <v>165</v>
      </c>
      <c r="B65" s="149" t="s">
        <v>169</v>
      </c>
      <c r="C65" s="149" t="s">
        <v>170</v>
      </c>
      <c r="D65" s="149" t="s">
        <v>98</v>
      </c>
      <c r="E65" s="149" t="s">
        <v>84</v>
      </c>
      <c r="F65" s="149" t="s">
        <v>18</v>
      </c>
      <c r="G65" s="149" t="s">
        <v>171</v>
      </c>
      <c r="H65" s="150">
        <v>45818</v>
      </c>
      <c r="I65" s="150">
        <v>46185</v>
      </c>
      <c r="J65" s="151"/>
      <c r="K65" s="150"/>
      <c r="L65" s="150"/>
      <c r="M65" s="149" t="s">
        <v>99</v>
      </c>
      <c r="N65" s="152"/>
      <c r="O65" s="153"/>
      <c r="P65" s="153"/>
      <c r="Q65" s="153"/>
      <c r="R65" s="153"/>
      <c r="S65" s="153"/>
      <c r="T65" s="153"/>
      <c r="U65" s="153"/>
      <c r="V65" s="153"/>
      <c r="W65" s="153"/>
      <c r="X65" s="153"/>
      <c r="Y65" s="153"/>
      <c r="Z65" s="153"/>
    </row>
    <row r="66" spans="1:26">
      <c r="A66" s="149" t="s">
        <v>165</v>
      </c>
      <c r="B66" s="149" t="s">
        <v>172</v>
      </c>
      <c r="C66" s="149" t="s">
        <v>173</v>
      </c>
      <c r="D66" s="149" t="s">
        <v>98</v>
      </c>
      <c r="E66" s="149" t="s">
        <v>84</v>
      </c>
      <c r="F66" s="149" t="s">
        <v>18</v>
      </c>
      <c r="G66" s="149"/>
      <c r="H66" s="150">
        <v>45818</v>
      </c>
      <c r="I66" s="150">
        <v>46192</v>
      </c>
      <c r="J66" s="151"/>
      <c r="K66" s="150"/>
      <c r="L66" s="150"/>
      <c r="M66" s="149" t="s">
        <v>93</v>
      </c>
      <c r="N66" s="152"/>
      <c r="O66" s="153"/>
      <c r="P66" s="153"/>
      <c r="Q66" s="153"/>
      <c r="R66" s="153"/>
      <c r="S66" s="153"/>
      <c r="T66" s="153"/>
      <c r="U66" s="153"/>
      <c r="V66" s="153"/>
      <c r="W66" s="153"/>
      <c r="X66" s="153"/>
      <c r="Y66" s="153"/>
      <c r="Z66" s="153"/>
    </row>
    <row r="67" ht="29" spans="1:26">
      <c r="A67" s="149" t="s">
        <v>165</v>
      </c>
      <c r="B67" s="149" t="s">
        <v>174</v>
      </c>
      <c r="C67" s="149" t="s">
        <v>175</v>
      </c>
      <c r="D67" s="149" t="s">
        <v>98</v>
      </c>
      <c r="E67" s="149" t="s">
        <v>84</v>
      </c>
      <c r="F67" s="149" t="s">
        <v>18</v>
      </c>
      <c r="G67" s="149"/>
      <c r="H67" s="150">
        <v>45818</v>
      </c>
      <c r="I67" s="155"/>
      <c r="J67" s="151"/>
      <c r="K67" s="155"/>
      <c r="L67" s="155"/>
      <c r="M67" s="149"/>
      <c r="N67" s="152" t="s">
        <v>176</v>
      </c>
      <c r="O67" s="153"/>
      <c r="P67" s="153"/>
      <c r="Q67" s="153"/>
      <c r="R67" s="153"/>
      <c r="S67" s="153"/>
      <c r="T67" s="153"/>
      <c r="U67" s="153"/>
      <c r="V67" s="153"/>
      <c r="W67" s="153"/>
      <c r="X67" s="153"/>
      <c r="Y67" s="153"/>
      <c r="Z67" s="153"/>
    </row>
    <row r="68" spans="1:26">
      <c r="A68" s="149" t="s">
        <v>165</v>
      </c>
      <c r="B68" s="149" t="s">
        <v>177</v>
      </c>
      <c r="C68" s="149" t="s">
        <v>178</v>
      </c>
      <c r="D68" s="149" t="s">
        <v>98</v>
      </c>
      <c r="E68" s="149" t="s">
        <v>84</v>
      </c>
      <c r="F68" s="149" t="s">
        <v>18</v>
      </c>
      <c r="G68" s="149"/>
      <c r="H68" s="150">
        <v>45818</v>
      </c>
      <c r="I68" s="155"/>
      <c r="J68" s="151"/>
      <c r="K68" s="155"/>
      <c r="L68" s="155"/>
      <c r="M68" s="149"/>
      <c r="N68" s="152" t="s">
        <v>179</v>
      </c>
      <c r="O68" s="153"/>
      <c r="P68" s="153"/>
      <c r="Q68" s="153"/>
      <c r="R68" s="153"/>
      <c r="S68" s="153"/>
      <c r="T68" s="153"/>
      <c r="U68" s="153"/>
      <c r="V68" s="153"/>
      <c r="W68" s="153"/>
      <c r="X68" s="153"/>
      <c r="Y68" s="153"/>
      <c r="Z68" s="153"/>
    </row>
    <row r="69" spans="1:26">
      <c r="A69" s="149" t="s">
        <v>165</v>
      </c>
      <c r="B69" s="149" t="s">
        <v>180</v>
      </c>
      <c r="C69" s="149" t="s">
        <v>181</v>
      </c>
      <c r="D69" s="149" t="s">
        <v>98</v>
      </c>
      <c r="E69" s="149" t="s">
        <v>84</v>
      </c>
      <c r="F69" s="149" t="s">
        <v>18</v>
      </c>
      <c r="G69" s="149"/>
      <c r="H69" s="150">
        <v>45818</v>
      </c>
      <c r="I69" s="155"/>
      <c r="J69" s="151"/>
      <c r="K69" s="155"/>
      <c r="L69" s="155"/>
      <c r="M69" s="149"/>
      <c r="N69" s="152" t="s">
        <v>182</v>
      </c>
      <c r="O69" s="153"/>
      <c r="P69" s="153"/>
      <c r="Q69" s="153"/>
      <c r="R69" s="153"/>
      <c r="S69" s="153"/>
      <c r="T69" s="153"/>
      <c r="U69" s="153"/>
      <c r="V69" s="153"/>
      <c r="W69" s="153"/>
      <c r="X69" s="153"/>
      <c r="Y69" s="153"/>
      <c r="Z69" s="153"/>
    </row>
    <row r="70" spans="1:26">
      <c r="A70" s="149" t="s">
        <v>165</v>
      </c>
      <c r="B70" s="149" t="s">
        <v>51</v>
      </c>
      <c r="C70" s="149" t="s">
        <v>52</v>
      </c>
      <c r="D70" s="149" t="s">
        <v>98</v>
      </c>
      <c r="E70" s="149" t="s">
        <v>84</v>
      </c>
      <c r="F70" s="149" t="s">
        <v>18</v>
      </c>
      <c r="G70" s="149"/>
      <c r="H70" s="150">
        <v>45818</v>
      </c>
      <c r="I70" s="155"/>
      <c r="J70" s="151"/>
      <c r="K70" s="155"/>
      <c r="L70" s="155"/>
      <c r="M70" s="149"/>
      <c r="N70" s="152"/>
      <c r="O70" s="153"/>
      <c r="P70" s="153"/>
      <c r="Q70" s="153"/>
      <c r="R70" s="153"/>
      <c r="S70" s="153"/>
      <c r="T70" s="153"/>
      <c r="U70" s="153"/>
      <c r="V70" s="153"/>
      <c r="W70" s="153"/>
      <c r="X70" s="153"/>
      <c r="Y70" s="153"/>
      <c r="Z70" s="153"/>
    </row>
    <row r="71" spans="1:26">
      <c r="A71" s="149" t="s">
        <v>165</v>
      </c>
      <c r="B71" s="149" t="s">
        <v>183</v>
      </c>
      <c r="C71" s="149" t="s">
        <v>184</v>
      </c>
      <c r="D71" s="149" t="s">
        <v>98</v>
      </c>
      <c r="E71" s="149" t="s">
        <v>84</v>
      </c>
      <c r="F71" s="149" t="s">
        <v>18</v>
      </c>
      <c r="G71" s="149"/>
      <c r="H71" s="150">
        <v>45818</v>
      </c>
      <c r="I71" s="155"/>
      <c r="J71" s="151"/>
      <c r="K71" s="155"/>
      <c r="L71" s="155"/>
      <c r="M71" s="149"/>
      <c r="N71" s="152"/>
      <c r="O71" s="153"/>
      <c r="P71" s="153"/>
      <c r="Q71" s="153"/>
      <c r="R71" s="153"/>
      <c r="S71" s="153"/>
      <c r="T71" s="153"/>
      <c r="U71" s="153"/>
      <c r="V71" s="153"/>
      <c r="W71" s="153"/>
      <c r="X71" s="153"/>
      <c r="Y71" s="153"/>
      <c r="Z71" s="153"/>
    </row>
    <row r="72" ht="29" spans="1:26">
      <c r="A72" s="149" t="s">
        <v>165</v>
      </c>
      <c r="B72" s="149" t="s">
        <v>185</v>
      </c>
      <c r="C72" s="149" t="s">
        <v>186</v>
      </c>
      <c r="D72" s="149" t="s">
        <v>98</v>
      </c>
      <c r="E72" s="149" t="s">
        <v>84</v>
      </c>
      <c r="F72" s="149" t="s">
        <v>18</v>
      </c>
      <c r="G72" s="149"/>
      <c r="H72" s="150">
        <v>45818</v>
      </c>
      <c r="I72" s="155"/>
      <c r="J72" s="151"/>
      <c r="K72" s="155"/>
      <c r="L72" s="155"/>
      <c r="M72" s="149"/>
      <c r="N72" s="152"/>
      <c r="O72" s="153"/>
      <c r="P72" s="153"/>
      <c r="Q72" s="153"/>
      <c r="R72" s="153"/>
      <c r="S72" s="153"/>
      <c r="T72" s="153"/>
      <c r="U72" s="153"/>
      <c r="V72" s="153"/>
      <c r="W72" s="153"/>
      <c r="X72" s="153"/>
      <c r="Y72" s="153"/>
      <c r="Z72" s="153"/>
    </row>
    <row r="73" ht="29" spans="1:26">
      <c r="A73" s="149" t="s">
        <v>165</v>
      </c>
      <c r="B73" s="156" t="s">
        <v>187</v>
      </c>
      <c r="C73" s="156" t="s">
        <v>188</v>
      </c>
      <c r="D73" s="156" t="s">
        <v>189</v>
      </c>
      <c r="E73" s="158" t="s">
        <v>84</v>
      </c>
      <c r="F73" s="149" t="s">
        <v>41</v>
      </c>
      <c r="G73" s="149"/>
      <c r="H73" s="150">
        <v>45818</v>
      </c>
      <c r="I73" s="150">
        <v>46237</v>
      </c>
      <c r="J73" s="151"/>
      <c r="K73" s="150"/>
      <c r="L73" s="150"/>
      <c r="M73" s="149"/>
      <c r="N73" s="152"/>
      <c r="O73" s="153"/>
      <c r="P73" s="153"/>
      <c r="Q73" s="153"/>
      <c r="R73" s="153"/>
      <c r="S73" s="153"/>
      <c r="T73" s="153"/>
      <c r="U73" s="153"/>
      <c r="V73" s="153"/>
      <c r="W73" s="153"/>
      <c r="X73" s="153"/>
      <c r="Y73" s="153"/>
      <c r="Z73" s="153"/>
    </row>
    <row r="74" ht="29" spans="1:26">
      <c r="A74" s="149" t="s">
        <v>165</v>
      </c>
      <c r="B74" s="149" t="s">
        <v>190</v>
      </c>
      <c r="C74" s="149" t="s">
        <v>191</v>
      </c>
      <c r="D74" s="149" t="s">
        <v>189</v>
      </c>
      <c r="E74" s="149" t="s">
        <v>84</v>
      </c>
      <c r="F74" s="149" t="s">
        <v>18</v>
      </c>
      <c r="G74" s="149"/>
      <c r="H74" s="150">
        <v>45818</v>
      </c>
      <c r="I74" s="155"/>
      <c r="J74" s="151"/>
      <c r="K74" s="155"/>
      <c r="L74" s="155"/>
      <c r="M74" s="149"/>
      <c r="N74" s="152"/>
      <c r="O74" s="153"/>
      <c r="P74" s="153"/>
      <c r="Q74" s="153"/>
      <c r="R74" s="153"/>
      <c r="S74" s="153"/>
      <c r="T74" s="153"/>
      <c r="U74" s="153"/>
      <c r="V74" s="153"/>
      <c r="W74" s="153"/>
      <c r="X74" s="153"/>
      <c r="Y74" s="153"/>
      <c r="Z74" s="153"/>
    </row>
    <row r="75" spans="1:26">
      <c r="A75" s="149" t="s">
        <v>165</v>
      </c>
      <c r="B75" s="149" t="s">
        <v>192</v>
      </c>
      <c r="C75" s="149" t="s">
        <v>193</v>
      </c>
      <c r="D75" s="149" t="s">
        <v>189</v>
      </c>
      <c r="E75" s="149" t="s">
        <v>84</v>
      </c>
      <c r="F75" s="149" t="s">
        <v>18</v>
      </c>
      <c r="G75" s="149"/>
      <c r="H75" s="150">
        <v>45818</v>
      </c>
      <c r="I75" s="155"/>
      <c r="J75" s="151"/>
      <c r="K75" s="155"/>
      <c r="L75" s="155"/>
      <c r="M75" s="149"/>
      <c r="N75" s="152"/>
      <c r="O75" s="153"/>
      <c r="P75" s="153"/>
      <c r="Q75" s="153"/>
      <c r="R75" s="153"/>
      <c r="S75" s="153"/>
      <c r="T75" s="153"/>
      <c r="U75" s="153"/>
      <c r="V75" s="153"/>
      <c r="W75" s="153"/>
      <c r="X75" s="153"/>
      <c r="Y75" s="153"/>
      <c r="Z75" s="153"/>
    </row>
    <row r="76" spans="1:26">
      <c r="A76" s="149" t="s">
        <v>165</v>
      </c>
      <c r="B76" s="149" t="s">
        <v>194</v>
      </c>
      <c r="C76" s="149" t="s">
        <v>195</v>
      </c>
      <c r="D76" s="149" t="s">
        <v>189</v>
      </c>
      <c r="E76" s="149" t="s">
        <v>84</v>
      </c>
      <c r="F76" s="149" t="s">
        <v>18</v>
      </c>
      <c r="G76" s="149"/>
      <c r="H76" s="150">
        <v>45818</v>
      </c>
      <c r="I76" s="155"/>
      <c r="J76" s="151"/>
      <c r="K76" s="155"/>
      <c r="L76" s="155"/>
      <c r="M76" s="149"/>
      <c r="N76" s="152" t="s">
        <v>182</v>
      </c>
      <c r="O76" s="153"/>
      <c r="P76" s="153"/>
      <c r="Q76" s="153"/>
      <c r="R76" s="153"/>
      <c r="S76" s="153"/>
      <c r="T76" s="153"/>
      <c r="U76" s="153"/>
      <c r="V76" s="153"/>
      <c r="W76" s="153"/>
      <c r="X76" s="153"/>
      <c r="Y76" s="153"/>
      <c r="Z76" s="153"/>
    </row>
    <row r="77" spans="1:26">
      <c r="A77" s="149" t="s">
        <v>165</v>
      </c>
      <c r="B77" s="149" t="s">
        <v>196</v>
      </c>
      <c r="C77" s="149" t="s">
        <v>197</v>
      </c>
      <c r="D77" s="149" t="s">
        <v>189</v>
      </c>
      <c r="E77" s="149" t="s">
        <v>84</v>
      </c>
      <c r="F77" s="149" t="s">
        <v>18</v>
      </c>
      <c r="G77" s="149"/>
      <c r="H77" s="150">
        <v>45818</v>
      </c>
      <c r="I77" s="155"/>
      <c r="J77" s="151"/>
      <c r="K77" s="155"/>
      <c r="L77" s="155"/>
      <c r="M77" s="149"/>
      <c r="N77" s="152" t="s">
        <v>160</v>
      </c>
      <c r="O77" s="153"/>
      <c r="P77" s="153"/>
      <c r="Q77" s="153"/>
      <c r="R77" s="153"/>
      <c r="S77" s="153"/>
      <c r="T77" s="153"/>
      <c r="U77" s="153"/>
      <c r="V77" s="153"/>
      <c r="W77" s="153"/>
      <c r="X77" s="153"/>
      <c r="Y77" s="153"/>
      <c r="Z77" s="153"/>
    </row>
    <row r="78" ht="44" spans="1:26">
      <c r="A78" s="149" t="s">
        <v>165</v>
      </c>
      <c r="B78" s="156" t="s">
        <v>198</v>
      </c>
      <c r="C78" s="156" t="s">
        <v>199</v>
      </c>
      <c r="D78" s="156" t="s">
        <v>189</v>
      </c>
      <c r="E78" s="149" t="s">
        <v>84</v>
      </c>
      <c r="F78" s="149" t="s">
        <v>41</v>
      </c>
      <c r="G78" s="149"/>
      <c r="H78" s="150">
        <v>45818</v>
      </c>
      <c r="I78" s="150">
        <v>46237</v>
      </c>
      <c r="J78" s="151"/>
      <c r="K78" s="150"/>
      <c r="L78" s="150"/>
      <c r="M78" s="149"/>
      <c r="N78" s="152" t="s">
        <v>200</v>
      </c>
      <c r="O78" s="153"/>
      <c r="P78" s="153"/>
      <c r="Q78" s="153"/>
      <c r="R78" s="153"/>
      <c r="S78" s="153"/>
      <c r="T78" s="153"/>
      <c r="U78" s="153"/>
      <c r="V78" s="153"/>
      <c r="W78" s="153"/>
      <c r="X78" s="153"/>
      <c r="Y78" s="153"/>
      <c r="Z78" s="153"/>
    </row>
    <row r="79" ht="29" spans="1:26">
      <c r="A79" s="149" t="s">
        <v>165</v>
      </c>
      <c r="B79" s="149" t="s">
        <v>201</v>
      </c>
      <c r="C79" s="149" t="s">
        <v>202</v>
      </c>
      <c r="D79" s="149" t="s">
        <v>98</v>
      </c>
      <c r="E79" s="149" t="s">
        <v>17</v>
      </c>
      <c r="F79" s="149" t="s">
        <v>41</v>
      </c>
      <c r="G79" s="149" t="s">
        <v>203</v>
      </c>
      <c r="H79" s="150">
        <v>45869</v>
      </c>
      <c r="I79" s="150">
        <v>46237</v>
      </c>
      <c r="J79" s="151"/>
      <c r="K79" s="150"/>
      <c r="L79" s="150"/>
      <c r="M79" s="149" t="s">
        <v>204</v>
      </c>
      <c r="N79" s="152"/>
      <c r="O79" s="153"/>
      <c r="P79" s="153"/>
      <c r="Q79" s="153"/>
      <c r="R79" s="153"/>
      <c r="S79" s="153"/>
      <c r="T79" s="153"/>
      <c r="U79" s="153"/>
      <c r="V79" s="153"/>
      <c r="W79" s="153"/>
      <c r="X79" s="153"/>
      <c r="Y79" s="153"/>
      <c r="Z79" s="153"/>
    </row>
    <row r="80" spans="1:26">
      <c r="A80" s="149" t="s">
        <v>165</v>
      </c>
      <c r="B80" s="149" t="s">
        <v>205</v>
      </c>
      <c r="C80" s="149" t="s">
        <v>206</v>
      </c>
      <c r="D80" s="149" t="s">
        <v>98</v>
      </c>
      <c r="E80" s="149" t="s">
        <v>17</v>
      </c>
      <c r="F80" s="149" t="s">
        <v>18</v>
      </c>
      <c r="G80" s="149"/>
      <c r="H80" s="150">
        <v>45869</v>
      </c>
      <c r="I80" s="155"/>
      <c r="J80" s="151"/>
      <c r="K80" s="155"/>
      <c r="L80" s="155"/>
      <c r="M80" s="149"/>
      <c r="N80" s="152" t="s">
        <v>207</v>
      </c>
      <c r="O80" s="153"/>
      <c r="P80" s="153"/>
      <c r="Q80" s="153"/>
      <c r="R80" s="153"/>
      <c r="S80" s="153"/>
      <c r="T80" s="153"/>
      <c r="U80" s="153"/>
      <c r="V80" s="153"/>
      <c r="W80" s="153"/>
      <c r="X80" s="153"/>
      <c r="Y80" s="153"/>
      <c r="Z80" s="153"/>
    </row>
    <row r="81" ht="29" spans="1:26">
      <c r="A81" s="149" t="s">
        <v>165</v>
      </c>
      <c r="B81" s="149" t="s">
        <v>208</v>
      </c>
      <c r="C81" s="149" t="s">
        <v>209</v>
      </c>
      <c r="D81" s="149" t="s">
        <v>98</v>
      </c>
      <c r="E81" s="149" t="s">
        <v>17</v>
      </c>
      <c r="F81" s="149" t="s">
        <v>18</v>
      </c>
      <c r="G81" s="149" t="s">
        <v>210</v>
      </c>
      <c r="H81" s="150">
        <v>45869</v>
      </c>
      <c r="I81" s="155"/>
      <c r="J81" s="151"/>
      <c r="K81" s="155"/>
      <c r="L81" s="155"/>
      <c r="M81" s="149"/>
      <c r="N81" s="152"/>
      <c r="O81" s="153"/>
      <c r="P81" s="153"/>
      <c r="Q81" s="153"/>
      <c r="R81" s="153"/>
      <c r="S81" s="153"/>
      <c r="T81" s="153"/>
      <c r="U81" s="153"/>
      <c r="V81" s="153"/>
      <c r="W81" s="153"/>
      <c r="X81" s="153"/>
      <c r="Y81" s="153"/>
      <c r="Z81" s="153"/>
    </row>
    <row r="82" ht="44" spans="1:26">
      <c r="A82" s="149" t="s">
        <v>165</v>
      </c>
      <c r="B82" s="149" t="s">
        <v>211</v>
      </c>
      <c r="C82" s="149" t="s">
        <v>212</v>
      </c>
      <c r="D82" s="149" t="s">
        <v>98</v>
      </c>
      <c r="E82" s="149" t="s">
        <v>17</v>
      </c>
      <c r="F82" s="149" t="s">
        <v>18</v>
      </c>
      <c r="G82" s="149" t="s">
        <v>210</v>
      </c>
      <c r="H82" s="150">
        <v>45869</v>
      </c>
      <c r="I82" s="155"/>
      <c r="J82" s="151"/>
      <c r="K82" s="155"/>
      <c r="L82" s="155"/>
      <c r="M82" s="149"/>
      <c r="N82" s="152" t="s">
        <v>213</v>
      </c>
      <c r="O82" s="153"/>
      <c r="P82" s="153"/>
      <c r="Q82" s="153"/>
      <c r="R82" s="153"/>
      <c r="S82" s="153"/>
      <c r="T82" s="153"/>
      <c r="U82" s="153"/>
      <c r="V82" s="153"/>
      <c r="W82" s="153"/>
      <c r="X82" s="153"/>
      <c r="Y82" s="153"/>
      <c r="Z82" s="153"/>
    </row>
    <row r="83" ht="58" spans="1:26">
      <c r="A83" s="149" t="s">
        <v>165</v>
      </c>
      <c r="B83" s="149" t="s">
        <v>214</v>
      </c>
      <c r="C83" s="156" t="s">
        <v>215</v>
      </c>
      <c r="D83" s="149" t="s">
        <v>98</v>
      </c>
      <c r="E83" s="149" t="s">
        <v>17</v>
      </c>
      <c r="F83" s="149" t="s">
        <v>18</v>
      </c>
      <c r="G83" s="149"/>
      <c r="H83" s="150">
        <v>45869</v>
      </c>
      <c r="I83" s="155"/>
      <c r="J83" s="151"/>
      <c r="K83" s="155"/>
      <c r="L83" s="155"/>
      <c r="M83" s="149"/>
      <c r="N83" s="152"/>
      <c r="O83" s="153"/>
      <c r="P83" s="153"/>
      <c r="Q83" s="153"/>
      <c r="R83" s="153"/>
      <c r="S83" s="153"/>
      <c r="T83" s="153"/>
      <c r="U83" s="153"/>
      <c r="V83" s="153"/>
      <c r="W83" s="153"/>
      <c r="X83" s="153"/>
      <c r="Y83" s="153"/>
      <c r="Z83" s="153"/>
    </row>
    <row r="84" ht="29" spans="1:26">
      <c r="A84" s="149" t="s">
        <v>165</v>
      </c>
      <c r="B84" s="149" t="s">
        <v>216</v>
      </c>
      <c r="C84" s="149" t="s">
        <v>217</v>
      </c>
      <c r="D84" s="149" t="s">
        <v>98</v>
      </c>
      <c r="E84" s="149" t="s">
        <v>17</v>
      </c>
      <c r="F84" s="149" t="s">
        <v>18</v>
      </c>
      <c r="G84" s="149" t="s">
        <v>218</v>
      </c>
      <c r="H84" s="150">
        <v>45869</v>
      </c>
      <c r="I84" s="150">
        <v>46122</v>
      </c>
      <c r="J84" s="151"/>
      <c r="K84" s="150"/>
      <c r="L84" s="150"/>
      <c r="M84" s="149" t="s">
        <v>99</v>
      </c>
      <c r="N84" s="152" t="s">
        <v>207</v>
      </c>
      <c r="O84" s="153"/>
      <c r="P84" s="153"/>
      <c r="Q84" s="153"/>
      <c r="R84" s="153"/>
      <c r="S84" s="153"/>
      <c r="T84" s="153"/>
      <c r="U84" s="153"/>
      <c r="V84" s="153"/>
      <c r="W84" s="153"/>
      <c r="X84" s="153"/>
      <c r="Y84" s="153"/>
      <c r="Z84" s="153"/>
    </row>
    <row r="85" spans="1:26">
      <c r="A85" s="149" t="s">
        <v>165</v>
      </c>
      <c r="B85" s="149" t="s">
        <v>219</v>
      </c>
      <c r="C85" s="149" t="s">
        <v>220</v>
      </c>
      <c r="D85" s="149" t="s">
        <v>98</v>
      </c>
      <c r="E85" s="149" t="s">
        <v>17</v>
      </c>
      <c r="F85" s="149" t="s">
        <v>41</v>
      </c>
      <c r="G85" s="149" t="s">
        <v>221</v>
      </c>
      <c r="H85" s="150">
        <v>45869</v>
      </c>
      <c r="I85" s="150">
        <v>46237</v>
      </c>
      <c r="J85" s="151"/>
      <c r="K85" s="150"/>
      <c r="L85" s="150"/>
      <c r="M85" s="149" t="s">
        <v>99</v>
      </c>
      <c r="N85" s="152" t="s">
        <v>222</v>
      </c>
      <c r="O85" s="153"/>
      <c r="P85" s="153"/>
      <c r="Q85" s="153"/>
      <c r="R85" s="153"/>
      <c r="S85" s="153"/>
      <c r="T85" s="153"/>
      <c r="U85" s="153"/>
      <c r="V85" s="153"/>
      <c r="W85" s="153"/>
      <c r="X85" s="153"/>
      <c r="Y85" s="153"/>
      <c r="Z85" s="153"/>
    </row>
    <row r="86" ht="29" spans="1:26">
      <c r="A86" s="149" t="s">
        <v>165</v>
      </c>
      <c r="B86" s="149" t="s">
        <v>223</v>
      </c>
      <c r="C86" s="149" t="s">
        <v>224</v>
      </c>
      <c r="D86" s="149" t="s">
        <v>189</v>
      </c>
      <c r="E86" s="149" t="s">
        <v>17</v>
      </c>
      <c r="F86" s="149" t="s">
        <v>41</v>
      </c>
      <c r="G86" s="149"/>
      <c r="H86" s="150">
        <v>45869</v>
      </c>
      <c r="I86" s="150">
        <v>46237</v>
      </c>
      <c r="J86" s="151"/>
      <c r="K86" s="150"/>
      <c r="L86" s="150"/>
      <c r="M86" s="149" t="s">
        <v>204</v>
      </c>
      <c r="N86" s="152" t="s">
        <v>225</v>
      </c>
      <c r="O86" s="153"/>
      <c r="P86" s="153"/>
      <c r="Q86" s="153"/>
      <c r="R86" s="153"/>
      <c r="S86" s="153"/>
      <c r="T86" s="153"/>
      <c r="U86" s="153"/>
      <c r="V86" s="153"/>
      <c r="W86" s="153"/>
      <c r="X86" s="153"/>
      <c r="Y86" s="153"/>
      <c r="Z86" s="153"/>
    </row>
    <row r="87" spans="1:26">
      <c r="A87" s="149" t="s">
        <v>165</v>
      </c>
      <c r="B87" s="149" t="s">
        <v>226</v>
      </c>
      <c r="C87" s="149" t="s">
        <v>227</v>
      </c>
      <c r="D87" s="149" t="s">
        <v>98</v>
      </c>
      <c r="E87" s="149" t="s">
        <v>17</v>
      </c>
      <c r="F87" s="149" t="s">
        <v>150</v>
      </c>
      <c r="G87" s="149"/>
      <c r="H87" s="150">
        <v>45869</v>
      </c>
      <c r="I87" s="150"/>
      <c r="J87" s="151"/>
      <c r="K87" s="150"/>
      <c r="L87" s="150"/>
      <c r="M87" s="149"/>
      <c r="N87" s="152"/>
      <c r="O87" s="153"/>
      <c r="P87" s="153"/>
      <c r="Q87" s="153"/>
      <c r="R87" s="153"/>
      <c r="S87" s="153"/>
      <c r="T87" s="153"/>
      <c r="U87" s="153"/>
      <c r="V87" s="153"/>
      <c r="W87" s="153"/>
      <c r="X87" s="153"/>
      <c r="Y87" s="153"/>
      <c r="Z87" s="153"/>
    </row>
    <row r="88" ht="29" spans="1:26">
      <c r="A88" s="149" t="s">
        <v>165</v>
      </c>
      <c r="B88" s="149" t="s">
        <v>185</v>
      </c>
      <c r="C88" s="149" t="s">
        <v>228</v>
      </c>
      <c r="D88" s="149" t="s">
        <v>98</v>
      </c>
      <c r="E88" s="149" t="s">
        <v>17</v>
      </c>
      <c r="F88" s="149" t="s">
        <v>38</v>
      </c>
      <c r="G88" s="149" t="s">
        <v>229</v>
      </c>
      <c r="H88" s="150">
        <v>45869</v>
      </c>
      <c r="I88" s="150">
        <v>46241</v>
      </c>
      <c r="J88" s="151"/>
      <c r="K88" s="150"/>
      <c r="L88" s="150"/>
      <c r="M88" s="149" t="s">
        <v>204</v>
      </c>
      <c r="N88" s="152"/>
      <c r="O88" s="153"/>
      <c r="P88" s="153"/>
      <c r="Q88" s="153"/>
      <c r="R88" s="153"/>
      <c r="S88" s="153"/>
      <c r="T88" s="153"/>
      <c r="U88" s="153"/>
      <c r="V88" s="153"/>
      <c r="W88" s="153"/>
      <c r="X88" s="153"/>
      <c r="Y88" s="153"/>
      <c r="Z88" s="153"/>
    </row>
    <row r="89" spans="1:26">
      <c r="A89" s="149" t="s">
        <v>165</v>
      </c>
      <c r="B89" s="149" t="s">
        <v>230</v>
      </c>
      <c r="C89" s="149" t="s">
        <v>231</v>
      </c>
      <c r="D89" s="149" t="s">
        <v>98</v>
      </c>
      <c r="E89" s="149" t="s">
        <v>17</v>
      </c>
      <c r="F89" s="149" t="s">
        <v>38</v>
      </c>
      <c r="G89" s="149" t="s">
        <v>221</v>
      </c>
      <c r="H89" s="150">
        <v>45869</v>
      </c>
      <c r="I89" s="150">
        <v>46241</v>
      </c>
      <c r="J89" s="151"/>
      <c r="K89" s="150"/>
      <c r="L89" s="150"/>
      <c r="M89" s="149" t="s">
        <v>99</v>
      </c>
      <c r="N89" s="152" t="s">
        <v>232</v>
      </c>
      <c r="O89" s="153"/>
      <c r="P89" s="153"/>
      <c r="Q89" s="153"/>
      <c r="R89" s="153"/>
      <c r="S89" s="153"/>
      <c r="T89" s="153"/>
      <c r="U89" s="153"/>
      <c r="V89" s="153"/>
      <c r="W89" s="153"/>
      <c r="X89" s="153"/>
      <c r="Y89" s="153"/>
      <c r="Z89" s="153"/>
    </row>
    <row r="90" spans="1:26">
      <c r="A90" s="149" t="s">
        <v>165</v>
      </c>
      <c r="B90" s="149" t="s">
        <v>233</v>
      </c>
      <c r="C90" s="149" t="s">
        <v>234</v>
      </c>
      <c r="D90" s="149" t="s">
        <v>98</v>
      </c>
      <c r="E90" s="149" t="s">
        <v>17</v>
      </c>
      <c r="F90" s="149" t="s">
        <v>38</v>
      </c>
      <c r="G90" s="149" t="s">
        <v>221</v>
      </c>
      <c r="H90" s="150">
        <v>45869</v>
      </c>
      <c r="I90" s="150">
        <v>46241</v>
      </c>
      <c r="J90" s="151"/>
      <c r="K90" s="150"/>
      <c r="L90" s="150"/>
      <c r="M90" s="149" t="s">
        <v>99</v>
      </c>
      <c r="N90" s="152"/>
      <c r="O90" s="153"/>
      <c r="P90" s="153"/>
      <c r="Q90" s="153"/>
      <c r="R90" s="153"/>
      <c r="S90" s="153"/>
      <c r="T90" s="153"/>
      <c r="U90" s="153"/>
      <c r="V90" s="153"/>
      <c r="W90" s="153"/>
      <c r="X90" s="153"/>
      <c r="Y90" s="153"/>
      <c r="Z90" s="153"/>
    </row>
    <row r="91" ht="58" spans="1:26">
      <c r="A91" s="149" t="s">
        <v>165</v>
      </c>
      <c r="B91" s="149" t="s">
        <v>235</v>
      </c>
      <c r="C91" s="149" t="s">
        <v>236</v>
      </c>
      <c r="D91" s="149" t="s">
        <v>98</v>
      </c>
      <c r="E91" s="149" t="s">
        <v>17</v>
      </c>
      <c r="F91" s="149" t="s">
        <v>38</v>
      </c>
      <c r="G91" s="149" t="s">
        <v>229</v>
      </c>
      <c r="H91" s="150">
        <v>45869</v>
      </c>
      <c r="I91" s="150">
        <v>46241</v>
      </c>
      <c r="J91" s="151"/>
      <c r="K91" s="150"/>
      <c r="L91" s="150"/>
      <c r="M91" s="149" t="s">
        <v>204</v>
      </c>
      <c r="N91" s="152" t="s">
        <v>237</v>
      </c>
      <c r="O91" s="153"/>
      <c r="P91" s="153"/>
      <c r="Q91" s="153"/>
      <c r="R91" s="153"/>
      <c r="S91" s="153"/>
      <c r="T91" s="153"/>
      <c r="U91" s="153"/>
      <c r="V91" s="153"/>
      <c r="W91" s="153"/>
      <c r="X91" s="153"/>
      <c r="Y91" s="153"/>
      <c r="Z91" s="153"/>
    </row>
    <row r="92" spans="1:26">
      <c r="A92" s="149" t="s">
        <v>165</v>
      </c>
      <c r="B92" s="149" t="s">
        <v>238</v>
      </c>
      <c r="C92" s="149" t="s">
        <v>239</v>
      </c>
      <c r="D92" s="149" t="s">
        <v>98</v>
      </c>
      <c r="E92" s="149" t="s">
        <v>17</v>
      </c>
      <c r="F92" s="149" t="s">
        <v>38</v>
      </c>
      <c r="G92" s="149" t="s">
        <v>229</v>
      </c>
      <c r="H92" s="150">
        <v>45869</v>
      </c>
      <c r="I92" s="150">
        <v>46241</v>
      </c>
      <c r="J92" s="151"/>
      <c r="K92" s="150"/>
      <c r="L92" s="150"/>
      <c r="M92" s="149" t="s">
        <v>204</v>
      </c>
      <c r="N92" s="152"/>
      <c r="O92" s="153"/>
      <c r="P92" s="153"/>
      <c r="Q92" s="153"/>
      <c r="R92" s="153"/>
      <c r="S92" s="153"/>
      <c r="T92" s="153"/>
      <c r="U92" s="153"/>
      <c r="V92" s="153"/>
      <c r="W92" s="153"/>
      <c r="X92" s="153"/>
      <c r="Y92" s="153"/>
      <c r="Z92" s="153"/>
    </row>
    <row r="93" spans="1:26">
      <c r="A93" s="149" t="s">
        <v>165</v>
      </c>
      <c r="B93" s="149" t="s">
        <v>240</v>
      </c>
      <c r="C93" s="149" t="s">
        <v>241</v>
      </c>
      <c r="D93" s="149" t="s">
        <v>98</v>
      </c>
      <c r="E93" s="149" t="s">
        <v>17</v>
      </c>
      <c r="F93" s="149" t="s">
        <v>38</v>
      </c>
      <c r="G93" s="149" t="s">
        <v>229</v>
      </c>
      <c r="H93" s="150">
        <v>45869</v>
      </c>
      <c r="I93" s="150">
        <v>46241</v>
      </c>
      <c r="J93" s="151"/>
      <c r="K93" s="150"/>
      <c r="L93" s="150"/>
      <c r="M93" s="149" t="s">
        <v>158</v>
      </c>
      <c r="N93" s="152"/>
      <c r="O93" s="153"/>
      <c r="P93" s="153"/>
      <c r="Q93" s="153"/>
      <c r="R93" s="153"/>
      <c r="S93" s="153"/>
      <c r="T93" s="153"/>
      <c r="U93" s="153"/>
      <c r="V93" s="153"/>
      <c r="W93" s="153"/>
      <c r="X93" s="153"/>
      <c r="Y93" s="153"/>
      <c r="Z93" s="153"/>
    </row>
    <row r="94" spans="1:26">
      <c r="A94" s="149" t="s">
        <v>165</v>
      </c>
      <c r="B94" s="149" t="s">
        <v>240</v>
      </c>
      <c r="C94" s="149" t="s">
        <v>242</v>
      </c>
      <c r="D94" s="149" t="s">
        <v>98</v>
      </c>
      <c r="E94" s="149" t="s">
        <v>17</v>
      </c>
      <c r="F94" s="149" t="s">
        <v>38</v>
      </c>
      <c r="G94" s="149" t="s">
        <v>229</v>
      </c>
      <c r="H94" s="150">
        <v>45869</v>
      </c>
      <c r="I94" s="150">
        <v>46241</v>
      </c>
      <c r="J94" s="151"/>
      <c r="K94" s="150"/>
      <c r="L94" s="150"/>
      <c r="M94" s="149" t="s">
        <v>158</v>
      </c>
      <c r="N94" s="152"/>
      <c r="O94" s="153"/>
      <c r="P94" s="153"/>
      <c r="Q94" s="153"/>
      <c r="R94" s="153"/>
      <c r="S94" s="153"/>
      <c r="T94" s="153"/>
      <c r="U94" s="153"/>
      <c r="V94" s="153"/>
      <c r="W94" s="153"/>
      <c r="X94" s="153"/>
      <c r="Y94" s="153"/>
      <c r="Z94" s="153"/>
    </row>
    <row r="95" ht="29" spans="1:26">
      <c r="A95" s="149" t="s">
        <v>165</v>
      </c>
      <c r="B95" s="149" t="s">
        <v>243</v>
      </c>
      <c r="C95" s="149" t="s">
        <v>244</v>
      </c>
      <c r="D95" s="149" t="s">
        <v>189</v>
      </c>
      <c r="E95" s="149" t="s">
        <v>17</v>
      </c>
      <c r="F95" s="149" t="s">
        <v>38</v>
      </c>
      <c r="G95" s="149"/>
      <c r="H95" s="150">
        <v>45869</v>
      </c>
      <c r="I95" s="155"/>
      <c r="J95" s="151"/>
      <c r="K95" s="155"/>
      <c r="L95" s="155"/>
      <c r="M95" s="149"/>
      <c r="N95" s="152" t="s">
        <v>245</v>
      </c>
      <c r="O95" s="153"/>
      <c r="P95" s="153"/>
      <c r="Q95" s="153"/>
      <c r="R95" s="153"/>
      <c r="S95" s="153"/>
      <c r="T95" s="153"/>
      <c r="U95" s="153"/>
      <c r="V95" s="153"/>
      <c r="W95" s="153"/>
      <c r="X95" s="153"/>
      <c r="Y95" s="153"/>
      <c r="Z95" s="153"/>
    </row>
    <row r="96" spans="1:26">
      <c r="A96" s="149" t="s">
        <v>165</v>
      </c>
      <c r="B96" s="149" t="s">
        <v>246</v>
      </c>
      <c r="C96" s="149" t="s">
        <v>247</v>
      </c>
      <c r="D96" s="149" t="s">
        <v>189</v>
      </c>
      <c r="E96" s="149" t="s">
        <v>17</v>
      </c>
      <c r="F96" s="149" t="s">
        <v>38</v>
      </c>
      <c r="G96" s="149" t="s">
        <v>230</v>
      </c>
      <c r="H96" s="150">
        <v>45869</v>
      </c>
      <c r="I96" s="150">
        <v>46241</v>
      </c>
      <c r="J96" s="151"/>
      <c r="K96" s="150"/>
      <c r="L96" s="150"/>
      <c r="M96" s="149" t="s">
        <v>99</v>
      </c>
      <c r="N96" s="152" t="s">
        <v>232</v>
      </c>
      <c r="O96" s="153"/>
      <c r="P96" s="153"/>
      <c r="Q96" s="153"/>
      <c r="R96" s="153"/>
      <c r="S96" s="153"/>
      <c r="T96" s="153"/>
      <c r="U96" s="153"/>
      <c r="V96" s="153"/>
      <c r="W96" s="153"/>
      <c r="X96" s="153"/>
      <c r="Y96" s="153"/>
      <c r="Z96" s="153"/>
    </row>
    <row r="97" spans="1:26">
      <c r="A97" s="149" t="s">
        <v>165</v>
      </c>
      <c r="B97" s="149" t="s">
        <v>248</v>
      </c>
      <c r="C97" s="149" t="s">
        <v>249</v>
      </c>
      <c r="D97" s="149" t="s">
        <v>98</v>
      </c>
      <c r="E97" s="149" t="s">
        <v>17</v>
      </c>
      <c r="F97" s="149" t="s">
        <v>18</v>
      </c>
      <c r="G97" s="149"/>
      <c r="H97" s="150">
        <v>45869</v>
      </c>
      <c r="I97" s="150">
        <v>46234</v>
      </c>
      <c r="J97" s="151"/>
      <c r="K97" s="150"/>
      <c r="L97" s="150"/>
      <c r="M97" s="149"/>
      <c r="N97" s="152" t="s">
        <v>250</v>
      </c>
      <c r="O97" s="153"/>
      <c r="P97" s="153"/>
      <c r="Q97" s="153"/>
      <c r="R97" s="153"/>
      <c r="S97" s="153"/>
      <c r="T97" s="153"/>
      <c r="U97" s="153"/>
      <c r="V97" s="153"/>
      <c r="W97" s="153"/>
      <c r="X97" s="153"/>
      <c r="Y97" s="153"/>
      <c r="Z97" s="153"/>
    </row>
    <row r="98" ht="29" spans="1:26">
      <c r="A98" s="149" t="s">
        <v>251</v>
      </c>
      <c r="B98" s="149" t="s">
        <v>252</v>
      </c>
      <c r="C98" s="149" t="s">
        <v>253</v>
      </c>
      <c r="D98" s="149" t="s">
        <v>98</v>
      </c>
      <c r="E98" s="149" t="s">
        <v>17</v>
      </c>
      <c r="F98" s="149" t="s">
        <v>18</v>
      </c>
      <c r="G98" s="149" t="s">
        <v>254</v>
      </c>
      <c r="H98" s="150">
        <v>45869</v>
      </c>
      <c r="I98" s="150">
        <v>46234</v>
      </c>
      <c r="J98" s="151"/>
      <c r="K98" s="150"/>
      <c r="L98" s="150"/>
      <c r="M98" s="149" t="s">
        <v>158</v>
      </c>
      <c r="N98" s="152"/>
      <c r="O98" s="153"/>
      <c r="P98" s="153"/>
      <c r="Q98" s="153"/>
      <c r="R98" s="153"/>
      <c r="S98" s="153"/>
      <c r="T98" s="153"/>
      <c r="U98" s="153"/>
      <c r="V98" s="153"/>
      <c r="W98" s="153"/>
      <c r="X98" s="153"/>
      <c r="Y98" s="153"/>
      <c r="Z98" s="153"/>
    </row>
    <row r="99" ht="29" spans="1:26">
      <c r="A99" s="149" t="s">
        <v>255</v>
      </c>
      <c r="B99" s="149" t="s">
        <v>256</v>
      </c>
      <c r="C99" s="149" t="s">
        <v>257</v>
      </c>
      <c r="D99" s="149" t="s">
        <v>98</v>
      </c>
      <c r="E99" s="149" t="s">
        <v>84</v>
      </c>
      <c r="F99" s="149" t="s">
        <v>18</v>
      </c>
      <c r="G99" s="149" t="s">
        <v>258</v>
      </c>
      <c r="H99" s="150">
        <v>45818</v>
      </c>
      <c r="I99" s="150">
        <v>46183</v>
      </c>
      <c r="J99" s="151"/>
      <c r="K99" s="150"/>
      <c r="L99" s="150"/>
      <c r="M99" s="149" t="s">
        <v>99</v>
      </c>
      <c r="N99" s="152"/>
      <c r="O99" s="153"/>
      <c r="P99" s="153"/>
      <c r="Q99" s="153"/>
      <c r="R99" s="153"/>
      <c r="S99" s="153"/>
      <c r="T99" s="153"/>
      <c r="U99" s="153"/>
      <c r="V99" s="153"/>
      <c r="W99" s="153"/>
      <c r="X99" s="153"/>
      <c r="Y99" s="153"/>
      <c r="Z99" s="153"/>
    </row>
    <row r="100" ht="29" spans="1:26">
      <c r="A100" s="149" t="s">
        <v>255</v>
      </c>
      <c r="B100" s="149" t="s">
        <v>259</v>
      </c>
      <c r="C100" s="149" t="s">
        <v>260</v>
      </c>
      <c r="D100" s="149" t="s">
        <v>98</v>
      </c>
      <c r="E100" s="149" t="s">
        <v>84</v>
      </c>
      <c r="F100" s="149" t="s">
        <v>18</v>
      </c>
      <c r="G100" s="149" t="s">
        <v>171</v>
      </c>
      <c r="H100" s="150">
        <v>45818</v>
      </c>
      <c r="I100" s="150">
        <v>46185</v>
      </c>
      <c r="J100" s="151"/>
      <c r="K100" s="150"/>
      <c r="L100" s="150"/>
      <c r="M100" s="149" t="s">
        <v>99</v>
      </c>
      <c r="N100" s="152"/>
      <c r="O100" s="153"/>
      <c r="P100" s="153"/>
      <c r="Q100" s="153"/>
      <c r="R100" s="153"/>
      <c r="S100" s="153"/>
      <c r="T100" s="153"/>
      <c r="U100" s="153"/>
      <c r="V100" s="153"/>
      <c r="W100" s="153"/>
      <c r="X100" s="153"/>
      <c r="Y100" s="153"/>
      <c r="Z100" s="153"/>
    </row>
    <row r="101" ht="29" spans="1:26">
      <c r="A101" s="149" t="s">
        <v>261</v>
      </c>
      <c r="B101" s="149" t="s">
        <v>262</v>
      </c>
      <c r="C101" s="149" t="s">
        <v>263</v>
      </c>
      <c r="D101" s="149" t="s">
        <v>98</v>
      </c>
      <c r="E101" s="149" t="s">
        <v>84</v>
      </c>
      <c r="F101" s="149" t="s">
        <v>18</v>
      </c>
      <c r="G101" s="149"/>
      <c r="H101" s="150">
        <v>45818</v>
      </c>
      <c r="I101" s="155"/>
      <c r="J101" s="151"/>
      <c r="K101" s="155"/>
      <c r="L101" s="155"/>
      <c r="M101" s="149"/>
      <c r="N101" s="152"/>
      <c r="O101" s="153"/>
      <c r="P101" s="153"/>
      <c r="Q101" s="153"/>
      <c r="R101" s="153"/>
      <c r="S101" s="153"/>
      <c r="T101" s="153"/>
      <c r="U101" s="153"/>
      <c r="V101" s="153"/>
      <c r="W101" s="153"/>
      <c r="X101" s="153"/>
      <c r="Y101" s="153"/>
      <c r="Z101" s="153"/>
    </row>
    <row r="102" ht="29" spans="1:26">
      <c r="A102" s="149" t="s">
        <v>255</v>
      </c>
      <c r="B102" s="149" t="s">
        <v>264</v>
      </c>
      <c r="C102" s="149" t="s">
        <v>265</v>
      </c>
      <c r="D102" s="149" t="s">
        <v>98</v>
      </c>
      <c r="E102" s="149" t="s">
        <v>17</v>
      </c>
      <c r="F102" s="149" t="s">
        <v>41</v>
      </c>
      <c r="G102" s="149"/>
      <c r="H102" s="150">
        <v>45869</v>
      </c>
      <c r="I102" s="150">
        <v>46237</v>
      </c>
      <c r="J102" s="151"/>
      <c r="K102" s="150"/>
      <c r="L102" s="150"/>
      <c r="M102" s="149" t="s">
        <v>99</v>
      </c>
      <c r="N102" s="152"/>
      <c r="O102" s="153"/>
      <c r="P102" s="153"/>
      <c r="Q102" s="153"/>
      <c r="R102" s="153"/>
      <c r="S102" s="153"/>
      <c r="T102" s="153"/>
      <c r="U102" s="153"/>
      <c r="V102" s="153"/>
      <c r="W102" s="153"/>
      <c r="X102" s="153"/>
      <c r="Y102" s="153"/>
      <c r="Z102" s="153"/>
    </row>
    <row r="103" ht="29" spans="1:26">
      <c r="A103" s="149" t="s">
        <v>255</v>
      </c>
      <c r="B103" s="149" t="s">
        <v>266</v>
      </c>
      <c r="C103" s="149" t="s">
        <v>267</v>
      </c>
      <c r="D103" s="149" t="s">
        <v>98</v>
      </c>
      <c r="E103" s="149" t="s">
        <v>17</v>
      </c>
      <c r="F103" s="149" t="s">
        <v>18</v>
      </c>
      <c r="G103" s="149"/>
      <c r="H103" s="150">
        <v>45869</v>
      </c>
      <c r="I103" s="150">
        <v>46184</v>
      </c>
      <c r="J103" s="151"/>
      <c r="K103" s="150"/>
      <c r="L103" s="150"/>
      <c r="M103" s="149"/>
      <c r="N103" s="152" t="s">
        <v>268</v>
      </c>
      <c r="O103" s="153"/>
      <c r="P103" s="153"/>
      <c r="Q103" s="153"/>
      <c r="R103" s="153"/>
      <c r="S103" s="153"/>
      <c r="T103" s="153"/>
      <c r="U103" s="153"/>
      <c r="V103" s="153"/>
      <c r="W103" s="153"/>
      <c r="X103" s="153"/>
      <c r="Y103" s="153"/>
      <c r="Z103" s="153"/>
    </row>
    <row r="104" ht="29" spans="1:26">
      <c r="A104" s="149" t="s">
        <v>255</v>
      </c>
      <c r="B104" s="149" t="s">
        <v>269</v>
      </c>
      <c r="C104" s="149" t="s">
        <v>270</v>
      </c>
      <c r="D104" s="149" t="s">
        <v>98</v>
      </c>
      <c r="E104" s="149" t="s">
        <v>17</v>
      </c>
      <c r="F104" s="149" t="s">
        <v>18</v>
      </c>
      <c r="G104" s="149" t="s">
        <v>271</v>
      </c>
      <c r="H104" s="150">
        <v>45869</v>
      </c>
      <c r="I104" s="155"/>
      <c r="J104" s="151"/>
      <c r="K104" s="155"/>
      <c r="L104" s="155"/>
      <c r="M104" s="149"/>
      <c r="N104" s="152"/>
      <c r="O104" s="153"/>
      <c r="P104" s="153"/>
      <c r="Q104" s="153"/>
      <c r="R104" s="153"/>
      <c r="S104" s="153"/>
      <c r="T104" s="153"/>
      <c r="U104" s="153"/>
      <c r="V104" s="153"/>
      <c r="W104" s="153"/>
      <c r="X104" s="153"/>
      <c r="Y104" s="153"/>
      <c r="Z104" s="153"/>
    </row>
    <row r="105" ht="29" spans="1:26">
      <c r="A105" s="149" t="s">
        <v>255</v>
      </c>
      <c r="B105" s="149" t="s">
        <v>272</v>
      </c>
      <c r="C105" s="149" t="s">
        <v>273</v>
      </c>
      <c r="D105" s="149" t="s">
        <v>98</v>
      </c>
      <c r="E105" s="149" t="s">
        <v>17</v>
      </c>
      <c r="F105" s="149" t="s">
        <v>41</v>
      </c>
      <c r="G105" s="149"/>
      <c r="H105" s="150">
        <v>45869</v>
      </c>
      <c r="I105" s="150">
        <v>46237</v>
      </c>
      <c r="J105" s="151"/>
      <c r="K105" s="150"/>
      <c r="L105" s="150"/>
      <c r="M105" s="149" t="s">
        <v>204</v>
      </c>
      <c r="N105" s="152"/>
      <c r="O105" s="153"/>
      <c r="P105" s="153"/>
      <c r="Q105" s="153"/>
      <c r="R105" s="153"/>
      <c r="S105" s="153"/>
      <c r="T105" s="153"/>
      <c r="U105" s="153"/>
      <c r="V105" s="153"/>
      <c r="W105" s="153"/>
      <c r="X105" s="153"/>
      <c r="Y105" s="153"/>
      <c r="Z105" s="153"/>
    </row>
    <row r="106" ht="29" spans="1:26">
      <c r="A106" s="149" t="s">
        <v>274</v>
      </c>
      <c r="B106" s="149" t="s">
        <v>275</v>
      </c>
      <c r="C106" s="149" t="s">
        <v>276</v>
      </c>
      <c r="D106" s="149" t="s">
        <v>98</v>
      </c>
      <c r="E106" s="149" t="s">
        <v>84</v>
      </c>
      <c r="F106" s="149" t="s">
        <v>18</v>
      </c>
      <c r="G106" s="149"/>
      <c r="H106" s="150">
        <v>45818</v>
      </c>
      <c r="I106" s="150">
        <v>46168</v>
      </c>
      <c r="J106" s="151"/>
      <c r="K106" s="150"/>
      <c r="L106" s="150"/>
      <c r="M106" s="149"/>
      <c r="N106" s="152" t="s">
        <v>277</v>
      </c>
      <c r="O106" s="153"/>
      <c r="P106" s="153"/>
      <c r="Q106" s="153"/>
      <c r="R106" s="153"/>
      <c r="S106" s="153"/>
      <c r="T106" s="153"/>
      <c r="U106" s="153"/>
      <c r="V106" s="153"/>
      <c r="W106" s="153"/>
      <c r="X106" s="153"/>
      <c r="Y106" s="153"/>
      <c r="Z106" s="153"/>
    </row>
    <row r="107" ht="29" spans="1:26">
      <c r="A107" s="149" t="s">
        <v>274</v>
      </c>
      <c r="B107" s="149" t="s">
        <v>278</v>
      </c>
      <c r="C107" s="149" t="s">
        <v>279</v>
      </c>
      <c r="D107" s="149" t="s">
        <v>98</v>
      </c>
      <c r="E107" s="149" t="s">
        <v>84</v>
      </c>
      <c r="F107" s="149" t="s">
        <v>18</v>
      </c>
      <c r="G107" s="149"/>
      <c r="H107" s="150">
        <v>45818</v>
      </c>
      <c r="I107" s="150">
        <v>46192</v>
      </c>
      <c r="J107" s="151"/>
      <c r="K107" s="150"/>
      <c r="L107" s="150"/>
      <c r="M107" s="149" t="s">
        <v>99</v>
      </c>
      <c r="N107" s="152" t="s">
        <v>280</v>
      </c>
      <c r="O107" s="153"/>
      <c r="P107" s="153"/>
      <c r="Q107" s="153"/>
      <c r="R107" s="153"/>
      <c r="S107" s="153"/>
      <c r="T107" s="153"/>
      <c r="U107" s="153"/>
      <c r="V107" s="153"/>
      <c r="W107" s="153"/>
      <c r="X107" s="153"/>
      <c r="Y107" s="153"/>
      <c r="Z107" s="153"/>
    </row>
    <row r="108" ht="58" spans="1:26">
      <c r="A108" s="149" t="s">
        <v>274</v>
      </c>
      <c r="B108" s="149" t="s">
        <v>281</v>
      </c>
      <c r="C108" s="156" t="s">
        <v>282</v>
      </c>
      <c r="D108" s="149" t="s">
        <v>98</v>
      </c>
      <c r="E108" s="149" t="s">
        <v>84</v>
      </c>
      <c r="F108" s="149" t="s">
        <v>18</v>
      </c>
      <c r="G108" s="149" t="s">
        <v>283</v>
      </c>
      <c r="H108" s="150">
        <v>45818</v>
      </c>
      <c r="I108" s="155"/>
      <c r="J108" s="151"/>
      <c r="K108" s="155"/>
      <c r="L108" s="155"/>
      <c r="M108" s="149"/>
      <c r="N108" s="152" t="s">
        <v>284</v>
      </c>
      <c r="O108" s="153"/>
      <c r="P108" s="153"/>
      <c r="Q108" s="153"/>
      <c r="R108" s="153"/>
      <c r="S108" s="153"/>
      <c r="T108" s="153"/>
      <c r="U108" s="153"/>
      <c r="V108" s="153"/>
      <c r="W108" s="153"/>
      <c r="X108" s="153"/>
      <c r="Y108" s="153"/>
      <c r="Z108" s="153"/>
    </row>
    <row r="109" ht="29" spans="1:26">
      <c r="A109" s="149" t="s">
        <v>274</v>
      </c>
      <c r="B109" s="149" t="s">
        <v>285</v>
      </c>
      <c r="C109" s="149" t="s">
        <v>286</v>
      </c>
      <c r="D109" s="149" t="s">
        <v>98</v>
      </c>
      <c r="E109" s="149" t="s">
        <v>84</v>
      </c>
      <c r="F109" s="149" t="s">
        <v>18</v>
      </c>
      <c r="G109" s="149"/>
      <c r="H109" s="150">
        <v>45818</v>
      </c>
      <c r="I109" s="155"/>
      <c r="J109" s="151"/>
      <c r="K109" s="155"/>
      <c r="L109" s="155"/>
      <c r="M109" s="149"/>
      <c r="N109" s="152"/>
      <c r="O109" s="153"/>
      <c r="P109" s="153"/>
      <c r="Q109" s="153"/>
      <c r="R109" s="153"/>
      <c r="S109" s="153"/>
      <c r="T109" s="153"/>
      <c r="U109" s="153"/>
      <c r="V109" s="153"/>
      <c r="W109" s="153"/>
      <c r="X109" s="153"/>
      <c r="Y109" s="153"/>
      <c r="Z109" s="153"/>
    </row>
    <row r="110" ht="29" spans="1:26">
      <c r="A110" s="149" t="s">
        <v>274</v>
      </c>
      <c r="B110" s="149" t="s">
        <v>287</v>
      </c>
      <c r="C110" s="149" t="s">
        <v>288</v>
      </c>
      <c r="D110" s="149" t="s">
        <v>98</v>
      </c>
      <c r="E110" s="149" t="s">
        <v>84</v>
      </c>
      <c r="F110" s="149" t="s">
        <v>18</v>
      </c>
      <c r="G110" s="149"/>
      <c r="H110" s="150">
        <v>45818</v>
      </c>
      <c r="I110" s="155"/>
      <c r="J110" s="151"/>
      <c r="K110" s="155"/>
      <c r="L110" s="155"/>
      <c r="M110" s="149"/>
      <c r="N110" s="152" t="s">
        <v>289</v>
      </c>
      <c r="O110" s="153"/>
      <c r="P110" s="153"/>
      <c r="Q110" s="153"/>
      <c r="R110" s="153"/>
      <c r="S110" s="153"/>
      <c r="T110" s="153"/>
      <c r="U110" s="153"/>
      <c r="V110" s="153"/>
      <c r="W110" s="153"/>
      <c r="X110" s="153"/>
      <c r="Y110" s="153"/>
      <c r="Z110" s="153"/>
    </row>
    <row r="111" ht="29" spans="1:26">
      <c r="A111" s="149" t="s">
        <v>274</v>
      </c>
      <c r="B111" s="149" t="s">
        <v>290</v>
      </c>
      <c r="C111" s="149" t="s">
        <v>291</v>
      </c>
      <c r="D111" s="149" t="s">
        <v>98</v>
      </c>
      <c r="E111" s="149" t="s">
        <v>84</v>
      </c>
      <c r="F111" s="149" t="s">
        <v>18</v>
      </c>
      <c r="G111" s="149"/>
      <c r="H111" s="150">
        <v>45818</v>
      </c>
      <c r="I111" s="155"/>
      <c r="J111" s="151"/>
      <c r="K111" s="155"/>
      <c r="L111" s="155"/>
      <c r="M111" s="149"/>
      <c r="N111" s="152" t="s">
        <v>182</v>
      </c>
      <c r="O111" s="153"/>
      <c r="P111" s="153"/>
      <c r="Q111" s="153"/>
      <c r="R111" s="153"/>
      <c r="S111" s="153"/>
      <c r="T111" s="153"/>
      <c r="U111" s="153"/>
      <c r="V111" s="153"/>
      <c r="W111" s="153"/>
      <c r="X111" s="153"/>
      <c r="Y111" s="153"/>
      <c r="Z111" s="153"/>
    </row>
    <row r="112" ht="29" spans="1:26">
      <c r="A112" s="149" t="s">
        <v>274</v>
      </c>
      <c r="B112" s="149" t="s">
        <v>292</v>
      </c>
      <c r="C112" s="149" t="s">
        <v>293</v>
      </c>
      <c r="D112" s="149" t="s">
        <v>98</v>
      </c>
      <c r="E112" s="149" t="s">
        <v>84</v>
      </c>
      <c r="F112" s="149" t="s">
        <v>18</v>
      </c>
      <c r="G112" s="149"/>
      <c r="H112" s="150">
        <v>45818</v>
      </c>
      <c r="I112" s="155"/>
      <c r="J112" s="151"/>
      <c r="K112" s="155"/>
      <c r="L112" s="155"/>
      <c r="M112" s="149"/>
      <c r="N112" s="152" t="s">
        <v>168</v>
      </c>
      <c r="O112" s="153"/>
      <c r="P112" s="153"/>
      <c r="Q112" s="153"/>
      <c r="R112" s="153"/>
      <c r="S112" s="153"/>
      <c r="T112" s="153"/>
      <c r="U112" s="153"/>
      <c r="V112" s="153"/>
      <c r="W112" s="153"/>
      <c r="X112" s="153"/>
      <c r="Y112" s="153"/>
      <c r="Z112" s="153"/>
    </row>
    <row r="113" ht="29" spans="1:26">
      <c r="A113" s="149" t="s">
        <v>274</v>
      </c>
      <c r="B113" s="149" t="s">
        <v>294</v>
      </c>
      <c r="C113" s="149" t="s">
        <v>295</v>
      </c>
      <c r="D113" s="149" t="s">
        <v>98</v>
      </c>
      <c r="E113" s="149" t="s">
        <v>84</v>
      </c>
      <c r="F113" s="149" t="s">
        <v>18</v>
      </c>
      <c r="G113" s="149"/>
      <c r="H113" s="150">
        <v>45818</v>
      </c>
      <c r="I113" s="150">
        <v>46183</v>
      </c>
      <c r="J113" s="151"/>
      <c r="K113" s="150"/>
      <c r="L113" s="150"/>
      <c r="M113" s="149" t="s">
        <v>158</v>
      </c>
      <c r="N113" s="152" t="s">
        <v>296</v>
      </c>
      <c r="O113" s="153"/>
      <c r="P113" s="153"/>
      <c r="Q113" s="153"/>
      <c r="R113" s="153"/>
      <c r="S113" s="153"/>
      <c r="T113" s="153"/>
      <c r="U113" s="153"/>
      <c r="V113" s="153"/>
      <c r="W113" s="153"/>
      <c r="X113" s="153"/>
      <c r="Y113" s="153"/>
      <c r="Z113" s="153"/>
    </row>
    <row r="114" ht="29" spans="1:26">
      <c r="A114" s="149" t="s">
        <v>274</v>
      </c>
      <c r="B114" s="149" t="s">
        <v>297</v>
      </c>
      <c r="C114" s="149" t="s">
        <v>298</v>
      </c>
      <c r="D114" s="149" t="s">
        <v>98</v>
      </c>
      <c r="E114" s="149" t="s">
        <v>84</v>
      </c>
      <c r="F114" s="149" t="s">
        <v>18</v>
      </c>
      <c r="G114" s="149"/>
      <c r="H114" s="150">
        <v>45818</v>
      </c>
      <c r="I114" s="150">
        <v>46205</v>
      </c>
      <c r="J114" s="151"/>
      <c r="K114" s="150"/>
      <c r="L114" s="150"/>
      <c r="M114" s="149" t="s">
        <v>204</v>
      </c>
      <c r="N114" s="152"/>
      <c r="O114" s="153"/>
      <c r="P114" s="153"/>
      <c r="Q114" s="153"/>
      <c r="R114" s="153"/>
      <c r="S114" s="153"/>
      <c r="T114" s="153"/>
      <c r="U114" s="153"/>
      <c r="V114" s="153"/>
      <c r="W114" s="153"/>
      <c r="X114" s="153"/>
      <c r="Y114" s="153"/>
      <c r="Z114" s="153"/>
    </row>
    <row r="115" ht="29" spans="1:26">
      <c r="A115" s="149" t="s">
        <v>274</v>
      </c>
      <c r="B115" s="149" t="s">
        <v>299</v>
      </c>
      <c r="C115" s="149" t="s">
        <v>300</v>
      </c>
      <c r="D115" s="149" t="s">
        <v>98</v>
      </c>
      <c r="E115" s="149" t="s">
        <v>17</v>
      </c>
      <c r="F115" s="149" t="s">
        <v>41</v>
      </c>
      <c r="G115" s="149"/>
      <c r="H115" s="150">
        <v>45869</v>
      </c>
      <c r="I115" s="150">
        <v>46237</v>
      </c>
      <c r="J115" s="151"/>
      <c r="K115" s="150"/>
      <c r="L115" s="150"/>
      <c r="M115" s="149" t="s">
        <v>158</v>
      </c>
      <c r="N115" s="152" t="s">
        <v>301</v>
      </c>
      <c r="O115" s="153"/>
      <c r="P115" s="153"/>
      <c r="Q115" s="153"/>
      <c r="R115" s="153"/>
      <c r="S115" s="153"/>
      <c r="T115" s="153"/>
      <c r="U115" s="153"/>
      <c r="V115" s="153"/>
      <c r="W115" s="153"/>
      <c r="X115" s="153"/>
      <c r="Y115" s="153"/>
      <c r="Z115" s="153"/>
    </row>
    <row r="116" ht="29" spans="1:26">
      <c r="A116" s="149" t="s">
        <v>274</v>
      </c>
      <c r="B116" s="149" t="s">
        <v>302</v>
      </c>
      <c r="C116" s="149" t="s">
        <v>303</v>
      </c>
      <c r="D116" s="149" t="s">
        <v>98</v>
      </c>
      <c r="E116" s="149" t="s">
        <v>17</v>
      </c>
      <c r="F116" s="149" t="s">
        <v>38</v>
      </c>
      <c r="G116" s="149" t="s">
        <v>229</v>
      </c>
      <c r="H116" s="150">
        <v>45869</v>
      </c>
      <c r="I116" s="150"/>
      <c r="J116" s="151"/>
      <c r="K116" s="150"/>
      <c r="L116" s="150"/>
      <c r="M116" s="149" t="s">
        <v>204</v>
      </c>
      <c r="N116" s="152"/>
      <c r="O116" s="153"/>
      <c r="P116" s="153"/>
      <c r="Q116" s="153"/>
      <c r="R116" s="153"/>
      <c r="S116" s="153"/>
      <c r="T116" s="153"/>
      <c r="U116" s="153"/>
      <c r="V116" s="153"/>
      <c r="W116" s="153"/>
      <c r="X116" s="153"/>
      <c r="Y116" s="153"/>
      <c r="Z116" s="153"/>
    </row>
    <row r="117" ht="29" spans="1:26">
      <c r="A117" s="149" t="s">
        <v>274</v>
      </c>
      <c r="B117" s="149" t="s">
        <v>304</v>
      </c>
      <c r="C117" s="156" t="s">
        <v>305</v>
      </c>
      <c r="D117" s="149" t="s">
        <v>98</v>
      </c>
      <c r="E117" s="149" t="s">
        <v>17</v>
      </c>
      <c r="F117" s="149" t="s">
        <v>38</v>
      </c>
      <c r="G117" s="149" t="s">
        <v>229</v>
      </c>
      <c r="H117" s="150">
        <v>45869</v>
      </c>
      <c r="I117" s="150"/>
      <c r="J117" s="151"/>
      <c r="K117" s="150"/>
      <c r="L117" s="150"/>
      <c r="M117" s="149"/>
      <c r="N117" s="152"/>
      <c r="O117" s="153"/>
      <c r="P117" s="153"/>
      <c r="Q117" s="153"/>
      <c r="R117" s="153"/>
      <c r="S117" s="153"/>
      <c r="T117" s="153"/>
      <c r="U117" s="153"/>
      <c r="V117" s="153"/>
      <c r="W117" s="153"/>
      <c r="X117" s="153"/>
      <c r="Y117" s="153"/>
      <c r="Z117" s="153"/>
    </row>
    <row r="118" ht="29" spans="1:26">
      <c r="A118" s="149" t="s">
        <v>274</v>
      </c>
      <c r="B118" s="149" t="s">
        <v>306</v>
      </c>
      <c r="C118" s="149" t="s">
        <v>307</v>
      </c>
      <c r="D118" s="149" t="s">
        <v>98</v>
      </c>
      <c r="E118" s="149" t="s">
        <v>17</v>
      </c>
      <c r="F118" s="149" t="s">
        <v>38</v>
      </c>
      <c r="G118" s="149" t="s">
        <v>229</v>
      </c>
      <c r="H118" s="150">
        <v>45869</v>
      </c>
      <c r="I118" s="150"/>
      <c r="J118" s="151"/>
      <c r="K118" s="150"/>
      <c r="L118" s="150"/>
      <c r="M118" s="149"/>
      <c r="N118" s="152"/>
      <c r="O118" s="153"/>
      <c r="P118" s="153"/>
      <c r="Q118" s="153"/>
      <c r="R118" s="153"/>
      <c r="S118" s="153"/>
      <c r="T118" s="153"/>
      <c r="U118" s="153"/>
      <c r="V118" s="153"/>
      <c r="W118" s="153"/>
      <c r="X118" s="153"/>
      <c r="Y118" s="153"/>
      <c r="Z118" s="153"/>
    </row>
    <row r="119" ht="29" spans="1:26">
      <c r="A119" s="149" t="s">
        <v>274</v>
      </c>
      <c r="B119" s="149" t="s">
        <v>306</v>
      </c>
      <c r="C119" s="149" t="s">
        <v>308</v>
      </c>
      <c r="D119" s="149" t="s">
        <v>98</v>
      </c>
      <c r="E119" s="149" t="s">
        <v>17</v>
      </c>
      <c r="F119" s="149" t="s">
        <v>18</v>
      </c>
      <c r="G119" s="149"/>
      <c r="H119" s="150">
        <v>45869</v>
      </c>
      <c r="I119" s="155"/>
      <c r="J119" s="151"/>
      <c r="K119" s="155"/>
      <c r="L119" s="155"/>
      <c r="M119" s="149"/>
      <c r="N119" s="152"/>
      <c r="O119" s="153"/>
      <c r="P119" s="153"/>
      <c r="Q119" s="153"/>
      <c r="R119" s="153"/>
      <c r="S119" s="153"/>
      <c r="T119" s="153"/>
      <c r="U119" s="153"/>
      <c r="V119" s="153"/>
      <c r="W119" s="153"/>
      <c r="X119" s="153"/>
      <c r="Y119" s="153"/>
      <c r="Z119" s="153"/>
    </row>
    <row r="120" ht="29" spans="1:26">
      <c r="A120" s="149" t="s">
        <v>274</v>
      </c>
      <c r="B120" s="149" t="s">
        <v>309</v>
      </c>
      <c r="C120" s="149" t="s">
        <v>310</v>
      </c>
      <c r="D120" s="149" t="s">
        <v>189</v>
      </c>
      <c r="E120" s="149" t="s">
        <v>17</v>
      </c>
      <c r="F120" s="149" t="s">
        <v>41</v>
      </c>
      <c r="G120" s="149" t="s">
        <v>311</v>
      </c>
      <c r="H120" s="150">
        <v>45869</v>
      </c>
      <c r="I120" s="150">
        <v>46237</v>
      </c>
      <c r="J120" s="151"/>
      <c r="K120" s="150"/>
      <c r="L120" s="150"/>
      <c r="M120" s="149" t="s">
        <v>99</v>
      </c>
      <c r="N120" s="152" t="s">
        <v>280</v>
      </c>
      <c r="O120" s="153"/>
      <c r="P120" s="153"/>
      <c r="Q120" s="153"/>
      <c r="R120" s="153"/>
      <c r="S120" s="153"/>
      <c r="T120" s="153"/>
      <c r="U120" s="153"/>
      <c r="V120" s="153"/>
      <c r="W120" s="153"/>
      <c r="X120" s="153"/>
      <c r="Y120" s="153"/>
      <c r="Z120" s="153"/>
    </row>
    <row r="121" ht="29" spans="1:26">
      <c r="A121" s="149" t="s">
        <v>274</v>
      </c>
      <c r="B121" s="149" t="s">
        <v>312</v>
      </c>
      <c r="C121" s="149" t="s">
        <v>313</v>
      </c>
      <c r="D121" s="149" t="s">
        <v>98</v>
      </c>
      <c r="E121" s="149" t="s">
        <v>17</v>
      </c>
      <c r="F121" s="149" t="s">
        <v>150</v>
      </c>
      <c r="G121" s="149"/>
      <c r="H121" s="150">
        <v>45869</v>
      </c>
      <c r="I121" s="150"/>
      <c r="J121" s="151"/>
      <c r="K121" s="150"/>
      <c r="L121" s="150"/>
      <c r="M121" s="149"/>
      <c r="N121" s="152" t="s">
        <v>314</v>
      </c>
      <c r="O121" s="153"/>
      <c r="P121" s="153"/>
      <c r="Q121" s="153"/>
      <c r="R121" s="153"/>
      <c r="S121" s="153"/>
      <c r="T121" s="153"/>
      <c r="U121" s="153"/>
      <c r="V121" s="153"/>
      <c r="W121" s="153"/>
      <c r="X121" s="153"/>
      <c r="Y121" s="153"/>
      <c r="Z121" s="153"/>
    </row>
    <row r="122" ht="58" spans="1:26">
      <c r="A122" s="149" t="s">
        <v>274</v>
      </c>
      <c r="B122" s="149" t="s">
        <v>315</v>
      </c>
      <c r="C122" s="156" t="s">
        <v>316</v>
      </c>
      <c r="D122" s="149" t="s">
        <v>98</v>
      </c>
      <c r="E122" s="149" t="s">
        <v>17</v>
      </c>
      <c r="F122" s="149" t="s">
        <v>38</v>
      </c>
      <c r="G122" s="149" t="s">
        <v>229</v>
      </c>
      <c r="H122" s="150">
        <v>45869</v>
      </c>
      <c r="I122" s="150">
        <v>46241</v>
      </c>
      <c r="J122" s="151"/>
      <c r="K122" s="150"/>
      <c r="L122" s="150"/>
      <c r="M122" s="149" t="s">
        <v>204</v>
      </c>
      <c r="N122" s="152" t="s">
        <v>237</v>
      </c>
      <c r="O122" s="153"/>
      <c r="P122" s="153"/>
      <c r="Q122" s="153"/>
      <c r="R122" s="153"/>
      <c r="S122" s="153"/>
      <c r="T122" s="153"/>
      <c r="U122" s="153"/>
      <c r="V122" s="153"/>
      <c r="W122" s="153"/>
      <c r="X122" s="153"/>
      <c r="Y122" s="153"/>
      <c r="Z122" s="153"/>
    </row>
    <row r="123" ht="29" spans="1:26">
      <c r="A123" s="149" t="s">
        <v>274</v>
      </c>
      <c r="B123" s="149" t="s">
        <v>51</v>
      </c>
      <c r="C123" s="149" t="s">
        <v>52</v>
      </c>
      <c r="D123" s="149" t="s">
        <v>189</v>
      </c>
      <c r="E123" s="149" t="s">
        <v>17</v>
      </c>
      <c r="F123" s="149" t="s">
        <v>18</v>
      </c>
      <c r="G123" s="149" t="s">
        <v>317</v>
      </c>
      <c r="H123" s="150">
        <v>45869</v>
      </c>
      <c r="I123" s="150">
        <v>46234</v>
      </c>
      <c r="J123" s="151"/>
      <c r="K123" s="150"/>
      <c r="L123" s="150"/>
      <c r="M123" s="149" t="s">
        <v>318</v>
      </c>
      <c r="N123" s="152"/>
      <c r="O123" s="153"/>
      <c r="P123" s="153"/>
      <c r="Q123" s="153"/>
      <c r="R123" s="153"/>
      <c r="S123" s="153"/>
      <c r="T123" s="153"/>
      <c r="U123" s="153"/>
      <c r="V123" s="153"/>
      <c r="W123" s="153"/>
      <c r="X123" s="153"/>
      <c r="Y123" s="153"/>
      <c r="Z123" s="153"/>
    </row>
    <row r="124" ht="101" spans="1:26">
      <c r="A124" s="149" t="s">
        <v>319</v>
      </c>
      <c r="B124" s="149" t="s">
        <v>320</v>
      </c>
      <c r="C124" s="149"/>
      <c r="D124" s="149" t="s">
        <v>321</v>
      </c>
      <c r="E124" s="149" t="s">
        <v>69</v>
      </c>
      <c r="F124" s="149" t="s">
        <v>18</v>
      </c>
      <c r="G124" s="149"/>
      <c r="H124" s="150">
        <v>45763</v>
      </c>
      <c r="I124" s="155"/>
      <c r="J124" s="151"/>
      <c r="K124" s="155"/>
      <c r="L124" s="155"/>
      <c r="M124" s="149"/>
      <c r="N124" s="152"/>
      <c r="O124" s="153"/>
      <c r="P124" s="153"/>
      <c r="Q124" s="153"/>
      <c r="R124" s="153"/>
      <c r="S124" s="153"/>
      <c r="T124" s="153"/>
      <c r="U124" s="153"/>
      <c r="V124" s="153"/>
      <c r="W124" s="153"/>
      <c r="X124" s="153"/>
      <c r="Y124" s="153"/>
      <c r="Z124" s="153"/>
    </row>
    <row r="125" ht="29" spans="1:26">
      <c r="A125" s="149" t="s">
        <v>319</v>
      </c>
      <c r="B125" s="149" t="s">
        <v>322</v>
      </c>
      <c r="C125" s="149"/>
      <c r="D125" s="149" t="s">
        <v>321</v>
      </c>
      <c r="E125" s="149" t="s">
        <v>69</v>
      </c>
      <c r="F125" s="149" t="s">
        <v>18</v>
      </c>
      <c r="G125" s="149"/>
      <c r="H125" s="150">
        <v>45763</v>
      </c>
      <c r="I125" s="155"/>
      <c r="J125" s="151"/>
      <c r="K125" s="155"/>
      <c r="L125" s="155"/>
      <c r="M125" s="149"/>
      <c r="N125" s="152"/>
      <c r="O125" s="153"/>
      <c r="P125" s="153"/>
      <c r="Q125" s="153"/>
      <c r="R125" s="153"/>
      <c r="S125" s="153"/>
      <c r="T125" s="153"/>
      <c r="U125" s="153"/>
      <c r="V125" s="153"/>
      <c r="W125" s="153"/>
      <c r="X125" s="153"/>
      <c r="Y125" s="153"/>
      <c r="Z125" s="153"/>
    </row>
    <row r="126" ht="29" spans="1:26">
      <c r="A126" s="149" t="s">
        <v>319</v>
      </c>
      <c r="B126" s="149" t="s">
        <v>323</v>
      </c>
      <c r="C126" s="149"/>
      <c r="D126" s="149" t="s">
        <v>321</v>
      </c>
      <c r="E126" s="149" t="s">
        <v>69</v>
      </c>
      <c r="F126" s="149" t="s">
        <v>18</v>
      </c>
      <c r="G126" s="149"/>
      <c r="H126" s="150">
        <v>45763</v>
      </c>
      <c r="I126" s="155"/>
      <c r="J126" s="151"/>
      <c r="K126" s="155"/>
      <c r="L126" s="155"/>
      <c r="M126" s="149"/>
      <c r="N126" s="152"/>
      <c r="O126" s="153"/>
      <c r="P126" s="153"/>
      <c r="Q126" s="153"/>
      <c r="R126" s="153"/>
      <c r="S126" s="153"/>
      <c r="T126" s="153"/>
      <c r="U126" s="153"/>
      <c r="V126" s="153"/>
      <c r="W126" s="153"/>
      <c r="X126" s="153"/>
      <c r="Y126" s="153"/>
      <c r="Z126" s="153"/>
    </row>
    <row r="127" ht="44" spans="1:26">
      <c r="A127" s="149" t="s">
        <v>324</v>
      </c>
      <c r="B127" s="149" t="s">
        <v>325</v>
      </c>
      <c r="C127" s="149"/>
      <c r="D127" s="149" t="s">
        <v>321</v>
      </c>
      <c r="E127" s="149" t="s">
        <v>46</v>
      </c>
      <c r="F127" s="149" t="s">
        <v>18</v>
      </c>
      <c r="G127" s="149"/>
      <c r="H127" s="150">
        <v>45717</v>
      </c>
      <c r="I127" s="155"/>
      <c r="J127" s="151"/>
      <c r="K127" s="155"/>
      <c r="L127" s="155"/>
      <c r="M127" s="149"/>
      <c r="N127" s="152"/>
      <c r="O127" s="153"/>
      <c r="P127" s="153"/>
      <c r="Q127" s="153"/>
      <c r="R127" s="153"/>
      <c r="S127" s="153"/>
      <c r="T127" s="153"/>
      <c r="U127" s="153"/>
      <c r="V127" s="153"/>
      <c r="W127" s="153"/>
      <c r="X127" s="153"/>
      <c r="Y127" s="153"/>
      <c r="Z127" s="153"/>
    </row>
    <row r="128" ht="29" spans="1:26">
      <c r="A128" s="149" t="s">
        <v>324</v>
      </c>
      <c r="B128" s="149" t="s">
        <v>326</v>
      </c>
      <c r="C128" s="149"/>
      <c r="D128" s="149" t="s">
        <v>321</v>
      </c>
      <c r="E128" s="149" t="s">
        <v>69</v>
      </c>
      <c r="F128" s="149" t="s">
        <v>18</v>
      </c>
      <c r="G128" s="149"/>
      <c r="H128" s="150">
        <v>45763</v>
      </c>
      <c r="I128" s="155"/>
      <c r="J128" s="151"/>
      <c r="K128" s="155"/>
      <c r="L128" s="155"/>
      <c r="M128" s="149"/>
      <c r="N128" s="152"/>
      <c r="O128" s="153"/>
      <c r="P128" s="153"/>
      <c r="Q128" s="153"/>
      <c r="R128" s="153"/>
      <c r="S128" s="153"/>
      <c r="T128" s="153"/>
      <c r="U128" s="153"/>
      <c r="V128" s="153"/>
      <c r="W128" s="153"/>
      <c r="X128" s="153"/>
      <c r="Y128" s="153"/>
      <c r="Z128" s="153"/>
    </row>
    <row r="129" ht="44" spans="1:26">
      <c r="A129" s="149" t="s">
        <v>324</v>
      </c>
      <c r="B129" s="149" t="s">
        <v>327</v>
      </c>
      <c r="C129" s="149"/>
      <c r="D129" s="149" t="s">
        <v>321</v>
      </c>
      <c r="E129" s="149" t="s">
        <v>69</v>
      </c>
      <c r="F129" s="149" t="s">
        <v>18</v>
      </c>
      <c r="G129" s="149"/>
      <c r="H129" s="150">
        <v>45763</v>
      </c>
      <c r="I129" s="155"/>
      <c r="J129" s="151"/>
      <c r="K129" s="155"/>
      <c r="L129" s="155"/>
      <c r="M129" s="149"/>
      <c r="N129" s="152"/>
      <c r="O129" s="153"/>
      <c r="P129" s="153"/>
      <c r="Q129" s="153"/>
      <c r="R129" s="153"/>
      <c r="S129" s="153"/>
      <c r="T129" s="153"/>
      <c r="U129" s="153"/>
      <c r="V129" s="153"/>
      <c r="W129" s="153"/>
      <c r="X129" s="153"/>
      <c r="Y129" s="153"/>
      <c r="Z129" s="153"/>
    </row>
    <row r="130" ht="29" spans="1:26">
      <c r="A130" s="149" t="s">
        <v>324</v>
      </c>
      <c r="B130" s="149" t="s">
        <v>328</v>
      </c>
      <c r="C130" s="149" t="s">
        <v>329</v>
      </c>
      <c r="D130" s="149" t="s">
        <v>189</v>
      </c>
      <c r="E130" s="149" t="s">
        <v>84</v>
      </c>
      <c r="F130" s="149" t="s">
        <v>18</v>
      </c>
      <c r="G130" s="149"/>
      <c r="H130" s="150">
        <v>45818</v>
      </c>
      <c r="I130" s="155"/>
      <c r="J130" s="151"/>
      <c r="K130" s="155"/>
      <c r="L130" s="155"/>
      <c r="M130" s="149" t="s">
        <v>99</v>
      </c>
      <c r="N130" s="152"/>
      <c r="O130" s="153"/>
      <c r="P130" s="153"/>
      <c r="Q130" s="153"/>
      <c r="R130" s="153"/>
      <c r="S130" s="153"/>
      <c r="T130" s="153"/>
      <c r="U130" s="153"/>
      <c r="V130" s="153"/>
      <c r="W130" s="153"/>
      <c r="X130" s="153"/>
      <c r="Y130" s="153"/>
      <c r="Z130" s="153"/>
    </row>
    <row r="131" ht="29" spans="1:26">
      <c r="A131" s="149" t="s">
        <v>330</v>
      </c>
      <c r="B131" s="149" t="s">
        <v>331</v>
      </c>
      <c r="C131" s="156" t="s">
        <v>332</v>
      </c>
      <c r="D131" s="149" t="s">
        <v>321</v>
      </c>
      <c r="E131" s="149" t="s">
        <v>46</v>
      </c>
      <c r="F131" s="149" t="s">
        <v>18</v>
      </c>
      <c r="G131" s="149"/>
      <c r="H131" s="150">
        <v>45717</v>
      </c>
      <c r="I131" s="155"/>
      <c r="J131" s="151"/>
      <c r="K131" s="155"/>
      <c r="L131" s="155"/>
      <c r="M131" s="149"/>
      <c r="N131" s="152" t="s">
        <v>333</v>
      </c>
      <c r="O131" s="153"/>
      <c r="P131" s="153"/>
      <c r="Q131" s="153"/>
      <c r="R131" s="153"/>
      <c r="S131" s="153"/>
      <c r="T131" s="153"/>
      <c r="U131" s="153"/>
      <c r="V131" s="153"/>
      <c r="W131" s="153"/>
      <c r="X131" s="153"/>
      <c r="Y131" s="153"/>
      <c r="Z131" s="153"/>
    </row>
    <row r="132" spans="1:26">
      <c r="A132" s="149" t="s">
        <v>330</v>
      </c>
      <c r="B132" s="149" t="s">
        <v>334</v>
      </c>
      <c r="C132" s="149" t="s">
        <v>335</v>
      </c>
      <c r="D132" s="149" t="s">
        <v>321</v>
      </c>
      <c r="E132" s="149" t="s">
        <v>46</v>
      </c>
      <c r="F132" s="149" t="s">
        <v>18</v>
      </c>
      <c r="G132" s="149"/>
      <c r="H132" s="150">
        <v>45717</v>
      </c>
      <c r="I132" s="155"/>
      <c r="J132" s="151"/>
      <c r="K132" s="155"/>
      <c r="L132" s="155"/>
      <c r="M132" s="149"/>
      <c r="N132" s="152" t="s">
        <v>336</v>
      </c>
      <c r="O132" s="153"/>
      <c r="P132" s="153"/>
      <c r="Q132" s="153"/>
      <c r="R132" s="153"/>
      <c r="S132" s="153"/>
      <c r="T132" s="153"/>
      <c r="U132" s="153"/>
      <c r="V132" s="153"/>
      <c r="W132" s="153"/>
      <c r="X132" s="153"/>
      <c r="Y132" s="153"/>
      <c r="Z132" s="153"/>
    </row>
    <row r="133" spans="1:26">
      <c r="A133" s="149" t="s">
        <v>330</v>
      </c>
      <c r="B133" s="149" t="s">
        <v>52</v>
      </c>
      <c r="C133" s="149" t="s">
        <v>337</v>
      </c>
      <c r="D133" s="149" t="s">
        <v>321</v>
      </c>
      <c r="E133" s="149" t="s">
        <v>46</v>
      </c>
      <c r="F133" s="149" t="s">
        <v>18</v>
      </c>
      <c r="G133" s="149"/>
      <c r="H133" s="150">
        <v>45717</v>
      </c>
      <c r="I133" s="155"/>
      <c r="J133" s="151"/>
      <c r="K133" s="155"/>
      <c r="L133" s="155"/>
      <c r="M133" s="149"/>
      <c r="N133" s="152"/>
      <c r="O133" s="153"/>
      <c r="P133" s="153"/>
      <c r="Q133" s="153"/>
      <c r="R133" s="153"/>
      <c r="S133" s="153"/>
      <c r="T133" s="153"/>
      <c r="U133" s="153"/>
      <c r="V133" s="153"/>
      <c r="W133" s="153"/>
      <c r="X133" s="153"/>
      <c r="Y133" s="153"/>
      <c r="Z133" s="153"/>
    </row>
    <row r="134" ht="72" spans="1:26">
      <c r="A134" s="149" t="s">
        <v>330</v>
      </c>
      <c r="B134" s="149" t="s">
        <v>338</v>
      </c>
      <c r="C134" s="156" t="s">
        <v>339</v>
      </c>
      <c r="D134" s="149" t="s">
        <v>321</v>
      </c>
      <c r="E134" s="149" t="s">
        <v>46</v>
      </c>
      <c r="F134" s="149" t="s">
        <v>18</v>
      </c>
      <c r="G134" s="149"/>
      <c r="H134" s="150">
        <v>45717</v>
      </c>
      <c r="I134" s="155"/>
      <c r="J134" s="151"/>
      <c r="K134" s="155"/>
      <c r="L134" s="155"/>
      <c r="M134" s="149"/>
      <c r="N134" s="152"/>
      <c r="O134" s="153"/>
      <c r="P134" s="153"/>
      <c r="Q134" s="153"/>
      <c r="R134" s="153"/>
      <c r="S134" s="153"/>
      <c r="T134" s="153"/>
      <c r="U134" s="153"/>
      <c r="V134" s="153"/>
      <c r="W134" s="153"/>
      <c r="X134" s="153"/>
      <c r="Y134" s="153"/>
      <c r="Z134" s="153"/>
    </row>
    <row r="135" spans="1:26">
      <c r="A135" s="149" t="s">
        <v>330</v>
      </c>
      <c r="B135" s="149" t="s">
        <v>340</v>
      </c>
      <c r="C135" s="149" t="s">
        <v>341</v>
      </c>
      <c r="D135" s="149" t="s">
        <v>321</v>
      </c>
      <c r="E135" s="149" t="s">
        <v>46</v>
      </c>
      <c r="F135" s="149" t="s">
        <v>18</v>
      </c>
      <c r="G135" s="149"/>
      <c r="H135" s="150">
        <v>45717</v>
      </c>
      <c r="I135" s="155"/>
      <c r="J135" s="151"/>
      <c r="K135" s="155"/>
      <c r="L135" s="155"/>
      <c r="M135" s="149"/>
      <c r="N135" s="152"/>
      <c r="O135" s="153"/>
      <c r="P135" s="153"/>
      <c r="Q135" s="153"/>
      <c r="R135" s="153"/>
      <c r="S135" s="153"/>
      <c r="T135" s="153"/>
      <c r="U135" s="153"/>
      <c r="V135" s="153"/>
      <c r="W135" s="153"/>
      <c r="X135" s="153"/>
      <c r="Y135" s="153"/>
      <c r="Z135" s="153"/>
    </row>
    <row r="136" ht="44" spans="1:26">
      <c r="A136" s="149" t="s">
        <v>330</v>
      </c>
      <c r="B136" s="149" t="s">
        <v>342</v>
      </c>
      <c r="C136" s="156" t="s">
        <v>343</v>
      </c>
      <c r="D136" s="149" t="s">
        <v>321</v>
      </c>
      <c r="E136" s="149" t="s">
        <v>46</v>
      </c>
      <c r="F136" s="149" t="s">
        <v>18</v>
      </c>
      <c r="G136" s="149"/>
      <c r="H136" s="150">
        <v>45717</v>
      </c>
      <c r="I136" s="155"/>
      <c r="J136" s="151"/>
      <c r="K136" s="155"/>
      <c r="L136" s="155"/>
      <c r="M136" s="149"/>
      <c r="N136" s="152" t="s">
        <v>344</v>
      </c>
      <c r="O136" s="153"/>
      <c r="P136" s="153"/>
      <c r="Q136" s="153"/>
      <c r="R136" s="153"/>
      <c r="S136" s="153"/>
      <c r="T136" s="153"/>
      <c r="U136" s="153"/>
      <c r="V136" s="153"/>
      <c r="W136" s="153"/>
      <c r="X136" s="153"/>
      <c r="Y136" s="153"/>
      <c r="Z136" s="153"/>
    </row>
    <row r="137" spans="1:26">
      <c r="A137" s="149" t="s">
        <v>330</v>
      </c>
      <c r="B137" s="149" t="s">
        <v>345</v>
      </c>
      <c r="C137" s="149" t="s">
        <v>346</v>
      </c>
      <c r="D137" s="149" t="s">
        <v>321</v>
      </c>
      <c r="E137" s="149" t="s">
        <v>46</v>
      </c>
      <c r="F137" s="149" t="s">
        <v>18</v>
      </c>
      <c r="G137" s="149"/>
      <c r="H137" s="150">
        <v>45717</v>
      </c>
      <c r="I137" s="155"/>
      <c r="J137" s="151"/>
      <c r="K137" s="155"/>
      <c r="L137" s="155"/>
      <c r="M137" s="149"/>
      <c r="N137" s="152" t="s">
        <v>347</v>
      </c>
      <c r="O137" s="153"/>
      <c r="P137" s="153"/>
      <c r="Q137" s="153"/>
      <c r="R137" s="153"/>
      <c r="S137" s="153"/>
      <c r="T137" s="153"/>
      <c r="U137" s="153"/>
      <c r="V137" s="153"/>
      <c r="W137" s="153"/>
      <c r="X137" s="153"/>
      <c r="Y137" s="153"/>
      <c r="Z137" s="153"/>
    </row>
    <row r="138" spans="1:26">
      <c r="A138" s="149" t="s">
        <v>330</v>
      </c>
      <c r="B138" s="149" t="s">
        <v>348</v>
      </c>
      <c r="C138" s="149" t="s">
        <v>349</v>
      </c>
      <c r="D138" s="149" t="s">
        <v>321</v>
      </c>
      <c r="E138" s="149" t="s">
        <v>46</v>
      </c>
      <c r="F138" s="149" t="s">
        <v>18</v>
      </c>
      <c r="G138" s="149"/>
      <c r="H138" s="150">
        <v>45717</v>
      </c>
      <c r="I138" s="155"/>
      <c r="J138" s="151"/>
      <c r="K138" s="155"/>
      <c r="L138" s="155"/>
      <c r="M138" s="149"/>
      <c r="N138" s="152"/>
      <c r="O138" s="153"/>
      <c r="P138" s="153"/>
      <c r="Q138" s="153"/>
      <c r="R138" s="153"/>
      <c r="S138" s="153"/>
      <c r="T138" s="153"/>
      <c r="U138" s="153"/>
      <c r="V138" s="153"/>
      <c r="W138" s="153"/>
      <c r="X138" s="153"/>
      <c r="Y138" s="153"/>
      <c r="Z138" s="153"/>
    </row>
    <row r="139" spans="1:26">
      <c r="A139" s="149" t="s">
        <v>330</v>
      </c>
      <c r="B139" s="149" t="s">
        <v>350</v>
      </c>
      <c r="C139" s="149" t="s">
        <v>351</v>
      </c>
      <c r="D139" s="149" t="s">
        <v>321</v>
      </c>
      <c r="E139" s="149" t="s">
        <v>46</v>
      </c>
      <c r="F139" s="149" t="s">
        <v>18</v>
      </c>
      <c r="G139" s="149"/>
      <c r="H139" s="150">
        <v>45717</v>
      </c>
      <c r="I139" s="155"/>
      <c r="J139" s="151"/>
      <c r="K139" s="155"/>
      <c r="L139" s="155"/>
      <c r="M139" s="149"/>
      <c r="N139" s="152" t="s">
        <v>352</v>
      </c>
      <c r="O139" s="153"/>
      <c r="P139" s="153"/>
      <c r="Q139" s="153"/>
      <c r="R139" s="153"/>
      <c r="S139" s="153"/>
      <c r="T139" s="153"/>
      <c r="U139" s="153"/>
      <c r="V139" s="153"/>
      <c r="W139" s="153"/>
      <c r="X139" s="153"/>
      <c r="Y139" s="153"/>
      <c r="Z139" s="153"/>
    </row>
    <row r="140" ht="44" spans="1:26">
      <c r="A140" s="149" t="s">
        <v>330</v>
      </c>
      <c r="B140" s="149" t="s">
        <v>353</v>
      </c>
      <c r="C140" s="149" t="s">
        <v>354</v>
      </c>
      <c r="D140" s="149" t="s">
        <v>321</v>
      </c>
      <c r="E140" s="149" t="s">
        <v>69</v>
      </c>
      <c r="F140" s="149" t="s">
        <v>18</v>
      </c>
      <c r="G140" s="149" t="s">
        <v>355</v>
      </c>
      <c r="H140" s="150">
        <v>45763</v>
      </c>
      <c r="I140" s="150">
        <v>46182</v>
      </c>
      <c r="J140" s="151"/>
      <c r="K140" s="150"/>
      <c r="L140" s="150"/>
      <c r="M140" s="149"/>
      <c r="N140" s="152"/>
      <c r="O140" s="153"/>
      <c r="P140" s="153"/>
      <c r="Q140" s="153"/>
      <c r="R140" s="153"/>
      <c r="S140" s="153"/>
      <c r="T140" s="153"/>
      <c r="U140" s="153"/>
      <c r="V140" s="153"/>
      <c r="W140" s="153"/>
      <c r="X140" s="153"/>
      <c r="Y140" s="153"/>
      <c r="Z140" s="153"/>
    </row>
    <row r="141" ht="101" spans="1:26">
      <c r="A141" s="149" t="s">
        <v>330</v>
      </c>
      <c r="B141" s="149" t="s">
        <v>356</v>
      </c>
      <c r="C141" s="156" t="s">
        <v>357</v>
      </c>
      <c r="D141" s="149" t="s">
        <v>321</v>
      </c>
      <c r="E141" s="149" t="s">
        <v>69</v>
      </c>
      <c r="F141" s="149" t="s">
        <v>18</v>
      </c>
      <c r="G141" s="149"/>
      <c r="H141" s="150">
        <v>45763</v>
      </c>
      <c r="I141" s="155"/>
      <c r="J141" s="151"/>
      <c r="K141" s="155"/>
      <c r="L141" s="155"/>
      <c r="M141" s="149"/>
      <c r="N141" s="152" t="s">
        <v>358</v>
      </c>
      <c r="O141" s="153"/>
      <c r="P141" s="153"/>
      <c r="Q141" s="153"/>
      <c r="R141" s="153"/>
      <c r="S141" s="153"/>
      <c r="T141" s="153"/>
      <c r="U141" s="153"/>
      <c r="V141" s="153"/>
      <c r="W141" s="153"/>
      <c r="X141" s="153"/>
      <c r="Y141" s="153"/>
      <c r="Z141" s="153"/>
    </row>
    <row r="142" spans="1:26">
      <c r="A142" s="149" t="s">
        <v>330</v>
      </c>
      <c r="B142" s="149" t="s">
        <v>359</v>
      </c>
      <c r="C142" s="149" t="s">
        <v>360</v>
      </c>
      <c r="D142" s="149" t="s">
        <v>321</v>
      </c>
      <c r="E142" s="149" t="s">
        <v>69</v>
      </c>
      <c r="F142" s="149" t="s">
        <v>18</v>
      </c>
      <c r="G142" s="149"/>
      <c r="H142" s="150">
        <v>45763</v>
      </c>
      <c r="I142" s="155"/>
      <c r="J142" s="151"/>
      <c r="K142" s="155"/>
      <c r="L142" s="155"/>
      <c r="M142" s="149"/>
      <c r="N142" s="152" t="s">
        <v>361</v>
      </c>
      <c r="O142" s="153"/>
      <c r="P142" s="153"/>
      <c r="Q142" s="153"/>
      <c r="R142" s="153"/>
      <c r="S142" s="153"/>
      <c r="T142" s="153"/>
      <c r="U142" s="153"/>
      <c r="V142" s="153"/>
      <c r="W142" s="153"/>
      <c r="X142" s="153"/>
      <c r="Y142" s="153"/>
      <c r="Z142" s="153"/>
    </row>
    <row r="143" ht="29" spans="1:26">
      <c r="A143" s="149" t="s">
        <v>330</v>
      </c>
      <c r="B143" s="149" t="s">
        <v>362</v>
      </c>
      <c r="C143" s="149" t="s">
        <v>363</v>
      </c>
      <c r="D143" s="149" t="s">
        <v>321</v>
      </c>
      <c r="E143" s="149" t="s">
        <v>69</v>
      </c>
      <c r="F143" s="149" t="s">
        <v>18</v>
      </c>
      <c r="G143" s="149"/>
      <c r="H143" s="150">
        <v>45763</v>
      </c>
      <c r="I143" s="155"/>
      <c r="J143" s="151"/>
      <c r="K143" s="155"/>
      <c r="L143" s="155"/>
      <c r="M143" s="149"/>
      <c r="N143" s="152" t="s">
        <v>364</v>
      </c>
      <c r="O143" s="153"/>
      <c r="P143" s="153"/>
      <c r="Q143" s="153"/>
      <c r="R143" s="153"/>
      <c r="S143" s="153"/>
      <c r="T143" s="153"/>
      <c r="U143" s="153"/>
      <c r="V143" s="153"/>
      <c r="W143" s="153"/>
      <c r="X143" s="153"/>
      <c r="Y143" s="153"/>
      <c r="Z143" s="153"/>
    </row>
    <row r="144" spans="1:26">
      <c r="A144" s="149" t="s">
        <v>330</v>
      </c>
      <c r="B144" s="149" t="s">
        <v>365</v>
      </c>
      <c r="C144" s="149" t="s">
        <v>366</v>
      </c>
      <c r="D144" s="149" t="s">
        <v>321</v>
      </c>
      <c r="E144" s="149" t="s">
        <v>69</v>
      </c>
      <c r="F144" s="149" t="s">
        <v>18</v>
      </c>
      <c r="G144" s="149"/>
      <c r="H144" s="150">
        <v>45763</v>
      </c>
      <c r="I144" s="155"/>
      <c r="J144" s="151"/>
      <c r="K144" s="155"/>
      <c r="L144" s="155"/>
      <c r="M144" s="149"/>
      <c r="N144" s="152" t="s">
        <v>367</v>
      </c>
      <c r="O144" s="153"/>
      <c r="P144" s="153"/>
      <c r="Q144" s="153"/>
      <c r="R144" s="153"/>
      <c r="S144" s="153"/>
      <c r="T144" s="153"/>
      <c r="U144" s="153"/>
      <c r="V144" s="153"/>
      <c r="W144" s="153"/>
      <c r="X144" s="153"/>
      <c r="Y144" s="153"/>
      <c r="Z144" s="153"/>
    </row>
    <row r="145" spans="1:26">
      <c r="A145" s="149" t="s">
        <v>330</v>
      </c>
      <c r="B145" s="149" t="s">
        <v>368</v>
      </c>
      <c r="C145" s="149" t="s">
        <v>369</v>
      </c>
      <c r="D145" s="149" t="s">
        <v>321</v>
      </c>
      <c r="E145" s="149" t="s">
        <v>69</v>
      </c>
      <c r="F145" s="149" t="s">
        <v>18</v>
      </c>
      <c r="G145" s="149"/>
      <c r="H145" s="150">
        <v>45763</v>
      </c>
      <c r="I145" s="155"/>
      <c r="J145" s="151"/>
      <c r="K145" s="155"/>
      <c r="L145" s="155"/>
      <c r="M145" s="149"/>
      <c r="N145" s="152"/>
      <c r="O145" s="153"/>
      <c r="P145" s="153"/>
      <c r="Q145" s="153"/>
      <c r="R145" s="153"/>
      <c r="S145" s="153"/>
      <c r="T145" s="153"/>
      <c r="U145" s="153"/>
      <c r="V145" s="153"/>
      <c r="W145" s="153"/>
      <c r="X145" s="153"/>
      <c r="Y145" s="153"/>
      <c r="Z145" s="153"/>
    </row>
    <row r="146" ht="87" spans="1:26">
      <c r="A146" s="149" t="s">
        <v>330</v>
      </c>
      <c r="B146" s="149" t="s">
        <v>370</v>
      </c>
      <c r="C146" s="156" t="s">
        <v>371</v>
      </c>
      <c r="D146" s="149" t="s">
        <v>321</v>
      </c>
      <c r="E146" s="149" t="s">
        <v>69</v>
      </c>
      <c r="F146" s="149" t="s">
        <v>18</v>
      </c>
      <c r="G146" s="149"/>
      <c r="H146" s="150">
        <v>45763</v>
      </c>
      <c r="I146" s="155"/>
      <c r="J146" s="151"/>
      <c r="K146" s="155"/>
      <c r="L146" s="155"/>
      <c r="M146" s="149"/>
      <c r="N146" s="152"/>
      <c r="O146" s="153"/>
      <c r="P146" s="153"/>
      <c r="Q146" s="153"/>
      <c r="R146" s="153"/>
      <c r="S146" s="153"/>
      <c r="T146" s="153"/>
      <c r="U146" s="153"/>
      <c r="V146" s="153"/>
      <c r="W146" s="153"/>
      <c r="X146" s="153"/>
      <c r="Y146" s="153"/>
      <c r="Z146" s="153"/>
    </row>
    <row r="147" ht="29" spans="1:26">
      <c r="A147" s="149" t="s">
        <v>330</v>
      </c>
      <c r="B147" s="149" t="s">
        <v>372</v>
      </c>
      <c r="C147" s="149" t="s">
        <v>373</v>
      </c>
      <c r="D147" s="149" t="s">
        <v>321</v>
      </c>
      <c r="E147" s="149" t="s">
        <v>69</v>
      </c>
      <c r="F147" s="149" t="s">
        <v>18</v>
      </c>
      <c r="G147" s="149"/>
      <c r="H147" s="150">
        <v>45763</v>
      </c>
      <c r="I147" s="155"/>
      <c r="J147" s="151"/>
      <c r="K147" s="155"/>
      <c r="L147" s="155"/>
      <c r="M147" s="149"/>
      <c r="N147" s="152"/>
      <c r="O147" s="153"/>
      <c r="P147" s="153"/>
      <c r="Q147" s="153"/>
      <c r="R147" s="153"/>
      <c r="S147" s="153"/>
      <c r="T147" s="153"/>
      <c r="U147" s="153"/>
      <c r="V147" s="153"/>
      <c r="W147" s="153"/>
      <c r="X147" s="153"/>
      <c r="Y147" s="153"/>
      <c r="Z147" s="153"/>
    </row>
    <row r="148" spans="1:26">
      <c r="A148" s="149" t="s">
        <v>330</v>
      </c>
      <c r="B148" s="149" t="s">
        <v>374</v>
      </c>
      <c r="C148" s="149" t="s">
        <v>375</v>
      </c>
      <c r="D148" s="149" t="s">
        <v>321</v>
      </c>
      <c r="E148" s="149" t="s">
        <v>69</v>
      </c>
      <c r="F148" s="149" t="s">
        <v>18</v>
      </c>
      <c r="G148" s="149"/>
      <c r="H148" s="150">
        <v>45763</v>
      </c>
      <c r="I148" s="155"/>
      <c r="J148" s="151"/>
      <c r="K148" s="155"/>
      <c r="L148" s="155"/>
      <c r="M148" s="149"/>
      <c r="N148" s="152"/>
      <c r="O148" s="153"/>
      <c r="P148" s="153"/>
      <c r="Q148" s="153"/>
      <c r="R148" s="153"/>
      <c r="S148" s="153"/>
      <c r="T148" s="153"/>
      <c r="U148" s="153"/>
      <c r="V148" s="153"/>
      <c r="W148" s="153"/>
      <c r="X148" s="153"/>
      <c r="Y148" s="153"/>
      <c r="Z148" s="153"/>
    </row>
    <row r="149" ht="58" spans="1:26">
      <c r="A149" s="149" t="s">
        <v>330</v>
      </c>
      <c r="B149" s="149" t="s">
        <v>376</v>
      </c>
      <c r="C149" s="156" t="s">
        <v>377</v>
      </c>
      <c r="D149" s="149" t="s">
        <v>321</v>
      </c>
      <c r="E149" s="149" t="s">
        <v>144</v>
      </c>
      <c r="F149" s="149" t="s">
        <v>18</v>
      </c>
      <c r="G149" s="149"/>
      <c r="H149" s="150">
        <v>45793</v>
      </c>
      <c r="I149" s="155"/>
      <c r="J149" s="151"/>
      <c r="K149" s="155"/>
      <c r="L149" s="155"/>
      <c r="M149" s="149"/>
      <c r="N149" s="152" t="s">
        <v>378</v>
      </c>
      <c r="O149" s="153"/>
      <c r="P149" s="153"/>
      <c r="Q149" s="153"/>
      <c r="R149" s="153"/>
      <c r="S149" s="153"/>
      <c r="T149" s="153"/>
      <c r="U149" s="153"/>
      <c r="V149" s="153"/>
      <c r="W149" s="153"/>
      <c r="X149" s="153"/>
      <c r="Y149" s="153"/>
      <c r="Z149" s="153"/>
    </row>
    <row r="150" spans="1:26">
      <c r="A150" s="149" t="s">
        <v>330</v>
      </c>
      <c r="B150" s="149" t="s">
        <v>379</v>
      </c>
      <c r="C150" s="149" t="s">
        <v>380</v>
      </c>
      <c r="D150" s="149" t="s">
        <v>321</v>
      </c>
      <c r="E150" s="149" t="s">
        <v>144</v>
      </c>
      <c r="F150" s="149" t="s">
        <v>18</v>
      </c>
      <c r="G150" s="149"/>
      <c r="H150" s="150">
        <v>45793</v>
      </c>
      <c r="I150" s="150">
        <v>46225</v>
      </c>
      <c r="J150" s="151"/>
      <c r="K150" s="150"/>
      <c r="L150" s="150"/>
      <c r="M150" s="149" t="s">
        <v>381</v>
      </c>
      <c r="N150" s="152" t="s">
        <v>382</v>
      </c>
      <c r="O150" s="153"/>
      <c r="P150" s="153"/>
      <c r="Q150" s="153"/>
      <c r="R150" s="153"/>
      <c r="S150" s="153"/>
      <c r="T150" s="153"/>
      <c r="U150" s="153"/>
      <c r="V150" s="153"/>
      <c r="W150" s="153"/>
      <c r="X150" s="153"/>
      <c r="Y150" s="153"/>
      <c r="Z150" s="153"/>
    </row>
    <row r="151" ht="29" spans="1:26">
      <c r="A151" s="149" t="s">
        <v>330</v>
      </c>
      <c r="B151" s="149" t="s">
        <v>383</v>
      </c>
      <c r="C151" s="149" t="s">
        <v>384</v>
      </c>
      <c r="D151" s="149" t="s">
        <v>321</v>
      </c>
      <c r="E151" s="149" t="s">
        <v>84</v>
      </c>
      <c r="F151" s="149" t="s">
        <v>18</v>
      </c>
      <c r="G151" s="149"/>
      <c r="H151" s="150">
        <v>45818</v>
      </c>
      <c r="I151" s="155"/>
      <c r="J151" s="151"/>
      <c r="K151" s="155"/>
      <c r="L151" s="155"/>
      <c r="M151" s="149"/>
      <c r="N151" s="152" t="s">
        <v>385</v>
      </c>
      <c r="O151" s="153"/>
      <c r="P151" s="153"/>
      <c r="Q151" s="153"/>
      <c r="R151" s="153"/>
      <c r="S151" s="153"/>
      <c r="T151" s="153"/>
      <c r="U151" s="153"/>
      <c r="V151" s="153"/>
      <c r="W151" s="153"/>
      <c r="X151" s="153"/>
      <c r="Y151" s="153"/>
      <c r="Z151" s="153"/>
    </row>
    <row r="152" ht="29" spans="1:26">
      <c r="A152" s="149" t="s">
        <v>330</v>
      </c>
      <c r="B152" s="149" t="s">
        <v>386</v>
      </c>
      <c r="C152" s="149" t="s">
        <v>387</v>
      </c>
      <c r="D152" s="149" t="s">
        <v>321</v>
      </c>
      <c r="E152" s="149" t="s">
        <v>84</v>
      </c>
      <c r="F152" s="149" t="s">
        <v>18</v>
      </c>
      <c r="G152" s="149"/>
      <c r="H152" s="150">
        <v>45818</v>
      </c>
      <c r="I152" s="150">
        <v>46232</v>
      </c>
      <c r="J152" s="151"/>
      <c r="K152" s="150"/>
      <c r="L152" s="150"/>
      <c r="M152" s="149" t="s">
        <v>381</v>
      </c>
      <c r="N152" s="152"/>
      <c r="O152" s="153"/>
      <c r="P152" s="153"/>
      <c r="Q152" s="153"/>
      <c r="R152" s="153"/>
      <c r="S152" s="153"/>
      <c r="T152" s="153"/>
      <c r="U152" s="153"/>
      <c r="V152" s="153"/>
      <c r="W152" s="153"/>
      <c r="X152" s="153"/>
      <c r="Y152" s="153"/>
      <c r="Z152" s="153"/>
    </row>
    <row r="153" ht="44" spans="1:26">
      <c r="A153" s="149" t="s">
        <v>330</v>
      </c>
      <c r="B153" s="149" t="s">
        <v>388</v>
      </c>
      <c r="C153" s="149" t="s">
        <v>389</v>
      </c>
      <c r="D153" s="149" t="s">
        <v>321</v>
      </c>
      <c r="E153" s="149" t="s">
        <v>17</v>
      </c>
      <c r="F153" s="149" t="s">
        <v>91</v>
      </c>
      <c r="G153" s="149" t="s">
        <v>390</v>
      </c>
      <c r="H153" s="150">
        <v>45869</v>
      </c>
      <c r="I153" s="150">
        <v>46239</v>
      </c>
      <c r="J153" s="151"/>
      <c r="K153" s="150"/>
      <c r="L153" s="150"/>
      <c r="M153" s="149"/>
      <c r="N153" s="152"/>
      <c r="O153" s="153"/>
      <c r="P153" s="153"/>
      <c r="Q153" s="153"/>
      <c r="R153" s="153"/>
      <c r="S153" s="153"/>
      <c r="T153" s="153"/>
      <c r="U153" s="153"/>
      <c r="V153" s="153"/>
      <c r="W153" s="153"/>
      <c r="X153" s="153"/>
      <c r="Y153" s="153"/>
      <c r="Z153" s="153"/>
    </row>
    <row r="154" ht="29" spans="1:26">
      <c r="A154" s="149" t="s">
        <v>330</v>
      </c>
      <c r="B154" s="149" t="s">
        <v>391</v>
      </c>
      <c r="C154" s="156" t="s">
        <v>392</v>
      </c>
      <c r="D154" s="149" t="s">
        <v>321</v>
      </c>
      <c r="E154" s="149" t="s">
        <v>17</v>
      </c>
      <c r="F154" s="149" t="s">
        <v>18</v>
      </c>
      <c r="G154" s="149"/>
      <c r="H154" s="150">
        <v>45869</v>
      </c>
      <c r="I154" s="150">
        <v>46227</v>
      </c>
      <c r="J154" s="151"/>
      <c r="K154" s="150"/>
      <c r="L154" s="150"/>
      <c r="M154" s="149"/>
      <c r="N154" s="152"/>
      <c r="O154" s="153"/>
      <c r="P154" s="153"/>
      <c r="Q154" s="153"/>
      <c r="R154" s="153"/>
      <c r="S154" s="153"/>
      <c r="T154" s="153"/>
      <c r="U154" s="153"/>
      <c r="V154" s="153"/>
      <c r="W154" s="153"/>
      <c r="X154" s="153"/>
      <c r="Y154" s="153"/>
      <c r="Z154" s="153"/>
    </row>
    <row r="155" ht="44" spans="1:26">
      <c r="A155" s="149" t="s">
        <v>330</v>
      </c>
      <c r="B155" s="149" t="s">
        <v>393</v>
      </c>
      <c r="C155" s="156" t="s">
        <v>394</v>
      </c>
      <c r="D155" s="149" t="s">
        <v>321</v>
      </c>
      <c r="E155" s="149" t="s">
        <v>17</v>
      </c>
      <c r="F155" s="149" t="s">
        <v>18</v>
      </c>
      <c r="G155" s="149"/>
      <c r="H155" s="150">
        <v>45869</v>
      </c>
      <c r="I155" s="155"/>
      <c r="J155" s="151"/>
      <c r="K155" s="155"/>
      <c r="L155" s="155"/>
      <c r="M155" s="149"/>
      <c r="N155" s="152"/>
      <c r="O155" s="153"/>
      <c r="P155" s="153"/>
      <c r="Q155" s="153"/>
      <c r="R155" s="153"/>
      <c r="S155" s="153"/>
      <c r="T155" s="153"/>
      <c r="U155" s="153"/>
      <c r="V155" s="153"/>
      <c r="W155" s="153"/>
      <c r="X155" s="153"/>
      <c r="Y155" s="153"/>
      <c r="Z155" s="153"/>
    </row>
    <row r="156" spans="1:26">
      <c r="A156" s="149" t="s">
        <v>330</v>
      </c>
      <c r="B156" s="149" t="s">
        <v>395</v>
      </c>
      <c r="C156" s="149" t="s">
        <v>396</v>
      </c>
      <c r="D156" s="149" t="s">
        <v>321</v>
      </c>
      <c r="E156" s="149" t="s">
        <v>17</v>
      </c>
      <c r="F156" s="149" t="s">
        <v>18</v>
      </c>
      <c r="G156" s="149"/>
      <c r="H156" s="150">
        <v>45869</v>
      </c>
      <c r="I156" s="155"/>
      <c r="J156" s="151"/>
      <c r="K156" s="155"/>
      <c r="L156" s="155"/>
      <c r="M156" s="149"/>
      <c r="N156" s="152"/>
      <c r="O156" s="153"/>
      <c r="P156" s="153"/>
      <c r="Q156" s="153"/>
      <c r="R156" s="153"/>
      <c r="S156" s="153"/>
      <c r="T156" s="153"/>
      <c r="U156" s="153"/>
      <c r="V156" s="153"/>
      <c r="W156" s="153"/>
      <c r="X156" s="153"/>
      <c r="Y156" s="153"/>
      <c r="Z156" s="153"/>
    </row>
    <row r="157" ht="29" spans="1:26">
      <c r="A157" s="149" t="s">
        <v>330</v>
      </c>
      <c r="B157" s="149" t="s">
        <v>397</v>
      </c>
      <c r="C157" s="156" t="s">
        <v>398</v>
      </c>
      <c r="D157" s="149" t="s">
        <v>321</v>
      </c>
      <c r="E157" s="149" t="s">
        <v>17</v>
      </c>
      <c r="F157" s="149" t="s">
        <v>18</v>
      </c>
      <c r="G157" s="149"/>
      <c r="H157" s="150">
        <v>45869</v>
      </c>
      <c r="I157" s="155"/>
      <c r="J157" s="151"/>
      <c r="K157" s="155"/>
      <c r="L157" s="155"/>
      <c r="M157" s="149"/>
      <c r="N157" s="152"/>
      <c r="O157" s="153"/>
      <c r="P157" s="153"/>
      <c r="Q157" s="153"/>
      <c r="R157" s="153"/>
      <c r="S157" s="153"/>
      <c r="T157" s="153"/>
      <c r="U157" s="153"/>
      <c r="V157" s="153"/>
      <c r="W157" s="153"/>
      <c r="X157" s="153"/>
      <c r="Y157" s="153"/>
      <c r="Z157" s="153"/>
    </row>
    <row r="158" ht="72" spans="1:26">
      <c r="A158" s="149" t="s">
        <v>330</v>
      </c>
      <c r="B158" s="156" t="s">
        <v>399</v>
      </c>
      <c r="C158" s="156" t="s">
        <v>400</v>
      </c>
      <c r="D158" s="149" t="s">
        <v>321</v>
      </c>
      <c r="E158" s="149" t="s">
        <v>17</v>
      </c>
      <c r="F158" s="149" t="s">
        <v>38</v>
      </c>
      <c r="G158" s="149" t="s">
        <v>401</v>
      </c>
      <c r="H158" s="150">
        <v>45869</v>
      </c>
      <c r="I158" s="150">
        <v>46241</v>
      </c>
      <c r="J158" s="151"/>
      <c r="K158" s="150"/>
      <c r="L158" s="150"/>
      <c r="M158" s="149"/>
      <c r="N158" s="152"/>
      <c r="O158" s="153"/>
      <c r="P158" s="153"/>
      <c r="Q158" s="153"/>
      <c r="R158" s="153"/>
      <c r="S158" s="153"/>
      <c r="T158" s="153"/>
      <c r="U158" s="153"/>
      <c r="V158" s="153"/>
      <c r="W158" s="153"/>
      <c r="X158" s="153"/>
      <c r="Y158" s="153"/>
      <c r="Z158" s="153"/>
    </row>
    <row r="159" ht="29" spans="1:26">
      <c r="A159" s="149" t="s">
        <v>402</v>
      </c>
      <c r="B159" s="149" t="s">
        <v>403</v>
      </c>
      <c r="C159" s="149"/>
      <c r="D159" s="149" t="s">
        <v>321</v>
      </c>
      <c r="E159" s="149" t="s">
        <v>46</v>
      </c>
      <c r="F159" s="149" t="s">
        <v>18</v>
      </c>
      <c r="G159" s="149" t="s">
        <v>404</v>
      </c>
      <c r="H159" s="150">
        <v>45717</v>
      </c>
      <c r="I159" s="150">
        <v>46185</v>
      </c>
      <c r="J159" s="151"/>
      <c r="K159" s="150"/>
      <c r="L159" s="150"/>
      <c r="M159" s="149"/>
      <c r="N159" s="152"/>
      <c r="O159" s="153"/>
      <c r="P159" s="153"/>
      <c r="Q159" s="153"/>
      <c r="R159" s="153"/>
      <c r="S159" s="153"/>
      <c r="T159" s="153"/>
      <c r="U159" s="153"/>
      <c r="V159" s="153"/>
      <c r="W159" s="153"/>
      <c r="X159" s="153"/>
      <c r="Y159" s="153"/>
      <c r="Z159" s="153"/>
    </row>
    <row r="160" ht="29" spans="1:26">
      <c r="A160" s="149" t="s">
        <v>402</v>
      </c>
      <c r="B160" s="149" t="s">
        <v>405</v>
      </c>
      <c r="C160" s="149"/>
      <c r="D160" s="149" t="s">
        <v>321</v>
      </c>
      <c r="E160" s="149" t="s">
        <v>46</v>
      </c>
      <c r="F160" s="149" t="s">
        <v>18</v>
      </c>
      <c r="G160" s="149"/>
      <c r="H160" s="150">
        <v>45717</v>
      </c>
      <c r="I160" s="155"/>
      <c r="J160" s="151"/>
      <c r="K160" s="155"/>
      <c r="L160" s="155"/>
      <c r="M160" s="149"/>
      <c r="N160" s="152"/>
      <c r="O160" s="153"/>
      <c r="P160" s="153"/>
      <c r="Q160" s="153"/>
      <c r="R160" s="153"/>
      <c r="S160" s="153"/>
      <c r="T160" s="153"/>
      <c r="U160" s="153"/>
      <c r="V160" s="153"/>
      <c r="W160" s="153"/>
      <c r="X160" s="153"/>
      <c r="Y160" s="153"/>
      <c r="Z160" s="153"/>
    </row>
    <row r="161" ht="29" spans="1:26">
      <c r="A161" s="149" t="s">
        <v>402</v>
      </c>
      <c r="B161" s="149" t="s">
        <v>406</v>
      </c>
      <c r="C161" s="149"/>
      <c r="D161" s="149" t="s">
        <v>321</v>
      </c>
      <c r="E161" s="149" t="s">
        <v>46</v>
      </c>
      <c r="F161" s="149" t="s">
        <v>18</v>
      </c>
      <c r="G161" s="149"/>
      <c r="H161" s="150">
        <v>45717</v>
      </c>
      <c r="I161" s="155"/>
      <c r="J161" s="151"/>
      <c r="K161" s="155"/>
      <c r="L161" s="155"/>
      <c r="M161" s="149"/>
      <c r="N161" s="152" t="s">
        <v>407</v>
      </c>
      <c r="O161" s="153"/>
      <c r="P161" s="153"/>
      <c r="Q161" s="153"/>
      <c r="R161" s="153"/>
      <c r="S161" s="153"/>
      <c r="T161" s="153"/>
      <c r="U161" s="153"/>
      <c r="V161" s="153"/>
      <c r="W161" s="153"/>
      <c r="X161" s="153"/>
      <c r="Y161" s="153"/>
      <c r="Z161" s="153"/>
    </row>
    <row r="162" ht="29" spans="1:26">
      <c r="A162" s="149" t="s">
        <v>402</v>
      </c>
      <c r="B162" s="149" t="s">
        <v>408</v>
      </c>
      <c r="C162" s="149"/>
      <c r="D162" s="149" t="s">
        <v>321</v>
      </c>
      <c r="E162" s="149" t="s">
        <v>46</v>
      </c>
      <c r="F162" s="149" t="s">
        <v>18</v>
      </c>
      <c r="G162" s="149"/>
      <c r="H162" s="150">
        <v>45717</v>
      </c>
      <c r="I162" s="155"/>
      <c r="J162" s="151"/>
      <c r="K162" s="155"/>
      <c r="L162" s="155"/>
      <c r="M162" s="149"/>
      <c r="N162" s="152" t="s">
        <v>407</v>
      </c>
      <c r="O162" s="153"/>
      <c r="P162" s="153"/>
      <c r="Q162" s="153"/>
      <c r="R162" s="153"/>
      <c r="S162" s="153"/>
      <c r="T162" s="153"/>
      <c r="U162" s="153"/>
      <c r="V162" s="153"/>
      <c r="W162" s="153"/>
      <c r="X162" s="153"/>
      <c r="Y162" s="153"/>
      <c r="Z162" s="153"/>
    </row>
    <row r="163" ht="29" spans="1:26">
      <c r="A163" s="149" t="s">
        <v>402</v>
      </c>
      <c r="B163" s="149" t="s">
        <v>409</v>
      </c>
      <c r="C163" s="149"/>
      <c r="D163" s="149" t="s">
        <v>321</v>
      </c>
      <c r="E163" s="149" t="s">
        <v>46</v>
      </c>
      <c r="F163" s="149" t="s">
        <v>18</v>
      </c>
      <c r="G163" s="149"/>
      <c r="H163" s="150">
        <v>45717</v>
      </c>
      <c r="I163" s="155"/>
      <c r="J163" s="151"/>
      <c r="K163" s="155"/>
      <c r="L163" s="155"/>
      <c r="M163" s="149"/>
      <c r="N163" s="152" t="s">
        <v>64</v>
      </c>
      <c r="O163" s="153"/>
      <c r="P163" s="153"/>
      <c r="Q163" s="153"/>
      <c r="R163" s="153"/>
      <c r="S163" s="153"/>
      <c r="T163" s="153"/>
      <c r="U163" s="153"/>
      <c r="V163" s="153"/>
      <c r="W163" s="153"/>
      <c r="X163" s="153"/>
      <c r="Y163" s="153"/>
      <c r="Z163" s="153"/>
    </row>
    <row r="164" ht="29" spans="1:26">
      <c r="A164" s="149" t="s">
        <v>402</v>
      </c>
      <c r="B164" s="149" t="s">
        <v>410</v>
      </c>
      <c r="C164" s="149"/>
      <c r="D164" s="149" t="s">
        <v>321</v>
      </c>
      <c r="E164" s="149" t="s">
        <v>46</v>
      </c>
      <c r="F164" s="149" t="s">
        <v>18</v>
      </c>
      <c r="G164" s="149"/>
      <c r="H164" s="150">
        <v>45717</v>
      </c>
      <c r="I164" s="155"/>
      <c r="J164" s="151"/>
      <c r="K164" s="155"/>
      <c r="L164" s="155"/>
      <c r="M164" s="149"/>
      <c r="N164" s="152" t="s">
        <v>333</v>
      </c>
      <c r="O164" s="153"/>
      <c r="P164" s="153"/>
      <c r="Q164" s="153"/>
      <c r="R164" s="153"/>
      <c r="S164" s="153"/>
      <c r="T164" s="153"/>
      <c r="U164" s="153"/>
      <c r="V164" s="153"/>
      <c r="W164" s="153"/>
      <c r="X164" s="153"/>
      <c r="Y164" s="153"/>
      <c r="Z164" s="153"/>
    </row>
    <row r="165" ht="29" spans="1:26">
      <c r="A165" s="149" t="s">
        <v>402</v>
      </c>
      <c r="B165" s="149" t="s">
        <v>51</v>
      </c>
      <c r="C165" s="149" t="s">
        <v>52</v>
      </c>
      <c r="D165" s="149" t="s">
        <v>321</v>
      </c>
      <c r="E165" s="149" t="s">
        <v>69</v>
      </c>
      <c r="F165" s="149" t="s">
        <v>18</v>
      </c>
      <c r="G165" s="149"/>
      <c r="H165" s="150">
        <v>45763</v>
      </c>
      <c r="I165" s="155"/>
      <c r="J165" s="151"/>
      <c r="K165" s="155"/>
      <c r="L165" s="155"/>
      <c r="M165" s="149"/>
      <c r="N165" s="152"/>
      <c r="O165" s="153"/>
      <c r="P165" s="153"/>
      <c r="Q165" s="153"/>
      <c r="R165" s="153"/>
      <c r="S165" s="153"/>
      <c r="T165" s="153"/>
      <c r="U165" s="153"/>
      <c r="V165" s="153"/>
      <c r="W165" s="153"/>
      <c r="X165" s="153"/>
      <c r="Y165" s="153"/>
      <c r="Z165" s="153"/>
    </row>
    <row r="166" ht="29" spans="1:26">
      <c r="A166" s="149" t="s">
        <v>402</v>
      </c>
      <c r="B166" s="149" t="s">
        <v>411</v>
      </c>
      <c r="C166" s="149"/>
      <c r="D166" s="149" t="s">
        <v>321</v>
      </c>
      <c r="E166" s="149" t="s">
        <v>69</v>
      </c>
      <c r="F166" s="149" t="s">
        <v>18</v>
      </c>
      <c r="G166" s="149"/>
      <c r="H166" s="150">
        <v>45763</v>
      </c>
      <c r="I166" s="155"/>
      <c r="J166" s="151"/>
      <c r="K166" s="155"/>
      <c r="L166" s="155"/>
      <c r="M166" s="149"/>
      <c r="N166" s="152"/>
      <c r="O166" s="153"/>
      <c r="P166" s="153"/>
      <c r="Q166" s="153"/>
      <c r="R166" s="153"/>
      <c r="S166" s="153"/>
      <c r="T166" s="153"/>
      <c r="U166" s="153"/>
      <c r="V166" s="153"/>
      <c r="W166" s="153"/>
      <c r="X166" s="153"/>
      <c r="Y166" s="153"/>
      <c r="Z166" s="153"/>
    </row>
    <row r="167" ht="29" spans="1:26">
      <c r="A167" s="149" t="s">
        <v>402</v>
      </c>
      <c r="B167" s="149" t="s">
        <v>412</v>
      </c>
      <c r="C167" s="149"/>
      <c r="D167" s="149" t="s">
        <v>321</v>
      </c>
      <c r="E167" s="149" t="s">
        <v>69</v>
      </c>
      <c r="F167" s="149" t="s">
        <v>18</v>
      </c>
      <c r="G167" s="149"/>
      <c r="H167" s="150">
        <v>45763</v>
      </c>
      <c r="I167" s="155"/>
      <c r="J167" s="151"/>
      <c r="K167" s="155"/>
      <c r="L167" s="155"/>
      <c r="M167" s="149"/>
      <c r="N167" s="152"/>
      <c r="O167" s="153"/>
      <c r="P167" s="153"/>
      <c r="Q167" s="153"/>
      <c r="R167" s="153"/>
      <c r="S167" s="153"/>
      <c r="T167" s="153"/>
      <c r="U167" s="153"/>
      <c r="V167" s="153"/>
      <c r="W167" s="153"/>
      <c r="X167" s="153"/>
      <c r="Y167" s="153"/>
      <c r="Z167" s="153"/>
    </row>
    <row r="168" ht="29" spans="1:26">
      <c r="A168" s="149" t="s">
        <v>402</v>
      </c>
      <c r="B168" s="149" t="s">
        <v>413</v>
      </c>
      <c r="C168" s="149"/>
      <c r="D168" s="149" t="s">
        <v>321</v>
      </c>
      <c r="E168" s="149" t="s">
        <v>69</v>
      </c>
      <c r="F168" s="149" t="s">
        <v>18</v>
      </c>
      <c r="G168" s="149"/>
      <c r="H168" s="150">
        <v>45763</v>
      </c>
      <c r="I168" s="155"/>
      <c r="J168" s="151"/>
      <c r="K168" s="155"/>
      <c r="L168" s="155"/>
      <c r="M168" s="149"/>
      <c r="N168" s="152"/>
      <c r="O168" s="153"/>
      <c r="P168" s="153"/>
      <c r="Q168" s="153"/>
      <c r="R168" s="153"/>
      <c r="S168" s="153"/>
      <c r="T168" s="153"/>
      <c r="U168" s="153"/>
      <c r="V168" s="153"/>
      <c r="W168" s="153"/>
      <c r="X168" s="153"/>
      <c r="Y168" s="153"/>
      <c r="Z168" s="153"/>
    </row>
    <row r="169" ht="29" spans="1:26">
      <c r="A169" s="149" t="s">
        <v>402</v>
      </c>
      <c r="B169" s="149" t="s">
        <v>414</v>
      </c>
      <c r="C169" s="149"/>
      <c r="D169" s="149" t="s">
        <v>321</v>
      </c>
      <c r="E169" s="149" t="s">
        <v>69</v>
      </c>
      <c r="F169" s="149" t="s">
        <v>18</v>
      </c>
      <c r="G169" s="149"/>
      <c r="H169" s="150">
        <v>45763</v>
      </c>
      <c r="I169" s="155"/>
      <c r="J169" s="151"/>
      <c r="K169" s="155"/>
      <c r="L169" s="155"/>
      <c r="M169" s="149"/>
      <c r="N169" s="152"/>
      <c r="O169" s="153"/>
      <c r="P169" s="153"/>
      <c r="Q169" s="153"/>
      <c r="R169" s="153"/>
      <c r="S169" s="153"/>
      <c r="T169" s="153"/>
      <c r="U169" s="153"/>
      <c r="V169" s="153"/>
      <c r="W169" s="153"/>
      <c r="X169" s="153"/>
      <c r="Y169" s="153"/>
      <c r="Z169" s="153"/>
    </row>
    <row r="170" ht="29" spans="1:26">
      <c r="A170" s="149" t="s">
        <v>402</v>
      </c>
      <c r="B170" s="149" t="s">
        <v>415</v>
      </c>
      <c r="C170" s="149"/>
      <c r="D170" s="149" t="s">
        <v>321</v>
      </c>
      <c r="E170" s="149" t="s">
        <v>69</v>
      </c>
      <c r="F170" s="149" t="s">
        <v>18</v>
      </c>
      <c r="G170" s="149"/>
      <c r="H170" s="150">
        <v>45763</v>
      </c>
      <c r="I170" s="155"/>
      <c r="J170" s="151"/>
      <c r="K170" s="155"/>
      <c r="L170" s="155"/>
      <c r="M170" s="149"/>
      <c r="N170" s="152" t="s">
        <v>70</v>
      </c>
      <c r="O170" s="153"/>
      <c r="P170" s="153"/>
      <c r="Q170" s="153"/>
      <c r="R170" s="153"/>
      <c r="S170" s="153"/>
      <c r="T170" s="153"/>
      <c r="U170" s="153"/>
      <c r="V170" s="153"/>
      <c r="W170" s="153"/>
      <c r="X170" s="153"/>
      <c r="Y170" s="153"/>
      <c r="Z170" s="153"/>
    </row>
    <row r="171" ht="29" spans="1:26">
      <c r="A171" s="149" t="s">
        <v>402</v>
      </c>
      <c r="B171" s="149" t="s">
        <v>416</v>
      </c>
      <c r="C171" s="149"/>
      <c r="D171" s="149" t="s">
        <v>321</v>
      </c>
      <c r="E171" s="149" t="s">
        <v>69</v>
      </c>
      <c r="F171" s="149" t="s">
        <v>41</v>
      </c>
      <c r="G171" s="149"/>
      <c r="H171" s="150">
        <v>45763</v>
      </c>
      <c r="I171" s="150">
        <v>46237</v>
      </c>
      <c r="J171" s="151"/>
      <c r="K171" s="150"/>
      <c r="L171" s="150"/>
      <c r="M171" s="149" t="s">
        <v>417</v>
      </c>
      <c r="N171" s="152"/>
      <c r="O171" s="153"/>
      <c r="P171" s="153"/>
      <c r="Q171" s="153"/>
      <c r="R171" s="153"/>
      <c r="S171" s="153"/>
      <c r="T171" s="153"/>
      <c r="U171" s="153"/>
      <c r="V171" s="153"/>
      <c r="W171" s="153"/>
      <c r="X171" s="153"/>
      <c r="Y171" s="153"/>
      <c r="Z171" s="153"/>
    </row>
    <row r="172" ht="29" spans="1:26">
      <c r="A172" s="149" t="s">
        <v>402</v>
      </c>
      <c r="B172" s="149" t="s">
        <v>418</v>
      </c>
      <c r="C172" s="149"/>
      <c r="D172" s="149" t="s">
        <v>321</v>
      </c>
      <c r="E172" s="149" t="s">
        <v>144</v>
      </c>
      <c r="F172" s="149" t="s">
        <v>18</v>
      </c>
      <c r="G172" s="149"/>
      <c r="H172" s="150">
        <v>45793</v>
      </c>
      <c r="I172" s="150">
        <v>46183</v>
      </c>
      <c r="J172" s="151"/>
      <c r="K172" s="150"/>
      <c r="L172" s="150"/>
      <c r="M172" s="149" t="s">
        <v>417</v>
      </c>
      <c r="N172" s="152"/>
      <c r="O172" s="153"/>
      <c r="P172" s="153"/>
      <c r="Q172" s="153"/>
      <c r="R172" s="153"/>
      <c r="S172" s="153"/>
      <c r="T172" s="153"/>
      <c r="U172" s="153"/>
      <c r="V172" s="153"/>
      <c r="W172" s="153"/>
      <c r="X172" s="153"/>
      <c r="Y172" s="153"/>
      <c r="Z172" s="153"/>
    </row>
    <row r="173" ht="29" spans="1:26">
      <c r="A173" s="149" t="s">
        <v>402</v>
      </c>
      <c r="B173" s="149" t="s">
        <v>419</v>
      </c>
      <c r="C173" s="149"/>
      <c r="D173" s="149" t="s">
        <v>321</v>
      </c>
      <c r="E173" s="149" t="s">
        <v>144</v>
      </c>
      <c r="F173" s="149" t="s">
        <v>18</v>
      </c>
      <c r="G173" s="149"/>
      <c r="H173" s="150">
        <v>45793</v>
      </c>
      <c r="I173" s="155"/>
      <c r="J173" s="151"/>
      <c r="K173" s="155"/>
      <c r="L173" s="155"/>
      <c r="M173" s="149"/>
      <c r="N173" s="152"/>
      <c r="O173" s="153"/>
      <c r="P173" s="153"/>
      <c r="Q173" s="153"/>
      <c r="R173" s="153"/>
      <c r="S173" s="153"/>
      <c r="T173" s="153"/>
      <c r="U173" s="153"/>
      <c r="V173" s="153"/>
      <c r="W173" s="153"/>
      <c r="X173" s="153"/>
      <c r="Y173" s="153"/>
      <c r="Z173" s="153"/>
    </row>
    <row r="174" ht="29" spans="1:26">
      <c r="A174" s="149" t="s">
        <v>402</v>
      </c>
      <c r="B174" s="149" t="s">
        <v>420</v>
      </c>
      <c r="C174" s="149"/>
      <c r="D174" s="149" t="s">
        <v>321</v>
      </c>
      <c r="E174" s="149" t="s">
        <v>144</v>
      </c>
      <c r="F174" s="149" t="s">
        <v>18</v>
      </c>
      <c r="G174" s="149"/>
      <c r="H174" s="150">
        <v>45793</v>
      </c>
      <c r="I174" s="155"/>
      <c r="J174" s="151"/>
      <c r="K174" s="155"/>
      <c r="L174" s="155"/>
      <c r="M174" s="149"/>
      <c r="N174" s="152" t="s">
        <v>421</v>
      </c>
      <c r="O174" s="153"/>
      <c r="P174" s="153"/>
      <c r="Q174" s="153"/>
      <c r="R174" s="153"/>
      <c r="S174" s="153"/>
      <c r="T174" s="153"/>
      <c r="U174" s="153"/>
      <c r="V174" s="153"/>
      <c r="W174" s="153"/>
      <c r="X174" s="153"/>
      <c r="Y174" s="153"/>
      <c r="Z174" s="153"/>
    </row>
    <row r="175" ht="29" spans="1:26">
      <c r="A175" s="149" t="s">
        <v>402</v>
      </c>
      <c r="B175" s="149" t="s">
        <v>422</v>
      </c>
      <c r="C175" s="149"/>
      <c r="D175" s="149" t="s">
        <v>321</v>
      </c>
      <c r="E175" s="149" t="s">
        <v>144</v>
      </c>
      <c r="F175" s="149" t="s">
        <v>18</v>
      </c>
      <c r="G175" s="149"/>
      <c r="H175" s="150">
        <v>45793</v>
      </c>
      <c r="I175" s="155"/>
      <c r="J175" s="151"/>
      <c r="K175" s="155"/>
      <c r="L175" s="155"/>
      <c r="M175" s="149"/>
      <c r="N175" s="152" t="s">
        <v>378</v>
      </c>
      <c r="O175" s="153"/>
      <c r="P175" s="153"/>
      <c r="Q175" s="153"/>
      <c r="R175" s="153"/>
      <c r="S175" s="153"/>
      <c r="T175" s="153"/>
      <c r="U175" s="153"/>
      <c r="V175" s="153"/>
      <c r="W175" s="153"/>
      <c r="X175" s="153"/>
      <c r="Y175" s="153"/>
      <c r="Z175" s="153"/>
    </row>
    <row r="176" ht="29" spans="1:26">
      <c r="A176" s="149" t="s">
        <v>402</v>
      </c>
      <c r="B176" s="149" t="s">
        <v>379</v>
      </c>
      <c r="C176" s="149" t="s">
        <v>423</v>
      </c>
      <c r="D176" s="149" t="s">
        <v>321</v>
      </c>
      <c r="E176" s="149" t="s">
        <v>144</v>
      </c>
      <c r="F176" s="149" t="s">
        <v>18</v>
      </c>
      <c r="G176" s="149"/>
      <c r="H176" s="150">
        <v>45793</v>
      </c>
      <c r="I176" s="150">
        <v>46225</v>
      </c>
      <c r="J176" s="151"/>
      <c r="K176" s="150"/>
      <c r="L176" s="150"/>
      <c r="M176" s="149" t="s">
        <v>381</v>
      </c>
      <c r="N176" s="152" t="s">
        <v>382</v>
      </c>
      <c r="O176" s="153"/>
      <c r="P176" s="153"/>
      <c r="Q176" s="153"/>
      <c r="R176" s="153"/>
      <c r="S176" s="153"/>
      <c r="T176" s="153"/>
      <c r="U176" s="153"/>
      <c r="V176" s="153"/>
      <c r="W176" s="153"/>
      <c r="X176" s="153"/>
      <c r="Y176" s="153"/>
      <c r="Z176" s="153"/>
    </row>
    <row r="177" ht="44" spans="1:26">
      <c r="A177" s="149" t="s">
        <v>402</v>
      </c>
      <c r="B177" s="149" t="s">
        <v>424</v>
      </c>
      <c r="C177" s="149"/>
      <c r="D177" s="149" t="s">
        <v>16</v>
      </c>
      <c r="E177" s="149" t="s">
        <v>84</v>
      </c>
      <c r="F177" s="149" t="s">
        <v>38</v>
      </c>
      <c r="G177" s="149"/>
      <c r="H177" s="150">
        <v>45818</v>
      </c>
      <c r="I177" s="150">
        <v>46241</v>
      </c>
      <c r="J177" s="151"/>
      <c r="K177" s="150"/>
      <c r="L177" s="150"/>
      <c r="M177" s="149" t="s">
        <v>36</v>
      </c>
      <c r="N177" s="152"/>
      <c r="O177" s="153"/>
      <c r="P177" s="153"/>
      <c r="Q177" s="153"/>
      <c r="R177" s="153"/>
      <c r="S177" s="153"/>
      <c r="T177" s="153"/>
      <c r="U177" s="153"/>
      <c r="V177" s="153"/>
      <c r="W177" s="153"/>
      <c r="X177" s="153"/>
      <c r="Y177" s="153"/>
      <c r="Z177" s="153"/>
    </row>
    <row r="178" ht="29" spans="1:26">
      <c r="A178" s="149" t="s">
        <v>425</v>
      </c>
      <c r="B178" s="149" t="s">
        <v>426</v>
      </c>
      <c r="C178" s="149" t="s">
        <v>427</v>
      </c>
      <c r="D178" s="149" t="s">
        <v>189</v>
      </c>
      <c r="E178" s="149" t="s">
        <v>84</v>
      </c>
      <c r="F178" s="149" t="s">
        <v>18</v>
      </c>
      <c r="G178" s="149"/>
      <c r="H178" s="150">
        <v>45818</v>
      </c>
      <c r="I178" s="155"/>
      <c r="J178" s="151"/>
      <c r="K178" s="155"/>
      <c r="L178" s="155"/>
      <c r="M178" s="149" t="s">
        <v>417</v>
      </c>
      <c r="N178" s="152" t="s">
        <v>428</v>
      </c>
      <c r="O178" s="153"/>
      <c r="P178" s="153"/>
      <c r="Q178" s="153"/>
      <c r="R178" s="153"/>
      <c r="S178" s="153"/>
      <c r="T178" s="153"/>
      <c r="U178" s="153"/>
      <c r="V178" s="153"/>
      <c r="W178" s="153"/>
      <c r="X178" s="153"/>
      <c r="Y178" s="153"/>
      <c r="Z178" s="153"/>
    </row>
    <row r="179" ht="29" spans="1:26">
      <c r="A179" s="149" t="s">
        <v>402</v>
      </c>
      <c r="B179" s="149" t="s">
        <v>429</v>
      </c>
      <c r="C179" s="156" t="s">
        <v>430</v>
      </c>
      <c r="D179" s="149" t="s">
        <v>189</v>
      </c>
      <c r="E179" s="149" t="s">
        <v>84</v>
      </c>
      <c r="F179" s="149" t="s">
        <v>18</v>
      </c>
      <c r="G179" s="149"/>
      <c r="H179" s="150">
        <v>45818</v>
      </c>
      <c r="I179" s="150">
        <v>46227</v>
      </c>
      <c r="J179" s="151"/>
      <c r="K179" s="150"/>
      <c r="L179" s="150"/>
      <c r="M179" s="149" t="s">
        <v>204</v>
      </c>
      <c r="N179" s="152" t="s">
        <v>431</v>
      </c>
      <c r="O179" s="153"/>
      <c r="P179" s="153"/>
      <c r="Q179" s="153"/>
      <c r="R179" s="153"/>
      <c r="S179" s="153"/>
      <c r="T179" s="153"/>
      <c r="U179" s="153"/>
      <c r="V179" s="153"/>
      <c r="W179" s="153"/>
      <c r="X179" s="153"/>
      <c r="Y179" s="153"/>
      <c r="Z179" s="153"/>
    </row>
    <row r="180" ht="29" spans="1:26">
      <c r="A180" s="149" t="s">
        <v>425</v>
      </c>
      <c r="B180" s="149" t="s">
        <v>374</v>
      </c>
      <c r="C180" s="149" t="s">
        <v>432</v>
      </c>
      <c r="D180" s="149" t="s">
        <v>321</v>
      </c>
      <c r="E180" s="149" t="s">
        <v>84</v>
      </c>
      <c r="F180" s="149" t="s">
        <v>18</v>
      </c>
      <c r="G180" s="149"/>
      <c r="H180" s="150">
        <v>45818</v>
      </c>
      <c r="I180" s="155"/>
      <c r="J180" s="151"/>
      <c r="K180" s="155"/>
      <c r="L180" s="155"/>
      <c r="M180" s="149" t="s">
        <v>417</v>
      </c>
      <c r="N180" s="152"/>
      <c r="O180" s="153"/>
      <c r="P180" s="153"/>
      <c r="Q180" s="153"/>
      <c r="R180" s="153"/>
      <c r="S180" s="153"/>
      <c r="T180" s="153"/>
      <c r="U180" s="153"/>
      <c r="V180" s="153"/>
      <c r="W180" s="153"/>
      <c r="X180" s="153"/>
      <c r="Y180" s="153"/>
      <c r="Z180" s="153"/>
    </row>
    <row r="181" ht="44" spans="1:26">
      <c r="A181" s="149" t="s">
        <v>425</v>
      </c>
      <c r="B181" s="149" t="s">
        <v>433</v>
      </c>
      <c r="C181" s="156" t="s">
        <v>434</v>
      </c>
      <c r="D181" s="149" t="s">
        <v>321</v>
      </c>
      <c r="E181" s="149" t="s">
        <v>84</v>
      </c>
      <c r="F181" s="149" t="s">
        <v>18</v>
      </c>
      <c r="G181" s="149"/>
      <c r="H181" s="150">
        <v>45818</v>
      </c>
      <c r="I181" s="155"/>
      <c r="J181" s="151"/>
      <c r="K181" s="155"/>
      <c r="L181" s="155"/>
      <c r="M181" s="149" t="s">
        <v>85</v>
      </c>
      <c r="N181" s="152" t="s">
        <v>435</v>
      </c>
      <c r="O181" s="153"/>
      <c r="P181" s="153"/>
      <c r="Q181" s="153"/>
      <c r="R181" s="153"/>
      <c r="S181" s="153"/>
      <c r="T181" s="153"/>
      <c r="U181" s="153"/>
      <c r="V181" s="153"/>
      <c r="W181" s="153"/>
      <c r="X181" s="153"/>
      <c r="Y181" s="153"/>
      <c r="Z181" s="153"/>
    </row>
    <row r="182" ht="29" spans="1:26">
      <c r="A182" s="149" t="s">
        <v>425</v>
      </c>
      <c r="B182" s="149" t="s">
        <v>422</v>
      </c>
      <c r="C182" s="149" t="s">
        <v>436</v>
      </c>
      <c r="D182" s="149" t="s">
        <v>321</v>
      </c>
      <c r="E182" s="149" t="s">
        <v>84</v>
      </c>
      <c r="F182" s="149" t="s">
        <v>18</v>
      </c>
      <c r="G182" s="149"/>
      <c r="H182" s="150">
        <v>45818</v>
      </c>
      <c r="I182" s="155"/>
      <c r="J182" s="151"/>
      <c r="K182" s="155"/>
      <c r="L182" s="155"/>
      <c r="M182" s="149" t="s">
        <v>85</v>
      </c>
      <c r="N182" s="152"/>
      <c r="O182" s="153"/>
      <c r="P182" s="153"/>
      <c r="Q182" s="153"/>
      <c r="R182" s="153"/>
      <c r="S182" s="153"/>
      <c r="T182" s="153"/>
      <c r="U182" s="153"/>
      <c r="V182" s="153"/>
      <c r="W182" s="153"/>
      <c r="X182" s="153"/>
      <c r="Y182" s="153"/>
      <c r="Z182" s="153"/>
    </row>
    <row r="183" ht="29" spans="1:26">
      <c r="A183" s="149" t="s">
        <v>425</v>
      </c>
      <c r="B183" s="149" t="s">
        <v>433</v>
      </c>
      <c r="C183" s="149" t="s">
        <v>437</v>
      </c>
      <c r="D183" s="149" t="s">
        <v>321</v>
      </c>
      <c r="E183" s="149" t="s">
        <v>84</v>
      </c>
      <c r="F183" s="149" t="s">
        <v>18</v>
      </c>
      <c r="G183" s="149"/>
      <c r="H183" s="150">
        <v>45818</v>
      </c>
      <c r="I183" s="155"/>
      <c r="J183" s="151"/>
      <c r="K183" s="155"/>
      <c r="L183" s="155"/>
      <c r="M183" s="149" t="s">
        <v>438</v>
      </c>
      <c r="N183" s="152" t="s">
        <v>439</v>
      </c>
      <c r="O183" s="153"/>
      <c r="P183" s="153"/>
      <c r="Q183" s="153"/>
      <c r="R183" s="153"/>
      <c r="S183" s="153"/>
      <c r="T183" s="153"/>
      <c r="U183" s="153"/>
      <c r="V183" s="153"/>
      <c r="W183" s="153"/>
      <c r="X183" s="153"/>
      <c r="Y183" s="153"/>
      <c r="Z183" s="153"/>
    </row>
    <row r="184" ht="29" spans="1:26">
      <c r="A184" s="149" t="s">
        <v>402</v>
      </c>
      <c r="B184" s="149" t="s">
        <v>383</v>
      </c>
      <c r="C184" s="149"/>
      <c r="D184" s="149" t="s">
        <v>321</v>
      </c>
      <c r="E184" s="149" t="s">
        <v>84</v>
      </c>
      <c r="F184" s="149" t="s">
        <v>18</v>
      </c>
      <c r="G184" s="149"/>
      <c r="H184" s="150">
        <v>45818</v>
      </c>
      <c r="I184" s="155"/>
      <c r="J184" s="151"/>
      <c r="K184" s="155"/>
      <c r="L184" s="155"/>
      <c r="M184" s="149"/>
      <c r="N184" s="152" t="s">
        <v>385</v>
      </c>
      <c r="O184" s="153"/>
      <c r="P184" s="153"/>
      <c r="Q184" s="153"/>
      <c r="R184" s="153"/>
      <c r="S184" s="153"/>
      <c r="T184" s="153"/>
      <c r="U184" s="153"/>
      <c r="V184" s="153"/>
      <c r="W184" s="153"/>
      <c r="X184" s="153"/>
      <c r="Y184" s="153"/>
      <c r="Z184" s="153"/>
    </row>
    <row r="185" ht="29" spans="1:26">
      <c r="A185" s="149" t="s">
        <v>402</v>
      </c>
      <c r="B185" s="149" t="s">
        <v>440</v>
      </c>
      <c r="C185" s="149"/>
      <c r="D185" s="149" t="s">
        <v>321</v>
      </c>
      <c r="E185" s="149" t="s">
        <v>84</v>
      </c>
      <c r="F185" s="149" t="s">
        <v>18</v>
      </c>
      <c r="G185" s="149"/>
      <c r="H185" s="150">
        <v>45818</v>
      </c>
      <c r="I185" s="155"/>
      <c r="J185" s="151"/>
      <c r="K185" s="155"/>
      <c r="L185" s="155"/>
      <c r="M185" s="149"/>
      <c r="N185" s="152" t="s">
        <v>441</v>
      </c>
      <c r="O185" s="153"/>
      <c r="P185" s="153"/>
      <c r="Q185" s="153"/>
      <c r="R185" s="153"/>
      <c r="S185" s="153"/>
      <c r="T185" s="153"/>
      <c r="U185" s="153"/>
      <c r="V185" s="153"/>
      <c r="W185" s="153"/>
      <c r="X185" s="153"/>
      <c r="Y185" s="153"/>
      <c r="Z185" s="153"/>
    </row>
    <row r="186" ht="29" spans="1:26">
      <c r="A186" s="149" t="s">
        <v>402</v>
      </c>
      <c r="B186" s="157" t="s">
        <v>442</v>
      </c>
      <c r="C186" s="157" t="s">
        <v>443</v>
      </c>
      <c r="D186" s="149" t="s">
        <v>189</v>
      </c>
      <c r="E186" s="149" t="s">
        <v>84</v>
      </c>
      <c r="F186" s="149" t="s">
        <v>38</v>
      </c>
      <c r="G186" s="149"/>
      <c r="H186" s="150">
        <v>45818</v>
      </c>
      <c r="I186" s="150">
        <v>46241</v>
      </c>
      <c r="J186" s="151"/>
      <c r="K186" s="150"/>
      <c r="L186" s="150"/>
      <c r="M186" s="149" t="s">
        <v>36</v>
      </c>
      <c r="N186" s="152"/>
      <c r="O186" s="153"/>
      <c r="P186" s="153"/>
      <c r="Q186" s="153"/>
      <c r="R186" s="153"/>
      <c r="S186" s="153"/>
      <c r="T186" s="153"/>
      <c r="U186" s="153"/>
      <c r="V186" s="153"/>
      <c r="W186" s="153"/>
      <c r="X186" s="153"/>
      <c r="Y186" s="153"/>
      <c r="Z186" s="153"/>
    </row>
    <row r="187" ht="87" spans="1:26">
      <c r="A187" s="149" t="s">
        <v>402</v>
      </c>
      <c r="B187" s="149" t="s">
        <v>444</v>
      </c>
      <c r="C187" s="156" t="s">
        <v>445</v>
      </c>
      <c r="D187" s="149" t="s">
        <v>189</v>
      </c>
      <c r="E187" s="149" t="s">
        <v>17</v>
      </c>
      <c r="F187" s="149" t="s">
        <v>18</v>
      </c>
      <c r="G187" s="149"/>
      <c r="H187" s="150">
        <v>45869</v>
      </c>
      <c r="I187" s="150">
        <v>46185</v>
      </c>
      <c r="J187" s="151"/>
      <c r="K187" s="150"/>
      <c r="L187" s="150"/>
      <c r="M187" s="149" t="s">
        <v>204</v>
      </c>
      <c r="N187" s="152" t="s">
        <v>431</v>
      </c>
      <c r="O187" s="153"/>
      <c r="P187" s="153"/>
      <c r="Q187" s="153"/>
      <c r="R187" s="153"/>
      <c r="S187" s="153"/>
      <c r="T187" s="153"/>
      <c r="U187" s="153"/>
      <c r="V187" s="153"/>
      <c r="W187" s="153"/>
      <c r="X187" s="153"/>
      <c r="Y187" s="153"/>
      <c r="Z187" s="153"/>
    </row>
    <row r="188" ht="29" spans="1:26">
      <c r="A188" s="149" t="s">
        <v>402</v>
      </c>
      <c r="B188" s="149" t="s">
        <v>446</v>
      </c>
      <c r="C188" s="149"/>
      <c r="D188" s="149" t="s">
        <v>321</v>
      </c>
      <c r="E188" s="149" t="s">
        <v>17</v>
      </c>
      <c r="F188" s="149" t="s">
        <v>18</v>
      </c>
      <c r="G188" s="149"/>
      <c r="H188" s="150">
        <v>45869</v>
      </c>
      <c r="I188" s="155"/>
      <c r="J188" s="151"/>
      <c r="K188" s="155"/>
      <c r="L188" s="155"/>
      <c r="M188" s="149"/>
      <c r="N188" s="152"/>
      <c r="O188" s="153"/>
      <c r="P188" s="153"/>
      <c r="Q188" s="153"/>
      <c r="R188" s="153"/>
      <c r="S188" s="153"/>
      <c r="T188" s="153"/>
      <c r="U188" s="153"/>
      <c r="V188" s="153"/>
      <c r="W188" s="153"/>
      <c r="X188" s="153"/>
      <c r="Y188" s="153"/>
      <c r="Z188" s="153"/>
    </row>
    <row r="189" ht="29" spans="1:26">
      <c r="A189" s="149" t="s">
        <v>402</v>
      </c>
      <c r="B189" s="149" t="s">
        <v>388</v>
      </c>
      <c r="C189" s="149"/>
      <c r="D189" s="149" t="s">
        <v>321</v>
      </c>
      <c r="E189" s="149" t="s">
        <v>17</v>
      </c>
      <c r="F189" s="149" t="s">
        <v>18</v>
      </c>
      <c r="G189" s="149"/>
      <c r="H189" s="150">
        <v>45869</v>
      </c>
      <c r="I189" s="155"/>
      <c r="J189" s="151"/>
      <c r="K189" s="155"/>
      <c r="L189" s="155"/>
      <c r="M189" s="149"/>
      <c r="N189" s="152"/>
      <c r="O189" s="153"/>
      <c r="P189" s="153"/>
      <c r="Q189" s="153"/>
      <c r="R189" s="153"/>
      <c r="S189" s="153"/>
      <c r="T189" s="153"/>
      <c r="U189" s="153"/>
      <c r="V189" s="153"/>
      <c r="W189" s="153"/>
      <c r="X189" s="153"/>
      <c r="Y189" s="153"/>
      <c r="Z189" s="153"/>
    </row>
    <row r="190" ht="29" spans="1:26">
      <c r="A190" s="149" t="s">
        <v>402</v>
      </c>
      <c r="B190" s="149" t="s">
        <v>447</v>
      </c>
      <c r="C190" s="149"/>
      <c r="D190" s="149" t="s">
        <v>321</v>
      </c>
      <c r="E190" s="149" t="s">
        <v>17</v>
      </c>
      <c r="F190" s="149" t="s">
        <v>18</v>
      </c>
      <c r="G190" s="149"/>
      <c r="H190" s="150">
        <v>45869</v>
      </c>
      <c r="I190" s="155"/>
      <c r="J190" s="151"/>
      <c r="K190" s="155"/>
      <c r="L190" s="155"/>
      <c r="M190" s="149"/>
      <c r="N190" s="152"/>
      <c r="O190" s="153"/>
      <c r="P190" s="153"/>
      <c r="Q190" s="153"/>
      <c r="R190" s="153"/>
      <c r="S190" s="153"/>
      <c r="T190" s="153"/>
      <c r="U190" s="153"/>
      <c r="V190" s="153"/>
      <c r="W190" s="153"/>
      <c r="X190" s="153"/>
      <c r="Y190" s="153"/>
      <c r="Z190" s="153"/>
    </row>
    <row r="191" ht="29" spans="1:26">
      <c r="A191" s="149" t="s">
        <v>402</v>
      </c>
      <c r="B191" s="149" t="s">
        <v>448</v>
      </c>
      <c r="C191" s="149" t="s">
        <v>449</v>
      </c>
      <c r="D191" s="149" t="s">
        <v>321</v>
      </c>
      <c r="E191" s="149" t="s">
        <v>17</v>
      </c>
      <c r="F191" s="149" t="s">
        <v>38</v>
      </c>
      <c r="G191" s="149"/>
      <c r="H191" s="150">
        <v>45869</v>
      </c>
      <c r="I191" s="150">
        <v>46241</v>
      </c>
      <c r="J191" s="151"/>
      <c r="K191" s="150"/>
      <c r="L191" s="150"/>
      <c r="M191" s="149"/>
      <c r="N191" s="152"/>
      <c r="O191" s="153"/>
      <c r="P191" s="153"/>
      <c r="Q191" s="153"/>
      <c r="R191" s="153"/>
      <c r="S191" s="153"/>
      <c r="T191" s="153"/>
      <c r="U191" s="153"/>
      <c r="V191" s="153"/>
      <c r="W191" s="153"/>
      <c r="X191" s="153"/>
      <c r="Y191" s="153"/>
      <c r="Z191" s="153"/>
    </row>
    <row r="192" ht="29" spans="1:26">
      <c r="A192" s="149" t="s">
        <v>402</v>
      </c>
      <c r="B192" s="149" t="s">
        <v>450</v>
      </c>
      <c r="C192" s="149"/>
      <c r="D192" s="149" t="s">
        <v>321</v>
      </c>
      <c r="E192" s="149" t="s">
        <v>17</v>
      </c>
      <c r="F192" s="149" t="s">
        <v>38</v>
      </c>
      <c r="G192" s="149"/>
      <c r="H192" s="150">
        <v>45869</v>
      </c>
      <c r="I192" s="150">
        <v>46241</v>
      </c>
      <c r="J192" s="151"/>
      <c r="K192" s="150"/>
      <c r="L192" s="150"/>
      <c r="M192" s="149"/>
      <c r="N192" s="152"/>
      <c r="O192" s="153"/>
      <c r="P192" s="153"/>
      <c r="Q192" s="153"/>
      <c r="R192" s="153"/>
      <c r="S192" s="153"/>
      <c r="T192" s="153"/>
      <c r="U192" s="153"/>
      <c r="V192" s="153"/>
      <c r="W192" s="153"/>
      <c r="X192" s="153"/>
      <c r="Y192" s="153"/>
      <c r="Z192" s="153"/>
    </row>
    <row r="193" ht="101" spans="1:26">
      <c r="A193" s="149" t="s">
        <v>402</v>
      </c>
      <c r="B193" s="149" t="s">
        <v>451</v>
      </c>
      <c r="C193" s="156" t="s">
        <v>452</v>
      </c>
      <c r="D193" s="149" t="s">
        <v>321</v>
      </c>
      <c r="E193" s="149" t="s">
        <v>17</v>
      </c>
      <c r="F193" s="149" t="s">
        <v>41</v>
      </c>
      <c r="G193" s="149" t="s">
        <v>453</v>
      </c>
      <c r="H193" s="150">
        <v>45869</v>
      </c>
      <c r="I193" s="150">
        <v>46234</v>
      </c>
      <c r="J193" s="151"/>
      <c r="K193" s="150"/>
      <c r="L193" s="150"/>
      <c r="M193" s="149"/>
      <c r="N193" s="152"/>
      <c r="O193" s="153"/>
      <c r="P193" s="153"/>
      <c r="Q193" s="153"/>
      <c r="R193" s="153"/>
      <c r="S193" s="153"/>
      <c r="T193" s="153"/>
      <c r="U193" s="153"/>
      <c r="V193" s="153"/>
      <c r="W193" s="153"/>
      <c r="X193" s="153"/>
      <c r="Y193" s="153"/>
      <c r="Z193" s="153"/>
    </row>
    <row r="194" ht="29" spans="1:26">
      <c r="A194" s="149" t="s">
        <v>454</v>
      </c>
      <c r="B194" s="149" t="s">
        <v>455</v>
      </c>
      <c r="C194" s="156" t="s">
        <v>456</v>
      </c>
      <c r="D194" s="149" t="s">
        <v>321</v>
      </c>
      <c r="E194" s="149" t="s">
        <v>84</v>
      </c>
      <c r="F194" s="149" t="s">
        <v>38</v>
      </c>
      <c r="G194" s="149"/>
      <c r="H194" s="150">
        <v>45818</v>
      </c>
      <c r="I194" s="150">
        <v>46241</v>
      </c>
      <c r="J194" s="151"/>
      <c r="K194" s="150"/>
      <c r="L194" s="150"/>
      <c r="M194" s="149" t="s">
        <v>36</v>
      </c>
      <c r="N194" s="152"/>
      <c r="O194" s="153"/>
      <c r="P194" s="153"/>
      <c r="Q194" s="153"/>
      <c r="R194" s="153"/>
      <c r="S194" s="153"/>
      <c r="T194" s="153"/>
      <c r="U194" s="153"/>
      <c r="V194" s="153"/>
      <c r="W194" s="153"/>
      <c r="X194" s="153"/>
      <c r="Y194" s="153"/>
      <c r="Z194" s="153"/>
    </row>
    <row r="195" ht="29" spans="1:26">
      <c r="A195" s="149" t="s">
        <v>457</v>
      </c>
      <c r="B195" s="149" t="s">
        <v>422</v>
      </c>
      <c r="C195" s="149" t="s">
        <v>458</v>
      </c>
      <c r="D195" s="149" t="s">
        <v>321</v>
      </c>
      <c r="E195" s="149" t="s">
        <v>459</v>
      </c>
      <c r="F195" s="149" t="s">
        <v>18</v>
      </c>
      <c r="G195" s="149"/>
      <c r="H195" s="150">
        <v>46167</v>
      </c>
      <c r="I195" s="150">
        <v>46169</v>
      </c>
      <c r="J195" s="151"/>
      <c r="K195" s="150"/>
      <c r="L195" s="150"/>
      <c r="M195" s="149" t="s">
        <v>460</v>
      </c>
      <c r="N195" s="152" t="s">
        <v>461</v>
      </c>
      <c r="O195" s="153"/>
      <c r="P195" s="153"/>
      <c r="Q195" s="153"/>
      <c r="R195" s="153"/>
      <c r="S195" s="153"/>
      <c r="T195" s="153"/>
      <c r="U195" s="153"/>
      <c r="V195" s="153"/>
      <c r="W195" s="153"/>
      <c r="X195" s="153"/>
      <c r="Y195" s="153"/>
      <c r="Z195" s="153"/>
    </row>
    <row r="196" spans="1:26">
      <c r="A196" s="149" t="s">
        <v>457</v>
      </c>
      <c r="B196" s="149" t="s">
        <v>422</v>
      </c>
      <c r="C196" s="149" t="s">
        <v>462</v>
      </c>
      <c r="D196" s="149" t="s">
        <v>321</v>
      </c>
      <c r="E196" s="149" t="s">
        <v>459</v>
      </c>
      <c r="F196" s="149" t="s">
        <v>18</v>
      </c>
      <c r="G196" s="149"/>
      <c r="H196" s="150">
        <v>46167</v>
      </c>
      <c r="I196" s="150">
        <v>46169</v>
      </c>
      <c r="J196" s="151"/>
      <c r="K196" s="150"/>
      <c r="L196" s="150"/>
      <c r="M196" s="149" t="s">
        <v>381</v>
      </c>
      <c r="N196" s="152"/>
      <c r="O196" s="153"/>
      <c r="P196" s="153"/>
      <c r="Q196" s="153"/>
      <c r="R196" s="153"/>
      <c r="S196" s="153"/>
      <c r="T196" s="153"/>
      <c r="U196" s="153"/>
      <c r="V196" s="153"/>
      <c r="W196" s="153"/>
      <c r="X196" s="153"/>
      <c r="Y196" s="153"/>
      <c r="Z196" s="153"/>
    </row>
    <row r="197" ht="29" spans="1:26">
      <c r="A197" s="149" t="s">
        <v>457</v>
      </c>
      <c r="B197" s="149" t="s">
        <v>463</v>
      </c>
      <c r="C197" s="149" t="s">
        <v>464</v>
      </c>
      <c r="D197" s="149" t="s">
        <v>189</v>
      </c>
      <c r="E197" s="149" t="s">
        <v>459</v>
      </c>
      <c r="F197" s="149" t="s">
        <v>18</v>
      </c>
      <c r="G197" s="149"/>
      <c r="H197" s="150">
        <v>46179</v>
      </c>
      <c r="I197" s="150">
        <v>46181</v>
      </c>
      <c r="J197" s="151"/>
      <c r="K197" s="150"/>
      <c r="L197" s="150"/>
      <c r="M197" s="149" t="s">
        <v>93</v>
      </c>
      <c r="N197" s="152"/>
      <c r="O197" s="153"/>
      <c r="P197" s="153"/>
      <c r="Q197" s="153"/>
      <c r="R197" s="153"/>
      <c r="S197" s="153"/>
      <c r="T197" s="153"/>
      <c r="U197" s="153"/>
      <c r="V197" s="153"/>
      <c r="W197" s="153"/>
      <c r="X197" s="153"/>
      <c r="Y197" s="153"/>
      <c r="Z197" s="153"/>
    </row>
    <row r="198" ht="29" spans="1:26">
      <c r="A198" s="149" t="s">
        <v>457</v>
      </c>
      <c r="B198" s="149" t="s">
        <v>465</v>
      </c>
      <c r="C198" s="149" t="s">
        <v>466</v>
      </c>
      <c r="D198" s="149" t="s">
        <v>321</v>
      </c>
      <c r="E198" s="149" t="s">
        <v>459</v>
      </c>
      <c r="F198" s="149" t="s">
        <v>18</v>
      </c>
      <c r="G198" s="149"/>
      <c r="H198" s="150">
        <v>46181</v>
      </c>
      <c r="I198" s="150">
        <v>46192</v>
      </c>
      <c r="J198" s="151"/>
      <c r="K198" s="150"/>
      <c r="L198" s="150"/>
      <c r="M198" s="149" t="s">
        <v>36</v>
      </c>
      <c r="N198" s="152"/>
      <c r="O198" s="153"/>
      <c r="P198" s="153"/>
      <c r="Q198" s="153"/>
      <c r="R198" s="153"/>
      <c r="S198" s="153"/>
      <c r="T198" s="153"/>
      <c r="U198" s="153"/>
      <c r="V198" s="153"/>
      <c r="W198" s="153"/>
      <c r="X198" s="153"/>
      <c r="Y198" s="153"/>
      <c r="Z198" s="153"/>
    </row>
    <row r="199" ht="29" spans="1:26">
      <c r="A199" s="149" t="s">
        <v>457</v>
      </c>
      <c r="B199" s="149" t="s">
        <v>465</v>
      </c>
      <c r="C199" s="149" t="s">
        <v>467</v>
      </c>
      <c r="D199" s="149" t="s">
        <v>321</v>
      </c>
      <c r="E199" s="149" t="s">
        <v>459</v>
      </c>
      <c r="F199" s="149" t="s">
        <v>18</v>
      </c>
      <c r="G199" s="149"/>
      <c r="H199" s="150">
        <v>46181</v>
      </c>
      <c r="I199" s="150">
        <v>46197</v>
      </c>
      <c r="J199" s="151"/>
      <c r="K199" s="150"/>
      <c r="L199" s="150"/>
      <c r="M199" s="149"/>
      <c r="N199" s="152"/>
      <c r="O199" s="153"/>
      <c r="P199" s="153"/>
      <c r="Q199" s="153"/>
      <c r="R199" s="153"/>
      <c r="S199" s="153"/>
      <c r="T199" s="153"/>
      <c r="U199" s="153"/>
      <c r="V199" s="153"/>
      <c r="W199" s="153"/>
      <c r="X199" s="153"/>
      <c r="Y199" s="153"/>
      <c r="Z199" s="153"/>
    </row>
    <row r="200" spans="1:26">
      <c r="A200" s="149" t="s">
        <v>457</v>
      </c>
      <c r="B200" s="149" t="s">
        <v>468</v>
      </c>
      <c r="C200" s="149" t="s">
        <v>469</v>
      </c>
      <c r="D200" s="149" t="s">
        <v>189</v>
      </c>
      <c r="E200" s="149" t="s">
        <v>459</v>
      </c>
      <c r="F200" s="149" t="s">
        <v>18</v>
      </c>
      <c r="G200" s="149"/>
      <c r="H200" s="150">
        <v>46184</v>
      </c>
      <c r="I200" s="150">
        <v>46213</v>
      </c>
      <c r="J200" s="151"/>
      <c r="K200" s="150"/>
      <c r="L200" s="150"/>
      <c r="M200" s="149" t="s">
        <v>99</v>
      </c>
      <c r="N200" s="152"/>
      <c r="O200" s="153"/>
      <c r="P200" s="153"/>
      <c r="Q200" s="153"/>
      <c r="R200" s="153"/>
      <c r="S200" s="153"/>
      <c r="T200" s="153"/>
      <c r="U200" s="153"/>
      <c r="V200" s="153"/>
      <c r="W200" s="153"/>
      <c r="X200" s="153"/>
      <c r="Y200" s="153"/>
      <c r="Z200" s="153"/>
    </row>
    <row r="201" spans="1:26">
      <c r="A201" s="149" t="s">
        <v>457</v>
      </c>
      <c r="B201" s="149"/>
      <c r="C201" s="149" t="s">
        <v>470</v>
      </c>
      <c r="D201" s="149" t="s">
        <v>321</v>
      </c>
      <c r="E201" s="149" t="s">
        <v>459</v>
      </c>
      <c r="F201" s="149" t="s">
        <v>18</v>
      </c>
      <c r="G201" s="149"/>
      <c r="H201" s="150">
        <v>46188</v>
      </c>
      <c r="I201" s="150">
        <v>46213</v>
      </c>
      <c r="J201" s="151"/>
      <c r="K201" s="150"/>
      <c r="L201" s="150"/>
      <c r="M201" s="149"/>
      <c r="N201" s="152"/>
      <c r="O201" s="153"/>
      <c r="P201" s="153"/>
      <c r="Q201" s="153"/>
      <c r="R201" s="153"/>
      <c r="S201" s="153"/>
      <c r="T201" s="153"/>
      <c r="U201" s="153"/>
      <c r="V201" s="153"/>
      <c r="W201" s="153"/>
      <c r="X201" s="153"/>
      <c r="Y201" s="153"/>
      <c r="Z201" s="153"/>
    </row>
    <row r="202" spans="1:26">
      <c r="A202" s="149" t="s">
        <v>457</v>
      </c>
      <c r="B202" s="149" t="s">
        <v>471</v>
      </c>
      <c r="C202" s="149" t="s">
        <v>472</v>
      </c>
      <c r="D202" s="149" t="s">
        <v>98</v>
      </c>
      <c r="E202" s="149" t="s">
        <v>459</v>
      </c>
      <c r="F202" s="149" t="s">
        <v>18</v>
      </c>
      <c r="G202" s="149"/>
      <c r="H202" s="150">
        <v>46195</v>
      </c>
      <c r="I202" s="150">
        <v>46213</v>
      </c>
      <c r="J202" s="151"/>
      <c r="K202" s="150"/>
      <c r="L202" s="150"/>
      <c r="M202" s="149" t="s">
        <v>204</v>
      </c>
      <c r="N202" s="152"/>
      <c r="O202" s="153"/>
      <c r="P202" s="153"/>
      <c r="Q202" s="153"/>
      <c r="R202" s="153"/>
      <c r="S202" s="153"/>
      <c r="T202" s="153"/>
      <c r="U202" s="153"/>
      <c r="V202" s="153"/>
      <c r="W202" s="153"/>
      <c r="X202" s="153"/>
      <c r="Y202" s="153"/>
      <c r="Z202" s="153"/>
    </row>
    <row r="203" spans="1:26">
      <c r="A203" s="149" t="s">
        <v>457</v>
      </c>
      <c r="B203" s="149" t="s">
        <v>473</v>
      </c>
      <c r="C203" s="149" t="s">
        <v>474</v>
      </c>
      <c r="D203" s="149" t="s">
        <v>321</v>
      </c>
      <c r="E203" s="149" t="s">
        <v>459</v>
      </c>
      <c r="F203" s="149" t="s">
        <v>38</v>
      </c>
      <c r="G203" s="149"/>
      <c r="H203" s="150">
        <v>46198</v>
      </c>
      <c r="I203" s="150">
        <v>46241</v>
      </c>
      <c r="J203" s="151"/>
      <c r="K203" s="150"/>
      <c r="L203" s="150"/>
      <c r="M203" s="149" t="s">
        <v>36</v>
      </c>
      <c r="N203" s="152"/>
      <c r="O203" s="153"/>
      <c r="P203" s="153"/>
      <c r="Q203" s="153"/>
      <c r="R203" s="153"/>
      <c r="S203" s="153"/>
      <c r="T203" s="153"/>
      <c r="U203" s="153"/>
      <c r="V203" s="153"/>
      <c r="W203" s="153"/>
      <c r="X203" s="153"/>
      <c r="Y203" s="153"/>
      <c r="Z203" s="153"/>
    </row>
    <row r="204" ht="29" spans="1:26">
      <c r="A204" s="149" t="s">
        <v>457</v>
      </c>
      <c r="B204" s="149" t="s">
        <v>475</v>
      </c>
      <c r="C204" s="149" t="s">
        <v>476</v>
      </c>
      <c r="D204" s="149" t="s">
        <v>477</v>
      </c>
      <c r="E204" s="149" t="s">
        <v>459</v>
      </c>
      <c r="F204" s="149" t="s">
        <v>26</v>
      </c>
      <c r="G204" s="149"/>
      <c r="H204" s="150">
        <v>46204</v>
      </c>
      <c r="I204" s="150">
        <v>46238</v>
      </c>
      <c r="J204" s="151"/>
      <c r="K204" s="150"/>
      <c r="L204" s="150"/>
      <c r="M204" s="149" t="s">
        <v>438</v>
      </c>
      <c r="N204" s="152"/>
      <c r="O204" s="153"/>
      <c r="P204" s="153"/>
      <c r="Q204" s="153"/>
      <c r="R204" s="153"/>
      <c r="S204" s="153"/>
      <c r="T204" s="153"/>
      <c r="U204" s="153"/>
      <c r="V204" s="153"/>
      <c r="W204" s="153"/>
      <c r="X204" s="153"/>
      <c r="Y204" s="153"/>
      <c r="Z204" s="153"/>
    </row>
    <row r="205" spans="1:26">
      <c r="A205" s="149" t="s">
        <v>457</v>
      </c>
      <c r="B205" s="149" t="s">
        <v>478</v>
      </c>
      <c r="C205" s="149" t="s">
        <v>479</v>
      </c>
      <c r="D205" s="149" t="s">
        <v>98</v>
      </c>
      <c r="E205" s="149" t="s">
        <v>459</v>
      </c>
      <c r="F205" s="149" t="s">
        <v>18</v>
      </c>
      <c r="G205" s="149"/>
      <c r="H205" s="150">
        <v>46210</v>
      </c>
      <c r="I205" s="150">
        <v>46210</v>
      </c>
      <c r="J205" s="151"/>
      <c r="K205" s="150"/>
      <c r="L205" s="150"/>
      <c r="M205" s="149" t="s">
        <v>99</v>
      </c>
      <c r="N205" s="152"/>
      <c r="O205" s="153"/>
      <c r="P205" s="153"/>
      <c r="Q205" s="153"/>
      <c r="R205" s="153"/>
      <c r="S205" s="153"/>
      <c r="T205" s="153"/>
      <c r="U205" s="153"/>
      <c r="V205" s="153"/>
      <c r="W205" s="153"/>
      <c r="X205" s="153"/>
      <c r="Y205" s="153"/>
      <c r="Z205" s="153"/>
    </row>
    <row r="206" spans="1:26">
      <c r="A206" s="149" t="s">
        <v>457</v>
      </c>
      <c r="B206" s="149" t="s">
        <v>478</v>
      </c>
      <c r="C206" s="149" t="s">
        <v>480</v>
      </c>
      <c r="D206" s="149" t="s">
        <v>98</v>
      </c>
      <c r="E206" s="149" t="s">
        <v>459</v>
      </c>
      <c r="F206" s="149" t="s">
        <v>18</v>
      </c>
      <c r="G206" s="149"/>
      <c r="H206" s="150">
        <v>46210</v>
      </c>
      <c r="I206" s="150">
        <v>46210</v>
      </c>
      <c r="J206" s="151"/>
      <c r="K206" s="150"/>
      <c r="L206" s="150"/>
      <c r="M206" s="149" t="s">
        <v>99</v>
      </c>
      <c r="N206" s="152"/>
      <c r="O206" s="153"/>
      <c r="P206" s="153"/>
      <c r="Q206" s="153"/>
      <c r="R206" s="153"/>
      <c r="S206" s="153"/>
      <c r="T206" s="153"/>
      <c r="U206" s="153"/>
      <c r="V206" s="153"/>
      <c r="W206" s="153"/>
      <c r="X206" s="153"/>
      <c r="Y206" s="153"/>
      <c r="Z206" s="153"/>
    </row>
    <row r="207" spans="1:26">
      <c r="A207" s="149" t="s">
        <v>457</v>
      </c>
      <c r="B207" s="149" t="s">
        <v>478</v>
      </c>
      <c r="C207" s="149" t="s">
        <v>481</v>
      </c>
      <c r="D207" s="149" t="s">
        <v>98</v>
      </c>
      <c r="E207" s="149" t="s">
        <v>459</v>
      </c>
      <c r="F207" s="149" t="s">
        <v>18</v>
      </c>
      <c r="G207" s="149"/>
      <c r="H207" s="150">
        <v>46211</v>
      </c>
      <c r="I207" s="150">
        <v>46211</v>
      </c>
      <c r="J207" s="151"/>
      <c r="K207" s="150"/>
      <c r="L207" s="150"/>
      <c r="M207" s="149" t="s">
        <v>99</v>
      </c>
      <c r="N207" s="152"/>
      <c r="O207" s="153"/>
      <c r="P207" s="153"/>
      <c r="Q207" s="153"/>
      <c r="R207" s="153"/>
      <c r="S207" s="153"/>
      <c r="T207" s="153"/>
      <c r="U207" s="153"/>
      <c r="V207" s="153"/>
      <c r="W207" s="153"/>
      <c r="X207" s="153"/>
      <c r="Y207" s="153"/>
      <c r="Z207" s="153"/>
    </row>
    <row r="208" spans="1:26">
      <c r="A208" s="149" t="s">
        <v>457</v>
      </c>
      <c r="B208" s="149" t="s">
        <v>482</v>
      </c>
      <c r="C208" s="149" t="s">
        <v>483</v>
      </c>
      <c r="D208" s="149" t="s">
        <v>98</v>
      </c>
      <c r="E208" s="149" t="s">
        <v>459</v>
      </c>
      <c r="F208" s="149" t="s">
        <v>18</v>
      </c>
      <c r="G208" s="149"/>
      <c r="H208" s="150">
        <v>46214</v>
      </c>
      <c r="I208" s="150">
        <v>46220</v>
      </c>
      <c r="J208" s="151"/>
      <c r="K208" s="150"/>
      <c r="L208" s="150"/>
      <c r="M208" s="149" t="s">
        <v>99</v>
      </c>
      <c r="N208" s="152"/>
      <c r="O208" s="153"/>
      <c r="P208" s="153"/>
      <c r="Q208" s="153"/>
      <c r="R208" s="153"/>
      <c r="S208" s="153"/>
      <c r="T208" s="153"/>
      <c r="U208" s="153"/>
      <c r="V208" s="153"/>
      <c r="W208" s="153"/>
      <c r="X208" s="153"/>
      <c r="Y208" s="153"/>
      <c r="Z208" s="153"/>
    </row>
    <row r="209" ht="29" spans="1:26">
      <c r="A209" s="149" t="s">
        <v>457</v>
      </c>
      <c r="B209" s="149" t="s">
        <v>484</v>
      </c>
      <c r="C209" s="149" t="s">
        <v>485</v>
      </c>
      <c r="D209" s="149" t="s">
        <v>321</v>
      </c>
      <c r="E209" s="149" t="s">
        <v>459</v>
      </c>
      <c r="F209" s="149" t="s">
        <v>18</v>
      </c>
      <c r="G209" s="149"/>
      <c r="H209" s="150">
        <v>46220</v>
      </c>
      <c r="I209" s="150">
        <v>46221</v>
      </c>
      <c r="J209" s="151"/>
      <c r="K209" s="150"/>
      <c r="L209" s="150"/>
      <c r="M209" s="149"/>
      <c r="N209" s="152"/>
      <c r="O209" s="153"/>
      <c r="P209" s="153"/>
      <c r="Q209" s="153"/>
      <c r="R209" s="153"/>
      <c r="S209" s="153"/>
      <c r="T209" s="153"/>
      <c r="U209" s="153"/>
      <c r="V209" s="153"/>
      <c r="W209" s="153"/>
      <c r="X209" s="153"/>
      <c r="Y209" s="153"/>
      <c r="Z209" s="153"/>
    </row>
    <row r="210" spans="1:26">
      <c r="A210" s="149" t="s">
        <v>457</v>
      </c>
      <c r="B210" s="149" t="s">
        <v>486</v>
      </c>
      <c r="C210" s="149" t="s">
        <v>487</v>
      </c>
      <c r="D210" s="149" t="s">
        <v>98</v>
      </c>
      <c r="E210" s="149" t="s">
        <v>459</v>
      </c>
      <c r="F210" s="149" t="s">
        <v>38</v>
      </c>
      <c r="G210" s="149" t="s">
        <v>488</v>
      </c>
      <c r="H210" s="150">
        <v>46224</v>
      </c>
      <c r="I210" s="150"/>
      <c r="J210" s="151"/>
      <c r="K210" s="150"/>
      <c r="L210" s="150"/>
      <c r="M210" s="149" t="s">
        <v>158</v>
      </c>
      <c r="N210" s="152"/>
      <c r="O210" s="153"/>
      <c r="P210" s="153"/>
      <c r="Q210" s="153"/>
      <c r="R210" s="153"/>
      <c r="S210" s="153"/>
      <c r="T210" s="153"/>
      <c r="U210" s="153"/>
      <c r="V210" s="153"/>
      <c r="W210" s="153"/>
      <c r="X210" s="153"/>
      <c r="Y210" s="153"/>
      <c r="Z210" s="153"/>
    </row>
    <row r="211" ht="29" spans="1:26">
      <c r="A211" s="149" t="s">
        <v>457</v>
      </c>
      <c r="B211" s="149" t="s">
        <v>489</v>
      </c>
      <c r="C211" s="149" t="s">
        <v>490</v>
      </c>
      <c r="D211" s="149" t="s">
        <v>321</v>
      </c>
      <c r="E211" s="149" t="s">
        <v>459</v>
      </c>
      <c r="F211" s="149" t="s">
        <v>18</v>
      </c>
      <c r="G211" s="149"/>
      <c r="H211" s="150">
        <v>46225</v>
      </c>
      <c r="I211" s="150">
        <v>46225</v>
      </c>
      <c r="J211" s="151"/>
      <c r="K211" s="150"/>
      <c r="L211" s="150"/>
      <c r="M211" s="149" t="s">
        <v>85</v>
      </c>
      <c r="N211" s="152"/>
      <c r="O211" s="153"/>
      <c r="P211" s="153"/>
      <c r="Q211" s="153"/>
      <c r="R211" s="153"/>
      <c r="S211" s="153"/>
      <c r="T211" s="153"/>
      <c r="U211" s="153"/>
      <c r="V211" s="153"/>
      <c r="W211" s="153"/>
      <c r="X211" s="153"/>
      <c r="Y211" s="153"/>
      <c r="Z211" s="153"/>
    </row>
    <row r="212" spans="1:26">
      <c r="A212" s="149" t="s">
        <v>457</v>
      </c>
      <c r="B212" s="149"/>
      <c r="C212" s="149" t="s">
        <v>491</v>
      </c>
      <c r="D212" s="149" t="s">
        <v>321</v>
      </c>
      <c r="E212" s="149" t="s">
        <v>459</v>
      </c>
      <c r="F212" s="149" t="s">
        <v>18</v>
      </c>
      <c r="G212" s="149"/>
      <c r="H212" s="150">
        <v>46226</v>
      </c>
      <c r="I212" s="150">
        <v>46226</v>
      </c>
      <c r="J212" s="151"/>
      <c r="K212" s="150"/>
      <c r="L212" s="150"/>
      <c r="M212" s="149" t="s">
        <v>438</v>
      </c>
      <c r="N212" s="152"/>
      <c r="O212" s="153"/>
      <c r="P212" s="153"/>
      <c r="Q212" s="153"/>
      <c r="R212" s="153"/>
      <c r="S212" s="153"/>
      <c r="T212" s="153"/>
      <c r="U212" s="153"/>
      <c r="V212" s="153"/>
      <c r="W212" s="153"/>
      <c r="X212" s="153"/>
      <c r="Y212" s="153"/>
      <c r="Z212" s="153"/>
    </row>
    <row r="213" spans="1:26">
      <c r="A213" s="149" t="s">
        <v>457</v>
      </c>
      <c r="B213" s="149"/>
      <c r="C213" s="149" t="s">
        <v>492</v>
      </c>
      <c r="D213" s="149" t="s">
        <v>321</v>
      </c>
      <c r="E213" s="149" t="s">
        <v>459</v>
      </c>
      <c r="F213" s="149" t="s">
        <v>18</v>
      </c>
      <c r="G213" s="149"/>
      <c r="H213" s="150">
        <v>46226</v>
      </c>
      <c r="I213" s="150">
        <v>46226</v>
      </c>
      <c r="J213" s="151"/>
      <c r="K213" s="150"/>
      <c r="L213" s="150"/>
      <c r="M213" s="149" t="s">
        <v>438</v>
      </c>
      <c r="N213" s="152"/>
      <c r="O213" s="153"/>
      <c r="P213" s="153"/>
      <c r="Q213" s="153"/>
      <c r="R213" s="153"/>
      <c r="S213" s="153"/>
      <c r="T213" s="153"/>
      <c r="U213" s="153"/>
      <c r="V213" s="153"/>
      <c r="W213" s="153"/>
      <c r="X213" s="153"/>
      <c r="Y213" s="153"/>
      <c r="Z213" s="153"/>
    </row>
    <row r="214" spans="1:26">
      <c r="A214" s="149" t="s">
        <v>457</v>
      </c>
      <c r="B214" s="149" t="s">
        <v>493</v>
      </c>
      <c r="C214" s="149" t="s">
        <v>494</v>
      </c>
      <c r="D214" s="149" t="s">
        <v>189</v>
      </c>
      <c r="E214" s="149" t="s">
        <v>459</v>
      </c>
      <c r="F214" s="149" t="s">
        <v>38</v>
      </c>
      <c r="G214" s="149"/>
      <c r="H214" s="150">
        <v>46227</v>
      </c>
      <c r="I214" s="150">
        <v>46241</v>
      </c>
      <c r="J214" s="151"/>
      <c r="K214" s="150"/>
      <c r="L214" s="150"/>
      <c r="M214" s="149"/>
      <c r="N214" s="152" t="s">
        <v>495</v>
      </c>
      <c r="O214" s="153"/>
      <c r="P214" s="153"/>
      <c r="Q214" s="153"/>
      <c r="R214" s="153"/>
      <c r="S214" s="153"/>
      <c r="T214" s="153"/>
      <c r="U214" s="153"/>
      <c r="V214" s="153"/>
      <c r="W214" s="153"/>
      <c r="X214" s="153"/>
      <c r="Y214" s="153"/>
      <c r="Z214" s="153"/>
    </row>
    <row r="215" spans="1:26">
      <c r="A215" s="149" t="s">
        <v>457</v>
      </c>
      <c r="B215" s="149" t="s">
        <v>496</v>
      </c>
      <c r="C215" s="149" t="s">
        <v>497</v>
      </c>
      <c r="D215" s="149" t="s">
        <v>321</v>
      </c>
      <c r="E215" s="149" t="s">
        <v>459</v>
      </c>
      <c r="F215" s="149" t="s">
        <v>18</v>
      </c>
      <c r="G215" s="149"/>
      <c r="H215" s="150">
        <v>46230</v>
      </c>
      <c r="I215" s="150">
        <v>46230</v>
      </c>
      <c r="J215" s="151"/>
      <c r="K215" s="150"/>
      <c r="L215" s="150"/>
      <c r="M215" s="149" t="s">
        <v>85</v>
      </c>
      <c r="N215" s="152"/>
      <c r="O215" s="153"/>
      <c r="P215" s="153"/>
      <c r="Q215" s="153"/>
      <c r="R215" s="153"/>
      <c r="S215" s="153"/>
      <c r="T215" s="153"/>
      <c r="U215" s="153"/>
      <c r="V215" s="153"/>
      <c r="W215" s="153"/>
      <c r="X215" s="153"/>
      <c r="Y215" s="153"/>
      <c r="Z215" s="153"/>
    </row>
    <row r="216" spans="1:26">
      <c r="A216" s="149" t="s">
        <v>457</v>
      </c>
      <c r="B216" s="149" t="s">
        <v>370</v>
      </c>
      <c r="C216" s="149" t="s">
        <v>498</v>
      </c>
      <c r="D216" s="149" t="s">
        <v>321</v>
      </c>
      <c r="E216" s="149" t="s">
        <v>459</v>
      </c>
      <c r="F216" s="149" t="s">
        <v>18</v>
      </c>
      <c r="G216" s="149"/>
      <c r="H216" s="150">
        <v>46231</v>
      </c>
      <c r="I216" s="150">
        <v>46231</v>
      </c>
      <c r="J216" s="151"/>
      <c r="K216" s="150"/>
      <c r="L216" s="150"/>
      <c r="M216" s="149" t="s">
        <v>85</v>
      </c>
      <c r="N216" s="152"/>
      <c r="O216" s="153"/>
      <c r="P216" s="153"/>
      <c r="Q216" s="153"/>
      <c r="R216" s="153"/>
      <c r="S216" s="153"/>
      <c r="T216" s="153"/>
      <c r="U216" s="153"/>
      <c r="V216" s="153"/>
      <c r="W216" s="153"/>
      <c r="X216" s="153"/>
      <c r="Y216" s="153"/>
      <c r="Z216" s="153"/>
    </row>
    <row r="217" spans="1:26">
      <c r="A217" s="149" t="s">
        <v>457</v>
      </c>
      <c r="B217" s="149" t="s">
        <v>370</v>
      </c>
      <c r="C217" s="149" t="s">
        <v>499</v>
      </c>
      <c r="D217" s="149" t="s">
        <v>321</v>
      </c>
      <c r="E217" s="149" t="s">
        <v>459</v>
      </c>
      <c r="F217" s="149" t="s">
        <v>18</v>
      </c>
      <c r="G217" s="149"/>
      <c r="H217" s="150">
        <v>46231</v>
      </c>
      <c r="I217" s="150">
        <v>46231</v>
      </c>
      <c r="J217" s="151"/>
      <c r="K217" s="150"/>
      <c r="L217" s="150"/>
      <c r="M217" s="149" t="s">
        <v>85</v>
      </c>
      <c r="N217" s="152"/>
      <c r="O217" s="153"/>
      <c r="P217" s="153"/>
      <c r="Q217" s="153"/>
      <c r="R217" s="153"/>
      <c r="S217" s="153"/>
      <c r="T217" s="153"/>
      <c r="U217" s="153"/>
      <c r="V217" s="153"/>
      <c r="W217" s="153"/>
      <c r="X217" s="153"/>
      <c r="Y217" s="153"/>
      <c r="Z217" s="153"/>
    </row>
    <row r="218" spans="1:26">
      <c r="A218" s="149" t="s">
        <v>457</v>
      </c>
      <c r="B218" s="149" t="s">
        <v>500</v>
      </c>
      <c r="C218" s="149" t="s">
        <v>501</v>
      </c>
      <c r="D218" s="149" t="s">
        <v>321</v>
      </c>
      <c r="E218" s="149" t="s">
        <v>459</v>
      </c>
      <c r="F218" s="149" t="s">
        <v>18</v>
      </c>
      <c r="G218" s="149"/>
      <c r="H218" s="150">
        <v>46232</v>
      </c>
      <c r="I218" s="150">
        <v>46232</v>
      </c>
      <c r="J218" s="151"/>
      <c r="K218" s="150"/>
      <c r="L218" s="150"/>
      <c r="M218" s="149"/>
      <c r="N218" s="152"/>
      <c r="O218" s="153"/>
      <c r="P218" s="153"/>
      <c r="Q218" s="153"/>
      <c r="R218" s="153"/>
      <c r="S218" s="153"/>
      <c r="T218" s="153"/>
      <c r="U218" s="153"/>
      <c r="V218" s="153"/>
      <c r="W218" s="153"/>
      <c r="X218" s="153"/>
      <c r="Y218" s="153"/>
      <c r="Z218" s="153"/>
    </row>
    <row r="219" ht="44" spans="1:26">
      <c r="A219" s="149" t="s">
        <v>457</v>
      </c>
      <c r="B219" s="149" t="s">
        <v>502</v>
      </c>
      <c r="C219" s="149" t="s">
        <v>503</v>
      </c>
      <c r="D219" s="149" t="s">
        <v>189</v>
      </c>
      <c r="E219" s="149" t="s">
        <v>459</v>
      </c>
      <c r="F219" s="149" t="s">
        <v>18</v>
      </c>
      <c r="G219" s="149" t="s">
        <v>504</v>
      </c>
      <c r="H219" s="150">
        <v>46232</v>
      </c>
      <c r="I219" s="150">
        <v>46234</v>
      </c>
      <c r="J219" s="151"/>
      <c r="K219" s="150"/>
      <c r="L219" s="150"/>
      <c r="M219" s="149"/>
      <c r="N219" s="152"/>
      <c r="O219" s="153"/>
      <c r="P219" s="153"/>
      <c r="Q219" s="153"/>
      <c r="R219" s="153"/>
      <c r="S219" s="153"/>
      <c r="T219" s="153"/>
      <c r="U219" s="153"/>
      <c r="V219" s="153"/>
      <c r="W219" s="153"/>
      <c r="X219" s="153"/>
      <c r="Y219" s="153"/>
      <c r="Z219" s="153"/>
    </row>
    <row r="220" spans="1:26">
      <c r="A220" s="149" t="s">
        <v>457</v>
      </c>
      <c r="B220" s="149" t="s">
        <v>505</v>
      </c>
      <c r="C220" s="149" t="s">
        <v>506</v>
      </c>
      <c r="D220" s="149" t="s">
        <v>321</v>
      </c>
      <c r="E220" s="149" t="s">
        <v>459</v>
      </c>
      <c r="F220" s="149" t="s">
        <v>18</v>
      </c>
      <c r="G220" s="149" t="s">
        <v>507</v>
      </c>
      <c r="H220" s="150">
        <v>46233</v>
      </c>
      <c r="I220" s="150">
        <v>46234</v>
      </c>
      <c r="J220" s="151"/>
      <c r="K220" s="150"/>
      <c r="L220" s="150"/>
      <c r="M220" s="149"/>
      <c r="N220" s="152"/>
      <c r="O220" s="153"/>
      <c r="P220" s="153"/>
      <c r="Q220" s="153"/>
      <c r="R220" s="153"/>
      <c r="S220" s="153"/>
      <c r="T220" s="153"/>
      <c r="U220" s="153"/>
      <c r="V220" s="153"/>
      <c r="W220" s="153"/>
      <c r="X220" s="153"/>
      <c r="Y220" s="153"/>
      <c r="Z220" s="153"/>
    </row>
    <row r="221" spans="1:26">
      <c r="A221" s="149" t="s">
        <v>457</v>
      </c>
      <c r="B221" s="149" t="s">
        <v>508</v>
      </c>
      <c r="C221" s="149" t="s">
        <v>509</v>
      </c>
      <c r="D221" s="149" t="s">
        <v>321</v>
      </c>
      <c r="E221" s="149" t="s">
        <v>459</v>
      </c>
      <c r="F221" s="149" t="s">
        <v>26</v>
      </c>
      <c r="G221" s="149"/>
      <c r="H221" s="150">
        <v>46235</v>
      </c>
      <c r="I221" s="150">
        <v>46238</v>
      </c>
      <c r="J221" s="151"/>
      <c r="K221" s="150">
        <v>46237</v>
      </c>
      <c r="L221" s="150">
        <v>46238</v>
      </c>
      <c r="M221" s="149" t="s">
        <v>158</v>
      </c>
      <c r="N221" s="152"/>
      <c r="O221" s="153"/>
      <c r="P221" s="153"/>
      <c r="Q221" s="153"/>
      <c r="R221" s="153"/>
      <c r="S221" s="153"/>
      <c r="T221" s="153"/>
      <c r="U221" s="153"/>
      <c r="V221" s="153"/>
      <c r="W221" s="153"/>
      <c r="X221" s="153"/>
      <c r="Y221" s="153"/>
      <c r="Z221" s="153"/>
    </row>
    <row r="222" spans="1:26">
      <c r="A222" s="142" t="s">
        <v>457</v>
      </c>
      <c r="B222" s="149" t="s">
        <v>510</v>
      </c>
      <c r="C222" s="149" t="s">
        <v>511</v>
      </c>
      <c r="D222" s="149" t="s">
        <v>512</v>
      </c>
      <c r="E222" s="149" t="s">
        <v>459</v>
      </c>
      <c r="F222" s="149" t="s">
        <v>38</v>
      </c>
      <c r="G222" s="149"/>
      <c r="H222" s="150">
        <v>46235</v>
      </c>
      <c r="I222" s="150"/>
      <c r="J222" s="159"/>
      <c r="K222" s="150"/>
      <c r="L222" s="150"/>
      <c r="M222" s="149"/>
      <c r="N222" s="152"/>
      <c r="O222" s="153"/>
      <c r="P222" s="153"/>
      <c r="Q222" s="153"/>
      <c r="R222" s="153"/>
      <c r="S222" s="153"/>
      <c r="T222" s="153"/>
      <c r="U222" s="153"/>
      <c r="V222" s="153"/>
      <c r="W222" s="153"/>
      <c r="X222" s="153"/>
      <c r="Y222" s="153"/>
      <c r="Z222" s="153"/>
    </row>
    <row r="223" spans="1:26">
      <c r="A223" s="142" t="s">
        <v>457</v>
      </c>
      <c r="B223" s="149" t="s">
        <v>510</v>
      </c>
      <c r="C223" s="149" t="s">
        <v>513</v>
      </c>
      <c r="D223" s="149" t="s">
        <v>512</v>
      </c>
      <c r="E223" s="149" t="s">
        <v>459</v>
      </c>
      <c r="F223" s="149" t="s">
        <v>38</v>
      </c>
      <c r="G223" s="149"/>
      <c r="H223" s="150">
        <v>46235</v>
      </c>
      <c r="I223" s="150"/>
      <c r="J223" s="159"/>
      <c r="K223" s="150"/>
      <c r="L223" s="150"/>
      <c r="M223" s="149"/>
      <c r="N223" s="152"/>
      <c r="O223" s="153"/>
      <c r="P223" s="153"/>
      <c r="Q223" s="153"/>
      <c r="R223" s="153"/>
      <c r="S223" s="153"/>
      <c r="T223" s="153"/>
      <c r="U223" s="153"/>
      <c r="V223" s="153"/>
      <c r="W223" s="153"/>
      <c r="X223" s="153"/>
      <c r="Y223" s="153"/>
      <c r="Z223" s="153"/>
    </row>
    <row r="224" ht="29" spans="1:26">
      <c r="A224" s="149" t="s">
        <v>457</v>
      </c>
      <c r="B224" s="149" t="s">
        <v>514</v>
      </c>
      <c r="C224" s="149" t="s">
        <v>515</v>
      </c>
      <c r="D224" s="149" t="s">
        <v>321</v>
      </c>
      <c r="E224" s="149" t="s">
        <v>459</v>
      </c>
      <c r="F224" s="149" t="s">
        <v>26</v>
      </c>
      <c r="G224" s="149"/>
      <c r="H224" s="150">
        <v>46240</v>
      </c>
      <c r="I224" s="150">
        <v>46241</v>
      </c>
      <c r="J224" s="159" t="s">
        <v>516</v>
      </c>
      <c r="K224" s="150">
        <v>46240</v>
      </c>
      <c r="L224" s="150">
        <v>46241</v>
      </c>
      <c r="M224" s="149" t="s">
        <v>85</v>
      </c>
      <c r="N224" s="152"/>
      <c r="O224" s="153"/>
      <c r="P224" s="153"/>
      <c r="Q224" s="153"/>
      <c r="R224" s="153"/>
      <c r="S224" s="153"/>
      <c r="T224" s="153"/>
      <c r="U224" s="153"/>
      <c r="V224" s="153"/>
      <c r="W224" s="153"/>
      <c r="X224" s="153"/>
      <c r="Y224" s="153"/>
      <c r="Z224" s="153"/>
    </row>
    <row r="225" ht="29" spans="1:26">
      <c r="A225" s="149" t="s">
        <v>457</v>
      </c>
      <c r="B225" s="149" t="s">
        <v>514</v>
      </c>
      <c r="C225" s="149" t="s">
        <v>517</v>
      </c>
      <c r="D225" s="149" t="s">
        <v>321</v>
      </c>
      <c r="E225" s="149" t="s">
        <v>459</v>
      </c>
      <c r="F225" s="149" t="s">
        <v>38</v>
      </c>
      <c r="G225" s="149"/>
      <c r="H225" s="150">
        <v>46240</v>
      </c>
      <c r="I225" s="160"/>
      <c r="J225" s="159"/>
      <c r="K225" s="160"/>
      <c r="L225" s="160"/>
      <c r="M225" s="149"/>
      <c r="N225" s="152"/>
      <c r="O225" s="153"/>
      <c r="P225" s="153"/>
      <c r="Q225" s="153"/>
      <c r="R225" s="153"/>
      <c r="S225" s="153"/>
      <c r="T225" s="153"/>
      <c r="U225" s="153"/>
      <c r="V225" s="153"/>
      <c r="W225" s="153"/>
      <c r="X225" s="153"/>
      <c r="Y225" s="153"/>
      <c r="Z225" s="153"/>
    </row>
    <row r="226" ht="44" spans="1:26">
      <c r="A226" s="149" t="s">
        <v>518</v>
      </c>
      <c r="B226" s="149" t="s">
        <v>418</v>
      </c>
      <c r="C226" s="149" t="s">
        <v>519</v>
      </c>
      <c r="D226" s="149" t="s">
        <v>520</v>
      </c>
      <c r="E226" s="149" t="s">
        <v>459</v>
      </c>
      <c r="F226" s="149" t="s">
        <v>18</v>
      </c>
      <c r="G226" s="149"/>
      <c r="H226" s="150">
        <v>46070</v>
      </c>
      <c r="I226" s="150">
        <v>46198</v>
      </c>
      <c r="J226" s="151"/>
      <c r="K226" s="150"/>
      <c r="L226" s="150"/>
      <c r="M226" s="149" t="s">
        <v>417</v>
      </c>
      <c r="N226" s="152"/>
      <c r="O226" s="153"/>
      <c r="P226" s="153"/>
      <c r="Q226" s="153"/>
      <c r="R226" s="153"/>
      <c r="S226" s="153"/>
      <c r="T226" s="153"/>
      <c r="U226" s="153"/>
      <c r="V226" s="153"/>
      <c r="W226" s="153"/>
      <c r="X226" s="153"/>
      <c r="Y226" s="153"/>
      <c r="Z226" s="153"/>
    </row>
    <row r="227" spans="1:26">
      <c r="A227" s="149" t="s">
        <v>518</v>
      </c>
      <c r="B227" s="149" t="s">
        <v>521</v>
      </c>
      <c r="C227" s="149" t="s">
        <v>522</v>
      </c>
      <c r="D227" s="149" t="s">
        <v>520</v>
      </c>
      <c r="E227" s="149" t="s">
        <v>459</v>
      </c>
      <c r="F227" s="149" t="s">
        <v>18</v>
      </c>
      <c r="G227" s="149"/>
      <c r="H227" s="150">
        <v>46119</v>
      </c>
      <c r="I227" s="150">
        <v>46219</v>
      </c>
      <c r="J227" s="151"/>
      <c r="K227" s="150"/>
      <c r="L227" s="150"/>
      <c r="M227" s="149" t="s">
        <v>438</v>
      </c>
      <c r="N227" s="152"/>
      <c r="O227" s="153"/>
      <c r="P227" s="153"/>
      <c r="Q227" s="153"/>
      <c r="R227" s="153"/>
      <c r="S227" s="153"/>
      <c r="T227" s="153"/>
      <c r="U227" s="153"/>
      <c r="V227" s="153"/>
      <c r="W227" s="153"/>
      <c r="X227" s="153"/>
      <c r="Y227" s="153"/>
      <c r="Z227" s="153"/>
    </row>
    <row r="228" spans="1:26">
      <c r="A228" s="149" t="s">
        <v>518</v>
      </c>
      <c r="B228" s="149" t="s">
        <v>523</v>
      </c>
      <c r="C228" s="149" t="s">
        <v>524</v>
      </c>
      <c r="D228" s="149" t="s">
        <v>321</v>
      </c>
      <c r="E228" s="149" t="s">
        <v>459</v>
      </c>
      <c r="F228" s="149" t="s">
        <v>18</v>
      </c>
      <c r="G228" s="149"/>
      <c r="H228" s="150">
        <v>46143</v>
      </c>
      <c r="I228" s="150">
        <v>46182</v>
      </c>
      <c r="J228" s="151"/>
      <c r="K228" s="150"/>
      <c r="L228" s="150"/>
      <c r="M228" s="149" t="s">
        <v>85</v>
      </c>
      <c r="N228" s="152"/>
      <c r="O228" s="153"/>
      <c r="P228" s="153"/>
      <c r="Q228" s="153"/>
      <c r="R228" s="153"/>
      <c r="S228" s="153"/>
      <c r="T228" s="153"/>
      <c r="U228" s="153"/>
      <c r="V228" s="153"/>
      <c r="W228" s="153"/>
      <c r="X228" s="153"/>
      <c r="Y228" s="153"/>
      <c r="Z228" s="153"/>
    </row>
    <row r="229" spans="1:26">
      <c r="A229" s="149" t="s">
        <v>518</v>
      </c>
      <c r="B229" s="149" t="s">
        <v>523</v>
      </c>
      <c r="C229" s="149" t="s">
        <v>525</v>
      </c>
      <c r="D229" s="149" t="s">
        <v>321</v>
      </c>
      <c r="E229" s="149" t="s">
        <v>459</v>
      </c>
      <c r="F229" s="149" t="s">
        <v>18</v>
      </c>
      <c r="G229" s="149"/>
      <c r="H229" s="150">
        <v>46143</v>
      </c>
      <c r="I229" s="150">
        <v>46185</v>
      </c>
      <c r="J229" s="151"/>
      <c r="K229" s="150"/>
      <c r="L229" s="150"/>
      <c r="M229" s="149" t="s">
        <v>85</v>
      </c>
      <c r="N229" s="152"/>
      <c r="O229" s="153"/>
      <c r="P229" s="153"/>
      <c r="Q229" s="153"/>
      <c r="R229" s="153"/>
      <c r="S229" s="153"/>
      <c r="T229" s="153"/>
      <c r="U229" s="153"/>
      <c r="V229" s="153"/>
      <c r="W229" s="153"/>
      <c r="X229" s="153"/>
      <c r="Y229" s="153"/>
      <c r="Z229" s="153"/>
    </row>
    <row r="230" spans="1:26">
      <c r="A230" s="149" t="s">
        <v>518</v>
      </c>
      <c r="B230" s="149" t="s">
        <v>374</v>
      </c>
      <c r="C230" s="149" t="s">
        <v>526</v>
      </c>
      <c r="D230" s="149" t="s">
        <v>520</v>
      </c>
      <c r="E230" s="149" t="s">
        <v>459</v>
      </c>
      <c r="F230" s="149" t="s">
        <v>18</v>
      </c>
      <c r="G230" s="149"/>
      <c r="H230" s="150">
        <v>46143</v>
      </c>
      <c r="I230" s="150">
        <v>46212</v>
      </c>
      <c r="J230" s="151"/>
      <c r="K230" s="150"/>
      <c r="L230" s="150"/>
      <c r="M230" s="149" t="s">
        <v>417</v>
      </c>
      <c r="N230" s="152"/>
      <c r="O230" s="153"/>
      <c r="P230" s="153"/>
      <c r="Q230" s="153"/>
      <c r="R230" s="153"/>
      <c r="S230" s="153"/>
      <c r="T230" s="153"/>
      <c r="U230" s="153"/>
      <c r="V230" s="153"/>
      <c r="W230" s="153"/>
      <c r="X230" s="153"/>
      <c r="Y230" s="153"/>
      <c r="Z230" s="153"/>
    </row>
    <row r="231" spans="1:26">
      <c r="A231" s="149" t="s">
        <v>518</v>
      </c>
      <c r="B231" s="149" t="s">
        <v>527</v>
      </c>
      <c r="C231" s="149" t="s">
        <v>528</v>
      </c>
      <c r="D231" s="149" t="s">
        <v>520</v>
      </c>
      <c r="E231" s="149" t="s">
        <v>459</v>
      </c>
      <c r="F231" s="149" t="s">
        <v>18</v>
      </c>
      <c r="G231" s="149"/>
      <c r="H231" s="150">
        <v>46143</v>
      </c>
      <c r="I231" s="150">
        <v>46182</v>
      </c>
      <c r="J231" s="151"/>
      <c r="K231" s="150"/>
      <c r="L231" s="150"/>
      <c r="M231" s="149" t="s">
        <v>85</v>
      </c>
      <c r="N231" s="152" t="s">
        <v>529</v>
      </c>
      <c r="O231" s="153"/>
      <c r="P231" s="153"/>
      <c r="Q231" s="153"/>
      <c r="R231" s="153"/>
      <c r="S231" s="153"/>
      <c r="T231" s="153"/>
      <c r="U231" s="153"/>
      <c r="V231" s="153"/>
      <c r="W231" s="153"/>
      <c r="X231" s="153"/>
      <c r="Y231" s="153"/>
      <c r="Z231" s="153"/>
    </row>
    <row r="232" ht="58" spans="1:26">
      <c r="A232" s="149" t="s">
        <v>518</v>
      </c>
      <c r="B232" s="149" t="s">
        <v>521</v>
      </c>
      <c r="C232" s="156" t="s">
        <v>530</v>
      </c>
      <c r="D232" s="149" t="s">
        <v>520</v>
      </c>
      <c r="E232" s="149" t="s">
        <v>459</v>
      </c>
      <c r="F232" s="149" t="s">
        <v>38</v>
      </c>
      <c r="G232" s="149"/>
      <c r="H232" s="150">
        <v>46143</v>
      </c>
      <c r="I232" s="150">
        <v>46241</v>
      </c>
      <c r="J232" s="151"/>
      <c r="K232" s="150"/>
      <c r="L232" s="150"/>
      <c r="M232" s="149" t="s">
        <v>381</v>
      </c>
      <c r="N232" s="152" t="s">
        <v>531</v>
      </c>
      <c r="O232" s="153"/>
      <c r="P232" s="153"/>
      <c r="Q232" s="153"/>
      <c r="R232" s="153"/>
      <c r="S232" s="153"/>
      <c r="T232" s="153"/>
      <c r="U232" s="153"/>
      <c r="V232" s="153"/>
      <c r="W232" s="153"/>
      <c r="X232" s="153"/>
      <c r="Y232" s="153"/>
      <c r="Z232" s="153"/>
    </row>
    <row r="233" ht="29" spans="1:26">
      <c r="A233" s="149" t="s">
        <v>518</v>
      </c>
      <c r="B233" s="149" t="s">
        <v>532</v>
      </c>
      <c r="C233" s="149" t="s">
        <v>533</v>
      </c>
      <c r="D233" s="149" t="s">
        <v>534</v>
      </c>
      <c r="E233" s="149" t="s">
        <v>459</v>
      </c>
      <c r="F233" s="149" t="s">
        <v>41</v>
      </c>
      <c r="G233" s="149"/>
      <c r="H233" s="150">
        <v>46150</v>
      </c>
      <c r="I233" s="150">
        <v>46237</v>
      </c>
      <c r="J233" s="151"/>
      <c r="K233" s="150"/>
      <c r="L233" s="150"/>
      <c r="M233" s="149" t="s">
        <v>158</v>
      </c>
      <c r="N233" s="152"/>
      <c r="O233" s="153"/>
      <c r="P233" s="153"/>
      <c r="Q233" s="153"/>
      <c r="R233" s="153"/>
      <c r="S233" s="153"/>
      <c r="T233" s="153"/>
      <c r="U233" s="153"/>
      <c r="V233" s="153"/>
      <c r="W233" s="153"/>
      <c r="X233" s="153"/>
      <c r="Y233" s="153"/>
      <c r="Z233" s="153"/>
    </row>
    <row r="234" ht="29" spans="1:26">
      <c r="A234" s="149" t="s">
        <v>518</v>
      </c>
      <c r="B234" s="149" t="s">
        <v>521</v>
      </c>
      <c r="C234" s="149" t="s">
        <v>535</v>
      </c>
      <c r="D234" s="149" t="s">
        <v>520</v>
      </c>
      <c r="E234" s="149" t="s">
        <v>459</v>
      </c>
      <c r="F234" s="149" t="s">
        <v>18</v>
      </c>
      <c r="G234" s="149"/>
      <c r="H234" s="150">
        <v>46150</v>
      </c>
      <c r="I234" s="150">
        <v>46204</v>
      </c>
      <c r="J234" s="151"/>
      <c r="K234" s="150"/>
      <c r="L234" s="150"/>
      <c r="M234" s="149" t="s">
        <v>438</v>
      </c>
      <c r="N234" s="152"/>
      <c r="O234" s="153"/>
      <c r="P234" s="153"/>
      <c r="Q234" s="153"/>
      <c r="R234" s="153"/>
      <c r="S234" s="153"/>
      <c r="T234" s="153"/>
      <c r="U234" s="153"/>
      <c r="V234" s="153"/>
      <c r="W234" s="153"/>
      <c r="X234" s="153"/>
      <c r="Y234" s="153"/>
      <c r="Z234" s="153"/>
    </row>
    <row r="235" ht="44" spans="1:26">
      <c r="A235" s="149" t="s">
        <v>518</v>
      </c>
      <c r="B235" s="149" t="s">
        <v>536</v>
      </c>
      <c r="C235" s="149" t="s">
        <v>537</v>
      </c>
      <c r="D235" s="149" t="s">
        <v>520</v>
      </c>
      <c r="E235" s="149" t="s">
        <v>459</v>
      </c>
      <c r="F235" s="149" t="s">
        <v>38</v>
      </c>
      <c r="G235" s="149" t="s">
        <v>538</v>
      </c>
      <c r="H235" s="150">
        <v>46150</v>
      </c>
      <c r="I235" s="150">
        <v>46241</v>
      </c>
      <c r="J235" s="151"/>
      <c r="K235" s="150"/>
      <c r="L235" s="150"/>
      <c r="M235" s="149"/>
      <c r="N235" s="152"/>
      <c r="O235" s="153"/>
      <c r="P235" s="153"/>
      <c r="Q235" s="153"/>
      <c r="R235" s="153"/>
      <c r="S235" s="153"/>
      <c r="T235" s="153"/>
      <c r="U235" s="153"/>
      <c r="V235" s="153"/>
      <c r="W235" s="153"/>
      <c r="X235" s="153"/>
      <c r="Y235" s="153"/>
      <c r="Z235" s="153"/>
    </row>
    <row r="236" ht="29" spans="1:26">
      <c r="A236" s="149" t="s">
        <v>518</v>
      </c>
      <c r="B236" s="149" t="s">
        <v>539</v>
      </c>
      <c r="C236" s="149" t="s">
        <v>540</v>
      </c>
      <c r="D236" s="149" t="s">
        <v>520</v>
      </c>
      <c r="E236" s="149" t="s">
        <v>459</v>
      </c>
      <c r="F236" s="149" t="s">
        <v>18</v>
      </c>
      <c r="G236" s="149"/>
      <c r="H236" s="150">
        <v>46163</v>
      </c>
      <c r="I236" s="150">
        <v>46170</v>
      </c>
      <c r="J236" s="151"/>
      <c r="K236" s="150"/>
      <c r="L236" s="150"/>
      <c r="M236" s="149" t="s">
        <v>85</v>
      </c>
      <c r="N236" s="152"/>
      <c r="O236" s="153"/>
      <c r="P236" s="153"/>
      <c r="Q236" s="153"/>
      <c r="R236" s="153"/>
      <c r="S236" s="153"/>
      <c r="T236" s="153"/>
      <c r="U236" s="153"/>
      <c r="V236" s="153"/>
      <c r="W236" s="153"/>
      <c r="X236" s="153"/>
      <c r="Y236" s="153"/>
      <c r="Z236" s="153"/>
    </row>
    <row r="237" ht="44" spans="1:26">
      <c r="A237" s="149" t="s">
        <v>518</v>
      </c>
      <c r="B237" s="149" t="s">
        <v>541</v>
      </c>
      <c r="C237" s="156" t="s">
        <v>542</v>
      </c>
      <c r="D237" s="149" t="s">
        <v>321</v>
      </c>
      <c r="E237" s="149" t="s">
        <v>459</v>
      </c>
      <c r="F237" s="149" t="s">
        <v>18</v>
      </c>
      <c r="G237" s="149" t="s">
        <v>543</v>
      </c>
      <c r="H237" s="150">
        <v>46170</v>
      </c>
      <c r="I237" s="150">
        <v>46205</v>
      </c>
      <c r="J237" s="151"/>
      <c r="K237" s="150"/>
      <c r="L237" s="150"/>
      <c r="M237" s="149" t="s">
        <v>381</v>
      </c>
      <c r="N237" s="152" t="s">
        <v>541</v>
      </c>
      <c r="O237" s="153"/>
      <c r="P237" s="153"/>
      <c r="Q237" s="153"/>
      <c r="R237" s="153"/>
      <c r="S237" s="153"/>
      <c r="T237" s="153"/>
      <c r="U237" s="153"/>
      <c r="V237" s="153"/>
      <c r="W237" s="153"/>
      <c r="X237" s="153"/>
      <c r="Y237" s="153"/>
      <c r="Z237" s="153"/>
    </row>
    <row r="238" ht="44" spans="1:26">
      <c r="A238" s="149" t="s">
        <v>518</v>
      </c>
      <c r="B238" s="149" t="s">
        <v>544</v>
      </c>
      <c r="C238" s="156" t="s">
        <v>545</v>
      </c>
      <c r="D238" s="149" t="s">
        <v>189</v>
      </c>
      <c r="E238" s="149" t="s">
        <v>459</v>
      </c>
      <c r="F238" s="149" t="s">
        <v>18</v>
      </c>
      <c r="G238" s="149"/>
      <c r="H238" s="150">
        <v>46174</v>
      </c>
      <c r="I238" s="150">
        <v>46220</v>
      </c>
      <c r="J238" s="151"/>
      <c r="K238" s="150"/>
      <c r="L238" s="150"/>
      <c r="M238" s="149" t="s">
        <v>158</v>
      </c>
      <c r="N238" s="152"/>
      <c r="O238" s="153"/>
      <c r="P238" s="153"/>
      <c r="Q238" s="153"/>
      <c r="R238" s="153"/>
      <c r="S238" s="153"/>
      <c r="T238" s="153"/>
      <c r="U238" s="153"/>
      <c r="V238" s="153"/>
      <c r="W238" s="153"/>
      <c r="X238" s="153"/>
      <c r="Y238" s="153"/>
      <c r="Z238" s="153"/>
    </row>
    <row r="239" spans="1:26">
      <c r="A239" s="149" t="s">
        <v>518</v>
      </c>
      <c r="B239" s="149" t="s">
        <v>546</v>
      </c>
      <c r="C239" s="149" t="s">
        <v>547</v>
      </c>
      <c r="D239" s="149" t="s">
        <v>98</v>
      </c>
      <c r="E239" s="149" t="s">
        <v>459</v>
      </c>
      <c r="F239" s="149" t="s">
        <v>18</v>
      </c>
      <c r="G239" s="149"/>
      <c r="H239" s="150">
        <v>46176</v>
      </c>
      <c r="I239" s="150">
        <v>46182</v>
      </c>
      <c r="J239" s="151"/>
      <c r="K239" s="150"/>
      <c r="L239" s="150"/>
      <c r="M239" s="149" t="s">
        <v>158</v>
      </c>
      <c r="N239" s="152" t="s">
        <v>546</v>
      </c>
      <c r="O239" s="153"/>
      <c r="P239" s="153"/>
      <c r="Q239" s="153"/>
      <c r="R239" s="153"/>
      <c r="S239" s="153"/>
      <c r="T239" s="153"/>
      <c r="U239" s="153"/>
      <c r="V239" s="153"/>
      <c r="W239" s="153"/>
      <c r="X239" s="153"/>
      <c r="Y239" s="153"/>
      <c r="Z239" s="153"/>
    </row>
    <row r="240" ht="29" spans="1:26">
      <c r="A240" s="149" t="s">
        <v>518</v>
      </c>
      <c r="B240" s="149" t="s">
        <v>548</v>
      </c>
      <c r="C240" s="149" t="s">
        <v>549</v>
      </c>
      <c r="D240" s="149" t="s">
        <v>321</v>
      </c>
      <c r="E240" s="149" t="s">
        <v>459</v>
      </c>
      <c r="F240" s="149" t="s">
        <v>18</v>
      </c>
      <c r="G240" s="149"/>
      <c r="H240" s="150">
        <v>46178</v>
      </c>
      <c r="I240" s="150">
        <v>46181</v>
      </c>
      <c r="J240" s="151"/>
      <c r="K240" s="150"/>
      <c r="L240" s="150"/>
      <c r="M240" s="149"/>
      <c r="N240" s="152"/>
      <c r="O240" s="153"/>
      <c r="P240" s="153"/>
      <c r="Q240" s="153"/>
      <c r="R240" s="153"/>
      <c r="S240" s="153"/>
      <c r="T240" s="153"/>
      <c r="U240" s="153"/>
      <c r="V240" s="153"/>
      <c r="W240" s="153"/>
      <c r="X240" s="153"/>
      <c r="Y240" s="153"/>
      <c r="Z240" s="153"/>
    </row>
    <row r="241" ht="29" spans="1:26">
      <c r="A241" s="149" t="s">
        <v>518</v>
      </c>
      <c r="B241" s="149" t="s">
        <v>550</v>
      </c>
      <c r="C241" s="149" t="s">
        <v>551</v>
      </c>
      <c r="D241" s="149" t="s">
        <v>520</v>
      </c>
      <c r="E241" s="149" t="s">
        <v>459</v>
      </c>
      <c r="F241" s="149" t="s">
        <v>30</v>
      </c>
      <c r="G241" s="149" t="s">
        <v>552</v>
      </c>
      <c r="H241" s="150">
        <v>46178</v>
      </c>
      <c r="I241" s="150">
        <v>46241</v>
      </c>
      <c r="J241" s="151"/>
      <c r="K241" s="150"/>
      <c r="L241" s="150"/>
      <c r="M241" s="149" t="s">
        <v>36</v>
      </c>
      <c r="N241" s="152"/>
      <c r="O241" s="153"/>
      <c r="P241" s="153"/>
      <c r="Q241" s="153"/>
      <c r="R241" s="153"/>
      <c r="S241" s="153"/>
      <c r="T241" s="153"/>
      <c r="U241" s="153"/>
      <c r="V241" s="153"/>
      <c r="W241" s="153"/>
      <c r="X241" s="153"/>
      <c r="Y241" s="153"/>
      <c r="Z241" s="153"/>
    </row>
    <row r="242" ht="29" spans="1:26">
      <c r="A242" s="149" t="s">
        <v>518</v>
      </c>
      <c r="B242" s="149" t="s">
        <v>465</v>
      </c>
      <c r="C242" s="149" t="s">
        <v>553</v>
      </c>
      <c r="D242" s="149" t="s">
        <v>321</v>
      </c>
      <c r="E242" s="149" t="s">
        <v>459</v>
      </c>
      <c r="F242" s="149" t="s">
        <v>18</v>
      </c>
      <c r="G242" s="149"/>
      <c r="H242" s="150">
        <v>46181</v>
      </c>
      <c r="I242" s="150">
        <v>46181</v>
      </c>
      <c r="J242" s="151"/>
      <c r="K242" s="150"/>
      <c r="L242" s="150"/>
      <c r="M242" s="149"/>
      <c r="N242" s="152"/>
      <c r="O242" s="153"/>
      <c r="P242" s="153"/>
      <c r="Q242" s="153"/>
      <c r="R242" s="153"/>
      <c r="S242" s="153"/>
      <c r="T242" s="153"/>
      <c r="U242" s="153"/>
      <c r="V242" s="153"/>
      <c r="W242" s="153"/>
      <c r="X242" s="153"/>
      <c r="Y242" s="153"/>
      <c r="Z242" s="153"/>
    </row>
    <row r="243" ht="29" spans="1:26">
      <c r="A243" s="149" t="s">
        <v>518</v>
      </c>
      <c r="B243" s="149" t="s">
        <v>465</v>
      </c>
      <c r="C243" s="149" t="s">
        <v>554</v>
      </c>
      <c r="D243" s="149" t="s">
        <v>321</v>
      </c>
      <c r="E243" s="149" t="s">
        <v>459</v>
      </c>
      <c r="F243" s="149" t="s">
        <v>18</v>
      </c>
      <c r="G243" s="149"/>
      <c r="H243" s="150">
        <v>46181</v>
      </c>
      <c r="I243" s="150">
        <v>46181</v>
      </c>
      <c r="J243" s="151"/>
      <c r="K243" s="150"/>
      <c r="L243" s="150"/>
      <c r="M243" s="149"/>
      <c r="N243" s="152"/>
      <c r="O243" s="153"/>
      <c r="P243" s="153"/>
      <c r="Q243" s="153"/>
      <c r="R243" s="153"/>
      <c r="S243" s="153"/>
      <c r="T243" s="153"/>
      <c r="U243" s="153"/>
      <c r="V243" s="153"/>
      <c r="W243" s="153"/>
      <c r="X243" s="153"/>
      <c r="Y243" s="153"/>
      <c r="Z243" s="153"/>
    </row>
    <row r="244" ht="29" spans="1:26">
      <c r="A244" s="149" t="s">
        <v>518</v>
      </c>
      <c r="B244" s="149" t="s">
        <v>465</v>
      </c>
      <c r="C244" s="149" t="s">
        <v>555</v>
      </c>
      <c r="D244" s="149" t="s">
        <v>321</v>
      </c>
      <c r="E244" s="149" t="s">
        <v>459</v>
      </c>
      <c r="F244" s="149" t="s">
        <v>18</v>
      </c>
      <c r="G244" s="149"/>
      <c r="H244" s="150">
        <v>46181</v>
      </c>
      <c r="I244" s="150">
        <v>46181</v>
      </c>
      <c r="J244" s="151"/>
      <c r="K244" s="150"/>
      <c r="L244" s="150"/>
      <c r="M244" s="149"/>
      <c r="N244" s="152"/>
      <c r="O244" s="153"/>
      <c r="P244" s="153"/>
      <c r="Q244" s="153"/>
      <c r="R244" s="153"/>
      <c r="S244" s="153"/>
      <c r="T244" s="153"/>
      <c r="U244" s="153"/>
      <c r="V244" s="153"/>
      <c r="W244" s="153"/>
      <c r="X244" s="153"/>
      <c r="Y244" s="153"/>
      <c r="Z244" s="153"/>
    </row>
    <row r="245" ht="29" spans="1:26">
      <c r="A245" s="149" t="s">
        <v>518</v>
      </c>
      <c r="B245" s="149" t="s">
        <v>465</v>
      </c>
      <c r="C245" s="149" t="s">
        <v>556</v>
      </c>
      <c r="D245" s="149" t="s">
        <v>321</v>
      </c>
      <c r="E245" s="149" t="s">
        <v>459</v>
      </c>
      <c r="F245" s="149" t="s">
        <v>18</v>
      </c>
      <c r="G245" s="149"/>
      <c r="H245" s="150">
        <v>46181</v>
      </c>
      <c r="I245" s="150">
        <v>46181</v>
      </c>
      <c r="J245" s="151"/>
      <c r="K245" s="150"/>
      <c r="L245" s="150"/>
      <c r="M245" s="149"/>
      <c r="N245" s="152"/>
      <c r="O245" s="153"/>
      <c r="P245" s="153"/>
      <c r="Q245" s="153"/>
      <c r="R245" s="153"/>
      <c r="S245" s="153"/>
      <c r="T245" s="153"/>
      <c r="U245" s="153"/>
      <c r="V245" s="153"/>
      <c r="W245" s="153"/>
      <c r="X245" s="153"/>
      <c r="Y245" s="153"/>
      <c r="Z245" s="153"/>
    </row>
    <row r="246" ht="29" spans="1:26">
      <c r="A246" s="149" t="s">
        <v>518</v>
      </c>
      <c r="B246" s="149" t="s">
        <v>465</v>
      </c>
      <c r="C246" s="149" t="s">
        <v>557</v>
      </c>
      <c r="D246" s="149" t="s">
        <v>321</v>
      </c>
      <c r="E246" s="149" t="s">
        <v>459</v>
      </c>
      <c r="F246" s="149" t="s">
        <v>18</v>
      </c>
      <c r="G246" s="149"/>
      <c r="H246" s="150">
        <v>46181</v>
      </c>
      <c r="I246" s="150">
        <v>46181</v>
      </c>
      <c r="J246" s="151"/>
      <c r="K246" s="150"/>
      <c r="L246" s="150"/>
      <c r="M246" s="149"/>
      <c r="N246" s="152"/>
      <c r="O246" s="153"/>
      <c r="P246" s="153"/>
      <c r="Q246" s="153"/>
      <c r="R246" s="153"/>
      <c r="S246" s="153"/>
      <c r="T246" s="153"/>
      <c r="U246" s="153"/>
      <c r="V246" s="153"/>
      <c r="W246" s="153"/>
      <c r="X246" s="153"/>
      <c r="Y246" s="153"/>
      <c r="Z246" s="153"/>
    </row>
    <row r="247" ht="29" spans="1:26">
      <c r="A247" s="149" t="s">
        <v>518</v>
      </c>
      <c r="B247" s="149" t="s">
        <v>465</v>
      </c>
      <c r="C247" s="149" t="s">
        <v>558</v>
      </c>
      <c r="D247" s="149" t="s">
        <v>321</v>
      </c>
      <c r="E247" s="149" t="s">
        <v>459</v>
      </c>
      <c r="F247" s="149" t="s">
        <v>18</v>
      </c>
      <c r="G247" s="149"/>
      <c r="H247" s="150">
        <v>46181</v>
      </c>
      <c r="I247" s="150">
        <v>46181</v>
      </c>
      <c r="J247" s="151"/>
      <c r="K247" s="150"/>
      <c r="L247" s="150"/>
      <c r="M247" s="149"/>
      <c r="N247" s="152"/>
      <c r="O247" s="153"/>
      <c r="P247" s="153"/>
      <c r="Q247" s="153"/>
      <c r="R247" s="153"/>
      <c r="S247" s="153"/>
      <c r="T247" s="153"/>
      <c r="U247" s="153"/>
      <c r="V247" s="153"/>
      <c r="W247" s="153"/>
      <c r="X247" s="153"/>
      <c r="Y247" s="153"/>
      <c r="Z247" s="153"/>
    </row>
    <row r="248" ht="29" spans="1:26">
      <c r="A248" s="149" t="s">
        <v>518</v>
      </c>
      <c r="B248" s="149" t="s">
        <v>465</v>
      </c>
      <c r="C248" s="149" t="s">
        <v>559</v>
      </c>
      <c r="D248" s="149" t="s">
        <v>321</v>
      </c>
      <c r="E248" s="149" t="s">
        <v>459</v>
      </c>
      <c r="F248" s="149" t="s">
        <v>18</v>
      </c>
      <c r="G248" s="149"/>
      <c r="H248" s="150">
        <v>46181</v>
      </c>
      <c r="I248" s="150">
        <v>46181</v>
      </c>
      <c r="J248" s="151"/>
      <c r="K248" s="150"/>
      <c r="L248" s="150"/>
      <c r="M248" s="149"/>
      <c r="N248" s="152"/>
      <c r="O248" s="153"/>
      <c r="P248" s="153"/>
      <c r="Q248" s="153"/>
      <c r="R248" s="153"/>
      <c r="S248" s="153"/>
      <c r="T248" s="153"/>
      <c r="U248" s="153"/>
      <c r="V248" s="153"/>
      <c r="W248" s="153"/>
      <c r="X248" s="153"/>
      <c r="Y248" s="153"/>
      <c r="Z248" s="153"/>
    </row>
    <row r="249" ht="29" spans="1:26">
      <c r="A249" s="149" t="s">
        <v>518</v>
      </c>
      <c r="B249" s="149" t="s">
        <v>465</v>
      </c>
      <c r="C249" s="149" t="s">
        <v>560</v>
      </c>
      <c r="D249" s="149" t="s">
        <v>321</v>
      </c>
      <c r="E249" s="149" t="s">
        <v>459</v>
      </c>
      <c r="F249" s="149" t="s">
        <v>18</v>
      </c>
      <c r="G249" s="149"/>
      <c r="H249" s="150">
        <v>46181</v>
      </c>
      <c r="I249" s="150">
        <v>46181</v>
      </c>
      <c r="J249" s="151"/>
      <c r="K249" s="150"/>
      <c r="L249" s="150"/>
      <c r="M249" s="149"/>
      <c r="N249" s="152"/>
      <c r="O249" s="153"/>
      <c r="P249" s="153"/>
      <c r="Q249" s="153"/>
      <c r="R249" s="153"/>
      <c r="S249" s="153"/>
      <c r="T249" s="153"/>
      <c r="U249" s="153"/>
      <c r="V249" s="153"/>
      <c r="W249" s="153"/>
      <c r="X249" s="153"/>
      <c r="Y249" s="153"/>
      <c r="Z249" s="153"/>
    </row>
    <row r="250" ht="29" spans="1:26">
      <c r="A250" s="149" t="s">
        <v>518</v>
      </c>
      <c r="B250" s="149" t="s">
        <v>465</v>
      </c>
      <c r="C250" s="149" t="s">
        <v>561</v>
      </c>
      <c r="D250" s="149" t="s">
        <v>321</v>
      </c>
      <c r="E250" s="149" t="s">
        <v>459</v>
      </c>
      <c r="F250" s="149" t="s">
        <v>18</v>
      </c>
      <c r="G250" s="149"/>
      <c r="H250" s="150">
        <v>46181</v>
      </c>
      <c r="I250" s="150">
        <v>46181</v>
      </c>
      <c r="J250" s="151"/>
      <c r="K250" s="150"/>
      <c r="L250" s="150"/>
      <c r="M250" s="149"/>
      <c r="N250" s="152"/>
      <c r="O250" s="153"/>
      <c r="P250" s="153"/>
      <c r="Q250" s="153"/>
      <c r="R250" s="153"/>
      <c r="S250" s="153"/>
      <c r="T250" s="153"/>
      <c r="U250" s="153"/>
      <c r="V250" s="153"/>
      <c r="W250" s="153"/>
      <c r="X250" s="153"/>
      <c r="Y250" s="153"/>
      <c r="Z250" s="153"/>
    </row>
    <row r="251" ht="29" spans="1:26">
      <c r="A251" s="149" t="s">
        <v>518</v>
      </c>
      <c r="B251" s="149" t="s">
        <v>465</v>
      </c>
      <c r="C251" s="149" t="s">
        <v>562</v>
      </c>
      <c r="D251" s="149" t="s">
        <v>321</v>
      </c>
      <c r="E251" s="149" t="s">
        <v>459</v>
      </c>
      <c r="F251" s="149" t="s">
        <v>18</v>
      </c>
      <c r="G251" s="149"/>
      <c r="H251" s="150">
        <v>46181</v>
      </c>
      <c r="I251" s="150">
        <v>46181</v>
      </c>
      <c r="J251" s="151"/>
      <c r="K251" s="150"/>
      <c r="L251" s="150"/>
      <c r="M251" s="149"/>
      <c r="N251" s="152"/>
      <c r="O251" s="153"/>
      <c r="P251" s="153"/>
      <c r="Q251" s="153"/>
      <c r="R251" s="153"/>
      <c r="S251" s="153"/>
      <c r="T251" s="153"/>
      <c r="U251" s="153"/>
      <c r="V251" s="153"/>
      <c r="W251" s="153"/>
      <c r="X251" s="153"/>
      <c r="Y251" s="153"/>
      <c r="Z251" s="153"/>
    </row>
    <row r="252" spans="1:26">
      <c r="A252" s="149" t="s">
        <v>518</v>
      </c>
      <c r="B252" s="149" t="s">
        <v>563</v>
      </c>
      <c r="C252" s="161" t="s">
        <v>564</v>
      </c>
      <c r="D252" s="149" t="s">
        <v>321</v>
      </c>
      <c r="E252" s="149" t="s">
        <v>459</v>
      </c>
      <c r="F252" s="149" t="s">
        <v>18</v>
      </c>
      <c r="G252" s="149"/>
      <c r="H252" s="150">
        <v>46181</v>
      </c>
      <c r="I252" s="150">
        <v>46182</v>
      </c>
      <c r="J252" s="151"/>
      <c r="K252" s="150"/>
      <c r="L252" s="150"/>
      <c r="M252" s="149" t="s">
        <v>85</v>
      </c>
      <c r="N252" s="152" t="s">
        <v>563</v>
      </c>
      <c r="O252" s="153"/>
      <c r="P252" s="153"/>
      <c r="Q252" s="153"/>
      <c r="R252" s="153"/>
      <c r="S252" s="153"/>
      <c r="T252" s="153"/>
      <c r="U252" s="153"/>
      <c r="V252" s="153"/>
      <c r="W252" s="153"/>
      <c r="X252" s="153"/>
      <c r="Y252" s="153"/>
      <c r="Z252" s="153"/>
    </row>
    <row r="253" ht="44" spans="1:26">
      <c r="A253" s="149" t="s">
        <v>518</v>
      </c>
      <c r="B253" s="156" t="s">
        <v>565</v>
      </c>
      <c r="C253" s="149" t="s">
        <v>566</v>
      </c>
      <c r="D253" s="149" t="s">
        <v>321</v>
      </c>
      <c r="E253" s="149" t="s">
        <v>459</v>
      </c>
      <c r="F253" s="149" t="s">
        <v>18</v>
      </c>
      <c r="G253" s="149"/>
      <c r="H253" s="150">
        <v>46181</v>
      </c>
      <c r="I253" s="150">
        <v>46182</v>
      </c>
      <c r="J253" s="151"/>
      <c r="K253" s="150"/>
      <c r="L253" s="150"/>
      <c r="M253" s="149" t="s">
        <v>417</v>
      </c>
      <c r="N253" s="152" t="s">
        <v>567</v>
      </c>
      <c r="O253" s="153"/>
      <c r="P253" s="153"/>
      <c r="Q253" s="153"/>
      <c r="R253" s="153"/>
      <c r="S253" s="153"/>
      <c r="T253" s="153"/>
      <c r="U253" s="153"/>
      <c r="V253" s="153"/>
      <c r="W253" s="153"/>
      <c r="X253" s="153"/>
      <c r="Y253" s="153"/>
      <c r="Z253" s="153"/>
    </row>
    <row r="254" ht="29" spans="1:26">
      <c r="A254" s="149" t="s">
        <v>518</v>
      </c>
      <c r="B254" s="149" t="s">
        <v>465</v>
      </c>
      <c r="C254" s="149" t="s">
        <v>568</v>
      </c>
      <c r="D254" s="149" t="s">
        <v>321</v>
      </c>
      <c r="E254" s="149" t="s">
        <v>459</v>
      </c>
      <c r="F254" s="149" t="s">
        <v>18</v>
      </c>
      <c r="G254" s="149"/>
      <c r="H254" s="150">
        <v>46181</v>
      </c>
      <c r="I254" s="150">
        <v>46183</v>
      </c>
      <c r="J254" s="151"/>
      <c r="K254" s="150"/>
      <c r="L254" s="150"/>
      <c r="M254" s="149"/>
      <c r="N254" s="152"/>
      <c r="O254" s="153"/>
      <c r="P254" s="153"/>
      <c r="Q254" s="153"/>
      <c r="R254" s="153"/>
      <c r="S254" s="153"/>
      <c r="T254" s="153"/>
      <c r="U254" s="153"/>
      <c r="V254" s="153"/>
      <c r="W254" s="153"/>
      <c r="X254" s="153"/>
      <c r="Y254" s="153"/>
      <c r="Z254" s="153"/>
    </row>
    <row r="255" ht="44" spans="1:26">
      <c r="A255" s="149" t="s">
        <v>518</v>
      </c>
      <c r="B255" s="156" t="s">
        <v>565</v>
      </c>
      <c r="C255" s="149" t="s">
        <v>569</v>
      </c>
      <c r="D255" s="149" t="s">
        <v>321</v>
      </c>
      <c r="E255" s="149" t="s">
        <v>459</v>
      </c>
      <c r="F255" s="149" t="s">
        <v>18</v>
      </c>
      <c r="G255" s="149"/>
      <c r="H255" s="150">
        <v>46181</v>
      </c>
      <c r="I255" s="150">
        <v>46185</v>
      </c>
      <c r="J255" s="151"/>
      <c r="K255" s="150"/>
      <c r="L255" s="150"/>
      <c r="M255" s="149" t="s">
        <v>417</v>
      </c>
      <c r="N255" s="152" t="s">
        <v>567</v>
      </c>
      <c r="O255" s="153"/>
      <c r="P255" s="153"/>
      <c r="Q255" s="153"/>
      <c r="R255" s="153"/>
      <c r="S255" s="153"/>
      <c r="T255" s="153"/>
      <c r="U255" s="153"/>
      <c r="V255" s="153"/>
      <c r="W255" s="153"/>
      <c r="X255" s="153"/>
      <c r="Y255" s="153"/>
      <c r="Z255" s="153"/>
    </row>
    <row r="256" ht="29" spans="1:26">
      <c r="A256" s="149" t="s">
        <v>518</v>
      </c>
      <c r="B256" s="149" t="s">
        <v>465</v>
      </c>
      <c r="C256" s="149" t="s">
        <v>570</v>
      </c>
      <c r="D256" s="149" t="s">
        <v>321</v>
      </c>
      <c r="E256" s="149" t="s">
        <v>459</v>
      </c>
      <c r="F256" s="149" t="s">
        <v>18</v>
      </c>
      <c r="G256" s="149"/>
      <c r="H256" s="150">
        <v>46181</v>
      </c>
      <c r="I256" s="150">
        <v>46185</v>
      </c>
      <c r="J256" s="151"/>
      <c r="K256" s="150"/>
      <c r="L256" s="150"/>
      <c r="M256" s="149"/>
      <c r="N256" s="152"/>
      <c r="O256" s="153"/>
      <c r="P256" s="153"/>
      <c r="Q256" s="153"/>
      <c r="R256" s="153"/>
      <c r="S256" s="153"/>
      <c r="T256" s="153"/>
      <c r="U256" s="153"/>
      <c r="V256" s="153"/>
      <c r="W256" s="153"/>
      <c r="X256" s="153"/>
      <c r="Y256" s="153"/>
      <c r="Z256" s="153"/>
    </row>
    <row r="257" ht="29" spans="1:26">
      <c r="A257" s="149" t="s">
        <v>518</v>
      </c>
      <c r="B257" s="149" t="s">
        <v>465</v>
      </c>
      <c r="C257" s="149" t="s">
        <v>571</v>
      </c>
      <c r="D257" s="149" t="s">
        <v>321</v>
      </c>
      <c r="E257" s="149" t="s">
        <v>459</v>
      </c>
      <c r="F257" s="149" t="s">
        <v>18</v>
      </c>
      <c r="G257" s="149"/>
      <c r="H257" s="150">
        <v>46181</v>
      </c>
      <c r="I257" s="150">
        <v>46182</v>
      </c>
      <c r="J257" s="151"/>
      <c r="K257" s="150"/>
      <c r="L257" s="150"/>
      <c r="M257" s="149"/>
      <c r="N257" s="152"/>
      <c r="O257" s="153"/>
      <c r="P257" s="153"/>
      <c r="Q257" s="153"/>
      <c r="R257" s="153"/>
      <c r="S257" s="153"/>
      <c r="T257" s="153"/>
      <c r="U257" s="153"/>
      <c r="V257" s="153"/>
      <c r="W257" s="153"/>
      <c r="X257" s="153"/>
      <c r="Y257" s="153"/>
      <c r="Z257" s="153"/>
    </row>
    <row r="258" ht="44" spans="1:26">
      <c r="A258" s="149" t="s">
        <v>518</v>
      </c>
      <c r="B258" s="149" t="s">
        <v>465</v>
      </c>
      <c r="C258" s="162" t="s">
        <v>572</v>
      </c>
      <c r="D258" s="149" t="s">
        <v>321</v>
      </c>
      <c r="E258" s="149" t="s">
        <v>459</v>
      </c>
      <c r="F258" s="149" t="s">
        <v>573</v>
      </c>
      <c r="G258" s="149" t="s">
        <v>574</v>
      </c>
      <c r="H258" s="150">
        <v>46181</v>
      </c>
      <c r="I258" s="150">
        <v>46181</v>
      </c>
      <c r="J258" s="151"/>
      <c r="K258" s="150"/>
      <c r="L258" s="150"/>
      <c r="M258" s="149"/>
      <c r="N258" s="152"/>
      <c r="O258" s="153"/>
      <c r="P258" s="153"/>
      <c r="Q258" s="153"/>
      <c r="R258" s="153"/>
      <c r="S258" s="153"/>
      <c r="T258" s="153"/>
      <c r="U258" s="153"/>
      <c r="V258" s="153"/>
      <c r="W258" s="153"/>
      <c r="X258" s="153"/>
      <c r="Y258" s="153"/>
      <c r="Z258" s="153"/>
    </row>
    <row r="259" ht="72" spans="1:26">
      <c r="A259" s="149" t="s">
        <v>518</v>
      </c>
      <c r="B259" s="149" t="s">
        <v>465</v>
      </c>
      <c r="C259" s="161" t="s">
        <v>575</v>
      </c>
      <c r="D259" s="149" t="s">
        <v>321</v>
      </c>
      <c r="E259" s="149" t="s">
        <v>459</v>
      </c>
      <c r="F259" s="149" t="s">
        <v>18</v>
      </c>
      <c r="G259" s="149"/>
      <c r="H259" s="150">
        <v>46181</v>
      </c>
      <c r="I259" s="150">
        <v>46203</v>
      </c>
      <c r="J259" s="151"/>
      <c r="K259" s="150"/>
      <c r="L259" s="150"/>
      <c r="M259" s="149" t="s">
        <v>438</v>
      </c>
      <c r="N259" s="152"/>
      <c r="O259" s="153"/>
      <c r="P259" s="153"/>
      <c r="Q259" s="153"/>
      <c r="R259" s="153"/>
      <c r="S259" s="153"/>
      <c r="T259" s="153"/>
      <c r="U259" s="153"/>
      <c r="V259" s="153"/>
      <c r="W259" s="153"/>
      <c r="X259" s="153"/>
      <c r="Y259" s="153"/>
      <c r="Z259" s="153"/>
    </row>
    <row r="260" ht="29" spans="1:26">
      <c r="A260" s="149" t="s">
        <v>518</v>
      </c>
      <c r="B260" s="149" t="s">
        <v>465</v>
      </c>
      <c r="C260" s="163" t="s">
        <v>576</v>
      </c>
      <c r="D260" s="149" t="s">
        <v>321</v>
      </c>
      <c r="E260" s="149" t="s">
        <v>459</v>
      </c>
      <c r="F260" s="149" t="s">
        <v>18</v>
      </c>
      <c r="G260" s="149"/>
      <c r="H260" s="150">
        <v>46181</v>
      </c>
      <c r="I260" s="150">
        <v>46205</v>
      </c>
      <c r="J260" s="151"/>
      <c r="K260" s="150"/>
      <c r="L260" s="150"/>
      <c r="M260" s="149"/>
      <c r="N260" s="152"/>
      <c r="O260" s="153"/>
      <c r="P260" s="153"/>
      <c r="Q260" s="153"/>
      <c r="R260" s="153"/>
      <c r="S260" s="153"/>
      <c r="T260" s="153"/>
      <c r="U260" s="153"/>
      <c r="V260" s="153"/>
      <c r="W260" s="153"/>
      <c r="X260" s="153"/>
      <c r="Y260" s="153"/>
      <c r="Z260" s="153"/>
    </row>
    <row r="261" ht="29" spans="1:26">
      <c r="A261" s="149" t="s">
        <v>518</v>
      </c>
      <c r="B261" s="149" t="s">
        <v>465</v>
      </c>
      <c r="C261" s="149" t="s">
        <v>577</v>
      </c>
      <c r="D261" s="149" t="s">
        <v>321</v>
      </c>
      <c r="E261" s="149" t="s">
        <v>459</v>
      </c>
      <c r="F261" s="149" t="s">
        <v>573</v>
      </c>
      <c r="G261" s="149"/>
      <c r="H261" s="150">
        <v>46181</v>
      </c>
      <c r="I261" s="150">
        <v>46181</v>
      </c>
      <c r="J261" s="151"/>
      <c r="K261" s="150"/>
      <c r="L261" s="150"/>
      <c r="M261" s="149"/>
      <c r="N261" s="152"/>
      <c r="O261" s="153"/>
      <c r="P261" s="153"/>
      <c r="Q261" s="153"/>
      <c r="R261" s="153"/>
      <c r="S261" s="153"/>
      <c r="T261" s="153"/>
      <c r="U261" s="153"/>
      <c r="V261" s="153"/>
      <c r="W261" s="153"/>
      <c r="X261" s="153"/>
      <c r="Y261" s="153"/>
      <c r="Z261" s="153"/>
    </row>
    <row r="262" ht="29" spans="1:26">
      <c r="A262" s="149" t="s">
        <v>518</v>
      </c>
      <c r="B262" s="149" t="s">
        <v>578</v>
      </c>
      <c r="C262" s="161" t="s">
        <v>579</v>
      </c>
      <c r="D262" s="149" t="s">
        <v>321</v>
      </c>
      <c r="E262" s="149" t="s">
        <v>459</v>
      </c>
      <c r="F262" s="149" t="s">
        <v>41</v>
      </c>
      <c r="G262" s="149"/>
      <c r="H262" s="150">
        <v>46182</v>
      </c>
      <c r="I262" s="150">
        <v>46237</v>
      </c>
      <c r="J262" s="151"/>
      <c r="K262" s="150"/>
      <c r="L262" s="150"/>
      <c r="M262" s="149" t="s">
        <v>438</v>
      </c>
      <c r="N262" s="152"/>
      <c r="O262" s="153"/>
      <c r="P262" s="153"/>
      <c r="Q262" s="153"/>
      <c r="R262" s="153"/>
      <c r="S262" s="153"/>
      <c r="T262" s="153"/>
      <c r="U262" s="153"/>
      <c r="V262" s="153"/>
      <c r="W262" s="153"/>
      <c r="X262" s="153"/>
      <c r="Y262" s="153"/>
      <c r="Z262" s="153"/>
    </row>
    <row r="263" ht="29" spans="1:26">
      <c r="A263" s="149" t="s">
        <v>518</v>
      </c>
      <c r="B263" s="149" t="s">
        <v>578</v>
      </c>
      <c r="C263" s="149" t="s">
        <v>580</v>
      </c>
      <c r="D263" s="149" t="s">
        <v>321</v>
      </c>
      <c r="E263" s="149" t="s">
        <v>459</v>
      </c>
      <c r="F263" s="149" t="s">
        <v>18</v>
      </c>
      <c r="G263" s="149"/>
      <c r="H263" s="150">
        <v>46182</v>
      </c>
      <c r="I263" s="150">
        <v>46182</v>
      </c>
      <c r="J263" s="151"/>
      <c r="K263" s="150"/>
      <c r="L263" s="150"/>
      <c r="M263" s="149"/>
      <c r="N263" s="152"/>
      <c r="O263" s="153"/>
      <c r="P263" s="153"/>
      <c r="Q263" s="153"/>
      <c r="R263" s="153"/>
      <c r="S263" s="153"/>
      <c r="T263" s="153"/>
      <c r="U263" s="153"/>
      <c r="V263" s="153"/>
      <c r="W263" s="153"/>
      <c r="X263" s="153"/>
      <c r="Y263" s="153"/>
      <c r="Z263" s="153"/>
    </row>
    <row r="264" ht="29" spans="1:26">
      <c r="A264" s="149" t="s">
        <v>518</v>
      </c>
      <c r="B264" s="149" t="s">
        <v>578</v>
      </c>
      <c r="C264" s="161" t="s">
        <v>581</v>
      </c>
      <c r="D264" s="149" t="s">
        <v>321</v>
      </c>
      <c r="E264" s="149" t="s">
        <v>459</v>
      </c>
      <c r="F264" s="149" t="s">
        <v>18</v>
      </c>
      <c r="G264" s="149"/>
      <c r="H264" s="150">
        <v>46182</v>
      </c>
      <c r="I264" s="150">
        <v>46182</v>
      </c>
      <c r="J264" s="151"/>
      <c r="K264" s="150"/>
      <c r="L264" s="150"/>
      <c r="M264" s="149" t="s">
        <v>85</v>
      </c>
      <c r="N264" s="152"/>
      <c r="O264" s="153"/>
      <c r="P264" s="153"/>
      <c r="Q264" s="153"/>
      <c r="R264" s="153"/>
      <c r="S264" s="153"/>
      <c r="T264" s="153"/>
      <c r="U264" s="153"/>
      <c r="V264" s="153"/>
      <c r="W264" s="153"/>
      <c r="X264" s="153"/>
      <c r="Y264" s="153"/>
      <c r="Z264" s="153"/>
    </row>
    <row r="265" ht="29" spans="1:26">
      <c r="A265" s="149" t="s">
        <v>518</v>
      </c>
      <c r="B265" s="149" t="s">
        <v>578</v>
      </c>
      <c r="C265" s="161" t="s">
        <v>582</v>
      </c>
      <c r="D265" s="149" t="s">
        <v>321</v>
      </c>
      <c r="E265" s="149" t="s">
        <v>459</v>
      </c>
      <c r="F265" s="149" t="s">
        <v>18</v>
      </c>
      <c r="G265" s="149"/>
      <c r="H265" s="150">
        <v>46182</v>
      </c>
      <c r="I265" s="150">
        <v>46182</v>
      </c>
      <c r="J265" s="151"/>
      <c r="K265" s="150"/>
      <c r="L265" s="150"/>
      <c r="M265" s="149" t="s">
        <v>85</v>
      </c>
      <c r="N265" s="152"/>
      <c r="O265" s="153"/>
      <c r="P265" s="153"/>
      <c r="Q265" s="153"/>
      <c r="R265" s="153"/>
      <c r="S265" s="153"/>
      <c r="T265" s="153"/>
      <c r="U265" s="153"/>
      <c r="V265" s="153"/>
      <c r="W265" s="153"/>
      <c r="X265" s="153"/>
      <c r="Y265" s="153"/>
      <c r="Z265" s="153"/>
    </row>
    <row r="266" ht="44" spans="1:26">
      <c r="A266" s="149" t="s">
        <v>518</v>
      </c>
      <c r="B266" s="156" t="s">
        <v>583</v>
      </c>
      <c r="C266" s="161" t="s">
        <v>584</v>
      </c>
      <c r="D266" s="149" t="s">
        <v>321</v>
      </c>
      <c r="E266" s="149" t="s">
        <v>459</v>
      </c>
      <c r="F266" s="149" t="s">
        <v>18</v>
      </c>
      <c r="G266" s="149"/>
      <c r="H266" s="150">
        <v>46182</v>
      </c>
      <c r="I266" s="150">
        <v>46182</v>
      </c>
      <c r="J266" s="151"/>
      <c r="K266" s="150"/>
      <c r="L266" s="150"/>
      <c r="M266" s="149" t="s">
        <v>85</v>
      </c>
      <c r="N266" s="152" t="s">
        <v>563</v>
      </c>
      <c r="O266" s="153"/>
      <c r="P266" s="153"/>
      <c r="Q266" s="153"/>
      <c r="R266" s="153"/>
      <c r="S266" s="153"/>
      <c r="T266" s="153"/>
      <c r="U266" s="153"/>
      <c r="V266" s="153"/>
      <c r="W266" s="153"/>
      <c r="X266" s="153"/>
      <c r="Y266" s="153"/>
      <c r="Z266" s="153"/>
    </row>
    <row r="267" ht="44" spans="1:26">
      <c r="A267" s="149" t="s">
        <v>518</v>
      </c>
      <c r="B267" s="149" t="s">
        <v>578</v>
      </c>
      <c r="C267" s="163" t="s">
        <v>585</v>
      </c>
      <c r="D267" s="149" t="s">
        <v>321</v>
      </c>
      <c r="E267" s="149" t="s">
        <v>459</v>
      </c>
      <c r="F267" s="149" t="s">
        <v>18</v>
      </c>
      <c r="G267" s="149"/>
      <c r="H267" s="150">
        <v>46182</v>
      </c>
      <c r="I267" s="150">
        <v>46182</v>
      </c>
      <c r="J267" s="151"/>
      <c r="K267" s="150"/>
      <c r="L267" s="150"/>
      <c r="M267" s="149" t="s">
        <v>85</v>
      </c>
      <c r="N267" s="152"/>
      <c r="O267" s="153"/>
      <c r="P267" s="153"/>
      <c r="Q267" s="153"/>
      <c r="R267" s="153"/>
      <c r="S267" s="153"/>
      <c r="T267" s="153"/>
      <c r="U267" s="153"/>
      <c r="V267" s="153"/>
      <c r="W267" s="153"/>
      <c r="X267" s="153"/>
      <c r="Y267" s="153"/>
      <c r="Z267" s="153"/>
    </row>
    <row r="268" ht="29" spans="1:26">
      <c r="A268" s="149" t="s">
        <v>518</v>
      </c>
      <c r="B268" s="149" t="s">
        <v>578</v>
      </c>
      <c r="C268" s="161" t="s">
        <v>586</v>
      </c>
      <c r="D268" s="149" t="s">
        <v>321</v>
      </c>
      <c r="E268" s="149" t="s">
        <v>459</v>
      </c>
      <c r="F268" s="149" t="s">
        <v>18</v>
      </c>
      <c r="G268" s="149"/>
      <c r="H268" s="150">
        <v>46182</v>
      </c>
      <c r="I268" s="150">
        <v>46183</v>
      </c>
      <c r="J268" s="151"/>
      <c r="K268" s="150"/>
      <c r="L268" s="150"/>
      <c r="M268" s="149" t="s">
        <v>460</v>
      </c>
      <c r="N268" s="152"/>
      <c r="O268" s="153"/>
      <c r="P268" s="153"/>
      <c r="Q268" s="153"/>
      <c r="R268" s="153"/>
      <c r="S268" s="153"/>
      <c r="T268" s="153"/>
      <c r="U268" s="153"/>
      <c r="V268" s="153"/>
      <c r="W268" s="153"/>
      <c r="X268" s="153"/>
      <c r="Y268" s="153"/>
      <c r="Z268" s="153"/>
    </row>
    <row r="269" ht="29" spans="1:26">
      <c r="A269" s="149" t="s">
        <v>518</v>
      </c>
      <c r="B269" s="149" t="s">
        <v>578</v>
      </c>
      <c r="C269" s="161" t="s">
        <v>587</v>
      </c>
      <c r="D269" s="149" t="s">
        <v>321</v>
      </c>
      <c r="E269" s="149" t="s">
        <v>459</v>
      </c>
      <c r="F269" s="149" t="s">
        <v>18</v>
      </c>
      <c r="G269" s="149"/>
      <c r="H269" s="150">
        <v>46182</v>
      </c>
      <c r="I269" s="150">
        <v>46183</v>
      </c>
      <c r="J269" s="151"/>
      <c r="K269" s="150"/>
      <c r="L269" s="150"/>
      <c r="M269" s="149" t="s">
        <v>438</v>
      </c>
      <c r="N269" s="152"/>
      <c r="O269" s="153"/>
      <c r="P269" s="153"/>
      <c r="Q269" s="153"/>
      <c r="R269" s="153"/>
      <c r="S269" s="153"/>
      <c r="T269" s="153"/>
      <c r="U269" s="153"/>
      <c r="V269" s="153"/>
      <c r="W269" s="153"/>
      <c r="X269" s="153"/>
      <c r="Y269" s="153"/>
      <c r="Z269" s="153"/>
    </row>
    <row r="270" ht="29" spans="1:26">
      <c r="A270" s="149" t="s">
        <v>518</v>
      </c>
      <c r="B270" s="149" t="s">
        <v>578</v>
      </c>
      <c r="C270" s="161" t="s">
        <v>588</v>
      </c>
      <c r="D270" s="149" t="s">
        <v>321</v>
      </c>
      <c r="E270" s="149" t="s">
        <v>459</v>
      </c>
      <c r="F270" s="149" t="s">
        <v>18</v>
      </c>
      <c r="G270" s="149"/>
      <c r="H270" s="150">
        <v>46182</v>
      </c>
      <c r="I270" s="150">
        <v>46183</v>
      </c>
      <c r="J270" s="151"/>
      <c r="K270" s="150"/>
      <c r="L270" s="150"/>
      <c r="M270" s="149" t="s">
        <v>438</v>
      </c>
      <c r="N270" s="152"/>
      <c r="O270" s="153"/>
      <c r="P270" s="153"/>
      <c r="Q270" s="153"/>
      <c r="R270" s="153"/>
      <c r="S270" s="153"/>
      <c r="T270" s="153"/>
      <c r="U270" s="153"/>
      <c r="V270" s="153"/>
      <c r="W270" s="153"/>
      <c r="X270" s="153"/>
      <c r="Y270" s="153"/>
      <c r="Z270" s="153"/>
    </row>
    <row r="271" ht="29" spans="1:26">
      <c r="A271" s="149" t="s">
        <v>518</v>
      </c>
      <c r="B271" s="149" t="s">
        <v>578</v>
      </c>
      <c r="C271" s="161" t="s">
        <v>589</v>
      </c>
      <c r="D271" s="149" t="s">
        <v>321</v>
      </c>
      <c r="E271" s="149" t="s">
        <v>459</v>
      </c>
      <c r="F271" s="149" t="s">
        <v>18</v>
      </c>
      <c r="G271" s="149"/>
      <c r="H271" s="150">
        <v>46182</v>
      </c>
      <c r="I271" s="150">
        <v>46185</v>
      </c>
      <c r="J271" s="151"/>
      <c r="K271" s="150"/>
      <c r="L271" s="150"/>
      <c r="M271" s="149" t="s">
        <v>460</v>
      </c>
      <c r="N271" s="152"/>
      <c r="O271" s="153"/>
      <c r="P271" s="153"/>
      <c r="Q271" s="153"/>
      <c r="R271" s="153"/>
      <c r="S271" s="153"/>
      <c r="T271" s="153"/>
      <c r="U271" s="153"/>
      <c r="V271" s="153"/>
      <c r="W271" s="153"/>
      <c r="X271" s="153"/>
      <c r="Y271" s="153"/>
      <c r="Z271" s="153"/>
    </row>
    <row r="272" ht="44" spans="1:26">
      <c r="A272" s="149" t="s">
        <v>518</v>
      </c>
      <c r="B272" s="156" t="s">
        <v>590</v>
      </c>
      <c r="C272" s="154" t="s">
        <v>591</v>
      </c>
      <c r="D272" s="149" t="s">
        <v>321</v>
      </c>
      <c r="E272" s="149" t="s">
        <v>459</v>
      </c>
      <c r="F272" s="149" t="s">
        <v>18</v>
      </c>
      <c r="G272" s="149"/>
      <c r="H272" s="150">
        <v>46182</v>
      </c>
      <c r="I272" s="150">
        <v>46188</v>
      </c>
      <c r="J272" s="151"/>
      <c r="K272" s="150"/>
      <c r="L272" s="150"/>
      <c r="M272" s="149" t="s">
        <v>417</v>
      </c>
      <c r="N272" s="152" t="s">
        <v>567</v>
      </c>
      <c r="O272" s="153"/>
      <c r="P272" s="153"/>
      <c r="Q272" s="153"/>
      <c r="R272" s="153"/>
      <c r="S272" s="153"/>
      <c r="T272" s="153"/>
      <c r="U272" s="153"/>
      <c r="V272" s="153"/>
      <c r="W272" s="153"/>
      <c r="X272" s="153"/>
      <c r="Y272" s="153"/>
      <c r="Z272" s="153"/>
    </row>
    <row r="273" ht="44" spans="1:26">
      <c r="A273" s="149" t="s">
        <v>518</v>
      </c>
      <c r="B273" s="156" t="s">
        <v>590</v>
      </c>
      <c r="C273" s="161" t="s">
        <v>592</v>
      </c>
      <c r="D273" s="149" t="s">
        <v>321</v>
      </c>
      <c r="E273" s="149" t="s">
        <v>459</v>
      </c>
      <c r="F273" s="149" t="s">
        <v>18</v>
      </c>
      <c r="G273" s="149"/>
      <c r="H273" s="150">
        <v>46182</v>
      </c>
      <c r="I273" s="150">
        <v>46188</v>
      </c>
      <c r="J273" s="151"/>
      <c r="K273" s="150"/>
      <c r="L273" s="150"/>
      <c r="M273" s="149" t="s">
        <v>417</v>
      </c>
      <c r="N273" s="152" t="s">
        <v>567</v>
      </c>
      <c r="O273" s="153"/>
      <c r="P273" s="153"/>
      <c r="Q273" s="153"/>
      <c r="R273" s="153"/>
      <c r="S273" s="153"/>
      <c r="T273" s="153"/>
      <c r="U273" s="153"/>
      <c r="V273" s="153"/>
      <c r="W273" s="153"/>
      <c r="X273" s="153"/>
      <c r="Y273" s="153"/>
      <c r="Z273" s="153"/>
    </row>
    <row r="274" ht="44" spans="1:26">
      <c r="A274" s="149" t="s">
        <v>518</v>
      </c>
      <c r="B274" s="156" t="s">
        <v>590</v>
      </c>
      <c r="C274" s="164" t="s">
        <v>593</v>
      </c>
      <c r="D274" s="149" t="s">
        <v>321</v>
      </c>
      <c r="E274" s="149" t="s">
        <v>459</v>
      </c>
      <c r="F274" s="149" t="s">
        <v>18</v>
      </c>
      <c r="G274" s="149"/>
      <c r="H274" s="150">
        <v>46182</v>
      </c>
      <c r="I274" s="150">
        <v>46188</v>
      </c>
      <c r="J274" s="151"/>
      <c r="K274" s="150"/>
      <c r="L274" s="150"/>
      <c r="M274" s="149" t="s">
        <v>417</v>
      </c>
      <c r="N274" s="152" t="s">
        <v>567</v>
      </c>
      <c r="O274" s="153"/>
      <c r="P274" s="153"/>
      <c r="Q274" s="153"/>
      <c r="R274" s="153"/>
      <c r="S274" s="153"/>
      <c r="T274" s="153"/>
      <c r="U274" s="153"/>
      <c r="V274" s="153"/>
      <c r="W274" s="153"/>
      <c r="X274" s="153"/>
      <c r="Y274" s="153"/>
      <c r="Z274" s="153"/>
    </row>
    <row r="275" ht="44" spans="1:26">
      <c r="A275" s="149" t="s">
        <v>518</v>
      </c>
      <c r="B275" s="156" t="s">
        <v>590</v>
      </c>
      <c r="C275" s="161" t="s">
        <v>594</v>
      </c>
      <c r="D275" s="149" t="s">
        <v>321</v>
      </c>
      <c r="E275" s="149" t="s">
        <v>459</v>
      </c>
      <c r="F275" s="149" t="s">
        <v>18</v>
      </c>
      <c r="G275" s="149"/>
      <c r="H275" s="150">
        <v>46182</v>
      </c>
      <c r="I275" s="150">
        <v>46188</v>
      </c>
      <c r="J275" s="151"/>
      <c r="K275" s="150"/>
      <c r="L275" s="150"/>
      <c r="M275" s="149"/>
      <c r="N275" s="152" t="s">
        <v>567</v>
      </c>
      <c r="O275" s="153"/>
      <c r="P275" s="153"/>
      <c r="Q275" s="153"/>
      <c r="R275" s="153"/>
      <c r="S275" s="153"/>
      <c r="T275" s="153"/>
      <c r="U275" s="153"/>
      <c r="V275" s="153"/>
      <c r="W275" s="153"/>
      <c r="X275" s="153"/>
      <c r="Y275" s="153"/>
      <c r="Z275" s="153"/>
    </row>
    <row r="276" ht="44" spans="1:26">
      <c r="A276" s="149" t="s">
        <v>518</v>
      </c>
      <c r="B276" s="156" t="s">
        <v>590</v>
      </c>
      <c r="C276" s="161" t="s">
        <v>595</v>
      </c>
      <c r="D276" s="149" t="s">
        <v>321</v>
      </c>
      <c r="E276" s="149" t="s">
        <v>459</v>
      </c>
      <c r="F276" s="149" t="s">
        <v>18</v>
      </c>
      <c r="G276" s="149"/>
      <c r="H276" s="150">
        <v>46182</v>
      </c>
      <c r="I276" s="150">
        <v>46188</v>
      </c>
      <c r="J276" s="151"/>
      <c r="K276" s="150"/>
      <c r="L276" s="150"/>
      <c r="M276" s="149" t="s">
        <v>417</v>
      </c>
      <c r="N276" s="152" t="s">
        <v>567</v>
      </c>
      <c r="O276" s="153"/>
      <c r="P276" s="153"/>
      <c r="Q276" s="153"/>
      <c r="R276" s="153"/>
      <c r="S276" s="153"/>
      <c r="T276" s="153"/>
      <c r="U276" s="153"/>
      <c r="V276" s="153"/>
      <c r="W276" s="153"/>
      <c r="X276" s="153"/>
      <c r="Y276" s="153"/>
      <c r="Z276" s="153"/>
    </row>
    <row r="277" ht="44" spans="1:26">
      <c r="A277" s="149" t="s">
        <v>518</v>
      </c>
      <c r="B277" s="156" t="s">
        <v>590</v>
      </c>
      <c r="C277" s="161" t="s">
        <v>596</v>
      </c>
      <c r="D277" s="149" t="s">
        <v>321</v>
      </c>
      <c r="E277" s="149" t="s">
        <v>459</v>
      </c>
      <c r="F277" s="149" t="s">
        <v>18</v>
      </c>
      <c r="G277" s="149"/>
      <c r="H277" s="150">
        <v>46182</v>
      </c>
      <c r="I277" s="150">
        <v>46189</v>
      </c>
      <c r="J277" s="151"/>
      <c r="K277" s="150"/>
      <c r="L277" s="150"/>
      <c r="M277" s="149"/>
      <c r="N277" s="152" t="s">
        <v>567</v>
      </c>
      <c r="O277" s="153"/>
      <c r="P277" s="153"/>
      <c r="Q277" s="153"/>
      <c r="R277" s="153"/>
      <c r="S277" s="153"/>
      <c r="T277" s="153"/>
      <c r="U277" s="153"/>
      <c r="V277" s="153"/>
      <c r="W277" s="153"/>
      <c r="X277" s="153"/>
      <c r="Y277" s="153"/>
      <c r="Z277" s="153"/>
    </row>
    <row r="278" ht="29" spans="1:26">
      <c r="A278" s="149" t="s">
        <v>518</v>
      </c>
      <c r="B278" s="149" t="s">
        <v>578</v>
      </c>
      <c r="C278" s="161" t="s">
        <v>597</v>
      </c>
      <c r="D278" s="149" t="s">
        <v>321</v>
      </c>
      <c r="E278" s="149" t="s">
        <v>459</v>
      </c>
      <c r="F278" s="149" t="s">
        <v>18</v>
      </c>
      <c r="G278" s="149"/>
      <c r="H278" s="150">
        <v>46182</v>
      </c>
      <c r="I278" s="150">
        <v>46192</v>
      </c>
      <c r="J278" s="151"/>
      <c r="K278" s="150"/>
      <c r="L278" s="150"/>
      <c r="M278" s="149" t="s">
        <v>417</v>
      </c>
      <c r="N278" s="152"/>
      <c r="O278" s="153"/>
      <c r="P278" s="153"/>
      <c r="Q278" s="153"/>
      <c r="R278" s="153"/>
      <c r="S278" s="153"/>
      <c r="T278" s="153"/>
      <c r="U278" s="153"/>
      <c r="V278" s="153"/>
      <c r="W278" s="153"/>
      <c r="X278" s="153"/>
      <c r="Y278" s="153"/>
      <c r="Z278" s="153"/>
    </row>
    <row r="279" ht="29" spans="1:26">
      <c r="A279" s="149" t="s">
        <v>518</v>
      </c>
      <c r="B279" s="149" t="s">
        <v>598</v>
      </c>
      <c r="C279" s="149" t="s">
        <v>598</v>
      </c>
      <c r="D279" s="149" t="s">
        <v>98</v>
      </c>
      <c r="E279" s="149" t="s">
        <v>459</v>
      </c>
      <c r="F279" s="149" t="s">
        <v>18</v>
      </c>
      <c r="G279" s="149"/>
      <c r="H279" s="150">
        <v>46183</v>
      </c>
      <c r="I279" s="150">
        <v>46204</v>
      </c>
      <c r="J279" s="151"/>
      <c r="K279" s="150"/>
      <c r="L279" s="150"/>
      <c r="M279" s="149" t="s">
        <v>158</v>
      </c>
      <c r="N279" s="152"/>
      <c r="O279" s="153"/>
      <c r="P279" s="153"/>
      <c r="Q279" s="153"/>
      <c r="R279" s="153"/>
      <c r="S279" s="153"/>
      <c r="T279" s="153"/>
      <c r="U279" s="153"/>
      <c r="V279" s="153"/>
      <c r="W279" s="153"/>
      <c r="X279" s="153"/>
      <c r="Y279" s="153"/>
      <c r="Z279" s="153"/>
    </row>
    <row r="280" spans="1:26">
      <c r="A280" s="149" t="s">
        <v>518</v>
      </c>
      <c r="B280" s="149" t="s">
        <v>599</v>
      </c>
      <c r="C280" s="149" t="s">
        <v>600</v>
      </c>
      <c r="D280" s="149" t="s">
        <v>98</v>
      </c>
      <c r="E280" s="149" t="s">
        <v>459</v>
      </c>
      <c r="F280" s="149" t="s">
        <v>18</v>
      </c>
      <c r="G280" s="149"/>
      <c r="H280" s="150">
        <v>46183</v>
      </c>
      <c r="I280" s="150">
        <v>46183</v>
      </c>
      <c r="J280" s="151"/>
      <c r="K280" s="150"/>
      <c r="L280" s="150"/>
      <c r="M280" s="149"/>
      <c r="N280" s="152"/>
      <c r="O280" s="153"/>
      <c r="P280" s="153"/>
      <c r="Q280" s="153"/>
      <c r="R280" s="153"/>
      <c r="S280" s="153"/>
      <c r="T280" s="153"/>
      <c r="U280" s="153"/>
      <c r="V280" s="153"/>
      <c r="W280" s="153"/>
      <c r="X280" s="153"/>
      <c r="Y280" s="153"/>
      <c r="Z280" s="153"/>
    </row>
    <row r="281" ht="44" spans="1:26">
      <c r="A281" s="149" t="s">
        <v>518</v>
      </c>
      <c r="B281" s="149" t="s">
        <v>601</v>
      </c>
      <c r="C281" s="156" t="s">
        <v>602</v>
      </c>
      <c r="D281" s="149" t="s">
        <v>477</v>
      </c>
      <c r="E281" s="149" t="s">
        <v>459</v>
      </c>
      <c r="F281" s="149" t="s">
        <v>18</v>
      </c>
      <c r="G281" s="149"/>
      <c r="H281" s="150">
        <v>46184</v>
      </c>
      <c r="I281" s="150">
        <v>46188</v>
      </c>
      <c r="J281" s="151"/>
      <c r="K281" s="150"/>
      <c r="L281" s="150"/>
      <c r="M281" s="149" t="s">
        <v>438</v>
      </c>
      <c r="N281" s="152" t="s">
        <v>601</v>
      </c>
      <c r="O281" s="153"/>
      <c r="P281" s="153"/>
      <c r="Q281" s="153"/>
      <c r="R281" s="153"/>
      <c r="S281" s="153"/>
      <c r="T281" s="153"/>
      <c r="U281" s="153"/>
      <c r="V281" s="153"/>
      <c r="W281" s="153"/>
      <c r="X281" s="153"/>
      <c r="Y281" s="153"/>
      <c r="Z281" s="153"/>
    </row>
    <row r="282" ht="72" spans="1:26">
      <c r="A282" s="149" t="s">
        <v>518</v>
      </c>
      <c r="B282" s="149" t="s">
        <v>603</v>
      </c>
      <c r="C282" s="156" t="s">
        <v>604</v>
      </c>
      <c r="D282" s="149" t="s">
        <v>477</v>
      </c>
      <c r="E282" s="149" t="s">
        <v>459</v>
      </c>
      <c r="F282" s="149" t="s">
        <v>18</v>
      </c>
      <c r="G282" s="149"/>
      <c r="H282" s="150">
        <v>46188</v>
      </c>
      <c r="I282" s="150">
        <v>46189</v>
      </c>
      <c r="J282" s="151"/>
      <c r="K282" s="150"/>
      <c r="L282" s="150"/>
      <c r="M282" s="149"/>
      <c r="N282" s="152"/>
      <c r="O282" s="153"/>
      <c r="P282" s="153"/>
      <c r="Q282" s="153"/>
      <c r="R282" s="153"/>
      <c r="S282" s="153"/>
      <c r="T282" s="153"/>
      <c r="U282" s="153"/>
      <c r="V282" s="153"/>
      <c r="W282" s="153"/>
      <c r="X282" s="153"/>
      <c r="Y282" s="153"/>
      <c r="Z282" s="153"/>
    </row>
    <row r="283" ht="29" spans="1:26">
      <c r="A283" s="149" t="s">
        <v>518</v>
      </c>
      <c r="B283" s="149" t="s">
        <v>605</v>
      </c>
      <c r="C283" s="149" t="s">
        <v>606</v>
      </c>
      <c r="D283" s="149" t="s">
        <v>477</v>
      </c>
      <c r="E283" s="149" t="s">
        <v>459</v>
      </c>
      <c r="F283" s="149" t="s">
        <v>38</v>
      </c>
      <c r="G283" s="149"/>
      <c r="H283" s="150">
        <v>46188</v>
      </c>
      <c r="I283" s="150">
        <v>46241</v>
      </c>
      <c r="J283" s="151"/>
      <c r="K283" s="150"/>
      <c r="L283" s="150"/>
      <c r="M283" s="149"/>
      <c r="N283" s="152" t="s">
        <v>605</v>
      </c>
      <c r="O283" s="153"/>
      <c r="P283" s="153"/>
      <c r="Q283" s="153"/>
      <c r="R283" s="153"/>
      <c r="S283" s="153"/>
      <c r="T283" s="153"/>
      <c r="U283" s="153"/>
      <c r="V283" s="153"/>
      <c r="W283" s="153"/>
      <c r="X283" s="153"/>
      <c r="Y283" s="153"/>
      <c r="Z283" s="153"/>
    </row>
    <row r="284" ht="29" spans="1:26">
      <c r="A284" s="149" t="s">
        <v>518</v>
      </c>
      <c r="B284" s="149" t="s">
        <v>607</v>
      </c>
      <c r="C284" s="149" t="s">
        <v>608</v>
      </c>
      <c r="D284" s="149" t="s">
        <v>477</v>
      </c>
      <c r="E284" s="149" t="s">
        <v>459</v>
      </c>
      <c r="F284" s="149" t="s">
        <v>38</v>
      </c>
      <c r="G284" s="149"/>
      <c r="H284" s="150">
        <v>46188</v>
      </c>
      <c r="I284" s="150">
        <v>46241</v>
      </c>
      <c r="J284" s="151"/>
      <c r="K284" s="150"/>
      <c r="L284" s="150"/>
      <c r="M284" s="149"/>
      <c r="N284" s="152" t="s">
        <v>607</v>
      </c>
      <c r="O284" s="153"/>
      <c r="P284" s="153"/>
      <c r="Q284" s="153"/>
      <c r="R284" s="153"/>
      <c r="S284" s="153"/>
      <c r="T284" s="153"/>
      <c r="U284" s="153"/>
      <c r="V284" s="153"/>
      <c r="W284" s="153"/>
      <c r="X284" s="153"/>
      <c r="Y284" s="153"/>
      <c r="Z284" s="153"/>
    </row>
    <row r="285" ht="44" spans="1:26">
      <c r="A285" s="149" t="s">
        <v>518</v>
      </c>
      <c r="B285" s="149" t="s">
        <v>609</v>
      </c>
      <c r="C285" s="156" t="s">
        <v>610</v>
      </c>
      <c r="D285" s="149" t="s">
        <v>321</v>
      </c>
      <c r="E285" s="149" t="s">
        <v>459</v>
      </c>
      <c r="F285" s="149" t="s">
        <v>38</v>
      </c>
      <c r="G285" s="149"/>
      <c r="H285" s="150">
        <v>46188</v>
      </c>
      <c r="I285" s="150">
        <v>46241</v>
      </c>
      <c r="J285" s="151"/>
      <c r="K285" s="150"/>
      <c r="L285" s="150"/>
      <c r="M285" s="149"/>
      <c r="N285" s="152"/>
      <c r="O285" s="153"/>
      <c r="P285" s="153"/>
      <c r="Q285" s="153"/>
      <c r="R285" s="153"/>
      <c r="S285" s="153"/>
      <c r="T285" s="153"/>
      <c r="U285" s="153"/>
      <c r="V285" s="153"/>
      <c r="W285" s="153"/>
      <c r="X285" s="153"/>
      <c r="Y285" s="153"/>
      <c r="Z285" s="153"/>
    </row>
    <row r="286" spans="1:26">
      <c r="A286" s="149" t="s">
        <v>518</v>
      </c>
      <c r="B286" s="149" t="s">
        <v>611</v>
      </c>
      <c r="C286" s="149" t="s">
        <v>612</v>
      </c>
      <c r="D286" s="149" t="s">
        <v>321</v>
      </c>
      <c r="E286" s="149" t="s">
        <v>459</v>
      </c>
      <c r="F286" s="149" t="s">
        <v>18</v>
      </c>
      <c r="G286" s="149"/>
      <c r="H286" s="150">
        <v>46191</v>
      </c>
      <c r="I286" s="150">
        <v>46204</v>
      </c>
      <c r="J286" s="151"/>
      <c r="K286" s="150"/>
      <c r="L286" s="150"/>
      <c r="M286" s="149" t="s">
        <v>417</v>
      </c>
      <c r="N286" s="152"/>
      <c r="O286" s="153"/>
      <c r="P286" s="153"/>
      <c r="Q286" s="153"/>
      <c r="R286" s="153"/>
      <c r="S286" s="153"/>
      <c r="T286" s="153"/>
      <c r="U286" s="153"/>
      <c r="V286" s="153"/>
      <c r="W286" s="153"/>
      <c r="X286" s="153"/>
      <c r="Y286" s="153"/>
      <c r="Z286" s="153"/>
    </row>
    <row r="287" spans="1:26">
      <c r="A287" s="149" t="s">
        <v>518</v>
      </c>
      <c r="B287" s="149"/>
      <c r="C287" s="149" t="s">
        <v>613</v>
      </c>
      <c r="D287" s="149" t="s">
        <v>98</v>
      </c>
      <c r="E287" s="149" t="s">
        <v>459</v>
      </c>
      <c r="F287" s="149" t="s">
        <v>18</v>
      </c>
      <c r="G287" s="149"/>
      <c r="H287" s="150">
        <v>46192</v>
      </c>
      <c r="I287" s="150">
        <v>46192</v>
      </c>
      <c r="J287" s="151"/>
      <c r="K287" s="150"/>
      <c r="L287" s="150"/>
      <c r="M287" s="149" t="s">
        <v>204</v>
      </c>
      <c r="N287" s="152"/>
      <c r="O287" s="153"/>
      <c r="P287" s="153"/>
      <c r="Q287" s="153"/>
      <c r="R287" s="153"/>
      <c r="S287" s="153"/>
      <c r="T287" s="153"/>
      <c r="U287" s="153"/>
      <c r="V287" s="153"/>
      <c r="W287" s="153"/>
      <c r="X287" s="153"/>
      <c r="Y287" s="153"/>
      <c r="Z287" s="153"/>
    </row>
    <row r="288" spans="1:26">
      <c r="A288" s="149" t="s">
        <v>518</v>
      </c>
      <c r="B288" s="149" t="s">
        <v>221</v>
      </c>
      <c r="C288" s="149" t="s">
        <v>614</v>
      </c>
      <c r="D288" s="149" t="s">
        <v>98</v>
      </c>
      <c r="E288" s="149" t="s">
        <v>459</v>
      </c>
      <c r="F288" s="149" t="s">
        <v>18</v>
      </c>
      <c r="G288" s="149"/>
      <c r="H288" s="150">
        <v>46192</v>
      </c>
      <c r="I288" s="150">
        <v>46195</v>
      </c>
      <c r="J288" s="151"/>
      <c r="K288" s="150"/>
      <c r="L288" s="150"/>
      <c r="M288" s="149" t="s">
        <v>99</v>
      </c>
      <c r="N288" s="152"/>
      <c r="O288" s="153"/>
      <c r="P288" s="153"/>
      <c r="Q288" s="153"/>
      <c r="R288" s="153"/>
      <c r="S288" s="153"/>
      <c r="T288" s="153"/>
      <c r="U288" s="153"/>
      <c r="V288" s="153"/>
      <c r="W288" s="153"/>
      <c r="X288" s="153"/>
      <c r="Y288" s="153"/>
      <c r="Z288" s="153"/>
    </row>
    <row r="289" spans="1:26">
      <c r="A289" s="149" t="s">
        <v>518</v>
      </c>
      <c r="B289" s="149" t="s">
        <v>615</v>
      </c>
      <c r="C289" s="149" t="s">
        <v>616</v>
      </c>
      <c r="D289" s="149" t="s">
        <v>98</v>
      </c>
      <c r="E289" s="149" t="s">
        <v>459</v>
      </c>
      <c r="F289" s="149" t="s">
        <v>38</v>
      </c>
      <c r="G289" s="149"/>
      <c r="H289" s="150">
        <v>46194</v>
      </c>
      <c r="I289" s="150">
        <v>46241</v>
      </c>
      <c r="J289" s="151"/>
      <c r="K289" s="150"/>
      <c r="L289" s="150"/>
      <c r="M289" s="149" t="s">
        <v>99</v>
      </c>
      <c r="N289" s="152" t="s">
        <v>615</v>
      </c>
      <c r="O289" s="153"/>
      <c r="P289" s="153"/>
      <c r="Q289" s="153"/>
      <c r="R289" s="153"/>
      <c r="S289" s="153"/>
      <c r="T289" s="153"/>
      <c r="U289" s="153"/>
      <c r="V289" s="153"/>
      <c r="W289" s="153"/>
      <c r="X289" s="153"/>
      <c r="Y289" s="153"/>
      <c r="Z289" s="153"/>
    </row>
    <row r="290" spans="1:26">
      <c r="A290" s="149" t="s">
        <v>518</v>
      </c>
      <c r="B290" s="149" t="s">
        <v>211</v>
      </c>
      <c r="C290" s="149" t="s">
        <v>617</v>
      </c>
      <c r="D290" s="149" t="s">
        <v>98</v>
      </c>
      <c r="E290" s="149" t="s">
        <v>459</v>
      </c>
      <c r="F290" s="149" t="s">
        <v>26</v>
      </c>
      <c r="G290" s="149"/>
      <c r="H290" s="150">
        <v>46194</v>
      </c>
      <c r="I290" s="150">
        <v>46241</v>
      </c>
      <c r="J290" s="151"/>
      <c r="K290" s="150"/>
      <c r="L290" s="150"/>
      <c r="M290" s="149" t="s">
        <v>204</v>
      </c>
      <c r="N290" s="152" t="s">
        <v>618</v>
      </c>
      <c r="O290" s="153"/>
      <c r="P290" s="153"/>
      <c r="Q290" s="153"/>
      <c r="R290" s="153"/>
      <c r="S290" s="153"/>
      <c r="T290" s="153"/>
      <c r="U290" s="153"/>
      <c r="V290" s="153"/>
      <c r="W290" s="153"/>
      <c r="X290" s="153"/>
      <c r="Y290" s="153"/>
      <c r="Z290" s="153"/>
    </row>
    <row r="291" spans="1:26">
      <c r="A291" s="149" t="s">
        <v>518</v>
      </c>
      <c r="B291" s="149" t="s">
        <v>619</v>
      </c>
      <c r="C291" s="149" t="s">
        <v>620</v>
      </c>
      <c r="D291" s="149" t="s">
        <v>520</v>
      </c>
      <c r="E291" s="149" t="s">
        <v>459</v>
      </c>
      <c r="F291" s="149" t="s">
        <v>18</v>
      </c>
      <c r="G291" s="149"/>
      <c r="H291" s="150">
        <v>46195</v>
      </c>
      <c r="I291" s="150">
        <v>46204</v>
      </c>
      <c r="J291" s="151"/>
      <c r="K291" s="150"/>
      <c r="L291" s="150"/>
      <c r="M291" s="149" t="s">
        <v>438</v>
      </c>
      <c r="N291" s="152"/>
      <c r="O291" s="153"/>
      <c r="P291" s="153"/>
      <c r="Q291" s="153"/>
      <c r="R291" s="153"/>
      <c r="S291" s="153"/>
      <c r="T291" s="153"/>
      <c r="U291" s="153"/>
      <c r="V291" s="153"/>
      <c r="W291" s="153"/>
      <c r="X291" s="153"/>
      <c r="Y291" s="153"/>
      <c r="Z291" s="153"/>
    </row>
    <row r="292" ht="29" spans="1:26">
      <c r="A292" s="149" t="s">
        <v>518</v>
      </c>
      <c r="B292" s="149" t="s">
        <v>621</v>
      </c>
      <c r="C292" s="149" t="s">
        <v>622</v>
      </c>
      <c r="D292" s="149" t="s">
        <v>477</v>
      </c>
      <c r="E292" s="149" t="s">
        <v>459</v>
      </c>
      <c r="F292" s="149" t="s">
        <v>18</v>
      </c>
      <c r="G292" s="149"/>
      <c r="H292" s="150">
        <v>46196</v>
      </c>
      <c r="I292" s="150">
        <v>46211</v>
      </c>
      <c r="J292" s="151"/>
      <c r="K292" s="150"/>
      <c r="L292" s="150"/>
      <c r="M292" s="149" t="s">
        <v>158</v>
      </c>
      <c r="N292" s="152"/>
      <c r="O292" s="153"/>
      <c r="P292" s="153"/>
      <c r="Q292" s="153"/>
      <c r="R292" s="153"/>
      <c r="S292" s="153"/>
      <c r="T292" s="153"/>
      <c r="U292" s="153"/>
      <c r="V292" s="153"/>
      <c r="W292" s="153"/>
      <c r="X292" s="153"/>
      <c r="Y292" s="153"/>
      <c r="Z292" s="153"/>
    </row>
    <row r="293" ht="29" spans="1:26">
      <c r="A293" s="149" t="s">
        <v>518</v>
      </c>
      <c r="B293" s="149" t="s">
        <v>623</v>
      </c>
      <c r="C293" s="149" t="s">
        <v>624</v>
      </c>
      <c r="D293" s="149" t="s">
        <v>520</v>
      </c>
      <c r="E293" s="149" t="s">
        <v>459</v>
      </c>
      <c r="F293" s="149" t="s">
        <v>18</v>
      </c>
      <c r="G293" s="149"/>
      <c r="H293" s="150">
        <v>46196</v>
      </c>
      <c r="I293" s="150">
        <v>46233</v>
      </c>
      <c r="J293" s="151"/>
      <c r="K293" s="150"/>
      <c r="L293" s="150"/>
      <c r="M293" s="149" t="s">
        <v>417</v>
      </c>
      <c r="N293" s="152"/>
      <c r="O293" s="153"/>
      <c r="P293" s="153"/>
      <c r="Q293" s="153"/>
      <c r="R293" s="153"/>
      <c r="S293" s="153"/>
      <c r="T293" s="153"/>
      <c r="U293" s="153"/>
      <c r="V293" s="153"/>
      <c r="W293" s="153"/>
      <c r="X293" s="153"/>
      <c r="Y293" s="153"/>
      <c r="Z293" s="153"/>
    </row>
    <row r="294" ht="29" spans="1:26">
      <c r="A294" s="149" t="s">
        <v>518</v>
      </c>
      <c r="B294" s="149" t="s">
        <v>623</v>
      </c>
      <c r="C294" s="149" t="s">
        <v>625</v>
      </c>
      <c r="D294" s="149" t="s">
        <v>520</v>
      </c>
      <c r="E294" s="149" t="s">
        <v>459</v>
      </c>
      <c r="F294" s="149" t="s">
        <v>18</v>
      </c>
      <c r="G294" s="149"/>
      <c r="H294" s="150">
        <v>46196</v>
      </c>
      <c r="I294" s="150">
        <v>46204</v>
      </c>
      <c r="J294" s="151"/>
      <c r="K294" s="150"/>
      <c r="L294" s="150"/>
      <c r="M294" s="149" t="s">
        <v>85</v>
      </c>
      <c r="N294" s="152"/>
      <c r="O294" s="153"/>
      <c r="P294" s="153"/>
      <c r="Q294" s="153"/>
      <c r="R294" s="153"/>
      <c r="S294" s="153"/>
      <c r="T294" s="153"/>
      <c r="U294" s="153"/>
      <c r="V294" s="153"/>
      <c r="W294" s="153"/>
      <c r="X294" s="153"/>
      <c r="Y294" s="153"/>
      <c r="Z294" s="153"/>
    </row>
    <row r="295" ht="29" spans="1:26">
      <c r="A295" s="149" t="s">
        <v>518</v>
      </c>
      <c r="B295" s="149" t="s">
        <v>623</v>
      </c>
      <c r="C295" s="149" t="s">
        <v>626</v>
      </c>
      <c r="D295" s="149" t="s">
        <v>520</v>
      </c>
      <c r="E295" s="149" t="s">
        <v>459</v>
      </c>
      <c r="F295" s="149" t="s">
        <v>18</v>
      </c>
      <c r="G295" s="149"/>
      <c r="H295" s="150">
        <v>46196</v>
      </c>
      <c r="I295" s="150">
        <v>46204</v>
      </c>
      <c r="J295" s="151"/>
      <c r="K295" s="150"/>
      <c r="L295" s="150"/>
      <c r="M295" s="149" t="s">
        <v>85</v>
      </c>
      <c r="N295" s="152"/>
      <c r="O295" s="153"/>
      <c r="P295" s="153"/>
      <c r="Q295" s="153"/>
      <c r="R295" s="153"/>
      <c r="S295" s="153"/>
      <c r="T295" s="153"/>
      <c r="U295" s="153"/>
      <c r="V295" s="153"/>
      <c r="W295" s="153"/>
      <c r="X295" s="153"/>
      <c r="Y295" s="153"/>
      <c r="Z295" s="153"/>
    </row>
    <row r="296" ht="29" spans="1:26">
      <c r="A296" s="149" t="s">
        <v>518</v>
      </c>
      <c r="B296" s="149" t="s">
        <v>623</v>
      </c>
      <c r="C296" s="149" t="s">
        <v>627</v>
      </c>
      <c r="D296" s="149" t="s">
        <v>520</v>
      </c>
      <c r="E296" s="149" t="s">
        <v>459</v>
      </c>
      <c r="F296" s="149" t="s">
        <v>18</v>
      </c>
      <c r="G296" s="149"/>
      <c r="H296" s="150">
        <v>46196</v>
      </c>
      <c r="I296" s="150">
        <v>46204</v>
      </c>
      <c r="J296" s="151"/>
      <c r="K296" s="150"/>
      <c r="L296" s="150"/>
      <c r="M296" s="149" t="s">
        <v>85</v>
      </c>
      <c r="N296" s="152"/>
      <c r="O296" s="153"/>
      <c r="P296" s="153"/>
      <c r="Q296" s="153"/>
      <c r="R296" s="153"/>
      <c r="S296" s="153"/>
      <c r="T296" s="153"/>
      <c r="U296" s="153"/>
      <c r="V296" s="153"/>
      <c r="W296" s="153"/>
      <c r="X296" s="153"/>
      <c r="Y296" s="153"/>
      <c r="Z296" s="153"/>
    </row>
    <row r="297" ht="29" spans="1:26">
      <c r="A297" s="149" t="s">
        <v>518</v>
      </c>
      <c r="B297" s="149" t="s">
        <v>623</v>
      </c>
      <c r="C297" s="149" t="s">
        <v>628</v>
      </c>
      <c r="D297" s="149" t="s">
        <v>520</v>
      </c>
      <c r="E297" s="149" t="s">
        <v>459</v>
      </c>
      <c r="F297" s="149" t="s">
        <v>18</v>
      </c>
      <c r="G297" s="149"/>
      <c r="H297" s="150">
        <v>46196</v>
      </c>
      <c r="I297" s="150">
        <v>46204</v>
      </c>
      <c r="J297" s="151"/>
      <c r="K297" s="150"/>
      <c r="L297" s="150"/>
      <c r="M297" s="149" t="s">
        <v>85</v>
      </c>
      <c r="N297" s="152"/>
      <c r="O297" s="153"/>
      <c r="P297" s="153"/>
      <c r="Q297" s="153"/>
      <c r="R297" s="153"/>
      <c r="S297" s="153"/>
      <c r="T297" s="153"/>
      <c r="U297" s="153"/>
      <c r="V297" s="153"/>
      <c r="W297" s="153"/>
      <c r="X297" s="153"/>
      <c r="Y297" s="153"/>
      <c r="Z297" s="153"/>
    </row>
    <row r="298" ht="29" spans="1:26">
      <c r="A298" s="149" t="s">
        <v>518</v>
      </c>
      <c r="B298" s="149" t="s">
        <v>623</v>
      </c>
      <c r="C298" s="149" t="s">
        <v>629</v>
      </c>
      <c r="D298" s="149" t="s">
        <v>520</v>
      </c>
      <c r="E298" s="149" t="s">
        <v>459</v>
      </c>
      <c r="F298" s="149" t="s">
        <v>18</v>
      </c>
      <c r="G298" s="149"/>
      <c r="H298" s="150">
        <v>46196</v>
      </c>
      <c r="I298" s="150">
        <v>46204</v>
      </c>
      <c r="J298" s="151"/>
      <c r="K298" s="150"/>
      <c r="L298" s="150"/>
      <c r="M298" s="149" t="s">
        <v>85</v>
      </c>
      <c r="N298" s="152"/>
      <c r="O298" s="153"/>
      <c r="P298" s="153"/>
      <c r="Q298" s="153"/>
      <c r="R298" s="153"/>
      <c r="S298" s="153"/>
      <c r="T298" s="153"/>
      <c r="U298" s="153"/>
      <c r="V298" s="153"/>
      <c r="W298" s="153"/>
      <c r="X298" s="153"/>
      <c r="Y298" s="153"/>
      <c r="Z298" s="153"/>
    </row>
    <row r="299" ht="29" spans="1:26">
      <c r="A299" s="149" t="s">
        <v>518</v>
      </c>
      <c r="B299" s="149" t="s">
        <v>623</v>
      </c>
      <c r="C299" s="149" t="s">
        <v>630</v>
      </c>
      <c r="D299" s="149" t="s">
        <v>520</v>
      </c>
      <c r="E299" s="149" t="s">
        <v>459</v>
      </c>
      <c r="F299" s="149" t="s">
        <v>18</v>
      </c>
      <c r="G299" s="149"/>
      <c r="H299" s="150">
        <v>46196</v>
      </c>
      <c r="I299" s="150">
        <v>46204</v>
      </c>
      <c r="J299" s="151"/>
      <c r="K299" s="150"/>
      <c r="L299" s="150"/>
      <c r="M299" s="149" t="s">
        <v>85</v>
      </c>
      <c r="N299" s="152"/>
      <c r="O299" s="153"/>
      <c r="P299" s="153"/>
      <c r="Q299" s="153"/>
      <c r="R299" s="153"/>
      <c r="S299" s="153"/>
      <c r="T299" s="153"/>
      <c r="U299" s="153"/>
      <c r="V299" s="153"/>
      <c r="W299" s="153"/>
      <c r="X299" s="153"/>
      <c r="Y299" s="153"/>
      <c r="Z299" s="153"/>
    </row>
    <row r="300" ht="29" spans="1:26">
      <c r="A300" s="149" t="s">
        <v>518</v>
      </c>
      <c r="B300" s="149" t="s">
        <v>623</v>
      </c>
      <c r="C300" s="149" t="s">
        <v>631</v>
      </c>
      <c r="D300" s="149" t="s">
        <v>520</v>
      </c>
      <c r="E300" s="149" t="s">
        <v>459</v>
      </c>
      <c r="F300" s="149" t="s">
        <v>18</v>
      </c>
      <c r="G300" s="149"/>
      <c r="H300" s="150">
        <v>46196</v>
      </c>
      <c r="I300" s="150">
        <v>46210</v>
      </c>
      <c r="J300" s="151"/>
      <c r="K300" s="150"/>
      <c r="L300" s="150"/>
      <c r="M300" s="149" t="s">
        <v>85</v>
      </c>
      <c r="N300" s="152"/>
      <c r="O300" s="153"/>
      <c r="P300" s="153"/>
      <c r="Q300" s="153"/>
      <c r="R300" s="153"/>
      <c r="S300" s="153"/>
      <c r="T300" s="153"/>
      <c r="U300" s="153"/>
      <c r="V300" s="153"/>
      <c r="W300" s="153"/>
      <c r="X300" s="153"/>
      <c r="Y300" s="153"/>
      <c r="Z300" s="153"/>
    </row>
    <row r="301" ht="29" spans="1:26">
      <c r="A301" s="149" t="s">
        <v>518</v>
      </c>
      <c r="B301" s="149" t="s">
        <v>623</v>
      </c>
      <c r="C301" s="149" t="s">
        <v>632</v>
      </c>
      <c r="D301" s="149" t="s">
        <v>520</v>
      </c>
      <c r="E301" s="149" t="s">
        <v>459</v>
      </c>
      <c r="F301" s="149" t="s">
        <v>18</v>
      </c>
      <c r="G301" s="149"/>
      <c r="H301" s="150">
        <v>46196</v>
      </c>
      <c r="I301" s="150">
        <v>46211</v>
      </c>
      <c r="J301" s="151"/>
      <c r="K301" s="150"/>
      <c r="L301" s="150"/>
      <c r="M301" s="149" t="s">
        <v>85</v>
      </c>
      <c r="N301" s="152"/>
      <c r="O301" s="153"/>
      <c r="P301" s="153"/>
      <c r="Q301" s="153"/>
      <c r="R301" s="153"/>
      <c r="S301" s="153"/>
      <c r="T301" s="153"/>
      <c r="U301" s="153"/>
      <c r="V301" s="153"/>
      <c r="W301" s="153"/>
      <c r="X301" s="153"/>
      <c r="Y301" s="153"/>
      <c r="Z301" s="153"/>
    </row>
    <row r="302" ht="29" spans="1:26">
      <c r="A302" s="149" t="s">
        <v>518</v>
      </c>
      <c r="B302" s="149" t="s">
        <v>623</v>
      </c>
      <c r="C302" s="149" t="s">
        <v>633</v>
      </c>
      <c r="D302" s="149" t="s">
        <v>520</v>
      </c>
      <c r="E302" s="149" t="s">
        <v>459</v>
      </c>
      <c r="F302" s="149" t="s">
        <v>18</v>
      </c>
      <c r="G302" s="149"/>
      <c r="H302" s="150">
        <v>46196</v>
      </c>
      <c r="I302" s="150">
        <v>46211</v>
      </c>
      <c r="J302" s="151"/>
      <c r="K302" s="150"/>
      <c r="L302" s="150"/>
      <c r="M302" s="149" t="s">
        <v>85</v>
      </c>
      <c r="N302" s="152"/>
      <c r="O302" s="153"/>
      <c r="P302" s="153"/>
      <c r="Q302" s="153"/>
      <c r="R302" s="153"/>
      <c r="S302" s="153"/>
      <c r="T302" s="153"/>
      <c r="U302" s="153"/>
      <c r="V302" s="153"/>
      <c r="W302" s="153"/>
      <c r="X302" s="153"/>
      <c r="Y302" s="153"/>
      <c r="Z302" s="153"/>
    </row>
    <row r="303" ht="29" spans="1:26">
      <c r="A303" s="149" t="s">
        <v>518</v>
      </c>
      <c r="B303" s="149" t="s">
        <v>623</v>
      </c>
      <c r="C303" s="149" t="s">
        <v>634</v>
      </c>
      <c r="D303" s="149" t="s">
        <v>520</v>
      </c>
      <c r="E303" s="149" t="s">
        <v>459</v>
      </c>
      <c r="F303" s="149" t="s">
        <v>18</v>
      </c>
      <c r="G303" s="149"/>
      <c r="H303" s="150">
        <v>46196</v>
      </c>
      <c r="I303" s="150">
        <v>46217</v>
      </c>
      <c r="J303" s="151"/>
      <c r="K303" s="150"/>
      <c r="L303" s="150"/>
      <c r="M303" s="149" t="s">
        <v>417</v>
      </c>
      <c r="N303" s="152"/>
      <c r="O303" s="153"/>
      <c r="P303" s="153"/>
      <c r="Q303" s="153"/>
      <c r="R303" s="153"/>
      <c r="S303" s="153"/>
      <c r="T303" s="153"/>
      <c r="U303" s="153"/>
      <c r="V303" s="153"/>
      <c r="W303" s="153"/>
      <c r="X303" s="153"/>
      <c r="Y303" s="153"/>
      <c r="Z303" s="153"/>
    </row>
    <row r="304" ht="29" spans="1:26">
      <c r="A304" s="149" t="s">
        <v>518</v>
      </c>
      <c r="B304" s="149" t="s">
        <v>623</v>
      </c>
      <c r="C304" s="149" t="s">
        <v>635</v>
      </c>
      <c r="D304" s="149" t="s">
        <v>520</v>
      </c>
      <c r="E304" s="149" t="s">
        <v>459</v>
      </c>
      <c r="F304" s="149" t="s">
        <v>18</v>
      </c>
      <c r="G304" s="149"/>
      <c r="H304" s="150">
        <v>46196</v>
      </c>
      <c r="I304" s="150">
        <v>46217</v>
      </c>
      <c r="J304" s="151"/>
      <c r="K304" s="150"/>
      <c r="L304" s="150"/>
      <c r="M304" s="149" t="s">
        <v>417</v>
      </c>
      <c r="N304" s="152"/>
      <c r="O304" s="153"/>
      <c r="P304" s="153"/>
      <c r="Q304" s="153"/>
      <c r="R304" s="153"/>
      <c r="S304" s="153"/>
      <c r="T304" s="153"/>
      <c r="U304" s="153"/>
      <c r="V304" s="153"/>
      <c r="W304" s="153"/>
      <c r="X304" s="153"/>
      <c r="Y304" s="153"/>
      <c r="Z304" s="153"/>
    </row>
    <row r="305" ht="29" spans="1:26">
      <c r="A305" s="149" t="s">
        <v>518</v>
      </c>
      <c r="B305" s="149" t="s">
        <v>623</v>
      </c>
      <c r="C305" s="149" t="s">
        <v>636</v>
      </c>
      <c r="D305" s="149" t="s">
        <v>520</v>
      </c>
      <c r="E305" s="149" t="s">
        <v>459</v>
      </c>
      <c r="F305" s="149" t="s">
        <v>38</v>
      </c>
      <c r="G305" s="149"/>
      <c r="H305" s="150">
        <v>46196</v>
      </c>
      <c r="I305" s="150">
        <v>46241</v>
      </c>
      <c r="J305" s="151"/>
      <c r="K305" s="150"/>
      <c r="L305" s="150"/>
      <c r="M305" s="149" t="s">
        <v>85</v>
      </c>
      <c r="N305" s="152"/>
      <c r="O305" s="153"/>
      <c r="P305" s="153"/>
      <c r="Q305" s="153"/>
      <c r="R305" s="153"/>
      <c r="S305" s="153"/>
      <c r="T305" s="153"/>
      <c r="U305" s="153"/>
      <c r="V305" s="153"/>
      <c r="W305" s="153"/>
      <c r="X305" s="153"/>
      <c r="Y305" s="153"/>
      <c r="Z305" s="153"/>
    </row>
    <row r="306" ht="29" spans="1:26">
      <c r="A306" s="149" t="s">
        <v>518</v>
      </c>
      <c r="B306" s="149" t="s">
        <v>637</v>
      </c>
      <c r="C306" s="149" t="s">
        <v>638</v>
      </c>
      <c r="D306" s="149" t="s">
        <v>477</v>
      </c>
      <c r="E306" s="149" t="s">
        <v>459</v>
      </c>
      <c r="F306" s="149" t="s">
        <v>38</v>
      </c>
      <c r="G306" s="149"/>
      <c r="H306" s="150">
        <v>46198</v>
      </c>
      <c r="I306" s="150">
        <v>46241</v>
      </c>
      <c r="J306" s="151"/>
      <c r="K306" s="150"/>
      <c r="L306" s="150"/>
      <c r="M306" s="149"/>
      <c r="N306" s="152"/>
      <c r="O306" s="153"/>
      <c r="P306" s="153"/>
      <c r="Q306" s="153"/>
      <c r="R306" s="153"/>
      <c r="S306" s="153"/>
      <c r="T306" s="153"/>
      <c r="U306" s="153"/>
      <c r="V306" s="153"/>
      <c r="W306" s="153"/>
      <c r="X306" s="153"/>
      <c r="Y306" s="153"/>
      <c r="Z306" s="153"/>
    </row>
    <row r="307" ht="29" spans="1:26">
      <c r="A307" s="149" t="s">
        <v>518</v>
      </c>
      <c r="B307" s="149" t="s">
        <v>473</v>
      </c>
      <c r="C307" s="149" t="s">
        <v>639</v>
      </c>
      <c r="D307" s="149" t="s">
        <v>321</v>
      </c>
      <c r="E307" s="149" t="s">
        <v>459</v>
      </c>
      <c r="F307" s="149" t="s">
        <v>38</v>
      </c>
      <c r="G307" s="149"/>
      <c r="H307" s="150">
        <v>46198</v>
      </c>
      <c r="I307" s="150">
        <v>46241</v>
      </c>
      <c r="J307" s="151"/>
      <c r="K307" s="150"/>
      <c r="L307" s="150"/>
      <c r="M307" s="149" t="s">
        <v>36</v>
      </c>
      <c r="N307" s="152"/>
      <c r="O307" s="153"/>
      <c r="P307" s="153"/>
      <c r="Q307" s="153"/>
      <c r="R307" s="153"/>
      <c r="S307" s="153"/>
      <c r="T307" s="153"/>
      <c r="U307" s="153"/>
      <c r="V307" s="153"/>
      <c r="W307" s="153"/>
      <c r="X307" s="153"/>
      <c r="Y307" s="153"/>
      <c r="Z307" s="153"/>
    </row>
    <row r="308" ht="87" spans="1:26">
      <c r="A308" s="149" t="s">
        <v>518</v>
      </c>
      <c r="B308" s="149" t="s">
        <v>640</v>
      </c>
      <c r="C308" s="156" t="s">
        <v>641</v>
      </c>
      <c r="D308" s="149" t="s">
        <v>321</v>
      </c>
      <c r="E308" s="149" t="s">
        <v>459</v>
      </c>
      <c r="F308" s="149" t="s">
        <v>26</v>
      </c>
      <c r="G308" s="149"/>
      <c r="H308" s="150">
        <v>46198</v>
      </c>
      <c r="I308" s="150">
        <v>46241</v>
      </c>
      <c r="J308" s="151"/>
      <c r="K308" s="150"/>
      <c r="L308" s="150"/>
      <c r="M308" s="149" t="s">
        <v>36</v>
      </c>
      <c r="N308" s="152"/>
      <c r="O308" s="153"/>
      <c r="P308" s="153"/>
      <c r="Q308" s="153"/>
      <c r="R308" s="153"/>
      <c r="S308" s="153"/>
      <c r="T308" s="153"/>
      <c r="U308" s="153"/>
      <c r="V308" s="153"/>
      <c r="W308" s="153"/>
      <c r="X308" s="153"/>
      <c r="Y308" s="153"/>
      <c r="Z308" s="153"/>
    </row>
    <row r="309" spans="1:26">
      <c r="A309" s="149" t="s">
        <v>518</v>
      </c>
      <c r="B309" s="149" t="s">
        <v>642</v>
      </c>
      <c r="C309" s="149" t="s">
        <v>643</v>
      </c>
      <c r="D309" s="149" t="s">
        <v>189</v>
      </c>
      <c r="E309" s="149" t="s">
        <v>459</v>
      </c>
      <c r="F309" s="149" t="s">
        <v>18</v>
      </c>
      <c r="G309" s="149"/>
      <c r="H309" s="150">
        <v>46204</v>
      </c>
      <c r="I309" s="150">
        <v>46210</v>
      </c>
      <c r="J309" s="151"/>
      <c r="K309" s="150"/>
      <c r="L309" s="150"/>
      <c r="M309" s="149"/>
      <c r="N309" s="152" t="s">
        <v>644</v>
      </c>
      <c r="O309" s="153"/>
      <c r="P309" s="153"/>
      <c r="Q309" s="153"/>
      <c r="R309" s="153"/>
      <c r="S309" s="153"/>
      <c r="T309" s="153"/>
      <c r="U309" s="153"/>
      <c r="V309" s="153"/>
      <c r="W309" s="153"/>
      <c r="X309" s="153"/>
      <c r="Y309" s="153"/>
      <c r="Z309" s="153"/>
    </row>
    <row r="310" spans="1:26">
      <c r="A310" s="149" t="s">
        <v>518</v>
      </c>
      <c r="B310" s="149" t="s">
        <v>645</v>
      </c>
      <c r="C310" s="149" t="s">
        <v>646</v>
      </c>
      <c r="D310" s="149" t="s">
        <v>534</v>
      </c>
      <c r="E310" s="149" t="s">
        <v>459</v>
      </c>
      <c r="F310" s="149" t="s">
        <v>18</v>
      </c>
      <c r="G310" s="149"/>
      <c r="H310" s="150">
        <v>46206</v>
      </c>
      <c r="I310" s="150">
        <v>46206</v>
      </c>
      <c r="J310" s="151"/>
      <c r="K310" s="150"/>
      <c r="L310" s="150"/>
      <c r="M310" s="149" t="s">
        <v>99</v>
      </c>
      <c r="N310" s="152"/>
      <c r="O310" s="153"/>
      <c r="P310" s="153"/>
      <c r="Q310" s="153"/>
      <c r="R310" s="153"/>
      <c r="S310" s="153"/>
      <c r="T310" s="153"/>
      <c r="U310" s="153"/>
      <c r="V310" s="153"/>
      <c r="W310" s="153"/>
      <c r="X310" s="153"/>
      <c r="Y310" s="153"/>
      <c r="Z310" s="153"/>
    </row>
    <row r="311" ht="44" spans="1:26">
      <c r="A311" s="149" t="s">
        <v>518</v>
      </c>
      <c r="B311" s="149" t="s">
        <v>647</v>
      </c>
      <c r="C311" s="149" t="s">
        <v>648</v>
      </c>
      <c r="D311" s="149" t="s">
        <v>477</v>
      </c>
      <c r="E311" s="149" t="s">
        <v>459</v>
      </c>
      <c r="F311" s="149" t="s">
        <v>18</v>
      </c>
      <c r="G311" s="156" t="s">
        <v>649</v>
      </c>
      <c r="H311" s="150">
        <v>46207</v>
      </c>
      <c r="I311" s="150">
        <v>46217</v>
      </c>
      <c r="J311" s="151"/>
      <c r="K311" s="150"/>
      <c r="L311" s="150"/>
      <c r="M311" s="149" t="s">
        <v>438</v>
      </c>
      <c r="N311" s="152" t="s">
        <v>650</v>
      </c>
      <c r="O311" s="153"/>
      <c r="P311" s="153"/>
      <c r="Q311" s="153"/>
      <c r="R311" s="153"/>
      <c r="S311" s="153"/>
      <c r="T311" s="153"/>
      <c r="U311" s="153"/>
      <c r="V311" s="153"/>
      <c r="W311" s="153"/>
      <c r="X311" s="153"/>
      <c r="Y311" s="153"/>
      <c r="Z311" s="153"/>
    </row>
    <row r="312" spans="1:26">
      <c r="A312" s="149" t="s">
        <v>518</v>
      </c>
      <c r="B312" s="149" t="s">
        <v>651</v>
      </c>
      <c r="C312" s="149" t="s">
        <v>652</v>
      </c>
      <c r="D312" s="149" t="s">
        <v>321</v>
      </c>
      <c r="E312" s="149" t="s">
        <v>459</v>
      </c>
      <c r="F312" s="149" t="s">
        <v>18</v>
      </c>
      <c r="G312" s="149"/>
      <c r="H312" s="150">
        <v>46209</v>
      </c>
      <c r="I312" s="150">
        <v>46215</v>
      </c>
      <c r="J312" s="151"/>
      <c r="K312" s="150"/>
      <c r="L312" s="150"/>
      <c r="M312" s="149" t="s">
        <v>36</v>
      </c>
      <c r="N312" s="152"/>
      <c r="O312" s="153"/>
      <c r="P312" s="153"/>
      <c r="Q312" s="153"/>
      <c r="R312" s="153"/>
      <c r="S312" s="153"/>
      <c r="T312" s="153"/>
      <c r="U312" s="153"/>
      <c r="V312" s="153"/>
      <c r="W312" s="153"/>
      <c r="X312" s="153"/>
      <c r="Y312" s="153"/>
      <c r="Z312" s="153"/>
    </row>
    <row r="313" spans="1:26">
      <c r="A313" s="149" t="s">
        <v>518</v>
      </c>
      <c r="B313" s="149" t="s">
        <v>653</v>
      </c>
      <c r="C313" s="149" t="s">
        <v>654</v>
      </c>
      <c r="D313" s="149" t="s">
        <v>321</v>
      </c>
      <c r="E313" s="149" t="s">
        <v>459</v>
      </c>
      <c r="F313" s="149" t="s">
        <v>18</v>
      </c>
      <c r="G313" s="149"/>
      <c r="H313" s="150">
        <v>46209</v>
      </c>
      <c r="I313" s="150">
        <v>46215</v>
      </c>
      <c r="J313" s="151"/>
      <c r="K313" s="150"/>
      <c r="L313" s="150"/>
      <c r="M313" s="149" t="s">
        <v>36</v>
      </c>
      <c r="N313" s="152"/>
      <c r="O313" s="153"/>
      <c r="P313" s="153"/>
      <c r="Q313" s="153"/>
      <c r="R313" s="153"/>
      <c r="S313" s="153"/>
      <c r="T313" s="153"/>
      <c r="U313" s="153"/>
      <c r="V313" s="153"/>
      <c r="W313" s="153"/>
      <c r="X313" s="153"/>
      <c r="Y313" s="153"/>
      <c r="Z313" s="153"/>
    </row>
    <row r="314" ht="29" spans="1:26">
      <c r="A314" s="149" t="s">
        <v>518</v>
      </c>
      <c r="B314" s="149" t="s">
        <v>655</v>
      </c>
      <c r="C314" s="149" t="s">
        <v>656</v>
      </c>
      <c r="D314" s="149" t="s">
        <v>189</v>
      </c>
      <c r="E314" s="149" t="s">
        <v>459</v>
      </c>
      <c r="F314" s="149" t="s">
        <v>38</v>
      </c>
      <c r="G314" s="149" t="s">
        <v>657</v>
      </c>
      <c r="H314" s="150">
        <v>46212</v>
      </c>
      <c r="I314" s="150">
        <v>46241</v>
      </c>
      <c r="J314" s="151"/>
      <c r="K314" s="150"/>
      <c r="L314" s="150"/>
      <c r="M314" s="149" t="s">
        <v>93</v>
      </c>
      <c r="N314" s="152"/>
      <c r="O314" s="153"/>
      <c r="P314" s="153"/>
      <c r="Q314" s="153"/>
      <c r="R314" s="153"/>
      <c r="S314" s="153"/>
      <c r="T314" s="153"/>
      <c r="U314" s="153"/>
      <c r="V314" s="153"/>
      <c r="W314" s="153"/>
      <c r="X314" s="153"/>
      <c r="Y314" s="153"/>
      <c r="Z314" s="153"/>
    </row>
    <row r="315" spans="1:26">
      <c r="A315" s="149" t="s">
        <v>518</v>
      </c>
      <c r="B315" s="149" t="s">
        <v>658</v>
      </c>
      <c r="C315" s="149" t="s">
        <v>659</v>
      </c>
      <c r="D315" s="149" t="s">
        <v>534</v>
      </c>
      <c r="E315" s="149" t="s">
        <v>459</v>
      </c>
      <c r="F315" s="149" t="s">
        <v>18</v>
      </c>
      <c r="G315" s="149"/>
      <c r="H315" s="150">
        <v>46213</v>
      </c>
      <c r="I315" s="150">
        <v>46213</v>
      </c>
      <c r="J315" s="151"/>
      <c r="K315" s="150"/>
      <c r="L315" s="150"/>
      <c r="M315" s="149" t="s">
        <v>158</v>
      </c>
      <c r="N315" s="152"/>
      <c r="O315" s="153"/>
      <c r="P315" s="153"/>
      <c r="Q315" s="153"/>
      <c r="R315" s="153"/>
      <c r="S315" s="153"/>
      <c r="T315" s="153"/>
      <c r="U315" s="153"/>
      <c r="V315" s="153"/>
      <c r="W315" s="153"/>
      <c r="X315" s="153"/>
      <c r="Y315" s="153"/>
      <c r="Z315" s="153"/>
    </row>
    <row r="316" spans="1:26">
      <c r="A316" s="149" t="s">
        <v>518</v>
      </c>
      <c r="B316" s="149" t="s">
        <v>651</v>
      </c>
      <c r="C316" s="149" t="s">
        <v>660</v>
      </c>
      <c r="D316" s="149" t="s">
        <v>321</v>
      </c>
      <c r="E316" s="149" t="s">
        <v>459</v>
      </c>
      <c r="F316" s="149" t="s">
        <v>18</v>
      </c>
      <c r="G316" s="149"/>
      <c r="H316" s="150">
        <v>46216</v>
      </c>
      <c r="I316" s="150">
        <v>46222</v>
      </c>
      <c r="J316" s="151"/>
      <c r="K316" s="150"/>
      <c r="L316" s="150"/>
      <c r="M316" s="149" t="s">
        <v>36</v>
      </c>
      <c r="N316" s="152"/>
      <c r="O316" s="153"/>
      <c r="P316" s="153"/>
      <c r="Q316" s="153"/>
      <c r="R316" s="153"/>
      <c r="S316" s="153"/>
      <c r="T316" s="153"/>
      <c r="U316" s="153"/>
      <c r="V316" s="153"/>
      <c r="W316" s="153"/>
      <c r="X316" s="153"/>
      <c r="Y316" s="153"/>
      <c r="Z316" s="153"/>
    </row>
    <row r="317" spans="1:26">
      <c r="A317" s="149" t="s">
        <v>518</v>
      </c>
      <c r="B317" s="149" t="s">
        <v>653</v>
      </c>
      <c r="C317" s="149" t="s">
        <v>661</v>
      </c>
      <c r="D317" s="149" t="s">
        <v>321</v>
      </c>
      <c r="E317" s="149" t="s">
        <v>459</v>
      </c>
      <c r="F317" s="149" t="s">
        <v>18</v>
      </c>
      <c r="G317" s="149"/>
      <c r="H317" s="150">
        <v>46216</v>
      </c>
      <c r="I317" s="150">
        <v>46222</v>
      </c>
      <c r="J317" s="151"/>
      <c r="K317" s="150"/>
      <c r="L317" s="150"/>
      <c r="M317" s="149" t="s">
        <v>36</v>
      </c>
      <c r="N317" s="152"/>
      <c r="O317" s="153"/>
      <c r="P317" s="153"/>
      <c r="Q317" s="153"/>
      <c r="R317" s="153"/>
      <c r="S317" s="153"/>
      <c r="T317" s="153"/>
      <c r="U317" s="153"/>
      <c r="V317" s="153"/>
      <c r="W317" s="153"/>
      <c r="X317" s="153"/>
      <c r="Y317" s="153"/>
      <c r="Z317" s="153"/>
    </row>
    <row r="318" ht="29" spans="1:26">
      <c r="A318" s="149" t="s">
        <v>518</v>
      </c>
      <c r="B318" s="149" t="s">
        <v>662</v>
      </c>
      <c r="C318" s="149" t="s">
        <v>663</v>
      </c>
      <c r="D318" s="149" t="s">
        <v>520</v>
      </c>
      <c r="E318" s="149" t="s">
        <v>459</v>
      </c>
      <c r="F318" s="149" t="s">
        <v>18</v>
      </c>
      <c r="G318" s="149"/>
      <c r="H318" s="150">
        <v>46216</v>
      </c>
      <c r="I318" s="150">
        <v>46216</v>
      </c>
      <c r="J318" s="151"/>
      <c r="K318" s="150"/>
      <c r="L318" s="150"/>
      <c r="M318" s="149"/>
      <c r="N318" s="152" t="s">
        <v>664</v>
      </c>
      <c r="O318" s="153"/>
      <c r="P318" s="153"/>
      <c r="Q318" s="153"/>
      <c r="R318" s="153"/>
      <c r="S318" s="153"/>
      <c r="T318" s="153"/>
      <c r="U318" s="153"/>
      <c r="V318" s="153"/>
      <c r="W318" s="153"/>
      <c r="X318" s="153"/>
      <c r="Y318" s="153"/>
      <c r="Z318" s="153"/>
    </row>
    <row r="319" ht="44" spans="1:26">
      <c r="A319" s="149" t="s">
        <v>518</v>
      </c>
      <c r="B319" s="149" t="s">
        <v>662</v>
      </c>
      <c r="C319" s="149" t="s">
        <v>665</v>
      </c>
      <c r="D319" s="149" t="s">
        <v>520</v>
      </c>
      <c r="E319" s="149" t="s">
        <v>459</v>
      </c>
      <c r="F319" s="149" t="s">
        <v>18</v>
      </c>
      <c r="G319" s="149" t="s">
        <v>666</v>
      </c>
      <c r="H319" s="150">
        <v>46216</v>
      </c>
      <c r="I319" s="150">
        <v>46225</v>
      </c>
      <c r="J319" s="151"/>
      <c r="K319" s="150"/>
      <c r="L319" s="150"/>
      <c r="M319" s="149" t="s">
        <v>85</v>
      </c>
      <c r="N319" s="152"/>
      <c r="O319" s="153"/>
      <c r="P319" s="153"/>
      <c r="Q319" s="153"/>
      <c r="R319" s="153"/>
      <c r="S319" s="153"/>
      <c r="T319" s="153"/>
      <c r="U319" s="153"/>
      <c r="V319" s="153"/>
      <c r="W319" s="153"/>
      <c r="X319" s="153"/>
      <c r="Y319" s="153"/>
      <c r="Z319" s="153"/>
    </row>
    <row r="320" ht="29" spans="1:26">
      <c r="A320" s="149" t="s">
        <v>518</v>
      </c>
      <c r="B320" s="149" t="s">
        <v>662</v>
      </c>
      <c r="C320" s="149" t="s">
        <v>667</v>
      </c>
      <c r="D320" s="149" t="s">
        <v>520</v>
      </c>
      <c r="E320" s="149" t="s">
        <v>459</v>
      </c>
      <c r="F320" s="149" t="s">
        <v>150</v>
      </c>
      <c r="G320" s="149" t="s">
        <v>668</v>
      </c>
      <c r="H320" s="150">
        <v>46216</v>
      </c>
      <c r="I320" s="150"/>
      <c r="J320" s="151"/>
      <c r="K320" s="150"/>
      <c r="L320" s="150"/>
      <c r="M320" s="149"/>
      <c r="N320" s="152"/>
      <c r="O320" s="153"/>
      <c r="P320" s="153"/>
      <c r="Q320" s="153"/>
      <c r="R320" s="153"/>
      <c r="S320" s="153"/>
      <c r="T320" s="153"/>
      <c r="U320" s="153"/>
      <c r="V320" s="153"/>
      <c r="W320" s="153"/>
      <c r="X320" s="153"/>
      <c r="Y320" s="153"/>
      <c r="Z320" s="153"/>
    </row>
    <row r="321" ht="29" spans="1:26">
      <c r="A321" s="149" t="s">
        <v>518</v>
      </c>
      <c r="B321" s="149" t="s">
        <v>662</v>
      </c>
      <c r="C321" s="149" t="s">
        <v>669</v>
      </c>
      <c r="D321" s="149" t="s">
        <v>520</v>
      </c>
      <c r="E321" s="149" t="s">
        <v>459</v>
      </c>
      <c r="F321" s="149" t="s">
        <v>18</v>
      </c>
      <c r="G321" s="149"/>
      <c r="H321" s="150">
        <v>46216</v>
      </c>
      <c r="I321" s="150">
        <v>46225</v>
      </c>
      <c r="J321" s="151"/>
      <c r="K321" s="150"/>
      <c r="L321" s="150"/>
      <c r="M321" s="149" t="s">
        <v>438</v>
      </c>
      <c r="N321" s="152"/>
      <c r="O321" s="153"/>
      <c r="P321" s="153"/>
      <c r="Q321" s="153"/>
      <c r="R321" s="153"/>
      <c r="S321" s="153"/>
      <c r="T321" s="153"/>
      <c r="U321" s="153"/>
      <c r="V321" s="153"/>
      <c r="W321" s="153"/>
      <c r="X321" s="153"/>
      <c r="Y321" s="153"/>
      <c r="Z321" s="153"/>
    </row>
    <row r="322" ht="44" spans="1:26">
      <c r="A322" s="149" t="s">
        <v>518</v>
      </c>
      <c r="B322" s="149" t="s">
        <v>662</v>
      </c>
      <c r="C322" s="149" t="s">
        <v>670</v>
      </c>
      <c r="D322" s="149" t="s">
        <v>520</v>
      </c>
      <c r="E322" s="149" t="s">
        <v>459</v>
      </c>
      <c r="F322" s="149" t="s">
        <v>18</v>
      </c>
      <c r="G322" s="149"/>
      <c r="H322" s="150">
        <v>46216</v>
      </c>
      <c r="I322" s="150">
        <v>46217</v>
      </c>
      <c r="J322" s="151"/>
      <c r="K322" s="150"/>
      <c r="L322" s="150"/>
      <c r="M322" s="149"/>
      <c r="N322" s="152" t="s">
        <v>664</v>
      </c>
      <c r="O322" s="153"/>
      <c r="P322" s="153"/>
      <c r="Q322" s="153"/>
      <c r="R322" s="153"/>
      <c r="S322" s="153"/>
      <c r="T322" s="153"/>
      <c r="U322" s="153"/>
      <c r="V322" s="153"/>
      <c r="W322" s="153"/>
      <c r="X322" s="153"/>
      <c r="Y322" s="153"/>
      <c r="Z322" s="153"/>
    </row>
    <row r="323" ht="29" spans="1:26">
      <c r="A323" s="149" t="s">
        <v>518</v>
      </c>
      <c r="B323" s="149" t="s">
        <v>662</v>
      </c>
      <c r="C323" s="149" t="s">
        <v>671</v>
      </c>
      <c r="D323" s="149" t="s">
        <v>520</v>
      </c>
      <c r="E323" s="149" t="s">
        <v>459</v>
      </c>
      <c r="F323" s="149" t="s">
        <v>18</v>
      </c>
      <c r="G323" s="149"/>
      <c r="H323" s="150">
        <v>46216</v>
      </c>
      <c r="I323" s="150">
        <v>46217</v>
      </c>
      <c r="J323" s="151"/>
      <c r="K323" s="150"/>
      <c r="L323" s="150"/>
      <c r="M323" s="149"/>
      <c r="N323" s="152" t="s">
        <v>664</v>
      </c>
      <c r="O323" s="153"/>
      <c r="P323" s="153"/>
      <c r="Q323" s="153"/>
      <c r="R323" s="153"/>
      <c r="S323" s="153"/>
      <c r="T323" s="153"/>
      <c r="U323" s="153"/>
      <c r="V323" s="153"/>
      <c r="W323" s="153"/>
      <c r="X323" s="153"/>
      <c r="Y323" s="153"/>
      <c r="Z323" s="153"/>
    </row>
    <row r="324" ht="29" spans="1:26">
      <c r="A324" s="149" t="s">
        <v>518</v>
      </c>
      <c r="B324" s="149" t="s">
        <v>662</v>
      </c>
      <c r="C324" s="149" t="s">
        <v>672</v>
      </c>
      <c r="D324" s="149" t="s">
        <v>520</v>
      </c>
      <c r="E324" s="149" t="s">
        <v>459</v>
      </c>
      <c r="F324" s="149" t="s">
        <v>18</v>
      </c>
      <c r="G324" s="149"/>
      <c r="H324" s="150">
        <v>46216</v>
      </c>
      <c r="I324" s="150">
        <v>46218</v>
      </c>
      <c r="J324" s="151"/>
      <c r="K324" s="150"/>
      <c r="L324" s="150"/>
      <c r="M324" s="149"/>
      <c r="N324" s="152" t="s">
        <v>664</v>
      </c>
      <c r="O324" s="153"/>
      <c r="P324" s="153"/>
      <c r="Q324" s="153"/>
      <c r="R324" s="153"/>
      <c r="S324" s="153"/>
      <c r="T324" s="153"/>
      <c r="U324" s="153"/>
      <c r="V324" s="153"/>
      <c r="W324" s="153"/>
      <c r="X324" s="153"/>
      <c r="Y324" s="153"/>
      <c r="Z324" s="153"/>
    </row>
    <row r="325" ht="58" spans="1:26">
      <c r="A325" s="149" t="s">
        <v>518</v>
      </c>
      <c r="B325" s="149" t="s">
        <v>662</v>
      </c>
      <c r="C325" s="156" t="s">
        <v>673</v>
      </c>
      <c r="D325" s="149" t="s">
        <v>520</v>
      </c>
      <c r="E325" s="149" t="s">
        <v>459</v>
      </c>
      <c r="F325" s="149" t="s">
        <v>18</v>
      </c>
      <c r="G325" s="149"/>
      <c r="H325" s="150">
        <v>46216</v>
      </c>
      <c r="I325" s="150">
        <v>46218</v>
      </c>
      <c r="J325" s="151"/>
      <c r="K325" s="150"/>
      <c r="L325" s="150"/>
      <c r="M325" s="149"/>
      <c r="N325" s="152" t="s">
        <v>664</v>
      </c>
      <c r="O325" s="153"/>
      <c r="P325" s="153"/>
      <c r="Q325" s="153"/>
      <c r="R325" s="153"/>
      <c r="S325" s="153"/>
      <c r="T325" s="153"/>
      <c r="U325" s="153"/>
      <c r="V325" s="153"/>
      <c r="W325" s="153"/>
      <c r="X325" s="153"/>
      <c r="Y325" s="153"/>
      <c r="Z325" s="153"/>
    </row>
    <row r="326" ht="29" spans="1:26">
      <c r="A326" s="149" t="s">
        <v>518</v>
      </c>
      <c r="B326" s="149" t="s">
        <v>662</v>
      </c>
      <c r="C326" s="149" t="s">
        <v>674</v>
      </c>
      <c r="D326" s="149" t="s">
        <v>520</v>
      </c>
      <c r="E326" s="149" t="s">
        <v>459</v>
      </c>
      <c r="F326" s="149" t="s">
        <v>18</v>
      </c>
      <c r="G326" s="149"/>
      <c r="H326" s="150">
        <v>46216</v>
      </c>
      <c r="I326" s="150">
        <v>46218</v>
      </c>
      <c r="J326" s="151"/>
      <c r="K326" s="150"/>
      <c r="L326" s="150"/>
      <c r="M326" s="149"/>
      <c r="N326" s="152" t="s">
        <v>664</v>
      </c>
      <c r="O326" s="153"/>
      <c r="P326" s="153"/>
      <c r="Q326" s="153"/>
      <c r="R326" s="153"/>
      <c r="S326" s="153"/>
      <c r="T326" s="153"/>
      <c r="U326" s="153"/>
      <c r="V326" s="153"/>
      <c r="W326" s="153"/>
      <c r="X326" s="153"/>
      <c r="Y326" s="153"/>
      <c r="Z326" s="153"/>
    </row>
    <row r="327" ht="29" spans="1:26">
      <c r="A327" s="149" t="s">
        <v>518</v>
      </c>
      <c r="B327" s="149" t="s">
        <v>662</v>
      </c>
      <c r="C327" s="149" t="s">
        <v>675</v>
      </c>
      <c r="D327" s="149" t="s">
        <v>520</v>
      </c>
      <c r="E327" s="149" t="s">
        <v>459</v>
      </c>
      <c r="F327" s="149" t="s">
        <v>18</v>
      </c>
      <c r="G327" s="149"/>
      <c r="H327" s="150">
        <v>46216</v>
      </c>
      <c r="I327" s="150">
        <v>46218</v>
      </c>
      <c r="J327" s="151"/>
      <c r="K327" s="150"/>
      <c r="L327" s="150"/>
      <c r="M327" s="149"/>
      <c r="N327" s="152" t="s">
        <v>664</v>
      </c>
      <c r="O327" s="153"/>
      <c r="P327" s="153"/>
      <c r="Q327" s="153"/>
      <c r="R327" s="153"/>
      <c r="S327" s="153"/>
      <c r="T327" s="153"/>
      <c r="U327" s="153"/>
      <c r="V327" s="153"/>
      <c r="W327" s="153"/>
      <c r="X327" s="153"/>
      <c r="Y327" s="153"/>
      <c r="Z327" s="153"/>
    </row>
    <row r="328" ht="29" spans="1:26">
      <c r="A328" s="149" t="s">
        <v>518</v>
      </c>
      <c r="B328" s="149" t="s">
        <v>662</v>
      </c>
      <c r="C328" s="149" t="s">
        <v>676</v>
      </c>
      <c r="D328" s="149" t="s">
        <v>520</v>
      </c>
      <c r="E328" s="149" t="s">
        <v>459</v>
      </c>
      <c r="F328" s="149" t="s">
        <v>18</v>
      </c>
      <c r="G328" s="149"/>
      <c r="H328" s="150">
        <v>46216</v>
      </c>
      <c r="I328" s="150">
        <v>46218</v>
      </c>
      <c r="J328" s="151"/>
      <c r="K328" s="150"/>
      <c r="L328" s="150"/>
      <c r="M328" s="149"/>
      <c r="N328" s="152" t="s">
        <v>664</v>
      </c>
      <c r="O328" s="153"/>
      <c r="P328" s="153"/>
      <c r="Q328" s="153"/>
      <c r="R328" s="153"/>
      <c r="S328" s="153"/>
      <c r="T328" s="153"/>
      <c r="U328" s="153"/>
      <c r="V328" s="153"/>
      <c r="W328" s="153"/>
      <c r="X328" s="153"/>
      <c r="Y328" s="153"/>
      <c r="Z328" s="153"/>
    </row>
    <row r="329" ht="29" spans="1:26">
      <c r="A329" s="149" t="s">
        <v>518</v>
      </c>
      <c r="B329" s="149" t="s">
        <v>662</v>
      </c>
      <c r="C329" s="149" t="s">
        <v>677</v>
      </c>
      <c r="D329" s="149" t="s">
        <v>520</v>
      </c>
      <c r="E329" s="149" t="s">
        <v>459</v>
      </c>
      <c r="F329" s="149" t="s">
        <v>18</v>
      </c>
      <c r="G329" s="149"/>
      <c r="H329" s="150">
        <v>46216</v>
      </c>
      <c r="I329" s="150">
        <v>46218</v>
      </c>
      <c r="J329" s="151"/>
      <c r="K329" s="150"/>
      <c r="L329" s="150"/>
      <c r="M329" s="149"/>
      <c r="N329" s="152" t="s">
        <v>664</v>
      </c>
      <c r="O329" s="153"/>
      <c r="P329" s="153"/>
      <c r="Q329" s="153"/>
      <c r="R329" s="153"/>
      <c r="S329" s="153"/>
      <c r="T329" s="153"/>
      <c r="U329" s="153"/>
      <c r="V329" s="153"/>
      <c r="W329" s="153"/>
      <c r="X329" s="153"/>
      <c r="Y329" s="153"/>
      <c r="Z329" s="153"/>
    </row>
    <row r="330" ht="29" spans="1:26">
      <c r="A330" s="149" t="s">
        <v>518</v>
      </c>
      <c r="B330" s="149" t="s">
        <v>662</v>
      </c>
      <c r="C330" s="149" t="s">
        <v>678</v>
      </c>
      <c r="D330" s="149" t="s">
        <v>520</v>
      </c>
      <c r="E330" s="149" t="s">
        <v>459</v>
      </c>
      <c r="F330" s="149" t="s">
        <v>18</v>
      </c>
      <c r="G330" s="149"/>
      <c r="H330" s="150">
        <v>46216</v>
      </c>
      <c r="I330" s="150">
        <v>46218</v>
      </c>
      <c r="J330" s="151"/>
      <c r="K330" s="150"/>
      <c r="L330" s="150"/>
      <c r="M330" s="149"/>
      <c r="N330" s="152"/>
      <c r="O330" s="153"/>
      <c r="P330" s="153"/>
      <c r="Q330" s="153"/>
      <c r="R330" s="153"/>
      <c r="S330" s="153"/>
      <c r="T330" s="153"/>
      <c r="U330" s="153"/>
      <c r="V330" s="153"/>
      <c r="W330" s="153"/>
      <c r="X330" s="153"/>
      <c r="Y330" s="153"/>
      <c r="Z330" s="153"/>
    </row>
    <row r="331" ht="29" spans="1:26">
      <c r="A331" s="149" t="s">
        <v>518</v>
      </c>
      <c r="B331" s="149" t="s">
        <v>662</v>
      </c>
      <c r="C331" s="149" t="s">
        <v>679</v>
      </c>
      <c r="D331" s="149" t="s">
        <v>520</v>
      </c>
      <c r="E331" s="149" t="s">
        <v>459</v>
      </c>
      <c r="F331" s="149" t="s">
        <v>18</v>
      </c>
      <c r="G331" s="149"/>
      <c r="H331" s="150">
        <v>46216</v>
      </c>
      <c r="I331" s="150">
        <v>46220</v>
      </c>
      <c r="J331" s="151"/>
      <c r="K331" s="150"/>
      <c r="L331" s="150"/>
      <c r="M331" s="149"/>
      <c r="N331" s="152"/>
      <c r="O331" s="153"/>
      <c r="P331" s="153"/>
      <c r="Q331" s="153"/>
      <c r="R331" s="153"/>
      <c r="S331" s="153"/>
      <c r="T331" s="153"/>
      <c r="U331" s="153"/>
      <c r="V331" s="153"/>
      <c r="W331" s="153"/>
      <c r="X331" s="153"/>
      <c r="Y331" s="153"/>
      <c r="Z331" s="153"/>
    </row>
    <row r="332" ht="44" spans="1:26">
      <c r="A332" s="149" t="s">
        <v>518</v>
      </c>
      <c r="B332" s="149" t="s">
        <v>662</v>
      </c>
      <c r="C332" s="156" t="s">
        <v>680</v>
      </c>
      <c r="D332" s="149" t="s">
        <v>520</v>
      </c>
      <c r="E332" s="149" t="s">
        <v>459</v>
      </c>
      <c r="F332" s="149" t="s">
        <v>18</v>
      </c>
      <c r="G332" s="149"/>
      <c r="H332" s="150">
        <v>46216</v>
      </c>
      <c r="I332" s="150">
        <v>46223</v>
      </c>
      <c r="J332" s="151"/>
      <c r="K332" s="150"/>
      <c r="L332" s="150"/>
      <c r="M332" s="149"/>
      <c r="N332" s="152" t="s">
        <v>664</v>
      </c>
      <c r="O332" s="153"/>
      <c r="P332" s="153"/>
      <c r="Q332" s="153"/>
      <c r="R332" s="153"/>
      <c r="S332" s="153"/>
      <c r="T332" s="153"/>
      <c r="U332" s="153"/>
      <c r="V332" s="153"/>
      <c r="W332" s="153"/>
      <c r="X332" s="153"/>
      <c r="Y332" s="153"/>
      <c r="Z332" s="153"/>
    </row>
    <row r="333" spans="1:26">
      <c r="A333" s="149" t="s">
        <v>518</v>
      </c>
      <c r="B333" s="149" t="s">
        <v>681</v>
      </c>
      <c r="C333" s="149" t="s">
        <v>682</v>
      </c>
      <c r="D333" s="149" t="s">
        <v>321</v>
      </c>
      <c r="E333" s="149" t="s">
        <v>459</v>
      </c>
      <c r="F333" s="149" t="s">
        <v>18</v>
      </c>
      <c r="G333" s="149"/>
      <c r="H333" s="150">
        <v>46217</v>
      </c>
      <c r="I333" s="150">
        <v>46225</v>
      </c>
      <c r="J333" s="151"/>
      <c r="K333" s="150"/>
      <c r="L333" s="150"/>
      <c r="M333" s="149" t="s">
        <v>85</v>
      </c>
      <c r="N333" s="152"/>
      <c r="O333" s="153"/>
      <c r="P333" s="153"/>
      <c r="Q333" s="153"/>
      <c r="R333" s="153"/>
      <c r="S333" s="153"/>
      <c r="T333" s="153"/>
      <c r="U333" s="153"/>
      <c r="V333" s="153"/>
      <c r="W333" s="153"/>
      <c r="X333" s="153"/>
      <c r="Y333" s="153"/>
      <c r="Z333" s="153"/>
    </row>
    <row r="334" ht="72" spans="1:26">
      <c r="A334" s="149" t="s">
        <v>518</v>
      </c>
      <c r="B334" s="149" t="s">
        <v>683</v>
      </c>
      <c r="C334" s="156" t="s">
        <v>684</v>
      </c>
      <c r="D334" s="149" t="s">
        <v>321</v>
      </c>
      <c r="E334" s="149" t="s">
        <v>459</v>
      </c>
      <c r="F334" s="149" t="s">
        <v>18</v>
      </c>
      <c r="G334" s="156" t="s">
        <v>685</v>
      </c>
      <c r="H334" s="150">
        <v>46223</v>
      </c>
      <c r="I334" s="150">
        <v>46227</v>
      </c>
      <c r="J334" s="151"/>
      <c r="K334" s="150"/>
      <c r="L334" s="150"/>
      <c r="M334" s="149" t="s">
        <v>85</v>
      </c>
      <c r="N334" s="152"/>
      <c r="O334" s="153"/>
      <c r="P334" s="153"/>
      <c r="Q334" s="153"/>
      <c r="R334" s="153"/>
      <c r="S334" s="153"/>
      <c r="T334" s="153"/>
      <c r="U334" s="153"/>
      <c r="V334" s="153"/>
      <c r="W334" s="153"/>
      <c r="X334" s="153"/>
      <c r="Y334" s="153"/>
      <c r="Z334" s="153"/>
    </row>
    <row r="335" ht="58" spans="1:26">
      <c r="A335" s="149" t="s">
        <v>518</v>
      </c>
      <c r="B335" s="149" t="s">
        <v>686</v>
      </c>
      <c r="C335" s="149" t="s">
        <v>686</v>
      </c>
      <c r="D335" s="149" t="s">
        <v>321</v>
      </c>
      <c r="E335" s="149" t="s">
        <v>459</v>
      </c>
      <c r="F335" s="149" t="s">
        <v>18</v>
      </c>
      <c r="G335" s="149"/>
      <c r="H335" s="150">
        <v>46223</v>
      </c>
      <c r="I335" s="150">
        <v>46224</v>
      </c>
      <c r="J335" s="151"/>
      <c r="K335" s="150"/>
      <c r="L335" s="150"/>
      <c r="M335" s="149" t="s">
        <v>204</v>
      </c>
      <c r="N335" s="152"/>
      <c r="O335" s="153"/>
      <c r="P335" s="153"/>
      <c r="Q335" s="153"/>
      <c r="R335" s="153"/>
      <c r="S335" s="153"/>
      <c r="T335" s="153"/>
      <c r="U335" s="153"/>
      <c r="V335" s="153"/>
      <c r="W335" s="153"/>
      <c r="X335" s="153"/>
      <c r="Y335" s="153"/>
      <c r="Z335" s="153"/>
    </row>
    <row r="336" ht="44" spans="1:26">
      <c r="A336" s="149" t="s">
        <v>518</v>
      </c>
      <c r="B336" s="149" t="s">
        <v>687</v>
      </c>
      <c r="C336" s="149" t="s">
        <v>688</v>
      </c>
      <c r="D336" s="149" t="s">
        <v>321</v>
      </c>
      <c r="E336" s="149" t="s">
        <v>459</v>
      </c>
      <c r="F336" s="149" t="s">
        <v>18</v>
      </c>
      <c r="G336" s="149" t="s">
        <v>689</v>
      </c>
      <c r="H336" s="150">
        <v>46223</v>
      </c>
      <c r="I336" s="150">
        <v>46224</v>
      </c>
      <c r="J336" s="151"/>
      <c r="K336" s="150"/>
      <c r="L336" s="150"/>
      <c r="M336" s="149" t="s">
        <v>417</v>
      </c>
      <c r="N336" s="152"/>
      <c r="O336" s="153"/>
      <c r="P336" s="153"/>
      <c r="Q336" s="153"/>
      <c r="R336" s="153"/>
      <c r="S336" s="153"/>
      <c r="T336" s="153"/>
      <c r="U336" s="153"/>
      <c r="V336" s="153"/>
      <c r="W336" s="153"/>
      <c r="X336" s="153"/>
      <c r="Y336" s="153"/>
      <c r="Z336" s="153"/>
    </row>
    <row r="337" ht="58" spans="1:26">
      <c r="A337" s="149" t="s">
        <v>518</v>
      </c>
      <c r="B337" s="149" t="s">
        <v>690</v>
      </c>
      <c r="C337" s="149" t="s">
        <v>691</v>
      </c>
      <c r="D337" s="149" t="s">
        <v>321</v>
      </c>
      <c r="E337" s="149" t="s">
        <v>459</v>
      </c>
      <c r="F337" s="149" t="s">
        <v>18</v>
      </c>
      <c r="G337" s="149"/>
      <c r="H337" s="150">
        <v>46223</v>
      </c>
      <c r="I337" s="150">
        <v>46224</v>
      </c>
      <c r="J337" s="151"/>
      <c r="K337" s="150"/>
      <c r="L337" s="150"/>
      <c r="M337" s="149" t="s">
        <v>438</v>
      </c>
      <c r="N337" s="152"/>
      <c r="O337" s="153"/>
      <c r="P337" s="153"/>
      <c r="Q337" s="153"/>
      <c r="R337" s="153"/>
      <c r="S337" s="153"/>
      <c r="T337" s="153"/>
      <c r="U337" s="153"/>
      <c r="V337" s="153"/>
      <c r="W337" s="153"/>
      <c r="X337" s="153"/>
      <c r="Y337" s="153"/>
      <c r="Z337" s="153"/>
    </row>
    <row r="338" ht="29" spans="1:26">
      <c r="A338" s="149" t="s">
        <v>518</v>
      </c>
      <c r="B338" s="149" t="s">
        <v>690</v>
      </c>
      <c r="C338" s="149" t="s">
        <v>692</v>
      </c>
      <c r="D338" s="149" t="s">
        <v>321</v>
      </c>
      <c r="E338" s="149" t="s">
        <v>459</v>
      </c>
      <c r="F338" s="149" t="s">
        <v>18</v>
      </c>
      <c r="G338" s="149"/>
      <c r="H338" s="150">
        <v>46223</v>
      </c>
      <c r="I338" s="150">
        <v>46224</v>
      </c>
      <c r="J338" s="151"/>
      <c r="K338" s="150"/>
      <c r="L338" s="150"/>
      <c r="M338" s="149" t="s">
        <v>438</v>
      </c>
      <c r="N338" s="152"/>
      <c r="O338" s="153"/>
      <c r="P338" s="153"/>
      <c r="Q338" s="153"/>
      <c r="R338" s="153"/>
      <c r="S338" s="153"/>
      <c r="T338" s="153"/>
      <c r="U338" s="153"/>
      <c r="V338" s="153"/>
      <c r="W338" s="153"/>
      <c r="X338" s="153"/>
      <c r="Y338" s="153"/>
      <c r="Z338" s="153"/>
    </row>
    <row r="339" spans="1:26">
      <c r="A339" s="149" t="s">
        <v>518</v>
      </c>
      <c r="B339" s="149" t="s">
        <v>651</v>
      </c>
      <c r="C339" s="149" t="s">
        <v>660</v>
      </c>
      <c r="D339" s="149" t="s">
        <v>321</v>
      </c>
      <c r="E339" s="149" t="s">
        <v>459</v>
      </c>
      <c r="F339" s="149" t="s">
        <v>18</v>
      </c>
      <c r="G339" s="149"/>
      <c r="H339" s="150">
        <v>46223</v>
      </c>
      <c r="I339" s="150">
        <v>46227</v>
      </c>
      <c r="J339" s="151"/>
      <c r="K339" s="150"/>
      <c r="L339" s="150"/>
      <c r="M339" s="149" t="s">
        <v>36</v>
      </c>
      <c r="N339" s="152"/>
      <c r="O339" s="153"/>
      <c r="P339" s="153"/>
      <c r="Q339" s="153"/>
      <c r="R339" s="153"/>
      <c r="S339" s="153"/>
      <c r="T339" s="153"/>
      <c r="U339" s="153"/>
      <c r="V339" s="153"/>
      <c r="W339" s="153"/>
      <c r="X339" s="153"/>
      <c r="Y339" s="153"/>
      <c r="Z339" s="153"/>
    </row>
    <row r="340" spans="1:26">
      <c r="A340" s="149" t="s">
        <v>518</v>
      </c>
      <c r="B340" s="149" t="s">
        <v>653</v>
      </c>
      <c r="C340" s="149" t="s">
        <v>661</v>
      </c>
      <c r="D340" s="149" t="s">
        <v>321</v>
      </c>
      <c r="E340" s="149" t="s">
        <v>459</v>
      </c>
      <c r="F340" s="149" t="s">
        <v>18</v>
      </c>
      <c r="G340" s="149"/>
      <c r="H340" s="150">
        <v>46223</v>
      </c>
      <c r="I340" s="150">
        <v>46227</v>
      </c>
      <c r="J340" s="151"/>
      <c r="K340" s="150"/>
      <c r="L340" s="150"/>
      <c r="M340" s="149" t="s">
        <v>36</v>
      </c>
      <c r="N340" s="152"/>
      <c r="O340" s="153"/>
      <c r="P340" s="153"/>
      <c r="Q340" s="153"/>
      <c r="R340" s="153"/>
      <c r="S340" s="153"/>
      <c r="T340" s="153"/>
      <c r="U340" s="153"/>
      <c r="V340" s="153"/>
      <c r="W340" s="153"/>
      <c r="X340" s="153"/>
      <c r="Y340" s="153"/>
      <c r="Z340" s="153"/>
    </row>
    <row r="341" spans="1:26">
      <c r="A341" s="149" t="s">
        <v>518</v>
      </c>
      <c r="B341" s="149" t="s">
        <v>690</v>
      </c>
      <c r="C341" s="149" t="s">
        <v>693</v>
      </c>
      <c r="D341" s="149" t="s">
        <v>321</v>
      </c>
      <c r="E341" s="149" t="s">
        <v>459</v>
      </c>
      <c r="F341" s="149" t="s">
        <v>18</v>
      </c>
      <c r="G341" s="149"/>
      <c r="H341" s="150">
        <v>46224</v>
      </c>
      <c r="I341" s="150">
        <v>46224</v>
      </c>
      <c r="J341" s="151"/>
      <c r="K341" s="150"/>
      <c r="L341" s="150"/>
      <c r="M341" s="149" t="s">
        <v>438</v>
      </c>
      <c r="N341" s="152"/>
      <c r="O341" s="153"/>
      <c r="P341" s="153"/>
      <c r="Q341" s="153"/>
      <c r="R341" s="153"/>
      <c r="S341" s="153"/>
      <c r="T341" s="153"/>
      <c r="U341" s="153"/>
      <c r="V341" s="153"/>
      <c r="W341" s="153"/>
      <c r="X341" s="153"/>
      <c r="Y341" s="153"/>
      <c r="Z341" s="153"/>
    </row>
    <row r="342" spans="1:26">
      <c r="A342" s="149" t="s">
        <v>518</v>
      </c>
      <c r="B342" s="149" t="s">
        <v>690</v>
      </c>
      <c r="C342" s="149" t="s">
        <v>694</v>
      </c>
      <c r="D342" s="149" t="s">
        <v>321</v>
      </c>
      <c r="E342" s="149" t="s">
        <v>459</v>
      </c>
      <c r="F342" s="149" t="s">
        <v>18</v>
      </c>
      <c r="G342" s="149"/>
      <c r="H342" s="150">
        <v>46224</v>
      </c>
      <c r="I342" s="150">
        <v>46224</v>
      </c>
      <c r="J342" s="151"/>
      <c r="K342" s="150"/>
      <c r="L342" s="150"/>
      <c r="M342" s="149" t="s">
        <v>438</v>
      </c>
      <c r="N342" s="152"/>
      <c r="O342" s="153"/>
      <c r="P342" s="153"/>
      <c r="Q342" s="153"/>
      <c r="R342" s="153"/>
      <c r="S342" s="153"/>
      <c r="T342" s="153"/>
      <c r="U342" s="153"/>
      <c r="V342" s="153"/>
      <c r="W342" s="153"/>
      <c r="X342" s="153"/>
      <c r="Y342" s="153"/>
      <c r="Z342" s="153"/>
    </row>
    <row r="343" spans="1:26">
      <c r="A343" s="149" t="s">
        <v>518</v>
      </c>
      <c r="B343" s="149" t="s">
        <v>695</v>
      </c>
      <c r="C343" s="149" t="s">
        <v>696</v>
      </c>
      <c r="D343" s="149" t="s">
        <v>321</v>
      </c>
      <c r="E343" s="149" t="s">
        <v>459</v>
      </c>
      <c r="F343" s="149" t="s">
        <v>18</v>
      </c>
      <c r="G343" s="149"/>
      <c r="H343" s="150">
        <v>46226</v>
      </c>
      <c r="I343" s="150">
        <v>46226</v>
      </c>
      <c r="J343" s="151"/>
      <c r="K343" s="150"/>
      <c r="L343" s="150"/>
      <c r="M343" s="149" t="s">
        <v>438</v>
      </c>
      <c r="N343" s="152"/>
      <c r="O343" s="153"/>
      <c r="P343" s="153"/>
      <c r="Q343" s="153"/>
      <c r="R343" s="153"/>
      <c r="S343" s="153"/>
      <c r="T343" s="153"/>
      <c r="U343" s="153"/>
      <c r="V343" s="153"/>
      <c r="W343" s="153"/>
      <c r="X343" s="153"/>
      <c r="Y343" s="153"/>
      <c r="Z343" s="153"/>
    </row>
    <row r="344" spans="1:26">
      <c r="A344" s="149" t="s">
        <v>518</v>
      </c>
      <c r="B344" s="149" t="s">
        <v>697</v>
      </c>
      <c r="C344" s="149" t="s">
        <v>698</v>
      </c>
      <c r="D344" s="149" t="s">
        <v>321</v>
      </c>
      <c r="E344" s="149" t="s">
        <v>459</v>
      </c>
      <c r="F344" s="149" t="s">
        <v>18</v>
      </c>
      <c r="G344" s="149"/>
      <c r="H344" s="150">
        <v>46226</v>
      </c>
      <c r="I344" s="150">
        <v>46226</v>
      </c>
      <c r="J344" s="151"/>
      <c r="K344" s="150"/>
      <c r="L344" s="150"/>
      <c r="M344" s="149" t="s">
        <v>85</v>
      </c>
      <c r="N344" s="152"/>
      <c r="O344" s="153"/>
      <c r="P344" s="153"/>
      <c r="Q344" s="153"/>
      <c r="R344" s="153"/>
      <c r="S344" s="153"/>
      <c r="T344" s="153"/>
      <c r="U344" s="153"/>
      <c r="V344" s="153"/>
      <c r="W344" s="153"/>
      <c r="X344" s="153"/>
      <c r="Y344" s="153"/>
      <c r="Z344" s="153"/>
    </row>
    <row r="345" spans="1:26">
      <c r="A345" s="149" t="s">
        <v>518</v>
      </c>
      <c r="B345" s="149" t="s">
        <v>681</v>
      </c>
      <c r="C345" s="149" t="s">
        <v>699</v>
      </c>
      <c r="D345" s="149" t="s">
        <v>321</v>
      </c>
      <c r="E345" s="149" t="s">
        <v>459</v>
      </c>
      <c r="F345" s="149" t="s">
        <v>18</v>
      </c>
      <c r="G345" s="149"/>
      <c r="H345" s="150">
        <v>46226</v>
      </c>
      <c r="I345" s="150">
        <v>46226</v>
      </c>
      <c r="J345" s="151"/>
      <c r="K345" s="150"/>
      <c r="L345" s="150"/>
      <c r="M345" s="149" t="s">
        <v>417</v>
      </c>
      <c r="N345" s="152"/>
      <c r="O345" s="153"/>
      <c r="P345" s="153"/>
      <c r="Q345" s="153"/>
      <c r="R345" s="153"/>
      <c r="S345" s="153"/>
      <c r="T345" s="153"/>
      <c r="U345" s="153"/>
      <c r="V345" s="153"/>
      <c r="W345" s="153"/>
      <c r="X345" s="153"/>
      <c r="Y345" s="153"/>
      <c r="Z345" s="153"/>
    </row>
    <row r="346" spans="1:26">
      <c r="A346" s="149" t="s">
        <v>518</v>
      </c>
      <c r="B346" s="149"/>
      <c r="C346" s="149" t="s">
        <v>700</v>
      </c>
      <c r="D346" s="149" t="s">
        <v>321</v>
      </c>
      <c r="E346" s="149" t="s">
        <v>459</v>
      </c>
      <c r="F346" s="149" t="s">
        <v>18</v>
      </c>
      <c r="G346" s="149"/>
      <c r="H346" s="150">
        <v>46227</v>
      </c>
      <c r="I346" s="150"/>
      <c r="J346" s="151"/>
      <c r="K346" s="150"/>
      <c r="L346" s="150"/>
      <c r="M346" s="149" t="s">
        <v>85</v>
      </c>
      <c r="N346" s="152"/>
      <c r="O346" s="153"/>
      <c r="P346" s="153"/>
      <c r="Q346" s="153"/>
      <c r="R346" s="153"/>
      <c r="S346" s="153"/>
      <c r="T346" s="153"/>
      <c r="U346" s="153"/>
      <c r="V346" s="153"/>
      <c r="W346" s="153"/>
      <c r="X346" s="153"/>
      <c r="Y346" s="153"/>
      <c r="Z346" s="153"/>
    </row>
    <row r="347" ht="72" spans="1:26">
      <c r="A347" s="149" t="s">
        <v>518</v>
      </c>
      <c r="B347" s="149"/>
      <c r="C347" s="149" t="s">
        <v>701</v>
      </c>
      <c r="D347" s="149" t="s">
        <v>321</v>
      </c>
      <c r="E347" s="149" t="s">
        <v>459</v>
      </c>
      <c r="F347" s="149" t="s">
        <v>18</v>
      </c>
      <c r="G347" s="149" t="s">
        <v>702</v>
      </c>
      <c r="H347" s="150">
        <v>46227</v>
      </c>
      <c r="I347" s="150"/>
      <c r="J347" s="151"/>
      <c r="K347" s="150"/>
      <c r="L347" s="150"/>
      <c r="M347" s="149" t="s">
        <v>85</v>
      </c>
      <c r="N347" s="152"/>
      <c r="O347" s="153"/>
      <c r="P347" s="153"/>
      <c r="Q347" s="153"/>
      <c r="R347" s="153"/>
      <c r="S347" s="153"/>
      <c r="T347" s="153"/>
      <c r="U347" s="153"/>
      <c r="V347" s="153"/>
      <c r="W347" s="153"/>
      <c r="X347" s="153"/>
      <c r="Y347" s="153"/>
      <c r="Z347" s="153"/>
    </row>
    <row r="348" ht="29" spans="1:26">
      <c r="A348" s="149" t="s">
        <v>518</v>
      </c>
      <c r="B348" s="149" t="s">
        <v>658</v>
      </c>
      <c r="C348" s="149" t="s">
        <v>703</v>
      </c>
      <c r="D348" s="149" t="s">
        <v>189</v>
      </c>
      <c r="E348" s="149" t="s">
        <v>459</v>
      </c>
      <c r="F348" s="149" t="s">
        <v>41</v>
      </c>
      <c r="G348" s="149" t="s">
        <v>704</v>
      </c>
      <c r="H348" s="150">
        <v>46228</v>
      </c>
      <c r="I348" s="150">
        <v>46238</v>
      </c>
      <c r="J348" s="151"/>
      <c r="K348" s="150"/>
      <c r="L348" s="150"/>
      <c r="M348" s="149" t="s">
        <v>158</v>
      </c>
      <c r="N348" s="152"/>
      <c r="O348" s="153"/>
      <c r="P348" s="153"/>
      <c r="Q348" s="153"/>
      <c r="R348" s="153"/>
      <c r="S348" s="153"/>
      <c r="T348" s="153"/>
      <c r="U348" s="153"/>
      <c r="V348" s="153"/>
      <c r="W348" s="153"/>
      <c r="X348" s="153"/>
      <c r="Y348" s="153"/>
      <c r="Z348" s="153"/>
    </row>
    <row r="349" ht="29" spans="1:26">
      <c r="A349" s="149" t="s">
        <v>518</v>
      </c>
      <c r="B349" s="149" t="s">
        <v>705</v>
      </c>
      <c r="C349" s="149" t="s">
        <v>706</v>
      </c>
      <c r="D349" s="149" t="s">
        <v>321</v>
      </c>
      <c r="E349" s="149" t="s">
        <v>459</v>
      </c>
      <c r="F349" s="149" t="s">
        <v>38</v>
      </c>
      <c r="G349" s="149" t="s">
        <v>507</v>
      </c>
      <c r="H349" s="150">
        <v>46228</v>
      </c>
      <c r="I349" s="150">
        <v>46241</v>
      </c>
      <c r="J349" s="151"/>
      <c r="K349" s="150"/>
      <c r="L349" s="150"/>
      <c r="M349" s="149"/>
      <c r="N349" s="152"/>
      <c r="O349" s="153"/>
      <c r="P349" s="153"/>
      <c r="Q349" s="153"/>
      <c r="R349" s="153"/>
      <c r="S349" s="153"/>
      <c r="T349" s="153"/>
      <c r="U349" s="153"/>
      <c r="V349" s="153"/>
      <c r="W349" s="153"/>
      <c r="X349" s="153"/>
      <c r="Y349" s="153"/>
      <c r="Z349" s="153"/>
    </row>
    <row r="350" spans="1:26">
      <c r="A350" s="149" t="s">
        <v>518</v>
      </c>
      <c r="B350" s="149" t="s">
        <v>707</v>
      </c>
      <c r="C350" s="149" t="s">
        <v>708</v>
      </c>
      <c r="D350" s="149" t="s">
        <v>321</v>
      </c>
      <c r="E350" s="149" t="s">
        <v>459</v>
      </c>
      <c r="F350" s="149" t="s">
        <v>41</v>
      </c>
      <c r="G350" s="149" t="s">
        <v>507</v>
      </c>
      <c r="H350" s="150">
        <v>46230</v>
      </c>
      <c r="I350" s="150">
        <v>46237</v>
      </c>
      <c r="J350" s="151"/>
      <c r="K350" s="150"/>
      <c r="L350" s="150"/>
      <c r="M350" s="149" t="s">
        <v>417</v>
      </c>
      <c r="N350" s="152"/>
      <c r="O350" s="153"/>
      <c r="P350" s="153"/>
      <c r="Q350" s="153"/>
      <c r="R350" s="153"/>
      <c r="S350" s="153"/>
      <c r="T350" s="153"/>
      <c r="U350" s="153"/>
      <c r="V350" s="153"/>
      <c r="W350" s="153"/>
      <c r="X350" s="153"/>
      <c r="Y350" s="153"/>
      <c r="Z350" s="153"/>
    </row>
    <row r="351" ht="29" spans="1:26">
      <c r="A351" s="149" t="s">
        <v>518</v>
      </c>
      <c r="B351" s="149" t="s">
        <v>658</v>
      </c>
      <c r="C351" s="149" t="s">
        <v>709</v>
      </c>
      <c r="D351" s="149" t="s">
        <v>189</v>
      </c>
      <c r="E351" s="149" t="s">
        <v>459</v>
      </c>
      <c r="F351" s="149" t="s">
        <v>18</v>
      </c>
      <c r="G351" s="149"/>
      <c r="H351" s="150">
        <v>46230</v>
      </c>
      <c r="I351" s="150"/>
      <c r="J351" s="151"/>
      <c r="K351" s="150"/>
      <c r="L351" s="150"/>
      <c r="M351" s="149" t="s">
        <v>158</v>
      </c>
      <c r="N351" s="152"/>
      <c r="O351" s="153"/>
      <c r="P351" s="153"/>
      <c r="Q351" s="153"/>
      <c r="R351" s="153"/>
      <c r="S351" s="153"/>
      <c r="T351" s="153"/>
      <c r="U351" s="153"/>
      <c r="V351" s="153"/>
      <c r="W351" s="153"/>
      <c r="X351" s="153"/>
      <c r="Y351" s="153"/>
      <c r="Z351" s="153"/>
    </row>
    <row r="352" ht="29" spans="1:26">
      <c r="A352" s="149" t="s">
        <v>518</v>
      </c>
      <c r="B352" s="149" t="s">
        <v>662</v>
      </c>
      <c r="C352" s="156" t="s">
        <v>710</v>
      </c>
      <c r="D352" s="149" t="s">
        <v>520</v>
      </c>
      <c r="E352" s="149" t="s">
        <v>459</v>
      </c>
      <c r="F352" s="149" t="s">
        <v>18</v>
      </c>
      <c r="G352" s="149"/>
      <c r="H352" s="150">
        <v>46230</v>
      </c>
      <c r="I352" s="150">
        <v>46233</v>
      </c>
      <c r="J352" s="151"/>
      <c r="K352" s="150"/>
      <c r="L352" s="150"/>
      <c r="M352" s="149"/>
      <c r="N352" s="152" t="s">
        <v>664</v>
      </c>
      <c r="O352" s="153"/>
      <c r="P352" s="153"/>
      <c r="Q352" s="153"/>
      <c r="R352" s="153"/>
      <c r="S352" s="153"/>
      <c r="T352" s="153"/>
      <c r="U352" s="153"/>
      <c r="V352" s="153"/>
      <c r="W352" s="153"/>
      <c r="X352" s="153"/>
      <c r="Y352" s="153"/>
      <c r="Z352" s="153"/>
    </row>
    <row r="353" ht="44" spans="1:26">
      <c r="A353" s="149" t="s">
        <v>518</v>
      </c>
      <c r="B353" s="149" t="s">
        <v>486</v>
      </c>
      <c r="C353" s="149" t="s">
        <v>711</v>
      </c>
      <c r="D353" s="149" t="s">
        <v>477</v>
      </c>
      <c r="E353" s="149" t="s">
        <v>459</v>
      </c>
      <c r="F353" s="149" t="s">
        <v>38</v>
      </c>
      <c r="G353" s="149"/>
      <c r="H353" s="150">
        <v>46237</v>
      </c>
      <c r="I353" s="150">
        <v>46239</v>
      </c>
      <c r="J353" s="151"/>
      <c r="K353" s="150">
        <v>46238</v>
      </c>
      <c r="L353" s="150">
        <v>46239</v>
      </c>
      <c r="M353" s="149" t="s">
        <v>438</v>
      </c>
      <c r="N353" s="152"/>
      <c r="O353" s="153"/>
      <c r="P353" s="153"/>
      <c r="Q353" s="153"/>
      <c r="R353" s="153"/>
      <c r="S353" s="153"/>
      <c r="T353" s="153"/>
      <c r="U353" s="153"/>
      <c r="V353" s="153"/>
      <c r="W353" s="153"/>
      <c r="X353" s="153"/>
      <c r="Y353" s="153"/>
      <c r="Z353" s="153"/>
    </row>
    <row r="354" ht="44" spans="1:26">
      <c r="A354" s="149" t="s">
        <v>518</v>
      </c>
      <c r="B354" s="149" t="s">
        <v>712</v>
      </c>
      <c r="C354" s="149" t="s">
        <v>713</v>
      </c>
      <c r="D354" s="149" t="s">
        <v>189</v>
      </c>
      <c r="E354" s="149" t="s">
        <v>459</v>
      </c>
      <c r="F354" s="149" t="s">
        <v>38</v>
      </c>
      <c r="G354" s="149"/>
      <c r="H354" s="150">
        <v>46204</v>
      </c>
      <c r="I354" s="150"/>
      <c r="J354" s="150"/>
      <c r="K354" s="150"/>
      <c r="L354" s="150"/>
      <c r="M354" s="149" t="s">
        <v>99</v>
      </c>
      <c r="N354" s="152"/>
      <c r="O354" s="153"/>
      <c r="P354" s="153"/>
      <c r="Q354" s="153"/>
      <c r="R354" s="153"/>
      <c r="S354" s="153"/>
      <c r="T354" s="153"/>
      <c r="U354" s="153"/>
      <c r="V354" s="153"/>
      <c r="W354" s="153"/>
      <c r="X354" s="153"/>
      <c r="Y354" s="153"/>
      <c r="Z354" s="153"/>
    </row>
    <row r="355" ht="44" spans="1:26">
      <c r="A355" s="149" t="s">
        <v>518</v>
      </c>
      <c r="B355" s="149" t="s">
        <v>712</v>
      </c>
      <c r="C355" s="156" t="s">
        <v>714</v>
      </c>
      <c r="D355" s="149" t="s">
        <v>189</v>
      </c>
      <c r="E355" s="149" t="s">
        <v>459</v>
      </c>
      <c r="F355" s="149" t="s">
        <v>38</v>
      </c>
      <c r="G355" s="149"/>
      <c r="H355" s="150">
        <v>46217</v>
      </c>
      <c r="I355" s="150"/>
      <c r="J355" s="150"/>
      <c r="K355" s="150"/>
      <c r="L355" s="150"/>
      <c r="M355" s="149"/>
      <c r="N355" s="152"/>
      <c r="O355" s="153"/>
      <c r="P355" s="153"/>
      <c r="Q355" s="153"/>
      <c r="R355" s="153"/>
      <c r="S355" s="153"/>
      <c r="T355" s="153"/>
      <c r="U355" s="153"/>
      <c r="V355" s="153"/>
      <c r="W355" s="153"/>
      <c r="X355" s="153"/>
      <c r="Y355" s="153"/>
      <c r="Z355" s="153"/>
    </row>
    <row r="356" spans="1:26">
      <c r="A356" s="149" t="s">
        <v>518</v>
      </c>
      <c r="B356" s="149" t="s">
        <v>715</v>
      </c>
      <c r="C356" s="149" t="s">
        <v>716</v>
      </c>
      <c r="D356" s="149" t="s">
        <v>321</v>
      </c>
      <c r="E356" s="149" t="s">
        <v>459</v>
      </c>
      <c r="F356" s="149" t="s">
        <v>38</v>
      </c>
      <c r="G356" s="149"/>
      <c r="H356" s="150">
        <v>46240</v>
      </c>
      <c r="I356" s="160"/>
      <c r="J356" s="159"/>
      <c r="K356" s="160"/>
      <c r="L356" s="160"/>
      <c r="M356" s="149"/>
      <c r="N356" s="152"/>
      <c r="O356" s="153"/>
      <c r="P356" s="153"/>
      <c r="Q356" s="153"/>
      <c r="R356" s="153"/>
      <c r="S356" s="153"/>
      <c r="T356" s="153"/>
      <c r="U356" s="153"/>
      <c r="V356" s="153"/>
      <c r="W356" s="153"/>
      <c r="X356" s="153"/>
      <c r="Y356" s="153"/>
      <c r="Z356" s="153"/>
    </row>
    <row r="357" ht="29" spans="1:26">
      <c r="A357" s="149" t="s">
        <v>518</v>
      </c>
      <c r="B357" s="149" t="s">
        <v>717</v>
      </c>
      <c r="C357" s="149" t="s">
        <v>718</v>
      </c>
      <c r="D357" s="149" t="s">
        <v>321</v>
      </c>
      <c r="E357" s="149" t="s">
        <v>459</v>
      </c>
      <c r="F357" s="149" t="s">
        <v>38</v>
      </c>
      <c r="G357" s="149"/>
      <c r="H357" s="150">
        <v>46240</v>
      </c>
      <c r="I357" s="160"/>
      <c r="J357" s="159"/>
      <c r="K357" s="160"/>
      <c r="L357" s="160"/>
      <c r="M357" s="149"/>
      <c r="N357" s="152"/>
      <c r="O357" s="153"/>
      <c r="P357" s="153"/>
      <c r="Q357" s="153"/>
      <c r="R357" s="153"/>
      <c r="S357" s="153"/>
      <c r="T357" s="153"/>
      <c r="U357" s="153"/>
      <c r="V357" s="153"/>
      <c r="W357" s="153"/>
      <c r="X357" s="153"/>
      <c r="Y357" s="153"/>
      <c r="Z357" s="153"/>
    </row>
    <row r="358" ht="29" spans="1:26">
      <c r="A358" s="149" t="s">
        <v>518</v>
      </c>
      <c r="B358" s="149" t="s">
        <v>514</v>
      </c>
      <c r="C358" s="149" t="s">
        <v>719</v>
      </c>
      <c r="D358" s="149" t="s">
        <v>321</v>
      </c>
      <c r="E358" s="149" t="s">
        <v>459</v>
      </c>
      <c r="F358" s="149" t="s">
        <v>35</v>
      </c>
      <c r="G358" s="149" t="s">
        <v>720</v>
      </c>
      <c r="H358" s="150">
        <v>46240</v>
      </c>
      <c r="I358" s="160"/>
      <c r="J358" s="159" t="s">
        <v>721</v>
      </c>
      <c r="K358" s="160"/>
      <c r="L358" s="160"/>
      <c r="M358" s="149"/>
      <c r="N358" s="152"/>
      <c r="O358" s="153"/>
      <c r="P358" s="153"/>
      <c r="Q358" s="153"/>
      <c r="R358" s="153"/>
      <c r="S358" s="153"/>
      <c r="T358" s="153"/>
      <c r="U358" s="153"/>
      <c r="V358" s="153"/>
      <c r="W358" s="153"/>
      <c r="X358" s="153"/>
      <c r="Y358" s="153"/>
      <c r="Z358" s="153"/>
    </row>
    <row r="359" ht="29" spans="1:26">
      <c r="A359" s="149" t="s">
        <v>518</v>
      </c>
      <c r="B359" s="149" t="s">
        <v>514</v>
      </c>
      <c r="C359" s="149" t="s">
        <v>722</v>
      </c>
      <c r="D359" s="149" t="s">
        <v>321</v>
      </c>
      <c r="E359" s="149" t="s">
        <v>459</v>
      </c>
      <c r="F359" s="149" t="s">
        <v>18</v>
      </c>
      <c r="G359" s="149"/>
      <c r="H359" s="150">
        <v>46240</v>
      </c>
      <c r="I359" s="150">
        <v>46240</v>
      </c>
      <c r="J359" s="159" t="s">
        <v>721</v>
      </c>
      <c r="K359" s="150">
        <v>46240</v>
      </c>
      <c r="L359" s="150">
        <v>46240</v>
      </c>
      <c r="M359" s="149" t="s">
        <v>36</v>
      </c>
      <c r="N359" s="152"/>
      <c r="O359" s="153"/>
      <c r="P359" s="153"/>
      <c r="Q359" s="153"/>
      <c r="R359" s="153"/>
      <c r="S359" s="153"/>
      <c r="T359" s="153"/>
      <c r="U359" s="153"/>
      <c r="V359" s="153"/>
      <c r="W359" s="153"/>
      <c r="X359" s="153"/>
      <c r="Y359" s="153"/>
      <c r="Z359" s="153"/>
    </row>
    <row r="360" ht="29" spans="1:26">
      <c r="A360" s="149" t="s">
        <v>518</v>
      </c>
      <c r="B360" s="149" t="s">
        <v>514</v>
      </c>
      <c r="C360" s="149" t="s">
        <v>723</v>
      </c>
      <c r="D360" s="149" t="s">
        <v>321</v>
      </c>
      <c r="E360" s="149" t="s">
        <v>459</v>
      </c>
      <c r="F360" s="149" t="s">
        <v>38</v>
      </c>
      <c r="G360" s="149" t="s">
        <v>724</v>
      </c>
      <c r="H360" s="150">
        <v>46240</v>
      </c>
      <c r="I360" s="160"/>
      <c r="J360" s="159" t="s">
        <v>516</v>
      </c>
      <c r="K360" s="160"/>
      <c r="L360" s="160"/>
      <c r="M360" s="149"/>
      <c r="N360" s="152"/>
      <c r="O360" s="153"/>
      <c r="P360" s="153"/>
      <c r="Q360" s="153"/>
      <c r="R360" s="153"/>
      <c r="S360" s="153"/>
      <c r="T360" s="153"/>
      <c r="U360" s="153"/>
      <c r="V360" s="153"/>
      <c r="W360" s="153"/>
      <c r="X360" s="153"/>
      <c r="Y360" s="153"/>
      <c r="Z360" s="153"/>
    </row>
    <row r="361" ht="29" spans="1:26">
      <c r="A361" s="149" t="s">
        <v>518</v>
      </c>
      <c r="B361" s="149" t="s">
        <v>514</v>
      </c>
      <c r="C361" s="149" t="s">
        <v>725</v>
      </c>
      <c r="D361" s="149" t="s">
        <v>321</v>
      </c>
      <c r="E361" s="149" t="s">
        <v>459</v>
      </c>
      <c r="F361" s="149" t="s">
        <v>35</v>
      </c>
      <c r="G361" s="149"/>
      <c r="H361" s="150">
        <v>46240</v>
      </c>
      <c r="I361" s="150">
        <v>46240</v>
      </c>
      <c r="J361" s="159" t="s">
        <v>516</v>
      </c>
      <c r="K361" s="160"/>
      <c r="L361" s="160"/>
      <c r="M361" s="149" t="s">
        <v>460</v>
      </c>
      <c r="N361" s="152"/>
      <c r="O361" s="153"/>
      <c r="P361" s="153"/>
      <c r="Q361" s="153"/>
      <c r="R361" s="153"/>
      <c r="S361" s="153"/>
      <c r="T361" s="153"/>
      <c r="U361" s="153"/>
      <c r="V361" s="153"/>
      <c r="W361" s="153"/>
      <c r="X361" s="153"/>
      <c r="Y361" s="153"/>
      <c r="Z361" s="153"/>
    </row>
    <row r="362" ht="29" spans="1:26">
      <c r="A362" s="149" t="s">
        <v>518</v>
      </c>
      <c r="B362" s="149" t="s">
        <v>514</v>
      </c>
      <c r="C362" s="149" t="s">
        <v>726</v>
      </c>
      <c r="D362" s="149" t="s">
        <v>321</v>
      </c>
      <c r="E362" s="149" t="s">
        <v>459</v>
      </c>
      <c r="F362" s="149" t="s">
        <v>35</v>
      </c>
      <c r="G362" s="149"/>
      <c r="H362" s="150">
        <v>46240</v>
      </c>
      <c r="I362" s="150">
        <v>46240</v>
      </c>
      <c r="J362" s="159" t="s">
        <v>516</v>
      </c>
      <c r="K362" s="160"/>
      <c r="L362" s="160"/>
      <c r="M362" s="149" t="s">
        <v>460</v>
      </c>
      <c r="N362" s="152"/>
      <c r="O362" s="153"/>
      <c r="P362" s="153"/>
      <c r="Q362" s="153"/>
      <c r="R362" s="153"/>
      <c r="S362" s="153"/>
      <c r="T362" s="153"/>
      <c r="U362" s="153"/>
      <c r="V362" s="153"/>
      <c r="W362" s="153"/>
      <c r="X362" s="153"/>
      <c r="Y362" s="153"/>
      <c r="Z362" s="153"/>
    </row>
    <row r="363" ht="29" spans="1:26">
      <c r="A363" s="149" t="s">
        <v>518</v>
      </c>
      <c r="B363" s="149" t="s">
        <v>514</v>
      </c>
      <c r="C363" s="149" t="s">
        <v>727</v>
      </c>
      <c r="D363" s="149" t="s">
        <v>321</v>
      </c>
      <c r="E363" s="149" t="s">
        <v>459</v>
      </c>
      <c r="F363" s="149" t="s">
        <v>38</v>
      </c>
      <c r="G363" s="149" t="s">
        <v>728</v>
      </c>
      <c r="H363" s="150">
        <v>46240</v>
      </c>
      <c r="I363" s="160"/>
      <c r="J363" s="159" t="s">
        <v>516</v>
      </c>
      <c r="K363" s="160"/>
      <c r="L363" s="160"/>
      <c r="M363" s="149" t="s">
        <v>417</v>
      </c>
      <c r="N363" s="152"/>
      <c r="O363" s="153"/>
      <c r="P363" s="153"/>
      <c r="Q363" s="153"/>
      <c r="R363" s="153"/>
      <c r="S363" s="153"/>
      <c r="T363" s="153"/>
      <c r="U363" s="153"/>
      <c r="V363" s="153"/>
      <c r="W363" s="153"/>
      <c r="X363" s="153"/>
      <c r="Y363" s="153"/>
      <c r="Z363" s="153"/>
    </row>
    <row r="364" ht="29" spans="1:26">
      <c r="A364" s="149" t="s">
        <v>518</v>
      </c>
      <c r="B364" s="149" t="s">
        <v>514</v>
      </c>
      <c r="C364" s="149" t="s">
        <v>729</v>
      </c>
      <c r="D364" s="149" t="s">
        <v>321</v>
      </c>
      <c r="E364" s="149" t="s">
        <v>459</v>
      </c>
      <c r="F364" s="149" t="s">
        <v>38</v>
      </c>
      <c r="G364" s="149"/>
      <c r="H364" s="150">
        <v>46240</v>
      </c>
      <c r="I364" s="150">
        <v>46240</v>
      </c>
      <c r="J364" s="159"/>
      <c r="K364" s="160"/>
      <c r="L364" s="160"/>
      <c r="M364" s="149"/>
      <c r="N364" s="152"/>
      <c r="O364" s="153"/>
      <c r="P364" s="153"/>
      <c r="Q364" s="153"/>
      <c r="R364" s="153"/>
      <c r="S364" s="153"/>
      <c r="T364" s="153"/>
      <c r="U364" s="153"/>
      <c r="V364" s="153"/>
      <c r="W364" s="153"/>
      <c r="X364" s="153"/>
      <c r="Y364" s="153"/>
      <c r="Z364" s="153"/>
    </row>
    <row r="365" ht="29" spans="1:26">
      <c r="A365" s="149" t="s">
        <v>518</v>
      </c>
      <c r="B365" s="149" t="s">
        <v>514</v>
      </c>
      <c r="C365" s="149" t="s">
        <v>730</v>
      </c>
      <c r="D365" s="149" t="s">
        <v>321</v>
      </c>
      <c r="E365" s="149" t="s">
        <v>459</v>
      </c>
      <c r="F365" s="149" t="s">
        <v>38</v>
      </c>
      <c r="G365" s="149"/>
      <c r="H365" s="150">
        <v>46240</v>
      </c>
      <c r="I365" s="160"/>
      <c r="J365" s="159"/>
      <c r="K365" s="160"/>
      <c r="L365" s="160"/>
      <c r="M365" s="149"/>
      <c r="N365" s="152"/>
      <c r="O365" s="153"/>
      <c r="P365" s="153"/>
      <c r="Q365" s="153"/>
      <c r="R365" s="153"/>
      <c r="S365" s="153"/>
      <c r="T365" s="153"/>
      <c r="U365" s="153"/>
      <c r="V365" s="153"/>
      <c r="W365" s="153"/>
      <c r="X365" s="153"/>
      <c r="Y365" s="153"/>
      <c r="Z365" s="153"/>
    </row>
    <row r="366" ht="44" spans="1:26">
      <c r="A366" s="149" t="s">
        <v>518</v>
      </c>
      <c r="B366" s="149" t="s">
        <v>514</v>
      </c>
      <c r="C366" s="149" t="s">
        <v>731</v>
      </c>
      <c r="D366" s="149" t="s">
        <v>321</v>
      </c>
      <c r="E366" s="149" t="s">
        <v>459</v>
      </c>
      <c r="F366" s="149" t="s">
        <v>26</v>
      </c>
      <c r="G366" s="149"/>
      <c r="H366" s="150">
        <v>46240</v>
      </c>
      <c r="I366" s="150">
        <v>46240</v>
      </c>
      <c r="J366" s="159"/>
      <c r="K366" s="160"/>
      <c r="L366" s="160"/>
      <c r="M366" s="149"/>
      <c r="N366" s="152"/>
      <c r="O366" s="153"/>
      <c r="P366" s="153"/>
      <c r="Q366" s="153"/>
      <c r="R366" s="153"/>
      <c r="S366" s="153"/>
      <c r="T366" s="153"/>
      <c r="U366" s="153"/>
      <c r="V366" s="153"/>
      <c r="W366" s="153"/>
      <c r="X366" s="153"/>
      <c r="Y366" s="153"/>
      <c r="Z366" s="153"/>
    </row>
    <row r="367" ht="29" spans="1:26">
      <c r="A367" s="149" t="s">
        <v>518</v>
      </c>
      <c r="B367" s="149" t="s">
        <v>514</v>
      </c>
      <c r="C367" s="149" t="s">
        <v>732</v>
      </c>
      <c r="D367" s="149" t="s">
        <v>321</v>
      </c>
      <c r="E367" s="149" t="s">
        <v>459</v>
      </c>
      <c r="F367" s="149" t="s">
        <v>38</v>
      </c>
      <c r="G367" s="149"/>
      <c r="H367" s="150">
        <v>46240</v>
      </c>
      <c r="I367" s="160"/>
      <c r="J367" s="159"/>
      <c r="K367" s="160"/>
      <c r="L367" s="160"/>
      <c r="M367" s="149"/>
      <c r="N367" s="152"/>
      <c r="O367" s="153"/>
      <c r="P367" s="153"/>
      <c r="Q367" s="153"/>
      <c r="R367" s="153"/>
      <c r="S367" s="153"/>
      <c r="T367" s="153"/>
      <c r="U367" s="153"/>
      <c r="V367" s="153"/>
      <c r="W367" s="153"/>
      <c r="X367" s="153"/>
      <c r="Y367" s="153"/>
      <c r="Z367" s="153"/>
    </row>
    <row r="368" ht="29" spans="1:26">
      <c r="A368" s="149" t="s">
        <v>733</v>
      </c>
      <c r="B368" s="149" t="s">
        <v>510</v>
      </c>
      <c r="C368" s="149" t="s">
        <v>734</v>
      </c>
      <c r="D368" s="149" t="s">
        <v>321</v>
      </c>
      <c r="E368" s="149" t="s">
        <v>459</v>
      </c>
      <c r="F368" s="149" t="s">
        <v>26</v>
      </c>
      <c r="G368" s="149"/>
      <c r="H368" s="150">
        <v>46240</v>
      </c>
      <c r="I368" s="150">
        <v>46240</v>
      </c>
      <c r="J368" s="159" t="s">
        <v>721</v>
      </c>
      <c r="K368" s="160"/>
      <c r="L368" s="160"/>
      <c r="M368" s="149" t="s">
        <v>417</v>
      </c>
      <c r="N368" s="152"/>
      <c r="O368" s="153"/>
      <c r="P368" s="153"/>
      <c r="Q368" s="153"/>
      <c r="R368" s="153"/>
      <c r="S368" s="153"/>
      <c r="T368" s="153"/>
      <c r="U368" s="153"/>
      <c r="V368" s="153"/>
      <c r="W368" s="153"/>
      <c r="X368" s="153"/>
      <c r="Y368" s="153"/>
      <c r="Z368" s="153"/>
    </row>
    <row r="369" spans="1:26">
      <c r="A369" s="149" t="s">
        <v>733</v>
      </c>
      <c r="B369" s="149" t="s">
        <v>715</v>
      </c>
      <c r="C369" s="149" t="s">
        <v>735</v>
      </c>
      <c r="D369" s="149" t="s">
        <v>321</v>
      </c>
      <c r="E369" s="149" t="s">
        <v>459</v>
      </c>
      <c r="F369" s="149" t="s">
        <v>38</v>
      </c>
      <c r="G369" s="149"/>
      <c r="H369" s="150">
        <v>46240</v>
      </c>
      <c r="I369" s="150">
        <v>46245</v>
      </c>
      <c r="J369" s="159" t="s">
        <v>721</v>
      </c>
      <c r="K369" s="160">
        <v>46241</v>
      </c>
      <c r="L369" s="150">
        <v>46245</v>
      </c>
      <c r="M369" s="149" t="s">
        <v>736</v>
      </c>
      <c r="N369" s="152"/>
      <c r="O369" s="153"/>
      <c r="P369" s="153"/>
      <c r="Q369" s="153"/>
      <c r="R369" s="153"/>
      <c r="S369" s="153"/>
      <c r="T369" s="153"/>
      <c r="U369" s="153"/>
      <c r="V369" s="153"/>
      <c r="W369" s="153"/>
      <c r="X369" s="153"/>
      <c r="Y369" s="153"/>
      <c r="Z369" s="153"/>
    </row>
    <row r="370" spans="1:26">
      <c r="A370" s="149" t="s">
        <v>733</v>
      </c>
      <c r="B370" s="149" t="s">
        <v>715</v>
      </c>
      <c r="C370" s="149" t="s">
        <v>737</v>
      </c>
      <c r="D370" s="149" t="s">
        <v>321</v>
      </c>
      <c r="E370" s="149" t="s">
        <v>459</v>
      </c>
      <c r="F370" s="149" t="s">
        <v>38</v>
      </c>
      <c r="G370" s="149"/>
      <c r="H370" s="150">
        <v>46240</v>
      </c>
      <c r="I370" s="150">
        <v>46245</v>
      </c>
      <c r="J370" s="159" t="s">
        <v>721</v>
      </c>
      <c r="K370" s="160">
        <v>46241</v>
      </c>
      <c r="L370" s="150">
        <v>46245</v>
      </c>
      <c r="M370" s="149" t="s">
        <v>736</v>
      </c>
      <c r="N370" s="152"/>
      <c r="O370" s="153"/>
      <c r="P370" s="153"/>
      <c r="Q370" s="153"/>
      <c r="R370" s="153"/>
      <c r="S370" s="153"/>
      <c r="T370" s="153"/>
      <c r="U370" s="153"/>
      <c r="V370" s="153"/>
      <c r="W370" s="153"/>
      <c r="X370" s="153"/>
      <c r="Y370" s="153"/>
      <c r="Z370" s="153"/>
    </row>
    <row r="371" spans="1:26">
      <c r="A371" s="149" t="s">
        <v>733</v>
      </c>
      <c r="B371" s="149" t="s">
        <v>715</v>
      </c>
      <c r="C371" s="149" t="s">
        <v>738</v>
      </c>
      <c r="D371" s="149" t="s">
        <v>321</v>
      </c>
      <c r="E371" s="149" t="s">
        <v>459</v>
      </c>
      <c r="F371" s="149" t="s">
        <v>38</v>
      </c>
      <c r="G371" s="149"/>
      <c r="H371" s="150">
        <v>46240</v>
      </c>
      <c r="I371" s="150">
        <v>46245</v>
      </c>
      <c r="J371" s="159" t="s">
        <v>721</v>
      </c>
      <c r="K371" s="160">
        <v>46241</v>
      </c>
      <c r="L371" s="150">
        <v>46245</v>
      </c>
      <c r="M371" s="149" t="s">
        <v>736</v>
      </c>
      <c r="N371" s="152"/>
      <c r="O371" s="153"/>
      <c r="P371" s="153"/>
      <c r="Q371" s="153"/>
      <c r="R371" s="153"/>
      <c r="S371" s="153"/>
      <c r="T371" s="153"/>
      <c r="U371" s="153"/>
      <c r="V371" s="153"/>
      <c r="W371" s="153"/>
      <c r="X371" s="153"/>
      <c r="Y371" s="153"/>
      <c r="Z371" s="153"/>
    </row>
    <row r="372" ht="72" spans="1:26">
      <c r="A372" s="149" t="s">
        <v>733</v>
      </c>
      <c r="B372" s="149" t="s">
        <v>510</v>
      </c>
      <c r="C372" s="149" t="s">
        <v>739</v>
      </c>
      <c r="D372" s="149" t="s">
        <v>321</v>
      </c>
      <c r="E372" s="149" t="s">
        <v>459</v>
      </c>
      <c r="F372" s="149" t="s">
        <v>26</v>
      </c>
      <c r="G372" s="149" t="s">
        <v>740</v>
      </c>
      <c r="H372" s="150">
        <v>46235</v>
      </c>
      <c r="I372" s="150">
        <v>46237</v>
      </c>
      <c r="J372" s="159" t="s">
        <v>721</v>
      </c>
      <c r="K372" s="150">
        <v>46237</v>
      </c>
      <c r="L372" s="150">
        <v>46237</v>
      </c>
      <c r="M372" s="149" t="s">
        <v>36</v>
      </c>
      <c r="N372" s="152"/>
      <c r="O372" s="153"/>
      <c r="P372" s="153"/>
      <c r="Q372" s="153"/>
      <c r="R372" s="153"/>
      <c r="S372" s="153"/>
      <c r="T372" s="153"/>
      <c r="U372" s="153"/>
      <c r="V372" s="153"/>
      <c r="W372" s="153"/>
      <c r="X372" s="153"/>
      <c r="Y372" s="153"/>
      <c r="Z372" s="153"/>
    </row>
    <row r="373" ht="29" spans="1:26">
      <c r="A373" s="149" t="s">
        <v>733</v>
      </c>
      <c r="B373" s="149" t="s">
        <v>510</v>
      </c>
      <c r="C373" s="149" t="s">
        <v>741</v>
      </c>
      <c r="D373" s="149" t="s">
        <v>321</v>
      </c>
      <c r="E373" s="149" t="s">
        <v>459</v>
      </c>
      <c r="F373" s="149" t="s">
        <v>742</v>
      </c>
      <c r="G373" s="149"/>
      <c r="H373" s="150">
        <v>46235</v>
      </c>
      <c r="I373" s="150">
        <v>46238</v>
      </c>
      <c r="J373" s="159" t="s">
        <v>721</v>
      </c>
      <c r="K373" s="150">
        <v>46237</v>
      </c>
      <c r="L373" s="150">
        <v>46238</v>
      </c>
      <c r="M373" s="149" t="s">
        <v>99</v>
      </c>
      <c r="N373" s="152"/>
      <c r="O373" s="153"/>
      <c r="P373" s="153"/>
      <c r="Q373" s="153"/>
      <c r="R373" s="153"/>
      <c r="S373" s="153"/>
      <c r="T373" s="153"/>
      <c r="U373" s="153"/>
      <c r="V373" s="153"/>
      <c r="W373" s="153"/>
      <c r="X373" s="153"/>
      <c r="Y373" s="153"/>
      <c r="Z373" s="153"/>
    </row>
    <row r="374" spans="1:26">
      <c r="A374" s="149" t="s">
        <v>733</v>
      </c>
      <c r="B374" s="149" t="s">
        <v>510</v>
      </c>
      <c r="C374" s="149" t="s">
        <v>743</v>
      </c>
      <c r="D374" s="149" t="s">
        <v>321</v>
      </c>
      <c r="E374" s="149" t="s">
        <v>459</v>
      </c>
      <c r="F374" s="149" t="s">
        <v>18</v>
      </c>
      <c r="G374" s="149"/>
      <c r="H374" s="150">
        <v>46235</v>
      </c>
      <c r="I374" s="150">
        <v>46238</v>
      </c>
      <c r="J374" s="159" t="s">
        <v>721</v>
      </c>
      <c r="K374" s="150">
        <v>46238</v>
      </c>
      <c r="L374" s="150">
        <v>46238</v>
      </c>
      <c r="M374" s="149" t="s">
        <v>381</v>
      </c>
      <c r="N374" s="152"/>
      <c r="O374" s="153"/>
      <c r="P374" s="153"/>
      <c r="Q374" s="153"/>
      <c r="R374" s="153"/>
      <c r="S374" s="153"/>
      <c r="T374" s="153"/>
      <c r="U374" s="153"/>
      <c r="V374" s="153"/>
      <c r="W374" s="153"/>
      <c r="X374" s="153"/>
      <c r="Y374" s="153"/>
      <c r="Z374" s="153"/>
    </row>
    <row r="375" spans="1:26">
      <c r="A375" s="149" t="s">
        <v>733</v>
      </c>
      <c r="B375" s="149" t="s">
        <v>510</v>
      </c>
      <c r="C375" s="149" t="s">
        <v>744</v>
      </c>
      <c r="D375" s="149" t="s">
        <v>520</v>
      </c>
      <c r="E375" s="149" t="s">
        <v>459</v>
      </c>
      <c r="F375" s="149" t="s">
        <v>18</v>
      </c>
      <c r="G375" s="149"/>
      <c r="H375" s="150">
        <v>46235</v>
      </c>
      <c r="I375" s="160">
        <v>46238</v>
      </c>
      <c r="J375" s="159" t="s">
        <v>721</v>
      </c>
      <c r="K375" s="160">
        <v>46238</v>
      </c>
      <c r="L375" s="160">
        <v>46238</v>
      </c>
      <c r="M375" s="149" t="s">
        <v>417</v>
      </c>
      <c r="N375" s="152"/>
      <c r="O375" s="153"/>
      <c r="P375" s="153"/>
      <c r="Q375" s="153"/>
      <c r="R375" s="153"/>
      <c r="S375" s="153"/>
      <c r="T375" s="153"/>
      <c r="U375" s="153"/>
      <c r="V375" s="153"/>
      <c r="W375" s="153"/>
      <c r="X375" s="153"/>
      <c r="Y375" s="153"/>
      <c r="Z375" s="153"/>
    </row>
    <row r="376" spans="1:26">
      <c r="A376" s="149" t="s">
        <v>733</v>
      </c>
      <c r="B376" s="149" t="s">
        <v>510</v>
      </c>
      <c r="C376" s="149" t="s">
        <v>745</v>
      </c>
      <c r="D376" s="149" t="s">
        <v>321</v>
      </c>
      <c r="E376" s="149" t="s">
        <v>459</v>
      </c>
      <c r="F376" s="149" t="s">
        <v>746</v>
      </c>
      <c r="G376" s="149"/>
      <c r="H376" s="150">
        <v>46235</v>
      </c>
      <c r="I376" s="160">
        <v>46238</v>
      </c>
      <c r="J376" s="159" t="s">
        <v>721</v>
      </c>
      <c r="K376" s="160">
        <v>46238</v>
      </c>
      <c r="L376" s="160">
        <v>46238</v>
      </c>
      <c r="M376" s="149" t="s">
        <v>747</v>
      </c>
      <c r="N376" s="152"/>
      <c r="O376" s="153"/>
      <c r="P376" s="153"/>
      <c r="Q376" s="153"/>
      <c r="R376" s="153"/>
      <c r="S376" s="153"/>
      <c r="T376" s="153"/>
      <c r="U376" s="153"/>
      <c r="V376" s="153"/>
      <c r="W376" s="153"/>
      <c r="X376" s="153"/>
      <c r="Y376" s="153"/>
      <c r="Z376" s="153"/>
    </row>
    <row r="377" ht="29" spans="1:26">
      <c r="A377" s="149" t="s">
        <v>733</v>
      </c>
      <c r="B377" s="149" t="s">
        <v>510</v>
      </c>
      <c r="C377" s="149" t="s">
        <v>748</v>
      </c>
      <c r="D377" s="149" t="s">
        <v>321</v>
      </c>
      <c r="E377" s="149" t="s">
        <v>459</v>
      </c>
      <c r="F377" s="149" t="s">
        <v>18</v>
      </c>
      <c r="G377" s="149"/>
      <c r="H377" s="150">
        <v>46235</v>
      </c>
      <c r="I377" s="150">
        <v>46239</v>
      </c>
      <c r="J377" s="159" t="s">
        <v>721</v>
      </c>
      <c r="K377" s="150">
        <v>46237</v>
      </c>
      <c r="L377" s="150">
        <v>46239</v>
      </c>
      <c r="M377" s="149" t="s">
        <v>417</v>
      </c>
      <c r="N377" s="152"/>
      <c r="O377" s="153"/>
      <c r="P377" s="153"/>
      <c r="Q377" s="153"/>
      <c r="R377" s="153"/>
      <c r="S377" s="153"/>
      <c r="T377" s="153"/>
      <c r="U377" s="153"/>
      <c r="V377" s="153"/>
      <c r="W377" s="153"/>
      <c r="X377" s="153"/>
      <c r="Y377" s="153"/>
      <c r="Z377" s="153"/>
    </row>
    <row r="378" spans="1:26">
      <c r="A378" s="149" t="s">
        <v>733</v>
      </c>
      <c r="B378" s="149" t="s">
        <v>510</v>
      </c>
      <c r="C378" s="149" t="s">
        <v>749</v>
      </c>
      <c r="D378" s="149" t="s">
        <v>321</v>
      </c>
      <c r="E378" s="149" t="s">
        <v>459</v>
      </c>
      <c r="F378" s="149" t="s">
        <v>18</v>
      </c>
      <c r="G378" s="149"/>
      <c r="H378" s="150">
        <v>46235</v>
      </c>
      <c r="I378" s="150">
        <v>46239</v>
      </c>
      <c r="J378" s="159" t="s">
        <v>721</v>
      </c>
      <c r="K378" s="150">
        <v>46238</v>
      </c>
      <c r="L378" s="150">
        <v>46239</v>
      </c>
      <c r="M378" s="149" t="s">
        <v>381</v>
      </c>
      <c r="N378" s="152"/>
      <c r="O378" s="153"/>
      <c r="P378" s="153"/>
      <c r="Q378" s="153"/>
      <c r="R378" s="153"/>
      <c r="S378" s="153"/>
      <c r="T378" s="153"/>
      <c r="U378" s="153"/>
      <c r="V378" s="153"/>
      <c r="W378" s="153"/>
      <c r="X378" s="153"/>
      <c r="Y378" s="153"/>
      <c r="Z378" s="153"/>
    </row>
    <row r="379" spans="1:26">
      <c r="A379" s="149" t="s">
        <v>733</v>
      </c>
      <c r="B379" s="149" t="s">
        <v>510</v>
      </c>
      <c r="C379" s="149" t="s">
        <v>750</v>
      </c>
      <c r="D379" s="149" t="s">
        <v>98</v>
      </c>
      <c r="E379" s="149" t="s">
        <v>459</v>
      </c>
      <c r="F379" s="149" t="s">
        <v>742</v>
      </c>
      <c r="G379" s="149"/>
      <c r="H379" s="150">
        <v>46235</v>
      </c>
      <c r="I379" s="160">
        <v>46239</v>
      </c>
      <c r="J379" s="159" t="s">
        <v>721</v>
      </c>
      <c r="K379" s="160">
        <v>46238</v>
      </c>
      <c r="L379" s="160">
        <v>46239</v>
      </c>
      <c r="M379" s="149" t="s">
        <v>751</v>
      </c>
      <c r="N379" s="152"/>
      <c r="O379" s="153" t="s">
        <v>752</v>
      </c>
      <c r="P379" s="153"/>
      <c r="Q379" s="153"/>
      <c r="R379" s="153"/>
      <c r="S379" s="153"/>
      <c r="T379" s="153"/>
      <c r="U379" s="153"/>
      <c r="V379" s="153"/>
      <c r="W379" s="153"/>
      <c r="X379" s="153"/>
      <c r="Y379" s="153"/>
      <c r="Z379" s="153"/>
    </row>
    <row r="380" ht="29" spans="1:26">
      <c r="A380" s="149" t="s">
        <v>733</v>
      </c>
      <c r="B380" s="149" t="s">
        <v>510</v>
      </c>
      <c r="C380" s="149" t="s">
        <v>753</v>
      </c>
      <c r="D380" s="149" t="s">
        <v>321</v>
      </c>
      <c r="E380" s="149" t="s">
        <v>459</v>
      </c>
      <c r="F380" s="149" t="s">
        <v>26</v>
      </c>
      <c r="G380" s="149"/>
      <c r="H380" s="150">
        <v>46221</v>
      </c>
      <c r="I380" s="160">
        <v>46240</v>
      </c>
      <c r="J380" s="159" t="s">
        <v>721</v>
      </c>
      <c r="K380" s="160">
        <v>46238</v>
      </c>
      <c r="L380" s="160">
        <v>46240</v>
      </c>
      <c r="M380" s="149" t="s">
        <v>754</v>
      </c>
      <c r="N380" s="152"/>
      <c r="O380" s="153"/>
      <c r="P380" s="153"/>
      <c r="Q380" s="153"/>
      <c r="R380" s="153"/>
      <c r="S380" s="153"/>
      <c r="T380" s="153"/>
      <c r="U380" s="153"/>
      <c r="V380" s="153"/>
      <c r="W380" s="153"/>
      <c r="X380" s="153"/>
      <c r="Y380" s="153"/>
      <c r="Z380" s="153"/>
    </row>
    <row r="381" spans="1:26">
      <c r="A381" s="149" t="s">
        <v>733</v>
      </c>
      <c r="B381" s="149" t="s">
        <v>510</v>
      </c>
      <c r="C381" s="149" t="s">
        <v>755</v>
      </c>
      <c r="D381" s="149" t="s">
        <v>321</v>
      </c>
      <c r="E381" s="149" t="s">
        <v>459</v>
      </c>
      <c r="F381" s="149" t="s">
        <v>756</v>
      </c>
      <c r="G381" s="149"/>
      <c r="H381" s="150">
        <v>46235</v>
      </c>
      <c r="I381" s="160">
        <v>46240</v>
      </c>
      <c r="J381" s="159" t="s">
        <v>721</v>
      </c>
      <c r="K381" s="160">
        <v>46239</v>
      </c>
      <c r="L381" s="160">
        <v>46240</v>
      </c>
      <c r="M381" s="149" t="s">
        <v>417</v>
      </c>
      <c r="N381" s="152" t="s">
        <v>747</v>
      </c>
      <c r="O381" s="153"/>
      <c r="P381" s="153"/>
      <c r="Q381" s="153"/>
      <c r="R381" s="153"/>
      <c r="S381" s="153"/>
      <c r="T381" s="153"/>
      <c r="U381" s="153"/>
      <c r="V381" s="153"/>
      <c r="W381" s="153"/>
      <c r="X381" s="153"/>
      <c r="Y381" s="153"/>
      <c r="Z381" s="153"/>
    </row>
    <row r="382" spans="1:26">
      <c r="A382" s="149" t="s">
        <v>733</v>
      </c>
      <c r="B382" s="149" t="s">
        <v>510</v>
      </c>
      <c r="C382" s="149" t="s">
        <v>757</v>
      </c>
      <c r="D382" s="149" t="s">
        <v>321</v>
      </c>
      <c r="E382" s="149" t="s">
        <v>459</v>
      </c>
      <c r="F382" s="149" t="s">
        <v>758</v>
      </c>
      <c r="G382" s="149"/>
      <c r="H382" s="150">
        <v>46235</v>
      </c>
      <c r="I382" s="150">
        <v>46240</v>
      </c>
      <c r="J382" s="159" t="s">
        <v>721</v>
      </c>
      <c r="K382" s="150">
        <v>46239</v>
      </c>
      <c r="L382" s="150">
        <v>46240</v>
      </c>
      <c r="M382" s="149" t="s">
        <v>381</v>
      </c>
      <c r="N382" s="152"/>
      <c r="O382" s="153"/>
      <c r="P382" s="153"/>
      <c r="Q382" s="153"/>
      <c r="R382" s="153"/>
      <c r="S382" s="153"/>
      <c r="T382" s="153"/>
      <c r="U382" s="153"/>
      <c r="V382" s="153"/>
      <c r="W382" s="153"/>
      <c r="X382" s="153"/>
      <c r="Y382" s="153"/>
      <c r="Z382" s="153"/>
    </row>
    <row r="383" ht="29" spans="1:26">
      <c r="A383" s="149" t="s">
        <v>733</v>
      </c>
      <c r="B383" s="149" t="s">
        <v>510</v>
      </c>
      <c r="C383" s="149" t="s">
        <v>759</v>
      </c>
      <c r="D383" s="149" t="s">
        <v>321</v>
      </c>
      <c r="E383" s="149" t="s">
        <v>459</v>
      </c>
      <c r="F383" s="149" t="s">
        <v>746</v>
      </c>
      <c r="G383" s="149"/>
      <c r="H383" s="150">
        <v>46235</v>
      </c>
      <c r="I383" s="150">
        <v>46237</v>
      </c>
      <c r="J383" s="159" t="s">
        <v>721</v>
      </c>
      <c r="K383" s="150">
        <v>46240</v>
      </c>
      <c r="L383" s="150">
        <v>46240</v>
      </c>
      <c r="M383" s="149" t="s">
        <v>438</v>
      </c>
      <c r="N383" s="152"/>
      <c r="O383" s="153"/>
      <c r="P383" s="153"/>
      <c r="Q383" s="153"/>
      <c r="R383" s="153"/>
      <c r="S383" s="153"/>
      <c r="T383" s="153"/>
      <c r="U383" s="153"/>
      <c r="V383" s="153"/>
      <c r="W383" s="153"/>
      <c r="X383" s="153"/>
      <c r="Y383" s="153"/>
      <c r="Z383" s="153"/>
    </row>
    <row r="384" spans="1:26">
      <c r="A384" s="149" t="s">
        <v>733</v>
      </c>
      <c r="B384" s="149" t="s">
        <v>510</v>
      </c>
      <c r="C384" s="149" t="s">
        <v>760</v>
      </c>
      <c r="D384" s="149" t="s">
        <v>321</v>
      </c>
      <c r="E384" s="149" t="s">
        <v>459</v>
      </c>
      <c r="F384" s="149" t="s">
        <v>38</v>
      </c>
      <c r="G384" s="149"/>
      <c r="H384" s="150">
        <v>46235</v>
      </c>
      <c r="I384" s="150">
        <v>46241</v>
      </c>
      <c r="J384" s="159" t="s">
        <v>721</v>
      </c>
      <c r="K384" s="150">
        <v>46240</v>
      </c>
      <c r="L384" s="150">
        <v>46241</v>
      </c>
      <c r="M384" s="149" t="s">
        <v>381</v>
      </c>
      <c r="N384" s="152"/>
      <c r="O384" s="153"/>
      <c r="P384" s="153"/>
      <c r="Q384" s="153"/>
      <c r="R384" s="153"/>
      <c r="S384" s="153"/>
      <c r="T384" s="153"/>
      <c r="U384" s="153"/>
      <c r="V384" s="153"/>
      <c r="W384" s="153"/>
      <c r="X384" s="153"/>
      <c r="Y384" s="153"/>
      <c r="Z384" s="153"/>
    </row>
    <row r="385" spans="1:26">
      <c r="A385" s="149" t="s">
        <v>733</v>
      </c>
      <c r="B385" s="149" t="s">
        <v>510</v>
      </c>
      <c r="C385" s="149" t="s">
        <v>761</v>
      </c>
      <c r="D385" s="149" t="s">
        <v>321</v>
      </c>
      <c r="E385" s="149" t="s">
        <v>459</v>
      </c>
      <c r="F385" s="149" t="s">
        <v>758</v>
      </c>
      <c r="G385" s="149"/>
      <c r="H385" s="150">
        <v>46221</v>
      </c>
      <c r="I385" s="160">
        <v>46241</v>
      </c>
      <c r="J385" s="159" t="s">
        <v>721</v>
      </c>
      <c r="K385" s="160">
        <v>46240</v>
      </c>
      <c r="L385" s="160">
        <v>46241</v>
      </c>
      <c r="M385" s="149" t="s">
        <v>417</v>
      </c>
      <c r="N385" s="152" t="s">
        <v>762</v>
      </c>
      <c r="O385" s="153"/>
      <c r="P385" s="153"/>
      <c r="Q385" s="153"/>
      <c r="R385" s="153"/>
      <c r="S385" s="153"/>
      <c r="T385" s="153"/>
      <c r="U385" s="153"/>
      <c r="V385" s="153"/>
      <c r="W385" s="153"/>
      <c r="X385" s="153"/>
      <c r="Y385" s="153"/>
      <c r="Z385" s="153"/>
    </row>
    <row r="386" spans="1:26">
      <c r="A386" s="149" t="s">
        <v>733</v>
      </c>
      <c r="B386" s="149" t="s">
        <v>510</v>
      </c>
      <c r="C386" s="149" t="s">
        <v>763</v>
      </c>
      <c r="D386" s="149" t="s">
        <v>98</v>
      </c>
      <c r="E386" s="149" t="s">
        <v>459</v>
      </c>
      <c r="F386" s="149" t="s">
        <v>742</v>
      </c>
      <c r="G386" s="149"/>
      <c r="H386" s="150">
        <v>46235</v>
      </c>
      <c r="I386" s="160">
        <v>46241</v>
      </c>
      <c r="J386" s="159" t="s">
        <v>721</v>
      </c>
      <c r="K386" s="160">
        <v>46240</v>
      </c>
      <c r="L386" s="160">
        <v>46241</v>
      </c>
      <c r="M386" s="149" t="s">
        <v>751</v>
      </c>
      <c r="N386" s="152"/>
      <c r="O386" s="153"/>
      <c r="P386" s="153"/>
      <c r="Q386" s="153"/>
      <c r="R386" s="153"/>
      <c r="S386" s="153"/>
      <c r="T386" s="153"/>
      <c r="U386" s="153"/>
      <c r="V386" s="153"/>
      <c r="W386" s="153"/>
      <c r="X386" s="153"/>
      <c r="Y386" s="153"/>
      <c r="Z386" s="153"/>
    </row>
    <row r="387" spans="1:26">
      <c r="A387" s="149" t="s">
        <v>733</v>
      </c>
      <c r="B387" s="149" t="s">
        <v>510</v>
      </c>
      <c r="C387" s="149" t="s">
        <v>764</v>
      </c>
      <c r="D387" s="149" t="s">
        <v>321</v>
      </c>
      <c r="E387" s="149" t="s">
        <v>459</v>
      </c>
      <c r="F387" s="149" t="s">
        <v>758</v>
      </c>
      <c r="G387" s="149"/>
      <c r="H387" s="150">
        <v>46235</v>
      </c>
      <c r="I387" s="150">
        <v>46244</v>
      </c>
      <c r="J387" s="159" t="s">
        <v>721</v>
      </c>
      <c r="K387" s="150">
        <v>46244</v>
      </c>
      <c r="L387" s="150">
        <v>46244</v>
      </c>
      <c r="M387" s="149" t="s">
        <v>417</v>
      </c>
      <c r="N387" s="152"/>
      <c r="O387" s="153"/>
      <c r="P387" s="153"/>
      <c r="Q387" s="153"/>
      <c r="R387" s="153"/>
      <c r="S387" s="153"/>
      <c r="T387" s="153"/>
      <c r="U387" s="153"/>
      <c r="V387" s="153"/>
      <c r="W387" s="153"/>
      <c r="X387" s="153"/>
      <c r="Y387" s="153"/>
      <c r="Z387" s="153"/>
    </row>
    <row r="388" spans="1:26">
      <c r="A388" s="149" t="s">
        <v>733</v>
      </c>
      <c r="B388" s="149" t="s">
        <v>510</v>
      </c>
      <c r="C388" s="149" t="s">
        <v>765</v>
      </c>
      <c r="D388" s="149" t="s">
        <v>321</v>
      </c>
      <c r="E388" s="149" t="s">
        <v>459</v>
      </c>
      <c r="F388" s="149" t="s">
        <v>758</v>
      </c>
      <c r="G388" s="149"/>
      <c r="H388" s="150">
        <v>46221</v>
      </c>
      <c r="I388" s="160">
        <v>46245</v>
      </c>
      <c r="J388" s="159" t="s">
        <v>721</v>
      </c>
      <c r="K388" s="160">
        <v>46244</v>
      </c>
      <c r="L388" s="160">
        <v>46245</v>
      </c>
      <c r="M388" s="149" t="s">
        <v>381</v>
      </c>
      <c r="N388" s="152"/>
      <c r="O388" s="153"/>
      <c r="P388" s="153"/>
      <c r="Q388" s="153"/>
      <c r="R388" s="153"/>
      <c r="S388" s="153"/>
      <c r="T388" s="153"/>
      <c r="U388" s="153"/>
      <c r="V388" s="153"/>
      <c r="W388" s="153"/>
      <c r="X388" s="153"/>
      <c r="Y388" s="153"/>
      <c r="Z388" s="153"/>
    </row>
    <row r="389" spans="1:26">
      <c r="A389" s="149" t="s">
        <v>733</v>
      </c>
      <c r="B389" s="149" t="s">
        <v>510</v>
      </c>
      <c r="C389" s="165" t="s">
        <v>766</v>
      </c>
      <c r="D389" s="149" t="s">
        <v>321</v>
      </c>
      <c r="E389" s="149" t="s">
        <v>459</v>
      </c>
      <c r="F389" s="149" t="s">
        <v>38</v>
      </c>
      <c r="G389" s="149"/>
      <c r="H389" s="150">
        <v>46235</v>
      </c>
      <c r="I389" s="150">
        <v>46246</v>
      </c>
      <c r="J389" s="159" t="s">
        <v>721</v>
      </c>
      <c r="K389" s="150">
        <v>46246</v>
      </c>
      <c r="L389" s="150">
        <v>46246</v>
      </c>
      <c r="M389" s="149" t="s">
        <v>381</v>
      </c>
      <c r="N389" s="152"/>
      <c r="O389" s="153"/>
      <c r="P389" s="153"/>
      <c r="Q389" s="153"/>
      <c r="R389" s="153"/>
      <c r="S389" s="153"/>
      <c r="T389" s="153"/>
      <c r="U389" s="153"/>
      <c r="V389" s="153"/>
      <c r="W389" s="153"/>
      <c r="X389" s="153"/>
      <c r="Y389" s="153"/>
      <c r="Z389" s="153"/>
    </row>
    <row r="390" spans="1:26">
      <c r="A390" s="149" t="s">
        <v>733</v>
      </c>
      <c r="B390" s="149" t="s">
        <v>510</v>
      </c>
      <c r="C390" s="165" t="s">
        <v>767</v>
      </c>
      <c r="D390" s="149" t="s">
        <v>520</v>
      </c>
      <c r="E390" s="149" t="s">
        <v>459</v>
      </c>
      <c r="F390" s="149" t="s">
        <v>38</v>
      </c>
      <c r="G390" s="149"/>
      <c r="H390" s="150">
        <v>46235</v>
      </c>
      <c r="I390" s="150">
        <v>46246</v>
      </c>
      <c r="J390" s="159" t="s">
        <v>721</v>
      </c>
      <c r="K390" s="150">
        <v>46246</v>
      </c>
      <c r="L390" s="150">
        <v>46246</v>
      </c>
      <c r="M390" s="149" t="s">
        <v>417</v>
      </c>
      <c r="N390" s="152"/>
      <c r="O390" s="153"/>
      <c r="P390" s="153"/>
      <c r="Q390" s="153"/>
      <c r="R390" s="153"/>
      <c r="S390" s="153"/>
      <c r="T390" s="153"/>
      <c r="U390" s="153"/>
      <c r="V390" s="153"/>
      <c r="W390" s="153"/>
      <c r="X390" s="153"/>
      <c r="Y390" s="153"/>
      <c r="Z390" s="153"/>
    </row>
    <row r="391" ht="29" spans="1:26">
      <c r="A391" s="149" t="s">
        <v>733</v>
      </c>
      <c r="B391" s="149" t="s">
        <v>510</v>
      </c>
      <c r="C391" s="165" t="s">
        <v>768</v>
      </c>
      <c r="D391" s="149" t="s">
        <v>512</v>
      </c>
      <c r="E391" s="149" t="s">
        <v>459</v>
      </c>
      <c r="F391" s="149" t="s">
        <v>38</v>
      </c>
      <c r="G391" s="149"/>
      <c r="H391" s="150">
        <v>46235</v>
      </c>
      <c r="I391" s="150"/>
      <c r="J391" s="159" t="s">
        <v>516</v>
      </c>
      <c r="K391" s="150"/>
      <c r="L391" s="150"/>
      <c r="M391" s="149"/>
      <c r="N391" s="152"/>
      <c r="O391" s="153"/>
      <c r="P391" s="153"/>
      <c r="Q391" s="153"/>
      <c r="R391" s="153"/>
      <c r="S391" s="153"/>
      <c r="T391" s="153"/>
      <c r="U391" s="153"/>
      <c r="V391" s="153"/>
      <c r="W391" s="153"/>
      <c r="X391" s="153"/>
      <c r="Y391" s="153"/>
      <c r="Z391" s="153"/>
    </row>
    <row r="392" ht="116" spans="1:26">
      <c r="A392" s="149" t="s">
        <v>733</v>
      </c>
      <c r="B392" s="149" t="s">
        <v>510</v>
      </c>
      <c r="C392" s="156" t="s">
        <v>769</v>
      </c>
      <c r="D392" s="149" t="s">
        <v>520</v>
      </c>
      <c r="E392" s="149" t="s">
        <v>459</v>
      </c>
      <c r="F392" s="149" t="s">
        <v>38</v>
      </c>
      <c r="G392" s="149"/>
      <c r="H392" s="150">
        <v>46198</v>
      </c>
      <c r="I392" s="150">
        <v>46241</v>
      </c>
      <c r="J392" s="159" t="s">
        <v>516</v>
      </c>
      <c r="K392" s="150"/>
      <c r="L392" s="150"/>
      <c r="M392" s="149"/>
      <c r="N392" s="152"/>
      <c r="O392" s="153"/>
      <c r="P392" s="153"/>
      <c r="Q392" s="153"/>
      <c r="R392" s="153"/>
      <c r="S392" s="153"/>
      <c r="T392" s="153"/>
      <c r="U392" s="153"/>
      <c r="V392" s="153"/>
      <c r="W392" s="153"/>
      <c r="X392" s="153"/>
      <c r="Y392" s="153"/>
      <c r="Z392" s="153"/>
    </row>
    <row r="393" spans="1:26">
      <c r="A393" s="149" t="s">
        <v>733</v>
      </c>
      <c r="B393" s="149" t="s">
        <v>770</v>
      </c>
      <c r="C393" s="149" t="s">
        <v>771</v>
      </c>
      <c r="D393" s="149" t="s">
        <v>321</v>
      </c>
      <c r="E393" s="149" t="s">
        <v>459</v>
      </c>
      <c r="F393" s="149" t="s">
        <v>38</v>
      </c>
      <c r="G393" s="149"/>
      <c r="H393" s="150">
        <v>46235</v>
      </c>
      <c r="I393" s="150"/>
      <c r="J393" s="159" t="s">
        <v>516</v>
      </c>
      <c r="K393" s="150"/>
      <c r="L393" s="150"/>
      <c r="M393" s="149"/>
      <c r="N393" s="152"/>
      <c r="O393" s="153"/>
      <c r="P393" s="153"/>
      <c r="Q393" s="153"/>
      <c r="R393" s="153"/>
      <c r="S393" s="153"/>
      <c r="T393" s="153"/>
      <c r="U393" s="153"/>
      <c r="V393" s="153"/>
      <c r="W393" s="153"/>
      <c r="X393" s="153"/>
      <c r="Y393" s="153"/>
      <c r="Z393" s="153"/>
    </row>
    <row r="394" spans="1:26">
      <c r="A394" s="149" t="s">
        <v>733</v>
      </c>
      <c r="B394" s="149" t="s">
        <v>770</v>
      </c>
      <c r="C394" s="149" t="s">
        <v>772</v>
      </c>
      <c r="D394" s="149" t="s">
        <v>321</v>
      </c>
      <c r="E394" s="149" t="s">
        <v>459</v>
      </c>
      <c r="F394" s="149" t="s">
        <v>38</v>
      </c>
      <c r="G394" s="149"/>
      <c r="H394" s="150">
        <v>46235</v>
      </c>
      <c r="I394" s="150"/>
      <c r="J394" s="159" t="s">
        <v>516</v>
      </c>
      <c r="K394" s="150"/>
      <c r="L394" s="150"/>
      <c r="M394" s="149"/>
      <c r="N394" s="152"/>
      <c r="O394" s="153"/>
      <c r="P394" s="153"/>
      <c r="Q394" s="153"/>
      <c r="R394" s="153"/>
      <c r="S394" s="153"/>
      <c r="T394" s="153"/>
      <c r="U394" s="153"/>
      <c r="V394" s="153"/>
      <c r="W394" s="153"/>
      <c r="X394" s="153"/>
      <c r="Y394" s="153"/>
      <c r="Z394" s="153"/>
    </row>
    <row r="395" spans="1:26">
      <c r="A395" s="149" t="s">
        <v>733</v>
      </c>
      <c r="B395" s="149" t="s">
        <v>770</v>
      </c>
      <c r="C395" s="149" t="s">
        <v>773</v>
      </c>
      <c r="D395" s="149" t="s">
        <v>321</v>
      </c>
      <c r="E395" s="149" t="s">
        <v>459</v>
      </c>
      <c r="F395" s="149" t="s">
        <v>38</v>
      </c>
      <c r="G395" s="149"/>
      <c r="H395" s="150">
        <v>46132</v>
      </c>
      <c r="I395" s="150"/>
      <c r="J395" s="159" t="s">
        <v>516</v>
      </c>
      <c r="K395" s="150"/>
      <c r="L395" s="150"/>
      <c r="M395" s="149" t="s">
        <v>774</v>
      </c>
      <c r="N395" s="152"/>
      <c r="O395" s="153"/>
      <c r="P395" s="153"/>
      <c r="Q395" s="153"/>
      <c r="R395" s="153"/>
      <c r="S395" s="153"/>
      <c r="T395" s="153"/>
      <c r="U395" s="153"/>
      <c r="V395" s="153"/>
      <c r="W395" s="153"/>
      <c r="X395" s="153"/>
      <c r="Y395" s="153"/>
      <c r="Z395" s="153"/>
    </row>
    <row r="396" spans="1:26">
      <c r="A396" s="149" t="s">
        <v>733</v>
      </c>
      <c r="B396" s="149" t="s">
        <v>770</v>
      </c>
      <c r="C396" s="149" t="s">
        <v>775</v>
      </c>
      <c r="D396" s="149" t="s">
        <v>321</v>
      </c>
      <c r="E396" s="149" t="s">
        <v>459</v>
      </c>
      <c r="F396" s="149" t="s">
        <v>38</v>
      </c>
      <c r="G396" s="149"/>
      <c r="H396" s="150">
        <v>46235</v>
      </c>
      <c r="I396" s="150"/>
      <c r="J396" s="159" t="s">
        <v>776</v>
      </c>
      <c r="K396" s="150"/>
      <c r="L396" s="150"/>
      <c r="M396" s="149"/>
      <c r="N396" s="152"/>
      <c r="O396" s="153"/>
      <c r="P396" s="153"/>
      <c r="Q396" s="153"/>
      <c r="R396" s="153"/>
      <c r="S396" s="153"/>
      <c r="T396" s="153"/>
      <c r="U396" s="153"/>
      <c r="V396" s="153"/>
      <c r="W396" s="153"/>
      <c r="X396" s="153"/>
      <c r="Y396" s="153"/>
      <c r="Z396" s="153"/>
    </row>
    <row r="397" spans="1:26">
      <c r="A397" s="149" t="s">
        <v>733</v>
      </c>
      <c r="B397" s="149" t="s">
        <v>770</v>
      </c>
      <c r="C397" s="149" t="s">
        <v>777</v>
      </c>
      <c r="D397" s="149" t="s">
        <v>321</v>
      </c>
      <c r="E397" s="149" t="s">
        <v>459</v>
      </c>
      <c r="F397" s="149" t="s">
        <v>38</v>
      </c>
      <c r="G397" s="149"/>
      <c r="H397" s="150">
        <v>46235</v>
      </c>
      <c r="I397" s="150"/>
      <c r="J397" s="159" t="s">
        <v>776</v>
      </c>
      <c r="K397" s="150"/>
      <c r="L397" s="150"/>
      <c r="M397" s="149"/>
      <c r="N397" s="152"/>
      <c r="O397" s="153"/>
      <c r="P397" s="153"/>
      <c r="Q397" s="153"/>
      <c r="R397" s="153"/>
      <c r="S397" s="153"/>
      <c r="T397" s="153"/>
      <c r="U397" s="153"/>
      <c r="V397" s="153"/>
      <c r="W397" s="153"/>
      <c r="X397" s="153"/>
      <c r="Y397" s="153"/>
      <c r="Z397" s="153"/>
    </row>
    <row r="398" spans="1:26">
      <c r="A398" s="149" t="s">
        <v>733</v>
      </c>
      <c r="B398" s="149" t="s">
        <v>770</v>
      </c>
      <c r="C398" s="149" t="s">
        <v>778</v>
      </c>
      <c r="D398" s="149" t="s">
        <v>321</v>
      </c>
      <c r="E398" s="149" t="s">
        <v>459</v>
      </c>
      <c r="F398" s="149" t="s">
        <v>38</v>
      </c>
      <c r="G398" s="149"/>
      <c r="H398" s="150">
        <v>46235</v>
      </c>
      <c r="I398" s="150"/>
      <c r="J398" s="159" t="s">
        <v>776</v>
      </c>
      <c r="K398" s="150"/>
      <c r="L398" s="150"/>
      <c r="M398" s="149"/>
      <c r="N398" s="152"/>
      <c r="O398" s="153"/>
      <c r="P398" s="153"/>
      <c r="Q398" s="153"/>
      <c r="R398" s="153"/>
      <c r="S398" s="153"/>
      <c r="T398" s="153"/>
      <c r="U398" s="153"/>
      <c r="V398" s="153"/>
      <c r="W398" s="153"/>
      <c r="X398" s="153"/>
      <c r="Y398" s="153"/>
      <c r="Z398" s="153"/>
    </row>
    <row r="399" spans="1:26">
      <c r="A399" s="149" t="s">
        <v>733</v>
      </c>
      <c r="B399" s="149" t="s">
        <v>770</v>
      </c>
      <c r="C399" s="149" t="s">
        <v>779</v>
      </c>
      <c r="D399" s="149" t="s">
        <v>321</v>
      </c>
      <c r="E399" s="149" t="s">
        <v>459</v>
      </c>
      <c r="F399" s="149" t="s">
        <v>38</v>
      </c>
      <c r="G399" s="149"/>
      <c r="H399" s="150">
        <v>46235</v>
      </c>
      <c r="I399" s="150"/>
      <c r="J399" s="159" t="s">
        <v>776</v>
      </c>
      <c r="K399" s="150"/>
      <c r="L399" s="150"/>
      <c r="M399" s="149"/>
      <c r="N399" s="152"/>
      <c r="O399" s="153"/>
      <c r="P399" s="153"/>
      <c r="Q399" s="153"/>
      <c r="R399" s="153"/>
      <c r="S399" s="153"/>
      <c r="T399" s="153"/>
      <c r="U399" s="153"/>
      <c r="V399" s="153"/>
      <c r="W399" s="153"/>
      <c r="X399" s="153"/>
      <c r="Y399" s="153"/>
      <c r="Z399" s="153"/>
    </row>
    <row r="400" ht="29" spans="1:26">
      <c r="A400" s="149" t="s">
        <v>733</v>
      </c>
      <c r="B400" s="149" t="s">
        <v>770</v>
      </c>
      <c r="C400" s="149" t="s">
        <v>780</v>
      </c>
      <c r="D400" s="149" t="s">
        <v>321</v>
      </c>
      <c r="E400" s="149" t="s">
        <v>459</v>
      </c>
      <c r="F400" s="149" t="s">
        <v>38</v>
      </c>
      <c r="G400" s="149"/>
      <c r="H400" s="150">
        <v>46220</v>
      </c>
      <c r="I400" s="150"/>
      <c r="J400" s="159" t="s">
        <v>776</v>
      </c>
      <c r="K400" s="150"/>
      <c r="L400" s="150"/>
      <c r="M400" s="149"/>
      <c r="N400" s="152"/>
      <c r="O400" s="153"/>
      <c r="P400" s="153"/>
      <c r="Q400" s="153"/>
      <c r="R400" s="153"/>
      <c r="S400" s="153"/>
      <c r="T400" s="153"/>
      <c r="U400" s="153"/>
      <c r="V400" s="153"/>
      <c r="W400" s="153"/>
      <c r="X400" s="153"/>
      <c r="Y400" s="153"/>
      <c r="Z400" s="153"/>
    </row>
    <row r="401" spans="1:26">
      <c r="A401" s="149" t="s">
        <v>733</v>
      </c>
      <c r="B401" s="149" t="s">
        <v>770</v>
      </c>
      <c r="C401" s="149" t="s">
        <v>781</v>
      </c>
      <c r="D401" s="149" t="s">
        <v>512</v>
      </c>
      <c r="E401" s="149" t="s">
        <v>459</v>
      </c>
      <c r="F401" s="149" t="s">
        <v>38</v>
      </c>
      <c r="G401" s="149"/>
      <c r="H401" s="150">
        <v>46132</v>
      </c>
      <c r="I401" s="150"/>
      <c r="J401" s="159" t="s">
        <v>776</v>
      </c>
      <c r="K401" s="150"/>
      <c r="L401" s="150"/>
      <c r="M401" s="149" t="s">
        <v>782</v>
      </c>
      <c r="N401" s="152"/>
      <c r="O401" s="153"/>
      <c r="P401" s="153"/>
      <c r="Q401" s="153"/>
      <c r="R401" s="153"/>
      <c r="S401" s="153"/>
      <c r="T401" s="153"/>
      <c r="U401" s="153"/>
      <c r="V401" s="153"/>
      <c r="W401" s="153"/>
      <c r="X401" s="153"/>
      <c r="Y401" s="153"/>
      <c r="Z401" s="153"/>
    </row>
    <row r="402" spans="1:26">
      <c r="A402" s="149" t="s">
        <v>733</v>
      </c>
      <c r="B402" s="149" t="s">
        <v>770</v>
      </c>
      <c r="C402" s="149" t="s">
        <v>783</v>
      </c>
      <c r="D402" s="149" t="s">
        <v>321</v>
      </c>
      <c r="E402" s="149" t="s">
        <v>459</v>
      </c>
      <c r="F402" s="149" t="s">
        <v>38</v>
      </c>
      <c r="G402" s="149"/>
      <c r="H402" s="150">
        <v>46235</v>
      </c>
      <c r="I402" s="150"/>
      <c r="J402" s="159" t="s">
        <v>776</v>
      </c>
      <c r="K402" s="150"/>
      <c r="L402" s="150"/>
      <c r="M402" s="149"/>
      <c r="N402" s="152"/>
      <c r="O402" s="153"/>
      <c r="P402" s="153"/>
      <c r="Q402" s="153"/>
      <c r="R402" s="153"/>
      <c r="S402" s="153"/>
      <c r="T402" s="153"/>
      <c r="U402" s="153"/>
      <c r="V402" s="153"/>
      <c r="W402" s="153"/>
      <c r="X402" s="153"/>
      <c r="Y402" s="153"/>
      <c r="Z402" s="153"/>
    </row>
    <row r="403" ht="29" spans="1:26">
      <c r="A403" s="149" t="s">
        <v>733</v>
      </c>
      <c r="B403" s="149" t="s">
        <v>712</v>
      </c>
      <c r="C403" s="156" t="s">
        <v>784</v>
      </c>
      <c r="D403" s="149" t="s">
        <v>321</v>
      </c>
      <c r="E403" s="149" t="s">
        <v>459</v>
      </c>
      <c r="F403" s="149" t="s">
        <v>18</v>
      </c>
      <c r="G403" s="149" t="s">
        <v>785</v>
      </c>
      <c r="H403" s="150">
        <v>46235</v>
      </c>
      <c r="I403" s="150">
        <v>46240</v>
      </c>
      <c r="J403" s="159" t="s">
        <v>721</v>
      </c>
      <c r="K403" s="150">
        <v>46238</v>
      </c>
      <c r="L403" s="150">
        <v>46239</v>
      </c>
      <c r="M403" s="149" t="s">
        <v>381</v>
      </c>
      <c r="N403" s="152"/>
      <c r="O403" s="153"/>
      <c r="P403" s="153"/>
      <c r="Q403" s="153"/>
      <c r="R403" s="153"/>
      <c r="S403" s="153"/>
      <c r="T403" s="153"/>
      <c r="U403" s="153"/>
      <c r="V403" s="153"/>
      <c r="W403" s="153"/>
      <c r="X403" s="153"/>
      <c r="Y403" s="153"/>
      <c r="Z403" s="153"/>
    </row>
    <row r="404" spans="1:26">
      <c r="A404" s="149" t="s">
        <v>733</v>
      </c>
      <c r="B404" s="149" t="s">
        <v>712</v>
      </c>
      <c r="C404" s="149" t="s">
        <v>786</v>
      </c>
      <c r="D404" s="149" t="s">
        <v>321</v>
      </c>
      <c r="E404" s="149" t="s">
        <v>459</v>
      </c>
      <c r="F404" s="149" t="s">
        <v>742</v>
      </c>
      <c r="G404" s="149"/>
      <c r="H404" s="150">
        <v>46228</v>
      </c>
      <c r="I404" s="150">
        <v>46239</v>
      </c>
      <c r="J404" s="159" t="s">
        <v>721</v>
      </c>
      <c r="K404" s="150">
        <v>46238</v>
      </c>
      <c r="L404" s="150">
        <v>46239</v>
      </c>
      <c r="M404" s="149" t="s">
        <v>787</v>
      </c>
      <c r="N404" s="152"/>
      <c r="O404" s="153"/>
      <c r="P404" s="153"/>
      <c r="Q404" s="153"/>
      <c r="R404" s="153"/>
      <c r="S404" s="153"/>
      <c r="T404" s="153"/>
      <c r="U404" s="153"/>
      <c r="V404" s="153"/>
      <c r="W404" s="153"/>
      <c r="X404" s="153"/>
      <c r="Y404" s="153"/>
      <c r="Z404" s="153"/>
    </row>
    <row r="405" spans="1:26">
      <c r="A405" s="149" t="s">
        <v>733</v>
      </c>
      <c r="B405" s="149" t="s">
        <v>712</v>
      </c>
      <c r="C405" s="149" t="s">
        <v>788</v>
      </c>
      <c r="D405" s="149" t="s">
        <v>321</v>
      </c>
      <c r="E405" s="149" t="s">
        <v>459</v>
      </c>
      <c r="F405" s="149" t="s">
        <v>38</v>
      </c>
      <c r="G405" s="149"/>
      <c r="H405" s="150">
        <v>46235</v>
      </c>
      <c r="I405" s="160">
        <v>46240</v>
      </c>
      <c r="J405" s="159" t="s">
        <v>721</v>
      </c>
      <c r="K405" s="160">
        <v>46239</v>
      </c>
      <c r="L405" s="160">
        <v>46240</v>
      </c>
      <c r="M405" s="149" t="s">
        <v>93</v>
      </c>
      <c r="N405" s="152"/>
      <c r="O405" s="153"/>
      <c r="P405" s="153"/>
      <c r="Q405" s="153"/>
      <c r="R405" s="153"/>
      <c r="S405" s="153"/>
      <c r="T405" s="153"/>
      <c r="U405" s="153"/>
      <c r="V405" s="153"/>
      <c r="W405" s="153"/>
      <c r="X405" s="153"/>
      <c r="Y405" s="153"/>
      <c r="Z405" s="153"/>
    </row>
    <row r="406" spans="1:26">
      <c r="A406" s="149" t="s">
        <v>733</v>
      </c>
      <c r="B406" s="149" t="s">
        <v>712</v>
      </c>
      <c r="C406" s="149" t="s">
        <v>789</v>
      </c>
      <c r="D406" s="149" t="s">
        <v>321</v>
      </c>
      <c r="E406" s="149" t="s">
        <v>459</v>
      </c>
      <c r="F406" s="149" t="s">
        <v>38</v>
      </c>
      <c r="G406" s="149"/>
      <c r="H406" s="150">
        <v>46235</v>
      </c>
      <c r="I406" s="160">
        <v>46241</v>
      </c>
      <c r="J406" s="159" t="s">
        <v>721</v>
      </c>
      <c r="K406" s="160">
        <v>46240</v>
      </c>
      <c r="L406" s="160">
        <v>46241</v>
      </c>
      <c r="M406" s="149" t="s">
        <v>158</v>
      </c>
      <c r="N406" s="152"/>
      <c r="O406" s="153"/>
      <c r="P406" s="153"/>
      <c r="Q406" s="153"/>
      <c r="R406" s="153"/>
      <c r="S406" s="153"/>
      <c r="T406" s="153"/>
      <c r="U406" s="153"/>
      <c r="V406" s="153"/>
      <c r="W406" s="153"/>
      <c r="X406" s="153"/>
      <c r="Y406" s="153"/>
      <c r="Z406" s="153"/>
    </row>
    <row r="407" ht="29" spans="1:26">
      <c r="A407" s="149" t="s">
        <v>733</v>
      </c>
      <c r="B407" s="149" t="s">
        <v>712</v>
      </c>
      <c r="C407" s="149" t="s">
        <v>790</v>
      </c>
      <c r="D407" s="149" t="s">
        <v>321</v>
      </c>
      <c r="E407" s="149" t="s">
        <v>459</v>
      </c>
      <c r="F407" s="149" t="s">
        <v>38</v>
      </c>
      <c r="G407" s="149"/>
      <c r="H407" s="150">
        <v>46235</v>
      </c>
      <c r="I407" s="160">
        <v>46245</v>
      </c>
      <c r="J407" s="159" t="s">
        <v>721</v>
      </c>
      <c r="K407" s="160">
        <v>46244</v>
      </c>
      <c r="L407" s="160">
        <v>46245</v>
      </c>
      <c r="M407" s="149" t="s">
        <v>791</v>
      </c>
      <c r="N407" s="152"/>
      <c r="O407" s="153"/>
      <c r="P407" s="153"/>
      <c r="Q407" s="153"/>
      <c r="R407" s="153"/>
      <c r="S407" s="153"/>
      <c r="T407" s="153"/>
      <c r="U407" s="153"/>
      <c r="V407" s="153"/>
      <c r="W407" s="153"/>
      <c r="X407" s="153"/>
      <c r="Y407" s="153"/>
      <c r="Z407" s="153"/>
    </row>
    <row r="408" spans="1:26">
      <c r="A408" s="149" t="s">
        <v>733</v>
      </c>
      <c r="B408" s="149" t="s">
        <v>712</v>
      </c>
      <c r="C408" s="149" t="s">
        <v>792</v>
      </c>
      <c r="D408" s="149" t="s">
        <v>321</v>
      </c>
      <c r="E408" s="149" t="s">
        <v>459</v>
      </c>
      <c r="F408" s="149" t="s">
        <v>38</v>
      </c>
      <c r="G408" s="149"/>
      <c r="H408" s="150">
        <v>46235</v>
      </c>
      <c r="I408" s="160">
        <v>46245</v>
      </c>
      <c r="J408" s="159" t="s">
        <v>721</v>
      </c>
      <c r="K408" s="160">
        <v>46244</v>
      </c>
      <c r="L408" s="160">
        <v>46245</v>
      </c>
      <c r="M408" s="149" t="s">
        <v>158</v>
      </c>
      <c r="N408" s="152"/>
      <c r="O408" s="153"/>
      <c r="P408" s="153"/>
      <c r="Q408" s="153"/>
      <c r="R408" s="153"/>
      <c r="S408" s="153"/>
      <c r="T408" s="153"/>
      <c r="U408" s="153"/>
      <c r="V408" s="153"/>
      <c r="W408" s="153"/>
      <c r="X408" s="153"/>
      <c r="Y408" s="153"/>
      <c r="Z408" s="153"/>
    </row>
    <row r="409" spans="1:26">
      <c r="A409" s="149" t="s">
        <v>733</v>
      </c>
      <c r="B409" s="149" t="s">
        <v>712</v>
      </c>
      <c r="C409" s="149" t="s">
        <v>793</v>
      </c>
      <c r="D409" s="149" t="s">
        <v>512</v>
      </c>
      <c r="E409" s="149" t="s">
        <v>459</v>
      </c>
      <c r="F409" s="149" t="s">
        <v>38</v>
      </c>
      <c r="G409" s="149"/>
      <c r="H409" s="150">
        <v>46235</v>
      </c>
      <c r="I409" s="150">
        <v>46245</v>
      </c>
      <c r="J409" s="159" t="s">
        <v>721</v>
      </c>
      <c r="K409" s="150">
        <v>46245</v>
      </c>
      <c r="L409" s="150">
        <v>46245</v>
      </c>
      <c r="M409" s="149" t="s">
        <v>417</v>
      </c>
      <c r="N409" s="152"/>
      <c r="O409" s="153"/>
      <c r="P409" s="153"/>
      <c r="Q409" s="153"/>
      <c r="R409" s="153"/>
      <c r="S409" s="153"/>
      <c r="T409" s="153"/>
      <c r="U409" s="153"/>
      <c r="V409" s="153"/>
      <c r="W409" s="153"/>
      <c r="X409" s="153"/>
      <c r="Y409" s="153"/>
      <c r="Z409" s="153"/>
    </row>
    <row r="410" spans="1:26">
      <c r="A410" s="149" t="s">
        <v>733</v>
      </c>
      <c r="B410" s="149" t="s">
        <v>712</v>
      </c>
      <c r="C410" s="166" t="s">
        <v>794</v>
      </c>
      <c r="D410" s="149" t="s">
        <v>321</v>
      </c>
      <c r="E410" s="149" t="s">
        <v>459</v>
      </c>
      <c r="F410" s="149" t="s">
        <v>38</v>
      </c>
      <c r="G410" s="149"/>
      <c r="H410" s="150">
        <v>46235</v>
      </c>
      <c r="I410" s="150">
        <v>46246</v>
      </c>
      <c r="J410" s="159" t="s">
        <v>721</v>
      </c>
      <c r="K410" s="150">
        <v>46246</v>
      </c>
      <c r="L410" s="150">
        <v>46246</v>
      </c>
      <c r="M410" s="149" t="s">
        <v>417</v>
      </c>
      <c r="N410" s="152"/>
      <c r="O410" s="153"/>
      <c r="P410" s="153"/>
      <c r="Q410" s="153"/>
      <c r="R410" s="153"/>
      <c r="S410" s="153"/>
      <c r="T410" s="153"/>
      <c r="U410" s="153"/>
      <c r="V410" s="153"/>
      <c r="W410" s="153"/>
      <c r="X410" s="153"/>
      <c r="Y410" s="153"/>
      <c r="Z410" s="153"/>
    </row>
    <row r="411" spans="1:26">
      <c r="A411" s="149" t="s">
        <v>733</v>
      </c>
      <c r="B411" s="149" t="s">
        <v>712</v>
      </c>
      <c r="C411" s="149" t="s">
        <v>795</v>
      </c>
      <c r="D411" s="149" t="s">
        <v>321</v>
      </c>
      <c r="E411" s="149" t="s">
        <v>459</v>
      </c>
      <c r="F411" s="149" t="s">
        <v>38</v>
      </c>
      <c r="G411" s="149"/>
      <c r="H411" s="150">
        <v>46235</v>
      </c>
      <c r="I411" s="160">
        <v>46247</v>
      </c>
      <c r="J411" s="159" t="s">
        <v>721</v>
      </c>
      <c r="K411" s="160">
        <v>46246</v>
      </c>
      <c r="L411" s="160">
        <v>46247</v>
      </c>
      <c r="M411" s="149" t="s">
        <v>158</v>
      </c>
      <c r="N411" s="152"/>
      <c r="O411" s="153"/>
      <c r="P411" s="153"/>
      <c r="Q411" s="153"/>
      <c r="R411" s="153"/>
      <c r="S411" s="153"/>
      <c r="T411" s="153"/>
      <c r="U411" s="153"/>
      <c r="V411" s="153"/>
      <c r="W411" s="153"/>
      <c r="X411" s="153"/>
      <c r="Y411" s="153"/>
      <c r="Z411" s="153"/>
    </row>
    <row r="412" ht="29" spans="1:26">
      <c r="A412" s="149" t="s">
        <v>733</v>
      </c>
      <c r="B412" s="149" t="s">
        <v>712</v>
      </c>
      <c r="C412" s="166" t="s">
        <v>796</v>
      </c>
      <c r="D412" s="149" t="s">
        <v>321</v>
      </c>
      <c r="E412" s="149" t="s">
        <v>459</v>
      </c>
      <c r="F412" s="149" t="s">
        <v>38</v>
      </c>
      <c r="G412" s="149" t="s">
        <v>797</v>
      </c>
      <c r="H412" s="150">
        <v>46235</v>
      </c>
      <c r="I412" s="150">
        <v>46247</v>
      </c>
      <c r="J412" s="159" t="s">
        <v>721</v>
      </c>
      <c r="K412" s="150">
        <v>46247</v>
      </c>
      <c r="L412" s="150">
        <v>46247</v>
      </c>
      <c r="M412" s="149" t="s">
        <v>417</v>
      </c>
      <c r="N412" s="152"/>
      <c r="O412" s="153"/>
      <c r="P412" s="153"/>
      <c r="Q412" s="153"/>
      <c r="R412" s="153"/>
      <c r="S412" s="153"/>
      <c r="T412" s="153"/>
      <c r="U412" s="153"/>
      <c r="V412" s="153"/>
      <c r="W412" s="153"/>
      <c r="X412" s="153"/>
      <c r="Y412" s="153"/>
      <c r="Z412" s="153"/>
    </row>
    <row r="413" spans="1:26">
      <c r="A413" s="149" t="s">
        <v>733</v>
      </c>
      <c r="B413" s="149" t="s">
        <v>712</v>
      </c>
      <c r="C413" s="149" t="s">
        <v>798</v>
      </c>
      <c r="D413" s="149" t="s">
        <v>321</v>
      </c>
      <c r="E413" s="149" t="s">
        <v>459</v>
      </c>
      <c r="F413" s="149" t="s">
        <v>38</v>
      </c>
      <c r="G413" s="149"/>
      <c r="H413" s="150">
        <v>46235</v>
      </c>
      <c r="I413" s="160">
        <v>46248</v>
      </c>
      <c r="J413" s="159" t="s">
        <v>721</v>
      </c>
      <c r="K413" s="160">
        <v>46248</v>
      </c>
      <c r="L413" s="160">
        <v>46248</v>
      </c>
      <c r="M413" s="149" t="s">
        <v>158</v>
      </c>
      <c r="N413" s="152"/>
      <c r="O413" s="153"/>
      <c r="P413" s="153"/>
      <c r="Q413" s="153"/>
      <c r="R413" s="153"/>
      <c r="S413" s="153"/>
      <c r="T413" s="153"/>
      <c r="U413" s="153"/>
      <c r="V413" s="153"/>
      <c r="W413" s="153"/>
      <c r="X413" s="153"/>
      <c r="Y413" s="153"/>
      <c r="Z413" s="153"/>
    </row>
    <row r="414" ht="29" spans="1:26">
      <c r="A414" s="149" t="s">
        <v>733</v>
      </c>
      <c r="B414" s="149" t="s">
        <v>712</v>
      </c>
      <c r="C414" s="149" t="s">
        <v>799</v>
      </c>
      <c r="D414" s="149" t="s">
        <v>321</v>
      </c>
      <c r="E414" s="149" t="s">
        <v>459</v>
      </c>
      <c r="F414" s="149" t="s">
        <v>38</v>
      </c>
      <c r="G414" s="149"/>
      <c r="H414" s="150">
        <v>46235</v>
      </c>
      <c r="I414" s="150"/>
      <c r="J414" s="159" t="s">
        <v>776</v>
      </c>
      <c r="K414" s="150"/>
      <c r="L414" s="150"/>
      <c r="M414" s="149"/>
      <c r="N414" s="152"/>
      <c r="O414" s="153"/>
      <c r="P414" s="153"/>
      <c r="Q414" s="153"/>
      <c r="R414" s="153"/>
      <c r="S414" s="153"/>
      <c r="T414" s="153"/>
      <c r="U414" s="153"/>
      <c r="V414" s="153"/>
      <c r="W414" s="153"/>
      <c r="X414" s="153"/>
      <c r="Y414" s="153"/>
      <c r="Z414" s="153"/>
    </row>
    <row r="415" ht="29" spans="1:26">
      <c r="A415" s="149" t="s">
        <v>733</v>
      </c>
      <c r="B415" s="149" t="s">
        <v>712</v>
      </c>
      <c r="C415" s="149" t="s">
        <v>800</v>
      </c>
      <c r="D415" s="149" t="s">
        <v>321</v>
      </c>
      <c r="E415" s="149" t="s">
        <v>459</v>
      </c>
      <c r="F415" s="149" t="s">
        <v>38</v>
      </c>
      <c r="G415" s="149"/>
      <c r="H415" s="150">
        <v>46235</v>
      </c>
      <c r="I415" s="150"/>
      <c r="J415" s="159" t="s">
        <v>776</v>
      </c>
      <c r="K415" s="150"/>
      <c r="L415" s="150"/>
      <c r="M415" s="149"/>
      <c r="N415" s="152"/>
      <c r="O415" s="153"/>
      <c r="P415" s="153"/>
      <c r="Q415" s="153"/>
      <c r="R415" s="153"/>
      <c r="S415" s="153"/>
      <c r="T415" s="153"/>
      <c r="U415" s="153"/>
      <c r="V415" s="153"/>
      <c r="W415" s="153"/>
      <c r="X415" s="153"/>
      <c r="Y415" s="153"/>
      <c r="Z415" s="153"/>
    </row>
    <row r="416" ht="29" spans="1:26">
      <c r="A416" s="149" t="s">
        <v>733</v>
      </c>
      <c r="B416" s="149" t="s">
        <v>712</v>
      </c>
      <c r="C416" s="149" t="s">
        <v>801</v>
      </c>
      <c r="D416" s="149" t="s">
        <v>321</v>
      </c>
      <c r="E416" s="149" t="s">
        <v>459</v>
      </c>
      <c r="F416" s="149" t="s">
        <v>38</v>
      </c>
      <c r="G416" s="149"/>
      <c r="H416" s="150">
        <v>46235</v>
      </c>
      <c r="I416" s="150"/>
      <c r="J416" s="159" t="s">
        <v>776</v>
      </c>
      <c r="K416" s="150"/>
      <c r="L416" s="150"/>
      <c r="M416" s="149"/>
      <c r="N416" s="152"/>
      <c r="O416" s="153"/>
      <c r="P416" s="153"/>
      <c r="Q416" s="153"/>
      <c r="R416" s="153"/>
      <c r="S416" s="153"/>
      <c r="T416" s="153"/>
      <c r="U416" s="153"/>
      <c r="V416" s="153"/>
      <c r="W416" s="153"/>
      <c r="X416" s="153"/>
      <c r="Y416" s="153"/>
      <c r="Z416" s="153"/>
    </row>
    <row r="417" ht="29" spans="1:26">
      <c r="A417" s="149" t="s">
        <v>733</v>
      </c>
      <c r="B417" s="149" t="s">
        <v>712</v>
      </c>
      <c r="C417" s="149" t="s">
        <v>802</v>
      </c>
      <c r="D417" s="149" t="s">
        <v>321</v>
      </c>
      <c r="E417" s="149" t="s">
        <v>459</v>
      </c>
      <c r="F417" s="149" t="s">
        <v>38</v>
      </c>
      <c r="G417" s="149"/>
      <c r="H417" s="150">
        <v>46235</v>
      </c>
      <c r="I417" s="150"/>
      <c r="J417" s="159" t="s">
        <v>776</v>
      </c>
      <c r="K417" s="150"/>
      <c r="L417" s="150"/>
      <c r="M417" s="149"/>
      <c r="N417" s="152"/>
      <c r="O417" s="153"/>
      <c r="P417" s="153"/>
      <c r="Q417" s="153"/>
      <c r="R417" s="153"/>
      <c r="S417" s="153"/>
      <c r="T417" s="153"/>
      <c r="U417" s="153"/>
      <c r="V417" s="153"/>
      <c r="W417" s="153"/>
      <c r="X417" s="153"/>
      <c r="Y417" s="153"/>
      <c r="Z417" s="153"/>
    </row>
    <row r="418" ht="29" spans="1:26">
      <c r="A418" s="149" t="s">
        <v>733</v>
      </c>
      <c r="B418" s="149" t="s">
        <v>712</v>
      </c>
      <c r="C418" s="149" t="s">
        <v>803</v>
      </c>
      <c r="D418" s="149" t="s">
        <v>321</v>
      </c>
      <c r="E418" s="149" t="s">
        <v>459</v>
      </c>
      <c r="F418" s="149" t="s">
        <v>38</v>
      </c>
      <c r="G418" s="149"/>
      <c r="H418" s="150">
        <v>46235</v>
      </c>
      <c r="I418" s="150"/>
      <c r="J418" s="159" t="s">
        <v>776</v>
      </c>
      <c r="K418" s="150"/>
      <c r="L418" s="150"/>
      <c r="M418" s="149"/>
      <c r="N418" s="152"/>
      <c r="O418" s="153"/>
      <c r="P418" s="153"/>
      <c r="Q418" s="153"/>
      <c r="R418" s="153"/>
      <c r="S418" s="153"/>
      <c r="T418" s="153"/>
      <c r="U418" s="153"/>
      <c r="V418" s="153"/>
      <c r="W418" s="153"/>
      <c r="X418" s="153"/>
      <c r="Y418" s="153"/>
      <c r="Z418" s="153"/>
    </row>
    <row r="419" spans="1:26">
      <c r="A419" s="149" t="s">
        <v>733</v>
      </c>
      <c r="B419" s="149" t="s">
        <v>712</v>
      </c>
      <c r="C419" s="149" t="s">
        <v>804</v>
      </c>
      <c r="D419" s="149" t="s">
        <v>321</v>
      </c>
      <c r="E419" s="149" t="s">
        <v>459</v>
      </c>
      <c r="F419" s="149" t="s">
        <v>38</v>
      </c>
      <c r="G419" s="149"/>
      <c r="H419" s="150">
        <v>46235</v>
      </c>
      <c r="I419" s="150"/>
      <c r="J419" s="159" t="s">
        <v>776</v>
      </c>
      <c r="K419" s="150"/>
      <c r="L419" s="150"/>
      <c r="M419" s="149"/>
      <c r="N419" s="152"/>
      <c r="O419" s="153"/>
      <c r="P419" s="153"/>
      <c r="Q419" s="153"/>
      <c r="R419" s="153"/>
      <c r="S419" s="153"/>
      <c r="T419" s="153"/>
      <c r="U419" s="153"/>
      <c r="V419" s="153"/>
      <c r="W419" s="153"/>
      <c r="X419" s="153"/>
      <c r="Y419" s="153"/>
      <c r="Z419" s="153"/>
    </row>
    <row r="420" spans="1:26">
      <c r="A420" s="149" t="s">
        <v>733</v>
      </c>
      <c r="B420" s="149" t="s">
        <v>712</v>
      </c>
      <c r="C420" s="149" t="s">
        <v>805</v>
      </c>
      <c r="D420" s="149" t="s">
        <v>520</v>
      </c>
      <c r="E420" s="149" t="s">
        <v>459</v>
      </c>
      <c r="F420" s="149" t="s">
        <v>38</v>
      </c>
      <c r="G420" s="149"/>
      <c r="H420" s="150">
        <v>46133</v>
      </c>
      <c r="I420" s="150"/>
      <c r="J420" s="159" t="s">
        <v>776</v>
      </c>
      <c r="K420" s="150"/>
      <c r="L420" s="150"/>
      <c r="M420" s="149" t="s">
        <v>438</v>
      </c>
      <c r="N420" s="152"/>
      <c r="O420" s="153"/>
      <c r="P420" s="153"/>
      <c r="Q420" s="153"/>
      <c r="R420" s="153"/>
      <c r="S420" s="153"/>
      <c r="T420" s="153"/>
      <c r="U420" s="153"/>
      <c r="V420" s="153"/>
      <c r="W420" s="153"/>
      <c r="X420" s="153"/>
      <c r="Y420" s="153"/>
      <c r="Z420" s="153"/>
    </row>
    <row r="421" ht="29" spans="1:26">
      <c r="A421" s="149" t="s">
        <v>733</v>
      </c>
      <c r="B421" s="149" t="s">
        <v>712</v>
      </c>
      <c r="C421" s="149" t="s">
        <v>806</v>
      </c>
      <c r="D421" s="149" t="s">
        <v>321</v>
      </c>
      <c r="E421" s="149" t="s">
        <v>459</v>
      </c>
      <c r="F421" s="149" t="s">
        <v>38</v>
      </c>
      <c r="G421" s="149" t="s">
        <v>807</v>
      </c>
      <c r="H421" s="150">
        <v>46234</v>
      </c>
      <c r="I421" s="150"/>
      <c r="J421" s="159" t="s">
        <v>776</v>
      </c>
      <c r="K421" s="150"/>
      <c r="L421" s="150"/>
      <c r="M421" s="149"/>
      <c r="N421" s="152"/>
      <c r="O421" s="153"/>
      <c r="P421" s="153"/>
      <c r="Q421" s="153"/>
      <c r="R421" s="153"/>
      <c r="S421" s="153"/>
      <c r="T421" s="153"/>
      <c r="U421" s="153"/>
      <c r="V421" s="153"/>
      <c r="W421" s="153"/>
      <c r="X421" s="153"/>
      <c r="Y421" s="153"/>
      <c r="Z421" s="153"/>
    </row>
    <row r="422" spans="1:26">
      <c r="A422" s="149" t="s">
        <v>733</v>
      </c>
      <c r="B422" s="149" t="s">
        <v>712</v>
      </c>
      <c r="C422" s="149" t="s">
        <v>808</v>
      </c>
      <c r="D422" s="149" t="s">
        <v>321</v>
      </c>
      <c r="E422" s="149" t="s">
        <v>459</v>
      </c>
      <c r="F422" s="149" t="s">
        <v>38</v>
      </c>
      <c r="G422" s="149"/>
      <c r="H422" s="150">
        <v>46235</v>
      </c>
      <c r="I422" s="150"/>
      <c r="J422" s="159" t="s">
        <v>516</v>
      </c>
      <c r="K422" s="150"/>
      <c r="L422" s="150"/>
      <c r="M422" s="149" t="s">
        <v>36</v>
      </c>
      <c r="N422" s="152"/>
      <c r="O422" s="153"/>
      <c r="P422" s="153"/>
      <c r="Q422" s="153"/>
      <c r="R422" s="153"/>
      <c r="S422" s="153"/>
      <c r="T422" s="153"/>
      <c r="U422" s="153"/>
      <c r="V422" s="153"/>
      <c r="W422" s="153"/>
      <c r="X422" s="153"/>
      <c r="Y422" s="153"/>
      <c r="Z422" s="153"/>
    </row>
    <row r="423" spans="1:26">
      <c r="A423" s="149" t="s">
        <v>733</v>
      </c>
      <c r="B423" s="149" t="s">
        <v>712</v>
      </c>
      <c r="C423" s="149" t="s">
        <v>809</v>
      </c>
      <c r="D423" s="149" t="s">
        <v>321</v>
      </c>
      <c r="E423" s="149" t="s">
        <v>459</v>
      </c>
      <c r="F423" s="149" t="s">
        <v>38</v>
      </c>
      <c r="G423" s="149"/>
      <c r="H423" s="150">
        <v>46188</v>
      </c>
      <c r="I423" s="150"/>
      <c r="J423" s="159" t="s">
        <v>721</v>
      </c>
      <c r="K423" s="150"/>
      <c r="L423" s="150"/>
      <c r="M423" s="149"/>
      <c r="N423" s="152"/>
      <c r="O423" s="153"/>
      <c r="P423" s="153"/>
      <c r="Q423" s="153"/>
      <c r="R423" s="153"/>
      <c r="S423" s="153"/>
      <c r="T423" s="153"/>
      <c r="U423" s="153"/>
      <c r="V423" s="153"/>
      <c r="W423" s="153"/>
      <c r="X423" s="153"/>
      <c r="Y423" s="153"/>
      <c r="Z423" s="153"/>
    </row>
    <row r="424" ht="29" spans="1:26">
      <c r="A424" s="149" t="s">
        <v>733</v>
      </c>
      <c r="B424" s="149" t="s">
        <v>712</v>
      </c>
      <c r="C424" s="149" t="s">
        <v>810</v>
      </c>
      <c r="D424" s="149" t="s">
        <v>321</v>
      </c>
      <c r="E424" s="149" t="s">
        <v>459</v>
      </c>
      <c r="F424" s="149" t="s">
        <v>38</v>
      </c>
      <c r="G424" s="149"/>
      <c r="H424" s="150">
        <v>46235</v>
      </c>
      <c r="I424" s="150"/>
      <c r="J424" s="159" t="s">
        <v>776</v>
      </c>
      <c r="K424" s="150"/>
      <c r="L424" s="150"/>
      <c r="M424" s="149"/>
      <c r="N424" s="152"/>
      <c r="O424" s="153"/>
      <c r="P424" s="153"/>
      <c r="Q424" s="153"/>
      <c r="R424" s="153"/>
      <c r="S424" s="153"/>
      <c r="T424" s="153"/>
      <c r="U424" s="153"/>
      <c r="V424" s="153"/>
      <c r="W424" s="153"/>
      <c r="X424" s="153"/>
      <c r="Y424" s="153"/>
      <c r="Z424" s="153"/>
    </row>
    <row r="425" spans="1:26">
      <c r="A425" s="149" t="s">
        <v>733</v>
      </c>
      <c r="B425" s="149" t="s">
        <v>712</v>
      </c>
      <c r="C425" s="149" t="s">
        <v>811</v>
      </c>
      <c r="D425" s="149" t="s">
        <v>321</v>
      </c>
      <c r="E425" s="149" t="s">
        <v>459</v>
      </c>
      <c r="F425" s="149" t="s">
        <v>38</v>
      </c>
      <c r="G425" s="149"/>
      <c r="H425" s="150">
        <v>46235</v>
      </c>
      <c r="I425" s="150"/>
      <c r="J425" s="159" t="s">
        <v>721</v>
      </c>
      <c r="K425" s="150"/>
      <c r="L425" s="150"/>
      <c r="M425" s="149"/>
      <c r="N425" s="152"/>
      <c r="O425" s="153"/>
      <c r="P425" s="153"/>
      <c r="Q425" s="153"/>
      <c r="R425" s="153"/>
      <c r="S425" s="153"/>
      <c r="T425" s="153"/>
      <c r="U425" s="153"/>
      <c r="V425" s="153"/>
      <c r="W425" s="153"/>
      <c r="X425" s="153"/>
      <c r="Y425" s="153"/>
      <c r="Z425" s="153"/>
    </row>
    <row r="426" spans="1:26">
      <c r="A426" s="149" t="s">
        <v>733</v>
      </c>
      <c r="B426" s="149" t="s">
        <v>712</v>
      </c>
      <c r="C426" s="149" t="s">
        <v>812</v>
      </c>
      <c r="D426" s="149" t="s">
        <v>321</v>
      </c>
      <c r="E426" s="149" t="s">
        <v>459</v>
      </c>
      <c r="F426" s="149" t="s">
        <v>38</v>
      </c>
      <c r="G426" s="149"/>
      <c r="H426" s="150">
        <v>46235</v>
      </c>
      <c r="I426" s="150"/>
      <c r="J426" s="159" t="s">
        <v>776</v>
      </c>
      <c r="K426" s="150"/>
      <c r="L426" s="150"/>
      <c r="M426" s="149"/>
      <c r="N426" s="152"/>
      <c r="O426" s="153"/>
      <c r="P426" s="153"/>
      <c r="Q426" s="153"/>
      <c r="R426" s="153"/>
      <c r="S426" s="153"/>
      <c r="T426" s="153"/>
      <c r="U426" s="153"/>
      <c r="V426" s="153"/>
      <c r="W426" s="153"/>
      <c r="X426" s="153"/>
      <c r="Y426" s="153"/>
      <c r="Z426" s="153"/>
    </row>
    <row r="427" spans="1:26">
      <c r="A427" s="149" t="s">
        <v>733</v>
      </c>
      <c r="B427" s="149" t="s">
        <v>712</v>
      </c>
      <c r="C427" s="149" t="s">
        <v>813</v>
      </c>
      <c r="D427" s="149" t="s">
        <v>321</v>
      </c>
      <c r="E427" s="149" t="s">
        <v>459</v>
      </c>
      <c r="F427" s="149" t="s">
        <v>38</v>
      </c>
      <c r="G427" s="149"/>
      <c r="H427" s="150">
        <v>46235</v>
      </c>
      <c r="I427" s="150"/>
      <c r="J427" s="159" t="s">
        <v>776</v>
      </c>
      <c r="K427" s="150"/>
      <c r="L427" s="150"/>
      <c r="M427" s="149"/>
      <c r="N427" s="152"/>
      <c r="O427" s="153"/>
      <c r="P427" s="153"/>
      <c r="Q427" s="153"/>
      <c r="R427" s="153"/>
      <c r="S427" s="153"/>
      <c r="T427" s="153"/>
      <c r="U427" s="153"/>
      <c r="V427" s="153"/>
      <c r="W427" s="153"/>
      <c r="X427" s="153"/>
      <c r="Y427" s="153"/>
      <c r="Z427" s="153"/>
    </row>
    <row r="428" spans="1:26">
      <c r="A428" s="167"/>
      <c r="B428" s="167"/>
      <c r="C428" s="167"/>
      <c r="D428" s="167"/>
      <c r="E428" s="167"/>
      <c r="F428" s="167"/>
      <c r="G428" s="167"/>
      <c r="H428" s="168"/>
      <c r="I428" s="168"/>
      <c r="J428" s="169"/>
      <c r="K428" s="168"/>
      <c r="L428" s="168"/>
      <c r="M428" s="167"/>
      <c r="N428" s="153"/>
      <c r="O428" s="153"/>
      <c r="P428" s="153"/>
      <c r="Q428" s="153"/>
      <c r="R428" s="153"/>
      <c r="S428" s="153"/>
      <c r="T428" s="153"/>
      <c r="U428" s="153"/>
      <c r="V428" s="153"/>
      <c r="W428" s="153"/>
      <c r="X428" s="153"/>
      <c r="Y428" s="153"/>
      <c r="Z428" s="153"/>
    </row>
    <row r="429" spans="1:26">
      <c r="A429" s="167"/>
      <c r="B429" s="167"/>
      <c r="C429" s="167"/>
      <c r="D429" s="167"/>
      <c r="E429" s="167"/>
      <c r="F429" s="167"/>
      <c r="G429" s="167"/>
      <c r="H429" s="168"/>
      <c r="I429" s="168"/>
      <c r="J429" s="169"/>
      <c r="K429" s="168"/>
      <c r="L429" s="168"/>
      <c r="M429" s="167"/>
      <c r="N429" s="153"/>
      <c r="O429" s="153"/>
      <c r="P429" s="153"/>
      <c r="Q429" s="153"/>
      <c r="R429" s="153"/>
      <c r="S429" s="153"/>
      <c r="T429" s="153"/>
      <c r="U429" s="153"/>
      <c r="V429" s="153"/>
      <c r="W429" s="153"/>
      <c r="X429" s="153"/>
      <c r="Y429" s="153"/>
      <c r="Z429" s="153"/>
    </row>
    <row r="430" spans="1:26">
      <c r="A430" s="167"/>
      <c r="B430" s="167"/>
      <c r="C430" s="167"/>
      <c r="D430" s="167"/>
      <c r="E430" s="167"/>
      <c r="F430" s="167"/>
      <c r="G430" s="167"/>
      <c r="H430" s="168"/>
      <c r="I430" s="168"/>
      <c r="J430" s="169"/>
      <c r="K430" s="168"/>
      <c r="L430" s="168"/>
      <c r="M430" s="167"/>
      <c r="N430" s="153"/>
      <c r="O430" s="153"/>
      <c r="P430" s="153"/>
      <c r="Q430" s="153"/>
      <c r="R430" s="153"/>
      <c r="S430" s="153"/>
      <c r="T430" s="153"/>
      <c r="U430" s="153"/>
      <c r="V430" s="153"/>
      <c r="W430" s="153"/>
      <c r="X430" s="153"/>
      <c r="Y430" s="153"/>
      <c r="Z430" s="153"/>
    </row>
    <row r="431" spans="1:26">
      <c r="A431" s="167"/>
      <c r="B431" s="167"/>
      <c r="C431" s="167"/>
      <c r="D431" s="167"/>
      <c r="E431" s="167"/>
      <c r="F431" s="167"/>
      <c r="G431" s="167"/>
      <c r="H431" s="168"/>
      <c r="I431" s="168"/>
      <c r="J431" s="169"/>
      <c r="K431" s="168"/>
      <c r="L431" s="168"/>
      <c r="M431" s="167"/>
      <c r="N431" s="153"/>
      <c r="O431" s="153"/>
      <c r="P431" s="153"/>
      <c r="Q431" s="153"/>
      <c r="R431" s="153"/>
      <c r="S431" s="153"/>
      <c r="T431" s="153"/>
      <c r="U431" s="153"/>
      <c r="V431" s="153"/>
      <c r="W431" s="153"/>
      <c r="X431" s="153"/>
      <c r="Y431" s="153"/>
      <c r="Z431" s="153"/>
    </row>
    <row r="432" spans="1:26">
      <c r="A432" s="167"/>
      <c r="B432" s="167"/>
      <c r="C432" s="167"/>
      <c r="D432" s="167"/>
      <c r="E432" s="167"/>
      <c r="F432" s="167"/>
      <c r="G432" s="167"/>
      <c r="H432" s="168"/>
      <c r="I432" s="168"/>
      <c r="J432" s="169"/>
      <c r="K432" s="168"/>
      <c r="L432" s="168"/>
      <c r="M432" s="167"/>
      <c r="N432" s="153"/>
      <c r="O432" s="153"/>
      <c r="P432" s="153"/>
      <c r="Q432" s="153"/>
      <c r="R432" s="153"/>
      <c r="S432" s="153"/>
      <c r="T432" s="153"/>
      <c r="U432" s="153"/>
      <c r="V432" s="153"/>
      <c r="W432" s="153"/>
      <c r="X432" s="153"/>
      <c r="Y432" s="153"/>
      <c r="Z432" s="153"/>
    </row>
    <row r="433" spans="1:26">
      <c r="A433" s="167"/>
      <c r="B433" s="167"/>
      <c r="C433" s="167"/>
      <c r="D433" s="167"/>
      <c r="E433" s="167"/>
      <c r="F433" s="167"/>
      <c r="G433" s="167"/>
      <c r="H433" s="168"/>
      <c r="I433" s="168"/>
      <c r="J433" s="169"/>
      <c r="K433" s="168"/>
      <c r="L433" s="168"/>
      <c r="M433" s="167"/>
      <c r="N433" s="153"/>
      <c r="O433" s="153"/>
      <c r="P433" s="153"/>
      <c r="Q433" s="153"/>
      <c r="R433" s="153"/>
      <c r="S433" s="153"/>
      <c r="T433" s="153"/>
      <c r="U433" s="153"/>
      <c r="V433" s="153"/>
      <c r="W433" s="153"/>
      <c r="X433" s="153"/>
      <c r="Y433" s="153"/>
      <c r="Z433" s="153"/>
    </row>
    <row r="434" spans="1:26">
      <c r="A434" s="167"/>
      <c r="B434" s="167"/>
      <c r="C434" s="167"/>
      <c r="D434" s="167"/>
      <c r="E434" s="167"/>
      <c r="F434" s="167"/>
      <c r="G434" s="167"/>
      <c r="H434" s="168"/>
      <c r="I434" s="168"/>
      <c r="J434" s="169"/>
      <c r="K434" s="168"/>
      <c r="L434" s="168"/>
      <c r="M434" s="167"/>
      <c r="N434" s="153"/>
      <c r="O434" s="153"/>
      <c r="P434" s="153"/>
      <c r="Q434" s="153"/>
      <c r="R434" s="153"/>
      <c r="S434" s="153"/>
      <c r="T434" s="153"/>
      <c r="U434" s="153"/>
      <c r="V434" s="153"/>
      <c r="W434" s="153"/>
      <c r="X434" s="153"/>
      <c r="Y434" s="153"/>
      <c r="Z434" s="153"/>
    </row>
    <row r="435" spans="1:26">
      <c r="A435" s="167"/>
      <c r="B435" s="167"/>
      <c r="C435" s="167"/>
      <c r="D435" s="167"/>
      <c r="E435" s="167"/>
      <c r="F435" s="167"/>
      <c r="G435" s="167"/>
      <c r="H435" s="168"/>
      <c r="I435" s="168"/>
      <c r="J435" s="169"/>
      <c r="K435" s="168"/>
      <c r="L435" s="168"/>
      <c r="M435" s="167"/>
      <c r="N435" s="153"/>
      <c r="O435" s="153"/>
      <c r="P435" s="153"/>
      <c r="Q435" s="153"/>
      <c r="R435" s="153"/>
      <c r="S435" s="153"/>
      <c r="T435" s="153"/>
      <c r="U435" s="153"/>
      <c r="V435" s="153"/>
      <c r="W435" s="153"/>
      <c r="X435" s="153"/>
      <c r="Y435" s="153"/>
      <c r="Z435" s="153"/>
    </row>
    <row r="436" spans="1:26">
      <c r="A436" s="167"/>
      <c r="B436" s="167"/>
      <c r="C436" s="167"/>
      <c r="D436" s="167"/>
      <c r="E436" s="167"/>
      <c r="F436" s="167"/>
      <c r="G436" s="167"/>
      <c r="H436" s="168"/>
      <c r="I436" s="168"/>
      <c r="J436" s="169"/>
      <c r="K436" s="168"/>
      <c r="L436" s="168"/>
      <c r="M436" s="167"/>
      <c r="N436" s="153"/>
      <c r="O436" s="153"/>
      <c r="P436" s="153"/>
      <c r="Q436" s="153"/>
      <c r="R436" s="153"/>
      <c r="S436" s="153"/>
      <c r="T436" s="153"/>
      <c r="U436" s="153"/>
      <c r="V436" s="153"/>
      <c r="W436" s="153"/>
      <c r="X436" s="153"/>
      <c r="Y436" s="153"/>
      <c r="Z436" s="153"/>
    </row>
    <row r="437" spans="1:26">
      <c r="A437" s="167"/>
      <c r="B437" s="167"/>
      <c r="C437" s="167"/>
      <c r="D437" s="167"/>
      <c r="E437" s="167"/>
      <c r="F437" s="167"/>
      <c r="G437" s="167"/>
      <c r="H437" s="168"/>
      <c r="I437" s="168"/>
      <c r="J437" s="169"/>
      <c r="K437" s="168"/>
      <c r="L437" s="168"/>
      <c r="M437" s="167"/>
      <c r="N437" s="153"/>
      <c r="O437" s="153"/>
      <c r="P437" s="153"/>
      <c r="Q437" s="153"/>
      <c r="R437" s="153"/>
      <c r="S437" s="153"/>
      <c r="T437" s="153"/>
      <c r="U437" s="153"/>
      <c r="V437" s="153"/>
      <c r="W437" s="153"/>
      <c r="X437" s="153"/>
      <c r="Y437" s="153"/>
      <c r="Z437" s="153"/>
    </row>
    <row r="438" spans="1:26">
      <c r="A438" s="167"/>
      <c r="B438" s="167"/>
      <c r="C438" s="167"/>
      <c r="D438" s="167"/>
      <c r="E438" s="167"/>
      <c r="F438" s="167"/>
      <c r="G438" s="167"/>
      <c r="H438" s="168"/>
      <c r="I438" s="168"/>
      <c r="J438" s="169"/>
      <c r="K438" s="168"/>
      <c r="L438" s="168"/>
      <c r="M438" s="167"/>
      <c r="N438" s="153"/>
      <c r="O438" s="153"/>
      <c r="P438" s="153"/>
      <c r="Q438" s="153"/>
      <c r="R438" s="153"/>
      <c r="S438" s="153"/>
      <c r="T438" s="153"/>
      <c r="U438" s="153"/>
      <c r="V438" s="153"/>
      <c r="W438" s="153"/>
      <c r="X438" s="153"/>
      <c r="Y438" s="153"/>
      <c r="Z438" s="153"/>
    </row>
    <row r="439" spans="1:26">
      <c r="A439" s="167"/>
      <c r="B439" s="167"/>
      <c r="C439" s="167"/>
      <c r="D439" s="167"/>
      <c r="E439" s="167"/>
      <c r="F439" s="167"/>
      <c r="G439" s="167"/>
      <c r="H439" s="168"/>
      <c r="I439" s="168"/>
      <c r="J439" s="169"/>
      <c r="K439" s="168"/>
      <c r="L439" s="168"/>
      <c r="M439" s="167"/>
      <c r="N439" s="153"/>
      <c r="O439" s="153"/>
      <c r="P439" s="153"/>
      <c r="Q439" s="153"/>
      <c r="R439" s="153"/>
      <c r="S439" s="153"/>
      <c r="T439" s="153"/>
      <c r="U439" s="153"/>
      <c r="V439" s="153"/>
      <c r="W439" s="153"/>
      <c r="X439" s="153"/>
      <c r="Y439" s="153"/>
      <c r="Z439" s="153"/>
    </row>
    <row r="440" spans="1:26">
      <c r="A440" s="167"/>
      <c r="B440" s="167"/>
      <c r="C440" s="167"/>
      <c r="D440" s="167"/>
      <c r="E440" s="167"/>
      <c r="F440" s="167"/>
      <c r="G440" s="167"/>
      <c r="H440" s="168"/>
      <c r="I440" s="168"/>
      <c r="J440" s="169"/>
      <c r="K440" s="168"/>
      <c r="L440" s="168"/>
      <c r="M440" s="167"/>
      <c r="N440" s="153"/>
      <c r="O440" s="153"/>
      <c r="P440" s="153"/>
      <c r="Q440" s="153"/>
      <c r="R440" s="153"/>
      <c r="S440" s="153"/>
      <c r="T440" s="153"/>
      <c r="U440" s="153"/>
      <c r="V440" s="153"/>
      <c r="W440" s="153"/>
      <c r="X440" s="153"/>
      <c r="Y440" s="153"/>
      <c r="Z440" s="153"/>
    </row>
    <row r="441" spans="1:26">
      <c r="A441" s="167"/>
      <c r="B441" s="167"/>
      <c r="C441" s="167"/>
      <c r="D441" s="167"/>
      <c r="E441" s="167"/>
      <c r="F441" s="167"/>
      <c r="G441" s="167"/>
      <c r="H441" s="168"/>
      <c r="I441" s="168"/>
      <c r="J441" s="169"/>
      <c r="K441" s="168"/>
      <c r="L441" s="168"/>
      <c r="M441" s="167"/>
      <c r="N441" s="153"/>
      <c r="O441" s="153"/>
      <c r="P441" s="153"/>
      <c r="Q441" s="153"/>
      <c r="R441" s="153"/>
      <c r="S441" s="153"/>
      <c r="T441" s="153"/>
      <c r="U441" s="153"/>
      <c r="V441" s="153"/>
      <c r="W441" s="153"/>
      <c r="X441" s="153"/>
      <c r="Y441" s="153"/>
      <c r="Z441" s="153"/>
    </row>
    <row r="442" spans="1:26">
      <c r="A442" s="167"/>
      <c r="B442" s="167"/>
      <c r="C442" s="167"/>
      <c r="D442" s="167"/>
      <c r="E442" s="167"/>
      <c r="F442" s="167"/>
      <c r="G442" s="167"/>
      <c r="H442" s="168"/>
      <c r="I442" s="168"/>
      <c r="J442" s="169"/>
      <c r="K442" s="168"/>
      <c r="L442" s="168"/>
      <c r="M442" s="167"/>
      <c r="N442" s="153"/>
      <c r="O442" s="153"/>
      <c r="P442" s="153"/>
      <c r="Q442" s="153"/>
      <c r="R442" s="153"/>
      <c r="S442" s="153"/>
      <c r="T442" s="153"/>
      <c r="U442" s="153"/>
      <c r="V442" s="153"/>
      <c r="W442" s="153"/>
      <c r="X442" s="153"/>
      <c r="Y442" s="153"/>
      <c r="Z442" s="153"/>
    </row>
    <row r="443" spans="1:26">
      <c r="A443" s="167"/>
      <c r="B443" s="167"/>
      <c r="C443" s="167"/>
      <c r="D443" s="167"/>
      <c r="E443" s="167"/>
      <c r="F443" s="167"/>
      <c r="G443" s="167"/>
      <c r="H443" s="168"/>
      <c r="I443" s="168"/>
      <c r="J443" s="169"/>
      <c r="K443" s="168"/>
      <c r="L443" s="168"/>
      <c r="M443" s="167"/>
      <c r="N443" s="153"/>
      <c r="O443" s="153"/>
      <c r="P443" s="153"/>
      <c r="Q443" s="153"/>
      <c r="R443" s="153"/>
      <c r="S443" s="153"/>
      <c r="T443" s="153"/>
      <c r="U443" s="153"/>
      <c r="V443" s="153"/>
      <c r="W443" s="153"/>
      <c r="X443" s="153"/>
      <c r="Y443" s="153"/>
      <c r="Z443" s="153"/>
    </row>
    <row r="444" spans="1:26">
      <c r="A444" s="167"/>
      <c r="B444" s="167"/>
      <c r="C444" s="167"/>
      <c r="D444" s="167"/>
      <c r="E444" s="167"/>
      <c r="F444" s="167"/>
      <c r="G444" s="167"/>
      <c r="H444" s="168"/>
      <c r="I444" s="168"/>
      <c r="J444" s="169"/>
      <c r="K444" s="168"/>
      <c r="L444" s="168"/>
      <c r="M444" s="167"/>
      <c r="N444" s="153"/>
      <c r="O444" s="153"/>
      <c r="P444" s="153"/>
      <c r="Q444" s="153"/>
      <c r="R444" s="153"/>
      <c r="S444" s="153"/>
      <c r="T444" s="153"/>
      <c r="U444" s="153"/>
      <c r="V444" s="153"/>
      <c r="W444" s="153"/>
      <c r="X444" s="153"/>
      <c r="Y444" s="153"/>
      <c r="Z444" s="153"/>
    </row>
    <row r="445" spans="1:26">
      <c r="A445" s="167"/>
      <c r="B445" s="167"/>
      <c r="C445" s="167"/>
      <c r="D445" s="167"/>
      <c r="E445" s="167"/>
      <c r="F445" s="167"/>
      <c r="G445" s="167"/>
      <c r="H445" s="168"/>
      <c r="I445" s="168"/>
      <c r="J445" s="169"/>
      <c r="K445" s="168"/>
      <c r="L445" s="168"/>
      <c r="M445" s="167"/>
      <c r="N445" s="153"/>
      <c r="O445" s="153"/>
      <c r="P445" s="153"/>
      <c r="Q445" s="153"/>
      <c r="R445" s="153"/>
      <c r="S445" s="153"/>
      <c r="T445" s="153"/>
      <c r="U445" s="153"/>
      <c r="V445" s="153"/>
      <c r="W445" s="153"/>
      <c r="X445" s="153"/>
      <c r="Y445" s="153"/>
      <c r="Z445" s="153"/>
    </row>
    <row r="446" spans="1:26">
      <c r="A446" s="167"/>
      <c r="B446" s="167"/>
      <c r="C446" s="167"/>
      <c r="D446" s="167"/>
      <c r="E446" s="167"/>
      <c r="F446" s="167"/>
      <c r="G446" s="167"/>
      <c r="H446" s="168"/>
      <c r="I446" s="168"/>
      <c r="J446" s="169"/>
      <c r="K446" s="168"/>
      <c r="L446" s="168"/>
      <c r="M446" s="167"/>
      <c r="N446" s="153"/>
      <c r="O446" s="153"/>
      <c r="P446" s="153"/>
      <c r="Q446" s="153"/>
      <c r="R446" s="153"/>
      <c r="S446" s="153"/>
      <c r="T446" s="153"/>
      <c r="U446" s="153"/>
      <c r="V446" s="153"/>
      <c r="W446" s="153"/>
      <c r="X446" s="153"/>
      <c r="Y446" s="153"/>
      <c r="Z446" s="153"/>
    </row>
    <row r="447" spans="1:26">
      <c r="A447" s="167"/>
      <c r="B447" s="167"/>
      <c r="C447" s="167"/>
      <c r="D447" s="167"/>
      <c r="E447" s="167"/>
      <c r="F447" s="167"/>
      <c r="G447" s="167"/>
      <c r="H447" s="168"/>
      <c r="I447" s="168"/>
      <c r="J447" s="169"/>
      <c r="K447" s="168"/>
      <c r="L447" s="168"/>
      <c r="M447" s="167"/>
      <c r="N447" s="153"/>
      <c r="O447" s="153"/>
      <c r="P447" s="153"/>
      <c r="Q447" s="153"/>
      <c r="R447" s="153"/>
      <c r="S447" s="153"/>
      <c r="T447" s="153"/>
      <c r="U447" s="153"/>
      <c r="V447" s="153"/>
      <c r="W447" s="153"/>
      <c r="X447" s="153"/>
      <c r="Y447" s="153"/>
      <c r="Z447" s="153"/>
    </row>
    <row r="448" spans="1:26">
      <c r="A448" s="167"/>
      <c r="B448" s="167"/>
      <c r="C448" s="167"/>
      <c r="D448" s="167"/>
      <c r="E448" s="167"/>
      <c r="F448" s="167"/>
      <c r="G448" s="167"/>
      <c r="H448" s="168"/>
      <c r="I448" s="168"/>
      <c r="J448" s="169"/>
      <c r="K448" s="168"/>
      <c r="L448" s="168"/>
      <c r="M448" s="167"/>
      <c r="N448" s="153"/>
      <c r="O448" s="153"/>
      <c r="P448" s="153"/>
      <c r="Q448" s="153"/>
      <c r="R448" s="153"/>
      <c r="S448" s="153"/>
      <c r="T448" s="153"/>
      <c r="U448" s="153"/>
      <c r="V448" s="153"/>
      <c r="W448" s="153"/>
      <c r="X448" s="153"/>
      <c r="Y448" s="153"/>
      <c r="Z448" s="153"/>
    </row>
    <row r="449" spans="1:26">
      <c r="A449" s="167"/>
      <c r="B449" s="167"/>
      <c r="C449" s="167"/>
      <c r="D449" s="167"/>
      <c r="E449" s="167"/>
      <c r="F449" s="167"/>
      <c r="G449" s="167"/>
      <c r="H449" s="168"/>
      <c r="I449" s="168"/>
      <c r="J449" s="169"/>
      <c r="K449" s="168"/>
      <c r="L449" s="168"/>
      <c r="M449" s="167"/>
      <c r="N449" s="153"/>
      <c r="O449" s="153"/>
      <c r="P449" s="153"/>
      <c r="Q449" s="153"/>
      <c r="R449" s="153"/>
      <c r="S449" s="153"/>
      <c r="T449" s="153"/>
      <c r="U449" s="153"/>
      <c r="V449" s="153"/>
      <c r="W449" s="153"/>
      <c r="X449" s="153"/>
      <c r="Y449" s="153"/>
      <c r="Z449" s="153"/>
    </row>
    <row r="450" spans="1:26">
      <c r="A450" s="167"/>
      <c r="B450" s="167"/>
      <c r="C450" s="167"/>
      <c r="D450" s="167"/>
      <c r="E450" s="167"/>
      <c r="F450" s="167"/>
      <c r="G450" s="167"/>
      <c r="H450" s="168"/>
      <c r="I450" s="168"/>
      <c r="J450" s="169"/>
      <c r="K450" s="168"/>
      <c r="L450" s="168"/>
      <c r="M450" s="167"/>
      <c r="N450" s="153"/>
      <c r="O450" s="153"/>
      <c r="P450" s="153"/>
      <c r="Q450" s="153"/>
      <c r="R450" s="153"/>
      <c r="S450" s="153"/>
      <c r="T450" s="153"/>
      <c r="U450" s="153"/>
      <c r="V450" s="153"/>
      <c r="W450" s="153"/>
      <c r="X450" s="153"/>
      <c r="Y450" s="153"/>
      <c r="Z450" s="153"/>
    </row>
    <row r="451" spans="1:26">
      <c r="A451" s="167"/>
      <c r="B451" s="167"/>
      <c r="C451" s="167"/>
      <c r="D451" s="167"/>
      <c r="E451" s="167"/>
      <c r="F451" s="167"/>
      <c r="G451" s="167"/>
      <c r="H451" s="168"/>
      <c r="I451" s="168"/>
      <c r="J451" s="169"/>
      <c r="K451" s="168"/>
      <c r="L451" s="168"/>
      <c r="M451" s="167"/>
      <c r="N451" s="153"/>
      <c r="O451" s="153"/>
      <c r="P451" s="153"/>
      <c r="Q451" s="153"/>
      <c r="R451" s="153"/>
      <c r="S451" s="153"/>
      <c r="T451" s="153"/>
      <c r="U451" s="153"/>
      <c r="V451" s="153"/>
      <c r="W451" s="153"/>
      <c r="X451" s="153"/>
      <c r="Y451" s="153"/>
      <c r="Z451" s="153"/>
    </row>
    <row r="452" spans="1:26">
      <c r="A452" s="167"/>
      <c r="B452" s="167"/>
      <c r="C452" s="167"/>
      <c r="D452" s="167"/>
      <c r="E452" s="167"/>
      <c r="F452" s="167"/>
      <c r="G452" s="167"/>
      <c r="H452" s="168"/>
      <c r="I452" s="168"/>
      <c r="J452" s="169"/>
      <c r="K452" s="168"/>
      <c r="L452" s="168"/>
      <c r="M452" s="167"/>
      <c r="N452" s="153"/>
      <c r="O452" s="153"/>
      <c r="P452" s="153"/>
      <c r="Q452" s="153"/>
      <c r="R452" s="153"/>
      <c r="S452" s="153"/>
      <c r="T452" s="153"/>
      <c r="U452" s="153"/>
      <c r="V452" s="153"/>
      <c r="W452" s="153"/>
      <c r="X452" s="153"/>
      <c r="Y452" s="153"/>
      <c r="Z452" s="153"/>
    </row>
    <row r="453" spans="1:26">
      <c r="A453" s="167"/>
      <c r="B453" s="167"/>
      <c r="C453" s="167"/>
      <c r="D453" s="167"/>
      <c r="E453" s="167"/>
      <c r="F453" s="167"/>
      <c r="G453" s="167"/>
      <c r="H453" s="168"/>
      <c r="I453" s="168"/>
      <c r="J453" s="169"/>
      <c r="K453" s="168"/>
      <c r="L453" s="168"/>
      <c r="M453" s="167"/>
      <c r="N453" s="153"/>
      <c r="O453" s="153"/>
      <c r="P453" s="153"/>
      <c r="Q453" s="153"/>
      <c r="R453" s="153"/>
      <c r="S453" s="153"/>
      <c r="T453" s="153"/>
      <c r="U453" s="153"/>
      <c r="V453" s="153"/>
      <c r="W453" s="153"/>
      <c r="X453" s="153"/>
      <c r="Y453" s="153"/>
      <c r="Z453" s="153"/>
    </row>
    <row r="454" spans="1:26">
      <c r="A454" s="167"/>
      <c r="B454" s="167"/>
      <c r="C454" s="167"/>
      <c r="D454" s="167"/>
      <c r="E454" s="167"/>
      <c r="F454" s="167"/>
      <c r="G454" s="167"/>
      <c r="H454" s="168"/>
      <c r="I454" s="168"/>
      <c r="J454" s="169"/>
      <c r="K454" s="168"/>
      <c r="L454" s="168"/>
      <c r="M454" s="167"/>
      <c r="N454" s="153"/>
      <c r="O454" s="153"/>
      <c r="P454" s="153"/>
      <c r="Q454" s="153"/>
      <c r="R454" s="153"/>
      <c r="S454" s="153"/>
      <c r="T454" s="153"/>
      <c r="U454" s="153"/>
      <c r="V454" s="153"/>
      <c r="W454" s="153"/>
      <c r="X454" s="153"/>
      <c r="Y454" s="153"/>
      <c r="Z454" s="153"/>
    </row>
    <row r="455" spans="1:26">
      <c r="A455" s="167"/>
      <c r="B455" s="167"/>
      <c r="C455" s="167"/>
      <c r="D455" s="167"/>
      <c r="E455" s="167"/>
      <c r="F455" s="167"/>
      <c r="G455" s="167"/>
      <c r="H455" s="168"/>
      <c r="I455" s="168"/>
      <c r="J455" s="169"/>
      <c r="K455" s="168"/>
      <c r="L455" s="168"/>
      <c r="M455" s="167"/>
      <c r="N455" s="153"/>
      <c r="O455" s="153"/>
      <c r="P455" s="153"/>
      <c r="Q455" s="153"/>
      <c r="R455" s="153"/>
      <c r="S455" s="153"/>
      <c r="T455" s="153"/>
      <c r="U455" s="153"/>
      <c r="V455" s="153"/>
      <c r="W455" s="153"/>
      <c r="X455" s="153"/>
      <c r="Y455" s="153"/>
      <c r="Z455" s="153"/>
    </row>
    <row r="456" spans="1:26">
      <c r="A456" s="167"/>
      <c r="B456" s="167"/>
      <c r="C456" s="167"/>
      <c r="D456" s="167"/>
      <c r="E456" s="167"/>
      <c r="F456" s="167"/>
      <c r="G456" s="167"/>
      <c r="H456" s="168"/>
      <c r="I456" s="168"/>
      <c r="J456" s="169"/>
      <c r="K456" s="168"/>
      <c r="L456" s="168"/>
      <c r="M456" s="167"/>
      <c r="N456" s="153"/>
      <c r="O456" s="153"/>
      <c r="P456" s="153"/>
      <c r="Q456" s="153"/>
      <c r="R456" s="153"/>
      <c r="S456" s="153"/>
      <c r="T456" s="153"/>
      <c r="U456" s="153"/>
      <c r="V456" s="153"/>
      <c r="W456" s="153"/>
      <c r="X456" s="153"/>
      <c r="Y456" s="153"/>
      <c r="Z456" s="153"/>
    </row>
    <row r="457" spans="1:26">
      <c r="A457" s="167"/>
      <c r="B457" s="167"/>
      <c r="C457" s="167"/>
      <c r="D457" s="167"/>
      <c r="E457" s="167"/>
      <c r="F457" s="167"/>
      <c r="G457" s="167"/>
      <c r="H457" s="168"/>
      <c r="I457" s="168"/>
      <c r="J457" s="169"/>
      <c r="K457" s="168"/>
      <c r="L457" s="168"/>
      <c r="M457" s="167"/>
      <c r="N457" s="153"/>
      <c r="O457" s="153"/>
      <c r="P457" s="153"/>
      <c r="Q457" s="153"/>
      <c r="R457" s="153"/>
      <c r="S457" s="153"/>
      <c r="T457" s="153"/>
      <c r="U457" s="153"/>
      <c r="V457" s="153"/>
      <c r="W457" s="153"/>
      <c r="X457" s="153"/>
      <c r="Y457" s="153"/>
      <c r="Z457" s="153"/>
    </row>
    <row r="458" spans="1:26">
      <c r="A458" s="167"/>
      <c r="B458" s="167"/>
      <c r="C458" s="167"/>
      <c r="D458" s="167"/>
      <c r="E458" s="167"/>
      <c r="F458" s="167"/>
      <c r="G458" s="167"/>
      <c r="H458" s="168"/>
      <c r="I458" s="168"/>
      <c r="J458" s="169"/>
      <c r="K458" s="168"/>
      <c r="L458" s="168"/>
      <c r="M458" s="167"/>
      <c r="N458" s="153"/>
      <c r="O458" s="153"/>
      <c r="P458" s="153"/>
      <c r="Q458" s="153"/>
      <c r="R458" s="153"/>
      <c r="S458" s="153"/>
      <c r="T458" s="153"/>
      <c r="U458" s="153"/>
      <c r="V458" s="153"/>
      <c r="W458" s="153"/>
      <c r="X458" s="153"/>
      <c r="Y458" s="153"/>
      <c r="Z458" s="153"/>
    </row>
    <row r="459" spans="1:26">
      <c r="A459" s="167"/>
      <c r="B459" s="167"/>
      <c r="C459" s="167"/>
      <c r="D459" s="167"/>
      <c r="E459" s="167"/>
      <c r="F459" s="167"/>
      <c r="G459" s="167"/>
      <c r="H459" s="168"/>
      <c r="I459" s="168"/>
      <c r="J459" s="169"/>
      <c r="K459" s="168"/>
      <c r="L459" s="168"/>
      <c r="M459" s="167"/>
      <c r="N459" s="153"/>
      <c r="O459" s="153"/>
      <c r="P459" s="153"/>
      <c r="Q459" s="153"/>
      <c r="R459" s="153"/>
      <c r="S459" s="153"/>
      <c r="T459" s="153"/>
      <c r="U459" s="153"/>
      <c r="V459" s="153"/>
      <c r="W459" s="153"/>
      <c r="X459" s="153"/>
      <c r="Y459" s="153"/>
      <c r="Z459" s="153"/>
    </row>
    <row r="460" spans="1:26">
      <c r="A460" s="167"/>
      <c r="B460" s="167"/>
      <c r="C460" s="167"/>
      <c r="D460" s="167"/>
      <c r="E460" s="167"/>
      <c r="F460" s="167"/>
      <c r="G460" s="167"/>
      <c r="H460" s="168"/>
      <c r="I460" s="168"/>
      <c r="J460" s="169"/>
      <c r="K460" s="168"/>
      <c r="L460" s="168"/>
      <c r="M460" s="167"/>
      <c r="N460" s="153"/>
      <c r="O460" s="153"/>
      <c r="P460" s="153"/>
      <c r="Q460" s="153"/>
      <c r="R460" s="153"/>
      <c r="S460" s="153"/>
      <c r="T460" s="153"/>
      <c r="U460" s="153"/>
      <c r="V460" s="153"/>
      <c r="W460" s="153"/>
      <c r="X460" s="153"/>
      <c r="Y460" s="153"/>
      <c r="Z460" s="153"/>
    </row>
    <row r="461" spans="1:26">
      <c r="A461" s="167"/>
      <c r="B461" s="167"/>
      <c r="C461" s="167"/>
      <c r="D461" s="167"/>
      <c r="E461" s="167"/>
      <c r="F461" s="167"/>
      <c r="G461" s="167"/>
      <c r="H461" s="168"/>
      <c r="I461" s="168"/>
      <c r="J461" s="169"/>
      <c r="K461" s="168"/>
      <c r="L461" s="168"/>
      <c r="M461" s="167"/>
      <c r="N461" s="153"/>
      <c r="O461" s="153"/>
      <c r="P461" s="153"/>
      <c r="Q461" s="153"/>
      <c r="R461" s="153"/>
      <c r="S461" s="153"/>
      <c r="T461" s="153"/>
      <c r="U461" s="153"/>
      <c r="V461" s="153"/>
      <c r="W461" s="153"/>
      <c r="X461" s="153"/>
      <c r="Y461" s="153"/>
      <c r="Z461" s="153"/>
    </row>
    <row r="462" spans="1:26">
      <c r="A462" s="167"/>
      <c r="B462" s="167"/>
      <c r="C462" s="167"/>
      <c r="D462" s="167"/>
      <c r="E462" s="167"/>
      <c r="F462" s="167"/>
      <c r="G462" s="167"/>
      <c r="H462" s="168"/>
      <c r="I462" s="168"/>
      <c r="J462" s="169"/>
      <c r="K462" s="168"/>
      <c r="L462" s="168"/>
      <c r="M462" s="167"/>
      <c r="N462" s="153"/>
      <c r="O462" s="153"/>
      <c r="P462" s="153"/>
      <c r="Q462" s="153"/>
      <c r="R462" s="153"/>
      <c r="S462" s="153"/>
      <c r="T462" s="153"/>
      <c r="U462" s="153"/>
      <c r="V462" s="153"/>
      <c r="W462" s="153"/>
      <c r="X462" s="153"/>
      <c r="Y462" s="153"/>
      <c r="Z462" s="153"/>
    </row>
    <row r="463" spans="1:26">
      <c r="A463" s="167"/>
      <c r="B463" s="167"/>
      <c r="C463" s="167"/>
      <c r="D463" s="167"/>
      <c r="E463" s="167"/>
      <c r="F463" s="167"/>
      <c r="G463" s="167"/>
      <c r="H463" s="168"/>
      <c r="I463" s="168"/>
      <c r="J463" s="169"/>
      <c r="K463" s="168"/>
      <c r="L463" s="168"/>
      <c r="M463" s="167"/>
      <c r="N463" s="153"/>
      <c r="O463" s="153"/>
      <c r="P463" s="153"/>
      <c r="Q463" s="153"/>
      <c r="R463" s="153"/>
      <c r="S463" s="153"/>
      <c r="T463" s="153"/>
      <c r="U463" s="153"/>
      <c r="V463" s="153"/>
      <c r="W463" s="153"/>
      <c r="X463" s="153"/>
      <c r="Y463" s="153"/>
      <c r="Z463" s="153"/>
    </row>
    <row r="464" spans="1:26">
      <c r="A464" s="167"/>
      <c r="B464" s="167"/>
      <c r="C464" s="167"/>
      <c r="D464" s="167"/>
      <c r="E464" s="167"/>
      <c r="F464" s="167"/>
      <c r="G464" s="167"/>
      <c r="H464" s="168"/>
      <c r="I464" s="168"/>
      <c r="J464" s="169"/>
      <c r="K464" s="168"/>
      <c r="L464" s="168"/>
      <c r="M464" s="167"/>
      <c r="N464" s="153"/>
      <c r="O464" s="153"/>
      <c r="P464" s="153"/>
      <c r="Q464" s="153"/>
      <c r="R464" s="153"/>
      <c r="S464" s="153"/>
      <c r="T464" s="153"/>
      <c r="U464" s="153"/>
      <c r="V464" s="153"/>
      <c r="W464" s="153"/>
      <c r="X464" s="153"/>
      <c r="Y464" s="153"/>
      <c r="Z464" s="153"/>
    </row>
    <row r="465" spans="1:26">
      <c r="A465" s="167"/>
      <c r="B465" s="167"/>
      <c r="C465" s="167"/>
      <c r="D465" s="167"/>
      <c r="E465" s="167"/>
      <c r="F465" s="167"/>
      <c r="G465" s="167"/>
      <c r="H465" s="168"/>
      <c r="I465" s="168"/>
      <c r="J465" s="169"/>
      <c r="K465" s="168"/>
      <c r="L465" s="168"/>
      <c r="M465" s="167"/>
      <c r="N465" s="153"/>
      <c r="O465" s="153"/>
      <c r="P465" s="153"/>
      <c r="Q465" s="153"/>
      <c r="R465" s="153"/>
      <c r="S465" s="153"/>
      <c r="T465" s="153"/>
      <c r="U465" s="153"/>
      <c r="V465" s="153"/>
      <c r="W465" s="153"/>
      <c r="X465" s="153"/>
      <c r="Y465" s="153"/>
      <c r="Z465" s="153"/>
    </row>
    <row r="466" spans="1:26">
      <c r="A466" s="167"/>
      <c r="B466" s="167"/>
      <c r="C466" s="167"/>
      <c r="D466" s="167"/>
      <c r="E466" s="167"/>
      <c r="F466" s="167"/>
      <c r="G466" s="167"/>
      <c r="H466" s="168"/>
      <c r="I466" s="168"/>
      <c r="J466" s="169"/>
      <c r="K466" s="168"/>
      <c r="L466" s="168"/>
      <c r="M466" s="167"/>
      <c r="N466" s="153"/>
      <c r="O466" s="153"/>
      <c r="P466" s="153"/>
      <c r="Q466" s="153"/>
      <c r="R466" s="153"/>
      <c r="S466" s="153"/>
      <c r="T466" s="153"/>
      <c r="U466" s="153"/>
      <c r="V466" s="153"/>
      <c r="W466" s="153"/>
      <c r="X466" s="153"/>
      <c r="Y466" s="153"/>
      <c r="Z466" s="153"/>
    </row>
    <row r="467" spans="1:26">
      <c r="A467" s="167"/>
      <c r="B467" s="167"/>
      <c r="C467" s="167"/>
      <c r="D467" s="167"/>
      <c r="E467" s="167"/>
      <c r="F467" s="167"/>
      <c r="G467" s="167"/>
      <c r="H467" s="168"/>
      <c r="I467" s="168"/>
      <c r="J467" s="169"/>
      <c r="K467" s="168"/>
      <c r="L467" s="168"/>
      <c r="M467" s="167"/>
      <c r="N467" s="153"/>
      <c r="O467" s="153"/>
      <c r="P467" s="153"/>
      <c r="Q467" s="153"/>
      <c r="R467" s="153"/>
      <c r="S467" s="153"/>
      <c r="T467" s="153"/>
      <c r="U467" s="153"/>
      <c r="V467" s="153"/>
      <c r="W467" s="153"/>
      <c r="X467" s="153"/>
      <c r="Y467" s="153"/>
      <c r="Z467" s="153"/>
    </row>
    <row r="468" spans="1:26">
      <c r="A468" s="167"/>
      <c r="B468" s="167"/>
      <c r="C468" s="167"/>
      <c r="D468" s="167"/>
      <c r="E468" s="167"/>
      <c r="F468" s="167"/>
      <c r="G468" s="167"/>
      <c r="H468" s="168"/>
      <c r="I468" s="168"/>
      <c r="J468" s="169"/>
      <c r="K468" s="168"/>
      <c r="L468" s="168"/>
      <c r="M468" s="167"/>
      <c r="N468" s="153"/>
      <c r="O468" s="153"/>
      <c r="P468" s="153"/>
      <c r="Q468" s="153"/>
      <c r="R468" s="153"/>
      <c r="S468" s="153"/>
      <c r="T468" s="153"/>
      <c r="U468" s="153"/>
      <c r="V468" s="153"/>
      <c r="W468" s="153"/>
      <c r="X468" s="153"/>
      <c r="Y468" s="153"/>
      <c r="Z468" s="153"/>
    </row>
    <row r="469" spans="1:26">
      <c r="A469" s="167"/>
      <c r="B469" s="167"/>
      <c r="C469" s="167"/>
      <c r="D469" s="167"/>
      <c r="E469" s="167"/>
      <c r="F469" s="167"/>
      <c r="G469" s="167"/>
      <c r="H469" s="168"/>
      <c r="I469" s="168"/>
      <c r="J469" s="169"/>
      <c r="K469" s="168"/>
      <c r="L469" s="168"/>
      <c r="M469" s="167"/>
      <c r="N469" s="153"/>
      <c r="O469" s="153"/>
      <c r="P469" s="153"/>
      <c r="Q469" s="153"/>
      <c r="R469" s="153"/>
      <c r="S469" s="153"/>
      <c r="T469" s="153"/>
      <c r="U469" s="153"/>
      <c r="V469" s="153"/>
      <c r="W469" s="153"/>
      <c r="X469" s="153"/>
      <c r="Y469" s="153"/>
      <c r="Z469" s="153"/>
    </row>
    <row r="470" spans="1:26">
      <c r="A470" s="167"/>
      <c r="B470" s="167"/>
      <c r="C470" s="167"/>
      <c r="D470" s="167"/>
      <c r="E470" s="167"/>
      <c r="F470" s="167"/>
      <c r="G470" s="167"/>
      <c r="H470" s="168"/>
      <c r="I470" s="168"/>
      <c r="J470" s="169"/>
      <c r="K470" s="168"/>
      <c r="L470" s="168"/>
      <c r="M470" s="167"/>
      <c r="N470" s="153"/>
      <c r="O470" s="153"/>
      <c r="P470" s="153"/>
      <c r="Q470" s="153"/>
      <c r="R470" s="153"/>
      <c r="S470" s="153"/>
      <c r="T470" s="153"/>
      <c r="U470" s="153"/>
      <c r="V470" s="153"/>
      <c r="W470" s="153"/>
      <c r="X470" s="153"/>
      <c r="Y470" s="153"/>
      <c r="Z470" s="153"/>
    </row>
    <row r="471" spans="1:26">
      <c r="A471" s="167"/>
      <c r="B471" s="167"/>
      <c r="C471" s="167"/>
      <c r="D471" s="167"/>
      <c r="E471" s="167"/>
      <c r="F471" s="167"/>
      <c r="G471" s="167"/>
      <c r="H471" s="168"/>
      <c r="I471" s="168"/>
      <c r="J471" s="169"/>
      <c r="K471" s="168"/>
      <c r="L471" s="168"/>
      <c r="M471" s="167"/>
      <c r="N471" s="153"/>
      <c r="O471" s="153"/>
      <c r="P471" s="153"/>
      <c r="Q471" s="153"/>
      <c r="R471" s="153"/>
      <c r="S471" s="153"/>
      <c r="T471" s="153"/>
      <c r="U471" s="153"/>
      <c r="V471" s="153"/>
      <c r="W471" s="153"/>
      <c r="X471" s="153"/>
      <c r="Y471" s="153"/>
      <c r="Z471" s="153"/>
    </row>
    <row r="472" spans="1:26">
      <c r="A472" s="167"/>
      <c r="B472" s="167"/>
      <c r="C472" s="167"/>
      <c r="D472" s="167"/>
      <c r="E472" s="167"/>
      <c r="F472" s="167"/>
      <c r="G472" s="167"/>
      <c r="H472" s="168"/>
      <c r="I472" s="168"/>
      <c r="J472" s="169"/>
      <c r="K472" s="168"/>
      <c r="L472" s="168"/>
      <c r="M472" s="167"/>
      <c r="N472" s="153"/>
      <c r="O472" s="153"/>
      <c r="P472" s="153"/>
      <c r="Q472" s="153"/>
      <c r="R472" s="153"/>
      <c r="S472" s="153"/>
      <c r="T472" s="153"/>
      <c r="U472" s="153"/>
      <c r="V472" s="153"/>
      <c r="W472" s="153"/>
      <c r="X472" s="153"/>
      <c r="Y472" s="153"/>
      <c r="Z472" s="153"/>
    </row>
    <row r="473" spans="1:26">
      <c r="A473" s="167"/>
      <c r="B473" s="167"/>
      <c r="C473" s="167"/>
      <c r="D473" s="167"/>
      <c r="E473" s="167"/>
      <c r="F473" s="167"/>
      <c r="G473" s="167"/>
      <c r="H473" s="168"/>
      <c r="I473" s="168"/>
      <c r="J473" s="169"/>
      <c r="K473" s="168"/>
      <c r="L473" s="168"/>
      <c r="M473" s="167"/>
      <c r="N473" s="153"/>
      <c r="O473" s="153"/>
      <c r="P473" s="153"/>
      <c r="Q473" s="153"/>
      <c r="R473" s="153"/>
      <c r="S473" s="153"/>
      <c r="T473" s="153"/>
      <c r="U473" s="153"/>
      <c r="V473" s="153"/>
      <c r="W473" s="153"/>
      <c r="X473" s="153"/>
      <c r="Y473" s="153"/>
      <c r="Z473" s="153"/>
    </row>
    <row r="474" spans="1:26">
      <c r="A474" s="167"/>
      <c r="B474" s="167"/>
      <c r="C474" s="167"/>
      <c r="D474" s="167"/>
      <c r="E474" s="167"/>
      <c r="F474" s="167"/>
      <c r="G474" s="167"/>
      <c r="H474" s="168"/>
      <c r="I474" s="168"/>
      <c r="J474" s="169"/>
      <c r="K474" s="168"/>
      <c r="L474" s="168"/>
      <c r="M474" s="167"/>
      <c r="N474" s="153"/>
      <c r="O474" s="153"/>
      <c r="P474" s="153"/>
      <c r="Q474" s="153"/>
      <c r="R474" s="153"/>
      <c r="S474" s="153"/>
      <c r="T474" s="153"/>
      <c r="U474" s="153"/>
      <c r="V474" s="153"/>
      <c r="W474" s="153"/>
      <c r="X474" s="153"/>
      <c r="Y474" s="153"/>
      <c r="Z474" s="153"/>
    </row>
    <row r="475" spans="1:26">
      <c r="A475" s="167"/>
      <c r="B475" s="167"/>
      <c r="C475" s="167"/>
      <c r="D475" s="167"/>
      <c r="E475" s="167"/>
      <c r="F475" s="167"/>
      <c r="G475" s="167"/>
      <c r="H475" s="168"/>
      <c r="I475" s="168"/>
      <c r="J475" s="169"/>
      <c r="K475" s="168"/>
      <c r="L475" s="168"/>
      <c r="M475" s="167"/>
      <c r="N475" s="153"/>
      <c r="O475" s="153"/>
      <c r="P475" s="153"/>
      <c r="Q475" s="153"/>
      <c r="R475" s="153"/>
      <c r="S475" s="153"/>
      <c r="T475" s="153"/>
      <c r="U475" s="153"/>
      <c r="V475" s="153"/>
      <c r="W475" s="153"/>
      <c r="X475" s="153"/>
      <c r="Y475" s="153"/>
      <c r="Z475" s="153"/>
    </row>
    <row r="476" spans="1:26">
      <c r="A476" s="167"/>
      <c r="B476" s="167"/>
      <c r="C476" s="167"/>
      <c r="D476" s="167"/>
      <c r="E476" s="167"/>
      <c r="F476" s="167"/>
      <c r="G476" s="167"/>
      <c r="H476" s="168"/>
      <c r="I476" s="168"/>
      <c r="J476" s="169"/>
      <c r="K476" s="168"/>
      <c r="L476" s="168"/>
      <c r="M476" s="167"/>
      <c r="N476" s="153"/>
      <c r="O476" s="153"/>
      <c r="P476" s="153"/>
      <c r="Q476" s="153"/>
      <c r="R476" s="153"/>
      <c r="S476" s="153"/>
      <c r="T476" s="153"/>
      <c r="U476" s="153"/>
      <c r="V476" s="153"/>
      <c r="W476" s="153"/>
      <c r="X476" s="153"/>
      <c r="Y476" s="153"/>
      <c r="Z476" s="153"/>
    </row>
    <row r="477" spans="1:26">
      <c r="A477" s="167"/>
      <c r="B477" s="167"/>
      <c r="C477" s="167"/>
      <c r="D477" s="167"/>
      <c r="E477" s="167"/>
      <c r="F477" s="167"/>
      <c r="G477" s="167"/>
      <c r="H477" s="168"/>
      <c r="I477" s="168"/>
      <c r="J477" s="169"/>
      <c r="K477" s="168"/>
      <c r="L477" s="168"/>
      <c r="M477" s="167"/>
      <c r="N477" s="153"/>
      <c r="O477" s="153"/>
      <c r="P477" s="153"/>
      <c r="Q477" s="153"/>
      <c r="R477" s="153"/>
      <c r="S477" s="153"/>
      <c r="T477" s="153"/>
      <c r="U477" s="153"/>
      <c r="V477" s="153"/>
      <c r="W477" s="153"/>
      <c r="X477" s="153"/>
      <c r="Y477" s="153"/>
      <c r="Z477" s="153"/>
    </row>
    <row r="478" spans="1:26">
      <c r="A478" s="167"/>
      <c r="B478" s="167"/>
      <c r="C478" s="167"/>
      <c r="D478" s="167"/>
      <c r="E478" s="167"/>
      <c r="F478" s="167"/>
      <c r="G478" s="167"/>
      <c r="H478" s="168"/>
      <c r="I478" s="168"/>
      <c r="J478" s="169"/>
      <c r="K478" s="168"/>
      <c r="L478" s="168"/>
      <c r="M478" s="167"/>
      <c r="N478" s="153"/>
      <c r="O478" s="153"/>
      <c r="P478" s="153"/>
      <c r="Q478" s="153"/>
      <c r="R478" s="153"/>
      <c r="S478" s="153"/>
      <c r="T478" s="153"/>
      <c r="U478" s="153"/>
      <c r="V478" s="153"/>
      <c r="W478" s="153"/>
      <c r="X478" s="153"/>
      <c r="Y478" s="153"/>
      <c r="Z478" s="153"/>
    </row>
    <row r="479" spans="1:26">
      <c r="A479" s="167"/>
      <c r="B479" s="167"/>
      <c r="C479" s="167"/>
      <c r="D479" s="167"/>
      <c r="E479" s="167"/>
      <c r="F479" s="167"/>
      <c r="G479" s="167"/>
      <c r="H479" s="168"/>
      <c r="I479" s="168"/>
      <c r="J479" s="169"/>
      <c r="K479" s="168"/>
      <c r="L479" s="168"/>
      <c r="M479" s="167"/>
      <c r="N479" s="153"/>
      <c r="O479" s="153"/>
      <c r="P479" s="153"/>
      <c r="Q479" s="153"/>
      <c r="R479" s="153"/>
      <c r="S479" s="153"/>
      <c r="T479" s="153"/>
      <c r="U479" s="153"/>
      <c r="V479" s="153"/>
      <c r="W479" s="153"/>
      <c r="X479" s="153"/>
      <c r="Y479" s="153"/>
      <c r="Z479" s="153"/>
    </row>
    <row r="480" spans="1:26">
      <c r="A480" s="167"/>
      <c r="B480" s="167"/>
      <c r="C480" s="167"/>
      <c r="D480" s="167"/>
      <c r="E480" s="167"/>
      <c r="F480" s="167"/>
      <c r="G480" s="167"/>
      <c r="H480" s="168"/>
      <c r="I480" s="168"/>
      <c r="J480" s="169"/>
      <c r="K480" s="168"/>
      <c r="L480" s="168"/>
      <c r="M480" s="167"/>
      <c r="N480" s="153"/>
      <c r="O480" s="153"/>
      <c r="P480" s="153"/>
      <c r="Q480" s="153"/>
      <c r="R480" s="153"/>
      <c r="S480" s="153"/>
      <c r="T480" s="153"/>
      <c r="U480" s="153"/>
      <c r="V480" s="153"/>
      <c r="W480" s="153"/>
      <c r="X480" s="153"/>
      <c r="Y480" s="153"/>
      <c r="Z480" s="153"/>
    </row>
    <row r="481" spans="1:26">
      <c r="A481" s="167"/>
      <c r="B481" s="167"/>
      <c r="C481" s="167"/>
      <c r="D481" s="167"/>
      <c r="E481" s="167"/>
      <c r="F481" s="167"/>
      <c r="G481" s="167"/>
      <c r="H481" s="168"/>
      <c r="I481" s="168"/>
      <c r="J481" s="169"/>
      <c r="K481" s="168"/>
      <c r="L481" s="168"/>
      <c r="M481" s="167"/>
      <c r="N481" s="153"/>
      <c r="O481" s="153"/>
      <c r="P481" s="153"/>
      <c r="Q481" s="153"/>
      <c r="R481" s="153"/>
      <c r="S481" s="153"/>
      <c r="T481" s="153"/>
      <c r="U481" s="153"/>
      <c r="V481" s="153"/>
      <c r="W481" s="153"/>
      <c r="X481" s="153"/>
      <c r="Y481" s="153"/>
      <c r="Z481" s="153"/>
    </row>
    <row r="482" spans="1:26">
      <c r="A482" s="167"/>
      <c r="B482" s="167"/>
      <c r="C482" s="167"/>
      <c r="D482" s="167"/>
      <c r="E482" s="167"/>
      <c r="F482" s="167"/>
      <c r="G482" s="167"/>
      <c r="H482" s="168"/>
      <c r="I482" s="168"/>
      <c r="J482" s="169"/>
      <c r="K482" s="168"/>
      <c r="L482" s="168"/>
      <c r="M482" s="167"/>
      <c r="N482" s="153"/>
      <c r="O482" s="153"/>
      <c r="P482" s="153"/>
      <c r="Q482" s="153"/>
      <c r="R482" s="153"/>
      <c r="S482" s="153"/>
      <c r="T482" s="153"/>
      <c r="U482" s="153"/>
      <c r="V482" s="153"/>
      <c r="W482" s="153"/>
      <c r="X482" s="153"/>
      <c r="Y482" s="153"/>
      <c r="Z482" s="153"/>
    </row>
    <row r="483" spans="1:26">
      <c r="A483" s="167"/>
      <c r="B483" s="167"/>
      <c r="C483" s="167"/>
      <c r="D483" s="167"/>
      <c r="E483" s="167"/>
      <c r="F483" s="167"/>
      <c r="G483" s="167"/>
      <c r="H483" s="168"/>
      <c r="I483" s="168"/>
      <c r="J483" s="169"/>
      <c r="K483" s="168"/>
      <c r="L483" s="168"/>
      <c r="M483" s="167"/>
      <c r="N483" s="153"/>
      <c r="O483" s="153"/>
      <c r="P483" s="153"/>
      <c r="Q483" s="153"/>
      <c r="R483" s="153"/>
      <c r="S483" s="153"/>
      <c r="T483" s="153"/>
      <c r="U483" s="153"/>
      <c r="V483" s="153"/>
      <c r="W483" s="153"/>
      <c r="X483" s="153"/>
      <c r="Y483" s="153"/>
      <c r="Z483" s="153"/>
    </row>
    <row r="484" spans="1:26">
      <c r="A484" s="167"/>
      <c r="B484" s="167"/>
      <c r="C484" s="167"/>
      <c r="D484" s="167"/>
      <c r="E484" s="167"/>
      <c r="F484" s="167"/>
      <c r="G484" s="167"/>
      <c r="H484" s="168"/>
      <c r="I484" s="168"/>
      <c r="J484" s="169"/>
      <c r="K484" s="168"/>
      <c r="L484" s="168"/>
      <c r="M484" s="167"/>
      <c r="N484" s="153"/>
      <c r="O484" s="153"/>
      <c r="P484" s="153"/>
      <c r="Q484" s="153"/>
      <c r="R484" s="153"/>
      <c r="S484" s="153"/>
      <c r="T484" s="153"/>
      <c r="U484" s="153"/>
      <c r="V484" s="153"/>
      <c r="W484" s="153"/>
      <c r="X484" s="153"/>
      <c r="Y484" s="153"/>
      <c r="Z484" s="153"/>
    </row>
    <row r="485" spans="1:26">
      <c r="A485" s="167"/>
      <c r="B485" s="167"/>
      <c r="C485" s="167"/>
      <c r="D485" s="167"/>
      <c r="E485" s="167"/>
      <c r="F485" s="167"/>
      <c r="G485" s="167"/>
      <c r="H485" s="168"/>
      <c r="I485" s="168"/>
      <c r="J485" s="169"/>
      <c r="K485" s="168"/>
      <c r="L485" s="168"/>
      <c r="M485" s="167"/>
      <c r="N485" s="153"/>
      <c r="O485" s="153"/>
      <c r="P485" s="153"/>
      <c r="Q485" s="153"/>
      <c r="R485" s="153"/>
      <c r="S485" s="153"/>
      <c r="T485" s="153"/>
      <c r="U485" s="153"/>
      <c r="V485" s="153"/>
      <c r="W485" s="153"/>
      <c r="X485" s="153"/>
      <c r="Y485" s="153"/>
      <c r="Z485" s="153"/>
    </row>
    <row r="486" spans="1:26">
      <c r="A486" s="167"/>
      <c r="B486" s="167"/>
      <c r="C486" s="167"/>
      <c r="D486" s="167"/>
      <c r="E486" s="167"/>
      <c r="F486" s="167"/>
      <c r="G486" s="167"/>
      <c r="H486" s="168"/>
      <c r="I486" s="168"/>
      <c r="J486" s="169"/>
      <c r="K486" s="168"/>
      <c r="L486" s="168"/>
      <c r="M486" s="167"/>
      <c r="N486" s="153"/>
      <c r="O486" s="153"/>
      <c r="P486" s="153"/>
      <c r="Q486" s="153"/>
      <c r="R486" s="153"/>
      <c r="S486" s="153"/>
      <c r="T486" s="153"/>
      <c r="U486" s="153"/>
      <c r="V486" s="153"/>
      <c r="W486" s="153"/>
      <c r="X486" s="153"/>
      <c r="Y486" s="153"/>
      <c r="Z486" s="153"/>
    </row>
    <row r="487" spans="1:26">
      <c r="A487" s="167"/>
      <c r="B487" s="167"/>
      <c r="C487" s="167"/>
      <c r="D487" s="167"/>
      <c r="E487" s="167"/>
      <c r="F487" s="167"/>
      <c r="G487" s="167"/>
      <c r="H487" s="168"/>
      <c r="I487" s="168"/>
      <c r="J487" s="169"/>
      <c r="K487" s="168"/>
      <c r="L487" s="168"/>
      <c r="M487" s="167"/>
      <c r="N487" s="153"/>
      <c r="O487" s="153"/>
      <c r="P487" s="153"/>
      <c r="Q487" s="153"/>
      <c r="R487" s="153"/>
      <c r="S487" s="153"/>
      <c r="T487" s="153"/>
      <c r="U487" s="153"/>
      <c r="V487" s="153"/>
      <c r="W487" s="153"/>
      <c r="X487" s="153"/>
      <c r="Y487" s="153"/>
      <c r="Z487" s="153"/>
    </row>
    <row r="488" spans="1:26">
      <c r="A488" s="167"/>
      <c r="B488" s="167"/>
      <c r="C488" s="167"/>
      <c r="D488" s="167"/>
      <c r="E488" s="167"/>
      <c r="F488" s="167"/>
      <c r="G488" s="167"/>
      <c r="H488" s="168"/>
      <c r="I488" s="168"/>
      <c r="J488" s="169"/>
      <c r="K488" s="168"/>
      <c r="L488" s="168"/>
      <c r="M488" s="167"/>
      <c r="N488" s="153"/>
      <c r="O488" s="153"/>
      <c r="P488" s="153"/>
      <c r="Q488" s="153"/>
      <c r="R488" s="153"/>
      <c r="S488" s="153"/>
      <c r="T488" s="153"/>
      <c r="U488" s="153"/>
      <c r="V488" s="153"/>
      <c r="W488" s="153"/>
      <c r="X488" s="153"/>
      <c r="Y488" s="153"/>
      <c r="Z488" s="153"/>
    </row>
    <row r="489" spans="1:26">
      <c r="A489" s="167"/>
      <c r="B489" s="167"/>
      <c r="C489" s="167"/>
      <c r="D489" s="167"/>
      <c r="E489" s="167"/>
      <c r="F489" s="167"/>
      <c r="G489" s="167"/>
      <c r="H489" s="168"/>
      <c r="I489" s="168"/>
      <c r="J489" s="169"/>
      <c r="K489" s="168"/>
      <c r="L489" s="168"/>
      <c r="M489" s="167"/>
      <c r="N489" s="153"/>
      <c r="O489" s="153"/>
      <c r="P489" s="153"/>
      <c r="Q489" s="153"/>
      <c r="R489" s="153"/>
      <c r="S489" s="153"/>
      <c r="T489" s="153"/>
      <c r="U489" s="153"/>
      <c r="V489" s="153"/>
      <c r="W489" s="153"/>
      <c r="X489" s="153"/>
      <c r="Y489" s="153"/>
      <c r="Z489" s="153"/>
    </row>
    <row r="490" spans="1:26">
      <c r="A490" s="167"/>
      <c r="B490" s="167"/>
      <c r="C490" s="167"/>
      <c r="D490" s="167"/>
      <c r="E490" s="167"/>
      <c r="F490" s="167"/>
      <c r="G490" s="167"/>
      <c r="H490" s="168"/>
      <c r="I490" s="168"/>
      <c r="J490" s="169"/>
      <c r="K490" s="168"/>
      <c r="L490" s="168"/>
      <c r="M490" s="167"/>
      <c r="N490" s="153"/>
      <c r="O490" s="153"/>
      <c r="P490" s="153"/>
      <c r="Q490" s="153"/>
      <c r="R490" s="153"/>
      <c r="S490" s="153"/>
      <c r="T490" s="153"/>
      <c r="U490" s="153"/>
      <c r="V490" s="153"/>
      <c r="W490" s="153"/>
      <c r="X490" s="153"/>
      <c r="Y490" s="153"/>
      <c r="Z490" s="153"/>
    </row>
    <row r="491" spans="1:26">
      <c r="A491" s="167"/>
      <c r="B491" s="167"/>
      <c r="C491" s="167"/>
      <c r="D491" s="167"/>
      <c r="E491" s="167"/>
      <c r="F491" s="167"/>
      <c r="G491" s="167"/>
      <c r="H491" s="168"/>
      <c r="I491" s="168"/>
      <c r="J491" s="169"/>
      <c r="K491" s="168"/>
      <c r="L491" s="168"/>
      <c r="M491" s="167"/>
      <c r="N491" s="153"/>
      <c r="O491" s="153"/>
      <c r="P491" s="153"/>
      <c r="Q491" s="153"/>
      <c r="R491" s="153"/>
      <c r="S491" s="153"/>
      <c r="T491" s="153"/>
      <c r="U491" s="153"/>
      <c r="V491" s="153"/>
      <c r="W491" s="153"/>
      <c r="X491" s="153"/>
      <c r="Y491" s="153"/>
      <c r="Z491" s="153"/>
    </row>
    <row r="492" spans="1:26">
      <c r="A492" s="167"/>
      <c r="B492" s="167"/>
      <c r="C492" s="167"/>
      <c r="D492" s="167"/>
      <c r="E492" s="167"/>
      <c r="F492" s="167"/>
      <c r="G492" s="167"/>
      <c r="H492" s="168"/>
      <c r="I492" s="168"/>
      <c r="J492" s="169"/>
      <c r="K492" s="168"/>
      <c r="L492" s="168"/>
      <c r="M492" s="167"/>
      <c r="N492" s="153"/>
      <c r="O492" s="153"/>
      <c r="P492" s="153"/>
      <c r="Q492" s="153"/>
      <c r="R492" s="153"/>
      <c r="S492" s="153"/>
      <c r="T492" s="153"/>
      <c r="U492" s="153"/>
      <c r="V492" s="153"/>
      <c r="W492" s="153"/>
      <c r="X492" s="153"/>
      <c r="Y492" s="153"/>
      <c r="Z492" s="153"/>
    </row>
    <row r="493" spans="1:26">
      <c r="A493" s="167"/>
      <c r="B493" s="167"/>
      <c r="C493" s="167"/>
      <c r="D493" s="167"/>
      <c r="E493" s="167"/>
      <c r="F493" s="167"/>
      <c r="G493" s="167"/>
      <c r="H493" s="168"/>
      <c r="I493" s="168"/>
      <c r="J493" s="169"/>
      <c r="K493" s="168"/>
      <c r="L493" s="168"/>
      <c r="M493" s="167"/>
      <c r="N493" s="153"/>
      <c r="O493" s="153"/>
      <c r="P493" s="153"/>
      <c r="Q493" s="153"/>
      <c r="R493" s="153"/>
      <c r="S493" s="153"/>
      <c r="T493" s="153"/>
      <c r="U493" s="153"/>
      <c r="V493" s="153"/>
      <c r="W493" s="153"/>
      <c r="X493" s="153"/>
      <c r="Y493" s="153"/>
      <c r="Z493" s="153"/>
    </row>
    <row r="494" spans="1:26">
      <c r="A494" s="167"/>
      <c r="B494" s="167"/>
      <c r="C494" s="167"/>
      <c r="D494" s="167"/>
      <c r="E494" s="167"/>
      <c r="F494" s="167"/>
      <c r="G494" s="167"/>
      <c r="H494" s="168"/>
      <c r="I494" s="168"/>
      <c r="J494" s="169"/>
      <c r="K494" s="168"/>
      <c r="L494" s="168"/>
      <c r="M494" s="167"/>
      <c r="N494" s="153"/>
      <c r="O494" s="153"/>
      <c r="P494" s="153"/>
      <c r="Q494" s="153"/>
      <c r="R494" s="153"/>
      <c r="S494" s="153"/>
      <c r="T494" s="153"/>
      <c r="U494" s="153"/>
      <c r="V494" s="153"/>
      <c r="W494" s="153"/>
      <c r="X494" s="153"/>
      <c r="Y494" s="153"/>
      <c r="Z494" s="153"/>
    </row>
    <row r="495" spans="1:26">
      <c r="A495" s="167"/>
      <c r="B495" s="167"/>
      <c r="C495" s="167"/>
      <c r="D495" s="167"/>
      <c r="E495" s="167"/>
      <c r="F495" s="167"/>
      <c r="G495" s="167"/>
      <c r="H495" s="168"/>
      <c r="I495" s="168"/>
      <c r="J495" s="169"/>
      <c r="K495" s="168"/>
      <c r="L495" s="168"/>
      <c r="M495" s="167"/>
      <c r="N495" s="153"/>
      <c r="O495" s="153"/>
      <c r="P495" s="153"/>
      <c r="Q495" s="153"/>
      <c r="R495" s="153"/>
      <c r="S495" s="153"/>
      <c r="T495" s="153"/>
      <c r="U495" s="153"/>
      <c r="V495" s="153"/>
      <c r="W495" s="153"/>
      <c r="X495" s="153"/>
      <c r="Y495" s="153"/>
      <c r="Z495" s="153"/>
    </row>
    <row r="496" spans="1:26">
      <c r="A496" s="167"/>
      <c r="B496" s="167"/>
      <c r="C496" s="167"/>
      <c r="D496" s="167"/>
      <c r="E496" s="167"/>
      <c r="F496" s="167"/>
      <c r="G496" s="167"/>
      <c r="H496" s="168"/>
      <c r="I496" s="168"/>
      <c r="J496" s="169"/>
      <c r="K496" s="168"/>
      <c r="L496" s="168"/>
      <c r="M496" s="167"/>
      <c r="N496" s="153"/>
      <c r="O496" s="153"/>
      <c r="P496" s="153"/>
      <c r="Q496" s="153"/>
      <c r="R496" s="153"/>
      <c r="S496" s="153"/>
      <c r="T496" s="153"/>
      <c r="U496" s="153"/>
      <c r="V496" s="153"/>
      <c r="W496" s="153"/>
      <c r="X496" s="153"/>
      <c r="Y496" s="153"/>
      <c r="Z496" s="153"/>
    </row>
    <row r="497" spans="1:26">
      <c r="A497" s="167"/>
      <c r="B497" s="167"/>
      <c r="C497" s="167"/>
      <c r="D497" s="167"/>
      <c r="E497" s="167"/>
      <c r="F497" s="167"/>
      <c r="G497" s="167"/>
      <c r="H497" s="168"/>
      <c r="I497" s="168"/>
      <c r="J497" s="169"/>
      <c r="K497" s="168"/>
      <c r="L497" s="168"/>
      <c r="M497" s="167"/>
      <c r="N497" s="153"/>
      <c r="O497" s="153"/>
      <c r="P497" s="153"/>
      <c r="Q497" s="153"/>
      <c r="R497" s="153"/>
      <c r="S497" s="153"/>
      <c r="T497" s="153"/>
      <c r="U497" s="153"/>
      <c r="V497" s="153"/>
      <c r="W497" s="153"/>
      <c r="X497" s="153"/>
      <c r="Y497" s="153"/>
      <c r="Z497" s="153"/>
    </row>
    <row r="498" spans="1:26">
      <c r="A498" s="167"/>
      <c r="B498" s="167"/>
      <c r="C498" s="167"/>
      <c r="D498" s="167"/>
      <c r="E498" s="167"/>
      <c r="F498" s="167"/>
      <c r="G498" s="167"/>
      <c r="H498" s="168"/>
      <c r="I498" s="168"/>
      <c r="J498" s="169"/>
      <c r="K498" s="168"/>
      <c r="L498" s="168"/>
      <c r="M498" s="167"/>
      <c r="N498" s="153"/>
      <c r="O498" s="153"/>
      <c r="P498" s="153"/>
      <c r="Q498" s="153"/>
      <c r="R498" s="153"/>
      <c r="S498" s="153"/>
      <c r="T498" s="153"/>
      <c r="U498" s="153"/>
      <c r="V498" s="153"/>
      <c r="W498" s="153"/>
      <c r="X498" s="153"/>
      <c r="Y498" s="153"/>
      <c r="Z498" s="153"/>
    </row>
    <row r="499" spans="1:26">
      <c r="A499" s="167"/>
      <c r="B499" s="167"/>
      <c r="C499" s="167"/>
      <c r="D499" s="167"/>
      <c r="E499" s="167"/>
      <c r="F499" s="167"/>
      <c r="G499" s="167"/>
      <c r="H499" s="168"/>
      <c r="I499" s="168"/>
      <c r="J499" s="169"/>
      <c r="K499" s="168"/>
      <c r="L499" s="168"/>
      <c r="M499" s="167"/>
      <c r="N499" s="153"/>
      <c r="O499" s="153"/>
      <c r="P499" s="153"/>
      <c r="Q499" s="153"/>
      <c r="R499" s="153"/>
      <c r="S499" s="153"/>
      <c r="T499" s="153"/>
      <c r="U499" s="153"/>
      <c r="V499" s="153"/>
      <c r="W499" s="153"/>
      <c r="X499" s="153"/>
      <c r="Y499" s="153"/>
      <c r="Z499" s="153"/>
    </row>
    <row r="500" spans="1:26">
      <c r="A500" s="167"/>
      <c r="B500" s="167"/>
      <c r="C500" s="167"/>
      <c r="D500" s="167"/>
      <c r="E500" s="167"/>
      <c r="F500" s="167"/>
      <c r="G500" s="167"/>
      <c r="H500" s="168"/>
      <c r="I500" s="168"/>
      <c r="J500" s="169"/>
      <c r="K500" s="168"/>
      <c r="L500" s="168"/>
      <c r="M500" s="167"/>
      <c r="N500" s="153"/>
      <c r="O500" s="153"/>
      <c r="P500" s="153"/>
      <c r="Q500" s="153"/>
      <c r="R500" s="153"/>
      <c r="S500" s="153"/>
      <c r="T500" s="153"/>
      <c r="U500" s="153"/>
      <c r="V500" s="153"/>
      <c r="W500" s="153"/>
      <c r="X500" s="153"/>
      <c r="Y500" s="153"/>
      <c r="Z500" s="153"/>
    </row>
    <row r="501" spans="1:26">
      <c r="A501" s="167"/>
      <c r="B501" s="167"/>
      <c r="C501" s="167"/>
      <c r="D501" s="167"/>
      <c r="E501" s="167"/>
      <c r="F501" s="167"/>
      <c r="G501" s="167"/>
      <c r="H501" s="168"/>
      <c r="I501" s="168"/>
      <c r="J501" s="169"/>
      <c r="K501" s="168"/>
      <c r="L501" s="168"/>
      <c r="M501" s="167"/>
      <c r="N501" s="153"/>
      <c r="O501" s="153"/>
      <c r="P501" s="153"/>
      <c r="Q501" s="153"/>
      <c r="R501" s="153"/>
      <c r="S501" s="153"/>
      <c r="T501" s="153"/>
      <c r="U501" s="153"/>
      <c r="V501" s="153"/>
      <c r="W501" s="153"/>
      <c r="X501" s="153"/>
      <c r="Y501" s="153"/>
      <c r="Z501" s="153"/>
    </row>
    <row r="502" spans="1:26">
      <c r="A502" s="167"/>
      <c r="B502" s="167"/>
      <c r="C502" s="167"/>
      <c r="D502" s="167"/>
      <c r="E502" s="167"/>
      <c r="F502" s="167"/>
      <c r="G502" s="167"/>
      <c r="H502" s="168"/>
      <c r="I502" s="168"/>
      <c r="J502" s="169"/>
      <c r="K502" s="168"/>
      <c r="L502" s="168"/>
      <c r="M502" s="167"/>
      <c r="N502" s="153"/>
      <c r="O502" s="153"/>
      <c r="P502" s="153"/>
      <c r="Q502" s="153"/>
      <c r="R502" s="153"/>
      <c r="S502" s="153"/>
      <c r="T502" s="153"/>
      <c r="U502" s="153"/>
      <c r="V502" s="153"/>
      <c r="W502" s="153"/>
      <c r="X502" s="153"/>
      <c r="Y502" s="153"/>
      <c r="Z502" s="153"/>
    </row>
    <row r="503" spans="1:26">
      <c r="A503" s="167"/>
      <c r="B503" s="167"/>
      <c r="C503" s="167"/>
      <c r="D503" s="167"/>
      <c r="E503" s="167"/>
      <c r="F503" s="167"/>
      <c r="G503" s="167"/>
      <c r="H503" s="168"/>
      <c r="I503" s="168"/>
      <c r="J503" s="169"/>
      <c r="K503" s="168"/>
      <c r="L503" s="168"/>
      <c r="M503" s="167"/>
      <c r="N503" s="153"/>
      <c r="O503" s="153"/>
      <c r="P503" s="153"/>
      <c r="Q503" s="153"/>
      <c r="R503" s="153"/>
      <c r="S503" s="153"/>
      <c r="T503" s="153"/>
      <c r="U503" s="153"/>
      <c r="V503" s="153"/>
      <c r="W503" s="153"/>
      <c r="X503" s="153"/>
      <c r="Y503" s="153"/>
      <c r="Z503" s="153"/>
    </row>
    <row r="504" spans="1:26">
      <c r="A504" s="167"/>
      <c r="B504" s="167"/>
      <c r="C504" s="167"/>
      <c r="D504" s="167"/>
      <c r="E504" s="167"/>
      <c r="F504" s="167"/>
      <c r="G504" s="167"/>
      <c r="H504" s="168"/>
      <c r="I504" s="168"/>
      <c r="J504" s="169"/>
      <c r="K504" s="168"/>
      <c r="L504" s="168"/>
      <c r="M504" s="167"/>
      <c r="N504" s="153"/>
      <c r="O504" s="153"/>
      <c r="P504" s="153"/>
      <c r="Q504" s="153"/>
      <c r="R504" s="153"/>
      <c r="S504" s="153"/>
      <c r="T504" s="153"/>
      <c r="U504" s="153"/>
      <c r="V504" s="153"/>
      <c r="W504" s="153"/>
      <c r="X504" s="153"/>
      <c r="Y504" s="153"/>
      <c r="Z504" s="153"/>
    </row>
    <row r="505" spans="1:26">
      <c r="A505" s="167"/>
      <c r="B505" s="167"/>
      <c r="C505" s="167"/>
      <c r="D505" s="167"/>
      <c r="E505" s="167"/>
      <c r="F505" s="167"/>
      <c r="G505" s="167"/>
      <c r="H505" s="168"/>
      <c r="I505" s="168"/>
      <c r="J505" s="169"/>
      <c r="K505" s="168"/>
      <c r="L505" s="168"/>
      <c r="M505" s="167"/>
      <c r="N505" s="153"/>
      <c r="O505" s="153"/>
      <c r="P505" s="153"/>
      <c r="Q505" s="153"/>
      <c r="R505" s="153"/>
      <c r="S505" s="153"/>
      <c r="T505" s="153"/>
      <c r="U505" s="153"/>
      <c r="V505" s="153"/>
      <c r="W505" s="153"/>
      <c r="X505" s="153"/>
      <c r="Y505" s="153"/>
      <c r="Z505" s="153"/>
    </row>
    <row r="506" spans="1:26">
      <c r="A506" s="167"/>
      <c r="B506" s="167"/>
      <c r="C506" s="167"/>
      <c r="D506" s="167"/>
      <c r="E506" s="167"/>
      <c r="F506" s="167"/>
      <c r="G506" s="167"/>
      <c r="H506" s="168"/>
      <c r="I506" s="168"/>
      <c r="J506" s="169"/>
      <c r="K506" s="168"/>
      <c r="L506" s="168"/>
      <c r="M506" s="167"/>
      <c r="N506" s="153"/>
      <c r="O506" s="153"/>
      <c r="P506" s="153"/>
      <c r="Q506" s="153"/>
      <c r="R506" s="153"/>
      <c r="S506" s="153"/>
      <c r="T506" s="153"/>
      <c r="U506" s="153"/>
      <c r="V506" s="153"/>
      <c r="W506" s="153"/>
      <c r="X506" s="153"/>
      <c r="Y506" s="153"/>
      <c r="Z506" s="153"/>
    </row>
    <row r="507" spans="1:26">
      <c r="A507" s="167"/>
      <c r="B507" s="167"/>
      <c r="C507" s="167"/>
      <c r="D507" s="167"/>
      <c r="E507" s="167"/>
      <c r="F507" s="167"/>
      <c r="G507" s="167"/>
      <c r="H507" s="168"/>
      <c r="I507" s="168"/>
      <c r="J507" s="169"/>
      <c r="K507" s="168"/>
      <c r="L507" s="168"/>
      <c r="M507" s="167"/>
      <c r="N507" s="153"/>
      <c r="O507" s="153"/>
      <c r="P507" s="153"/>
      <c r="Q507" s="153"/>
      <c r="R507" s="153"/>
      <c r="S507" s="153"/>
      <c r="T507" s="153"/>
      <c r="U507" s="153"/>
      <c r="V507" s="153"/>
      <c r="W507" s="153"/>
      <c r="X507" s="153"/>
      <c r="Y507" s="153"/>
      <c r="Z507" s="153"/>
    </row>
    <row r="508" spans="1:26">
      <c r="A508" s="167"/>
      <c r="B508" s="167"/>
      <c r="C508" s="167"/>
      <c r="D508" s="167"/>
      <c r="E508" s="167"/>
      <c r="F508" s="167"/>
      <c r="G508" s="167"/>
      <c r="H508" s="168"/>
      <c r="I508" s="168"/>
      <c r="J508" s="169"/>
      <c r="K508" s="168"/>
      <c r="L508" s="168"/>
      <c r="M508" s="167"/>
      <c r="N508" s="153"/>
      <c r="O508" s="153"/>
      <c r="P508" s="153"/>
      <c r="Q508" s="153"/>
      <c r="R508" s="153"/>
      <c r="S508" s="153"/>
      <c r="T508" s="153"/>
      <c r="U508" s="153"/>
      <c r="V508" s="153"/>
      <c r="W508" s="153"/>
      <c r="X508" s="153"/>
      <c r="Y508" s="153"/>
      <c r="Z508" s="153"/>
    </row>
    <row r="509" spans="1:26">
      <c r="A509" s="167"/>
      <c r="B509" s="167"/>
      <c r="C509" s="167"/>
      <c r="D509" s="167"/>
      <c r="E509" s="167"/>
      <c r="F509" s="167"/>
      <c r="G509" s="167"/>
      <c r="H509" s="168"/>
      <c r="I509" s="168"/>
      <c r="J509" s="169"/>
      <c r="K509" s="168"/>
      <c r="L509" s="168"/>
      <c r="M509" s="167"/>
      <c r="N509" s="153"/>
      <c r="O509" s="153"/>
      <c r="P509" s="153"/>
      <c r="Q509" s="153"/>
      <c r="R509" s="153"/>
      <c r="S509" s="153"/>
      <c r="T509" s="153"/>
      <c r="U509" s="153"/>
      <c r="V509" s="153"/>
      <c r="W509" s="153"/>
      <c r="X509" s="153"/>
      <c r="Y509" s="153"/>
      <c r="Z509" s="153"/>
    </row>
    <row r="510" spans="1:26">
      <c r="A510" s="167"/>
      <c r="B510" s="167"/>
      <c r="C510" s="167"/>
      <c r="D510" s="167"/>
      <c r="E510" s="167"/>
      <c r="F510" s="167"/>
      <c r="G510" s="167"/>
      <c r="H510" s="168"/>
      <c r="I510" s="168"/>
      <c r="J510" s="169"/>
      <c r="K510" s="168"/>
      <c r="L510" s="168"/>
      <c r="M510" s="167"/>
      <c r="N510" s="153"/>
      <c r="O510" s="153"/>
      <c r="P510" s="153"/>
      <c r="Q510" s="153"/>
      <c r="R510" s="153"/>
      <c r="S510" s="153"/>
      <c r="T510" s="153"/>
      <c r="U510" s="153"/>
      <c r="V510" s="153"/>
      <c r="W510" s="153"/>
      <c r="X510" s="153"/>
      <c r="Y510" s="153"/>
      <c r="Z510" s="153"/>
    </row>
    <row r="511" spans="1:26">
      <c r="A511" s="167"/>
      <c r="B511" s="167"/>
      <c r="C511" s="167"/>
      <c r="D511" s="167"/>
      <c r="E511" s="167"/>
      <c r="F511" s="167"/>
      <c r="G511" s="167"/>
      <c r="H511" s="168"/>
      <c r="I511" s="168"/>
      <c r="J511" s="169"/>
      <c r="K511" s="168"/>
      <c r="L511" s="168"/>
      <c r="M511" s="167"/>
      <c r="N511" s="153"/>
      <c r="O511" s="153"/>
      <c r="P511" s="153"/>
      <c r="Q511" s="153"/>
      <c r="R511" s="153"/>
      <c r="S511" s="153"/>
      <c r="T511" s="153"/>
      <c r="U511" s="153"/>
      <c r="V511" s="153"/>
      <c r="W511" s="153"/>
      <c r="X511" s="153"/>
      <c r="Y511" s="153"/>
      <c r="Z511" s="153"/>
    </row>
    <row r="512" spans="1:26">
      <c r="A512" s="167"/>
      <c r="B512" s="167"/>
      <c r="C512" s="167"/>
      <c r="D512" s="167"/>
      <c r="E512" s="167"/>
      <c r="F512" s="167"/>
      <c r="G512" s="167"/>
      <c r="H512" s="168"/>
      <c r="I512" s="168"/>
      <c r="J512" s="169"/>
      <c r="K512" s="168"/>
      <c r="L512" s="168"/>
      <c r="M512" s="167"/>
      <c r="N512" s="153"/>
      <c r="O512" s="153"/>
      <c r="P512" s="153"/>
      <c r="Q512" s="153"/>
      <c r="R512" s="153"/>
      <c r="S512" s="153"/>
      <c r="T512" s="153"/>
      <c r="U512" s="153"/>
      <c r="V512" s="153"/>
      <c r="W512" s="153"/>
      <c r="X512" s="153"/>
      <c r="Y512" s="153"/>
      <c r="Z512" s="153"/>
    </row>
    <row r="513" spans="1:26">
      <c r="A513" s="167"/>
      <c r="B513" s="167"/>
      <c r="C513" s="167"/>
      <c r="D513" s="167"/>
      <c r="E513" s="167"/>
      <c r="F513" s="167"/>
      <c r="G513" s="167"/>
      <c r="H513" s="168"/>
      <c r="I513" s="168"/>
      <c r="J513" s="169"/>
      <c r="K513" s="168"/>
      <c r="L513" s="168"/>
      <c r="M513" s="167"/>
      <c r="N513" s="153"/>
      <c r="O513" s="153"/>
      <c r="P513" s="153"/>
      <c r="Q513" s="153"/>
      <c r="R513" s="153"/>
      <c r="S513" s="153"/>
      <c r="T513" s="153"/>
      <c r="U513" s="153"/>
      <c r="V513" s="153"/>
      <c r="W513" s="153"/>
      <c r="X513" s="153"/>
      <c r="Y513" s="153"/>
      <c r="Z513" s="153"/>
    </row>
    <row r="514" spans="1:26">
      <c r="A514" s="167"/>
      <c r="B514" s="167"/>
      <c r="C514" s="167"/>
      <c r="D514" s="167"/>
      <c r="E514" s="167"/>
      <c r="F514" s="167"/>
      <c r="G514" s="167"/>
      <c r="H514" s="168"/>
      <c r="I514" s="168"/>
      <c r="J514" s="169"/>
      <c r="K514" s="168"/>
      <c r="L514" s="168"/>
      <c r="M514" s="167"/>
      <c r="N514" s="153"/>
      <c r="O514" s="153"/>
      <c r="P514" s="153"/>
      <c r="Q514" s="153"/>
      <c r="R514" s="153"/>
      <c r="S514" s="153"/>
      <c r="T514" s="153"/>
      <c r="U514" s="153"/>
      <c r="V514" s="153"/>
      <c r="W514" s="153"/>
      <c r="X514" s="153"/>
      <c r="Y514" s="153"/>
      <c r="Z514" s="153"/>
    </row>
    <row r="515" spans="1:26">
      <c r="A515" s="167"/>
      <c r="B515" s="167"/>
      <c r="C515" s="167"/>
      <c r="D515" s="167"/>
      <c r="E515" s="167"/>
      <c r="F515" s="167"/>
      <c r="G515" s="167"/>
      <c r="H515" s="168"/>
      <c r="I515" s="168"/>
      <c r="J515" s="169"/>
      <c r="K515" s="168"/>
      <c r="L515" s="168"/>
      <c r="M515" s="167"/>
      <c r="N515" s="153"/>
      <c r="O515" s="153"/>
      <c r="P515" s="153"/>
      <c r="Q515" s="153"/>
      <c r="R515" s="153"/>
      <c r="S515" s="153"/>
      <c r="T515" s="153"/>
      <c r="U515" s="153"/>
      <c r="V515" s="153"/>
      <c r="W515" s="153"/>
      <c r="X515" s="153"/>
      <c r="Y515" s="153"/>
      <c r="Z515" s="153"/>
    </row>
    <row r="516" spans="1:26">
      <c r="A516" s="167"/>
      <c r="B516" s="167"/>
      <c r="C516" s="167"/>
      <c r="D516" s="167"/>
      <c r="E516" s="167"/>
      <c r="F516" s="167"/>
      <c r="G516" s="167"/>
      <c r="H516" s="168"/>
      <c r="I516" s="168"/>
      <c r="J516" s="169"/>
      <c r="K516" s="168"/>
      <c r="L516" s="168"/>
      <c r="M516" s="167"/>
      <c r="N516" s="153"/>
      <c r="O516" s="153"/>
      <c r="P516" s="153"/>
      <c r="Q516" s="153"/>
      <c r="R516" s="153"/>
      <c r="S516" s="153"/>
      <c r="T516" s="153"/>
      <c r="U516" s="153"/>
      <c r="V516" s="153"/>
      <c r="W516" s="153"/>
      <c r="X516" s="153"/>
      <c r="Y516" s="153"/>
      <c r="Z516" s="153"/>
    </row>
    <row r="517" spans="1:26">
      <c r="A517" s="167"/>
      <c r="B517" s="167"/>
      <c r="C517" s="167"/>
      <c r="D517" s="167"/>
      <c r="E517" s="167"/>
      <c r="F517" s="167"/>
      <c r="G517" s="167"/>
      <c r="H517" s="168"/>
      <c r="I517" s="168"/>
      <c r="J517" s="169"/>
      <c r="K517" s="168"/>
      <c r="L517" s="168"/>
      <c r="M517" s="167"/>
      <c r="N517" s="153"/>
      <c r="O517" s="153"/>
      <c r="P517" s="153"/>
      <c r="Q517" s="153"/>
      <c r="R517" s="153"/>
      <c r="S517" s="153"/>
      <c r="T517" s="153"/>
      <c r="U517" s="153"/>
      <c r="V517" s="153"/>
      <c r="W517" s="153"/>
      <c r="X517" s="153"/>
      <c r="Y517" s="153"/>
      <c r="Z517" s="153"/>
    </row>
    <row r="518" spans="1:26">
      <c r="A518" s="167"/>
      <c r="B518" s="167"/>
      <c r="C518" s="167"/>
      <c r="D518" s="167"/>
      <c r="E518" s="167"/>
      <c r="F518" s="167"/>
      <c r="G518" s="167"/>
      <c r="H518" s="168"/>
      <c r="I518" s="168"/>
      <c r="J518" s="169"/>
      <c r="K518" s="168"/>
      <c r="L518" s="168"/>
      <c r="M518" s="167"/>
      <c r="N518" s="153"/>
      <c r="O518" s="153"/>
      <c r="P518" s="153"/>
      <c r="Q518" s="153"/>
      <c r="R518" s="153"/>
      <c r="S518" s="153"/>
      <c r="T518" s="153"/>
      <c r="U518" s="153"/>
      <c r="V518" s="153"/>
      <c r="W518" s="153"/>
      <c r="X518" s="153"/>
      <c r="Y518" s="153"/>
      <c r="Z518" s="153"/>
    </row>
    <row r="519" spans="1:26">
      <c r="A519" s="167"/>
      <c r="B519" s="167"/>
      <c r="C519" s="167"/>
      <c r="D519" s="167"/>
      <c r="E519" s="167"/>
      <c r="F519" s="167"/>
      <c r="G519" s="167"/>
      <c r="H519" s="168"/>
      <c r="I519" s="168"/>
      <c r="J519" s="169"/>
      <c r="K519" s="168"/>
      <c r="L519" s="168"/>
      <c r="M519" s="167"/>
      <c r="N519" s="153"/>
      <c r="O519" s="153"/>
      <c r="P519" s="153"/>
      <c r="Q519" s="153"/>
      <c r="R519" s="153"/>
      <c r="S519" s="153"/>
      <c r="T519" s="153"/>
      <c r="U519" s="153"/>
      <c r="V519" s="153"/>
      <c r="W519" s="153"/>
      <c r="X519" s="153"/>
      <c r="Y519" s="153"/>
      <c r="Z519" s="153"/>
    </row>
    <row r="520" spans="1:26">
      <c r="A520" s="167"/>
      <c r="B520" s="167"/>
      <c r="C520" s="167"/>
      <c r="D520" s="167"/>
      <c r="E520" s="167"/>
      <c r="F520" s="167"/>
      <c r="G520" s="167"/>
      <c r="H520" s="168"/>
      <c r="I520" s="168"/>
      <c r="J520" s="169"/>
      <c r="K520" s="168"/>
      <c r="L520" s="168"/>
      <c r="M520" s="167"/>
      <c r="N520" s="153"/>
      <c r="O520" s="153"/>
      <c r="P520" s="153"/>
      <c r="Q520" s="153"/>
      <c r="R520" s="153"/>
      <c r="S520" s="153"/>
      <c r="T520" s="153"/>
      <c r="U520" s="153"/>
      <c r="V520" s="153"/>
      <c r="W520" s="153"/>
      <c r="X520" s="153"/>
      <c r="Y520" s="153"/>
      <c r="Z520" s="153"/>
    </row>
    <row r="521" spans="1:26">
      <c r="A521" s="167"/>
      <c r="B521" s="167"/>
      <c r="C521" s="167"/>
      <c r="D521" s="167"/>
      <c r="E521" s="167"/>
      <c r="F521" s="167"/>
      <c r="G521" s="167"/>
      <c r="H521" s="168"/>
      <c r="I521" s="168"/>
      <c r="J521" s="169"/>
      <c r="K521" s="168"/>
      <c r="L521" s="168"/>
      <c r="M521" s="167"/>
      <c r="N521" s="153"/>
      <c r="O521" s="153"/>
      <c r="P521" s="153"/>
      <c r="Q521" s="153"/>
      <c r="R521" s="153"/>
      <c r="S521" s="153"/>
      <c r="T521" s="153"/>
      <c r="U521" s="153"/>
      <c r="V521" s="153"/>
      <c r="W521" s="153"/>
      <c r="X521" s="153"/>
      <c r="Y521" s="153"/>
      <c r="Z521" s="153"/>
    </row>
    <row r="522" spans="1:26">
      <c r="A522" s="167"/>
      <c r="B522" s="167"/>
      <c r="C522" s="167"/>
      <c r="D522" s="167"/>
      <c r="E522" s="167"/>
      <c r="F522" s="167"/>
      <c r="G522" s="167"/>
      <c r="H522" s="168"/>
      <c r="I522" s="168"/>
      <c r="J522" s="169"/>
      <c r="K522" s="168"/>
      <c r="L522" s="168"/>
      <c r="M522" s="167"/>
      <c r="N522" s="153"/>
      <c r="O522" s="153"/>
      <c r="P522" s="153"/>
      <c r="Q522" s="153"/>
      <c r="R522" s="153"/>
      <c r="S522" s="153"/>
      <c r="T522" s="153"/>
      <c r="U522" s="153"/>
      <c r="V522" s="153"/>
      <c r="W522" s="153"/>
      <c r="X522" s="153"/>
      <c r="Y522" s="153"/>
      <c r="Z522" s="153"/>
    </row>
    <row r="523" spans="1:26">
      <c r="A523" s="167"/>
      <c r="B523" s="167"/>
      <c r="C523" s="167"/>
      <c r="D523" s="167"/>
      <c r="E523" s="167"/>
      <c r="F523" s="167"/>
      <c r="G523" s="167"/>
      <c r="H523" s="168"/>
      <c r="I523" s="168"/>
      <c r="J523" s="169"/>
      <c r="K523" s="168"/>
      <c r="L523" s="168"/>
      <c r="M523" s="167"/>
      <c r="N523" s="153"/>
      <c r="O523" s="153"/>
      <c r="P523" s="153"/>
      <c r="Q523" s="153"/>
      <c r="R523" s="153"/>
      <c r="S523" s="153"/>
      <c r="T523" s="153"/>
      <c r="U523" s="153"/>
      <c r="V523" s="153"/>
      <c r="W523" s="153"/>
      <c r="X523" s="153"/>
      <c r="Y523" s="153"/>
      <c r="Z523" s="153"/>
    </row>
    <row r="524" spans="1:26">
      <c r="A524" s="167"/>
      <c r="B524" s="167"/>
      <c r="C524" s="167"/>
      <c r="D524" s="167"/>
      <c r="E524" s="167"/>
      <c r="F524" s="167"/>
      <c r="G524" s="167"/>
      <c r="H524" s="168"/>
      <c r="I524" s="168"/>
      <c r="J524" s="169"/>
      <c r="K524" s="168"/>
      <c r="L524" s="168"/>
      <c r="M524" s="167"/>
      <c r="N524" s="153"/>
      <c r="O524" s="153"/>
      <c r="P524" s="153"/>
      <c r="Q524" s="153"/>
      <c r="R524" s="153"/>
      <c r="S524" s="153"/>
      <c r="T524" s="153"/>
      <c r="U524" s="153"/>
      <c r="V524" s="153"/>
      <c r="W524" s="153"/>
      <c r="X524" s="153"/>
      <c r="Y524" s="153"/>
      <c r="Z524" s="153"/>
    </row>
    <row r="525" spans="1:26">
      <c r="A525" s="167"/>
      <c r="B525" s="167"/>
      <c r="C525" s="167"/>
      <c r="D525" s="167"/>
      <c r="E525" s="167"/>
      <c r="F525" s="167"/>
      <c r="G525" s="167"/>
      <c r="H525" s="168"/>
      <c r="I525" s="168"/>
      <c r="J525" s="169"/>
      <c r="K525" s="168"/>
      <c r="L525" s="168"/>
      <c r="M525" s="167"/>
      <c r="N525" s="153"/>
      <c r="O525" s="153"/>
      <c r="P525" s="153"/>
      <c r="Q525" s="153"/>
      <c r="R525" s="153"/>
      <c r="S525" s="153"/>
      <c r="T525" s="153"/>
      <c r="U525" s="153"/>
      <c r="V525" s="153"/>
      <c r="W525" s="153"/>
      <c r="X525" s="153"/>
      <c r="Y525" s="153"/>
      <c r="Z525" s="153"/>
    </row>
    <row r="526" spans="1:26">
      <c r="A526" s="167"/>
      <c r="B526" s="167"/>
      <c r="C526" s="167"/>
      <c r="D526" s="167"/>
      <c r="E526" s="167"/>
      <c r="F526" s="167"/>
      <c r="G526" s="167"/>
      <c r="H526" s="168"/>
      <c r="I526" s="168"/>
      <c r="J526" s="169"/>
      <c r="K526" s="168"/>
      <c r="L526" s="168"/>
      <c r="M526" s="167"/>
      <c r="N526" s="153"/>
      <c r="O526" s="153"/>
      <c r="P526" s="153"/>
      <c r="Q526" s="153"/>
      <c r="R526" s="153"/>
      <c r="S526" s="153"/>
      <c r="T526" s="153"/>
      <c r="U526" s="153"/>
      <c r="V526" s="153"/>
      <c r="W526" s="153"/>
      <c r="X526" s="153"/>
      <c r="Y526" s="153"/>
      <c r="Z526" s="153"/>
    </row>
    <row r="527" spans="1:26">
      <c r="A527" s="167"/>
      <c r="B527" s="167"/>
      <c r="C527" s="167"/>
      <c r="D527" s="167"/>
      <c r="E527" s="167"/>
      <c r="F527" s="167"/>
      <c r="G527" s="167"/>
      <c r="H527" s="168"/>
      <c r="I527" s="168"/>
      <c r="J527" s="169"/>
      <c r="K527" s="168"/>
      <c r="L527" s="168"/>
      <c r="M527" s="167"/>
      <c r="N527" s="153"/>
      <c r="O527" s="153"/>
      <c r="P527" s="153"/>
      <c r="Q527" s="153"/>
      <c r="R527" s="153"/>
      <c r="S527" s="153"/>
      <c r="T527" s="153"/>
      <c r="U527" s="153"/>
      <c r="V527" s="153"/>
      <c r="W527" s="153"/>
      <c r="X527" s="153"/>
      <c r="Y527" s="153"/>
      <c r="Z527" s="153"/>
    </row>
    <row r="528" spans="1:26">
      <c r="A528" s="167"/>
      <c r="B528" s="167"/>
      <c r="C528" s="167"/>
      <c r="D528" s="167"/>
      <c r="E528" s="167"/>
      <c r="F528" s="167"/>
      <c r="G528" s="167"/>
      <c r="H528" s="168"/>
      <c r="I528" s="168"/>
      <c r="J528" s="169"/>
      <c r="K528" s="168"/>
      <c r="L528" s="168"/>
      <c r="M528" s="167"/>
      <c r="N528" s="153"/>
      <c r="O528" s="153"/>
      <c r="P528" s="153"/>
      <c r="Q528" s="153"/>
      <c r="R528" s="153"/>
      <c r="S528" s="153"/>
      <c r="T528" s="153"/>
      <c r="U528" s="153"/>
      <c r="V528" s="153"/>
      <c r="W528" s="153"/>
      <c r="X528" s="153"/>
      <c r="Y528" s="153"/>
      <c r="Z528" s="153"/>
    </row>
    <row r="529" spans="1:26">
      <c r="A529" s="167"/>
      <c r="B529" s="167"/>
      <c r="C529" s="167"/>
      <c r="D529" s="167"/>
      <c r="E529" s="167"/>
      <c r="F529" s="167"/>
      <c r="G529" s="167"/>
      <c r="H529" s="168"/>
      <c r="I529" s="168"/>
      <c r="J529" s="169"/>
      <c r="K529" s="168"/>
      <c r="L529" s="168"/>
      <c r="M529" s="167"/>
      <c r="N529" s="153"/>
      <c r="O529" s="153"/>
      <c r="P529" s="153"/>
      <c r="Q529" s="153"/>
      <c r="R529" s="153"/>
      <c r="S529" s="153"/>
      <c r="T529" s="153"/>
      <c r="U529" s="153"/>
      <c r="V529" s="153"/>
      <c r="W529" s="153"/>
      <c r="X529" s="153"/>
      <c r="Y529" s="153"/>
      <c r="Z529" s="153"/>
    </row>
    <row r="530" spans="1:26">
      <c r="A530" s="170"/>
      <c r="B530" s="170"/>
      <c r="C530" s="170"/>
      <c r="D530" s="170"/>
      <c r="E530" s="170"/>
      <c r="F530" s="170"/>
      <c r="G530" s="170"/>
      <c r="H530" s="171"/>
      <c r="I530" s="171"/>
      <c r="J530" s="172"/>
      <c r="K530" s="171"/>
      <c r="L530" s="171"/>
      <c r="M530" s="170"/>
      <c r="N530" s="153"/>
      <c r="O530" s="153"/>
      <c r="P530" s="153"/>
      <c r="Q530" s="153"/>
      <c r="R530" s="153"/>
      <c r="S530" s="153"/>
      <c r="T530" s="153"/>
      <c r="U530" s="153"/>
      <c r="V530" s="153"/>
      <c r="W530" s="153"/>
      <c r="X530" s="153"/>
      <c r="Y530" s="153"/>
      <c r="Z530" s="153"/>
    </row>
    <row r="531" spans="1:26">
      <c r="A531" s="170"/>
      <c r="B531" s="170"/>
      <c r="C531" s="170"/>
      <c r="D531" s="170"/>
      <c r="E531" s="170"/>
      <c r="F531" s="170"/>
      <c r="G531" s="170"/>
      <c r="H531" s="171"/>
      <c r="I531" s="171"/>
      <c r="J531" s="172"/>
      <c r="K531" s="171"/>
      <c r="L531" s="171"/>
      <c r="M531" s="170"/>
      <c r="N531" s="153"/>
      <c r="O531" s="153"/>
      <c r="P531" s="153"/>
      <c r="Q531" s="153"/>
      <c r="R531" s="153"/>
      <c r="S531" s="153"/>
      <c r="T531" s="153"/>
      <c r="U531" s="153"/>
      <c r="V531" s="153"/>
      <c r="W531" s="153"/>
      <c r="X531" s="153"/>
      <c r="Y531" s="153"/>
      <c r="Z531" s="153"/>
    </row>
    <row r="532" spans="1:26">
      <c r="A532" s="170"/>
      <c r="B532" s="170"/>
      <c r="C532" s="170"/>
      <c r="D532" s="170"/>
      <c r="E532" s="170"/>
      <c r="F532" s="170"/>
      <c r="G532" s="170"/>
      <c r="H532" s="171"/>
      <c r="I532" s="171"/>
      <c r="J532" s="172"/>
      <c r="K532" s="171"/>
      <c r="L532" s="171"/>
      <c r="M532" s="170"/>
      <c r="N532" s="153"/>
      <c r="O532" s="153"/>
      <c r="P532" s="153"/>
      <c r="Q532" s="153"/>
      <c r="R532" s="153"/>
      <c r="S532" s="153"/>
      <c r="T532" s="153"/>
      <c r="U532" s="153"/>
      <c r="V532" s="153"/>
      <c r="W532" s="153"/>
      <c r="X532" s="153"/>
      <c r="Y532" s="153"/>
      <c r="Z532" s="153"/>
    </row>
    <row r="533" spans="1:26">
      <c r="A533" s="170"/>
      <c r="B533" s="170"/>
      <c r="C533" s="170"/>
      <c r="D533" s="170"/>
      <c r="E533" s="170"/>
      <c r="F533" s="170"/>
      <c r="G533" s="170"/>
      <c r="H533" s="171"/>
      <c r="I533" s="171"/>
      <c r="J533" s="172"/>
      <c r="K533" s="171"/>
      <c r="L533" s="171"/>
      <c r="M533" s="170"/>
      <c r="N533" s="153"/>
      <c r="O533" s="153"/>
      <c r="P533" s="153"/>
      <c r="Q533" s="153"/>
      <c r="R533" s="153"/>
      <c r="S533" s="153"/>
      <c r="T533" s="153"/>
      <c r="U533" s="153"/>
      <c r="V533" s="153"/>
      <c r="W533" s="153"/>
      <c r="X533" s="153"/>
      <c r="Y533" s="153"/>
      <c r="Z533" s="153"/>
    </row>
    <row r="534" spans="1:26">
      <c r="A534" s="170"/>
      <c r="B534" s="170"/>
      <c r="C534" s="170"/>
      <c r="D534" s="170"/>
      <c r="E534" s="170"/>
      <c r="F534" s="170"/>
      <c r="G534" s="170"/>
      <c r="H534" s="171"/>
      <c r="I534" s="171"/>
      <c r="J534" s="172"/>
      <c r="K534" s="171"/>
      <c r="L534" s="171"/>
      <c r="M534" s="170"/>
      <c r="N534" s="153"/>
      <c r="O534" s="153"/>
      <c r="P534" s="153"/>
      <c r="Q534" s="153"/>
      <c r="R534" s="153"/>
      <c r="S534" s="153"/>
      <c r="T534" s="153"/>
      <c r="U534" s="153"/>
      <c r="V534" s="153"/>
      <c r="W534" s="153"/>
      <c r="X534" s="153"/>
      <c r="Y534" s="153"/>
      <c r="Z534" s="153"/>
    </row>
    <row r="535" spans="1:26">
      <c r="A535" s="170"/>
      <c r="B535" s="170"/>
      <c r="C535" s="170"/>
      <c r="D535" s="170"/>
      <c r="E535" s="170"/>
      <c r="F535" s="170"/>
      <c r="G535" s="170"/>
      <c r="H535" s="171"/>
      <c r="I535" s="171"/>
      <c r="J535" s="172"/>
      <c r="K535" s="171"/>
      <c r="L535" s="171"/>
      <c r="M535" s="170"/>
      <c r="N535" s="153"/>
      <c r="O535" s="153"/>
      <c r="P535" s="153"/>
      <c r="Q535" s="153"/>
      <c r="R535" s="153"/>
      <c r="S535" s="153"/>
      <c r="T535" s="153"/>
      <c r="U535" s="153"/>
      <c r="V535" s="153"/>
      <c r="W535" s="153"/>
      <c r="X535" s="153"/>
      <c r="Y535" s="153"/>
      <c r="Z535" s="153"/>
    </row>
    <row r="536" spans="1:26">
      <c r="A536" s="170"/>
      <c r="B536" s="170"/>
      <c r="C536" s="170"/>
      <c r="D536" s="170"/>
      <c r="E536" s="170"/>
      <c r="F536" s="170"/>
      <c r="G536" s="170"/>
      <c r="H536" s="171"/>
      <c r="I536" s="171"/>
      <c r="J536" s="172"/>
      <c r="K536" s="171"/>
      <c r="L536" s="171"/>
      <c r="M536" s="170"/>
      <c r="N536" s="153"/>
      <c r="O536" s="153"/>
      <c r="P536" s="153"/>
      <c r="Q536" s="153"/>
      <c r="R536" s="153"/>
      <c r="S536" s="153"/>
      <c r="T536" s="153"/>
      <c r="U536" s="153"/>
      <c r="V536" s="153"/>
      <c r="W536" s="153"/>
      <c r="X536" s="153"/>
      <c r="Y536" s="153"/>
      <c r="Z536" s="153"/>
    </row>
    <row r="537" spans="1:26">
      <c r="A537" s="170"/>
      <c r="B537" s="170"/>
      <c r="C537" s="170"/>
      <c r="D537" s="170"/>
      <c r="E537" s="170"/>
      <c r="F537" s="170"/>
      <c r="G537" s="170"/>
      <c r="H537" s="171"/>
      <c r="I537" s="171"/>
      <c r="J537" s="172"/>
      <c r="K537" s="171"/>
      <c r="L537" s="171"/>
      <c r="M537" s="170"/>
      <c r="N537" s="153"/>
      <c r="O537" s="153"/>
      <c r="P537" s="153"/>
      <c r="Q537" s="153"/>
      <c r="R537" s="153"/>
      <c r="S537" s="153"/>
      <c r="T537" s="153"/>
      <c r="U537" s="153"/>
      <c r="V537" s="153"/>
      <c r="W537" s="153"/>
      <c r="X537" s="153"/>
      <c r="Y537" s="153"/>
      <c r="Z537" s="153"/>
    </row>
    <row r="538" spans="1:26">
      <c r="A538" s="170"/>
      <c r="B538" s="170"/>
      <c r="C538" s="170"/>
      <c r="D538" s="170"/>
      <c r="E538" s="170"/>
      <c r="F538" s="170"/>
      <c r="G538" s="170"/>
      <c r="H538" s="171"/>
      <c r="I538" s="171"/>
      <c r="J538" s="172"/>
      <c r="K538" s="171"/>
      <c r="L538" s="171"/>
      <c r="M538" s="170"/>
      <c r="N538" s="153"/>
      <c r="O538" s="153"/>
      <c r="P538" s="153"/>
      <c r="Q538" s="153"/>
      <c r="R538" s="153"/>
      <c r="S538" s="153"/>
      <c r="T538" s="153"/>
      <c r="U538" s="153"/>
      <c r="V538" s="153"/>
      <c r="W538" s="153"/>
      <c r="X538" s="153"/>
      <c r="Y538" s="153"/>
      <c r="Z538" s="153"/>
    </row>
    <row r="539" spans="1:26">
      <c r="A539" s="170"/>
      <c r="B539" s="170"/>
      <c r="C539" s="170"/>
      <c r="D539" s="170"/>
      <c r="E539" s="170"/>
      <c r="F539" s="170"/>
      <c r="G539" s="170"/>
      <c r="H539" s="171"/>
      <c r="I539" s="171"/>
      <c r="J539" s="172"/>
      <c r="K539" s="171"/>
      <c r="L539" s="171"/>
      <c r="M539" s="170"/>
      <c r="N539" s="153"/>
      <c r="O539" s="153"/>
      <c r="P539" s="153"/>
      <c r="Q539" s="153"/>
      <c r="R539" s="153"/>
      <c r="S539" s="153"/>
      <c r="T539" s="153"/>
      <c r="U539" s="153"/>
      <c r="V539" s="153"/>
      <c r="W539" s="153"/>
      <c r="X539" s="153"/>
      <c r="Y539" s="153"/>
      <c r="Z539" s="153"/>
    </row>
    <row r="540" spans="1:26">
      <c r="A540" s="170"/>
      <c r="B540" s="170"/>
      <c r="C540" s="170"/>
      <c r="D540" s="170"/>
      <c r="E540" s="170"/>
      <c r="F540" s="170"/>
      <c r="G540" s="170"/>
      <c r="H540" s="171"/>
      <c r="I540" s="171"/>
      <c r="J540" s="172"/>
      <c r="K540" s="171"/>
      <c r="L540" s="171"/>
      <c r="M540" s="170"/>
      <c r="N540" s="153"/>
      <c r="O540" s="153"/>
      <c r="P540" s="153"/>
      <c r="Q540" s="153"/>
      <c r="R540" s="153"/>
      <c r="S540" s="153"/>
      <c r="T540" s="153"/>
      <c r="U540" s="153"/>
      <c r="V540" s="153"/>
      <c r="W540" s="153"/>
      <c r="X540" s="153"/>
      <c r="Y540" s="153"/>
      <c r="Z540" s="153"/>
    </row>
    <row r="541" spans="1:26">
      <c r="A541" s="170"/>
      <c r="B541" s="170"/>
      <c r="C541" s="170"/>
      <c r="D541" s="170"/>
      <c r="E541" s="170"/>
      <c r="F541" s="170"/>
      <c r="G541" s="170"/>
      <c r="H541" s="171"/>
      <c r="I541" s="171"/>
      <c r="J541" s="172"/>
      <c r="K541" s="171"/>
      <c r="L541" s="171"/>
      <c r="M541" s="170"/>
      <c r="N541" s="153"/>
      <c r="O541" s="153"/>
      <c r="P541" s="153"/>
      <c r="Q541" s="153"/>
      <c r="R541" s="153"/>
      <c r="S541" s="153"/>
      <c r="T541" s="153"/>
      <c r="U541" s="153"/>
      <c r="V541" s="153"/>
      <c r="W541" s="153"/>
      <c r="X541" s="153"/>
      <c r="Y541" s="153"/>
      <c r="Z541" s="153"/>
    </row>
    <row r="542" spans="1:26">
      <c r="A542" s="170"/>
      <c r="B542" s="170"/>
      <c r="C542" s="170"/>
      <c r="D542" s="170"/>
      <c r="E542" s="170"/>
      <c r="F542" s="170"/>
      <c r="G542" s="170"/>
      <c r="H542" s="171"/>
      <c r="I542" s="171"/>
      <c r="J542" s="172"/>
      <c r="K542" s="171"/>
      <c r="L542" s="171"/>
      <c r="M542" s="170"/>
      <c r="N542" s="153"/>
      <c r="O542" s="153"/>
      <c r="P542" s="153"/>
      <c r="Q542" s="153"/>
      <c r="R542" s="153"/>
      <c r="S542" s="153"/>
      <c r="T542" s="153"/>
      <c r="U542" s="153"/>
      <c r="V542" s="153"/>
      <c r="W542" s="153"/>
      <c r="X542" s="153"/>
      <c r="Y542" s="153"/>
      <c r="Z542" s="153"/>
    </row>
    <row r="543" spans="1:26">
      <c r="A543" s="170"/>
      <c r="B543" s="170"/>
      <c r="C543" s="170"/>
      <c r="D543" s="170"/>
      <c r="E543" s="170"/>
      <c r="F543" s="170"/>
      <c r="G543" s="170"/>
      <c r="H543" s="171"/>
      <c r="I543" s="171"/>
      <c r="J543" s="172"/>
      <c r="K543" s="171"/>
      <c r="L543" s="171"/>
      <c r="M543" s="170"/>
      <c r="N543" s="153"/>
      <c r="O543" s="153"/>
      <c r="P543" s="153"/>
      <c r="Q543" s="153"/>
      <c r="R543" s="153"/>
      <c r="S543" s="153"/>
      <c r="T543" s="153"/>
      <c r="U543" s="153"/>
      <c r="V543" s="153"/>
      <c r="W543" s="153"/>
      <c r="X543" s="153"/>
      <c r="Y543" s="153"/>
      <c r="Z543" s="153"/>
    </row>
    <row r="544" spans="1:26">
      <c r="A544" s="170"/>
      <c r="B544" s="170"/>
      <c r="C544" s="170"/>
      <c r="D544" s="170"/>
      <c r="E544" s="170"/>
      <c r="F544" s="170"/>
      <c r="G544" s="170"/>
      <c r="H544" s="171"/>
      <c r="I544" s="171"/>
      <c r="J544" s="172"/>
      <c r="K544" s="171"/>
      <c r="L544" s="171"/>
      <c r="M544" s="170"/>
      <c r="N544" s="153"/>
      <c r="O544" s="153"/>
      <c r="P544" s="153"/>
      <c r="Q544" s="153"/>
      <c r="R544" s="153"/>
      <c r="S544" s="153"/>
      <c r="T544" s="153"/>
      <c r="U544" s="153"/>
      <c r="V544" s="153"/>
      <c r="W544" s="153"/>
      <c r="X544" s="153"/>
      <c r="Y544" s="153"/>
      <c r="Z544" s="153"/>
    </row>
    <row r="545" spans="1:26">
      <c r="A545" s="170"/>
      <c r="B545" s="170"/>
      <c r="C545" s="170"/>
      <c r="D545" s="170"/>
      <c r="E545" s="170"/>
      <c r="F545" s="170"/>
      <c r="G545" s="170"/>
      <c r="H545" s="171"/>
      <c r="I545" s="171"/>
      <c r="J545" s="172"/>
      <c r="K545" s="171"/>
      <c r="L545" s="171"/>
      <c r="M545" s="170"/>
      <c r="N545" s="153"/>
      <c r="O545" s="153"/>
      <c r="P545" s="153"/>
      <c r="Q545" s="153"/>
      <c r="R545" s="153"/>
      <c r="S545" s="153"/>
      <c r="T545" s="153"/>
      <c r="U545" s="153"/>
      <c r="V545" s="153"/>
      <c r="W545" s="153"/>
      <c r="X545" s="153"/>
      <c r="Y545" s="153"/>
      <c r="Z545" s="153"/>
    </row>
    <row r="546" spans="1:26">
      <c r="A546" s="170"/>
      <c r="B546" s="170"/>
      <c r="C546" s="170"/>
      <c r="D546" s="170"/>
      <c r="E546" s="170"/>
      <c r="F546" s="170"/>
      <c r="G546" s="170"/>
      <c r="H546" s="171"/>
      <c r="I546" s="171"/>
      <c r="J546" s="172"/>
      <c r="K546" s="171"/>
      <c r="L546" s="171"/>
      <c r="M546" s="170"/>
      <c r="N546" s="153"/>
      <c r="O546" s="153"/>
      <c r="P546" s="153"/>
      <c r="Q546" s="153"/>
      <c r="R546" s="153"/>
      <c r="S546" s="153"/>
      <c r="T546" s="153"/>
      <c r="U546" s="153"/>
      <c r="V546" s="153"/>
      <c r="W546" s="153"/>
      <c r="X546" s="153"/>
      <c r="Y546" s="153"/>
      <c r="Z546" s="153"/>
    </row>
    <row r="547" spans="1:26">
      <c r="A547" s="170"/>
      <c r="B547" s="170"/>
      <c r="C547" s="170"/>
      <c r="D547" s="170"/>
      <c r="E547" s="170"/>
      <c r="F547" s="170"/>
      <c r="G547" s="170"/>
      <c r="H547" s="171"/>
      <c r="I547" s="171"/>
      <c r="J547" s="172"/>
      <c r="K547" s="171"/>
      <c r="L547" s="171"/>
      <c r="M547" s="170"/>
      <c r="N547" s="153"/>
      <c r="O547" s="153"/>
      <c r="P547" s="153"/>
      <c r="Q547" s="153"/>
      <c r="R547" s="153"/>
      <c r="S547" s="153"/>
      <c r="T547" s="153"/>
      <c r="U547" s="153"/>
      <c r="V547" s="153"/>
      <c r="W547" s="153"/>
      <c r="X547" s="153"/>
      <c r="Y547" s="153"/>
      <c r="Z547" s="153"/>
    </row>
    <row r="548" spans="1:26">
      <c r="A548" s="170"/>
      <c r="B548" s="170"/>
      <c r="C548" s="170"/>
      <c r="D548" s="170"/>
      <c r="E548" s="170"/>
      <c r="F548" s="170"/>
      <c r="G548" s="170"/>
      <c r="H548" s="171"/>
      <c r="I548" s="171"/>
      <c r="J548" s="172"/>
      <c r="K548" s="171"/>
      <c r="L548" s="171"/>
      <c r="M548" s="170"/>
      <c r="N548" s="153"/>
      <c r="O548" s="153"/>
      <c r="P548" s="153"/>
      <c r="Q548" s="153"/>
      <c r="R548" s="153"/>
      <c r="S548" s="153"/>
      <c r="T548" s="153"/>
      <c r="U548" s="153"/>
      <c r="V548" s="153"/>
      <c r="W548" s="153"/>
      <c r="X548" s="153"/>
      <c r="Y548" s="153"/>
      <c r="Z548" s="153"/>
    </row>
    <row r="549" spans="1:26">
      <c r="A549" s="170"/>
      <c r="B549" s="170"/>
      <c r="C549" s="170"/>
      <c r="D549" s="170"/>
      <c r="E549" s="170"/>
      <c r="F549" s="170"/>
      <c r="G549" s="170"/>
      <c r="H549" s="171"/>
      <c r="I549" s="171"/>
      <c r="J549" s="172"/>
      <c r="K549" s="171"/>
      <c r="L549" s="171"/>
      <c r="M549" s="170"/>
      <c r="N549" s="153"/>
      <c r="O549" s="153"/>
      <c r="P549" s="153"/>
      <c r="Q549" s="153"/>
      <c r="R549" s="153"/>
      <c r="S549" s="153"/>
      <c r="T549" s="153"/>
      <c r="U549" s="153"/>
      <c r="V549" s="153"/>
      <c r="W549" s="153"/>
      <c r="X549" s="153"/>
      <c r="Y549" s="153"/>
      <c r="Z549" s="153"/>
    </row>
    <row r="550" spans="1:26">
      <c r="A550" s="170"/>
      <c r="B550" s="170"/>
      <c r="C550" s="170"/>
      <c r="D550" s="170"/>
      <c r="E550" s="170"/>
      <c r="F550" s="170"/>
      <c r="G550" s="170"/>
      <c r="H550" s="171"/>
      <c r="I550" s="171"/>
      <c r="J550" s="172"/>
      <c r="K550" s="171"/>
      <c r="L550" s="171"/>
      <c r="M550" s="170"/>
      <c r="N550" s="153"/>
      <c r="O550" s="153"/>
      <c r="P550" s="153"/>
      <c r="Q550" s="153"/>
      <c r="R550" s="153"/>
      <c r="S550" s="153"/>
      <c r="T550" s="153"/>
      <c r="U550" s="153"/>
      <c r="V550" s="153"/>
      <c r="W550" s="153"/>
      <c r="X550" s="153"/>
      <c r="Y550" s="153"/>
      <c r="Z550" s="153"/>
    </row>
    <row r="551" spans="1:26">
      <c r="A551" s="170"/>
      <c r="B551" s="170"/>
      <c r="C551" s="170"/>
      <c r="D551" s="170"/>
      <c r="E551" s="170"/>
      <c r="F551" s="170"/>
      <c r="G551" s="170"/>
      <c r="H551" s="171"/>
      <c r="I551" s="171"/>
      <c r="J551" s="172"/>
      <c r="K551" s="171"/>
      <c r="L551" s="171"/>
      <c r="M551" s="170"/>
      <c r="N551" s="153"/>
      <c r="O551" s="153"/>
      <c r="P551" s="153"/>
      <c r="Q551" s="153"/>
      <c r="R551" s="153"/>
      <c r="S551" s="153"/>
      <c r="T551" s="153"/>
      <c r="U551" s="153"/>
      <c r="V551" s="153"/>
      <c r="W551" s="153"/>
      <c r="X551" s="153"/>
      <c r="Y551" s="153"/>
      <c r="Z551" s="153"/>
    </row>
    <row r="552" spans="1:26">
      <c r="A552" s="170"/>
      <c r="B552" s="170"/>
      <c r="C552" s="170"/>
      <c r="D552" s="170"/>
      <c r="E552" s="170"/>
      <c r="F552" s="170"/>
      <c r="G552" s="170"/>
      <c r="H552" s="171"/>
      <c r="I552" s="171"/>
      <c r="J552" s="172"/>
      <c r="K552" s="171"/>
      <c r="L552" s="171"/>
      <c r="M552" s="170"/>
      <c r="N552" s="153"/>
      <c r="O552" s="153"/>
      <c r="P552" s="153"/>
      <c r="Q552" s="153"/>
      <c r="R552" s="153"/>
      <c r="S552" s="153"/>
      <c r="T552" s="153"/>
      <c r="U552" s="153"/>
      <c r="V552" s="153"/>
      <c r="W552" s="153"/>
      <c r="X552" s="153"/>
      <c r="Y552" s="153"/>
      <c r="Z552" s="153"/>
    </row>
    <row r="553" spans="1:26">
      <c r="A553" s="170"/>
      <c r="B553" s="170"/>
      <c r="C553" s="170"/>
      <c r="D553" s="170"/>
      <c r="E553" s="170"/>
      <c r="F553" s="170"/>
      <c r="G553" s="170"/>
      <c r="H553" s="171"/>
      <c r="I553" s="171"/>
      <c r="J553" s="172"/>
      <c r="K553" s="171"/>
      <c r="L553" s="171"/>
      <c r="M553" s="170"/>
      <c r="N553" s="153"/>
      <c r="O553" s="153"/>
      <c r="P553" s="153"/>
      <c r="Q553" s="153"/>
      <c r="R553" s="153"/>
      <c r="S553" s="153"/>
      <c r="T553" s="153"/>
      <c r="U553" s="153"/>
      <c r="V553" s="153"/>
      <c r="W553" s="153"/>
      <c r="X553" s="153"/>
      <c r="Y553" s="153"/>
      <c r="Z553" s="153"/>
    </row>
    <row r="554" spans="1:26">
      <c r="A554" s="170"/>
      <c r="B554" s="170"/>
      <c r="C554" s="170"/>
      <c r="D554" s="170"/>
      <c r="E554" s="170"/>
      <c r="F554" s="170"/>
      <c r="G554" s="170"/>
      <c r="H554" s="171"/>
      <c r="I554" s="171"/>
      <c r="J554" s="172"/>
      <c r="K554" s="171"/>
      <c r="L554" s="171"/>
      <c r="M554" s="170"/>
      <c r="N554" s="153"/>
      <c r="O554" s="153"/>
      <c r="P554" s="153"/>
      <c r="Q554" s="153"/>
      <c r="R554" s="153"/>
      <c r="S554" s="153"/>
      <c r="T554" s="153"/>
      <c r="U554" s="153"/>
      <c r="V554" s="153"/>
      <c r="W554" s="153"/>
      <c r="X554" s="153"/>
      <c r="Y554" s="153"/>
      <c r="Z554" s="153"/>
    </row>
    <row r="555" spans="1:26">
      <c r="A555" s="153"/>
      <c r="B555" s="173"/>
      <c r="C555" s="173"/>
      <c r="D555" s="153"/>
      <c r="E555" s="153"/>
      <c r="F555" s="153"/>
      <c r="G555" s="173"/>
      <c r="H555" s="174"/>
      <c r="I555" s="174"/>
      <c r="J555" s="175"/>
      <c r="K555" s="174"/>
      <c r="L555" s="174"/>
      <c r="M555" s="153"/>
      <c r="N555" s="153"/>
      <c r="O555" s="153"/>
      <c r="P555" s="153"/>
      <c r="Q555" s="153"/>
      <c r="R555" s="153"/>
      <c r="S555" s="153"/>
      <c r="T555" s="153"/>
      <c r="U555" s="153"/>
      <c r="V555" s="153"/>
      <c r="W555" s="153"/>
      <c r="X555" s="153"/>
      <c r="Y555" s="153"/>
      <c r="Z555" s="153"/>
    </row>
    <row r="556" spans="1:26">
      <c r="A556" s="153"/>
      <c r="B556" s="173"/>
      <c r="C556" s="173"/>
      <c r="D556" s="153"/>
      <c r="E556" s="153"/>
      <c r="F556" s="153"/>
      <c r="G556" s="173"/>
      <c r="H556" s="174"/>
      <c r="I556" s="174"/>
      <c r="J556" s="175"/>
      <c r="K556" s="174"/>
      <c r="L556" s="174"/>
      <c r="M556" s="153"/>
      <c r="N556" s="153"/>
      <c r="O556" s="153"/>
      <c r="P556" s="153"/>
      <c r="Q556" s="153"/>
      <c r="R556" s="153"/>
      <c r="S556" s="153"/>
      <c r="T556" s="153"/>
      <c r="U556" s="153"/>
      <c r="V556" s="153"/>
      <c r="W556" s="153"/>
      <c r="X556" s="153"/>
      <c r="Y556" s="153"/>
      <c r="Z556" s="153"/>
    </row>
    <row r="557" spans="1:26">
      <c r="A557" s="153"/>
      <c r="B557" s="173"/>
      <c r="C557" s="173"/>
      <c r="D557" s="153"/>
      <c r="E557" s="153"/>
      <c r="F557" s="153"/>
      <c r="G557" s="173"/>
      <c r="H557" s="174"/>
      <c r="I557" s="174"/>
      <c r="J557" s="175"/>
      <c r="K557" s="174"/>
      <c r="L557" s="174"/>
      <c r="M557" s="153"/>
      <c r="N557" s="153"/>
      <c r="O557" s="153"/>
      <c r="P557" s="153"/>
      <c r="Q557" s="153"/>
      <c r="R557" s="153"/>
      <c r="S557" s="153"/>
      <c r="T557" s="153"/>
      <c r="U557" s="153"/>
      <c r="V557" s="153"/>
      <c r="W557" s="153"/>
      <c r="X557" s="153"/>
      <c r="Y557" s="153"/>
      <c r="Z557" s="153"/>
    </row>
    <row r="558" spans="1:26">
      <c r="A558" s="153"/>
      <c r="B558" s="173"/>
      <c r="C558" s="173"/>
      <c r="D558" s="153"/>
      <c r="E558" s="153"/>
      <c r="F558" s="153"/>
      <c r="G558" s="173"/>
      <c r="H558" s="174"/>
      <c r="I558" s="174"/>
      <c r="J558" s="175"/>
      <c r="K558" s="174"/>
      <c r="L558" s="174"/>
      <c r="M558" s="153"/>
      <c r="N558" s="153"/>
      <c r="O558" s="153"/>
      <c r="P558" s="153"/>
      <c r="Q558" s="153"/>
      <c r="R558" s="153"/>
      <c r="S558" s="153"/>
      <c r="T558" s="153"/>
      <c r="U558" s="153"/>
      <c r="V558" s="153"/>
      <c r="W558" s="153"/>
      <c r="X558" s="153"/>
      <c r="Y558" s="153"/>
      <c r="Z558" s="153"/>
    </row>
    <row r="559" spans="1:26">
      <c r="A559" s="153"/>
      <c r="B559" s="173"/>
      <c r="C559" s="173"/>
      <c r="D559" s="153"/>
      <c r="E559" s="153"/>
      <c r="F559" s="153"/>
      <c r="G559" s="173"/>
      <c r="H559" s="174"/>
      <c r="I559" s="174"/>
      <c r="J559" s="175"/>
      <c r="K559" s="174"/>
      <c r="L559" s="174"/>
      <c r="M559" s="153"/>
      <c r="N559" s="153"/>
      <c r="O559" s="153"/>
      <c r="P559" s="153"/>
      <c r="Q559" s="153"/>
      <c r="R559" s="153"/>
      <c r="S559" s="153"/>
      <c r="T559" s="153"/>
      <c r="U559" s="153"/>
      <c r="V559" s="153"/>
      <c r="W559" s="153"/>
      <c r="X559" s="153"/>
      <c r="Y559" s="153"/>
      <c r="Z559" s="153"/>
    </row>
    <row r="560" spans="1:26">
      <c r="A560" s="153"/>
      <c r="B560" s="173"/>
      <c r="C560" s="173"/>
      <c r="D560" s="153"/>
      <c r="E560" s="153"/>
      <c r="F560" s="153"/>
      <c r="G560" s="173"/>
      <c r="H560" s="174"/>
      <c r="I560" s="174"/>
      <c r="J560" s="175"/>
      <c r="K560" s="174"/>
      <c r="L560" s="174"/>
      <c r="M560" s="153"/>
      <c r="N560" s="153"/>
      <c r="O560" s="153"/>
      <c r="P560" s="153"/>
      <c r="Q560" s="153"/>
      <c r="R560" s="153"/>
      <c r="S560" s="153"/>
      <c r="T560" s="153"/>
      <c r="U560" s="153"/>
      <c r="V560" s="153"/>
      <c r="W560" s="153"/>
      <c r="X560" s="153"/>
      <c r="Y560" s="153"/>
      <c r="Z560" s="153"/>
    </row>
    <row r="561" spans="1:26">
      <c r="A561" s="153"/>
      <c r="B561" s="173"/>
      <c r="C561" s="173"/>
      <c r="D561" s="153"/>
      <c r="E561" s="153"/>
      <c r="F561" s="153"/>
      <c r="G561" s="173"/>
      <c r="H561" s="174"/>
      <c r="I561" s="174"/>
      <c r="J561" s="175"/>
      <c r="K561" s="174"/>
      <c r="L561" s="174"/>
      <c r="M561" s="153"/>
      <c r="N561" s="153"/>
      <c r="O561" s="153"/>
      <c r="P561" s="153"/>
      <c r="Q561" s="153"/>
      <c r="R561" s="153"/>
      <c r="S561" s="153"/>
      <c r="T561" s="153"/>
      <c r="U561" s="153"/>
      <c r="V561" s="153"/>
      <c r="W561" s="153"/>
      <c r="X561" s="153"/>
      <c r="Y561" s="153"/>
      <c r="Z561" s="153"/>
    </row>
    <row r="562" spans="1:26">
      <c r="A562" s="153"/>
      <c r="B562" s="173"/>
      <c r="C562" s="173"/>
      <c r="D562" s="153"/>
      <c r="E562" s="153"/>
      <c r="F562" s="153"/>
      <c r="G562" s="173"/>
      <c r="H562" s="174"/>
      <c r="I562" s="174"/>
      <c r="J562" s="175"/>
      <c r="K562" s="174"/>
      <c r="L562" s="174"/>
      <c r="M562" s="153"/>
      <c r="N562" s="153"/>
      <c r="O562" s="153"/>
      <c r="P562" s="153"/>
      <c r="Q562" s="153"/>
      <c r="R562" s="153"/>
      <c r="S562" s="153"/>
      <c r="T562" s="153"/>
      <c r="U562" s="153"/>
      <c r="V562" s="153"/>
      <c r="W562" s="153"/>
      <c r="X562" s="153"/>
      <c r="Y562" s="153"/>
      <c r="Z562" s="153"/>
    </row>
    <row r="563" spans="1:26">
      <c r="A563" s="153"/>
      <c r="B563" s="173"/>
      <c r="C563" s="173"/>
      <c r="D563" s="153"/>
      <c r="E563" s="153"/>
      <c r="F563" s="153"/>
      <c r="G563" s="173"/>
      <c r="H563" s="174"/>
      <c r="I563" s="174"/>
      <c r="J563" s="175"/>
      <c r="K563" s="174"/>
      <c r="L563" s="174"/>
      <c r="M563" s="153"/>
      <c r="N563" s="153"/>
      <c r="O563" s="153"/>
      <c r="P563" s="153"/>
      <c r="Q563" s="153"/>
      <c r="R563" s="153"/>
      <c r="S563" s="153"/>
      <c r="T563" s="153"/>
      <c r="U563" s="153"/>
      <c r="V563" s="153"/>
      <c r="W563" s="153"/>
      <c r="X563" s="153"/>
      <c r="Y563" s="153"/>
      <c r="Z563" s="153"/>
    </row>
    <row r="564" spans="1:26">
      <c r="A564" s="153"/>
      <c r="B564" s="173"/>
      <c r="C564" s="173"/>
      <c r="D564" s="153"/>
      <c r="E564" s="153"/>
      <c r="F564" s="153"/>
      <c r="G564" s="173"/>
      <c r="H564" s="174"/>
      <c r="I564" s="174"/>
      <c r="J564" s="175"/>
      <c r="K564" s="174"/>
      <c r="L564" s="174"/>
      <c r="M564" s="153"/>
      <c r="N564" s="153"/>
      <c r="O564" s="153"/>
      <c r="P564" s="153"/>
      <c r="Q564" s="153"/>
      <c r="R564" s="153"/>
      <c r="S564" s="153"/>
      <c r="T564" s="153"/>
      <c r="U564" s="153"/>
      <c r="V564" s="153"/>
      <c r="W564" s="153"/>
      <c r="X564" s="153"/>
      <c r="Y564" s="153"/>
      <c r="Z564" s="153"/>
    </row>
    <row r="565" spans="1:26">
      <c r="A565" s="153"/>
      <c r="B565" s="173"/>
      <c r="C565" s="173"/>
      <c r="D565" s="153"/>
      <c r="E565" s="153"/>
      <c r="F565" s="153"/>
      <c r="G565" s="173"/>
      <c r="H565" s="174"/>
      <c r="I565" s="174"/>
      <c r="J565" s="175"/>
      <c r="K565" s="174"/>
      <c r="L565" s="174"/>
      <c r="M565" s="153"/>
      <c r="N565" s="153"/>
      <c r="O565" s="153"/>
      <c r="P565" s="153"/>
      <c r="Q565" s="153"/>
      <c r="R565" s="153"/>
      <c r="S565" s="153"/>
      <c r="T565" s="153"/>
      <c r="U565" s="153"/>
      <c r="V565" s="153"/>
      <c r="W565" s="153"/>
      <c r="X565" s="153"/>
      <c r="Y565" s="153"/>
      <c r="Z565" s="153"/>
    </row>
    <row r="566" spans="1:26">
      <c r="A566" s="153"/>
      <c r="B566" s="173"/>
      <c r="C566" s="173"/>
      <c r="D566" s="153"/>
      <c r="E566" s="153"/>
      <c r="F566" s="153"/>
      <c r="G566" s="173"/>
      <c r="H566" s="174"/>
      <c r="I566" s="174"/>
      <c r="J566" s="175"/>
      <c r="K566" s="174"/>
      <c r="L566" s="174"/>
      <c r="M566" s="153"/>
      <c r="N566" s="153"/>
      <c r="O566" s="153"/>
      <c r="P566" s="153"/>
      <c r="Q566" s="153"/>
      <c r="R566" s="153"/>
      <c r="S566" s="153"/>
      <c r="T566" s="153"/>
      <c r="U566" s="153"/>
      <c r="V566" s="153"/>
      <c r="W566" s="153"/>
      <c r="X566" s="153"/>
      <c r="Y566" s="153"/>
      <c r="Z566" s="153"/>
    </row>
    <row r="567" spans="1:26">
      <c r="A567" s="153"/>
      <c r="B567" s="173"/>
      <c r="C567" s="173"/>
      <c r="D567" s="153"/>
      <c r="E567" s="153"/>
      <c r="F567" s="153"/>
      <c r="G567" s="173"/>
      <c r="H567" s="174"/>
      <c r="I567" s="174"/>
      <c r="J567" s="175"/>
      <c r="K567" s="174"/>
      <c r="L567" s="174"/>
      <c r="M567" s="153"/>
      <c r="N567" s="153"/>
      <c r="O567" s="153"/>
      <c r="P567" s="153"/>
      <c r="Q567" s="153"/>
      <c r="R567" s="153"/>
      <c r="S567" s="153"/>
      <c r="T567" s="153"/>
      <c r="U567" s="153"/>
      <c r="V567" s="153"/>
      <c r="W567" s="153"/>
      <c r="X567" s="153"/>
      <c r="Y567" s="153"/>
      <c r="Z567" s="153"/>
    </row>
    <row r="568" spans="1:26">
      <c r="A568" s="153"/>
      <c r="B568" s="173"/>
      <c r="C568" s="173"/>
      <c r="D568" s="153"/>
      <c r="E568" s="153"/>
      <c r="F568" s="153"/>
      <c r="G568" s="173"/>
      <c r="H568" s="174"/>
      <c r="I568" s="174"/>
      <c r="J568" s="175"/>
      <c r="K568" s="174"/>
      <c r="L568" s="174"/>
      <c r="M568" s="153"/>
      <c r="N568" s="153"/>
      <c r="O568" s="153"/>
      <c r="P568" s="153"/>
      <c r="Q568" s="153"/>
      <c r="R568" s="153"/>
      <c r="S568" s="153"/>
      <c r="T568" s="153"/>
      <c r="U568" s="153"/>
      <c r="V568" s="153"/>
      <c r="W568" s="153"/>
      <c r="X568" s="153"/>
      <c r="Y568" s="153"/>
      <c r="Z568" s="153"/>
    </row>
    <row r="569" spans="1:26">
      <c r="A569" s="153"/>
      <c r="B569" s="173"/>
      <c r="C569" s="173"/>
      <c r="D569" s="153"/>
      <c r="E569" s="153"/>
      <c r="F569" s="153"/>
      <c r="G569" s="173"/>
      <c r="H569" s="174"/>
      <c r="I569" s="174"/>
      <c r="J569" s="175"/>
      <c r="K569" s="174"/>
      <c r="L569" s="174"/>
      <c r="M569" s="153"/>
      <c r="N569" s="153"/>
      <c r="O569" s="153"/>
      <c r="P569" s="153"/>
      <c r="Q569" s="153"/>
      <c r="R569" s="153"/>
      <c r="S569" s="153"/>
      <c r="T569" s="153"/>
      <c r="U569" s="153"/>
      <c r="V569" s="153"/>
      <c r="W569" s="153"/>
      <c r="X569" s="153"/>
      <c r="Y569" s="153"/>
      <c r="Z569" s="153"/>
    </row>
    <row r="570" spans="1:26">
      <c r="A570" s="153"/>
      <c r="B570" s="173"/>
      <c r="C570" s="173"/>
      <c r="D570" s="153"/>
      <c r="E570" s="153"/>
      <c r="F570" s="153"/>
      <c r="G570" s="173"/>
      <c r="H570" s="174"/>
      <c r="I570" s="174"/>
      <c r="J570" s="175"/>
      <c r="K570" s="174"/>
      <c r="L570" s="174"/>
      <c r="M570" s="153"/>
      <c r="N570" s="153"/>
      <c r="O570" s="153"/>
      <c r="P570" s="153"/>
      <c r="Q570" s="153"/>
      <c r="R570" s="153"/>
      <c r="S570" s="153"/>
      <c r="T570" s="153"/>
      <c r="U570" s="153"/>
      <c r="V570" s="153"/>
      <c r="W570" s="153"/>
      <c r="X570" s="153"/>
      <c r="Y570" s="153"/>
      <c r="Z570" s="153"/>
    </row>
    <row r="571" spans="1:26">
      <c r="A571" s="153"/>
      <c r="B571" s="173"/>
      <c r="C571" s="173"/>
      <c r="D571" s="153"/>
      <c r="E571" s="153"/>
      <c r="F571" s="153"/>
      <c r="G571" s="173"/>
      <c r="H571" s="174"/>
      <c r="I571" s="174"/>
      <c r="J571" s="175"/>
      <c r="K571" s="174"/>
      <c r="L571" s="174"/>
      <c r="M571" s="153"/>
      <c r="N571" s="153"/>
      <c r="O571" s="153"/>
      <c r="P571" s="153"/>
      <c r="Q571" s="153"/>
      <c r="R571" s="153"/>
      <c r="S571" s="153"/>
      <c r="T571" s="153"/>
      <c r="U571" s="153"/>
      <c r="V571" s="153"/>
      <c r="W571" s="153"/>
      <c r="X571" s="153"/>
      <c r="Y571" s="153"/>
      <c r="Z571" s="153"/>
    </row>
    <row r="572" spans="1:26">
      <c r="A572" s="153"/>
      <c r="B572" s="173"/>
      <c r="C572" s="173"/>
      <c r="D572" s="153"/>
      <c r="E572" s="153"/>
      <c r="F572" s="153"/>
      <c r="G572" s="173"/>
      <c r="H572" s="174"/>
      <c r="I572" s="174"/>
      <c r="J572" s="175"/>
      <c r="K572" s="174"/>
      <c r="L572" s="174"/>
      <c r="M572" s="153"/>
      <c r="N572" s="153"/>
      <c r="O572" s="153"/>
      <c r="P572" s="153"/>
      <c r="Q572" s="153"/>
      <c r="R572" s="153"/>
      <c r="S572" s="153"/>
      <c r="T572" s="153"/>
      <c r="U572" s="153"/>
      <c r="V572" s="153"/>
      <c r="W572" s="153"/>
      <c r="X572" s="153"/>
      <c r="Y572" s="153"/>
      <c r="Z572" s="153"/>
    </row>
    <row r="573" spans="1:26">
      <c r="A573" s="153"/>
      <c r="B573" s="173"/>
      <c r="C573" s="173"/>
      <c r="D573" s="153"/>
      <c r="E573" s="153"/>
      <c r="F573" s="153"/>
      <c r="G573" s="173"/>
      <c r="H573" s="174"/>
      <c r="I573" s="174"/>
      <c r="J573" s="175"/>
      <c r="K573" s="174"/>
      <c r="L573" s="174"/>
      <c r="M573" s="153"/>
      <c r="N573" s="153"/>
      <c r="O573" s="153"/>
      <c r="P573" s="153"/>
      <c r="Q573" s="153"/>
      <c r="R573" s="153"/>
      <c r="S573" s="153"/>
      <c r="T573" s="153"/>
      <c r="U573" s="153"/>
      <c r="V573" s="153"/>
      <c r="W573" s="153"/>
      <c r="X573" s="153"/>
      <c r="Y573" s="153"/>
      <c r="Z573" s="153"/>
    </row>
    <row r="574" spans="1:26">
      <c r="A574" s="153"/>
      <c r="B574" s="173"/>
      <c r="C574" s="173"/>
      <c r="D574" s="153"/>
      <c r="E574" s="153"/>
      <c r="F574" s="153"/>
      <c r="G574" s="173"/>
      <c r="H574" s="174"/>
      <c r="I574" s="174"/>
      <c r="J574" s="175"/>
      <c r="K574" s="174"/>
      <c r="L574" s="174"/>
      <c r="M574" s="153"/>
      <c r="N574" s="153"/>
      <c r="O574" s="153"/>
      <c r="P574" s="153"/>
      <c r="Q574" s="153"/>
      <c r="R574" s="153"/>
      <c r="S574" s="153"/>
      <c r="T574" s="153"/>
      <c r="U574" s="153"/>
      <c r="V574" s="153"/>
      <c r="W574" s="153"/>
      <c r="X574" s="153"/>
      <c r="Y574" s="153"/>
      <c r="Z574" s="153"/>
    </row>
    <row r="575" spans="1:26">
      <c r="A575" s="153"/>
      <c r="B575" s="173"/>
      <c r="C575" s="173"/>
      <c r="D575" s="153"/>
      <c r="E575" s="153"/>
      <c r="F575" s="153"/>
      <c r="G575" s="173"/>
      <c r="H575" s="174"/>
      <c r="I575" s="174"/>
      <c r="J575" s="175"/>
      <c r="K575" s="174"/>
      <c r="L575" s="174"/>
      <c r="M575" s="153"/>
      <c r="N575" s="153"/>
      <c r="O575" s="153"/>
      <c r="P575" s="153"/>
      <c r="Q575" s="153"/>
      <c r="R575" s="153"/>
      <c r="S575" s="153"/>
      <c r="T575" s="153"/>
      <c r="U575" s="153"/>
      <c r="V575" s="153"/>
      <c r="W575" s="153"/>
      <c r="X575" s="153"/>
      <c r="Y575" s="153"/>
      <c r="Z575" s="153"/>
    </row>
    <row r="576" spans="1:26">
      <c r="A576" s="153"/>
      <c r="B576" s="173"/>
      <c r="C576" s="173"/>
      <c r="D576" s="153"/>
      <c r="E576" s="153"/>
      <c r="F576" s="153"/>
      <c r="G576" s="173"/>
      <c r="H576" s="174"/>
      <c r="I576" s="174"/>
      <c r="J576" s="175"/>
      <c r="K576" s="174"/>
      <c r="L576" s="174"/>
      <c r="M576" s="153"/>
      <c r="N576" s="153"/>
      <c r="O576" s="153"/>
      <c r="P576" s="153"/>
      <c r="Q576" s="153"/>
      <c r="R576" s="153"/>
      <c r="S576" s="153"/>
      <c r="T576" s="153"/>
      <c r="U576" s="153"/>
      <c r="V576" s="153"/>
      <c r="W576" s="153"/>
      <c r="X576" s="153"/>
      <c r="Y576" s="153"/>
      <c r="Z576" s="153"/>
    </row>
    <row r="577" spans="1:26">
      <c r="A577" s="153"/>
      <c r="B577" s="173"/>
      <c r="C577" s="173"/>
      <c r="D577" s="153"/>
      <c r="E577" s="153"/>
      <c r="F577" s="153"/>
      <c r="G577" s="173"/>
      <c r="H577" s="174"/>
      <c r="I577" s="174"/>
      <c r="J577" s="175"/>
      <c r="K577" s="174"/>
      <c r="L577" s="174"/>
      <c r="M577" s="153"/>
      <c r="N577" s="153"/>
      <c r="O577" s="153"/>
      <c r="P577" s="153"/>
      <c r="Q577" s="153"/>
      <c r="R577" s="153"/>
      <c r="S577" s="153"/>
      <c r="T577" s="153"/>
      <c r="U577" s="153"/>
      <c r="V577" s="153"/>
      <c r="W577" s="153"/>
      <c r="X577" s="153"/>
      <c r="Y577" s="153"/>
      <c r="Z577" s="153"/>
    </row>
    <row r="578" spans="1:26">
      <c r="A578" s="153"/>
      <c r="B578" s="173"/>
      <c r="C578" s="173"/>
      <c r="D578" s="153"/>
      <c r="E578" s="153"/>
      <c r="F578" s="153"/>
      <c r="G578" s="173"/>
      <c r="H578" s="174"/>
      <c r="I578" s="174"/>
      <c r="J578" s="175"/>
      <c r="K578" s="174"/>
      <c r="L578" s="174"/>
      <c r="M578" s="153"/>
      <c r="N578" s="153"/>
      <c r="O578" s="153"/>
      <c r="P578" s="153"/>
      <c r="Q578" s="153"/>
      <c r="R578" s="153"/>
      <c r="S578" s="153"/>
      <c r="T578" s="153"/>
      <c r="U578" s="153"/>
      <c r="V578" s="153"/>
      <c r="W578" s="153"/>
      <c r="X578" s="153"/>
      <c r="Y578" s="153"/>
      <c r="Z578" s="153"/>
    </row>
    <row r="579" spans="1:26">
      <c r="A579" s="153"/>
      <c r="B579" s="173"/>
      <c r="C579" s="173"/>
      <c r="D579" s="153"/>
      <c r="E579" s="153"/>
      <c r="F579" s="153"/>
      <c r="G579" s="173"/>
      <c r="H579" s="174"/>
      <c r="I579" s="174"/>
      <c r="J579" s="175"/>
      <c r="K579" s="174"/>
      <c r="L579" s="174"/>
      <c r="M579" s="153"/>
      <c r="N579" s="153"/>
      <c r="O579" s="153"/>
      <c r="P579" s="153"/>
      <c r="Q579" s="153"/>
      <c r="R579" s="153"/>
      <c r="S579" s="153"/>
      <c r="T579" s="153"/>
      <c r="U579" s="153"/>
      <c r="V579" s="153"/>
      <c r="W579" s="153"/>
      <c r="X579" s="153"/>
      <c r="Y579" s="153"/>
      <c r="Z579" s="153"/>
    </row>
    <row r="580" spans="1:26">
      <c r="A580" s="153"/>
      <c r="B580" s="173"/>
      <c r="C580" s="173"/>
      <c r="D580" s="153"/>
      <c r="E580" s="153"/>
      <c r="F580" s="153"/>
      <c r="G580" s="173"/>
      <c r="H580" s="174"/>
      <c r="I580" s="174"/>
      <c r="J580" s="175"/>
      <c r="K580" s="174"/>
      <c r="L580" s="174"/>
      <c r="M580" s="153"/>
      <c r="N580" s="153"/>
      <c r="O580" s="153"/>
      <c r="P580" s="153"/>
      <c r="Q580" s="153"/>
      <c r="R580" s="153"/>
      <c r="S580" s="153"/>
      <c r="T580" s="153"/>
      <c r="U580" s="153"/>
      <c r="V580" s="153"/>
      <c r="W580" s="153"/>
      <c r="X580" s="153"/>
      <c r="Y580" s="153"/>
      <c r="Z580" s="153"/>
    </row>
    <row r="581" spans="1:26">
      <c r="A581" s="153"/>
      <c r="B581" s="173"/>
      <c r="C581" s="173"/>
      <c r="D581" s="153"/>
      <c r="E581" s="153"/>
      <c r="F581" s="153"/>
      <c r="G581" s="173"/>
      <c r="H581" s="174"/>
      <c r="I581" s="174"/>
      <c r="J581" s="175"/>
      <c r="K581" s="174"/>
      <c r="L581" s="174"/>
      <c r="M581" s="153"/>
      <c r="N581" s="153"/>
      <c r="O581" s="153"/>
      <c r="P581" s="153"/>
      <c r="Q581" s="153"/>
      <c r="R581" s="153"/>
      <c r="S581" s="153"/>
      <c r="T581" s="153"/>
      <c r="U581" s="153"/>
      <c r="V581" s="153"/>
      <c r="W581" s="153"/>
      <c r="X581" s="153"/>
      <c r="Y581" s="153"/>
      <c r="Z581" s="153"/>
    </row>
    <row r="582" spans="1:26">
      <c r="A582" s="153"/>
      <c r="B582" s="173"/>
      <c r="C582" s="173"/>
      <c r="D582" s="153"/>
      <c r="E582" s="153"/>
      <c r="F582" s="153"/>
      <c r="G582" s="173"/>
      <c r="H582" s="174"/>
      <c r="I582" s="174"/>
      <c r="J582" s="175"/>
      <c r="K582" s="174"/>
      <c r="L582" s="174"/>
      <c r="M582" s="153"/>
      <c r="N582" s="153"/>
      <c r="O582" s="153"/>
      <c r="P582" s="153"/>
      <c r="Q582" s="153"/>
      <c r="R582" s="153"/>
      <c r="S582" s="153"/>
      <c r="T582" s="153"/>
      <c r="U582" s="153"/>
      <c r="V582" s="153"/>
      <c r="W582" s="153"/>
      <c r="X582" s="153"/>
      <c r="Y582" s="153"/>
      <c r="Z582" s="153"/>
    </row>
    <row r="583" spans="1:26">
      <c r="A583" s="153"/>
      <c r="B583" s="173"/>
      <c r="C583" s="173"/>
      <c r="D583" s="153"/>
      <c r="E583" s="153"/>
      <c r="F583" s="153"/>
      <c r="G583" s="173"/>
      <c r="H583" s="174"/>
      <c r="I583" s="174"/>
      <c r="J583" s="175"/>
      <c r="K583" s="174"/>
      <c r="L583" s="174"/>
      <c r="M583" s="153"/>
      <c r="N583" s="153"/>
      <c r="O583" s="153"/>
      <c r="P583" s="153"/>
      <c r="Q583" s="153"/>
      <c r="R583" s="153"/>
      <c r="S583" s="153"/>
      <c r="T583" s="153"/>
      <c r="U583" s="153"/>
      <c r="V583" s="153"/>
      <c r="W583" s="153"/>
      <c r="X583" s="153"/>
      <c r="Y583" s="153"/>
      <c r="Z583" s="153"/>
    </row>
    <row r="584" spans="1:26">
      <c r="A584" s="153"/>
      <c r="B584" s="173"/>
      <c r="C584" s="173"/>
      <c r="D584" s="153"/>
      <c r="E584" s="153"/>
      <c r="F584" s="153"/>
      <c r="G584" s="173"/>
      <c r="H584" s="174"/>
      <c r="I584" s="174"/>
      <c r="J584" s="175"/>
      <c r="K584" s="174"/>
      <c r="L584" s="174"/>
      <c r="M584" s="153"/>
      <c r="N584" s="153"/>
      <c r="O584" s="153"/>
      <c r="P584" s="153"/>
      <c r="Q584" s="153"/>
      <c r="R584" s="153"/>
      <c r="S584" s="153"/>
      <c r="T584" s="153"/>
      <c r="U584" s="153"/>
      <c r="V584" s="153"/>
      <c r="W584" s="153"/>
      <c r="X584" s="153"/>
      <c r="Y584" s="153"/>
      <c r="Z584" s="153"/>
    </row>
    <row r="585" spans="1:26">
      <c r="A585" s="153"/>
      <c r="B585" s="173"/>
      <c r="C585" s="173"/>
      <c r="D585" s="153"/>
      <c r="E585" s="153"/>
      <c r="F585" s="153"/>
      <c r="G585" s="173"/>
      <c r="H585" s="174"/>
      <c r="I585" s="174"/>
      <c r="J585" s="175"/>
      <c r="K585" s="174"/>
      <c r="L585" s="174"/>
      <c r="M585" s="153"/>
      <c r="N585" s="153"/>
      <c r="O585" s="153"/>
      <c r="P585" s="153"/>
      <c r="Q585" s="153"/>
      <c r="R585" s="153"/>
      <c r="S585" s="153"/>
      <c r="T585" s="153"/>
      <c r="U585" s="153"/>
      <c r="V585" s="153"/>
      <c r="W585" s="153"/>
      <c r="X585" s="153"/>
      <c r="Y585" s="153"/>
      <c r="Z585" s="153"/>
    </row>
    <row r="586" spans="1:26">
      <c r="A586" s="153"/>
      <c r="B586" s="173"/>
      <c r="C586" s="173"/>
      <c r="D586" s="153"/>
      <c r="E586" s="153"/>
      <c r="F586" s="153"/>
      <c r="G586" s="173"/>
      <c r="H586" s="174"/>
      <c r="I586" s="174"/>
      <c r="J586" s="175"/>
      <c r="K586" s="174"/>
      <c r="L586" s="174"/>
      <c r="M586" s="153"/>
      <c r="N586" s="153"/>
      <c r="O586" s="153"/>
      <c r="P586" s="153"/>
      <c r="Q586" s="153"/>
      <c r="R586" s="153"/>
      <c r="S586" s="153"/>
      <c r="T586" s="153"/>
      <c r="U586" s="153"/>
      <c r="V586" s="153"/>
      <c r="W586" s="153"/>
      <c r="X586" s="153"/>
      <c r="Y586" s="153"/>
      <c r="Z586" s="153"/>
    </row>
    <row r="587" spans="1:26">
      <c r="A587" s="153"/>
      <c r="B587" s="173"/>
      <c r="C587" s="173"/>
      <c r="D587" s="153"/>
      <c r="E587" s="153"/>
      <c r="F587" s="153"/>
      <c r="G587" s="173"/>
      <c r="H587" s="174"/>
      <c r="I587" s="174"/>
      <c r="J587" s="175"/>
      <c r="K587" s="174"/>
      <c r="L587" s="174"/>
      <c r="M587" s="153"/>
      <c r="N587" s="153"/>
      <c r="O587" s="153"/>
      <c r="P587" s="153"/>
      <c r="Q587" s="153"/>
      <c r="R587" s="153"/>
      <c r="S587" s="153"/>
      <c r="T587" s="153"/>
      <c r="U587" s="153"/>
      <c r="V587" s="153"/>
      <c r="W587" s="153"/>
      <c r="X587" s="153"/>
      <c r="Y587" s="153"/>
      <c r="Z587" s="153"/>
    </row>
    <row r="588" spans="1:26">
      <c r="A588" s="153"/>
      <c r="B588" s="173"/>
      <c r="C588" s="173"/>
      <c r="D588" s="153"/>
      <c r="E588" s="153"/>
      <c r="F588" s="153"/>
      <c r="G588" s="173"/>
      <c r="H588" s="174"/>
      <c r="I588" s="174"/>
      <c r="J588" s="175"/>
      <c r="K588" s="174"/>
      <c r="L588" s="174"/>
      <c r="M588" s="153"/>
      <c r="N588" s="153"/>
      <c r="O588" s="153"/>
      <c r="P588" s="153"/>
      <c r="Q588" s="153"/>
      <c r="R588" s="153"/>
      <c r="S588" s="153"/>
      <c r="T588" s="153"/>
      <c r="U588" s="153"/>
      <c r="V588" s="153"/>
      <c r="W588" s="153"/>
      <c r="X588" s="153"/>
      <c r="Y588" s="153"/>
      <c r="Z588" s="153"/>
    </row>
    <row r="589" spans="1:26">
      <c r="A589" s="153"/>
      <c r="B589" s="173"/>
      <c r="C589" s="173"/>
      <c r="D589" s="153"/>
      <c r="E589" s="153"/>
      <c r="F589" s="153"/>
      <c r="G589" s="173"/>
      <c r="H589" s="174"/>
      <c r="I589" s="174"/>
      <c r="J589" s="175"/>
      <c r="K589" s="174"/>
      <c r="L589" s="174"/>
      <c r="M589" s="153"/>
      <c r="N589" s="153"/>
      <c r="O589" s="153"/>
      <c r="P589" s="153"/>
      <c r="Q589" s="153"/>
      <c r="R589" s="153"/>
      <c r="S589" s="153"/>
      <c r="T589" s="153"/>
      <c r="U589" s="153"/>
      <c r="V589" s="153"/>
      <c r="W589" s="153"/>
      <c r="X589" s="153"/>
      <c r="Y589" s="153"/>
      <c r="Z589" s="153"/>
    </row>
    <row r="590" spans="1:26">
      <c r="A590" s="153"/>
      <c r="B590" s="173"/>
      <c r="C590" s="173"/>
      <c r="D590" s="153"/>
      <c r="E590" s="153"/>
      <c r="F590" s="153"/>
      <c r="G590" s="173"/>
      <c r="H590" s="174"/>
      <c r="I590" s="174"/>
      <c r="J590" s="175"/>
      <c r="K590" s="174"/>
      <c r="L590" s="174"/>
      <c r="M590" s="153"/>
      <c r="N590" s="153"/>
      <c r="O590" s="153"/>
      <c r="P590" s="153"/>
      <c r="Q590" s="153"/>
      <c r="R590" s="153"/>
      <c r="S590" s="153"/>
      <c r="T590" s="153"/>
      <c r="U590" s="153"/>
      <c r="V590" s="153"/>
      <c r="W590" s="153"/>
      <c r="X590" s="153"/>
      <c r="Y590" s="153"/>
      <c r="Z590" s="153"/>
    </row>
    <row r="591" spans="1:26">
      <c r="A591" s="153"/>
      <c r="B591" s="173"/>
      <c r="C591" s="173"/>
      <c r="D591" s="153"/>
      <c r="E591" s="153"/>
      <c r="F591" s="153"/>
      <c r="G591" s="173"/>
      <c r="H591" s="174"/>
      <c r="I591" s="174"/>
      <c r="J591" s="175"/>
      <c r="K591" s="174"/>
      <c r="L591" s="174"/>
      <c r="M591" s="153"/>
      <c r="N591" s="153"/>
      <c r="O591" s="153"/>
      <c r="P591" s="153"/>
      <c r="Q591" s="153"/>
      <c r="R591" s="153"/>
      <c r="S591" s="153"/>
      <c r="T591" s="153"/>
      <c r="U591" s="153"/>
      <c r="V591" s="153"/>
      <c r="W591" s="153"/>
      <c r="X591" s="153"/>
      <c r="Y591" s="153"/>
      <c r="Z591" s="153"/>
    </row>
    <row r="592" spans="1:26">
      <c r="A592" s="153"/>
      <c r="B592" s="173"/>
      <c r="C592" s="173"/>
      <c r="D592" s="153"/>
      <c r="E592" s="153"/>
      <c r="F592" s="153"/>
      <c r="G592" s="173"/>
      <c r="H592" s="174"/>
      <c r="I592" s="174"/>
      <c r="J592" s="175"/>
      <c r="K592" s="174"/>
      <c r="L592" s="174"/>
      <c r="M592" s="153"/>
      <c r="N592" s="153"/>
      <c r="O592" s="153"/>
      <c r="P592" s="153"/>
      <c r="Q592" s="153"/>
      <c r="R592" s="153"/>
      <c r="S592" s="153"/>
      <c r="T592" s="153"/>
      <c r="U592" s="153"/>
      <c r="V592" s="153"/>
      <c r="W592" s="153"/>
      <c r="X592" s="153"/>
      <c r="Y592" s="153"/>
      <c r="Z592" s="153"/>
    </row>
    <row r="593" spans="1:26">
      <c r="A593" s="153"/>
      <c r="B593" s="173"/>
      <c r="C593" s="173"/>
      <c r="D593" s="153"/>
      <c r="E593" s="153"/>
      <c r="F593" s="153"/>
      <c r="G593" s="173"/>
      <c r="H593" s="174"/>
      <c r="I593" s="174"/>
      <c r="J593" s="175"/>
      <c r="K593" s="174"/>
      <c r="L593" s="174"/>
      <c r="M593" s="153"/>
      <c r="N593" s="153"/>
      <c r="O593" s="153"/>
      <c r="P593" s="153"/>
      <c r="Q593" s="153"/>
      <c r="R593" s="153"/>
      <c r="S593" s="153"/>
      <c r="T593" s="153"/>
      <c r="U593" s="153"/>
      <c r="V593" s="153"/>
      <c r="W593" s="153"/>
      <c r="X593" s="153"/>
      <c r="Y593" s="153"/>
      <c r="Z593" s="153"/>
    </row>
    <row r="594" spans="1:26">
      <c r="A594" s="153"/>
      <c r="B594" s="173"/>
      <c r="C594" s="173"/>
      <c r="D594" s="153"/>
      <c r="E594" s="153"/>
      <c r="F594" s="153"/>
      <c r="G594" s="173"/>
      <c r="H594" s="174"/>
      <c r="I594" s="174"/>
      <c r="J594" s="175"/>
      <c r="K594" s="174"/>
      <c r="L594" s="174"/>
      <c r="M594" s="153"/>
      <c r="N594" s="153"/>
      <c r="O594" s="153"/>
      <c r="P594" s="153"/>
      <c r="Q594" s="153"/>
      <c r="R594" s="153"/>
      <c r="S594" s="153"/>
      <c r="T594" s="153"/>
      <c r="U594" s="153"/>
      <c r="V594" s="153"/>
      <c r="W594" s="153"/>
      <c r="X594" s="153"/>
      <c r="Y594" s="153"/>
      <c r="Z594" s="153"/>
    </row>
    <row r="595" spans="1:26">
      <c r="A595" s="153"/>
      <c r="B595" s="173"/>
      <c r="C595" s="173"/>
      <c r="D595" s="153"/>
      <c r="E595" s="153"/>
      <c r="F595" s="153"/>
      <c r="G595" s="173"/>
      <c r="H595" s="174"/>
      <c r="I595" s="174"/>
      <c r="J595" s="175"/>
      <c r="K595" s="174"/>
      <c r="L595" s="174"/>
      <c r="M595" s="153"/>
      <c r="N595" s="153"/>
      <c r="O595" s="153"/>
      <c r="P595" s="153"/>
      <c r="Q595" s="153"/>
      <c r="R595" s="153"/>
      <c r="S595" s="153"/>
      <c r="T595" s="153"/>
      <c r="U595" s="153"/>
      <c r="V595" s="153"/>
      <c r="W595" s="153"/>
      <c r="X595" s="153"/>
      <c r="Y595" s="153"/>
      <c r="Z595" s="153"/>
    </row>
    <row r="596" spans="1:26">
      <c r="A596" s="153"/>
      <c r="B596" s="173"/>
      <c r="C596" s="173"/>
      <c r="D596" s="153"/>
      <c r="E596" s="153"/>
      <c r="F596" s="153"/>
      <c r="G596" s="173"/>
      <c r="H596" s="174"/>
      <c r="I596" s="174"/>
      <c r="J596" s="175"/>
      <c r="K596" s="174"/>
      <c r="L596" s="174"/>
      <c r="M596" s="153"/>
      <c r="N596" s="153"/>
      <c r="O596" s="153"/>
      <c r="P596" s="153"/>
      <c r="Q596" s="153"/>
      <c r="R596" s="153"/>
      <c r="S596" s="153"/>
      <c r="T596" s="153"/>
      <c r="U596" s="153"/>
      <c r="V596" s="153"/>
      <c r="W596" s="153"/>
      <c r="X596" s="153"/>
      <c r="Y596" s="153"/>
      <c r="Z596" s="153"/>
    </row>
    <row r="597" spans="1:26">
      <c r="A597" s="153"/>
      <c r="B597" s="173"/>
      <c r="C597" s="173"/>
      <c r="D597" s="153"/>
      <c r="E597" s="153"/>
      <c r="F597" s="153"/>
      <c r="G597" s="173"/>
      <c r="H597" s="174"/>
      <c r="I597" s="174"/>
      <c r="J597" s="175"/>
      <c r="K597" s="174"/>
      <c r="L597" s="174"/>
      <c r="M597" s="153"/>
      <c r="N597" s="153"/>
      <c r="O597" s="153"/>
      <c r="P597" s="153"/>
      <c r="Q597" s="153"/>
      <c r="R597" s="153"/>
      <c r="S597" s="153"/>
      <c r="T597" s="153"/>
      <c r="U597" s="153"/>
      <c r="V597" s="153"/>
      <c r="W597" s="153"/>
      <c r="X597" s="153"/>
      <c r="Y597" s="153"/>
      <c r="Z597" s="153"/>
    </row>
    <row r="598" spans="1:26">
      <c r="A598" s="153"/>
      <c r="B598" s="173"/>
      <c r="C598" s="173"/>
      <c r="D598" s="153"/>
      <c r="E598" s="153"/>
      <c r="F598" s="153"/>
      <c r="G598" s="173"/>
      <c r="H598" s="174"/>
      <c r="I598" s="174"/>
      <c r="J598" s="175"/>
      <c r="K598" s="174"/>
      <c r="L598" s="174"/>
      <c r="M598" s="153"/>
      <c r="N598" s="153"/>
      <c r="O598" s="153"/>
      <c r="P598" s="153"/>
      <c r="Q598" s="153"/>
      <c r="R598" s="153"/>
      <c r="S598" s="153"/>
      <c r="T598" s="153"/>
      <c r="U598" s="153"/>
      <c r="V598" s="153"/>
      <c r="W598" s="153"/>
      <c r="X598" s="153"/>
      <c r="Y598" s="153"/>
      <c r="Z598" s="153"/>
    </row>
    <row r="599" spans="1:26">
      <c r="A599" s="153"/>
      <c r="B599" s="173"/>
      <c r="C599" s="173"/>
      <c r="D599" s="153"/>
      <c r="E599" s="153"/>
      <c r="F599" s="153"/>
      <c r="G599" s="173"/>
      <c r="H599" s="174"/>
      <c r="I599" s="174"/>
      <c r="J599" s="175"/>
      <c r="K599" s="174"/>
      <c r="L599" s="174"/>
      <c r="M599" s="153"/>
      <c r="N599" s="153"/>
      <c r="O599" s="153"/>
      <c r="P599" s="153"/>
      <c r="Q599" s="153"/>
      <c r="R599" s="153"/>
      <c r="S599" s="153"/>
      <c r="T599" s="153"/>
      <c r="U599" s="153"/>
      <c r="V599" s="153"/>
      <c r="W599" s="153"/>
      <c r="X599" s="153"/>
      <c r="Y599" s="153"/>
      <c r="Z599" s="153"/>
    </row>
    <row r="600" spans="1:26">
      <c r="A600" s="153"/>
      <c r="B600" s="173"/>
      <c r="C600" s="173"/>
      <c r="D600" s="153"/>
      <c r="E600" s="153"/>
      <c r="F600" s="153"/>
      <c r="G600" s="173"/>
      <c r="H600" s="174"/>
      <c r="I600" s="174"/>
      <c r="J600" s="175"/>
      <c r="K600" s="174"/>
      <c r="L600" s="174"/>
      <c r="M600" s="153"/>
      <c r="N600" s="153"/>
      <c r="O600" s="153"/>
      <c r="P600" s="153"/>
      <c r="Q600" s="153"/>
      <c r="R600" s="153"/>
      <c r="S600" s="153"/>
      <c r="T600" s="153"/>
      <c r="U600" s="153"/>
      <c r="V600" s="153"/>
      <c r="W600" s="153"/>
      <c r="X600" s="153"/>
      <c r="Y600" s="153"/>
      <c r="Z600" s="153"/>
    </row>
    <row r="601" spans="1:26">
      <c r="A601" s="153"/>
      <c r="B601" s="173"/>
      <c r="C601" s="173"/>
      <c r="D601" s="153"/>
      <c r="E601" s="153"/>
      <c r="F601" s="153"/>
      <c r="G601" s="173"/>
      <c r="H601" s="174"/>
      <c r="I601" s="174"/>
      <c r="J601" s="175"/>
      <c r="K601" s="174"/>
      <c r="L601" s="174"/>
      <c r="M601" s="153"/>
      <c r="N601" s="153"/>
      <c r="O601" s="153"/>
      <c r="P601" s="153"/>
      <c r="Q601" s="153"/>
      <c r="R601" s="153"/>
      <c r="S601" s="153"/>
      <c r="T601" s="153"/>
      <c r="U601" s="153"/>
      <c r="V601" s="153"/>
      <c r="W601" s="153"/>
      <c r="X601" s="153"/>
      <c r="Y601" s="153"/>
      <c r="Z601" s="153"/>
    </row>
    <row r="602" spans="1:26">
      <c r="A602" s="153"/>
      <c r="B602" s="173"/>
      <c r="C602" s="173"/>
      <c r="D602" s="153"/>
      <c r="E602" s="153"/>
      <c r="F602" s="153"/>
      <c r="G602" s="173"/>
      <c r="H602" s="174"/>
      <c r="I602" s="174"/>
      <c r="J602" s="175"/>
      <c r="K602" s="174"/>
      <c r="L602" s="174"/>
      <c r="M602" s="153"/>
      <c r="N602" s="153"/>
      <c r="O602" s="153"/>
      <c r="P602" s="153"/>
      <c r="Q602" s="153"/>
      <c r="R602" s="153"/>
      <c r="S602" s="153"/>
      <c r="T602" s="153"/>
      <c r="U602" s="153"/>
      <c r="V602" s="153"/>
      <c r="W602" s="153"/>
      <c r="X602" s="153"/>
      <c r="Y602" s="153"/>
      <c r="Z602" s="153"/>
    </row>
    <row r="603" spans="1:26">
      <c r="A603" s="153"/>
      <c r="B603" s="173"/>
      <c r="C603" s="173"/>
      <c r="D603" s="153"/>
      <c r="E603" s="153"/>
      <c r="F603" s="153"/>
      <c r="G603" s="173"/>
      <c r="H603" s="174"/>
      <c r="I603" s="174"/>
      <c r="J603" s="175"/>
      <c r="K603" s="174"/>
      <c r="L603" s="174"/>
      <c r="M603" s="153"/>
      <c r="N603" s="153"/>
      <c r="O603" s="153"/>
      <c r="P603" s="153"/>
      <c r="Q603" s="153"/>
      <c r="R603" s="153"/>
      <c r="S603" s="153"/>
      <c r="T603" s="153"/>
      <c r="U603" s="153"/>
      <c r="V603" s="153"/>
      <c r="W603" s="153"/>
      <c r="X603" s="153"/>
      <c r="Y603" s="153"/>
      <c r="Z603" s="153"/>
    </row>
    <row r="604" spans="1:26">
      <c r="A604" s="153"/>
      <c r="B604" s="173"/>
      <c r="C604" s="173"/>
      <c r="D604" s="153"/>
      <c r="E604" s="153"/>
      <c r="F604" s="153"/>
      <c r="G604" s="173"/>
      <c r="H604" s="174"/>
      <c r="I604" s="174"/>
      <c r="J604" s="175"/>
      <c r="K604" s="174"/>
      <c r="L604" s="174"/>
      <c r="M604" s="153"/>
      <c r="N604" s="153"/>
      <c r="O604" s="153"/>
      <c r="P604" s="153"/>
      <c r="Q604" s="153"/>
      <c r="R604" s="153"/>
      <c r="S604" s="153"/>
      <c r="T604" s="153"/>
      <c r="U604" s="153"/>
      <c r="V604" s="153"/>
      <c r="W604" s="153"/>
      <c r="X604" s="153"/>
      <c r="Y604" s="153"/>
      <c r="Z604" s="153"/>
    </row>
    <row r="605" spans="1:26">
      <c r="A605" s="153"/>
      <c r="B605" s="173"/>
      <c r="C605" s="173"/>
      <c r="D605" s="153"/>
      <c r="E605" s="153"/>
      <c r="F605" s="153"/>
      <c r="G605" s="173"/>
      <c r="H605" s="174"/>
      <c r="I605" s="174"/>
      <c r="J605" s="175"/>
      <c r="K605" s="174"/>
      <c r="L605" s="174"/>
      <c r="M605" s="153"/>
      <c r="N605" s="153"/>
      <c r="O605" s="153"/>
      <c r="P605" s="153"/>
      <c r="Q605" s="153"/>
      <c r="R605" s="153"/>
      <c r="S605" s="153"/>
      <c r="T605" s="153"/>
      <c r="U605" s="153"/>
      <c r="V605" s="153"/>
      <c r="W605" s="153"/>
      <c r="X605" s="153"/>
      <c r="Y605" s="153"/>
      <c r="Z605" s="153"/>
    </row>
    <row r="606" spans="1:26">
      <c r="A606" s="153"/>
      <c r="B606" s="173"/>
      <c r="C606" s="173"/>
      <c r="D606" s="153"/>
      <c r="E606" s="153"/>
      <c r="F606" s="153"/>
      <c r="G606" s="173"/>
      <c r="H606" s="174"/>
      <c r="I606" s="174"/>
      <c r="J606" s="175"/>
      <c r="K606" s="174"/>
      <c r="L606" s="174"/>
      <c r="M606" s="153"/>
      <c r="N606" s="153"/>
      <c r="O606" s="153"/>
      <c r="P606" s="153"/>
      <c r="Q606" s="153"/>
      <c r="R606" s="153"/>
      <c r="S606" s="153"/>
      <c r="T606" s="153"/>
      <c r="U606" s="153"/>
      <c r="V606" s="153"/>
      <c r="W606" s="153"/>
      <c r="X606" s="153"/>
      <c r="Y606" s="153"/>
      <c r="Z606" s="153"/>
    </row>
    <row r="607" spans="1:26">
      <c r="A607" s="153"/>
      <c r="B607" s="173"/>
      <c r="C607" s="173"/>
      <c r="D607" s="153"/>
      <c r="E607" s="153"/>
      <c r="F607" s="153"/>
      <c r="G607" s="173"/>
      <c r="H607" s="174"/>
      <c r="I607" s="174"/>
      <c r="J607" s="175"/>
      <c r="K607" s="174"/>
      <c r="L607" s="174"/>
      <c r="M607" s="153"/>
      <c r="N607" s="153"/>
      <c r="O607" s="153"/>
      <c r="P607" s="153"/>
      <c r="Q607" s="153"/>
      <c r="R607" s="153"/>
      <c r="S607" s="153"/>
      <c r="T607" s="153"/>
      <c r="U607" s="153"/>
      <c r="V607" s="153"/>
      <c r="W607" s="153"/>
      <c r="X607" s="153"/>
      <c r="Y607" s="153"/>
      <c r="Z607" s="153"/>
    </row>
    <row r="608" spans="1:26">
      <c r="A608" s="153"/>
      <c r="B608" s="173"/>
      <c r="C608" s="173"/>
      <c r="D608" s="153"/>
      <c r="E608" s="153"/>
      <c r="F608" s="153"/>
      <c r="G608" s="173"/>
      <c r="H608" s="174"/>
      <c r="I608" s="174"/>
      <c r="J608" s="175"/>
      <c r="K608" s="174"/>
      <c r="L608" s="174"/>
      <c r="M608" s="153"/>
      <c r="N608" s="153"/>
      <c r="O608" s="153"/>
      <c r="P608" s="153"/>
      <c r="Q608" s="153"/>
      <c r="R608" s="153"/>
      <c r="S608" s="153"/>
      <c r="T608" s="153"/>
      <c r="U608" s="153"/>
      <c r="V608" s="153"/>
      <c r="W608" s="153"/>
      <c r="X608" s="153"/>
      <c r="Y608" s="153"/>
      <c r="Z608" s="153"/>
    </row>
    <row r="609" spans="1:26">
      <c r="A609" s="153"/>
      <c r="B609" s="153"/>
      <c r="C609" s="173"/>
      <c r="D609" s="153"/>
      <c r="E609" s="153"/>
      <c r="F609" s="153"/>
      <c r="G609" s="153"/>
      <c r="H609" s="174"/>
      <c r="I609" s="174"/>
      <c r="J609" s="175"/>
      <c r="K609" s="174"/>
      <c r="L609" s="174"/>
      <c r="M609" s="153"/>
      <c r="N609" s="153"/>
      <c r="O609" s="153"/>
      <c r="P609" s="153"/>
      <c r="Q609" s="153"/>
      <c r="R609" s="153"/>
      <c r="S609" s="153"/>
      <c r="T609" s="153"/>
      <c r="U609" s="153"/>
      <c r="V609" s="153"/>
      <c r="W609" s="153"/>
      <c r="X609" s="153"/>
      <c r="Y609" s="153"/>
      <c r="Z609" s="153"/>
    </row>
    <row r="610" spans="1:26">
      <c r="A610" s="153"/>
      <c r="B610" s="153"/>
      <c r="C610" s="173"/>
      <c r="D610" s="153"/>
      <c r="E610" s="153"/>
      <c r="F610" s="153"/>
      <c r="G610" s="153"/>
      <c r="H610" s="174"/>
      <c r="I610" s="174"/>
      <c r="J610" s="175"/>
      <c r="K610" s="174"/>
      <c r="L610" s="174"/>
      <c r="M610" s="153"/>
      <c r="N610" s="153"/>
      <c r="O610" s="153"/>
      <c r="P610" s="153"/>
      <c r="Q610" s="153"/>
      <c r="R610" s="153"/>
      <c r="S610" s="153"/>
      <c r="T610" s="153"/>
      <c r="U610" s="153"/>
      <c r="V610" s="153"/>
      <c r="W610" s="153"/>
      <c r="X610" s="153"/>
      <c r="Y610" s="153"/>
      <c r="Z610" s="153"/>
    </row>
    <row r="611" spans="1:26">
      <c r="A611" s="153"/>
      <c r="B611" s="153"/>
      <c r="C611" s="173"/>
      <c r="D611" s="153"/>
      <c r="E611" s="153"/>
      <c r="F611" s="153"/>
      <c r="G611" s="153"/>
      <c r="H611" s="174"/>
      <c r="I611" s="174"/>
      <c r="J611" s="175"/>
      <c r="K611" s="174"/>
      <c r="L611" s="174"/>
      <c r="M611" s="153"/>
      <c r="N611" s="153"/>
      <c r="O611" s="153"/>
      <c r="P611" s="153"/>
      <c r="Q611" s="153"/>
      <c r="R611" s="153"/>
      <c r="S611" s="153"/>
      <c r="T611" s="153"/>
      <c r="U611" s="153"/>
      <c r="V611" s="153"/>
      <c r="W611" s="153"/>
      <c r="X611" s="153"/>
      <c r="Y611" s="153"/>
      <c r="Z611" s="153"/>
    </row>
    <row r="612" spans="1:26">
      <c r="A612" s="153"/>
      <c r="B612" s="153"/>
      <c r="C612" s="173"/>
      <c r="D612" s="153"/>
      <c r="E612" s="153"/>
      <c r="F612" s="153"/>
      <c r="G612" s="153"/>
      <c r="H612" s="174"/>
      <c r="I612" s="174"/>
      <c r="J612" s="175"/>
      <c r="K612" s="174"/>
      <c r="L612" s="174"/>
      <c r="M612" s="153"/>
      <c r="N612" s="153"/>
      <c r="O612" s="153"/>
      <c r="P612" s="153"/>
      <c r="Q612" s="153"/>
      <c r="R612" s="153"/>
      <c r="S612" s="153"/>
      <c r="T612" s="153"/>
      <c r="U612" s="153"/>
      <c r="V612" s="153"/>
      <c r="W612" s="153"/>
      <c r="X612" s="153"/>
      <c r="Y612" s="153"/>
      <c r="Z612" s="153"/>
    </row>
    <row r="613" spans="1:26">
      <c r="A613" s="40"/>
      <c r="B613" s="40"/>
      <c r="C613" s="40"/>
      <c r="D613" s="40"/>
      <c r="E613" s="40"/>
      <c r="F613" s="40"/>
      <c r="G613" s="40"/>
      <c r="H613" s="40"/>
      <c r="I613" s="40"/>
      <c r="J613" s="40"/>
      <c r="K613" s="40"/>
      <c r="L613" s="40"/>
      <c r="M613" s="40"/>
      <c r="N613" s="40"/>
    </row>
    <row r="614" spans="1:26">
      <c r="A614" s="40"/>
      <c r="B614" s="40"/>
      <c r="C614" s="40"/>
      <c r="D614" s="40"/>
      <c r="E614" s="40"/>
      <c r="F614" s="40"/>
      <c r="G614" s="40"/>
      <c r="H614" s="40"/>
      <c r="I614" s="40"/>
      <c r="J614" s="40"/>
      <c r="K614" s="40"/>
      <c r="L614" s="40"/>
      <c r="M614" s="40"/>
      <c r="N614" s="40"/>
    </row>
    <row r="615" spans="1:26">
      <c r="A615" s="40"/>
      <c r="B615" s="40"/>
      <c r="C615" s="40"/>
      <c r="D615" s="40"/>
      <c r="E615" s="40"/>
      <c r="F615" s="40"/>
      <c r="G615" s="40"/>
      <c r="H615" s="40"/>
      <c r="I615" s="40"/>
      <c r="J615" s="40"/>
      <c r="K615" s="40"/>
      <c r="L615" s="40"/>
      <c r="M615" s="40"/>
      <c r="N615" s="40"/>
    </row>
    <row r="616" spans="1:26">
      <c r="A616" s="40"/>
      <c r="B616" s="40"/>
      <c r="C616" s="40"/>
      <c r="D616" s="40"/>
      <c r="E616" s="40"/>
      <c r="F616" s="40"/>
      <c r="G616" s="40"/>
      <c r="H616" s="40"/>
      <c r="I616" s="40"/>
      <c r="J616" s="40"/>
      <c r="K616" s="40"/>
      <c r="L616" s="40"/>
      <c r="M616" s="40"/>
      <c r="N616" s="40"/>
    </row>
    <row r="617" spans="1:26">
      <c r="A617" s="40"/>
      <c r="B617" s="40"/>
      <c r="C617" s="40"/>
      <c r="D617" s="40"/>
      <c r="E617" s="40"/>
      <c r="F617" s="40"/>
      <c r="G617" s="40"/>
      <c r="H617" s="40"/>
      <c r="I617" s="40"/>
      <c r="J617" s="40"/>
      <c r="K617" s="40"/>
      <c r="L617" s="40"/>
      <c r="M617" s="40"/>
      <c r="N617" s="40"/>
    </row>
    <row r="618" spans="1:26">
      <c r="A618" s="40"/>
      <c r="B618" s="40"/>
      <c r="C618" s="40"/>
      <c r="D618" s="40"/>
      <c r="E618" s="40"/>
      <c r="F618" s="40"/>
      <c r="G618" s="40"/>
      <c r="H618" s="40"/>
      <c r="I618" s="40"/>
      <c r="J618" s="40"/>
      <c r="K618" s="40"/>
      <c r="L618" s="40"/>
      <c r="M618" s="40"/>
      <c r="N618" s="40"/>
    </row>
    <row r="619" spans="1:26">
      <c r="A619" s="40"/>
      <c r="B619" s="40"/>
      <c r="C619" s="40"/>
      <c r="D619" s="40"/>
      <c r="E619" s="40"/>
      <c r="F619" s="40"/>
      <c r="G619" s="40"/>
      <c r="H619" s="40"/>
      <c r="I619" s="40"/>
      <c r="J619" s="40"/>
      <c r="K619" s="40"/>
      <c r="L619" s="40"/>
      <c r="M619" s="40"/>
      <c r="N619" s="40"/>
    </row>
    <row r="620" spans="1:26">
      <c r="A620" s="40"/>
      <c r="B620" s="40"/>
      <c r="C620" s="40"/>
      <c r="D620" s="40"/>
      <c r="E620" s="40"/>
      <c r="F620" s="40"/>
      <c r="G620" s="40"/>
      <c r="H620" s="40"/>
      <c r="I620" s="40"/>
      <c r="J620" s="40"/>
      <c r="K620" s="40"/>
      <c r="L620" s="40"/>
      <c r="M620" s="40"/>
      <c r="N620" s="40"/>
    </row>
    <row r="621" spans="1:26">
      <c r="A621" s="40"/>
      <c r="B621" s="40"/>
      <c r="C621" s="40"/>
      <c r="D621" s="40"/>
      <c r="E621" s="40"/>
      <c r="F621" s="40"/>
      <c r="G621" s="40"/>
      <c r="H621" s="40"/>
      <c r="I621" s="40"/>
      <c r="J621" s="40"/>
      <c r="K621" s="40"/>
      <c r="L621" s="40"/>
      <c r="M621" s="40"/>
      <c r="N621" s="40"/>
    </row>
    <row r="622" spans="1:26">
      <c r="A622" s="40"/>
      <c r="B622" s="40"/>
      <c r="C622" s="40"/>
      <c r="D622" s="40"/>
      <c r="E622" s="40"/>
      <c r="F622" s="40"/>
      <c r="G622" s="40"/>
      <c r="H622" s="40"/>
      <c r="I622" s="40"/>
      <c r="J622" s="40"/>
      <c r="K622" s="40"/>
      <c r="L622" s="40"/>
      <c r="M622" s="40"/>
      <c r="N622" s="40"/>
    </row>
    <row r="623" spans="1:26">
      <c r="A623" s="40"/>
      <c r="B623" s="40"/>
      <c r="C623" s="40"/>
      <c r="D623" s="40"/>
      <c r="E623" s="40"/>
      <c r="F623" s="40"/>
      <c r="G623" s="40"/>
      <c r="H623" s="40"/>
      <c r="I623" s="40"/>
      <c r="J623" s="40"/>
      <c r="K623" s="40"/>
      <c r="L623" s="40"/>
      <c r="M623" s="40"/>
      <c r="N623" s="40"/>
    </row>
    <row r="624" spans="1:26">
      <c r="A624" s="40"/>
      <c r="B624" s="40"/>
      <c r="C624" s="40"/>
      <c r="D624" s="40"/>
      <c r="E624" s="40"/>
      <c r="F624" s="40"/>
      <c r="G624" s="40"/>
      <c r="H624" s="40"/>
      <c r="I624" s="40"/>
      <c r="J624" s="40"/>
      <c r="K624" s="40"/>
      <c r="L624" s="40"/>
      <c r="M624" s="40"/>
      <c r="N624" s="40"/>
    </row>
    <row r="625" spans="1:14">
      <c r="A625" s="40"/>
      <c r="B625" s="40"/>
      <c r="C625" s="40"/>
      <c r="D625" s="40"/>
      <c r="E625" s="40"/>
      <c r="F625" s="40"/>
      <c r="G625" s="40"/>
      <c r="H625" s="40"/>
      <c r="I625" s="40"/>
      <c r="J625" s="40"/>
      <c r="K625" s="40"/>
      <c r="L625" s="40"/>
      <c r="M625" s="40"/>
      <c r="N625" s="40"/>
    </row>
    <row r="626" spans="1:14">
      <c r="A626" s="40"/>
      <c r="B626" s="40"/>
      <c r="C626" s="40"/>
      <c r="D626" s="40"/>
      <c r="E626" s="40"/>
      <c r="F626" s="40"/>
      <c r="G626" s="40"/>
      <c r="H626" s="40"/>
      <c r="I626" s="40"/>
      <c r="J626" s="40"/>
      <c r="K626" s="40"/>
      <c r="L626" s="40"/>
      <c r="M626" s="40"/>
      <c r="N626" s="40"/>
    </row>
    <row r="627" spans="1:14">
      <c r="A627" s="40"/>
      <c r="B627" s="40"/>
      <c r="C627" s="40"/>
      <c r="D627" s="40"/>
      <c r="E627" s="40"/>
      <c r="F627" s="40"/>
      <c r="G627" s="40"/>
      <c r="H627" s="40"/>
      <c r="I627" s="40"/>
      <c r="J627" s="40"/>
      <c r="K627" s="40"/>
      <c r="L627" s="40"/>
      <c r="M627" s="40"/>
      <c r="N627" s="40"/>
    </row>
    <row r="628" spans="1:14">
      <c r="A628" s="40"/>
      <c r="B628" s="40"/>
      <c r="C628" s="40"/>
      <c r="D628" s="40"/>
      <c r="E628" s="40"/>
      <c r="F628" s="40"/>
      <c r="G628" s="40"/>
      <c r="H628" s="40"/>
      <c r="I628" s="40"/>
      <c r="J628" s="40"/>
      <c r="K628" s="40"/>
      <c r="L628" s="40"/>
      <c r="M628" s="40"/>
      <c r="N628" s="40"/>
    </row>
    <row r="629" spans="1:14">
      <c r="A629" s="40"/>
      <c r="B629" s="40"/>
      <c r="C629" s="40"/>
      <c r="D629" s="40"/>
      <c r="E629" s="40"/>
      <c r="F629" s="40"/>
      <c r="G629" s="40"/>
      <c r="H629" s="40"/>
      <c r="I629" s="40"/>
      <c r="J629" s="40"/>
      <c r="K629" s="40"/>
      <c r="L629" s="40"/>
      <c r="M629" s="40"/>
      <c r="N629" s="40"/>
    </row>
    <row r="630" spans="1:14">
      <c r="A630" s="40"/>
      <c r="B630" s="40"/>
      <c r="C630" s="40"/>
      <c r="D630" s="40"/>
      <c r="E630" s="40"/>
      <c r="F630" s="40"/>
      <c r="G630" s="40"/>
      <c r="H630" s="40"/>
      <c r="I630" s="40"/>
      <c r="J630" s="40"/>
      <c r="K630" s="40"/>
      <c r="L630" s="40"/>
      <c r="M630" s="40"/>
      <c r="N630" s="40"/>
    </row>
    <row r="631" spans="1:14">
      <c r="A631" s="40"/>
      <c r="B631" s="40"/>
      <c r="C631" s="40"/>
      <c r="D631" s="40"/>
      <c r="E631" s="40"/>
      <c r="F631" s="40"/>
      <c r="G631" s="40"/>
      <c r="H631" s="40"/>
      <c r="I631" s="40"/>
      <c r="J631" s="40"/>
      <c r="K631" s="40"/>
      <c r="L631" s="40"/>
      <c r="M631" s="40"/>
      <c r="N631" s="40"/>
    </row>
    <row r="632" spans="1:14">
      <c r="A632" s="40"/>
      <c r="B632" s="40"/>
      <c r="C632" s="40"/>
      <c r="D632" s="40"/>
      <c r="E632" s="40"/>
      <c r="F632" s="40"/>
      <c r="G632" s="40"/>
      <c r="H632" s="40"/>
      <c r="I632" s="40"/>
      <c r="J632" s="40"/>
      <c r="K632" s="40"/>
      <c r="L632" s="40"/>
      <c r="M632" s="40"/>
      <c r="N632" s="40"/>
    </row>
    <row r="633" spans="1:14">
      <c r="A633" s="40"/>
      <c r="B633" s="40"/>
      <c r="C633" s="40"/>
      <c r="D633" s="40"/>
      <c r="E633" s="40"/>
      <c r="F633" s="40"/>
      <c r="G633" s="40"/>
      <c r="H633" s="40"/>
      <c r="I633" s="40"/>
      <c r="J633" s="40"/>
      <c r="K633" s="40"/>
      <c r="L633" s="40"/>
      <c r="M633" s="40"/>
      <c r="N633" s="40"/>
    </row>
    <row r="634" spans="1:14">
      <c r="A634" s="40"/>
      <c r="B634" s="40"/>
      <c r="C634" s="40"/>
      <c r="D634" s="40"/>
      <c r="E634" s="40"/>
      <c r="F634" s="40"/>
      <c r="G634" s="40"/>
      <c r="H634" s="40"/>
      <c r="I634" s="40"/>
      <c r="J634" s="40"/>
      <c r="K634" s="40"/>
      <c r="L634" s="40"/>
      <c r="M634" s="40"/>
      <c r="N634" s="40"/>
    </row>
    <row r="635" spans="1:14">
      <c r="A635" s="40"/>
      <c r="B635" s="40"/>
      <c r="C635" s="40"/>
      <c r="D635" s="40"/>
      <c r="E635" s="40"/>
      <c r="F635" s="40"/>
      <c r="G635" s="40"/>
      <c r="H635" s="40"/>
      <c r="I635" s="40"/>
      <c r="J635" s="40"/>
      <c r="K635" s="40"/>
      <c r="L635" s="40"/>
      <c r="M635" s="40"/>
      <c r="N635" s="40"/>
    </row>
    <row r="636" spans="1:14">
      <c r="A636" s="40"/>
      <c r="B636" s="40"/>
      <c r="C636" s="40"/>
      <c r="D636" s="40"/>
      <c r="E636" s="40"/>
      <c r="F636" s="40"/>
      <c r="G636" s="40"/>
      <c r="H636" s="40"/>
      <c r="I636" s="40"/>
      <c r="J636" s="40"/>
      <c r="K636" s="40"/>
      <c r="L636" s="40"/>
      <c r="M636" s="40"/>
      <c r="N636" s="40"/>
    </row>
    <row r="637" spans="1:14">
      <c r="A637" s="40"/>
      <c r="B637" s="40"/>
      <c r="C637" s="40"/>
      <c r="D637" s="40"/>
      <c r="E637" s="40"/>
      <c r="F637" s="40"/>
      <c r="G637" s="40"/>
      <c r="H637" s="40"/>
      <c r="I637" s="40"/>
      <c r="J637" s="40"/>
      <c r="K637" s="40"/>
      <c r="L637" s="40"/>
      <c r="M637" s="40"/>
      <c r="N637" s="40"/>
    </row>
    <row r="638" spans="1:14">
      <c r="A638" s="40"/>
      <c r="B638" s="40"/>
      <c r="C638" s="40"/>
      <c r="D638" s="40"/>
      <c r="E638" s="40"/>
      <c r="F638" s="40"/>
      <c r="G638" s="40"/>
      <c r="H638" s="40"/>
      <c r="I638" s="40"/>
      <c r="J638" s="40"/>
      <c r="K638" s="40"/>
      <c r="L638" s="40"/>
      <c r="M638" s="40"/>
      <c r="N638" s="40"/>
    </row>
    <row r="639" spans="1:14">
      <c r="A639" s="40"/>
      <c r="B639" s="40"/>
      <c r="C639" s="40"/>
      <c r="D639" s="40"/>
      <c r="E639" s="40"/>
      <c r="F639" s="40"/>
      <c r="G639" s="40"/>
      <c r="H639" s="40"/>
      <c r="I639" s="40"/>
      <c r="J639" s="40"/>
      <c r="K639" s="40"/>
      <c r="L639" s="40"/>
      <c r="M639" s="40"/>
      <c r="N639" s="40"/>
    </row>
    <row r="640" spans="1:14">
      <c r="A640" s="40"/>
      <c r="B640" s="40"/>
      <c r="C640" s="40"/>
      <c r="D640" s="40"/>
      <c r="E640" s="40"/>
      <c r="F640" s="40"/>
      <c r="G640" s="40"/>
      <c r="H640" s="40"/>
      <c r="I640" s="40"/>
      <c r="J640" s="40"/>
      <c r="K640" s="40"/>
      <c r="L640" s="40"/>
      <c r="M640" s="40"/>
      <c r="N640" s="40"/>
    </row>
    <row r="641" spans="1:14">
      <c r="A641" s="40"/>
      <c r="B641" s="40"/>
      <c r="C641" s="40"/>
      <c r="D641" s="40"/>
      <c r="E641" s="40"/>
      <c r="F641" s="40"/>
      <c r="G641" s="40"/>
      <c r="H641" s="40"/>
      <c r="I641" s="40"/>
      <c r="J641" s="40"/>
      <c r="K641" s="40"/>
      <c r="L641" s="40"/>
      <c r="M641" s="40"/>
      <c r="N641" s="40"/>
    </row>
    <row r="642" spans="1:14">
      <c r="A642" s="40"/>
      <c r="B642" s="40"/>
      <c r="C642" s="40"/>
      <c r="D642" s="40"/>
      <c r="E642" s="40"/>
      <c r="F642" s="40"/>
      <c r="G642" s="40"/>
      <c r="H642" s="40"/>
      <c r="I642" s="40"/>
      <c r="J642" s="40"/>
      <c r="K642" s="40"/>
      <c r="L642" s="40"/>
      <c r="M642" s="40"/>
      <c r="N642" s="40"/>
    </row>
    <row r="643" spans="1:14">
      <c r="A643" s="40"/>
      <c r="B643" s="40"/>
      <c r="C643" s="40"/>
      <c r="D643" s="40"/>
      <c r="E643" s="40"/>
      <c r="F643" s="40"/>
      <c r="G643" s="40"/>
      <c r="H643" s="40"/>
      <c r="I643" s="40"/>
      <c r="J643" s="40"/>
      <c r="K643" s="40"/>
      <c r="L643" s="40"/>
      <c r="M643" s="40"/>
      <c r="N643" s="40"/>
    </row>
    <row r="644" spans="1:14">
      <c r="A644" s="40"/>
      <c r="B644" s="40"/>
      <c r="C644" s="40"/>
      <c r="D644" s="40"/>
      <c r="E644" s="40"/>
      <c r="F644" s="40"/>
      <c r="G644" s="40"/>
      <c r="H644" s="40"/>
      <c r="I644" s="40"/>
      <c r="J644" s="40"/>
      <c r="K644" s="40"/>
      <c r="L644" s="40"/>
      <c r="M644" s="40"/>
      <c r="N644" s="40"/>
    </row>
    <row r="645" spans="1:14">
      <c r="A645" s="40"/>
      <c r="B645" s="40"/>
      <c r="C645" s="40"/>
      <c r="D645" s="40"/>
      <c r="E645" s="40"/>
      <c r="F645" s="40"/>
      <c r="G645" s="40"/>
      <c r="H645" s="40"/>
      <c r="I645" s="40"/>
      <c r="J645" s="40"/>
      <c r="K645" s="40"/>
      <c r="L645" s="40"/>
      <c r="M645" s="40"/>
      <c r="N645" s="40"/>
    </row>
    <row r="646" spans="1:14">
      <c r="A646" s="40"/>
      <c r="B646" s="40"/>
      <c r="C646" s="40"/>
      <c r="D646" s="40"/>
      <c r="E646" s="40"/>
      <c r="F646" s="40"/>
      <c r="G646" s="40"/>
      <c r="H646" s="40"/>
      <c r="I646" s="40"/>
      <c r="J646" s="40"/>
      <c r="K646" s="40"/>
      <c r="L646" s="40"/>
      <c r="M646" s="40"/>
      <c r="N646" s="40"/>
    </row>
    <row r="647" spans="1:14">
      <c r="A647" s="40"/>
      <c r="B647" s="40"/>
      <c r="C647" s="40"/>
      <c r="D647" s="40"/>
      <c r="E647" s="40"/>
      <c r="F647" s="40"/>
      <c r="G647" s="40"/>
      <c r="H647" s="40"/>
      <c r="I647" s="40"/>
      <c r="J647" s="40"/>
      <c r="K647" s="40"/>
      <c r="L647" s="40"/>
      <c r="M647" s="40"/>
      <c r="N647" s="40"/>
    </row>
    <row r="648" spans="1:14">
      <c r="A648" s="40"/>
      <c r="B648" s="40"/>
      <c r="C648" s="40"/>
      <c r="D648" s="40"/>
      <c r="E648" s="40"/>
      <c r="F648" s="40"/>
      <c r="G648" s="40"/>
      <c r="H648" s="40"/>
      <c r="I648" s="40"/>
      <c r="J648" s="40"/>
      <c r="K648" s="40"/>
      <c r="L648" s="40"/>
      <c r="M648" s="40"/>
      <c r="N648" s="40"/>
    </row>
    <row r="649" spans="1:14">
      <c r="A649" s="40"/>
      <c r="B649" s="40"/>
      <c r="C649" s="40"/>
      <c r="D649" s="40"/>
      <c r="E649" s="40"/>
      <c r="F649" s="40"/>
      <c r="G649" s="40"/>
      <c r="H649" s="40"/>
      <c r="I649" s="40"/>
      <c r="J649" s="40"/>
      <c r="K649" s="40"/>
      <c r="L649" s="40"/>
      <c r="M649" s="40"/>
      <c r="N649" s="40"/>
    </row>
    <row r="650" spans="1:14">
      <c r="A650" s="40"/>
      <c r="B650" s="40"/>
      <c r="C650" s="40"/>
      <c r="D650" s="40"/>
      <c r="E650" s="40"/>
      <c r="F650" s="40"/>
      <c r="G650" s="40"/>
      <c r="H650" s="40"/>
      <c r="I650" s="40"/>
      <c r="J650" s="40"/>
      <c r="K650" s="40"/>
      <c r="L650" s="40"/>
      <c r="M650" s="40"/>
      <c r="N650" s="40"/>
    </row>
    <row r="651" spans="1:14">
      <c r="A651" s="40"/>
      <c r="B651" s="40"/>
      <c r="C651" s="40"/>
      <c r="D651" s="40"/>
      <c r="E651" s="40"/>
      <c r="F651" s="40"/>
      <c r="G651" s="40"/>
      <c r="H651" s="40"/>
      <c r="I651" s="40"/>
      <c r="J651" s="40"/>
      <c r="K651" s="40"/>
      <c r="L651" s="40"/>
      <c r="M651" s="40"/>
      <c r="N651" s="40"/>
    </row>
    <row r="652" spans="1:14">
      <c r="A652" s="40"/>
      <c r="B652" s="40"/>
      <c r="C652" s="40"/>
      <c r="D652" s="40"/>
      <c r="E652" s="40"/>
      <c r="F652" s="40"/>
      <c r="G652" s="40"/>
      <c r="H652" s="40"/>
      <c r="I652" s="40"/>
      <c r="J652" s="40"/>
      <c r="K652" s="40"/>
      <c r="L652" s="40"/>
      <c r="M652" s="40"/>
      <c r="N652" s="40"/>
    </row>
    <row r="653" spans="1:14">
      <c r="A653" s="40"/>
      <c r="B653" s="40"/>
      <c r="C653" s="40"/>
      <c r="D653" s="40"/>
      <c r="E653" s="40"/>
      <c r="F653" s="40"/>
      <c r="G653" s="40"/>
      <c r="H653" s="40"/>
      <c r="I653" s="40"/>
      <c r="J653" s="40"/>
      <c r="K653" s="40"/>
      <c r="L653" s="40"/>
      <c r="M653" s="40"/>
      <c r="N653" s="40"/>
    </row>
    <row r="654" spans="1:14">
      <c r="A654" s="40"/>
      <c r="B654" s="40"/>
      <c r="C654" s="40"/>
      <c r="D654" s="40"/>
      <c r="E654" s="40"/>
      <c r="F654" s="40"/>
      <c r="G654" s="40"/>
      <c r="H654" s="40"/>
      <c r="I654" s="40"/>
      <c r="J654" s="40"/>
      <c r="K654" s="40"/>
      <c r="L654" s="40"/>
      <c r="M654" s="40"/>
      <c r="N654" s="40"/>
    </row>
    <row r="655" spans="1:14">
      <c r="A655" s="40"/>
      <c r="B655" s="40"/>
      <c r="C655" s="40"/>
      <c r="D655" s="40"/>
      <c r="E655" s="40"/>
      <c r="F655" s="40"/>
      <c r="G655" s="40"/>
      <c r="H655" s="40"/>
      <c r="I655" s="40"/>
      <c r="J655" s="40"/>
      <c r="K655" s="40"/>
      <c r="L655" s="40"/>
      <c r="M655" s="40"/>
      <c r="N655" s="40"/>
    </row>
    <row r="656" spans="1:14">
      <c r="A656" s="40"/>
      <c r="B656" s="40"/>
      <c r="C656" s="40"/>
      <c r="D656" s="40"/>
      <c r="E656" s="40"/>
      <c r="F656" s="40"/>
      <c r="G656" s="40"/>
      <c r="H656" s="40"/>
      <c r="I656" s="40"/>
      <c r="J656" s="40"/>
      <c r="K656" s="40"/>
      <c r="L656" s="40"/>
      <c r="M656" s="40"/>
      <c r="N656" s="40"/>
    </row>
    <row r="657" spans="1:14">
      <c r="A657" s="40"/>
      <c r="B657" s="40"/>
      <c r="C657" s="40"/>
      <c r="D657" s="40"/>
      <c r="E657" s="40"/>
      <c r="F657" s="40"/>
      <c r="G657" s="40"/>
      <c r="H657" s="40"/>
      <c r="I657" s="40"/>
      <c r="J657" s="40"/>
      <c r="K657" s="40"/>
      <c r="L657" s="40"/>
      <c r="M657" s="40"/>
      <c r="N657" s="40"/>
    </row>
    <row r="658" spans="1:14">
      <c r="A658" s="40"/>
      <c r="B658" s="40"/>
      <c r="C658" s="40"/>
      <c r="D658" s="40"/>
      <c r="E658" s="40"/>
      <c r="F658" s="40"/>
      <c r="G658" s="40"/>
      <c r="H658" s="40"/>
      <c r="I658" s="40"/>
      <c r="J658" s="40"/>
      <c r="K658" s="40"/>
      <c r="L658" s="40"/>
      <c r="M658" s="40"/>
      <c r="N658" s="40"/>
    </row>
    <row r="659" spans="1:14">
      <c r="A659" s="40"/>
      <c r="B659" s="40"/>
      <c r="C659" s="40"/>
      <c r="D659" s="40"/>
      <c r="E659" s="40"/>
      <c r="F659" s="40"/>
      <c r="G659" s="40"/>
      <c r="H659" s="40"/>
      <c r="I659" s="40"/>
      <c r="J659" s="40"/>
      <c r="K659" s="40"/>
      <c r="L659" s="40"/>
      <c r="M659" s="40"/>
      <c r="N659" s="40"/>
    </row>
    <row r="660" spans="1:14">
      <c r="A660" s="40"/>
      <c r="B660" s="40"/>
      <c r="C660" s="40"/>
      <c r="D660" s="40"/>
      <c r="E660" s="40"/>
      <c r="F660" s="40"/>
      <c r="G660" s="40"/>
      <c r="H660" s="40"/>
      <c r="I660" s="40"/>
      <c r="J660" s="40"/>
      <c r="K660" s="40"/>
      <c r="L660" s="40"/>
      <c r="M660" s="40"/>
      <c r="N660" s="40"/>
    </row>
    <row r="661" spans="1:14">
      <c r="A661" s="40"/>
      <c r="B661" s="40"/>
      <c r="C661" s="40"/>
      <c r="D661" s="40"/>
      <c r="E661" s="40"/>
      <c r="F661" s="40"/>
      <c r="G661" s="40"/>
      <c r="H661" s="40"/>
      <c r="I661" s="40"/>
      <c r="J661" s="40"/>
      <c r="K661" s="40"/>
      <c r="L661" s="40"/>
      <c r="M661" s="40"/>
      <c r="N661" s="40"/>
    </row>
    <row r="662" spans="1:14">
      <c r="A662" s="40"/>
      <c r="B662" s="40"/>
      <c r="C662" s="40"/>
      <c r="D662" s="40"/>
      <c r="E662" s="40"/>
      <c r="F662" s="40"/>
      <c r="G662" s="40"/>
      <c r="H662" s="40"/>
      <c r="I662" s="40"/>
      <c r="J662" s="40"/>
      <c r="K662" s="40"/>
      <c r="L662" s="40"/>
      <c r="M662" s="40"/>
      <c r="N662" s="40"/>
    </row>
    <row r="663" spans="1:14">
      <c r="A663" s="40"/>
      <c r="B663" s="40"/>
      <c r="C663" s="40"/>
      <c r="D663" s="40"/>
      <c r="E663" s="40"/>
      <c r="F663" s="40"/>
      <c r="G663" s="40"/>
      <c r="H663" s="40"/>
      <c r="I663" s="40"/>
      <c r="J663" s="40"/>
      <c r="K663" s="40"/>
      <c r="L663" s="40"/>
      <c r="M663" s="40"/>
      <c r="N663" s="40"/>
    </row>
    <row r="664" spans="1:14">
      <c r="A664" s="40"/>
      <c r="B664" s="40"/>
      <c r="C664" s="40"/>
      <c r="D664" s="40"/>
      <c r="E664" s="40"/>
      <c r="F664" s="40"/>
      <c r="G664" s="40"/>
      <c r="H664" s="40"/>
      <c r="I664" s="40"/>
      <c r="J664" s="40"/>
      <c r="K664" s="40"/>
      <c r="L664" s="40"/>
      <c r="M664" s="40"/>
      <c r="N664" s="40"/>
    </row>
    <row r="665" spans="1:14">
      <c r="A665" s="40"/>
      <c r="B665" s="40"/>
      <c r="C665" s="40"/>
      <c r="D665" s="40"/>
      <c r="E665" s="40"/>
      <c r="F665" s="40"/>
      <c r="G665" s="40"/>
      <c r="H665" s="40"/>
      <c r="I665" s="40"/>
      <c r="J665" s="40"/>
      <c r="K665" s="40"/>
      <c r="L665" s="40"/>
      <c r="M665" s="40"/>
      <c r="N665" s="40"/>
    </row>
    <row r="666" spans="1:14">
      <c r="A666" s="40"/>
      <c r="B666" s="40"/>
      <c r="C666" s="40"/>
      <c r="D666" s="40"/>
      <c r="E666" s="40"/>
      <c r="F666" s="40"/>
      <c r="G666" s="40"/>
      <c r="H666" s="40"/>
      <c r="I666" s="40"/>
      <c r="J666" s="40"/>
      <c r="K666" s="40"/>
      <c r="L666" s="40"/>
      <c r="M666" s="40"/>
      <c r="N666" s="40"/>
    </row>
    <row r="667" spans="1:14">
      <c r="A667" s="40"/>
      <c r="B667" s="40"/>
      <c r="C667" s="40"/>
      <c r="D667" s="40"/>
      <c r="E667" s="40"/>
      <c r="F667" s="40"/>
      <c r="G667" s="40"/>
      <c r="H667" s="40"/>
      <c r="I667" s="40"/>
      <c r="J667" s="40"/>
      <c r="K667" s="40"/>
      <c r="L667" s="40"/>
      <c r="M667" s="40"/>
      <c r="N667" s="40"/>
    </row>
    <row r="668" spans="1:14">
      <c r="A668" s="40"/>
      <c r="B668" s="40"/>
      <c r="C668" s="40"/>
      <c r="D668" s="40"/>
      <c r="E668" s="40"/>
      <c r="F668" s="40"/>
      <c r="G668" s="40"/>
      <c r="H668" s="40"/>
      <c r="I668" s="40"/>
      <c r="J668" s="40"/>
      <c r="K668" s="40"/>
      <c r="L668" s="40"/>
      <c r="M668" s="40"/>
      <c r="N668" s="40"/>
    </row>
    <row r="669" spans="1:14">
      <c r="A669" s="40"/>
      <c r="B669" s="40"/>
      <c r="C669" s="40"/>
      <c r="D669" s="40"/>
      <c r="E669" s="40"/>
      <c r="F669" s="40"/>
      <c r="G669" s="40"/>
      <c r="H669" s="40"/>
      <c r="I669" s="40"/>
      <c r="J669" s="40"/>
      <c r="K669" s="40"/>
      <c r="L669" s="40"/>
      <c r="M669" s="40"/>
      <c r="N669" s="40"/>
    </row>
    <row r="670" spans="1:14">
      <c r="A670" s="40"/>
      <c r="B670" s="40"/>
      <c r="C670" s="40"/>
      <c r="D670" s="40"/>
      <c r="E670" s="40"/>
      <c r="F670" s="40"/>
      <c r="G670" s="40"/>
      <c r="H670" s="40"/>
      <c r="I670" s="40"/>
      <c r="J670" s="40"/>
      <c r="K670" s="40"/>
      <c r="L670" s="40"/>
      <c r="M670" s="40"/>
      <c r="N670" s="40"/>
    </row>
    <row r="671" spans="1:14">
      <c r="A671" s="40"/>
      <c r="B671" s="40"/>
      <c r="C671" s="40"/>
      <c r="D671" s="40"/>
      <c r="E671" s="40"/>
      <c r="F671" s="40"/>
      <c r="G671" s="40"/>
      <c r="H671" s="40"/>
      <c r="I671" s="40"/>
      <c r="J671" s="40"/>
      <c r="K671" s="40"/>
      <c r="L671" s="40"/>
      <c r="M671" s="40"/>
      <c r="N671" s="40"/>
    </row>
    <row r="672" spans="1:14">
      <c r="A672" s="40"/>
      <c r="B672" s="40"/>
      <c r="C672" s="40"/>
      <c r="D672" s="40"/>
      <c r="E672" s="40"/>
      <c r="F672" s="40"/>
      <c r="G672" s="40"/>
      <c r="H672" s="40"/>
      <c r="I672" s="40"/>
      <c r="J672" s="40"/>
      <c r="K672" s="40"/>
      <c r="L672" s="40"/>
      <c r="M672" s="40"/>
      <c r="N672" s="40"/>
    </row>
    <row r="673" spans="1:14">
      <c r="A673" s="40"/>
      <c r="B673" s="40"/>
      <c r="C673" s="40"/>
      <c r="D673" s="40"/>
      <c r="E673" s="40"/>
      <c r="F673" s="40"/>
      <c r="G673" s="40"/>
      <c r="H673" s="40"/>
      <c r="I673" s="40"/>
      <c r="J673" s="40"/>
      <c r="K673" s="40"/>
      <c r="L673" s="40"/>
      <c r="M673" s="40"/>
      <c r="N673" s="40"/>
    </row>
    <row r="674" spans="1:14">
      <c r="A674" s="40"/>
      <c r="B674" s="40"/>
      <c r="C674" s="40"/>
      <c r="D674" s="40"/>
      <c r="E674" s="40"/>
      <c r="F674" s="40"/>
      <c r="G674" s="40"/>
      <c r="H674" s="40"/>
      <c r="I674" s="40"/>
      <c r="J674" s="40"/>
      <c r="K674" s="40"/>
      <c r="L674" s="40"/>
      <c r="M674" s="40"/>
      <c r="N674" s="40"/>
    </row>
    <row r="675" spans="1:14">
      <c r="A675" s="40"/>
      <c r="B675" s="40"/>
      <c r="C675" s="40"/>
      <c r="D675" s="40"/>
      <c r="E675" s="40"/>
      <c r="F675" s="40"/>
      <c r="G675" s="40"/>
      <c r="H675" s="40"/>
      <c r="I675" s="40"/>
      <c r="J675" s="40"/>
      <c r="K675" s="40"/>
      <c r="L675" s="40"/>
      <c r="M675" s="40"/>
      <c r="N675" s="40"/>
    </row>
    <row r="676" spans="1:14">
      <c r="A676" s="40"/>
      <c r="B676" s="40"/>
      <c r="C676" s="40"/>
      <c r="D676" s="40"/>
      <c r="E676" s="40"/>
      <c r="F676" s="40"/>
      <c r="G676" s="40"/>
      <c r="H676" s="40"/>
      <c r="I676" s="40"/>
      <c r="J676" s="40"/>
      <c r="K676" s="40"/>
      <c r="L676" s="40"/>
      <c r="M676" s="40"/>
      <c r="N676" s="40"/>
    </row>
    <row r="677" spans="1:14">
      <c r="A677" s="40"/>
      <c r="B677" s="40"/>
      <c r="C677" s="40"/>
      <c r="D677" s="40"/>
      <c r="E677" s="40"/>
      <c r="F677" s="40"/>
      <c r="G677" s="40"/>
      <c r="H677" s="40"/>
      <c r="I677" s="40"/>
      <c r="J677" s="40"/>
      <c r="K677" s="40"/>
      <c r="L677" s="40"/>
      <c r="M677" s="40"/>
      <c r="N677" s="40"/>
    </row>
    <row r="678" spans="1:14">
      <c r="A678" s="40"/>
      <c r="B678" s="40"/>
      <c r="C678" s="40"/>
      <c r="D678" s="40"/>
      <c r="E678" s="40"/>
      <c r="F678" s="40"/>
      <c r="G678" s="40"/>
      <c r="H678" s="40"/>
      <c r="I678" s="40"/>
      <c r="J678" s="40"/>
      <c r="K678" s="40"/>
      <c r="L678" s="40"/>
      <c r="M678" s="40"/>
      <c r="N678" s="40"/>
    </row>
    <row r="679" spans="1:14">
      <c r="A679" s="40"/>
      <c r="B679" s="40"/>
      <c r="C679" s="40"/>
      <c r="D679" s="40"/>
      <c r="E679" s="40"/>
      <c r="F679" s="40"/>
      <c r="G679" s="40"/>
      <c r="H679" s="40"/>
      <c r="I679" s="40"/>
      <c r="J679" s="40"/>
      <c r="K679" s="40"/>
      <c r="L679" s="40"/>
      <c r="M679" s="40"/>
      <c r="N679" s="40"/>
    </row>
    <row r="680" spans="1:14">
      <c r="A680" s="40"/>
      <c r="B680" s="40"/>
      <c r="C680" s="40"/>
      <c r="D680" s="40"/>
      <c r="E680" s="40"/>
      <c r="F680" s="40"/>
      <c r="G680" s="40"/>
      <c r="H680" s="40"/>
      <c r="I680" s="40"/>
      <c r="J680" s="40"/>
      <c r="K680" s="40"/>
      <c r="L680" s="40"/>
      <c r="M680" s="40"/>
      <c r="N680" s="40"/>
    </row>
    <row r="681" spans="1:14">
      <c r="A681" s="40"/>
      <c r="B681" s="40"/>
      <c r="C681" s="40"/>
      <c r="D681" s="40"/>
      <c r="E681" s="40"/>
      <c r="F681" s="40"/>
      <c r="G681" s="40"/>
      <c r="H681" s="40"/>
      <c r="I681" s="40"/>
      <c r="J681" s="40"/>
      <c r="K681" s="40"/>
      <c r="L681" s="40"/>
      <c r="M681" s="40"/>
      <c r="N681" s="40"/>
    </row>
    <row r="682" spans="1:14">
      <c r="A682" s="40"/>
      <c r="B682" s="40"/>
      <c r="C682" s="40"/>
      <c r="D682" s="40"/>
      <c r="E682" s="40"/>
      <c r="F682" s="40"/>
      <c r="G682" s="40"/>
      <c r="H682" s="40"/>
      <c r="I682" s="40"/>
      <c r="J682" s="40"/>
      <c r="K682" s="40"/>
      <c r="L682" s="40"/>
      <c r="M682" s="40"/>
      <c r="N682" s="40"/>
    </row>
    <row r="683" spans="1:14">
      <c r="A683" s="40"/>
      <c r="B683" s="40"/>
      <c r="C683" s="40"/>
      <c r="D683" s="40"/>
      <c r="E683" s="40"/>
      <c r="F683" s="40"/>
      <c r="G683" s="40"/>
      <c r="H683" s="40"/>
      <c r="I683" s="40"/>
      <c r="J683" s="40"/>
      <c r="K683" s="40"/>
      <c r="L683" s="40"/>
      <c r="M683" s="40"/>
      <c r="N683" s="40"/>
    </row>
    <row r="684" spans="1:14">
      <c r="A684" s="40"/>
      <c r="B684" s="40"/>
      <c r="C684" s="40"/>
      <c r="D684" s="40"/>
      <c r="E684" s="40"/>
      <c r="F684" s="40"/>
      <c r="G684" s="40"/>
      <c r="H684" s="40"/>
      <c r="I684" s="40"/>
      <c r="J684" s="40"/>
      <c r="K684" s="40"/>
      <c r="L684" s="40"/>
      <c r="M684" s="40"/>
      <c r="N684" s="40"/>
    </row>
    <row r="685" spans="1:14">
      <c r="A685" s="40"/>
      <c r="B685" s="40"/>
      <c r="C685" s="40"/>
      <c r="D685" s="40"/>
      <c r="E685" s="40"/>
      <c r="F685" s="40"/>
      <c r="G685" s="40"/>
      <c r="H685" s="40"/>
      <c r="I685" s="40"/>
      <c r="J685" s="40"/>
      <c r="K685" s="40"/>
      <c r="L685" s="40"/>
      <c r="M685" s="40"/>
      <c r="N685" s="40"/>
    </row>
    <row r="686" spans="1:14">
      <c r="A686" s="40"/>
      <c r="B686" s="40"/>
      <c r="C686" s="40"/>
      <c r="D686" s="40"/>
      <c r="E686" s="40"/>
      <c r="F686" s="40"/>
      <c r="G686" s="40"/>
      <c r="H686" s="40"/>
      <c r="I686" s="40"/>
      <c r="J686" s="40"/>
      <c r="K686" s="40"/>
      <c r="L686" s="40"/>
      <c r="M686" s="40"/>
      <c r="N686" s="40"/>
    </row>
    <row r="687" spans="1:14">
      <c r="A687" s="40"/>
      <c r="B687" s="40"/>
      <c r="C687" s="40"/>
      <c r="D687" s="40"/>
      <c r="E687" s="40"/>
      <c r="F687" s="40"/>
      <c r="G687" s="40"/>
      <c r="H687" s="40"/>
      <c r="I687" s="40"/>
      <c r="J687" s="40"/>
      <c r="K687" s="40"/>
      <c r="L687" s="40"/>
      <c r="M687" s="40"/>
      <c r="N687" s="40"/>
    </row>
    <row r="688" spans="1:14">
      <c r="A688" s="40"/>
      <c r="B688" s="40"/>
      <c r="C688" s="40"/>
      <c r="D688" s="40"/>
      <c r="E688" s="40"/>
      <c r="F688" s="40"/>
      <c r="G688" s="40"/>
      <c r="H688" s="40"/>
      <c r="I688" s="40"/>
      <c r="J688" s="40"/>
      <c r="K688" s="40"/>
      <c r="L688" s="40"/>
      <c r="M688" s="40"/>
      <c r="N688" s="40"/>
    </row>
    <row r="689" spans="1:14">
      <c r="A689" s="40"/>
      <c r="B689" s="40"/>
      <c r="C689" s="40"/>
      <c r="D689" s="40"/>
      <c r="E689" s="40"/>
      <c r="F689" s="40"/>
      <c r="G689" s="40"/>
      <c r="H689" s="40"/>
      <c r="I689" s="40"/>
      <c r="J689" s="40"/>
      <c r="K689" s="40"/>
      <c r="L689" s="40"/>
      <c r="M689" s="40"/>
      <c r="N689" s="40"/>
    </row>
    <row r="690" spans="1:14">
      <c r="A690" s="40"/>
      <c r="B690" s="40"/>
      <c r="C690" s="40"/>
      <c r="D690" s="40"/>
      <c r="E690" s="40"/>
      <c r="F690" s="40"/>
      <c r="G690" s="40"/>
      <c r="H690" s="40"/>
      <c r="I690" s="40"/>
      <c r="J690" s="40"/>
      <c r="K690" s="40"/>
      <c r="L690" s="40"/>
      <c r="M690" s="40"/>
      <c r="N690" s="40"/>
    </row>
    <row r="691" spans="1:14">
      <c r="A691" s="40"/>
      <c r="B691" s="40"/>
      <c r="C691" s="40"/>
      <c r="D691" s="40"/>
      <c r="E691" s="40"/>
      <c r="F691" s="40"/>
      <c r="G691" s="40"/>
      <c r="H691" s="40"/>
      <c r="I691" s="40"/>
      <c r="J691" s="40"/>
      <c r="K691" s="40"/>
      <c r="L691" s="40"/>
      <c r="M691" s="40"/>
      <c r="N691" s="40"/>
    </row>
    <row r="692" spans="1:14">
      <c r="A692" s="40"/>
      <c r="B692" s="40"/>
      <c r="C692" s="40"/>
      <c r="D692" s="40"/>
      <c r="E692" s="40"/>
      <c r="F692" s="40"/>
      <c r="G692" s="40"/>
      <c r="H692" s="40"/>
      <c r="I692" s="40"/>
      <c r="J692" s="40"/>
      <c r="K692" s="40"/>
      <c r="L692" s="40"/>
      <c r="M692" s="40"/>
      <c r="N692" s="40"/>
    </row>
    <row r="693" spans="1:14">
      <c r="A693" s="40"/>
      <c r="B693" s="40"/>
      <c r="C693" s="40"/>
      <c r="D693" s="40"/>
      <c r="E693" s="40"/>
      <c r="F693" s="40"/>
      <c r="G693" s="40"/>
      <c r="H693" s="40"/>
      <c r="I693" s="40"/>
      <c r="J693" s="40"/>
      <c r="K693" s="40"/>
      <c r="L693" s="40"/>
      <c r="M693" s="40"/>
      <c r="N693" s="40"/>
    </row>
    <row r="694" spans="1:14">
      <c r="A694" s="40"/>
      <c r="B694" s="40"/>
      <c r="C694" s="40"/>
      <c r="D694" s="40"/>
      <c r="E694" s="40"/>
      <c r="F694" s="40"/>
      <c r="G694" s="40"/>
      <c r="H694" s="40"/>
      <c r="I694" s="40"/>
      <c r="J694" s="40"/>
      <c r="K694" s="40"/>
      <c r="L694" s="40"/>
      <c r="M694" s="40"/>
      <c r="N694" s="40"/>
    </row>
    <row r="695" spans="1:14">
      <c r="A695" s="40"/>
      <c r="B695" s="40"/>
      <c r="C695" s="40"/>
      <c r="D695" s="40"/>
      <c r="E695" s="40"/>
      <c r="F695" s="40"/>
      <c r="G695" s="40"/>
      <c r="H695" s="40"/>
      <c r="I695" s="40"/>
      <c r="J695" s="40"/>
      <c r="K695" s="40"/>
      <c r="L695" s="40"/>
      <c r="M695" s="40"/>
      <c r="N695" s="40"/>
    </row>
    <row r="696" spans="1:14">
      <c r="A696" s="40"/>
      <c r="B696" s="40"/>
      <c r="C696" s="40"/>
      <c r="D696" s="40"/>
      <c r="E696" s="40"/>
      <c r="F696" s="40"/>
      <c r="G696" s="40"/>
      <c r="H696" s="40"/>
      <c r="I696" s="40"/>
      <c r="J696" s="40"/>
      <c r="K696" s="40"/>
      <c r="L696" s="40"/>
      <c r="M696" s="40"/>
      <c r="N696" s="40"/>
    </row>
    <row r="697" spans="1:14">
      <c r="A697" s="40"/>
      <c r="B697" s="40"/>
      <c r="C697" s="40"/>
      <c r="D697" s="40"/>
      <c r="E697" s="40"/>
      <c r="F697" s="40"/>
      <c r="G697" s="40"/>
      <c r="H697" s="40"/>
      <c r="I697" s="40"/>
      <c r="J697" s="40"/>
      <c r="K697" s="40"/>
      <c r="L697" s="40"/>
      <c r="M697" s="40"/>
      <c r="N697" s="40"/>
    </row>
    <row r="698" spans="1:14">
      <c r="A698" s="40"/>
      <c r="B698" s="40"/>
      <c r="C698" s="40"/>
      <c r="D698" s="40"/>
      <c r="E698" s="40"/>
      <c r="F698" s="40"/>
      <c r="G698" s="40"/>
      <c r="H698" s="40"/>
      <c r="I698" s="40"/>
      <c r="J698" s="40"/>
      <c r="K698" s="40"/>
      <c r="L698" s="40"/>
      <c r="M698" s="40"/>
      <c r="N698" s="40"/>
    </row>
    <row r="699" spans="1:14">
      <c r="A699" s="40"/>
      <c r="B699" s="40"/>
      <c r="C699" s="40"/>
      <c r="D699" s="40"/>
      <c r="E699" s="40"/>
      <c r="F699" s="40"/>
      <c r="G699" s="40"/>
      <c r="H699" s="40"/>
      <c r="I699" s="40"/>
      <c r="J699" s="40"/>
      <c r="K699" s="40"/>
      <c r="L699" s="40"/>
      <c r="M699" s="40"/>
      <c r="N699" s="40"/>
    </row>
    <row r="700" spans="1:14">
      <c r="A700" s="40"/>
      <c r="B700" s="40"/>
      <c r="C700" s="40"/>
      <c r="D700" s="40"/>
      <c r="E700" s="40"/>
      <c r="F700" s="40"/>
      <c r="G700" s="40"/>
      <c r="H700" s="40"/>
      <c r="I700" s="40"/>
      <c r="J700" s="40"/>
      <c r="K700" s="40"/>
      <c r="L700" s="40"/>
      <c r="M700" s="40"/>
      <c r="N700" s="40"/>
    </row>
    <row r="701" spans="1:14">
      <c r="A701" s="40"/>
      <c r="B701" s="40"/>
      <c r="C701" s="40"/>
      <c r="D701" s="40"/>
      <c r="E701" s="40"/>
      <c r="F701" s="40"/>
      <c r="G701" s="40"/>
      <c r="H701" s="40"/>
      <c r="I701" s="40"/>
      <c r="J701" s="40"/>
      <c r="K701" s="40"/>
      <c r="L701" s="40"/>
      <c r="M701" s="40"/>
      <c r="N701" s="40"/>
    </row>
    <row r="702" spans="1:14">
      <c r="A702" s="40"/>
      <c r="B702" s="40"/>
      <c r="C702" s="40"/>
      <c r="D702" s="40"/>
      <c r="E702" s="40"/>
      <c r="F702" s="40"/>
      <c r="G702" s="40"/>
      <c r="H702" s="40"/>
      <c r="I702" s="40"/>
      <c r="J702" s="40"/>
      <c r="K702" s="40"/>
      <c r="L702" s="40"/>
      <c r="M702" s="40"/>
      <c r="N702" s="40"/>
    </row>
    <row r="703" spans="1:14">
      <c r="A703" s="40"/>
      <c r="B703" s="40"/>
      <c r="C703" s="40"/>
      <c r="D703" s="40"/>
      <c r="E703" s="40"/>
      <c r="F703" s="40"/>
      <c r="G703" s="40"/>
      <c r="H703" s="40"/>
      <c r="I703" s="40"/>
      <c r="J703" s="40"/>
      <c r="K703" s="40"/>
      <c r="L703" s="40"/>
      <c r="M703" s="40"/>
      <c r="N703" s="40"/>
    </row>
    <row r="704" spans="1:14">
      <c r="A704" s="40"/>
      <c r="B704" s="40"/>
      <c r="C704" s="40"/>
      <c r="D704" s="40"/>
      <c r="E704" s="40"/>
      <c r="F704" s="40"/>
      <c r="G704" s="40"/>
      <c r="H704" s="40"/>
      <c r="I704" s="40"/>
      <c r="J704" s="40"/>
      <c r="K704" s="40"/>
      <c r="L704" s="40"/>
      <c r="M704" s="40"/>
      <c r="N704" s="40"/>
    </row>
    <row r="705" spans="1:14">
      <c r="A705" s="40"/>
      <c r="B705" s="40"/>
      <c r="C705" s="40"/>
      <c r="D705" s="40"/>
      <c r="E705" s="40"/>
      <c r="F705" s="40"/>
      <c r="G705" s="40"/>
      <c r="H705" s="40"/>
      <c r="I705" s="40"/>
      <c r="J705" s="40"/>
      <c r="K705" s="40"/>
      <c r="L705" s="40"/>
      <c r="M705" s="40"/>
      <c r="N705" s="40"/>
    </row>
    <row r="706" spans="1:14">
      <c r="A706" s="40"/>
      <c r="B706" s="40"/>
      <c r="C706" s="40"/>
      <c r="D706" s="40"/>
      <c r="E706" s="40"/>
      <c r="F706" s="40"/>
      <c r="G706" s="40"/>
      <c r="H706" s="40"/>
      <c r="I706" s="40"/>
      <c r="J706" s="40"/>
      <c r="K706" s="40"/>
      <c r="L706" s="40"/>
      <c r="M706" s="40"/>
      <c r="N706" s="40"/>
    </row>
    <row r="707" spans="1:14">
      <c r="A707" s="40"/>
      <c r="B707" s="40"/>
      <c r="C707" s="40"/>
      <c r="D707" s="40"/>
      <c r="E707" s="40"/>
      <c r="F707" s="40"/>
      <c r="G707" s="40"/>
      <c r="H707" s="40"/>
      <c r="I707" s="40"/>
      <c r="J707" s="40"/>
      <c r="K707" s="40"/>
      <c r="L707" s="40"/>
      <c r="M707" s="40"/>
      <c r="N707" s="40"/>
    </row>
    <row r="708" spans="1:14">
      <c r="A708" s="40"/>
      <c r="B708" s="40"/>
      <c r="C708" s="40"/>
      <c r="D708" s="40"/>
      <c r="E708" s="40"/>
      <c r="F708" s="40"/>
      <c r="G708" s="40"/>
      <c r="H708" s="40"/>
      <c r="I708" s="40"/>
      <c r="J708" s="40"/>
      <c r="K708" s="40"/>
      <c r="L708" s="40"/>
      <c r="M708" s="40"/>
      <c r="N708" s="40"/>
    </row>
    <row r="709" spans="1:14">
      <c r="A709" s="40"/>
      <c r="B709" s="40"/>
      <c r="C709" s="40"/>
      <c r="D709" s="40"/>
      <c r="E709" s="40"/>
      <c r="F709" s="40"/>
      <c r="G709" s="40"/>
      <c r="H709" s="40"/>
      <c r="I709" s="40"/>
      <c r="J709" s="40"/>
      <c r="K709" s="40"/>
      <c r="L709" s="40"/>
      <c r="M709" s="40"/>
      <c r="N709" s="40"/>
    </row>
    <row r="710" spans="1:14">
      <c r="A710" s="40"/>
      <c r="B710" s="40"/>
      <c r="C710" s="40"/>
      <c r="D710" s="40"/>
      <c r="E710" s="40"/>
      <c r="F710" s="40"/>
      <c r="G710" s="40"/>
      <c r="H710" s="40"/>
      <c r="I710" s="40"/>
      <c r="J710" s="40"/>
      <c r="K710" s="40"/>
      <c r="L710" s="40"/>
      <c r="M710" s="40"/>
      <c r="N710" s="40"/>
    </row>
    <row r="711" spans="1:14">
      <c r="A711" s="40"/>
      <c r="B711" s="40"/>
      <c r="C711" s="40"/>
      <c r="D711" s="40"/>
      <c r="E711" s="40"/>
      <c r="F711" s="40"/>
      <c r="G711" s="40"/>
      <c r="H711" s="40"/>
      <c r="I711" s="40"/>
      <c r="J711" s="40"/>
      <c r="K711" s="40"/>
      <c r="L711" s="40"/>
      <c r="M711" s="40"/>
      <c r="N711" s="40"/>
    </row>
    <row r="712" spans="1:14">
      <c r="A712" s="40"/>
      <c r="B712" s="40"/>
      <c r="C712" s="40"/>
      <c r="D712" s="40"/>
      <c r="E712" s="40"/>
      <c r="F712" s="40"/>
      <c r="G712" s="40"/>
      <c r="H712" s="40"/>
      <c r="I712" s="40"/>
      <c r="J712" s="40"/>
      <c r="K712" s="40"/>
      <c r="L712" s="40"/>
      <c r="M712" s="40"/>
      <c r="N712" s="40"/>
    </row>
    <row r="713" spans="1:14">
      <c r="A713" s="40"/>
      <c r="B713" s="40"/>
      <c r="C713" s="40"/>
      <c r="D713" s="40"/>
      <c r="E713" s="40"/>
      <c r="F713" s="40"/>
      <c r="G713" s="40"/>
      <c r="H713" s="40"/>
      <c r="I713" s="40"/>
      <c r="J713" s="40"/>
      <c r="K713" s="40"/>
      <c r="L713" s="40"/>
      <c r="M713" s="40"/>
      <c r="N713" s="40"/>
    </row>
    <row r="714" spans="1:14">
      <c r="A714" s="40"/>
      <c r="B714" s="40"/>
      <c r="C714" s="40"/>
      <c r="D714" s="40"/>
      <c r="E714" s="40"/>
      <c r="F714" s="40"/>
      <c r="G714" s="40"/>
      <c r="H714" s="40"/>
      <c r="I714" s="40"/>
      <c r="J714" s="40"/>
      <c r="K714" s="40"/>
      <c r="L714" s="40"/>
      <c r="M714" s="40"/>
      <c r="N714" s="40"/>
    </row>
    <row r="715" spans="1:14">
      <c r="A715" s="40"/>
      <c r="B715" s="40"/>
      <c r="C715" s="40"/>
      <c r="D715" s="40"/>
      <c r="E715" s="40"/>
      <c r="F715" s="40"/>
      <c r="G715" s="40"/>
      <c r="H715" s="40"/>
      <c r="I715" s="40"/>
      <c r="J715" s="40"/>
      <c r="K715" s="40"/>
      <c r="L715" s="40"/>
      <c r="M715" s="40"/>
      <c r="N715" s="40"/>
    </row>
    <row r="716" spans="1:14">
      <c r="A716" s="40"/>
      <c r="B716" s="40"/>
      <c r="C716" s="40"/>
      <c r="D716" s="40"/>
      <c r="E716" s="40"/>
      <c r="F716" s="40"/>
      <c r="G716" s="40"/>
      <c r="H716" s="40"/>
      <c r="I716" s="40"/>
      <c r="J716" s="40"/>
      <c r="K716" s="40"/>
      <c r="L716" s="40"/>
      <c r="M716" s="40"/>
      <c r="N716" s="40"/>
    </row>
    <row r="717" spans="1:14">
      <c r="A717" s="40"/>
      <c r="B717" s="40"/>
      <c r="C717" s="40"/>
      <c r="D717" s="40"/>
      <c r="E717" s="40"/>
      <c r="F717" s="40"/>
      <c r="G717" s="40"/>
      <c r="H717" s="40"/>
      <c r="I717" s="40"/>
      <c r="J717" s="40"/>
      <c r="K717" s="40"/>
      <c r="L717" s="40"/>
      <c r="M717" s="40"/>
      <c r="N717" s="40"/>
    </row>
    <row r="718" spans="1:14">
      <c r="A718" s="40"/>
      <c r="B718" s="40"/>
      <c r="C718" s="40"/>
      <c r="D718" s="40"/>
      <c r="E718" s="40"/>
      <c r="F718" s="40"/>
      <c r="G718" s="40"/>
      <c r="H718" s="40"/>
      <c r="I718" s="40"/>
      <c r="J718" s="40"/>
      <c r="K718" s="40"/>
      <c r="L718" s="40"/>
      <c r="M718" s="40"/>
      <c r="N718" s="40"/>
    </row>
    <row r="719" spans="1:14">
      <c r="A719" s="40"/>
      <c r="B719" s="40"/>
      <c r="C719" s="40"/>
      <c r="D719" s="40"/>
      <c r="E719" s="40"/>
      <c r="F719" s="40"/>
      <c r="G719" s="40"/>
      <c r="H719" s="40"/>
      <c r="I719" s="40"/>
      <c r="J719" s="40"/>
      <c r="K719" s="40"/>
      <c r="L719" s="40"/>
      <c r="M719" s="40"/>
      <c r="N719" s="40"/>
    </row>
    <row r="720" spans="1:14">
      <c r="A720" s="40"/>
      <c r="B720" s="40"/>
      <c r="C720" s="40"/>
      <c r="D720" s="40"/>
      <c r="E720" s="40"/>
      <c r="F720" s="40"/>
      <c r="G720" s="40"/>
      <c r="H720" s="40"/>
      <c r="I720" s="40"/>
      <c r="J720" s="40"/>
      <c r="K720" s="40"/>
      <c r="L720" s="40"/>
      <c r="M720" s="40"/>
      <c r="N720" s="40"/>
    </row>
    <row r="721" spans="1:14">
      <c r="A721" s="40"/>
      <c r="B721" s="40"/>
      <c r="C721" s="40"/>
      <c r="D721" s="40"/>
      <c r="E721" s="40"/>
      <c r="F721" s="40"/>
      <c r="G721" s="40"/>
      <c r="H721" s="40"/>
      <c r="I721" s="40"/>
      <c r="J721" s="40"/>
      <c r="K721" s="40"/>
      <c r="L721" s="40"/>
      <c r="M721" s="40"/>
      <c r="N721" s="40"/>
    </row>
    <row r="722" spans="1:14">
      <c r="A722" s="40"/>
      <c r="B722" s="40"/>
      <c r="C722" s="40"/>
      <c r="D722" s="40"/>
      <c r="E722" s="40"/>
      <c r="F722" s="40"/>
      <c r="G722" s="40"/>
      <c r="H722" s="40"/>
      <c r="I722" s="40"/>
      <c r="J722" s="40"/>
      <c r="K722" s="40"/>
      <c r="L722" s="40"/>
      <c r="M722" s="40"/>
      <c r="N722" s="40"/>
    </row>
    <row r="723" spans="1:14">
      <c r="A723" s="40"/>
      <c r="B723" s="40"/>
      <c r="C723" s="40"/>
      <c r="D723" s="40"/>
      <c r="E723" s="40"/>
      <c r="F723" s="40"/>
      <c r="G723" s="40"/>
      <c r="H723" s="40"/>
      <c r="I723" s="40"/>
      <c r="J723" s="40"/>
      <c r="K723" s="40"/>
      <c r="L723" s="40"/>
      <c r="M723" s="40"/>
      <c r="N723" s="40"/>
    </row>
    <row r="724" spans="1:14">
      <c r="A724" s="40"/>
      <c r="B724" s="40"/>
      <c r="C724" s="40"/>
      <c r="D724" s="40"/>
      <c r="E724" s="40"/>
      <c r="F724" s="40"/>
      <c r="G724" s="40"/>
      <c r="H724" s="40"/>
      <c r="I724" s="40"/>
      <c r="J724" s="40"/>
      <c r="K724" s="40"/>
      <c r="L724" s="40"/>
      <c r="M724" s="40"/>
      <c r="N724" s="40"/>
    </row>
    <row r="725" spans="1:14">
      <c r="A725" s="40"/>
      <c r="B725" s="40"/>
      <c r="C725" s="40"/>
      <c r="D725" s="40"/>
      <c r="E725" s="40"/>
      <c r="F725" s="40"/>
      <c r="G725" s="40"/>
      <c r="H725" s="40"/>
      <c r="I725" s="40"/>
      <c r="J725" s="40"/>
      <c r="K725" s="40"/>
      <c r="L725" s="40"/>
      <c r="M725" s="40"/>
      <c r="N725" s="40"/>
    </row>
    <row r="726" spans="1:14">
      <c r="A726" s="40"/>
      <c r="B726" s="40"/>
      <c r="C726" s="40"/>
      <c r="D726" s="40"/>
      <c r="E726" s="40"/>
      <c r="F726" s="40"/>
      <c r="G726" s="40"/>
      <c r="H726" s="40"/>
      <c r="I726" s="40"/>
      <c r="J726" s="40"/>
      <c r="K726" s="40"/>
      <c r="L726" s="40"/>
      <c r="M726" s="40"/>
      <c r="N726" s="40"/>
    </row>
    <row r="727" spans="1:14">
      <c r="A727" s="40"/>
      <c r="B727" s="40"/>
      <c r="C727" s="40"/>
      <c r="D727" s="40"/>
      <c r="E727" s="40"/>
      <c r="F727" s="40"/>
      <c r="G727" s="40"/>
      <c r="H727" s="40"/>
      <c r="I727" s="40"/>
      <c r="J727" s="40"/>
      <c r="K727" s="40"/>
      <c r="L727" s="40"/>
      <c r="M727" s="40"/>
      <c r="N727" s="40"/>
    </row>
    <row r="728" spans="1:14">
      <c r="A728" s="40"/>
      <c r="B728" s="40"/>
      <c r="C728" s="40"/>
      <c r="D728" s="40"/>
      <c r="E728" s="40"/>
      <c r="F728" s="40"/>
      <c r="G728" s="40"/>
      <c r="H728" s="40"/>
      <c r="I728" s="40"/>
      <c r="J728" s="40"/>
      <c r="K728" s="40"/>
      <c r="L728" s="40"/>
      <c r="M728" s="40"/>
      <c r="N728" s="40"/>
    </row>
    <row r="729" spans="1:14">
      <c r="A729" s="40"/>
      <c r="B729" s="40"/>
      <c r="C729" s="40"/>
      <c r="D729" s="40"/>
      <c r="E729" s="40"/>
      <c r="F729" s="40"/>
      <c r="G729" s="40"/>
      <c r="H729" s="40"/>
      <c r="I729" s="40"/>
      <c r="J729" s="40"/>
      <c r="K729" s="40"/>
      <c r="L729" s="40"/>
      <c r="M729" s="40"/>
      <c r="N729" s="40"/>
    </row>
    <row r="730" spans="1:14">
      <c r="A730" s="40"/>
      <c r="B730" s="40"/>
      <c r="C730" s="40"/>
      <c r="D730" s="40"/>
      <c r="E730" s="40"/>
      <c r="F730" s="40"/>
      <c r="G730" s="40"/>
      <c r="H730" s="40"/>
      <c r="I730" s="40"/>
      <c r="J730" s="40"/>
      <c r="K730" s="40"/>
      <c r="L730" s="40"/>
      <c r="M730" s="40"/>
      <c r="N730" s="40"/>
    </row>
    <row r="731" spans="1:14">
      <c r="A731" s="40"/>
      <c r="B731" s="40"/>
      <c r="C731" s="40"/>
      <c r="D731" s="40"/>
      <c r="E731" s="40"/>
      <c r="F731" s="40"/>
      <c r="G731" s="40"/>
      <c r="H731" s="40"/>
      <c r="I731" s="40"/>
      <c r="J731" s="40"/>
      <c r="K731" s="40"/>
      <c r="L731" s="40"/>
      <c r="M731" s="40"/>
      <c r="N731" s="40"/>
    </row>
    <row r="732" spans="1:14">
      <c r="A732" s="40"/>
      <c r="B732" s="40"/>
      <c r="C732" s="40"/>
      <c r="D732" s="40"/>
      <c r="E732" s="40"/>
      <c r="F732" s="40"/>
      <c r="G732" s="40"/>
      <c r="H732" s="40"/>
      <c r="I732" s="40"/>
      <c r="J732" s="40"/>
      <c r="K732" s="40"/>
      <c r="L732" s="40"/>
      <c r="M732" s="40"/>
      <c r="N732" s="40"/>
    </row>
    <row r="733" spans="1:14">
      <c r="A733" s="40"/>
      <c r="B733" s="40"/>
      <c r="C733" s="40"/>
      <c r="D733" s="40"/>
      <c r="E733" s="40"/>
      <c r="F733" s="40"/>
      <c r="G733" s="40"/>
      <c r="H733" s="40"/>
      <c r="I733" s="40"/>
      <c r="J733" s="40"/>
      <c r="K733" s="40"/>
      <c r="L733" s="40"/>
      <c r="M733" s="40"/>
      <c r="N733" s="40"/>
    </row>
    <row r="734" spans="1:14">
      <c r="A734" s="40"/>
      <c r="B734" s="40"/>
      <c r="C734" s="40"/>
      <c r="D734" s="40"/>
      <c r="E734" s="40"/>
      <c r="F734" s="40"/>
      <c r="G734" s="40"/>
      <c r="H734" s="40"/>
      <c r="I734" s="40"/>
      <c r="J734" s="40"/>
      <c r="K734" s="40"/>
      <c r="L734" s="40"/>
      <c r="M734" s="40"/>
      <c r="N734" s="40"/>
    </row>
    <row r="735" spans="1:14">
      <c r="A735" s="40"/>
      <c r="B735" s="40"/>
      <c r="C735" s="40"/>
      <c r="D735" s="40"/>
      <c r="E735" s="40"/>
      <c r="F735" s="40"/>
      <c r="G735" s="40"/>
      <c r="H735" s="40"/>
      <c r="I735" s="40"/>
      <c r="J735" s="40"/>
      <c r="K735" s="40"/>
      <c r="L735" s="40"/>
      <c r="M735" s="40"/>
      <c r="N735" s="40"/>
    </row>
    <row r="736" spans="1:14">
      <c r="A736" s="40"/>
      <c r="B736" s="40"/>
      <c r="C736" s="40"/>
      <c r="D736" s="40"/>
      <c r="E736" s="40"/>
      <c r="F736" s="40"/>
      <c r="G736" s="40"/>
      <c r="H736" s="40"/>
      <c r="I736" s="40"/>
      <c r="J736" s="40"/>
      <c r="K736" s="40"/>
      <c r="L736" s="40"/>
      <c r="M736" s="40"/>
      <c r="N736" s="40"/>
    </row>
    <row r="737" spans="1:14">
      <c r="A737" s="40"/>
      <c r="B737" s="40"/>
      <c r="C737" s="40"/>
      <c r="D737" s="40"/>
      <c r="E737" s="40"/>
      <c r="F737" s="40"/>
      <c r="G737" s="40"/>
      <c r="H737" s="40"/>
      <c r="I737" s="40"/>
      <c r="J737" s="40"/>
      <c r="K737" s="40"/>
      <c r="L737" s="40"/>
      <c r="M737" s="40"/>
      <c r="N737" s="40"/>
    </row>
    <row r="738" spans="1:14">
      <c r="A738" s="40"/>
      <c r="B738" s="40"/>
      <c r="C738" s="40"/>
      <c r="D738" s="40"/>
      <c r="E738" s="40"/>
      <c r="F738" s="40"/>
      <c r="G738" s="40"/>
      <c r="H738" s="40"/>
      <c r="I738" s="40"/>
      <c r="J738" s="40"/>
      <c r="K738" s="40"/>
      <c r="L738" s="40"/>
      <c r="M738" s="40"/>
      <c r="N738" s="40"/>
    </row>
    <row r="739" spans="1:14">
      <c r="A739" s="40"/>
      <c r="B739" s="40"/>
      <c r="C739" s="40"/>
      <c r="D739" s="40"/>
      <c r="E739" s="40"/>
      <c r="F739" s="40"/>
      <c r="G739" s="40"/>
      <c r="H739" s="40"/>
      <c r="I739" s="40"/>
      <c r="J739" s="40"/>
      <c r="K739" s="40"/>
      <c r="L739" s="40"/>
      <c r="M739" s="40"/>
      <c r="N739" s="40"/>
    </row>
    <row r="740" spans="1:14">
      <c r="A740" s="40"/>
      <c r="B740" s="40"/>
      <c r="C740" s="40"/>
      <c r="D740" s="40"/>
      <c r="E740" s="40"/>
      <c r="F740" s="40"/>
      <c r="G740" s="40"/>
      <c r="H740" s="40"/>
      <c r="I740" s="40"/>
      <c r="J740" s="40"/>
      <c r="K740" s="40"/>
      <c r="L740" s="40"/>
      <c r="M740" s="40"/>
      <c r="N740" s="40"/>
    </row>
    <row r="741" spans="1:14">
      <c r="A741" s="40"/>
      <c r="B741" s="40"/>
      <c r="C741" s="40"/>
      <c r="D741" s="40"/>
      <c r="E741" s="40"/>
      <c r="F741" s="40"/>
      <c r="G741" s="40"/>
      <c r="H741" s="40"/>
      <c r="I741" s="40"/>
      <c r="J741" s="40"/>
      <c r="K741" s="40"/>
      <c r="L741" s="40"/>
      <c r="M741" s="40"/>
      <c r="N741" s="40"/>
    </row>
    <row r="742" spans="1:14">
      <c r="A742" s="40"/>
      <c r="B742" s="40"/>
      <c r="C742" s="40"/>
      <c r="D742" s="40"/>
      <c r="E742" s="40"/>
      <c r="F742" s="40"/>
      <c r="G742" s="40"/>
      <c r="H742" s="40"/>
      <c r="I742" s="40"/>
      <c r="J742" s="40"/>
      <c r="K742" s="40"/>
      <c r="L742" s="40"/>
      <c r="M742" s="40"/>
      <c r="N742" s="40"/>
    </row>
    <row r="743" spans="1:14">
      <c r="A743" s="40"/>
      <c r="B743" s="40"/>
      <c r="C743" s="40"/>
      <c r="D743" s="40"/>
      <c r="E743" s="40"/>
      <c r="F743" s="40"/>
      <c r="G743" s="40"/>
      <c r="H743" s="40"/>
      <c r="I743" s="40"/>
      <c r="J743" s="40"/>
      <c r="K743" s="40"/>
      <c r="L743" s="40"/>
      <c r="M743" s="40"/>
      <c r="N743" s="40"/>
    </row>
    <row r="744" spans="1:14">
      <c r="A744" s="40"/>
      <c r="B744" s="40"/>
      <c r="C744" s="40"/>
      <c r="D744" s="40"/>
      <c r="E744" s="40"/>
      <c r="F744" s="40"/>
      <c r="G744" s="40"/>
      <c r="H744" s="40"/>
      <c r="I744" s="40"/>
      <c r="J744" s="40"/>
      <c r="K744" s="40"/>
      <c r="L744" s="40"/>
      <c r="M744" s="40"/>
      <c r="N744" s="40"/>
    </row>
    <row r="745" spans="1:14">
      <c r="A745" s="40"/>
      <c r="B745" s="40"/>
      <c r="C745" s="40"/>
      <c r="D745" s="40"/>
      <c r="E745" s="40"/>
      <c r="F745" s="40"/>
      <c r="G745" s="40"/>
      <c r="H745" s="40"/>
      <c r="I745" s="40"/>
      <c r="J745" s="40"/>
      <c r="K745" s="40"/>
      <c r="L745" s="40"/>
      <c r="M745" s="40"/>
      <c r="N745" s="40"/>
    </row>
    <row r="746" spans="1:14">
      <c r="A746" s="40"/>
      <c r="B746" s="40"/>
      <c r="C746" s="40"/>
      <c r="D746" s="40"/>
      <c r="E746" s="40"/>
      <c r="F746" s="40"/>
      <c r="G746" s="40"/>
      <c r="H746" s="40"/>
      <c r="I746" s="40"/>
      <c r="J746" s="40"/>
      <c r="K746" s="40"/>
      <c r="L746" s="40"/>
      <c r="M746" s="40"/>
      <c r="N746" s="40"/>
    </row>
    <row r="747" spans="1:14">
      <c r="A747" s="40"/>
      <c r="B747" s="40"/>
      <c r="C747" s="40"/>
      <c r="D747" s="40"/>
      <c r="E747" s="40"/>
      <c r="F747" s="40"/>
      <c r="G747" s="40"/>
      <c r="H747" s="40"/>
      <c r="I747" s="40"/>
      <c r="J747" s="40"/>
      <c r="K747" s="40"/>
      <c r="L747" s="40"/>
      <c r="M747" s="40"/>
      <c r="N747" s="40"/>
    </row>
    <row r="748" spans="1:14">
      <c r="A748" s="40"/>
      <c r="B748" s="40"/>
      <c r="C748" s="40"/>
      <c r="D748" s="40"/>
      <c r="E748" s="40"/>
      <c r="F748" s="40"/>
      <c r="G748" s="40"/>
      <c r="H748" s="40"/>
      <c r="I748" s="40"/>
      <c r="J748" s="40"/>
      <c r="K748" s="40"/>
      <c r="L748" s="40"/>
      <c r="M748" s="40"/>
      <c r="N748" s="40"/>
    </row>
    <row r="749" spans="1:14">
      <c r="A749" s="40"/>
      <c r="B749" s="40"/>
      <c r="C749" s="40"/>
      <c r="D749" s="40"/>
      <c r="E749" s="40"/>
      <c r="F749" s="40"/>
      <c r="G749" s="40"/>
      <c r="H749" s="40"/>
      <c r="I749" s="40"/>
      <c r="J749" s="40"/>
      <c r="K749" s="40"/>
      <c r="L749" s="40"/>
      <c r="M749" s="40"/>
      <c r="N749" s="40"/>
    </row>
    <row r="750" spans="1:14">
      <c r="A750" s="40"/>
      <c r="B750" s="40"/>
      <c r="C750" s="40"/>
      <c r="D750" s="40"/>
      <c r="E750" s="40"/>
      <c r="F750" s="40"/>
      <c r="G750" s="40"/>
      <c r="H750" s="40"/>
      <c r="I750" s="40"/>
      <c r="J750" s="40"/>
      <c r="K750" s="40"/>
      <c r="L750" s="40"/>
      <c r="M750" s="40"/>
      <c r="N750" s="40"/>
    </row>
    <row r="751" spans="1:14">
      <c r="A751" s="40"/>
      <c r="B751" s="40"/>
      <c r="C751" s="40"/>
      <c r="D751" s="40"/>
      <c r="E751" s="40"/>
      <c r="F751" s="40"/>
      <c r="G751" s="40"/>
      <c r="H751" s="40"/>
      <c r="I751" s="40"/>
      <c r="J751" s="40"/>
      <c r="K751" s="40"/>
      <c r="L751" s="40"/>
      <c r="M751" s="40"/>
      <c r="N751" s="40"/>
    </row>
    <row r="752" spans="1:14">
      <c r="A752" s="40"/>
      <c r="B752" s="40"/>
      <c r="C752" s="40"/>
      <c r="D752" s="40"/>
      <c r="E752" s="40"/>
      <c r="F752" s="40"/>
      <c r="G752" s="40"/>
      <c r="H752" s="40"/>
      <c r="I752" s="40"/>
      <c r="J752" s="40"/>
      <c r="K752" s="40"/>
      <c r="L752" s="40"/>
      <c r="M752" s="40"/>
      <c r="N752" s="40"/>
    </row>
    <row r="753" spans="1:14">
      <c r="A753" s="40"/>
      <c r="B753" s="40"/>
      <c r="C753" s="40"/>
      <c r="D753" s="40"/>
      <c r="E753" s="40"/>
      <c r="F753" s="40"/>
      <c r="G753" s="40"/>
      <c r="H753" s="40"/>
      <c r="I753" s="40"/>
      <c r="J753" s="40"/>
      <c r="K753" s="40"/>
      <c r="L753" s="40"/>
      <c r="M753" s="40"/>
      <c r="N753" s="40"/>
    </row>
    <row r="754" spans="1:14">
      <c r="A754" s="40"/>
      <c r="B754" s="40"/>
      <c r="C754" s="40"/>
      <c r="D754" s="40"/>
      <c r="E754" s="40"/>
      <c r="F754" s="40"/>
      <c r="G754" s="40"/>
      <c r="H754" s="40"/>
      <c r="I754" s="40"/>
      <c r="J754" s="40"/>
      <c r="K754" s="40"/>
      <c r="L754" s="40"/>
      <c r="M754" s="40"/>
      <c r="N754" s="40"/>
    </row>
    <row r="755" spans="1:14">
      <c r="A755" s="40"/>
      <c r="B755" s="40"/>
      <c r="C755" s="40"/>
      <c r="D755" s="40"/>
      <c r="E755" s="40"/>
      <c r="F755" s="40"/>
      <c r="G755" s="40"/>
      <c r="H755" s="40"/>
      <c r="I755" s="40"/>
      <c r="J755" s="40"/>
      <c r="K755" s="40"/>
      <c r="L755" s="40"/>
      <c r="M755" s="40"/>
      <c r="N755" s="40"/>
    </row>
    <row r="756" spans="1:14">
      <c r="A756" s="40"/>
      <c r="B756" s="40"/>
      <c r="C756" s="40"/>
      <c r="D756" s="40"/>
      <c r="E756" s="40"/>
      <c r="F756" s="40"/>
      <c r="G756" s="40"/>
      <c r="H756" s="40"/>
      <c r="I756" s="40"/>
      <c r="J756" s="40"/>
      <c r="K756" s="40"/>
      <c r="L756" s="40"/>
      <c r="M756" s="40"/>
      <c r="N756" s="40"/>
    </row>
    <row r="757" spans="1:14">
      <c r="A757" s="40"/>
      <c r="B757" s="40"/>
      <c r="C757" s="40"/>
      <c r="D757" s="40"/>
      <c r="E757" s="40"/>
      <c r="F757" s="40"/>
      <c r="G757" s="40"/>
      <c r="H757" s="40"/>
      <c r="I757" s="40"/>
      <c r="J757" s="40"/>
      <c r="K757" s="40"/>
      <c r="L757" s="40"/>
      <c r="M757" s="40"/>
      <c r="N757" s="40"/>
    </row>
    <row r="758" spans="1:14">
      <c r="A758" s="40"/>
      <c r="B758" s="40"/>
      <c r="C758" s="40"/>
      <c r="D758" s="40"/>
      <c r="E758" s="40"/>
      <c r="F758" s="40"/>
      <c r="G758" s="40"/>
      <c r="H758" s="40"/>
      <c r="I758" s="40"/>
      <c r="J758" s="40"/>
      <c r="K758" s="40"/>
      <c r="L758" s="40"/>
      <c r="M758" s="40"/>
      <c r="N758" s="40"/>
    </row>
    <row r="759" spans="1:14">
      <c r="A759" s="40"/>
      <c r="B759" s="40"/>
      <c r="C759" s="40"/>
      <c r="D759" s="40"/>
      <c r="E759" s="40"/>
      <c r="F759" s="40"/>
      <c r="G759" s="40"/>
      <c r="H759" s="40"/>
      <c r="I759" s="40"/>
      <c r="J759" s="40"/>
      <c r="K759" s="40"/>
      <c r="L759" s="40"/>
      <c r="M759" s="40"/>
      <c r="N759" s="40"/>
    </row>
    <row r="760" spans="1:14">
      <c r="A760" s="40"/>
      <c r="B760" s="40"/>
      <c r="C760" s="40"/>
      <c r="D760" s="40"/>
      <c r="E760" s="40"/>
      <c r="F760" s="40"/>
      <c r="G760" s="40"/>
      <c r="H760" s="40"/>
      <c r="I760" s="40"/>
      <c r="J760" s="40"/>
      <c r="K760" s="40"/>
      <c r="L760" s="40"/>
      <c r="M760" s="40"/>
      <c r="N760" s="40"/>
    </row>
    <row r="761" spans="1:14">
      <c r="A761" s="40"/>
      <c r="B761" s="40"/>
      <c r="C761" s="40"/>
      <c r="D761" s="40"/>
      <c r="E761" s="40"/>
      <c r="F761" s="40"/>
      <c r="G761" s="40"/>
      <c r="H761" s="40"/>
      <c r="I761" s="40"/>
      <c r="J761" s="40"/>
      <c r="K761" s="40"/>
      <c r="L761" s="40"/>
      <c r="M761" s="40"/>
      <c r="N761" s="40"/>
    </row>
    <row r="762" spans="1:14">
      <c r="A762" s="40"/>
      <c r="B762" s="40"/>
      <c r="C762" s="40"/>
      <c r="D762" s="40"/>
      <c r="E762" s="40"/>
      <c r="F762" s="40"/>
      <c r="G762" s="40"/>
      <c r="H762" s="40"/>
      <c r="I762" s="40"/>
      <c r="J762" s="40"/>
      <c r="K762" s="40"/>
      <c r="L762" s="40"/>
      <c r="M762" s="40"/>
      <c r="N762" s="40"/>
    </row>
    <row r="763" spans="1:14">
      <c r="A763" s="40"/>
      <c r="B763" s="40"/>
      <c r="C763" s="40"/>
      <c r="D763" s="40"/>
      <c r="E763" s="40"/>
      <c r="F763" s="40"/>
      <c r="G763" s="40"/>
      <c r="H763" s="40"/>
      <c r="I763" s="40"/>
      <c r="J763" s="40"/>
      <c r="K763" s="40"/>
      <c r="L763" s="40"/>
      <c r="M763" s="40"/>
      <c r="N763" s="40"/>
    </row>
    <row r="764" spans="1:14">
      <c r="A764" s="40"/>
      <c r="B764" s="40"/>
      <c r="C764" s="40"/>
      <c r="D764" s="40"/>
      <c r="E764" s="40"/>
      <c r="F764" s="40"/>
      <c r="G764" s="40"/>
      <c r="H764" s="40"/>
      <c r="I764" s="40"/>
      <c r="J764" s="40"/>
      <c r="K764" s="40"/>
      <c r="L764" s="40"/>
      <c r="M764" s="40"/>
      <c r="N764" s="40"/>
    </row>
    <row r="765" spans="1:14">
      <c r="A765" s="40"/>
      <c r="B765" s="40"/>
      <c r="C765" s="40"/>
      <c r="D765" s="40"/>
      <c r="E765" s="40"/>
      <c r="F765" s="40"/>
      <c r="G765" s="40"/>
      <c r="H765" s="40"/>
      <c r="I765" s="40"/>
      <c r="J765" s="40"/>
      <c r="K765" s="40"/>
      <c r="L765" s="40"/>
      <c r="M765" s="40"/>
      <c r="N765" s="40"/>
    </row>
    <row r="766" spans="1:14">
      <c r="A766" s="40"/>
      <c r="B766" s="40"/>
      <c r="C766" s="40"/>
      <c r="D766" s="40"/>
      <c r="E766" s="40"/>
      <c r="F766" s="40"/>
      <c r="G766" s="40"/>
      <c r="H766" s="40"/>
      <c r="I766" s="40"/>
      <c r="J766" s="40"/>
      <c r="K766" s="40"/>
      <c r="L766" s="40"/>
      <c r="M766" s="40"/>
      <c r="N766" s="40"/>
    </row>
    <row r="767" spans="1:14">
      <c r="A767" s="40"/>
      <c r="B767" s="40"/>
      <c r="C767" s="40"/>
      <c r="D767" s="40"/>
      <c r="E767" s="40"/>
      <c r="F767" s="40"/>
      <c r="G767" s="40"/>
      <c r="H767" s="40"/>
      <c r="I767" s="40"/>
      <c r="J767" s="40"/>
      <c r="K767" s="40"/>
      <c r="L767" s="40"/>
      <c r="M767" s="40"/>
      <c r="N767" s="40"/>
    </row>
    <row r="768" spans="1:14">
      <c r="A768" s="40"/>
      <c r="B768" s="40"/>
      <c r="C768" s="40"/>
      <c r="D768" s="40"/>
      <c r="E768" s="40"/>
      <c r="F768" s="40"/>
      <c r="G768" s="40"/>
      <c r="H768" s="40"/>
      <c r="I768" s="40"/>
      <c r="J768" s="40"/>
      <c r="K768" s="40"/>
      <c r="L768" s="40"/>
      <c r="M768" s="40"/>
      <c r="N768" s="40"/>
    </row>
    <row r="769" spans="1:14">
      <c r="A769" s="40"/>
      <c r="B769" s="40"/>
      <c r="C769" s="40"/>
      <c r="D769" s="40"/>
      <c r="E769" s="40"/>
      <c r="F769" s="40"/>
      <c r="G769" s="40"/>
      <c r="H769" s="40"/>
      <c r="I769" s="40"/>
      <c r="J769" s="40"/>
      <c r="K769" s="40"/>
      <c r="L769" s="40"/>
      <c r="M769" s="40"/>
      <c r="N769" s="40"/>
    </row>
    <row r="770" spans="1:14">
      <c r="A770" s="40"/>
      <c r="B770" s="40"/>
      <c r="C770" s="40"/>
      <c r="D770" s="40"/>
      <c r="E770" s="40"/>
      <c r="F770" s="40"/>
      <c r="G770" s="40"/>
      <c r="H770" s="40"/>
      <c r="I770" s="40"/>
      <c r="J770" s="40"/>
      <c r="K770" s="40"/>
      <c r="L770" s="40"/>
      <c r="M770" s="40"/>
      <c r="N770" s="40"/>
    </row>
    <row r="771" spans="1:14">
      <c r="A771" s="40"/>
      <c r="B771" s="40"/>
      <c r="C771" s="40"/>
      <c r="D771" s="40"/>
      <c r="E771" s="40"/>
      <c r="F771" s="40"/>
      <c r="G771" s="40"/>
      <c r="H771" s="40"/>
      <c r="I771" s="40"/>
      <c r="J771" s="40"/>
      <c r="K771" s="40"/>
      <c r="L771" s="40"/>
      <c r="M771" s="40"/>
      <c r="N771" s="40"/>
    </row>
    <row r="772" spans="1:14">
      <c r="A772" s="40"/>
      <c r="B772" s="40"/>
      <c r="C772" s="40"/>
      <c r="D772" s="40"/>
      <c r="E772" s="40"/>
      <c r="F772" s="40"/>
      <c r="G772" s="40"/>
      <c r="H772" s="40"/>
      <c r="I772" s="40"/>
      <c r="J772" s="40"/>
      <c r="K772" s="40"/>
      <c r="L772" s="40"/>
      <c r="M772" s="40"/>
      <c r="N772" s="40"/>
    </row>
    <row r="773" spans="1:14">
      <c r="A773" s="40"/>
      <c r="B773" s="40"/>
      <c r="C773" s="40"/>
      <c r="D773" s="40"/>
      <c r="E773" s="40"/>
      <c r="F773" s="40"/>
      <c r="G773" s="40"/>
      <c r="H773" s="40"/>
      <c r="I773" s="40"/>
      <c r="J773" s="40"/>
      <c r="K773" s="40"/>
      <c r="L773" s="40"/>
      <c r="M773" s="40"/>
      <c r="N773" s="40"/>
    </row>
    <row r="774" spans="1:14">
      <c r="A774" s="40"/>
      <c r="B774" s="40"/>
      <c r="C774" s="40"/>
      <c r="D774" s="40"/>
      <c r="E774" s="40"/>
      <c r="F774" s="40"/>
      <c r="G774" s="40"/>
      <c r="H774" s="40"/>
      <c r="I774" s="40"/>
      <c r="J774" s="40"/>
      <c r="K774" s="40"/>
      <c r="L774" s="40"/>
      <c r="M774" s="40"/>
      <c r="N774" s="40"/>
    </row>
    <row r="775" spans="1:14">
      <c r="A775" s="40"/>
      <c r="B775" s="40"/>
      <c r="C775" s="40"/>
      <c r="D775" s="40"/>
      <c r="E775" s="40"/>
      <c r="F775" s="40"/>
      <c r="G775" s="40"/>
      <c r="H775" s="40"/>
      <c r="I775" s="40"/>
      <c r="J775" s="40"/>
      <c r="K775" s="40"/>
      <c r="L775" s="40"/>
      <c r="M775" s="40"/>
      <c r="N775" s="40"/>
    </row>
    <row r="776" spans="1:14">
      <c r="A776" s="40"/>
      <c r="B776" s="40"/>
      <c r="C776" s="40"/>
      <c r="D776" s="40"/>
      <c r="E776" s="40"/>
      <c r="F776" s="40"/>
      <c r="G776" s="40"/>
      <c r="H776" s="40"/>
      <c r="I776" s="40"/>
      <c r="J776" s="40"/>
      <c r="K776" s="40"/>
      <c r="L776" s="40"/>
      <c r="M776" s="40"/>
      <c r="N776" s="40"/>
    </row>
    <row r="777" spans="1:14">
      <c r="A777" s="40"/>
      <c r="B777" s="40"/>
      <c r="C777" s="40"/>
      <c r="D777" s="40"/>
      <c r="E777" s="40"/>
      <c r="F777" s="40"/>
      <c r="G777" s="40"/>
      <c r="H777" s="40"/>
      <c r="I777" s="40"/>
      <c r="J777" s="40"/>
      <c r="K777" s="40"/>
      <c r="L777" s="40"/>
      <c r="M777" s="40"/>
      <c r="N777" s="40"/>
    </row>
    <row r="778" spans="1:14">
      <c r="A778" s="40"/>
      <c r="B778" s="40"/>
      <c r="C778" s="40"/>
      <c r="D778" s="40"/>
      <c r="E778" s="40"/>
      <c r="F778" s="40"/>
      <c r="G778" s="40"/>
      <c r="H778" s="40"/>
      <c r="I778" s="40"/>
      <c r="J778" s="40"/>
      <c r="K778" s="40"/>
      <c r="L778" s="40"/>
      <c r="M778" s="40"/>
      <c r="N778" s="40"/>
    </row>
    <row r="779" spans="1:14">
      <c r="A779" s="40"/>
      <c r="B779" s="40"/>
      <c r="C779" s="40"/>
      <c r="D779" s="40"/>
      <c r="E779" s="40"/>
      <c r="F779" s="40"/>
      <c r="G779" s="40"/>
      <c r="H779" s="40"/>
      <c r="I779" s="40"/>
      <c r="J779" s="40"/>
      <c r="K779" s="40"/>
      <c r="L779" s="40"/>
      <c r="M779" s="40"/>
      <c r="N779" s="40"/>
    </row>
    <row r="780" spans="1:14">
      <c r="A780" s="40"/>
      <c r="B780" s="40"/>
      <c r="C780" s="40"/>
      <c r="D780" s="40"/>
      <c r="E780" s="40"/>
      <c r="F780" s="40"/>
      <c r="G780" s="40"/>
      <c r="H780" s="40"/>
      <c r="I780" s="40"/>
      <c r="J780" s="40"/>
      <c r="K780" s="40"/>
      <c r="L780" s="40"/>
      <c r="M780" s="40"/>
      <c r="N780" s="40"/>
    </row>
    <row r="781" spans="1:14">
      <c r="A781" s="40"/>
      <c r="B781" s="40"/>
      <c r="C781" s="40"/>
      <c r="D781" s="40"/>
      <c r="E781" s="40"/>
      <c r="F781" s="40"/>
      <c r="G781" s="40"/>
      <c r="H781" s="40"/>
      <c r="I781" s="40"/>
      <c r="J781" s="40"/>
      <c r="K781" s="40"/>
      <c r="L781" s="40"/>
      <c r="M781" s="40"/>
      <c r="N781" s="40"/>
    </row>
    <row r="782" spans="1:14">
      <c r="A782" s="40"/>
      <c r="B782" s="40"/>
      <c r="C782" s="40"/>
      <c r="D782" s="40"/>
      <c r="E782" s="40"/>
      <c r="F782" s="40"/>
      <c r="G782" s="40"/>
      <c r="H782" s="40"/>
      <c r="I782" s="40"/>
      <c r="J782" s="40"/>
      <c r="K782" s="40"/>
      <c r="L782" s="40"/>
      <c r="M782" s="40"/>
      <c r="N782" s="40"/>
    </row>
    <row r="783" spans="1:14">
      <c r="A783" s="40"/>
      <c r="B783" s="40"/>
      <c r="C783" s="40"/>
      <c r="D783" s="40"/>
      <c r="E783" s="40"/>
      <c r="F783" s="40"/>
      <c r="G783" s="40"/>
      <c r="H783" s="40"/>
      <c r="I783" s="40"/>
      <c r="J783" s="40"/>
      <c r="K783" s="40"/>
      <c r="L783" s="40"/>
      <c r="M783" s="40"/>
      <c r="N783" s="40"/>
    </row>
    <row r="784" spans="1:14">
      <c r="A784" s="40"/>
      <c r="B784" s="40"/>
      <c r="C784" s="40"/>
      <c r="D784" s="40"/>
      <c r="E784" s="40"/>
      <c r="F784" s="40"/>
      <c r="G784" s="40"/>
      <c r="H784" s="40"/>
      <c r="I784" s="40"/>
      <c r="J784" s="40"/>
      <c r="K784" s="40"/>
      <c r="L784" s="40"/>
      <c r="M784" s="40"/>
      <c r="N784" s="40"/>
    </row>
    <row r="785" spans="1:14">
      <c r="A785" s="40"/>
      <c r="B785" s="40"/>
      <c r="C785" s="40"/>
      <c r="D785" s="40"/>
      <c r="E785" s="40"/>
      <c r="F785" s="40"/>
      <c r="G785" s="40"/>
      <c r="H785" s="40"/>
      <c r="I785" s="40"/>
      <c r="J785" s="40"/>
      <c r="K785" s="40"/>
      <c r="L785" s="40"/>
      <c r="M785" s="40"/>
      <c r="N785" s="40"/>
    </row>
    <row r="786" spans="1:14">
      <c r="A786" s="40"/>
      <c r="B786" s="40"/>
      <c r="C786" s="40"/>
      <c r="D786" s="40"/>
      <c r="E786" s="40"/>
      <c r="F786" s="40"/>
      <c r="G786" s="40"/>
      <c r="H786" s="40"/>
      <c r="I786" s="40"/>
      <c r="J786" s="40"/>
      <c r="K786" s="40"/>
      <c r="L786" s="40"/>
      <c r="M786" s="40"/>
      <c r="N786" s="40"/>
    </row>
    <row r="787" spans="1:14">
      <c r="A787" s="40"/>
      <c r="B787" s="40"/>
      <c r="C787" s="40"/>
      <c r="D787" s="40"/>
      <c r="E787" s="40"/>
      <c r="F787" s="40"/>
      <c r="G787" s="40"/>
      <c r="H787" s="40"/>
      <c r="I787" s="40"/>
      <c r="J787" s="40"/>
      <c r="K787" s="40"/>
      <c r="L787" s="40"/>
      <c r="M787" s="40"/>
      <c r="N787" s="40"/>
    </row>
    <row r="788" spans="1:14">
      <c r="A788" s="40"/>
      <c r="B788" s="40"/>
      <c r="C788" s="40"/>
      <c r="D788" s="40"/>
      <c r="E788" s="40"/>
      <c r="F788" s="40"/>
      <c r="G788" s="40"/>
      <c r="H788" s="40"/>
      <c r="I788" s="40"/>
      <c r="J788" s="40"/>
      <c r="K788" s="40"/>
      <c r="L788" s="40"/>
      <c r="M788" s="40"/>
      <c r="N788" s="40"/>
    </row>
    <row r="789" spans="1:14">
      <c r="A789" s="40"/>
      <c r="B789" s="40"/>
      <c r="C789" s="40"/>
      <c r="D789" s="40"/>
      <c r="E789" s="40"/>
      <c r="F789" s="40"/>
      <c r="G789" s="40"/>
      <c r="H789" s="40"/>
      <c r="I789" s="40"/>
      <c r="J789" s="40"/>
      <c r="K789" s="40"/>
      <c r="L789" s="40"/>
      <c r="M789" s="40"/>
      <c r="N789" s="40"/>
    </row>
    <row r="790" spans="1:14">
      <c r="A790" s="40"/>
      <c r="B790" s="40"/>
      <c r="C790" s="40"/>
      <c r="D790" s="40"/>
      <c r="E790" s="40"/>
      <c r="F790" s="40"/>
      <c r="G790" s="40"/>
      <c r="H790" s="40"/>
      <c r="I790" s="40"/>
      <c r="J790" s="40"/>
      <c r="K790" s="40"/>
      <c r="L790" s="40"/>
      <c r="M790" s="40"/>
      <c r="N790" s="40"/>
    </row>
    <row r="791" spans="1:14">
      <c r="A791" s="40"/>
      <c r="B791" s="40"/>
      <c r="C791" s="40"/>
      <c r="D791" s="40"/>
      <c r="E791" s="40"/>
      <c r="F791" s="40"/>
      <c r="G791" s="40"/>
      <c r="H791" s="40"/>
      <c r="I791" s="40"/>
      <c r="J791" s="40"/>
      <c r="K791" s="40"/>
      <c r="L791" s="40"/>
      <c r="M791" s="40"/>
      <c r="N791" s="40"/>
    </row>
    <row r="792" spans="1:14">
      <c r="A792" s="40"/>
      <c r="B792" s="40"/>
      <c r="C792" s="40"/>
      <c r="D792" s="40"/>
      <c r="E792" s="40"/>
      <c r="F792" s="40"/>
      <c r="G792" s="40"/>
      <c r="H792" s="40"/>
      <c r="I792" s="40"/>
      <c r="J792" s="40"/>
      <c r="K792" s="40"/>
      <c r="L792" s="40"/>
      <c r="M792" s="40"/>
      <c r="N792" s="40"/>
    </row>
    <row r="793" spans="1:14">
      <c r="A793" s="40"/>
      <c r="B793" s="40"/>
      <c r="C793" s="40"/>
      <c r="D793" s="40"/>
      <c r="E793" s="40"/>
      <c r="F793" s="40"/>
      <c r="G793" s="40"/>
      <c r="H793" s="40"/>
      <c r="I793" s="40"/>
      <c r="J793" s="40"/>
      <c r="K793" s="40"/>
      <c r="L793" s="40"/>
      <c r="M793" s="40"/>
      <c r="N793" s="40"/>
    </row>
    <row r="794" spans="1:14">
      <c r="A794" s="40"/>
      <c r="B794" s="40"/>
      <c r="C794" s="40"/>
      <c r="D794" s="40"/>
      <c r="E794" s="40"/>
      <c r="F794" s="40"/>
      <c r="G794" s="40"/>
      <c r="H794" s="40"/>
      <c r="I794" s="40"/>
      <c r="J794" s="40"/>
      <c r="K794" s="40"/>
      <c r="L794" s="40"/>
      <c r="M794" s="40"/>
      <c r="N794" s="40"/>
    </row>
    <row r="795" spans="1:14">
      <c r="A795" s="40"/>
      <c r="B795" s="40"/>
      <c r="C795" s="40"/>
      <c r="D795" s="40"/>
      <c r="E795" s="40"/>
      <c r="F795" s="40"/>
      <c r="G795" s="40"/>
      <c r="H795" s="40"/>
      <c r="I795" s="40"/>
      <c r="J795" s="40"/>
      <c r="K795" s="40"/>
      <c r="L795" s="40"/>
      <c r="M795" s="40"/>
      <c r="N795" s="40"/>
    </row>
    <row r="796" spans="1:14">
      <c r="A796" s="40"/>
      <c r="B796" s="40"/>
      <c r="C796" s="40"/>
      <c r="D796" s="40"/>
      <c r="E796" s="40"/>
      <c r="F796" s="40"/>
      <c r="G796" s="40"/>
      <c r="H796" s="40"/>
      <c r="I796" s="40"/>
      <c r="J796" s="40"/>
      <c r="K796" s="40"/>
      <c r="L796" s="40"/>
      <c r="M796" s="40"/>
      <c r="N796" s="40"/>
    </row>
    <row r="797" spans="1:14">
      <c r="A797" s="40"/>
      <c r="B797" s="40"/>
      <c r="C797" s="40"/>
      <c r="D797" s="40"/>
      <c r="E797" s="40"/>
      <c r="F797" s="40"/>
      <c r="G797" s="40"/>
      <c r="H797" s="40"/>
      <c r="I797" s="40"/>
      <c r="J797" s="40"/>
      <c r="K797" s="40"/>
      <c r="L797" s="40"/>
      <c r="M797" s="40"/>
      <c r="N797" s="40"/>
    </row>
    <row r="798" spans="1:14">
      <c r="A798" s="40"/>
      <c r="B798" s="40"/>
      <c r="C798" s="40"/>
      <c r="D798" s="40"/>
      <c r="E798" s="40"/>
      <c r="F798" s="40"/>
      <c r="G798" s="40"/>
      <c r="H798" s="40"/>
      <c r="I798" s="40"/>
      <c r="J798" s="40"/>
      <c r="K798" s="40"/>
      <c r="L798" s="40"/>
      <c r="M798" s="40"/>
      <c r="N798" s="40"/>
    </row>
    <row r="799" spans="1:14">
      <c r="A799" s="40"/>
      <c r="B799" s="40"/>
      <c r="C799" s="40"/>
      <c r="D799" s="40"/>
      <c r="E799" s="40"/>
      <c r="F799" s="40"/>
      <c r="G799" s="40"/>
      <c r="H799" s="40"/>
      <c r="I799" s="40"/>
      <c r="J799" s="40"/>
      <c r="K799" s="40"/>
      <c r="L799" s="40"/>
      <c r="M799" s="40"/>
      <c r="N799" s="40"/>
    </row>
    <row r="800" spans="1:14">
      <c r="A800" s="40"/>
      <c r="B800" s="40"/>
      <c r="C800" s="40"/>
      <c r="D800" s="40"/>
      <c r="E800" s="40"/>
      <c r="F800" s="40"/>
      <c r="G800" s="40"/>
      <c r="H800" s="40"/>
      <c r="I800" s="40"/>
      <c r="J800" s="40"/>
      <c r="K800" s="40"/>
      <c r="L800" s="40"/>
      <c r="M800" s="40"/>
      <c r="N800" s="40"/>
    </row>
    <row r="801" spans="1:14">
      <c r="A801" s="40"/>
      <c r="B801" s="40"/>
      <c r="C801" s="40"/>
      <c r="D801" s="40"/>
      <c r="E801" s="40"/>
      <c r="F801" s="40"/>
      <c r="G801" s="40"/>
      <c r="H801" s="40"/>
      <c r="I801" s="40"/>
      <c r="J801" s="40"/>
      <c r="K801" s="40"/>
      <c r="L801" s="40"/>
      <c r="M801" s="40"/>
      <c r="N801" s="40"/>
    </row>
    <row r="802" spans="1:14">
      <c r="A802" s="40"/>
      <c r="B802" s="40"/>
      <c r="C802" s="40"/>
      <c r="D802" s="40"/>
      <c r="E802" s="40"/>
      <c r="F802" s="40"/>
      <c r="G802" s="40"/>
      <c r="H802" s="40"/>
      <c r="I802" s="40"/>
      <c r="J802" s="40"/>
      <c r="K802" s="40"/>
      <c r="L802" s="40"/>
      <c r="M802" s="40"/>
      <c r="N802" s="40"/>
    </row>
    <row r="803" spans="1:14">
      <c r="A803" s="40"/>
      <c r="B803" s="40"/>
      <c r="C803" s="40"/>
      <c r="D803" s="40"/>
      <c r="E803" s="40"/>
      <c r="F803" s="40"/>
      <c r="G803" s="40"/>
      <c r="H803" s="40"/>
      <c r="I803" s="40"/>
      <c r="J803" s="40"/>
      <c r="K803" s="40"/>
      <c r="L803" s="40"/>
      <c r="M803" s="40"/>
      <c r="N803" s="40"/>
    </row>
    <row r="804" spans="1:14">
      <c r="A804" s="40"/>
      <c r="B804" s="40"/>
      <c r="C804" s="40"/>
      <c r="D804" s="40"/>
      <c r="E804" s="40"/>
      <c r="F804" s="40"/>
      <c r="G804" s="40"/>
      <c r="H804" s="40"/>
      <c r="I804" s="40"/>
      <c r="J804" s="40"/>
      <c r="K804" s="40"/>
      <c r="L804" s="40"/>
      <c r="M804" s="40"/>
      <c r="N804" s="40"/>
    </row>
    <row r="805" spans="1:14">
      <c r="A805" s="40"/>
      <c r="B805" s="40"/>
      <c r="C805" s="40"/>
      <c r="D805" s="40"/>
      <c r="E805" s="40"/>
      <c r="F805" s="40"/>
      <c r="G805" s="40"/>
      <c r="H805" s="40"/>
      <c r="I805" s="40"/>
      <c r="J805" s="40"/>
      <c r="K805" s="40"/>
      <c r="L805" s="40"/>
      <c r="M805" s="40"/>
      <c r="N805" s="40"/>
    </row>
    <row r="806" spans="1:14">
      <c r="A806" s="40"/>
      <c r="B806" s="40"/>
      <c r="C806" s="40"/>
      <c r="D806" s="40"/>
      <c r="E806" s="40"/>
      <c r="F806" s="40"/>
      <c r="G806" s="40"/>
      <c r="H806" s="40"/>
      <c r="I806" s="40"/>
      <c r="J806" s="40"/>
      <c r="K806" s="40"/>
      <c r="L806" s="40"/>
      <c r="M806" s="40"/>
      <c r="N806" s="40"/>
    </row>
    <row r="807" spans="1:14">
      <c r="A807" s="40"/>
      <c r="B807" s="40"/>
      <c r="C807" s="40"/>
      <c r="D807" s="40"/>
      <c r="E807" s="40"/>
      <c r="F807" s="40"/>
      <c r="G807" s="40"/>
      <c r="H807" s="40"/>
      <c r="I807" s="40"/>
      <c r="J807" s="40"/>
      <c r="K807" s="40"/>
      <c r="L807" s="40"/>
      <c r="M807" s="40"/>
      <c r="N807" s="40"/>
    </row>
    <row r="808" spans="1:14">
      <c r="A808" s="40"/>
      <c r="B808" s="40"/>
      <c r="C808" s="40"/>
      <c r="D808" s="40"/>
      <c r="E808" s="40"/>
      <c r="F808" s="40"/>
      <c r="G808" s="40"/>
      <c r="H808" s="40"/>
      <c r="I808" s="40"/>
      <c r="J808" s="40"/>
      <c r="K808" s="40"/>
      <c r="L808" s="40"/>
      <c r="M808" s="40"/>
      <c r="N808" s="40"/>
    </row>
    <row r="809" spans="1:14">
      <c r="A809" s="40"/>
      <c r="B809" s="40"/>
      <c r="C809" s="40"/>
      <c r="D809" s="40"/>
      <c r="E809" s="40"/>
      <c r="F809" s="40"/>
      <c r="G809" s="40"/>
      <c r="H809" s="40"/>
      <c r="I809" s="40"/>
      <c r="J809" s="40"/>
      <c r="K809" s="40"/>
      <c r="L809" s="40"/>
      <c r="M809" s="40"/>
      <c r="N809" s="40"/>
    </row>
    <row r="810" spans="1:14">
      <c r="A810" s="40"/>
      <c r="B810" s="40"/>
      <c r="C810" s="40"/>
      <c r="D810" s="40"/>
      <c r="E810" s="40"/>
      <c r="F810" s="40"/>
      <c r="G810" s="40"/>
      <c r="H810" s="40"/>
      <c r="I810" s="40"/>
      <c r="J810" s="40"/>
      <c r="K810" s="40"/>
      <c r="L810" s="40"/>
      <c r="M810" s="40"/>
      <c r="N810" s="40"/>
    </row>
    <row r="811" spans="1:14">
      <c r="A811" s="40"/>
      <c r="B811" s="40"/>
      <c r="C811" s="40"/>
      <c r="D811" s="40"/>
      <c r="E811" s="40"/>
      <c r="F811" s="40"/>
      <c r="G811" s="40"/>
      <c r="H811" s="40"/>
      <c r="I811" s="40"/>
      <c r="J811" s="40"/>
      <c r="K811" s="40"/>
      <c r="L811" s="40"/>
      <c r="M811" s="40"/>
      <c r="N811" s="40"/>
    </row>
    <row r="812" spans="1:14">
      <c r="A812" s="40"/>
      <c r="B812" s="40"/>
      <c r="C812" s="40"/>
      <c r="D812" s="40"/>
      <c r="E812" s="40"/>
      <c r="F812" s="40"/>
      <c r="G812" s="40"/>
      <c r="H812" s="40"/>
      <c r="I812" s="40"/>
      <c r="J812" s="40"/>
      <c r="K812" s="40"/>
      <c r="L812" s="40"/>
      <c r="M812" s="40"/>
      <c r="N812" s="40"/>
    </row>
    <row r="813" spans="1:14">
      <c r="A813" s="40"/>
      <c r="B813" s="40"/>
      <c r="C813" s="40"/>
      <c r="D813" s="40"/>
      <c r="E813" s="40"/>
      <c r="F813" s="40"/>
      <c r="G813" s="40"/>
      <c r="H813" s="40"/>
      <c r="I813" s="40"/>
      <c r="J813" s="40"/>
      <c r="K813" s="40"/>
      <c r="L813" s="40"/>
      <c r="M813" s="40"/>
      <c r="N813" s="40"/>
    </row>
    <row r="814" spans="1:14">
      <c r="A814" s="40"/>
      <c r="B814" s="40"/>
      <c r="C814" s="40"/>
      <c r="D814" s="40"/>
      <c r="E814" s="40"/>
      <c r="F814" s="40"/>
      <c r="G814" s="40"/>
      <c r="H814" s="40"/>
      <c r="I814" s="40"/>
      <c r="J814" s="40"/>
      <c r="K814" s="40"/>
      <c r="L814" s="40"/>
      <c r="M814" s="40"/>
      <c r="N814" s="40"/>
    </row>
    <row r="815" spans="1:14">
      <c r="A815" s="40"/>
      <c r="B815" s="40"/>
      <c r="C815" s="40"/>
      <c r="D815" s="40"/>
      <c r="E815" s="40"/>
      <c r="F815" s="40"/>
      <c r="G815" s="40"/>
      <c r="H815" s="40"/>
      <c r="I815" s="40"/>
      <c r="J815" s="40"/>
      <c r="K815" s="40"/>
      <c r="L815" s="40"/>
      <c r="M815" s="40"/>
      <c r="N815" s="40"/>
    </row>
    <row r="816" spans="1:14">
      <c r="A816" s="40"/>
      <c r="B816" s="40"/>
      <c r="C816" s="40"/>
      <c r="D816" s="40"/>
      <c r="E816" s="40"/>
      <c r="F816" s="40"/>
      <c r="G816" s="40"/>
      <c r="H816" s="40"/>
      <c r="I816" s="40"/>
      <c r="J816" s="40"/>
      <c r="K816" s="40"/>
      <c r="L816" s="40"/>
      <c r="M816" s="40"/>
      <c r="N816" s="40"/>
    </row>
    <row r="817" spans="1:14">
      <c r="A817" s="40"/>
      <c r="B817" s="40"/>
      <c r="C817" s="40"/>
      <c r="D817" s="40"/>
      <c r="E817" s="40"/>
      <c r="F817" s="40"/>
      <c r="G817" s="40"/>
      <c r="H817" s="40"/>
      <c r="I817" s="40"/>
      <c r="J817" s="40"/>
      <c r="K817" s="40"/>
      <c r="L817" s="40"/>
      <c r="M817" s="40"/>
      <c r="N817" s="40"/>
    </row>
    <row r="818" spans="1:14">
      <c r="A818" s="40"/>
      <c r="B818" s="40"/>
      <c r="C818" s="40"/>
      <c r="D818" s="40"/>
      <c r="E818" s="40"/>
      <c r="F818" s="40"/>
      <c r="G818" s="40"/>
      <c r="H818" s="40"/>
      <c r="I818" s="40"/>
      <c r="J818" s="40"/>
      <c r="K818" s="40"/>
      <c r="L818" s="40"/>
      <c r="M818" s="40"/>
      <c r="N818" s="40"/>
    </row>
    <row r="819" spans="1:14">
      <c r="A819" s="40"/>
      <c r="B819" s="40"/>
      <c r="C819" s="40"/>
      <c r="D819" s="40"/>
      <c r="E819" s="40"/>
      <c r="F819" s="40"/>
      <c r="G819" s="40"/>
      <c r="H819" s="40"/>
      <c r="I819" s="40"/>
      <c r="J819" s="40"/>
      <c r="K819" s="40"/>
      <c r="L819" s="40"/>
      <c r="M819" s="40"/>
      <c r="N819" s="40"/>
    </row>
    <row r="820" spans="1:14">
      <c r="A820" s="40"/>
      <c r="B820" s="40"/>
      <c r="C820" s="40"/>
      <c r="D820" s="40"/>
      <c r="E820" s="40"/>
      <c r="F820" s="40"/>
      <c r="G820" s="40"/>
      <c r="H820" s="40"/>
      <c r="I820" s="40"/>
      <c r="J820" s="40"/>
      <c r="K820" s="40"/>
      <c r="L820" s="40"/>
      <c r="M820" s="40"/>
      <c r="N820" s="40"/>
    </row>
    <row r="821" spans="1:14">
      <c r="A821" s="40"/>
      <c r="B821" s="40"/>
      <c r="C821" s="40"/>
      <c r="D821" s="40"/>
      <c r="E821" s="40"/>
      <c r="F821" s="40"/>
      <c r="G821" s="40"/>
      <c r="H821" s="40"/>
      <c r="I821" s="40"/>
      <c r="J821" s="40"/>
      <c r="K821" s="40"/>
      <c r="L821" s="40"/>
      <c r="M821" s="40"/>
      <c r="N821" s="40"/>
    </row>
    <row r="822" spans="1:14">
      <c r="A822" s="40"/>
      <c r="B822" s="40"/>
      <c r="C822" s="40"/>
      <c r="D822" s="40"/>
      <c r="E822" s="40"/>
      <c r="F822" s="40"/>
      <c r="G822" s="40"/>
      <c r="H822" s="40"/>
      <c r="I822" s="40"/>
      <c r="J822" s="40"/>
      <c r="K822" s="40"/>
      <c r="L822" s="40"/>
      <c r="M822" s="40"/>
      <c r="N822" s="40"/>
    </row>
    <row r="823" spans="1:14">
      <c r="A823" s="40"/>
      <c r="B823" s="40"/>
      <c r="C823" s="40"/>
      <c r="D823" s="40"/>
      <c r="E823" s="40"/>
      <c r="F823" s="40"/>
      <c r="G823" s="40"/>
      <c r="H823" s="40"/>
      <c r="I823" s="40"/>
      <c r="J823" s="40"/>
      <c r="K823" s="40"/>
      <c r="L823" s="40"/>
      <c r="M823" s="40"/>
      <c r="N823" s="40"/>
    </row>
    <row r="824" spans="1:14">
      <c r="A824" s="40"/>
      <c r="B824" s="40"/>
      <c r="C824" s="40"/>
      <c r="D824" s="40"/>
      <c r="E824" s="40"/>
      <c r="F824" s="40"/>
      <c r="G824" s="40"/>
      <c r="H824" s="40"/>
      <c r="I824" s="40"/>
      <c r="J824" s="40"/>
      <c r="K824" s="40"/>
      <c r="L824" s="40"/>
      <c r="M824" s="40"/>
      <c r="N824" s="40"/>
    </row>
    <row r="825" spans="1:14">
      <c r="A825" s="40"/>
      <c r="B825" s="40"/>
      <c r="C825" s="40"/>
      <c r="D825" s="40"/>
      <c r="E825" s="40"/>
      <c r="F825" s="40"/>
      <c r="G825" s="40"/>
      <c r="H825" s="40"/>
      <c r="I825" s="40"/>
      <c r="J825" s="40"/>
      <c r="K825" s="40"/>
      <c r="L825" s="40"/>
      <c r="M825" s="40"/>
      <c r="N825" s="40"/>
    </row>
    <row r="826" spans="1:14">
      <c r="A826" s="40"/>
      <c r="B826" s="40"/>
      <c r="C826" s="40"/>
      <c r="D826" s="40"/>
      <c r="E826" s="40"/>
      <c r="F826" s="40"/>
      <c r="G826" s="40"/>
      <c r="H826" s="40"/>
      <c r="I826" s="40"/>
      <c r="J826" s="40"/>
      <c r="K826" s="40"/>
      <c r="L826" s="40"/>
      <c r="M826" s="40"/>
      <c r="N826" s="40"/>
    </row>
    <row r="827" spans="1:14">
      <c r="A827" s="40"/>
      <c r="B827" s="40"/>
      <c r="C827" s="40"/>
      <c r="D827" s="40"/>
      <c r="E827" s="40"/>
      <c r="F827" s="40"/>
      <c r="G827" s="40"/>
      <c r="H827" s="40"/>
      <c r="I827" s="40"/>
      <c r="J827" s="40"/>
      <c r="K827" s="40"/>
      <c r="L827" s="40"/>
      <c r="M827" s="40"/>
      <c r="N827" s="40"/>
    </row>
    <row r="828" spans="1:14">
      <c r="A828" s="40"/>
      <c r="B828" s="40"/>
      <c r="C828" s="40"/>
      <c r="D828" s="40"/>
      <c r="E828" s="40"/>
      <c r="F828" s="40"/>
      <c r="G828" s="40"/>
      <c r="H828" s="40"/>
      <c r="I828" s="40"/>
      <c r="J828" s="40"/>
      <c r="K828" s="40"/>
      <c r="L828" s="40"/>
      <c r="M828" s="40"/>
      <c r="N828" s="40"/>
    </row>
    <row r="829" spans="1:14">
      <c r="A829" s="40"/>
      <c r="B829" s="40"/>
      <c r="C829" s="40"/>
      <c r="D829" s="40"/>
      <c r="E829" s="40"/>
      <c r="F829" s="40"/>
      <c r="G829" s="40"/>
      <c r="H829" s="40"/>
      <c r="I829" s="40"/>
      <c r="J829" s="40"/>
      <c r="K829" s="40"/>
      <c r="L829" s="40"/>
      <c r="M829" s="40"/>
      <c r="N829" s="40"/>
    </row>
    <row r="830" spans="1:14">
      <c r="A830" s="40"/>
      <c r="B830" s="40"/>
      <c r="C830" s="40"/>
      <c r="D830" s="40"/>
      <c r="E830" s="40"/>
      <c r="F830" s="40"/>
      <c r="G830" s="40"/>
      <c r="H830" s="40"/>
      <c r="I830" s="40"/>
      <c r="J830" s="40"/>
      <c r="K830" s="40"/>
      <c r="L830" s="40"/>
      <c r="M830" s="40"/>
      <c r="N830" s="40"/>
    </row>
    <row r="831" spans="1:14">
      <c r="A831" s="40"/>
      <c r="B831" s="40"/>
      <c r="C831" s="40"/>
      <c r="D831" s="40"/>
      <c r="E831" s="40"/>
      <c r="F831" s="40"/>
      <c r="G831" s="40"/>
      <c r="H831" s="40"/>
      <c r="I831" s="40"/>
      <c r="J831" s="40"/>
      <c r="K831" s="40"/>
      <c r="L831" s="40"/>
      <c r="M831" s="40"/>
      <c r="N831" s="40"/>
    </row>
    <row r="832" spans="1:14">
      <c r="A832" s="40"/>
      <c r="B832" s="40"/>
      <c r="C832" s="40"/>
      <c r="D832" s="40"/>
      <c r="E832" s="40"/>
      <c r="F832" s="40"/>
      <c r="G832" s="40"/>
      <c r="H832" s="40"/>
      <c r="I832" s="40"/>
      <c r="J832" s="40"/>
      <c r="K832" s="40"/>
      <c r="L832" s="40"/>
      <c r="M832" s="40"/>
      <c r="N832" s="40"/>
    </row>
    <row r="833" spans="1:14">
      <c r="A833" s="40"/>
      <c r="B833" s="40"/>
      <c r="C833" s="40"/>
      <c r="D833" s="40"/>
      <c r="E833" s="40"/>
      <c r="F833" s="40"/>
      <c r="G833" s="40"/>
      <c r="H833" s="40"/>
      <c r="I833" s="40"/>
      <c r="J833" s="40"/>
      <c r="K833" s="40"/>
      <c r="L833" s="40"/>
      <c r="M833" s="40"/>
      <c r="N833" s="40"/>
    </row>
    <row r="834" spans="1:14">
      <c r="A834" s="40"/>
      <c r="B834" s="40"/>
      <c r="C834" s="40"/>
      <c r="D834" s="40"/>
      <c r="E834" s="40"/>
      <c r="F834" s="40"/>
      <c r="G834" s="40"/>
      <c r="H834" s="40"/>
      <c r="I834" s="40"/>
      <c r="J834" s="40"/>
      <c r="K834" s="40"/>
      <c r="L834" s="40"/>
      <c r="M834" s="40"/>
      <c r="N834" s="40"/>
    </row>
    <row r="835" spans="1:14">
      <c r="A835" s="40"/>
      <c r="B835" s="40"/>
      <c r="C835" s="40"/>
      <c r="D835" s="40"/>
      <c r="E835" s="40"/>
      <c r="F835" s="40"/>
      <c r="G835" s="40"/>
      <c r="H835" s="40"/>
      <c r="I835" s="40"/>
      <c r="J835" s="40"/>
      <c r="K835" s="40"/>
      <c r="L835" s="40"/>
      <c r="M835" s="40"/>
      <c r="N835" s="40"/>
    </row>
    <row r="836" spans="1:14">
      <c r="A836" s="40"/>
      <c r="B836" s="40"/>
      <c r="C836" s="40"/>
      <c r="D836" s="40"/>
      <c r="E836" s="40"/>
      <c r="F836" s="40"/>
      <c r="G836" s="40"/>
      <c r="H836" s="40"/>
      <c r="I836" s="40"/>
      <c r="J836" s="40"/>
      <c r="K836" s="40"/>
      <c r="L836" s="40"/>
      <c r="M836" s="40"/>
      <c r="N836" s="40"/>
    </row>
    <row r="837" spans="1:14">
      <c r="A837" s="40"/>
      <c r="B837" s="40"/>
      <c r="C837" s="40"/>
      <c r="D837" s="40"/>
      <c r="E837" s="40"/>
      <c r="F837" s="40"/>
      <c r="G837" s="40"/>
      <c r="H837" s="40"/>
      <c r="I837" s="40"/>
      <c r="J837" s="40"/>
      <c r="K837" s="40"/>
      <c r="L837" s="40"/>
      <c r="M837" s="40"/>
      <c r="N837" s="40"/>
    </row>
    <row r="838" spans="1:14">
      <c r="A838" s="40"/>
      <c r="B838" s="40"/>
      <c r="C838" s="40"/>
      <c r="D838" s="40"/>
      <c r="E838" s="40"/>
      <c r="F838" s="40"/>
      <c r="G838" s="40"/>
      <c r="H838" s="40"/>
      <c r="I838" s="40"/>
      <c r="J838" s="40"/>
      <c r="K838" s="40"/>
      <c r="L838" s="40"/>
      <c r="M838" s="40"/>
      <c r="N838" s="40"/>
    </row>
    <row r="839" spans="1:14">
      <c r="A839" s="40"/>
      <c r="B839" s="40"/>
      <c r="C839" s="40"/>
      <c r="D839" s="40"/>
      <c r="E839" s="40"/>
      <c r="F839" s="40"/>
      <c r="G839" s="40"/>
      <c r="H839" s="40"/>
      <c r="I839" s="40"/>
      <c r="J839" s="40"/>
      <c r="K839" s="40"/>
      <c r="L839" s="40"/>
      <c r="M839" s="40"/>
      <c r="N839" s="40"/>
    </row>
    <row r="840" spans="1:14">
      <c r="A840" s="40"/>
      <c r="B840" s="40"/>
      <c r="C840" s="40"/>
      <c r="D840" s="40"/>
      <c r="E840" s="40"/>
      <c r="F840" s="40"/>
      <c r="G840" s="40"/>
      <c r="H840" s="40"/>
      <c r="I840" s="40"/>
      <c r="J840" s="40"/>
      <c r="K840" s="40"/>
      <c r="L840" s="40"/>
      <c r="M840" s="40"/>
      <c r="N840" s="40"/>
    </row>
    <row r="841" spans="1:14">
      <c r="A841" s="40"/>
      <c r="B841" s="40"/>
      <c r="C841" s="40"/>
      <c r="D841" s="40"/>
      <c r="E841" s="40"/>
      <c r="F841" s="40"/>
      <c r="G841" s="40"/>
      <c r="H841" s="40"/>
      <c r="I841" s="40"/>
      <c r="J841" s="40"/>
      <c r="K841" s="40"/>
      <c r="L841" s="40"/>
      <c r="M841" s="40"/>
      <c r="N841" s="40"/>
    </row>
    <row r="842" spans="1:14">
      <c r="A842" s="40"/>
      <c r="B842" s="40"/>
      <c r="C842" s="40"/>
      <c r="D842" s="40"/>
      <c r="E842" s="40"/>
      <c r="F842" s="40"/>
      <c r="G842" s="40"/>
      <c r="H842" s="40"/>
      <c r="I842" s="40"/>
      <c r="J842" s="40"/>
      <c r="K842" s="40"/>
      <c r="L842" s="40"/>
      <c r="M842" s="40"/>
      <c r="N842" s="40"/>
    </row>
    <row r="843" spans="1:14">
      <c r="A843" s="40"/>
      <c r="B843" s="40"/>
      <c r="C843" s="40"/>
      <c r="D843" s="40"/>
      <c r="E843" s="40"/>
      <c r="F843" s="40"/>
      <c r="G843" s="40"/>
      <c r="H843" s="40"/>
      <c r="I843" s="40"/>
      <c r="J843" s="40"/>
      <c r="K843" s="40"/>
      <c r="L843" s="40"/>
      <c r="M843" s="40"/>
      <c r="N843" s="40"/>
    </row>
    <row r="844" spans="1:14">
      <c r="A844" s="40"/>
      <c r="B844" s="40"/>
      <c r="C844" s="40"/>
      <c r="D844" s="40"/>
      <c r="E844" s="40"/>
      <c r="F844" s="40"/>
      <c r="G844" s="40"/>
      <c r="H844" s="40"/>
      <c r="I844" s="40"/>
      <c r="J844" s="40"/>
      <c r="K844" s="40"/>
      <c r="L844" s="40"/>
      <c r="M844" s="40"/>
      <c r="N844" s="40"/>
    </row>
    <row r="845" spans="1:14">
      <c r="A845" s="40"/>
      <c r="B845" s="40"/>
      <c r="C845" s="40"/>
      <c r="D845" s="40"/>
      <c r="E845" s="40"/>
      <c r="F845" s="40"/>
      <c r="G845" s="40"/>
      <c r="H845" s="40"/>
      <c r="I845" s="40"/>
      <c r="J845" s="40"/>
      <c r="K845" s="40"/>
      <c r="L845" s="40"/>
      <c r="M845" s="40"/>
      <c r="N845" s="40"/>
    </row>
    <row r="846" spans="1:14">
      <c r="A846" s="40"/>
      <c r="B846" s="40"/>
      <c r="C846" s="40"/>
      <c r="D846" s="40"/>
      <c r="E846" s="40"/>
      <c r="F846" s="40"/>
      <c r="G846" s="40"/>
      <c r="H846" s="40"/>
      <c r="I846" s="40"/>
      <c r="J846" s="40"/>
      <c r="K846" s="40"/>
      <c r="L846" s="40"/>
      <c r="M846" s="40"/>
      <c r="N846" s="40"/>
    </row>
    <row r="847" spans="1:14">
      <c r="A847" s="40"/>
      <c r="B847" s="40"/>
      <c r="C847" s="40"/>
      <c r="D847" s="40"/>
      <c r="E847" s="40"/>
      <c r="F847" s="40"/>
      <c r="G847" s="40"/>
      <c r="H847" s="40"/>
      <c r="I847" s="40"/>
      <c r="J847" s="40"/>
      <c r="K847" s="40"/>
      <c r="L847" s="40"/>
      <c r="M847" s="40"/>
      <c r="N847" s="40"/>
    </row>
    <row r="848" spans="1:14">
      <c r="A848" s="40"/>
      <c r="B848" s="40"/>
      <c r="C848" s="40"/>
      <c r="D848" s="40"/>
      <c r="E848" s="40"/>
      <c r="F848" s="40"/>
      <c r="G848" s="40"/>
      <c r="H848" s="40"/>
      <c r="I848" s="40"/>
      <c r="J848" s="40"/>
      <c r="K848" s="40"/>
      <c r="L848" s="40"/>
      <c r="M848" s="40"/>
      <c r="N848" s="40"/>
    </row>
    <row r="849" spans="1:14">
      <c r="A849" s="40"/>
      <c r="B849" s="40"/>
      <c r="C849" s="40"/>
      <c r="D849" s="40"/>
      <c r="E849" s="40"/>
      <c r="F849" s="40"/>
      <c r="G849" s="40"/>
      <c r="H849" s="40"/>
      <c r="I849" s="40"/>
      <c r="J849" s="40"/>
      <c r="K849" s="40"/>
      <c r="L849" s="40"/>
      <c r="M849" s="40"/>
      <c r="N849" s="40"/>
    </row>
    <row r="850" spans="1:14">
      <c r="A850" s="40"/>
      <c r="B850" s="40"/>
      <c r="C850" s="40"/>
      <c r="D850" s="40"/>
      <c r="E850" s="40"/>
      <c r="F850" s="40"/>
      <c r="G850" s="40"/>
      <c r="H850" s="40"/>
      <c r="I850" s="40"/>
      <c r="J850" s="40"/>
      <c r="K850" s="40"/>
      <c r="L850" s="40"/>
      <c r="M850" s="40"/>
      <c r="N850" s="40"/>
    </row>
    <row r="851" spans="1:14">
      <c r="A851" s="40"/>
      <c r="B851" s="40"/>
      <c r="C851" s="40"/>
      <c r="D851" s="40"/>
      <c r="E851" s="40"/>
      <c r="F851" s="40"/>
      <c r="G851" s="40"/>
      <c r="H851" s="40"/>
      <c r="I851" s="40"/>
      <c r="J851" s="40"/>
      <c r="K851" s="40"/>
      <c r="L851" s="40"/>
      <c r="M851" s="40"/>
      <c r="N851" s="40"/>
    </row>
    <row r="852" spans="1:14">
      <c r="A852" s="40"/>
      <c r="B852" s="40"/>
      <c r="C852" s="40"/>
      <c r="D852" s="40"/>
      <c r="E852" s="40"/>
      <c r="F852" s="40"/>
      <c r="G852" s="40"/>
      <c r="H852" s="40"/>
      <c r="I852" s="40"/>
      <c r="J852" s="40"/>
      <c r="K852" s="40"/>
      <c r="L852" s="40"/>
      <c r="M852" s="40"/>
      <c r="N852" s="40"/>
    </row>
    <row r="853" spans="1:14">
      <c r="A853" s="40"/>
      <c r="B853" s="40"/>
      <c r="C853" s="40"/>
      <c r="D853" s="40"/>
      <c r="E853" s="40"/>
      <c r="F853" s="40"/>
      <c r="G853" s="40"/>
      <c r="H853" s="40"/>
      <c r="I853" s="40"/>
      <c r="J853" s="40"/>
      <c r="K853" s="40"/>
      <c r="L853" s="40"/>
      <c r="M853" s="40"/>
      <c r="N853" s="40"/>
    </row>
    <row r="854" spans="1:14">
      <c r="A854" s="40"/>
      <c r="B854" s="40"/>
      <c r="C854" s="40"/>
      <c r="D854" s="40"/>
      <c r="E854" s="40"/>
      <c r="F854" s="40"/>
      <c r="G854" s="40"/>
      <c r="H854" s="40"/>
      <c r="I854" s="40"/>
      <c r="J854" s="40"/>
      <c r="K854" s="40"/>
      <c r="L854" s="40"/>
      <c r="M854" s="40"/>
      <c r="N854" s="40"/>
    </row>
    <row r="855" spans="1:14">
      <c r="A855" s="40"/>
      <c r="B855" s="40"/>
      <c r="C855" s="40"/>
      <c r="D855" s="40"/>
      <c r="E855" s="40"/>
      <c r="F855" s="40"/>
      <c r="G855" s="40"/>
      <c r="H855" s="40"/>
      <c r="I855" s="40"/>
      <c r="J855" s="40"/>
      <c r="K855" s="40"/>
      <c r="L855" s="40"/>
      <c r="M855" s="40"/>
      <c r="N855" s="40"/>
    </row>
    <row r="856" spans="1:14">
      <c r="A856" s="40"/>
      <c r="B856" s="40"/>
      <c r="C856" s="40"/>
      <c r="D856" s="40"/>
      <c r="E856" s="40"/>
      <c r="F856" s="40"/>
      <c r="G856" s="40"/>
      <c r="H856" s="40"/>
      <c r="I856" s="40"/>
      <c r="J856" s="40"/>
      <c r="K856" s="40"/>
      <c r="L856" s="40"/>
      <c r="M856" s="40"/>
      <c r="N856" s="40"/>
    </row>
    <row r="857" spans="1:14">
      <c r="A857" s="40"/>
      <c r="B857" s="40"/>
      <c r="C857" s="40"/>
      <c r="D857" s="40"/>
      <c r="E857" s="40"/>
      <c r="F857" s="40"/>
      <c r="G857" s="40"/>
      <c r="H857" s="40"/>
      <c r="I857" s="40"/>
      <c r="J857" s="40"/>
      <c r="K857" s="40"/>
      <c r="L857" s="40"/>
      <c r="M857" s="40"/>
      <c r="N857" s="40"/>
    </row>
    <row r="858" spans="1:14">
      <c r="A858" s="40"/>
      <c r="B858" s="40"/>
      <c r="C858" s="40"/>
      <c r="D858" s="40"/>
      <c r="E858" s="40"/>
      <c r="F858" s="40"/>
      <c r="G858" s="40"/>
      <c r="H858" s="40"/>
      <c r="I858" s="40"/>
      <c r="J858" s="40"/>
      <c r="K858" s="40"/>
      <c r="L858" s="40"/>
      <c r="M858" s="40"/>
      <c r="N858" s="40"/>
    </row>
    <row r="859" spans="1:14">
      <c r="A859" s="40"/>
      <c r="B859" s="40"/>
      <c r="C859" s="40"/>
      <c r="D859" s="40"/>
      <c r="E859" s="40"/>
      <c r="F859" s="40"/>
      <c r="G859" s="40"/>
      <c r="H859" s="40"/>
      <c r="I859" s="40"/>
      <c r="J859" s="40"/>
      <c r="K859" s="40"/>
      <c r="L859" s="40"/>
      <c r="M859" s="40"/>
      <c r="N859" s="40"/>
    </row>
    <row r="860" spans="1:14">
      <c r="A860" s="40"/>
      <c r="B860" s="40"/>
      <c r="C860" s="40"/>
      <c r="D860" s="40"/>
      <c r="E860" s="40"/>
      <c r="F860" s="40"/>
      <c r="G860" s="40"/>
      <c r="H860" s="40"/>
      <c r="I860" s="40"/>
      <c r="J860" s="40"/>
      <c r="K860" s="40"/>
      <c r="L860" s="40"/>
      <c r="M860" s="40"/>
      <c r="N860" s="40"/>
    </row>
    <row r="861" spans="1:14">
      <c r="A861" s="40"/>
      <c r="B861" s="40"/>
      <c r="C861" s="40"/>
      <c r="D861" s="40"/>
      <c r="E861" s="40"/>
      <c r="F861" s="40"/>
      <c r="G861" s="40"/>
      <c r="H861" s="40"/>
      <c r="I861" s="40"/>
      <c r="J861" s="40"/>
      <c r="K861" s="40"/>
      <c r="L861" s="40"/>
      <c r="M861" s="40"/>
      <c r="N861" s="40"/>
    </row>
    <row r="862" spans="1:14">
      <c r="A862" s="40"/>
      <c r="B862" s="40"/>
      <c r="C862" s="40"/>
      <c r="D862" s="40"/>
      <c r="E862" s="40"/>
      <c r="F862" s="40"/>
      <c r="G862" s="40"/>
      <c r="H862" s="40"/>
      <c r="I862" s="40"/>
      <c r="J862" s="40"/>
      <c r="K862" s="40"/>
      <c r="L862" s="40"/>
      <c r="M862" s="40"/>
      <c r="N862" s="40"/>
    </row>
    <row r="863" spans="1:14">
      <c r="A863" s="40"/>
      <c r="B863" s="40"/>
      <c r="C863" s="40"/>
      <c r="D863" s="40"/>
      <c r="E863" s="40"/>
      <c r="F863" s="40"/>
      <c r="G863" s="40"/>
      <c r="H863" s="40"/>
      <c r="I863" s="40"/>
      <c r="J863" s="40"/>
      <c r="K863" s="40"/>
      <c r="L863" s="40"/>
      <c r="M863" s="40"/>
      <c r="N863" s="40"/>
    </row>
    <row r="864" spans="1:14">
      <c r="A864" s="40"/>
      <c r="B864" s="40"/>
      <c r="C864" s="40"/>
      <c r="D864" s="40"/>
      <c r="E864" s="40"/>
      <c r="F864" s="40"/>
      <c r="G864" s="40"/>
      <c r="H864" s="40"/>
      <c r="I864" s="40"/>
      <c r="J864" s="40"/>
      <c r="K864" s="40"/>
      <c r="L864" s="40"/>
      <c r="M864" s="40"/>
      <c r="N864" s="40"/>
    </row>
    <row r="865" spans="1:14">
      <c r="A865" s="40"/>
      <c r="B865" s="40"/>
      <c r="C865" s="40"/>
      <c r="D865" s="40"/>
      <c r="E865" s="40"/>
      <c r="F865" s="40"/>
      <c r="G865" s="40"/>
      <c r="H865" s="40"/>
      <c r="I865" s="40"/>
      <c r="J865" s="40"/>
      <c r="K865" s="40"/>
      <c r="L865" s="40"/>
      <c r="M865" s="40"/>
      <c r="N865" s="40"/>
    </row>
    <row r="866" spans="1:14">
      <c r="A866" s="40"/>
      <c r="B866" s="40"/>
      <c r="C866" s="40"/>
      <c r="D866" s="40"/>
      <c r="E866" s="40"/>
      <c r="F866" s="40"/>
      <c r="G866" s="40"/>
      <c r="H866" s="40"/>
      <c r="I866" s="40"/>
      <c r="J866" s="40"/>
      <c r="K866" s="40"/>
      <c r="L866" s="40"/>
      <c r="M866" s="40"/>
      <c r="N866" s="40"/>
    </row>
    <row r="867" spans="1:14">
      <c r="A867" s="40"/>
      <c r="B867" s="40"/>
      <c r="C867" s="40"/>
      <c r="D867" s="40"/>
      <c r="E867" s="40"/>
      <c r="F867" s="40"/>
      <c r="G867" s="40"/>
      <c r="H867" s="40"/>
      <c r="I867" s="40"/>
      <c r="J867" s="40"/>
      <c r="K867" s="40"/>
      <c r="L867" s="40"/>
      <c r="M867" s="40"/>
      <c r="N867" s="40"/>
    </row>
    <row r="868" spans="1:14">
      <c r="A868" s="40"/>
      <c r="B868" s="40"/>
      <c r="C868" s="40"/>
      <c r="D868" s="40"/>
      <c r="E868" s="40"/>
      <c r="F868" s="40"/>
      <c r="G868" s="40"/>
      <c r="H868" s="40"/>
      <c r="I868" s="40"/>
      <c r="J868" s="40"/>
      <c r="K868" s="40"/>
      <c r="L868" s="40"/>
      <c r="M868" s="40"/>
      <c r="N868" s="40"/>
    </row>
    <row r="869" spans="1:14">
      <c r="A869" s="40"/>
      <c r="B869" s="40"/>
      <c r="C869" s="40"/>
      <c r="D869" s="40"/>
      <c r="E869" s="40"/>
      <c r="F869" s="40"/>
      <c r="G869" s="40"/>
      <c r="H869" s="40"/>
      <c r="I869" s="40"/>
      <c r="J869" s="40"/>
      <c r="K869" s="40"/>
      <c r="L869" s="40"/>
      <c r="M869" s="40"/>
      <c r="N869" s="40"/>
    </row>
    <row r="870" spans="1:14">
      <c r="A870" s="40"/>
      <c r="B870" s="40"/>
      <c r="C870" s="40"/>
      <c r="D870" s="40"/>
      <c r="E870" s="40"/>
      <c r="F870" s="40"/>
      <c r="G870" s="40"/>
      <c r="H870" s="40"/>
      <c r="I870" s="40"/>
      <c r="J870" s="40"/>
      <c r="K870" s="40"/>
      <c r="L870" s="40"/>
      <c r="M870" s="40"/>
      <c r="N870" s="40"/>
    </row>
    <row r="871" spans="1:14">
      <c r="A871" s="40"/>
      <c r="B871" s="40"/>
      <c r="C871" s="40"/>
      <c r="D871" s="40"/>
      <c r="E871" s="40"/>
      <c r="F871" s="40"/>
      <c r="G871" s="40"/>
      <c r="H871" s="40"/>
      <c r="I871" s="40"/>
      <c r="J871" s="40"/>
      <c r="K871" s="40"/>
      <c r="L871" s="40"/>
      <c r="M871" s="40"/>
      <c r="N871" s="40"/>
    </row>
    <row r="872" spans="1:14">
      <c r="A872" s="40"/>
      <c r="B872" s="40"/>
      <c r="C872" s="40"/>
      <c r="D872" s="40"/>
      <c r="E872" s="40"/>
      <c r="F872" s="40"/>
      <c r="G872" s="40"/>
      <c r="H872" s="40"/>
      <c r="I872" s="40"/>
      <c r="J872" s="40"/>
      <c r="K872" s="40"/>
      <c r="L872" s="40"/>
      <c r="M872" s="40"/>
      <c r="N872" s="40"/>
    </row>
    <row r="873" spans="1:14">
      <c r="A873" s="40"/>
      <c r="B873" s="40"/>
      <c r="C873" s="40"/>
      <c r="D873" s="40"/>
      <c r="E873" s="40"/>
      <c r="F873" s="40"/>
      <c r="G873" s="40"/>
      <c r="H873" s="40"/>
      <c r="I873" s="40"/>
      <c r="J873" s="40"/>
      <c r="K873" s="40"/>
      <c r="L873" s="40"/>
      <c r="M873" s="40"/>
      <c r="N873" s="40"/>
    </row>
    <row r="874" spans="1:14">
      <c r="A874" s="40"/>
      <c r="B874" s="40"/>
      <c r="C874" s="40"/>
      <c r="D874" s="40"/>
      <c r="E874" s="40"/>
      <c r="F874" s="40"/>
      <c r="G874" s="40"/>
      <c r="H874" s="40"/>
      <c r="I874" s="40"/>
      <c r="J874" s="40"/>
      <c r="K874" s="40"/>
      <c r="L874" s="40"/>
      <c r="M874" s="40"/>
      <c r="N874" s="40"/>
    </row>
    <row r="875" spans="1:14">
      <c r="A875" s="40"/>
      <c r="B875" s="40"/>
      <c r="C875" s="40"/>
      <c r="D875" s="40"/>
      <c r="E875" s="40"/>
      <c r="F875" s="40"/>
      <c r="G875" s="40"/>
      <c r="H875" s="40"/>
      <c r="I875" s="40"/>
      <c r="J875" s="40"/>
      <c r="K875" s="40"/>
      <c r="L875" s="40"/>
      <c r="M875" s="40"/>
      <c r="N875" s="40"/>
    </row>
    <row r="876" spans="1:14">
      <c r="A876" s="40"/>
      <c r="B876" s="40"/>
      <c r="C876" s="40"/>
      <c r="D876" s="40"/>
      <c r="E876" s="40"/>
      <c r="F876" s="40"/>
      <c r="G876" s="40"/>
      <c r="H876" s="40"/>
      <c r="I876" s="40"/>
      <c r="J876" s="40"/>
      <c r="K876" s="40"/>
      <c r="L876" s="40"/>
      <c r="M876" s="40"/>
      <c r="N876" s="40"/>
    </row>
    <row r="877" spans="1:14">
      <c r="A877" s="40"/>
      <c r="B877" s="40"/>
      <c r="C877" s="40"/>
      <c r="D877" s="40"/>
      <c r="E877" s="40"/>
      <c r="F877" s="40"/>
      <c r="G877" s="40"/>
      <c r="H877" s="40"/>
      <c r="I877" s="40"/>
      <c r="J877" s="40"/>
      <c r="K877" s="40"/>
      <c r="L877" s="40"/>
      <c r="M877" s="40"/>
      <c r="N877" s="40"/>
    </row>
    <row r="878" spans="1:14">
      <c r="A878" s="40"/>
      <c r="B878" s="40"/>
      <c r="C878" s="40"/>
      <c r="D878" s="40"/>
      <c r="E878" s="40"/>
      <c r="F878" s="40"/>
      <c r="G878" s="40"/>
      <c r="H878" s="40"/>
      <c r="I878" s="40"/>
      <c r="J878" s="40"/>
      <c r="K878" s="40"/>
      <c r="L878" s="40"/>
      <c r="M878" s="40"/>
      <c r="N878" s="40"/>
    </row>
    <row r="879" spans="1:14">
      <c r="A879" s="40"/>
      <c r="B879" s="40"/>
      <c r="C879" s="40"/>
      <c r="D879" s="40"/>
      <c r="E879" s="40"/>
      <c r="F879" s="40"/>
      <c r="G879" s="40"/>
      <c r="H879" s="40"/>
      <c r="I879" s="40"/>
      <c r="J879" s="40"/>
      <c r="K879" s="40"/>
      <c r="L879" s="40"/>
      <c r="M879" s="40"/>
      <c r="N879" s="40"/>
    </row>
    <row r="880" spans="1:14">
      <c r="A880" s="40"/>
      <c r="B880" s="40"/>
      <c r="C880" s="40"/>
      <c r="D880" s="40"/>
      <c r="E880" s="40"/>
      <c r="F880" s="40"/>
      <c r="G880" s="40"/>
      <c r="H880" s="40"/>
      <c r="I880" s="40"/>
      <c r="J880" s="40"/>
      <c r="K880" s="40"/>
      <c r="L880" s="40"/>
      <c r="M880" s="40"/>
      <c r="N880" s="40"/>
    </row>
    <row r="881" spans="1:14">
      <c r="A881" s="40"/>
      <c r="B881" s="40"/>
      <c r="C881" s="40"/>
      <c r="D881" s="40"/>
      <c r="E881" s="40"/>
      <c r="F881" s="40"/>
      <c r="G881" s="40"/>
      <c r="H881" s="40"/>
      <c r="I881" s="40"/>
      <c r="J881" s="40"/>
      <c r="K881" s="40"/>
      <c r="L881" s="40"/>
      <c r="M881" s="40"/>
      <c r="N881" s="40"/>
    </row>
    <row r="882" spans="1:14">
      <c r="A882" s="40"/>
      <c r="B882" s="40"/>
      <c r="C882" s="40"/>
      <c r="D882" s="40"/>
      <c r="E882" s="40"/>
      <c r="F882" s="40"/>
      <c r="G882" s="40"/>
      <c r="H882" s="40"/>
      <c r="I882" s="40"/>
      <c r="J882" s="40"/>
      <c r="K882" s="40"/>
      <c r="L882" s="40"/>
      <c r="M882" s="40"/>
      <c r="N882" s="40"/>
    </row>
    <row r="883" spans="1:14">
      <c r="A883" s="40"/>
      <c r="B883" s="40"/>
      <c r="C883" s="40"/>
      <c r="D883" s="40"/>
      <c r="E883" s="40"/>
      <c r="F883" s="40"/>
      <c r="G883" s="40"/>
      <c r="H883" s="40"/>
      <c r="I883" s="40"/>
      <c r="J883" s="40"/>
      <c r="K883" s="40"/>
      <c r="L883" s="40"/>
      <c r="M883" s="40"/>
      <c r="N883" s="40"/>
    </row>
    <row r="884" spans="1:14">
      <c r="A884" s="40"/>
      <c r="B884" s="40"/>
      <c r="C884" s="40"/>
      <c r="D884" s="40"/>
      <c r="E884" s="40"/>
      <c r="F884" s="40"/>
      <c r="G884" s="40"/>
      <c r="H884" s="40"/>
      <c r="I884" s="40"/>
      <c r="J884" s="40"/>
      <c r="K884" s="40"/>
      <c r="L884" s="40"/>
      <c r="M884" s="40"/>
      <c r="N884" s="40"/>
    </row>
    <row r="885" spans="1:14">
      <c r="A885" s="40"/>
      <c r="B885" s="40"/>
      <c r="C885" s="40"/>
      <c r="D885" s="40"/>
      <c r="E885" s="40"/>
      <c r="F885" s="40"/>
      <c r="G885" s="40"/>
      <c r="H885" s="40"/>
      <c r="I885" s="40"/>
      <c r="J885" s="40"/>
      <c r="K885" s="40"/>
      <c r="L885" s="40"/>
      <c r="M885" s="40"/>
      <c r="N885" s="40"/>
    </row>
    <row r="886" spans="1:14">
      <c r="A886" s="40"/>
      <c r="B886" s="40"/>
      <c r="C886" s="40"/>
      <c r="D886" s="40"/>
      <c r="E886" s="40"/>
      <c r="F886" s="40"/>
      <c r="G886" s="40"/>
      <c r="H886" s="40"/>
      <c r="I886" s="40"/>
      <c r="J886" s="40"/>
      <c r="K886" s="40"/>
      <c r="L886" s="40"/>
      <c r="M886" s="40"/>
      <c r="N886" s="40"/>
    </row>
    <row r="887" spans="1:14">
      <c r="A887" s="40"/>
      <c r="B887" s="40"/>
      <c r="C887" s="40"/>
      <c r="D887" s="40"/>
      <c r="E887" s="40"/>
      <c r="F887" s="40"/>
      <c r="G887" s="40"/>
      <c r="H887" s="40"/>
      <c r="I887" s="40"/>
      <c r="J887" s="40"/>
      <c r="K887" s="40"/>
      <c r="L887" s="40"/>
      <c r="M887" s="40"/>
      <c r="N887" s="40"/>
    </row>
    <row r="888" spans="1:14">
      <c r="A888" s="40"/>
      <c r="B888" s="40"/>
      <c r="C888" s="40"/>
      <c r="D888" s="40"/>
      <c r="E888" s="40"/>
      <c r="F888" s="40"/>
      <c r="G888" s="40"/>
      <c r="H888" s="40"/>
      <c r="I888" s="40"/>
      <c r="J888" s="40"/>
      <c r="K888" s="40"/>
      <c r="L888" s="40"/>
      <c r="M888" s="40"/>
      <c r="N888" s="40"/>
    </row>
    <row r="889" spans="1:14">
      <c r="A889" s="40"/>
      <c r="B889" s="40"/>
      <c r="C889" s="40"/>
      <c r="D889" s="40"/>
      <c r="E889" s="40"/>
      <c r="F889" s="40"/>
      <c r="G889" s="40"/>
      <c r="H889" s="40"/>
      <c r="I889" s="40"/>
      <c r="J889" s="40"/>
      <c r="K889" s="40"/>
      <c r="L889" s="40"/>
      <c r="M889" s="40"/>
      <c r="N889" s="40"/>
    </row>
    <row r="890" spans="1:14">
      <c r="A890" s="40"/>
      <c r="B890" s="40"/>
      <c r="C890" s="40"/>
      <c r="D890" s="40"/>
      <c r="E890" s="40"/>
      <c r="F890" s="40"/>
      <c r="G890" s="40"/>
      <c r="H890" s="40"/>
      <c r="I890" s="40"/>
      <c r="J890" s="40"/>
      <c r="K890" s="40"/>
      <c r="L890" s="40"/>
      <c r="M890" s="40"/>
      <c r="N890" s="40"/>
    </row>
    <row r="891" spans="1:14">
      <c r="A891" s="40"/>
      <c r="B891" s="40"/>
      <c r="C891" s="40"/>
      <c r="D891" s="40"/>
      <c r="E891" s="40"/>
      <c r="F891" s="40"/>
      <c r="G891" s="40"/>
      <c r="H891" s="40"/>
      <c r="I891" s="40"/>
      <c r="J891" s="40"/>
      <c r="K891" s="40"/>
      <c r="L891" s="40"/>
      <c r="M891" s="40"/>
      <c r="N891" s="40"/>
    </row>
    <row r="892" spans="1:14">
      <c r="A892" s="40"/>
      <c r="B892" s="40"/>
      <c r="C892" s="40"/>
      <c r="D892" s="40"/>
      <c r="E892" s="40"/>
      <c r="F892" s="40"/>
      <c r="G892" s="40"/>
      <c r="H892" s="40"/>
      <c r="I892" s="40"/>
      <c r="J892" s="40"/>
      <c r="K892" s="40"/>
      <c r="L892" s="40"/>
      <c r="M892" s="40"/>
      <c r="N892" s="40"/>
    </row>
    <row r="893" spans="1:14">
      <c r="A893" s="40"/>
      <c r="B893" s="40"/>
      <c r="C893" s="40"/>
      <c r="D893" s="40"/>
      <c r="E893" s="40"/>
      <c r="F893" s="40"/>
      <c r="G893" s="40"/>
      <c r="H893" s="40"/>
      <c r="I893" s="40"/>
      <c r="J893" s="40"/>
      <c r="K893" s="40"/>
      <c r="L893" s="40"/>
      <c r="M893" s="40"/>
      <c r="N893" s="40"/>
    </row>
    <row r="894" spans="1:14">
      <c r="A894" s="40"/>
      <c r="B894" s="40"/>
      <c r="C894" s="40"/>
      <c r="D894" s="40"/>
      <c r="E894" s="40"/>
      <c r="F894" s="40"/>
      <c r="G894" s="40"/>
      <c r="H894" s="40"/>
      <c r="I894" s="40"/>
      <c r="J894" s="40"/>
      <c r="K894" s="40"/>
      <c r="L894" s="40"/>
      <c r="M894" s="40"/>
      <c r="N894" s="40"/>
    </row>
    <row r="895" spans="1:14">
      <c r="A895" s="40"/>
      <c r="B895" s="40"/>
      <c r="C895" s="40"/>
      <c r="D895" s="40"/>
      <c r="E895" s="40"/>
      <c r="F895" s="40"/>
      <c r="G895" s="40"/>
      <c r="H895" s="40"/>
      <c r="I895" s="40"/>
      <c r="J895" s="40"/>
      <c r="K895" s="40"/>
      <c r="L895" s="40"/>
      <c r="M895" s="40"/>
      <c r="N895" s="40"/>
    </row>
    <row r="896" spans="1:14">
      <c r="A896" s="40"/>
      <c r="B896" s="40"/>
      <c r="C896" s="40"/>
      <c r="D896" s="40"/>
      <c r="E896" s="40"/>
      <c r="F896" s="40"/>
      <c r="G896" s="40"/>
      <c r="H896" s="40"/>
      <c r="I896" s="40"/>
      <c r="J896" s="40"/>
      <c r="K896" s="40"/>
      <c r="L896" s="40"/>
      <c r="M896" s="40"/>
      <c r="N896" s="40"/>
    </row>
    <row r="897" spans="1:14">
      <c r="A897" s="40"/>
      <c r="B897" s="40"/>
      <c r="C897" s="40"/>
      <c r="D897" s="40"/>
      <c r="E897" s="40"/>
      <c r="F897" s="40"/>
      <c r="G897" s="40"/>
      <c r="H897" s="40"/>
      <c r="I897" s="40"/>
      <c r="J897" s="40"/>
      <c r="K897" s="40"/>
      <c r="L897" s="40"/>
      <c r="M897" s="40"/>
      <c r="N897" s="40"/>
    </row>
    <row r="898" spans="1:14">
      <c r="A898" s="40"/>
      <c r="B898" s="40"/>
      <c r="C898" s="40"/>
      <c r="D898" s="40"/>
      <c r="E898" s="40"/>
      <c r="F898" s="40"/>
      <c r="G898" s="40"/>
      <c r="H898" s="40"/>
      <c r="I898" s="40"/>
      <c r="J898" s="40"/>
      <c r="K898" s="40"/>
      <c r="L898" s="40"/>
      <c r="M898" s="40"/>
      <c r="N898" s="40"/>
    </row>
    <row r="899" spans="1:14">
      <c r="A899" s="40"/>
      <c r="B899" s="40"/>
      <c r="C899" s="40"/>
      <c r="D899" s="40"/>
      <c r="E899" s="40"/>
      <c r="F899" s="40"/>
      <c r="G899" s="40"/>
      <c r="H899" s="40"/>
      <c r="I899" s="40"/>
      <c r="J899" s="40"/>
      <c r="K899" s="40"/>
      <c r="L899" s="40"/>
      <c r="M899" s="40"/>
      <c r="N899" s="40"/>
    </row>
    <row r="900" spans="1:14">
      <c r="A900" s="40"/>
      <c r="B900" s="40"/>
      <c r="C900" s="40"/>
      <c r="D900" s="40"/>
      <c r="E900" s="40"/>
      <c r="F900" s="40"/>
      <c r="G900" s="40"/>
      <c r="H900" s="40"/>
      <c r="I900" s="40"/>
      <c r="J900" s="40"/>
      <c r="K900" s="40"/>
      <c r="L900" s="40"/>
      <c r="M900" s="40"/>
      <c r="N900" s="40"/>
    </row>
    <row r="901" spans="1:14">
      <c r="A901" s="40"/>
      <c r="B901" s="40"/>
      <c r="C901" s="40"/>
      <c r="D901" s="40"/>
      <c r="E901" s="40"/>
      <c r="F901" s="40"/>
      <c r="G901" s="40"/>
      <c r="H901" s="40"/>
      <c r="I901" s="40"/>
      <c r="J901" s="40"/>
      <c r="K901" s="40"/>
      <c r="L901" s="40"/>
      <c r="M901" s="40"/>
      <c r="N901" s="40"/>
    </row>
    <row r="902" spans="1:14">
      <c r="A902" s="40"/>
      <c r="B902" s="40"/>
      <c r="C902" s="40"/>
      <c r="D902" s="40"/>
      <c r="E902" s="40"/>
      <c r="F902" s="40"/>
      <c r="G902" s="40"/>
      <c r="H902" s="40"/>
      <c r="I902" s="40"/>
      <c r="J902" s="40"/>
      <c r="K902" s="40"/>
      <c r="L902" s="40"/>
      <c r="M902" s="40"/>
      <c r="N902" s="40"/>
    </row>
    <row r="903" spans="1:14">
      <c r="A903" s="40"/>
      <c r="B903" s="40"/>
      <c r="C903" s="40"/>
      <c r="D903" s="40"/>
      <c r="E903" s="40"/>
      <c r="F903" s="40"/>
      <c r="G903" s="40"/>
      <c r="H903" s="40"/>
      <c r="I903" s="40"/>
      <c r="J903" s="40"/>
      <c r="K903" s="40"/>
      <c r="L903" s="40"/>
      <c r="M903" s="40"/>
      <c r="N903" s="40"/>
    </row>
    <row r="904" spans="1:14">
      <c r="A904" s="40"/>
      <c r="B904" s="40"/>
      <c r="C904" s="40"/>
      <c r="D904" s="40"/>
      <c r="E904" s="40"/>
      <c r="F904" s="40"/>
      <c r="G904" s="40"/>
      <c r="H904" s="40"/>
      <c r="I904" s="40"/>
      <c r="J904" s="40"/>
      <c r="K904" s="40"/>
      <c r="L904" s="40"/>
      <c r="M904" s="40"/>
      <c r="N904" s="40"/>
    </row>
    <row r="905" spans="1:14">
      <c r="A905" s="40"/>
      <c r="B905" s="40"/>
      <c r="C905" s="40"/>
      <c r="D905" s="40"/>
      <c r="E905" s="40"/>
      <c r="F905" s="40"/>
      <c r="G905" s="40"/>
      <c r="H905" s="40"/>
      <c r="I905" s="40"/>
      <c r="J905" s="40"/>
      <c r="K905" s="40"/>
      <c r="L905" s="40"/>
      <c r="M905" s="40"/>
      <c r="N905" s="40"/>
    </row>
    <row r="906" spans="1:14">
      <c r="A906" s="40"/>
      <c r="B906" s="40"/>
      <c r="C906" s="40"/>
      <c r="D906" s="40"/>
      <c r="E906" s="40"/>
      <c r="F906" s="40"/>
      <c r="G906" s="40"/>
      <c r="H906" s="40"/>
      <c r="I906" s="40"/>
      <c r="J906" s="40"/>
      <c r="K906" s="40"/>
      <c r="L906" s="40"/>
      <c r="M906" s="40"/>
      <c r="N906" s="40"/>
    </row>
    <row r="907" spans="1:14">
      <c r="A907" s="40"/>
      <c r="B907" s="40"/>
      <c r="C907" s="40"/>
      <c r="D907" s="40"/>
      <c r="E907" s="40"/>
      <c r="F907" s="40"/>
      <c r="G907" s="40"/>
      <c r="H907" s="40"/>
      <c r="I907" s="40"/>
      <c r="J907" s="40"/>
      <c r="K907" s="40"/>
      <c r="L907" s="40"/>
      <c r="M907" s="40"/>
      <c r="N907" s="40"/>
    </row>
    <row r="908" spans="1:14">
      <c r="A908" s="40"/>
      <c r="B908" s="40"/>
      <c r="C908" s="40"/>
      <c r="D908" s="40"/>
      <c r="E908" s="40"/>
      <c r="F908" s="40"/>
      <c r="G908" s="40"/>
      <c r="H908" s="40"/>
      <c r="I908" s="40"/>
      <c r="J908" s="40"/>
      <c r="K908" s="40"/>
      <c r="L908" s="40"/>
      <c r="M908" s="40"/>
      <c r="N908" s="40"/>
    </row>
    <row r="909" spans="1:14">
      <c r="A909" s="40"/>
      <c r="B909" s="40"/>
      <c r="C909" s="40"/>
      <c r="D909" s="40"/>
      <c r="E909" s="40"/>
      <c r="F909" s="40"/>
      <c r="G909" s="40"/>
      <c r="H909" s="40"/>
      <c r="I909" s="40"/>
      <c r="J909" s="40"/>
      <c r="K909" s="40"/>
      <c r="L909" s="40"/>
      <c r="M909" s="40"/>
      <c r="N909" s="40"/>
    </row>
    <row r="910" spans="1:14">
      <c r="A910" s="40"/>
      <c r="B910" s="40"/>
      <c r="C910" s="40"/>
      <c r="D910" s="40"/>
      <c r="E910" s="40"/>
      <c r="F910" s="40"/>
      <c r="G910" s="40"/>
      <c r="H910" s="40"/>
      <c r="I910" s="40"/>
      <c r="J910" s="40"/>
      <c r="K910" s="40"/>
      <c r="L910" s="40"/>
      <c r="M910" s="40"/>
      <c r="N910" s="40"/>
    </row>
    <row r="911" spans="1:14">
      <c r="A911" s="40"/>
      <c r="B911" s="40"/>
      <c r="C911" s="40"/>
      <c r="D911" s="40"/>
      <c r="E911" s="40"/>
      <c r="F911" s="40"/>
      <c r="G911" s="40"/>
      <c r="H911" s="40"/>
      <c r="I911" s="40"/>
      <c r="J911" s="40"/>
      <c r="K911" s="40"/>
      <c r="L911" s="40"/>
      <c r="M911" s="40"/>
      <c r="N911" s="40"/>
    </row>
    <row r="912" spans="1:14">
      <c r="A912" s="40"/>
      <c r="B912" s="40"/>
      <c r="C912" s="40"/>
      <c r="D912" s="40"/>
      <c r="E912" s="40"/>
      <c r="F912" s="40"/>
      <c r="G912" s="40"/>
      <c r="H912" s="40"/>
      <c r="I912" s="40"/>
      <c r="J912" s="40"/>
      <c r="K912" s="40"/>
      <c r="L912" s="40"/>
      <c r="M912" s="40"/>
      <c r="N912" s="40"/>
    </row>
    <row r="913" spans="1:14">
      <c r="A913" s="40"/>
      <c r="B913" s="40"/>
      <c r="C913" s="40"/>
      <c r="D913" s="40"/>
      <c r="E913" s="40"/>
      <c r="F913" s="40"/>
      <c r="G913" s="40"/>
      <c r="H913" s="40"/>
      <c r="I913" s="40"/>
      <c r="J913" s="40"/>
      <c r="K913" s="40"/>
      <c r="L913" s="40"/>
      <c r="M913" s="40"/>
      <c r="N913" s="40"/>
    </row>
    <row r="914" spans="1:14">
      <c r="A914" s="40"/>
      <c r="B914" s="40"/>
      <c r="C914" s="40"/>
      <c r="D914" s="40"/>
      <c r="E914" s="40"/>
      <c r="F914" s="40"/>
      <c r="G914" s="40"/>
      <c r="H914" s="40"/>
      <c r="I914" s="40"/>
      <c r="J914" s="40"/>
      <c r="K914" s="40"/>
      <c r="L914" s="40"/>
      <c r="M914" s="40"/>
      <c r="N914" s="40"/>
    </row>
    <row r="915" spans="1:14">
      <c r="A915" s="40"/>
      <c r="B915" s="40"/>
      <c r="C915" s="40"/>
      <c r="D915" s="40"/>
      <c r="E915" s="40"/>
      <c r="F915" s="40"/>
      <c r="G915" s="40"/>
      <c r="H915" s="40"/>
      <c r="I915" s="40"/>
      <c r="J915" s="40"/>
      <c r="K915" s="40"/>
      <c r="L915" s="40"/>
      <c r="M915" s="40"/>
      <c r="N915" s="40"/>
    </row>
    <row r="916" spans="1:14">
      <c r="A916" s="40"/>
      <c r="B916" s="40"/>
      <c r="C916" s="40"/>
      <c r="D916" s="40"/>
      <c r="E916" s="40"/>
      <c r="F916" s="40"/>
      <c r="G916" s="40"/>
      <c r="H916" s="40"/>
      <c r="I916" s="40"/>
      <c r="J916" s="40"/>
      <c r="K916" s="40"/>
      <c r="L916" s="40"/>
      <c r="M916" s="40"/>
      <c r="N916" s="40"/>
    </row>
    <row r="917" spans="1:14">
      <c r="A917" s="40"/>
      <c r="B917" s="40"/>
      <c r="C917" s="40"/>
      <c r="D917" s="40"/>
      <c r="E917" s="40"/>
      <c r="F917" s="40"/>
      <c r="G917" s="40"/>
      <c r="H917" s="40"/>
      <c r="I917" s="40"/>
      <c r="J917" s="40"/>
      <c r="K917" s="40"/>
      <c r="L917" s="40"/>
      <c r="M917" s="40"/>
      <c r="N917" s="40"/>
    </row>
    <row r="918" spans="1:14">
      <c r="A918" s="40"/>
      <c r="B918" s="40"/>
      <c r="C918" s="40"/>
      <c r="D918" s="40"/>
      <c r="E918" s="40"/>
      <c r="F918" s="40"/>
      <c r="G918" s="40"/>
      <c r="H918" s="40"/>
      <c r="I918" s="40"/>
      <c r="J918" s="40"/>
      <c r="K918" s="40"/>
      <c r="L918" s="40"/>
      <c r="M918" s="40"/>
      <c r="N918" s="40"/>
    </row>
    <row r="919" spans="1:14">
      <c r="A919" s="40"/>
      <c r="B919" s="40"/>
      <c r="C919" s="40"/>
      <c r="D919" s="40"/>
      <c r="E919" s="40"/>
      <c r="F919" s="40"/>
      <c r="G919" s="40"/>
      <c r="H919" s="40"/>
      <c r="I919" s="40"/>
      <c r="J919" s="40"/>
      <c r="K919" s="40"/>
      <c r="L919" s="40"/>
      <c r="M919" s="40"/>
      <c r="N919" s="40"/>
    </row>
    <row r="920" spans="1:14">
      <c r="A920" s="40"/>
      <c r="B920" s="40"/>
      <c r="C920" s="40"/>
      <c r="D920" s="40"/>
      <c r="E920" s="40"/>
      <c r="F920" s="40"/>
      <c r="G920" s="40"/>
      <c r="H920" s="40"/>
      <c r="I920" s="40"/>
      <c r="J920" s="40"/>
      <c r="K920" s="40"/>
      <c r="L920" s="40"/>
      <c r="M920" s="40"/>
      <c r="N920" s="40"/>
    </row>
    <row r="921" spans="1:14">
      <c r="A921" s="40"/>
      <c r="B921" s="40"/>
      <c r="C921" s="40"/>
      <c r="D921" s="40"/>
      <c r="E921" s="40"/>
      <c r="F921" s="40"/>
      <c r="G921" s="40"/>
      <c r="H921" s="40"/>
      <c r="I921" s="40"/>
      <c r="J921" s="40"/>
      <c r="K921" s="40"/>
      <c r="L921" s="40"/>
      <c r="M921" s="40"/>
      <c r="N921" s="40"/>
    </row>
    <row r="922" spans="1:14">
      <c r="A922" s="40"/>
      <c r="B922" s="40"/>
      <c r="C922" s="40"/>
      <c r="D922" s="40"/>
      <c r="E922" s="40"/>
      <c r="F922" s="40"/>
      <c r="G922" s="40"/>
      <c r="H922" s="40"/>
      <c r="I922" s="40"/>
      <c r="J922" s="40"/>
      <c r="K922" s="40"/>
      <c r="L922" s="40"/>
      <c r="M922" s="40"/>
      <c r="N922" s="40"/>
    </row>
    <row r="923" spans="1:14">
      <c r="A923" s="40"/>
      <c r="B923" s="40"/>
      <c r="C923" s="40"/>
      <c r="D923" s="40"/>
      <c r="E923" s="40"/>
      <c r="F923" s="40"/>
      <c r="G923" s="40"/>
      <c r="H923" s="40"/>
      <c r="I923" s="40"/>
      <c r="J923" s="40"/>
      <c r="K923" s="40"/>
      <c r="L923" s="40"/>
      <c r="M923" s="40"/>
      <c r="N923" s="40"/>
    </row>
    <row r="924" spans="1:14">
      <c r="A924" s="40"/>
      <c r="B924" s="40"/>
      <c r="C924" s="40"/>
      <c r="D924" s="40"/>
      <c r="E924" s="40"/>
      <c r="F924" s="40"/>
      <c r="G924" s="40"/>
      <c r="H924" s="40"/>
      <c r="I924" s="40"/>
      <c r="J924" s="40"/>
      <c r="K924" s="40"/>
      <c r="L924" s="40"/>
      <c r="M924" s="40"/>
      <c r="N924" s="40"/>
    </row>
    <row r="925" spans="1:14">
      <c r="A925" s="40"/>
      <c r="B925" s="40"/>
      <c r="C925" s="40"/>
      <c r="D925" s="40"/>
      <c r="E925" s="40"/>
      <c r="F925" s="40"/>
      <c r="G925" s="40"/>
      <c r="H925" s="40"/>
      <c r="I925" s="40"/>
      <c r="J925" s="40"/>
      <c r="K925" s="40"/>
      <c r="L925" s="40"/>
      <c r="M925" s="40"/>
      <c r="N925" s="40"/>
    </row>
    <row r="926" spans="1:14">
      <c r="A926" s="40"/>
      <c r="B926" s="40"/>
      <c r="C926" s="40"/>
      <c r="D926" s="40"/>
      <c r="E926" s="40"/>
      <c r="F926" s="40"/>
      <c r="G926" s="40"/>
      <c r="H926" s="40"/>
      <c r="I926" s="40"/>
      <c r="J926" s="40"/>
      <c r="K926" s="40"/>
      <c r="L926" s="40"/>
      <c r="M926" s="40"/>
      <c r="N926" s="40"/>
    </row>
    <row r="927" spans="1:14">
      <c r="A927" s="40"/>
      <c r="B927" s="40"/>
      <c r="C927" s="40"/>
      <c r="D927" s="40"/>
      <c r="E927" s="40"/>
      <c r="F927" s="40"/>
      <c r="G927" s="40"/>
      <c r="H927" s="40"/>
      <c r="I927" s="40"/>
      <c r="J927" s="40"/>
      <c r="K927" s="40"/>
      <c r="L927" s="40"/>
      <c r="M927" s="40"/>
      <c r="N927" s="40"/>
    </row>
    <row r="928" spans="1:14">
      <c r="A928" s="40"/>
      <c r="B928" s="40"/>
      <c r="C928" s="40"/>
      <c r="D928" s="40"/>
      <c r="E928" s="40"/>
      <c r="F928" s="40"/>
      <c r="G928" s="40"/>
      <c r="H928" s="40"/>
      <c r="I928" s="40"/>
      <c r="J928" s="40"/>
      <c r="K928" s="40"/>
      <c r="L928" s="40"/>
      <c r="M928" s="40"/>
      <c r="N928" s="40"/>
    </row>
    <row r="929" spans="1:14">
      <c r="A929" s="40"/>
      <c r="B929" s="40"/>
      <c r="C929" s="40"/>
      <c r="D929" s="40"/>
      <c r="E929" s="40"/>
      <c r="F929" s="40"/>
      <c r="G929" s="40"/>
      <c r="H929" s="40"/>
      <c r="I929" s="40"/>
      <c r="J929" s="40"/>
      <c r="K929" s="40"/>
      <c r="L929" s="40"/>
      <c r="M929" s="40"/>
      <c r="N929" s="40"/>
    </row>
    <row r="930" spans="1:14">
      <c r="A930" s="40"/>
      <c r="B930" s="40"/>
      <c r="C930" s="40"/>
      <c r="D930" s="40"/>
      <c r="E930" s="40"/>
      <c r="F930" s="40"/>
      <c r="G930" s="40"/>
      <c r="H930" s="40"/>
      <c r="I930" s="40"/>
      <c r="J930" s="40"/>
      <c r="K930" s="40"/>
      <c r="L930" s="40"/>
      <c r="M930" s="40"/>
      <c r="N930" s="40"/>
    </row>
    <row r="931" spans="1:14">
      <c r="A931" s="40"/>
      <c r="B931" s="40"/>
      <c r="C931" s="40"/>
      <c r="D931" s="40"/>
      <c r="E931" s="40"/>
      <c r="F931" s="40"/>
      <c r="G931" s="40"/>
      <c r="H931" s="40"/>
      <c r="I931" s="40"/>
      <c r="J931" s="40"/>
      <c r="K931" s="40"/>
      <c r="L931" s="40"/>
      <c r="M931" s="40"/>
      <c r="N931" s="40"/>
    </row>
    <row r="932" spans="1:14">
      <c r="A932" s="40"/>
      <c r="B932" s="40"/>
      <c r="C932" s="40"/>
      <c r="D932" s="40"/>
      <c r="E932" s="40"/>
      <c r="F932" s="40"/>
      <c r="G932" s="40"/>
      <c r="H932" s="40"/>
      <c r="I932" s="40"/>
      <c r="J932" s="40"/>
      <c r="K932" s="40"/>
      <c r="L932" s="40"/>
      <c r="M932" s="40"/>
      <c r="N932" s="40"/>
    </row>
    <row r="933" spans="1:14">
      <c r="A933" s="40"/>
      <c r="B933" s="40"/>
      <c r="C933" s="40"/>
      <c r="D933" s="40"/>
      <c r="E933" s="40"/>
      <c r="F933" s="40"/>
      <c r="G933" s="40"/>
      <c r="H933" s="40"/>
      <c r="I933" s="40"/>
      <c r="J933" s="40"/>
      <c r="K933" s="40"/>
      <c r="L933" s="40"/>
      <c r="M933" s="40"/>
      <c r="N933" s="40"/>
    </row>
    <row r="934" spans="1:14">
      <c r="A934" s="40"/>
      <c r="B934" s="40"/>
      <c r="C934" s="40"/>
      <c r="D934" s="40"/>
      <c r="E934" s="40"/>
      <c r="F934" s="40"/>
      <c r="G934" s="40"/>
      <c r="H934" s="40"/>
      <c r="I934" s="40"/>
      <c r="J934" s="40"/>
      <c r="K934" s="40"/>
      <c r="L934" s="40"/>
      <c r="M934" s="40"/>
      <c r="N934" s="40"/>
    </row>
    <row r="935" spans="1:14">
      <c r="A935" s="40"/>
      <c r="B935" s="40"/>
      <c r="C935" s="40"/>
      <c r="D935" s="40"/>
      <c r="E935" s="40"/>
      <c r="F935" s="40"/>
      <c r="G935" s="40"/>
      <c r="H935" s="40"/>
      <c r="I935" s="40"/>
      <c r="J935" s="40"/>
      <c r="K935" s="40"/>
      <c r="L935" s="40"/>
      <c r="M935" s="40"/>
      <c r="N935" s="40"/>
    </row>
    <row r="936" spans="1:14">
      <c r="A936" s="40"/>
      <c r="B936" s="40"/>
      <c r="C936" s="40"/>
      <c r="D936" s="40"/>
      <c r="E936" s="40"/>
      <c r="F936" s="40"/>
      <c r="G936" s="40"/>
      <c r="H936" s="40"/>
      <c r="I936" s="40"/>
      <c r="J936" s="40"/>
      <c r="K936" s="40"/>
      <c r="L936" s="40"/>
      <c r="M936" s="40"/>
      <c r="N936" s="40"/>
    </row>
    <row r="937" spans="1:14">
      <c r="A937" s="40"/>
      <c r="B937" s="40"/>
      <c r="C937" s="40"/>
      <c r="D937" s="40"/>
      <c r="E937" s="40"/>
      <c r="F937" s="40"/>
      <c r="G937" s="40"/>
      <c r="H937" s="40"/>
      <c r="I937" s="40"/>
      <c r="J937" s="40"/>
      <c r="K937" s="40"/>
      <c r="L937" s="40"/>
      <c r="M937" s="40"/>
      <c r="N937" s="40"/>
    </row>
    <row r="938" spans="1:14">
      <c r="A938" s="40"/>
      <c r="B938" s="40"/>
      <c r="C938" s="40"/>
      <c r="D938" s="40"/>
      <c r="E938" s="40"/>
      <c r="F938" s="40"/>
      <c r="G938" s="40"/>
      <c r="H938" s="40"/>
      <c r="I938" s="40"/>
      <c r="J938" s="40"/>
      <c r="K938" s="40"/>
      <c r="L938" s="40"/>
      <c r="M938" s="40"/>
      <c r="N938" s="40"/>
    </row>
    <row r="939" spans="1:14">
      <c r="A939" s="40"/>
      <c r="B939" s="40"/>
      <c r="C939" s="40"/>
      <c r="D939" s="40"/>
      <c r="E939" s="40"/>
      <c r="F939" s="40"/>
      <c r="G939" s="40"/>
      <c r="H939" s="40"/>
      <c r="I939" s="40"/>
      <c r="J939" s="40"/>
      <c r="K939" s="40"/>
      <c r="L939" s="40"/>
      <c r="M939" s="40"/>
      <c r="N939" s="40"/>
    </row>
    <row r="940" spans="1:14">
      <c r="A940" s="40"/>
      <c r="B940" s="40"/>
      <c r="C940" s="40"/>
      <c r="D940" s="40"/>
      <c r="E940" s="40"/>
      <c r="F940" s="40"/>
      <c r="G940" s="40"/>
      <c r="H940" s="40"/>
      <c r="I940" s="40"/>
      <c r="J940" s="40"/>
      <c r="K940" s="40"/>
      <c r="L940" s="40"/>
      <c r="M940" s="40"/>
      <c r="N940" s="40"/>
    </row>
    <row r="941" spans="1:14">
      <c r="A941" s="40"/>
      <c r="B941" s="40"/>
      <c r="C941" s="40"/>
      <c r="D941" s="40"/>
      <c r="E941" s="40"/>
      <c r="F941" s="40"/>
      <c r="G941" s="40"/>
      <c r="H941" s="40"/>
      <c r="I941" s="40"/>
      <c r="J941" s="40"/>
      <c r="K941" s="40"/>
      <c r="L941" s="40"/>
      <c r="M941" s="40"/>
      <c r="N941" s="40"/>
    </row>
    <row r="942" spans="1:14">
      <c r="A942" s="40"/>
      <c r="B942" s="40"/>
      <c r="C942" s="40"/>
      <c r="D942" s="40"/>
      <c r="E942" s="40"/>
      <c r="F942" s="40"/>
      <c r="G942" s="40"/>
      <c r="H942" s="40"/>
      <c r="I942" s="40"/>
      <c r="J942" s="40"/>
      <c r="K942" s="40"/>
      <c r="L942" s="40"/>
      <c r="M942" s="40"/>
      <c r="N942" s="40"/>
    </row>
    <row r="943" spans="1:14">
      <c r="A943" s="40"/>
      <c r="B943" s="40"/>
      <c r="C943" s="40"/>
      <c r="D943" s="40"/>
      <c r="E943" s="40"/>
      <c r="F943" s="40"/>
      <c r="G943" s="40"/>
      <c r="H943" s="40"/>
      <c r="I943" s="40"/>
      <c r="J943" s="40"/>
      <c r="K943" s="40"/>
      <c r="L943" s="40"/>
      <c r="M943" s="40"/>
      <c r="N943" s="40"/>
    </row>
    <row r="944" spans="1:14">
      <c r="A944" s="40"/>
      <c r="B944" s="40"/>
      <c r="C944" s="40"/>
      <c r="D944" s="40"/>
      <c r="E944" s="40"/>
      <c r="F944" s="40"/>
      <c r="G944" s="40"/>
      <c r="H944" s="40"/>
      <c r="I944" s="40"/>
      <c r="J944" s="40"/>
      <c r="K944" s="40"/>
      <c r="L944" s="40"/>
      <c r="M944" s="40"/>
      <c r="N944" s="40"/>
    </row>
    <row r="945" spans="1:14">
      <c r="A945" s="40"/>
      <c r="B945" s="40"/>
      <c r="C945" s="40"/>
      <c r="D945" s="40"/>
      <c r="E945" s="40"/>
      <c r="F945" s="40"/>
      <c r="G945" s="40"/>
      <c r="H945" s="40"/>
      <c r="I945" s="40"/>
      <c r="J945" s="40"/>
      <c r="K945" s="40"/>
      <c r="L945" s="40"/>
      <c r="M945" s="40"/>
      <c r="N945" s="40"/>
    </row>
    <row r="946" spans="1:14">
      <c r="A946" s="40"/>
      <c r="B946" s="40"/>
      <c r="C946" s="40"/>
      <c r="D946" s="40"/>
      <c r="E946" s="40"/>
      <c r="F946" s="40"/>
      <c r="G946" s="40"/>
      <c r="H946" s="40"/>
      <c r="I946" s="40"/>
      <c r="J946" s="40"/>
      <c r="K946" s="40"/>
      <c r="L946" s="40"/>
      <c r="M946" s="40"/>
      <c r="N946" s="40"/>
    </row>
    <row r="947" spans="1:14">
      <c r="A947" s="40"/>
      <c r="B947" s="40"/>
      <c r="C947" s="40"/>
      <c r="D947" s="40"/>
      <c r="E947" s="40"/>
      <c r="F947" s="40"/>
      <c r="G947" s="40"/>
      <c r="H947" s="40"/>
      <c r="I947" s="40"/>
      <c r="J947" s="40"/>
      <c r="K947" s="40"/>
      <c r="L947" s="40"/>
      <c r="M947" s="40"/>
      <c r="N947" s="40"/>
    </row>
    <row r="948" spans="1:14">
      <c r="A948" s="40"/>
      <c r="B948" s="40"/>
      <c r="C948" s="40"/>
      <c r="D948" s="40"/>
      <c r="E948" s="40"/>
      <c r="F948" s="40"/>
      <c r="G948" s="40"/>
      <c r="H948" s="40"/>
      <c r="I948" s="40"/>
      <c r="J948" s="40"/>
      <c r="K948" s="40"/>
      <c r="L948" s="40"/>
      <c r="M948" s="40"/>
      <c r="N948" s="40"/>
    </row>
    <row r="949" spans="1:14">
      <c r="A949" s="40"/>
      <c r="B949" s="40"/>
      <c r="C949" s="40"/>
      <c r="D949" s="40"/>
      <c r="E949" s="40"/>
      <c r="F949" s="40"/>
      <c r="G949" s="40"/>
      <c r="H949" s="40"/>
      <c r="I949" s="40"/>
      <c r="J949" s="40"/>
      <c r="K949" s="40"/>
      <c r="L949" s="40"/>
      <c r="M949" s="40"/>
      <c r="N949" s="40"/>
    </row>
    <row r="950" spans="1:14">
      <c r="A950" s="40"/>
      <c r="B950" s="40"/>
      <c r="C950" s="40"/>
      <c r="D950" s="40"/>
      <c r="E950" s="40"/>
      <c r="F950" s="40"/>
      <c r="G950" s="40"/>
      <c r="H950" s="40"/>
      <c r="I950" s="40"/>
      <c r="J950" s="40"/>
      <c r="K950" s="40"/>
      <c r="L950" s="40"/>
      <c r="M950" s="40"/>
      <c r="N950" s="40"/>
    </row>
    <row r="951" spans="1:14">
      <c r="A951" s="40"/>
      <c r="B951" s="40"/>
      <c r="C951" s="40"/>
      <c r="D951" s="40"/>
      <c r="E951" s="40"/>
      <c r="F951" s="40"/>
      <c r="G951" s="40"/>
      <c r="H951" s="40"/>
      <c r="I951" s="40"/>
      <c r="J951" s="40"/>
      <c r="K951" s="40"/>
      <c r="L951" s="40"/>
      <c r="M951" s="40"/>
      <c r="N951" s="40"/>
    </row>
    <row r="952" spans="1:14">
      <c r="A952" s="40"/>
      <c r="B952" s="40"/>
      <c r="C952" s="40"/>
      <c r="D952" s="40"/>
      <c r="E952" s="40"/>
      <c r="F952" s="40"/>
      <c r="G952" s="40"/>
      <c r="H952" s="40"/>
      <c r="I952" s="40"/>
      <c r="J952" s="40"/>
      <c r="K952" s="40"/>
      <c r="L952" s="40"/>
      <c r="M952" s="40"/>
      <c r="N952" s="40"/>
    </row>
    <row r="953" spans="1:14">
      <c r="A953" s="40"/>
      <c r="B953" s="40"/>
      <c r="C953" s="40"/>
      <c r="D953" s="40"/>
      <c r="E953" s="40"/>
      <c r="F953" s="40"/>
      <c r="G953" s="40"/>
      <c r="H953" s="40"/>
      <c r="I953" s="40"/>
      <c r="J953" s="40"/>
      <c r="K953" s="40"/>
      <c r="L953" s="40"/>
      <c r="M953" s="40"/>
      <c r="N953" s="40"/>
    </row>
    <row r="954" spans="1:14">
      <c r="A954" s="40"/>
      <c r="B954" s="40"/>
      <c r="C954" s="40"/>
      <c r="D954" s="40"/>
      <c r="E954" s="40"/>
      <c r="F954" s="40"/>
      <c r="G954" s="40"/>
      <c r="H954" s="40"/>
      <c r="I954" s="40"/>
      <c r="J954" s="40"/>
      <c r="K954" s="40"/>
      <c r="L954" s="40"/>
      <c r="M954" s="40"/>
      <c r="N954" s="40"/>
    </row>
    <row r="955" spans="1:14">
      <c r="A955" s="40"/>
      <c r="B955" s="40"/>
      <c r="C955" s="40"/>
      <c r="D955" s="40"/>
      <c r="E955" s="40"/>
      <c r="F955" s="40"/>
      <c r="G955" s="40"/>
      <c r="H955" s="40"/>
      <c r="I955" s="40"/>
      <c r="J955" s="40"/>
      <c r="K955" s="40"/>
      <c r="L955" s="40"/>
      <c r="M955" s="40"/>
      <c r="N955" s="40"/>
    </row>
    <row r="956" spans="1:14">
      <c r="A956" s="40"/>
      <c r="B956" s="40"/>
      <c r="C956" s="40"/>
      <c r="D956" s="40"/>
      <c r="E956" s="40"/>
      <c r="F956" s="40"/>
      <c r="G956" s="40"/>
      <c r="H956" s="40"/>
      <c r="I956" s="40"/>
      <c r="J956" s="40"/>
      <c r="K956" s="40"/>
      <c r="L956" s="40"/>
      <c r="M956" s="40"/>
      <c r="N956" s="40"/>
    </row>
    <row r="957" spans="1:14">
      <c r="A957" s="40"/>
      <c r="B957" s="40"/>
      <c r="C957" s="40"/>
      <c r="D957" s="40"/>
      <c r="E957" s="40"/>
      <c r="F957" s="40"/>
      <c r="G957" s="40"/>
      <c r="H957" s="40"/>
      <c r="I957" s="40"/>
      <c r="J957" s="40"/>
      <c r="K957" s="40"/>
      <c r="L957" s="40"/>
      <c r="M957" s="40"/>
      <c r="N957" s="40"/>
    </row>
    <row r="958" spans="1:14">
      <c r="A958" s="40"/>
      <c r="B958" s="40"/>
      <c r="C958" s="40"/>
      <c r="D958" s="40"/>
      <c r="E958" s="40"/>
      <c r="F958" s="40"/>
      <c r="G958" s="40"/>
      <c r="H958" s="40"/>
      <c r="I958" s="40"/>
      <c r="J958" s="40"/>
      <c r="K958" s="40"/>
      <c r="L958" s="40"/>
      <c r="M958" s="40"/>
      <c r="N958" s="40"/>
    </row>
    <row r="959" spans="1:14">
      <c r="A959" s="40"/>
      <c r="B959" s="40"/>
      <c r="C959" s="40"/>
      <c r="D959" s="40"/>
      <c r="E959" s="40"/>
      <c r="F959" s="40"/>
      <c r="G959" s="40"/>
      <c r="H959" s="40"/>
      <c r="I959" s="40"/>
      <c r="J959" s="40"/>
      <c r="K959" s="40"/>
      <c r="L959" s="40"/>
      <c r="M959" s="40"/>
      <c r="N959" s="40"/>
    </row>
    <row r="960" spans="1:14">
      <c r="A960" s="40"/>
      <c r="B960" s="40"/>
      <c r="C960" s="40"/>
      <c r="D960" s="40"/>
      <c r="E960" s="40"/>
      <c r="F960" s="40"/>
      <c r="G960" s="40"/>
      <c r="H960" s="40"/>
      <c r="I960" s="40"/>
      <c r="J960" s="40"/>
      <c r="K960" s="40"/>
      <c r="L960" s="40"/>
      <c r="M960" s="40"/>
      <c r="N960" s="40"/>
    </row>
    <row r="961" spans="1:14">
      <c r="A961" s="40"/>
      <c r="B961" s="40"/>
      <c r="C961" s="40"/>
      <c r="D961" s="40"/>
      <c r="E961" s="40"/>
      <c r="F961" s="40"/>
      <c r="G961" s="40"/>
      <c r="H961" s="40"/>
      <c r="I961" s="40"/>
      <c r="J961" s="40"/>
      <c r="K961" s="40"/>
      <c r="L961" s="40"/>
      <c r="M961" s="40"/>
      <c r="N961" s="40"/>
    </row>
    <row r="962" spans="1:14">
      <c r="A962" s="40"/>
      <c r="B962" s="40"/>
      <c r="C962" s="40"/>
      <c r="D962" s="40"/>
      <c r="E962" s="40"/>
      <c r="F962" s="40"/>
      <c r="G962" s="40"/>
      <c r="H962" s="40"/>
      <c r="I962" s="40"/>
      <c r="J962" s="40"/>
      <c r="K962" s="40"/>
      <c r="L962" s="40"/>
      <c r="M962" s="40"/>
      <c r="N962" s="40"/>
    </row>
    <row r="963" spans="1:14">
      <c r="A963" s="40"/>
      <c r="B963" s="40"/>
      <c r="C963" s="40"/>
      <c r="D963" s="40"/>
      <c r="E963" s="40"/>
      <c r="F963" s="40"/>
      <c r="G963" s="40"/>
      <c r="H963" s="40"/>
      <c r="I963" s="40"/>
      <c r="J963" s="40"/>
      <c r="K963" s="40"/>
      <c r="L963" s="40"/>
      <c r="M963" s="40"/>
      <c r="N963" s="40"/>
    </row>
    <row r="964" spans="1:14">
      <c r="A964" s="40"/>
      <c r="B964" s="40"/>
      <c r="C964" s="40"/>
      <c r="D964" s="40"/>
      <c r="E964" s="40"/>
      <c r="F964" s="40"/>
      <c r="G964" s="40"/>
      <c r="H964" s="40"/>
      <c r="I964" s="40"/>
      <c r="J964" s="40"/>
      <c r="K964" s="40"/>
      <c r="L964" s="40"/>
      <c r="M964" s="40"/>
      <c r="N964" s="40"/>
    </row>
    <row r="965" spans="1:14">
      <c r="A965" s="40"/>
      <c r="B965" s="40"/>
      <c r="C965" s="40"/>
      <c r="D965" s="40"/>
      <c r="E965" s="40"/>
      <c r="F965" s="40"/>
      <c r="G965" s="40"/>
      <c r="H965" s="40"/>
      <c r="I965" s="40"/>
      <c r="J965" s="40"/>
      <c r="K965" s="40"/>
      <c r="L965" s="40"/>
      <c r="M965" s="40"/>
      <c r="N965" s="40"/>
    </row>
    <row r="966" spans="1:14">
      <c r="A966" s="40"/>
      <c r="B966" s="40"/>
      <c r="C966" s="40"/>
      <c r="D966" s="40"/>
      <c r="E966" s="40"/>
      <c r="F966" s="40"/>
      <c r="G966" s="40"/>
      <c r="H966" s="40"/>
      <c r="I966" s="40"/>
      <c r="J966" s="40"/>
      <c r="K966" s="40"/>
      <c r="L966" s="40"/>
      <c r="M966" s="40"/>
      <c r="N966" s="40"/>
    </row>
    <row r="967" spans="1:14">
      <c r="A967" s="40"/>
      <c r="B967" s="40"/>
      <c r="C967" s="40"/>
      <c r="D967" s="40"/>
      <c r="E967" s="40"/>
      <c r="F967" s="40"/>
      <c r="G967" s="40"/>
      <c r="H967" s="40"/>
      <c r="I967" s="40"/>
      <c r="J967" s="40"/>
      <c r="K967" s="40"/>
      <c r="L967" s="40"/>
      <c r="M967" s="40"/>
      <c r="N967" s="40"/>
    </row>
    <row r="968" spans="1:14">
      <c r="A968" s="40"/>
      <c r="B968" s="40"/>
      <c r="C968" s="40"/>
      <c r="D968" s="40"/>
      <c r="E968" s="40"/>
      <c r="F968" s="40"/>
      <c r="G968" s="40"/>
      <c r="H968" s="40"/>
      <c r="I968" s="40"/>
      <c r="J968" s="40"/>
      <c r="K968" s="40"/>
      <c r="L968" s="40"/>
      <c r="M968" s="40"/>
      <c r="N968" s="40"/>
    </row>
    <row r="969" spans="1:14">
      <c r="A969" s="40"/>
      <c r="B969" s="40"/>
      <c r="C969" s="40"/>
      <c r="D969" s="40"/>
      <c r="E969" s="40"/>
      <c r="F969" s="40"/>
      <c r="G969" s="40"/>
      <c r="H969" s="40"/>
      <c r="I969" s="40"/>
      <c r="J969" s="40"/>
      <c r="K969" s="40"/>
      <c r="L969" s="40"/>
      <c r="M969" s="40"/>
      <c r="N969" s="40"/>
    </row>
    <row r="970" spans="1:14">
      <c r="A970" s="40"/>
      <c r="B970" s="40"/>
      <c r="C970" s="40"/>
      <c r="D970" s="40"/>
      <c r="E970" s="40"/>
      <c r="F970" s="40"/>
      <c r="G970" s="40"/>
      <c r="H970" s="40"/>
      <c r="I970" s="40"/>
      <c r="J970" s="40"/>
      <c r="K970" s="40"/>
      <c r="L970" s="40"/>
      <c r="M970" s="40"/>
      <c r="N970" s="40"/>
    </row>
    <row r="971" spans="1:14">
      <c r="A971" s="40"/>
      <c r="B971" s="40"/>
      <c r="C971" s="40"/>
      <c r="D971" s="40"/>
      <c r="E971" s="40"/>
      <c r="F971" s="40"/>
      <c r="G971" s="40"/>
      <c r="H971" s="40"/>
      <c r="I971" s="40"/>
      <c r="J971" s="40"/>
      <c r="K971" s="40"/>
      <c r="L971" s="40"/>
      <c r="M971" s="40"/>
      <c r="N971" s="40"/>
    </row>
    <row r="972" spans="1:14">
      <c r="A972" s="40"/>
      <c r="B972" s="40"/>
      <c r="C972" s="40"/>
      <c r="D972" s="40"/>
      <c r="E972" s="40"/>
      <c r="F972" s="40"/>
      <c r="G972" s="40"/>
      <c r="H972" s="40"/>
      <c r="I972" s="40"/>
      <c r="J972" s="40"/>
      <c r="K972" s="40"/>
      <c r="L972" s="40"/>
      <c r="M972" s="40"/>
      <c r="N972" s="40"/>
    </row>
    <row r="973" spans="1:14">
      <c r="A973" s="40"/>
      <c r="B973" s="40"/>
      <c r="C973" s="40"/>
      <c r="D973" s="40"/>
      <c r="E973" s="40"/>
      <c r="F973" s="40"/>
      <c r="G973" s="40"/>
      <c r="H973" s="40"/>
      <c r="I973" s="40"/>
      <c r="J973" s="40"/>
      <c r="K973" s="40"/>
      <c r="L973" s="40"/>
      <c r="M973" s="40"/>
      <c r="N973" s="40"/>
    </row>
    <row r="974" spans="1:14">
      <c r="A974" s="40"/>
      <c r="B974" s="40"/>
      <c r="C974" s="40"/>
      <c r="D974" s="40"/>
      <c r="E974" s="40"/>
      <c r="F974" s="40"/>
      <c r="G974" s="40"/>
      <c r="H974" s="40"/>
      <c r="I974" s="40"/>
      <c r="J974" s="40"/>
      <c r="K974" s="40"/>
      <c r="L974" s="40"/>
      <c r="M974" s="40"/>
      <c r="N974" s="40"/>
    </row>
    <row r="975" spans="1:14">
      <c r="A975" s="40"/>
      <c r="B975" s="40"/>
      <c r="C975" s="40"/>
      <c r="D975" s="40"/>
      <c r="E975" s="40"/>
      <c r="F975" s="40"/>
      <c r="G975" s="40"/>
      <c r="H975" s="40"/>
      <c r="I975" s="40"/>
      <c r="J975" s="40"/>
      <c r="K975" s="40"/>
      <c r="L975" s="40"/>
      <c r="M975" s="40"/>
      <c r="N975" s="40"/>
    </row>
    <row r="976" spans="1:14">
      <c r="A976" s="40"/>
      <c r="B976" s="40"/>
      <c r="C976" s="40"/>
      <c r="D976" s="40"/>
      <c r="E976" s="40"/>
      <c r="F976" s="40"/>
      <c r="G976" s="40"/>
      <c r="H976" s="40"/>
      <c r="I976" s="40"/>
      <c r="J976" s="40"/>
      <c r="K976" s="40"/>
      <c r="L976" s="40"/>
      <c r="M976" s="40"/>
      <c r="N976" s="40"/>
    </row>
    <row r="977" spans="1:14">
      <c r="A977" s="40"/>
      <c r="B977" s="40"/>
      <c r="C977" s="40"/>
      <c r="D977" s="40"/>
      <c r="E977" s="40"/>
      <c r="F977" s="40"/>
      <c r="G977" s="40"/>
      <c r="H977" s="40"/>
      <c r="I977" s="40"/>
      <c r="J977" s="40"/>
      <c r="K977" s="40"/>
      <c r="L977" s="40"/>
      <c r="M977" s="40"/>
      <c r="N977" s="40"/>
    </row>
    <row r="978" spans="1:14">
      <c r="A978" s="40"/>
      <c r="B978" s="40"/>
      <c r="C978" s="40"/>
      <c r="D978" s="40"/>
      <c r="E978" s="40"/>
      <c r="F978" s="40"/>
      <c r="G978" s="40"/>
      <c r="H978" s="40"/>
      <c r="I978" s="40"/>
      <c r="J978" s="40"/>
      <c r="K978" s="40"/>
      <c r="L978" s="40"/>
      <c r="M978" s="40"/>
      <c r="N978" s="40"/>
    </row>
    <row r="979" spans="1:14">
      <c r="A979" s="40"/>
      <c r="B979" s="40"/>
      <c r="C979" s="40"/>
      <c r="D979" s="40"/>
      <c r="E979" s="40"/>
      <c r="F979" s="40"/>
      <c r="G979" s="40"/>
      <c r="H979" s="40"/>
      <c r="I979" s="40"/>
      <c r="J979" s="40"/>
      <c r="K979" s="40"/>
      <c r="L979" s="40"/>
      <c r="M979" s="40"/>
      <c r="N979" s="40"/>
    </row>
    <row r="980" spans="1:14">
      <c r="A980" s="40"/>
      <c r="B980" s="40"/>
      <c r="C980" s="40"/>
      <c r="D980" s="40"/>
      <c r="E980" s="40"/>
      <c r="F980" s="40"/>
      <c r="G980" s="40"/>
      <c r="H980" s="40"/>
      <c r="I980" s="40"/>
      <c r="J980" s="40"/>
      <c r="K980" s="40"/>
      <c r="L980" s="40"/>
      <c r="M980" s="40"/>
      <c r="N980" s="40"/>
    </row>
    <row r="981" spans="1:14">
      <c r="A981" s="40"/>
      <c r="B981" s="40"/>
      <c r="C981" s="40"/>
      <c r="D981" s="40"/>
      <c r="E981" s="40"/>
      <c r="F981" s="40"/>
      <c r="G981" s="40"/>
      <c r="H981" s="40"/>
      <c r="I981" s="40"/>
      <c r="J981" s="40"/>
      <c r="K981" s="40"/>
      <c r="L981" s="40"/>
      <c r="M981" s="40"/>
      <c r="N981" s="40"/>
    </row>
    <row r="982" spans="1:14">
      <c r="A982" s="40"/>
      <c r="B982" s="40"/>
      <c r="C982" s="40"/>
      <c r="D982" s="40"/>
      <c r="E982" s="40"/>
      <c r="F982" s="40"/>
      <c r="G982" s="40"/>
      <c r="H982" s="40"/>
      <c r="I982" s="40"/>
      <c r="J982" s="40"/>
      <c r="K982" s="40"/>
      <c r="L982" s="40"/>
      <c r="M982" s="40"/>
      <c r="N982" s="40"/>
    </row>
    <row r="983" spans="1:14">
      <c r="A983" s="40"/>
      <c r="B983" s="40"/>
      <c r="C983" s="40"/>
      <c r="D983" s="40"/>
      <c r="E983" s="40"/>
      <c r="F983" s="40"/>
      <c r="G983" s="40"/>
      <c r="H983" s="40"/>
      <c r="I983" s="40"/>
      <c r="J983" s="40"/>
      <c r="K983" s="40"/>
      <c r="L983" s="40"/>
      <c r="M983" s="40"/>
      <c r="N983" s="40"/>
    </row>
    <row r="984" spans="1:14">
      <c r="A984" s="40"/>
      <c r="B984" s="40"/>
      <c r="C984" s="40"/>
      <c r="D984" s="40"/>
      <c r="E984" s="40"/>
      <c r="F984" s="40"/>
      <c r="G984" s="40"/>
      <c r="H984" s="40"/>
      <c r="I984" s="40"/>
      <c r="J984" s="40"/>
      <c r="K984" s="40"/>
      <c r="L984" s="40"/>
      <c r="M984" s="40"/>
      <c r="N984" s="40"/>
    </row>
    <row r="985" spans="1:14">
      <c r="A985" s="40"/>
      <c r="B985" s="40"/>
      <c r="C985" s="40"/>
      <c r="D985" s="40"/>
      <c r="E985" s="40"/>
      <c r="F985" s="40"/>
      <c r="G985" s="40"/>
      <c r="H985" s="40"/>
      <c r="I985" s="40"/>
      <c r="J985" s="40"/>
      <c r="K985" s="40"/>
      <c r="L985" s="40"/>
      <c r="M985" s="40"/>
      <c r="N985" s="40"/>
    </row>
    <row r="986" spans="1:14">
      <c r="A986" s="40"/>
      <c r="B986" s="40"/>
      <c r="C986" s="40"/>
      <c r="D986" s="40"/>
      <c r="E986" s="40"/>
      <c r="F986" s="40"/>
      <c r="G986" s="40"/>
      <c r="H986" s="40"/>
      <c r="I986" s="40"/>
      <c r="J986" s="40"/>
      <c r="K986" s="40"/>
      <c r="L986" s="40"/>
      <c r="M986" s="40"/>
      <c r="N986" s="40"/>
    </row>
    <row r="987" spans="1:14">
      <c r="A987" s="40"/>
      <c r="B987" s="40"/>
      <c r="C987" s="40"/>
      <c r="D987" s="40"/>
      <c r="E987" s="40"/>
      <c r="F987" s="40"/>
      <c r="G987" s="40"/>
      <c r="H987" s="40"/>
      <c r="I987" s="40"/>
      <c r="J987" s="40"/>
      <c r="K987" s="40"/>
      <c r="L987" s="40"/>
      <c r="M987" s="40"/>
      <c r="N987" s="40"/>
    </row>
    <row r="988" spans="1:14">
      <c r="A988" s="40"/>
      <c r="B988" s="40"/>
      <c r="C988" s="40"/>
      <c r="D988" s="40"/>
      <c r="E988" s="40"/>
      <c r="F988" s="40"/>
      <c r="G988" s="40"/>
      <c r="H988" s="40"/>
      <c r="I988" s="40"/>
      <c r="J988" s="40"/>
      <c r="K988" s="40"/>
      <c r="L988" s="40"/>
      <c r="M988" s="40"/>
      <c r="N988" s="40"/>
    </row>
    <row r="989" spans="1:14">
      <c r="A989" s="40"/>
      <c r="B989" s="40"/>
      <c r="C989" s="40"/>
      <c r="D989" s="40"/>
      <c r="E989" s="40"/>
      <c r="F989" s="40"/>
      <c r="G989" s="40"/>
      <c r="H989" s="40"/>
      <c r="I989" s="40"/>
      <c r="J989" s="40"/>
      <c r="K989" s="40"/>
      <c r="L989" s="40"/>
      <c r="M989" s="40"/>
      <c r="N989" s="40"/>
    </row>
    <row r="990" spans="1:14">
      <c r="A990" s="40"/>
      <c r="B990" s="40"/>
      <c r="C990" s="40"/>
      <c r="D990" s="40"/>
      <c r="E990" s="40"/>
      <c r="F990" s="40"/>
      <c r="G990" s="40"/>
      <c r="H990" s="40"/>
      <c r="I990" s="40"/>
      <c r="J990" s="40"/>
      <c r="K990" s="40"/>
      <c r="L990" s="40"/>
      <c r="M990" s="40"/>
      <c r="N990" s="40"/>
    </row>
    <row r="991" spans="1:14">
      <c r="A991" s="40"/>
      <c r="B991" s="40"/>
      <c r="C991" s="40"/>
      <c r="D991" s="40"/>
      <c r="E991" s="40"/>
      <c r="F991" s="40"/>
      <c r="G991" s="40"/>
      <c r="H991" s="40"/>
      <c r="I991" s="40"/>
      <c r="J991" s="40"/>
      <c r="K991" s="40"/>
      <c r="L991" s="40"/>
      <c r="M991" s="40"/>
      <c r="N991" s="40"/>
    </row>
    <row r="992" spans="1:14">
      <c r="A992" s="40"/>
      <c r="B992" s="40"/>
      <c r="C992" s="40"/>
      <c r="D992" s="40"/>
      <c r="E992" s="40"/>
      <c r="F992" s="40"/>
      <c r="G992" s="40"/>
      <c r="H992" s="40"/>
      <c r="I992" s="40"/>
      <c r="J992" s="40"/>
      <c r="K992" s="40"/>
      <c r="L992" s="40"/>
      <c r="M992" s="40"/>
      <c r="N992" s="40"/>
    </row>
    <row r="993" spans="1:14">
      <c r="A993" s="40"/>
      <c r="B993" s="40"/>
      <c r="C993" s="40"/>
      <c r="D993" s="40"/>
      <c r="E993" s="40"/>
      <c r="F993" s="40"/>
      <c r="G993" s="40"/>
      <c r="H993" s="40"/>
      <c r="I993" s="40"/>
      <c r="J993" s="40"/>
      <c r="K993" s="40"/>
      <c r="L993" s="40"/>
      <c r="M993" s="40"/>
      <c r="N993" s="40"/>
    </row>
    <row r="994" spans="1:14">
      <c r="A994" s="40"/>
      <c r="B994" s="40"/>
      <c r="C994" s="40"/>
      <c r="D994" s="40"/>
      <c r="E994" s="40"/>
      <c r="F994" s="40"/>
      <c r="G994" s="40"/>
      <c r="H994" s="40"/>
      <c r="I994" s="40"/>
      <c r="J994" s="40"/>
      <c r="K994" s="40"/>
      <c r="L994" s="40"/>
      <c r="M994" s="40"/>
      <c r="N994" s="40"/>
    </row>
    <row r="995" spans="1:14">
      <c r="A995" s="40"/>
      <c r="B995" s="40"/>
      <c r="C995" s="40"/>
      <c r="D995" s="40"/>
      <c r="E995" s="40"/>
      <c r="F995" s="40"/>
      <c r="G995" s="40"/>
      <c r="H995" s="40"/>
      <c r="I995" s="40"/>
      <c r="J995" s="40"/>
      <c r="K995" s="40"/>
      <c r="L995" s="40"/>
      <c r="M995" s="40"/>
      <c r="N995" s="40"/>
    </row>
    <row r="996" spans="1:14">
      <c r="A996" s="40"/>
      <c r="B996" s="40"/>
      <c r="C996" s="40"/>
      <c r="D996" s="40"/>
      <c r="E996" s="40"/>
      <c r="F996" s="40"/>
      <c r="G996" s="40"/>
      <c r="H996" s="40"/>
      <c r="I996" s="40"/>
      <c r="J996" s="40"/>
      <c r="K996" s="40"/>
      <c r="L996" s="40"/>
      <c r="M996" s="40"/>
      <c r="N996" s="40"/>
    </row>
    <row r="997" spans="1:14">
      <c r="A997" s="40"/>
      <c r="B997" s="40"/>
      <c r="C997" s="40"/>
      <c r="D997" s="40"/>
      <c r="E997" s="40"/>
      <c r="F997" s="40"/>
      <c r="G997" s="40"/>
      <c r="H997" s="40"/>
      <c r="I997" s="40"/>
      <c r="J997" s="40"/>
      <c r="K997" s="40"/>
      <c r="L997" s="40"/>
      <c r="M997" s="40"/>
      <c r="N997" s="40"/>
    </row>
    <row r="998" spans="1:14">
      <c r="A998" s="40"/>
      <c r="B998" s="40"/>
      <c r="C998" s="40"/>
      <c r="D998" s="40"/>
      <c r="E998" s="40"/>
      <c r="F998" s="40"/>
      <c r="G998" s="40"/>
      <c r="H998" s="40"/>
      <c r="I998" s="40"/>
      <c r="J998" s="40"/>
      <c r="K998" s="40"/>
      <c r="L998" s="40"/>
      <c r="M998" s="40"/>
      <c r="N998" s="40"/>
    </row>
    <row r="999" spans="1:14">
      <c r="A999" s="40"/>
      <c r="B999" s="40"/>
      <c r="C999" s="40"/>
      <c r="D999" s="40"/>
      <c r="E999" s="40"/>
      <c r="F999" s="40"/>
      <c r="G999" s="40"/>
      <c r="H999" s="40"/>
      <c r="I999" s="40"/>
      <c r="J999" s="40"/>
      <c r="K999" s="40"/>
      <c r="L999" s="40"/>
      <c r="M999" s="40"/>
      <c r="N999" s="40"/>
    </row>
    <row r="1000" spans="1:14">
      <c r="A1000" s="40"/>
      <c r="B1000" s="40"/>
      <c r="C1000" s="40"/>
      <c r="D1000" s="40"/>
      <c r="E1000" s="40"/>
      <c r="F1000" s="40"/>
      <c r="G1000" s="40"/>
      <c r="H1000" s="40"/>
      <c r="I1000" s="40"/>
      <c r="J1000" s="40"/>
      <c r="K1000" s="40"/>
      <c r="L1000" s="40"/>
      <c r="M1000" s="40"/>
      <c r="N1000" s="40"/>
    </row>
    <row r="1001" spans="1:14">
      <c r="A1001" s="40"/>
      <c r="B1001" s="40"/>
      <c r="C1001" s="40"/>
      <c r="D1001" s="40"/>
      <c r="E1001" s="40"/>
      <c r="F1001" s="40"/>
      <c r="G1001" s="40"/>
      <c r="H1001" s="40"/>
      <c r="I1001" s="40"/>
      <c r="J1001" s="40"/>
      <c r="K1001" s="40"/>
      <c r="L1001" s="40"/>
      <c r="M1001" s="40"/>
      <c r="N1001" s="40"/>
    </row>
    <row r="1002" spans="1:14">
      <c r="A1002" s="40"/>
      <c r="B1002" s="40"/>
      <c r="C1002" s="40"/>
      <c r="D1002" s="40"/>
      <c r="E1002" s="40"/>
      <c r="F1002" s="40"/>
      <c r="G1002" s="40"/>
      <c r="H1002" s="40"/>
      <c r="I1002" s="40"/>
      <c r="J1002" s="40"/>
      <c r="K1002" s="40"/>
      <c r="L1002" s="40"/>
      <c r="M1002" s="40"/>
      <c r="N1002" s="40"/>
    </row>
  </sheetData>
  <autoFilter xmlns:etc="http://www.wps.cn/officeDocument/2017/etCustomData" ref="A1:O427" etc:filterBottomFollowUsedRange="0">
    <extLst/>
  </autoFilter>
  <dataValidations count="1">
    <dataValidation type="list" allowBlank="1" showErrorMessage="1" sqref="J222:J225 J356:J427">
      <formula1>"High,Medium,Low"</formula1>
    </dataValidation>
  </dataValidations>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
  <sheetViews>
    <sheetView showGridLines="0" workbookViewId="0">
      <selection activeCell="A1" sqref="A1:M3"/>
    </sheetView>
  </sheetViews>
  <sheetFormatPr defaultColWidth="9"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8" customHeight="1" spans="1:10">
      <c r="A1" s="67" t="s">
        <v>814</v>
      </c>
    </row>
    <row r="2" ht="28" customHeight="1"/>
    <row r="3" ht="28" customHeight="1"/>
    <row r="4" ht="18" customHeight="1" spans="1:10">
      <c r="A4" s="68" t="s">
        <v>815</v>
      </c>
    </row>
    <row r="5" ht="10" customHeight="1"/>
    <row r="6" ht="22" customHeight="1" spans="1:10">
      <c r="A6" s="69" t="s">
        <v>816</v>
      </c>
      <c r="H6" s="69" t="s">
        <v>817</v>
      </c>
    </row>
    <row r="7" ht="26" customHeight="1" spans="1:10">
      <c r="A7" s="70">
        <f>ROUND(COUNTIF(Helper!$E:$E,"Delivered")/(COUNTIF(Helper!$E:$E,"Delivered")+COUNTIF(Helper!$E:$E,"Pending")),3)</f>
        <v>0.674</v>
      </c>
      <c r="D7" s="71" t="str">
        <f>COUNTIF(Helper!$E:$E,"Delivered")&amp;" of "&amp;(COUNTIF(Helper!$E:$E,"Delivered")+COUNTIF(Helper!$E:$E,"Pending"))&amp;" scope items delivered"</f>
        <v>287 of 426 scope items delivered</v>
      </c>
      <c r="H7" s="72">
        <f>COUNTIF(Helper!$E:$E,"Pending")</f>
        <v>139</v>
      </c>
      <c r="J7" s="73" t="s">
        <v>818</v>
      </c>
    </row>
    <row r="8" ht="26" customHeight="1"/>
    <row r="9" ht="26" customHeight="1"/>
    <row r="10" ht="12" customHeight="1"/>
    <row r="11" ht="20" customHeight="1" spans="1:10">
      <c r="A11" s="74" t="s">
        <v>819</v>
      </c>
    </row>
    <row r="12" ht="14" customHeight="1" spans="1:10">
      <c r="A12" s="106" t="s">
        <v>820</v>
      </c>
    </row>
    <row r="14" ht="16" customHeight="1" spans="1:10">
      <c r="A14" s="124" t="s">
        <v>821</v>
      </c>
      <c r="B14" s="93"/>
      <c r="C14" s="93"/>
      <c r="D14" s="93"/>
      <c r="E14" s="93"/>
      <c r="F14" s="94"/>
      <c r="G14" s="125" t="s">
        <v>822</v>
      </c>
    </row>
    <row r="15" ht="16" customHeight="1" spans="1:10">
      <c r="A15" s="124" t="s">
        <v>823</v>
      </c>
      <c r="B15" s="93"/>
      <c r="C15" s="93"/>
      <c r="D15" s="93"/>
      <c r="E15" s="93"/>
      <c r="F15" s="94"/>
      <c r="G15" s="125" t="s">
        <v>824</v>
      </c>
    </row>
    <row r="16" ht="16" customHeight="1" spans="1:10">
      <c r="A16" s="126" t="s">
        <v>825</v>
      </c>
      <c r="B16" s="93"/>
      <c r="C16" s="93"/>
      <c r="D16" s="93"/>
      <c r="E16" s="93"/>
      <c r="F16" s="94"/>
      <c r="G16" s="127" t="s">
        <v>826</v>
      </c>
    </row>
    <row r="17" ht="16" customHeight="1" spans="1:7">
      <c r="A17" s="128" t="s">
        <v>827</v>
      </c>
      <c r="B17" s="93"/>
      <c r="C17" s="93"/>
      <c r="D17" s="93"/>
      <c r="E17" s="93"/>
      <c r="F17" s="94"/>
      <c r="G17" s="118" t="s">
        <v>828</v>
      </c>
    </row>
    <row r="18" ht="16" customHeight="1" spans="1:7">
      <c r="A18" s="103" t="s">
        <v>829</v>
      </c>
      <c r="B18" s="93"/>
      <c r="C18" s="93"/>
      <c r="D18" s="93"/>
      <c r="E18" s="93"/>
      <c r="F18" s="94"/>
      <c r="G18" s="104" t="s">
        <v>830</v>
      </c>
    </row>
    <row r="19" ht="14" customHeight="1" spans="1:7">
      <c r="A19" s="42" t="s">
        <v>831</v>
      </c>
    </row>
    <row r="20" ht="14" customHeight="1" spans="1:7">
      <c r="A20" s="129" t="s">
        <v>832</v>
      </c>
    </row>
    <row r="23" ht="20" customHeight="1" spans="1:7">
      <c r="A23" s="74" t="s">
        <v>833</v>
      </c>
    </row>
    <row r="24" ht="18" customHeight="1" spans="1:7">
      <c r="A24" s="92" t="s">
        <v>834</v>
      </c>
      <c r="B24" s="92" t="s">
        <v>835</v>
      </c>
      <c r="C24" s="92" t="s">
        <v>18</v>
      </c>
      <c r="D24" s="92" t="s">
        <v>836</v>
      </c>
      <c r="E24" s="92" t="s">
        <v>837</v>
      </c>
    </row>
    <row r="25" ht="16" customHeight="1" spans="1:7">
      <c r="A25" s="130" t="s">
        <v>838</v>
      </c>
      <c r="B25" s="122">
        <f>COUNTIFS(Helper!$F:$F,"&lt;"&amp;DATE(2026,6,1))</f>
        <v>210</v>
      </c>
      <c r="C25" s="122">
        <f>COUNTIFS(Helper!$F:$F,"&lt;"&amp;DATE(2026,6,1),Helper!$E:$E,"Delivered")</f>
        <v>156</v>
      </c>
      <c r="D25" s="122">
        <f>COUNTIFS(Helper!$F:$F,"&lt;"&amp;DATE(2026,6,1),Helper!$E:$E,"Pending")</f>
        <v>54</v>
      </c>
      <c r="E25" s="131">
        <f t="shared" ref="E25:E38" si="0">IFERROR(C25/B25,0)</f>
        <v>0.742857142857143</v>
      </c>
    </row>
    <row r="26" ht="16" customHeight="1" spans="1:7">
      <c r="A26" s="132" t="s">
        <v>839</v>
      </c>
      <c r="B26" s="117">
        <f>COUNTIFS(Helper!$F:$F,"&gt;="&amp;DATE(2026,6,1),Helper!$F:$F,"&lt;="&amp;DATE(2026,6,7))</f>
        <v>5</v>
      </c>
      <c r="C26" s="133">
        <f>COUNTIFS(Helper!$F:$F,"&gt;="&amp;DATE(2026,6,1),Helper!$F:$F,"&lt;="&amp;DATE(2026,6,7),Helper!$E:$E,"Delivered")</f>
        <v>5</v>
      </c>
      <c r="D26" s="134">
        <f>COUNTIFS(Helper!$F:$F,"&gt;="&amp;DATE(2026,6,1),Helper!$F:$F,"&lt;="&amp;DATE(2026,6,7),Helper!$E:$E,"Pending")</f>
        <v>0</v>
      </c>
      <c r="E26" s="121">
        <f t="shared" si="0"/>
        <v>1</v>
      </c>
    </row>
    <row r="27" ht="16" customHeight="1" spans="1:7">
      <c r="A27" s="132" t="s">
        <v>840</v>
      </c>
      <c r="B27" s="117">
        <f>COUNTIFS(Helper!$F:$F,"&gt;="&amp;DATE(2026,6,8),Helper!$F:$F,"&lt;="&amp;DATE(2026,6,14))</f>
        <v>43</v>
      </c>
      <c r="C27" s="133">
        <f>COUNTIFS(Helper!$F:$F,"&gt;="&amp;DATE(2026,6,8),Helper!$F:$F,"&lt;="&amp;DATE(2026,6,14),Helper!$E:$E,"Delivered")</f>
        <v>42</v>
      </c>
      <c r="D27" s="134">
        <f>COUNTIFS(Helper!$F:$F,"&gt;="&amp;DATE(2026,6,8),Helper!$F:$F,"&lt;="&amp;DATE(2026,6,14),Helper!$E:$E,"Pending")</f>
        <v>1</v>
      </c>
      <c r="E27" s="121">
        <f t="shared" si="0"/>
        <v>0.976744186046512</v>
      </c>
    </row>
    <row r="28" ht="16" customHeight="1" spans="1:7">
      <c r="A28" s="132" t="s">
        <v>841</v>
      </c>
      <c r="B28" s="117">
        <f>COUNTIFS(Helper!$F:$F,"&gt;="&amp;DATE(2026,6,15),Helper!$F:$F,"&lt;="&amp;DATE(2026,6,21))</f>
        <v>11</v>
      </c>
      <c r="C28" s="133">
        <f>COUNTIFS(Helper!$F:$F,"&gt;="&amp;DATE(2026,6,15),Helper!$F:$F,"&lt;="&amp;DATE(2026,6,21),Helper!$E:$E,"Delivered")</f>
        <v>5</v>
      </c>
      <c r="D28" s="134">
        <f>COUNTIFS(Helper!$F:$F,"&gt;="&amp;DATE(2026,6,15),Helper!$F:$F,"&lt;="&amp;DATE(2026,6,21),Helper!$E:$E,"Pending")</f>
        <v>6</v>
      </c>
      <c r="E28" s="121">
        <f t="shared" si="0"/>
        <v>0.454545454545455</v>
      </c>
    </row>
    <row r="29" ht="16" customHeight="1" spans="1:7">
      <c r="A29" s="132" t="s">
        <v>842</v>
      </c>
      <c r="B29" s="117">
        <f>COUNTIFS(Helper!$F:$F,"&gt;="&amp;DATE(2026,6,22),Helper!$F:$F,"&lt;="&amp;DATE(2026,6,28))</f>
        <v>21</v>
      </c>
      <c r="C29" s="133">
        <f>COUNTIFS(Helper!$F:$F,"&gt;="&amp;DATE(2026,6,22),Helper!$F:$F,"&lt;="&amp;DATE(2026,6,28),Helper!$E:$E,"Delivered")</f>
        <v>15</v>
      </c>
      <c r="D29" s="134">
        <f>COUNTIFS(Helper!$F:$F,"&gt;="&amp;DATE(2026,6,22),Helper!$F:$F,"&lt;="&amp;DATE(2026,6,28),Helper!$E:$E,"Pending")</f>
        <v>6</v>
      </c>
      <c r="E29" s="121">
        <f t="shared" si="0"/>
        <v>0.714285714285714</v>
      </c>
    </row>
    <row r="30" ht="16" customHeight="1" spans="1:7">
      <c r="A30" s="132" t="s">
        <v>843</v>
      </c>
      <c r="B30" s="117">
        <f>COUNTIFS(Helper!$F:$F,"&gt;="&amp;DATE(2026,6,29),Helper!$F:$F,"&lt;="&amp;DATE(2026,7,5))</f>
        <v>5</v>
      </c>
      <c r="C30" s="133">
        <f>COUNTIFS(Helper!$F:$F,"&gt;="&amp;DATE(2026,6,29),Helper!$F:$F,"&lt;="&amp;DATE(2026,7,5),Helper!$E:$E,"Delivered")</f>
        <v>3</v>
      </c>
      <c r="D30" s="134">
        <f>COUNTIFS(Helper!$F:$F,"&gt;="&amp;DATE(2026,6,29),Helper!$F:$F,"&lt;="&amp;DATE(2026,7,5),Helper!$E:$E,"Pending")</f>
        <v>2</v>
      </c>
      <c r="E30" s="121">
        <f t="shared" si="0"/>
        <v>0.6</v>
      </c>
    </row>
    <row r="31" ht="16" customHeight="1" spans="1:7">
      <c r="A31" s="132" t="s">
        <v>844</v>
      </c>
      <c r="B31" s="117">
        <f>COUNTIFS(Helper!$F:$F,"&gt;="&amp;DATE(2026,7,6),Helper!$F:$F,"&lt;="&amp;DATE(2026,7,12))</f>
        <v>8</v>
      </c>
      <c r="C31" s="133">
        <f>COUNTIFS(Helper!$F:$F,"&gt;="&amp;DATE(2026,7,6),Helper!$F:$F,"&lt;="&amp;DATE(2026,7,12),Helper!$E:$E,"Delivered")</f>
        <v>7</v>
      </c>
      <c r="D31" s="134">
        <f>COUNTIFS(Helper!$F:$F,"&gt;="&amp;DATE(2026,7,6),Helper!$F:$F,"&lt;="&amp;DATE(2026,7,12),Helper!$E:$E,"Pending")</f>
        <v>1</v>
      </c>
      <c r="E31" s="121">
        <f t="shared" si="0"/>
        <v>0.875</v>
      </c>
    </row>
    <row r="32" ht="16" customHeight="1" spans="1:7">
      <c r="A32" s="132" t="s">
        <v>845</v>
      </c>
      <c r="B32" s="117">
        <f>COUNTIFS(Helper!$F:$F,"&gt;="&amp;DATE(2026,7,13),Helper!$F:$F,"&lt;="&amp;DATE(2026,7,19))</f>
        <v>24</v>
      </c>
      <c r="C32" s="133">
        <f>COUNTIFS(Helper!$F:$F,"&gt;="&amp;DATE(2026,7,13),Helper!$F:$F,"&lt;="&amp;DATE(2026,7,19),Helper!$E:$E,"Delivered")</f>
        <v>19</v>
      </c>
      <c r="D32" s="134">
        <f>COUNTIFS(Helper!$F:$F,"&gt;="&amp;DATE(2026,7,13),Helper!$F:$F,"&lt;="&amp;DATE(2026,7,19),Helper!$E:$E,"Pending")</f>
        <v>5</v>
      </c>
      <c r="E32" s="121">
        <f t="shared" si="0"/>
        <v>0.791666666666667</v>
      </c>
    </row>
    <row r="33" ht="16" customHeight="1" spans="1:13">
      <c r="A33" s="132" t="s">
        <v>846</v>
      </c>
      <c r="B33" s="117">
        <f>COUNTIFS(Helper!$F:$F,"&gt;="&amp;DATE(2026,7,20),Helper!$F:$F,"&lt;="&amp;DATE(2026,7,26))</f>
        <v>22</v>
      </c>
      <c r="C33" s="133">
        <f>COUNTIFS(Helper!$F:$F,"&gt;="&amp;DATE(2026,7,20),Helper!$F:$F,"&lt;="&amp;DATE(2026,7,26),Helper!$E:$E,"Delivered")</f>
        <v>18</v>
      </c>
      <c r="D33" s="134">
        <f>COUNTIFS(Helper!$F:$F,"&gt;="&amp;DATE(2026,7,20),Helper!$F:$F,"&lt;="&amp;DATE(2026,7,26),Helper!$E:$E,"Pending")</f>
        <v>4</v>
      </c>
      <c r="E33" s="121">
        <f t="shared" si="0"/>
        <v>0.818181818181818</v>
      </c>
    </row>
    <row r="34" ht="16" customHeight="1" spans="1:13">
      <c r="A34" s="132" t="s">
        <v>847</v>
      </c>
      <c r="B34" s="117">
        <f>COUNTIFS(Helper!$F:$F,"&gt;="&amp;DATE(2026,7,27),Helper!$F:$F,"&lt;="&amp;DATE(2026,8,2))</f>
        <v>58</v>
      </c>
      <c r="C34" s="133">
        <f>COUNTIFS(Helper!$F:$F,"&gt;="&amp;DATE(2026,7,27),Helper!$F:$F,"&lt;="&amp;DATE(2026,8,2),Helper!$E:$E,"Delivered")</f>
        <v>16</v>
      </c>
      <c r="D34" s="134">
        <f>COUNTIFS(Helper!$F:$F,"&gt;="&amp;DATE(2026,7,27),Helper!$F:$F,"&lt;="&amp;DATE(2026,8,2),Helper!$E:$E,"Pending")</f>
        <v>42</v>
      </c>
      <c r="E34" s="121">
        <f t="shared" si="0"/>
        <v>0.275862068965517</v>
      </c>
    </row>
    <row r="35" ht="16" customHeight="1" spans="1:13">
      <c r="A35" s="132" t="s">
        <v>848</v>
      </c>
      <c r="B35" s="117">
        <f>COUNTIFS(Helper!$F:$F,"&gt;="&amp;DATE(2026,8,3),Helper!$F:$F,"&lt;="&amp;DATE(2026,8,9))</f>
        <v>19</v>
      </c>
      <c r="C35" s="133">
        <f>COUNTIFS(Helper!$F:$F,"&gt;="&amp;DATE(2026,8,3),Helper!$F:$F,"&lt;="&amp;DATE(2026,8,9),Helper!$E:$E,"Delivered")</f>
        <v>1</v>
      </c>
      <c r="D35" s="134">
        <f>COUNTIFS(Helper!$F:$F,"&gt;="&amp;DATE(2026,8,3),Helper!$F:$F,"&lt;="&amp;DATE(2026,8,9),Helper!$E:$E,"Pending")</f>
        <v>18</v>
      </c>
      <c r="E35" s="121">
        <f t="shared" si="0"/>
        <v>0.0526315789473684</v>
      </c>
    </row>
    <row r="36" ht="16" customHeight="1" spans="1:13">
      <c r="A36" s="130" t="s">
        <v>849</v>
      </c>
      <c r="B36" s="122">
        <f>COUNTIFS(Helper!$F:$F,"&gt;"&amp;DATE(2026,8,9))</f>
        <v>0</v>
      </c>
      <c r="C36" s="122">
        <f>COUNTIFS(Helper!$F:$F,"&gt;"&amp;DATE(2026,8,9),Helper!$E:$E,"Delivered")</f>
        <v>0</v>
      </c>
      <c r="D36" s="122">
        <f>COUNTIFS(Helper!$F:$F,"&gt;"&amp;DATE(2026,8,9),Helper!$E:$E,"Pending")</f>
        <v>0</v>
      </c>
      <c r="E36" s="131">
        <f t="shared" si="0"/>
        <v>0</v>
      </c>
    </row>
    <row r="37" ht="16" customHeight="1" spans="1:13">
      <c r="A37" s="130" t="s">
        <v>850</v>
      </c>
      <c r="B37" s="122">
        <f>COUNTA(Helper!$C$2:$C$5000)-COUNT(Helper!$F$2:$F$5000)</f>
        <v>0</v>
      </c>
      <c r="C37" s="122">
        <f>COUNTIFS(Helper!$F:$F,"",Helper!$E:$E,"Delivered")</f>
        <v>0</v>
      </c>
      <c r="D37" s="122">
        <f>COUNTIFS(Helper!$F:$F,"",Helper!$E:$E,"Pending")</f>
        <v>0</v>
      </c>
      <c r="E37" s="131">
        <f t="shared" si="0"/>
        <v>0</v>
      </c>
    </row>
    <row r="38" ht="18" customHeight="1" spans="1:13">
      <c r="A38" s="103" t="s">
        <v>851</v>
      </c>
      <c r="B38" s="104">
        <f>SUM(B25:B37)</f>
        <v>426</v>
      </c>
      <c r="C38" s="104">
        <f>SUM(C25:C37)</f>
        <v>287</v>
      </c>
      <c r="D38" s="104">
        <f>SUM(D25:D37)</f>
        <v>139</v>
      </c>
      <c r="E38" s="105">
        <f t="shared" si="0"/>
        <v>0.673708920187793</v>
      </c>
    </row>
    <row r="40" ht="20" customHeight="1" spans="1:13">
      <c r="A40" s="74" t="s">
        <v>852</v>
      </c>
    </row>
    <row r="41" ht="30" customHeight="1" spans="1:13">
      <c r="A41" s="75">
        <f>COUNTIF(Helper!$D:$D,"Delivered")</f>
        <v>281</v>
      </c>
      <c r="D41" s="76">
        <f>COUNTIF(Helper!$D:$D,"Dev Complete")</f>
        <v>6</v>
      </c>
      <c r="G41" s="77">
        <f>COUNTIF(Helper!$D:$D,"In Development")</f>
        <v>22</v>
      </c>
      <c r="J41" s="78">
        <f>COUNTIF(Helper!$D:$D,"In QA")</f>
        <v>4</v>
      </c>
    </row>
    <row r="42" ht="16" customHeight="1" spans="1:13">
      <c r="A42" s="79" t="s">
        <v>18</v>
      </c>
      <c r="D42" s="80" t="s">
        <v>853</v>
      </c>
      <c r="G42" s="81" t="s">
        <v>854</v>
      </c>
      <c r="J42" s="82" t="s">
        <v>855</v>
      </c>
    </row>
    <row r="43" ht="30" customHeight="1" spans="1:13">
      <c r="A43" s="83">
        <f>COUNTIF(Helper!$D:$D,"Pre-PROD / UAT")</f>
        <v>20</v>
      </c>
      <c r="D43" s="84">
        <f>COUNTIF(Helper!$D:$D,"Not Started")</f>
        <v>90</v>
      </c>
      <c r="G43" s="85">
        <f>COUNTIF(Helper!$D:$D,"Partial Delivery")</f>
        <v>3</v>
      </c>
      <c r="J43" s="86">
        <f>COUNTIF(Helper!$D:$D,"N/A")</f>
        <v>0</v>
      </c>
    </row>
    <row r="44" ht="16" customHeight="1" spans="1:13">
      <c r="A44" s="87" t="s">
        <v>856</v>
      </c>
      <c r="D44" s="88" t="s">
        <v>857</v>
      </c>
      <c r="G44" s="89" t="s">
        <v>858</v>
      </c>
      <c r="J44" s="90" t="s">
        <v>859</v>
      </c>
    </row>
    <row r="45" ht="12" customHeight="1"/>
    <row r="46" ht="20" customHeight="1" spans="1:13">
      <c r="A46" s="74" t="s">
        <v>860</v>
      </c>
    </row>
    <row r="47" ht="24" customHeight="1" spans="1:13">
      <c r="A47" s="91" t="s">
        <v>3</v>
      </c>
      <c r="B47" s="91" t="s">
        <v>861</v>
      </c>
      <c r="C47" s="91" t="s">
        <v>862</v>
      </c>
      <c r="D47" s="91" t="s">
        <v>18</v>
      </c>
      <c r="E47" s="91" t="s">
        <v>836</v>
      </c>
      <c r="F47" s="91" t="s">
        <v>859</v>
      </c>
      <c r="G47" s="91" t="s">
        <v>863</v>
      </c>
      <c r="H47" s="92" t="s">
        <v>864</v>
      </c>
      <c r="I47" s="93"/>
      <c r="J47" s="93"/>
      <c r="K47" s="93"/>
      <c r="L47" s="93"/>
      <c r="M47" s="94"/>
    </row>
    <row r="48" ht="18" customHeight="1" spans="1:13">
      <c r="A48" s="95" t="s">
        <v>865</v>
      </c>
      <c r="B48" s="95" t="s">
        <v>866</v>
      </c>
      <c r="C48" s="96">
        <f>COUNTIF(Helper!$A:$A,"iWork")</f>
        <v>212</v>
      </c>
      <c r="D48" s="97">
        <f>COUNTIFS(Helper!$A:$A,"iWork",Helper!$E:$E,"Delivered")</f>
        <v>139</v>
      </c>
      <c r="E48" s="98">
        <f>COUNTIFS(Helper!$A:$A,"iWork",Helper!$E:$E,"Pending")</f>
        <v>73</v>
      </c>
      <c r="F48" s="96">
        <f>COUNTIFS(Helper!$A:$A,"iWork",Helper!$E:$E,"N/A")</f>
        <v>0</v>
      </c>
      <c r="G48" s="99">
        <f t="shared" ref="G48:G57" si="1">IFERROR(D48/(D48+E48),0)</f>
        <v>0.655660377358491</v>
      </c>
      <c r="H48" s="99">
        <f t="shared" ref="H48:H57" si="2">G48</f>
        <v>0.655660377358491</v>
      </c>
      <c r="I48" s="93"/>
      <c r="J48" s="93"/>
      <c r="K48" s="93"/>
      <c r="L48" s="93"/>
      <c r="M48" s="94"/>
    </row>
    <row r="49" ht="18" customHeight="1" spans="1:13">
      <c r="A49" s="135" t="s">
        <v>867</v>
      </c>
      <c r="B49" s="135" t="s">
        <v>868</v>
      </c>
      <c r="C49" s="136">
        <f>COUNTIF(Helper!$A:$A,"iWork - CR")</f>
        <v>43</v>
      </c>
      <c r="D49" s="97">
        <f>COUNTIFS(Helper!$A:$A,"iWork - CR",Helper!$E:$E,"Delivered")</f>
        <v>37</v>
      </c>
      <c r="E49" s="98">
        <f>COUNTIFS(Helper!$A:$A,"iWork - CR",Helper!$E:$E,"Pending")</f>
        <v>6</v>
      </c>
      <c r="F49" s="136">
        <f>COUNTIFS(Helper!$A:$A,"iWork - CR",Helper!$E:$E,"N/A")</f>
        <v>0</v>
      </c>
      <c r="G49" s="137">
        <f t="shared" si="1"/>
        <v>0.86046511627907</v>
      </c>
      <c r="H49" s="138">
        <f t="shared" si="2"/>
        <v>0.86046511627907</v>
      </c>
      <c r="I49" s="93"/>
      <c r="J49" s="93"/>
      <c r="K49" s="93"/>
      <c r="L49" s="93"/>
      <c r="M49" s="94"/>
    </row>
    <row r="50" ht="18" customHeight="1" spans="1:13">
      <c r="A50" s="95" t="s">
        <v>869</v>
      </c>
      <c r="B50" s="95" t="s">
        <v>866</v>
      </c>
      <c r="C50" s="96">
        <f>COUNTIF(Helper!$A:$A,"IBP")</f>
        <v>71</v>
      </c>
      <c r="D50" s="97">
        <f>COUNTIFS(Helper!$A:$A,"IBP",Helper!$E:$E,"Delivered")</f>
        <v>51</v>
      </c>
      <c r="E50" s="98">
        <f>COUNTIFS(Helper!$A:$A,"IBP",Helper!$E:$E,"Pending")</f>
        <v>20</v>
      </c>
      <c r="F50" s="96">
        <f>COUNTIFS(Helper!$A:$A,"IBP",Helper!$E:$E,"N/A")</f>
        <v>0</v>
      </c>
      <c r="G50" s="99">
        <f t="shared" si="1"/>
        <v>0.71830985915493</v>
      </c>
      <c r="H50" s="99">
        <f t="shared" si="2"/>
        <v>0.71830985915493</v>
      </c>
      <c r="I50" s="93"/>
      <c r="J50" s="93"/>
      <c r="K50" s="93"/>
      <c r="L50" s="93"/>
      <c r="M50" s="94"/>
    </row>
    <row r="51" ht="18" customHeight="1" spans="1:13">
      <c r="A51" s="135" t="s">
        <v>870</v>
      </c>
      <c r="B51" s="135" t="s">
        <v>868</v>
      </c>
      <c r="C51" s="136">
        <f>COUNTIF(Helper!$A:$A,"IBP - CR")</f>
        <v>3</v>
      </c>
      <c r="D51" s="97">
        <f>COUNTIFS(Helper!$A:$A,"IBP - CR",Helper!$E:$E,"Delivered")</f>
        <v>2</v>
      </c>
      <c r="E51" s="98">
        <f>COUNTIFS(Helper!$A:$A,"IBP - CR",Helper!$E:$E,"Pending")</f>
        <v>1</v>
      </c>
      <c r="F51" s="136">
        <f>COUNTIFS(Helper!$A:$A,"IBP - CR",Helper!$E:$E,"N/A")</f>
        <v>0</v>
      </c>
      <c r="G51" s="137">
        <f t="shared" si="1"/>
        <v>0.666666666666667</v>
      </c>
      <c r="H51" s="138">
        <f t="shared" si="2"/>
        <v>0.666666666666667</v>
      </c>
      <c r="I51" s="93"/>
      <c r="J51" s="93"/>
      <c r="K51" s="93"/>
      <c r="L51" s="93"/>
      <c r="M51" s="94"/>
    </row>
    <row r="52" ht="18" customHeight="1" spans="1:13">
      <c r="A52" s="95" t="s">
        <v>871</v>
      </c>
      <c r="B52" s="95" t="s">
        <v>866</v>
      </c>
      <c r="C52" s="96">
        <f>COUNTIF(Helper!$A:$A,"IBP/iWork")</f>
        <v>27</v>
      </c>
      <c r="D52" s="97">
        <f>COUNTIFS(Helper!$A:$A,"IBP/iWork",Helper!$E:$E,"Delivered")</f>
        <v>15</v>
      </c>
      <c r="E52" s="98">
        <f>COUNTIFS(Helper!$A:$A,"IBP/iWork",Helper!$E:$E,"Pending")</f>
        <v>12</v>
      </c>
      <c r="F52" s="96">
        <f>COUNTIFS(Helper!$A:$A,"IBP/iWork",Helper!$E:$E,"N/A")</f>
        <v>0</v>
      </c>
      <c r="G52" s="99">
        <f t="shared" si="1"/>
        <v>0.555555555555556</v>
      </c>
      <c r="H52" s="99">
        <f t="shared" si="2"/>
        <v>0.555555555555556</v>
      </c>
      <c r="I52" s="93"/>
      <c r="J52" s="93"/>
      <c r="K52" s="93"/>
      <c r="L52" s="93"/>
      <c r="M52" s="94"/>
    </row>
    <row r="53" ht="18" customHeight="1" spans="1:13">
      <c r="A53" s="135" t="s">
        <v>872</v>
      </c>
      <c r="B53" s="135" t="s">
        <v>868</v>
      </c>
      <c r="C53" s="136">
        <f>COUNTIF(Helper!$A:$A,"IBP/iWork - CR")</f>
        <v>9</v>
      </c>
      <c r="D53" s="97">
        <f>COUNTIFS(Helper!$A:$A,"IBP/iWork - CR",Helper!$E:$E,"Delivered")</f>
        <v>4</v>
      </c>
      <c r="E53" s="98">
        <f>COUNTIFS(Helper!$A:$A,"IBP/iWork - CR",Helper!$E:$E,"Pending")</f>
        <v>5</v>
      </c>
      <c r="F53" s="136">
        <f>COUNTIFS(Helper!$A:$A,"IBP/iWork - CR",Helper!$E:$E,"N/A")</f>
        <v>0</v>
      </c>
      <c r="G53" s="137">
        <f t="shared" si="1"/>
        <v>0.444444444444444</v>
      </c>
      <c r="H53" s="138">
        <f t="shared" si="2"/>
        <v>0.444444444444444</v>
      </c>
      <c r="I53" s="93"/>
      <c r="J53" s="93"/>
      <c r="K53" s="93"/>
      <c r="L53" s="93"/>
      <c r="M53" s="94"/>
    </row>
    <row r="54" ht="18" customHeight="1" spans="1:13">
      <c r="A54" s="95" t="s">
        <v>45</v>
      </c>
      <c r="B54" s="95" t="s">
        <v>866</v>
      </c>
      <c r="C54" s="96">
        <f>COUNTIF(Helper!$A:$A,"Framework")</f>
        <v>34</v>
      </c>
      <c r="D54" s="97">
        <f>COUNTIFS(Helper!$A:$A,"Framework",Helper!$E:$E,"Delivered")</f>
        <v>31</v>
      </c>
      <c r="E54" s="98">
        <f>COUNTIFS(Helper!$A:$A,"Framework",Helper!$E:$E,"Pending")</f>
        <v>3</v>
      </c>
      <c r="F54" s="96">
        <f>COUNTIFS(Helper!$A:$A,"Framework",Helper!$E:$E,"N/A")</f>
        <v>0</v>
      </c>
      <c r="G54" s="99">
        <f t="shared" si="1"/>
        <v>0.911764705882353</v>
      </c>
      <c r="H54" s="99">
        <f t="shared" si="2"/>
        <v>0.911764705882353</v>
      </c>
      <c r="I54" s="93"/>
      <c r="J54" s="93"/>
      <c r="K54" s="93"/>
      <c r="L54" s="93"/>
      <c r="M54" s="94"/>
    </row>
    <row r="55" ht="18" customHeight="1" spans="1:13">
      <c r="A55" s="100" t="s">
        <v>16</v>
      </c>
      <c r="B55" s="100" t="s">
        <v>866</v>
      </c>
      <c r="C55" s="101">
        <f>COUNTIF(Helper!$A:$A,"DPDP")</f>
        <v>18</v>
      </c>
      <c r="D55" s="97">
        <f>COUNTIFS(Helper!$A:$A,"DPDP",Helper!$E:$E,"Delivered")</f>
        <v>7</v>
      </c>
      <c r="E55" s="98">
        <f>COUNTIFS(Helper!$A:$A,"DPDP",Helper!$E:$E,"Pending")</f>
        <v>11</v>
      </c>
      <c r="F55" s="101">
        <f>COUNTIFS(Helper!$A:$A,"DPDP",Helper!$E:$E,"N/A")</f>
        <v>0</v>
      </c>
      <c r="G55" s="102">
        <f t="shared" si="1"/>
        <v>0.388888888888889</v>
      </c>
      <c r="H55" s="102">
        <f t="shared" si="2"/>
        <v>0.388888888888889</v>
      </c>
      <c r="I55" s="93"/>
      <c r="J55" s="93"/>
      <c r="K55" s="93"/>
      <c r="L55" s="93"/>
      <c r="M55" s="94"/>
    </row>
    <row r="56" ht="18" customHeight="1" spans="1:13">
      <c r="A56" s="95" t="s">
        <v>107</v>
      </c>
      <c r="B56" s="95" t="s">
        <v>866</v>
      </c>
      <c r="C56" s="96">
        <f>COUNTIF(Helper!$A:$A,"NFR")</f>
        <v>4</v>
      </c>
      <c r="D56" s="97">
        <f>COUNTIFS(Helper!$A:$A,"NFR",Helper!$E:$E,"Delivered")</f>
        <v>1</v>
      </c>
      <c r="E56" s="98">
        <f>COUNTIFS(Helper!$A:$A,"NFR",Helper!$E:$E,"Pending")</f>
        <v>3</v>
      </c>
      <c r="F56" s="96">
        <f>COUNTIFS(Helper!$A:$A,"NFR",Helper!$E:$E,"N/A")</f>
        <v>0</v>
      </c>
      <c r="G56" s="99">
        <f t="shared" si="1"/>
        <v>0.25</v>
      </c>
      <c r="H56" s="99">
        <f t="shared" si="2"/>
        <v>0.25</v>
      </c>
      <c r="I56" s="93"/>
      <c r="J56" s="93"/>
      <c r="K56" s="93"/>
      <c r="L56" s="93"/>
      <c r="M56" s="94"/>
    </row>
    <row r="57" ht="20" customHeight="1" spans="1:13">
      <c r="A57" s="103" t="s">
        <v>851</v>
      </c>
      <c r="B57" s="103" t="s">
        <v>873</v>
      </c>
      <c r="C57" s="104">
        <f>COUNTA(Helper!$A$2:$A$5000)</f>
        <v>426</v>
      </c>
      <c r="D57" s="104">
        <f>COUNTIF(Helper!$E:$E,"Delivered")</f>
        <v>287</v>
      </c>
      <c r="E57" s="104">
        <f>COUNTIF(Helper!$E:$E,"Pending")</f>
        <v>139</v>
      </c>
      <c r="F57" s="104">
        <f>COUNTIF(Helper!$E:$E,"N/A")</f>
        <v>0</v>
      </c>
      <c r="G57" s="105">
        <f t="shared" si="1"/>
        <v>0.673708920187793</v>
      </c>
      <c r="H57" s="105">
        <f t="shared" si="2"/>
        <v>0.673708920187793</v>
      </c>
      <c r="I57" s="93"/>
      <c r="J57" s="93"/>
      <c r="K57" s="93"/>
      <c r="L57" s="93"/>
      <c r="M57" s="94"/>
    </row>
    <row r="59" ht="20" customHeight="1" spans="1:13">
      <c r="A59" s="74" t="s">
        <v>874</v>
      </c>
    </row>
    <row r="60" ht="28" customHeight="1" spans="1:13">
      <c r="A60" s="92" t="s">
        <v>875</v>
      </c>
      <c r="B60" s="139" t="s">
        <v>321</v>
      </c>
      <c r="C60" s="139" t="s">
        <v>520</v>
      </c>
      <c r="D60" s="139" t="s">
        <v>98</v>
      </c>
      <c r="E60" s="139" t="s">
        <v>534</v>
      </c>
      <c r="F60" s="139" t="s">
        <v>189</v>
      </c>
      <c r="G60" s="139" t="s">
        <v>477</v>
      </c>
      <c r="H60" s="139" t="s">
        <v>45</v>
      </c>
      <c r="I60" s="139" t="s">
        <v>16</v>
      </c>
      <c r="J60" s="139" t="s">
        <v>107</v>
      </c>
      <c r="K60" s="115" t="s">
        <v>876</v>
      </c>
    </row>
    <row r="61" ht="18" customHeight="1" spans="1:13">
      <c r="A61" s="116" t="s">
        <v>46</v>
      </c>
      <c r="B61" s="101">
        <f>COUNTIFS(Helper!$B:$B,"Milestone 1",Helper!$A:$A,"iWork",Helper!$E:$E,"Pending")</f>
        <v>0</v>
      </c>
      <c r="C61" s="101">
        <f>COUNTIFS(Helper!$B:$B,"Milestone 1",Helper!$A:$A,"iWork - CR",Helper!$E:$E,"Pending")</f>
        <v>0</v>
      </c>
      <c r="D61" s="101">
        <f>COUNTIFS(Helper!$B:$B,"Milestone 1",Helper!$A:$A,"IBP",Helper!$E:$E,"Pending")</f>
        <v>0</v>
      </c>
      <c r="E61" s="101">
        <f>COUNTIFS(Helper!$B:$B,"Milestone 1",Helper!$A:$A,"IBP - CR",Helper!$E:$E,"Pending")</f>
        <v>0</v>
      </c>
      <c r="F61" s="101">
        <f>COUNTIFS(Helper!$B:$B,"Milestone 1",Helper!$A:$A,"IBP/iWork",Helper!$E:$E,"Pending")</f>
        <v>0</v>
      </c>
      <c r="G61" s="101">
        <f>COUNTIFS(Helper!$B:$B,"Milestone 1",Helper!$A:$A,"IBP/iWork - CR",Helper!$E:$E,"Pending")</f>
        <v>0</v>
      </c>
      <c r="H61" s="101">
        <f>COUNTIFS(Helper!$B:$B,"Milestone 1",Helper!$A:$A,"Framework",Helper!$E:$E,"Pending")</f>
        <v>0</v>
      </c>
      <c r="I61" s="101">
        <f>COUNTIFS(Helper!$B:$B,"Milestone 1",Helper!$A:$A,"DPDP",Helper!$E:$E,"Pending")</f>
        <v>0</v>
      </c>
      <c r="J61" s="101">
        <f>COUNTIFS(Helper!$B:$B,"Milestone 1",Helper!$A:$A,"NFR",Helper!$E:$E,"Pending")</f>
        <v>0</v>
      </c>
      <c r="K61" s="118">
        <f t="shared" ref="K61:K66" si="3">SUM(B61:J61)</f>
        <v>0</v>
      </c>
    </row>
    <row r="62" ht="18" customHeight="1" spans="1:13">
      <c r="A62" s="116" t="s">
        <v>69</v>
      </c>
      <c r="B62" s="140">
        <f>COUNTIFS(Helper!$B:$B,"Milestone 2",Helper!$A:$A,"iWork",Helper!$E:$E,"Pending")</f>
        <v>1</v>
      </c>
      <c r="C62" s="101">
        <f>COUNTIFS(Helper!$B:$B,"Milestone 2",Helper!$A:$A,"iWork - CR",Helper!$E:$E,"Pending")</f>
        <v>0</v>
      </c>
      <c r="D62" s="101">
        <f>COUNTIFS(Helper!$B:$B,"Milestone 2",Helper!$A:$A,"IBP",Helper!$E:$E,"Pending")</f>
        <v>0</v>
      </c>
      <c r="E62" s="101">
        <f>COUNTIFS(Helper!$B:$B,"Milestone 2",Helper!$A:$A,"IBP - CR",Helper!$E:$E,"Pending")</f>
        <v>0</v>
      </c>
      <c r="F62" s="101">
        <f>COUNTIFS(Helper!$B:$B,"Milestone 2",Helper!$A:$A,"IBP/iWork",Helper!$E:$E,"Pending")</f>
        <v>0</v>
      </c>
      <c r="G62" s="101">
        <f>COUNTIFS(Helper!$B:$B,"Milestone 2",Helper!$A:$A,"IBP/iWork - CR",Helper!$E:$E,"Pending")</f>
        <v>0</v>
      </c>
      <c r="H62" s="101">
        <f>COUNTIFS(Helper!$B:$B,"Milestone 2",Helper!$A:$A,"Framework",Helper!$E:$E,"Pending")</f>
        <v>0</v>
      </c>
      <c r="I62" s="101">
        <f>COUNTIFS(Helper!$B:$B,"Milestone 2",Helper!$A:$A,"DPDP",Helper!$E:$E,"Pending")</f>
        <v>0</v>
      </c>
      <c r="J62" s="101">
        <f>COUNTIFS(Helper!$B:$B,"Milestone 2",Helper!$A:$A,"NFR",Helper!$E:$E,"Pending")</f>
        <v>0</v>
      </c>
      <c r="K62" s="118">
        <f t="shared" si="3"/>
        <v>1</v>
      </c>
    </row>
    <row r="63" ht="18" customHeight="1" spans="1:13">
      <c r="A63" s="116" t="s">
        <v>144</v>
      </c>
      <c r="B63" s="101">
        <f>COUNTIFS(Helper!$B:$B,"Milestone 3",Helper!$A:$A,"iWork",Helper!$E:$E,"Pending")</f>
        <v>0</v>
      </c>
      <c r="C63" s="101">
        <f>COUNTIFS(Helper!$B:$B,"Milestone 3",Helper!$A:$A,"iWork - CR",Helper!$E:$E,"Pending")</f>
        <v>0</v>
      </c>
      <c r="D63" s="101">
        <f>COUNTIFS(Helper!$B:$B,"Milestone 3",Helper!$A:$A,"IBP",Helper!$E:$E,"Pending")</f>
        <v>0</v>
      </c>
      <c r="E63" s="101">
        <f>COUNTIFS(Helper!$B:$B,"Milestone 3",Helper!$A:$A,"IBP - CR",Helper!$E:$E,"Pending")</f>
        <v>0</v>
      </c>
      <c r="F63" s="101">
        <f>COUNTIFS(Helper!$B:$B,"Milestone 3",Helper!$A:$A,"IBP/iWork",Helper!$E:$E,"Pending")</f>
        <v>0</v>
      </c>
      <c r="G63" s="101">
        <f>COUNTIFS(Helper!$B:$B,"Milestone 3",Helper!$A:$A,"IBP/iWork - CR",Helper!$E:$E,"Pending")</f>
        <v>0</v>
      </c>
      <c r="H63" s="101">
        <f>COUNTIFS(Helper!$B:$B,"Milestone 3",Helper!$A:$A,"Framework",Helper!$E:$E,"Pending")</f>
        <v>0</v>
      </c>
      <c r="I63" s="101">
        <f>COUNTIFS(Helper!$B:$B,"Milestone 3",Helper!$A:$A,"DPDP",Helper!$E:$E,"Pending")</f>
        <v>0</v>
      </c>
      <c r="J63" s="101">
        <f>COUNTIFS(Helper!$B:$B,"Milestone 3",Helper!$A:$A,"NFR",Helper!$E:$E,"Pending")</f>
        <v>0</v>
      </c>
      <c r="K63" s="118">
        <f t="shared" si="3"/>
        <v>0</v>
      </c>
    </row>
    <row r="64" ht="18" customHeight="1" spans="1:13">
      <c r="A64" s="116" t="s">
        <v>84</v>
      </c>
      <c r="B64" s="140">
        <f>COUNTIFS(Helper!$B:$B,"Milestone 4",Helper!$A:$A,"iWork",Helper!$E:$E,"Pending")</f>
        <v>1</v>
      </c>
      <c r="C64" s="101">
        <f>COUNTIFS(Helper!$B:$B,"Milestone 4",Helper!$A:$A,"iWork - CR",Helper!$E:$E,"Pending")</f>
        <v>0</v>
      </c>
      <c r="D64" s="140">
        <f>COUNTIFS(Helper!$B:$B,"Milestone 4",Helper!$A:$A,"IBP",Helper!$E:$E,"Pending")</f>
        <v>1</v>
      </c>
      <c r="E64" s="101">
        <f>COUNTIFS(Helper!$B:$B,"Milestone 4",Helper!$A:$A,"IBP - CR",Helper!$E:$E,"Pending")</f>
        <v>0</v>
      </c>
      <c r="F64" s="140">
        <f>COUNTIFS(Helper!$B:$B,"Milestone 4",Helper!$A:$A,"IBP/iWork",Helper!$E:$E,"Pending")</f>
        <v>3</v>
      </c>
      <c r="G64" s="101">
        <f>COUNTIFS(Helper!$B:$B,"Milestone 4",Helper!$A:$A,"IBP/iWork - CR",Helper!$E:$E,"Pending")</f>
        <v>0</v>
      </c>
      <c r="H64" s="140">
        <f>COUNTIFS(Helper!$B:$B,"Milestone 4",Helper!$A:$A,"Framework",Helper!$E:$E,"Pending")</f>
        <v>3</v>
      </c>
      <c r="I64" s="140">
        <f>COUNTIFS(Helper!$B:$B,"Milestone 4",Helper!$A:$A,"DPDP",Helper!$E:$E,"Pending")</f>
        <v>1</v>
      </c>
      <c r="J64" s="140">
        <f>COUNTIFS(Helper!$B:$B,"Milestone 4",Helper!$A:$A,"NFR",Helper!$E:$E,"Pending")</f>
        <v>1</v>
      </c>
      <c r="K64" s="118">
        <f t="shared" si="3"/>
        <v>10</v>
      </c>
    </row>
    <row r="65" ht="18" customHeight="1" spans="1:11">
      <c r="A65" s="116" t="s">
        <v>17</v>
      </c>
      <c r="B65" s="140">
        <f>COUNTIFS(Helper!$B:$B,"Milestone 5",Helper!$A:$A,"iWork",Helper!$E:$E,"Pending")</f>
        <v>5</v>
      </c>
      <c r="C65" s="101">
        <f>COUNTIFS(Helper!$B:$B,"Milestone 5",Helper!$A:$A,"iWork - CR",Helper!$E:$E,"Pending")</f>
        <v>0</v>
      </c>
      <c r="D65" s="140">
        <f>COUNTIFS(Helper!$B:$B,"Milestone 5",Helper!$A:$A,"IBP",Helper!$E:$E,"Pending")</f>
        <v>16</v>
      </c>
      <c r="E65" s="101">
        <f>COUNTIFS(Helper!$B:$B,"Milestone 5",Helper!$A:$A,"IBP - CR",Helper!$E:$E,"Pending")</f>
        <v>0</v>
      </c>
      <c r="F65" s="140">
        <f>COUNTIFS(Helper!$B:$B,"Milestone 5",Helper!$A:$A,"IBP/iWork",Helper!$E:$E,"Pending")</f>
        <v>4</v>
      </c>
      <c r="G65" s="101">
        <f>COUNTIFS(Helper!$B:$B,"Milestone 5",Helper!$A:$A,"IBP/iWork - CR",Helper!$E:$E,"Pending")</f>
        <v>0</v>
      </c>
      <c r="H65" s="101">
        <f>COUNTIFS(Helper!$B:$B,"Milestone 5",Helper!$A:$A,"Framework",Helper!$E:$E,"Pending")</f>
        <v>0</v>
      </c>
      <c r="I65" s="140">
        <f>COUNTIFS(Helper!$B:$B,"Milestone 5",Helper!$A:$A,"DPDP",Helper!$E:$E,"Pending")</f>
        <v>10</v>
      </c>
      <c r="J65" s="140">
        <f>COUNTIFS(Helper!$B:$B,"Milestone 5",Helper!$A:$A,"NFR",Helper!$E:$E,"Pending")</f>
        <v>2</v>
      </c>
      <c r="K65" s="118">
        <f t="shared" si="3"/>
        <v>37</v>
      </c>
    </row>
    <row r="66" ht="18" customHeight="1" spans="1:11">
      <c r="A66" s="116" t="s">
        <v>459</v>
      </c>
      <c r="B66" s="140">
        <f>COUNTIFS(Helper!$B:$B,"Milestone 6",Helper!$A:$A,"iWork",Helper!$E:$E,"Pending")</f>
        <v>66</v>
      </c>
      <c r="C66" s="140">
        <f>COUNTIFS(Helper!$B:$B,"Milestone 6",Helper!$A:$A,"iWork - CR",Helper!$E:$E,"Pending")</f>
        <v>6</v>
      </c>
      <c r="D66" s="140">
        <f>COUNTIFS(Helper!$B:$B,"Milestone 6",Helper!$A:$A,"IBP",Helper!$E:$E,"Pending")</f>
        <v>3</v>
      </c>
      <c r="E66" s="140">
        <f>COUNTIFS(Helper!$B:$B,"Milestone 6",Helper!$A:$A,"IBP - CR",Helper!$E:$E,"Pending")</f>
        <v>1</v>
      </c>
      <c r="F66" s="140">
        <f>COUNTIFS(Helper!$B:$B,"Milestone 6",Helper!$A:$A,"IBP/iWork",Helper!$E:$E,"Pending")</f>
        <v>5</v>
      </c>
      <c r="G66" s="140">
        <f>COUNTIFS(Helper!$B:$B,"Milestone 6",Helper!$A:$A,"IBP/iWork - CR",Helper!$E:$E,"Pending")</f>
        <v>5</v>
      </c>
      <c r="H66" s="101">
        <f>COUNTIFS(Helper!$B:$B,"Milestone 6",Helper!$A:$A,"Framework",Helper!$E:$E,"Pending")</f>
        <v>0</v>
      </c>
      <c r="I66" s="101">
        <f>COUNTIFS(Helper!$B:$B,"Milestone 6",Helper!$A:$A,"DPDP",Helper!$E:$E,"Pending")</f>
        <v>0</v>
      </c>
      <c r="J66" s="101">
        <f>COUNTIFS(Helper!$B:$B,"Milestone 6",Helper!$A:$A,"NFR",Helper!$E:$E,"Pending")</f>
        <v>0</v>
      </c>
      <c r="K66" s="118">
        <f t="shared" si="3"/>
        <v>86</v>
      </c>
    </row>
    <row r="67" ht="20" customHeight="1" spans="1:11">
      <c r="A67" s="103" t="s">
        <v>851</v>
      </c>
      <c r="B67" s="104">
        <f t="shared" ref="B67:K67" si="4">SUM(B61:B66)</f>
        <v>73</v>
      </c>
      <c r="C67" s="104">
        <f t="shared" si="4"/>
        <v>6</v>
      </c>
      <c r="D67" s="104">
        <f t="shared" si="4"/>
        <v>20</v>
      </c>
      <c r="E67" s="104">
        <f t="shared" si="4"/>
        <v>1</v>
      </c>
      <c r="F67" s="104">
        <f t="shared" si="4"/>
        <v>12</v>
      </c>
      <c r="G67" s="104">
        <f t="shared" si="4"/>
        <v>5</v>
      </c>
      <c r="H67" s="104">
        <f t="shared" si="4"/>
        <v>3</v>
      </c>
      <c r="I67" s="104">
        <f t="shared" si="4"/>
        <v>11</v>
      </c>
      <c r="J67" s="104">
        <f t="shared" si="4"/>
        <v>3</v>
      </c>
      <c r="K67" s="104">
        <f t="shared" si="4"/>
        <v>134</v>
      </c>
    </row>
    <row r="69" ht="20" customHeight="1" spans="1:11">
      <c r="A69" s="74" t="s">
        <v>877</v>
      </c>
    </row>
    <row r="70" ht="28" customHeight="1" spans="1:11">
      <c r="A70" s="92" t="s">
        <v>875</v>
      </c>
      <c r="B70" s="107" t="s">
        <v>18</v>
      </c>
      <c r="C70" s="108" t="s">
        <v>853</v>
      </c>
      <c r="D70" s="109" t="s">
        <v>854</v>
      </c>
      <c r="E70" s="110" t="s">
        <v>855</v>
      </c>
      <c r="F70" s="111" t="s">
        <v>856</v>
      </c>
      <c r="G70" s="112" t="s">
        <v>857</v>
      </c>
      <c r="H70" s="113" t="s">
        <v>858</v>
      </c>
      <c r="I70" s="115" t="s">
        <v>851</v>
      </c>
    </row>
    <row r="71" ht="18" customHeight="1" spans="1:11">
      <c r="A71" s="116" t="s">
        <v>46</v>
      </c>
      <c r="B71" s="117">
        <f>COUNTIFS(Helper!$B:$B,"Milestone 1",Helper!$D:$D,"Delivered")</f>
        <v>29</v>
      </c>
      <c r="C71" s="117">
        <f>COUNTIFS(Helper!$B:$B,"Milestone 1",Helper!$D:$D,"Dev Complete")</f>
        <v>0</v>
      </c>
      <c r="D71" s="117">
        <f>COUNTIFS(Helper!$B:$B,"Milestone 1",Helper!$D:$D,"In Development")</f>
        <v>0</v>
      </c>
      <c r="E71" s="117">
        <f>COUNTIFS(Helper!$B:$B,"Milestone 1",Helper!$D:$D,"In QA")</f>
        <v>0</v>
      </c>
      <c r="F71" s="117">
        <f>COUNTIFS(Helper!$B:$B,"Milestone 1",Helper!$D:$D,"Pre-PROD / UAT")</f>
        <v>0</v>
      </c>
      <c r="G71" s="117">
        <f>COUNTIFS(Helper!$B:$B,"Milestone 1",Helper!$D:$D,"Not Started")</f>
        <v>0</v>
      </c>
      <c r="H71" s="117">
        <f>COUNTIFS(Helper!$B:$B,"Milestone 1",Helper!$D:$D,"Partial Delivery")</f>
        <v>0</v>
      </c>
      <c r="I71" s="118">
        <f t="shared" ref="I71:I76" si="5">SUM(B71:H71)</f>
        <v>29</v>
      </c>
    </row>
    <row r="72" ht="18" customHeight="1" spans="1:11">
      <c r="A72" s="116" t="s">
        <v>69</v>
      </c>
      <c r="B72" s="117">
        <f>COUNTIFS(Helper!$B:$B,"Milestone 2",Helper!$D:$D,"Delivered")</f>
        <v>31</v>
      </c>
      <c r="C72" s="117">
        <f>COUNTIFS(Helper!$B:$B,"Milestone 2",Helper!$D:$D,"Dev Complete")</f>
        <v>0</v>
      </c>
      <c r="D72" s="117">
        <f>COUNTIFS(Helper!$B:$B,"Milestone 2",Helper!$D:$D,"In Development")</f>
        <v>0</v>
      </c>
      <c r="E72" s="117">
        <f>COUNTIFS(Helper!$B:$B,"Milestone 2",Helper!$D:$D,"In QA")</f>
        <v>0</v>
      </c>
      <c r="F72" s="117">
        <f>COUNTIFS(Helper!$B:$B,"Milestone 2",Helper!$D:$D,"Pre-PROD / UAT")</f>
        <v>1</v>
      </c>
      <c r="G72" s="117">
        <f>COUNTIFS(Helper!$B:$B,"Milestone 2",Helper!$D:$D,"Not Started")</f>
        <v>0</v>
      </c>
      <c r="H72" s="117">
        <f>COUNTIFS(Helper!$B:$B,"Milestone 2",Helper!$D:$D,"Partial Delivery")</f>
        <v>0</v>
      </c>
      <c r="I72" s="118">
        <f t="shared" si="5"/>
        <v>32</v>
      </c>
    </row>
    <row r="73" ht="18" customHeight="1" spans="1:11">
      <c r="A73" s="116" t="s">
        <v>144</v>
      </c>
      <c r="B73" s="117">
        <f>COUNTIFS(Helper!$B:$B,"Milestone 3",Helper!$D:$D,"Delivered")</f>
        <v>8</v>
      </c>
      <c r="C73" s="117">
        <f>COUNTIFS(Helper!$B:$B,"Milestone 3",Helper!$D:$D,"Dev Complete")</f>
        <v>0</v>
      </c>
      <c r="D73" s="117">
        <f>COUNTIFS(Helper!$B:$B,"Milestone 3",Helper!$D:$D,"In Development")</f>
        <v>0</v>
      </c>
      <c r="E73" s="117">
        <f>COUNTIFS(Helper!$B:$B,"Milestone 3",Helper!$D:$D,"In QA")</f>
        <v>0</v>
      </c>
      <c r="F73" s="117">
        <f>COUNTIFS(Helper!$B:$B,"Milestone 3",Helper!$D:$D,"Pre-PROD / UAT")</f>
        <v>0</v>
      </c>
      <c r="G73" s="117">
        <f>COUNTIFS(Helper!$B:$B,"Milestone 3",Helper!$D:$D,"Not Started")</f>
        <v>0</v>
      </c>
      <c r="H73" s="117">
        <f>COUNTIFS(Helper!$B:$B,"Milestone 3",Helper!$D:$D,"Partial Delivery")</f>
        <v>0</v>
      </c>
      <c r="I73" s="118">
        <f t="shared" si="5"/>
        <v>8</v>
      </c>
    </row>
    <row r="74" ht="18" customHeight="1" spans="1:11">
      <c r="A74" s="116" t="s">
        <v>84</v>
      </c>
      <c r="B74" s="117">
        <f>COUNTIFS(Helper!$B:$B,"Milestone 4",Helper!$D:$D,"Delivered")</f>
        <v>47</v>
      </c>
      <c r="C74" s="117">
        <f>COUNTIFS(Helper!$B:$B,"Milestone 4",Helper!$D:$D,"Dev Complete")</f>
        <v>0</v>
      </c>
      <c r="D74" s="117">
        <f>COUNTIFS(Helper!$B:$B,"Milestone 4",Helper!$D:$D,"In Development")</f>
        <v>0</v>
      </c>
      <c r="E74" s="117">
        <f>COUNTIFS(Helper!$B:$B,"Milestone 4",Helper!$D:$D,"In QA")</f>
        <v>0</v>
      </c>
      <c r="F74" s="117">
        <f>COUNTIFS(Helper!$B:$B,"Milestone 4",Helper!$D:$D,"Pre-PROD / UAT")</f>
        <v>4</v>
      </c>
      <c r="G74" s="117">
        <f>COUNTIFS(Helper!$B:$B,"Milestone 4",Helper!$D:$D,"Not Started")</f>
        <v>4</v>
      </c>
      <c r="H74" s="117">
        <f>COUNTIFS(Helper!$B:$B,"Milestone 4",Helper!$D:$D,"Partial Delivery")</f>
        <v>2</v>
      </c>
      <c r="I74" s="118">
        <f t="shared" si="5"/>
        <v>57</v>
      </c>
    </row>
    <row r="75" ht="18" customHeight="1" spans="1:11">
      <c r="A75" s="116" t="s">
        <v>17</v>
      </c>
      <c r="B75" s="117">
        <f>COUNTIFS(Helper!$B:$B,"Milestone 5",Helper!$D:$D,"Delivered")</f>
        <v>29</v>
      </c>
      <c r="C75" s="117">
        <f>COUNTIFS(Helper!$B:$B,"Milestone 5",Helper!$D:$D,"Dev Complete")</f>
        <v>1</v>
      </c>
      <c r="D75" s="117">
        <f>COUNTIFS(Helper!$B:$B,"Milestone 5",Helper!$D:$D,"In Development")</f>
        <v>8</v>
      </c>
      <c r="E75" s="117">
        <f>COUNTIFS(Helper!$B:$B,"Milestone 5",Helper!$D:$D,"In QA")</f>
        <v>1</v>
      </c>
      <c r="F75" s="117">
        <f>COUNTIFS(Helper!$B:$B,"Milestone 5",Helper!$D:$D,"Pre-PROD / UAT")</f>
        <v>9</v>
      </c>
      <c r="G75" s="117">
        <f>COUNTIFS(Helper!$B:$B,"Milestone 5",Helper!$D:$D,"Not Started")</f>
        <v>18</v>
      </c>
      <c r="H75" s="117">
        <f>COUNTIFS(Helper!$B:$B,"Milestone 5",Helper!$D:$D,"Partial Delivery")</f>
        <v>1</v>
      </c>
      <c r="I75" s="118">
        <f t="shared" si="5"/>
        <v>67</v>
      </c>
    </row>
    <row r="76" ht="18" customHeight="1" spans="1:11">
      <c r="A76" s="116" t="s">
        <v>459</v>
      </c>
      <c r="B76" s="117">
        <f>COUNTIFS(Helper!$B:$B,"Milestone 6",Helper!$D:$D,"Delivered")</f>
        <v>137</v>
      </c>
      <c r="C76" s="117">
        <f>COUNTIFS(Helper!$B:$B,"Milestone 6",Helper!$D:$D,"Dev Complete")</f>
        <v>5</v>
      </c>
      <c r="D76" s="117">
        <f>COUNTIFS(Helper!$B:$B,"Milestone 6",Helper!$D:$D,"In Development")</f>
        <v>14</v>
      </c>
      <c r="E76" s="117">
        <f>COUNTIFS(Helper!$B:$B,"Milestone 6",Helper!$D:$D,"In QA")</f>
        <v>3</v>
      </c>
      <c r="F76" s="117">
        <f>COUNTIFS(Helper!$B:$B,"Milestone 6",Helper!$D:$D,"Pre-PROD / UAT")</f>
        <v>6</v>
      </c>
      <c r="G76" s="117">
        <f>COUNTIFS(Helper!$B:$B,"Milestone 6",Helper!$D:$D,"Not Started")</f>
        <v>68</v>
      </c>
      <c r="H76" s="117">
        <f>COUNTIFS(Helper!$B:$B,"Milestone 6",Helper!$D:$D,"Partial Delivery")</f>
        <v>0</v>
      </c>
      <c r="I76" s="118">
        <f t="shared" si="5"/>
        <v>233</v>
      </c>
    </row>
    <row r="77" ht="20" customHeight="1" spans="1:11">
      <c r="A77" s="103" t="s">
        <v>851</v>
      </c>
      <c r="B77" s="104">
        <f t="shared" ref="B77:I77" si="6">SUM(B71:B76)</f>
        <v>281</v>
      </c>
      <c r="C77" s="104">
        <f t="shared" si="6"/>
        <v>6</v>
      </c>
      <c r="D77" s="104">
        <f t="shared" si="6"/>
        <v>22</v>
      </c>
      <c r="E77" s="104">
        <f t="shared" si="6"/>
        <v>4</v>
      </c>
      <c r="F77" s="104">
        <f t="shared" si="6"/>
        <v>20</v>
      </c>
      <c r="G77" s="104">
        <f t="shared" si="6"/>
        <v>90</v>
      </c>
      <c r="H77" s="104">
        <f t="shared" si="6"/>
        <v>3</v>
      </c>
      <c r="I77" s="104">
        <f t="shared" si="6"/>
        <v>426</v>
      </c>
    </row>
    <row r="79" ht="26" customHeight="1" spans="1:11">
      <c r="A79" s="106" t="s">
        <v>878</v>
      </c>
    </row>
  </sheetData>
  <mergeCells count="50">
    <mergeCell ref="A4:M4"/>
    <mergeCell ref="A6:F6"/>
    <mergeCell ref="H6:M6"/>
    <mergeCell ref="A11:M11"/>
    <mergeCell ref="A12:M12"/>
    <mergeCell ref="A14:F14"/>
    <mergeCell ref="A15:F15"/>
    <mergeCell ref="A16:F16"/>
    <mergeCell ref="A17:F17"/>
    <mergeCell ref="A18:F18"/>
    <mergeCell ref="A19:M19"/>
    <mergeCell ref="A20:M20"/>
    <mergeCell ref="A23:M23"/>
    <mergeCell ref="A40:M40"/>
    <mergeCell ref="A41:C41"/>
    <mergeCell ref="D41:F41"/>
    <mergeCell ref="G41:I41"/>
    <mergeCell ref="J41:L41"/>
    <mergeCell ref="A42:C42"/>
    <mergeCell ref="D42:F42"/>
    <mergeCell ref="G42:I42"/>
    <mergeCell ref="J42:L42"/>
    <mergeCell ref="A43:C43"/>
    <mergeCell ref="D43:F43"/>
    <mergeCell ref="G43:I43"/>
    <mergeCell ref="J43:L43"/>
    <mergeCell ref="A44:C44"/>
    <mergeCell ref="D44:F44"/>
    <mergeCell ref="G44:I44"/>
    <mergeCell ref="J44:L44"/>
    <mergeCell ref="A46:M46"/>
    <mergeCell ref="H47:M47"/>
    <mergeCell ref="H48:M48"/>
    <mergeCell ref="H49:M49"/>
    <mergeCell ref="H50:M50"/>
    <mergeCell ref="H51:M51"/>
    <mergeCell ref="H52:M52"/>
    <mergeCell ref="H53:M53"/>
    <mergeCell ref="H54:M54"/>
    <mergeCell ref="H55:M55"/>
    <mergeCell ref="H56:M56"/>
    <mergeCell ref="H57:M57"/>
    <mergeCell ref="A59:M59"/>
    <mergeCell ref="A69:M69"/>
    <mergeCell ref="A79:M79"/>
    <mergeCell ref="J7:M9"/>
    <mergeCell ref="A7:C9"/>
    <mergeCell ref="D7:F9"/>
    <mergeCell ref="A1:M3"/>
    <mergeCell ref="H7:I9"/>
  </mergeCells>
  <conditionalFormatting sqref="G48:G56">
    <cfRule type="dataBar" priority="1">
      <dataBar>
        <cfvo type="num" val="0"/>
        <cfvo type="num" val="1"/>
        <color rgb="FF63BE7B"/>
      </dataBar>
      <extLst>
        <ext xmlns:x14="http://schemas.microsoft.com/office/spreadsheetml/2009/9/main" uri="{B025F937-C7B1-47D3-B67F-A62EFF666E3E}">
          <x14:id>{32e94622-b5d7-4b0b-b4cd-f353133ab736}</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32e94622-b5d7-4b0b-b4cd-f353133ab736}">
            <x14:dataBar minLength="10" maxLength="90" negativeBarColorSameAsPositive="1" axisPosition="none">
              <x14:cfvo type="num">
                <xm:f>0</xm:f>
              </x14:cfvo>
              <x14:cfvo type="num">
                <xm:f>1</xm:f>
              </x14:cfvo>
              <x14:axisColor indexed="65"/>
            </x14:dataBar>
          </x14:cfRule>
          <xm:sqref>G48:G56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showGridLines="0" workbookViewId="0">
      <selection activeCell="A1" sqref="A1:M3"/>
    </sheetView>
  </sheetViews>
  <sheetFormatPr defaultColWidth="9"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8" customHeight="1" spans="1:10">
      <c r="A1" s="67" t="s">
        <v>879</v>
      </c>
    </row>
    <row r="2" ht="28" customHeight="1"/>
    <row r="3" ht="28" customHeight="1"/>
    <row r="4" ht="18" customHeight="1" spans="1:10">
      <c r="A4" s="68" t="s">
        <v>880</v>
      </c>
    </row>
    <row r="5" ht="10" customHeight="1"/>
    <row r="6" ht="22" customHeight="1" spans="1:10">
      <c r="A6" s="69" t="s">
        <v>816</v>
      </c>
      <c r="H6" s="69" t="s">
        <v>817</v>
      </c>
    </row>
    <row r="7" ht="26" customHeight="1" spans="1:10">
      <c r="A7" s="70">
        <f>ROUND(COUNTIFS('SOW, Feedbacks-Bug &amp; CR_Items'!$A:$A,"Stablization",Helper!$E:$E,"Delivered")/(COUNTIFS('SOW, Feedbacks-Bug &amp; CR_Items'!$A:$A,"Stablization",Helper!$E:$E,"Delivered")+COUNTIFS('SOW, Feedbacks-Bug &amp; CR_Items'!$A:$A,"Stablization",Helper!$E:$E,"Pending")),3)</f>
        <v>0.15</v>
      </c>
      <c r="D7" s="71" t="str">
        <f>COUNTIFS('SOW, Feedbacks-Bug &amp; CR_Items'!$A:$A,"Stablization",Helper!$E:$E,"Delivered")&amp;" of "&amp;(COUNTIFS('SOW, Feedbacks-Bug &amp; CR_Items'!$A:$A,"Stablization",Helper!$E:$E,"Delivered")+COUNTIFS('SOW, Feedbacks-Bug &amp; CR_Items'!$A:$A,"Stablization",Helper!$E:$E,"Pending"))&amp;" Stabilization items delivered"</f>
        <v>9 of 60 Stabilization items delivered</v>
      </c>
      <c r="H7" s="72">
        <f>COUNTIFS('SOW, Feedbacks-Bug &amp; CR_Items'!$A:$A,"Stablization",Helper!$E:$E,"Pending")</f>
        <v>51</v>
      </c>
      <c r="J7" s="73" t="s">
        <v>881</v>
      </c>
    </row>
    <row r="8" ht="26" customHeight="1"/>
    <row r="9" ht="26" customHeight="1"/>
    <row r="10" ht="12" customHeight="1"/>
    <row r="11" ht="20" customHeight="1" spans="1:10">
      <c r="A11" s="74" t="s">
        <v>882</v>
      </c>
    </row>
    <row r="12" ht="30" customHeight="1" spans="1:10">
      <c r="A12" s="75">
        <f>COUNTIFS('SOW, Feedbacks-Bug &amp; CR_Items'!$A:$A,"Stablization",Helper!$D:$D,"Delivered")</f>
        <v>5</v>
      </c>
      <c r="D12" s="76">
        <f>COUNTIFS('SOW, Feedbacks-Bug &amp; CR_Items'!$A:$A,"Stablization",Helper!$D:$D,"Dev Complete")</f>
        <v>4</v>
      </c>
      <c r="G12" s="77">
        <f>COUNTIFS('SOW, Feedbacks-Bug &amp; CR_Items'!$A:$A,"Stablization",Helper!$D:$D,"In Development")</f>
        <v>8</v>
      </c>
      <c r="J12" s="78">
        <f>COUNTIFS('SOW, Feedbacks-Bug &amp; CR_Items'!$A:$A,"Stablization",Helper!$D:$D,"In QA")</f>
        <v>0</v>
      </c>
    </row>
    <row r="13" ht="16" customHeight="1" spans="1:10">
      <c r="A13" s="79" t="s">
        <v>18</v>
      </c>
      <c r="D13" s="80" t="s">
        <v>853</v>
      </c>
      <c r="G13" s="81" t="s">
        <v>854</v>
      </c>
      <c r="J13" s="82" t="s">
        <v>855</v>
      </c>
    </row>
    <row r="14" ht="30" customHeight="1" spans="1:10">
      <c r="A14" s="83">
        <f>COUNTIFS('SOW, Feedbacks-Bug &amp; CR_Items'!$A:$A,"Stablization",Helper!$D:$D,"Pre-PROD / UAT")</f>
        <v>2</v>
      </c>
      <c r="D14" s="84">
        <f>COUNTIFS('SOW, Feedbacks-Bug &amp; CR_Items'!$A:$A,"Stablization",Helper!$D:$D,"Not Started")</f>
        <v>41</v>
      </c>
      <c r="G14" s="85">
        <f>COUNTIFS('SOW, Feedbacks-Bug &amp; CR_Items'!$A:$A,"Stablization",Helper!$D:$D,"Partial Delivery")</f>
        <v>0</v>
      </c>
      <c r="J14" s="86">
        <f>COUNTIFS('SOW, Feedbacks-Bug &amp; CR_Items'!$A:$A,"Stablization",Helper!$D:$D,"N/A")</f>
        <v>0</v>
      </c>
    </row>
    <row r="15" ht="16" customHeight="1" spans="1:10">
      <c r="A15" s="87" t="s">
        <v>856</v>
      </c>
      <c r="D15" s="88" t="s">
        <v>857</v>
      </c>
      <c r="G15" s="89" t="s">
        <v>858</v>
      </c>
      <c r="J15" s="90" t="s">
        <v>859</v>
      </c>
    </row>
    <row r="16" ht="12" customHeight="1"/>
    <row r="17" ht="20" customHeight="1" spans="1:13">
      <c r="A17" s="74" t="s">
        <v>883</v>
      </c>
    </row>
    <row r="18" ht="24" customHeight="1" spans="1:13">
      <c r="A18" s="91" t="s">
        <v>1</v>
      </c>
      <c r="B18" s="91" t="s">
        <v>862</v>
      </c>
      <c r="C18" s="91" t="s">
        <v>18</v>
      </c>
      <c r="D18" s="91" t="s">
        <v>836</v>
      </c>
      <c r="E18" s="91" t="s">
        <v>859</v>
      </c>
      <c r="F18" s="91" t="s">
        <v>863</v>
      </c>
      <c r="G18" s="92" t="s">
        <v>864</v>
      </c>
      <c r="H18" s="93"/>
      <c r="I18" s="93"/>
      <c r="J18" s="93"/>
      <c r="K18" s="93"/>
      <c r="L18" s="93"/>
      <c r="M18" s="94"/>
    </row>
    <row r="19" ht="18" customHeight="1" spans="1:13">
      <c r="A19" s="95" t="s">
        <v>510</v>
      </c>
      <c r="B19" s="96">
        <f>COUNTIFS('SOW, Feedbacks-Bug &amp; CR_Items'!$A:$A,"Stablization",'SOW, Feedbacks-Bug &amp; CR_Items'!$B:$B,"Business Critical")</f>
        <v>22</v>
      </c>
      <c r="C19" s="97">
        <f>COUNTIFS('SOW, Feedbacks-Bug &amp; CR_Items'!$A:$A,"Stablization",'SOW, Feedbacks-Bug &amp; CR_Items'!$B:$B,"Business Critical",Helper!$E:$E,"Delivered")</f>
        <v>7</v>
      </c>
      <c r="D19" s="98">
        <f>COUNTIFS('SOW, Feedbacks-Bug &amp; CR_Items'!$A:$A,"Stablization",'SOW, Feedbacks-Bug &amp; CR_Items'!$B:$B,"Business Critical",Helper!$E:$E,"Pending")</f>
        <v>15</v>
      </c>
      <c r="E19" s="96">
        <f>COUNTIFS('SOW, Feedbacks-Bug &amp; CR_Items'!$A:$A,"Stablization",'SOW, Feedbacks-Bug &amp; CR_Items'!$B:$B,"Business Critical",Helper!$E:$E,"N/A")</f>
        <v>0</v>
      </c>
      <c r="F19" s="99">
        <f>IFERROR(C19/(C19+D19),0)</f>
        <v>0.318181818181818</v>
      </c>
      <c r="G19" s="99">
        <f>F19</f>
        <v>0.318181818181818</v>
      </c>
      <c r="H19" s="93"/>
      <c r="I19" s="93"/>
      <c r="J19" s="93"/>
      <c r="K19" s="93"/>
      <c r="L19" s="93"/>
      <c r="M19" s="94"/>
    </row>
    <row r="20" ht="18" customHeight="1" spans="1:13">
      <c r="A20" s="100" t="s">
        <v>770</v>
      </c>
      <c r="B20" s="101">
        <f>COUNTIFS('SOW, Feedbacks-Bug &amp; CR_Items'!$A:$A,"Stablization",'SOW, Feedbacks-Bug &amp; CR_Items'!$B:$B,"Maintenance")</f>
        <v>10</v>
      </c>
      <c r="C20" s="97">
        <f>COUNTIFS('SOW, Feedbacks-Bug &amp; CR_Items'!$A:$A,"Stablization",'SOW, Feedbacks-Bug &amp; CR_Items'!$B:$B,"Maintenance",Helper!$E:$E,"Delivered")</f>
        <v>0</v>
      </c>
      <c r="D20" s="98">
        <f>COUNTIFS('SOW, Feedbacks-Bug &amp; CR_Items'!$A:$A,"Stablization",'SOW, Feedbacks-Bug &amp; CR_Items'!$B:$B,"Maintenance",Helper!$E:$E,"Pending")</f>
        <v>10</v>
      </c>
      <c r="E20" s="101">
        <f>COUNTIFS('SOW, Feedbacks-Bug &amp; CR_Items'!$A:$A,"Stablization",'SOW, Feedbacks-Bug &amp; CR_Items'!$B:$B,"Maintenance",Helper!$E:$E,"N/A")</f>
        <v>0</v>
      </c>
      <c r="F20" s="102">
        <f>IFERROR(C20/(C20+D20),0)</f>
        <v>0</v>
      </c>
      <c r="G20" s="102">
        <f>F20</f>
        <v>0</v>
      </c>
      <c r="H20" s="93"/>
      <c r="I20" s="93"/>
      <c r="J20" s="93"/>
      <c r="K20" s="93"/>
      <c r="L20" s="93"/>
      <c r="M20" s="94"/>
    </row>
    <row r="21" ht="18" customHeight="1" spans="1:13">
      <c r="A21" s="95" t="s">
        <v>712</v>
      </c>
      <c r="B21" s="96">
        <f>COUNTIFS('SOW, Feedbacks-Bug &amp; CR_Items'!$A:$A,"Stablization",'SOW, Feedbacks-Bug &amp; CR_Items'!$B:$B,"Operational")</f>
        <v>25</v>
      </c>
      <c r="C21" s="97">
        <f>COUNTIFS('SOW, Feedbacks-Bug &amp; CR_Items'!$A:$A,"Stablization",'SOW, Feedbacks-Bug &amp; CR_Items'!$B:$B,"Operational",Helper!$E:$E,"Delivered")</f>
        <v>2</v>
      </c>
      <c r="D21" s="98">
        <f>COUNTIFS('SOW, Feedbacks-Bug &amp; CR_Items'!$A:$A,"Stablization",'SOW, Feedbacks-Bug &amp; CR_Items'!$B:$B,"Operational",Helper!$E:$E,"Pending")</f>
        <v>23</v>
      </c>
      <c r="E21" s="96">
        <f>COUNTIFS('SOW, Feedbacks-Bug &amp; CR_Items'!$A:$A,"Stablization",'SOW, Feedbacks-Bug &amp; CR_Items'!$B:$B,"Operational",Helper!$E:$E,"N/A")</f>
        <v>0</v>
      </c>
      <c r="F21" s="99">
        <f>IFERROR(C21/(C21+D21),0)</f>
        <v>0.08</v>
      </c>
      <c r="G21" s="99">
        <f>F21</f>
        <v>0.08</v>
      </c>
      <c r="H21" s="93"/>
      <c r="I21" s="93"/>
      <c r="J21" s="93"/>
      <c r="K21" s="93"/>
      <c r="L21" s="93"/>
      <c r="M21" s="94"/>
    </row>
    <row r="22" ht="18" customHeight="1" spans="1:13">
      <c r="A22" s="100" t="s">
        <v>715</v>
      </c>
      <c r="B22" s="101">
        <f>COUNTIFS('SOW, Feedbacks-Bug &amp; CR_Items'!$A:$A,"Stablization",'SOW, Feedbacks-Bug &amp; CR_Items'!$B:$B,"Orphan Records")</f>
        <v>3</v>
      </c>
      <c r="C22" s="97">
        <f>COUNTIFS('SOW, Feedbacks-Bug &amp; CR_Items'!$A:$A,"Stablization",'SOW, Feedbacks-Bug &amp; CR_Items'!$B:$B,"Orphan Records",Helper!$E:$E,"Delivered")</f>
        <v>0</v>
      </c>
      <c r="D22" s="98">
        <f>COUNTIFS('SOW, Feedbacks-Bug &amp; CR_Items'!$A:$A,"Stablization",'SOW, Feedbacks-Bug &amp; CR_Items'!$B:$B,"Orphan Records",Helper!$E:$E,"Pending")</f>
        <v>3</v>
      </c>
      <c r="E22" s="101">
        <f>COUNTIFS('SOW, Feedbacks-Bug &amp; CR_Items'!$A:$A,"Stablization",'SOW, Feedbacks-Bug &amp; CR_Items'!$B:$B,"Orphan Records",Helper!$E:$E,"N/A")</f>
        <v>0</v>
      </c>
      <c r="F22" s="102">
        <f>IFERROR(C22/(C22+D22),0)</f>
        <v>0</v>
      </c>
      <c r="G22" s="102">
        <f>F22</f>
        <v>0</v>
      </c>
      <c r="H22" s="93"/>
      <c r="I22" s="93"/>
      <c r="J22" s="93"/>
      <c r="K22" s="93"/>
      <c r="L22" s="93"/>
      <c r="M22" s="94"/>
    </row>
    <row r="23" ht="20" customHeight="1" spans="1:13">
      <c r="A23" s="103" t="s">
        <v>851</v>
      </c>
      <c r="B23" s="104">
        <f>COUNTIFS('SOW, Feedbacks-Bug &amp; CR_Items'!$A:$A,"Stablization")</f>
        <v>60</v>
      </c>
      <c r="C23" s="104">
        <f>COUNTIFS('SOW, Feedbacks-Bug &amp; CR_Items'!$A:$A,"Stablization",Helper!$E:$E,"Delivered")</f>
        <v>9</v>
      </c>
      <c r="D23" s="104">
        <f>COUNTIFS('SOW, Feedbacks-Bug &amp; CR_Items'!$A:$A,"Stablization",Helper!$E:$E,"Pending")</f>
        <v>51</v>
      </c>
      <c r="E23" s="104">
        <f>COUNTIFS('SOW, Feedbacks-Bug &amp; CR_Items'!$A:$A,"Stablization",Helper!$E:$E,"N/A")</f>
        <v>0</v>
      </c>
      <c r="F23" s="105">
        <f>IFERROR(C23/(C23+D23),0)</f>
        <v>0.15</v>
      </c>
      <c r="G23" s="105">
        <f>F23</f>
        <v>0.15</v>
      </c>
      <c r="H23" s="93"/>
      <c r="I23" s="93"/>
      <c r="J23" s="93"/>
      <c r="K23" s="93"/>
      <c r="L23" s="93"/>
      <c r="M23" s="94"/>
    </row>
    <row r="25" ht="26" customHeight="1" spans="1:13">
      <c r="A25" s="106" t="s">
        <v>884</v>
      </c>
    </row>
    <row r="27" ht="20" customHeight="1" spans="1:13">
      <c r="A27" s="74" t="s">
        <v>885</v>
      </c>
    </row>
    <row r="28" ht="28" customHeight="1" spans="1:13">
      <c r="A28" s="92" t="s">
        <v>9</v>
      </c>
      <c r="B28" s="107" t="s">
        <v>18</v>
      </c>
      <c r="C28" s="108" t="s">
        <v>853</v>
      </c>
      <c r="D28" s="109" t="s">
        <v>854</v>
      </c>
      <c r="E28" s="110" t="s">
        <v>855</v>
      </c>
      <c r="F28" s="111" t="s">
        <v>856</v>
      </c>
      <c r="G28" s="112" t="s">
        <v>857</v>
      </c>
      <c r="H28" s="113" t="s">
        <v>858</v>
      </c>
      <c r="I28" s="114" t="s">
        <v>859</v>
      </c>
      <c r="J28" s="114" t="s">
        <v>886</v>
      </c>
      <c r="K28" s="115" t="s">
        <v>851</v>
      </c>
    </row>
    <row r="29" ht="18" customHeight="1" spans="1:13">
      <c r="A29" s="116" t="s">
        <v>721</v>
      </c>
      <c r="B29" s="117">
        <f>COUNTIFS('SOW, Feedbacks-Bug &amp; CR_Items'!$A:$A,"Stablization",'SOW, Feedbacks-Bug &amp; CR_Items'!$J:$J,"High",Helper!$D:$D,"Delivered")</f>
        <v>5</v>
      </c>
      <c r="C29" s="117">
        <f>COUNTIFS('SOW, Feedbacks-Bug &amp; CR_Items'!$A:$A,"Stablization",'SOW, Feedbacks-Bug &amp; CR_Items'!$J:$J,"High",Helper!$D:$D,"Dev Complete")</f>
        <v>4</v>
      </c>
      <c r="D29" s="117">
        <f>COUNTIFS('SOW, Feedbacks-Bug &amp; CR_Items'!$A:$A,"Stablization",'SOW, Feedbacks-Bug &amp; CR_Items'!$J:$J,"High",Helper!$D:$D,"In Development")</f>
        <v>8</v>
      </c>
      <c r="E29" s="117">
        <f>COUNTIFS('SOW, Feedbacks-Bug &amp; CR_Items'!$A:$A,"Stablization",'SOW, Feedbacks-Bug &amp; CR_Items'!$J:$J,"High",Helper!$D:$D,"In QA")</f>
        <v>0</v>
      </c>
      <c r="F29" s="117">
        <f>COUNTIFS('SOW, Feedbacks-Bug &amp; CR_Items'!$A:$A,"Stablization",'SOW, Feedbacks-Bug &amp; CR_Items'!$J:$J,"High",Helper!$D:$D,"Pre-PROD / UAT")</f>
        <v>2</v>
      </c>
      <c r="G29" s="117">
        <f>COUNTIFS('SOW, Feedbacks-Bug &amp; CR_Items'!$A:$A,"Stablization",'SOW, Feedbacks-Bug &amp; CR_Items'!$J:$J,"High",Helper!$D:$D,"Not Started")</f>
        <v>17</v>
      </c>
      <c r="H29" s="117">
        <f>COUNTIFS('SOW, Feedbacks-Bug &amp; CR_Items'!$A:$A,"Stablization",'SOW, Feedbacks-Bug &amp; CR_Items'!$J:$J,"High",Helper!$D:$D,"Partial Delivery")</f>
        <v>0</v>
      </c>
      <c r="I29" s="117">
        <f>COUNTIFS('SOW, Feedbacks-Bug &amp; CR_Items'!$A:$A,"Stablization",'SOW, Feedbacks-Bug &amp; CR_Items'!$J:$J,"High",Helper!$D:$D,"N/A")</f>
        <v>0</v>
      </c>
      <c r="J29" s="117">
        <f>COUNTIFS('SOW, Feedbacks-Bug &amp; CR_Items'!$A:$A,"Stablization",'SOW, Feedbacks-Bug &amp; CR_Items'!$J:$J,"High",Helper!$D:$D,"Unknown")</f>
        <v>0</v>
      </c>
      <c r="K29" s="118">
        <f>SUM(B29:J29)</f>
        <v>36</v>
      </c>
    </row>
    <row r="30" ht="18" customHeight="1" spans="1:13">
      <c r="A30" s="116" t="s">
        <v>516</v>
      </c>
      <c r="B30" s="117">
        <f>COUNTIFS('SOW, Feedbacks-Bug &amp; CR_Items'!$A:$A,"Stablization",'SOW, Feedbacks-Bug &amp; CR_Items'!$J:$J,"Medium",Helper!$D:$D,"Delivered")</f>
        <v>0</v>
      </c>
      <c r="C30" s="117">
        <f>COUNTIFS('SOW, Feedbacks-Bug &amp; CR_Items'!$A:$A,"Stablization",'SOW, Feedbacks-Bug &amp; CR_Items'!$J:$J,"Medium",Helper!$D:$D,"Dev Complete")</f>
        <v>0</v>
      </c>
      <c r="D30" s="117">
        <f>COUNTIFS('SOW, Feedbacks-Bug &amp; CR_Items'!$A:$A,"Stablization",'SOW, Feedbacks-Bug &amp; CR_Items'!$J:$J,"Medium",Helper!$D:$D,"In Development")</f>
        <v>0</v>
      </c>
      <c r="E30" s="117">
        <f>COUNTIFS('SOW, Feedbacks-Bug &amp; CR_Items'!$A:$A,"Stablization",'SOW, Feedbacks-Bug &amp; CR_Items'!$J:$J,"Medium",Helper!$D:$D,"In QA")</f>
        <v>0</v>
      </c>
      <c r="F30" s="117">
        <f>COUNTIFS('SOW, Feedbacks-Bug &amp; CR_Items'!$A:$A,"Stablization",'SOW, Feedbacks-Bug &amp; CR_Items'!$J:$J,"Medium",Helper!$D:$D,"Pre-PROD / UAT")</f>
        <v>0</v>
      </c>
      <c r="G30" s="117">
        <f>COUNTIFS('SOW, Feedbacks-Bug &amp; CR_Items'!$A:$A,"Stablization",'SOW, Feedbacks-Bug &amp; CR_Items'!$J:$J,"Medium",Helper!$D:$D,"Not Started")</f>
        <v>6</v>
      </c>
      <c r="H30" s="117">
        <f>COUNTIFS('SOW, Feedbacks-Bug &amp; CR_Items'!$A:$A,"Stablization",'SOW, Feedbacks-Bug &amp; CR_Items'!$J:$J,"Medium",Helper!$D:$D,"Partial Delivery")</f>
        <v>0</v>
      </c>
      <c r="I30" s="117">
        <f>COUNTIFS('SOW, Feedbacks-Bug &amp; CR_Items'!$A:$A,"Stablization",'SOW, Feedbacks-Bug &amp; CR_Items'!$J:$J,"Medium",Helper!$D:$D,"N/A")</f>
        <v>0</v>
      </c>
      <c r="J30" s="117">
        <f>COUNTIFS('SOW, Feedbacks-Bug &amp; CR_Items'!$A:$A,"Stablization",'SOW, Feedbacks-Bug &amp; CR_Items'!$J:$J,"Medium",Helper!$D:$D,"Unknown")</f>
        <v>0</v>
      </c>
      <c r="K30" s="118">
        <f>SUM(B30:J30)</f>
        <v>6</v>
      </c>
    </row>
    <row r="31" ht="18" customHeight="1" spans="1:13">
      <c r="A31" s="116" t="s">
        <v>776</v>
      </c>
      <c r="B31" s="117">
        <f>COUNTIFS('SOW, Feedbacks-Bug &amp; CR_Items'!$A:$A,"Stablization",'SOW, Feedbacks-Bug &amp; CR_Items'!$J:$J,"Low",Helper!$D:$D,"Delivered")</f>
        <v>0</v>
      </c>
      <c r="C31" s="117">
        <f>COUNTIFS('SOW, Feedbacks-Bug &amp; CR_Items'!$A:$A,"Stablization",'SOW, Feedbacks-Bug &amp; CR_Items'!$J:$J,"Low",Helper!$D:$D,"Dev Complete")</f>
        <v>0</v>
      </c>
      <c r="D31" s="117">
        <f>COUNTIFS('SOW, Feedbacks-Bug &amp; CR_Items'!$A:$A,"Stablization",'SOW, Feedbacks-Bug &amp; CR_Items'!$J:$J,"Low",Helper!$D:$D,"In Development")</f>
        <v>0</v>
      </c>
      <c r="E31" s="117">
        <f>COUNTIFS('SOW, Feedbacks-Bug &amp; CR_Items'!$A:$A,"Stablization",'SOW, Feedbacks-Bug &amp; CR_Items'!$J:$J,"Low",Helper!$D:$D,"In QA")</f>
        <v>0</v>
      </c>
      <c r="F31" s="117">
        <f>COUNTIFS('SOW, Feedbacks-Bug &amp; CR_Items'!$A:$A,"Stablization",'SOW, Feedbacks-Bug &amp; CR_Items'!$J:$J,"Low",Helper!$D:$D,"Pre-PROD / UAT")</f>
        <v>0</v>
      </c>
      <c r="G31" s="117">
        <f>COUNTIFS('SOW, Feedbacks-Bug &amp; CR_Items'!$A:$A,"Stablization",'SOW, Feedbacks-Bug &amp; CR_Items'!$J:$J,"Low",Helper!$D:$D,"Not Started")</f>
        <v>18</v>
      </c>
      <c r="H31" s="117">
        <f>COUNTIFS('SOW, Feedbacks-Bug &amp; CR_Items'!$A:$A,"Stablization",'SOW, Feedbacks-Bug &amp; CR_Items'!$J:$J,"Low",Helper!$D:$D,"Partial Delivery")</f>
        <v>0</v>
      </c>
      <c r="I31" s="117">
        <f>COUNTIFS('SOW, Feedbacks-Bug &amp; CR_Items'!$A:$A,"Stablization",'SOW, Feedbacks-Bug &amp; CR_Items'!$J:$J,"Low",Helper!$D:$D,"N/A")</f>
        <v>0</v>
      </c>
      <c r="J31" s="117">
        <f>COUNTIFS('SOW, Feedbacks-Bug &amp; CR_Items'!$A:$A,"Stablization",'SOW, Feedbacks-Bug &amp; CR_Items'!$J:$J,"Low",Helper!$D:$D,"Unknown")</f>
        <v>0</v>
      </c>
      <c r="K31" s="118">
        <f>SUM(B31:J31)</f>
        <v>18</v>
      </c>
    </row>
    <row r="32" ht="20" customHeight="1" spans="1:13">
      <c r="A32" s="103" t="s">
        <v>851</v>
      </c>
      <c r="B32" s="104">
        <f t="shared" ref="B32:K32" si="0">SUM(B29:B31)</f>
        <v>5</v>
      </c>
      <c r="C32" s="104">
        <f t="shared" si="0"/>
        <v>4</v>
      </c>
      <c r="D32" s="104">
        <f t="shared" si="0"/>
        <v>8</v>
      </c>
      <c r="E32" s="104">
        <f t="shared" si="0"/>
        <v>0</v>
      </c>
      <c r="F32" s="104">
        <f t="shared" si="0"/>
        <v>2</v>
      </c>
      <c r="G32" s="104">
        <f t="shared" si="0"/>
        <v>41</v>
      </c>
      <c r="H32" s="104">
        <f t="shared" si="0"/>
        <v>0</v>
      </c>
      <c r="I32" s="104">
        <f t="shared" si="0"/>
        <v>0</v>
      </c>
      <c r="J32" s="104">
        <f t="shared" si="0"/>
        <v>0</v>
      </c>
      <c r="K32" s="104">
        <f t="shared" si="0"/>
        <v>60</v>
      </c>
    </row>
    <row r="34" ht="26" customHeight="1" spans="1:11">
      <c r="A34" s="106" t="s">
        <v>887</v>
      </c>
    </row>
    <row r="36" ht="20" customHeight="1" spans="1:11">
      <c r="A36" s="74" t="s">
        <v>888</v>
      </c>
    </row>
    <row r="37" ht="18" customHeight="1" spans="1:11">
      <c r="A37" s="91" t="s">
        <v>889</v>
      </c>
      <c r="B37" s="91" t="s">
        <v>862</v>
      </c>
      <c r="C37" s="91" t="s">
        <v>890</v>
      </c>
      <c r="D37" s="91" t="s">
        <v>18</v>
      </c>
      <c r="E37" s="91" t="s">
        <v>891</v>
      </c>
      <c r="F37" s="91" t="s">
        <v>836</v>
      </c>
      <c r="G37" s="91" t="s">
        <v>892</v>
      </c>
      <c r="H37" s="91" t="s">
        <v>863</v>
      </c>
      <c r="I37" s="91" t="s">
        <v>893</v>
      </c>
      <c r="J37" s="91" t="s">
        <v>894</v>
      </c>
      <c r="K37" s="91" t="s">
        <v>895</v>
      </c>
    </row>
    <row r="38" ht="16" customHeight="1" spans="1:11">
      <c r="A38" s="119">
        <v>46237</v>
      </c>
      <c r="B38" s="117">
        <v>31</v>
      </c>
      <c r="C38" s="120">
        <v>2</v>
      </c>
      <c r="D38" s="97">
        <v>0</v>
      </c>
      <c r="E38" s="120">
        <v>33</v>
      </c>
      <c r="F38" s="98">
        <v>31</v>
      </c>
      <c r="G38" s="117" t="s">
        <v>896</v>
      </c>
      <c r="H38" s="121">
        <v>0</v>
      </c>
      <c r="I38" s="98">
        <v>-2</v>
      </c>
      <c r="J38" s="117">
        <v>11</v>
      </c>
      <c r="K38" s="117">
        <v>2.8</v>
      </c>
    </row>
    <row r="39" ht="16" customHeight="1" spans="1:11">
      <c r="A39" s="119">
        <v>46238</v>
      </c>
      <c r="B39" s="117">
        <v>31</v>
      </c>
      <c r="C39" s="120">
        <v>6</v>
      </c>
      <c r="D39" s="97">
        <v>0</v>
      </c>
      <c r="E39" s="120">
        <v>29</v>
      </c>
      <c r="F39" s="98">
        <v>31</v>
      </c>
      <c r="G39" s="117">
        <v>0</v>
      </c>
      <c r="H39" s="121">
        <v>0</v>
      </c>
      <c r="I39" s="98">
        <v>-6</v>
      </c>
      <c r="J39" s="117">
        <v>10</v>
      </c>
      <c r="K39" s="117">
        <v>3.1</v>
      </c>
    </row>
    <row r="40" ht="16" customHeight="1" spans="1:11">
      <c r="A40" s="119">
        <v>46239</v>
      </c>
      <c r="B40" s="122" t="s">
        <v>896</v>
      </c>
      <c r="C40" s="120">
        <v>10</v>
      </c>
      <c r="D40" s="122" t="s">
        <v>896</v>
      </c>
      <c r="E40" s="120">
        <v>25</v>
      </c>
      <c r="F40" s="122" t="s">
        <v>896</v>
      </c>
      <c r="G40" s="122" t="s">
        <v>896</v>
      </c>
      <c r="H40" s="122" t="s">
        <v>896</v>
      </c>
      <c r="I40" s="122" t="s">
        <v>896</v>
      </c>
      <c r="J40" s="117">
        <v>9</v>
      </c>
      <c r="K40" s="122" t="s">
        <v>896</v>
      </c>
    </row>
    <row r="41" ht="16" customHeight="1" spans="1:11">
      <c r="A41" s="119">
        <v>46240</v>
      </c>
      <c r="B41" s="117">
        <v>35</v>
      </c>
      <c r="C41" s="120">
        <v>16</v>
      </c>
      <c r="D41" s="97">
        <v>9</v>
      </c>
      <c r="E41" s="120">
        <v>19</v>
      </c>
      <c r="F41" s="98">
        <v>26</v>
      </c>
      <c r="G41" s="117">
        <v>9</v>
      </c>
      <c r="H41" s="121">
        <v>0.2571</v>
      </c>
      <c r="I41" s="98">
        <v>-7</v>
      </c>
      <c r="J41" s="117">
        <v>8</v>
      </c>
      <c r="K41" s="117">
        <v>3.2</v>
      </c>
    </row>
    <row r="42" ht="16" customHeight="1" spans="1:11">
      <c r="A42" s="119">
        <v>46241</v>
      </c>
      <c r="B42" s="117">
        <v>35</v>
      </c>
      <c r="C42" s="120">
        <v>21</v>
      </c>
      <c r="D42" s="97">
        <v>9</v>
      </c>
      <c r="E42" s="120">
        <v>14</v>
      </c>
      <c r="F42" s="98">
        <v>26</v>
      </c>
      <c r="G42" s="117">
        <v>0</v>
      </c>
      <c r="H42" s="121">
        <v>0.2571</v>
      </c>
      <c r="I42" s="98">
        <v>-12</v>
      </c>
      <c r="J42" s="117">
        <v>7</v>
      </c>
      <c r="K42" s="117">
        <v>3.7</v>
      </c>
    </row>
    <row r="43" ht="16" customHeight="1" spans="1:11">
      <c r="A43" s="119">
        <v>46242</v>
      </c>
      <c r="B43" s="122" t="s">
        <v>896</v>
      </c>
      <c r="C43" s="120">
        <v>21</v>
      </c>
      <c r="D43" s="122" t="s">
        <v>896</v>
      </c>
      <c r="E43" s="120">
        <v>14</v>
      </c>
      <c r="F43" s="122" t="s">
        <v>896</v>
      </c>
      <c r="G43" s="122" t="s">
        <v>896</v>
      </c>
      <c r="H43" s="122" t="s">
        <v>896</v>
      </c>
      <c r="I43" s="122" t="s">
        <v>896</v>
      </c>
      <c r="J43" s="117">
        <v>6</v>
      </c>
      <c r="K43" s="122" t="s">
        <v>896</v>
      </c>
    </row>
    <row r="44" ht="16" customHeight="1" spans="1:11">
      <c r="A44" s="119">
        <v>46243</v>
      </c>
      <c r="B44" s="122" t="s">
        <v>896</v>
      </c>
      <c r="C44" s="120">
        <v>21</v>
      </c>
      <c r="D44" s="122" t="s">
        <v>896</v>
      </c>
      <c r="E44" s="120">
        <v>14</v>
      </c>
      <c r="F44" s="122" t="s">
        <v>896</v>
      </c>
      <c r="G44" s="122" t="s">
        <v>896</v>
      </c>
      <c r="H44" s="122" t="s">
        <v>896</v>
      </c>
      <c r="I44" s="122" t="s">
        <v>896</v>
      </c>
      <c r="J44" s="117">
        <v>5</v>
      </c>
      <c r="K44" s="122" t="s">
        <v>896</v>
      </c>
    </row>
    <row r="45" ht="16" customHeight="1" spans="1:11">
      <c r="A45" s="119">
        <v>46244</v>
      </c>
      <c r="B45" s="122" t="s">
        <v>896</v>
      </c>
      <c r="C45" s="120">
        <v>22</v>
      </c>
      <c r="D45" s="122" t="s">
        <v>896</v>
      </c>
      <c r="E45" s="120">
        <v>13</v>
      </c>
      <c r="F45" s="122" t="s">
        <v>896</v>
      </c>
      <c r="G45" s="122" t="s">
        <v>896</v>
      </c>
      <c r="H45" s="122" t="s">
        <v>896</v>
      </c>
      <c r="I45" s="122" t="s">
        <v>896</v>
      </c>
      <c r="J45" s="117">
        <v>4</v>
      </c>
      <c r="K45" s="122" t="s">
        <v>896</v>
      </c>
    </row>
    <row r="46" ht="16" customHeight="1" spans="1:11">
      <c r="A46" s="119">
        <v>46245</v>
      </c>
      <c r="B46" s="122" t="s">
        <v>896</v>
      </c>
      <c r="C46" s="120">
        <v>29</v>
      </c>
      <c r="D46" s="122" t="s">
        <v>896</v>
      </c>
      <c r="E46" s="120">
        <v>6</v>
      </c>
      <c r="F46" s="122" t="s">
        <v>896</v>
      </c>
      <c r="G46" s="122" t="s">
        <v>896</v>
      </c>
      <c r="H46" s="122" t="s">
        <v>896</v>
      </c>
      <c r="I46" s="122" t="s">
        <v>896</v>
      </c>
      <c r="J46" s="117">
        <v>3</v>
      </c>
      <c r="K46" s="122" t="s">
        <v>896</v>
      </c>
    </row>
    <row r="47" ht="16" customHeight="1" spans="1:11">
      <c r="A47" s="119">
        <v>46246</v>
      </c>
      <c r="B47" s="122" t="s">
        <v>896</v>
      </c>
      <c r="C47" s="120">
        <v>32</v>
      </c>
      <c r="D47" s="122" t="s">
        <v>896</v>
      </c>
      <c r="E47" s="120">
        <v>3</v>
      </c>
      <c r="F47" s="122" t="s">
        <v>896</v>
      </c>
      <c r="G47" s="122" t="s">
        <v>896</v>
      </c>
      <c r="H47" s="122" t="s">
        <v>896</v>
      </c>
      <c r="I47" s="122" t="s">
        <v>896</v>
      </c>
      <c r="J47" s="117">
        <v>2</v>
      </c>
      <c r="K47" s="122" t="s">
        <v>896</v>
      </c>
    </row>
    <row r="48" ht="16" customHeight="1" spans="1:11">
      <c r="A48" s="119">
        <v>46247</v>
      </c>
      <c r="B48" s="122" t="s">
        <v>896</v>
      </c>
      <c r="C48" s="120">
        <v>34</v>
      </c>
      <c r="D48" s="122" t="s">
        <v>896</v>
      </c>
      <c r="E48" s="120">
        <v>1</v>
      </c>
      <c r="F48" s="122" t="s">
        <v>896</v>
      </c>
      <c r="G48" s="122" t="s">
        <v>896</v>
      </c>
      <c r="H48" s="122" t="s">
        <v>896</v>
      </c>
      <c r="I48" s="122" t="s">
        <v>896</v>
      </c>
      <c r="J48" s="117">
        <v>1</v>
      </c>
      <c r="K48" s="122" t="s">
        <v>896</v>
      </c>
    </row>
    <row r="49" ht="16" customHeight="1" spans="1:11">
      <c r="A49" s="119">
        <v>46248</v>
      </c>
      <c r="B49" s="122" t="s">
        <v>896</v>
      </c>
      <c r="C49" s="120">
        <v>35</v>
      </c>
      <c r="D49" s="122" t="s">
        <v>896</v>
      </c>
      <c r="E49" s="120">
        <v>0</v>
      </c>
      <c r="F49" s="122" t="s">
        <v>896</v>
      </c>
      <c r="G49" s="122" t="s">
        <v>896</v>
      </c>
      <c r="H49" s="122" t="s">
        <v>896</v>
      </c>
      <c r="I49" s="122" t="s">
        <v>896</v>
      </c>
      <c r="J49" s="117">
        <v>0</v>
      </c>
      <c r="K49" s="122" t="s">
        <v>896</v>
      </c>
    </row>
    <row r="50" ht="16" customHeight="1" spans="1:11">
      <c r="A50" s="123" t="s">
        <v>897</v>
      </c>
      <c r="B50" s="94"/>
      <c r="C50" s="118">
        <v>25</v>
      </c>
    </row>
    <row r="52" ht="26" customHeight="1" spans="1:11">
      <c r="A52" s="106" t="s">
        <v>898</v>
      </c>
    </row>
  </sheetData>
  <mergeCells count="38">
    <mergeCell ref="A4:M4"/>
    <mergeCell ref="A6:F6"/>
    <mergeCell ref="H6:M6"/>
    <mergeCell ref="A11:M11"/>
    <mergeCell ref="A12:C12"/>
    <mergeCell ref="D12:F12"/>
    <mergeCell ref="G12:I12"/>
    <mergeCell ref="J12:L12"/>
    <mergeCell ref="A13:C13"/>
    <mergeCell ref="D13:F13"/>
    <mergeCell ref="G13:I13"/>
    <mergeCell ref="J13:L13"/>
    <mergeCell ref="A14:C14"/>
    <mergeCell ref="D14:F14"/>
    <mergeCell ref="G14:I14"/>
    <mergeCell ref="J14:L14"/>
    <mergeCell ref="A15:C15"/>
    <mergeCell ref="D15:F15"/>
    <mergeCell ref="G15:I15"/>
    <mergeCell ref="J15:L15"/>
    <mergeCell ref="A17:M17"/>
    <mergeCell ref="G18:M18"/>
    <mergeCell ref="G19:M19"/>
    <mergeCell ref="G20:M20"/>
    <mergeCell ref="G21:M21"/>
    <mergeCell ref="G22:M22"/>
    <mergeCell ref="G23:M23"/>
    <mergeCell ref="A25:M25"/>
    <mergeCell ref="A27:M27"/>
    <mergeCell ref="A34:M34"/>
    <mergeCell ref="A36:M36"/>
    <mergeCell ref="A50:B50"/>
    <mergeCell ref="A52:M52"/>
    <mergeCell ref="J7:M9"/>
    <mergeCell ref="A7:C9"/>
    <mergeCell ref="D7:F9"/>
    <mergeCell ref="A1:M3"/>
    <mergeCell ref="H7:I9"/>
  </mergeCells>
  <conditionalFormatting sqref="F19:F22">
    <cfRule type="dataBar" priority="1">
      <dataBar>
        <cfvo type="num" val="0"/>
        <cfvo type="num" val="1"/>
        <color rgb="FF63BE7B"/>
      </dataBar>
      <extLst>
        <ext xmlns:x14="http://schemas.microsoft.com/office/spreadsheetml/2009/9/main" uri="{B025F937-C7B1-47D3-B67F-A62EFF666E3E}">
          <x14:id>{2482e3d1-6c3e-4be2-959e-3b31c7ffebb2}</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2482e3d1-6c3e-4be2-959e-3b31c7ffebb2}">
            <x14:dataBar minLength="10" maxLength="90" negativeBarColorSameAsPositive="1" axisPosition="none">
              <x14:cfvo type="num">
                <xm:f>0</xm:f>
              </x14:cfvo>
              <x14:cfvo type="num">
                <xm:f>1</xm:f>
              </x14:cfvo>
              <x14:axisColor indexed="65"/>
            </x14:dataBar>
          </x14:cfRule>
          <xm:sqref>F19:F22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66" t="s">
        <v>899</v>
      </c>
    </row>
    <row r="2" ht="22" customHeight="1"/>
    <row r="3" ht="14" customHeight="1" spans="1:10">
      <c r="A3" s="42" t="s">
        <v>900</v>
      </c>
    </row>
    <row r="4" ht="6" customHeight="1"/>
    <row r="5" ht="22" customHeight="1" spans="1:10">
      <c r="A5" s="43" t="s">
        <v>901</v>
      </c>
      <c r="B5" s="43" t="s">
        <v>3</v>
      </c>
      <c r="C5" s="43" t="s">
        <v>1</v>
      </c>
      <c r="D5" s="43" t="s">
        <v>2</v>
      </c>
      <c r="E5" s="43" t="s">
        <v>5</v>
      </c>
      <c r="F5" s="43" t="s">
        <v>875</v>
      </c>
      <c r="G5" s="43" t="s">
        <v>902</v>
      </c>
      <c r="H5" s="43" t="s">
        <v>8</v>
      </c>
      <c r="I5" s="43" t="s">
        <v>12</v>
      </c>
      <c r="J5" s="43" t="s">
        <v>6</v>
      </c>
    </row>
    <row r="6" ht="18" customHeight="1" spans="1:10">
      <c r="A6" s="60" t="s">
        <v>903</v>
      </c>
    </row>
    <row r="7" ht="15" customHeight="1" spans="1:10">
      <c r="A7" s="45">
        <v>1</v>
      </c>
      <c r="B7" s="45" t="s">
        <v>321</v>
      </c>
      <c r="C7" s="46" t="s">
        <v>496</v>
      </c>
      <c r="D7" s="47" t="s">
        <v>497</v>
      </c>
      <c r="E7" s="48" t="s">
        <v>18</v>
      </c>
      <c r="F7" s="45" t="s">
        <v>459</v>
      </c>
      <c r="G7" s="45" t="s">
        <v>904</v>
      </c>
      <c r="H7" s="45" t="s">
        <v>904</v>
      </c>
      <c r="I7" s="45" t="s">
        <v>85</v>
      </c>
      <c r="J7" s="47" t="s">
        <v>905</v>
      </c>
    </row>
    <row r="8" ht="15" customHeight="1" spans="1:10">
      <c r="A8" s="49">
        <v>2</v>
      </c>
      <c r="B8" s="49" t="s">
        <v>321</v>
      </c>
      <c r="C8" s="50" t="s">
        <v>370</v>
      </c>
      <c r="D8" s="51" t="s">
        <v>498</v>
      </c>
      <c r="E8" s="48" t="s">
        <v>18</v>
      </c>
      <c r="F8" s="49" t="s">
        <v>459</v>
      </c>
      <c r="G8" s="49" t="s">
        <v>906</v>
      </c>
      <c r="H8" s="49" t="s">
        <v>906</v>
      </c>
      <c r="I8" s="49" t="s">
        <v>85</v>
      </c>
      <c r="J8" s="51" t="s">
        <v>905</v>
      </c>
    </row>
    <row r="9" ht="15" customHeight="1" spans="1:10">
      <c r="A9" s="45">
        <v>3</v>
      </c>
      <c r="B9" s="45" t="s">
        <v>321</v>
      </c>
      <c r="C9" s="46" t="s">
        <v>370</v>
      </c>
      <c r="D9" s="47" t="s">
        <v>499</v>
      </c>
      <c r="E9" s="48" t="s">
        <v>18</v>
      </c>
      <c r="F9" s="45" t="s">
        <v>459</v>
      </c>
      <c r="G9" s="45" t="s">
        <v>906</v>
      </c>
      <c r="H9" s="45" t="s">
        <v>906</v>
      </c>
      <c r="I9" s="45" t="s">
        <v>85</v>
      </c>
      <c r="J9" s="47" t="s">
        <v>905</v>
      </c>
    </row>
    <row r="10" ht="15" customHeight="1" spans="1:10">
      <c r="A10" s="49">
        <v>4</v>
      </c>
      <c r="B10" s="49" t="s">
        <v>321</v>
      </c>
      <c r="C10" s="50" t="s">
        <v>386</v>
      </c>
      <c r="D10" s="51" t="s">
        <v>387</v>
      </c>
      <c r="E10" s="48" t="s">
        <v>18</v>
      </c>
      <c r="F10" s="49" t="s">
        <v>84</v>
      </c>
      <c r="G10" s="49" t="s">
        <v>907</v>
      </c>
      <c r="H10" s="49" t="s">
        <v>908</v>
      </c>
      <c r="I10" s="49" t="s">
        <v>381</v>
      </c>
      <c r="J10" s="51" t="s">
        <v>905</v>
      </c>
    </row>
    <row r="11" ht="15" customHeight="1" spans="1:10">
      <c r="A11" s="45">
        <v>5</v>
      </c>
      <c r="B11" s="45" t="s">
        <v>321</v>
      </c>
      <c r="C11" s="46" t="s">
        <v>500</v>
      </c>
      <c r="D11" s="47" t="s">
        <v>501</v>
      </c>
      <c r="E11" s="48" t="s">
        <v>18</v>
      </c>
      <c r="F11" s="45" t="s">
        <v>459</v>
      </c>
      <c r="G11" s="45" t="s">
        <v>908</v>
      </c>
      <c r="H11" s="45" t="s">
        <v>908</v>
      </c>
      <c r="I11" s="45" t="s">
        <v>905</v>
      </c>
      <c r="J11" s="47" t="s">
        <v>905</v>
      </c>
    </row>
    <row r="12" ht="15" customHeight="1" spans="1:10">
      <c r="A12" s="49">
        <v>6</v>
      </c>
      <c r="B12" s="49" t="s">
        <v>189</v>
      </c>
      <c r="C12" s="50" t="s">
        <v>51</v>
      </c>
      <c r="D12" s="51" t="s">
        <v>52</v>
      </c>
      <c r="E12" s="48" t="s">
        <v>18</v>
      </c>
      <c r="F12" s="49" t="s">
        <v>17</v>
      </c>
      <c r="G12" s="49" t="s">
        <v>909</v>
      </c>
      <c r="H12" s="49" t="s">
        <v>910</v>
      </c>
      <c r="I12" s="49" t="s">
        <v>318</v>
      </c>
      <c r="J12" s="51" t="s">
        <v>317</v>
      </c>
    </row>
    <row r="13" ht="15" customHeight="1" spans="1:10">
      <c r="A13" s="45">
        <v>7</v>
      </c>
      <c r="B13" s="45" t="s">
        <v>321</v>
      </c>
      <c r="C13" s="46" t="s">
        <v>451</v>
      </c>
      <c r="D13" s="47" t="s">
        <v>452</v>
      </c>
      <c r="E13" s="57" t="s">
        <v>41</v>
      </c>
      <c r="F13" s="45" t="s">
        <v>17</v>
      </c>
      <c r="G13" s="45" t="s">
        <v>909</v>
      </c>
      <c r="H13" s="45" t="s">
        <v>910</v>
      </c>
      <c r="I13" s="45" t="s">
        <v>905</v>
      </c>
      <c r="J13" s="47" t="s">
        <v>453</v>
      </c>
    </row>
    <row r="14" ht="15" customHeight="1" spans="1:10">
      <c r="A14" s="49">
        <v>8</v>
      </c>
      <c r="B14" s="49" t="s">
        <v>189</v>
      </c>
      <c r="C14" s="50" t="s">
        <v>502</v>
      </c>
      <c r="D14" s="51" t="s">
        <v>503</v>
      </c>
      <c r="E14" s="48" t="s">
        <v>18</v>
      </c>
      <c r="F14" s="49" t="s">
        <v>459</v>
      </c>
      <c r="G14" s="49" t="s">
        <v>908</v>
      </c>
      <c r="H14" s="49" t="s">
        <v>910</v>
      </c>
      <c r="I14" s="49" t="s">
        <v>905</v>
      </c>
      <c r="J14" s="51" t="s">
        <v>504</v>
      </c>
    </row>
    <row r="15" ht="15" customHeight="1" spans="1:10">
      <c r="A15" s="45">
        <v>9</v>
      </c>
      <c r="B15" s="45" t="s">
        <v>321</v>
      </c>
      <c r="C15" s="46" t="s">
        <v>505</v>
      </c>
      <c r="D15" s="47" t="s">
        <v>506</v>
      </c>
      <c r="E15" s="48" t="s">
        <v>18</v>
      </c>
      <c r="F15" s="45" t="s">
        <v>459</v>
      </c>
      <c r="G15" s="45" t="s">
        <v>911</v>
      </c>
      <c r="H15" s="45" t="s">
        <v>910</v>
      </c>
      <c r="I15" s="45" t="s">
        <v>905</v>
      </c>
      <c r="J15" s="47" t="s">
        <v>507</v>
      </c>
    </row>
    <row r="16" ht="18" customHeight="1" spans="1:10">
      <c r="A16" s="60" t="s">
        <v>912</v>
      </c>
    </row>
    <row r="17" ht="15" customHeight="1" spans="1:10">
      <c r="A17" s="49">
        <v>10</v>
      </c>
      <c r="B17" s="49" t="s">
        <v>98</v>
      </c>
      <c r="C17" s="50" t="s">
        <v>248</v>
      </c>
      <c r="D17" s="51" t="s">
        <v>249</v>
      </c>
      <c r="E17" s="48" t="s">
        <v>18</v>
      </c>
      <c r="F17" s="49" t="s">
        <v>17</v>
      </c>
      <c r="G17" s="49" t="s">
        <v>909</v>
      </c>
      <c r="H17" s="49" t="s">
        <v>910</v>
      </c>
      <c r="I17" s="49" t="s">
        <v>905</v>
      </c>
      <c r="J17" s="51" t="s">
        <v>905</v>
      </c>
    </row>
    <row r="18" ht="15" customHeight="1" spans="1:10">
      <c r="A18" s="45">
        <v>11</v>
      </c>
      <c r="B18" s="45" t="s">
        <v>98</v>
      </c>
      <c r="C18" s="46" t="s">
        <v>252</v>
      </c>
      <c r="D18" s="47" t="s">
        <v>253</v>
      </c>
      <c r="E18" s="48" t="s">
        <v>18</v>
      </c>
      <c r="F18" s="45" t="s">
        <v>17</v>
      </c>
      <c r="G18" s="45" t="s">
        <v>909</v>
      </c>
      <c r="H18" s="45" t="s">
        <v>910</v>
      </c>
      <c r="I18" s="45" t="s">
        <v>158</v>
      </c>
      <c r="J18" s="47" t="s">
        <v>254</v>
      </c>
    </row>
  </sheetData>
  <mergeCells count="4">
    <mergeCell ref="A3:J3"/>
    <mergeCell ref="A6:J6"/>
    <mergeCell ref="A16:J16"/>
    <mergeCell ref="A1:J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4"/>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63" t="s">
        <v>913</v>
      </c>
    </row>
    <row r="2" ht="22" customHeight="1"/>
    <row r="3" ht="14" customHeight="1" spans="1:10">
      <c r="A3" s="42" t="s">
        <v>900</v>
      </c>
    </row>
    <row r="4" ht="6" customHeight="1"/>
    <row r="5" ht="22" customHeight="1" spans="1:10">
      <c r="A5" s="43" t="s">
        <v>901</v>
      </c>
      <c r="B5" s="43" t="s">
        <v>3</v>
      </c>
      <c r="C5" s="43" t="s">
        <v>1</v>
      </c>
      <c r="D5" s="43" t="s">
        <v>2</v>
      </c>
      <c r="E5" s="43" t="s">
        <v>5</v>
      </c>
      <c r="F5" s="43" t="s">
        <v>875</v>
      </c>
      <c r="G5" s="43" t="s">
        <v>902</v>
      </c>
      <c r="H5" s="43" t="s">
        <v>8</v>
      </c>
      <c r="I5" s="43" t="s">
        <v>12</v>
      </c>
      <c r="J5" s="43" t="s">
        <v>6</v>
      </c>
    </row>
    <row r="6" ht="18" customHeight="1" spans="1:10">
      <c r="A6" s="60" t="s">
        <v>914</v>
      </c>
    </row>
    <row r="7" ht="15" customHeight="1" spans="1:10">
      <c r="A7" s="45">
        <v>1</v>
      </c>
      <c r="B7" s="45" t="s">
        <v>321</v>
      </c>
      <c r="C7" s="46" t="s">
        <v>416</v>
      </c>
      <c r="D7" s="47" t="s">
        <v>905</v>
      </c>
      <c r="E7" s="57" t="s">
        <v>41</v>
      </c>
      <c r="F7" s="45" t="s">
        <v>69</v>
      </c>
      <c r="G7" s="45" t="s">
        <v>915</v>
      </c>
      <c r="H7" s="45" t="s">
        <v>916</v>
      </c>
      <c r="I7" s="45" t="s">
        <v>417</v>
      </c>
      <c r="J7" s="47" t="s">
        <v>905</v>
      </c>
    </row>
    <row r="8" ht="15" customHeight="1" spans="1:10">
      <c r="A8" s="49">
        <v>2</v>
      </c>
      <c r="B8" s="49" t="s">
        <v>189</v>
      </c>
      <c r="C8" s="50" t="s">
        <v>187</v>
      </c>
      <c r="D8" s="51" t="s">
        <v>188</v>
      </c>
      <c r="E8" s="57" t="s">
        <v>41</v>
      </c>
      <c r="F8" s="49" t="s">
        <v>84</v>
      </c>
      <c r="G8" s="49" t="s">
        <v>907</v>
      </c>
      <c r="H8" s="49" t="s">
        <v>916</v>
      </c>
      <c r="I8" s="49" t="s">
        <v>905</v>
      </c>
      <c r="J8" s="51" t="s">
        <v>905</v>
      </c>
    </row>
    <row r="9" ht="15" customHeight="1" spans="1:10">
      <c r="A9" s="45">
        <v>3</v>
      </c>
      <c r="B9" s="45" t="s">
        <v>189</v>
      </c>
      <c r="C9" s="46" t="s">
        <v>198</v>
      </c>
      <c r="D9" s="47" t="s">
        <v>199</v>
      </c>
      <c r="E9" s="57" t="s">
        <v>41</v>
      </c>
      <c r="F9" s="45" t="s">
        <v>84</v>
      </c>
      <c r="G9" s="45" t="s">
        <v>907</v>
      </c>
      <c r="H9" s="45" t="s">
        <v>916</v>
      </c>
      <c r="I9" s="45" t="s">
        <v>905</v>
      </c>
      <c r="J9" s="47" t="s">
        <v>905</v>
      </c>
    </row>
    <row r="10" ht="15" customHeight="1" spans="1:10">
      <c r="A10" s="49">
        <v>4</v>
      </c>
      <c r="B10" s="49" t="s">
        <v>189</v>
      </c>
      <c r="C10" s="50" t="s">
        <v>223</v>
      </c>
      <c r="D10" s="51" t="s">
        <v>224</v>
      </c>
      <c r="E10" s="57" t="s">
        <v>41</v>
      </c>
      <c r="F10" s="49" t="s">
        <v>17</v>
      </c>
      <c r="G10" s="49" t="s">
        <v>909</v>
      </c>
      <c r="H10" s="49" t="s">
        <v>916</v>
      </c>
      <c r="I10" s="49" t="s">
        <v>204</v>
      </c>
      <c r="J10" s="51" t="s">
        <v>905</v>
      </c>
    </row>
    <row r="11" ht="15" customHeight="1" spans="1:10">
      <c r="A11" s="45">
        <v>5</v>
      </c>
      <c r="B11" s="45" t="s">
        <v>189</v>
      </c>
      <c r="C11" s="46" t="s">
        <v>309</v>
      </c>
      <c r="D11" s="47" t="s">
        <v>310</v>
      </c>
      <c r="E11" s="57" t="s">
        <v>41</v>
      </c>
      <c r="F11" s="45" t="s">
        <v>17</v>
      </c>
      <c r="G11" s="45" t="s">
        <v>909</v>
      </c>
      <c r="H11" s="45" t="s">
        <v>916</v>
      </c>
      <c r="I11" s="45" t="s">
        <v>99</v>
      </c>
      <c r="J11" s="47" t="s">
        <v>311</v>
      </c>
    </row>
    <row r="12" ht="15" customHeight="1" spans="1:10">
      <c r="A12" s="49">
        <v>6</v>
      </c>
      <c r="B12" s="49" t="s">
        <v>321</v>
      </c>
      <c r="C12" s="50" t="s">
        <v>707</v>
      </c>
      <c r="D12" s="51" t="s">
        <v>708</v>
      </c>
      <c r="E12" s="57" t="s">
        <v>41</v>
      </c>
      <c r="F12" s="49" t="s">
        <v>459</v>
      </c>
      <c r="G12" s="49" t="s">
        <v>904</v>
      </c>
      <c r="H12" s="49" t="s">
        <v>916</v>
      </c>
      <c r="I12" s="49" t="s">
        <v>417</v>
      </c>
      <c r="J12" s="51" t="s">
        <v>507</v>
      </c>
    </row>
    <row r="13" ht="15" customHeight="1" spans="1:10">
      <c r="A13" s="45">
        <v>7</v>
      </c>
      <c r="B13" s="45" t="s">
        <v>321</v>
      </c>
      <c r="C13" s="46" t="s">
        <v>510</v>
      </c>
      <c r="D13" s="47" t="s">
        <v>739</v>
      </c>
      <c r="E13" s="55" t="s">
        <v>26</v>
      </c>
      <c r="F13" s="45" t="s">
        <v>459</v>
      </c>
      <c r="G13" s="45" t="s">
        <v>917</v>
      </c>
      <c r="H13" s="45" t="s">
        <v>916</v>
      </c>
      <c r="I13" s="45" t="s">
        <v>36</v>
      </c>
      <c r="J13" s="47" t="s">
        <v>740</v>
      </c>
    </row>
    <row r="14" ht="15" customHeight="1" spans="1:10">
      <c r="A14" s="49">
        <v>8</v>
      </c>
      <c r="B14" s="49" t="s">
        <v>321</v>
      </c>
      <c r="C14" s="50" t="s">
        <v>510</v>
      </c>
      <c r="D14" s="51" t="s">
        <v>759</v>
      </c>
      <c r="E14" s="57" t="s">
        <v>746</v>
      </c>
      <c r="F14" s="49" t="s">
        <v>459</v>
      </c>
      <c r="G14" s="49" t="s">
        <v>917</v>
      </c>
      <c r="H14" s="49" t="s">
        <v>916</v>
      </c>
      <c r="I14" s="49" t="s">
        <v>438</v>
      </c>
      <c r="J14" s="51" t="s">
        <v>905</v>
      </c>
    </row>
    <row r="15" ht="15" customHeight="1" spans="1:10">
      <c r="A15" s="45">
        <v>9</v>
      </c>
      <c r="B15" s="45" t="s">
        <v>477</v>
      </c>
      <c r="C15" s="46" t="s">
        <v>475</v>
      </c>
      <c r="D15" s="47" t="s">
        <v>476</v>
      </c>
      <c r="E15" s="55" t="s">
        <v>26</v>
      </c>
      <c r="F15" s="45" t="s">
        <v>459</v>
      </c>
      <c r="G15" s="45" t="s">
        <v>918</v>
      </c>
      <c r="H15" s="45" t="s">
        <v>919</v>
      </c>
      <c r="I15" s="45" t="s">
        <v>438</v>
      </c>
      <c r="J15" s="47" t="s">
        <v>905</v>
      </c>
    </row>
    <row r="16" ht="15" customHeight="1" spans="1:10">
      <c r="A16" s="49">
        <v>10</v>
      </c>
      <c r="B16" s="49" t="s">
        <v>189</v>
      </c>
      <c r="C16" s="50" t="s">
        <v>658</v>
      </c>
      <c r="D16" s="51" t="s">
        <v>703</v>
      </c>
      <c r="E16" s="57" t="s">
        <v>41</v>
      </c>
      <c r="F16" s="49" t="s">
        <v>459</v>
      </c>
      <c r="G16" s="49" t="s">
        <v>920</v>
      </c>
      <c r="H16" s="49" t="s">
        <v>919</v>
      </c>
      <c r="I16" s="49" t="s">
        <v>158</v>
      </c>
      <c r="J16" s="51" t="s">
        <v>704</v>
      </c>
    </row>
    <row r="17" ht="15" customHeight="1" spans="1:10">
      <c r="A17" s="45">
        <v>11</v>
      </c>
      <c r="B17" s="45" t="s">
        <v>321</v>
      </c>
      <c r="C17" s="46" t="s">
        <v>508</v>
      </c>
      <c r="D17" s="47" t="s">
        <v>509</v>
      </c>
      <c r="E17" s="55" t="s">
        <v>26</v>
      </c>
      <c r="F17" s="45" t="s">
        <v>459</v>
      </c>
      <c r="G17" s="45" t="s">
        <v>917</v>
      </c>
      <c r="H17" s="45" t="s">
        <v>919</v>
      </c>
      <c r="I17" s="45" t="s">
        <v>158</v>
      </c>
      <c r="J17" s="47" t="s">
        <v>905</v>
      </c>
    </row>
    <row r="18" ht="15" customHeight="1" spans="1:10">
      <c r="A18" s="49">
        <v>12</v>
      </c>
      <c r="B18" s="49" t="s">
        <v>321</v>
      </c>
      <c r="C18" s="50" t="s">
        <v>510</v>
      </c>
      <c r="D18" s="51" t="s">
        <v>741</v>
      </c>
      <c r="E18" s="64" t="s">
        <v>742</v>
      </c>
      <c r="F18" s="49" t="s">
        <v>459</v>
      </c>
      <c r="G18" s="49" t="s">
        <v>917</v>
      </c>
      <c r="H18" s="49" t="s">
        <v>919</v>
      </c>
      <c r="I18" s="49" t="s">
        <v>99</v>
      </c>
      <c r="J18" s="51" t="s">
        <v>905</v>
      </c>
    </row>
    <row r="19" ht="15" customHeight="1" spans="1:10">
      <c r="A19" s="45">
        <v>13</v>
      </c>
      <c r="B19" s="45" t="s">
        <v>321</v>
      </c>
      <c r="C19" s="46" t="s">
        <v>510</v>
      </c>
      <c r="D19" s="47" t="s">
        <v>743</v>
      </c>
      <c r="E19" s="48" t="s">
        <v>18</v>
      </c>
      <c r="F19" s="45" t="s">
        <v>459</v>
      </c>
      <c r="G19" s="45" t="s">
        <v>917</v>
      </c>
      <c r="H19" s="45" t="s">
        <v>919</v>
      </c>
      <c r="I19" s="45" t="s">
        <v>381</v>
      </c>
      <c r="J19" s="47" t="s">
        <v>905</v>
      </c>
    </row>
    <row r="20" ht="15" customHeight="1" spans="1:10">
      <c r="A20" s="49">
        <v>14</v>
      </c>
      <c r="B20" s="49" t="s">
        <v>520</v>
      </c>
      <c r="C20" s="50" t="s">
        <v>510</v>
      </c>
      <c r="D20" s="51" t="s">
        <v>744</v>
      </c>
      <c r="E20" s="48" t="s">
        <v>18</v>
      </c>
      <c r="F20" s="49" t="s">
        <v>459</v>
      </c>
      <c r="G20" s="49" t="s">
        <v>917</v>
      </c>
      <c r="H20" s="49" t="s">
        <v>919</v>
      </c>
      <c r="I20" s="49" t="s">
        <v>417</v>
      </c>
      <c r="J20" s="51" t="s">
        <v>905</v>
      </c>
    </row>
    <row r="21" ht="15" customHeight="1" spans="1:10">
      <c r="A21" s="45">
        <v>15</v>
      </c>
      <c r="B21" s="45" t="s">
        <v>321</v>
      </c>
      <c r="C21" s="46" t="s">
        <v>510</v>
      </c>
      <c r="D21" s="47" t="s">
        <v>745</v>
      </c>
      <c r="E21" s="57" t="s">
        <v>746</v>
      </c>
      <c r="F21" s="45" t="s">
        <v>459</v>
      </c>
      <c r="G21" s="45" t="s">
        <v>917</v>
      </c>
      <c r="H21" s="45" t="s">
        <v>919</v>
      </c>
      <c r="I21" s="45" t="s">
        <v>747</v>
      </c>
      <c r="J21" s="47" t="s">
        <v>905</v>
      </c>
    </row>
    <row r="22" ht="15" customHeight="1" spans="1:10">
      <c r="A22" s="49">
        <v>16</v>
      </c>
      <c r="B22" s="49" t="s">
        <v>321</v>
      </c>
      <c r="C22" s="50" t="s">
        <v>388</v>
      </c>
      <c r="D22" s="51" t="s">
        <v>389</v>
      </c>
      <c r="E22" s="65" t="s">
        <v>91</v>
      </c>
      <c r="F22" s="49" t="s">
        <v>17</v>
      </c>
      <c r="G22" s="49" t="s">
        <v>909</v>
      </c>
      <c r="H22" s="49" t="s">
        <v>921</v>
      </c>
      <c r="I22" s="49" t="s">
        <v>905</v>
      </c>
      <c r="J22" s="51" t="s">
        <v>390</v>
      </c>
    </row>
    <row r="23" ht="15" customHeight="1" spans="1:10">
      <c r="A23" s="45">
        <v>17</v>
      </c>
      <c r="B23" s="45" t="s">
        <v>321</v>
      </c>
      <c r="C23" s="46" t="s">
        <v>712</v>
      </c>
      <c r="D23" s="47" t="s">
        <v>786</v>
      </c>
      <c r="E23" s="64" t="s">
        <v>742</v>
      </c>
      <c r="F23" s="45" t="s">
        <v>459</v>
      </c>
      <c r="G23" s="45" t="s">
        <v>920</v>
      </c>
      <c r="H23" s="45" t="s">
        <v>921</v>
      </c>
      <c r="I23" s="45" t="s">
        <v>787</v>
      </c>
      <c r="J23" s="47" t="s">
        <v>905</v>
      </c>
    </row>
    <row r="24" ht="15" customHeight="1" spans="1:10">
      <c r="A24" s="49">
        <v>18</v>
      </c>
      <c r="B24" s="49" t="s">
        <v>321</v>
      </c>
      <c r="C24" s="50" t="s">
        <v>510</v>
      </c>
      <c r="D24" s="51" t="s">
        <v>748</v>
      </c>
      <c r="E24" s="48" t="s">
        <v>18</v>
      </c>
      <c r="F24" s="49" t="s">
        <v>459</v>
      </c>
      <c r="G24" s="49" t="s">
        <v>917</v>
      </c>
      <c r="H24" s="49" t="s">
        <v>921</v>
      </c>
      <c r="I24" s="49" t="s">
        <v>417</v>
      </c>
      <c r="J24" s="51" t="s">
        <v>905</v>
      </c>
    </row>
    <row r="25" ht="15" customHeight="1" spans="1:10">
      <c r="A25" s="45">
        <v>19</v>
      </c>
      <c r="B25" s="45" t="s">
        <v>321</v>
      </c>
      <c r="C25" s="46" t="s">
        <v>510</v>
      </c>
      <c r="D25" s="47" t="s">
        <v>749</v>
      </c>
      <c r="E25" s="48" t="s">
        <v>18</v>
      </c>
      <c r="F25" s="45" t="s">
        <v>459</v>
      </c>
      <c r="G25" s="45" t="s">
        <v>917</v>
      </c>
      <c r="H25" s="45" t="s">
        <v>921</v>
      </c>
      <c r="I25" s="45" t="s">
        <v>381</v>
      </c>
      <c r="J25" s="47" t="s">
        <v>905</v>
      </c>
    </row>
    <row r="26" ht="15" customHeight="1" spans="1:10">
      <c r="A26" s="49">
        <v>20</v>
      </c>
      <c r="B26" s="49" t="s">
        <v>477</v>
      </c>
      <c r="C26" s="50" t="s">
        <v>486</v>
      </c>
      <c r="D26" s="51" t="s">
        <v>711</v>
      </c>
      <c r="E26" s="54" t="s">
        <v>38</v>
      </c>
      <c r="F26" s="49" t="s">
        <v>459</v>
      </c>
      <c r="G26" s="49" t="s">
        <v>916</v>
      </c>
      <c r="H26" s="49" t="s">
        <v>921</v>
      </c>
      <c r="I26" s="49" t="s">
        <v>438</v>
      </c>
      <c r="J26" s="51" t="s">
        <v>905</v>
      </c>
    </row>
    <row r="27" ht="15" customHeight="1" spans="1:10">
      <c r="A27" s="45">
        <v>21</v>
      </c>
      <c r="B27" s="45" t="s">
        <v>321</v>
      </c>
      <c r="C27" s="46" t="s">
        <v>510</v>
      </c>
      <c r="D27" s="47" t="s">
        <v>753</v>
      </c>
      <c r="E27" s="55" t="s">
        <v>26</v>
      </c>
      <c r="F27" s="45" t="s">
        <v>459</v>
      </c>
      <c r="G27" s="45" t="s">
        <v>922</v>
      </c>
      <c r="H27" s="45" t="s">
        <v>923</v>
      </c>
      <c r="I27" s="45" t="s">
        <v>754</v>
      </c>
      <c r="J27" s="47" t="s">
        <v>905</v>
      </c>
    </row>
    <row r="28" ht="15" customHeight="1" spans="1:10">
      <c r="A28" s="49">
        <v>22</v>
      </c>
      <c r="B28" s="49" t="s">
        <v>321</v>
      </c>
      <c r="C28" s="50" t="s">
        <v>510</v>
      </c>
      <c r="D28" s="51" t="s">
        <v>755</v>
      </c>
      <c r="E28" s="55" t="s">
        <v>756</v>
      </c>
      <c r="F28" s="49" t="s">
        <v>459</v>
      </c>
      <c r="G28" s="49" t="s">
        <v>917</v>
      </c>
      <c r="H28" s="49" t="s">
        <v>923</v>
      </c>
      <c r="I28" s="49" t="s">
        <v>417</v>
      </c>
      <c r="J28" s="51" t="s">
        <v>905</v>
      </c>
    </row>
    <row r="29" ht="15" customHeight="1" spans="1:10">
      <c r="A29" s="45">
        <v>23</v>
      </c>
      <c r="B29" s="45" t="s">
        <v>321</v>
      </c>
      <c r="C29" s="46" t="s">
        <v>510</v>
      </c>
      <c r="D29" s="47" t="s">
        <v>757</v>
      </c>
      <c r="E29" s="55" t="s">
        <v>758</v>
      </c>
      <c r="F29" s="45" t="s">
        <v>459</v>
      </c>
      <c r="G29" s="45" t="s">
        <v>917</v>
      </c>
      <c r="H29" s="45" t="s">
        <v>923</v>
      </c>
      <c r="I29" s="45" t="s">
        <v>381</v>
      </c>
      <c r="J29" s="47" t="s">
        <v>905</v>
      </c>
    </row>
    <row r="30" ht="15" customHeight="1" spans="1:10">
      <c r="A30" s="49">
        <v>24</v>
      </c>
      <c r="B30" s="49" t="s">
        <v>321</v>
      </c>
      <c r="C30" s="50" t="s">
        <v>712</v>
      </c>
      <c r="D30" s="51" t="s">
        <v>784</v>
      </c>
      <c r="E30" s="48" t="s">
        <v>18</v>
      </c>
      <c r="F30" s="49" t="s">
        <v>459</v>
      </c>
      <c r="G30" s="49" t="s">
        <v>917</v>
      </c>
      <c r="H30" s="49" t="s">
        <v>923</v>
      </c>
      <c r="I30" s="49" t="s">
        <v>381</v>
      </c>
      <c r="J30" s="51" t="s">
        <v>785</v>
      </c>
    </row>
    <row r="31" ht="15" customHeight="1" spans="1:10">
      <c r="A31" s="45">
        <v>25</v>
      </c>
      <c r="B31" s="45" t="s">
        <v>321</v>
      </c>
      <c r="C31" s="46" t="s">
        <v>712</v>
      </c>
      <c r="D31" s="47" t="s">
        <v>788</v>
      </c>
      <c r="E31" s="54" t="s">
        <v>38</v>
      </c>
      <c r="F31" s="45" t="s">
        <v>459</v>
      </c>
      <c r="G31" s="45" t="s">
        <v>917</v>
      </c>
      <c r="H31" s="45" t="s">
        <v>923</v>
      </c>
      <c r="I31" s="45" t="s">
        <v>93</v>
      </c>
      <c r="J31" s="47" t="s">
        <v>905</v>
      </c>
    </row>
    <row r="32" ht="15" customHeight="1" spans="1:10">
      <c r="A32" s="49">
        <v>26</v>
      </c>
      <c r="B32" s="49" t="s">
        <v>321</v>
      </c>
      <c r="C32" s="50" t="s">
        <v>510</v>
      </c>
      <c r="D32" s="51" t="s">
        <v>734</v>
      </c>
      <c r="E32" s="55" t="s">
        <v>26</v>
      </c>
      <c r="F32" s="49" t="s">
        <v>459</v>
      </c>
      <c r="G32" s="49" t="s">
        <v>923</v>
      </c>
      <c r="H32" s="49" t="s">
        <v>923</v>
      </c>
      <c r="I32" s="49" t="s">
        <v>417</v>
      </c>
      <c r="J32" s="51" t="s">
        <v>905</v>
      </c>
    </row>
    <row r="33" ht="15" customHeight="1" spans="1:10">
      <c r="A33" s="45">
        <v>27</v>
      </c>
      <c r="B33" s="45" t="s">
        <v>189</v>
      </c>
      <c r="C33" s="46" t="s">
        <v>442</v>
      </c>
      <c r="D33" s="47" t="s">
        <v>443</v>
      </c>
      <c r="E33" s="54" t="s">
        <v>38</v>
      </c>
      <c r="F33" s="45" t="s">
        <v>84</v>
      </c>
      <c r="G33" s="45" t="s">
        <v>907</v>
      </c>
      <c r="H33" s="45" t="s">
        <v>924</v>
      </c>
      <c r="I33" s="45" t="s">
        <v>36</v>
      </c>
      <c r="J33" s="47" t="s">
        <v>905</v>
      </c>
    </row>
    <row r="34" ht="15" customHeight="1" spans="1:10">
      <c r="A34" s="49">
        <v>28</v>
      </c>
      <c r="B34" s="49" t="s">
        <v>321</v>
      </c>
      <c r="C34" s="50" t="s">
        <v>455</v>
      </c>
      <c r="D34" s="51" t="s">
        <v>456</v>
      </c>
      <c r="E34" s="54" t="s">
        <v>38</v>
      </c>
      <c r="F34" s="49" t="s">
        <v>84</v>
      </c>
      <c r="G34" s="49" t="s">
        <v>907</v>
      </c>
      <c r="H34" s="49" t="s">
        <v>924</v>
      </c>
      <c r="I34" s="49" t="s">
        <v>36</v>
      </c>
      <c r="J34" s="51" t="s">
        <v>905</v>
      </c>
    </row>
    <row r="35" ht="15" customHeight="1" spans="1:10">
      <c r="A35" s="45">
        <v>29</v>
      </c>
      <c r="B35" s="45" t="s">
        <v>189</v>
      </c>
      <c r="C35" s="46" t="s">
        <v>246</v>
      </c>
      <c r="D35" s="47" t="s">
        <v>247</v>
      </c>
      <c r="E35" s="54" t="s">
        <v>38</v>
      </c>
      <c r="F35" s="45" t="s">
        <v>17</v>
      </c>
      <c r="G35" s="45" t="s">
        <v>909</v>
      </c>
      <c r="H35" s="45" t="s">
        <v>924</v>
      </c>
      <c r="I35" s="45" t="s">
        <v>99</v>
      </c>
      <c r="J35" s="47" t="s">
        <v>230</v>
      </c>
    </row>
    <row r="36" ht="15" customHeight="1" spans="1:10">
      <c r="A36" s="49">
        <v>30</v>
      </c>
      <c r="B36" s="49" t="s">
        <v>321</v>
      </c>
      <c r="C36" s="50" t="s">
        <v>399</v>
      </c>
      <c r="D36" s="51" t="s">
        <v>400</v>
      </c>
      <c r="E36" s="54" t="s">
        <v>38</v>
      </c>
      <c r="F36" s="49" t="s">
        <v>17</v>
      </c>
      <c r="G36" s="49" t="s">
        <v>909</v>
      </c>
      <c r="H36" s="49" t="s">
        <v>924</v>
      </c>
      <c r="I36" s="49" t="s">
        <v>905</v>
      </c>
      <c r="J36" s="51" t="s">
        <v>401</v>
      </c>
    </row>
    <row r="37" ht="15" customHeight="1" spans="1:10">
      <c r="A37" s="45">
        <v>31</v>
      </c>
      <c r="B37" s="45" t="s">
        <v>321</v>
      </c>
      <c r="C37" s="46" t="s">
        <v>448</v>
      </c>
      <c r="D37" s="47" t="s">
        <v>449</v>
      </c>
      <c r="E37" s="54" t="s">
        <v>38</v>
      </c>
      <c r="F37" s="45" t="s">
        <v>17</v>
      </c>
      <c r="G37" s="45" t="s">
        <v>909</v>
      </c>
      <c r="H37" s="45" t="s">
        <v>924</v>
      </c>
      <c r="I37" s="45" t="s">
        <v>905</v>
      </c>
      <c r="J37" s="47" t="s">
        <v>905</v>
      </c>
    </row>
    <row r="38" ht="15" customHeight="1" spans="1:10">
      <c r="A38" s="49">
        <v>32</v>
      </c>
      <c r="B38" s="49" t="s">
        <v>321</v>
      </c>
      <c r="C38" s="50" t="s">
        <v>450</v>
      </c>
      <c r="D38" s="51" t="s">
        <v>905</v>
      </c>
      <c r="E38" s="54" t="s">
        <v>38</v>
      </c>
      <c r="F38" s="49" t="s">
        <v>17</v>
      </c>
      <c r="G38" s="49" t="s">
        <v>909</v>
      </c>
      <c r="H38" s="49" t="s">
        <v>924</v>
      </c>
      <c r="I38" s="49" t="s">
        <v>905</v>
      </c>
      <c r="J38" s="51" t="s">
        <v>905</v>
      </c>
    </row>
    <row r="39" ht="15" customHeight="1" spans="1:10">
      <c r="A39" s="45">
        <v>33</v>
      </c>
      <c r="B39" s="45" t="s">
        <v>520</v>
      </c>
      <c r="C39" s="46" t="s">
        <v>521</v>
      </c>
      <c r="D39" s="47" t="s">
        <v>530</v>
      </c>
      <c r="E39" s="54" t="s">
        <v>38</v>
      </c>
      <c r="F39" s="45" t="s">
        <v>459</v>
      </c>
      <c r="G39" s="45" t="s">
        <v>925</v>
      </c>
      <c r="H39" s="45" t="s">
        <v>924</v>
      </c>
      <c r="I39" s="45" t="s">
        <v>381</v>
      </c>
      <c r="J39" s="47" t="s">
        <v>905</v>
      </c>
    </row>
    <row r="40" ht="15" customHeight="1" spans="1:10">
      <c r="A40" s="49">
        <v>34</v>
      </c>
      <c r="B40" s="49" t="s">
        <v>520</v>
      </c>
      <c r="C40" s="50" t="s">
        <v>536</v>
      </c>
      <c r="D40" s="51" t="s">
        <v>537</v>
      </c>
      <c r="E40" s="54" t="s">
        <v>38</v>
      </c>
      <c r="F40" s="49" t="s">
        <v>459</v>
      </c>
      <c r="G40" s="49" t="s">
        <v>926</v>
      </c>
      <c r="H40" s="49" t="s">
        <v>924</v>
      </c>
      <c r="I40" s="49" t="s">
        <v>905</v>
      </c>
      <c r="J40" s="51" t="s">
        <v>538</v>
      </c>
    </row>
    <row r="41" ht="15" customHeight="1" spans="1:10">
      <c r="A41" s="45">
        <v>35</v>
      </c>
      <c r="B41" s="45" t="s">
        <v>520</v>
      </c>
      <c r="C41" s="46" t="s">
        <v>550</v>
      </c>
      <c r="D41" s="47" t="s">
        <v>551</v>
      </c>
      <c r="E41" s="64" t="s">
        <v>30</v>
      </c>
      <c r="F41" s="45" t="s">
        <v>459</v>
      </c>
      <c r="G41" s="45" t="s">
        <v>927</v>
      </c>
      <c r="H41" s="45" t="s">
        <v>924</v>
      </c>
      <c r="I41" s="45" t="s">
        <v>36</v>
      </c>
      <c r="J41" s="47" t="s">
        <v>552</v>
      </c>
    </row>
    <row r="42" ht="15" customHeight="1" spans="1:10">
      <c r="A42" s="49">
        <v>36</v>
      </c>
      <c r="B42" s="49" t="s">
        <v>477</v>
      </c>
      <c r="C42" s="50" t="s">
        <v>605</v>
      </c>
      <c r="D42" s="51" t="s">
        <v>606</v>
      </c>
      <c r="E42" s="54" t="s">
        <v>38</v>
      </c>
      <c r="F42" s="49" t="s">
        <v>459</v>
      </c>
      <c r="G42" s="49" t="s">
        <v>928</v>
      </c>
      <c r="H42" s="49" t="s">
        <v>924</v>
      </c>
      <c r="I42" s="49" t="s">
        <v>905</v>
      </c>
      <c r="J42" s="51" t="s">
        <v>905</v>
      </c>
    </row>
    <row r="43" ht="15" customHeight="1" spans="1:10">
      <c r="A43" s="45">
        <v>37</v>
      </c>
      <c r="B43" s="45" t="s">
        <v>477</v>
      </c>
      <c r="C43" s="46" t="s">
        <v>607</v>
      </c>
      <c r="D43" s="47" t="s">
        <v>608</v>
      </c>
      <c r="E43" s="54" t="s">
        <v>38</v>
      </c>
      <c r="F43" s="45" t="s">
        <v>459</v>
      </c>
      <c r="G43" s="45" t="s">
        <v>928</v>
      </c>
      <c r="H43" s="45" t="s">
        <v>924</v>
      </c>
      <c r="I43" s="45" t="s">
        <v>905</v>
      </c>
      <c r="J43" s="47" t="s">
        <v>905</v>
      </c>
    </row>
    <row r="44" ht="15" customHeight="1" spans="1:10">
      <c r="A44" s="49">
        <v>38</v>
      </c>
      <c r="B44" s="49" t="s">
        <v>321</v>
      </c>
      <c r="C44" s="50" t="s">
        <v>609</v>
      </c>
      <c r="D44" s="51" t="s">
        <v>610</v>
      </c>
      <c r="E44" s="54" t="s">
        <v>38</v>
      </c>
      <c r="F44" s="49" t="s">
        <v>459</v>
      </c>
      <c r="G44" s="49" t="s">
        <v>928</v>
      </c>
      <c r="H44" s="49" t="s">
        <v>924</v>
      </c>
      <c r="I44" s="49" t="s">
        <v>905</v>
      </c>
      <c r="J44" s="51" t="s">
        <v>905</v>
      </c>
    </row>
    <row r="45" ht="15" customHeight="1" spans="1:10">
      <c r="A45" s="45">
        <v>39</v>
      </c>
      <c r="B45" s="45" t="s">
        <v>321</v>
      </c>
      <c r="C45" s="46" t="s">
        <v>473</v>
      </c>
      <c r="D45" s="47" t="s">
        <v>474</v>
      </c>
      <c r="E45" s="54" t="s">
        <v>38</v>
      </c>
      <c r="F45" s="45" t="s">
        <v>459</v>
      </c>
      <c r="G45" s="45" t="s">
        <v>929</v>
      </c>
      <c r="H45" s="45" t="s">
        <v>924</v>
      </c>
      <c r="I45" s="45" t="s">
        <v>36</v>
      </c>
      <c r="J45" s="47" t="s">
        <v>905</v>
      </c>
    </row>
    <row r="46" ht="15" customHeight="1" spans="1:10">
      <c r="A46" s="49">
        <v>40</v>
      </c>
      <c r="B46" s="49" t="s">
        <v>477</v>
      </c>
      <c r="C46" s="50" t="s">
        <v>637</v>
      </c>
      <c r="D46" s="51" t="s">
        <v>638</v>
      </c>
      <c r="E46" s="54" t="s">
        <v>38</v>
      </c>
      <c r="F46" s="49" t="s">
        <v>459</v>
      </c>
      <c r="G46" s="49" t="s">
        <v>929</v>
      </c>
      <c r="H46" s="49" t="s">
        <v>924</v>
      </c>
      <c r="I46" s="49" t="s">
        <v>905</v>
      </c>
      <c r="J46" s="51" t="s">
        <v>905</v>
      </c>
    </row>
    <row r="47" ht="15" customHeight="1" spans="1:10">
      <c r="A47" s="45">
        <v>41</v>
      </c>
      <c r="B47" s="45" t="s">
        <v>321</v>
      </c>
      <c r="C47" s="46" t="s">
        <v>473</v>
      </c>
      <c r="D47" s="47" t="s">
        <v>639</v>
      </c>
      <c r="E47" s="54" t="s">
        <v>38</v>
      </c>
      <c r="F47" s="45" t="s">
        <v>459</v>
      </c>
      <c r="G47" s="45" t="s">
        <v>929</v>
      </c>
      <c r="H47" s="45" t="s">
        <v>924</v>
      </c>
      <c r="I47" s="45" t="s">
        <v>36</v>
      </c>
      <c r="J47" s="47" t="s">
        <v>905</v>
      </c>
    </row>
    <row r="48" ht="15" customHeight="1" spans="1:10">
      <c r="A48" s="49">
        <v>42</v>
      </c>
      <c r="B48" s="49" t="s">
        <v>321</v>
      </c>
      <c r="C48" s="50" t="s">
        <v>640</v>
      </c>
      <c r="D48" s="51" t="s">
        <v>641</v>
      </c>
      <c r="E48" s="55" t="s">
        <v>26</v>
      </c>
      <c r="F48" s="49" t="s">
        <v>459</v>
      </c>
      <c r="G48" s="49" t="s">
        <v>929</v>
      </c>
      <c r="H48" s="49" t="s">
        <v>924</v>
      </c>
      <c r="I48" s="49" t="s">
        <v>36</v>
      </c>
      <c r="J48" s="51" t="s">
        <v>905</v>
      </c>
    </row>
    <row r="49" ht="15" customHeight="1" spans="1:10">
      <c r="A49" s="45">
        <v>43</v>
      </c>
      <c r="B49" s="45" t="s">
        <v>520</v>
      </c>
      <c r="C49" s="46" t="s">
        <v>510</v>
      </c>
      <c r="D49" s="47" t="s">
        <v>769</v>
      </c>
      <c r="E49" s="54" t="s">
        <v>38</v>
      </c>
      <c r="F49" s="45" t="s">
        <v>459</v>
      </c>
      <c r="G49" s="45" t="s">
        <v>929</v>
      </c>
      <c r="H49" s="45" t="s">
        <v>924</v>
      </c>
      <c r="I49" s="45" t="s">
        <v>905</v>
      </c>
      <c r="J49" s="47" t="s">
        <v>905</v>
      </c>
    </row>
    <row r="50" ht="15" customHeight="1" spans="1:10">
      <c r="A50" s="49">
        <v>44</v>
      </c>
      <c r="B50" s="49" t="s">
        <v>189</v>
      </c>
      <c r="C50" s="50" t="s">
        <v>655</v>
      </c>
      <c r="D50" s="51" t="s">
        <v>656</v>
      </c>
      <c r="E50" s="54" t="s">
        <v>38</v>
      </c>
      <c r="F50" s="49" t="s">
        <v>459</v>
      </c>
      <c r="G50" s="49" t="s">
        <v>930</v>
      </c>
      <c r="H50" s="49" t="s">
        <v>924</v>
      </c>
      <c r="I50" s="49" t="s">
        <v>93</v>
      </c>
      <c r="J50" s="51" t="s">
        <v>657</v>
      </c>
    </row>
    <row r="51" ht="15" customHeight="1" spans="1:10">
      <c r="A51" s="45">
        <v>45</v>
      </c>
      <c r="B51" s="45" t="s">
        <v>321</v>
      </c>
      <c r="C51" s="46" t="s">
        <v>510</v>
      </c>
      <c r="D51" s="47" t="s">
        <v>761</v>
      </c>
      <c r="E51" s="55" t="s">
        <v>758</v>
      </c>
      <c r="F51" s="45" t="s">
        <v>459</v>
      </c>
      <c r="G51" s="45" t="s">
        <v>922</v>
      </c>
      <c r="H51" s="45" t="s">
        <v>924</v>
      </c>
      <c r="I51" s="45" t="s">
        <v>417</v>
      </c>
      <c r="J51" s="47" t="s">
        <v>905</v>
      </c>
    </row>
    <row r="52" ht="15" customHeight="1" spans="1:10">
      <c r="A52" s="49">
        <v>46</v>
      </c>
      <c r="B52" s="49" t="s">
        <v>189</v>
      </c>
      <c r="C52" s="50" t="s">
        <v>493</v>
      </c>
      <c r="D52" s="51" t="s">
        <v>494</v>
      </c>
      <c r="E52" s="54" t="s">
        <v>38</v>
      </c>
      <c r="F52" s="49" t="s">
        <v>459</v>
      </c>
      <c r="G52" s="49" t="s">
        <v>931</v>
      </c>
      <c r="H52" s="49" t="s">
        <v>924</v>
      </c>
      <c r="I52" s="49" t="s">
        <v>905</v>
      </c>
      <c r="J52" s="51" t="s">
        <v>905</v>
      </c>
    </row>
    <row r="53" ht="15" customHeight="1" spans="1:10">
      <c r="A53" s="45">
        <v>47</v>
      </c>
      <c r="B53" s="45" t="s">
        <v>321</v>
      </c>
      <c r="C53" s="46" t="s">
        <v>705</v>
      </c>
      <c r="D53" s="47" t="s">
        <v>706</v>
      </c>
      <c r="E53" s="54" t="s">
        <v>38</v>
      </c>
      <c r="F53" s="45" t="s">
        <v>459</v>
      </c>
      <c r="G53" s="45" t="s">
        <v>920</v>
      </c>
      <c r="H53" s="45" t="s">
        <v>924</v>
      </c>
      <c r="I53" s="45" t="s">
        <v>905</v>
      </c>
      <c r="J53" s="47" t="s">
        <v>507</v>
      </c>
    </row>
    <row r="54" ht="15" customHeight="1" spans="1:10">
      <c r="A54" s="49">
        <v>48</v>
      </c>
      <c r="B54" s="49" t="s">
        <v>321</v>
      </c>
      <c r="C54" s="50" t="s">
        <v>510</v>
      </c>
      <c r="D54" s="51" t="s">
        <v>760</v>
      </c>
      <c r="E54" s="54" t="s">
        <v>38</v>
      </c>
      <c r="F54" s="49" t="s">
        <v>459</v>
      </c>
      <c r="G54" s="49" t="s">
        <v>917</v>
      </c>
      <c r="H54" s="49" t="s">
        <v>924</v>
      </c>
      <c r="I54" s="49" t="s">
        <v>381</v>
      </c>
      <c r="J54" s="51" t="s">
        <v>905</v>
      </c>
    </row>
    <row r="55" ht="15" customHeight="1" spans="1:10">
      <c r="A55" s="45">
        <v>49</v>
      </c>
      <c r="B55" s="45" t="s">
        <v>321</v>
      </c>
      <c r="C55" s="46" t="s">
        <v>712</v>
      </c>
      <c r="D55" s="47" t="s">
        <v>789</v>
      </c>
      <c r="E55" s="54" t="s">
        <v>38</v>
      </c>
      <c r="F55" s="45" t="s">
        <v>459</v>
      </c>
      <c r="G55" s="45" t="s">
        <v>917</v>
      </c>
      <c r="H55" s="45" t="s">
        <v>924</v>
      </c>
      <c r="I55" s="45" t="s">
        <v>158</v>
      </c>
      <c r="J55" s="47" t="s">
        <v>905</v>
      </c>
    </row>
    <row r="56" ht="18" customHeight="1" spans="1:10">
      <c r="A56" s="60" t="s">
        <v>932</v>
      </c>
    </row>
    <row r="57" ht="15" customHeight="1" spans="1:10">
      <c r="A57" s="49">
        <v>50</v>
      </c>
      <c r="B57" s="49" t="s">
        <v>98</v>
      </c>
      <c r="C57" s="50" t="s">
        <v>201</v>
      </c>
      <c r="D57" s="51" t="s">
        <v>202</v>
      </c>
      <c r="E57" s="57" t="s">
        <v>41</v>
      </c>
      <c r="F57" s="49" t="s">
        <v>17</v>
      </c>
      <c r="G57" s="49" t="s">
        <v>909</v>
      </c>
      <c r="H57" s="49" t="s">
        <v>916</v>
      </c>
      <c r="I57" s="49" t="s">
        <v>204</v>
      </c>
      <c r="J57" s="51" t="s">
        <v>203</v>
      </c>
    </row>
    <row r="58" ht="15" customHeight="1" spans="1:10">
      <c r="A58" s="45">
        <v>51</v>
      </c>
      <c r="B58" s="45" t="s">
        <v>98</v>
      </c>
      <c r="C58" s="46" t="s">
        <v>219</v>
      </c>
      <c r="D58" s="47" t="s">
        <v>220</v>
      </c>
      <c r="E58" s="57" t="s">
        <v>41</v>
      </c>
      <c r="F58" s="45" t="s">
        <v>17</v>
      </c>
      <c r="G58" s="45" t="s">
        <v>909</v>
      </c>
      <c r="H58" s="45" t="s">
        <v>916</v>
      </c>
      <c r="I58" s="45" t="s">
        <v>99</v>
      </c>
      <c r="J58" s="47" t="s">
        <v>221</v>
      </c>
    </row>
    <row r="59" ht="15" customHeight="1" spans="1:10">
      <c r="A59" s="49">
        <v>52</v>
      </c>
      <c r="B59" s="49" t="s">
        <v>98</v>
      </c>
      <c r="C59" s="50" t="s">
        <v>264</v>
      </c>
      <c r="D59" s="51" t="s">
        <v>265</v>
      </c>
      <c r="E59" s="57" t="s">
        <v>41</v>
      </c>
      <c r="F59" s="49" t="s">
        <v>17</v>
      </c>
      <c r="G59" s="49" t="s">
        <v>909</v>
      </c>
      <c r="H59" s="49" t="s">
        <v>916</v>
      </c>
      <c r="I59" s="49" t="s">
        <v>99</v>
      </c>
      <c r="J59" s="51" t="s">
        <v>905</v>
      </c>
    </row>
    <row r="60" ht="15" customHeight="1" spans="1:10">
      <c r="A60" s="45">
        <v>53</v>
      </c>
      <c r="B60" s="45" t="s">
        <v>98</v>
      </c>
      <c r="C60" s="46" t="s">
        <v>272</v>
      </c>
      <c r="D60" s="47" t="s">
        <v>273</v>
      </c>
      <c r="E60" s="57" t="s">
        <v>41</v>
      </c>
      <c r="F60" s="45" t="s">
        <v>17</v>
      </c>
      <c r="G60" s="45" t="s">
        <v>909</v>
      </c>
      <c r="H60" s="45" t="s">
        <v>916</v>
      </c>
      <c r="I60" s="45" t="s">
        <v>204</v>
      </c>
      <c r="J60" s="47" t="s">
        <v>905</v>
      </c>
    </row>
    <row r="61" ht="15" customHeight="1" spans="1:10">
      <c r="A61" s="49">
        <v>54</v>
      </c>
      <c r="B61" s="49" t="s">
        <v>98</v>
      </c>
      <c r="C61" s="50" t="s">
        <v>299</v>
      </c>
      <c r="D61" s="51" t="s">
        <v>300</v>
      </c>
      <c r="E61" s="57" t="s">
        <v>41</v>
      </c>
      <c r="F61" s="49" t="s">
        <v>17</v>
      </c>
      <c r="G61" s="49" t="s">
        <v>909</v>
      </c>
      <c r="H61" s="49" t="s">
        <v>916</v>
      </c>
      <c r="I61" s="49" t="s">
        <v>158</v>
      </c>
      <c r="J61" s="51" t="s">
        <v>905</v>
      </c>
    </row>
    <row r="62" ht="15" customHeight="1" spans="1:10">
      <c r="A62" s="45">
        <v>55</v>
      </c>
      <c r="B62" s="45" t="s">
        <v>534</v>
      </c>
      <c r="C62" s="46" t="s">
        <v>532</v>
      </c>
      <c r="D62" s="47" t="s">
        <v>533</v>
      </c>
      <c r="E62" s="57" t="s">
        <v>41</v>
      </c>
      <c r="F62" s="45" t="s">
        <v>459</v>
      </c>
      <c r="G62" s="45" t="s">
        <v>926</v>
      </c>
      <c r="H62" s="45" t="s">
        <v>916</v>
      </c>
      <c r="I62" s="45" t="s">
        <v>158</v>
      </c>
      <c r="J62" s="47" t="s">
        <v>905</v>
      </c>
    </row>
    <row r="63" ht="15" customHeight="1" spans="1:10">
      <c r="A63" s="49">
        <v>56</v>
      </c>
      <c r="B63" s="49" t="s">
        <v>98</v>
      </c>
      <c r="C63" s="50" t="s">
        <v>510</v>
      </c>
      <c r="D63" s="51" t="s">
        <v>750</v>
      </c>
      <c r="E63" s="64" t="s">
        <v>742</v>
      </c>
      <c r="F63" s="49" t="s">
        <v>459</v>
      </c>
      <c r="G63" s="49" t="s">
        <v>917</v>
      </c>
      <c r="H63" s="49" t="s">
        <v>921</v>
      </c>
      <c r="I63" s="49" t="s">
        <v>751</v>
      </c>
      <c r="J63" s="51" t="s">
        <v>905</v>
      </c>
    </row>
    <row r="64" ht="15" customHeight="1" spans="1:10">
      <c r="A64" s="45">
        <v>57</v>
      </c>
      <c r="B64" s="45" t="s">
        <v>98</v>
      </c>
      <c r="C64" s="46" t="s">
        <v>96</v>
      </c>
      <c r="D64" s="47" t="s">
        <v>110</v>
      </c>
      <c r="E64" s="57" t="s">
        <v>41</v>
      </c>
      <c r="F64" s="45" t="s">
        <v>84</v>
      </c>
      <c r="G64" s="45" t="s">
        <v>907</v>
      </c>
      <c r="H64" s="45" t="s">
        <v>924</v>
      </c>
      <c r="I64" s="45" t="s">
        <v>112</v>
      </c>
      <c r="J64" s="47" t="s">
        <v>111</v>
      </c>
    </row>
    <row r="65" ht="15" customHeight="1" spans="1:10">
      <c r="A65" s="49">
        <v>58</v>
      </c>
      <c r="B65" s="49" t="s">
        <v>98</v>
      </c>
      <c r="C65" s="50" t="s">
        <v>185</v>
      </c>
      <c r="D65" s="51" t="s">
        <v>228</v>
      </c>
      <c r="E65" s="54" t="s">
        <v>38</v>
      </c>
      <c r="F65" s="49" t="s">
        <v>17</v>
      </c>
      <c r="G65" s="49" t="s">
        <v>909</v>
      </c>
      <c r="H65" s="49" t="s">
        <v>924</v>
      </c>
      <c r="I65" s="49" t="s">
        <v>204</v>
      </c>
      <c r="J65" s="51" t="s">
        <v>229</v>
      </c>
    </row>
    <row r="66" ht="15" customHeight="1" spans="1:10">
      <c r="A66" s="45">
        <v>59</v>
      </c>
      <c r="B66" s="45" t="s">
        <v>98</v>
      </c>
      <c r="C66" s="46" t="s">
        <v>230</v>
      </c>
      <c r="D66" s="47" t="s">
        <v>231</v>
      </c>
      <c r="E66" s="54" t="s">
        <v>38</v>
      </c>
      <c r="F66" s="45" t="s">
        <v>17</v>
      </c>
      <c r="G66" s="45" t="s">
        <v>909</v>
      </c>
      <c r="H66" s="45" t="s">
        <v>924</v>
      </c>
      <c r="I66" s="45" t="s">
        <v>99</v>
      </c>
      <c r="J66" s="47" t="s">
        <v>221</v>
      </c>
    </row>
    <row r="67" ht="15" customHeight="1" spans="1:10">
      <c r="A67" s="49">
        <v>60</v>
      </c>
      <c r="B67" s="49" t="s">
        <v>98</v>
      </c>
      <c r="C67" s="50" t="s">
        <v>233</v>
      </c>
      <c r="D67" s="51" t="s">
        <v>234</v>
      </c>
      <c r="E67" s="54" t="s">
        <v>38</v>
      </c>
      <c r="F67" s="49" t="s">
        <v>17</v>
      </c>
      <c r="G67" s="49" t="s">
        <v>909</v>
      </c>
      <c r="H67" s="49" t="s">
        <v>924</v>
      </c>
      <c r="I67" s="49" t="s">
        <v>99</v>
      </c>
      <c r="J67" s="51" t="s">
        <v>221</v>
      </c>
    </row>
    <row r="68" ht="15" customHeight="1" spans="1:10">
      <c r="A68" s="45">
        <v>61</v>
      </c>
      <c r="B68" s="45" t="s">
        <v>98</v>
      </c>
      <c r="C68" s="46" t="s">
        <v>235</v>
      </c>
      <c r="D68" s="47" t="s">
        <v>236</v>
      </c>
      <c r="E68" s="54" t="s">
        <v>38</v>
      </c>
      <c r="F68" s="45" t="s">
        <v>17</v>
      </c>
      <c r="G68" s="45" t="s">
        <v>909</v>
      </c>
      <c r="H68" s="45" t="s">
        <v>924</v>
      </c>
      <c r="I68" s="45" t="s">
        <v>204</v>
      </c>
      <c r="J68" s="47" t="s">
        <v>229</v>
      </c>
    </row>
    <row r="69" ht="15" customHeight="1" spans="1:10">
      <c r="A69" s="49">
        <v>62</v>
      </c>
      <c r="B69" s="49" t="s">
        <v>98</v>
      </c>
      <c r="C69" s="50" t="s">
        <v>238</v>
      </c>
      <c r="D69" s="51" t="s">
        <v>239</v>
      </c>
      <c r="E69" s="54" t="s">
        <v>38</v>
      </c>
      <c r="F69" s="49" t="s">
        <v>17</v>
      </c>
      <c r="G69" s="49" t="s">
        <v>909</v>
      </c>
      <c r="H69" s="49" t="s">
        <v>924</v>
      </c>
      <c r="I69" s="49" t="s">
        <v>204</v>
      </c>
      <c r="J69" s="51" t="s">
        <v>229</v>
      </c>
    </row>
    <row r="70" ht="15" customHeight="1" spans="1:10">
      <c r="A70" s="45">
        <v>63</v>
      </c>
      <c r="B70" s="45" t="s">
        <v>98</v>
      </c>
      <c r="C70" s="46" t="s">
        <v>240</v>
      </c>
      <c r="D70" s="47" t="s">
        <v>241</v>
      </c>
      <c r="E70" s="54" t="s">
        <v>38</v>
      </c>
      <c r="F70" s="45" t="s">
        <v>17</v>
      </c>
      <c r="G70" s="45" t="s">
        <v>909</v>
      </c>
      <c r="H70" s="45" t="s">
        <v>924</v>
      </c>
      <c r="I70" s="45" t="s">
        <v>158</v>
      </c>
      <c r="J70" s="47" t="s">
        <v>229</v>
      </c>
    </row>
    <row r="71" ht="15" customHeight="1" spans="1:10">
      <c r="A71" s="49">
        <v>64</v>
      </c>
      <c r="B71" s="49" t="s">
        <v>98</v>
      </c>
      <c r="C71" s="50" t="s">
        <v>240</v>
      </c>
      <c r="D71" s="51" t="s">
        <v>242</v>
      </c>
      <c r="E71" s="54" t="s">
        <v>38</v>
      </c>
      <c r="F71" s="49" t="s">
        <v>17</v>
      </c>
      <c r="G71" s="49" t="s">
        <v>909</v>
      </c>
      <c r="H71" s="49" t="s">
        <v>924</v>
      </c>
      <c r="I71" s="49" t="s">
        <v>158</v>
      </c>
      <c r="J71" s="51" t="s">
        <v>229</v>
      </c>
    </row>
    <row r="72" ht="15" customHeight="1" spans="1:10">
      <c r="A72" s="45">
        <v>65</v>
      </c>
      <c r="B72" s="45" t="s">
        <v>98</v>
      </c>
      <c r="C72" s="46" t="s">
        <v>315</v>
      </c>
      <c r="D72" s="47" t="s">
        <v>316</v>
      </c>
      <c r="E72" s="54" t="s">
        <v>38</v>
      </c>
      <c r="F72" s="45" t="s">
        <v>17</v>
      </c>
      <c r="G72" s="45" t="s">
        <v>909</v>
      </c>
      <c r="H72" s="45" t="s">
        <v>924</v>
      </c>
      <c r="I72" s="45" t="s">
        <v>204</v>
      </c>
      <c r="J72" s="47" t="s">
        <v>229</v>
      </c>
    </row>
    <row r="73" ht="15" customHeight="1" spans="1:10">
      <c r="A73" s="49">
        <v>66</v>
      </c>
      <c r="B73" s="49" t="s">
        <v>98</v>
      </c>
      <c r="C73" s="50" t="s">
        <v>615</v>
      </c>
      <c r="D73" s="51" t="s">
        <v>616</v>
      </c>
      <c r="E73" s="54" t="s">
        <v>38</v>
      </c>
      <c r="F73" s="49" t="s">
        <v>459</v>
      </c>
      <c r="G73" s="49" t="s">
        <v>933</v>
      </c>
      <c r="H73" s="49" t="s">
        <v>924</v>
      </c>
      <c r="I73" s="49" t="s">
        <v>99</v>
      </c>
      <c r="J73" s="51" t="s">
        <v>905</v>
      </c>
    </row>
    <row r="74" ht="15" customHeight="1" spans="1:10">
      <c r="A74" s="45">
        <v>67</v>
      </c>
      <c r="B74" s="45" t="s">
        <v>98</v>
      </c>
      <c r="C74" s="46" t="s">
        <v>211</v>
      </c>
      <c r="D74" s="47" t="s">
        <v>617</v>
      </c>
      <c r="E74" s="55" t="s">
        <v>26</v>
      </c>
      <c r="F74" s="45" t="s">
        <v>459</v>
      </c>
      <c r="G74" s="45" t="s">
        <v>933</v>
      </c>
      <c r="H74" s="45" t="s">
        <v>924</v>
      </c>
      <c r="I74" s="45" t="s">
        <v>204</v>
      </c>
      <c r="J74" s="47" t="s">
        <v>905</v>
      </c>
    </row>
    <row r="75" ht="15" customHeight="1" spans="1:10">
      <c r="A75" s="49">
        <v>68</v>
      </c>
      <c r="B75" s="49" t="s">
        <v>98</v>
      </c>
      <c r="C75" s="50" t="s">
        <v>510</v>
      </c>
      <c r="D75" s="51" t="s">
        <v>763</v>
      </c>
      <c r="E75" s="64" t="s">
        <v>742</v>
      </c>
      <c r="F75" s="49" t="s">
        <v>459</v>
      </c>
      <c r="G75" s="49" t="s">
        <v>917</v>
      </c>
      <c r="H75" s="49" t="s">
        <v>924</v>
      </c>
      <c r="I75" s="49" t="s">
        <v>751</v>
      </c>
      <c r="J75" s="51" t="s">
        <v>905</v>
      </c>
    </row>
    <row r="76" ht="18" customHeight="1" spans="1:10">
      <c r="A76" s="60" t="s">
        <v>934</v>
      </c>
    </row>
    <row r="77" ht="15" customHeight="1" spans="1:10">
      <c r="A77" s="45">
        <v>69</v>
      </c>
      <c r="B77" s="45" t="s">
        <v>45</v>
      </c>
      <c r="C77" s="46" t="s">
        <v>82</v>
      </c>
      <c r="D77" s="47" t="s">
        <v>83</v>
      </c>
      <c r="E77" s="57" t="s">
        <v>41</v>
      </c>
      <c r="F77" s="45" t="s">
        <v>84</v>
      </c>
      <c r="G77" s="45" t="s">
        <v>907</v>
      </c>
      <c r="H77" s="45" t="s">
        <v>916</v>
      </c>
      <c r="I77" s="45" t="s">
        <v>85</v>
      </c>
      <c r="J77" s="47" t="s">
        <v>905</v>
      </c>
    </row>
    <row r="78" ht="15" customHeight="1" spans="1:10">
      <c r="A78" s="49">
        <v>70</v>
      </c>
      <c r="B78" s="49" t="s">
        <v>45</v>
      </c>
      <c r="C78" s="50" t="s">
        <v>87</v>
      </c>
      <c r="D78" s="51" t="s">
        <v>88</v>
      </c>
      <c r="E78" s="54" t="s">
        <v>38</v>
      </c>
      <c r="F78" s="49" t="s">
        <v>84</v>
      </c>
      <c r="G78" s="49" t="s">
        <v>907</v>
      </c>
      <c r="H78" s="49" t="s">
        <v>924</v>
      </c>
      <c r="I78" s="49" t="s">
        <v>905</v>
      </c>
      <c r="J78" s="51" t="s">
        <v>905</v>
      </c>
    </row>
    <row r="79" ht="15" customHeight="1" spans="1:10">
      <c r="A79" s="45">
        <v>71</v>
      </c>
      <c r="B79" s="45" t="s">
        <v>45</v>
      </c>
      <c r="C79" s="46" t="s">
        <v>90</v>
      </c>
      <c r="D79" s="47" t="s">
        <v>905</v>
      </c>
      <c r="E79" s="65" t="s">
        <v>91</v>
      </c>
      <c r="F79" s="45" t="s">
        <v>84</v>
      </c>
      <c r="G79" s="45" t="s">
        <v>907</v>
      </c>
      <c r="H79" s="45" t="s">
        <v>924</v>
      </c>
      <c r="I79" s="45" t="s">
        <v>93</v>
      </c>
      <c r="J79" s="47" t="s">
        <v>92</v>
      </c>
    </row>
    <row r="80" ht="15" customHeight="1" spans="1:10">
      <c r="A80" s="49">
        <v>72</v>
      </c>
      <c r="B80" s="49" t="s">
        <v>107</v>
      </c>
      <c r="C80" s="50" t="s">
        <v>96</v>
      </c>
      <c r="D80" s="51" t="s">
        <v>106</v>
      </c>
      <c r="E80" s="65" t="s">
        <v>91</v>
      </c>
      <c r="F80" s="49" t="s">
        <v>84</v>
      </c>
      <c r="G80" s="49" t="s">
        <v>907</v>
      </c>
      <c r="H80" s="49" t="s">
        <v>924</v>
      </c>
      <c r="I80" s="49" t="s">
        <v>36</v>
      </c>
      <c r="J80" s="51" t="s">
        <v>108</v>
      </c>
    </row>
    <row r="81" ht="15" customHeight="1" spans="1:10">
      <c r="A81" s="45">
        <v>73</v>
      </c>
      <c r="B81" s="45" t="s">
        <v>16</v>
      </c>
      <c r="C81" s="46" t="s">
        <v>424</v>
      </c>
      <c r="D81" s="47" t="s">
        <v>905</v>
      </c>
      <c r="E81" s="54" t="s">
        <v>38</v>
      </c>
      <c r="F81" s="45" t="s">
        <v>84</v>
      </c>
      <c r="G81" s="45" t="s">
        <v>907</v>
      </c>
      <c r="H81" s="45" t="s">
        <v>924</v>
      </c>
      <c r="I81" s="45" t="s">
        <v>36</v>
      </c>
      <c r="J81" s="47" t="s">
        <v>905</v>
      </c>
    </row>
    <row r="82" ht="15" customHeight="1" spans="1:10">
      <c r="A82" s="49">
        <v>74</v>
      </c>
      <c r="B82" s="49" t="s">
        <v>16</v>
      </c>
      <c r="C82" s="50" t="s">
        <v>25</v>
      </c>
      <c r="D82" s="51" t="s">
        <v>905</v>
      </c>
      <c r="E82" s="55" t="s">
        <v>26</v>
      </c>
      <c r="F82" s="49" t="s">
        <v>17</v>
      </c>
      <c r="G82" s="49" t="s">
        <v>909</v>
      </c>
      <c r="H82" s="49" t="s">
        <v>924</v>
      </c>
      <c r="I82" s="49" t="s">
        <v>905</v>
      </c>
      <c r="J82" s="51" t="s">
        <v>905</v>
      </c>
    </row>
    <row r="83" ht="15" customHeight="1" spans="1:10">
      <c r="A83" s="45">
        <v>75</v>
      </c>
      <c r="B83" s="45" t="s">
        <v>16</v>
      </c>
      <c r="C83" s="46" t="s">
        <v>27</v>
      </c>
      <c r="D83" s="47" t="s">
        <v>905</v>
      </c>
      <c r="E83" s="55" t="s">
        <v>26</v>
      </c>
      <c r="F83" s="45" t="s">
        <v>17</v>
      </c>
      <c r="G83" s="45" t="s">
        <v>909</v>
      </c>
      <c r="H83" s="45" t="s">
        <v>924</v>
      </c>
      <c r="I83" s="45" t="s">
        <v>905</v>
      </c>
      <c r="J83" s="47" t="s">
        <v>905</v>
      </c>
    </row>
    <row r="84" ht="15" customHeight="1" spans="1:10">
      <c r="A84" s="49">
        <v>76</v>
      </c>
      <c r="B84" s="49" t="s">
        <v>16</v>
      </c>
      <c r="C84" s="50" t="s">
        <v>28</v>
      </c>
      <c r="D84" s="51" t="s">
        <v>905</v>
      </c>
      <c r="E84" s="55" t="s">
        <v>26</v>
      </c>
      <c r="F84" s="49" t="s">
        <v>17</v>
      </c>
      <c r="G84" s="49" t="s">
        <v>909</v>
      </c>
      <c r="H84" s="49" t="s">
        <v>924</v>
      </c>
      <c r="I84" s="49" t="s">
        <v>905</v>
      </c>
      <c r="J84" s="51" t="s">
        <v>905</v>
      </c>
    </row>
    <row r="85" ht="15" customHeight="1" spans="1:10">
      <c r="A85" s="45">
        <v>77</v>
      </c>
      <c r="B85" s="45" t="s">
        <v>16</v>
      </c>
      <c r="C85" s="46" t="s">
        <v>29</v>
      </c>
      <c r="D85" s="47" t="s">
        <v>905</v>
      </c>
      <c r="E85" s="64" t="s">
        <v>30</v>
      </c>
      <c r="F85" s="45" t="s">
        <v>17</v>
      </c>
      <c r="G85" s="45" t="s">
        <v>909</v>
      </c>
      <c r="H85" s="45" t="s">
        <v>924</v>
      </c>
      <c r="I85" s="45" t="s">
        <v>905</v>
      </c>
      <c r="J85" s="47" t="s">
        <v>905</v>
      </c>
    </row>
    <row r="86" ht="15" customHeight="1" spans="1:10">
      <c r="A86" s="49">
        <v>78</v>
      </c>
      <c r="B86" s="49" t="s">
        <v>16</v>
      </c>
      <c r="C86" s="50" t="s">
        <v>31</v>
      </c>
      <c r="D86" s="51" t="s">
        <v>905</v>
      </c>
      <c r="E86" s="55" t="s">
        <v>26</v>
      </c>
      <c r="F86" s="49" t="s">
        <v>17</v>
      </c>
      <c r="G86" s="49" t="s">
        <v>909</v>
      </c>
      <c r="H86" s="49" t="s">
        <v>924</v>
      </c>
      <c r="I86" s="49" t="s">
        <v>905</v>
      </c>
      <c r="J86" s="51" t="s">
        <v>905</v>
      </c>
    </row>
    <row r="87" ht="15" customHeight="1" spans="1:10">
      <c r="A87" s="45">
        <v>79</v>
      </c>
      <c r="B87" s="45" t="s">
        <v>16</v>
      </c>
      <c r="C87" s="46" t="s">
        <v>32</v>
      </c>
      <c r="D87" s="47" t="s">
        <v>905</v>
      </c>
      <c r="E87" s="55" t="s">
        <v>26</v>
      </c>
      <c r="F87" s="45" t="s">
        <v>17</v>
      </c>
      <c r="G87" s="45" t="s">
        <v>909</v>
      </c>
      <c r="H87" s="45" t="s">
        <v>924</v>
      </c>
      <c r="I87" s="45" t="s">
        <v>905</v>
      </c>
      <c r="J87" s="47" t="s">
        <v>905</v>
      </c>
    </row>
    <row r="88" ht="15" customHeight="1" spans="1:10">
      <c r="A88" s="49">
        <v>80</v>
      </c>
      <c r="B88" s="49" t="s">
        <v>16</v>
      </c>
      <c r="C88" s="50" t="s">
        <v>33</v>
      </c>
      <c r="D88" s="51" t="s">
        <v>905</v>
      </c>
      <c r="E88" s="55" t="s">
        <v>26</v>
      </c>
      <c r="F88" s="49" t="s">
        <v>17</v>
      </c>
      <c r="G88" s="49" t="s">
        <v>909</v>
      </c>
      <c r="H88" s="49" t="s">
        <v>924</v>
      </c>
      <c r="I88" s="49" t="s">
        <v>905</v>
      </c>
      <c r="J88" s="51" t="s">
        <v>905</v>
      </c>
    </row>
    <row r="89" ht="15" customHeight="1" spans="1:10">
      <c r="A89" s="45">
        <v>81</v>
      </c>
      <c r="B89" s="45" t="s">
        <v>16</v>
      </c>
      <c r="C89" s="46" t="s">
        <v>34</v>
      </c>
      <c r="D89" s="47" t="s">
        <v>905</v>
      </c>
      <c r="E89" s="56" t="s">
        <v>35</v>
      </c>
      <c r="F89" s="45" t="s">
        <v>17</v>
      </c>
      <c r="G89" s="45" t="s">
        <v>909</v>
      </c>
      <c r="H89" s="45" t="s">
        <v>924</v>
      </c>
      <c r="I89" s="45" t="s">
        <v>36</v>
      </c>
      <c r="J89" s="47" t="s">
        <v>905</v>
      </c>
    </row>
    <row r="90" ht="15" customHeight="1" spans="1:10">
      <c r="A90" s="49">
        <v>82</v>
      </c>
      <c r="B90" s="49" t="s">
        <v>16</v>
      </c>
      <c r="C90" s="50" t="s">
        <v>37</v>
      </c>
      <c r="D90" s="51" t="s">
        <v>905</v>
      </c>
      <c r="E90" s="54" t="s">
        <v>38</v>
      </c>
      <c r="F90" s="49" t="s">
        <v>17</v>
      </c>
      <c r="G90" s="49" t="s">
        <v>909</v>
      </c>
      <c r="H90" s="49" t="s">
        <v>924</v>
      </c>
      <c r="I90" s="49" t="s">
        <v>905</v>
      </c>
      <c r="J90" s="51" t="s">
        <v>905</v>
      </c>
    </row>
    <row r="91" ht="15" customHeight="1" spans="1:10">
      <c r="A91" s="45">
        <v>83</v>
      </c>
      <c r="B91" s="45" t="s">
        <v>16</v>
      </c>
      <c r="C91" s="46" t="s">
        <v>39</v>
      </c>
      <c r="D91" s="47" t="s">
        <v>905</v>
      </c>
      <c r="E91" s="55" t="s">
        <v>26</v>
      </c>
      <c r="F91" s="45" t="s">
        <v>17</v>
      </c>
      <c r="G91" s="45" t="s">
        <v>909</v>
      </c>
      <c r="H91" s="45" t="s">
        <v>924</v>
      </c>
      <c r="I91" s="45" t="s">
        <v>905</v>
      </c>
      <c r="J91" s="47" t="s">
        <v>905</v>
      </c>
    </row>
    <row r="92" ht="15" customHeight="1" spans="1:10">
      <c r="A92" s="49">
        <v>84</v>
      </c>
      <c r="B92" s="49" t="s">
        <v>16</v>
      </c>
      <c r="C92" s="50" t="s">
        <v>40</v>
      </c>
      <c r="D92" s="51" t="s">
        <v>905</v>
      </c>
      <c r="E92" s="57" t="s">
        <v>41</v>
      </c>
      <c r="F92" s="49" t="s">
        <v>17</v>
      </c>
      <c r="G92" s="49" t="s">
        <v>909</v>
      </c>
      <c r="H92" s="49" t="s">
        <v>924</v>
      </c>
      <c r="I92" s="49" t="s">
        <v>36</v>
      </c>
      <c r="J92" s="51" t="s">
        <v>905</v>
      </c>
    </row>
    <row r="93" ht="15" customHeight="1" spans="1:10">
      <c r="A93" s="45">
        <v>85</v>
      </c>
      <c r="B93" s="45" t="s">
        <v>107</v>
      </c>
      <c r="C93" s="46" t="s">
        <v>116</v>
      </c>
      <c r="D93" s="47" t="s">
        <v>905</v>
      </c>
      <c r="E93" s="54" t="s">
        <v>38</v>
      </c>
      <c r="F93" s="45" t="s">
        <v>17</v>
      </c>
      <c r="G93" s="45" t="s">
        <v>909</v>
      </c>
      <c r="H93" s="45" t="s">
        <v>924</v>
      </c>
      <c r="I93" s="45" t="s">
        <v>905</v>
      </c>
      <c r="J93" s="47" t="s">
        <v>117</v>
      </c>
    </row>
    <row r="94" ht="15" customHeight="1" spans="1:10">
      <c r="A94" s="49">
        <v>86</v>
      </c>
      <c r="B94" s="49" t="s">
        <v>107</v>
      </c>
      <c r="C94" s="50" t="s">
        <v>119</v>
      </c>
      <c r="D94" s="51" t="s">
        <v>905</v>
      </c>
      <c r="E94" s="55" t="s">
        <v>26</v>
      </c>
      <c r="F94" s="49" t="s">
        <v>17</v>
      </c>
      <c r="G94" s="49" t="s">
        <v>909</v>
      </c>
      <c r="H94" s="49" t="s">
        <v>924</v>
      </c>
      <c r="I94" s="49" t="s">
        <v>905</v>
      </c>
      <c r="J94" s="51" t="s">
        <v>905</v>
      </c>
    </row>
  </sheetData>
  <mergeCells count="5">
    <mergeCell ref="A3:J3"/>
    <mergeCell ref="A6:J6"/>
    <mergeCell ref="A56:J56"/>
    <mergeCell ref="A76:J76"/>
    <mergeCell ref="A1:J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62" t="s">
        <v>935</v>
      </c>
    </row>
    <row r="2" ht="22" customHeight="1"/>
    <row r="3" ht="14" customHeight="1" spans="1:10">
      <c r="A3" s="42" t="s">
        <v>900</v>
      </c>
    </row>
    <row r="4" ht="6" customHeight="1"/>
    <row r="5" ht="22" customHeight="1" spans="1:10">
      <c r="A5" s="43" t="s">
        <v>901</v>
      </c>
      <c r="B5" s="43" t="s">
        <v>3</v>
      </c>
      <c r="C5" s="43" t="s">
        <v>1</v>
      </c>
      <c r="D5" s="43" t="s">
        <v>2</v>
      </c>
      <c r="E5" s="43" t="s">
        <v>5</v>
      </c>
      <c r="F5" s="43" t="s">
        <v>875</v>
      </c>
      <c r="G5" s="43" t="s">
        <v>902</v>
      </c>
      <c r="H5" s="43" t="s">
        <v>8</v>
      </c>
      <c r="I5" s="43" t="s">
        <v>12</v>
      </c>
      <c r="J5" s="43" t="s">
        <v>6</v>
      </c>
    </row>
    <row r="6" ht="18" customHeight="1" spans="1:10">
      <c r="A6" s="60" t="s">
        <v>936</v>
      </c>
    </row>
    <row r="7" ht="15" customHeight="1" spans="1:10">
      <c r="A7" s="45">
        <v>1</v>
      </c>
      <c r="B7" s="45" t="s">
        <v>321</v>
      </c>
      <c r="C7" s="46" t="s">
        <v>510</v>
      </c>
      <c r="D7" s="47" t="s">
        <v>764</v>
      </c>
      <c r="E7" s="55" t="s">
        <v>758</v>
      </c>
      <c r="F7" s="45" t="s">
        <v>459</v>
      </c>
      <c r="G7" s="45" t="s">
        <v>917</v>
      </c>
      <c r="H7" s="45" t="s">
        <v>937</v>
      </c>
      <c r="I7" s="45" t="s">
        <v>417</v>
      </c>
      <c r="J7" s="47" t="s">
        <v>905</v>
      </c>
    </row>
    <row r="8" ht="15" customHeight="1" spans="1:10">
      <c r="A8" s="49">
        <v>2</v>
      </c>
      <c r="B8" s="49" t="s">
        <v>321</v>
      </c>
      <c r="C8" s="50" t="s">
        <v>510</v>
      </c>
      <c r="D8" s="51" t="s">
        <v>765</v>
      </c>
      <c r="E8" s="55" t="s">
        <v>758</v>
      </c>
      <c r="F8" s="49" t="s">
        <v>459</v>
      </c>
      <c r="G8" s="49" t="s">
        <v>922</v>
      </c>
      <c r="H8" s="49" t="s">
        <v>938</v>
      </c>
      <c r="I8" s="49" t="s">
        <v>381</v>
      </c>
      <c r="J8" s="51" t="s">
        <v>905</v>
      </c>
    </row>
    <row r="9" ht="15" customHeight="1" spans="1:10">
      <c r="A9" s="45">
        <v>3</v>
      </c>
      <c r="B9" s="45" t="s">
        <v>321</v>
      </c>
      <c r="C9" s="46" t="s">
        <v>712</v>
      </c>
      <c r="D9" s="47" t="s">
        <v>790</v>
      </c>
      <c r="E9" s="54" t="s">
        <v>38</v>
      </c>
      <c r="F9" s="45" t="s">
        <v>459</v>
      </c>
      <c r="G9" s="45" t="s">
        <v>917</v>
      </c>
      <c r="H9" s="45" t="s">
        <v>938</v>
      </c>
      <c r="I9" s="45" t="s">
        <v>791</v>
      </c>
      <c r="J9" s="47" t="s">
        <v>905</v>
      </c>
    </row>
    <row r="10" ht="15" customHeight="1" spans="1:10">
      <c r="A10" s="49">
        <v>4</v>
      </c>
      <c r="B10" s="49" t="s">
        <v>321</v>
      </c>
      <c r="C10" s="50" t="s">
        <v>712</v>
      </c>
      <c r="D10" s="51" t="s">
        <v>792</v>
      </c>
      <c r="E10" s="54" t="s">
        <v>38</v>
      </c>
      <c r="F10" s="49" t="s">
        <v>459</v>
      </c>
      <c r="G10" s="49" t="s">
        <v>917</v>
      </c>
      <c r="H10" s="49" t="s">
        <v>938</v>
      </c>
      <c r="I10" s="49" t="s">
        <v>158</v>
      </c>
      <c r="J10" s="51" t="s">
        <v>905</v>
      </c>
    </row>
    <row r="11" ht="15" customHeight="1" spans="1:10">
      <c r="A11" s="45">
        <v>5</v>
      </c>
      <c r="B11" s="45" t="s">
        <v>321</v>
      </c>
      <c r="C11" s="46" t="s">
        <v>715</v>
      </c>
      <c r="D11" s="47" t="s">
        <v>735</v>
      </c>
      <c r="E11" s="54" t="s">
        <v>38</v>
      </c>
      <c r="F11" s="45" t="s">
        <v>459</v>
      </c>
      <c r="G11" s="45" t="s">
        <v>923</v>
      </c>
      <c r="H11" s="45" t="s">
        <v>938</v>
      </c>
      <c r="I11" s="45" t="s">
        <v>736</v>
      </c>
      <c r="J11" s="47" t="s">
        <v>905</v>
      </c>
    </row>
    <row r="12" ht="15" customHeight="1" spans="1:10">
      <c r="A12" s="49">
        <v>6</v>
      </c>
      <c r="B12" s="49" t="s">
        <v>321</v>
      </c>
      <c r="C12" s="50" t="s">
        <v>715</v>
      </c>
      <c r="D12" s="51" t="s">
        <v>737</v>
      </c>
      <c r="E12" s="54" t="s">
        <v>38</v>
      </c>
      <c r="F12" s="49" t="s">
        <v>459</v>
      </c>
      <c r="G12" s="49" t="s">
        <v>923</v>
      </c>
      <c r="H12" s="49" t="s">
        <v>938</v>
      </c>
      <c r="I12" s="49" t="s">
        <v>736</v>
      </c>
      <c r="J12" s="51" t="s">
        <v>905</v>
      </c>
    </row>
    <row r="13" ht="15" customHeight="1" spans="1:10">
      <c r="A13" s="45">
        <v>7</v>
      </c>
      <c r="B13" s="45" t="s">
        <v>321</v>
      </c>
      <c r="C13" s="46" t="s">
        <v>715</v>
      </c>
      <c r="D13" s="47" t="s">
        <v>738</v>
      </c>
      <c r="E13" s="54" t="s">
        <v>38</v>
      </c>
      <c r="F13" s="45" t="s">
        <v>459</v>
      </c>
      <c r="G13" s="45" t="s">
        <v>923</v>
      </c>
      <c r="H13" s="45" t="s">
        <v>938</v>
      </c>
      <c r="I13" s="45" t="s">
        <v>736</v>
      </c>
      <c r="J13" s="47" t="s">
        <v>905</v>
      </c>
    </row>
    <row r="14" ht="15" customHeight="1" spans="1:10">
      <c r="A14" s="49">
        <v>8</v>
      </c>
      <c r="B14" s="49" t="s">
        <v>321</v>
      </c>
      <c r="C14" s="50" t="s">
        <v>510</v>
      </c>
      <c r="D14" s="51" t="s">
        <v>766</v>
      </c>
      <c r="E14" s="54" t="s">
        <v>38</v>
      </c>
      <c r="F14" s="49" t="s">
        <v>459</v>
      </c>
      <c r="G14" s="49" t="s">
        <v>917</v>
      </c>
      <c r="H14" s="49" t="s">
        <v>939</v>
      </c>
      <c r="I14" s="49" t="s">
        <v>381</v>
      </c>
      <c r="J14" s="51" t="s">
        <v>905</v>
      </c>
    </row>
    <row r="15" ht="15" customHeight="1" spans="1:10">
      <c r="A15" s="45">
        <v>9</v>
      </c>
      <c r="B15" s="45" t="s">
        <v>520</v>
      </c>
      <c r="C15" s="46" t="s">
        <v>510</v>
      </c>
      <c r="D15" s="47" t="s">
        <v>767</v>
      </c>
      <c r="E15" s="54" t="s">
        <v>38</v>
      </c>
      <c r="F15" s="45" t="s">
        <v>459</v>
      </c>
      <c r="G15" s="45" t="s">
        <v>917</v>
      </c>
      <c r="H15" s="45" t="s">
        <v>939</v>
      </c>
      <c r="I15" s="45" t="s">
        <v>417</v>
      </c>
      <c r="J15" s="47" t="s">
        <v>905</v>
      </c>
    </row>
    <row r="16" ht="15" customHeight="1" spans="1:10">
      <c r="A16" s="49">
        <v>10</v>
      </c>
      <c r="B16" s="49" t="s">
        <v>321</v>
      </c>
      <c r="C16" s="50" t="s">
        <v>712</v>
      </c>
      <c r="D16" s="51" t="s">
        <v>794</v>
      </c>
      <c r="E16" s="54" t="s">
        <v>38</v>
      </c>
      <c r="F16" s="49" t="s">
        <v>459</v>
      </c>
      <c r="G16" s="49" t="s">
        <v>917</v>
      </c>
      <c r="H16" s="49" t="s">
        <v>939</v>
      </c>
      <c r="I16" s="49" t="s">
        <v>417</v>
      </c>
      <c r="J16" s="51" t="s">
        <v>905</v>
      </c>
    </row>
    <row r="17" ht="15" customHeight="1" spans="1:10">
      <c r="A17" s="45">
        <v>11</v>
      </c>
      <c r="B17" s="45" t="s">
        <v>321</v>
      </c>
      <c r="C17" s="46" t="s">
        <v>712</v>
      </c>
      <c r="D17" s="47" t="s">
        <v>795</v>
      </c>
      <c r="E17" s="54" t="s">
        <v>38</v>
      </c>
      <c r="F17" s="45" t="s">
        <v>459</v>
      </c>
      <c r="G17" s="45" t="s">
        <v>917</v>
      </c>
      <c r="H17" s="45" t="s">
        <v>940</v>
      </c>
      <c r="I17" s="45" t="s">
        <v>158</v>
      </c>
      <c r="J17" s="47" t="s">
        <v>905</v>
      </c>
    </row>
    <row r="18" ht="15" customHeight="1" spans="1:10">
      <c r="A18" s="49">
        <v>12</v>
      </c>
      <c r="B18" s="49" t="s">
        <v>321</v>
      </c>
      <c r="C18" s="50" t="s">
        <v>712</v>
      </c>
      <c r="D18" s="51" t="s">
        <v>796</v>
      </c>
      <c r="E18" s="54" t="s">
        <v>38</v>
      </c>
      <c r="F18" s="49" t="s">
        <v>459</v>
      </c>
      <c r="G18" s="49" t="s">
        <v>917</v>
      </c>
      <c r="H18" s="49" t="s">
        <v>940</v>
      </c>
      <c r="I18" s="49" t="s">
        <v>417</v>
      </c>
      <c r="J18" s="51" t="s">
        <v>797</v>
      </c>
    </row>
    <row r="19" ht="15" customHeight="1" spans="1:10">
      <c r="A19" s="45">
        <v>13</v>
      </c>
      <c r="B19" s="45" t="s">
        <v>321</v>
      </c>
      <c r="C19" s="46" t="s">
        <v>712</v>
      </c>
      <c r="D19" s="47" t="s">
        <v>798</v>
      </c>
      <c r="E19" s="54" t="s">
        <v>38</v>
      </c>
      <c r="F19" s="45" t="s">
        <v>459</v>
      </c>
      <c r="G19" s="45" t="s">
        <v>917</v>
      </c>
      <c r="H19" s="45" t="s">
        <v>941</v>
      </c>
      <c r="I19" s="45" t="s">
        <v>158</v>
      </c>
      <c r="J19" s="47" t="s">
        <v>905</v>
      </c>
    </row>
    <row r="20" ht="18" customHeight="1" spans="1:10">
      <c r="A20" s="60" t="s">
        <v>942</v>
      </c>
    </row>
    <row r="21" ht="15" customHeight="1" spans="1:10">
      <c r="A21" s="49">
        <v>14</v>
      </c>
      <c r="B21" s="49" t="s">
        <v>512</v>
      </c>
      <c r="C21" s="50" t="s">
        <v>712</v>
      </c>
      <c r="D21" s="51" t="s">
        <v>793</v>
      </c>
      <c r="E21" s="54" t="s">
        <v>38</v>
      </c>
      <c r="F21" s="49" t="s">
        <v>459</v>
      </c>
      <c r="G21" s="49" t="s">
        <v>917</v>
      </c>
      <c r="H21" s="49" t="s">
        <v>938</v>
      </c>
      <c r="I21" s="49" t="s">
        <v>417</v>
      </c>
      <c r="J21" s="51" t="s">
        <v>905</v>
      </c>
    </row>
  </sheetData>
  <mergeCells count="4">
    <mergeCell ref="A3:J3"/>
    <mergeCell ref="A6:J6"/>
    <mergeCell ref="A20:J20"/>
    <mergeCell ref="A1:J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showGridLines="0" workbookViewId="0">
      <pane ySplit="5" topLeftCell="A6" activePane="bottomLeft" state="frozen"/>
      <selection/>
      <selection pane="bottomLeft" activeCell="A1" sqref="A1:J2"/>
    </sheetView>
  </sheetViews>
  <sheetFormatPr defaultColWidth="9" defaultRowHeight="16.8" outlineLevelRow="4"/>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61" t="s">
        <v>943</v>
      </c>
    </row>
    <row r="2" ht="22" customHeight="1"/>
    <row r="3" ht="14" customHeight="1" spans="1:10">
      <c r="A3" s="42" t="s">
        <v>900</v>
      </c>
    </row>
    <row r="4" ht="6" customHeight="1"/>
    <row r="5" ht="22" customHeight="1" spans="1:10">
      <c r="A5" s="43" t="s">
        <v>901</v>
      </c>
      <c r="B5" s="43" t="s">
        <v>3</v>
      </c>
      <c r="C5" s="43" t="s">
        <v>1</v>
      </c>
      <c r="D5" s="43" t="s">
        <v>2</v>
      </c>
      <c r="E5" s="43" t="s">
        <v>5</v>
      </c>
      <c r="F5" s="43" t="s">
        <v>875</v>
      </c>
      <c r="G5" s="43" t="s">
        <v>902</v>
      </c>
      <c r="H5" s="43" t="s">
        <v>8</v>
      </c>
      <c r="I5" s="43" t="s">
        <v>12</v>
      </c>
      <c r="J5" s="43" t="s">
        <v>6</v>
      </c>
    </row>
  </sheetData>
  <mergeCells count="2">
    <mergeCell ref="A3:J3"/>
    <mergeCell ref="A1:J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59" t="s">
        <v>944</v>
      </c>
    </row>
    <row r="2" ht="22" customHeight="1"/>
    <row r="3" ht="14" customHeight="1" spans="1:10">
      <c r="A3" s="42" t="s">
        <v>945</v>
      </c>
    </row>
    <row r="4" ht="6" customHeight="1"/>
    <row r="5" ht="22" customHeight="1" spans="1:10">
      <c r="A5" s="43" t="s">
        <v>901</v>
      </c>
      <c r="B5" s="43" t="s">
        <v>3</v>
      </c>
      <c r="C5" s="43" t="s">
        <v>1</v>
      </c>
      <c r="D5" s="43" t="s">
        <v>2</v>
      </c>
      <c r="E5" s="43" t="s">
        <v>5</v>
      </c>
      <c r="F5" s="43" t="s">
        <v>875</v>
      </c>
      <c r="G5" s="43" t="s">
        <v>902</v>
      </c>
      <c r="H5" s="43" t="s">
        <v>8</v>
      </c>
      <c r="I5" s="43" t="s">
        <v>12</v>
      </c>
      <c r="J5" s="43" t="s">
        <v>6</v>
      </c>
    </row>
    <row r="6" ht="18" customHeight="1" spans="1:10">
      <c r="A6" s="60" t="s">
        <v>946</v>
      </c>
    </row>
    <row r="7" ht="15" customHeight="1" spans="1:10">
      <c r="A7" s="45">
        <v>1</v>
      </c>
      <c r="B7" s="45" t="s">
        <v>189</v>
      </c>
      <c r="C7" s="46" t="s">
        <v>243</v>
      </c>
      <c r="D7" s="47" t="s">
        <v>244</v>
      </c>
      <c r="E7" s="54" t="s">
        <v>38</v>
      </c>
      <c r="F7" s="45" t="s">
        <v>17</v>
      </c>
      <c r="G7" s="45" t="s">
        <v>909</v>
      </c>
      <c r="H7" s="45" t="s">
        <v>905</v>
      </c>
      <c r="I7" s="45" t="s">
        <v>905</v>
      </c>
      <c r="J7" s="47" t="s">
        <v>905</v>
      </c>
    </row>
    <row r="8" ht="15" customHeight="1" spans="1:10">
      <c r="A8" s="49">
        <v>2</v>
      </c>
      <c r="B8" s="49" t="s">
        <v>321</v>
      </c>
      <c r="C8" s="50" t="s">
        <v>770</v>
      </c>
      <c r="D8" s="51" t="s">
        <v>773</v>
      </c>
      <c r="E8" s="54" t="s">
        <v>38</v>
      </c>
      <c r="F8" s="49" t="s">
        <v>459</v>
      </c>
      <c r="G8" s="49" t="s">
        <v>947</v>
      </c>
      <c r="H8" s="49" t="s">
        <v>905</v>
      </c>
      <c r="I8" s="49" t="s">
        <v>774</v>
      </c>
      <c r="J8" s="51" t="s">
        <v>905</v>
      </c>
    </row>
    <row r="9" ht="15" customHeight="1" spans="1:10">
      <c r="A9" s="45">
        <v>3</v>
      </c>
      <c r="B9" s="45" t="s">
        <v>520</v>
      </c>
      <c r="C9" s="46" t="s">
        <v>712</v>
      </c>
      <c r="D9" s="47" t="s">
        <v>805</v>
      </c>
      <c r="E9" s="54" t="s">
        <v>38</v>
      </c>
      <c r="F9" s="45" t="s">
        <v>459</v>
      </c>
      <c r="G9" s="45" t="s">
        <v>948</v>
      </c>
      <c r="H9" s="45" t="s">
        <v>905</v>
      </c>
      <c r="I9" s="45" t="s">
        <v>438</v>
      </c>
      <c r="J9" s="47" t="s">
        <v>905</v>
      </c>
    </row>
    <row r="10" ht="15" customHeight="1" spans="1:10">
      <c r="A10" s="49">
        <v>4</v>
      </c>
      <c r="B10" s="49" t="s">
        <v>321</v>
      </c>
      <c r="C10" s="50" t="s">
        <v>712</v>
      </c>
      <c r="D10" s="51" t="s">
        <v>809</v>
      </c>
      <c r="E10" s="54" t="s">
        <v>38</v>
      </c>
      <c r="F10" s="49" t="s">
        <v>459</v>
      </c>
      <c r="G10" s="49" t="s">
        <v>928</v>
      </c>
      <c r="H10" s="49" t="s">
        <v>905</v>
      </c>
      <c r="I10" s="49" t="s">
        <v>905</v>
      </c>
      <c r="J10" s="51" t="s">
        <v>905</v>
      </c>
    </row>
    <row r="11" ht="15" customHeight="1" spans="1:10">
      <c r="A11" s="45">
        <v>5</v>
      </c>
      <c r="B11" s="45" t="s">
        <v>189</v>
      </c>
      <c r="C11" s="46" t="s">
        <v>712</v>
      </c>
      <c r="D11" s="47" t="s">
        <v>713</v>
      </c>
      <c r="E11" s="54" t="s">
        <v>38</v>
      </c>
      <c r="F11" s="45" t="s">
        <v>459</v>
      </c>
      <c r="G11" s="45" t="s">
        <v>918</v>
      </c>
      <c r="H11" s="45" t="s">
        <v>905</v>
      </c>
      <c r="I11" s="45" t="s">
        <v>99</v>
      </c>
      <c r="J11" s="47" t="s">
        <v>905</v>
      </c>
    </row>
    <row r="12" ht="15" customHeight="1" spans="1:10">
      <c r="A12" s="49">
        <v>6</v>
      </c>
      <c r="B12" s="49" t="s">
        <v>189</v>
      </c>
      <c r="C12" s="50" t="s">
        <v>712</v>
      </c>
      <c r="D12" s="51" t="s">
        <v>714</v>
      </c>
      <c r="E12" s="54" t="s">
        <v>38</v>
      </c>
      <c r="F12" s="49" t="s">
        <v>459</v>
      </c>
      <c r="G12" s="49" t="s">
        <v>949</v>
      </c>
      <c r="H12" s="49" t="s">
        <v>905</v>
      </c>
      <c r="I12" s="49" t="s">
        <v>905</v>
      </c>
      <c r="J12" s="51" t="s">
        <v>905</v>
      </c>
    </row>
    <row r="13" ht="15" customHeight="1" spans="1:10">
      <c r="A13" s="45">
        <v>7</v>
      </c>
      <c r="B13" s="45" t="s">
        <v>321</v>
      </c>
      <c r="C13" s="46" t="s">
        <v>770</v>
      </c>
      <c r="D13" s="47" t="s">
        <v>780</v>
      </c>
      <c r="E13" s="54" t="s">
        <v>38</v>
      </c>
      <c r="F13" s="45" t="s">
        <v>459</v>
      </c>
      <c r="G13" s="45" t="s">
        <v>950</v>
      </c>
      <c r="H13" s="45" t="s">
        <v>905</v>
      </c>
      <c r="I13" s="45" t="s">
        <v>905</v>
      </c>
      <c r="J13" s="47" t="s">
        <v>905</v>
      </c>
    </row>
    <row r="14" ht="15" customHeight="1" spans="1:10">
      <c r="A14" s="49">
        <v>8</v>
      </c>
      <c r="B14" s="49" t="s">
        <v>321</v>
      </c>
      <c r="C14" s="50" t="s">
        <v>712</v>
      </c>
      <c r="D14" s="51" t="s">
        <v>806</v>
      </c>
      <c r="E14" s="54" t="s">
        <v>38</v>
      </c>
      <c r="F14" s="49" t="s">
        <v>459</v>
      </c>
      <c r="G14" s="49" t="s">
        <v>910</v>
      </c>
      <c r="H14" s="49" t="s">
        <v>905</v>
      </c>
      <c r="I14" s="49" t="s">
        <v>905</v>
      </c>
      <c r="J14" s="51" t="s">
        <v>807</v>
      </c>
    </row>
    <row r="15" ht="15" customHeight="1" spans="1:10">
      <c r="A15" s="45">
        <v>9</v>
      </c>
      <c r="B15" s="45" t="s">
        <v>321</v>
      </c>
      <c r="C15" s="46" t="s">
        <v>770</v>
      </c>
      <c r="D15" s="47" t="s">
        <v>771</v>
      </c>
      <c r="E15" s="54" t="s">
        <v>38</v>
      </c>
      <c r="F15" s="45" t="s">
        <v>459</v>
      </c>
      <c r="G15" s="45" t="s">
        <v>917</v>
      </c>
      <c r="H15" s="45" t="s">
        <v>905</v>
      </c>
      <c r="I15" s="45" t="s">
        <v>905</v>
      </c>
      <c r="J15" s="47" t="s">
        <v>905</v>
      </c>
    </row>
    <row r="16" ht="15" customHeight="1" spans="1:10">
      <c r="A16" s="49">
        <v>10</v>
      </c>
      <c r="B16" s="49" t="s">
        <v>321</v>
      </c>
      <c r="C16" s="50" t="s">
        <v>770</v>
      </c>
      <c r="D16" s="51" t="s">
        <v>772</v>
      </c>
      <c r="E16" s="54" t="s">
        <v>38</v>
      </c>
      <c r="F16" s="49" t="s">
        <v>459</v>
      </c>
      <c r="G16" s="49" t="s">
        <v>917</v>
      </c>
      <c r="H16" s="49" t="s">
        <v>905</v>
      </c>
      <c r="I16" s="49" t="s">
        <v>905</v>
      </c>
      <c r="J16" s="51" t="s">
        <v>905</v>
      </c>
    </row>
    <row r="17" ht="15" customHeight="1" spans="1:10">
      <c r="A17" s="45">
        <v>11</v>
      </c>
      <c r="B17" s="45" t="s">
        <v>321</v>
      </c>
      <c r="C17" s="46" t="s">
        <v>770</v>
      </c>
      <c r="D17" s="47" t="s">
        <v>775</v>
      </c>
      <c r="E17" s="54" t="s">
        <v>38</v>
      </c>
      <c r="F17" s="45" t="s">
        <v>459</v>
      </c>
      <c r="G17" s="45" t="s">
        <v>917</v>
      </c>
      <c r="H17" s="45" t="s">
        <v>905</v>
      </c>
      <c r="I17" s="45" t="s">
        <v>905</v>
      </c>
      <c r="J17" s="47" t="s">
        <v>905</v>
      </c>
    </row>
    <row r="18" ht="15" customHeight="1" spans="1:10">
      <c r="A18" s="49">
        <v>12</v>
      </c>
      <c r="B18" s="49" t="s">
        <v>321</v>
      </c>
      <c r="C18" s="50" t="s">
        <v>770</v>
      </c>
      <c r="D18" s="51" t="s">
        <v>777</v>
      </c>
      <c r="E18" s="54" t="s">
        <v>38</v>
      </c>
      <c r="F18" s="49" t="s">
        <v>459</v>
      </c>
      <c r="G18" s="49" t="s">
        <v>917</v>
      </c>
      <c r="H18" s="49" t="s">
        <v>905</v>
      </c>
      <c r="I18" s="49" t="s">
        <v>905</v>
      </c>
      <c r="J18" s="51" t="s">
        <v>905</v>
      </c>
    </row>
    <row r="19" ht="15" customHeight="1" spans="1:10">
      <c r="A19" s="45">
        <v>13</v>
      </c>
      <c r="B19" s="45" t="s">
        <v>321</v>
      </c>
      <c r="C19" s="46" t="s">
        <v>770</v>
      </c>
      <c r="D19" s="47" t="s">
        <v>778</v>
      </c>
      <c r="E19" s="54" t="s">
        <v>38</v>
      </c>
      <c r="F19" s="45" t="s">
        <v>459</v>
      </c>
      <c r="G19" s="45" t="s">
        <v>917</v>
      </c>
      <c r="H19" s="45" t="s">
        <v>905</v>
      </c>
      <c r="I19" s="45" t="s">
        <v>905</v>
      </c>
      <c r="J19" s="47" t="s">
        <v>905</v>
      </c>
    </row>
    <row r="20" ht="15" customHeight="1" spans="1:10">
      <c r="A20" s="49">
        <v>14</v>
      </c>
      <c r="B20" s="49" t="s">
        <v>321</v>
      </c>
      <c r="C20" s="50" t="s">
        <v>770</v>
      </c>
      <c r="D20" s="51" t="s">
        <v>779</v>
      </c>
      <c r="E20" s="54" t="s">
        <v>38</v>
      </c>
      <c r="F20" s="49" t="s">
        <v>459</v>
      </c>
      <c r="G20" s="49" t="s">
        <v>917</v>
      </c>
      <c r="H20" s="49" t="s">
        <v>905</v>
      </c>
      <c r="I20" s="49" t="s">
        <v>905</v>
      </c>
      <c r="J20" s="51" t="s">
        <v>905</v>
      </c>
    </row>
    <row r="21" ht="15" customHeight="1" spans="1:10">
      <c r="A21" s="45">
        <v>15</v>
      </c>
      <c r="B21" s="45" t="s">
        <v>321</v>
      </c>
      <c r="C21" s="46" t="s">
        <v>770</v>
      </c>
      <c r="D21" s="47" t="s">
        <v>783</v>
      </c>
      <c r="E21" s="54" t="s">
        <v>38</v>
      </c>
      <c r="F21" s="45" t="s">
        <v>459</v>
      </c>
      <c r="G21" s="45" t="s">
        <v>917</v>
      </c>
      <c r="H21" s="45" t="s">
        <v>905</v>
      </c>
      <c r="I21" s="45" t="s">
        <v>905</v>
      </c>
      <c r="J21" s="47" t="s">
        <v>905</v>
      </c>
    </row>
    <row r="22" ht="15" customHeight="1" spans="1:10">
      <c r="A22" s="49">
        <v>16</v>
      </c>
      <c r="B22" s="49" t="s">
        <v>321</v>
      </c>
      <c r="C22" s="50" t="s">
        <v>712</v>
      </c>
      <c r="D22" s="51" t="s">
        <v>799</v>
      </c>
      <c r="E22" s="54" t="s">
        <v>38</v>
      </c>
      <c r="F22" s="49" t="s">
        <v>459</v>
      </c>
      <c r="G22" s="49" t="s">
        <v>917</v>
      </c>
      <c r="H22" s="49" t="s">
        <v>905</v>
      </c>
      <c r="I22" s="49" t="s">
        <v>905</v>
      </c>
      <c r="J22" s="51" t="s">
        <v>905</v>
      </c>
    </row>
    <row r="23" ht="15" customHeight="1" spans="1:10">
      <c r="A23" s="45">
        <v>17</v>
      </c>
      <c r="B23" s="45" t="s">
        <v>321</v>
      </c>
      <c r="C23" s="46" t="s">
        <v>712</v>
      </c>
      <c r="D23" s="47" t="s">
        <v>800</v>
      </c>
      <c r="E23" s="54" t="s">
        <v>38</v>
      </c>
      <c r="F23" s="45" t="s">
        <v>459</v>
      </c>
      <c r="G23" s="45" t="s">
        <v>917</v>
      </c>
      <c r="H23" s="45" t="s">
        <v>905</v>
      </c>
      <c r="I23" s="45" t="s">
        <v>905</v>
      </c>
      <c r="J23" s="47" t="s">
        <v>905</v>
      </c>
    </row>
    <row r="24" ht="15" customHeight="1" spans="1:10">
      <c r="A24" s="49">
        <v>18</v>
      </c>
      <c r="B24" s="49" t="s">
        <v>321</v>
      </c>
      <c r="C24" s="50" t="s">
        <v>712</v>
      </c>
      <c r="D24" s="51" t="s">
        <v>801</v>
      </c>
      <c r="E24" s="54" t="s">
        <v>38</v>
      </c>
      <c r="F24" s="49" t="s">
        <v>459</v>
      </c>
      <c r="G24" s="49" t="s">
        <v>917</v>
      </c>
      <c r="H24" s="49" t="s">
        <v>905</v>
      </c>
      <c r="I24" s="49" t="s">
        <v>905</v>
      </c>
      <c r="J24" s="51" t="s">
        <v>905</v>
      </c>
    </row>
    <row r="25" ht="15" customHeight="1" spans="1:10">
      <c r="A25" s="45">
        <v>19</v>
      </c>
      <c r="B25" s="45" t="s">
        <v>321</v>
      </c>
      <c r="C25" s="46" t="s">
        <v>712</v>
      </c>
      <c r="D25" s="47" t="s">
        <v>802</v>
      </c>
      <c r="E25" s="54" t="s">
        <v>38</v>
      </c>
      <c r="F25" s="45" t="s">
        <v>459</v>
      </c>
      <c r="G25" s="45" t="s">
        <v>917</v>
      </c>
      <c r="H25" s="45" t="s">
        <v>905</v>
      </c>
      <c r="I25" s="45" t="s">
        <v>905</v>
      </c>
      <c r="J25" s="47" t="s">
        <v>905</v>
      </c>
    </row>
    <row r="26" ht="15" customHeight="1" spans="1:10">
      <c r="A26" s="49">
        <v>20</v>
      </c>
      <c r="B26" s="49" t="s">
        <v>321</v>
      </c>
      <c r="C26" s="50" t="s">
        <v>712</v>
      </c>
      <c r="D26" s="51" t="s">
        <v>803</v>
      </c>
      <c r="E26" s="54" t="s">
        <v>38</v>
      </c>
      <c r="F26" s="49" t="s">
        <v>459</v>
      </c>
      <c r="G26" s="49" t="s">
        <v>917</v>
      </c>
      <c r="H26" s="49" t="s">
        <v>905</v>
      </c>
      <c r="I26" s="49" t="s">
        <v>905</v>
      </c>
      <c r="J26" s="51" t="s">
        <v>905</v>
      </c>
    </row>
    <row r="27" ht="15" customHeight="1" spans="1:10">
      <c r="A27" s="45">
        <v>21</v>
      </c>
      <c r="B27" s="45" t="s">
        <v>321</v>
      </c>
      <c r="C27" s="46" t="s">
        <v>712</v>
      </c>
      <c r="D27" s="47" t="s">
        <v>804</v>
      </c>
      <c r="E27" s="54" t="s">
        <v>38</v>
      </c>
      <c r="F27" s="45" t="s">
        <v>459</v>
      </c>
      <c r="G27" s="45" t="s">
        <v>917</v>
      </c>
      <c r="H27" s="45" t="s">
        <v>905</v>
      </c>
      <c r="I27" s="45" t="s">
        <v>905</v>
      </c>
      <c r="J27" s="47" t="s">
        <v>905</v>
      </c>
    </row>
    <row r="28" ht="15" customHeight="1" spans="1:10">
      <c r="A28" s="49">
        <v>22</v>
      </c>
      <c r="B28" s="49" t="s">
        <v>321</v>
      </c>
      <c r="C28" s="50" t="s">
        <v>712</v>
      </c>
      <c r="D28" s="51" t="s">
        <v>808</v>
      </c>
      <c r="E28" s="54" t="s">
        <v>38</v>
      </c>
      <c r="F28" s="49" t="s">
        <v>459</v>
      </c>
      <c r="G28" s="49" t="s">
        <v>917</v>
      </c>
      <c r="H28" s="49" t="s">
        <v>905</v>
      </c>
      <c r="I28" s="49" t="s">
        <v>36</v>
      </c>
      <c r="J28" s="51" t="s">
        <v>905</v>
      </c>
    </row>
    <row r="29" ht="15" customHeight="1" spans="1:10">
      <c r="A29" s="45">
        <v>23</v>
      </c>
      <c r="B29" s="45" t="s">
        <v>321</v>
      </c>
      <c r="C29" s="46" t="s">
        <v>712</v>
      </c>
      <c r="D29" s="47" t="s">
        <v>810</v>
      </c>
      <c r="E29" s="54" t="s">
        <v>38</v>
      </c>
      <c r="F29" s="45" t="s">
        <v>459</v>
      </c>
      <c r="G29" s="45" t="s">
        <v>917</v>
      </c>
      <c r="H29" s="45" t="s">
        <v>905</v>
      </c>
      <c r="I29" s="45" t="s">
        <v>905</v>
      </c>
      <c r="J29" s="47" t="s">
        <v>905</v>
      </c>
    </row>
    <row r="30" ht="15" customHeight="1" spans="1:10">
      <c r="A30" s="49">
        <v>24</v>
      </c>
      <c r="B30" s="49" t="s">
        <v>321</v>
      </c>
      <c r="C30" s="50" t="s">
        <v>712</v>
      </c>
      <c r="D30" s="51" t="s">
        <v>811</v>
      </c>
      <c r="E30" s="54" t="s">
        <v>38</v>
      </c>
      <c r="F30" s="49" t="s">
        <v>459</v>
      </c>
      <c r="G30" s="49" t="s">
        <v>917</v>
      </c>
      <c r="H30" s="49" t="s">
        <v>905</v>
      </c>
      <c r="I30" s="49" t="s">
        <v>905</v>
      </c>
      <c r="J30" s="51" t="s">
        <v>905</v>
      </c>
    </row>
    <row r="31" ht="15" customHeight="1" spans="1:10">
      <c r="A31" s="45">
        <v>25</v>
      </c>
      <c r="B31" s="45" t="s">
        <v>321</v>
      </c>
      <c r="C31" s="46" t="s">
        <v>712</v>
      </c>
      <c r="D31" s="47" t="s">
        <v>812</v>
      </c>
      <c r="E31" s="54" t="s">
        <v>38</v>
      </c>
      <c r="F31" s="45" t="s">
        <v>459</v>
      </c>
      <c r="G31" s="45" t="s">
        <v>917</v>
      </c>
      <c r="H31" s="45" t="s">
        <v>905</v>
      </c>
      <c r="I31" s="45" t="s">
        <v>905</v>
      </c>
      <c r="J31" s="47" t="s">
        <v>905</v>
      </c>
    </row>
    <row r="32" ht="15" customHeight="1" spans="1:10">
      <c r="A32" s="49">
        <v>26</v>
      </c>
      <c r="B32" s="49" t="s">
        <v>321</v>
      </c>
      <c r="C32" s="50" t="s">
        <v>712</v>
      </c>
      <c r="D32" s="51" t="s">
        <v>813</v>
      </c>
      <c r="E32" s="54" t="s">
        <v>38</v>
      </c>
      <c r="F32" s="49" t="s">
        <v>459</v>
      </c>
      <c r="G32" s="49" t="s">
        <v>917</v>
      </c>
      <c r="H32" s="49" t="s">
        <v>905</v>
      </c>
      <c r="I32" s="49" t="s">
        <v>905</v>
      </c>
      <c r="J32" s="51" t="s">
        <v>905</v>
      </c>
    </row>
    <row r="33" ht="15" customHeight="1" spans="1:10">
      <c r="A33" s="45">
        <v>27</v>
      </c>
      <c r="B33" s="45" t="s">
        <v>321</v>
      </c>
      <c r="C33" s="46" t="s">
        <v>715</v>
      </c>
      <c r="D33" s="47" t="s">
        <v>716</v>
      </c>
      <c r="E33" s="54" t="s">
        <v>38</v>
      </c>
      <c r="F33" s="45" t="s">
        <v>459</v>
      </c>
      <c r="G33" s="45" t="s">
        <v>923</v>
      </c>
      <c r="H33" s="45" t="s">
        <v>905</v>
      </c>
      <c r="I33" s="45" t="s">
        <v>905</v>
      </c>
      <c r="J33" s="47" t="s">
        <v>905</v>
      </c>
    </row>
    <row r="34" ht="15" customHeight="1" spans="1:10">
      <c r="A34" s="49">
        <v>28</v>
      </c>
      <c r="B34" s="49" t="s">
        <v>321</v>
      </c>
      <c r="C34" s="50" t="s">
        <v>717</v>
      </c>
      <c r="D34" s="51" t="s">
        <v>718</v>
      </c>
      <c r="E34" s="54" t="s">
        <v>38</v>
      </c>
      <c r="F34" s="49" t="s">
        <v>459</v>
      </c>
      <c r="G34" s="49" t="s">
        <v>923</v>
      </c>
      <c r="H34" s="49" t="s">
        <v>905</v>
      </c>
      <c r="I34" s="49" t="s">
        <v>905</v>
      </c>
      <c r="J34" s="51" t="s">
        <v>905</v>
      </c>
    </row>
    <row r="35" ht="18" customHeight="1" spans="1:10">
      <c r="A35" s="60" t="s">
        <v>951</v>
      </c>
    </row>
    <row r="36" ht="15" customHeight="1" spans="1:10">
      <c r="A36" s="45">
        <v>29</v>
      </c>
      <c r="B36" s="45" t="s">
        <v>98</v>
      </c>
      <c r="C36" s="46" t="s">
        <v>302</v>
      </c>
      <c r="D36" s="47" t="s">
        <v>303</v>
      </c>
      <c r="E36" s="54" t="s">
        <v>38</v>
      </c>
      <c r="F36" s="45" t="s">
        <v>17</v>
      </c>
      <c r="G36" s="45" t="s">
        <v>909</v>
      </c>
      <c r="H36" s="45" t="s">
        <v>905</v>
      </c>
      <c r="I36" s="45" t="s">
        <v>204</v>
      </c>
      <c r="J36" s="47" t="s">
        <v>229</v>
      </c>
    </row>
    <row r="37" ht="15" customHeight="1" spans="1:10">
      <c r="A37" s="49">
        <v>30</v>
      </c>
      <c r="B37" s="49" t="s">
        <v>98</v>
      </c>
      <c r="C37" s="50" t="s">
        <v>304</v>
      </c>
      <c r="D37" s="51" t="s">
        <v>305</v>
      </c>
      <c r="E37" s="54" t="s">
        <v>38</v>
      </c>
      <c r="F37" s="49" t="s">
        <v>17</v>
      </c>
      <c r="G37" s="49" t="s">
        <v>909</v>
      </c>
      <c r="H37" s="49" t="s">
        <v>905</v>
      </c>
      <c r="I37" s="49" t="s">
        <v>905</v>
      </c>
      <c r="J37" s="51" t="s">
        <v>229</v>
      </c>
    </row>
    <row r="38" ht="15" customHeight="1" spans="1:10">
      <c r="A38" s="45">
        <v>31</v>
      </c>
      <c r="B38" s="45" t="s">
        <v>98</v>
      </c>
      <c r="C38" s="46" t="s">
        <v>306</v>
      </c>
      <c r="D38" s="47" t="s">
        <v>307</v>
      </c>
      <c r="E38" s="54" t="s">
        <v>38</v>
      </c>
      <c r="F38" s="45" t="s">
        <v>17</v>
      </c>
      <c r="G38" s="45" t="s">
        <v>909</v>
      </c>
      <c r="H38" s="45" t="s">
        <v>905</v>
      </c>
      <c r="I38" s="45" t="s">
        <v>905</v>
      </c>
      <c r="J38" s="47" t="s">
        <v>229</v>
      </c>
    </row>
    <row r="39" ht="15" customHeight="1" spans="1:10">
      <c r="A39" s="49">
        <v>32</v>
      </c>
      <c r="B39" s="49" t="s">
        <v>98</v>
      </c>
      <c r="C39" s="50" t="s">
        <v>486</v>
      </c>
      <c r="D39" s="51" t="s">
        <v>487</v>
      </c>
      <c r="E39" s="54" t="s">
        <v>38</v>
      </c>
      <c r="F39" s="49" t="s">
        <v>459</v>
      </c>
      <c r="G39" s="49" t="s">
        <v>952</v>
      </c>
      <c r="H39" s="49" t="s">
        <v>905</v>
      </c>
      <c r="I39" s="49" t="s">
        <v>158</v>
      </c>
      <c r="J39" s="51" t="s">
        <v>488</v>
      </c>
    </row>
    <row r="40" ht="18" customHeight="1" spans="1:10">
      <c r="A40" s="60" t="s">
        <v>953</v>
      </c>
    </row>
    <row r="41" ht="15" customHeight="1" spans="1:10">
      <c r="A41" s="45">
        <v>33</v>
      </c>
      <c r="B41" s="45" t="s">
        <v>512</v>
      </c>
      <c r="C41" s="46" t="s">
        <v>770</v>
      </c>
      <c r="D41" s="47" t="s">
        <v>781</v>
      </c>
      <c r="E41" s="54" t="s">
        <v>38</v>
      </c>
      <c r="F41" s="45" t="s">
        <v>459</v>
      </c>
      <c r="G41" s="45" t="s">
        <v>947</v>
      </c>
      <c r="H41" s="45" t="s">
        <v>905</v>
      </c>
      <c r="I41" s="45" t="s">
        <v>782</v>
      </c>
      <c r="J41" s="47" t="s">
        <v>905</v>
      </c>
    </row>
    <row r="42" ht="15" customHeight="1" spans="1:10">
      <c r="A42" s="49">
        <v>34</v>
      </c>
      <c r="B42" s="49" t="s">
        <v>512</v>
      </c>
      <c r="C42" s="50" t="s">
        <v>510</v>
      </c>
      <c r="D42" s="51" t="s">
        <v>511</v>
      </c>
      <c r="E42" s="54" t="s">
        <v>38</v>
      </c>
      <c r="F42" s="49" t="s">
        <v>459</v>
      </c>
      <c r="G42" s="49" t="s">
        <v>917</v>
      </c>
      <c r="H42" s="49" t="s">
        <v>905</v>
      </c>
      <c r="I42" s="49" t="s">
        <v>905</v>
      </c>
      <c r="J42" s="51" t="s">
        <v>905</v>
      </c>
    </row>
    <row r="43" ht="15" customHeight="1" spans="1:10">
      <c r="A43" s="45">
        <v>35</v>
      </c>
      <c r="B43" s="45" t="s">
        <v>512</v>
      </c>
      <c r="C43" s="46" t="s">
        <v>510</v>
      </c>
      <c r="D43" s="47" t="s">
        <v>513</v>
      </c>
      <c r="E43" s="54" t="s">
        <v>38</v>
      </c>
      <c r="F43" s="45" t="s">
        <v>459</v>
      </c>
      <c r="G43" s="45" t="s">
        <v>917</v>
      </c>
      <c r="H43" s="45" t="s">
        <v>905</v>
      </c>
      <c r="I43" s="45" t="s">
        <v>905</v>
      </c>
      <c r="J43" s="47" t="s">
        <v>905</v>
      </c>
    </row>
    <row r="44" ht="15" customHeight="1" spans="1:10">
      <c r="A44" s="49">
        <v>36</v>
      </c>
      <c r="B44" s="49" t="s">
        <v>512</v>
      </c>
      <c r="C44" s="50" t="s">
        <v>510</v>
      </c>
      <c r="D44" s="51" t="s">
        <v>768</v>
      </c>
      <c r="E44" s="54" t="s">
        <v>38</v>
      </c>
      <c r="F44" s="49" t="s">
        <v>459</v>
      </c>
      <c r="G44" s="49" t="s">
        <v>917</v>
      </c>
      <c r="H44" s="49" t="s">
        <v>905</v>
      </c>
      <c r="I44" s="49" t="s">
        <v>905</v>
      </c>
      <c r="J44" s="51" t="s">
        <v>905</v>
      </c>
    </row>
  </sheetData>
  <mergeCells count="5">
    <mergeCell ref="A3:J3"/>
    <mergeCell ref="A6:J6"/>
    <mergeCell ref="A35:J35"/>
    <mergeCell ref="A40:J40"/>
    <mergeCell ref="A1:J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5"/>
  <sheetViews>
    <sheetView showGridLines="0" workbookViewId="0">
      <pane ySplit="5" topLeftCell="A6" activePane="bottomLeft" state="frozen"/>
      <selection/>
      <selection pane="bottomLeft" activeCell="A1" sqref="A1:J2"/>
    </sheetView>
  </sheetViews>
  <sheetFormatPr defaultColWidth="9" defaultRowHeight="16.8"/>
  <cols>
    <col min="1" max="1" width="4" customWidth="1"/>
    <col min="2" max="2" width="13" customWidth="1"/>
    <col min="3" max="3" width="22" customWidth="1"/>
    <col min="4" max="4" width="36" customWidth="1"/>
    <col min="5" max="5" width="16" customWidth="1"/>
    <col min="6" max="9" width="12" customWidth="1"/>
    <col min="10" max="10" width="26" customWidth="1"/>
  </cols>
  <sheetData>
    <row r="1" ht="22" customHeight="1" spans="1:10">
      <c r="A1" s="41" t="s">
        <v>954</v>
      </c>
    </row>
    <row r="2" ht="22" customHeight="1"/>
    <row r="3" ht="14" customHeight="1" spans="1:10">
      <c r="A3" s="42" t="s">
        <v>955</v>
      </c>
    </row>
    <row r="4" ht="6" customHeight="1"/>
    <row r="5" ht="22" customHeight="1" spans="1:10">
      <c r="A5" s="43" t="s">
        <v>901</v>
      </c>
      <c r="B5" s="43" t="s">
        <v>3</v>
      </c>
      <c r="C5" s="43" t="s">
        <v>1</v>
      </c>
      <c r="D5" s="43" t="s">
        <v>2</v>
      </c>
      <c r="E5" s="43" t="s">
        <v>5</v>
      </c>
      <c r="F5" s="43" t="s">
        <v>875</v>
      </c>
      <c r="G5" s="43" t="s">
        <v>902</v>
      </c>
      <c r="H5" s="43" t="s">
        <v>8</v>
      </c>
      <c r="I5" s="43" t="s">
        <v>12</v>
      </c>
      <c r="J5" s="43" t="s">
        <v>6</v>
      </c>
    </row>
    <row r="6" ht="18" customHeight="1" spans="1:10">
      <c r="A6" s="44" t="s">
        <v>956</v>
      </c>
    </row>
    <row r="7" ht="15" customHeight="1" spans="1:10">
      <c r="A7" s="45">
        <v>1</v>
      </c>
      <c r="B7" s="45" t="s">
        <v>321</v>
      </c>
      <c r="C7" s="46" t="s">
        <v>548</v>
      </c>
      <c r="D7" s="47" t="s">
        <v>549</v>
      </c>
      <c r="E7" s="48" t="s">
        <v>18</v>
      </c>
      <c r="F7" s="45" t="s">
        <v>459</v>
      </c>
      <c r="G7" s="45" t="s">
        <v>927</v>
      </c>
      <c r="H7" s="45" t="s">
        <v>957</v>
      </c>
      <c r="I7" s="45" t="s">
        <v>905</v>
      </c>
      <c r="J7" s="47" t="s">
        <v>905</v>
      </c>
    </row>
    <row r="8" ht="15" customHeight="1" spans="1:10">
      <c r="A8" s="49">
        <v>2</v>
      </c>
      <c r="B8" s="49" t="s">
        <v>321</v>
      </c>
      <c r="C8" s="50" t="s">
        <v>465</v>
      </c>
      <c r="D8" s="51" t="s">
        <v>553</v>
      </c>
      <c r="E8" s="48" t="s">
        <v>18</v>
      </c>
      <c r="F8" s="49" t="s">
        <v>459</v>
      </c>
      <c r="G8" s="49" t="s">
        <v>957</v>
      </c>
      <c r="H8" s="49" t="s">
        <v>957</v>
      </c>
      <c r="I8" s="49" t="s">
        <v>905</v>
      </c>
      <c r="J8" s="51" t="s">
        <v>905</v>
      </c>
    </row>
    <row r="9" ht="15" customHeight="1" spans="1:10">
      <c r="A9" s="45">
        <v>3</v>
      </c>
      <c r="B9" s="45" t="s">
        <v>321</v>
      </c>
      <c r="C9" s="46" t="s">
        <v>465</v>
      </c>
      <c r="D9" s="47" t="s">
        <v>554</v>
      </c>
      <c r="E9" s="48" t="s">
        <v>18</v>
      </c>
      <c r="F9" s="45" t="s">
        <v>459</v>
      </c>
      <c r="G9" s="45" t="s">
        <v>957</v>
      </c>
      <c r="H9" s="45" t="s">
        <v>957</v>
      </c>
      <c r="I9" s="45" t="s">
        <v>905</v>
      </c>
      <c r="J9" s="47" t="s">
        <v>905</v>
      </c>
    </row>
    <row r="10" ht="15" customHeight="1" spans="1:10">
      <c r="A10" s="49">
        <v>4</v>
      </c>
      <c r="B10" s="49" t="s">
        <v>321</v>
      </c>
      <c r="C10" s="50" t="s">
        <v>465</v>
      </c>
      <c r="D10" s="51" t="s">
        <v>555</v>
      </c>
      <c r="E10" s="48" t="s">
        <v>18</v>
      </c>
      <c r="F10" s="49" t="s">
        <v>459</v>
      </c>
      <c r="G10" s="49" t="s">
        <v>957</v>
      </c>
      <c r="H10" s="49" t="s">
        <v>957</v>
      </c>
      <c r="I10" s="49" t="s">
        <v>905</v>
      </c>
      <c r="J10" s="51" t="s">
        <v>905</v>
      </c>
    </row>
    <row r="11" ht="15" customHeight="1" spans="1:10">
      <c r="A11" s="45">
        <v>5</v>
      </c>
      <c r="B11" s="45" t="s">
        <v>321</v>
      </c>
      <c r="C11" s="46" t="s">
        <v>465</v>
      </c>
      <c r="D11" s="47" t="s">
        <v>556</v>
      </c>
      <c r="E11" s="48" t="s">
        <v>18</v>
      </c>
      <c r="F11" s="45" t="s">
        <v>459</v>
      </c>
      <c r="G11" s="45" t="s">
        <v>957</v>
      </c>
      <c r="H11" s="45" t="s">
        <v>957</v>
      </c>
      <c r="I11" s="45" t="s">
        <v>905</v>
      </c>
      <c r="J11" s="47" t="s">
        <v>905</v>
      </c>
    </row>
    <row r="12" ht="15" customHeight="1" spans="1:10">
      <c r="A12" s="49">
        <v>6</v>
      </c>
      <c r="B12" s="49" t="s">
        <v>321</v>
      </c>
      <c r="C12" s="50" t="s">
        <v>465</v>
      </c>
      <c r="D12" s="51" t="s">
        <v>557</v>
      </c>
      <c r="E12" s="48" t="s">
        <v>18</v>
      </c>
      <c r="F12" s="49" t="s">
        <v>459</v>
      </c>
      <c r="G12" s="49" t="s">
        <v>957</v>
      </c>
      <c r="H12" s="49" t="s">
        <v>957</v>
      </c>
      <c r="I12" s="49" t="s">
        <v>905</v>
      </c>
      <c r="J12" s="51" t="s">
        <v>905</v>
      </c>
    </row>
    <row r="13" ht="15" customHeight="1" spans="1:10">
      <c r="A13" s="45">
        <v>7</v>
      </c>
      <c r="B13" s="45" t="s">
        <v>321</v>
      </c>
      <c r="C13" s="46" t="s">
        <v>465</v>
      </c>
      <c r="D13" s="47" t="s">
        <v>558</v>
      </c>
      <c r="E13" s="48" t="s">
        <v>18</v>
      </c>
      <c r="F13" s="45" t="s">
        <v>459</v>
      </c>
      <c r="G13" s="45" t="s">
        <v>957</v>
      </c>
      <c r="H13" s="45" t="s">
        <v>957</v>
      </c>
      <c r="I13" s="45" t="s">
        <v>905</v>
      </c>
      <c r="J13" s="47" t="s">
        <v>905</v>
      </c>
    </row>
    <row r="14" ht="15" customHeight="1" spans="1:10">
      <c r="A14" s="49">
        <v>8</v>
      </c>
      <c r="B14" s="49" t="s">
        <v>321</v>
      </c>
      <c r="C14" s="50" t="s">
        <v>465</v>
      </c>
      <c r="D14" s="51" t="s">
        <v>559</v>
      </c>
      <c r="E14" s="48" t="s">
        <v>18</v>
      </c>
      <c r="F14" s="49" t="s">
        <v>459</v>
      </c>
      <c r="G14" s="49" t="s">
        <v>957</v>
      </c>
      <c r="H14" s="49" t="s">
        <v>957</v>
      </c>
      <c r="I14" s="49" t="s">
        <v>905</v>
      </c>
      <c r="J14" s="51" t="s">
        <v>905</v>
      </c>
    </row>
    <row r="15" ht="15" customHeight="1" spans="1:10">
      <c r="A15" s="45">
        <v>9</v>
      </c>
      <c r="B15" s="45" t="s">
        <v>321</v>
      </c>
      <c r="C15" s="46" t="s">
        <v>465</v>
      </c>
      <c r="D15" s="47" t="s">
        <v>560</v>
      </c>
      <c r="E15" s="48" t="s">
        <v>18</v>
      </c>
      <c r="F15" s="45" t="s">
        <v>459</v>
      </c>
      <c r="G15" s="45" t="s">
        <v>957</v>
      </c>
      <c r="H15" s="45" t="s">
        <v>957</v>
      </c>
      <c r="I15" s="45" t="s">
        <v>905</v>
      </c>
      <c r="J15" s="47" t="s">
        <v>905</v>
      </c>
    </row>
    <row r="16" ht="15" customHeight="1" spans="1:10">
      <c r="A16" s="49">
        <v>10</v>
      </c>
      <c r="B16" s="49" t="s">
        <v>321</v>
      </c>
      <c r="C16" s="50" t="s">
        <v>465</v>
      </c>
      <c r="D16" s="51" t="s">
        <v>561</v>
      </c>
      <c r="E16" s="48" t="s">
        <v>18</v>
      </c>
      <c r="F16" s="49" t="s">
        <v>459</v>
      </c>
      <c r="G16" s="49" t="s">
        <v>957</v>
      </c>
      <c r="H16" s="49" t="s">
        <v>957</v>
      </c>
      <c r="I16" s="49" t="s">
        <v>905</v>
      </c>
      <c r="J16" s="51" t="s">
        <v>905</v>
      </c>
    </row>
    <row r="17" ht="15" customHeight="1" spans="1:10">
      <c r="A17" s="45">
        <v>11</v>
      </c>
      <c r="B17" s="45" t="s">
        <v>321</v>
      </c>
      <c r="C17" s="46" t="s">
        <v>465</v>
      </c>
      <c r="D17" s="47" t="s">
        <v>562</v>
      </c>
      <c r="E17" s="48" t="s">
        <v>18</v>
      </c>
      <c r="F17" s="45" t="s">
        <v>459</v>
      </c>
      <c r="G17" s="45" t="s">
        <v>957</v>
      </c>
      <c r="H17" s="45" t="s">
        <v>957</v>
      </c>
      <c r="I17" s="45" t="s">
        <v>905</v>
      </c>
      <c r="J17" s="47" t="s">
        <v>905</v>
      </c>
    </row>
    <row r="18" ht="15" customHeight="1" spans="1:10">
      <c r="A18" s="49">
        <v>12</v>
      </c>
      <c r="B18" s="49" t="s">
        <v>321</v>
      </c>
      <c r="C18" s="50" t="s">
        <v>565</v>
      </c>
      <c r="D18" s="51" t="s">
        <v>566</v>
      </c>
      <c r="E18" s="48" t="s">
        <v>18</v>
      </c>
      <c r="F18" s="49" t="s">
        <v>459</v>
      </c>
      <c r="G18" s="49" t="s">
        <v>957</v>
      </c>
      <c r="H18" s="49" t="s">
        <v>958</v>
      </c>
      <c r="I18" s="49" t="s">
        <v>417</v>
      </c>
      <c r="J18" s="51" t="s">
        <v>905</v>
      </c>
    </row>
    <row r="19" ht="15" customHeight="1" spans="1:10">
      <c r="A19" s="45">
        <v>13</v>
      </c>
      <c r="B19" s="45" t="s">
        <v>321</v>
      </c>
      <c r="C19" s="46" t="s">
        <v>465</v>
      </c>
      <c r="D19" s="47" t="s">
        <v>571</v>
      </c>
      <c r="E19" s="48" t="s">
        <v>18</v>
      </c>
      <c r="F19" s="45" t="s">
        <v>459</v>
      </c>
      <c r="G19" s="45" t="s">
        <v>957</v>
      </c>
      <c r="H19" s="45" t="s">
        <v>958</v>
      </c>
      <c r="I19" s="45" t="s">
        <v>905</v>
      </c>
      <c r="J19" s="47" t="s">
        <v>905</v>
      </c>
    </row>
    <row r="20" ht="15" customHeight="1" spans="1:10">
      <c r="A20" s="49">
        <v>14</v>
      </c>
      <c r="B20" s="49" t="s">
        <v>321</v>
      </c>
      <c r="C20" s="50" t="s">
        <v>578</v>
      </c>
      <c r="D20" s="51" t="s">
        <v>580</v>
      </c>
      <c r="E20" s="48" t="s">
        <v>18</v>
      </c>
      <c r="F20" s="49" t="s">
        <v>459</v>
      </c>
      <c r="G20" s="49" t="s">
        <v>958</v>
      </c>
      <c r="H20" s="49" t="s">
        <v>958</v>
      </c>
      <c r="I20" s="49" t="s">
        <v>905</v>
      </c>
      <c r="J20" s="51" t="s">
        <v>905</v>
      </c>
    </row>
    <row r="21" ht="15" customHeight="1" spans="1:10">
      <c r="A21" s="45">
        <v>15</v>
      </c>
      <c r="B21" s="45" t="s">
        <v>321</v>
      </c>
      <c r="C21" s="46" t="s">
        <v>578</v>
      </c>
      <c r="D21" s="47" t="s">
        <v>581</v>
      </c>
      <c r="E21" s="48" t="s">
        <v>18</v>
      </c>
      <c r="F21" s="45" t="s">
        <v>459</v>
      </c>
      <c r="G21" s="45" t="s">
        <v>958</v>
      </c>
      <c r="H21" s="45" t="s">
        <v>958</v>
      </c>
      <c r="I21" s="45" t="s">
        <v>85</v>
      </c>
      <c r="J21" s="47" t="s">
        <v>905</v>
      </c>
    </row>
    <row r="22" ht="15" customHeight="1" spans="1:10">
      <c r="A22" s="49">
        <v>16</v>
      </c>
      <c r="B22" s="49" t="s">
        <v>321</v>
      </c>
      <c r="C22" s="50" t="s">
        <v>578</v>
      </c>
      <c r="D22" s="51" t="s">
        <v>582</v>
      </c>
      <c r="E22" s="48" t="s">
        <v>18</v>
      </c>
      <c r="F22" s="49" t="s">
        <v>459</v>
      </c>
      <c r="G22" s="49" t="s">
        <v>958</v>
      </c>
      <c r="H22" s="49" t="s">
        <v>958</v>
      </c>
      <c r="I22" s="49" t="s">
        <v>85</v>
      </c>
      <c r="J22" s="51" t="s">
        <v>905</v>
      </c>
    </row>
    <row r="23" ht="15" customHeight="1" spans="1:10">
      <c r="A23" s="45">
        <v>17</v>
      </c>
      <c r="B23" s="45" t="s">
        <v>321</v>
      </c>
      <c r="C23" s="46" t="s">
        <v>583</v>
      </c>
      <c r="D23" s="47" t="s">
        <v>584</v>
      </c>
      <c r="E23" s="48" t="s">
        <v>18</v>
      </c>
      <c r="F23" s="45" t="s">
        <v>459</v>
      </c>
      <c r="G23" s="45" t="s">
        <v>958</v>
      </c>
      <c r="H23" s="45" t="s">
        <v>958</v>
      </c>
      <c r="I23" s="45" t="s">
        <v>85</v>
      </c>
      <c r="J23" s="47" t="s">
        <v>905</v>
      </c>
    </row>
    <row r="24" ht="15" customHeight="1" spans="1:10">
      <c r="A24" s="49">
        <v>18</v>
      </c>
      <c r="B24" s="49" t="s">
        <v>321</v>
      </c>
      <c r="C24" s="50" t="s">
        <v>578</v>
      </c>
      <c r="D24" s="51" t="s">
        <v>585</v>
      </c>
      <c r="E24" s="48" t="s">
        <v>18</v>
      </c>
      <c r="F24" s="49" t="s">
        <v>459</v>
      </c>
      <c r="G24" s="49" t="s">
        <v>958</v>
      </c>
      <c r="H24" s="49" t="s">
        <v>958</v>
      </c>
      <c r="I24" s="49" t="s">
        <v>85</v>
      </c>
      <c r="J24" s="51" t="s">
        <v>905</v>
      </c>
    </row>
    <row r="25" ht="15" customHeight="1" spans="1:10">
      <c r="A25" s="45">
        <v>19</v>
      </c>
      <c r="B25" s="45" t="s">
        <v>321</v>
      </c>
      <c r="C25" s="46" t="s">
        <v>465</v>
      </c>
      <c r="D25" s="47" t="s">
        <v>568</v>
      </c>
      <c r="E25" s="48" t="s">
        <v>18</v>
      </c>
      <c r="F25" s="45" t="s">
        <v>459</v>
      </c>
      <c r="G25" s="45" t="s">
        <v>957</v>
      </c>
      <c r="H25" s="45" t="s">
        <v>959</v>
      </c>
      <c r="I25" s="45" t="s">
        <v>905</v>
      </c>
      <c r="J25" s="47" t="s">
        <v>905</v>
      </c>
    </row>
    <row r="26" ht="15" customHeight="1" spans="1:10">
      <c r="A26" s="49">
        <v>20</v>
      </c>
      <c r="B26" s="49" t="s">
        <v>321</v>
      </c>
      <c r="C26" s="50" t="s">
        <v>578</v>
      </c>
      <c r="D26" s="51" t="s">
        <v>586</v>
      </c>
      <c r="E26" s="48" t="s">
        <v>18</v>
      </c>
      <c r="F26" s="49" t="s">
        <v>459</v>
      </c>
      <c r="G26" s="49" t="s">
        <v>958</v>
      </c>
      <c r="H26" s="49" t="s">
        <v>959</v>
      </c>
      <c r="I26" s="49" t="s">
        <v>460</v>
      </c>
      <c r="J26" s="51" t="s">
        <v>905</v>
      </c>
    </row>
    <row r="27" ht="15" customHeight="1" spans="1:10">
      <c r="A27" s="45">
        <v>21</v>
      </c>
      <c r="B27" s="45" t="s">
        <v>321</v>
      </c>
      <c r="C27" s="46" t="s">
        <v>578</v>
      </c>
      <c r="D27" s="47" t="s">
        <v>587</v>
      </c>
      <c r="E27" s="48" t="s">
        <v>18</v>
      </c>
      <c r="F27" s="45" t="s">
        <v>459</v>
      </c>
      <c r="G27" s="45" t="s">
        <v>958</v>
      </c>
      <c r="H27" s="45" t="s">
        <v>959</v>
      </c>
      <c r="I27" s="45" t="s">
        <v>438</v>
      </c>
      <c r="J27" s="47" t="s">
        <v>905</v>
      </c>
    </row>
    <row r="28" ht="15" customHeight="1" spans="1:10">
      <c r="A28" s="49">
        <v>22</v>
      </c>
      <c r="B28" s="49" t="s">
        <v>321</v>
      </c>
      <c r="C28" s="50" t="s">
        <v>578</v>
      </c>
      <c r="D28" s="51" t="s">
        <v>588</v>
      </c>
      <c r="E28" s="48" t="s">
        <v>18</v>
      </c>
      <c r="F28" s="49" t="s">
        <v>459</v>
      </c>
      <c r="G28" s="49" t="s">
        <v>958</v>
      </c>
      <c r="H28" s="49" t="s">
        <v>959</v>
      </c>
      <c r="I28" s="49" t="s">
        <v>438</v>
      </c>
      <c r="J28" s="51" t="s">
        <v>905</v>
      </c>
    </row>
    <row r="29" ht="15" customHeight="1" spans="1:10">
      <c r="A29" s="45">
        <v>23</v>
      </c>
      <c r="B29" s="45" t="s">
        <v>321</v>
      </c>
      <c r="C29" s="46" t="s">
        <v>565</v>
      </c>
      <c r="D29" s="47" t="s">
        <v>569</v>
      </c>
      <c r="E29" s="48" t="s">
        <v>18</v>
      </c>
      <c r="F29" s="45" t="s">
        <v>459</v>
      </c>
      <c r="G29" s="45" t="s">
        <v>957</v>
      </c>
      <c r="H29" s="45" t="s">
        <v>960</v>
      </c>
      <c r="I29" s="45" t="s">
        <v>417</v>
      </c>
      <c r="J29" s="47" t="s">
        <v>905</v>
      </c>
    </row>
    <row r="30" ht="15" customHeight="1" spans="1:10">
      <c r="A30" s="49">
        <v>24</v>
      </c>
      <c r="B30" s="49" t="s">
        <v>321</v>
      </c>
      <c r="C30" s="50" t="s">
        <v>465</v>
      </c>
      <c r="D30" s="51" t="s">
        <v>570</v>
      </c>
      <c r="E30" s="48" t="s">
        <v>18</v>
      </c>
      <c r="F30" s="49" t="s">
        <v>459</v>
      </c>
      <c r="G30" s="49" t="s">
        <v>957</v>
      </c>
      <c r="H30" s="49" t="s">
        <v>960</v>
      </c>
      <c r="I30" s="49" t="s">
        <v>905</v>
      </c>
      <c r="J30" s="51" t="s">
        <v>905</v>
      </c>
    </row>
    <row r="31" ht="15" customHeight="1" spans="1:10">
      <c r="A31" s="45">
        <v>25</v>
      </c>
      <c r="B31" s="45" t="s">
        <v>321</v>
      </c>
      <c r="C31" s="46" t="s">
        <v>578</v>
      </c>
      <c r="D31" s="47" t="s">
        <v>589</v>
      </c>
      <c r="E31" s="48" t="s">
        <v>18</v>
      </c>
      <c r="F31" s="45" t="s">
        <v>459</v>
      </c>
      <c r="G31" s="45" t="s">
        <v>958</v>
      </c>
      <c r="H31" s="45" t="s">
        <v>960</v>
      </c>
      <c r="I31" s="45" t="s">
        <v>460</v>
      </c>
      <c r="J31" s="47" t="s">
        <v>905</v>
      </c>
    </row>
    <row r="32" ht="15" customHeight="1" spans="1:10">
      <c r="A32" s="49">
        <v>26</v>
      </c>
      <c r="B32" s="49" t="s">
        <v>321</v>
      </c>
      <c r="C32" s="50" t="s">
        <v>465</v>
      </c>
      <c r="D32" s="51" t="s">
        <v>572</v>
      </c>
      <c r="E32" s="48" t="s">
        <v>573</v>
      </c>
      <c r="F32" s="49" t="s">
        <v>459</v>
      </c>
      <c r="G32" s="49" t="s">
        <v>957</v>
      </c>
      <c r="H32" s="49" t="s">
        <v>957</v>
      </c>
      <c r="I32" s="49" t="s">
        <v>905</v>
      </c>
      <c r="J32" s="51" t="s">
        <v>574</v>
      </c>
    </row>
    <row r="33" ht="15" customHeight="1" spans="1:10">
      <c r="A33" s="45">
        <v>27</v>
      </c>
      <c r="B33" s="45" t="s">
        <v>321</v>
      </c>
      <c r="C33" s="46" t="s">
        <v>465</v>
      </c>
      <c r="D33" s="47" t="s">
        <v>577</v>
      </c>
      <c r="E33" s="48" t="s">
        <v>573</v>
      </c>
      <c r="F33" s="45" t="s">
        <v>459</v>
      </c>
      <c r="G33" s="45" t="s">
        <v>957</v>
      </c>
      <c r="H33" s="45" t="s">
        <v>957</v>
      </c>
      <c r="I33" s="45" t="s">
        <v>905</v>
      </c>
      <c r="J33" s="47" t="s">
        <v>905</v>
      </c>
    </row>
    <row r="34" ht="18" customHeight="1" spans="1:10">
      <c r="A34" s="44" t="s">
        <v>961</v>
      </c>
    </row>
    <row r="35" ht="15" customHeight="1" spans="1:10">
      <c r="A35" s="49">
        <v>28</v>
      </c>
      <c r="B35" s="49" t="s">
        <v>321</v>
      </c>
      <c r="C35" s="50" t="s">
        <v>590</v>
      </c>
      <c r="D35" s="51" t="s">
        <v>591</v>
      </c>
      <c r="E35" s="48" t="s">
        <v>18</v>
      </c>
      <c r="F35" s="49" t="s">
        <v>459</v>
      </c>
      <c r="G35" s="49" t="s">
        <v>958</v>
      </c>
      <c r="H35" s="49" t="s">
        <v>928</v>
      </c>
      <c r="I35" s="49" t="s">
        <v>417</v>
      </c>
      <c r="J35" s="51" t="s">
        <v>905</v>
      </c>
    </row>
    <row r="36" ht="15" customHeight="1" spans="1:10">
      <c r="A36" s="45">
        <v>29</v>
      </c>
      <c r="B36" s="45" t="s">
        <v>321</v>
      </c>
      <c r="C36" s="46" t="s">
        <v>590</v>
      </c>
      <c r="D36" s="47" t="s">
        <v>592</v>
      </c>
      <c r="E36" s="48" t="s">
        <v>18</v>
      </c>
      <c r="F36" s="45" t="s">
        <v>459</v>
      </c>
      <c r="G36" s="45" t="s">
        <v>958</v>
      </c>
      <c r="H36" s="45" t="s">
        <v>928</v>
      </c>
      <c r="I36" s="45" t="s">
        <v>417</v>
      </c>
      <c r="J36" s="47" t="s">
        <v>905</v>
      </c>
    </row>
    <row r="37" ht="15" customHeight="1" spans="1:10">
      <c r="A37" s="49">
        <v>30</v>
      </c>
      <c r="B37" s="49" t="s">
        <v>321</v>
      </c>
      <c r="C37" s="50" t="s">
        <v>590</v>
      </c>
      <c r="D37" s="51" t="s">
        <v>593</v>
      </c>
      <c r="E37" s="48" t="s">
        <v>18</v>
      </c>
      <c r="F37" s="49" t="s">
        <v>459</v>
      </c>
      <c r="G37" s="49" t="s">
        <v>958</v>
      </c>
      <c r="H37" s="49" t="s">
        <v>928</v>
      </c>
      <c r="I37" s="49" t="s">
        <v>417</v>
      </c>
      <c r="J37" s="51" t="s">
        <v>905</v>
      </c>
    </row>
    <row r="38" ht="15" customHeight="1" spans="1:10">
      <c r="A38" s="45">
        <v>31</v>
      </c>
      <c r="B38" s="45" t="s">
        <v>321</v>
      </c>
      <c r="C38" s="46" t="s">
        <v>590</v>
      </c>
      <c r="D38" s="47" t="s">
        <v>594</v>
      </c>
      <c r="E38" s="48" t="s">
        <v>18</v>
      </c>
      <c r="F38" s="45" t="s">
        <v>459</v>
      </c>
      <c r="G38" s="45" t="s">
        <v>958</v>
      </c>
      <c r="H38" s="45" t="s">
        <v>928</v>
      </c>
      <c r="I38" s="45" t="s">
        <v>905</v>
      </c>
      <c r="J38" s="47" t="s">
        <v>905</v>
      </c>
    </row>
    <row r="39" ht="15" customHeight="1" spans="1:10">
      <c r="A39" s="49">
        <v>32</v>
      </c>
      <c r="B39" s="49" t="s">
        <v>321</v>
      </c>
      <c r="C39" s="50" t="s">
        <v>590</v>
      </c>
      <c r="D39" s="51" t="s">
        <v>595</v>
      </c>
      <c r="E39" s="48" t="s">
        <v>18</v>
      </c>
      <c r="F39" s="49" t="s">
        <v>459</v>
      </c>
      <c r="G39" s="49" t="s">
        <v>958</v>
      </c>
      <c r="H39" s="49" t="s">
        <v>928</v>
      </c>
      <c r="I39" s="49" t="s">
        <v>417</v>
      </c>
      <c r="J39" s="51" t="s">
        <v>905</v>
      </c>
    </row>
    <row r="40" ht="15" customHeight="1" spans="1:10">
      <c r="A40" s="45">
        <v>33</v>
      </c>
      <c r="B40" s="45" t="s">
        <v>321</v>
      </c>
      <c r="C40" s="46" t="s">
        <v>590</v>
      </c>
      <c r="D40" s="47" t="s">
        <v>596</v>
      </c>
      <c r="E40" s="48" t="s">
        <v>18</v>
      </c>
      <c r="F40" s="45" t="s">
        <v>459</v>
      </c>
      <c r="G40" s="45" t="s">
        <v>958</v>
      </c>
      <c r="H40" s="45" t="s">
        <v>962</v>
      </c>
      <c r="I40" s="45" t="s">
        <v>905</v>
      </c>
      <c r="J40" s="47" t="s">
        <v>905</v>
      </c>
    </row>
    <row r="41" ht="15" customHeight="1" spans="1:10">
      <c r="A41" s="49">
        <v>34</v>
      </c>
      <c r="B41" s="49" t="s">
        <v>321</v>
      </c>
      <c r="C41" s="50" t="s">
        <v>465</v>
      </c>
      <c r="D41" s="51" t="s">
        <v>466</v>
      </c>
      <c r="E41" s="48" t="s">
        <v>18</v>
      </c>
      <c r="F41" s="49" t="s">
        <v>459</v>
      </c>
      <c r="G41" s="49" t="s">
        <v>957</v>
      </c>
      <c r="H41" s="49" t="s">
        <v>963</v>
      </c>
      <c r="I41" s="49" t="s">
        <v>36</v>
      </c>
      <c r="J41" s="51" t="s">
        <v>905</v>
      </c>
    </row>
    <row r="42" ht="15" customHeight="1" spans="1:10">
      <c r="A42" s="45">
        <v>35</v>
      </c>
      <c r="B42" s="45" t="s">
        <v>321</v>
      </c>
      <c r="C42" s="46" t="s">
        <v>578</v>
      </c>
      <c r="D42" s="47" t="s">
        <v>597</v>
      </c>
      <c r="E42" s="48" t="s">
        <v>18</v>
      </c>
      <c r="F42" s="45" t="s">
        <v>459</v>
      </c>
      <c r="G42" s="45" t="s">
        <v>958</v>
      </c>
      <c r="H42" s="45" t="s">
        <v>963</v>
      </c>
      <c r="I42" s="45" t="s">
        <v>417</v>
      </c>
      <c r="J42" s="47" t="s">
        <v>905</v>
      </c>
    </row>
    <row r="43" ht="18" customHeight="1" spans="1:10">
      <c r="A43" s="44" t="s">
        <v>964</v>
      </c>
    </row>
    <row r="44" ht="15" customHeight="1" spans="1:10">
      <c r="A44" s="49">
        <v>36</v>
      </c>
      <c r="B44" s="49" t="s">
        <v>321</v>
      </c>
      <c r="C44" s="50" t="s">
        <v>465</v>
      </c>
      <c r="D44" s="51" t="s">
        <v>467</v>
      </c>
      <c r="E44" s="48" t="s">
        <v>18</v>
      </c>
      <c r="F44" s="49" t="s">
        <v>459</v>
      </c>
      <c r="G44" s="49" t="s">
        <v>957</v>
      </c>
      <c r="H44" s="49" t="s">
        <v>965</v>
      </c>
      <c r="I44" s="49" t="s">
        <v>905</v>
      </c>
      <c r="J44" s="51" t="s">
        <v>905</v>
      </c>
    </row>
    <row r="45" ht="18" customHeight="1" spans="1:10">
      <c r="A45" s="44" t="s">
        <v>966</v>
      </c>
    </row>
    <row r="46" ht="15" customHeight="1" spans="1:10">
      <c r="A46" s="45">
        <v>37</v>
      </c>
      <c r="B46" s="45" t="s">
        <v>321</v>
      </c>
      <c r="C46" s="46" t="s">
        <v>465</v>
      </c>
      <c r="D46" s="47" t="s">
        <v>575</v>
      </c>
      <c r="E46" s="48" t="s">
        <v>18</v>
      </c>
      <c r="F46" s="45" t="s">
        <v>459</v>
      </c>
      <c r="G46" s="45" t="s">
        <v>957</v>
      </c>
      <c r="H46" s="45" t="s">
        <v>967</v>
      </c>
      <c r="I46" s="45" t="s">
        <v>438</v>
      </c>
      <c r="J46" s="47" t="s">
        <v>905</v>
      </c>
    </row>
    <row r="47" ht="15" customHeight="1" spans="1:10">
      <c r="A47" s="49">
        <v>38</v>
      </c>
      <c r="B47" s="49" t="s">
        <v>520</v>
      </c>
      <c r="C47" s="50" t="s">
        <v>623</v>
      </c>
      <c r="D47" s="51" t="s">
        <v>625</v>
      </c>
      <c r="E47" s="48" t="s">
        <v>18</v>
      </c>
      <c r="F47" s="49" t="s">
        <v>459</v>
      </c>
      <c r="G47" s="49" t="s">
        <v>968</v>
      </c>
      <c r="H47" s="49" t="s">
        <v>918</v>
      </c>
      <c r="I47" s="49" t="s">
        <v>85</v>
      </c>
      <c r="J47" s="51" t="s">
        <v>905</v>
      </c>
    </row>
    <row r="48" ht="15" customHeight="1" spans="1:10">
      <c r="A48" s="45">
        <v>39</v>
      </c>
      <c r="B48" s="45" t="s">
        <v>520</v>
      </c>
      <c r="C48" s="46" t="s">
        <v>623</v>
      </c>
      <c r="D48" s="47" t="s">
        <v>626</v>
      </c>
      <c r="E48" s="48" t="s">
        <v>18</v>
      </c>
      <c r="F48" s="45" t="s">
        <v>459</v>
      </c>
      <c r="G48" s="45" t="s">
        <v>968</v>
      </c>
      <c r="H48" s="45" t="s">
        <v>918</v>
      </c>
      <c r="I48" s="45" t="s">
        <v>85</v>
      </c>
      <c r="J48" s="47" t="s">
        <v>905</v>
      </c>
    </row>
    <row r="49" ht="15" customHeight="1" spans="1:10">
      <c r="A49" s="49">
        <v>40</v>
      </c>
      <c r="B49" s="49" t="s">
        <v>520</v>
      </c>
      <c r="C49" s="50" t="s">
        <v>623</v>
      </c>
      <c r="D49" s="51" t="s">
        <v>627</v>
      </c>
      <c r="E49" s="48" t="s">
        <v>18</v>
      </c>
      <c r="F49" s="49" t="s">
        <v>459</v>
      </c>
      <c r="G49" s="49" t="s">
        <v>968</v>
      </c>
      <c r="H49" s="49" t="s">
        <v>918</v>
      </c>
      <c r="I49" s="49" t="s">
        <v>85</v>
      </c>
      <c r="J49" s="51" t="s">
        <v>905</v>
      </c>
    </row>
    <row r="50" ht="15" customHeight="1" spans="1:10">
      <c r="A50" s="45">
        <v>41</v>
      </c>
      <c r="B50" s="45" t="s">
        <v>520</v>
      </c>
      <c r="C50" s="46" t="s">
        <v>623</v>
      </c>
      <c r="D50" s="47" t="s">
        <v>628</v>
      </c>
      <c r="E50" s="48" t="s">
        <v>18</v>
      </c>
      <c r="F50" s="45" t="s">
        <v>459</v>
      </c>
      <c r="G50" s="45" t="s">
        <v>968</v>
      </c>
      <c r="H50" s="45" t="s">
        <v>918</v>
      </c>
      <c r="I50" s="45" t="s">
        <v>85</v>
      </c>
      <c r="J50" s="47" t="s">
        <v>905</v>
      </c>
    </row>
    <row r="51" ht="15" customHeight="1" spans="1:10">
      <c r="A51" s="49">
        <v>42</v>
      </c>
      <c r="B51" s="49" t="s">
        <v>520</v>
      </c>
      <c r="C51" s="50" t="s">
        <v>623</v>
      </c>
      <c r="D51" s="51" t="s">
        <v>629</v>
      </c>
      <c r="E51" s="48" t="s">
        <v>18</v>
      </c>
      <c r="F51" s="49" t="s">
        <v>459</v>
      </c>
      <c r="G51" s="49" t="s">
        <v>968</v>
      </c>
      <c r="H51" s="49" t="s">
        <v>918</v>
      </c>
      <c r="I51" s="49" t="s">
        <v>85</v>
      </c>
      <c r="J51" s="51" t="s">
        <v>905</v>
      </c>
    </row>
    <row r="52" ht="15" customHeight="1" spans="1:10">
      <c r="A52" s="45">
        <v>43</v>
      </c>
      <c r="B52" s="45" t="s">
        <v>520</v>
      </c>
      <c r="C52" s="46" t="s">
        <v>623</v>
      </c>
      <c r="D52" s="47" t="s">
        <v>630</v>
      </c>
      <c r="E52" s="48" t="s">
        <v>18</v>
      </c>
      <c r="F52" s="45" t="s">
        <v>459</v>
      </c>
      <c r="G52" s="45" t="s">
        <v>968</v>
      </c>
      <c r="H52" s="45" t="s">
        <v>918</v>
      </c>
      <c r="I52" s="45" t="s">
        <v>85</v>
      </c>
      <c r="J52" s="47" t="s">
        <v>905</v>
      </c>
    </row>
    <row r="53" ht="15" customHeight="1" spans="1:10">
      <c r="A53" s="49">
        <v>44</v>
      </c>
      <c r="B53" s="49" t="s">
        <v>321</v>
      </c>
      <c r="C53" s="50" t="s">
        <v>465</v>
      </c>
      <c r="D53" s="51" t="s">
        <v>576</v>
      </c>
      <c r="E53" s="48" t="s">
        <v>18</v>
      </c>
      <c r="F53" s="49" t="s">
        <v>459</v>
      </c>
      <c r="G53" s="49" t="s">
        <v>957</v>
      </c>
      <c r="H53" s="49" t="s">
        <v>969</v>
      </c>
      <c r="I53" s="49" t="s">
        <v>905</v>
      </c>
      <c r="J53" s="51" t="s">
        <v>905</v>
      </c>
    </row>
    <row r="54" ht="18" customHeight="1" spans="1:10">
      <c r="A54" s="44" t="s">
        <v>970</v>
      </c>
    </row>
    <row r="55" ht="15" customHeight="1" spans="1:10">
      <c r="A55" s="45">
        <v>45</v>
      </c>
      <c r="B55" s="45" t="s">
        <v>520</v>
      </c>
      <c r="C55" s="46" t="s">
        <v>623</v>
      </c>
      <c r="D55" s="47" t="s">
        <v>631</v>
      </c>
      <c r="E55" s="48" t="s">
        <v>18</v>
      </c>
      <c r="F55" s="45" t="s">
        <v>459</v>
      </c>
      <c r="G55" s="45" t="s">
        <v>968</v>
      </c>
      <c r="H55" s="45" t="s">
        <v>971</v>
      </c>
      <c r="I55" s="45" t="s">
        <v>85</v>
      </c>
      <c r="J55" s="47" t="s">
        <v>905</v>
      </c>
    </row>
    <row r="56" ht="15" customHeight="1" spans="1:10">
      <c r="A56" s="49">
        <v>46</v>
      </c>
      <c r="B56" s="49" t="s">
        <v>520</v>
      </c>
      <c r="C56" s="50" t="s">
        <v>623</v>
      </c>
      <c r="D56" s="51" t="s">
        <v>632</v>
      </c>
      <c r="E56" s="48" t="s">
        <v>18</v>
      </c>
      <c r="F56" s="49" t="s">
        <v>459</v>
      </c>
      <c r="G56" s="49" t="s">
        <v>968</v>
      </c>
      <c r="H56" s="49" t="s">
        <v>972</v>
      </c>
      <c r="I56" s="49" t="s">
        <v>85</v>
      </c>
      <c r="J56" s="51" t="s">
        <v>905</v>
      </c>
    </row>
    <row r="57" ht="15" customHeight="1" spans="1:10">
      <c r="A57" s="45">
        <v>47</v>
      </c>
      <c r="B57" s="45" t="s">
        <v>520</v>
      </c>
      <c r="C57" s="46" t="s">
        <v>623</v>
      </c>
      <c r="D57" s="47" t="s">
        <v>633</v>
      </c>
      <c r="E57" s="48" t="s">
        <v>18</v>
      </c>
      <c r="F57" s="45" t="s">
        <v>459</v>
      </c>
      <c r="G57" s="45" t="s">
        <v>968</v>
      </c>
      <c r="H57" s="45" t="s">
        <v>972</v>
      </c>
      <c r="I57" s="45" t="s">
        <v>85</v>
      </c>
      <c r="J57" s="47" t="s">
        <v>905</v>
      </c>
    </row>
    <row r="58" ht="18" customHeight="1" spans="1:10">
      <c r="A58" s="44" t="s">
        <v>973</v>
      </c>
    </row>
    <row r="59" ht="15" customHeight="1" spans="1:10">
      <c r="A59" s="49">
        <v>48</v>
      </c>
      <c r="B59" s="49" t="s">
        <v>520</v>
      </c>
      <c r="C59" s="50" t="s">
        <v>662</v>
      </c>
      <c r="D59" s="51" t="s">
        <v>663</v>
      </c>
      <c r="E59" s="48" t="s">
        <v>18</v>
      </c>
      <c r="F59" s="49" t="s">
        <v>459</v>
      </c>
      <c r="G59" s="49" t="s">
        <v>974</v>
      </c>
      <c r="H59" s="49" t="s">
        <v>974</v>
      </c>
      <c r="I59" s="49" t="s">
        <v>905</v>
      </c>
      <c r="J59" s="51" t="s">
        <v>905</v>
      </c>
    </row>
    <row r="60" ht="15" customHeight="1" spans="1:10">
      <c r="A60" s="45">
        <v>49</v>
      </c>
      <c r="B60" s="45" t="s">
        <v>520</v>
      </c>
      <c r="C60" s="46" t="s">
        <v>623</v>
      </c>
      <c r="D60" s="47" t="s">
        <v>634</v>
      </c>
      <c r="E60" s="48" t="s">
        <v>18</v>
      </c>
      <c r="F60" s="45" t="s">
        <v>459</v>
      </c>
      <c r="G60" s="45" t="s">
        <v>968</v>
      </c>
      <c r="H60" s="45" t="s">
        <v>949</v>
      </c>
      <c r="I60" s="45" t="s">
        <v>417</v>
      </c>
      <c r="J60" s="47" t="s">
        <v>905</v>
      </c>
    </row>
    <row r="61" ht="15" customHeight="1" spans="1:10">
      <c r="A61" s="49">
        <v>50</v>
      </c>
      <c r="B61" s="49" t="s">
        <v>520</v>
      </c>
      <c r="C61" s="50" t="s">
        <v>623</v>
      </c>
      <c r="D61" s="51" t="s">
        <v>635</v>
      </c>
      <c r="E61" s="48" t="s">
        <v>18</v>
      </c>
      <c r="F61" s="49" t="s">
        <v>459</v>
      </c>
      <c r="G61" s="49" t="s">
        <v>968</v>
      </c>
      <c r="H61" s="49" t="s">
        <v>949</v>
      </c>
      <c r="I61" s="49" t="s">
        <v>417</v>
      </c>
      <c r="J61" s="51" t="s">
        <v>905</v>
      </c>
    </row>
    <row r="62" ht="15" customHeight="1" spans="1:10">
      <c r="A62" s="45">
        <v>51</v>
      </c>
      <c r="B62" s="45" t="s">
        <v>520</v>
      </c>
      <c r="C62" s="46" t="s">
        <v>662</v>
      </c>
      <c r="D62" s="47" t="s">
        <v>670</v>
      </c>
      <c r="E62" s="48" t="s">
        <v>18</v>
      </c>
      <c r="F62" s="45" t="s">
        <v>459</v>
      </c>
      <c r="G62" s="45" t="s">
        <v>974</v>
      </c>
      <c r="H62" s="45" t="s">
        <v>949</v>
      </c>
      <c r="I62" s="45" t="s">
        <v>905</v>
      </c>
      <c r="J62" s="47" t="s">
        <v>905</v>
      </c>
    </row>
    <row r="63" ht="15" customHeight="1" spans="1:10">
      <c r="A63" s="49">
        <v>52</v>
      </c>
      <c r="B63" s="49" t="s">
        <v>520</v>
      </c>
      <c r="C63" s="50" t="s">
        <v>662</v>
      </c>
      <c r="D63" s="51" t="s">
        <v>671</v>
      </c>
      <c r="E63" s="48" t="s">
        <v>18</v>
      </c>
      <c r="F63" s="49" t="s">
        <v>459</v>
      </c>
      <c r="G63" s="49" t="s">
        <v>974</v>
      </c>
      <c r="H63" s="49" t="s">
        <v>949</v>
      </c>
      <c r="I63" s="49" t="s">
        <v>905</v>
      </c>
      <c r="J63" s="51" t="s">
        <v>905</v>
      </c>
    </row>
    <row r="64" ht="15" customHeight="1" spans="1:10">
      <c r="A64" s="45">
        <v>53</v>
      </c>
      <c r="B64" s="45" t="s">
        <v>520</v>
      </c>
      <c r="C64" s="46" t="s">
        <v>662</v>
      </c>
      <c r="D64" s="47" t="s">
        <v>672</v>
      </c>
      <c r="E64" s="48" t="s">
        <v>18</v>
      </c>
      <c r="F64" s="45" t="s">
        <v>459</v>
      </c>
      <c r="G64" s="45" t="s">
        <v>974</v>
      </c>
      <c r="H64" s="45" t="s">
        <v>975</v>
      </c>
      <c r="I64" s="45" t="s">
        <v>905</v>
      </c>
      <c r="J64" s="47" t="s">
        <v>905</v>
      </c>
    </row>
    <row r="65" ht="15" customHeight="1" spans="1:10">
      <c r="A65" s="49">
        <v>54</v>
      </c>
      <c r="B65" s="49" t="s">
        <v>520</v>
      </c>
      <c r="C65" s="50" t="s">
        <v>662</v>
      </c>
      <c r="D65" s="51" t="s">
        <v>673</v>
      </c>
      <c r="E65" s="48" t="s">
        <v>18</v>
      </c>
      <c r="F65" s="49" t="s">
        <v>459</v>
      </c>
      <c r="G65" s="49" t="s">
        <v>974</v>
      </c>
      <c r="H65" s="49" t="s">
        <v>975</v>
      </c>
      <c r="I65" s="49" t="s">
        <v>905</v>
      </c>
      <c r="J65" s="51" t="s">
        <v>905</v>
      </c>
    </row>
    <row r="66" ht="15" customHeight="1" spans="1:10">
      <c r="A66" s="45">
        <v>55</v>
      </c>
      <c r="B66" s="45" t="s">
        <v>520</v>
      </c>
      <c r="C66" s="46" t="s">
        <v>662</v>
      </c>
      <c r="D66" s="47" t="s">
        <v>674</v>
      </c>
      <c r="E66" s="48" t="s">
        <v>18</v>
      </c>
      <c r="F66" s="45" t="s">
        <v>459</v>
      </c>
      <c r="G66" s="45" t="s">
        <v>974</v>
      </c>
      <c r="H66" s="45" t="s">
        <v>975</v>
      </c>
      <c r="I66" s="45" t="s">
        <v>905</v>
      </c>
      <c r="J66" s="47" t="s">
        <v>905</v>
      </c>
    </row>
    <row r="67" ht="15" customHeight="1" spans="1:10">
      <c r="A67" s="49">
        <v>56</v>
      </c>
      <c r="B67" s="49" t="s">
        <v>520</v>
      </c>
      <c r="C67" s="50" t="s">
        <v>662</v>
      </c>
      <c r="D67" s="51" t="s">
        <v>675</v>
      </c>
      <c r="E67" s="48" t="s">
        <v>18</v>
      </c>
      <c r="F67" s="49" t="s">
        <v>459</v>
      </c>
      <c r="G67" s="49" t="s">
        <v>974</v>
      </c>
      <c r="H67" s="49" t="s">
        <v>975</v>
      </c>
      <c r="I67" s="49" t="s">
        <v>905</v>
      </c>
      <c r="J67" s="51" t="s">
        <v>905</v>
      </c>
    </row>
    <row r="68" ht="15" customHeight="1" spans="1:10">
      <c r="A68" s="45">
        <v>57</v>
      </c>
      <c r="B68" s="45" t="s">
        <v>520</v>
      </c>
      <c r="C68" s="46" t="s">
        <v>662</v>
      </c>
      <c r="D68" s="47" t="s">
        <v>676</v>
      </c>
      <c r="E68" s="48" t="s">
        <v>18</v>
      </c>
      <c r="F68" s="45" t="s">
        <v>459</v>
      </c>
      <c r="G68" s="45" t="s">
        <v>974</v>
      </c>
      <c r="H68" s="45" t="s">
        <v>975</v>
      </c>
      <c r="I68" s="45" t="s">
        <v>905</v>
      </c>
      <c r="J68" s="47" t="s">
        <v>905</v>
      </c>
    </row>
    <row r="69" ht="15" customHeight="1" spans="1:10">
      <c r="A69" s="49">
        <v>58</v>
      </c>
      <c r="B69" s="49" t="s">
        <v>520</v>
      </c>
      <c r="C69" s="50" t="s">
        <v>662</v>
      </c>
      <c r="D69" s="51" t="s">
        <v>677</v>
      </c>
      <c r="E69" s="48" t="s">
        <v>18</v>
      </c>
      <c r="F69" s="49" t="s">
        <v>459</v>
      </c>
      <c r="G69" s="49" t="s">
        <v>974</v>
      </c>
      <c r="H69" s="49" t="s">
        <v>975</v>
      </c>
      <c r="I69" s="49" t="s">
        <v>905</v>
      </c>
      <c r="J69" s="51" t="s">
        <v>905</v>
      </c>
    </row>
    <row r="70" ht="15" customHeight="1" spans="1:10">
      <c r="A70" s="45">
        <v>59</v>
      </c>
      <c r="B70" s="45" t="s">
        <v>520</v>
      </c>
      <c r="C70" s="46" t="s">
        <v>662</v>
      </c>
      <c r="D70" s="47" t="s">
        <v>678</v>
      </c>
      <c r="E70" s="48" t="s">
        <v>18</v>
      </c>
      <c r="F70" s="45" t="s">
        <v>459</v>
      </c>
      <c r="G70" s="45" t="s">
        <v>974</v>
      </c>
      <c r="H70" s="45" t="s">
        <v>975</v>
      </c>
      <c r="I70" s="45" t="s">
        <v>905</v>
      </c>
      <c r="J70" s="47" t="s">
        <v>905</v>
      </c>
    </row>
    <row r="71" ht="15" customHeight="1" spans="1:10">
      <c r="A71" s="49">
        <v>60</v>
      </c>
      <c r="B71" s="49" t="s">
        <v>520</v>
      </c>
      <c r="C71" s="50" t="s">
        <v>662</v>
      </c>
      <c r="D71" s="51" t="s">
        <v>679</v>
      </c>
      <c r="E71" s="48" t="s">
        <v>18</v>
      </c>
      <c r="F71" s="49" t="s">
        <v>459</v>
      </c>
      <c r="G71" s="49" t="s">
        <v>974</v>
      </c>
      <c r="H71" s="49" t="s">
        <v>950</v>
      </c>
      <c r="I71" s="49" t="s">
        <v>905</v>
      </c>
      <c r="J71" s="51" t="s">
        <v>905</v>
      </c>
    </row>
    <row r="72" ht="18" customHeight="1" spans="1:10">
      <c r="A72" s="44" t="s">
        <v>976</v>
      </c>
    </row>
    <row r="73" ht="15" customHeight="1" spans="1:10">
      <c r="A73" s="45">
        <v>61</v>
      </c>
      <c r="B73" s="45" t="s">
        <v>520</v>
      </c>
      <c r="C73" s="46" t="s">
        <v>662</v>
      </c>
      <c r="D73" s="47" t="s">
        <v>680</v>
      </c>
      <c r="E73" s="48" t="s">
        <v>18</v>
      </c>
      <c r="F73" s="45" t="s">
        <v>459</v>
      </c>
      <c r="G73" s="45" t="s">
        <v>974</v>
      </c>
      <c r="H73" s="45" t="s">
        <v>977</v>
      </c>
      <c r="I73" s="45" t="s">
        <v>905</v>
      </c>
      <c r="J73" s="47" t="s">
        <v>905</v>
      </c>
    </row>
    <row r="74" ht="15" customHeight="1" spans="1:10">
      <c r="A74" s="49">
        <v>62</v>
      </c>
      <c r="B74" s="49" t="s">
        <v>520</v>
      </c>
      <c r="C74" s="50" t="s">
        <v>662</v>
      </c>
      <c r="D74" s="51" t="s">
        <v>665</v>
      </c>
      <c r="E74" s="48" t="s">
        <v>18</v>
      </c>
      <c r="F74" s="49" t="s">
        <v>459</v>
      </c>
      <c r="G74" s="49" t="s">
        <v>974</v>
      </c>
      <c r="H74" s="49" t="s">
        <v>978</v>
      </c>
      <c r="I74" s="49" t="s">
        <v>85</v>
      </c>
      <c r="J74" s="51" t="s">
        <v>666</v>
      </c>
    </row>
    <row r="75" ht="15" customHeight="1" spans="1:10">
      <c r="A75" s="45">
        <v>63</v>
      </c>
      <c r="B75" s="45" t="s">
        <v>520</v>
      </c>
      <c r="C75" s="46" t="s">
        <v>662</v>
      </c>
      <c r="D75" s="47" t="s">
        <v>669</v>
      </c>
      <c r="E75" s="48" t="s">
        <v>18</v>
      </c>
      <c r="F75" s="45" t="s">
        <v>459</v>
      </c>
      <c r="G75" s="45" t="s">
        <v>974</v>
      </c>
      <c r="H75" s="45" t="s">
        <v>978</v>
      </c>
      <c r="I75" s="45" t="s">
        <v>438</v>
      </c>
      <c r="J75" s="47" t="s">
        <v>905</v>
      </c>
    </row>
    <row r="76" ht="18" customHeight="1" spans="1:10">
      <c r="A76" s="52" t="s">
        <v>979</v>
      </c>
    </row>
    <row r="77" ht="15" customHeight="1" spans="1:10">
      <c r="A77" s="49">
        <v>64</v>
      </c>
      <c r="B77" s="49" t="s">
        <v>520</v>
      </c>
      <c r="C77" s="50" t="s">
        <v>623</v>
      </c>
      <c r="D77" s="51" t="s">
        <v>624</v>
      </c>
      <c r="E77" s="48" t="s">
        <v>18</v>
      </c>
      <c r="F77" s="49" t="s">
        <v>459</v>
      </c>
      <c r="G77" s="49" t="s">
        <v>968</v>
      </c>
      <c r="H77" s="49" t="s">
        <v>911</v>
      </c>
      <c r="I77" s="49" t="s">
        <v>417</v>
      </c>
      <c r="J77" s="51" t="s">
        <v>905</v>
      </c>
    </row>
    <row r="78" ht="15" customHeight="1" spans="1:10">
      <c r="A78" s="45">
        <v>65</v>
      </c>
      <c r="B78" s="45" t="s">
        <v>520</v>
      </c>
      <c r="C78" s="46" t="s">
        <v>662</v>
      </c>
      <c r="D78" s="47" t="s">
        <v>710</v>
      </c>
      <c r="E78" s="48" t="s">
        <v>18</v>
      </c>
      <c r="F78" s="45" t="s">
        <v>459</v>
      </c>
      <c r="G78" s="45" t="s">
        <v>904</v>
      </c>
      <c r="H78" s="45" t="s">
        <v>911</v>
      </c>
      <c r="I78" s="45" t="s">
        <v>905</v>
      </c>
      <c r="J78" s="47" t="s">
        <v>905</v>
      </c>
    </row>
    <row r="79" ht="18" customHeight="1" spans="1:10">
      <c r="A79" s="53" t="s">
        <v>980</v>
      </c>
    </row>
    <row r="80" ht="15" customHeight="1" spans="1:10">
      <c r="A80" s="49">
        <v>66</v>
      </c>
      <c r="B80" s="49" t="s">
        <v>321</v>
      </c>
      <c r="C80" s="50" t="s">
        <v>514</v>
      </c>
      <c r="D80" s="51" t="s">
        <v>729</v>
      </c>
      <c r="E80" s="54" t="s">
        <v>38</v>
      </c>
      <c r="F80" s="49" t="s">
        <v>459</v>
      </c>
      <c r="G80" s="49" t="s">
        <v>923</v>
      </c>
      <c r="H80" s="49" t="s">
        <v>923</v>
      </c>
      <c r="I80" s="49" t="s">
        <v>905</v>
      </c>
      <c r="J80" s="51" t="s">
        <v>905</v>
      </c>
    </row>
    <row r="81" ht="15" customHeight="1" spans="1:10">
      <c r="A81" s="45">
        <v>67</v>
      </c>
      <c r="B81" s="45" t="s">
        <v>520</v>
      </c>
      <c r="C81" s="46" t="s">
        <v>623</v>
      </c>
      <c r="D81" s="47" t="s">
        <v>636</v>
      </c>
      <c r="E81" s="54" t="s">
        <v>38</v>
      </c>
      <c r="F81" s="45" t="s">
        <v>459</v>
      </c>
      <c r="G81" s="45" t="s">
        <v>968</v>
      </c>
      <c r="H81" s="45" t="s">
        <v>924</v>
      </c>
      <c r="I81" s="45" t="s">
        <v>85</v>
      </c>
      <c r="J81" s="47" t="s">
        <v>905</v>
      </c>
    </row>
    <row r="82" ht="15" customHeight="1" spans="1:10">
      <c r="A82" s="49">
        <v>68</v>
      </c>
      <c r="B82" s="49" t="s">
        <v>321</v>
      </c>
      <c r="C82" s="50" t="s">
        <v>514</v>
      </c>
      <c r="D82" s="51" t="s">
        <v>731</v>
      </c>
      <c r="E82" s="55" t="s">
        <v>26</v>
      </c>
      <c r="F82" s="49" t="s">
        <v>459</v>
      </c>
      <c r="G82" s="49" t="s">
        <v>923</v>
      </c>
      <c r="H82" s="49" t="s">
        <v>923</v>
      </c>
      <c r="I82" s="49" t="s">
        <v>905</v>
      </c>
      <c r="J82" s="51" t="s">
        <v>905</v>
      </c>
    </row>
    <row r="83" ht="15" customHeight="1" spans="1:10">
      <c r="A83" s="45">
        <v>69</v>
      </c>
      <c r="B83" s="45" t="s">
        <v>321</v>
      </c>
      <c r="C83" s="46" t="s">
        <v>514</v>
      </c>
      <c r="D83" s="47" t="s">
        <v>515</v>
      </c>
      <c r="E83" s="55" t="s">
        <v>26</v>
      </c>
      <c r="F83" s="45" t="s">
        <v>459</v>
      </c>
      <c r="G83" s="45" t="s">
        <v>923</v>
      </c>
      <c r="H83" s="45" t="s">
        <v>924</v>
      </c>
      <c r="I83" s="45" t="s">
        <v>85</v>
      </c>
      <c r="J83" s="47" t="s">
        <v>905</v>
      </c>
    </row>
    <row r="84" ht="15" customHeight="1" spans="1:10">
      <c r="A84" s="49">
        <v>70</v>
      </c>
      <c r="B84" s="49" t="s">
        <v>321</v>
      </c>
      <c r="C84" s="50" t="s">
        <v>514</v>
      </c>
      <c r="D84" s="51" t="s">
        <v>725</v>
      </c>
      <c r="E84" s="56" t="s">
        <v>35</v>
      </c>
      <c r="F84" s="49" t="s">
        <v>459</v>
      </c>
      <c r="G84" s="49" t="s">
        <v>923</v>
      </c>
      <c r="H84" s="49" t="s">
        <v>923</v>
      </c>
      <c r="I84" s="49" t="s">
        <v>460</v>
      </c>
      <c r="J84" s="51" t="s">
        <v>905</v>
      </c>
    </row>
    <row r="85" ht="15" customHeight="1" spans="1:10">
      <c r="A85" s="45">
        <v>71</v>
      </c>
      <c r="B85" s="45" t="s">
        <v>321</v>
      </c>
      <c r="C85" s="46" t="s">
        <v>514</v>
      </c>
      <c r="D85" s="47" t="s">
        <v>726</v>
      </c>
      <c r="E85" s="56" t="s">
        <v>35</v>
      </c>
      <c r="F85" s="45" t="s">
        <v>459</v>
      </c>
      <c r="G85" s="45" t="s">
        <v>923</v>
      </c>
      <c r="H85" s="45" t="s">
        <v>923</v>
      </c>
      <c r="I85" s="45" t="s">
        <v>460</v>
      </c>
      <c r="J85" s="47" t="s">
        <v>905</v>
      </c>
    </row>
    <row r="86" ht="15" customHeight="1" spans="1:10">
      <c r="A86" s="49">
        <v>72</v>
      </c>
      <c r="B86" s="49" t="s">
        <v>321</v>
      </c>
      <c r="C86" s="50" t="s">
        <v>578</v>
      </c>
      <c r="D86" s="51" t="s">
        <v>579</v>
      </c>
      <c r="E86" s="57" t="s">
        <v>41</v>
      </c>
      <c r="F86" s="49" t="s">
        <v>459</v>
      </c>
      <c r="G86" s="49" t="s">
        <v>958</v>
      </c>
      <c r="H86" s="49" t="s">
        <v>916</v>
      </c>
      <c r="I86" s="49" t="s">
        <v>438</v>
      </c>
      <c r="J86" s="51" t="s">
        <v>905</v>
      </c>
    </row>
    <row r="87" ht="15" customHeight="1" spans="1:10">
      <c r="A87" s="45">
        <v>73</v>
      </c>
      <c r="B87" s="45" t="s">
        <v>321</v>
      </c>
      <c r="C87" s="46" t="s">
        <v>514</v>
      </c>
      <c r="D87" s="47" t="s">
        <v>722</v>
      </c>
      <c r="E87" s="48" t="s">
        <v>18</v>
      </c>
      <c r="F87" s="45" t="s">
        <v>459</v>
      </c>
      <c r="G87" s="45" t="s">
        <v>923</v>
      </c>
      <c r="H87" s="45" t="s">
        <v>923</v>
      </c>
      <c r="I87" s="45" t="s">
        <v>36</v>
      </c>
      <c r="J87" s="47" t="s">
        <v>905</v>
      </c>
    </row>
    <row r="88" ht="18" customHeight="1" spans="1:10">
      <c r="A88" s="58" t="s">
        <v>981</v>
      </c>
    </row>
    <row r="89" ht="15" customHeight="1" spans="1:10">
      <c r="A89" s="49">
        <v>74</v>
      </c>
      <c r="B89" s="49" t="s">
        <v>321</v>
      </c>
      <c r="C89" s="50" t="s">
        <v>514</v>
      </c>
      <c r="D89" s="51" t="s">
        <v>517</v>
      </c>
      <c r="E89" s="54" t="s">
        <v>38</v>
      </c>
      <c r="F89" s="49" t="s">
        <v>459</v>
      </c>
      <c r="G89" s="49" t="s">
        <v>923</v>
      </c>
      <c r="H89" s="49" t="s">
        <v>905</v>
      </c>
      <c r="I89" s="49" t="s">
        <v>905</v>
      </c>
      <c r="J89" s="51" t="s">
        <v>905</v>
      </c>
    </row>
    <row r="90" ht="15" customHeight="1" spans="1:10">
      <c r="A90" s="45">
        <v>75</v>
      </c>
      <c r="B90" s="45" t="s">
        <v>321</v>
      </c>
      <c r="C90" s="46" t="s">
        <v>514</v>
      </c>
      <c r="D90" s="47" t="s">
        <v>723</v>
      </c>
      <c r="E90" s="54" t="s">
        <v>38</v>
      </c>
      <c r="F90" s="45" t="s">
        <v>459</v>
      </c>
      <c r="G90" s="45" t="s">
        <v>923</v>
      </c>
      <c r="H90" s="45" t="s">
        <v>905</v>
      </c>
      <c r="I90" s="45" t="s">
        <v>905</v>
      </c>
      <c r="J90" s="47" t="s">
        <v>724</v>
      </c>
    </row>
    <row r="91" ht="15" customHeight="1" spans="1:10">
      <c r="A91" s="49">
        <v>76</v>
      </c>
      <c r="B91" s="49" t="s">
        <v>321</v>
      </c>
      <c r="C91" s="50" t="s">
        <v>514</v>
      </c>
      <c r="D91" s="51" t="s">
        <v>727</v>
      </c>
      <c r="E91" s="54" t="s">
        <v>38</v>
      </c>
      <c r="F91" s="49" t="s">
        <v>459</v>
      </c>
      <c r="G91" s="49" t="s">
        <v>923</v>
      </c>
      <c r="H91" s="49" t="s">
        <v>905</v>
      </c>
      <c r="I91" s="49" t="s">
        <v>417</v>
      </c>
      <c r="J91" s="51" t="s">
        <v>728</v>
      </c>
    </row>
    <row r="92" ht="15" customHeight="1" spans="1:10">
      <c r="A92" s="45">
        <v>77</v>
      </c>
      <c r="B92" s="45" t="s">
        <v>321</v>
      </c>
      <c r="C92" s="46" t="s">
        <v>514</v>
      </c>
      <c r="D92" s="47" t="s">
        <v>730</v>
      </c>
      <c r="E92" s="54" t="s">
        <v>38</v>
      </c>
      <c r="F92" s="45" t="s">
        <v>459</v>
      </c>
      <c r="G92" s="45" t="s">
        <v>923</v>
      </c>
      <c r="H92" s="45" t="s">
        <v>905</v>
      </c>
      <c r="I92" s="45" t="s">
        <v>905</v>
      </c>
      <c r="J92" s="47" t="s">
        <v>905</v>
      </c>
    </row>
    <row r="93" ht="15" customHeight="1" spans="1:10">
      <c r="A93" s="49">
        <v>78</v>
      </c>
      <c r="B93" s="49" t="s">
        <v>321</v>
      </c>
      <c r="C93" s="50" t="s">
        <v>514</v>
      </c>
      <c r="D93" s="51" t="s">
        <v>732</v>
      </c>
      <c r="E93" s="54" t="s">
        <v>38</v>
      </c>
      <c r="F93" s="49" t="s">
        <v>459</v>
      </c>
      <c r="G93" s="49" t="s">
        <v>923</v>
      </c>
      <c r="H93" s="49" t="s">
        <v>905</v>
      </c>
      <c r="I93" s="49" t="s">
        <v>905</v>
      </c>
      <c r="J93" s="51" t="s">
        <v>905</v>
      </c>
    </row>
    <row r="94" ht="15" customHeight="1" spans="1:10">
      <c r="A94" s="45">
        <v>79</v>
      </c>
      <c r="B94" s="45" t="s">
        <v>321</v>
      </c>
      <c r="C94" s="46" t="s">
        <v>514</v>
      </c>
      <c r="D94" s="47" t="s">
        <v>719</v>
      </c>
      <c r="E94" s="56" t="s">
        <v>35</v>
      </c>
      <c r="F94" s="45" t="s">
        <v>459</v>
      </c>
      <c r="G94" s="45" t="s">
        <v>923</v>
      </c>
      <c r="H94" s="45" t="s">
        <v>905</v>
      </c>
      <c r="I94" s="45" t="s">
        <v>905</v>
      </c>
      <c r="J94" s="47" t="s">
        <v>720</v>
      </c>
    </row>
    <row r="95" ht="15" customHeight="1" spans="1:10">
      <c r="A95" s="49">
        <v>80</v>
      </c>
      <c r="B95" s="49" t="s">
        <v>520</v>
      </c>
      <c r="C95" s="50" t="s">
        <v>662</v>
      </c>
      <c r="D95" s="51" t="s">
        <v>667</v>
      </c>
      <c r="E95" s="48" t="s">
        <v>150</v>
      </c>
      <c r="F95" s="49" t="s">
        <v>459</v>
      </c>
      <c r="G95" s="49" t="s">
        <v>974</v>
      </c>
      <c r="H95" s="49" t="s">
        <v>905</v>
      </c>
      <c r="I95" s="49" t="s">
        <v>905</v>
      </c>
      <c r="J95" s="51" t="s">
        <v>668</v>
      </c>
    </row>
  </sheetData>
  <mergeCells count="12">
    <mergeCell ref="A3:J3"/>
    <mergeCell ref="A6:J6"/>
    <mergeCell ref="A34:J34"/>
    <mergeCell ref="A43:J43"/>
    <mergeCell ref="A45:J45"/>
    <mergeCell ref="A54:J54"/>
    <mergeCell ref="A58:J58"/>
    <mergeCell ref="A72:J72"/>
    <mergeCell ref="A76:J76"/>
    <mergeCell ref="A79:J79"/>
    <mergeCell ref="A88:J88"/>
    <mergeCell ref="A1:J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pane ySplit="1" topLeftCell="A2" activePane="bottomLeft" state="frozen"/>
      <selection/>
      <selection pane="bottomLeft" activeCell="B3" sqref="B3"/>
    </sheetView>
  </sheetViews>
  <sheetFormatPr defaultColWidth="14.4296875" defaultRowHeight="15" customHeight="1"/>
  <cols>
    <col min="1" max="1" width="47.140625" customWidth="1"/>
    <col min="2" max="2" width="61.859375" customWidth="1"/>
    <col min="3" max="3" width="8.5703125" customWidth="1"/>
    <col min="4" max="4" width="9.5703125" customWidth="1"/>
    <col min="5" max="5" width="24" customWidth="1"/>
    <col min="6" max="6" width="52.7109375" customWidth="1"/>
    <col min="7" max="9" width="11" customWidth="1"/>
    <col min="10" max="10" width="4" customWidth="1"/>
    <col min="11" max="11" width="12.140625" customWidth="1"/>
    <col min="12" max="12" width="12.5703125" customWidth="1"/>
    <col min="13" max="26" width="11" customWidth="1"/>
  </cols>
  <sheetData>
    <row r="1" spans="1:26">
      <c r="A1" s="24" t="s">
        <v>3</v>
      </c>
      <c r="B1" s="24" t="s">
        <v>2</v>
      </c>
      <c r="C1" s="24" t="s">
        <v>3</v>
      </c>
      <c r="D1" s="25" t="s">
        <v>3</v>
      </c>
      <c r="E1" s="26" t="s">
        <v>982</v>
      </c>
      <c r="F1" s="27" t="s">
        <v>983</v>
      </c>
      <c r="G1" s="28"/>
      <c r="H1" s="27"/>
      <c r="I1" s="27"/>
      <c r="J1" s="27"/>
      <c r="K1" s="27"/>
      <c r="L1" s="27"/>
      <c r="M1" s="27"/>
      <c r="N1" s="27"/>
      <c r="O1" s="27"/>
      <c r="P1" s="27"/>
      <c r="Q1" s="27"/>
      <c r="R1" s="27"/>
      <c r="S1" s="27"/>
      <c r="T1" s="27"/>
      <c r="U1" s="27"/>
      <c r="V1" s="27"/>
      <c r="W1" s="27"/>
      <c r="X1" s="27"/>
      <c r="Y1" s="27"/>
      <c r="Z1" s="27"/>
    </row>
    <row r="2" spans="1:26">
      <c r="A2" s="29" t="s">
        <v>56</v>
      </c>
      <c r="B2" s="30" t="s">
        <v>57</v>
      </c>
      <c r="C2" s="30" t="s">
        <v>45</v>
      </c>
      <c r="D2" s="31" t="s">
        <v>46</v>
      </c>
      <c r="E2" s="32" t="s">
        <v>984</v>
      </c>
      <c r="F2" s="27"/>
      <c r="G2" s="28"/>
      <c r="H2" s="27"/>
      <c r="I2" s="27"/>
      <c r="J2" s="27"/>
      <c r="K2" s="27"/>
      <c r="L2" s="27"/>
      <c r="M2" s="27"/>
      <c r="N2" s="27"/>
      <c r="O2" s="27"/>
      <c r="P2" s="27"/>
      <c r="Q2" s="27"/>
      <c r="R2" s="27"/>
      <c r="S2" s="27"/>
      <c r="T2" s="27"/>
      <c r="U2" s="27"/>
      <c r="V2" s="27"/>
      <c r="W2" s="27"/>
      <c r="X2" s="27"/>
      <c r="Y2" s="27"/>
      <c r="Z2" s="27"/>
    </row>
    <row r="3" spans="1:26">
      <c r="A3" s="29" t="s">
        <v>48</v>
      </c>
      <c r="B3" s="30" t="s">
        <v>49</v>
      </c>
      <c r="C3" s="30" t="s">
        <v>45</v>
      </c>
      <c r="D3" s="31" t="s">
        <v>46</v>
      </c>
      <c r="E3" s="32" t="s">
        <v>984</v>
      </c>
      <c r="F3" s="27"/>
      <c r="G3" s="28"/>
      <c r="H3" s="27"/>
      <c r="I3" s="27"/>
      <c r="J3" s="27"/>
      <c r="K3" s="28"/>
      <c r="L3" s="27"/>
      <c r="M3" s="27"/>
      <c r="N3" s="27"/>
      <c r="O3" s="27"/>
      <c r="P3" s="27"/>
      <c r="Q3" s="27"/>
      <c r="R3" s="27"/>
      <c r="S3" s="27"/>
      <c r="T3" s="27"/>
      <c r="U3" s="27"/>
      <c r="V3" s="27"/>
      <c r="W3" s="27"/>
      <c r="X3" s="27"/>
      <c r="Y3" s="27"/>
      <c r="Z3" s="27"/>
    </row>
    <row r="4" spans="1:26">
      <c r="A4" s="29" t="s">
        <v>43</v>
      </c>
      <c r="B4" s="30" t="s">
        <v>44</v>
      </c>
      <c r="C4" s="30" t="s">
        <v>45</v>
      </c>
      <c r="D4" s="31" t="s">
        <v>46</v>
      </c>
      <c r="E4" s="32" t="s">
        <v>984</v>
      </c>
      <c r="F4" s="27"/>
      <c r="G4" s="28"/>
      <c r="H4" s="27"/>
      <c r="I4" s="27"/>
      <c r="J4" s="27"/>
      <c r="K4" s="28"/>
      <c r="L4" s="27"/>
      <c r="M4" s="27"/>
      <c r="N4" s="27"/>
      <c r="O4" s="27"/>
      <c r="P4" s="27"/>
      <c r="Q4" s="27"/>
      <c r="R4" s="27"/>
      <c r="S4" s="27"/>
      <c r="T4" s="27"/>
      <c r="U4" s="27"/>
      <c r="V4" s="27"/>
      <c r="W4" s="27"/>
      <c r="X4" s="27"/>
      <c r="Y4" s="27"/>
      <c r="Z4" s="27"/>
    </row>
    <row r="5" ht="43.5" customHeight="1" spans="1:26">
      <c r="A5" s="30" t="s">
        <v>53</v>
      </c>
      <c r="B5" s="30" t="s">
        <v>54</v>
      </c>
      <c r="C5" s="30" t="s">
        <v>45</v>
      </c>
      <c r="D5" s="31" t="s">
        <v>46</v>
      </c>
      <c r="E5" s="32" t="s">
        <v>984</v>
      </c>
      <c r="F5" s="27"/>
      <c r="G5" s="28"/>
      <c r="H5" s="27"/>
      <c r="I5" s="27"/>
      <c r="J5" s="27"/>
      <c r="K5" s="28"/>
      <c r="L5" s="27"/>
      <c r="M5" s="27"/>
      <c r="N5" s="27"/>
      <c r="O5" s="27"/>
      <c r="P5" s="27"/>
      <c r="Q5" s="27"/>
      <c r="R5" s="27"/>
      <c r="S5" s="27"/>
      <c r="T5" s="27"/>
      <c r="U5" s="27"/>
      <c r="V5" s="27"/>
      <c r="W5" s="27"/>
      <c r="X5" s="27"/>
      <c r="Y5" s="27"/>
      <c r="Z5" s="27"/>
    </row>
    <row r="6" spans="1:26">
      <c r="A6" s="30" t="s">
        <v>61</v>
      </c>
      <c r="B6" s="30"/>
      <c r="C6" s="30" t="s">
        <v>45</v>
      </c>
      <c r="D6" s="31" t="s">
        <v>46</v>
      </c>
      <c r="E6" s="32" t="s">
        <v>984</v>
      </c>
      <c r="F6" s="27"/>
      <c r="G6" s="27"/>
      <c r="H6" s="27"/>
      <c r="I6" s="27"/>
      <c r="J6" s="27"/>
      <c r="K6" s="27"/>
      <c r="L6" s="27"/>
      <c r="M6" s="27"/>
      <c r="N6" s="27"/>
      <c r="O6" s="27"/>
      <c r="P6" s="27"/>
      <c r="Q6" s="27"/>
      <c r="R6" s="27"/>
      <c r="S6" s="27"/>
      <c r="T6" s="27"/>
      <c r="U6" s="27"/>
      <c r="V6" s="27"/>
      <c r="W6" s="27"/>
      <c r="X6" s="27"/>
      <c r="Y6" s="27"/>
      <c r="Z6" s="27"/>
    </row>
    <row r="7" spans="1:26">
      <c r="A7" s="30" t="s">
        <v>63</v>
      </c>
      <c r="B7" s="30"/>
      <c r="C7" s="30" t="s">
        <v>45</v>
      </c>
      <c r="D7" s="31" t="s">
        <v>46</v>
      </c>
      <c r="E7" s="32" t="s">
        <v>984</v>
      </c>
      <c r="F7" s="27"/>
      <c r="G7" s="28"/>
      <c r="H7" s="28"/>
      <c r="I7" s="28"/>
      <c r="J7" s="27"/>
      <c r="K7" s="28"/>
      <c r="L7" s="28"/>
      <c r="M7" s="27"/>
      <c r="N7" s="27"/>
      <c r="O7" s="27"/>
      <c r="P7" s="27"/>
      <c r="Q7" s="27"/>
      <c r="R7" s="27"/>
      <c r="S7" s="27"/>
      <c r="T7" s="27"/>
      <c r="U7" s="27"/>
      <c r="V7" s="27"/>
      <c r="W7" s="27"/>
      <c r="X7" s="27"/>
      <c r="Y7" s="27"/>
      <c r="Z7" s="27"/>
    </row>
    <row r="8" spans="1:26">
      <c r="A8" s="30" t="s">
        <v>65</v>
      </c>
      <c r="B8" s="30"/>
      <c r="C8" s="30" t="s">
        <v>45</v>
      </c>
      <c r="D8" s="31" t="s">
        <v>46</v>
      </c>
      <c r="E8" s="33" t="s">
        <v>984</v>
      </c>
      <c r="F8" s="34"/>
      <c r="G8" s="34"/>
      <c r="H8" s="34"/>
      <c r="I8" s="27"/>
      <c r="J8" s="27"/>
      <c r="K8" s="27"/>
      <c r="L8" s="27"/>
      <c r="M8" s="27"/>
      <c r="N8" s="27"/>
      <c r="O8" s="27"/>
      <c r="P8" s="27"/>
      <c r="Q8" s="27"/>
      <c r="R8" s="27"/>
      <c r="S8" s="27"/>
      <c r="T8" s="27"/>
      <c r="U8" s="27"/>
      <c r="V8" s="27"/>
      <c r="W8" s="27"/>
      <c r="X8" s="27"/>
      <c r="Y8" s="27"/>
      <c r="Z8" s="27"/>
    </row>
    <row r="9" spans="1:26">
      <c r="A9" s="30" t="s">
        <v>59</v>
      </c>
      <c r="B9" s="30"/>
      <c r="C9" s="30" t="s">
        <v>45</v>
      </c>
      <c r="D9" s="31" t="s">
        <v>46</v>
      </c>
      <c r="E9" s="32" t="s">
        <v>984</v>
      </c>
      <c r="F9" s="34"/>
      <c r="G9" s="34"/>
      <c r="H9" s="34"/>
      <c r="I9" s="27"/>
      <c r="J9" s="27"/>
      <c r="K9" s="27"/>
      <c r="L9" s="27"/>
      <c r="M9" s="27"/>
      <c r="N9" s="27"/>
      <c r="O9" s="27"/>
      <c r="P9" s="27"/>
      <c r="Q9" s="27"/>
      <c r="R9" s="27"/>
      <c r="S9" s="27"/>
      <c r="T9" s="27"/>
      <c r="U9" s="27"/>
      <c r="V9" s="27"/>
      <c r="W9" s="27"/>
      <c r="X9" s="27"/>
      <c r="Y9" s="27"/>
      <c r="Z9" s="27"/>
    </row>
    <row r="10" spans="1:26">
      <c r="A10" s="30" t="s">
        <v>67</v>
      </c>
      <c r="B10" s="30"/>
      <c r="C10" s="30" t="s">
        <v>45</v>
      </c>
      <c r="D10" s="31" t="s">
        <v>46</v>
      </c>
      <c r="E10" s="32" t="s">
        <v>984</v>
      </c>
      <c r="F10" s="34"/>
      <c r="G10" s="34"/>
      <c r="H10" s="34"/>
      <c r="I10" s="27"/>
      <c r="J10" s="27"/>
      <c r="K10" s="27"/>
      <c r="L10" s="27"/>
      <c r="M10" s="27"/>
      <c r="N10" s="27"/>
      <c r="O10" s="27"/>
      <c r="P10" s="27"/>
      <c r="Q10" s="27"/>
      <c r="R10" s="27"/>
      <c r="S10" s="27"/>
      <c r="T10" s="27"/>
      <c r="U10" s="27"/>
      <c r="V10" s="27"/>
      <c r="W10" s="27"/>
      <c r="X10" s="27"/>
      <c r="Y10" s="27"/>
      <c r="Z10" s="27"/>
    </row>
    <row r="11" spans="1:26">
      <c r="A11" s="30" t="s">
        <v>122</v>
      </c>
      <c r="B11" s="30"/>
      <c r="C11" s="30" t="s">
        <v>45</v>
      </c>
      <c r="D11" s="31" t="s">
        <v>46</v>
      </c>
      <c r="E11" s="33" t="s">
        <v>984</v>
      </c>
      <c r="F11" s="34"/>
      <c r="G11" s="34"/>
      <c r="H11" s="34"/>
      <c r="I11" s="27"/>
      <c r="J11" s="27"/>
      <c r="K11" s="27"/>
      <c r="L11" s="27"/>
      <c r="M11" s="27"/>
      <c r="N11" s="27"/>
      <c r="O11" s="27"/>
      <c r="P11" s="27"/>
      <c r="Q11" s="27"/>
      <c r="R11" s="27"/>
      <c r="S11" s="27"/>
      <c r="T11" s="27"/>
      <c r="U11" s="27"/>
      <c r="V11" s="27"/>
      <c r="W11" s="27"/>
      <c r="X11" s="27"/>
      <c r="Y11" s="27"/>
      <c r="Z11" s="27"/>
    </row>
    <row r="12" spans="1:26">
      <c r="A12" s="30" t="s">
        <v>134</v>
      </c>
      <c r="B12" s="30"/>
      <c r="C12" s="30" t="s">
        <v>45</v>
      </c>
      <c r="D12" s="31" t="s">
        <v>46</v>
      </c>
      <c r="E12" s="32" t="s">
        <v>984</v>
      </c>
      <c r="F12" s="34"/>
      <c r="G12" s="34"/>
      <c r="H12" s="34"/>
      <c r="I12" s="27"/>
      <c r="J12" s="27"/>
      <c r="K12" s="27"/>
      <c r="L12" s="27"/>
      <c r="M12" s="27"/>
      <c r="N12" s="27"/>
      <c r="O12" s="27"/>
      <c r="P12" s="27"/>
      <c r="Q12" s="27"/>
      <c r="R12" s="27"/>
      <c r="S12" s="27"/>
      <c r="T12" s="27"/>
      <c r="U12" s="27"/>
      <c r="V12" s="27"/>
      <c r="W12" s="27"/>
      <c r="X12" s="27"/>
      <c r="Y12" s="27"/>
      <c r="Z12" s="27"/>
    </row>
    <row r="13" spans="1:26">
      <c r="A13" s="30" t="s">
        <v>136</v>
      </c>
      <c r="B13" s="30"/>
      <c r="C13" s="30" t="s">
        <v>45</v>
      </c>
      <c r="D13" s="31" t="s">
        <v>46</v>
      </c>
      <c r="E13" s="32" t="s">
        <v>984</v>
      </c>
      <c r="F13" s="34"/>
      <c r="G13" s="34"/>
      <c r="H13" s="34"/>
      <c r="I13" s="27"/>
      <c r="J13" s="27"/>
      <c r="K13" s="27"/>
      <c r="L13" s="27"/>
      <c r="M13" s="27"/>
      <c r="N13" s="27"/>
      <c r="O13" s="27"/>
      <c r="P13" s="27"/>
      <c r="Q13" s="27"/>
      <c r="R13" s="27"/>
      <c r="S13" s="27"/>
      <c r="T13" s="27"/>
      <c r="U13" s="27"/>
      <c r="V13" s="27"/>
      <c r="W13" s="27"/>
      <c r="X13" s="27"/>
      <c r="Y13" s="27"/>
      <c r="Z13" s="27"/>
    </row>
    <row r="14" spans="1:26">
      <c r="A14" s="30" t="s">
        <v>345</v>
      </c>
      <c r="B14" s="30" t="s">
        <v>346</v>
      </c>
      <c r="C14" s="30" t="s">
        <v>321</v>
      </c>
      <c r="D14" s="31" t="s">
        <v>46</v>
      </c>
      <c r="E14" s="32" t="s">
        <v>984</v>
      </c>
      <c r="F14" s="27"/>
      <c r="G14" s="27"/>
      <c r="H14" s="27"/>
      <c r="I14" s="27"/>
      <c r="J14" s="27"/>
      <c r="K14" s="27"/>
      <c r="L14" s="27"/>
      <c r="M14" s="27"/>
      <c r="N14" s="27"/>
      <c r="O14" s="27"/>
      <c r="P14" s="27"/>
      <c r="Q14" s="27"/>
      <c r="R14" s="27"/>
      <c r="S14" s="27"/>
      <c r="T14" s="27"/>
      <c r="U14" s="27"/>
      <c r="V14" s="27"/>
      <c r="W14" s="27"/>
      <c r="X14" s="27"/>
      <c r="Y14" s="27"/>
      <c r="Z14" s="27"/>
    </row>
    <row r="15" ht="72" customHeight="1" spans="1:26">
      <c r="A15" s="30" t="s">
        <v>338</v>
      </c>
      <c r="B15" s="30" t="s">
        <v>339</v>
      </c>
      <c r="C15" s="30" t="s">
        <v>321</v>
      </c>
      <c r="D15" s="31" t="s">
        <v>46</v>
      </c>
      <c r="E15" s="32" t="s">
        <v>984</v>
      </c>
      <c r="F15" s="27"/>
      <c r="G15" s="27"/>
      <c r="H15" s="27"/>
      <c r="I15" s="27"/>
      <c r="J15" s="27"/>
      <c r="K15" s="27"/>
      <c r="L15" s="27"/>
      <c r="M15" s="27"/>
      <c r="N15" s="27"/>
      <c r="O15" s="27"/>
      <c r="P15" s="27"/>
      <c r="Q15" s="27"/>
      <c r="R15" s="27"/>
      <c r="S15" s="27"/>
      <c r="T15" s="27"/>
      <c r="U15" s="27"/>
      <c r="V15" s="27"/>
      <c r="W15" s="27"/>
      <c r="X15" s="27"/>
      <c r="Y15" s="27"/>
      <c r="Z15" s="27"/>
    </row>
    <row r="16" spans="1:26">
      <c r="A16" s="30" t="s">
        <v>348</v>
      </c>
      <c r="B16" s="30" t="s">
        <v>349</v>
      </c>
      <c r="C16" s="30" t="s">
        <v>321</v>
      </c>
      <c r="D16" s="31" t="s">
        <v>46</v>
      </c>
      <c r="E16" s="32" t="s">
        <v>984</v>
      </c>
      <c r="F16" s="27"/>
      <c r="G16" s="27"/>
      <c r="H16" s="27"/>
      <c r="I16" s="27"/>
      <c r="J16" s="27"/>
      <c r="K16" s="27"/>
      <c r="L16" s="27"/>
      <c r="M16" s="27"/>
      <c r="N16" s="27"/>
      <c r="O16" s="27"/>
      <c r="P16" s="27"/>
      <c r="Q16" s="27"/>
      <c r="R16" s="27"/>
      <c r="S16" s="27"/>
      <c r="T16" s="27"/>
      <c r="U16" s="27"/>
      <c r="V16" s="27"/>
      <c r="W16" s="27"/>
      <c r="X16" s="27"/>
      <c r="Y16" s="27"/>
      <c r="Z16" s="27"/>
    </row>
    <row r="17" ht="43.5" customHeight="1" spans="1:26">
      <c r="A17" s="30" t="s">
        <v>342</v>
      </c>
      <c r="B17" s="30" t="s">
        <v>343</v>
      </c>
      <c r="C17" s="30" t="s">
        <v>321</v>
      </c>
      <c r="D17" s="31" t="s">
        <v>46</v>
      </c>
      <c r="E17" s="32" t="s">
        <v>984</v>
      </c>
      <c r="F17" s="27"/>
      <c r="G17" s="27"/>
      <c r="H17" s="27"/>
      <c r="I17" s="27"/>
      <c r="J17" s="27"/>
      <c r="K17" s="27"/>
      <c r="L17" s="27"/>
      <c r="M17" s="27"/>
      <c r="N17" s="27"/>
      <c r="O17" s="27"/>
      <c r="P17" s="27"/>
      <c r="Q17" s="27"/>
      <c r="R17" s="27"/>
      <c r="S17" s="27"/>
      <c r="T17" s="27"/>
      <c r="U17" s="27"/>
      <c r="V17" s="27"/>
      <c r="W17" s="27"/>
      <c r="X17" s="27"/>
      <c r="Y17" s="27"/>
      <c r="Z17" s="27"/>
    </row>
    <row r="18" spans="1:26">
      <c r="A18" s="30" t="s">
        <v>350</v>
      </c>
      <c r="B18" s="30" t="s">
        <v>351</v>
      </c>
      <c r="C18" s="30" t="s">
        <v>321</v>
      </c>
      <c r="D18" s="31" t="s">
        <v>46</v>
      </c>
      <c r="E18" s="32" t="s">
        <v>984</v>
      </c>
      <c r="F18" s="27"/>
      <c r="G18" s="27"/>
      <c r="H18" s="27"/>
      <c r="I18" s="27"/>
      <c r="J18" s="27"/>
      <c r="K18" s="27"/>
      <c r="L18" s="27"/>
      <c r="M18" s="27"/>
      <c r="N18" s="27"/>
      <c r="O18" s="27"/>
      <c r="P18" s="27"/>
      <c r="Q18" s="27"/>
      <c r="R18" s="27"/>
      <c r="S18" s="27"/>
      <c r="T18" s="27"/>
      <c r="U18" s="27"/>
      <c r="V18" s="27"/>
      <c r="W18" s="27"/>
      <c r="X18" s="27"/>
      <c r="Y18" s="27"/>
      <c r="Z18" s="27"/>
    </row>
    <row r="19" ht="28.5" customHeight="1" spans="1:26">
      <c r="A19" s="30" t="s">
        <v>331</v>
      </c>
      <c r="B19" s="30" t="s">
        <v>332</v>
      </c>
      <c r="C19" s="30" t="s">
        <v>321</v>
      </c>
      <c r="D19" s="31" t="s">
        <v>46</v>
      </c>
      <c r="E19" s="32" t="s">
        <v>984</v>
      </c>
      <c r="F19" s="27"/>
      <c r="G19" s="27"/>
      <c r="H19" s="27"/>
      <c r="I19" s="27"/>
      <c r="J19" s="27"/>
      <c r="K19" s="27"/>
      <c r="L19" s="27"/>
      <c r="M19" s="27"/>
      <c r="N19" s="27"/>
      <c r="O19" s="27"/>
      <c r="P19" s="27"/>
      <c r="Q19" s="27"/>
      <c r="R19" s="27"/>
      <c r="S19" s="27"/>
      <c r="T19" s="27"/>
      <c r="U19" s="27"/>
      <c r="V19" s="27"/>
      <c r="W19" s="27"/>
      <c r="X19" s="27"/>
      <c r="Y19" s="27"/>
      <c r="Z19" s="27"/>
    </row>
    <row r="20" spans="1:26">
      <c r="A20" s="30" t="s">
        <v>340</v>
      </c>
      <c r="B20" s="30" t="s">
        <v>341</v>
      </c>
      <c r="C20" s="30" t="s">
        <v>321</v>
      </c>
      <c r="D20" s="31" t="s">
        <v>46</v>
      </c>
      <c r="E20" s="32" t="s">
        <v>984</v>
      </c>
      <c r="F20" s="27"/>
      <c r="G20" s="27"/>
      <c r="H20" s="27"/>
      <c r="I20" s="27"/>
      <c r="J20" s="27"/>
      <c r="K20" s="27"/>
      <c r="L20" s="27"/>
      <c r="M20" s="27"/>
      <c r="N20" s="27"/>
      <c r="O20" s="27"/>
      <c r="P20" s="27"/>
      <c r="Q20" s="27"/>
      <c r="R20" s="27"/>
      <c r="S20" s="27"/>
      <c r="T20" s="27"/>
      <c r="U20" s="27"/>
      <c r="V20" s="27"/>
      <c r="W20" s="27"/>
      <c r="X20" s="27"/>
      <c r="Y20" s="27"/>
      <c r="Z20" s="27"/>
    </row>
    <row r="21" ht="15.75" customHeight="1" spans="1:26">
      <c r="A21" s="30" t="s">
        <v>334</v>
      </c>
      <c r="B21" s="30" t="s">
        <v>335</v>
      </c>
      <c r="C21" s="30" t="s">
        <v>321</v>
      </c>
      <c r="D21" s="31" t="s">
        <v>46</v>
      </c>
      <c r="E21" s="32" t="s">
        <v>984</v>
      </c>
      <c r="F21" s="27"/>
      <c r="G21" s="27"/>
      <c r="H21" s="27"/>
      <c r="I21" s="27"/>
      <c r="J21" s="27"/>
      <c r="K21" s="27"/>
      <c r="L21" s="27"/>
      <c r="M21" s="27"/>
      <c r="N21" s="27"/>
      <c r="O21" s="27"/>
      <c r="P21" s="27"/>
      <c r="Q21" s="27"/>
      <c r="R21" s="27"/>
      <c r="S21" s="27"/>
      <c r="T21" s="27"/>
      <c r="U21" s="27"/>
      <c r="V21" s="27"/>
      <c r="W21" s="27"/>
      <c r="X21" s="27"/>
      <c r="Y21" s="27"/>
      <c r="Z21" s="27"/>
    </row>
    <row r="22" ht="15.75" customHeight="1" spans="1:26">
      <c r="A22" s="30" t="s">
        <v>405</v>
      </c>
      <c r="B22" s="30"/>
      <c r="C22" s="30" t="s">
        <v>321</v>
      </c>
      <c r="D22" s="31" t="s">
        <v>46</v>
      </c>
      <c r="E22" s="32" t="s">
        <v>984</v>
      </c>
      <c r="F22" s="27"/>
      <c r="G22" s="27"/>
      <c r="H22" s="27"/>
      <c r="I22" s="27"/>
      <c r="J22" s="27"/>
      <c r="K22" s="27"/>
      <c r="L22" s="27"/>
      <c r="M22" s="27"/>
      <c r="N22" s="27"/>
      <c r="O22" s="27"/>
      <c r="P22" s="27"/>
      <c r="Q22" s="27"/>
      <c r="R22" s="27"/>
      <c r="S22" s="27"/>
      <c r="T22" s="27"/>
      <c r="U22" s="27"/>
      <c r="V22" s="27"/>
      <c r="W22" s="27"/>
      <c r="X22" s="27"/>
      <c r="Y22" s="27"/>
      <c r="Z22" s="27"/>
    </row>
    <row r="23" ht="15.75" customHeight="1" spans="1:26">
      <c r="A23" s="30" t="s">
        <v>406</v>
      </c>
      <c r="B23" s="30"/>
      <c r="C23" s="30" t="s">
        <v>321</v>
      </c>
      <c r="D23" s="31" t="s">
        <v>46</v>
      </c>
      <c r="E23" s="32" t="s">
        <v>984</v>
      </c>
      <c r="F23" s="27"/>
      <c r="G23" s="27"/>
      <c r="H23" s="27"/>
      <c r="I23" s="27"/>
      <c r="J23" s="27"/>
      <c r="K23" s="27"/>
      <c r="L23" s="27"/>
      <c r="M23" s="27"/>
      <c r="N23" s="27"/>
      <c r="O23" s="27"/>
      <c r="P23" s="27"/>
      <c r="Q23" s="27"/>
      <c r="R23" s="27"/>
      <c r="S23" s="27"/>
      <c r="T23" s="27"/>
      <c r="U23" s="27"/>
      <c r="V23" s="27"/>
      <c r="W23" s="27"/>
      <c r="X23" s="27"/>
      <c r="Y23" s="27"/>
      <c r="Z23" s="27"/>
    </row>
    <row r="24" ht="15.75" customHeight="1" spans="1:26">
      <c r="A24" s="30" t="s">
        <v>408</v>
      </c>
      <c r="B24" s="30"/>
      <c r="C24" s="30" t="s">
        <v>321</v>
      </c>
      <c r="D24" s="31" t="s">
        <v>46</v>
      </c>
      <c r="E24" s="32" t="s">
        <v>984</v>
      </c>
      <c r="F24" s="27"/>
      <c r="G24" s="27"/>
      <c r="H24" s="27"/>
      <c r="I24" s="27"/>
      <c r="J24" s="27"/>
      <c r="K24" s="27"/>
      <c r="L24" s="27"/>
      <c r="M24" s="27"/>
      <c r="N24" s="27"/>
      <c r="O24" s="27"/>
      <c r="P24" s="27"/>
      <c r="Q24" s="27"/>
      <c r="R24" s="27"/>
      <c r="S24" s="27"/>
      <c r="T24" s="27"/>
      <c r="U24" s="27"/>
      <c r="V24" s="27"/>
      <c r="W24" s="27"/>
      <c r="X24" s="27"/>
      <c r="Y24" s="27"/>
      <c r="Z24" s="27"/>
    </row>
    <row r="25" ht="15.75" customHeight="1" spans="1:26">
      <c r="A25" s="30" t="s">
        <v>403</v>
      </c>
      <c r="B25" s="30"/>
      <c r="C25" s="30" t="s">
        <v>321</v>
      </c>
      <c r="D25" s="31" t="s">
        <v>46</v>
      </c>
      <c r="E25" s="32" t="s">
        <v>984</v>
      </c>
      <c r="F25" s="27"/>
      <c r="G25" s="27"/>
      <c r="H25" s="27"/>
      <c r="I25" s="27"/>
      <c r="J25" s="27"/>
      <c r="K25" s="27"/>
      <c r="L25" s="27"/>
      <c r="M25" s="27"/>
      <c r="N25" s="27"/>
      <c r="O25" s="27"/>
      <c r="P25" s="27"/>
      <c r="Q25" s="27"/>
      <c r="R25" s="27"/>
      <c r="S25" s="27"/>
      <c r="T25" s="27"/>
      <c r="U25" s="27"/>
      <c r="V25" s="27"/>
      <c r="W25" s="27"/>
      <c r="X25" s="27"/>
      <c r="Y25" s="27"/>
      <c r="Z25" s="27"/>
    </row>
    <row r="26" ht="15.75" customHeight="1" spans="1:26">
      <c r="A26" s="30" t="s">
        <v>409</v>
      </c>
      <c r="B26" s="30"/>
      <c r="C26" s="30" t="s">
        <v>321</v>
      </c>
      <c r="D26" s="31" t="s">
        <v>46</v>
      </c>
      <c r="E26" s="32" t="s">
        <v>984</v>
      </c>
      <c r="F26" s="27"/>
      <c r="G26" s="27"/>
      <c r="H26" s="27"/>
      <c r="I26" s="27"/>
      <c r="J26" s="27"/>
      <c r="K26" s="27"/>
      <c r="L26" s="27"/>
      <c r="M26" s="27"/>
      <c r="N26" s="27"/>
      <c r="O26" s="27"/>
      <c r="P26" s="27"/>
      <c r="Q26" s="27"/>
      <c r="R26" s="27"/>
      <c r="S26" s="27"/>
      <c r="T26" s="27"/>
      <c r="U26" s="27"/>
      <c r="V26" s="27"/>
      <c r="W26" s="27"/>
      <c r="X26" s="27"/>
      <c r="Y26" s="27"/>
      <c r="Z26" s="27"/>
    </row>
    <row r="27" ht="15.75" customHeight="1" spans="1:26">
      <c r="A27" s="30" t="s">
        <v>410</v>
      </c>
      <c r="B27" s="30"/>
      <c r="C27" s="30" t="s">
        <v>321</v>
      </c>
      <c r="D27" s="31" t="s">
        <v>46</v>
      </c>
      <c r="E27" s="32" t="s">
        <v>984</v>
      </c>
      <c r="F27" s="27"/>
      <c r="G27" s="27"/>
      <c r="H27" s="27"/>
      <c r="I27" s="27"/>
      <c r="J27" s="27"/>
      <c r="K27" s="27"/>
      <c r="L27" s="27"/>
      <c r="M27" s="27"/>
      <c r="N27" s="27"/>
      <c r="O27" s="27"/>
      <c r="P27" s="27"/>
      <c r="Q27" s="27"/>
      <c r="R27" s="27"/>
      <c r="S27" s="27"/>
      <c r="T27" s="27"/>
      <c r="U27" s="27"/>
      <c r="V27" s="27"/>
      <c r="W27" s="27"/>
      <c r="X27" s="27"/>
      <c r="Y27" s="27"/>
      <c r="Z27" s="27"/>
    </row>
    <row r="28" ht="15.75" customHeight="1" spans="1:26">
      <c r="A28" s="30" t="s">
        <v>325</v>
      </c>
      <c r="B28" s="30"/>
      <c r="C28" s="30" t="s">
        <v>321</v>
      </c>
      <c r="D28" s="31" t="s">
        <v>46</v>
      </c>
      <c r="E28" s="32" t="s">
        <v>984</v>
      </c>
      <c r="F28" s="27"/>
      <c r="G28" s="27"/>
      <c r="H28" s="27"/>
      <c r="I28" s="27"/>
      <c r="J28" s="27"/>
      <c r="K28" s="27"/>
      <c r="L28" s="27"/>
      <c r="M28" s="27"/>
      <c r="N28" s="27"/>
      <c r="O28" s="27"/>
      <c r="P28" s="27"/>
      <c r="Q28" s="27"/>
      <c r="R28" s="27"/>
      <c r="S28" s="27"/>
      <c r="T28" s="27"/>
      <c r="U28" s="27"/>
      <c r="V28" s="27"/>
      <c r="W28" s="27"/>
      <c r="X28" s="27"/>
      <c r="Y28" s="27"/>
      <c r="Z28" s="27"/>
    </row>
    <row r="29" ht="15.75" customHeight="1" spans="1:26">
      <c r="A29" s="30" t="s">
        <v>75</v>
      </c>
      <c r="B29" s="30" t="s">
        <v>76</v>
      </c>
      <c r="C29" s="30" t="s">
        <v>45</v>
      </c>
      <c r="D29" s="31" t="s">
        <v>69</v>
      </c>
      <c r="E29" s="32" t="s">
        <v>984</v>
      </c>
      <c r="F29" s="27"/>
      <c r="G29" s="27"/>
      <c r="H29" s="27"/>
      <c r="I29" s="27"/>
      <c r="J29" s="27"/>
      <c r="K29" s="27"/>
      <c r="L29" s="27"/>
      <c r="M29" s="27"/>
      <c r="N29" s="27"/>
      <c r="O29" s="27"/>
      <c r="P29" s="27"/>
      <c r="Q29" s="27"/>
      <c r="R29" s="27"/>
      <c r="S29" s="27"/>
      <c r="T29" s="27"/>
      <c r="U29" s="27"/>
      <c r="V29" s="27"/>
      <c r="W29" s="27"/>
      <c r="X29" s="27"/>
      <c r="Y29" s="27"/>
      <c r="Z29" s="27"/>
    </row>
    <row r="30" ht="15.75" customHeight="1" spans="1:26">
      <c r="A30" s="30" t="s">
        <v>985</v>
      </c>
      <c r="B30" s="30" t="s">
        <v>76</v>
      </c>
      <c r="C30" s="30" t="s">
        <v>45</v>
      </c>
      <c r="D30" s="31" t="s">
        <v>69</v>
      </c>
      <c r="E30" s="35" t="s">
        <v>986</v>
      </c>
      <c r="F30" s="27" t="s">
        <v>987</v>
      </c>
      <c r="G30" s="27"/>
      <c r="H30" s="27"/>
      <c r="I30" s="27"/>
      <c r="J30" s="27"/>
      <c r="K30" s="27"/>
      <c r="L30" s="27"/>
      <c r="M30" s="27"/>
      <c r="N30" s="27"/>
      <c r="O30" s="27"/>
      <c r="P30" s="27"/>
      <c r="Q30" s="27"/>
      <c r="R30" s="27"/>
      <c r="S30" s="27"/>
      <c r="T30" s="27"/>
      <c r="U30" s="27"/>
      <c r="V30" s="27"/>
      <c r="W30" s="27"/>
      <c r="X30" s="27"/>
      <c r="Y30" s="27"/>
      <c r="Z30" s="27"/>
    </row>
    <row r="31" ht="15.75" customHeight="1" spans="1:26">
      <c r="A31" s="30" t="s">
        <v>71</v>
      </c>
      <c r="B31" s="30"/>
      <c r="C31" s="30" t="s">
        <v>45</v>
      </c>
      <c r="D31" s="31" t="s">
        <v>69</v>
      </c>
      <c r="E31" s="32" t="s">
        <v>984</v>
      </c>
      <c r="F31" s="27"/>
      <c r="G31" s="27"/>
      <c r="H31" s="27"/>
      <c r="I31" s="27"/>
      <c r="J31" s="27"/>
      <c r="K31" s="27"/>
      <c r="L31" s="27"/>
      <c r="M31" s="27"/>
      <c r="N31" s="27"/>
      <c r="O31" s="27"/>
      <c r="P31" s="27"/>
      <c r="Q31" s="27"/>
      <c r="R31" s="27"/>
      <c r="S31" s="27"/>
      <c r="T31" s="27"/>
      <c r="U31" s="27"/>
      <c r="V31" s="27"/>
      <c r="W31" s="27"/>
      <c r="X31" s="27"/>
      <c r="Y31" s="27"/>
      <c r="Z31" s="27"/>
    </row>
    <row r="32" ht="15.75" customHeight="1" spans="1:26">
      <c r="A32" s="30" t="s">
        <v>82</v>
      </c>
      <c r="B32" s="30"/>
      <c r="C32" s="30" t="s">
        <v>45</v>
      </c>
      <c r="D32" s="31" t="s">
        <v>69</v>
      </c>
      <c r="E32" s="32" t="s">
        <v>984</v>
      </c>
      <c r="F32" s="27"/>
      <c r="G32" s="27"/>
      <c r="H32" s="27"/>
      <c r="I32" s="27"/>
      <c r="J32" s="27"/>
      <c r="K32" s="27"/>
      <c r="L32" s="27"/>
      <c r="M32" s="27"/>
      <c r="N32" s="27"/>
      <c r="O32" s="27"/>
      <c r="P32" s="27"/>
      <c r="Q32" s="27"/>
      <c r="R32" s="27"/>
      <c r="S32" s="27"/>
      <c r="T32" s="27"/>
      <c r="U32" s="27"/>
      <c r="V32" s="27"/>
      <c r="W32" s="27"/>
      <c r="X32" s="27"/>
      <c r="Y32" s="27"/>
      <c r="Z32" s="27"/>
    </row>
    <row r="33" ht="15.75" customHeight="1" spans="1:26">
      <c r="A33" s="30" t="s">
        <v>78</v>
      </c>
      <c r="B33" s="30" t="s">
        <v>79</v>
      </c>
      <c r="C33" s="30" t="s">
        <v>45</v>
      </c>
      <c r="D33" s="31" t="s">
        <v>69</v>
      </c>
      <c r="E33" s="32" t="s">
        <v>984</v>
      </c>
      <c r="F33" s="27"/>
      <c r="G33" s="27"/>
      <c r="H33" s="27"/>
      <c r="I33" s="27"/>
      <c r="J33" s="27"/>
      <c r="K33" s="27"/>
      <c r="L33" s="27"/>
      <c r="M33" s="27"/>
      <c r="N33" s="27"/>
      <c r="O33" s="27"/>
      <c r="P33" s="27"/>
      <c r="Q33" s="27"/>
      <c r="R33" s="27"/>
      <c r="S33" s="27"/>
      <c r="T33" s="27"/>
      <c r="U33" s="27"/>
      <c r="V33" s="27"/>
      <c r="W33" s="27"/>
      <c r="X33" s="27"/>
      <c r="Y33" s="27"/>
      <c r="Z33" s="27"/>
    </row>
    <row r="34" ht="15.75" customHeight="1" spans="1:26">
      <c r="A34" s="30" t="s">
        <v>988</v>
      </c>
      <c r="B34" s="30" t="s">
        <v>79</v>
      </c>
      <c r="C34" s="30" t="s">
        <v>45</v>
      </c>
      <c r="D34" s="31" t="s">
        <v>69</v>
      </c>
      <c r="E34" s="35" t="s">
        <v>986</v>
      </c>
      <c r="F34" s="27" t="s">
        <v>989</v>
      </c>
      <c r="G34" s="27"/>
      <c r="H34" s="27"/>
      <c r="I34" s="27"/>
      <c r="J34" s="27"/>
      <c r="K34" s="27"/>
      <c r="L34" s="27"/>
      <c r="M34" s="27"/>
      <c r="N34" s="27"/>
      <c r="O34" s="27"/>
      <c r="P34" s="27"/>
      <c r="Q34" s="27"/>
      <c r="R34" s="27"/>
      <c r="S34" s="27"/>
      <c r="T34" s="27"/>
      <c r="U34" s="27"/>
      <c r="V34" s="27"/>
      <c r="W34" s="27"/>
      <c r="X34" s="27"/>
      <c r="Y34" s="27"/>
      <c r="Z34" s="27"/>
    </row>
    <row r="35" ht="15.75" customHeight="1" spans="1:26">
      <c r="A35" s="30" t="s">
        <v>81</v>
      </c>
      <c r="B35" s="30"/>
      <c r="C35" s="30" t="s">
        <v>45</v>
      </c>
      <c r="D35" s="31" t="s">
        <v>69</v>
      </c>
      <c r="E35" s="32" t="s">
        <v>984</v>
      </c>
      <c r="F35" s="27"/>
      <c r="G35" s="27"/>
      <c r="H35" s="27"/>
      <c r="I35" s="27"/>
      <c r="J35" s="27"/>
      <c r="K35" s="27"/>
      <c r="L35" s="27"/>
      <c r="M35" s="27"/>
      <c r="N35" s="27"/>
      <c r="O35" s="27"/>
      <c r="P35" s="27"/>
      <c r="Q35" s="27"/>
      <c r="R35" s="27"/>
      <c r="S35" s="27"/>
      <c r="T35" s="27"/>
      <c r="U35" s="27"/>
      <c r="V35" s="27"/>
      <c r="W35" s="27"/>
      <c r="X35" s="27"/>
      <c r="Y35" s="27"/>
      <c r="Z35" s="27"/>
    </row>
    <row r="36" ht="15.75" customHeight="1" spans="1:26">
      <c r="A36" s="30" t="s">
        <v>990</v>
      </c>
      <c r="B36" s="30"/>
      <c r="C36" s="30" t="s">
        <v>45</v>
      </c>
      <c r="D36" s="31" t="s">
        <v>69</v>
      </c>
      <c r="E36" s="35" t="s">
        <v>986</v>
      </c>
      <c r="F36" s="27" t="s">
        <v>991</v>
      </c>
      <c r="G36" s="27"/>
      <c r="H36" s="27"/>
      <c r="I36" s="27"/>
      <c r="J36" s="27"/>
      <c r="K36" s="27"/>
      <c r="L36" s="27"/>
      <c r="M36" s="27"/>
      <c r="N36" s="27"/>
      <c r="O36" s="27"/>
      <c r="P36" s="27"/>
      <c r="Q36" s="27"/>
      <c r="R36" s="27"/>
      <c r="S36" s="27"/>
      <c r="T36" s="27"/>
      <c r="U36" s="27"/>
      <c r="V36" s="27"/>
      <c r="W36" s="27"/>
      <c r="X36" s="27"/>
      <c r="Y36" s="27"/>
      <c r="Z36" s="27"/>
    </row>
    <row r="37" ht="15.75" customHeight="1" spans="1:26">
      <c r="A37" s="30" t="s">
        <v>68</v>
      </c>
      <c r="B37" s="30"/>
      <c r="C37" s="30" t="s">
        <v>45</v>
      </c>
      <c r="D37" s="31" t="s">
        <v>69</v>
      </c>
      <c r="E37" s="32" t="s">
        <v>984</v>
      </c>
      <c r="F37" s="27"/>
      <c r="G37" s="27"/>
      <c r="H37" s="27"/>
      <c r="I37" s="27"/>
      <c r="J37" s="27"/>
      <c r="K37" s="27"/>
      <c r="L37" s="27"/>
      <c r="M37" s="27"/>
      <c r="N37" s="27"/>
      <c r="O37" s="27"/>
      <c r="P37" s="27"/>
      <c r="Q37" s="27"/>
      <c r="R37" s="27"/>
      <c r="S37" s="27"/>
      <c r="T37" s="27"/>
      <c r="U37" s="27"/>
      <c r="V37" s="27"/>
      <c r="W37" s="27"/>
      <c r="X37" s="27"/>
      <c r="Y37" s="27"/>
      <c r="Z37" s="27"/>
    </row>
    <row r="38" ht="15.75" customHeight="1" spans="1:26">
      <c r="A38" s="30" t="s">
        <v>71</v>
      </c>
      <c r="B38" s="30"/>
      <c r="C38" s="30" t="s">
        <v>45</v>
      </c>
      <c r="D38" s="31" t="s">
        <v>69</v>
      </c>
      <c r="E38" s="32" t="s">
        <v>984</v>
      </c>
      <c r="F38" s="27"/>
      <c r="G38" s="27"/>
      <c r="H38" s="27"/>
      <c r="I38" s="27"/>
      <c r="J38" s="27"/>
      <c r="K38" s="27"/>
      <c r="L38" s="27"/>
      <c r="M38" s="27"/>
      <c r="N38" s="27"/>
      <c r="O38" s="27"/>
      <c r="P38" s="27"/>
      <c r="Q38" s="27"/>
      <c r="R38" s="27"/>
      <c r="S38" s="27"/>
      <c r="T38" s="27"/>
      <c r="U38" s="27"/>
      <c r="V38" s="27"/>
      <c r="W38" s="27"/>
      <c r="X38" s="27"/>
      <c r="Y38" s="27"/>
      <c r="Z38" s="27"/>
    </row>
    <row r="39" ht="15.75" customHeight="1" spans="1:26">
      <c r="A39" s="30" t="s">
        <v>126</v>
      </c>
      <c r="B39" s="30"/>
      <c r="C39" s="30" t="s">
        <v>45</v>
      </c>
      <c r="D39" s="31" t="s">
        <v>69</v>
      </c>
      <c r="E39" s="32" t="s">
        <v>984</v>
      </c>
      <c r="F39" s="27"/>
      <c r="G39" s="27"/>
      <c r="H39" s="27"/>
      <c r="I39" s="27"/>
      <c r="J39" s="27"/>
      <c r="K39" s="27"/>
      <c r="L39" s="27"/>
      <c r="M39" s="27"/>
      <c r="N39" s="27"/>
      <c r="O39" s="27"/>
      <c r="P39" s="27"/>
      <c r="Q39" s="27"/>
      <c r="R39" s="27"/>
      <c r="S39" s="27"/>
      <c r="T39" s="27"/>
      <c r="U39" s="27"/>
      <c r="V39" s="27"/>
      <c r="W39" s="27"/>
      <c r="X39" s="27"/>
      <c r="Y39" s="27"/>
      <c r="Z39" s="27"/>
    </row>
    <row r="40" ht="15.75" customHeight="1" spans="1:26">
      <c r="A40" s="30" t="s">
        <v>124</v>
      </c>
      <c r="B40" s="30"/>
      <c r="C40" s="30" t="s">
        <v>45</v>
      </c>
      <c r="D40" s="31" t="s">
        <v>69</v>
      </c>
      <c r="E40" s="32" t="s">
        <v>984</v>
      </c>
      <c r="F40" s="27"/>
      <c r="G40" s="27"/>
      <c r="H40" s="27"/>
      <c r="I40" s="27"/>
      <c r="J40" s="27"/>
      <c r="K40" s="27"/>
      <c r="L40" s="27"/>
      <c r="M40" s="27"/>
      <c r="N40" s="27"/>
      <c r="O40" s="27"/>
      <c r="P40" s="27"/>
      <c r="Q40" s="27"/>
      <c r="R40" s="27"/>
      <c r="S40" s="27"/>
      <c r="T40" s="27"/>
      <c r="U40" s="27"/>
      <c r="V40" s="27"/>
      <c r="W40" s="27"/>
      <c r="X40" s="27"/>
      <c r="Y40" s="27"/>
      <c r="Z40" s="27"/>
    </row>
    <row r="41" ht="15.75" customHeight="1" spans="1:26">
      <c r="A41" s="30" t="s">
        <v>992</v>
      </c>
      <c r="B41" s="30"/>
      <c r="C41" s="30" t="s">
        <v>45</v>
      </c>
      <c r="D41" s="31" t="s">
        <v>69</v>
      </c>
      <c r="E41" s="35" t="s">
        <v>986</v>
      </c>
      <c r="F41" s="27" t="s">
        <v>993</v>
      </c>
      <c r="G41" s="27"/>
      <c r="H41" s="27"/>
      <c r="I41" s="27"/>
      <c r="J41" s="27"/>
      <c r="K41" s="27"/>
      <c r="L41" s="27"/>
      <c r="M41" s="27"/>
      <c r="N41" s="27"/>
      <c r="O41" s="27"/>
      <c r="P41" s="27"/>
      <c r="Q41" s="27"/>
      <c r="R41" s="27"/>
      <c r="S41" s="27"/>
      <c r="T41" s="27"/>
      <c r="U41" s="27"/>
      <c r="V41" s="27"/>
      <c r="W41" s="27"/>
      <c r="X41" s="27"/>
      <c r="Y41" s="27"/>
      <c r="Z41" s="27"/>
    </row>
    <row r="42" ht="15.75" customHeight="1" spans="1:26">
      <c r="A42" s="30" t="s">
        <v>141</v>
      </c>
      <c r="B42" s="30"/>
      <c r="C42" s="30" t="s">
        <v>45</v>
      </c>
      <c r="D42" s="31" t="s">
        <v>69</v>
      </c>
      <c r="E42" s="32" t="s">
        <v>984</v>
      </c>
      <c r="F42" s="27"/>
      <c r="G42" s="27"/>
      <c r="H42" s="27"/>
      <c r="I42" s="27"/>
      <c r="J42" s="27"/>
      <c r="K42" s="27"/>
      <c r="L42" s="27"/>
      <c r="M42" s="27"/>
      <c r="N42" s="27"/>
      <c r="O42" s="27"/>
      <c r="P42" s="27"/>
      <c r="Q42" s="27"/>
      <c r="R42" s="27"/>
      <c r="S42" s="27"/>
      <c r="T42" s="27"/>
      <c r="U42" s="27"/>
      <c r="V42" s="27"/>
      <c r="W42" s="27"/>
      <c r="X42" s="27"/>
      <c r="Y42" s="27"/>
      <c r="Z42" s="27"/>
    </row>
    <row r="43" ht="43.5" customHeight="1" spans="1:26">
      <c r="A43" s="30" t="s">
        <v>138</v>
      </c>
      <c r="B43" s="30" t="s">
        <v>994</v>
      </c>
      <c r="C43" s="30" t="s">
        <v>45</v>
      </c>
      <c r="D43" s="31" t="s">
        <v>69</v>
      </c>
      <c r="E43" s="32" t="s">
        <v>984</v>
      </c>
      <c r="F43" s="27"/>
      <c r="G43" s="27"/>
      <c r="H43" s="27"/>
      <c r="I43" s="27"/>
      <c r="J43" s="27"/>
      <c r="K43" s="27"/>
      <c r="L43" s="27"/>
      <c r="M43" s="27"/>
      <c r="N43" s="27"/>
      <c r="O43" s="27"/>
      <c r="P43" s="27"/>
      <c r="Q43" s="27"/>
      <c r="R43" s="27"/>
      <c r="S43" s="27"/>
      <c r="T43" s="27"/>
      <c r="U43" s="27"/>
      <c r="V43" s="27"/>
      <c r="W43" s="27"/>
      <c r="X43" s="27"/>
      <c r="Y43" s="27"/>
      <c r="Z43" s="27"/>
    </row>
    <row r="44" ht="87" customHeight="1" spans="1:26">
      <c r="A44" s="30" t="s">
        <v>370</v>
      </c>
      <c r="B44" s="30" t="s">
        <v>371</v>
      </c>
      <c r="C44" s="30" t="s">
        <v>321</v>
      </c>
      <c r="D44" s="31" t="s">
        <v>69</v>
      </c>
      <c r="E44" s="32" t="s">
        <v>984</v>
      </c>
      <c r="F44" s="27"/>
      <c r="G44" s="27"/>
      <c r="H44" s="27"/>
      <c r="I44" s="27"/>
      <c r="J44" s="27"/>
      <c r="K44" s="27"/>
      <c r="L44" s="27"/>
      <c r="M44" s="27"/>
      <c r="N44" s="27"/>
      <c r="O44" s="27"/>
      <c r="P44" s="27"/>
      <c r="Q44" s="27"/>
      <c r="R44" s="27"/>
      <c r="S44" s="27"/>
      <c r="T44" s="27"/>
      <c r="U44" s="27"/>
      <c r="V44" s="27"/>
      <c r="W44" s="27"/>
      <c r="X44" s="27"/>
      <c r="Y44" s="27"/>
      <c r="Z44" s="27"/>
    </row>
    <row r="45" ht="28.5" customHeight="1" spans="1:26">
      <c r="A45" s="30" t="s">
        <v>362</v>
      </c>
      <c r="B45" s="30" t="s">
        <v>363</v>
      </c>
      <c r="C45" s="30" t="s">
        <v>321</v>
      </c>
      <c r="D45" s="31" t="s">
        <v>69</v>
      </c>
      <c r="E45" s="32" t="s">
        <v>984</v>
      </c>
      <c r="F45" s="27"/>
      <c r="G45" s="27"/>
      <c r="H45" s="27"/>
      <c r="I45" s="27"/>
      <c r="J45" s="27"/>
      <c r="K45" s="27"/>
      <c r="L45" s="27"/>
      <c r="M45" s="27"/>
      <c r="N45" s="27"/>
      <c r="O45" s="27"/>
      <c r="P45" s="27"/>
      <c r="Q45" s="27"/>
      <c r="R45" s="27"/>
      <c r="S45" s="27"/>
      <c r="T45" s="27"/>
      <c r="U45" s="27"/>
      <c r="V45" s="27"/>
      <c r="W45" s="27"/>
      <c r="X45" s="27"/>
      <c r="Y45" s="27"/>
      <c r="Z45" s="27"/>
    </row>
    <row r="46" ht="15.75" customHeight="1" spans="1:26">
      <c r="A46" s="30" t="s">
        <v>372</v>
      </c>
      <c r="B46" s="30" t="s">
        <v>373</v>
      </c>
      <c r="C46" s="30" t="s">
        <v>321</v>
      </c>
      <c r="D46" s="31" t="s">
        <v>69</v>
      </c>
      <c r="E46" s="32" t="s">
        <v>984</v>
      </c>
      <c r="F46" s="27"/>
      <c r="G46" s="27"/>
      <c r="H46" s="27"/>
      <c r="I46" s="27"/>
      <c r="J46" s="27"/>
      <c r="K46" s="27"/>
      <c r="L46" s="27"/>
      <c r="M46" s="27"/>
      <c r="N46" s="27"/>
      <c r="O46" s="27"/>
      <c r="P46" s="27"/>
      <c r="Q46" s="27"/>
      <c r="R46" s="27"/>
      <c r="S46" s="27"/>
      <c r="T46" s="27"/>
      <c r="U46" s="27"/>
      <c r="V46" s="27"/>
      <c r="W46" s="27"/>
      <c r="X46" s="27"/>
      <c r="Y46" s="27"/>
      <c r="Z46" s="27"/>
    </row>
    <row r="47" ht="100.5" customHeight="1" spans="1:26">
      <c r="A47" s="30" t="s">
        <v>356</v>
      </c>
      <c r="B47" s="30" t="s">
        <v>357</v>
      </c>
      <c r="C47" s="30" t="s">
        <v>321</v>
      </c>
      <c r="D47" s="31" t="s">
        <v>69</v>
      </c>
      <c r="E47" s="32" t="s">
        <v>984</v>
      </c>
      <c r="F47" s="27"/>
      <c r="G47" s="27"/>
      <c r="H47" s="27"/>
      <c r="I47" s="27"/>
      <c r="J47" s="27"/>
      <c r="K47" s="27"/>
      <c r="L47" s="27"/>
      <c r="M47" s="27"/>
      <c r="N47" s="27"/>
      <c r="O47" s="27"/>
      <c r="P47" s="27"/>
      <c r="Q47" s="27"/>
      <c r="R47" s="27"/>
      <c r="S47" s="27"/>
      <c r="T47" s="27"/>
      <c r="U47" s="27"/>
      <c r="V47" s="27"/>
      <c r="W47" s="27"/>
      <c r="X47" s="27"/>
      <c r="Y47" s="27"/>
      <c r="Z47" s="27"/>
    </row>
    <row r="48" ht="15.75" customHeight="1" spans="1:26">
      <c r="A48" s="30" t="s">
        <v>365</v>
      </c>
      <c r="B48" s="30" t="s">
        <v>366</v>
      </c>
      <c r="C48" s="30" t="s">
        <v>321</v>
      </c>
      <c r="D48" s="31" t="s">
        <v>69</v>
      </c>
      <c r="E48" s="32" t="s">
        <v>984</v>
      </c>
      <c r="F48" s="27"/>
      <c r="G48" s="27"/>
      <c r="H48" s="27"/>
      <c r="I48" s="27"/>
      <c r="J48" s="27"/>
      <c r="K48" s="27"/>
      <c r="L48" s="27"/>
      <c r="M48" s="27"/>
      <c r="N48" s="27"/>
      <c r="O48" s="27"/>
      <c r="P48" s="27"/>
      <c r="Q48" s="27"/>
      <c r="R48" s="27"/>
      <c r="S48" s="27"/>
      <c r="T48" s="27"/>
      <c r="U48" s="27"/>
      <c r="V48" s="27"/>
      <c r="W48" s="27"/>
      <c r="X48" s="27"/>
      <c r="Y48" s="27"/>
      <c r="Z48" s="27"/>
    </row>
    <row r="49" ht="15.75" customHeight="1" spans="1:26">
      <c r="A49" s="30" t="s">
        <v>368</v>
      </c>
      <c r="B49" s="30" t="s">
        <v>369</v>
      </c>
      <c r="C49" s="30" t="s">
        <v>321</v>
      </c>
      <c r="D49" s="31" t="s">
        <v>69</v>
      </c>
      <c r="E49" s="32" t="s">
        <v>984</v>
      </c>
      <c r="F49" s="27"/>
      <c r="G49" s="27"/>
      <c r="H49" s="27"/>
      <c r="I49" s="27"/>
      <c r="J49" s="27"/>
      <c r="K49" s="27"/>
      <c r="L49" s="27"/>
      <c r="M49" s="27"/>
      <c r="N49" s="27"/>
      <c r="O49" s="27"/>
      <c r="P49" s="27"/>
      <c r="Q49" s="27"/>
      <c r="R49" s="27"/>
      <c r="S49" s="27"/>
      <c r="T49" s="27"/>
      <c r="U49" s="27"/>
      <c r="V49" s="27"/>
      <c r="W49" s="27"/>
      <c r="X49" s="27"/>
      <c r="Y49" s="27"/>
      <c r="Z49" s="27"/>
    </row>
    <row r="50" ht="15.75" customHeight="1" spans="1:26">
      <c r="A50" s="30" t="s">
        <v>353</v>
      </c>
      <c r="B50" s="30" t="s">
        <v>354</v>
      </c>
      <c r="C50" s="30" t="s">
        <v>321</v>
      </c>
      <c r="D50" s="31" t="s">
        <v>69</v>
      </c>
      <c r="E50" s="32" t="s">
        <v>984</v>
      </c>
      <c r="F50" s="27"/>
      <c r="G50" s="27"/>
      <c r="H50" s="27"/>
      <c r="I50" s="27"/>
      <c r="J50" s="27"/>
      <c r="K50" s="27"/>
      <c r="L50" s="27"/>
      <c r="M50" s="27"/>
      <c r="N50" s="27"/>
      <c r="O50" s="27"/>
      <c r="P50" s="27"/>
      <c r="Q50" s="27"/>
      <c r="R50" s="27"/>
      <c r="S50" s="27"/>
      <c r="T50" s="27"/>
      <c r="U50" s="27"/>
      <c r="V50" s="27"/>
      <c r="W50" s="27"/>
      <c r="X50" s="27"/>
      <c r="Y50" s="27"/>
      <c r="Z50" s="27"/>
    </row>
    <row r="51" ht="15.75" customHeight="1" spans="1:26">
      <c r="A51" s="30" t="s">
        <v>374</v>
      </c>
      <c r="B51" s="30" t="s">
        <v>375</v>
      </c>
      <c r="C51" s="30" t="s">
        <v>321</v>
      </c>
      <c r="D51" s="31" t="s">
        <v>69</v>
      </c>
      <c r="E51" s="32" t="s">
        <v>984</v>
      </c>
      <c r="F51" s="27"/>
      <c r="G51" s="27"/>
      <c r="H51" s="27"/>
      <c r="I51" s="27"/>
      <c r="J51" s="27"/>
      <c r="K51" s="27"/>
      <c r="L51" s="27"/>
      <c r="M51" s="27"/>
      <c r="N51" s="27"/>
      <c r="O51" s="27"/>
      <c r="P51" s="27"/>
      <c r="Q51" s="27"/>
      <c r="R51" s="27"/>
      <c r="S51" s="27"/>
      <c r="T51" s="27"/>
      <c r="U51" s="27"/>
      <c r="V51" s="27"/>
      <c r="W51" s="27"/>
      <c r="X51" s="27"/>
      <c r="Y51" s="27"/>
      <c r="Z51" s="27"/>
    </row>
    <row r="52" ht="28.5" customHeight="1" spans="1:26">
      <c r="A52" s="30" t="s">
        <v>359</v>
      </c>
      <c r="B52" s="30" t="s">
        <v>360</v>
      </c>
      <c r="C52" s="30" t="s">
        <v>321</v>
      </c>
      <c r="D52" s="31" t="s">
        <v>69</v>
      </c>
      <c r="E52" s="32" t="s">
        <v>984</v>
      </c>
      <c r="F52" s="27"/>
      <c r="G52" s="27"/>
      <c r="H52" s="27"/>
      <c r="I52" s="27"/>
      <c r="J52" s="27"/>
      <c r="K52" s="27"/>
      <c r="L52" s="27"/>
      <c r="M52" s="27"/>
      <c r="N52" s="27"/>
      <c r="O52" s="27"/>
      <c r="P52" s="27"/>
      <c r="Q52" s="27"/>
      <c r="R52" s="27"/>
      <c r="S52" s="27"/>
      <c r="T52" s="27"/>
      <c r="U52" s="27"/>
      <c r="V52" s="27"/>
      <c r="W52" s="27"/>
      <c r="X52" s="27"/>
      <c r="Y52" s="27"/>
      <c r="Z52" s="27"/>
    </row>
    <row r="53" ht="15.75" customHeight="1" spans="1:26">
      <c r="A53" s="30" t="s">
        <v>411</v>
      </c>
      <c r="B53" s="30"/>
      <c r="C53" s="30" t="s">
        <v>321</v>
      </c>
      <c r="D53" s="31" t="s">
        <v>69</v>
      </c>
      <c r="E53" s="32" t="s">
        <v>984</v>
      </c>
      <c r="F53" s="27"/>
      <c r="G53" s="27"/>
      <c r="H53" s="27"/>
      <c r="I53" s="27"/>
      <c r="J53" s="27"/>
      <c r="K53" s="27"/>
      <c r="L53" s="27"/>
      <c r="M53" s="27"/>
      <c r="N53" s="27"/>
      <c r="O53" s="27"/>
      <c r="P53" s="27"/>
      <c r="Q53" s="27"/>
      <c r="R53" s="27"/>
      <c r="S53" s="27"/>
      <c r="T53" s="27"/>
      <c r="U53" s="27"/>
      <c r="V53" s="27"/>
      <c r="W53" s="27"/>
      <c r="X53" s="27"/>
      <c r="Y53" s="27"/>
      <c r="Z53" s="27"/>
    </row>
    <row r="54" ht="15.75" customHeight="1" spans="1:26">
      <c r="A54" s="30" t="s">
        <v>416</v>
      </c>
      <c r="B54" s="30"/>
      <c r="C54" s="30" t="s">
        <v>321</v>
      </c>
      <c r="D54" s="31" t="s">
        <v>69</v>
      </c>
      <c r="E54" s="32" t="s">
        <v>984</v>
      </c>
      <c r="F54" s="27"/>
      <c r="G54" s="27"/>
      <c r="H54" s="27"/>
      <c r="I54" s="27"/>
      <c r="J54" s="27"/>
      <c r="K54" s="27"/>
      <c r="L54" s="27"/>
      <c r="M54" s="27"/>
      <c r="N54" s="27"/>
      <c r="O54" s="27"/>
      <c r="P54" s="27"/>
      <c r="Q54" s="27"/>
      <c r="R54" s="27"/>
      <c r="S54" s="27"/>
      <c r="T54" s="27"/>
      <c r="U54" s="27"/>
      <c r="V54" s="27"/>
      <c r="W54" s="27"/>
      <c r="X54" s="27"/>
      <c r="Y54" s="27"/>
      <c r="Z54" s="27"/>
    </row>
    <row r="55" ht="15.75" customHeight="1" spans="1:26">
      <c r="A55" s="30" t="s">
        <v>412</v>
      </c>
      <c r="B55" s="30"/>
      <c r="C55" s="30" t="s">
        <v>321</v>
      </c>
      <c r="D55" s="31" t="s">
        <v>69</v>
      </c>
      <c r="E55" s="32" t="s">
        <v>984</v>
      </c>
      <c r="F55" s="27"/>
      <c r="G55" s="27"/>
      <c r="H55" s="27"/>
      <c r="I55" s="27"/>
      <c r="J55" s="27"/>
      <c r="K55" s="27"/>
      <c r="L55" s="27"/>
      <c r="M55" s="27"/>
      <c r="N55" s="27"/>
      <c r="O55" s="27"/>
      <c r="P55" s="27"/>
      <c r="Q55" s="27"/>
      <c r="R55" s="27"/>
      <c r="S55" s="27"/>
      <c r="T55" s="27"/>
      <c r="U55" s="27"/>
      <c r="V55" s="27"/>
      <c r="W55" s="27"/>
      <c r="X55" s="27"/>
      <c r="Y55" s="27"/>
      <c r="Z55" s="27"/>
    </row>
    <row r="56" ht="15.75" customHeight="1" spans="1:26">
      <c r="A56" s="30" t="s">
        <v>413</v>
      </c>
      <c r="B56" s="30"/>
      <c r="C56" s="30" t="s">
        <v>321</v>
      </c>
      <c r="D56" s="31" t="s">
        <v>69</v>
      </c>
      <c r="E56" s="32" t="s">
        <v>984</v>
      </c>
      <c r="F56" s="27"/>
      <c r="G56" s="27"/>
      <c r="H56" s="27"/>
      <c r="I56" s="27"/>
      <c r="J56" s="27"/>
      <c r="K56" s="27"/>
      <c r="L56" s="27"/>
      <c r="M56" s="27"/>
      <c r="N56" s="27"/>
      <c r="O56" s="27"/>
      <c r="P56" s="27"/>
      <c r="Q56" s="27"/>
      <c r="R56" s="27"/>
      <c r="S56" s="27"/>
      <c r="T56" s="27"/>
      <c r="U56" s="27"/>
      <c r="V56" s="27"/>
      <c r="W56" s="27"/>
      <c r="X56" s="27"/>
      <c r="Y56" s="27"/>
      <c r="Z56" s="27"/>
    </row>
    <row r="57" ht="15.75" customHeight="1" spans="1:26">
      <c r="A57" s="30" t="s">
        <v>414</v>
      </c>
      <c r="B57" s="30"/>
      <c r="C57" s="30" t="s">
        <v>321</v>
      </c>
      <c r="D57" s="31" t="s">
        <v>69</v>
      </c>
      <c r="E57" s="32" t="s">
        <v>984</v>
      </c>
      <c r="F57" s="27"/>
      <c r="G57" s="27"/>
      <c r="H57" s="27"/>
      <c r="I57" s="27"/>
      <c r="J57" s="27"/>
      <c r="K57" s="27"/>
      <c r="L57" s="27"/>
      <c r="M57" s="27"/>
      <c r="N57" s="27"/>
      <c r="O57" s="27"/>
      <c r="P57" s="27"/>
      <c r="Q57" s="27"/>
      <c r="R57" s="27"/>
      <c r="S57" s="27"/>
      <c r="T57" s="27"/>
      <c r="U57" s="27"/>
      <c r="V57" s="27"/>
      <c r="W57" s="27"/>
      <c r="X57" s="27"/>
      <c r="Y57" s="27"/>
      <c r="Z57" s="27"/>
    </row>
    <row r="58" ht="43.5" customHeight="1" spans="1:26">
      <c r="A58" s="30" t="s">
        <v>320</v>
      </c>
      <c r="B58" s="30"/>
      <c r="C58" s="30" t="s">
        <v>321</v>
      </c>
      <c r="D58" s="31" t="s">
        <v>69</v>
      </c>
      <c r="E58" s="32" t="s">
        <v>984</v>
      </c>
      <c r="F58" s="27"/>
      <c r="G58" s="27"/>
      <c r="H58" s="27"/>
      <c r="I58" s="27"/>
      <c r="J58" s="27"/>
      <c r="K58" s="27"/>
      <c r="L58" s="27"/>
      <c r="M58" s="27"/>
      <c r="N58" s="27"/>
      <c r="O58" s="27"/>
      <c r="P58" s="27"/>
      <c r="Q58" s="27"/>
      <c r="R58" s="27"/>
      <c r="S58" s="27"/>
      <c r="T58" s="27"/>
      <c r="U58" s="27"/>
      <c r="V58" s="27"/>
      <c r="W58" s="27"/>
      <c r="X58" s="27"/>
      <c r="Y58" s="27"/>
      <c r="Z58" s="27"/>
    </row>
    <row r="59" ht="15.75" customHeight="1" spans="1:26">
      <c r="A59" s="30" t="s">
        <v>322</v>
      </c>
      <c r="B59" s="30"/>
      <c r="C59" s="30" t="s">
        <v>321</v>
      </c>
      <c r="D59" s="31" t="s">
        <v>69</v>
      </c>
      <c r="E59" s="32" t="s">
        <v>984</v>
      </c>
      <c r="F59" s="27"/>
      <c r="G59" s="27"/>
      <c r="H59" s="27"/>
      <c r="I59" s="27"/>
      <c r="J59" s="27"/>
      <c r="K59" s="27"/>
      <c r="L59" s="27"/>
      <c r="M59" s="27"/>
      <c r="N59" s="27"/>
      <c r="O59" s="27"/>
      <c r="P59" s="27"/>
      <c r="Q59" s="27"/>
      <c r="R59" s="27"/>
      <c r="S59" s="27"/>
      <c r="T59" s="27"/>
      <c r="U59" s="27"/>
      <c r="V59" s="27"/>
      <c r="W59" s="27"/>
      <c r="X59" s="27"/>
      <c r="Y59" s="27"/>
      <c r="Z59" s="27"/>
    </row>
    <row r="60" ht="15.75" customHeight="1" spans="1:26">
      <c r="A60" s="30" t="s">
        <v>323</v>
      </c>
      <c r="B60" s="30"/>
      <c r="C60" s="30" t="s">
        <v>321</v>
      </c>
      <c r="D60" s="31" t="s">
        <v>69</v>
      </c>
      <c r="E60" s="32" t="s">
        <v>984</v>
      </c>
      <c r="F60" s="27"/>
      <c r="G60" s="27"/>
      <c r="H60" s="27"/>
      <c r="I60" s="27"/>
      <c r="J60" s="27"/>
      <c r="K60" s="27"/>
      <c r="L60" s="27"/>
      <c r="M60" s="27"/>
      <c r="N60" s="27"/>
      <c r="O60" s="27"/>
      <c r="P60" s="27"/>
      <c r="Q60" s="27"/>
      <c r="R60" s="27"/>
      <c r="S60" s="27"/>
      <c r="T60" s="27"/>
      <c r="U60" s="27"/>
      <c r="V60" s="27"/>
      <c r="W60" s="27"/>
      <c r="X60" s="27"/>
      <c r="Y60" s="27"/>
      <c r="Z60" s="27"/>
    </row>
    <row r="61" ht="15.75" customHeight="1" spans="1:26">
      <c r="A61" s="30" t="s">
        <v>326</v>
      </c>
      <c r="B61" s="30"/>
      <c r="C61" s="30" t="s">
        <v>321</v>
      </c>
      <c r="D61" s="31" t="s">
        <v>69</v>
      </c>
      <c r="E61" s="32" t="s">
        <v>984</v>
      </c>
      <c r="F61" s="27"/>
      <c r="G61" s="27"/>
      <c r="H61" s="27"/>
      <c r="I61" s="27"/>
      <c r="J61" s="27"/>
      <c r="K61" s="27"/>
      <c r="L61" s="27"/>
      <c r="M61" s="27"/>
      <c r="N61" s="27"/>
      <c r="O61" s="27"/>
      <c r="P61" s="27"/>
      <c r="Q61" s="27"/>
      <c r="R61" s="27"/>
      <c r="S61" s="27"/>
      <c r="T61" s="27"/>
      <c r="U61" s="27"/>
      <c r="V61" s="27"/>
      <c r="W61" s="27"/>
      <c r="X61" s="27"/>
      <c r="Y61" s="27"/>
      <c r="Z61" s="27"/>
    </row>
    <row r="62" ht="15.75" customHeight="1" spans="1:26">
      <c r="A62" s="30" t="s">
        <v>995</v>
      </c>
      <c r="B62" s="30"/>
      <c r="C62" s="30" t="s">
        <v>321</v>
      </c>
      <c r="D62" s="31" t="s">
        <v>69</v>
      </c>
      <c r="E62" s="35" t="s">
        <v>986</v>
      </c>
      <c r="F62" s="27" t="s">
        <v>996</v>
      </c>
      <c r="G62" s="27"/>
      <c r="H62" s="27"/>
      <c r="I62" s="27"/>
      <c r="J62" s="27"/>
      <c r="K62" s="27"/>
      <c r="L62" s="27"/>
      <c r="M62" s="27"/>
      <c r="N62" s="27"/>
      <c r="O62" s="27"/>
      <c r="P62" s="27"/>
      <c r="Q62" s="27"/>
      <c r="R62" s="27"/>
      <c r="S62" s="27"/>
      <c r="T62" s="27"/>
      <c r="U62" s="27"/>
      <c r="V62" s="27"/>
      <c r="W62" s="27"/>
      <c r="X62" s="27"/>
      <c r="Y62" s="27"/>
      <c r="Z62" s="27"/>
    </row>
    <row r="63" ht="15.75" customHeight="1" spans="1:26">
      <c r="A63" s="30" t="s">
        <v>292</v>
      </c>
      <c r="B63" s="30" t="s">
        <v>293</v>
      </c>
      <c r="C63" s="30" t="s">
        <v>98</v>
      </c>
      <c r="D63" s="31" t="s">
        <v>69</v>
      </c>
      <c r="E63" s="32" t="s">
        <v>984</v>
      </c>
      <c r="F63" s="27"/>
      <c r="G63" s="27"/>
      <c r="H63" s="27"/>
      <c r="I63" s="27"/>
      <c r="J63" s="27"/>
      <c r="K63" s="27"/>
      <c r="L63" s="27"/>
      <c r="M63" s="27"/>
      <c r="N63" s="27"/>
      <c r="O63" s="27"/>
      <c r="P63" s="27"/>
      <c r="Q63" s="27"/>
      <c r="R63" s="27"/>
      <c r="S63" s="27"/>
      <c r="T63" s="27"/>
      <c r="U63" s="27"/>
      <c r="V63" s="27"/>
      <c r="W63" s="27"/>
      <c r="X63" s="27"/>
      <c r="Y63" s="27"/>
      <c r="Z63" s="27"/>
    </row>
    <row r="64" ht="15.75" customHeight="1" spans="1:26">
      <c r="A64" s="30" t="s">
        <v>143</v>
      </c>
      <c r="B64" s="30"/>
      <c r="C64" s="30" t="s">
        <v>45</v>
      </c>
      <c r="D64" s="31" t="s">
        <v>144</v>
      </c>
      <c r="E64" s="32" t="s">
        <v>984</v>
      </c>
      <c r="F64" s="27"/>
      <c r="G64" s="27"/>
      <c r="H64" s="27"/>
      <c r="I64" s="27"/>
      <c r="J64" s="27"/>
      <c r="K64" s="27"/>
      <c r="L64" s="27"/>
      <c r="M64" s="27"/>
      <c r="N64" s="27"/>
      <c r="O64" s="27"/>
      <c r="P64" s="27"/>
      <c r="Q64" s="27"/>
      <c r="R64" s="27"/>
      <c r="S64" s="27"/>
      <c r="T64" s="27"/>
      <c r="U64" s="27"/>
      <c r="V64" s="27"/>
      <c r="W64" s="27"/>
      <c r="X64" s="27"/>
      <c r="Y64" s="27"/>
      <c r="Z64" s="27"/>
    </row>
    <row r="65" ht="57.75" customHeight="1" spans="1:26">
      <c r="A65" s="30" t="s">
        <v>376</v>
      </c>
      <c r="B65" s="30" t="s">
        <v>377</v>
      </c>
      <c r="C65" s="30" t="s">
        <v>321</v>
      </c>
      <c r="D65" s="31" t="s">
        <v>144</v>
      </c>
      <c r="E65" s="32" t="s">
        <v>984</v>
      </c>
      <c r="F65" s="27"/>
      <c r="G65" s="27"/>
      <c r="H65" s="27"/>
      <c r="I65" s="27"/>
      <c r="J65" s="27"/>
      <c r="K65" s="27"/>
      <c r="L65" s="27"/>
      <c r="M65" s="27"/>
      <c r="N65" s="27"/>
      <c r="O65" s="27"/>
      <c r="P65" s="27"/>
      <c r="Q65" s="27"/>
      <c r="R65" s="27"/>
      <c r="S65" s="27"/>
      <c r="T65" s="27"/>
      <c r="U65" s="27"/>
      <c r="V65" s="27"/>
      <c r="W65" s="27"/>
      <c r="X65" s="27"/>
      <c r="Y65" s="27"/>
      <c r="Z65" s="27"/>
    </row>
    <row r="66" ht="15.75" customHeight="1" spans="1:26">
      <c r="A66" s="30" t="s">
        <v>379</v>
      </c>
      <c r="B66" s="30" t="s">
        <v>380</v>
      </c>
      <c r="C66" s="30" t="s">
        <v>321</v>
      </c>
      <c r="D66" s="31" t="s">
        <v>144</v>
      </c>
      <c r="E66" s="32" t="s">
        <v>984</v>
      </c>
      <c r="F66" s="27"/>
      <c r="G66" s="27"/>
      <c r="H66" s="27"/>
      <c r="I66" s="27"/>
      <c r="J66" s="27"/>
      <c r="K66" s="27"/>
      <c r="L66" s="27"/>
      <c r="M66" s="27"/>
      <c r="N66" s="27"/>
      <c r="O66" s="27"/>
      <c r="P66" s="27"/>
      <c r="Q66" s="27"/>
      <c r="R66" s="27"/>
      <c r="S66" s="27"/>
      <c r="T66" s="27"/>
      <c r="U66" s="27"/>
      <c r="V66" s="27"/>
      <c r="W66" s="27"/>
      <c r="X66" s="27"/>
      <c r="Y66" s="27"/>
      <c r="Z66" s="27"/>
    </row>
    <row r="67" ht="15.75" customHeight="1" spans="1:26">
      <c r="A67" s="30" t="s">
        <v>415</v>
      </c>
      <c r="B67" s="30"/>
      <c r="C67" s="30" t="s">
        <v>321</v>
      </c>
      <c r="D67" s="31" t="s">
        <v>144</v>
      </c>
      <c r="E67" s="32" t="s">
        <v>984</v>
      </c>
      <c r="F67" s="27"/>
      <c r="G67" s="27"/>
      <c r="H67" s="27"/>
      <c r="I67" s="27"/>
      <c r="J67" s="27"/>
      <c r="K67" s="27"/>
      <c r="L67" s="27"/>
      <c r="M67" s="27"/>
      <c r="N67" s="27"/>
      <c r="O67" s="27"/>
      <c r="P67" s="27"/>
      <c r="Q67" s="27"/>
      <c r="R67" s="27"/>
      <c r="S67" s="27"/>
      <c r="T67" s="27"/>
      <c r="U67" s="27"/>
      <c r="V67" s="27"/>
      <c r="W67" s="27"/>
      <c r="X67" s="27"/>
      <c r="Y67" s="27"/>
      <c r="Z67" s="27"/>
    </row>
    <row r="68" ht="15.75" customHeight="1" spans="1:26">
      <c r="A68" s="30" t="s">
        <v>419</v>
      </c>
      <c r="B68" s="30"/>
      <c r="C68" s="30" t="s">
        <v>321</v>
      </c>
      <c r="D68" s="31" t="s">
        <v>144</v>
      </c>
      <c r="E68" s="32" t="s">
        <v>984</v>
      </c>
      <c r="F68" s="27"/>
      <c r="G68" s="27"/>
      <c r="H68" s="27"/>
      <c r="I68" s="27"/>
      <c r="J68" s="27"/>
      <c r="K68" s="27"/>
      <c r="L68" s="27"/>
      <c r="M68" s="27"/>
      <c r="N68" s="27"/>
      <c r="O68" s="27"/>
      <c r="P68" s="27"/>
      <c r="Q68" s="27"/>
      <c r="R68" s="27"/>
      <c r="S68" s="27"/>
      <c r="T68" s="27"/>
      <c r="U68" s="27"/>
      <c r="V68" s="27"/>
      <c r="W68" s="27"/>
      <c r="X68" s="27"/>
      <c r="Y68" s="27"/>
      <c r="Z68" s="27"/>
    </row>
    <row r="69" ht="15.75" customHeight="1" spans="1:26">
      <c r="A69" s="30" t="s">
        <v>420</v>
      </c>
      <c r="B69" s="30"/>
      <c r="C69" s="30" t="s">
        <v>321</v>
      </c>
      <c r="D69" s="31" t="s">
        <v>144</v>
      </c>
      <c r="E69" s="32" t="s">
        <v>984</v>
      </c>
      <c r="F69" s="27"/>
      <c r="G69" s="27"/>
      <c r="H69" s="27"/>
      <c r="I69" s="27"/>
      <c r="J69" s="27"/>
      <c r="K69" s="27"/>
      <c r="L69" s="27"/>
      <c r="M69" s="27"/>
      <c r="N69" s="27"/>
      <c r="O69" s="27"/>
      <c r="P69" s="27"/>
      <c r="Q69" s="27"/>
      <c r="R69" s="27"/>
      <c r="S69" s="27"/>
      <c r="T69" s="27"/>
      <c r="U69" s="27"/>
      <c r="V69" s="27"/>
      <c r="W69" s="27"/>
      <c r="X69" s="27"/>
      <c r="Y69" s="27"/>
      <c r="Z69" s="27"/>
    </row>
    <row r="70" ht="15.75" customHeight="1" spans="1:26">
      <c r="A70" s="30" t="s">
        <v>418</v>
      </c>
      <c r="B70" s="30"/>
      <c r="C70" s="30" t="s">
        <v>321</v>
      </c>
      <c r="D70" s="31" t="s">
        <v>144</v>
      </c>
      <c r="E70" s="32" t="s">
        <v>984</v>
      </c>
      <c r="F70" s="27"/>
      <c r="G70" s="27"/>
      <c r="H70" s="27"/>
      <c r="I70" s="27"/>
      <c r="J70" s="27"/>
      <c r="K70" s="27"/>
      <c r="L70" s="27"/>
      <c r="M70" s="27"/>
      <c r="N70" s="27"/>
      <c r="O70" s="27"/>
      <c r="P70" s="27"/>
      <c r="Q70" s="27"/>
      <c r="R70" s="27"/>
      <c r="S70" s="27"/>
      <c r="T70" s="27"/>
      <c r="U70" s="27"/>
      <c r="V70" s="27"/>
      <c r="W70" s="27"/>
      <c r="X70" s="27"/>
      <c r="Y70" s="27"/>
      <c r="Z70" s="27"/>
    </row>
    <row r="71" ht="15.75" customHeight="1" spans="1:26">
      <c r="A71" s="30" t="s">
        <v>422</v>
      </c>
      <c r="B71" s="30"/>
      <c r="C71" s="30" t="s">
        <v>321</v>
      </c>
      <c r="D71" s="31" t="s">
        <v>144</v>
      </c>
      <c r="E71" s="32" t="s">
        <v>984</v>
      </c>
      <c r="F71" s="27"/>
      <c r="G71" s="27"/>
      <c r="H71" s="27"/>
      <c r="I71" s="27"/>
      <c r="J71" s="27"/>
      <c r="K71" s="27"/>
      <c r="L71" s="27"/>
      <c r="M71" s="27"/>
      <c r="N71" s="27"/>
      <c r="O71" s="27"/>
      <c r="P71" s="27"/>
      <c r="Q71" s="27"/>
      <c r="R71" s="27"/>
      <c r="S71" s="27"/>
      <c r="T71" s="27"/>
      <c r="U71" s="27"/>
      <c r="V71" s="27"/>
      <c r="W71" s="27"/>
      <c r="X71" s="27"/>
      <c r="Y71" s="27"/>
      <c r="Z71" s="27"/>
    </row>
    <row r="72" ht="15.75" customHeight="1" spans="1:26">
      <c r="A72" s="30" t="s">
        <v>379</v>
      </c>
      <c r="B72" s="30" t="s">
        <v>997</v>
      </c>
      <c r="C72" s="30" t="s">
        <v>321</v>
      </c>
      <c r="D72" s="31" t="s">
        <v>144</v>
      </c>
      <c r="E72" s="32" t="s">
        <v>984</v>
      </c>
      <c r="F72" s="27"/>
      <c r="G72" s="27"/>
      <c r="H72" s="27"/>
      <c r="I72" s="27"/>
      <c r="J72" s="27"/>
      <c r="K72" s="27"/>
      <c r="L72" s="27"/>
      <c r="M72" s="27"/>
      <c r="N72" s="27"/>
      <c r="O72" s="27"/>
      <c r="P72" s="27"/>
      <c r="Q72" s="27"/>
      <c r="R72" s="27"/>
      <c r="S72" s="27"/>
      <c r="T72" s="27"/>
      <c r="U72" s="27"/>
      <c r="V72" s="27"/>
      <c r="W72" s="27"/>
      <c r="X72" s="27"/>
      <c r="Y72" s="27"/>
      <c r="Z72" s="27"/>
    </row>
    <row r="73" ht="15.75" customHeight="1" spans="1:26">
      <c r="A73" s="30" t="s">
        <v>87</v>
      </c>
      <c r="B73" s="30"/>
      <c r="C73" s="30" t="s">
        <v>45</v>
      </c>
      <c r="D73" s="31" t="s">
        <v>84</v>
      </c>
      <c r="E73" s="32" t="s">
        <v>984</v>
      </c>
      <c r="F73" s="27"/>
      <c r="G73" s="27"/>
      <c r="H73" s="27"/>
      <c r="I73" s="27"/>
      <c r="J73" s="27"/>
      <c r="K73" s="27"/>
      <c r="L73" s="27"/>
      <c r="M73" s="27"/>
      <c r="N73" s="27"/>
      <c r="O73" s="27"/>
      <c r="P73" s="27"/>
      <c r="Q73" s="27"/>
      <c r="R73" s="27"/>
      <c r="S73" s="27"/>
      <c r="T73" s="27"/>
      <c r="U73" s="27"/>
      <c r="V73" s="27"/>
      <c r="W73" s="27"/>
      <c r="X73" s="27"/>
      <c r="Y73" s="27"/>
      <c r="Z73" s="27"/>
    </row>
    <row r="74" ht="15.75" customHeight="1" spans="1:26">
      <c r="A74" s="30" t="s">
        <v>90</v>
      </c>
      <c r="B74" s="30"/>
      <c r="C74" s="30" t="s">
        <v>45</v>
      </c>
      <c r="D74" s="31" t="s">
        <v>84</v>
      </c>
      <c r="E74" s="32" t="s">
        <v>984</v>
      </c>
      <c r="F74" s="27"/>
      <c r="G74" s="27"/>
      <c r="H74" s="27"/>
      <c r="I74" s="27"/>
      <c r="J74" s="27"/>
      <c r="K74" s="27"/>
      <c r="L74" s="27"/>
      <c r="M74" s="27"/>
      <c r="N74" s="27"/>
      <c r="O74" s="27"/>
      <c r="P74" s="27"/>
      <c r="Q74" s="27"/>
      <c r="R74" s="27"/>
      <c r="S74" s="27"/>
      <c r="T74" s="27"/>
      <c r="U74" s="27"/>
      <c r="V74" s="27"/>
      <c r="W74" s="27"/>
      <c r="X74" s="27"/>
      <c r="Y74" s="27"/>
      <c r="Z74" s="27"/>
    </row>
    <row r="75" ht="15.75" customHeight="1" spans="1:26">
      <c r="A75" s="30" t="s">
        <v>130</v>
      </c>
      <c r="B75" s="30"/>
      <c r="C75" s="30" t="s">
        <v>45</v>
      </c>
      <c r="D75" s="31" t="s">
        <v>84</v>
      </c>
      <c r="E75" s="32" t="s">
        <v>984</v>
      </c>
      <c r="F75" s="27"/>
      <c r="G75" s="27"/>
      <c r="H75" s="27"/>
      <c r="I75" s="27"/>
      <c r="J75" s="27"/>
      <c r="K75" s="27"/>
      <c r="L75" s="27"/>
      <c r="M75" s="27"/>
      <c r="N75" s="27"/>
      <c r="O75" s="27"/>
      <c r="P75" s="27"/>
      <c r="Q75" s="27"/>
      <c r="R75" s="27"/>
      <c r="S75" s="27"/>
      <c r="T75" s="27"/>
      <c r="U75" s="27"/>
      <c r="V75" s="27"/>
      <c r="W75" s="27"/>
      <c r="X75" s="27"/>
      <c r="Y75" s="27"/>
      <c r="Z75" s="27"/>
    </row>
    <row r="76" ht="15.75" customHeight="1" spans="1:26">
      <c r="A76" s="30" t="s">
        <v>132</v>
      </c>
      <c r="B76" s="30"/>
      <c r="C76" s="30" t="s">
        <v>45</v>
      </c>
      <c r="D76" s="31" t="s">
        <v>84</v>
      </c>
      <c r="E76" s="32" t="s">
        <v>984</v>
      </c>
      <c r="F76" s="27"/>
      <c r="G76" s="27"/>
      <c r="H76" s="27"/>
      <c r="I76" s="27"/>
      <c r="J76" s="27"/>
      <c r="K76" s="27"/>
      <c r="L76" s="27"/>
      <c r="M76" s="27"/>
      <c r="N76" s="27"/>
      <c r="O76" s="27"/>
      <c r="P76" s="27"/>
      <c r="Q76" s="27"/>
      <c r="R76" s="27"/>
      <c r="S76" s="27"/>
      <c r="T76" s="27"/>
      <c r="U76" s="27"/>
      <c r="V76" s="27"/>
      <c r="W76" s="27"/>
      <c r="X76" s="27"/>
      <c r="Y76" s="27"/>
      <c r="Z76" s="27"/>
    </row>
    <row r="77" ht="15.75" customHeight="1" spans="1:26">
      <c r="A77" s="30" t="s">
        <v>148</v>
      </c>
      <c r="B77" s="30"/>
      <c r="C77" s="30" t="s">
        <v>45</v>
      </c>
      <c r="D77" s="31" t="s">
        <v>84</v>
      </c>
      <c r="E77" s="32" t="s">
        <v>984</v>
      </c>
      <c r="F77" s="27"/>
      <c r="G77" s="27"/>
      <c r="H77" s="27"/>
      <c r="I77" s="27"/>
      <c r="J77" s="27"/>
      <c r="K77" s="27"/>
      <c r="L77" s="27"/>
      <c r="M77" s="27"/>
      <c r="N77" s="27"/>
      <c r="O77" s="27"/>
      <c r="P77" s="27"/>
      <c r="Q77" s="27"/>
      <c r="R77" s="27"/>
      <c r="S77" s="27"/>
      <c r="T77" s="27"/>
      <c r="U77" s="27"/>
      <c r="V77" s="27"/>
      <c r="W77" s="27"/>
      <c r="X77" s="27"/>
      <c r="Y77" s="27"/>
      <c r="Z77" s="27"/>
    </row>
    <row r="78" ht="15.75" customHeight="1" spans="1:26">
      <c r="A78" s="30" t="s">
        <v>153</v>
      </c>
      <c r="B78" s="30"/>
      <c r="C78" s="30" t="s">
        <v>45</v>
      </c>
      <c r="D78" s="31" t="s">
        <v>84</v>
      </c>
      <c r="E78" s="32" t="s">
        <v>984</v>
      </c>
      <c r="F78" s="27"/>
      <c r="G78" s="27"/>
      <c r="H78" s="27"/>
      <c r="I78" s="27"/>
      <c r="J78" s="27"/>
      <c r="K78" s="27"/>
      <c r="L78" s="27"/>
      <c r="M78" s="27"/>
      <c r="N78" s="27"/>
      <c r="O78" s="27"/>
      <c r="P78" s="27"/>
      <c r="Q78" s="27"/>
      <c r="R78" s="27"/>
      <c r="S78" s="27"/>
      <c r="T78" s="27"/>
      <c r="U78" s="27"/>
      <c r="V78" s="27"/>
      <c r="W78" s="27"/>
      <c r="X78" s="27"/>
      <c r="Y78" s="27"/>
      <c r="Z78" s="27"/>
    </row>
    <row r="79" ht="15.75" customHeight="1" spans="1:26">
      <c r="A79" s="30" t="s">
        <v>147</v>
      </c>
      <c r="B79" s="30"/>
      <c r="C79" s="30" t="s">
        <v>45</v>
      </c>
      <c r="D79" s="31" t="s">
        <v>84</v>
      </c>
      <c r="E79" s="32" t="s">
        <v>984</v>
      </c>
      <c r="F79" s="27"/>
      <c r="G79" s="27"/>
      <c r="H79" s="27"/>
      <c r="I79" s="27"/>
      <c r="J79" s="27"/>
      <c r="K79" s="27"/>
      <c r="L79" s="27"/>
      <c r="M79" s="27"/>
      <c r="N79" s="27"/>
      <c r="O79" s="27"/>
      <c r="P79" s="27"/>
      <c r="Q79" s="27"/>
      <c r="R79" s="27"/>
      <c r="S79" s="27"/>
      <c r="T79" s="27"/>
      <c r="U79" s="27"/>
      <c r="V79" s="27"/>
      <c r="W79" s="27"/>
      <c r="X79" s="27"/>
      <c r="Y79" s="27"/>
      <c r="Z79" s="27"/>
    </row>
    <row r="80" ht="15.75" customHeight="1" spans="1:26">
      <c r="A80" s="30" t="s">
        <v>146</v>
      </c>
      <c r="B80" s="30"/>
      <c r="C80" s="30" t="s">
        <v>45</v>
      </c>
      <c r="D80" s="31" t="s">
        <v>84</v>
      </c>
      <c r="E80" s="32" t="s">
        <v>984</v>
      </c>
      <c r="F80" s="27"/>
      <c r="G80" s="27"/>
      <c r="H80" s="27"/>
      <c r="I80" s="27"/>
      <c r="J80" s="27"/>
      <c r="K80" s="27"/>
      <c r="L80" s="27"/>
      <c r="M80" s="27"/>
      <c r="N80" s="27"/>
      <c r="O80" s="27"/>
      <c r="P80" s="27"/>
      <c r="Q80" s="27"/>
      <c r="R80" s="27"/>
      <c r="S80" s="27"/>
      <c r="T80" s="27"/>
      <c r="U80" s="27"/>
      <c r="V80" s="27"/>
      <c r="W80" s="27"/>
      <c r="X80" s="27"/>
      <c r="Y80" s="27"/>
      <c r="Z80" s="27"/>
    </row>
    <row r="81" ht="28.5" customHeight="1" spans="1:26">
      <c r="A81" s="30" t="s">
        <v>383</v>
      </c>
      <c r="B81" s="30" t="s">
        <v>384</v>
      </c>
      <c r="C81" s="30" t="s">
        <v>321</v>
      </c>
      <c r="D81" s="31" t="s">
        <v>84</v>
      </c>
      <c r="E81" s="32" t="s">
        <v>984</v>
      </c>
      <c r="F81" s="27"/>
      <c r="G81" s="27"/>
      <c r="H81" s="27"/>
      <c r="I81" s="27"/>
      <c r="J81" s="27"/>
      <c r="K81" s="27"/>
      <c r="L81" s="27"/>
      <c r="M81" s="27"/>
      <c r="N81" s="27"/>
      <c r="O81" s="27"/>
      <c r="P81" s="27"/>
      <c r="Q81" s="27"/>
      <c r="R81" s="27"/>
      <c r="S81" s="27"/>
      <c r="T81" s="27"/>
      <c r="U81" s="27"/>
      <c r="V81" s="27"/>
      <c r="W81" s="27"/>
      <c r="X81" s="27"/>
      <c r="Y81" s="27"/>
      <c r="Z81" s="27"/>
    </row>
    <row r="82" ht="15.75" customHeight="1" spans="1:26">
      <c r="A82" s="30" t="s">
        <v>386</v>
      </c>
      <c r="B82" s="30" t="s">
        <v>998</v>
      </c>
      <c r="C82" s="30" t="s">
        <v>321</v>
      </c>
      <c r="D82" s="31" t="s">
        <v>84</v>
      </c>
      <c r="E82" s="32" t="s">
        <v>984</v>
      </c>
      <c r="F82" s="27"/>
      <c r="G82" s="27"/>
      <c r="H82" s="27"/>
      <c r="I82" s="27"/>
      <c r="J82" s="27"/>
      <c r="K82" s="27"/>
      <c r="L82" s="27"/>
      <c r="M82" s="27"/>
      <c r="N82" s="27"/>
      <c r="O82" s="27"/>
      <c r="P82" s="27"/>
      <c r="Q82" s="27"/>
      <c r="R82" s="27"/>
      <c r="S82" s="27"/>
      <c r="T82" s="27"/>
      <c r="U82" s="27"/>
      <c r="V82" s="27"/>
      <c r="W82" s="27"/>
      <c r="X82" s="27"/>
      <c r="Y82" s="27"/>
      <c r="Z82" s="27"/>
    </row>
    <row r="83" ht="15.75" customHeight="1" spans="1:26">
      <c r="A83" s="30" t="s">
        <v>383</v>
      </c>
      <c r="B83" s="30"/>
      <c r="C83" s="30" t="s">
        <v>321</v>
      </c>
      <c r="D83" s="31" t="s">
        <v>84</v>
      </c>
      <c r="E83" s="32" t="s">
        <v>984</v>
      </c>
      <c r="F83" s="27"/>
      <c r="G83" s="27"/>
      <c r="H83" s="27"/>
      <c r="I83" s="27"/>
      <c r="J83" s="27"/>
      <c r="K83" s="27"/>
      <c r="L83" s="27"/>
      <c r="M83" s="27"/>
      <c r="N83" s="27"/>
      <c r="O83" s="27"/>
      <c r="P83" s="27"/>
      <c r="Q83" s="27"/>
      <c r="R83" s="27"/>
      <c r="S83" s="27"/>
      <c r="T83" s="27"/>
      <c r="U83" s="27"/>
      <c r="V83" s="27"/>
      <c r="W83" s="27"/>
      <c r="X83" s="27"/>
      <c r="Y83" s="27"/>
      <c r="Z83" s="27"/>
    </row>
    <row r="84" ht="15.75" customHeight="1" spans="1:26">
      <c r="A84" s="30" t="s">
        <v>440</v>
      </c>
      <c r="B84" s="30"/>
      <c r="C84" s="30" t="s">
        <v>321</v>
      </c>
      <c r="D84" s="31" t="s">
        <v>84</v>
      </c>
      <c r="E84" s="32" t="s">
        <v>984</v>
      </c>
      <c r="F84" s="27"/>
      <c r="G84" s="27"/>
      <c r="H84" s="27"/>
      <c r="I84" s="27"/>
      <c r="J84" s="27"/>
      <c r="K84" s="27"/>
      <c r="L84" s="27"/>
      <c r="M84" s="27"/>
      <c r="N84" s="27"/>
      <c r="O84" s="27"/>
      <c r="P84" s="27"/>
      <c r="Q84" s="27"/>
      <c r="R84" s="27"/>
      <c r="S84" s="27"/>
      <c r="T84" s="27"/>
      <c r="U84" s="27"/>
      <c r="V84" s="27"/>
      <c r="W84" s="27"/>
      <c r="X84" s="27"/>
      <c r="Y84" s="27"/>
      <c r="Z84" s="27"/>
    </row>
    <row r="85" ht="28.5" customHeight="1" spans="1:26">
      <c r="A85" s="30" t="s">
        <v>442</v>
      </c>
      <c r="B85" s="30" t="s">
        <v>999</v>
      </c>
      <c r="C85" s="30" t="s">
        <v>321</v>
      </c>
      <c r="D85" s="31" t="s">
        <v>84</v>
      </c>
      <c r="E85" s="35" t="s">
        <v>986</v>
      </c>
      <c r="F85" s="27" t="s">
        <v>1000</v>
      </c>
      <c r="G85" s="27"/>
      <c r="H85" s="27"/>
      <c r="I85" s="27"/>
      <c r="J85" s="27"/>
      <c r="K85" s="27"/>
      <c r="L85" s="27"/>
      <c r="M85" s="27"/>
      <c r="N85" s="27"/>
      <c r="O85" s="27"/>
      <c r="P85" s="27"/>
      <c r="Q85" s="27"/>
      <c r="R85" s="27"/>
      <c r="S85" s="27"/>
      <c r="T85" s="27"/>
      <c r="U85" s="27"/>
      <c r="V85" s="27"/>
      <c r="W85" s="27"/>
      <c r="X85" s="27"/>
      <c r="Y85" s="27"/>
      <c r="Z85" s="27"/>
    </row>
    <row r="86" ht="28.5" customHeight="1" spans="1:26">
      <c r="A86" s="30" t="s">
        <v>1001</v>
      </c>
      <c r="B86" s="30"/>
      <c r="C86" s="30" t="s">
        <v>321</v>
      </c>
      <c r="D86" s="31" t="s">
        <v>84</v>
      </c>
      <c r="E86" s="35" t="s">
        <v>986</v>
      </c>
      <c r="F86" s="27" t="s">
        <v>1002</v>
      </c>
      <c r="G86" s="27"/>
      <c r="H86" s="27"/>
      <c r="I86" s="27"/>
      <c r="J86" s="27"/>
      <c r="K86" s="27"/>
      <c r="L86" s="27"/>
      <c r="M86" s="27"/>
      <c r="N86" s="27"/>
      <c r="O86" s="27"/>
      <c r="P86" s="27"/>
      <c r="Q86" s="27"/>
      <c r="R86" s="27"/>
      <c r="S86" s="27"/>
      <c r="T86" s="27"/>
      <c r="U86" s="27"/>
      <c r="V86" s="27"/>
      <c r="W86" s="27"/>
      <c r="X86" s="27"/>
      <c r="Y86" s="27"/>
      <c r="Z86" s="27"/>
    </row>
    <row r="87" ht="15.75" customHeight="1" spans="1:26">
      <c r="A87" s="30" t="s">
        <v>177</v>
      </c>
      <c r="B87" s="30" t="s">
        <v>1003</v>
      </c>
      <c r="C87" s="30" t="s">
        <v>98</v>
      </c>
      <c r="D87" s="31" t="s">
        <v>84</v>
      </c>
      <c r="E87" s="32" t="s">
        <v>984</v>
      </c>
      <c r="F87" s="27"/>
      <c r="G87" s="27"/>
      <c r="H87" s="27"/>
      <c r="I87" s="27"/>
      <c r="J87" s="27"/>
      <c r="K87" s="27"/>
      <c r="L87" s="27"/>
      <c r="M87" s="27"/>
      <c r="N87" s="27"/>
      <c r="O87" s="27"/>
      <c r="P87" s="27"/>
      <c r="Q87" s="27"/>
      <c r="R87" s="27"/>
      <c r="S87" s="27"/>
      <c r="T87" s="27"/>
      <c r="U87" s="27"/>
      <c r="V87" s="27"/>
      <c r="W87" s="27"/>
      <c r="X87" s="27"/>
      <c r="Y87" s="27"/>
      <c r="Z87" s="27"/>
    </row>
    <row r="88" ht="28.5" customHeight="1" spans="1:26">
      <c r="A88" s="30" t="s">
        <v>185</v>
      </c>
      <c r="B88" s="30" t="s">
        <v>1004</v>
      </c>
      <c r="C88" s="30" t="s">
        <v>98</v>
      </c>
      <c r="D88" s="31" t="s">
        <v>84</v>
      </c>
      <c r="E88" s="32" t="s">
        <v>984</v>
      </c>
      <c r="F88" s="27"/>
      <c r="G88" s="27"/>
      <c r="H88" s="27"/>
      <c r="I88" s="27"/>
      <c r="J88" s="27"/>
      <c r="K88" s="27"/>
      <c r="L88" s="27"/>
      <c r="M88" s="27"/>
      <c r="N88" s="27"/>
      <c r="O88" s="27"/>
      <c r="P88" s="27"/>
      <c r="Q88" s="27"/>
      <c r="R88" s="27"/>
      <c r="S88" s="27"/>
      <c r="T88" s="27"/>
      <c r="U88" s="27"/>
      <c r="V88" s="27"/>
      <c r="W88" s="27"/>
      <c r="X88" s="27"/>
      <c r="Y88" s="27"/>
      <c r="Z88" s="27"/>
    </row>
    <row r="89" ht="28.5" customHeight="1" spans="1:26">
      <c r="A89" s="30" t="s">
        <v>174</v>
      </c>
      <c r="B89" s="30" t="s">
        <v>1005</v>
      </c>
      <c r="C89" s="30" t="s">
        <v>98</v>
      </c>
      <c r="D89" s="31" t="s">
        <v>84</v>
      </c>
      <c r="E89" s="32" t="s">
        <v>984</v>
      </c>
      <c r="F89" s="27"/>
      <c r="G89" s="27"/>
      <c r="H89" s="27"/>
      <c r="I89" s="27"/>
      <c r="J89" s="27"/>
      <c r="K89" s="27"/>
      <c r="L89" s="27"/>
      <c r="M89" s="27"/>
      <c r="N89" s="27"/>
      <c r="O89" s="27"/>
      <c r="P89" s="27"/>
      <c r="Q89" s="27"/>
      <c r="R89" s="27"/>
      <c r="S89" s="27"/>
      <c r="T89" s="27"/>
      <c r="U89" s="27"/>
      <c r="V89" s="27"/>
      <c r="W89" s="27"/>
      <c r="X89" s="27"/>
      <c r="Y89" s="27"/>
      <c r="Z89" s="27"/>
    </row>
    <row r="90" ht="15.75" customHeight="1" spans="1:26">
      <c r="A90" s="30" t="s">
        <v>183</v>
      </c>
      <c r="B90" s="30" t="s">
        <v>184</v>
      </c>
      <c r="C90" s="30" t="s">
        <v>98</v>
      </c>
      <c r="D90" s="31" t="s">
        <v>84</v>
      </c>
      <c r="E90" s="32" t="s">
        <v>984</v>
      </c>
      <c r="F90" s="27"/>
      <c r="G90" s="27"/>
      <c r="H90" s="27"/>
      <c r="I90" s="27"/>
      <c r="J90" s="27"/>
      <c r="K90" s="27"/>
      <c r="L90" s="27"/>
      <c r="M90" s="27"/>
      <c r="N90" s="27"/>
      <c r="O90" s="27"/>
      <c r="P90" s="27"/>
      <c r="Q90" s="27"/>
      <c r="R90" s="27"/>
      <c r="S90" s="27"/>
      <c r="T90" s="27"/>
      <c r="U90" s="27"/>
      <c r="V90" s="27"/>
      <c r="W90" s="27"/>
      <c r="X90" s="27"/>
      <c r="Y90" s="27"/>
      <c r="Z90" s="27"/>
    </row>
    <row r="91" ht="28.5" customHeight="1" spans="1:26">
      <c r="A91" s="30" t="s">
        <v>190</v>
      </c>
      <c r="B91" s="30" t="s">
        <v>191</v>
      </c>
      <c r="C91" s="30" t="s">
        <v>189</v>
      </c>
      <c r="D91" s="31" t="s">
        <v>84</v>
      </c>
      <c r="E91" s="32" t="s">
        <v>984</v>
      </c>
      <c r="F91" s="27"/>
      <c r="G91" s="27"/>
      <c r="H91" s="27"/>
      <c r="I91" s="27"/>
      <c r="J91" s="27"/>
      <c r="K91" s="27"/>
      <c r="L91" s="27"/>
      <c r="M91" s="27"/>
      <c r="N91" s="27"/>
      <c r="O91" s="27"/>
      <c r="P91" s="27"/>
      <c r="Q91" s="27"/>
      <c r="R91" s="27"/>
      <c r="S91" s="27"/>
      <c r="T91" s="27"/>
      <c r="U91" s="27"/>
      <c r="V91" s="27"/>
      <c r="W91" s="27"/>
      <c r="X91" s="27"/>
      <c r="Y91" s="27"/>
      <c r="Z91" s="27"/>
    </row>
    <row r="92" ht="15.75" customHeight="1" spans="1:26">
      <c r="A92" s="30" t="s">
        <v>169</v>
      </c>
      <c r="B92" s="30" t="s">
        <v>1006</v>
      </c>
      <c r="C92" s="30" t="s">
        <v>98</v>
      </c>
      <c r="D92" s="31" t="s">
        <v>84</v>
      </c>
      <c r="E92" s="32" t="s">
        <v>984</v>
      </c>
      <c r="F92" s="27"/>
      <c r="G92" s="27"/>
      <c r="H92" s="27"/>
      <c r="I92" s="27"/>
      <c r="J92" s="27"/>
      <c r="K92" s="27"/>
      <c r="L92" s="27"/>
      <c r="M92" s="27"/>
      <c r="N92" s="27"/>
      <c r="O92" s="27"/>
      <c r="P92" s="27"/>
      <c r="Q92" s="27"/>
      <c r="R92" s="27"/>
      <c r="S92" s="27"/>
      <c r="T92" s="27"/>
      <c r="U92" s="27"/>
      <c r="V92" s="27"/>
      <c r="W92" s="27"/>
      <c r="X92" s="27"/>
      <c r="Y92" s="27"/>
      <c r="Z92" s="27"/>
    </row>
    <row r="93" ht="15.75" customHeight="1" spans="1:26">
      <c r="A93" s="30" t="s">
        <v>201</v>
      </c>
      <c r="B93" s="30" t="s">
        <v>202</v>
      </c>
      <c r="C93" s="30" t="s">
        <v>98</v>
      </c>
      <c r="D93" s="31" t="s">
        <v>84</v>
      </c>
      <c r="E93" s="32" t="s">
        <v>984</v>
      </c>
      <c r="F93" s="27"/>
      <c r="G93" s="27"/>
      <c r="H93" s="27"/>
      <c r="I93" s="27"/>
      <c r="J93" s="27"/>
      <c r="K93" s="27"/>
      <c r="L93" s="27"/>
      <c r="M93" s="27"/>
      <c r="N93" s="27"/>
      <c r="O93" s="27"/>
      <c r="P93" s="27"/>
      <c r="Q93" s="27"/>
      <c r="R93" s="27"/>
      <c r="S93" s="27"/>
      <c r="T93" s="27"/>
      <c r="U93" s="27"/>
      <c r="V93" s="27"/>
      <c r="W93" s="27"/>
      <c r="X93" s="27"/>
      <c r="Y93" s="27"/>
      <c r="Z93" s="27"/>
    </row>
    <row r="94" ht="15.75" customHeight="1" spans="1:26">
      <c r="A94" s="30" t="s">
        <v>196</v>
      </c>
      <c r="B94" s="30" t="s">
        <v>197</v>
      </c>
      <c r="C94" s="30" t="s">
        <v>189</v>
      </c>
      <c r="D94" s="31" t="s">
        <v>84</v>
      </c>
      <c r="E94" s="32" t="s">
        <v>984</v>
      </c>
      <c r="F94" s="27"/>
      <c r="G94" s="27"/>
      <c r="H94" s="27"/>
      <c r="I94" s="27"/>
      <c r="J94" s="27"/>
      <c r="K94" s="27"/>
      <c r="L94" s="27"/>
      <c r="M94" s="27"/>
      <c r="N94" s="27"/>
      <c r="O94" s="27"/>
      <c r="P94" s="27"/>
      <c r="Q94" s="27"/>
      <c r="R94" s="27"/>
      <c r="S94" s="27"/>
      <c r="T94" s="27"/>
      <c r="U94" s="27"/>
      <c r="V94" s="27"/>
      <c r="W94" s="27"/>
      <c r="X94" s="27"/>
      <c r="Y94" s="27"/>
      <c r="Z94" s="27"/>
    </row>
    <row r="95" ht="15.75" customHeight="1" spans="1:26">
      <c r="A95" s="30" t="s">
        <v>194</v>
      </c>
      <c r="B95" s="30" t="s">
        <v>195</v>
      </c>
      <c r="C95" s="30" t="s">
        <v>189</v>
      </c>
      <c r="D95" s="31" t="s">
        <v>84</v>
      </c>
      <c r="E95" s="32" t="s">
        <v>984</v>
      </c>
      <c r="F95" s="27"/>
      <c r="G95" s="27"/>
      <c r="H95" s="27"/>
      <c r="I95" s="27"/>
      <c r="J95" s="27"/>
      <c r="K95" s="27"/>
      <c r="L95" s="27"/>
      <c r="M95" s="27"/>
      <c r="N95" s="27"/>
      <c r="O95" s="27"/>
      <c r="P95" s="27"/>
      <c r="Q95" s="27"/>
      <c r="R95" s="27"/>
      <c r="S95" s="27"/>
      <c r="T95" s="27"/>
      <c r="U95" s="27"/>
      <c r="V95" s="27"/>
      <c r="W95" s="27"/>
      <c r="X95" s="27"/>
      <c r="Y95" s="27"/>
      <c r="Z95" s="27"/>
    </row>
    <row r="96" ht="15.75" customHeight="1" spans="1:26">
      <c r="A96" s="30" t="s">
        <v>180</v>
      </c>
      <c r="B96" s="30" t="s">
        <v>181</v>
      </c>
      <c r="C96" s="30" t="s">
        <v>98</v>
      </c>
      <c r="D96" s="31" t="s">
        <v>84</v>
      </c>
      <c r="E96" s="32" t="s">
        <v>984</v>
      </c>
      <c r="F96" s="27"/>
      <c r="G96" s="27"/>
      <c r="H96" s="27"/>
      <c r="I96" s="27"/>
      <c r="J96" s="27"/>
      <c r="K96" s="27"/>
      <c r="L96" s="27"/>
      <c r="M96" s="27"/>
      <c r="N96" s="27"/>
      <c r="O96" s="27"/>
      <c r="P96" s="27"/>
      <c r="Q96" s="27"/>
      <c r="R96" s="27"/>
      <c r="S96" s="27"/>
      <c r="T96" s="27"/>
      <c r="U96" s="27"/>
      <c r="V96" s="27"/>
      <c r="W96" s="27"/>
      <c r="X96" s="27"/>
      <c r="Y96" s="27"/>
      <c r="Z96" s="27"/>
    </row>
    <row r="97" ht="15.75" customHeight="1" spans="1:26">
      <c r="A97" s="30" t="s">
        <v>192</v>
      </c>
      <c r="B97" s="30" t="s">
        <v>193</v>
      </c>
      <c r="C97" s="30" t="s">
        <v>189</v>
      </c>
      <c r="D97" s="31" t="s">
        <v>84</v>
      </c>
      <c r="E97" s="32" t="s">
        <v>984</v>
      </c>
      <c r="F97" s="27"/>
      <c r="G97" s="27"/>
      <c r="H97" s="27"/>
      <c r="I97" s="27"/>
      <c r="J97" s="27"/>
      <c r="K97" s="27"/>
      <c r="L97" s="27"/>
      <c r="M97" s="27"/>
      <c r="N97" s="27"/>
      <c r="O97" s="27"/>
      <c r="P97" s="27"/>
      <c r="Q97" s="27"/>
      <c r="R97" s="27"/>
      <c r="S97" s="27"/>
      <c r="T97" s="27"/>
      <c r="U97" s="27"/>
      <c r="V97" s="27"/>
      <c r="W97" s="27"/>
      <c r="X97" s="27"/>
      <c r="Y97" s="27"/>
      <c r="Z97" s="27"/>
    </row>
    <row r="98" ht="15.75" customHeight="1" spans="1:26">
      <c r="A98" s="30" t="s">
        <v>187</v>
      </c>
      <c r="B98" s="30" t="s">
        <v>188</v>
      </c>
      <c r="C98" s="30" t="s">
        <v>189</v>
      </c>
      <c r="D98" s="31" t="s">
        <v>84</v>
      </c>
      <c r="E98" s="32" t="s">
        <v>984</v>
      </c>
      <c r="F98" s="27" t="s">
        <v>1007</v>
      </c>
      <c r="G98" s="27"/>
      <c r="H98" s="27"/>
      <c r="I98" s="27"/>
      <c r="J98" s="27"/>
      <c r="K98" s="27"/>
      <c r="L98" s="27"/>
      <c r="M98" s="27"/>
      <c r="N98" s="27"/>
      <c r="O98" s="27"/>
      <c r="P98" s="27"/>
      <c r="Q98" s="27"/>
      <c r="R98" s="27"/>
      <c r="S98" s="27"/>
      <c r="T98" s="27"/>
      <c r="U98" s="27"/>
      <c r="V98" s="27"/>
      <c r="W98" s="27"/>
      <c r="X98" s="27"/>
      <c r="Y98" s="27"/>
      <c r="Z98" s="27"/>
    </row>
    <row r="99" ht="28.5" customHeight="1" spans="1:26">
      <c r="A99" s="30" t="s">
        <v>166</v>
      </c>
      <c r="B99" s="30" t="s">
        <v>1008</v>
      </c>
      <c r="C99" s="30" t="s">
        <v>98</v>
      </c>
      <c r="D99" s="31" t="s">
        <v>84</v>
      </c>
      <c r="E99" s="32" t="s">
        <v>984</v>
      </c>
      <c r="F99" s="27"/>
      <c r="G99" s="27"/>
      <c r="H99" s="27"/>
      <c r="I99" s="27"/>
      <c r="J99" s="27"/>
      <c r="K99" s="27"/>
      <c r="L99" s="27"/>
      <c r="M99" s="27"/>
      <c r="N99" s="27"/>
      <c r="O99" s="27"/>
      <c r="P99" s="27"/>
      <c r="Q99" s="27"/>
      <c r="R99" s="27"/>
      <c r="S99" s="27"/>
      <c r="T99" s="27"/>
      <c r="U99" s="27"/>
      <c r="V99" s="27"/>
      <c r="W99" s="27"/>
      <c r="X99" s="27"/>
      <c r="Y99" s="27"/>
      <c r="Z99" s="27"/>
    </row>
    <row r="100" ht="15.75" customHeight="1" spans="1:26">
      <c r="A100" s="30" t="s">
        <v>262</v>
      </c>
      <c r="B100" s="30" t="s">
        <v>263</v>
      </c>
      <c r="C100" s="30" t="s">
        <v>98</v>
      </c>
      <c r="D100" s="31" t="s">
        <v>84</v>
      </c>
      <c r="E100" s="32" t="s">
        <v>984</v>
      </c>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spans="1:26">
      <c r="A101" s="30" t="s">
        <v>259</v>
      </c>
      <c r="B101" s="30" t="s">
        <v>260</v>
      </c>
      <c r="C101" s="30" t="s">
        <v>98</v>
      </c>
      <c r="D101" s="31" t="s">
        <v>84</v>
      </c>
      <c r="E101" s="32" t="s">
        <v>984</v>
      </c>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spans="1:26">
      <c r="A102" s="30" t="s">
        <v>256</v>
      </c>
      <c r="B102" s="30" t="s">
        <v>257</v>
      </c>
      <c r="C102" s="30" t="s">
        <v>98</v>
      </c>
      <c r="D102" s="31" t="s">
        <v>84</v>
      </c>
      <c r="E102" s="32" t="s">
        <v>984</v>
      </c>
      <c r="F102" s="27"/>
      <c r="G102" s="27"/>
      <c r="H102" s="27"/>
      <c r="I102" s="27"/>
      <c r="J102" s="27"/>
      <c r="K102" s="27"/>
      <c r="L102" s="27"/>
      <c r="M102" s="27"/>
      <c r="N102" s="27"/>
      <c r="O102" s="27"/>
      <c r="P102" s="27"/>
      <c r="Q102" s="27"/>
      <c r="R102" s="27"/>
      <c r="S102" s="27"/>
      <c r="T102" s="27"/>
      <c r="U102" s="27"/>
      <c r="V102" s="27"/>
      <c r="W102" s="27"/>
      <c r="X102" s="27"/>
      <c r="Y102" s="27"/>
      <c r="Z102" s="27"/>
    </row>
    <row r="103" ht="43.5" customHeight="1" spans="1:26">
      <c r="A103" s="30" t="s">
        <v>281</v>
      </c>
      <c r="B103" s="30" t="s">
        <v>282</v>
      </c>
      <c r="C103" s="30" t="s">
        <v>98</v>
      </c>
      <c r="D103" s="31" t="s">
        <v>84</v>
      </c>
      <c r="E103" s="32" t="s">
        <v>984</v>
      </c>
      <c r="F103" s="27"/>
      <c r="G103" s="27"/>
      <c r="H103" s="27"/>
      <c r="I103" s="27"/>
      <c r="J103" s="27"/>
      <c r="K103" s="27"/>
      <c r="L103" s="27"/>
      <c r="M103" s="27"/>
      <c r="N103" s="27"/>
      <c r="O103" s="27"/>
      <c r="P103" s="27"/>
      <c r="Q103" s="27"/>
      <c r="R103" s="27"/>
      <c r="S103" s="27"/>
      <c r="T103" s="27"/>
      <c r="U103" s="27"/>
      <c r="V103" s="27"/>
      <c r="W103" s="27"/>
      <c r="X103" s="27"/>
      <c r="Y103" s="27"/>
      <c r="Z103" s="27"/>
    </row>
    <row r="104" ht="28.5" customHeight="1" spans="1:26">
      <c r="A104" s="30" t="s">
        <v>285</v>
      </c>
      <c r="B104" s="30" t="s">
        <v>286</v>
      </c>
      <c r="C104" s="30" t="s">
        <v>189</v>
      </c>
      <c r="D104" s="31" t="s">
        <v>84</v>
      </c>
      <c r="E104" s="35" t="s">
        <v>986</v>
      </c>
      <c r="F104" s="27" t="s">
        <v>1009</v>
      </c>
      <c r="G104" s="27"/>
      <c r="H104" s="27"/>
      <c r="I104" s="27"/>
      <c r="J104" s="27"/>
      <c r="K104" s="27"/>
      <c r="L104" s="27"/>
      <c r="M104" s="27"/>
      <c r="N104" s="27"/>
      <c r="O104" s="27"/>
      <c r="P104" s="27"/>
      <c r="Q104" s="27"/>
      <c r="R104" s="27"/>
      <c r="S104" s="27"/>
      <c r="T104" s="27"/>
      <c r="U104" s="27"/>
      <c r="V104" s="27"/>
      <c r="W104" s="27"/>
      <c r="X104" s="27"/>
      <c r="Y104" s="27"/>
      <c r="Z104" s="27"/>
    </row>
    <row r="105" ht="28.5" customHeight="1" spans="1:26">
      <c r="A105" s="30" t="s">
        <v>297</v>
      </c>
      <c r="B105" s="30" t="s">
        <v>298</v>
      </c>
      <c r="C105" s="30" t="s">
        <v>98</v>
      </c>
      <c r="D105" s="31" t="s">
        <v>84</v>
      </c>
      <c r="E105" s="32" t="s">
        <v>984</v>
      </c>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spans="1:26">
      <c r="A106" s="30" t="s">
        <v>290</v>
      </c>
      <c r="B106" s="30" t="s">
        <v>291</v>
      </c>
      <c r="C106" s="30" t="s">
        <v>98</v>
      </c>
      <c r="D106" s="31" t="s">
        <v>84</v>
      </c>
      <c r="E106" s="32" t="s">
        <v>984</v>
      </c>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spans="1:26">
      <c r="A107" s="30" t="s">
        <v>1010</v>
      </c>
      <c r="B107" s="30" t="s">
        <v>1011</v>
      </c>
      <c r="C107" s="30" t="s">
        <v>98</v>
      </c>
      <c r="D107" s="31" t="s">
        <v>84</v>
      </c>
      <c r="E107" s="35" t="s">
        <v>986</v>
      </c>
      <c r="F107" s="27" t="s">
        <v>1007</v>
      </c>
      <c r="G107" s="27"/>
      <c r="H107" s="27"/>
      <c r="I107" s="27"/>
      <c r="J107" s="27"/>
      <c r="K107" s="27"/>
      <c r="L107" s="27"/>
      <c r="M107" s="27"/>
      <c r="N107" s="27"/>
      <c r="O107" s="27"/>
      <c r="P107" s="27"/>
      <c r="Q107" s="27"/>
      <c r="R107" s="27"/>
      <c r="S107" s="27"/>
      <c r="T107" s="27"/>
      <c r="U107" s="27"/>
      <c r="V107" s="27"/>
      <c r="W107" s="27"/>
      <c r="X107" s="27"/>
      <c r="Y107" s="27"/>
      <c r="Z107" s="27"/>
    </row>
    <row r="108" ht="15.75" customHeight="1" spans="1:26">
      <c r="A108" s="30" t="s">
        <v>287</v>
      </c>
      <c r="B108" s="30" t="s">
        <v>288</v>
      </c>
      <c r="C108" s="30" t="s">
        <v>98</v>
      </c>
      <c r="D108" s="31" t="s">
        <v>84</v>
      </c>
      <c r="E108" s="32" t="s">
        <v>984</v>
      </c>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spans="1:26">
      <c r="A109" s="30" t="s">
        <v>294</v>
      </c>
      <c r="B109" s="30" t="s">
        <v>295</v>
      </c>
      <c r="C109" s="30" t="s">
        <v>98</v>
      </c>
      <c r="D109" s="31" t="s">
        <v>84</v>
      </c>
      <c r="E109" s="32" t="s">
        <v>984</v>
      </c>
      <c r="F109" s="27"/>
      <c r="G109" s="27"/>
      <c r="H109" s="27"/>
      <c r="I109" s="27"/>
      <c r="J109" s="27"/>
      <c r="K109" s="27"/>
      <c r="L109" s="27"/>
      <c r="M109" s="27"/>
      <c r="N109" s="27"/>
      <c r="O109" s="27"/>
      <c r="P109" s="27"/>
      <c r="Q109" s="27"/>
      <c r="R109" s="27"/>
      <c r="S109" s="27"/>
      <c r="T109" s="27"/>
      <c r="U109" s="27"/>
      <c r="V109" s="27"/>
      <c r="W109" s="27"/>
      <c r="X109" s="27"/>
      <c r="Y109" s="27"/>
      <c r="Z109" s="27"/>
    </row>
    <row r="110" ht="28.5" customHeight="1" spans="1:26">
      <c r="A110" s="30" t="s">
        <v>156</v>
      </c>
      <c r="B110" s="30" t="s">
        <v>1012</v>
      </c>
      <c r="C110" s="30" t="s">
        <v>98</v>
      </c>
      <c r="D110" s="31" t="s">
        <v>84</v>
      </c>
      <c r="E110" s="32" t="s">
        <v>984</v>
      </c>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spans="1:26">
      <c r="A111" s="30" t="s">
        <v>159</v>
      </c>
      <c r="B111" s="30"/>
      <c r="C111" s="30" t="s">
        <v>98</v>
      </c>
      <c r="D111" s="31" t="s">
        <v>84</v>
      </c>
      <c r="E111" s="32" t="s">
        <v>984</v>
      </c>
      <c r="F111" s="27"/>
      <c r="G111" s="27"/>
      <c r="H111" s="27"/>
      <c r="I111" s="27"/>
      <c r="J111" s="27"/>
      <c r="K111" s="27"/>
      <c r="L111" s="27"/>
      <c r="M111" s="27"/>
      <c r="N111" s="27"/>
      <c r="O111" s="27"/>
      <c r="P111" s="27"/>
      <c r="Q111" s="27"/>
      <c r="R111" s="27"/>
      <c r="S111" s="27"/>
      <c r="T111" s="27"/>
      <c r="U111" s="27"/>
      <c r="V111" s="27"/>
      <c r="W111" s="27"/>
      <c r="X111" s="27"/>
      <c r="Y111" s="27"/>
      <c r="Z111" s="27"/>
    </row>
    <row r="112" ht="43.5" customHeight="1" spans="1:26">
      <c r="A112" s="30" t="s">
        <v>1013</v>
      </c>
      <c r="B112" s="30" t="s">
        <v>1014</v>
      </c>
      <c r="C112" s="30" t="s">
        <v>321</v>
      </c>
      <c r="D112" s="31" t="s">
        <v>17</v>
      </c>
      <c r="E112" s="35" t="s">
        <v>986</v>
      </c>
      <c r="F112" s="27" t="s">
        <v>1015</v>
      </c>
      <c r="G112" s="27"/>
      <c r="H112" s="27"/>
      <c r="I112" s="27"/>
      <c r="J112" s="27"/>
      <c r="K112" s="27"/>
      <c r="L112" s="27"/>
      <c r="M112" s="27"/>
      <c r="N112" s="27"/>
      <c r="O112" s="27"/>
      <c r="P112" s="27"/>
      <c r="Q112" s="27"/>
      <c r="R112" s="27"/>
      <c r="S112" s="27"/>
      <c r="T112" s="27"/>
      <c r="U112" s="27"/>
      <c r="V112" s="27"/>
      <c r="W112" s="27"/>
      <c r="X112" s="27"/>
      <c r="Y112" s="27"/>
      <c r="Z112" s="27"/>
    </row>
    <row r="113" ht="15.75" customHeight="1" spans="1:26">
      <c r="A113" s="30" t="s">
        <v>395</v>
      </c>
      <c r="B113" s="30" t="s">
        <v>396</v>
      </c>
      <c r="C113" s="30" t="s">
        <v>321</v>
      </c>
      <c r="D113" s="31" t="s">
        <v>17</v>
      </c>
      <c r="E113" s="32" t="s">
        <v>984</v>
      </c>
      <c r="F113" s="27"/>
      <c r="G113" s="27"/>
      <c r="H113" s="27"/>
      <c r="I113" s="27"/>
      <c r="J113" s="27"/>
      <c r="K113" s="27"/>
      <c r="L113" s="27"/>
      <c r="M113" s="27"/>
      <c r="N113" s="27"/>
      <c r="O113" s="27"/>
      <c r="P113" s="27"/>
      <c r="Q113" s="27"/>
      <c r="R113" s="27"/>
      <c r="S113" s="27"/>
      <c r="T113" s="27"/>
      <c r="U113" s="27"/>
      <c r="V113" s="27"/>
      <c r="W113" s="27"/>
      <c r="X113" s="27"/>
      <c r="Y113" s="27"/>
      <c r="Z113" s="27"/>
    </row>
    <row r="114" ht="28.5" customHeight="1" spans="1:26">
      <c r="A114" s="30" t="s">
        <v>388</v>
      </c>
      <c r="B114" s="30" t="s">
        <v>389</v>
      </c>
      <c r="C114" s="30" t="s">
        <v>321</v>
      </c>
      <c r="D114" s="31" t="s">
        <v>17</v>
      </c>
      <c r="E114" s="32" t="s">
        <v>984</v>
      </c>
      <c r="F114" s="27"/>
      <c r="G114" s="27"/>
      <c r="H114" s="27"/>
      <c r="I114" s="27"/>
      <c r="J114" s="27"/>
      <c r="K114" s="27"/>
      <c r="L114" s="27"/>
      <c r="M114" s="27"/>
      <c r="N114" s="27"/>
      <c r="O114" s="27"/>
      <c r="P114" s="27"/>
      <c r="Q114" s="27"/>
      <c r="R114" s="27"/>
      <c r="S114" s="27"/>
      <c r="T114" s="27"/>
      <c r="U114" s="27"/>
      <c r="V114" s="27"/>
      <c r="W114" s="27"/>
      <c r="X114" s="27"/>
      <c r="Y114" s="27"/>
      <c r="Z114" s="27"/>
    </row>
    <row r="115" ht="28.5" customHeight="1" spans="1:26">
      <c r="A115" s="30" t="s">
        <v>397</v>
      </c>
      <c r="B115" s="30" t="s">
        <v>398</v>
      </c>
      <c r="C115" s="30" t="s">
        <v>321</v>
      </c>
      <c r="D115" s="31" t="s">
        <v>17</v>
      </c>
      <c r="E115" s="32" t="s">
        <v>984</v>
      </c>
      <c r="F115" s="27"/>
      <c r="G115" s="27"/>
      <c r="H115" s="27"/>
      <c r="I115" s="27"/>
      <c r="J115" s="27"/>
      <c r="K115" s="27"/>
      <c r="L115" s="27"/>
      <c r="M115" s="27"/>
      <c r="N115" s="27"/>
      <c r="O115" s="27"/>
      <c r="P115" s="27"/>
      <c r="Q115" s="27"/>
      <c r="R115" s="27"/>
      <c r="S115" s="27"/>
      <c r="T115" s="27"/>
      <c r="U115" s="27"/>
      <c r="V115" s="27"/>
      <c r="W115" s="27"/>
      <c r="X115" s="27"/>
      <c r="Y115" s="27"/>
      <c r="Z115" s="27"/>
    </row>
    <row r="116" ht="43.5" customHeight="1" spans="1:26">
      <c r="A116" s="30" t="s">
        <v>393</v>
      </c>
      <c r="B116" s="30" t="s">
        <v>394</v>
      </c>
      <c r="C116" s="30" t="s">
        <v>321</v>
      </c>
      <c r="D116" s="31" t="s">
        <v>17</v>
      </c>
      <c r="E116" s="32" t="s">
        <v>984</v>
      </c>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spans="1:26">
      <c r="A117" s="30" t="s">
        <v>391</v>
      </c>
      <c r="B117" s="30" t="s">
        <v>1016</v>
      </c>
      <c r="C117" s="30" t="s">
        <v>321</v>
      </c>
      <c r="D117" s="31" t="s">
        <v>17</v>
      </c>
      <c r="E117" s="32" t="s">
        <v>984</v>
      </c>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spans="1:26">
      <c r="A118" s="30" t="s">
        <v>446</v>
      </c>
      <c r="B118" s="30"/>
      <c r="C118" s="30" t="s">
        <v>321</v>
      </c>
      <c r="D118" s="31" t="s">
        <v>17</v>
      </c>
      <c r="E118" s="32" t="s">
        <v>984</v>
      </c>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spans="1:26">
      <c r="A119" s="30" t="s">
        <v>388</v>
      </c>
      <c r="B119" s="30"/>
      <c r="C119" s="30" t="s">
        <v>321</v>
      </c>
      <c r="D119" s="31" t="s">
        <v>17</v>
      </c>
      <c r="E119" s="32" t="s">
        <v>984</v>
      </c>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spans="1:26">
      <c r="A120" s="30" t="s">
        <v>447</v>
      </c>
      <c r="B120" s="30"/>
      <c r="C120" s="30" t="s">
        <v>321</v>
      </c>
      <c r="D120" s="31" t="s">
        <v>17</v>
      </c>
      <c r="E120" s="32" t="s">
        <v>984</v>
      </c>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spans="1:26">
      <c r="A121" s="30" t="s">
        <v>450</v>
      </c>
      <c r="B121" s="30"/>
      <c r="C121" s="30" t="s">
        <v>321</v>
      </c>
      <c r="D121" s="31" t="s">
        <v>17</v>
      </c>
      <c r="E121" s="32" t="s">
        <v>984</v>
      </c>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spans="1:26">
      <c r="A122" s="30" t="s">
        <v>448</v>
      </c>
      <c r="B122" s="30"/>
      <c r="C122" s="30" t="s">
        <v>321</v>
      </c>
      <c r="D122" s="31" t="s">
        <v>17</v>
      </c>
      <c r="E122" s="32" t="s">
        <v>984</v>
      </c>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spans="1:26">
      <c r="A123" s="30" t="s">
        <v>1017</v>
      </c>
      <c r="B123" s="30"/>
      <c r="C123" s="30" t="s">
        <v>321</v>
      </c>
      <c r="D123" s="31" t="s">
        <v>17</v>
      </c>
      <c r="E123" s="35" t="s">
        <v>986</v>
      </c>
      <c r="F123" s="27" t="s">
        <v>1018</v>
      </c>
      <c r="G123" s="27"/>
      <c r="H123" s="27"/>
      <c r="I123" s="27"/>
      <c r="J123" s="27"/>
      <c r="K123" s="27"/>
      <c r="L123" s="27"/>
      <c r="M123" s="27"/>
      <c r="N123" s="27"/>
      <c r="O123" s="27"/>
      <c r="P123" s="27"/>
      <c r="Q123" s="27"/>
      <c r="R123" s="27"/>
      <c r="S123" s="27"/>
      <c r="T123" s="27"/>
      <c r="U123" s="27"/>
      <c r="V123" s="27"/>
      <c r="W123" s="27"/>
      <c r="X123" s="27"/>
      <c r="Y123" s="27"/>
      <c r="Z123" s="27"/>
    </row>
    <row r="124" ht="15.75" customHeight="1" spans="1:26">
      <c r="A124" s="30" t="s">
        <v>1019</v>
      </c>
      <c r="B124" s="30" t="s">
        <v>1020</v>
      </c>
      <c r="C124" s="30" t="s">
        <v>321</v>
      </c>
      <c r="D124" s="31" t="s">
        <v>17</v>
      </c>
      <c r="E124" s="36" t="s">
        <v>1021</v>
      </c>
      <c r="F124" s="27"/>
      <c r="G124" s="27"/>
      <c r="H124" s="27"/>
      <c r="I124" s="27"/>
      <c r="J124" s="27"/>
      <c r="K124" s="27"/>
      <c r="L124" s="27"/>
      <c r="M124" s="27"/>
      <c r="N124" s="27"/>
      <c r="O124" s="27"/>
      <c r="P124" s="27"/>
      <c r="Q124" s="27"/>
      <c r="R124" s="27"/>
      <c r="S124" s="27"/>
      <c r="T124" s="27"/>
      <c r="U124" s="27"/>
      <c r="V124" s="27"/>
      <c r="W124" s="27"/>
      <c r="X124" s="27"/>
      <c r="Y124" s="27"/>
      <c r="Z124" s="27"/>
    </row>
    <row r="125" ht="57.75" customHeight="1" spans="1:26">
      <c r="A125" s="30" t="s">
        <v>214</v>
      </c>
      <c r="B125" s="30" t="s">
        <v>215</v>
      </c>
      <c r="C125" s="30" t="s">
        <v>98</v>
      </c>
      <c r="D125" s="31" t="s">
        <v>17</v>
      </c>
      <c r="E125" s="32" t="s">
        <v>984</v>
      </c>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spans="1:26">
      <c r="A126" s="30" t="s">
        <v>243</v>
      </c>
      <c r="B126" s="30" t="s">
        <v>244</v>
      </c>
      <c r="C126" s="30" t="s">
        <v>189</v>
      </c>
      <c r="D126" s="31" t="s">
        <v>17</v>
      </c>
      <c r="E126" s="32" t="s">
        <v>984</v>
      </c>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spans="1:26">
      <c r="A127" s="30" t="s">
        <v>216</v>
      </c>
      <c r="B127" s="30" t="s">
        <v>217</v>
      </c>
      <c r="C127" s="30" t="s">
        <v>98</v>
      </c>
      <c r="D127" s="31" t="s">
        <v>17</v>
      </c>
      <c r="E127" s="32" t="s">
        <v>984</v>
      </c>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spans="1:26">
      <c r="A128" s="30" t="s">
        <v>205</v>
      </c>
      <c r="B128" s="30" t="s">
        <v>206</v>
      </c>
      <c r="C128" s="30" t="s">
        <v>98</v>
      </c>
      <c r="D128" s="31" t="s">
        <v>17</v>
      </c>
      <c r="E128" s="32" t="s">
        <v>984</v>
      </c>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spans="1:26">
      <c r="A129" s="30" t="s">
        <v>238</v>
      </c>
      <c r="B129" s="30" t="s">
        <v>239</v>
      </c>
      <c r="C129" s="30" t="s">
        <v>98</v>
      </c>
      <c r="D129" s="31" t="s">
        <v>17</v>
      </c>
      <c r="E129" s="32" t="s">
        <v>984</v>
      </c>
      <c r="F129" s="27"/>
      <c r="G129" s="27"/>
      <c r="H129" s="27"/>
      <c r="I129" s="27"/>
      <c r="J129" s="27"/>
      <c r="K129" s="27"/>
      <c r="L129" s="27"/>
      <c r="M129" s="27"/>
      <c r="N129" s="27"/>
      <c r="O129" s="27"/>
      <c r="P129" s="27"/>
      <c r="Q129" s="27"/>
      <c r="R129" s="27"/>
      <c r="S129" s="27"/>
      <c r="T129" s="27"/>
      <c r="U129" s="27"/>
      <c r="V129" s="27"/>
      <c r="W129" s="27"/>
      <c r="X129" s="27"/>
      <c r="Y129" s="27"/>
      <c r="Z129" s="27"/>
    </row>
    <row r="130" ht="57.75" customHeight="1" spans="1:26">
      <c r="A130" s="30" t="s">
        <v>235</v>
      </c>
      <c r="B130" s="30" t="s">
        <v>236</v>
      </c>
      <c r="C130" s="30" t="s">
        <v>98</v>
      </c>
      <c r="D130" s="31" t="s">
        <v>17</v>
      </c>
      <c r="E130" s="32" t="s">
        <v>984</v>
      </c>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spans="1:26">
      <c r="A131" s="30" t="s">
        <v>219</v>
      </c>
      <c r="B131" s="30" t="s">
        <v>220</v>
      </c>
      <c r="C131" s="30" t="s">
        <v>98</v>
      </c>
      <c r="D131" s="31" t="s">
        <v>17</v>
      </c>
      <c r="E131" s="32" t="s">
        <v>984</v>
      </c>
      <c r="F131" s="27"/>
      <c r="G131" s="27"/>
      <c r="H131" s="27"/>
      <c r="I131" s="27"/>
      <c r="J131" s="27"/>
      <c r="K131" s="27"/>
      <c r="L131" s="27"/>
      <c r="M131" s="27"/>
      <c r="N131" s="27"/>
      <c r="O131" s="27"/>
      <c r="P131" s="27"/>
      <c r="Q131" s="27"/>
      <c r="R131" s="27"/>
      <c r="S131" s="27"/>
      <c r="T131" s="27"/>
      <c r="U131" s="27"/>
      <c r="V131" s="27"/>
      <c r="W131" s="27"/>
      <c r="X131" s="27"/>
      <c r="Y131" s="27"/>
      <c r="Z131" s="27"/>
    </row>
    <row r="132" ht="28.5" customHeight="1" spans="1:26">
      <c r="A132" s="30" t="s">
        <v>198</v>
      </c>
      <c r="B132" s="30" t="s">
        <v>199</v>
      </c>
      <c r="C132" s="30" t="s">
        <v>189</v>
      </c>
      <c r="D132" s="31" t="s">
        <v>17</v>
      </c>
      <c r="E132" s="32" t="s">
        <v>984</v>
      </c>
      <c r="F132" s="27" t="s">
        <v>1022</v>
      </c>
      <c r="G132" s="27"/>
      <c r="H132" s="27"/>
      <c r="I132" s="27"/>
      <c r="J132" s="27"/>
      <c r="K132" s="27"/>
      <c r="L132" s="27"/>
      <c r="M132" s="27"/>
      <c r="N132" s="27"/>
      <c r="O132" s="27"/>
      <c r="P132" s="27"/>
      <c r="Q132" s="27"/>
      <c r="R132" s="27"/>
      <c r="S132" s="27"/>
      <c r="T132" s="27"/>
      <c r="U132" s="27"/>
      <c r="V132" s="27"/>
      <c r="W132" s="27"/>
      <c r="X132" s="27"/>
      <c r="Y132" s="27"/>
      <c r="Z132" s="27"/>
    </row>
    <row r="133" ht="28.5" customHeight="1" spans="1:26">
      <c r="A133" s="30" t="s">
        <v>223</v>
      </c>
      <c r="B133" s="30" t="s">
        <v>1023</v>
      </c>
      <c r="C133" s="30" t="s">
        <v>189</v>
      </c>
      <c r="D133" s="31" t="s">
        <v>17</v>
      </c>
      <c r="E133" s="32" t="s">
        <v>984</v>
      </c>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spans="1:26">
      <c r="A134" s="30" t="s">
        <v>246</v>
      </c>
      <c r="B134" s="30" t="s">
        <v>247</v>
      </c>
      <c r="C134" s="30" t="s">
        <v>189</v>
      </c>
      <c r="D134" s="31" t="s">
        <v>17</v>
      </c>
      <c r="E134" s="32" t="s">
        <v>984</v>
      </c>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spans="1:26">
      <c r="A135" s="30" t="s">
        <v>230</v>
      </c>
      <c r="B135" s="30" t="s">
        <v>231</v>
      </c>
      <c r="C135" s="30" t="s">
        <v>98</v>
      </c>
      <c r="D135" s="31" t="s">
        <v>17</v>
      </c>
      <c r="E135" s="32" t="s">
        <v>984</v>
      </c>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spans="1:26">
      <c r="A136" s="30" t="s">
        <v>233</v>
      </c>
      <c r="B136" s="30" t="s">
        <v>234</v>
      </c>
      <c r="C136" s="30" t="s">
        <v>98</v>
      </c>
      <c r="D136" s="31" t="s">
        <v>17</v>
      </c>
      <c r="E136" s="32" t="s">
        <v>984</v>
      </c>
      <c r="F136" s="27"/>
      <c r="G136" s="27"/>
      <c r="H136" s="27"/>
      <c r="I136" s="27"/>
      <c r="J136" s="27"/>
      <c r="K136" s="27"/>
      <c r="L136" s="27"/>
      <c r="M136" s="27"/>
      <c r="N136" s="27"/>
      <c r="O136" s="27"/>
      <c r="P136" s="27"/>
      <c r="Q136" s="27"/>
      <c r="R136" s="27"/>
      <c r="S136" s="27"/>
      <c r="T136" s="27"/>
      <c r="U136" s="27"/>
      <c r="V136" s="27"/>
      <c r="W136" s="27"/>
      <c r="X136" s="27"/>
      <c r="Y136" s="27"/>
      <c r="Z136" s="27"/>
    </row>
    <row r="137" ht="43.5" customHeight="1" spans="1:26">
      <c r="A137" s="30" t="s">
        <v>211</v>
      </c>
      <c r="B137" s="30" t="s">
        <v>212</v>
      </c>
      <c r="C137" s="30" t="s">
        <v>98</v>
      </c>
      <c r="D137" s="31" t="s">
        <v>17</v>
      </c>
      <c r="E137" s="32" t="s">
        <v>984</v>
      </c>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spans="1:26">
      <c r="A138" s="30" t="s">
        <v>208</v>
      </c>
      <c r="B138" s="30" t="s">
        <v>209</v>
      </c>
      <c r="C138" s="30" t="s">
        <v>98</v>
      </c>
      <c r="D138" s="31" t="s">
        <v>17</v>
      </c>
      <c r="E138" s="32" t="s">
        <v>984</v>
      </c>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spans="1:26">
      <c r="A139" s="30" t="s">
        <v>240</v>
      </c>
      <c r="B139" s="30" t="s">
        <v>241</v>
      </c>
      <c r="C139" s="30" t="s">
        <v>98</v>
      </c>
      <c r="D139" s="31" t="s">
        <v>17</v>
      </c>
      <c r="E139" s="32" t="s">
        <v>984</v>
      </c>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spans="1:26">
      <c r="A140" s="30" t="s">
        <v>240</v>
      </c>
      <c r="B140" s="30" t="s">
        <v>242</v>
      </c>
      <c r="C140" s="30" t="s">
        <v>98</v>
      </c>
      <c r="D140" s="31" t="s">
        <v>17</v>
      </c>
      <c r="E140" s="32" t="s">
        <v>984</v>
      </c>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spans="1:26">
      <c r="A141" s="30" t="s">
        <v>226</v>
      </c>
      <c r="B141" s="30" t="s">
        <v>227</v>
      </c>
      <c r="C141" s="30" t="s">
        <v>98</v>
      </c>
      <c r="D141" s="31" t="s">
        <v>17</v>
      </c>
      <c r="E141" s="32" t="s">
        <v>984</v>
      </c>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spans="1:26">
      <c r="A142" s="30" t="s">
        <v>248</v>
      </c>
      <c r="B142" s="30" t="s">
        <v>249</v>
      </c>
      <c r="C142" s="30" t="s">
        <v>98</v>
      </c>
      <c r="D142" s="31" t="s">
        <v>17</v>
      </c>
      <c r="E142" s="32" t="s">
        <v>984</v>
      </c>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spans="1:26">
      <c r="A143" s="30" t="s">
        <v>1024</v>
      </c>
      <c r="B143" s="30" t="s">
        <v>1025</v>
      </c>
      <c r="C143" s="30" t="s">
        <v>98</v>
      </c>
      <c r="D143" s="31" t="s">
        <v>17</v>
      </c>
      <c r="E143" s="35" t="s">
        <v>986</v>
      </c>
      <c r="F143" s="27" t="s">
        <v>1026</v>
      </c>
      <c r="G143" s="27"/>
      <c r="H143" s="27"/>
      <c r="I143" s="27"/>
      <c r="J143" s="27"/>
      <c r="K143" s="27"/>
      <c r="L143" s="27"/>
      <c r="M143" s="27"/>
      <c r="N143" s="27"/>
      <c r="O143" s="27"/>
      <c r="P143" s="27"/>
      <c r="Q143" s="27"/>
      <c r="R143" s="27"/>
      <c r="S143" s="27"/>
      <c r="T143" s="27"/>
      <c r="U143" s="27"/>
      <c r="V143" s="27"/>
      <c r="W143" s="27"/>
      <c r="X143" s="27"/>
      <c r="Y143" s="27"/>
      <c r="Z143" s="27"/>
    </row>
    <row r="144" ht="15.75" customHeight="1" spans="1:26">
      <c r="A144" s="30" t="s">
        <v>1027</v>
      </c>
      <c r="B144" s="30" t="s">
        <v>1028</v>
      </c>
      <c r="C144" s="30" t="s">
        <v>98</v>
      </c>
      <c r="D144" s="31" t="s">
        <v>17</v>
      </c>
      <c r="E144" s="35" t="s">
        <v>986</v>
      </c>
      <c r="F144" s="27" t="s">
        <v>1026</v>
      </c>
      <c r="G144" s="27"/>
      <c r="H144" s="27"/>
      <c r="I144" s="27"/>
      <c r="J144" s="27"/>
      <c r="K144" s="27"/>
      <c r="L144" s="27"/>
      <c r="M144" s="27"/>
      <c r="N144" s="27"/>
      <c r="O144" s="27"/>
      <c r="P144" s="27"/>
      <c r="Q144" s="27"/>
      <c r="R144" s="27"/>
      <c r="S144" s="27"/>
      <c r="T144" s="27"/>
      <c r="U144" s="27"/>
      <c r="V144" s="27"/>
      <c r="W144" s="27"/>
      <c r="X144" s="27"/>
      <c r="Y144" s="27"/>
      <c r="Z144" s="27"/>
    </row>
    <row r="145" ht="15.75" customHeight="1" spans="1:26">
      <c r="A145" s="30" t="s">
        <v>1029</v>
      </c>
      <c r="B145" s="30" t="s">
        <v>1030</v>
      </c>
      <c r="C145" s="30" t="s">
        <v>189</v>
      </c>
      <c r="D145" s="31" t="s">
        <v>17</v>
      </c>
      <c r="E145" s="35" t="s">
        <v>986</v>
      </c>
      <c r="F145" s="27" t="s">
        <v>1026</v>
      </c>
      <c r="G145" s="27"/>
      <c r="H145" s="27"/>
      <c r="I145" s="27"/>
      <c r="J145" s="27"/>
      <c r="K145" s="27"/>
      <c r="L145" s="27"/>
      <c r="M145" s="27"/>
      <c r="N145" s="27"/>
      <c r="O145" s="27"/>
      <c r="P145" s="27"/>
      <c r="Q145" s="27"/>
      <c r="R145" s="27"/>
      <c r="S145" s="27"/>
      <c r="T145" s="27"/>
      <c r="U145" s="27"/>
      <c r="V145" s="27"/>
      <c r="W145" s="27"/>
      <c r="X145" s="27"/>
      <c r="Y145" s="27"/>
      <c r="Z145" s="27"/>
    </row>
    <row r="146" ht="28.5" customHeight="1" spans="1:26">
      <c r="A146" s="30" t="s">
        <v>264</v>
      </c>
      <c r="B146" s="30" t="s">
        <v>265</v>
      </c>
      <c r="C146" s="30" t="s">
        <v>98</v>
      </c>
      <c r="D146" s="31" t="s">
        <v>17</v>
      </c>
      <c r="E146" s="32" t="s">
        <v>984</v>
      </c>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spans="1:26">
      <c r="A147" s="30" t="s">
        <v>272</v>
      </c>
      <c r="B147" s="30" t="s">
        <v>273</v>
      </c>
      <c r="C147" s="30" t="s">
        <v>98</v>
      </c>
      <c r="D147" s="31" t="s">
        <v>17</v>
      </c>
      <c r="E147" s="32" t="s">
        <v>984</v>
      </c>
      <c r="F147" s="27"/>
      <c r="G147" s="27"/>
      <c r="H147" s="27"/>
      <c r="I147" s="27"/>
      <c r="J147" s="27"/>
      <c r="K147" s="27"/>
      <c r="L147" s="27"/>
      <c r="M147" s="27"/>
      <c r="N147" s="27"/>
      <c r="O147" s="27"/>
      <c r="P147" s="27"/>
      <c r="Q147" s="27"/>
      <c r="R147" s="27"/>
      <c r="S147" s="27"/>
      <c r="T147" s="27"/>
      <c r="U147" s="27"/>
      <c r="V147" s="27"/>
      <c r="W147" s="27"/>
      <c r="X147" s="27"/>
      <c r="Y147" s="27"/>
      <c r="Z147" s="27"/>
    </row>
    <row r="148" ht="28.5" customHeight="1" spans="1:26">
      <c r="A148" s="30" t="s">
        <v>266</v>
      </c>
      <c r="B148" s="30" t="s">
        <v>267</v>
      </c>
      <c r="C148" s="30" t="s">
        <v>98</v>
      </c>
      <c r="D148" s="31" t="s">
        <v>17</v>
      </c>
      <c r="E148" s="32" t="s">
        <v>984</v>
      </c>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spans="1:26">
      <c r="A149" s="30" t="s">
        <v>1031</v>
      </c>
      <c r="B149" s="30" t="s">
        <v>1032</v>
      </c>
      <c r="C149" s="30" t="s">
        <v>98</v>
      </c>
      <c r="D149" s="31" t="s">
        <v>17</v>
      </c>
      <c r="E149" s="35" t="s">
        <v>986</v>
      </c>
      <c r="F149" s="27" t="s">
        <v>1033</v>
      </c>
      <c r="G149" s="27"/>
      <c r="H149" s="27"/>
      <c r="I149" s="27"/>
      <c r="J149" s="27"/>
      <c r="K149" s="27"/>
      <c r="L149" s="27"/>
      <c r="M149" s="27"/>
      <c r="N149" s="27"/>
      <c r="O149" s="27"/>
      <c r="P149" s="27"/>
      <c r="Q149" s="27"/>
      <c r="R149" s="27"/>
      <c r="S149" s="27"/>
      <c r="T149" s="27"/>
      <c r="U149" s="27"/>
      <c r="V149" s="27"/>
      <c r="W149" s="27"/>
      <c r="X149" s="27"/>
      <c r="Y149" s="27"/>
      <c r="Z149" s="27"/>
    </row>
    <row r="150" ht="15.75" customHeight="1" spans="1:26">
      <c r="A150" s="30" t="s">
        <v>269</v>
      </c>
      <c r="B150" s="30" t="s">
        <v>270</v>
      </c>
      <c r="C150" s="30" t="s">
        <v>98</v>
      </c>
      <c r="D150" s="31" t="s">
        <v>17</v>
      </c>
      <c r="E150" s="32" t="s">
        <v>984</v>
      </c>
      <c r="F150" s="27"/>
      <c r="G150" s="27"/>
      <c r="H150" s="27"/>
      <c r="I150" s="27"/>
      <c r="J150" s="27"/>
      <c r="K150" s="27"/>
      <c r="L150" s="27"/>
      <c r="M150" s="27"/>
      <c r="N150" s="27"/>
      <c r="O150" s="27"/>
      <c r="P150" s="27"/>
      <c r="Q150" s="27"/>
      <c r="R150" s="27"/>
      <c r="S150" s="27"/>
      <c r="T150" s="27"/>
      <c r="U150" s="27"/>
      <c r="V150" s="27"/>
      <c r="W150" s="27"/>
      <c r="X150" s="27"/>
      <c r="Y150" s="27"/>
      <c r="Z150" s="27"/>
    </row>
    <row r="151" ht="28.5" customHeight="1" spans="1:26">
      <c r="A151" s="30" t="s">
        <v>306</v>
      </c>
      <c r="B151" s="30" t="s">
        <v>1034</v>
      </c>
      <c r="C151" s="30" t="s">
        <v>98</v>
      </c>
      <c r="D151" s="31" t="s">
        <v>17</v>
      </c>
      <c r="E151" s="32" t="s">
        <v>984</v>
      </c>
      <c r="F151" s="27"/>
      <c r="G151" s="27"/>
      <c r="H151" s="27"/>
      <c r="I151" s="27"/>
      <c r="J151" s="27"/>
      <c r="K151" s="27"/>
      <c r="L151" s="27"/>
      <c r="M151" s="27"/>
      <c r="N151" s="27"/>
      <c r="O151" s="27"/>
      <c r="P151" s="27"/>
      <c r="Q151" s="27"/>
      <c r="R151" s="27"/>
      <c r="S151" s="27"/>
      <c r="T151" s="27"/>
      <c r="U151" s="27"/>
      <c r="V151" s="27"/>
      <c r="W151" s="27"/>
      <c r="X151" s="27"/>
      <c r="Y151" s="27"/>
      <c r="Z151" s="27"/>
    </row>
    <row r="152" ht="28.5" customHeight="1" spans="1:26">
      <c r="A152" s="30" t="s">
        <v>312</v>
      </c>
      <c r="B152" s="30" t="s">
        <v>313</v>
      </c>
      <c r="C152" s="30" t="s">
        <v>98</v>
      </c>
      <c r="D152" s="31" t="s">
        <v>17</v>
      </c>
      <c r="E152" s="32" t="s">
        <v>984</v>
      </c>
      <c r="F152" s="27"/>
      <c r="G152" s="27"/>
      <c r="H152" s="27"/>
      <c r="I152" s="27"/>
      <c r="J152" s="27"/>
      <c r="K152" s="27"/>
      <c r="L152" s="27"/>
      <c r="M152" s="27"/>
      <c r="N152" s="27"/>
      <c r="O152" s="27"/>
      <c r="P152" s="27"/>
      <c r="Q152" s="27"/>
      <c r="R152" s="27"/>
      <c r="S152" s="27"/>
      <c r="T152" s="27"/>
      <c r="U152" s="27"/>
      <c r="V152" s="27"/>
      <c r="W152" s="27"/>
      <c r="X152" s="27"/>
      <c r="Y152" s="27"/>
      <c r="Z152" s="27"/>
    </row>
    <row r="153" ht="57.75" customHeight="1" spans="1:26">
      <c r="A153" s="30" t="s">
        <v>315</v>
      </c>
      <c r="B153" s="30" t="s">
        <v>316</v>
      </c>
      <c r="C153" s="30" t="s">
        <v>98</v>
      </c>
      <c r="D153" s="31" t="s">
        <v>17</v>
      </c>
      <c r="E153" s="32" t="s">
        <v>984</v>
      </c>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spans="1:26">
      <c r="A154" s="30" t="s">
        <v>302</v>
      </c>
      <c r="B154" s="30" t="s">
        <v>303</v>
      </c>
      <c r="C154" s="30" t="s">
        <v>98</v>
      </c>
      <c r="D154" s="31" t="s">
        <v>17</v>
      </c>
      <c r="E154" s="32" t="s">
        <v>984</v>
      </c>
      <c r="F154" s="27"/>
      <c r="G154" s="27"/>
      <c r="H154" s="27"/>
      <c r="I154" s="27"/>
      <c r="J154" s="27"/>
      <c r="K154" s="27"/>
      <c r="L154" s="27"/>
      <c r="M154" s="27"/>
      <c r="N154" s="27"/>
      <c r="O154" s="27"/>
      <c r="P154" s="27"/>
      <c r="Q154" s="27"/>
      <c r="R154" s="27"/>
      <c r="S154" s="27"/>
      <c r="T154" s="27"/>
      <c r="U154" s="27"/>
      <c r="V154" s="27"/>
      <c r="W154" s="27"/>
      <c r="X154" s="27"/>
      <c r="Y154" s="27"/>
      <c r="Z154" s="27"/>
    </row>
    <row r="155" ht="43.5" customHeight="1" spans="1:26">
      <c r="A155" s="30" t="s">
        <v>309</v>
      </c>
      <c r="B155" s="30" t="s">
        <v>310</v>
      </c>
      <c r="C155" s="30" t="s">
        <v>98</v>
      </c>
      <c r="D155" s="31" t="s">
        <v>17</v>
      </c>
      <c r="E155" s="36" t="s">
        <v>1021</v>
      </c>
      <c r="F155" s="27"/>
      <c r="G155" s="27"/>
      <c r="H155" s="27"/>
      <c r="I155" s="27"/>
      <c r="J155" s="27"/>
      <c r="K155" s="27"/>
      <c r="L155" s="27"/>
      <c r="M155" s="27"/>
      <c r="N155" s="27"/>
      <c r="O155" s="27"/>
      <c r="P155" s="27"/>
      <c r="Q155" s="27"/>
      <c r="R155" s="27"/>
      <c r="S155" s="27"/>
      <c r="T155" s="27"/>
      <c r="U155" s="27"/>
      <c r="V155" s="27"/>
      <c r="W155" s="27"/>
      <c r="X155" s="27"/>
      <c r="Y155" s="27"/>
      <c r="Z155" s="27"/>
    </row>
    <row r="156" ht="28.5" customHeight="1" spans="1:26">
      <c r="A156" s="30" t="s">
        <v>304</v>
      </c>
      <c r="B156" s="30" t="s">
        <v>305</v>
      </c>
      <c r="C156" s="30" t="s">
        <v>98</v>
      </c>
      <c r="D156" s="31" t="s">
        <v>17</v>
      </c>
      <c r="E156" s="32" t="s">
        <v>984</v>
      </c>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spans="1:26">
      <c r="A157" s="30" t="s">
        <v>299</v>
      </c>
      <c r="B157" s="30" t="s">
        <v>300</v>
      </c>
      <c r="C157" s="30" t="s">
        <v>98</v>
      </c>
      <c r="D157" s="31" t="s">
        <v>17</v>
      </c>
      <c r="E157" s="32" t="s">
        <v>984</v>
      </c>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spans="1:26">
      <c r="A158" s="30" t="s">
        <v>252</v>
      </c>
      <c r="B158" s="30" t="s">
        <v>253</v>
      </c>
      <c r="C158" s="30" t="s">
        <v>98</v>
      </c>
      <c r="D158" s="31" t="s">
        <v>17</v>
      </c>
      <c r="E158" s="32" t="s">
        <v>984</v>
      </c>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spans="1:26">
      <c r="A159" s="30" t="s">
        <v>161</v>
      </c>
      <c r="B159" s="30" t="s">
        <v>162</v>
      </c>
      <c r="C159" s="30" t="s">
        <v>98</v>
      </c>
      <c r="D159" s="31" t="s">
        <v>17</v>
      </c>
      <c r="E159" s="32" t="s">
        <v>984</v>
      </c>
      <c r="F159" s="27"/>
      <c r="G159" s="27"/>
      <c r="H159" s="27"/>
      <c r="I159" s="27"/>
      <c r="J159" s="27"/>
      <c r="K159" s="27"/>
      <c r="L159" s="27"/>
      <c r="M159" s="27"/>
      <c r="N159" s="27"/>
      <c r="O159" s="27"/>
      <c r="P159" s="27"/>
      <c r="Q159" s="27"/>
      <c r="R159" s="27"/>
      <c r="S159" s="27"/>
      <c r="T159" s="27"/>
      <c r="U159" s="27"/>
      <c r="V159" s="27"/>
      <c r="W159" s="27"/>
      <c r="X159" s="27"/>
      <c r="Y159" s="27"/>
      <c r="Z159" s="27"/>
    </row>
    <row r="160" ht="14.25" customHeight="1" spans="1:26">
      <c r="A160" s="38"/>
      <c r="B160" s="39"/>
      <c r="C160" s="39"/>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4.25" customHeight="1" spans="1:26">
      <c r="A161" s="38"/>
      <c r="B161" s="39"/>
      <c r="C161" s="39"/>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4.25" customHeight="1" spans="1:26">
      <c r="A162" s="38"/>
      <c r="B162" s="39"/>
      <c r="C162" s="39"/>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4.25" customHeight="1" spans="1:26">
      <c r="A163" s="38"/>
      <c r="B163" s="39"/>
      <c r="C163" s="39"/>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4.25" customHeight="1" spans="1:26">
      <c r="A164" s="38"/>
      <c r="B164" s="39"/>
      <c r="C164" s="39"/>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4.25" customHeight="1" spans="1:26">
      <c r="A165" s="38"/>
      <c r="B165" s="39"/>
      <c r="C165" s="39"/>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4.25" customHeight="1" spans="1:26">
      <c r="A166" s="38"/>
      <c r="B166" s="39"/>
      <c r="C166" s="39"/>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4.25" customHeight="1" spans="1:26">
      <c r="A167" s="38"/>
      <c r="B167" s="39"/>
      <c r="C167" s="39"/>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4.25" customHeight="1" spans="1:26">
      <c r="A168" s="38"/>
      <c r="B168" s="39"/>
      <c r="C168" s="39"/>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4.25" customHeight="1" spans="1:26">
      <c r="A169" s="38"/>
      <c r="B169" s="39"/>
      <c r="C169" s="39"/>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4.25" customHeight="1" spans="1:26">
      <c r="A170" s="38"/>
      <c r="B170" s="39"/>
      <c r="C170" s="39"/>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4.25" customHeight="1" spans="1:26">
      <c r="A171" s="38"/>
      <c r="B171" s="39"/>
      <c r="C171" s="39"/>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4.25" customHeight="1" spans="1:26">
      <c r="A172" s="38"/>
      <c r="B172" s="39"/>
      <c r="C172" s="39"/>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4.25" customHeight="1" spans="1:26">
      <c r="A173" s="38"/>
      <c r="B173" s="39"/>
      <c r="C173" s="39"/>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4.25" customHeight="1" spans="1:26">
      <c r="A174" s="38"/>
      <c r="B174" s="39"/>
      <c r="C174" s="39"/>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4.25" customHeight="1" spans="1:26">
      <c r="A175" s="38"/>
      <c r="B175" s="39"/>
      <c r="C175" s="39"/>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4.25" customHeight="1" spans="1:26">
      <c r="A176" s="38"/>
      <c r="B176" s="39"/>
      <c r="C176" s="39"/>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4.25" customHeight="1" spans="1:26">
      <c r="A177" s="38"/>
      <c r="B177" s="39"/>
      <c r="C177" s="39"/>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4.25" customHeight="1" spans="1:26">
      <c r="A178" s="38"/>
      <c r="B178" s="39"/>
      <c r="C178" s="39"/>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4.25" customHeight="1" spans="1:26">
      <c r="A179" s="38"/>
      <c r="B179" s="39"/>
      <c r="C179" s="39"/>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4.25" customHeight="1" spans="1:26">
      <c r="A180" s="38"/>
      <c r="B180" s="39"/>
      <c r="C180" s="39"/>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4.25" customHeight="1" spans="1:26">
      <c r="A181" s="38"/>
      <c r="B181" s="39"/>
      <c r="C181" s="39"/>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4.25" customHeight="1" spans="1:26">
      <c r="A182" s="38"/>
      <c r="B182" s="39"/>
      <c r="C182" s="39"/>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4.25" customHeight="1" spans="1:26">
      <c r="A183" s="38"/>
      <c r="B183" s="39"/>
      <c r="C183" s="39"/>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4.25" customHeight="1" spans="1:26">
      <c r="A184" s="38"/>
      <c r="B184" s="39"/>
      <c r="C184" s="39"/>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4.25" customHeight="1" spans="1:26">
      <c r="A185" s="38"/>
      <c r="B185" s="39"/>
      <c r="C185" s="39"/>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4.25" customHeight="1" spans="1:26">
      <c r="A186" s="38"/>
      <c r="B186" s="39"/>
      <c r="C186" s="39"/>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4.25" customHeight="1" spans="1:26">
      <c r="A187" s="38"/>
      <c r="B187" s="39"/>
      <c r="C187" s="39"/>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4.25" customHeight="1" spans="1:26">
      <c r="A188" s="38"/>
      <c r="B188" s="39"/>
      <c r="C188" s="39"/>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4.25" customHeight="1" spans="1:26">
      <c r="A189" s="38"/>
      <c r="B189" s="39"/>
      <c r="C189" s="39"/>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4.25" customHeight="1" spans="1:26">
      <c r="A190" s="38"/>
      <c r="B190" s="39"/>
      <c r="C190" s="39"/>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4.25" customHeight="1" spans="1:26">
      <c r="A191" s="38"/>
      <c r="B191" s="39"/>
      <c r="C191" s="39"/>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4.25" customHeight="1" spans="1:26">
      <c r="A192" s="38"/>
      <c r="B192" s="39"/>
      <c r="C192" s="39"/>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4.25" customHeight="1" spans="1:26">
      <c r="A193" s="38"/>
      <c r="B193" s="39"/>
      <c r="C193" s="39"/>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4.25" customHeight="1" spans="1:26">
      <c r="A194" s="38"/>
      <c r="B194" s="39"/>
      <c r="C194" s="39"/>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4.25" customHeight="1" spans="1:26">
      <c r="A195" s="38"/>
      <c r="B195" s="39"/>
      <c r="C195" s="39"/>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4.25" customHeight="1" spans="1:26">
      <c r="A196" s="38"/>
      <c r="B196" s="39"/>
      <c r="C196" s="39"/>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4.25" customHeight="1" spans="1:26">
      <c r="A197" s="38"/>
      <c r="B197" s="39"/>
      <c r="C197" s="39"/>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4.25" customHeight="1" spans="1:26">
      <c r="A198" s="38"/>
      <c r="B198" s="39"/>
      <c r="C198" s="39"/>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4.25" customHeight="1" spans="1:26">
      <c r="A199" s="38"/>
      <c r="B199" s="39"/>
      <c r="C199" s="39"/>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4.25" customHeight="1" spans="1:26">
      <c r="A200" s="38"/>
      <c r="B200" s="39"/>
      <c r="C200" s="39"/>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4.25" customHeight="1" spans="1:26">
      <c r="A201" s="38"/>
      <c r="B201" s="39"/>
      <c r="C201" s="39"/>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4.25" customHeight="1" spans="1:26">
      <c r="A202" s="38"/>
      <c r="B202" s="39"/>
      <c r="C202" s="39"/>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4.25" customHeight="1" spans="1:26">
      <c r="A203" s="38"/>
      <c r="B203" s="39"/>
      <c r="C203" s="39"/>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4.25" customHeight="1" spans="1:26">
      <c r="A204" s="38"/>
      <c r="B204" s="39"/>
      <c r="C204" s="39"/>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4.25" customHeight="1" spans="1:26">
      <c r="A205" s="38"/>
      <c r="B205" s="39"/>
      <c r="C205" s="39"/>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4.25" customHeight="1" spans="1:26">
      <c r="A206" s="38"/>
      <c r="B206" s="39"/>
      <c r="C206" s="39"/>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4.25" customHeight="1" spans="1:26">
      <c r="A207" s="38"/>
      <c r="B207" s="39"/>
      <c r="C207" s="39"/>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4.25" customHeight="1" spans="1:26">
      <c r="A208" s="38"/>
      <c r="B208" s="39"/>
      <c r="C208" s="39"/>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4.25" customHeight="1" spans="1:26">
      <c r="A209" s="38"/>
      <c r="B209" s="39"/>
      <c r="C209" s="39"/>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4.25" customHeight="1" spans="1:26">
      <c r="A210" s="38"/>
      <c r="B210" s="39"/>
      <c r="C210" s="39"/>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4.25" customHeight="1" spans="1:26">
      <c r="A211" s="38"/>
      <c r="B211" s="39"/>
      <c r="C211" s="39"/>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4.25" customHeight="1" spans="1:26">
      <c r="A212" s="38"/>
      <c r="B212" s="39"/>
      <c r="C212" s="39"/>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4.25" customHeight="1" spans="1:26">
      <c r="A213" s="38"/>
      <c r="B213" s="39"/>
      <c r="C213" s="39"/>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4.25" customHeight="1" spans="1:26">
      <c r="A214" s="38"/>
      <c r="B214" s="39"/>
      <c r="C214" s="39"/>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4.25" customHeight="1" spans="1:26">
      <c r="A215" s="38"/>
      <c r="B215" s="39"/>
      <c r="C215" s="39"/>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4.25" customHeight="1" spans="1:26">
      <c r="A216" s="38"/>
      <c r="B216" s="39"/>
      <c r="C216" s="39"/>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4.25" customHeight="1" spans="1:26">
      <c r="A217" s="38"/>
      <c r="B217" s="39"/>
      <c r="C217" s="39"/>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4.25" customHeight="1" spans="1:26">
      <c r="A218" s="38"/>
      <c r="B218" s="39"/>
      <c r="C218" s="39"/>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4.25" customHeight="1" spans="1:26">
      <c r="A219" s="38"/>
      <c r="B219" s="39"/>
      <c r="C219" s="39"/>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4.25" customHeight="1" spans="1:26">
      <c r="A220" s="38"/>
      <c r="B220" s="39"/>
      <c r="C220" s="39"/>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4.25" customHeight="1" spans="1:26">
      <c r="A221" s="38"/>
      <c r="B221" s="39"/>
      <c r="C221" s="39"/>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4.25" customHeight="1" spans="1:26">
      <c r="A222" s="38"/>
      <c r="B222" s="39"/>
      <c r="C222" s="39"/>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4.25" customHeight="1" spans="1:26">
      <c r="A223" s="38"/>
      <c r="B223" s="39"/>
      <c r="C223" s="39"/>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4.25" customHeight="1" spans="1:26">
      <c r="A224" s="38"/>
      <c r="B224" s="39"/>
      <c r="C224" s="39"/>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4.25" customHeight="1" spans="1:26">
      <c r="A225" s="38"/>
      <c r="B225" s="39"/>
      <c r="C225" s="39"/>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4.25" customHeight="1" spans="1:26">
      <c r="A226" s="38"/>
      <c r="B226" s="39"/>
      <c r="C226" s="39"/>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4.25" customHeight="1" spans="1:26">
      <c r="A227" s="38"/>
      <c r="B227" s="39"/>
      <c r="C227" s="39"/>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4.25" customHeight="1" spans="1:26">
      <c r="A228" s="38"/>
      <c r="B228" s="39"/>
      <c r="C228" s="39"/>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4.25" customHeight="1" spans="1:26">
      <c r="A229" s="38"/>
      <c r="B229" s="39"/>
      <c r="C229" s="39"/>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4.25" customHeight="1" spans="1:26">
      <c r="A230" s="38"/>
      <c r="B230" s="39"/>
      <c r="C230" s="39"/>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4.25" customHeight="1" spans="1:26">
      <c r="A231" s="38"/>
      <c r="B231" s="39"/>
      <c r="C231" s="39"/>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4.25" customHeight="1" spans="1:26">
      <c r="A232" s="38"/>
      <c r="B232" s="39"/>
      <c r="C232" s="39"/>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4.25" customHeight="1" spans="1:26">
      <c r="A233" s="38"/>
      <c r="B233" s="39"/>
      <c r="C233" s="39"/>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4.25" customHeight="1" spans="1:26">
      <c r="A234" s="38"/>
      <c r="B234" s="39"/>
      <c r="C234" s="39"/>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4.25" customHeight="1" spans="1:26">
      <c r="A235" s="38"/>
      <c r="B235" s="39"/>
      <c r="C235" s="39"/>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4.25" customHeight="1" spans="1:26">
      <c r="A236" s="38"/>
      <c r="B236" s="39"/>
      <c r="C236" s="39"/>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4.25" customHeight="1" spans="1:26">
      <c r="A237" s="38"/>
      <c r="B237" s="39"/>
      <c r="C237" s="39"/>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4.25" customHeight="1" spans="1:26">
      <c r="A238" s="38"/>
      <c r="B238" s="39"/>
      <c r="C238" s="39"/>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4.25" customHeight="1" spans="1:26">
      <c r="A239" s="38"/>
      <c r="B239" s="39"/>
      <c r="C239" s="39"/>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4.25" customHeight="1" spans="1:26">
      <c r="A240" s="38"/>
      <c r="B240" s="39"/>
      <c r="C240" s="39"/>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4.25" customHeight="1" spans="1:26">
      <c r="A241" s="38"/>
      <c r="B241" s="39"/>
      <c r="C241" s="39"/>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4.25" customHeight="1" spans="1:26">
      <c r="A242" s="38"/>
      <c r="B242" s="39"/>
      <c r="C242" s="39"/>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4.25" customHeight="1" spans="1:26">
      <c r="A243" s="38"/>
      <c r="B243" s="39"/>
      <c r="C243" s="39"/>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4.25" customHeight="1" spans="1:26">
      <c r="A244" s="38"/>
      <c r="B244" s="39"/>
      <c r="C244" s="39"/>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4.25" customHeight="1" spans="1:26">
      <c r="A245" s="38"/>
      <c r="B245" s="39"/>
      <c r="C245" s="39"/>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4.25" customHeight="1" spans="1:26">
      <c r="A246" s="38"/>
      <c r="B246" s="39"/>
      <c r="C246" s="39"/>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4.25" customHeight="1" spans="1:26">
      <c r="A247" s="38"/>
      <c r="B247" s="39"/>
      <c r="C247" s="39"/>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4.25" customHeight="1" spans="1:26">
      <c r="A248" s="38"/>
      <c r="B248" s="39"/>
      <c r="C248" s="39"/>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4.25" customHeight="1" spans="1:26">
      <c r="A249" s="38"/>
      <c r="B249" s="39"/>
      <c r="C249" s="39"/>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4.25" customHeight="1" spans="1:26">
      <c r="A250" s="38"/>
      <c r="B250" s="39"/>
      <c r="C250" s="39"/>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4.25" customHeight="1" spans="1:26">
      <c r="A251" s="38"/>
      <c r="B251" s="39"/>
      <c r="C251" s="39"/>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4.25" customHeight="1" spans="1:26">
      <c r="A252" s="38"/>
      <c r="B252" s="39"/>
      <c r="C252" s="39"/>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4.25" customHeight="1" spans="1:26">
      <c r="A253" s="38"/>
      <c r="B253" s="39"/>
      <c r="C253" s="39"/>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4.25" customHeight="1" spans="1:26">
      <c r="A254" s="38"/>
      <c r="B254" s="39"/>
      <c r="C254" s="39"/>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4.25" customHeight="1" spans="1:26">
      <c r="A255" s="38"/>
      <c r="B255" s="39"/>
      <c r="C255" s="39"/>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4.25" customHeight="1" spans="1:26">
      <c r="A256" s="38"/>
      <c r="B256" s="39"/>
      <c r="C256" s="39"/>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4.25" customHeight="1" spans="1:26">
      <c r="A257" s="38"/>
      <c r="B257" s="39"/>
      <c r="C257" s="39"/>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4.25" customHeight="1" spans="1:26">
      <c r="A258" s="38"/>
      <c r="B258" s="39"/>
      <c r="C258" s="39"/>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4.25" customHeight="1" spans="1:26">
      <c r="A259" s="38"/>
      <c r="B259" s="39"/>
      <c r="C259" s="39"/>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4.25" customHeight="1" spans="1:26">
      <c r="A260" s="38"/>
      <c r="B260" s="39"/>
      <c r="C260" s="39"/>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4.25" customHeight="1" spans="1:26">
      <c r="A261" s="38"/>
      <c r="B261" s="39"/>
      <c r="C261" s="39"/>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4.25" customHeight="1" spans="1:26">
      <c r="A262" s="38"/>
      <c r="B262" s="39"/>
      <c r="C262" s="39"/>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4.25" customHeight="1" spans="1:26">
      <c r="A263" s="38"/>
      <c r="B263" s="39"/>
      <c r="C263" s="39"/>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4.25" customHeight="1" spans="1:26">
      <c r="A264" s="38"/>
      <c r="B264" s="39"/>
      <c r="C264" s="39"/>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4.25" customHeight="1" spans="1:26">
      <c r="A265" s="38"/>
      <c r="B265" s="39"/>
      <c r="C265" s="39"/>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4.25" customHeight="1" spans="1:26">
      <c r="A266" s="38"/>
      <c r="B266" s="39"/>
      <c r="C266" s="39"/>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4.25" customHeight="1" spans="1:26">
      <c r="A267" s="38"/>
      <c r="B267" s="39"/>
      <c r="C267" s="39"/>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4.25" customHeight="1" spans="1:26">
      <c r="A268" s="38"/>
      <c r="B268" s="39"/>
      <c r="C268" s="39"/>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4.25" customHeight="1" spans="1:26">
      <c r="A269" s="38"/>
      <c r="B269" s="39"/>
      <c r="C269" s="39"/>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4.25" customHeight="1" spans="1:26">
      <c r="A270" s="38"/>
      <c r="B270" s="39"/>
      <c r="C270" s="39"/>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4.25" customHeight="1" spans="1:26">
      <c r="A271" s="38"/>
      <c r="B271" s="39"/>
      <c r="C271" s="39"/>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4.25" customHeight="1" spans="1:26">
      <c r="A272" s="38"/>
      <c r="B272" s="39"/>
      <c r="C272" s="39"/>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4.25" customHeight="1" spans="1:26">
      <c r="A273" s="38"/>
      <c r="B273" s="39"/>
      <c r="C273" s="39"/>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4.25" customHeight="1" spans="1:26">
      <c r="A274" s="38"/>
      <c r="B274" s="39"/>
      <c r="C274" s="39"/>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4.25" customHeight="1" spans="1:26">
      <c r="A275" s="38"/>
      <c r="B275" s="39"/>
      <c r="C275" s="39"/>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4.25" customHeight="1" spans="1:26">
      <c r="A276" s="38"/>
      <c r="B276" s="39"/>
      <c r="C276" s="39"/>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4.25" customHeight="1" spans="1:26">
      <c r="A277" s="38"/>
      <c r="B277" s="39"/>
      <c r="C277" s="39"/>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4.25" customHeight="1" spans="1:26">
      <c r="A278" s="38"/>
      <c r="B278" s="39"/>
      <c r="C278" s="39"/>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4.25" customHeight="1" spans="1:26">
      <c r="A279" s="38"/>
      <c r="B279" s="39"/>
      <c r="C279" s="39"/>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4.25" customHeight="1" spans="1:26">
      <c r="A280" s="38"/>
      <c r="B280" s="39"/>
      <c r="C280" s="39"/>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4.25" customHeight="1" spans="1:26">
      <c r="A281" s="38"/>
      <c r="B281" s="39"/>
      <c r="C281" s="39"/>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4.25" customHeight="1" spans="1:26">
      <c r="A282" s="38"/>
      <c r="B282" s="39"/>
      <c r="C282" s="39"/>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4.25" customHeight="1" spans="1:26">
      <c r="A283" s="38"/>
      <c r="B283" s="39"/>
      <c r="C283" s="39"/>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4.25" customHeight="1" spans="1:26">
      <c r="A284" s="38"/>
      <c r="B284" s="39"/>
      <c r="C284" s="39"/>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4.25" customHeight="1" spans="1:26">
      <c r="A285" s="38"/>
      <c r="B285" s="39"/>
      <c r="C285" s="39"/>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4.25" customHeight="1" spans="1:26">
      <c r="A286" s="38"/>
      <c r="B286" s="39"/>
      <c r="C286" s="39"/>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4.25" customHeight="1" spans="1:26">
      <c r="A287" s="38"/>
      <c r="B287" s="39"/>
      <c r="C287" s="39"/>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4.25" customHeight="1" spans="1:26">
      <c r="A288" s="38"/>
      <c r="B288" s="39"/>
      <c r="C288" s="39"/>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4.25" customHeight="1" spans="1:26">
      <c r="A289" s="38"/>
      <c r="B289" s="39"/>
      <c r="C289" s="39"/>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4.25" customHeight="1" spans="1:26">
      <c r="A290" s="38"/>
      <c r="B290" s="39"/>
      <c r="C290" s="39"/>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4.25" customHeight="1" spans="1:26">
      <c r="A291" s="38"/>
      <c r="B291" s="39"/>
      <c r="C291" s="39"/>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4.25" customHeight="1" spans="1:26">
      <c r="A292" s="38"/>
      <c r="B292" s="39"/>
      <c r="C292" s="39"/>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4.25" customHeight="1" spans="1:26">
      <c r="A293" s="38"/>
      <c r="B293" s="39"/>
      <c r="C293" s="39"/>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4.25" customHeight="1" spans="1:26">
      <c r="A294" s="38"/>
      <c r="B294" s="39"/>
      <c r="C294" s="39"/>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4.25" customHeight="1" spans="1:26">
      <c r="A295" s="38"/>
      <c r="B295" s="39"/>
      <c r="C295" s="39"/>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4.25" customHeight="1" spans="1:26">
      <c r="A296" s="38"/>
      <c r="B296" s="39"/>
      <c r="C296" s="39"/>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4.25" customHeight="1" spans="1:26">
      <c r="A297" s="38"/>
      <c r="B297" s="39"/>
      <c r="C297" s="39"/>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4.25" customHeight="1" spans="1:26">
      <c r="A298" s="38"/>
      <c r="B298" s="39"/>
      <c r="C298" s="39"/>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4.25" customHeight="1" spans="1:26">
      <c r="A299" s="38"/>
      <c r="B299" s="39"/>
      <c r="C299" s="39"/>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4.25" customHeight="1" spans="1:26">
      <c r="A300" s="38"/>
      <c r="B300" s="39"/>
      <c r="C300" s="39"/>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4.25" customHeight="1" spans="1:26">
      <c r="A301" s="38"/>
      <c r="B301" s="39"/>
      <c r="C301" s="39"/>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4.25" customHeight="1" spans="1:26">
      <c r="A302" s="38"/>
      <c r="B302" s="39"/>
      <c r="C302" s="39"/>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4.25" customHeight="1" spans="1:26">
      <c r="A303" s="38"/>
      <c r="B303" s="39"/>
      <c r="C303" s="39"/>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4.25" customHeight="1" spans="1:26">
      <c r="A304" s="38"/>
      <c r="B304" s="39"/>
      <c r="C304" s="39"/>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4.25" customHeight="1" spans="1:26">
      <c r="A305" s="38"/>
      <c r="B305" s="39"/>
      <c r="C305" s="39"/>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4.25" customHeight="1" spans="1:26">
      <c r="A306" s="38"/>
      <c r="B306" s="39"/>
      <c r="C306" s="39"/>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4.25" customHeight="1" spans="1:26">
      <c r="A307" s="38"/>
      <c r="B307" s="39"/>
      <c r="C307" s="39"/>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4.25" customHeight="1" spans="1:26">
      <c r="A308" s="38"/>
      <c r="B308" s="39"/>
      <c r="C308" s="39"/>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4.25" customHeight="1" spans="1:26">
      <c r="A309" s="38"/>
      <c r="B309" s="39"/>
      <c r="C309" s="39"/>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4.25" customHeight="1" spans="1:26">
      <c r="A310" s="38"/>
      <c r="B310" s="39"/>
      <c r="C310" s="39"/>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4.25" customHeight="1" spans="1:26">
      <c r="A311" s="38"/>
      <c r="B311" s="39"/>
      <c r="C311" s="39"/>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4.25" customHeight="1" spans="1:26">
      <c r="A312" s="38"/>
      <c r="B312" s="39"/>
      <c r="C312" s="39"/>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4.25" customHeight="1" spans="1:26">
      <c r="A313" s="38"/>
      <c r="B313" s="39"/>
      <c r="C313" s="39"/>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4.25" customHeight="1" spans="1:26">
      <c r="A314" s="38"/>
      <c r="B314" s="39"/>
      <c r="C314" s="39"/>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4.25" customHeight="1" spans="1:26">
      <c r="A315" s="38"/>
      <c r="B315" s="39"/>
      <c r="C315" s="39"/>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4.25" customHeight="1" spans="1:26">
      <c r="A316" s="38"/>
      <c r="B316" s="39"/>
      <c r="C316" s="39"/>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4.25" customHeight="1" spans="1:26">
      <c r="A317" s="38"/>
      <c r="B317" s="39"/>
      <c r="C317" s="39"/>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4.25" customHeight="1" spans="1:26">
      <c r="A318" s="38"/>
      <c r="B318" s="39"/>
      <c r="C318" s="39"/>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4.25" customHeight="1" spans="1:26">
      <c r="A319" s="38"/>
      <c r="B319" s="39"/>
      <c r="C319" s="39"/>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4.25" customHeight="1" spans="1:26">
      <c r="A320" s="38"/>
      <c r="B320" s="39"/>
      <c r="C320" s="39"/>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4.25" customHeight="1" spans="1:26">
      <c r="A321" s="38"/>
      <c r="B321" s="39"/>
      <c r="C321" s="39"/>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4.25" customHeight="1" spans="1:26">
      <c r="A322" s="38"/>
      <c r="B322" s="39"/>
      <c r="C322" s="39"/>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4.25" customHeight="1" spans="1:26">
      <c r="A323" s="38"/>
      <c r="B323" s="39"/>
      <c r="C323" s="39"/>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4.25" customHeight="1" spans="1:26">
      <c r="A324" s="38"/>
      <c r="B324" s="39"/>
      <c r="C324" s="39"/>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4.25" customHeight="1" spans="1:26">
      <c r="A325" s="38"/>
      <c r="B325" s="39"/>
      <c r="C325" s="39"/>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4.25" customHeight="1" spans="1:26">
      <c r="A326" s="38"/>
      <c r="B326" s="39"/>
      <c r="C326" s="39"/>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4.25" customHeight="1" spans="1:26">
      <c r="A327" s="38"/>
      <c r="B327" s="39"/>
      <c r="C327" s="39"/>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4.25" customHeight="1" spans="1:26">
      <c r="A328" s="38"/>
      <c r="B328" s="39"/>
      <c r="C328" s="39"/>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4.25" customHeight="1" spans="1:26">
      <c r="A329" s="38"/>
      <c r="B329" s="39"/>
      <c r="C329" s="39"/>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4.25" customHeight="1" spans="1:26">
      <c r="A330" s="38"/>
      <c r="B330" s="39"/>
      <c r="C330" s="39"/>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4.25" customHeight="1" spans="1:26">
      <c r="A331" s="38"/>
      <c r="B331" s="39"/>
      <c r="C331" s="39"/>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4.25" customHeight="1" spans="1:26">
      <c r="A332" s="38"/>
      <c r="B332" s="39"/>
      <c r="C332" s="39"/>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4.25" customHeight="1" spans="1:26">
      <c r="A333" s="38"/>
      <c r="B333" s="39"/>
      <c r="C333" s="39"/>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4.25" customHeight="1" spans="1:26">
      <c r="A334" s="38"/>
      <c r="B334" s="39"/>
      <c r="C334" s="39"/>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4.25" customHeight="1" spans="1:26">
      <c r="A335" s="38"/>
      <c r="B335" s="39"/>
      <c r="C335" s="39"/>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4.25" customHeight="1" spans="1:26">
      <c r="A336" s="38"/>
      <c r="B336" s="39"/>
      <c r="C336" s="39"/>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4.25" customHeight="1" spans="1:26">
      <c r="A337" s="38"/>
      <c r="B337" s="39"/>
      <c r="C337" s="39"/>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4.25" customHeight="1" spans="1:26">
      <c r="A338" s="38"/>
      <c r="B338" s="39"/>
      <c r="C338" s="39"/>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4.25" customHeight="1" spans="1:26">
      <c r="A339" s="38"/>
      <c r="B339" s="39"/>
      <c r="C339" s="39"/>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4.25" customHeight="1" spans="1:26">
      <c r="A340" s="38"/>
      <c r="B340" s="39"/>
      <c r="C340" s="39"/>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4.25" customHeight="1" spans="1:26">
      <c r="A341" s="38"/>
      <c r="B341" s="39"/>
      <c r="C341" s="39"/>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4.25" customHeight="1" spans="1:26">
      <c r="A342" s="38"/>
      <c r="B342" s="39"/>
      <c r="C342" s="39"/>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4.25" customHeight="1" spans="1:26">
      <c r="A343" s="38"/>
      <c r="B343" s="39"/>
      <c r="C343" s="39"/>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4.25" customHeight="1" spans="1:26">
      <c r="A344" s="38"/>
      <c r="B344" s="39"/>
      <c r="C344" s="39"/>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4.25" customHeight="1" spans="1:26">
      <c r="A345" s="38"/>
      <c r="B345" s="39"/>
      <c r="C345" s="39"/>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4.25" customHeight="1" spans="1:26">
      <c r="A346" s="38"/>
      <c r="B346" s="39"/>
      <c r="C346" s="39"/>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4.25" customHeight="1" spans="1:26">
      <c r="A347" s="38"/>
      <c r="B347" s="39"/>
      <c r="C347" s="39"/>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4.25" customHeight="1" spans="1:26">
      <c r="A348" s="38"/>
      <c r="B348" s="39"/>
      <c r="C348" s="39"/>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4.25" customHeight="1" spans="1:26">
      <c r="A349" s="38"/>
      <c r="B349" s="39"/>
      <c r="C349" s="39"/>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4.25" customHeight="1" spans="1:26">
      <c r="A350" s="38"/>
      <c r="B350" s="39"/>
      <c r="C350" s="39"/>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4.25" customHeight="1" spans="1:26">
      <c r="A351" s="38"/>
      <c r="B351" s="39"/>
      <c r="C351" s="39"/>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4.25" customHeight="1" spans="1:26">
      <c r="A352" s="38"/>
      <c r="B352" s="39"/>
      <c r="C352" s="39"/>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4.25" customHeight="1" spans="1:26">
      <c r="A353" s="38"/>
      <c r="B353" s="39"/>
      <c r="C353" s="39"/>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4.25" customHeight="1" spans="1:26">
      <c r="A354" s="38"/>
      <c r="B354" s="39"/>
      <c r="C354" s="39"/>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4.25" customHeight="1" spans="1:26">
      <c r="A355" s="38"/>
      <c r="B355" s="39"/>
      <c r="C355" s="39"/>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4.25" customHeight="1" spans="1:26">
      <c r="A356" s="38"/>
      <c r="B356" s="39"/>
      <c r="C356" s="39"/>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4.25" customHeight="1" spans="1:26">
      <c r="A357" s="38"/>
      <c r="B357" s="39"/>
      <c r="C357" s="39"/>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4.25" customHeight="1" spans="1:26">
      <c r="A358" s="38"/>
      <c r="B358" s="39"/>
      <c r="C358" s="39"/>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4.25" customHeight="1" spans="1:26">
      <c r="A359" s="38"/>
      <c r="B359" s="39"/>
      <c r="C359" s="39"/>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spans="1:26">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5.75" customHeight="1" spans="1:26">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5.75" customHeight="1" spans="1:26">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5.75" customHeight="1" spans="1:26">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5.75" customHeight="1" spans="1:26">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5.75" customHeight="1" spans="1:26">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5.75" customHeight="1" spans="1:2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5.75" customHeight="1" spans="1:26">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5.75" customHeight="1" spans="1:26">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5.75" customHeight="1" spans="1:26">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5.75" customHeight="1" spans="1:26">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5.75" customHeight="1" spans="1:26">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5.75" customHeight="1" spans="1:26">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5.75" customHeight="1" spans="1:26">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5.75" customHeight="1" spans="1:26">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5.75" customHeight="1" spans="1:26">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5.75" customHeight="1" spans="1:2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5.75" customHeight="1" spans="1:26">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5.75" customHeight="1" spans="1:26">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5.75" customHeight="1" spans="1:26">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5.75" customHeight="1" spans="1:26">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5.75" customHeight="1" spans="1:26">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5.75" customHeight="1" spans="1:26">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5.75" customHeight="1" spans="1:26">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5.75" customHeight="1" spans="1:26">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5.75" customHeight="1" spans="1:26">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5.75" customHeight="1" spans="1:2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5.75" customHeight="1" spans="1:26">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5.75" customHeight="1" spans="1:26">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5.75" customHeight="1" spans="1:26">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5.75" customHeight="1" spans="1:26">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5.75" customHeight="1" spans="1:26">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5.75" customHeight="1" spans="1:26">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5.75" customHeight="1" spans="1:26">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5.75" customHeight="1" spans="1:26">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5.75" customHeight="1" spans="1:26">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5.75" customHeight="1" spans="1:2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5.75" customHeight="1" spans="1:26">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5.75" customHeight="1" spans="1:26">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5.75" customHeight="1" spans="1:26">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5.75" customHeight="1" spans="1:26">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5.75" customHeight="1" spans="1:26">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5.75" customHeight="1" spans="1:26">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5.75" customHeight="1" spans="1:26">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5.75" customHeight="1" spans="1:26">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5.75" customHeight="1" spans="1:26">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5.75" customHeight="1" spans="1:2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5.75" customHeight="1" spans="1:26">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5.75" customHeight="1" spans="1:26">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5.75" customHeight="1" spans="1:26">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5.75" customHeight="1" spans="1:26">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5.75" customHeight="1" spans="1:26">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5.75" customHeight="1" spans="1:26">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5.75" customHeight="1" spans="1:26">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5.75" customHeight="1" spans="1:26">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5.75" customHeight="1" spans="1:26">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5.75" customHeight="1" spans="1:2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5.75" customHeight="1" spans="1:26">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5.75" customHeight="1" spans="1:26">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5.75" customHeight="1" spans="1:26">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5.75" customHeight="1" spans="1:26">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5.75" customHeight="1" spans="1:26">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5.75" customHeight="1" spans="1:26">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5.75" customHeight="1" spans="1:26">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5.75" customHeight="1" spans="1:26">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5.75" customHeight="1" spans="1:26">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5.75" customHeight="1" spans="1: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5.75" customHeight="1" spans="1:26">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5.75" customHeight="1" spans="1:26">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5.75" customHeight="1" spans="1:26">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5.75" customHeight="1" spans="1:26">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5.75" customHeight="1" spans="1:26">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5.75" customHeight="1" spans="1:26">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5.75" customHeight="1" spans="1:26">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5.75" customHeight="1" spans="1:26">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5.75" customHeight="1" spans="1:26">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5.75" customHeight="1" spans="1:2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5.75" customHeight="1" spans="1:26">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5.75" customHeight="1" spans="1:26">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5.75" customHeight="1" spans="1:26">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5.75" customHeight="1" spans="1:26">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5.75" customHeight="1" spans="1:26">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5.75" customHeight="1" spans="1:26">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5.75" customHeight="1" spans="1:26">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5.75" customHeight="1" spans="1:26">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5.75" customHeight="1" spans="1:26">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5.75" customHeight="1" spans="1:2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5.75" customHeight="1" spans="1:26">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5.75" customHeight="1" spans="1:26">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5.75" customHeight="1" spans="1:26">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5.75" customHeight="1" spans="1:26">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5.75" customHeight="1" spans="1:26">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5.75" customHeight="1" spans="1:26">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5.75" customHeight="1" spans="1:26">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5.75" customHeight="1" spans="1:26">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5.75" customHeight="1" spans="1:26">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5.75" customHeight="1" spans="1:2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5.75" customHeight="1" spans="1:26">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5.75" customHeight="1" spans="1:26">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5.75" customHeight="1" spans="1:26">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5.75" customHeight="1" spans="1:26">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5.75" customHeight="1" spans="1:26">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5.75" customHeight="1" spans="1:26">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5.75" customHeight="1" spans="1:26">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5.75" customHeight="1" spans="1:26">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5.75" customHeight="1" spans="1:26">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5.75" customHeight="1" spans="1:2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5.75" customHeight="1" spans="1:26">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5.75" customHeight="1" spans="1:26">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5.75" customHeight="1" spans="1:26">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5.75" customHeight="1" spans="1:26">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5.75" customHeight="1" spans="1:26">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5.75" customHeight="1" spans="1:26">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5.75" customHeight="1" spans="1:26">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5.75" customHeight="1" spans="1:26">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5.75" customHeight="1" spans="1:26">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5.75" customHeight="1" spans="1:2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5.75" customHeight="1" spans="1:26">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5.75" customHeight="1" spans="1:26">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5.75" customHeight="1" spans="1:26">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5.75" customHeight="1" spans="1:26">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5.75" customHeight="1" spans="1:26">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5.75" customHeight="1" spans="1:26">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5.75" customHeight="1" spans="1:26">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5.75" customHeight="1" spans="1:26">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5.75" customHeight="1" spans="1:26">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5.75" customHeight="1" spans="1:2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5.75" customHeight="1" spans="1:26">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5.75" customHeight="1" spans="1:26">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5.75" customHeight="1" spans="1:26">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5.75" customHeight="1" spans="1:26">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5.75" customHeight="1" spans="1:26">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5.75" customHeight="1" spans="1:26">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5.75" customHeight="1" spans="1:26">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5.75" customHeight="1" spans="1:26">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5.75" customHeight="1" spans="1:26">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5.75" customHeight="1" spans="1:2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5.75" customHeight="1" spans="1:26">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5.75" customHeight="1" spans="1:26">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5.75" customHeight="1" spans="1:26">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5.75" customHeight="1" spans="1:26">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5.75" customHeight="1" spans="1:26">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5.75" customHeight="1" spans="1:26">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5.75" customHeight="1" spans="1:26">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5.75" customHeight="1" spans="1:26">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5.75" customHeight="1" spans="1:26">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5.75" customHeight="1" spans="1:2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5.75" customHeight="1" spans="1:26">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5.75" customHeight="1" spans="1:26">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5.75" customHeight="1" spans="1:26">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5.75" customHeight="1" spans="1:26">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5.75" customHeight="1" spans="1:26">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5.75" customHeight="1" spans="1:26">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5.75" customHeight="1" spans="1:26">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5.75" customHeight="1" spans="1:26">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5.75" customHeight="1" spans="1:26">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5.75" customHeight="1" spans="1:2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5.75" customHeight="1" spans="1:26">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5.75" customHeight="1" spans="1:26">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5.75" customHeight="1" spans="1:26">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5.75" customHeight="1" spans="1:26">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5.75" customHeight="1" spans="1:26">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5.75" customHeight="1" spans="1:26">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5.75" customHeight="1" spans="1:26">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5.75" customHeight="1" spans="1:26">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5.75" customHeight="1" spans="1:26">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5.75" customHeight="1" spans="1: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5.75" customHeight="1" spans="1:26">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5.75" customHeight="1" spans="1:26">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5.75" customHeight="1" spans="1:26">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5.75" customHeight="1" spans="1:26">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5.75" customHeight="1" spans="1:26">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5.75" customHeight="1" spans="1:26">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5.75" customHeight="1" spans="1:26">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5.75" customHeight="1" spans="1:26">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5.75" customHeight="1" spans="1:26">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5.75" customHeight="1" spans="1:2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5.75" customHeight="1" spans="1:26">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5.75" customHeight="1" spans="1:26">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5.75" customHeight="1" spans="1:26">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5.75" customHeight="1" spans="1:26">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5.75" customHeight="1" spans="1:26">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5.75" customHeight="1" spans="1:26">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5.75" customHeight="1" spans="1:26">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5.75" customHeight="1" spans="1:26">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5.75" customHeight="1" spans="1:26">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5.75" customHeight="1" spans="1:2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5.75" customHeight="1" spans="1:26">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5.75" customHeight="1" spans="1:26">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5.75" customHeight="1" spans="1:26">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5.75" customHeight="1" spans="1:26">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5.75" customHeight="1" spans="1:26">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5.75" customHeight="1" spans="1:26">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5.75" customHeight="1" spans="1:26">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5.75" customHeight="1" spans="1:26">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5.75" customHeight="1" spans="1:26">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5.75" customHeight="1" spans="1:2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5.75" customHeight="1" spans="1:26">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5.75" customHeight="1" spans="1:26">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5.75" customHeight="1" spans="1:26">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5.75" customHeight="1" spans="1:26">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5.75" customHeight="1" spans="1:26">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5.75" customHeight="1" spans="1:26">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5.75" customHeight="1" spans="1:26">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5.75" customHeight="1" spans="1:26">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5.75" customHeight="1" spans="1:26">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5.75" customHeight="1" spans="1:2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5.75" customHeight="1" spans="1:26">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5.75" customHeight="1" spans="1:26">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5.75" customHeight="1" spans="1:26">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5.75" customHeight="1" spans="1:26">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5.75" customHeight="1" spans="1:26">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5.75" customHeight="1" spans="1:26">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5.75" customHeight="1" spans="1:26">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5.75" customHeight="1" spans="1:26">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5.75" customHeight="1" spans="1:26">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5.75" customHeight="1" spans="1:2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5.75" customHeight="1" spans="1:26">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5.75" customHeight="1" spans="1:26">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5.75" customHeight="1" spans="1:26">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5.75" customHeight="1" spans="1:26">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5.75" customHeight="1" spans="1:26">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5.75" customHeight="1" spans="1:26">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5.75" customHeight="1" spans="1:26">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5.75" customHeight="1" spans="1:26">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5.75" customHeight="1" spans="1:26">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5.75" customHeight="1" spans="1:2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5.75" customHeight="1" spans="1:26">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5.75" customHeight="1" spans="1:26">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5.75" customHeight="1" spans="1:26">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5.75" customHeight="1" spans="1:26">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5.75" customHeight="1" spans="1:26">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5.75" customHeight="1" spans="1:26">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5.75" customHeight="1" spans="1:26">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5.75" customHeight="1" spans="1:26">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5.75" customHeight="1" spans="1:26">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5.75" customHeight="1" spans="1:2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5.75" customHeight="1" spans="1:26">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5.75" customHeight="1" spans="1:26">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5.75" customHeight="1" spans="1:26">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5.75" customHeight="1" spans="1:26">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5.75" customHeight="1" spans="1:26">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5.75" customHeight="1" spans="1:26">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5.75" customHeight="1" spans="1:26">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5.75" customHeight="1" spans="1:26">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5.75" customHeight="1" spans="1:26">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5.75" customHeight="1" spans="1:2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5.75" customHeight="1" spans="1:26">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5.75" customHeight="1" spans="1:26">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5.75" customHeight="1" spans="1:26">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5.75" customHeight="1" spans="1:26">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5.75" customHeight="1" spans="1:26">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5.75" customHeight="1" spans="1:26">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5.75" customHeight="1" spans="1:26">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5.75" customHeight="1" spans="1:26">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5.75" customHeight="1" spans="1:26">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5.75" customHeight="1" spans="1:2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5.75" customHeight="1" spans="1:26">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5.75" customHeight="1" spans="1:26">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5.75" customHeight="1" spans="1:26">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5.75" customHeight="1" spans="1:26">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5.75" customHeight="1" spans="1:26">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5.75" customHeight="1" spans="1:26">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5.75" customHeight="1" spans="1:26">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5.75" customHeight="1" spans="1:26">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5.75" customHeight="1" spans="1:26">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5.75" customHeight="1" spans="1: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5.75" customHeight="1" spans="1:26">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5.75" customHeight="1" spans="1:26">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5.75" customHeight="1" spans="1:26">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5.75" customHeight="1" spans="1:26">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5.75" customHeight="1" spans="1:26">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5.75" customHeight="1" spans="1:26">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5.75" customHeight="1" spans="1:26">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5.75" customHeight="1" spans="1:26">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5.75" customHeight="1" spans="1:26">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5.75" customHeight="1" spans="1:2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5.75" customHeight="1" spans="1:26">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5.75" customHeight="1" spans="1:26">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5.75" customHeight="1" spans="1:26">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5.75" customHeight="1" spans="1:26">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5.75" customHeight="1" spans="1:26">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5.75" customHeight="1" spans="1:26">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5.75" customHeight="1" spans="1:26">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5.75" customHeight="1" spans="1:26">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5.75" customHeight="1" spans="1:26">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5.75" customHeight="1" spans="1:2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5.75" customHeight="1" spans="1:26">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5.75" customHeight="1" spans="1:26">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5.75" customHeight="1" spans="1:26">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5.75" customHeight="1" spans="1:26">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5.75" customHeight="1" spans="1:26">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5.75" customHeight="1" spans="1:26">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5.75" customHeight="1" spans="1:26">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5.75" customHeight="1" spans="1:26">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5.75" customHeight="1" spans="1:26">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5.75" customHeight="1" spans="1:2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5.75" customHeight="1" spans="1:26">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5.75" customHeight="1" spans="1:26">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5.75" customHeight="1" spans="1:26">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5.75" customHeight="1" spans="1:26">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5.75" customHeight="1" spans="1:26">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5.75" customHeight="1" spans="1:26">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5.75" customHeight="1" spans="1:26">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5.75" customHeight="1" spans="1:26">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5.75" customHeight="1" spans="1:26">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5.75" customHeight="1" spans="1:2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5.75" customHeight="1" spans="1:26">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5.75" customHeight="1" spans="1:26">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5.75" customHeight="1" spans="1:26">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5.75" customHeight="1" spans="1:26">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5.75" customHeight="1" spans="1:26">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5.75" customHeight="1" spans="1:26">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5.75" customHeight="1" spans="1:26">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5.75" customHeight="1" spans="1:26">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5.75" customHeight="1" spans="1:26">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5.75" customHeight="1" spans="1:2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5.75" customHeight="1" spans="1:26">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5.75" customHeight="1" spans="1:26">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5.75" customHeight="1" spans="1:26">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5.75" customHeight="1" spans="1:26">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5.75" customHeight="1" spans="1:26">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5.75" customHeight="1" spans="1:26">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5.75" customHeight="1" spans="1:26">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5.75" customHeight="1" spans="1:26">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5.75" customHeight="1" spans="1:26">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5.75" customHeight="1" spans="1:2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5.75" customHeight="1" spans="1:26">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5.75" customHeight="1" spans="1:26">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5.75" customHeight="1" spans="1:26">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5.75" customHeight="1" spans="1:26">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5.75" customHeight="1" spans="1:26">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5.75" customHeight="1" spans="1:26">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5.75" customHeight="1" spans="1:26">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5.75" customHeight="1" spans="1:26">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5.75" customHeight="1" spans="1:26">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5.75" customHeight="1" spans="1:2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5.75" customHeight="1" spans="1:26">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5.75" customHeight="1" spans="1:26">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5.75" customHeight="1" spans="1:26">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5.75" customHeight="1" spans="1:26">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5.75" customHeight="1" spans="1:26">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5.75" customHeight="1" spans="1:26">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5.75" customHeight="1" spans="1:26">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5.75" customHeight="1" spans="1:26">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5.75" customHeight="1" spans="1:26">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5.75" customHeight="1" spans="1:2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5.75" customHeight="1" spans="1:26">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5.75" customHeight="1" spans="1:26">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5.75" customHeight="1" spans="1:26">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5.75" customHeight="1" spans="1:26">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5.75" customHeight="1" spans="1:26">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5.75" customHeight="1" spans="1:26">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5.75" customHeight="1" spans="1:26">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5.75" customHeight="1" spans="1:26">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5.75" customHeight="1" spans="1:26">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5.75" customHeight="1" spans="1:2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5.75" customHeight="1" spans="1:26">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5.75" customHeight="1" spans="1:26">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5.75" customHeight="1" spans="1:26">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5.75" customHeight="1" spans="1:26">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5.75" customHeight="1" spans="1:26">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5.75" customHeight="1" spans="1:26">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5.75" customHeight="1" spans="1:26">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5.75" customHeight="1" spans="1:26">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5.75" customHeight="1" spans="1:26">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5.75" customHeight="1" spans="1: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5.75" customHeight="1" spans="1:26">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5.75" customHeight="1" spans="1:26">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5.75" customHeight="1" spans="1:26">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5.75" customHeight="1" spans="1:26">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5.75" customHeight="1" spans="1:26">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5.75" customHeight="1" spans="1:26">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5.75" customHeight="1" spans="1:26">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5.75" customHeight="1" spans="1:26">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5.75" customHeight="1" spans="1:26">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5.75" customHeight="1" spans="1:2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5.75" customHeight="1" spans="1:26">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5.75" customHeight="1" spans="1:26">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5.75" customHeight="1" spans="1:26">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5.75" customHeight="1" spans="1:26">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5.75" customHeight="1" spans="1:26">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5.75" customHeight="1" spans="1:26">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5.75" customHeight="1" spans="1:26">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5.75" customHeight="1" spans="1:26">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5.75" customHeight="1" spans="1:26">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5.75" customHeight="1" spans="1:2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5.75" customHeight="1" spans="1:26">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5.75" customHeight="1" spans="1:26">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5.75" customHeight="1" spans="1:26">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5.75" customHeight="1" spans="1:26">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5.75" customHeight="1" spans="1:26">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5.75" customHeight="1" spans="1:26">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5.75" customHeight="1" spans="1:26">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5.75" customHeight="1" spans="1:26">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5.75" customHeight="1" spans="1:26">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5.75" customHeight="1" spans="1:2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5.75" customHeight="1" spans="1:26">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5.75" customHeight="1" spans="1:26">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5.75" customHeight="1" spans="1:26">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5.75" customHeight="1" spans="1:26">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5.75" customHeight="1" spans="1:26">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5.75" customHeight="1" spans="1:26">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5.75" customHeight="1" spans="1:26">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5.75" customHeight="1" spans="1:26">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5.75" customHeight="1" spans="1:26">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5.75" customHeight="1" spans="1:2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5.75" customHeight="1" spans="1:26">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5.75" customHeight="1" spans="1:26">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5.75" customHeight="1" spans="1:26">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5.75" customHeight="1" spans="1:26">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5.75" customHeight="1" spans="1:26">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5.75" customHeight="1" spans="1:26">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5.75" customHeight="1" spans="1:26">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5.75" customHeight="1" spans="1:26">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5.75" customHeight="1" spans="1:26">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5.75" customHeight="1" spans="1:2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5.75" customHeight="1" spans="1:26">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5.75" customHeight="1" spans="1:26">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5.75" customHeight="1" spans="1:26">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5.75" customHeight="1" spans="1:26">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5.75" customHeight="1" spans="1:26">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5.75" customHeight="1" spans="1:26">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5.75" customHeight="1" spans="1:26">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5.75" customHeight="1" spans="1:26">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5.75" customHeight="1" spans="1:26">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5.75" customHeight="1" spans="1:2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5.75" customHeight="1" spans="1:26">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5.75" customHeight="1" spans="1:26">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5.75" customHeight="1" spans="1:26">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5.75" customHeight="1" spans="1:26">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5.75" customHeight="1" spans="1:26">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5.75" customHeight="1" spans="1:26">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5.75" customHeight="1" spans="1:26">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5.75" customHeight="1" spans="1:26">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5.75" customHeight="1" spans="1:26">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5.75" customHeight="1" spans="1:2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5.75" customHeight="1" spans="1:26">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5.75" customHeight="1" spans="1:26">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5.75" customHeight="1" spans="1:26">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5.75" customHeight="1" spans="1:26">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5.75" customHeight="1" spans="1:26">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5.75" customHeight="1" spans="1:26">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5.75" customHeight="1" spans="1:26">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5.75" customHeight="1" spans="1:26">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5.75" customHeight="1" spans="1:26">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5.75" customHeight="1" spans="1:2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5.75" customHeight="1" spans="1:26">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5.75" customHeight="1" spans="1:26">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5.75" customHeight="1" spans="1:26">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5.75" customHeight="1" spans="1:26">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5.75" customHeight="1" spans="1:26">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5.75" customHeight="1" spans="1:26">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5.75" customHeight="1" spans="1:26">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5.75" customHeight="1" spans="1:26">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5.75" customHeight="1" spans="1:26">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5.75" customHeight="1" spans="1:2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5.75" customHeight="1" spans="1:26">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5.75" customHeight="1" spans="1:26">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5.75" customHeight="1" spans="1:26">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5.75" customHeight="1" spans="1:26">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5.75" customHeight="1" spans="1:26">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5.75" customHeight="1" spans="1:26">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5.75" customHeight="1" spans="1:26">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5.75" customHeight="1" spans="1:26">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5.75" customHeight="1" spans="1:26">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5.75" customHeight="1" spans="1: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5.75" customHeight="1" spans="1:26">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5.75" customHeight="1" spans="1:26">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5.75" customHeight="1" spans="1:26">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5.75" customHeight="1" spans="1:26">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5.75" customHeight="1" spans="1:26">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5.75" customHeight="1" spans="1:26">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5.75" customHeight="1" spans="1:26">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5.75" customHeight="1" spans="1:26">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5.75" customHeight="1" spans="1:26">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5.75" customHeight="1" spans="1:2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5.75" customHeight="1" spans="1:26">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5.75" customHeight="1" spans="1:26">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5.75" customHeight="1" spans="1:26">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5.75" customHeight="1" spans="1:26">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5.75" customHeight="1" spans="1:26">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5.75" customHeight="1" spans="1:26">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5.75" customHeight="1" spans="1:26">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5.75" customHeight="1" spans="1:26">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5.75" customHeight="1" spans="1:26">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5.75" customHeight="1" spans="1:2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5.75" customHeight="1" spans="1:26">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5.75" customHeight="1" spans="1:26">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5.75" customHeight="1" spans="1:26">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5.75" customHeight="1" spans="1:26">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5.75" customHeight="1" spans="1:26">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5.75" customHeight="1" spans="1:26">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5.75" customHeight="1" spans="1:26">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5.75" customHeight="1" spans="1:26">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5.75" customHeight="1" spans="1:26">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5.75" customHeight="1" spans="1:2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5.75" customHeight="1" spans="1:26">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5.75" customHeight="1" spans="1:26">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5.75" customHeight="1" spans="1:26">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5.75" customHeight="1" spans="1:26">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5.75" customHeight="1" spans="1:26">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5.75" customHeight="1" spans="1:26">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5.75" customHeight="1" spans="1:26">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5.75" customHeight="1" spans="1:26">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5.75" customHeight="1" spans="1:26">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5.75" customHeight="1" spans="1:2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5.75" customHeight="1" spans="1:26">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5.75" customHeight="1" spans="1:26">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5.75" customHeight="1" spans="1:26">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5.75" customHeight="1" spans="1:26">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5.75" customHeight="1" spans="1:26">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5.75" customHeight="1" spans="1:26">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5.75" customHeight="1" spans="1:26">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5.75" customHeight="1" spans="1:26">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5.75" customHeight="1" spans="1:26">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5.75" customHeight="1" spans="1:2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5.75" customHeight="1" spans="1:26">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5.75" customHeight="1" spans="1:26">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5.75" customHeight="1" spans="1:26">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5.75" customHeight="1" spans="1:26">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5.75" customHeight="1" spans="1:26">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5.75" customHeight="1" spans="1:26">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5.75" customHeight="1" spans="1:26">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5.75" customHeight="1" spans="1:26">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5.75" customHeight="1" spans="1:26">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5.75" customHeight="1" spans="1:2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5.75" customHeight="1" spans="1:26">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5.75" customHeight="1" spans="1:26">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5.75" customHeight="1" spans="1:26">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5.75" customHeight="1" spans="1:26">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5.75" customHeight="1" spans="1:26">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5.75" customHeight="1" spans="1:26">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5.75" customHeight="1" spans="1:26">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5.75" customHeight="1" spans="1:26">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5.75" customHeight="1" spans="1:26">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5.75" customHeight="1" spans="1:2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5.75" customHeight="1" spans="1:26">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5.75" customHeight="1" spans="1:26">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5.75" customHeight="1" spans="1:26">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5.75" customHeight="1" spans="1:26">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5.75" customHeight="1" spans="1:26">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5.75" customHeight="1" spans="1:26">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5.75" customHeight="1" spans="1:26">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5.75" customHeight="1" spans="1:26">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5.75" customHeight="1" spans="1:26">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5.75" customHeight="1" spans="1:2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5.75" customHeight="1" spans="1:26">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5.75" customHeight="1" spans="1:26">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5.75" customHeight="1" spans="1:26">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5.75" customHeight="1" spans="1:26">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5.75" customHeight="1" spans="1:26">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5.75" customHeight="1" spans="1:26">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5.75" customHeight="1" spans="1:26">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5.75" customHeight="1" spans="1:26">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5.75" customHeight="1" spans="1:26">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5.75" customHeight="1" spans="1:2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5.75" customHeight="1" spans="1:26">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5.75" customHeight="1" spans="1:26">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5.75" customHeight="1" spans="1:26">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5.75" customHeight="1" spans="1:26">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5.75" customHeight="1" spans="1:26">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5.75" customHeight="1" spans="1:26">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5.75" customHeight="1" spans="1:26">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5.75" customHeight="1" spans="1:26">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5.75" customHeight="1" spans="1:26">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5.75" customHeight="1" spans="1: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5.75" customHeight="1" spans="1:26">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5.75" customHeight="1" spans="1:26">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5.75" customHeight="1" spans="1:26">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5.75" customHeight="1" spans="1:26">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5.75" customHeight="1" spans="1:26">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5.75" customHeight="1" spans="1:26">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5.75" customHeight="1" spans="1:26">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5.75" customHeight="1" spans="1:26">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5.75" customHeight="1" spans="1:26">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5.75" customHeight="1" spans="1:2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5.75" customHeight="1" spans="1:26">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5.75" customHeight="1" spans="1:26">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5.75" customHeight="1" spans="1:26">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5.75" customHeight="1" spans="1:26">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5.75" customHeight="1" spans="1:26">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5.75" customHeight="1" spans="1:26">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5.75" customHeight="1" spans="1:26">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5.75" customHeight="1" spans="1:26">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5.75" customHeight="1" spans="1:26">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5.75" customHeight="1" spans="1:2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5.75" customHeight="1" spans="1:26">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5.75" customHeight="1" spans="1:26">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5.75" customHeight="1" spans="1:26">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5.75" customHeight="1" spans="1:26">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5.75" customHeight="1" spans="1:26">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5.75" customHeight="1" spans="1:26">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5.75" customHeight="1" spans="1:26">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5.75" customHeight="1" spans="1:26">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5.75" customHeight="1" spans="1:26">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5.75" customHeight="1" spans="1:2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5.75" customHeight="1" spans="1:26">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5.75" customHeight="1" spans="1:26">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5.75" customHeight="1" spans="1:26">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5.75" customHeight="1" spans="1:26">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5.75" customHeight="1" spans="1:26">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5.75" customHeight="1" spans="1:26">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5.75" customHeight="1" spans="1:26">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5.75" customHeight="1" spans="1:26">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5.75" customHeight="1" spans="1:26">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5.75" customHeight="1" spans="1:2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5.75" customHeight="1" spans="1:26">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5.75" customHeight="1" spans="1:26">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5.75" customHeight="1" spans="1:26">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5.75" customHeight="1" spans="1:26">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5.75" customHeight="1" spans="1:26">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5.75" customHeight="1" spans="1:26">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5.75" customHeight="1" spans="1:26">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5.75" customHeight="1" spans="1:26">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5.75" customHeight="1" spans="1:26">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5.75" customHeight="1" spans="1:2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5.75" customHeight="1" spans="1:26">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5.75" customHeight="1" spans="1:26">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5.75" customHeight="1" spans="1:26">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5.75" customHeight="1" spans="1:26">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5.75" customHeight="1" spans="1:26">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5.75" customHeight="1" spans="1:26">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5.75" customHeight="1" spans="1:26">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5.75" customHeight="1" spans="1:26">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5.75" customHeight="1" spans="1:26">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5.75" customHeight="1" spans="1:2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5.75" customHeight="1" spans="1:26">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5.75" customHeight="1" spans="1:26">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5.75" customHeight="1" spans="1:26">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5.75" customHeight="1" spans="1:26">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5.75" customHeight="1" spans="1:26">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5.75" customHeight="1" spans="1:26">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5.75" customHeight="1" spans="1:26">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5.75" customHeight="1" spans="1:26">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5.75" customHeight="1" spans="1:26">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5.75" customHeight="1" spans="1:2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5.75" customHeight="1" spans="1:26">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5.75" customHeight="1" spans="1:26">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5.75" customHeight="1" spans="1:26">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5.75" customHeight="1" spans="1:26">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autoFilter xmlns:etc="http://www.wps.cn/officeDocument/2017/etCustomData" ref="A1:F159" etc:filterBottomFollowUsedRange="0">
    <extLst/>
  </autoFilter>
  <dataValidations count="1">
    <dataValidation type="list" allowBlank="1" showErrorMessage="1" sqref="D2:D159">
      <formula1>"Milestone 1,Milestone 2,Milestone 3,Milestone 4,Milestone 5,Phase 5,Phase 6"</formula1>
    </dataValidation>
  </dataValidations>
  <pageMargins left="0.75" right="0.75" top="1" bottom="1"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workbookViewId="0">
      <pane ySplit="2" topLeftCell="A3" activePane="bottomLeft" state="frozen"/>
      <selection/>
      <selection pane="bottomLeft" activeCell="A1" sqref="A1:J1"/>
    </sheetView>
  </sheetViews>
  <sheetFormatPr defaultColWidth="9" defaultRowHeight="16.8"/>
  <cols>
    <col min="1" max="1" width="5.4296875" customWidth="1"/>
    <col min="2" max="2" width="11.4296875" customWidth="1"/>
    <col min="3" max="3" width="13.140625" customWidth="1"/>
    <col min="4" max="4" width="89.2890625" customWidth="1"/>
    <col min="5" max="5" width="14" customWidth="1"/>
    <col min="6" max="6" width="13.5703125" customWidth="1"/>
    <col min="7" max="7" width="11.140625" customWidth="1"/>
    <col min="8" max="8" width="13.2890625" customWidth="1"/>
    <col min="9" max="9" width="18.859375" customWidth="1"/>
    <col min="10" max="10" width="20.4296875" customWidth="1"/>
    <col min="11" max="11" width="9" customWidth="1"/>
  </cols>
  <sheetData>
    <row r="1" ht="16.5" customHeight="1" spans="1:10">
      <c r="A1" s="5" t="s">
        <v>1035</v>
      </c>
      <c r="B1" s="6"/>
      <c r="C1" s="6"/>
      <c r="D1" s="6"/>
      <c r="E1" s="6"/>
      <c r="F1" s="6"/>
      <c r="G1" s="6"/>
      <c r="H1" s="6"/>
      <c r="I1" s="6"/>
      <c r="J1" s="7"/>
    </row>
    <row r="2" ht="16.5" customHeight="1" spans="1:10">
      <c r="A2" s="8" t="s">
        <v>1036</v>
      </c>
      <c r="B2" s="9" t="s">
        <v>3</v>
      </c>
      <c r="C2" s="10" t="s">
        <v>1037</v>
      </c>
      <c r="D2" s="11" t="s">
        <v>1038</v>
      </c>
      <c r="E2" s="8" t="s">
        <v>1039</v>
      </c>
      <c r="F2" s="9" t="s">
        <v>1040</v>
      </c>
      <c r="G2" s="9" t="s">
        <v>5</v>
      </c>
      <c r="H2" s="9" t="s">
        <v>10</v>
      </c>
      <c r="I2" s="9" t="s">
        <v>11</v>
      </c>
      <c r="J2" s="9" t="s">
        <v>7</v>
      </c>
    </row>
    <row r="3" ht="33.75" customHeight="1" spans="1:10">
      <c r="A3" s="12">
        <v>1</v>
      </c>
      <c r="B3" s="13" t="s">
        <v>690</v>
      </c>
      <c r="C3" s="14"/>
      <c r="D3" s="15" t="s">
        <v>1041</v>
      </c>
      <c r="E3" s="14"/>
      <c r="F3" s="13"/>
      <c r="G3" s="13"/>
      <c r="H3" s="13"/>
      <c r="I3" s="13"/>
      <c r="J3" s="13"/>
    </row>
    <row r="4" ht="16.5" customHeight="1" spans="1:10">
      <c r="A4" s="16"/>
      <c r="B4" s="13" t="s">
        <v>690</v>
      </c>
      <c r="C4" s="17" t="s">
        <v>1042</v>
      </c>
      <c r="D4" s="15" t="s">
        <v>1043</v>
      </c>
      <c r="E4" s="14">
        <v>2</v>
      </c>
      <c r="F4" s="13" t="s">
        <v>381</v>
      </c>
      <c r="G4" s="13" t="s">
        <v>38</v>
      </c>
      <c r="H4" s="18">
        <v>46237</v>
      </c>
      <c r="I4" s="18">
        <v>46237</v>
      </c>
      <c r="J4" s="18">
        <v>46234</v>
      </c>
    </row>
    <row r="5" ht="16.5" customHeight="1" spans="1:10">
      <c r="A5" s="16"/>
      <c r="B5" s="13" t="s">
        <v>690</v>
      </c>
      <c r="C5" s="16"/>
      <c r="D5" s="15" t="s">
        <v>1044</v>
      </c>
      <c r="E5" s="14">
        <v>10</v>
      </c>
      <c r="F5" s="13" t="s">
        <v>381</v>
      </c>
      <c r="G5" s="13" t="s">
        <v>38</v>
      </c>
      <c r="H5" s="18">
        <v>46237</v>
      </c>
      <c r="I5" s="18">
        <v>46238</v>
      </c>
      <c r="J5" s="18">
        <v>46234</v>
      </c>
    </row>
    <row r="6" ht="16.5" customHeight="1" spans="1:10">
      <c r="A6" s="16"/>
      <c r="B6" s="13" t="s">
        <v>690</v>
      </c>
      <c r="C6" s="16"/>
      <c r="D6" s="15" t="s">
        <v>1045</v>
      </c>
      <c r="E6" s="14">
        <v>8</v>
      </c>
      <c r="F6" s="13" t="s">
        <v>381</v>
      </c>
      <c r="G6" s="13" t="s">
        <v>38</v>
      </c>
      <c r="H6" s="18">
        <v>46238</v>
      </c>
      <c r="I6" s="18">
        <v>46239</v>
      </c>
      <c r="J6" s="18">
        <v>46234</v>
      </c>
    </row>
    <row r="7" ht="16.5" customHeight="1" spans="1:10">
      <c r="A7" s="16"/>
      <c r="B7" s="13" t="s">
        <v>690</v>
      </c>
      <c r="C7" s="19"/>
      <c r="D7" s="15" t="s">
        <v>1046</v>
      </c>
      <c r="E7" s="14">
        <v>4</v>
      </c>
      <c r="F7" s="13" t="s">
        <v>381</v>
      </c>
      <c r="G7" s="13" t="s">
        <v>38</v>
      </c>
      <c r="H7" s="18">
        <v>46239</v>
      </c>
      <c r="I7" s="18">
        <v>46239</v>
      </c>
      <c r="J7" s="18">
        <v>46234</v>
      </c>
    </row>
    <row r="8" ht="16.5" customHeight="1" spans="1:10">
      <c r="A8" s="16"/>
      <c r="B8" s="13" t="s">
        <v>690</v>
      </c>
      <c r="C8" s="20" t="s">
        <v>1047</v>
      </c>
      <c r="D8" s="15" t="s">
        <v>1048</v>
      </c>
      <c r="E8" s="14">
        <v>16</v>
      </c>
      <c r="F8" s="13" t="s">
        <v>158</v>
      </c>
      <c r="G8" s="13" t="s">
        <v>38</v>
      </c>
      <c r="H8" s="18">
        <v>46237</v>
      </c>
      <c r="I8" s="18">
        <v>46238</v>
      </c>
      <c r="J8" s="18">
        <v>46234</v>
      </c>
    </row>
    <row r="9" ht="33.75" customHeight="1" spans="1:10">
      <c r="A9" s="16"/>
      <c r="B9" s="13" t="s">
        <v>370</v>
      </c>
      <c r="C9" s="17" t="s">
        <v>1049</v>
      </c>
      <c r="D9" s="15" t="s">
        <v>1050</v>
      </c>
      <c r="E9" s="14">
        <v>8</v>
      </c>
      <c r="F9" s="13" t="s">
        <v>204</v>
      </c>
      <c r="G9" s="13" t="s">
        <v>26</v>
      </c>
      <c r="H9" s="18">
        <v>46237</v>
      </c>
      <c r="I9" s="18">
        <v>46237</v>
      </c>
      <c r="J9" s="18">
        <v>46234</v>
      </c>
    </row>
    <row r="10" ht="16.5" customHeight="1" spans="1:10">
      <c r="A10" s="16"/>
      <c r="B10" s="13" t="s">
        <v>370</v>
      </c>
      <c r="C10" s="19"/>
      <c r="D10" s="15" t="s">
        <v>1051</v>
      </c>
      <c r="E10" s="14">
        <v>16</v>
      </c>
      <c r="F10" s="13" t="s">
        <v>204</v>
      </c>
      <c r="G10" s="13" t="s">
        <v>38</v>
      </c>
      <c r="H10" s="18">
        <v>46238</v>
      </c>
      <c r="I10" s="18">
        <v>46239</v>
      </c>
      <c r="J10" s="18">
        <v>46234</v>
      </c>
    </row>
    <row r="11" ht="16.5" customHeight="1" spans="1:10">
      <c r="A11" s="19"/>
      <c r="B11" s="13" t="s">
        <v>690</v>
      </c>
      <c r="C11" s="17" t="s">
        <v>1052</v>
      </c>
      <c r="D11" s="15" t="s">
        <v>1053</v>
      </c>
      <c r="E11" s="14">
        <v>0</v>
      </c>
      <c r="F11" s="13" t="s">
        <v>36</v>
      </c>
      <c r="G11" s="13" t="s">
        <v>38</v>
      </c>
      <c r="H11" s="18">
        <v>46237</v>
      </c>
      <c r="I11" s="18">
        <v>46237</v>
      </c>
      <c r="J11" s="18">
        <v>46234</v>
      </c>
    </row>
    <row r="12" ht="33.75" customHeight="1" spans="1:10">
      <c r="A12" s="14">
        <v>2</v>
      </c>
      <c r="B12" s="13" t="s">
        <v>370</v>
      </c>
      <c r="C12" s="21"/>
      <c r="D12" s="15" t="s">
        <v>1054</v>
      </c>
      <c r="E12" s="14"/>
      <c r="F12" s="13"/>
      <c r="G12" s="13" t="s">
        <v>38</v>
      </c>
      <c r="H12" s="13"/>
      <c r="I12" s="13"/>
      <c r="J12" s="18">
        <v>46234</v>
      </c>
    </row>
    <row r="13" ht="16.5" customHeight="1" spans="1:10">
      <c r="A13" s="22">
        <v>3</v>
      </c>
      <c r="B13" s="13" t="s">
        <v>1055</v>
      </c>
      <c r="C13" s="14"/>
      <c r="D13" s="23" t="s">
        <v>1056</v>
      </c>
      <c r="E13" s="14"/>
      <c r="F13" s="13"/>
      <c r="G13" s="13"/>
      <c r="H13" s="13"/>
      <c r="I13" s="13"/>
      <c r="J13" s="13"/>
    </row>
    <row r="14" ht="16.5" customHeight="1" spans="1:10">
      <c r="A14" s="16"/>
      <c r="B14" s="13" t="s">
        <v>1055</v>
      </c>
      <c r="C14" s="14" t="s">
        <v>1057</v>
      </c>
      <c r="D14" s="23" t="s">
        <v>1058</v>
      </c>
      <c r="E14" s="14"/>
      <c r="F14" s="13"/>
      <c r="G14" s="13"/>
      <c r="H14" s="13"/>
      <c r="I14" s="13"/>
      <c r="J14" s="13"/>
    </row>
    <row r="15" ht="16.5" customHeight="1" spans="1:10">
      <c r="A15" s="16"/>
      <c r="B15" s="13" t="s">
        <v>1055</v>
      </c>
      <c r="C15" s="14" t="s">
        <v>1059</v>
      </c>
      <c r="D15" s="23" t="s">
        <v>1060</v>
      </c>
      <c r="E15" s="14"/>
      <c r="F15" s="13"/>
      <c r="G15" s="13"/>
      <c r="H15" s="13"/>
      <c r="I15" s="13"/>
      <c r="J15" s="13"/>
    </row>
    <row r="16" ht="16.5" customHeight="1" spans="1:10">
      <c r="A16" s="16"/>
      <c r="B16" s="13" t="s">
        <v>1055</v>
      </c>
      <c r="C16" s="14" t="s">
        <v>1061</v>
      </c>
      <c r="D16" s="13" t="s">
        <v>1062</v>
      </c>
      <c r="E16" s="14"/>
      <c r="F16" s="13"/>
      <c r="G16" s="13"/>
      <c r="H16" s="13"/>
      <c r="I16" s="13"/>
      <c r="J16" s="13"/>
    </row>
    <row r="17" ht="16.5" customHeight="1" spans="1:10">
      <c r="A17" s="16"/>
      <c r="B17" s="13" t="s">
        <v>1055</v>
      </c>
      <c r="C17" s="14" t="s">
        <v>1063</v>
      </c>
      <c r="D17" s="13"/>
      <c r="E17" s="14"/>
      <c r="F17" s="13"/>
      <c r="G17" s="13"/>
      <c r="H17" s="13"/>
      <c r="I17" s="13"/>
      <c r="J17" s="13"/>
    </row>
    <row r="18" ht="16.5" customHeight="1" spans="1:10">
      <c r="A18" s="16"/>
      <c r="B18" s="13" t="s">
        <v>1055</v>
      </c>
      <c r="C18" s="14" t="s">
        <v>1064</v>
      </c>
      <c r="D18" s="13"/>
      <c r="E18" s="14"/>
      <c r="F18" s="13"/>
      <c r="G18" s="13"/>
      <c r="H18" s="13"/>
      <c r="I18" s="13"/>
      <c r="J18" s="13"/>
    </row>
    <row r="19" ht="16.5" customHeight="1" spans="1:10">
      <c r="A19" s="16"/>
      <c r="B19" s="13" t="s">
        <v>1055</v>
      </c>
      <c r="C19" s="14" t="s">
        <v>1065</v>
      </c>
      <c r="D19" s="13"/>
      <c r="E19" s="14"/>
      <c r="F19" s="13"/>
      <c r="G19" s="13"/>
      <c r="H19" s="13"/>
      <c r="I19" s="13"/>
      <c r="J19" s="13"/>
    </row>
    <row r="20" ht="16.5" customHeight="1" spans="1:10">
      <c r="A20" s="16"/>
      <c r="B20" s="13" t="s">
        <v>1055</v>
      </c>
      <c r="C20" s="14" t="s">
        <v>1066</v>
      </c>
      <c r="D20" s="13"/>
      <c r="E20" s="14"/>
      <c r="F20" s="13"/>
      <c r="G20" s="13"/>
      <c r="H20" s="13"/>
      <c r="I20" s="13"/>
      <c r="J20" s="13"/>
    </row>
    <row r="21" ht="16.5" customHeight="1" spans="1:10">
      <c r="A21" s="19"/>
      <c r="B21" s="13" t="s">
        <v>1055</v>
      </c>
      <c r="C21" s="14" t="s">
        <v>1067</v>
      </c>
      <c r="D21" s="13"/>
      <c r="E21" s="14"/>
      <c r="F21" s="13"/>
      <c r="G21" s="13"/>
      <c r="H21" s="13"/>
      <c r="I21" s="13"/>
      <c r="J21" s="13"/>
    </row>
    <row r="22" ht="16.5" customHeight="1" spans="1:10">
      <c r="A22" s="14">
        <v>4</v>
      </c>
      <c r="B22" s="13"/>
      <c r="C22" s="14"/>
      <c r="D22" s="13"/>
      <c r="E22" s="14"/>
      <c r="F22" s="13"/>
      <c r="G22" s="13"/>
      <c r="H22" s="13"/>
      <c r="I22" s="13"/>
      <c r="J22" s="13"/>
    </row>
    <row r="23" ht="16.5" customHeight="1" spans="1:10">
      <c r="A23" s="14">
        <v>5</v>
      </c>
      <c r="B23" s="13"/>
      <c r="C23" s="14"/>
      <c r="D23" s="13"/>
      <c r="E23" s="14"/>
      <c r="F23" s="13"/>
      <c r="G23" s="13"/>
      <c r="H23" s="13"/>
      <c r="I23" s="13"/>
      <c r="J23" s="13"/>
    </row>
    <row r="24" ht="16.5" customHeight="1" spans="1:10">
      <c r="A24" s="14">
        <v>6</v>
      </c>
      <c r="B24" s="13"/>
      <c r="C24" s="14"/>
      <c r="D24" s="13"/>
      <c r="E24" s="14"/>
      <c r="F24" s="13"/>
      <c r="G24" s="13"/>
      <c r="H24" s="13"/>
      <c r="I24" s="13"/>
      <c r="J24" s="13"/>
    </row>
    <row r="25" ht="16.5" customHeight="1" spans="1:10">
      <c r="A25" s="14">
        <v>7</v>
      </c>
      <c r="B25" s="13"/>
      <c r="C25" s="14"/>
      <c r="D25" s="13"/>
      <c r="E25" s="14"/>
      <c r="F25" s="13"/>
      <c r="G25" s="13"/>
      <c r="H25" s="13"/>
      <c r="I25" s="13"/>
      <c r="J25" s="13"/>
    </row>
    <row r="26" ht="16.5" customHeight="1" spans="1:10">
      <c r="A26" s="14">
        <v>8</v>
      </c>
      <c r="B26" s="13"/>
      <c r="C26" s="14"/>
      <c r="D26" s="13"/>
      <c r="E26" s="14"/>
      <c r="F26" s="13"/>
      <c r="G26" s="13"/>
      <c r="H26" s="13"/>
      <c r="I26" s="13"/>
      <c r="J26" s="13"/>
    </row>
    <row r="27" ht="16.5" customHeight="1" spans="1:10">
      <c r="A27" s="14">
        <v>9</v>
      </c>
      <c r="B27" s="13"/>
      <c r="C27" s="14"/>
      <c r="D27" s="13"/>
      <c r="E27" s="14"/>
      <c r="F27" s="13"/>
      <c r="G27" s="13"/>
      <c r="H27" s="13"/>
      <c r="I27" s="13"/>
      <c r="J27" s="13"/>
    </row>
    <row r="28" ht="16.5" customHeight="1" spans="1:10">
      <c r="A28" s="14">
        <v>10</v>
      </c>
      <c r="B28" s="13"/>
      <c r="C28" s="14"/>
      <c r="D28" s="13"/>
      <c r="E28" s="14"/>
      <c r="F28" s="13"/>
      <c r="G28" s="13"/>
      <c r="H28" s="13"/>
      <c r="I28" s="13"/>
      <c r="J28" s="13"/>
    </row>
  </sheetData>
  <mergeCells count="5">
    <mergeCell ref="A1:J1"/>
    <mergeCell ref="A3:A11"/>
    <mergeCell ref="A13:A21"/>
    <mergeCell ref="C4:C7"/>
    <mergeCell ref="C9:C1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59"/>
  <sheetViews>
    <sheetView workbookViewId="0">
      <pane ySplit="1" topLeftCell="A2" activePane="bottomLeft" state="frozen"/>
      <selection/>
      <selection pane="bottomLeft" activeCell="A1" sqref="A1"/>
    </sheetView>
  </sheetViews>
  <sheetFormatPr defaultColWidth="9" defaultRowHeight="16.8" outlineLevelCol="7"/>
  <cols>
    <col min="1" max="1" width="5.4296875" customWidth="1"/>
    <col min="2" max="2" width="10.859375" customWidth="1"/>
    <col min="3" max="3" width="18.2890625" customWidth="1"/>
    <col min="4" max="4" width="80" customWidth="1"/>
    <col min="5" max="5" width="30" customWidth="1"/>
    <col min="6" max="6" width="28.859375" customWidth="1"/>
    <col min="7" max="7" width="10.2890625" customWidth="1"/>
    <col min="8" max="8" width="93.140625" customWidth="1"/>
  </cols>
  <sheetData>
    <row r="1" ht="16.5" customHeight="1" spans="1:8">
      <c r="A1" s="1" t="s">
        <v>1036</v>
      </c>
      <c r="B1" s="1" t="s">
        <v>13</v>
      </c>
      <c r="C1" s="1" t="s">
        <v>1068</v>
      </c>
      <c r="D1" s="2" t="s">
        <v>1069</v>
      </c>
      <c r="E1" s="1" t="s">
        <v>5</v>
      </c>
      <c r="F1" s="1" t="s">
        <v>1070</v>
      </c>
      <c r="G1" s="1" t="s">
        <v>1071</v>
      </c>
      <c r="H1" s="2" t="s">
        <v>1072</v>
      </c>
    </row>
    <row r="2" ht="16.5" customHeight="1" spans="1:8">
      <c r="A2" s="3">
        <v>1</v>
      </c>
      <c r="B2" s="3" t="s">
        <v>1073</v>
      </c>
      <c r="C2" s="3" t="s">
        <v>1074</v>
      </c>
      <c r="D2" s="4" t="s">
        <v>1075</v>
      </c>
      <c r="E2" s="3" t="s">
        <v>1076</v>
      </c>
      <c r="F2" s="3" t="s">
        <v>1077</v>
      </c>
      <c r="G2" s="3" t="s">
        <v>45</v>
      </c>
      <c r="H2" s="4" t="s">
        <v>1078</v>
      </c>
    </row>
    <row r="3" ht="16.5" customHeight="1" spans="1:8">
      <c r="A3" s="3">
        <v>2</v>
      </c>
      <c r="B3" s="3" t="s">
        <v>1079</v>
      </c>
      <c r="C3" s="3" t="s">
        <v>1074</v>
      </c>
      <c r="D3" s="4" t="s">
        <v>1080</v>
      </c>
      <c r="E3" s="3" t="s">
        <v>1076</v>
      </c>
      <c r="F3" s="3" t="s">
        <v>1077</v>
      </c>
      <c r="G3" s="3"/>
      <c r="H3" s="4" t="s">
        <v>1081</v>
      </c>
    </row>
    <row r="4" ht="16.5" customHeight="1" spans="1:8">
      <c r="A4" s="3">
        <v>3</v>
      </c>
      <c r="B4" s="3" t="s">
        <v>1082</v>
      </c>
      <c r="C4" s="3" t="s">
        <v>1074</v>
      </c>
      <c r="D4" s="4" t="s">
        <v>1083</v>
      </c>
      <c r="E4" s="3" t="s">
        <v>1076</v>
      </c>
      <c r="F4" s="3" t="s">
        <v>1077</v>
      </c>
      <c r="G4" s="3" t="s">
        <v>45</v>
      </c>
      <c r="H4" s="4" t="s">
        <v>1084</v>
      </c>
    </row>
    <row r="5" ht="16.5" customHeight="1" spans="1:8">
      <c r="A5" s="3">
        <v>4</v>
      </c>
      <c r="B5" s="3" t="s">
        <v>1085</v>
      </c>
      <c r="C5" s="3" t="s">
        <v>1074</v>
      </c>
      <c r="D5" s="4" t="s">
        <v>1086</v>
      </c>
      <c r="E5" s="3" t="s">
        <v>1076</v>
      </c>
      <c r="F5" s="3" t="s">
        <v>1077</v>
      </c>
      <c r="G5" s="3" t="s">
        <v>45</v>
      </c>
      <c r="H5" s="4" t="s">
        <v>1087</v>
      </c>
    </row>
    <row r="6" ht="16.5" customHeight="1" spans="1:8">
      <c r="A6" s="3">
        <v>5</v>
      </c>
      <c r="B6" s="3" t="s">
        <v>1088</v>
      </c>
      <c r="C6" s="3" t="s">
        <v>1074</v>
      </c>
      <c r="D6" s="4" t="s">
        <v>1089</v>
      </c>
      <c r="E6" s="3" t="s">
        <v>1076</v>
      </c>
      <c r="F6" s="3" t="s">
        <v>1077</v>
      </c>
      <c r="G6" s="3" t="s">
        <v>45</v>
      </c>
      <c r="H6" s="4" t="s">
        <v>1090</v>
      </c>
    </row>
    <row r="7" ht="16.5" customHeight="1" spans="1:8">
      <c r="A7" s="3">
        <v>6</v>
      </c>
      <c r="B7" s="3" t="s">
        <v>1091</v>
      </c>
      <c r="C7" s="3" t="s">
        <v>1074</v>
      </c>
      <c r="D7" s="4" t="s">
        <v>1092</v>
      </c>
      <c r="E7" s="3" t="s">
        <v>1076</v>
      </c>
      <c r="F7" s="3" t="s">
        <v>1077</v>
      </c>
      <c r="G7" s="3" t="s">
        <v>45</v>
      </c>
      <c r="H7" s="4" t="s">
        <v>1087</v>
      </c>
    </row>
    <row r="8" ht="16.5" customHeight="1" spans="1:8">
      <c r="A8" s="3">
        <v>7</v>
      </c>
      <c r="B8" s="3" t="s">
        <v>1093</v>
      </c>
      <c r="C8" s="3" t="s">
        <v>1074</v>
      </c>
      <c r="D8" s="4" t="s">
        <v>1094</v>
      </c>
      <c r="E8" s="3" t="s">
        <v>1076</v>
      </c>
      <c r="F8" s="3" t="s">
        <v>1077</v>
      </c>
      <c r="G8" s="3" t="s">
        <v>321</v>
      </c>
      <c r="H8" s="4" t="s">
        <v>1095</v>
      </c>
    </row>
    <row r="9" ht="16.5" customHeight="1" spans="1:8">
      <c r="A9" s="3">
        <v>8</v>
      </c>
      <c r="B9" s="3" t="s">
        <v>66</v>
      </c>
      <c r="C9" s="3" t="s">
        <v>1074</v>
      </c>
      <c r="D9" s="4" t="s">
        <v>1096</v>
      </c>
      <c r="E9" s="3" t="s">
        <v>1076</v>
      </c>
      <c r="F9" s="3" t="s">
        <v>1077</v>
      </c>
      <c r="G9" s="3" t="s">
        <v>45</v>
      </c>
      <c r="H9" s="4" t="s">
        <v>1081</v>
      </c>
    </row>
    <row r="10" ht="16.5" customHeight="1" spans="1:8">
      <c r="A10" s="3">
        <v>9</v>
      </c>
      <c r="B10" s="3" t="s">
        <v>1097</v>
      </c>
      <c r="C10" s="3" t="s">
        <v>1074</v>
      </c>
      <c r="D10" s="4" t="s">
        <v>136</v>
      </c>
      <c r="E10" s="3" t="s">
        <v>1076</v>
      </c>
      <c r="F10" s="3" t="s">
        <v>1077</v>
      </c>
      <c r="G10" s="3" t="s">
        <v>45</v>
      </c>
      <c r="H10" s="4" t="s">
        <v>1081</v>
      </c>
    </row>
    <row r="11" ht="16.5" customHeight="1" spans="1:8">
      <c r="A11" s="3">
        <v>10</v>
      </c>
      <c r="B11" s="3" t="s">
        <v>47</v>
      </c>
      <c r="C11" s="3" t="s">
        <v>1074</v>
      </c>
      <c r="D11" s="4" t="s">
        <v>1098</v>
      </c>
      <c r="E11" s="3" t="s">
        <v>1076</v>
      </c>
      <c r="F11" s="3" t="s">
        <v>1077</v>
      </c>
      <c r="G11" s="3" t="s">
        <v>45</v>
      </c>
      <c r="H11" s="4" t="s">
        <v>1087</v>
      </c>
    </row>
    <row r="12" ht="16.5" customHeight="1" spans="1:8">
      <c r="A12" s="3">
        <v>11</v>
      </c>
      <c r="B12" s="3" t="s">
        <v>64</v>
      </c>
      <c r="C12" s="3" t="s">
        <v>1099</v>
      </c>
      <c r="D12" s="4" t="s">
        <v>1100</v>
      </c>
      <c r="E12" s="3" t="s">
        <v>770</v>
      </c>
      <c r="F12" s="3" t="s">
        <v>1077</v>
      </c>
      <c r="G12" s="3" t="s">
        <v>45</v>
      </c>
      <c r="H12" s="4"/>
    </row>
    <row r="13" ht="16.5" customHeight="1" spans="1:8">
      <c r="A13" s="3">
        <v>12</v>
      </c>
      <c r="B13" s="3" t="s">
        <v>60</v>
      </c>
      <c r="C13" s="3" t="s">
        <v>1074</v>
      </c>
      <c r="D13" s="4" t="s">
        <v>1101</v>
      </c>
      <c r="E13" s="3" t="s">
        <v>1076</v>
      </c>
      <c r="F13" s="3" t="s">
        <v>1077</v>
      </c>
      <c r="G13" s="3" t="s">
        <v>45</v>
      </c>
      <c r="H13" s="4" t="s">
        <v>1081</v>
      </c>
    </row>
    <row r="14" ht="16.5" customHeight="1" spans="1:8">
      <c r="A14" s="3">
        <v>13</v>
      </c>
      <c r="B14" s="3" t="s">
        <v>1102</v>
      </c>
      <c r="C14" s="3" t="s">
        <v>1074</v>
      </c>
      <c r="D14" s="4" t="s">
        <v>1103</v>
      </c>
      <c r="E14" s="3" t="s">
        <v>1076</v>
      </c>
      <c r="F14" s="3" t="s">
        <v>1077</v>
      </c>
      <c r="G14" s="3" t="s">
        <v>45</v>
      </c>
      <c r="H14" s="4" t="s">
        <v>1087</v>
      </c>
    </row>
    <row r="15" ht="16.5" customHeight="1" spans="1:8">
      <c r="A15" s="3">
        <v>14</v>
      </c>
      <c r="B15" s="3" t="s">
        <v>1104</v>
      </c>
      <c r="C15" s="3" t="s">
        <v>1105</v>
      </c>
      <c r="D15" s="4" t="s">
        <v>1106</v>
      </c>
      <c r="E15" s="3" t="s">
        <v>1076</v>
      </c>
      <c r="F15" s="3" t="s">
        <v>1077</v>
      </c>
      <c r="G15" s="3" t="s">
        <v>321</v>
      </c>
      <c r="H15" s="4" t="s">
        <v>1107</v>
      </c>
    </row>
    <row r="16" ht="16.5" customHeight="1" spans="1:8">
      <c r="A16" s="3">
        <v>15</v>
      </c>
      <c r="B16" s="3" t="s">
        <v>1108</v>
      </c>
      <c r="C16" s="3" t="s">
        <v>1105</v>
      </c>
      <c r="D16" s="4" t="s">
        <v>1109</v>
      </c>
      <c r="E16" s="3" t="s">
        <v>1076</v>
      </c>
      <c r="F16" s="3" t="s">
        <v>1077</v>
      </c>
      <c r="G16" s="3"/>
      <c r="H16" s="4" t="s">
        <v>1110</v>
      </c>
    </row>
    <row r="17" ht="16.5" customHeight="1" spans="1:8">
      <c r="A17" s="3">
        <v>16</v>
      </c>
      <c r="B17" s="3" t="s">
        <v>1111</v>
      </c>
      <c r="C17" s="3" t="s">
        <v>1105</v>
      </c>
      <c r="D17" s="4" t="s">
        <v>1112</v>
      </c>
      <c r="E17" s="3" t="s">
        <v>1076</v>
      </c>
      <c r="F17" s="3" t="s">
        <v>1077</v>
      </c>
      <c r="G17" s="3"/>
      <c r="H17" s="4" t="s">
        <v>1110</v>
      </c>
    </row>
    <row r="18" ht="16.5" customHeight="1" spans="1:8">
      <c r="A18" s="3">
        <v>17</v>
      </c>
      <c r="B18" s="3" t="s">
        <v>1113</v>
      </c>
      <c r="C18" s="3" t="s">
        <v>1105</v>
      </c>
      <c r="D18" s="4" t="s">
        <v>1114</v>
      </c>
      <c r="E18" s="3" t="s">
        <v>1076</v>
      </c>
      <c r="F18" s="3" t="s">
        <v>1077</v>
      </c>
      <c r="G18" s="3"/>
      <c r="H18" s="4" t="s">
        <v>1110</v>
      </c>
    </row>
    <row r="19" ht="16.5" customHeight="1" spans="1:8">
      <c r="A19" s="3">
        <v>18</v>
      </c>
      <c r="B19" s="3" t="s">
        <v>1115</v>
      </c>
      <c r="C19" s="3" t="s">
        <v>1105</v>
      </c>
      <c r="D19" s="4" t="s">
        <v>1116</v>
      </c>
      <c r="E19" s="3" t="s">
        <v>1076</v>
      </c>
      <c r="F19" s="3" t="s">
        <v>1077</v>
      </c>
      <c r="G19" s="3"/>
      <c r="H19" s="4" t="s">
        <v>1110</v>
      </c>
    </row>
    <row r="20" ht="16.5" customHeight="1" spans="1:8">
      <c r="A20" s="3">
        <v>19</v>
      </c>
      <c r="B20" s="3" t="s">
        <v>1117</v>
      </c>
      <c r="C20" s="3" t="s">
        <v>1105</v>
      </c>
      <c r="D20" s="4" t="s">
        <v>1118</v>
      </c>
      <c r="E20" s="3" t="s">
        <v>1076</v>
      </c>
      <c r="F20" s="3" t="s">
        <v>1077</v>
      </c>
      <c r="G20" s="3" t="s">
        <v>45</v>
      </c>
      <c r="H20" s="4" t="s">
        <v>1119</v>
      </c>
    </row>
    <row r="21" ht="16.5" customHeight="1" spans="1:8">
      <c r="A21" s="3">
        <v>20</v>
      </c>
      <c r="B21" s="3" t="s">
        <v>1120</v>
      </c>
      <c r="C21" s="3" t="s">
        <v>1105</v>
      </c>
      <c r="D21" s="4" t="s">
        <v>1121</v>
      </c>
      <c r="E21" s="3" t="s">
        <v>1076</v>
      </c>
      <c r="F21" s="3" t="s">
        <v>1077</v>
      </c>
      <c r="G21" s="3" t="s">
        <v>45</v>
      </c>
      <c r="H21" s="4" t="s">
        <v>1119</v>
      </c>
    </row>
    <row r="22" ht="16.5" customHeight="1" spans="1:8">
      <c r="A22" s="3">
        <v>21</v>
      </c>
      <c r="B22" s="3" t="s">
        <v>1122</v>
      </c>
      <c r="C22" s="3" t="s">
        <v>1105</v>
      </c>
      <c r="D22" s="4" t="s">
        <v>1123</v>
      </c>
      <c r="E22" s="3" t="s">
        <v>1076</v>
      </c>
      <c r="F22" s="3" t="s">
        <v>1077</v>
      </c>
      <c r="G22" s="3" t="s">
        <v>45</v>
      </c>
      <c r="H22" s="4" t="s">
        <v>1119</v>
      </c>
    </row>
    <row r="23" ht="16.5" customHeight="1" spans="1:8">
      <c r="A23" s="3">
        <v>22</v>
      </c>
      <c r="B23" s="3" t="s">
        <v>1124</v>
      </c>
      <c r="C23" s="3" t="s">
        <v>1105</v>
      </c>
      <c r="D23" s="4" t="s">
        <v>1125</v>
      </c>
      <c r="E23" s="3" t="s">
        <v>1076</v>
      </c>
      <c r="F23" s="3" t="s">
        <v>1077</v>
      </c>
      <c r="G23" s="3"/>
      <c r="H23" s="4" t="s">
        <v>1126</v>
      </c>
    </row>
    <row r="24" ht="16.5" customHeight="1" spans="1:8">
      <c r="A24" s="3">
        <v>23</v>
      </c>
      <c r="B24" s="3" t="s">
        <v>1127</v>
      </c>
      <c r="C24" s="3" t="s">
        <v>1105</v>
      </c>
      <c r="D24" s="4" t="s">
        <v>1128</v>
      </c>
      <c r="E24" s="3" t="s">
        <v>1076</v>
      </c>
      <c r="F24" s="3" t="s">
        <v>1077</v>
      </c>
      <c r="G24" s="3" t="s">
        <v>45</v>
      </c>
      <c r="H24" s="4" t="s">
        <v>1129</v>
      </c>
    </row>
    <row r="25" ht="16.5" customHeight="1" spans="1:8">
      <c r="A25" s="3">
        <v>24</v>
      </c>
      <c r="B25" s="3" t="s">
        <v>1130</v>
      </c>
      <c r="C25" s="3" t="s">
        <v>1105</v>
      </c>
      <c r="D25" s="4" t="s">
        <v>1131</v>
      </c>
      <c r="E25" s="3" t="s">
        <v>1076</v>
      </c>
      <c r="F25" s="3" t="s">
        <v>1077</v>
      </c>
      <c r="G25" s="3" t="s">
        <v>45</v>
      </c>
      <c r="H25" s="4" t="s">
        <v>1129</v>
      </c>
    </row>
    <row r="26" ht="16.5" customHeight="1" spans="1:8">
      <c r="A26" s="3">
        <v>25</v>
      </c>
      <c r="B26" s="3" t="s">
        <v>1132</v>
      </c>
      <c r="C26" s="3" t="s">
        <v>1105</v>
      </c>
      <c r="D26" s="4" t="s">
        <v>1133</v>
      </c>
      <c r="E26" s="3" t="s">
        <v>1076</v>
      </c>
      <c r="F26" s="3" t="s">
        <v>1077</v>
      </c>
      <c r="G26" s="3" t="s">
        <v>45</v>
      </c>
      <c r="H26" s="4" t="s">
        <v>1129</v>
      </c>
    </row>
    <row r="27" ht="16.5" customHeight="1" spans="1:8">
      <c r="A27" s="3">
        <v>26</v>
      </c>
      <c r="B27" s="3" t="s">
        <v>1134</v>
      </c>
      <c r="C27" s="3" t="s">
        <v>1105</v>
      </c>
      <c r="D27" s="4" t="s">
        <v>44</v>
      </c>
      <c r="E27" s="3" t="s">
        <v>1076</v>
      </c>
      <c r="F27" s="3" t="s">
        <v>1077</v>
      </c>
      <c r="G27" s="3" t="s">
        <v>45</v>
      </c>
      <c r="H27" s="4" t="s">
        <v>1135</v>
      </c>
    </row>
    <row r="28" ht="16.5" customHeight="1" spans="1:8">
      <c r="A28" s="3">
        <v>27</v>
      </c>
      <c r="B28" s="3" t="s">
        <v>1136</v>
      </c>
      <c r="C28" s="3" t="s">
        <v>1105</v>
      </c>
      <c r="D28" s="4" t="s">
        <v>1137</v>
      </c>
      <c r="E28" s="3" t="s">
        <v>1076</v>
      </c>
      <c r="F28" s="3" t="s">
        <v>1077</v>
      </c>
      <c r="G28" s="3" t="s">
        <v>45</v>
      </c>
      <c r="H28" s="4" t="s">
        <v>1135</v>
      </c>
    </row>
    <row r="29" ht="16.5" customHeight="1" spans="1:8">
      <c r="A29" s="3">
        <v>28</v>
      </c>
      <c r="B29" s="3" t="s">
        <v>1138</v>
      </c>
      <c r="C29" s="3" t="s">
        <v>1105</v>
      </c>
      <c r="D29" s="4" t="s">
        <v>1139</v>
      </c>
      <c r="E29" s="3" t="s">
        <v>1076</v>
      </c>
      <c r="F29" s="3" t="s">
        <v>1077</v>
      </c>
      <c r="G29" s="3" t="s">
        <v>45</v>
      </c>
      <c r="H29" s="4" t="s">
        <v>1135</v>
      </c>
    </row>
    <row r="30" ht="16.5" customHeight="1" spans="1:8">
      <c r="A30" s="3">
        <v>29</v>
      </c>
      <c r="B30" s="3" t="s">
        <v>1140</v>
      </c>
      <c r="C30" s="3" t="s">
        <v>1105</v>
      </c>
      <c r="D30" s="4" t="s">
        <v>1141</v>
      </c>
      <c r="E30" s="3" t="s">
        <v>1076</v>
      </c>
      <c r="F30" s="3" t="s">
        <v>1077</v>
      </c>
      <c r="G30" s="3" t="s">
        <v>45</v>
      </c>
      <c r="H30" s="4" t="s">
        <v>1142</v>
      </c>
    </row>
    <row r="31" ht="16.5" customHeight="1" spans="1:8">
      <c r="A31" s="3">
        <v>30</v>
      </c>
      <c r="B31" s="3" t="s">
        <v>1143</v>
      </c>
      <c r="C31" s="3" t="s">
        <v>1105</v>
      </c>
      <c r="D31" s="4" t="s">
        <v>1144</v>
      </c>
      <c r="E31" s="3" t="s">
        <v>1076</v>
      </c>
      <c r="F31" s="3" t="s">
        <v>1077</v>
      </c>
      <c r="G31" s="3" t="s">
        <v>45</v>
      </c>
      <c r="H31" s="4" t="s">
        <v>1142</v>
      </c>
    </row>
    <row r="32" ht="16.5" customHeight="1" spans="1:8">
      <c r="A32" s="3">
        <v>31</v>
      </c>
      <c r="B32" s="3" t="s">
        <v>1145</v>
      </c>
      <c r="C32" s="3" t="s">
        <v>1105</v>
      </c>
      <c r="D32" s="4" t="s">
        <v>1146</v>
      </c>
      <c r="E32" s="3" t="s">
        <v>1076</v>
      </c>
      <c r="F32" s="3" t="s">
        <v>1077</v>
      </c>
      <c r="G32" s="3" t="s">
        <v>45</v>
      </c>
      <c r="H32" s="4" t="s">
        <v>1147</v>
      </c>
    </row>
    <row r="33" ht="16.5" customHeight="1" spans="1:8">
      <c r="A33" s="3">
        <v>32</v>
      </c>
      <c r="B33" s="3" t="s">
        <v>1148</v>
      </c>
      <c r="C33" s="3" t="s">
        <v>1105</v>
      </c>
      <c r="D33" s="4" t="s">
        <v>1149</v>
      </c>
      <c r="E33" s="3" t="s">
        <v>1076</v>
      </c>
      <c r="F33" s="3" t="s">
        <v>1077</v>
      </c>
      <c r="G33" s="3" t="s">
        <v>45</v>
      </c>
      <c r="H33" s="4" t="s">
        <v>1147</v>
      </c>
    </row>
    <row r="34" ht="16.5" customHeight="1" spans="1:8">
      <c r="A34" s="3">
        <v>33</v>
      </c>
      <c r="B34" s="3" t="s">
        <v>1150</v>
      </c>
      <c r="C34" s="3" t="s">
        <v>1105</v>
      </c>
      <c r="D34" s="4" t="s">
        <v>1151</v>
      </c>
      <c r="E34" s="3" t="s">
        <v>1076</v>
      </c>
      <c r="F34" s="3" t="s">
        <v>1152</v>
      </c>
      <c r="G34" s="3" t="s">
        <v>45</v>
      </c>
      <c r="H34" s="4" t="s">
        <v>1153</v>
      </c>
    </row>
    <row r="35" ht="16.5" customHeight="1" spans="1:8">
      <c r="A35" s="3">
        <v>34</v>
      </c>
      <c r="B35" s="3" t="s">
        <v>1154</v>
      </c>
      <c r="C35" s="3" t="s">
        <v>1105</v>
      </c>
      <c r="D35" s="4" t="s">
        <v>1155</v>
      </c>
      <c r="E35" s="3" t="s">
        <v>1076</v>
      </c>
      <c r="F35" s="3" t="s">
        <v>1156</v>
      </c>
      <c r="G35" s="3" t="s">
        <v>45</v>
      </c>
      <c r="H35" s="4" t="s">
        <v>1147</v>
      </c>
    </row>
    <row r="36" ht="16.5" customHeight="1" spans="1:8">
      <c r="A36" s="3">
        <v>35</v>
      </c>
      <c r="B36" s="3" t="s">
        <v>1157</v>
      </c>
      <c r="C36" s="3" t="s">
        <v>1105</v>
      </c>
      <c r="D36" s="4" t="s">
        <v>1158</v>
      </c>
      <c r="E36" s="3" t="s">
        <v>1076</v>
      </c>
      <c r="F36" s="3" t="s">
        <v>1156</v>
      </c>
      <c r="G36" s="3" t="s">
        <v>45</v>
      </c>
      <c r="H36" s="4" t="s">
        <v>1147</v>
      </c>
    </row>
    <row r="37" ht="16.5" customHeight="1" spans="1:8">
      <c r="A37" s="3">
        <v>36</v>
      </c>
      <c r="B37" s="3" t="s">
        <v>1159</v>
      </c>
      <c r="C37" s="3" t="s">
        <v>1105</v>
      </c>
      <c r="D37" s="4" t="s">
        <v>1160</v>
      </c>
      <c r="E37" s="3" t="s">
        <v>1076</v>
      </c>
      <c r="F37" s="3" t="s">
        <v>1156</v>
      </c>
      <c r="G37" s="3" t="s">
        <v>45</v>
      </c>
      <c r="H37" s="4" t="s">
        <v>1147</v>
      </c>
    </row>
    <row r="38" ht="16.5" customHeight="1" spans="1:8">
      <c r="A38" s="3">
        <v>37</v>
      </c>
      <c r="B38" s="3" t="s">
        <v>135</v>
      </c>
      <c r="C38" s="3" t="s">
        <v>1099</v>
      </c>
      <c r="D38" s="4" t="s">
        <v>1161</v>
      </c>
      <c r="E38" s="3" t="s">
        <v>770</v>
      </c>
      <c r="F38" s="3" t="s">
        <v>1152</v>
      </c>
      <c r="G38" s="3" t="s">
        <v>45</v>
      </c>
      <c r="H38" s="4"/>
    </row>
    <row r="39" ht="16.5" customHeight="1" spans="1:8">
      <c r="A39" s="3">
        <v>38</v>
      </c>
      <c r="B39" s="3" t="s">
        <v>1162</v>
      </c>
      <c r="C39" s="3" t="s">
        <v>1099</v>
      </c>
      <c r="D39" s="4" t="s">
        <v>1163</v>
      </c>
      <c r="E39" s="3" t="s">
        <v>1164</v>
      </c>
      <c r="F39" s="3" t="s">
        <v>1152</v>
      </c>
      <c r="G39" s="3" t="s">
        <v>45</v>
      </c>
      <c r="H39" s="4"/>
    </row>
    <row r="40" ht="16.5" customHeight="1" spans="1:8">
      <c r="A40" s="3">
        <v>39</v>
      </c>
      <c r="B40" s="3" t="s">
        <v>1165</v>
      </c>
      <c r="C40" s="3" t="s">
        <v>1105</v>
      </c>
      <c r="D40" s="4" t="s">
        <v>1166</v>
      </c>
      <c r="E40" s="3" t="s">
        <v>1076</v>
      </c>
      <c r="F40" s="3" t="s">
        <v>1152</v>
      </c>
      <c r="G40" s="3" t="s">
        <v>45</v>
      </c>
      <c r="H40" s="4" t="s">
        <v>1153</v>
      </c>
    </row>
    <row r="41" ht="16.5" customHeight="1" spans="1:8">
      <c r="A41" s="3">
        <v>40</v>
      </c>
      <c r="B41" s="3" t="s">
        <v>1167</v>
      </c>
      <c r="C41" s="3" t="s">
        <v>1105</v>
      </c>
      <c r="D41" s="4" t="s">
        <v>1168</v>
      </c>
      <c r="E41" s="3" t="s">
        <v>1076</v>
      </c>
      <c r="F41" s="3" t="s">
        <v>1152</v>
      </c>
      <c r="G41" s="3" t="s">
        <v>45</v>
      </c>
      <c r="H41" s="4" t="s">
        <v>1153</v>
      </c>
    </row>
    <row r="42" ht="16.5" customHeight="1" spans="1:8">
      <c r="A42" s="3">
        <v>41</v>
      </c>
      <c r="B42" s="3" t="s">
        <v>1169</v>
      </c>
      <c r="C42" s="3" t="s">
        <v>1105</v>
      </c>
      <c r="D42" s="4" t="s">
        <v>1170</v>
      </c>
      <c r="E42" s="3" t="s">
        <v>1076</v>
      </c>
      <c r="F42" s="3" t="s">
        <v>1152</v>
      </c>
      <c r="G42" s="3" t="s">
        <v>45</v>
      </c>
      <c r="H42" s="4" t="s">
        <v>1153</v>
      </c>
    </row>
    <row r="43" ht="16.5" customHeight="1" spans="1:8">
      <c r="A43" s="3">
        <v>42</v>
      </c>
      <c r="B43" s="3" t="s">
        <v>1171</v>
      </c>
      <c r="C43" s="3" t="s">
        <v>1105</v>
      </c>
      <c r="D43" s="4" t="s">
        <v>1172</v>
      </c>
      <c r="E43" s="3" t="s">
        <v>1076</v>
      </c>
      <c r="F43" s="3" t="s">
        <v>1152</v>
      </c>
      <c r="G43" s="3" t="s">
        <v>45</v>
      </c>
      <c r="H43" s="4" t="s">
        <v>1142</v>
      </c>
    </row>
    <row r="44" ht="16.5" customHeight="1" spans="1:8">
      <c r="A44" s="3">
        <v>43</v>
      </c>
      <c r="B44" s="3" t="s">
        <v>1173</v>
      </c>
      <c r="C44" s="3" t="s">
        <v>1105</v>
      </c>
      <c r="D44" s="4" t="s">
        <v>1174</v>
      </c>
      <c r="E44" s="3" t="s">
        <v>1076</v>
      </c>
      <c r="F44" s="3" t="s">
        <v>1152</v>
      </c>
      <c r="G44" s="3" t="s">
        <v>45</v>
      </c>
      <c r="H44" s="4" t="s">
        <v>1142</v>
      </c>
    </row>
    <row r="45" ht="16.5" customHeight="1" spans="1:8">
      <c r="A45" s="3">
        <v>44</v>
      </c>
      <c r="B45" s="3" t="s">
        <v>1175</v>
      </c>
      <c r="C45" s="3" t="s">
        <v>1105</v>
      </c>
      <c r="D45" s="4" t="s">
        <v>1176</v>
      </c>
      <c r="E45" s="3" t="s">
        <v>1076</v>
      </c>
      <c r="F45" s="3" t="s">
        <v>1152</v>
      </c>
      <c r="G45" s="3" t="s">
        <v>45</v>
      </c>
      <c r="H45" s="4" t="s">
        <v>1142</v>
      </c>
    </row>
    <row r="46" ht="16.5" customHeight="1" spans="1:8">
      <c r="A46" s="3">
        <v>45</v>
      </c>
      <c r="B46" s="3" t="s">
        <v>1177</v>
      </c>
      <c r="C46" s="3" t="s">
        <v>1105</v>
      </c>
      <c r="D46" s="4" t="s">
        <v>1178</v>
      </c>
      <c r="E46" s="3" t="s">
        <v>1076</v>
      </c>
      <c r="F46" s="3" t="s">
        <v>1152</v>
      </c>
      <c r="G46" s="3"/>
      <c r="H46" s="4" t="s">
        <v>1126</v>
      </c>
    </row>
    <row r="47" ht="16.5" customHeight="1" spans="1:8">
      <c r="A47" s="3">
        <v>46</v>
      </c>
      <c r="B47" s="3" t="s">
        <v>1179</v>
      </c>
      <c r="C47" s="3" t="s">
        <v>1105</v>
      </c>
      <c r="D47" s="4" t="s">
        <v>1180</v>
      </c>
      <c r="E47" s="3" t="s">
        <v>1076</v>
      </c>
      <c r="F47" s="3" t="s">
        <v>1152</v>
      </c>
      <c r="G47" s="3"/>
      <c r="H47" s="4" t="s">
        <v>1126</v>
      </c>
    </row>
    <row r="48" ht="16.5" customHeight="1" spans="1:8">
      <c r="A48" s="3">
        <v>47</v>
      </c>
      <c r="B48" s="3" t="s">
        <v>1181</v>
      </c>
      <c r="C48" s="3" t="s">
        <v>1105</v>
      </c>
      <c r="D48" s="4" t="s">
        <v>1182</v>
      </c>
      <c r="E48" s="3" t="s">
        <v>1076</v>
      </c>
      <c r="F48" s="3" t="s">
        <v>1152</v>
      </c>
      <c r="G48" s="3"/>
      <c r="H48" s="4" t="s">
        <v>1126</v>
      </c>
    </row>
    <row r="49" ht="16.5" customHeight="1" spans="1:8">
      <c r="A49" s="3">
        <v>48</v>
      </c>
      <c r="B49" s="3" t="s">
        <v>1183</v>
      </c>
      <c r="C49" s="3" t="s">
        <v>1105</v>
      </c>
      <c r="D49" s="4" t="s">
        <v>1184</v>
      </c>
      <c r="E49" s="3" t="s">
        <v>1076</v>
      </c>
      <c r="F49" s="3" t="s">
        <v>1152</v>
      </c>
      <c r="G49" s="3" t="s">
        <v>45</v>
      </c>
      <c r="H49" s="4" t="s">
        <v>1119</v>
      </c>
    </row>
    <row r="50" ht="16.5" customHeight="1" spans="1:8">
      <c r="A50" s="3">
        <v>49</v>
      </c>
      <c r="B50" s="3" t="s">
        <v>1185</v>
      </c>
      <c r="C50" s="3" t="s">
        <v>1105</v>
      </c>
      <c r="D50" s="4" t="s">
        <v>1186</v>
      </c>
      <c r="E50" s="3" t="s">
        <v>1076</v>
      </c>
      <c r="F50" s="3" t="s">
        <v>1152</v>
      </c>
      <c r="G50" s="3"/>
      <c r="H50" s="4" t="s">
        <v>1110</v>
      </c>
    </row>
    <row r="51" ht="16.5" customHeight="1" spans="1:8">
      <c r="A51" s="3">
        <v>50</v>
      </c>
      <c r="B51" s="3" t="s">
        <v>1187</v>
      </c>
      <c r="C51" s="3" t="s">
        <v>1105</v>
      </c>
      <c r="D51" s="4" t="s">
        <v>1188</v>
      </c>
      <c r="E51" s="3" t="s">
        <v>1076</v>
      </c>
      <c r="F51" s="3" t="s">
        <v>1152</v>
      </c>
      <c r="G51" s="3"/>
      <c r="H51" s="4" t="s">
        <v>1110</v>
      </c>
    </row>
    <row r="52" ht="16.5" customHeight="1" spans="1:8">
      <c r="A52" s="3">
        <v>51</v>
      </c>
      <c r="B52" s="3" t="s">
        <v>62</v>
      </c>
      <c r="C52" s="3" t="s">
        <v>1099</v>
      </c>
      <c r="D52" s="4" t="s">
        <v>1189</v>
      </c>
      <c r="E52" s="3" t="s">
        <v>1164</v>
      </c>
      <c r="F52" s="3" t="s">
        <v>1156</v>
      </c>
      <c r="G52" s="3" t="s">
        <v>45</v>
      </c>
      <c r="H52" s="4"/>
    </row>
    <row r="53" ht="16.5" customHeight="1" spans="1:8">
      <c r="A53" s="3">
        <v>52</v>
      </c>
      <c r="B53" s="3" t="s">
        <v>1190</v>
      </c>
      <c r="C53" s="3" t="s">
        <v>1074</v>
      </c>
      <c r="D53" s="4" t="s">
        <v>1191</v>
      </c>
      <c r="E53" s="3" t="s">
        <v>1076</v>
      </c>
      <c r="F53" s="3" t="s">
        <v>1156</v>
      </c>
      <c r="G53" s="3" t="s">
        <v>45</v>
      </c>
      <c r="H53" s="4" t="s">
        <v>1192</v>
      </c>
    </row>
    <row r="54" ht="16.5" customHeight="1" spans="1:8">
      <c r="A54" s="3">
        <v>53</v>
      </c>
      <c r="B54" s="3" t="s">
        <v>1193</v>
      </c>
      <c r="C54" s="3" t="s">
        <v>1074</v>
      </c>
      <c r="D54" s="4" t="s">
        <v>1194</v>
      </c>
      <c r="E54" s="3" t="s">
        <v>1076</v>
      </c>
      <c r="F54" s="3" t="s">
        <v>1156</v>
      </c>
      <c r="G54" s="3" t="s">
        <v>45</v>
      </c>
      <c r="H54" s="4" t="s">
        <v>1192</v>
      </c>
    </row>
    <row r="55" ht="16.5" customHeight="1" spans="1:8">
      <c r="A55" s="3">
        <v>54</v>
      </c>
      <c r="B55" s="3" t="s">
        <v>1195</v>
      </c>
      <c r="C55" s="3" t="s">
        <v>1105</v>
      </c>
      <c r="D55" s="4" t="s">
        <v>1196</v>
      </c>
      <c r="E55" s="3" t="s">
        <v>1076</v>
      </c>
      <c r="F55" s="3" t="s">
        <v>1156</v>
      </c>
      <c r="G55" s="3" t="s">
        <v>45</v>
      </c>
      <c r="H55" s="4" t="s">
        <v>1197</v>
      </c>
    </row>
    <row r="56" ht="16.5" customHeight="1" spans="1:8">
      <c r="A56" s="3">
        <v>55</v>
      </c>
      <c r="B56" s="3" t="s">
        <v>1198</v>
      </c>
      <c r="C56" s="3" t="s">
        <v>1105</v>
      </c>
      <c r="D56" s="4" t="s">
        <v>1199</v>
      </c>
      <c r="E56" s="3" t="s">
        <v>1076</v>
      </c>
      <c r="F56" s="3" t="s">
        <v>1156</v>
      </c>
      <c r="G56" s="3" t="s">
        <v>45</v>
      </c>
      <c r="H56" s="4" t="s">
        <v>1197</v>
      </c>
    </row>
    <row r="57" ht="16.5" customHeight="1" spans="1:8">
      <c r="A57" s="3">
        <v>56</v>
      </c>
      <c r="B57" s="3" t="s">
        <v>1200</v>
      </c>
      <c r="C57" s="3" t="s">
        <v>1105</v>
      </c>
      <c r="D57" s="4" t="s">
        <v>1201</v>
      </c>
      <c r="E57" s="3" t="s">
        <v>1076</v>
      </c>
      <c r="F57" s="3" t="s">
        <v>1156</v>
      </c>
      <c r="G57" s="3" t="s">
        <v>45</v>
      </c>
      <c r="H57" s="4" t="s">
        <v>1197</v>
      </c>
    </row>
    <row r="58" ht="16.5" customHeight="1" spans="1:8">
      <c r="A58" s="3">
        <v>57</v>
      </c>
      <c r="B58" s="3" t="s">
        <v>1202</v>
      </c>
      <c r="C58" s="3" t="s">
        <v>1105</v>
      </c>
      <c r="D58" s="4" t="s">
        <v>1203</v>
      </c>
      <c r="E58" s="3" t="s">
        <v>1076</v>
      </c>
      <c r="F58" s="3" t="s">
        <v>1156</v>
      </c>
      <c r="G58" s="3" t="s">
        <v>45</v>
      </c>
      <c r="H58" s="4" t="s">
        <v>1197</v>
      </c>
    </row>
    <row r="59" ht="16.5" customHeight="1" spans="1:8">
      <c r="A59" s="3">
        <v>58</v>
      </c>
      <c r="B59" s="3" t="s">
        <v>1204</v>
      </c>
      <c r="C59" s="3" t="s">
        <v>1105</v>
      </c>
      <c r="D59" s="4" t="s">
        <v>1205</v>
      </c>
      <c r="E59" s="3" t="s">
        <v>1076</v>
      </c>
      <c r="F59" s="3" t="s">
        <v>1156</v>
      </c>
      <c r="G59" s="3" t="s">
        <v>45</v>
      </c>
      <c r="H59" s="4" t="s">
        <v>1206</v>
      </c>
    </row>
    <row r="60" ht="16.5" customHeight="1" spans="1:8">
      <c r="A60" s="3">
        <v>59</v>
      </c>
      <c r="B60" s="3" t="s">
        <v>1207</v>
      </c>
      <c r="C60" s="3" t="s">
        <v>1105</v>
      </c>
      <c r="D60" s="4" t="s">
        <v>1208</v>
      </c>
      <c r="E60" s="3" t="s">
        <v>1076</v>
      </c>
      <c r="F60" s="3" t="s">
        <v>1156</v>
      </c>
      <c r="G60" s="3" t="s">
        <v>45</v>
      </c>
      <c r="H60" s="4" t="s">
        <v>1206</v>
      </c>
    </row>
    <row r="61" ht="16.5" customHeight="1" spans="1:8">
      <c r="A61" s="3">
        <v>60</v>
      </c>
      <c r="B61" s="3" t="s">
        <v>1209</v>
      </c>
      <c r="C61" s="3" t="s">
        <v>1105</v>
      </c>
      <c r="D61" s="4" t="s">
        <v>1210</v>
      </c>
      <c r="E61" s="3" t="s">
        <v>1076</v>
      </c>
      <c r="F61" s="3" t="s">
        <v>1156</v>
      </c>
      <c r="G61" s="3" t="s">
        <v>45</v>
      </c>
      <c r="H61" s="4" t="s">
        <v>1206</v>
      </c>
    </row>
    <row r="62" ht="16.5" customHeight="1" spans="1:8">
      <c r="A62" s="3">
        <v>61</v>
      </c>
      <c r="B62" s="3" t="s">
        <v>1211</v>
      </c>
      <c r="C62" s="3" t="s">
        <v>1105</v>
      </c>
      <c r="D62" s="4" t="s">
        <v>1212</v>
      </c>
      <c r="E62" s="3" t="s">
        <v>1076</v>
      </c>
      <c r="F62" s="3" t="s">
        <v>1156</v>
      </c>
      <c r="G62" s="3" t="s">
        <v>45</v>
      </c>
      <c r="H62" s="4" t="s">
        <v>1206</v>
      </c>
    </row>
    <row r="63" ht="16.5" customHeight="1" spans="1:8">
      <c r="A63" s="3">
        <v>62</v>
      </c>
      <c r="B63" s="3" t="s">
        <v>1213</v>
      </c>
      <c r="C63" s="3" t="s">
        <v>1099</v>
      </c>
      <c r="D63" s="4" t="s">
        <v>1214</v>
      </c>
      <c r="E63" s="3" t="s">
        <v>1164</v>
      </c>
      <c r="F63" s="3" t="s">
        <v>1215</v>
      </c>
      <c r="G63" s="3" t="s">
        <v>45</v>
      </c>
      <c r="H63" s="4"/>
    </row>
    <row r="64" ht="16.5" customHeight="1" spans="1:8">
      <c r="A64" s="3">
        <v>63</v>
      </c>
      <c r="B64" s="3" t="s">
        <v>1216</v>
      </c>
      <c r="C64" s="3" t="s">
        <v>1099</v>
      </c>
      <c r="D64" s="4" t="s">
        <v>1217</v>
      </c>
      <c r="E64" s="3" t="s">
        <v>1218</v>
      </c>
      <c r="F64" s="3" t="s">
        <v>1215</v>
      </c>
      <c r="G64" s="3" t="s">
        <v>45</v>
      </c>
      <c r="H64" s="4"/>
    </row>
    <row r="65" ht="16.5" customHeight="1" spans="1:8">
      <c r="A65" s="3">
        <v>64</v>
      </c>
      <c r="B65" s="3" t="s">
        <v>50</v>
      </c>
      <c r="C65" s="3" t="s">
        <v>1099</v>
      </c>
      <c r="D65" s="4" t="s">
        <v>1219</v>
      </c>
      <c r="E65" s="3" t="s">
        <v>1164</v>
      </c>
      <c r="F65" s="3" t="s">
        <v>1215</v>
      </c>
      <c r="G65" s="3" t="s">
        <v>45</v>
      </c>
      <c r="H65" s="4"/>
    </row>
    <row r="66" ht="16.5" customHeight="1" spans="1:8">
      <c r="A66" s="3">
        <v>65</v>
      </c>
      <c r="B66" s="3" t="s">
        <v>1220</v>
      </c>
      <c r="C66" s="3" t="s">
        <v>1099</v>
      </c>
      <c r="D66" s="4" t="s">
        <v>1221</v>
      </c>
      <c r="E66" s="3" t="s">
        <v>1164</v>
      </c>
      <c r="F66" s="3" t="s">
        <v>1215</v>
      </c>
      <c r="G66" s="3" t="s">
        <v>45</v>
      </c>
      <c r="H66" s="4"/>
    </row>
    <row r="67" ht="16.5" customHeight="1" spans="1:8">
      <c r="A67" s="3">
        <v>66</v>
      </c>
      <c r="B67" s="3" t="s">
        <v>1222</v>
      </c>
      <c r="C67" s="3" t="s">
        <v>1099</v>
      </c>
      <c r="D67" s="4" t="s">
        <v>1223</v>
      </c>
      <c r="E67" s="3" t="s">
        <v>770</v>
      </c>
      <c r="F67" s="3" t="s">
        <v>1215</v>
      </c>
      <c r="G67" s="3" t="s">
        <v>321</v>
      </c>
      <c r="H67" s="4"/>
    </row>
    <row r="68" ht="16.5" customHeight="1" spans="1:8">
      <c r="A68" s="3">
        <v>67</v>
      </c>
      <c r="B68" s="3" t="s">
        <v>1224</v>
      </c>
      <c r="C68" s="3" t="s">
        <v>1099</v>
      </c>
      <c r="D68" s="4" t="s">
        <v>1225</v>
      </c>
      <c r="E68" s="3" t="s">
        <v>770</v>
      </c>
      <c r="F68" s="3" t="s">
        <v>1215</v>
      </c>
      <c r="G68" s="3" t="s">
        <v>321</v>
      </c>
      <c r="H68" s="4"/>
    </row>
    <row r="69" ht="16.5" customHeight="1" spans="1:8">
      <c r="A69" s="3">
        <v>68</v>
      </c>
      <c r="B69" s="3" t="s">
        <v>407</v>
      </c>
      <c r="C69" s="3" t="s">
        <v>1099</v>
      </c>
      <c r="D69" s="4" t="s">
        <v>1226</v>
      </c>
      <c r="E69" s="3" t="s">
        <v>770</v>
      </c>
      <c r="F69" s="3" t="s">
        <v>1215</v>
      </c>
      <c r="G69" s="3" t="s">
        <v>321</v>
      </c>
      <c r="H69" s="4"/>
    </row>
    <row r="70" ht="16.5" customHeight="1" spans="1:8">
      <c r="A70" s="3">
        <v>69</v>
      </c>
      <c r="B70" s="3" t="s">
        <v>1227</v>
      </c>
      <c r="C70" s="3" t="s">
        <v>1099</v>
      </c>
      <c r="D70" s="4" t="s">
        <v>1228</v>
      </c>
      <c r="E70" s="3" t="s">
        <v>770</v>
      </c>
      <c r="F70" s="3" t="s">
        <v>1215</v>
      </c>
      <c r="G70" s="3" t="s">
        <v>321</v>
      </c>
      <c r="H70" s="4"/>
    </row>
    <row r="71" ht="16.5" customHeight="1" spans="1:8">
      <c r="A71" s="3">
        <v>70</v>
      </c>
      <c r="B71" s="3" t="s">
        <v>333</v>
      </c>
      <c r="C71" s="3" t="s">
        <v>1099</v>
      </c>
      <c r="D71" s="4" t="s">
        <v>1229</v>
      </c>
      <c r="E71" s="3" t="s">
        <v>770</v>
      </c>
      <c r="F71" s="3" t="s">
        <v>1215</v>
      </c>
      <c r="G71" s="3" t="s">
        <v>321</v>
      </c>
      <c r="H71" s="4"/>
    </row>
    <row r="72" ht="16.5" customHeight="1" spans="1:8">
      <c r="A72" s="3">
        <v>71</v>
      </c>
      <c r="B72" s="3" t="s">
        <v>1230</v>
      </c>
      <c r="C72" s="3" t="s">
        <v>1099</v>
      </c>
      <c r="D72" s="4" t="s">
        <v>1231</v>
      </c>
      <c r="E72" s="3" t="s">
        <v>770</v>
      </c>
      <c r="F72" s="3" t="s">
        <v>1215</v>
      </c>
      <c r="G72" s="3" t="s">
        <v>321</v>
      </c>
      <c r="H72" s="4"/>
    </row>
    <row r="73" ht="16.5" customHeight="1" spans="1:8">
      <c r="A73" s="3">
        <v>72</v>
      </c>
      <c r="B73" s="3" t="s">
        <v>1232</v>
      </c>
      <c r="C73" s="3" t="s">
        <v>1099</v>
      </c>
      <c r="D73" s="4" t="s">
        <v>1233</v>
      </c>
      <c r="E73" s="3" t="s">
        <v>770</v>
      </c>
      <c r="F73" s="3" t="s">
        <v>1215</v>
      </c>
      <c r="G73" s="3" t="s">
        <v>321</v>
      </c>
      <c r="H73" s="4"/>
    </row>
    <row r="74" ht="16.5" customHeight="1" spans="1:8">
      <c r="A74" s="3">
        <v>73</v>
      </c>
      <c r="B74" s="3" t="s">
        <v>77</v>
      </c>
      <c r="C74" s="3" t="s">
        <v>1099</v>
      </c>
      <c r="D74" s="4" t="s">
        <v>1234</v>
      </c>
      <c r="E74" s="3" t="s">
        <v>1164</v>
      </c>
      <c r="F74" s="3" t="s">
        <v>1215</v>
      </c>
      <c r="G74" s="3" t="s">
        <v>45</v>
      </c>
      <c r="H74" s="4"/>
    </row>
    <row r="75" ht="16.5" customHeight="1" spans="1:8">
      <c r="A75" s="3">
        <v>74</v>
      </c>
      <c r="B75" s="3" t="s">
        <v>74</v>
      </c>
      <c r="C75" s="3" t="s">
        <v>1099</v>
      </c>
      <c r="D75" s="4" t="s">
        <v>1235</v>
      </c>
      <c r="E75" s="3" t="s">
        <v>770</v>
      </c>
      <c r="F75" s="3" t="s">
        <v>1215</v>
      </c>
      <c r="G75" s="3" t="s">
        <v>45</v>
      </c>
      <c r="H75" s="4"/>
    </row>
    <row r="76" ht="16.5" customHeight="1" spans="1:8">
      <c r="A76" s="3">
        <v>75</v>
      </c>
      <c r="B76" s="3" t="s">
        <v>70</v>
      </c>
      <c r="C76" s="3" t="s">
        <v>1099</v>
      </c>
      <c r="D76" s="4" t="s">
        <v>1236</v>
      </c>
      <c r="E76" s="3" t="s">
        <v>1164</v>
      </c>
      <c r="F76" s="3" t="s">
        <v>1215</v>
      </c>
      <c r="G76" s="3" t="s">
        <v>45</v>
      </c>
      <c r="H76" s="4"/>
    </row>
    <row r="77" ht="16.5" customHeight="1" spans="1:8">
      <c r="A77" s="3">
        <v>76</v>
      </c>
      <c r="B77" s="3" t="s">
        <v>127</v>
      </c>
      <c r="C77" s="3" t="s">
        <v>1099</v>
      </c>
      <c r="D77" s="4" t="s">
        <v>1237</v>
      </c>
      <c r="E77" s="3" t="s">
        <v>1238</v>
      </c>
      <c r="F77" s="3" t="s">
        <v>1215</v>
      </c>
      <c r="G77" s="3" t="s">
        <v>45</v>
      </c>
      <c r="H77" s="4"/>
    </row>
    <row r="78" ht="16.5" customHeight="1" spans="1:8">
      <c r="A78" s="3">
        <v>77</v>
      </c>
      <c r="B78" s="3" t="s">
        <v>1239</v>
      </c>
      <c r="C78" s="3" t="s">
        <v>1099</v>
      </c>
      <c r="D78" s="4" t="s">
        <v>1240</v>
      </c>
      <c r="E78" s="3" t="s">
        <v>1164</v>
      </c>
      <c r="F78" s="3" t="s">
        <v>1215</v>
      </c>
      <c r="G78" s="3" t="s">
        <v>45</v>
      </c>
      <c r="H78" s="4"/>
    </row>
    <row r="79" ht="16.5" customHeight="1" spans="1:8">
      <c r="A79" s="3">
        <v>78</v>
      </c>
      <c r="B79" s="3" t="s">
        <v>1241</v>
      </c>
      <c r="C79" s="3" t="s">
        <v>1099</v>
      </c>
      <c r="D79" s="4" t="s">
        <v>1242</v>
      </c>
      <c r="E79" s="3" t="s">
        <v>1164</v>
      </c>
      <c r="F79" s="3" t="s">
        <v>1215</v>
      </c>
      <c r="G79" s="3" t="s">
        <v>45</v>
      </c>
      <c r="H79" s="4"/>
    </row>
    <row r="80" ht="16.5" customHeight="1" spans="1:8">
      <c r="A80" s="3">
        <v>79</v>
      </c>
      <c r="B80" s="3" t="s">
        <v>140</v>
      </c>
      <c r="C80" s="3" t="s">
        <v>1099</v>
      </c>
      <c r="D80" s="4" t="s">
        <v>1243</v>
      </c>
      <c r="E80" s="3" t="s">
        <v>1164</v>
      </c>
      <c r="F80" s="3" t="s">
        <v>1215</v>
      </c>
      <c r="G80" s="3" t="s">
        <v>45</v>
      </c>
      <c r="H80" s="4"/>
    </row>
    <row r="81" ht="16.5" customHeight="1" spans="1:8">
      <c r="A81" s="3">
        <v>80</v>
      </c>
      <c r="B81" s="3" t="s">
        <v>80</v>
      </c>
      <c r="C81" s="3" t="s">
        <v>1099</v>
      </c>
      <c r="D81" s="4" t="s">
        <v>1244</v>
      </c>
      <c r="E81" s="3" t="s">
        <v>1164</v>
      </c>
      <c r="F81" s="3" t="s">
        <v>1215</v>
      </c>
      <c r="G81" s="3" t="s">
        <v>45</v>
      </c>
      <c r="H81" s="4"/>
    </row>
    <row r="82" ht="16.5" customHeight="1" spans="1:8">
      <c r="A82" s="3">
        <v>81</v>
      </c>
      <c r="B82" s="3" t="s">
        <v>364</v>
      </c>
      <c r="C82" s="3" t="s">
        <v>1099</v>
      </c>
      <c r="D82" s="4" t="s">
        <v>1245</v>
      </c>
      <c r="E82" s="3" t="s">
        <v>1164</v>
      </c>
      <c r="F82" s="3" t="s">
        <v>1215</v>
      </c>
      <c r="G82" s="3" t="s">
        <v>321</v>
      </c>
      <c r="H82" s="4"/>
    </row>
    <row r="83" ht="16.5" customHeight="1" spans="1:8">
      <c r="A83" s="3">
        <v>82</v>
      </c>
      <c r="B83" s="3" t="s">
        <v>358</v>
      </c>
      <c r="C83" s="3" t="s">
        <v>1099</v>
      </c>
      <c r="D83" s="4" t="s">
        <v>1246</v>
      </c>
      <c r="E83" s="3" t="s">
        <v>770</v>
      </c>
      <c r="F83" s="3" t="s">
        <v>1215</v>
      </c>
      <c r="G83" s="3" t="s">
        <v>321</v>
      </c>
      <c r="H83" s="4"/>
    </row>
    <row r="84" ht="16.5" customHeight="1" spans="1:8">
      <c r="A84" s="3">
        <v>83</v>
      </c>
      <c r="B84" s="3" t="s">
        <v>367</v>
      </c>
      <c r="C84" s="3" t="s">
        <v>1099</v>
      </c>
      <c r="D84" s="4" t="s">
        <v>1247</v>
      </c>
      <c r="E84" s="3" t="s">
        <v>770</v>
      </c>
      <c r="F84" s="3" t="s">
        <v>1215</v>
      </c>
      <c r="G84" s="3" t="s">
        <v>321</v>
      </c>
      <c r="H84" s="4"/>
    </row>
    <row r="85" ht="16.5" customHeight="1" spans="1:8">
      <c r="A85" s="3">
        <v>84</v>
      </c>
      <c r="B85" s="3" t="s">
        <v>361</v>
      </c>
      <c r="C85" s="3" t="s">
        <v>1099</v>
      </c>
      <c r="D85" s="4" t="s">
        <v>1248</v>
      </c>
      <c r="E85" s="3" t="s">
        <v>770</v>
      </c>
      <c r="F85" s="3" t="s">
        <v>1215</v>
      </c>
      <c r="G85" s="3" t="s">
        <v>321</v>
      </c>
      <c r="H85" s="4"/>
    </row>
    <row r="86" ht="16.5" customHeight="1" spans="1:8">
      <c r="A86" s="3">
        <v>85</v>
      </c>
      <c r="B86" s="3" t="s">
        <v>1249</v>
      </c>
      <c r="C86" s="3" t="s">
        <v>1099</v>
      </c>
      <c r="D86" s="4" t="s">
        <v>1250</v>
      </c>
      <c r="E86" s="3" t="s">
        <v>770</v>
      </c>
      <c r="F86" s="3" t="s">
        <v>1215</v>
      </c>
      <c r="G86" s="3" t="s">
        <v>321</v>
      </c>
      <c r="H86" s="4"/>
    </row>
    <row r="87" ht="16.5" customHeight="1" spans="1:8">
      <c r="A87" s="3">
        <v>86</v>
      </c>
      <c r="B87" s="3" t="s">
        <v>1251</v>
      </c>
      <c r="C87" s="3" t="s">
        <v>1099</v>
      </c>
      <c r="D87" s="4" t="s">
        <v>1252</v>
      </c>
      <c r="E87" s="3" t="s">
        <v>770</v>
      </c>
      <c r="F87" s="3" t="s">
        <v>1215</v>
      </c>
      <c r="G87" s="3" t="s">
        <v>321</v>
      </c>
      <c r="H87" s="4"/>
    </row>
    <row r="88" ht="16.5" customHeight="1" spans="1:8">
      <c r="A88" s="3">
        <v>87</v>
      </c>
      <c r="B88" s="3" t="s">
        <v>378</v>
      </c>
      <c r="C88" s="3" t="s">
        <v>1099</v>
      </c>
      <c r="D88" s="4" t="s">
        <v>1253</v>
      </c>
      <c r="E88" s="3" t="s">
        <v>1164</v>
      </c>
      <c r="F88" s="3" t="s">
        <v>1215</v>
      </c>
      <c r="G88" s="3"/>
      <c r="H88" s="4"/>
    </row>
    <row r="89" ht="16.5" customHeight="1" spans="1:8">
      <c r="A89" s="3">
        <v>88</v>
      </c>
      <c r="B89" s="3" t="s">
        <v>382</v>
      </c>
      <c r="C89" s="3" t="s">
        <v>1099</v>
      </c>
      <c r="D89" s="4" t="s">
        <v>1254</v>
      </c>
      <c r="E89" s="3" t="s">
        <v>1218</v>
      </c>
      <c r="F89" s="3" t="s">
        <v>1215</v>
      </c>
      <c r="G89" s="3"/>
      <c r="H89" s="4"/>
    </row>
    <row r="90" ht="16.5" customHeight="1" spans="1:8">
      <c r="A90" s="3">
        <v>89</v>
      </c>
      <c r="B90" s="3" t="s">
        <v>421</v>
      </c>
      <c r="C90" s="3" t="s">
        <v>1099</v>
      </c>
      <c r="D90" s="4" t="s">
        <v>1255</v>
      </c>
      <c r="E90" s="3" t="s">
        <v>1238</v>
      </c>
      <c r="F90" s="3" t="s">
        <v>1215</v>
      </c>
      <c r="G90" s="3"/>
      <c r="H90" s="4"/>
    </row>
    <row r="91" ht="16.5" customHeight="1" spans="1:8">
      <c r="A91" s="3">
        <v>90</v>
      </c>
      <c r="B91" s="3" t="s">
        <v>145</v>
      </c>
      <c r="C91" s="3" t="s">
        <v>1099</v>
      </c>
      <c r="D91" s="4" t="s">
        <v>1256</v>
      </c>
      <c r="E91" s="3" t="s">
        <v>1164</v>
      </c>
      <c r="F91" s="3" t="s">
        <v>1215</v>
      </c>
      <c r="G91" s="3"/>
      <c r="H91" s="4"/>
    </row>
    <row r="92" ht="16.5" customHeight="1" spans="1:8">
      <c r="A92" s="3">
        <v>91</v>
      </c>
      <c r="B92" s="3" t="s">
        <v>1257</v>
      </c>
      <c r="C92" s="3" t="s">
        <v>1099</v>
      </c>
      <c r="D92" s="4" t="s">
        <v>1258</v>
      </c>
      <c r="E92" s="3" t="s">
        <v>1164</v>
      </c>
      <c r="F92" s="3" t="s">
        <v>1215</v>
      </c>
      <c r="G92" s="3"/>
      <c r="H92" s="4"/>
    </row>
    <row r="93" ht="16.5" customHeight="1" spans="1:8">
      <c r="A93" s="3">
        <v>92</v>
      </c>
      <c r="B93" s="3" t="s">
        <v>131</v>
      </c>
      <c r="C93" s="3" t="s">
        <v>1099</v>
      </c>
      <c r="D93" s="4" t="s">
        <v>1259</v>
      </c>
      <c r="E93" s="3" t="s">
        <v>1238</v>
      </c>
      <c r="F93" s="3" t="s">
        <v>1215</v>
      </c>
      <c r="G93" s="3"/>
      <c r="H93" s="4"/>
    </row>
    <row r="94" ht="16.5" customHeight="1" spans="1:8">
      <c r="A94" s="3">
        <v>93</v>
      </c>
      <c r="B94" s="3" t="s">
        <v>89</v>
      </c>
      <c r="C94" s="3" t="s">
        <v>1099</v>
      </c>
      <c r="D94" s="4" t="s">
        <v>1260</v>
      </c>
      <c r="E94" s="3" t="s">
        <v>1218</v>
      </c>
      <c r="F94" s="3" t="s">
        <v>1215</v>
      </c>
      <c r="G94" s="3"/>
      <c r="H94" s="4"/>
    </row>
    <row r="95" ht="16.5" customHeight="1" spans="1:8">
      <c r="A95" s="3">
        <v>94</v>
      </c>
      <c r="B95" s="3" t="s">
        <v>94</v>
      </c>
      <c r="C95" s="3" t="s">
        <v>1099</v>
      </c>
      <c r="D95" s="4" t="s">
        <v>1261</v>
      </c>
      <c r="E95" s="3" t="s">
        <v>1164</v>
      </c>
      <c r="F95" s="3" t="s">
        <v>1215</v>
      </c>
      <c r="G95" s="3"/>
      <c r="H95" s="4"/>
    </row>
    <row r="96" ht="16.5" customHeight="1" spans="1:8">
      <c r="A96" s="3">
        <v>95</v>
      </c>
      <c r="B96" s="3" t="s">
        <v>154</v>
      </c>
      <c r="C96" s="3" t="s">
        <v>1099</v>
      </c>
      <c r="D96" s="4" t="s">
        <v>1262</v>
      </c>
      <c r="E96" s="3" t="s">
        <v>1218</v>
      </c>
      <c r="F96" s="3" t="s">
        <v>1215</v>
      </c>
      <c r="G96" s="3"/>
      <c r="H96" s="4"/>
    </row>
    <row r="97" ht="16.5" customHeight="1" spans="1:8">
      <c r="A97" s="3">
        <v>96</v>
      </c>
      <c r="B97" s="3" t="s">
        <v>152</v>
      </c>
      <c r="C97" s="3" t="s">
        <v>1099</v>
      </c>
      <c r="D97" s="4" t="s">
        <v>1263</v>
      </c>
      <c r="E97" s="3" t="s">
        <v>1218</v>
      </c>
      <c r="F97" s="3" t="s">
        <v>1215</v>
      </c>
      <c r="G97" s="3"/>
      <c r="H97" s="4"/>
    </row>
    <row r="98" ht="16.5" customHeight="1" spans="1:8">
      <c r="A98" s="3">
        <v>97</v>
      </c>
      <c r="B98" s="3" t="s">
        <v>1264</v>
      </c>
      <c r="C98" s="3" t="s">
        <v>1099</v>
      </c>
      <c r="D98" s="4" t="s">
        <v>1265</v>
      </c>
      <c r="E98" s="3" t="s">
        <v>1218</v>
      </c>
      <c r="F98" s="3" t="s">
        <v>1215</v>
      </c>
      <c r="G98" s="3"/>
      <c r="H98" s="4"/>
    </row>
    <row r="99" ht="16.5" customHeight="1" spans="1:8">
      <c r="A99" s="3">
        <v>98</v>
      </c>
      <c r="B99" s="3" t="s">
        <v>385</v>
      </c>
      <c r="C99" s="3" t="s">
        <v>1099</v>
      </c>
      <c r="D99" s="4" t="s">
        <v>1266</v>
      </c>
      <c r="E99" s="3" t="s">
        <v>770</v>
      </c>
      <c r="F99" s="3" t="s">
        <v>1215</v>
      </c>
      <c r="G99" s="3"/>
      <c r="H99" s="4"/>
    </row>
    <row r="100" ht="16.5" customHeight="1" spans="1:8">
      <c r="A100" s="3">
        <v>99</v>
      </c>
      <c r="B100" s="3" t="s">
        <v>1267</v>
      </c>
      <c r="C100" s="3" t="s">
        <v>1099</v>
      </c>
      <c r="D100" s="4" t="s">
        <v>1268</v>
      </c>
      <c r="E100" s="3" t="s">
        <v>1218</v>
      </c>
      <c r="F100" s="3" t="s">
        <v>1215</v>
      </c>
      <c r="G100" s="3"/>
      <c r="H100" s="4"/>
    </row>
    <row r="101" ht="16.5" customHeight="1" spans="1:8">
      <c r="A101" s="3">
        <v>100</v>
      </c>
      <c r="B101" s="3" t="s">
        <v>1269</v>
      </c>
      <c r="C101" s="3" t="s">
        <v>1099</v>
      </c>
      <c r="D101" s="4" t="s">
        <v>1270</v>
      </c>
      <c r="E101" s="3" t="s">
        <v>1218</v>
      </c>
      <c r="F101" s="3" t="s">
        <v>1215</v>
      </c>
      <c r="G101" s="3"/>
      <c r="H101" s="4"/>
    </row>
    <row r="102" ht="16.5" customHeight="1" spans="1:8">
      <c r="A102" s="3">
        <v>101</v>
      </c>
      <c r="B102" s="3" t="s">
        <v>179</v>
      </c>
      <c r="C102" s="3" t="s">
        <v>1099</v>
      </c>
      <c r="D102" s="4" t="s">
        <v>1271</v>
      </c>
      <c r="E102" s="3" t="s">
        <v>1238</v>
      </c>
      <c r="F102" s="3" t="s">
        <v>1215</v>
      </c>
      <c r="G102" s="3"/>
      <c r="H102" s="4"/>
    </row>
    <row r="103" ht="16.5" customHeight="1" spans="1:8">
      <c r="A103" s="3">
        <v>102</v>
      </c>
      <c r="B103" s="3" t="s">
        <v>1272</v>
      </c>
      <c r="C103" s="3" t="s">
        <v>1099</v>
      </c>
      <c r="D103" s="4" t="s">
        <v>1273</v>
      </c>
      <c r="E103" s="3" t="s">
        <v>1218</v>
      </c>
      <c r="F103" s="3" t="s">
        <v>1215</v>
      </c>
      <c r="G103" s="3"/>
      <c r="H103" s="4"/>
    </row>
    <row r="104" ht="16.5" customHeight="1" spans="1:8">
      <c r="A104" s="3">
        <v>103</v>
      </c>
      <c r="B104" s="3" t="s">
        <v>284</v>
      </c>
      <c r="C104" s="3" t="s">
        <v>1099</v>
      </c>
      <c r="D104" s="4" t="s">
        <v>1274</v>
      </c>
      <c r="E104" s="3" t="s">
        <v>1164</v>
      </c>
      <c r="F104" s="3" t="s">
        <v>1215</v>
      </c>
      <c r="G104" s="3"/>
      <c r="H104" s="4"/>
    </row>
    <row r="105" ht="16.5" customHeight="1" spans="1:8">
      <c r="A105" s="3">
        <v>104</v>
      </c>
      <c r="B105" s="3" t="s">
        <v>176</v>
      </c>
      <c r="C105" s="3" t="s">
        <v>1099</v>
      </c>
      <c r="D105" s="4" t="s">
        <v>1275</v>
      </c>
      <c r="E105" s="3" t="s">
        <v>1218</v>
      </c>
      <c r="F105" s="3" t="s">
        <v>1215</v>
      </c>
      <c r="G105" s="3"/>
      <c r="H105" s="4"/>
    </row>
    <row r="106" ht="16.5" customHeight="1" spans="1:8">
      <c r="A106" s="3">
        <v>105</v>
      </c>
      <c r="B106" s="3" t="s">
        <v>160</v>
      </c>
      <c r="C106" s="3" t="s">
        <v>1099</v>
      </c>
      <c r="D106" s="4" t="s">
        <v>1276</v>
      </c>
      <c r="E106" s="3" t="s">
        <v>1218</v>
      </c>
      <c r="F106" s="3" t="s">
        <v>1215</v>
      </c>
      <c r="G106" s="3"/>
      <c r="H106" s="4"/>
    </row>
    <row r="107" ht="16.5" customHeight="1" spans="1:8">
      <c r="A107" s="3">
        <v>106</v>
      </c>
      <c r="B107" s="3" t="s">
        <v>168</v>
      </c>
      <c r="C107" s="3" t="s">
        <v>1099</v>
      </c>
      <c r="D107" s="4" t="s">
        <v>1277</v>
      </c>
      <c r="E107" s="3" t="s">
        <v>1218</v>
      </c>
      <c r="F107" s="3" t="s">
        <v>1215</v>
      </c>
      <c r="G107" s="3"/>
      <c r="H107" s="4"/>
    </row>
    <row r="108" ht="16.5" customHeight="1" spans="1:8">
      <c r="A108" s="3">
        <v>107</v>
      </c>
      <c r="B108" s="3" t="s">
        <v>1278</v>
      </c>
      <c r="C108" s="3" t="s">
        <v>1099</v>
      </c>
      <c r="D108" s="4" t="s">
        <v>1279</v>
      </c>
      <c r="E108" s="3" t="s">
        <v>1238</v>
      </c>
      <c r="F108" s="3" t="s">
        <v>1215</v>
      </c>
      <c r="G108" s="3"/>
      <c r="H108" s="4"/>
    </row>
    <row r="109" ht="16.5" customHeight="1" spans="1:8">
      <c r="A109" s="3">
        <v>108</v>
      </c>
      <c r="B109" s="3" t="s">
        <v>296</v>
      </c>
      <c r="C109" s="3" t="s">
        <v>1099</v>
      </c>
      <c r="D109" s="4" t="s">
        <v>1280</v>
      </c>
      <c r="E109" s="3" t="s">
        <v>1218</v>
      </c>
      <c r="F109" s="3" t="s">
        <v>1215</v>
      </c>
      <c r="G109" s="3"/>
      <c r="H109" s="4"/>
    </row>
    <row r="110" ht="16.5" customHeight="1" spans="1:8">
      <c r="A110" s="3">
        <v>109</v>
      </c>
      <c r="B110" s="3" t="s">
        <v>1281</v>
      </c>
      <c r="C110" s="3" t="s">
        <v>1099</v>
      </c>
      <c r="D110" s="4" t="s">
        <v>1282</v>
      </c>
      <c r="E110" s="3" t="s">
        <v>1218</v>
      </c>
      <c r="F110" s="3" t="s">
        <v>1215</v>
      </c>
      <c r="G110" s="3"/>
      <c r="H110" s="4"/>
    </row>
    <row r="111" ht="16.5" customHeight="1" spans="1:8">
      <c r="A111" s="3">
        <v>110</v>
      </c>
      <c r="B111" s="3" t="s">
        <v>1283</v>
      </c>
      <c r="C111" s="3" t="s">
        <v>1099</v>
      </c>
      <c r="D111" s="4" t="s">
        <v>1284</v>
      </c>
      <c r="E111" s="3" t="s">
        <v>1218</v>
      </c>
      <c r="F111" s="3" t="s">
        <v>1215</v>
      </c>
      <c r="G111" s="3"/>
      <c r="H111" s="4"/>
    </row>
    <row r="112" ht="16.5" customHeight="1" spans="1:8">
      <c r="A112" s="3">
        <v>111</v>
      </c>
      <c r="B112" s="3" t="s">
        <v>1285</v>
      </c>
      <c r="C112" s="3" t="s">
        <v>1099</v>
      </c>
      <c r="D112" s="4" t="s">
        <v>1286</v>
      </c>
      <c r="E112" s="3" t="s">
        <v>1164</v>
      </c>
      <c r="F112" s="3" t="s">
        <v>1215</v>
      </c>
      <c r="G112" s="3"/>
      <c r="H112" s="4"/>
    </row>
    <row r="113" ht="16.5" customHeight="1" spans="1:8">
      <c r="A113" s="3">
        <v>112</v>
      </c>
      <c r="B113" s="3" t="s">
        <v>1287</v>
      </c>
      <c r="C113" s="3" t="s">
        <v>1099</v>
      </c>
      <c r="D113" s="4" t="s">
        <v>1288</v>
      </c>
      <c r="E113" s="3" t="s">
        <v>1164</v>
      </c>
      <c r="F113" s="3" t="s">
        <v>1215</v>
      </c>
      <c r="G113" s="3"/>
      <c r="H113" s="4"/>
    </row>
    <row r="114" ht="16.5" customHeight="1" spans="1:8">
      <c r="A114" s="3">
        <v>113</v>
      </c>
      <c r="B114" s="3" t="s">
        <v>431</v>
      </c>
      <c r="C114" s="3" t="s">
        <v>1099</v>
      </c>
      <c r="D114" s="4" t="s">
        <v>1289</v>
      </c>
      <c r="E114" s="3" t="s">
        <v>1164</v>
      </c>
      <c r="F114" s="3" t="s">
        <v>1215</v>
      </c>
      <c r="G114" s="3"/>
      <c r="H114" s="4"/>
    </row>
    <row r="115" ht="16.5" customHeight="1" spans="1:8">
      <c r="A115" s="3">
        <v>114</v>
      </c>
      <c r="B115" s="3" t="s">
        <v>222</v>
      </c>
      <c r="C115" s="3" t="s">
        <v>1099</v>
      </c>
      <c r="D115" s="4" t="s">
        <v>1290</v>
      </c>
      <c r="E115" s="3" t="s">
        <v>1218</v>
      </c>
      <c r="F115" s="3" t="s">
        <v>1215</v>
      </c>
      <c r="G115" s="3"/>
      <c r="H115" s="4"/>
    </row>
    <row r="116" ht="16.5" customHeight="1" spans="1:8">
      <c r="A116" s="3">
        <v>115</v>
      </c>
      <c r="B116" s="3" t="s">
        <v>232</v>
      </c>
      <c r="C116" s="3" t="s">
        <v>1099</v>
      </c>
      <c r="D116" s="4" t="s">
        <v>1291</v>
      </c>
      <c r="E116" s="3" t="s">
        <v>1218</v>
      </c>
      <c r="F116" s="3" t="s">
        <v>1215</v>
      </c>
      <c r="G116" s="3"/>
      <c r="H116" s="4"/>
    </row>
    <row r="117" ht="16.5" customHeight="1" spans="1:8">
      <c r="A117" s="3">
        <v>116</v>
      </c>
      <c r="B117" s="3" t="s">
        <v>245</v>
      </c>
      <c r="C117" s="3" t="s">
        <v>1099</v>
      </c>
      <c r="D117" s="4" t="s">
        <v>1292</v>
      </c>
      <c r="E117" s="3" t="s">
        <v>1218</v>
      </c>
      <c r="F117" s="3" t="s">
        <v>1215</v>
      </c>
      <c r="G117" s="3"/>
      <c r="H117" s="4"/>
    </row>
    <row r="118" ht="16.5" customHeight="1" spans="1:8">
      <c r="A118" s="3">
        <v>117</v>
      </c>
      <c r="B118" s="3" t="s">
        <v>1293</v>
      </c>
      <c r="C118" s="3" t="s">
        <v>1099</v>
      </c>
      <c r="D118" s="4" t="s">
        <v>1294</v>
      </c>
      <c r="E118" s="3" t="s">
        <v>1164</v>
      </c>
      <c r="F118" s="3" t="s">
        <v>1215</v>
      </c>
      <c r="G118" s="3"/>
      <c r="H118" s="4"/>
    </row>
    <row r="119" ht="16.5" customHeight="1" spans="1:8">
      <c r="A119" s="3">
        <v>118</v>
      </c>
      <c r="B119" s="3" t="s">
        <v>237</v>
      </c>
      <c r="C119" s="3" t="s">
        <v>1099</v>
      </c>
      <c r="D119" s="4" t="s">
        <v>1295</v>
      </c>
      <c r="E119" s="3" t="s">
        <v>1218</v>
      </c>
      <c r="F119" s="3" t="s">
        <v>1215</v>
      </c>
      <c r="G119" s="3"/>
      <c r="H119" s="4"/>
    </row>
    <row r="120" ht="16.5" customHeight="1" spans="1:8">
      <c r="A120" s="3">
        <v>119</v>
      </c>
      <c r="B120" s="3" t="s">
        <v>250</v>
      </c>
      <c r="C120" s="3" t="s">
        <v>1099</v>
      </c>
      <c r="D120" s="4" t="s">
        <v>1296</v>
      </c>
      <c r="E120" s="3" t="s">
        <v>1218</v>
      </c>
      <c r="F120" s="3" t="s">
        <v>1215</v>
      </c>
      <c r="G120" s="3"/>
      <c r="H120" s="4"/>
    </row>
    <row r="121" ht="16.5" customHeight="1" spans="1:8">
      <c r="A121" s="3">
        <v>120</v>
      </c>
      <c r="B121" s="3" t="s">
        <v>225</v>
      </c>
      <c r="C121" s="3" t="s">
        <v>1099</v>
      </c>
      <c r="D121" s="4" t="s">
        <v>1297</v>
      </c>
      <c r="E121" s="3" t="s">
        <v>1218</v>
      </c>
      <c r="F121" s="3" t="s">
        <v>1215</v>
      </c>
      <c r="G121" s="3"/>
      <c r="H121" s="4"/>
    </row>
    <row r="122" ht="16.5" customHeight="1" spans="1:8">
      <c r="A122" s="3">
        <v>121</v>
      </c>
      <c r="B122" s="3" t="s">
        <v>207</v>
      </c>
      <c r="C122" s="3" t="s">
        <v>1099</v>
      </c>
      <c r="D122" s="4" t="s">
        <v>1298</v>
      </c>
      <c r="E122" s="3" t="s">
        <v>1218</v>
      </c>
      <c r="F122" s="3" t="s">
        <v>1215</v>
      </c>
      <c r="G122" s="3"/>
      <c r="H122" s="4"/>
    </row>
    <row r="123" ht="16.5" customHeight="1" spans="1:8">
      <c r="A123" s="3">
        <v>122</v>
      </c>
      <c r="B123" s="3" t="s">
        <v>314</v>
      </c>
      <c r="C123" s="3" t="s">
        <v>1099</v>
      </c>
      <c r="D123" s="4" t="s">
        <v>1299</v>
      </c>
      <c r="E123" s="3" t="s">
        <v>1218</v>
      </c>
      <c r="F123" s="3" t="s">
        <v>1215</v>
      </c>
      <c r="G123" s="3"/>
      <c r="H123" s="4"/>
    </row>
    <row r="124" ht="16.5" customHeight="1" spans="1:8">
      <c r="A124" s="3">
        <v>123</v>
      </c>
      <c r="B124" s="3" t="s">
        <v>200</v>
      </c>
      <c r="C124" s="3" t="s">
        <v>1099</v>
      </c>
      <c r="D124" s="4" t="s">
        <v>1300</v>
      </c>
      <c r="E124" s="3" t="s">
        <v>1218</v>
      </c>
      <c r="F124" s="3" t="s">
        <v>1215</v>
      </c>
      <c r="G124" s="3"/>
      <c r="H124" s="4"/>
    </row>
    <row r="125" ht="16.5" customHeight="1" spans="1:8">
      <c r="A125" s="3">
        <v>124</v>
      </c>
      <c r="B125" s="3" t="s">
        <v>280</v>
      </c>
      <c r="C125" s="3" t="s">
        <v>1099</v>
      </c>
      <c r="D125" s="4" t="s">
        <v>1301</v>
      </c>
      <c r="E125" s="3" t="s">
        <v>1218</v>
      </c>
      <c r="F125" s="3" t="s">
        <v>1215</v>
      </c>
      <c r="G125" s="3"/>
      <c r="H125" s="4"/>
    </row>
    <row r="126" ht="16.5" customHeight="1" spans="1:8">
      <c r="A126" s="3">
        <v>125</v>
      </c>
      <c r="B126" s="3" t="s">
        <v>301</v>
      </c>
      <c r="C126" s="3" t="s">
        <v>1099</v>
      </c>
      <c r="D126" s="4" t="s">
        <v>1302</v>
      </c>
      <c r="E126" s="3" t="s">
        <v>1218</v>
      </c>
      <c r="F126" s="3" t="s">
        <v>1215</v>
      </c>
      <c r="G126" s="3"/>
      <c r="H126" s="4"/>
    </row>
    <row r="127" ht="16.5" customHeight="1" spans="1:8">
      <c r="A127" s="3">
        <v>126</v>
      </c>
      <c r="B127" s="3" t="s">
        <v>1303</v>
      </c>
      <c r="C127" s="3" t="s">
        <v>1099</v>
      </c>
      <c r="D127" s="4" t="s">
        <v>1304</v>
      </c>
      <c r="E127" s="3" t="s">
        <v>1164</v>
      </c>
      <c r="F127" s="3" t="s">
        <v>1215</v>
      </c>
      <c r="G127" s="3"/>
      <c r="H127" s="4"/>
    </row>
    <row r="128" ht="16.5" customHeight="1" spans="1:8">
      <c r="A128" s="3">
        <v>127</v>
      </c>
      <c r="B128" s="3" t="s">
        <v>352</v>
      </c>
      <c r="C128" s="3" t="s">
        <v>1074</v>
      </c>
      <c r="D128" s="4" t="s">
        <v>350</v>
      </c>
      <c r="E128" s="3" t="s">
        <v>1076</v>
      </c>
      <c r="F128" s="3" t="s">
        <v>1215</v>
      </c>
      <c r="G128" s="3" t="s">
        <v>321</v>
      </c>
      <c r="H128" s="4" t="s">
        <v>1305</v>
      </c>
    </row>
    <row r="129" ht="16.5" customHeight="1" spans="1:8">
      <c r="A129" s="3">
        <v>128</v>
      </c>
      <c r="B129" s="3" t="s">
        <v>1306</v>
      </c>
      <c r="C129" s="3" t="s">
        <v>1074</v>
      </c>
      <c r="D129" s="4" t="s">
        <v>1307</v>
      </c>
      <c r="E129" s="3" t="s">
        <v>1076</v>
      </c>
      <c r="F129" s="3" t="s">
        <v>1215</v>
      </c>
      <c r="G129" s="3" t="s">
        <v>321</v>
      </c>
      <c r="H129" s="4" t="s">
        <v>1308</v>
      </c>
    </row>
    <row r="130" ht="16.5" customHeight="1" spans="1:8">
      <c r="A130" s="3">
        <v>129</v>
      </c>
      <c r="B130" s="3" t="s">
        <v>1309</v>
      </c>
      <c r="C130" s="3" t="s">
        <v>1074</v>
      </c>
      <c r="D130" s="4" t="s">
        <v>1310</v>
      </c>
      <c r="E130" s="3" t="s">
        <v>1076</v>
      </c>
      <c r="F130" s="3" t="s">
        <v>1215</v>
      </c>
      <c r="G130" s="3" t="s">
        <v>45</v>
      </c>
      <c r="H130" s="4" t="s">
        <v>1081</v>
      </c>
    </row>
    <row r="131" ht="16.5" customHeight="1" spans="1:8">
      <c r="A131" s="3">
        <v>130</v>
      </c>
      <c r="B131" s="3" t="s">
        <v>55</v>
      </c>
      <c r="C131" s="3" t="s">
        <v>1074</v>
      </c>
      <c r="D131" s="4" t="s">
        <v>53</v>
      </c>
      <c r="E131" s="3" t="s">
        <v>1076</v>
      </c>
      <c r="F131" s="3" t="s">
        <v>1215</v>
      </c>
      <c r="G131" s="3" t="s">
        <v>45</v>
      </c>
      <c r="H131" s="4" t="s">
        <v>1192</v>
      </c>
    </row>
    <row r="132" ht="16.5" customHeight="1" spans="1:8">
      <c r="A132" s="3">
        <v>131</v>
      </c>
      <c r="B132" s="3" t="s">
        <v>58</v>
      </c>
      <c r="C132" s="3" t="s">
        <v>1074</v>
      </c>
      <c r="D132" s="4" t="s">
        <v>1311</v>
      </c>
      <c r="E132" s="3" t="s">
        <v>1076</v>
      </c>
      <c r="F132" s="3" t="s">
        <v>1215</v>
      </c>
      <c r="G132" s="3" t="s">
        <v>45</v>
      </c>
      <c r="H132" s="4" t="s">
        <v>1090</v>
      </c>
    </row>
    <row r="133" ht="16.5" customHeight="1" spans="1:8">
      <c r="A133" s="3">
        <v>132</v>
      </c>
      <c r="B133" s="3" t="s">
        <v>1312</v>
      </c>
      <c r="C133" s="3" t="s">
        <v>1105</v>
      </c>
      <c r="D133" s="4" t="s">
        <v>1313</v>
      </c>
      <c r="E133" s="3" t="s">
        <v>1076</v>
      </c>
      <c r="F133" s="3" t="s">
        <v>1215</v>
      </c>
      <c r="G133" s="3" t="s">
        <v>45</v>
      </c>
      <c r="H133" s="4" t="s">
        <v>1314</v>
      </c>
    </row>
    <row r="134" ht="16.5" customHeight="1" spans="1:8">
      <c r="A134" s="3">
        <v>133</v>
      </c>
      <c r="B134" s="3" t="s">
        <v>1315</v>
      </c>
      <c r="C134" s="3" t="s">
        <v>1105</v>
      </c>
      <c r="D134" s="4" t="s">
        <v>1316</v>
      </c>
      <c r="E134" s="3" t="s">
        <v>1076</v>
      </c>
      <c r="F134" s="3" t="s">
        <v>1215</v>
      </c>
      <c r="G134" s="3" t="s">
        <v>45</v>
      </c>
      <c r="H134" s="4" t="s">
        <v>1314</v>
      </c>
    </row>
    <row r="135" ht="16.5" customHeight="1" spans="1:8">
      <c r="A135" s="3">
        <v>134</v>
      </c>
      <c r="B135" s="3" t="s">
        <v>1317</v>
      </c>
      <c r="C135" s="3" t="s">
        <v>1105</v>
      </c>
      <c r="D135" s="4" t="s">
        <v>1318</v>
      </c>
      <c r="E135" s="3" t="s">
        <v>1076</v>
      </c>
      <c r="F135" s="3" t="s">
        <v>1215</v>
      </c>
      <c r="G135" s="3" t="s">
        <v>45</v>
      </c>
      <c r="H135" s="4" t="s">
        <v>1319</v>
      </c>
    </row>
    <row r="136" ht="16.5" customHeight="1" spans="1:8">
      <c r="A136" s="3">
        <v>135</v>
      </c>
      <c r="B136" s="3" t="s">
        <v>1320</v>
      </c>
      <c r="C136" s="3" t="s">
        <v>1105</v>
      </c>
      <c r="D136" s="4" t="s">
        <v>1121</v>
      </c>
      <c r="E136" s="3" t="s">
        <v>1076</v>
      </c>
      <c r="F136" s="3" t="s">
        <v>1215</v>
      </c>
      <c r="G136" s="3" t="s">
        <v>45</v>
      </c>
      <c r="H136" s="4" t="s">
        <v>1319</v>
      </c>
    </row>
    <row r="137" ht="16.5" customHeight="1" spans="1:8">
      <c r="A137" s="3">
        <v>136</v>
      </c>
      <c r="B137" s="3" t="s">
        <v>1321</v>
      </c>
      <c r="C137" s="3" t="s">
        <v>1105</v>
      </c>
      <c r="D137" s="4" t="s">
        <v>1123</v>
      </c>
      <c r="E137" s="3" t="s">
        <v>1076</v>
      </c>
      <c r="F137" s="3" t="s">
        <v>1215</v>
      </c>
      <c r="G137" s="3" t="s">
        <v>45</v>
      </c>
      <c r="H137" s="4" t="s">
        <v>1319</v>
      </c>
    </row>
    <row r="138" ht="16.5" customHeight="1" spans="1:8">
      <c r="A138" s="3">
        <v>137</v>
      </c>
      <c r="B138" s="3" t="s">
        <v>1322</v>
      </c>
      <c r="C138" s="3" t="s">
        <v>1105</v>
      </c>
      <c r="D138" s="4" t="s">
        <v>1125</v>
      </c>
      <c r="E138" s="3" t="s">
        <v>1076</v>
      </c>
      <c r="F138" s="3" t="s">
        <v>1215</v>
      </c>
      <c r="G138" s="3" t="s">
        <v>45</v>
      </c>
      <c r="H138" s="4" t="s">
        <v>1319</v>
      </c>
    </row>
    <row r="139" ht="16.5" customHeight="1" spans="1:8">
      <c r="A139" s="3">
        <v>138</v>
      </c>
      <c r="B139" s="3" t="s">
        <v>1323</v>
      </c>
      <c r="C139" s="3" t="s">
        <v>1105</v>
      </c>
      <c r="D139" s="4" t="s">
        <v>1324</v>
      </c>
      <c r="E139" s="3" t="s">
        <v>1076</v>
      </c>
      <c r="F139" s="3" t="s">
        <v>1215</v>
      </c>
      <c r="G139" s="3" t="s">
        <v>45</v>
      </c>
      <c r="H139" s="4" t="s">
        <v>1325</v>
      </c>
    </row>
    <row r="140" ht="16.5" customHeight="1" spans="1:8">
      <c r="A140" s="3">
        <v>139</v>
      </c>
      <c r="B140" s="3" t="s">
        <v>1326</v>
      </c>
      <c r="C140" s="3" t="s">
        <v>1105</v>
      </c>
      <c r="D140" s="4" t="s">
        <v>1327</v>
      </c>
      <c r="E140" s="3" t="s">
        <v>1076</v>
      </c>
      <c r="F140" s="3" t="s">
        <v>1215</v>
      </c>
      <c r="G140" s="3" t="s">
        <v>45</v>
      </c>
      <c r="H140" s="4" t="s">
        <v>1325</v>
      </c>
    </row>
    <row r="141" ht="16.5" customHeight="1" spans="1:8">
      <c r="A141" s="3">
        <v>140</v>
      </c>
      <c r="B141" s="3" t="s">
        <v>1328</v>
      </c>
      <c r="C141" s="3" t="s">
        <v>1105</v>
      </c>
      <c r="D141" s="4" t="s">
        <v>1329</v>
      </c>
      <c r="E141" s="3" t="s">
        <v>1076</v>
      </c>
      <c r="F141" s="3" t="s">
        <v>1215</v>
      </c>
      <c r="G141" s="3" t="s">
        <v>45</v>
      </c>
      <c r="H141" s="4" t="s">
        <v>1325</v>
      </c>
    </row>
    <row r="142" ht="16.5" customHeight="1" spans="1:8">
      <c r="A142" s="3">
        <v>141</v>
      </c>
      <c r="B142" s="3" t="s">
        <v>1330</v>
      </c>
      <c r="C142" s="3" t="s">
        <v>1105</v>
      </c>
      <c r="D142" s="4" t="s">
        <v>1331</v>
      </c>
      <c r="E142" s="3" t="s">
        <v>1076</v>
      </c>
      <c r="F142" s="3" t="s">
        <v>1215</v>
      </c>
      <c r="G142" s="3" t="s">
        <v>45</v>
      </c>
      <c r="H142" s="4" t="s">
        <v>1325</v>
      </c>
    </row>
    <row r="143" ht="16.5" customHeight="1" spans="1:8">
      <c r="A143" s="3">
        <v>142</v>
      </c>
      <c r="B143" s="3" t="s">
        <v>1332</v>
      </c>
      <c r="C143" s="3" t="s">
        <v>1105</v>
      </c>
      <c r="D143" s="4" t="s">
        <v>1333</v>
      </c>
      <c r="E143" s="3" t="s">
        <v>1076</v>
      </c>
      <c r="F143" s="3" t="s">
        <v>1215</v>
      </c>
      <c r="G143" s="3" t="s">
        <v>45</v>
      </c>
      <c r="H143" s="4" t="s">
        <v>1325</v>
      </c>
    </row>
    <row r="144" ht="16.5" customHeight="1" spans="1:8">
      <c r="A144" s="3">
        <v>143</v>
      </c>
      <c r="B144" s="3" t="s">
        <v>1334</v>
      </c>
      <c r="C144" s="3" t="s">
        <v>1105</v>
      </c>
      <c r="D144" s="4" t="s">
        <v>335</v>
      </c>
      <c r="E144" s="3" t="s">
        <v>1076</v>
      </c>
      <c r="F144" s="3" t="s">
        <v>1215</v>
      </c>
      <c r="G144" s="3" t="s">
        <v>321</v>
      </c>
      <c r="H144" s="4" t="s">
        <v>1335</v>
      </c>
    </row>
    <row r="145" ht="16.5" customHeight="1" spans="1:8">
      <c r="A145" s="3">
        <v>144</v>
      </c>
      <c r="B145" s="3" t="s">
        <v>1336</v>
      </c>
      <c r="C145" s="3" t="s">
        <v>1105</v>
      </c>
      <c r="D145" s="4" t="s">
        <v>351</v>
      </c>
      <c r="E145" s="3" t="s">
        <v>1076</v>
      </c>
      <c r="F145" s="3" t="s">
        <v>1215</v>
      </c>
      <c r="G145" s="3" t="s">
        <v>321</v>
      </c>
      <c r="H145" s="4" t="s">
        <v>1337</v>
      </c>
    </row>
    <row r="146" ht="16.5" customHeight="1" spans="1:8">
      <c r="A146" s="3">
        <v>145</v>
      </c>
      <c r="B146" s="3" t="s">
        <v>1338</v>
      </c>
      <c r="C146" s="3" t="s">
        <v>1105</v>
      </c>
      <c r="D146" s="4" t="s">
        <v>1339</v>
      </c>
      <c r="E146" s="3" t="s">
        <v>1076</v>
      </c>
      <c r="F146" s="3" t="s">
        <v>1077</v>
      </c>
      <c r="G146" s="3" t="s">
        <v>45</v>
      </c>
      <c r="H146" s="4" t="s">
        <v>1340</v>
      </c>
    </row>
    <row r="147" ht="16.5" customHeight="1" spans="1:8">
      <c r="A147" s="3">
        <v>146</v>
      </c>
      <c r="B147" s="3" t="s">
        <v>1341</v>
      </c>
      <c r="C147" s="3" t="s">
        <v>1105</v>
      </c>
      <c r="D147" s="4" t="s">
        <v>1342</v>
      </c>
      <c r="E147" s="3" t="s">
        <v>1076</v>
      </c>
      <c r="F147" s="3" t="s">
        <v>1077</v>
      </c>
      <c r="G147" s="3" t="s">
        <v>45</v>
      </c>
      <c r="H147" s="4" t="s">
        <v>1314</v>
      </c>
    </row>
    <row r="148" ht="16.5" customHeight="1" spans="1:8">
      <c r="A148" s="3">
        <v>147</v>
      </c>
      <c r="B148" s="3" t="s">
        <v>1343</v>
      </c>
      <c r="C148" s="3" t="s">
        <v>1105</v>
      </c>
      <c r="D148" s="4" t="s">
        <v>1344</v>
      </c>
      <c r="E148" s="3" t="s">
        <v>1076</v>
      </c>
      <c r="F148" s="3" t="s">
        <v>1077</v>
      </c>
      <c r="G148" s="3" t="s">
        <v>45</v>
      </c>
      <c r="H148" s="4" t="s">
        <v>1345</v>
      </c>
    </row>
    <row r="149" ht="16.5" customHeight="1" spans="1:8">
      <c r="A149" s="3">
        <v>148</v>
      </c>
      <c r="B149" s="3" t="s">
        <v>1346</v>
      </c>
      <c r="C149" s="3" t="s">
        <v>1105</v>
      </c>
      <c r="D149" s="4" t="s">
        <v>1347</v>
      </c>
      <c r="E149" s="3" t="s">
        <v>1076</v>
      </c>
      <c r="F149" s="3" t="s">
        <v>1077</v>
      </c>
      <c r="G149" s="3" t="s">
        <v>45</v>
      </c>
      <c r="H149" s="4" t="s">
        <v>1345</v>
      </c>
    </row>
    <row r="150" ht="16.5" customHeight="1" spans="1:8">
      <c r="A150" s="3">
        <v>149</v>
      </c>
      <c r="B150" s="3" t="s">
        <v>1348</v>
      </c>
      <c r="C150" s="3" t="s">
        <v>1105</v>
      </c>
      <c r="D150" s="4" t="s">
        <v>1349</v>
      </c>
      <c r="E150" s="3" t="s">
        <v>1076</v>
      </c>
      <c r="F150" s="3" t="s">
        <v>1350</v>
      </c>
      <c r="G150" s="3" t="s">
        <v>45</v>
      </c>
      <c r="H150" s="4" t="s">
        <v>1340</v>
      </c>
    </row>
    <row r="151" ht="16.5" customHeight="1" spans="1:8">
      <c r="A151" s="3">
        <v>150</v>
      </c>
      <c r="B151" s="3" t="s">
        <v>1351</v>
      </c>
      <c r="C151" s="3" t="s">
        <v>1105</v>
      </c>
      <c r="D151" s="4" t="s">
        <v>1352</v>
      </c>
      <c r="E151" s="3" t="s">
        <v>1076</v>
      </c>
      <c r="F151" s="3" t="s">
        <v>1350</v>
      </c>
      <c r="G151" s="3" t="s">
        <v>45</v>
      </c>
      <c r="H151" s="4" t="s">
        <v>1340</v>
      </c>
    </row>
    <row r="152" ht="16.5" customHeight="1" spans="1:8">
      <c r="A152" s="3">
        <v>151</v>
      </c>
      <c r="B152" s="3" t="s">
        <v>1353</v>
      </c>
      <c r="C152" s="3" t="s">
        <v>1105</v>
      </c>
      <c r="D152" s="4" t="s">
        <v>1354</v>
      </c>
      <c r="E152" s="3" t="s">
        <v>1076</v>
      </c>
      <c r="F152" s="3" t="s">
        <v>1350</v>
      </c>
      <c r="G152" s="3" t="s">
        <v>45</v>
      </c>
      <c r="H152" s="4" t="s">
        <v>1340</v>
      </c>
    </row>
    <row r="153" ht="16.5" customHeight="1" spans="1:8">
      <c r="A153" s="3">
        <v>152</v>
      </c>
      <c r="B153" s="3" t="s">
        <v>1355</v>
      </c>
      <c r="C153" s="3" t="s">
        <v>1356</v>
      </c>
      <c r="D153" s="4" t="s">
        <v>1357</v>
      </c>
      <c r="E153" s="3" t="s">
        <v>1076</v>
      </c>
      <c r="F153" s="3" t="s">
        <v>1358</v>
      </c>
      <c r="G153" s="3" t="s">
        <v>321</v>
      </c>
      <c r="H153" s="4" t="s">
        <v>1359</v>
      </c>
    </row>
    <row r="154" ht="16.5" customHeight="1" spans="1:8">
      <c r="A154" s="3">
        <v>153</v>
      </c>
      <c r="B154" s="3" t="s">
        <v>1360</v>
      </c>
      <c r="C154" s="3" t="s">
        <v>1361</v>
      </c>
      <c r="D154" s="4" t="s">
        <v>1362</v>
      </c>
      <c r="E154" s="3" t="s">
        <v>1218</v>
      </c>
      <c r="F154" s="3" t="s">
        <v>1358</v>
      </c>
      <c r="G154" s="3" t="s">
        <v>45</v>
      </c>
      <c r="H154" s="4" t="s">
        <v>1078</v>
      </c>
    </row>
    <row r="155" ht="16.5" customHeight="1" spans="1:8">
      <c r="A155" s="3">
        <v>154</v>
      </c>
      <c r="B155" s="3" t="s">
        <v>1363</v>
      </c>
      <c r="C155" s="3" t="s">
        <v>1361</v>
      </c>
      <c r="D155" s="4" t="s">
        <v>1357</v>
      </c>
      <c r="E155" s="3" t="s">
        <v>1218</v>
      </c>
      <c r="F155" s="3" t="s">
        <v>1358</v>
      </c>
      <c r="G155" s="3" t="s">
        <v>45</v>
      </c>
      <c r="H155" s="4" t="s">
        <v>1078</v>
      </c>
    </row>
    <row r="156" ht="16.5" customHeight="1" spans="1:8">
      <c r="A156" s="3">
        <v>155</v>
      </c>
      <c r="B156" s="3" t="s">
        <v>1364</v>
      </c>
      <c r="C156" s="3" t="s">
        <v>1361</v>
      </c>
      <c r="D156" s="4" t="s">
        <v>1365</v>
      </c>
      <c r="E156" s="3" t="s">
        <v>1218</v>
      </c>
      <c r="F156" s="3" t="s">
        <v>1358</v>
      </c>
      <c r="G156" s="3" t="s">
        <v>321</v>
      </c>
      <c r="H156" s="4"/>
    </row>
    <row r="157" ht="16.5" customHeight="1" spans="1:8">
      <c r="A157" s="3">
        <v>156</v>
      </c>
      <c r="B157" s="3" t="s">
        <v>1366</v>
      </c>
      <c r="C157" s="3" t="s">
        <v>1074</v>
      </c>
      <c r="D157" s="4" t="s">
        <v>1367</v>
      </c>
      <c r="E157" s="3" t="s">
        <v>1076</v>
      </c>
      <c r="F157" s="3" t="s">
        <v>1077</v>
      </c>
      <c r="G157" s="3" t="s">
        <v>321</v>
      </c>
      <c r="H157" s="4" t="s">
        <v>1368</v>
      </c>
    </row>
    <row r="158" ht="16.5" customHeight="1" spans="1:8">
      <c r="A158" s="3">
        <v>157</v>
      </c>
      <c r="B158" s="3" t="s">
        <v>1369</v>
      </c>
      <c r="C158" s="3" t="s">
        <v>1105</v>
      </c>
      <c r="D158" s="4" t="s">
        <v>1370</v>
      </c>
      <c r="E158" s="3" t="s">
        <v>1076</v>
      </c>
      <c r="F158" s="3" t="s">
        <v>1077</v>
      </c>
      <c r="G158" s="3" t="s">
        <v>45</v>
      </c>
      <c r="H158" s="4" t="s">
        <v>1371</v>
      </c>
    </row>
    <row r="159" ht="16.5" customHeight="1" spans="1:8">
      <c r="A159" s="3">
        <v>158</v>
      </c>
      <c r="B159" s="3" t="s">
        <v>1372</v>
      </c>
      <c r="C159" s="3" t="s">
        <v>1105</v>
      </c>
      <c r="D159" s="4" t="s">
        <v>1373</v>
      </c>
      <c r="E159" s="3" t="s">
        <v>1076</v>
      </c>
      <c r="F159" s="3" t="s">
        <v>1077</v>
      </c>
      <c r="G159" s="3" t="s">
        <v>45</v>
      </c>
      <c r="H159" s="4" t="s">
        <v>1374</v>
      </c>
    </row>
    <row r="160" ht="16.5" customHeight="1" spans="1:8">
      <c r="A160" s="3">
        <v>159</v>
      </c>
      <c r="B160" s="3" t="s">
        <v>1375</v>
      </c>
      <c r="C160" s="3" t="s">
        <v>1356</v>
      </c>
      <c r="D160" s="4" t="s">
        <v>1376</v>
      </c>
      <c r="E160" s="3" t="s">
        <v>1076</v>
      </c>
      <c r="F160" s="3" t="s">
        <v>1077</v>
      </c>
      <c r="G160" s="3" t="s">
        <v>321</v>
      </c>
      <c r="H160" s="4" t="s">
        <v>1095</v>
      </c>
    </row>
    <row r="161" ht="16.5" customHeight="1" spans="1:8">
      <c r="A161" s="3">
        <v>160</v>
      </c>
      <c r="B161" s="3" t="s">
        <v>1377</v>
      </c>
      <c r="C161" s="3" t="s">
        <v>1074</v>
      </c>
      <c r="D161" s="4" t="s">
        <v>1378</v>
      </c>
      <c r="E161" s="3" t="s">
        <v>1076</v>
      </c>
      <c r="F161" s="3" t="s">
        <v>1077</v>
      </c>
      <c r="G161" s="3" t="s">
        <v>321</v>
      </c>
      <c r="H161" s="4" t="s">
        <v>1368</v>
      </c>
    </row>
    <row r="162" ht="16.5" customHeight="1" spans="1:8">
      <c r="A162" s="3">
        <v>161</v>
      </c>
      <c r="B162" s="3" t="s">
        <v>1379</v>
      </c>
      <c r="C162" s="3" t="s">
        <v>1074</v>
      </c>
      <c r="D162" s="4" t="s">
        <v>1380</v>
      </c>
      <c r="E162" s="3" t="s">
        <v>1076</v>
      </c>
      <c r="F162" s="3" t="s">
        <v>1077</v>
      </c>
      <c r="G162" s="3" t="s">
        <v>45</v>
      </c>
      <c r="H162" s="4" t="s">
        <v>1084</v>
      </c>
    </row>
    <row r="163" ht="16.5" customHeight="1" spans="1:8">
      <c r="A163" s="3">
        <v>162</v>
      </c>
      <c r="B163" s="3" t="s">
        <v>1381</v>
      </c>
      <c r="C163" s="3" t="s">
        <v>1074</v>
      </c>
      <c r="D163" s="4" t="s">
        <v>1382</v>
      </c>
      <c r="E163" s="3" t="s">
        <v>1076</v>
      </c>
      <c r="F163" s="3" t="s">
        <v>1077</v>
      </c>
      <c r="G163" s="3" t="s">
        <v>45</v>
      </c>
      <c r="H163" s="4" t="s">
        <v>1081</v>
      </c>
    </row>
    <row r="164" ht="16.5" customHeight="1" spans="1:8">
      <c r="A164" s="3">
        <v>163</v>
      </c>
      <c r="B164" s="3" t="s">
        <v>1383</v>
      </c>
      <c r="C164" s="3" t="s">
        <v>1074</v>
      </c>
      <c r="D164" s="4" t="s">
        <v>1114</v>
      </c>
      <c r="E164" s="3" t="s">
        <v>1076</v>
      </c>
      <c r="F164" s="3" t="s">
        <v>1077</v>
      </c>
      <c r="G164" s="3" t="s">
        <v>45</v>
      </c>
      <c r="H164" s="4" t="s">
        <v>1081</v>
      </c>
    </row>
    <row r="165" ht="16.5" customHeight="1" spans="1:8">
      <c r="A165" s="3">
        <v>164</v>
      </c>
      <c r="B165" s="3" t="s">
        <v>1384</v>
      </c>
      <c r="C165" s="3" t="s">
        <v>1074</v>
      </c>
      <c r="D165" s="4" t="s">
        <v>1385</v>
      </c>
      <c r="E165" s="3" t="s">
        <v>1076</v>
      </c>
      <c r="F165" s="3" t="s">
        <v>1077</v>
      </c>
      <c r="G165" s="3" t="s">
        <v>45</v>
      </c>
      <c r="H165" s="4" t="s">
        <v>1078</v>
      </c>
    </row>
    <row r="166" ht="16.5" customHeight="1" spans="1:8">
      <c r="A166" s="3">
        <v>165</v>
      </c>
      <c r="B166" s="3" t="s">
        <v>1386</v>
      </c>
      <c r="C166" s="3" t="s">
        <v>1074</v>
      </c>
      <c r="D166" s="4" t="s">
        <v>1387</v>
      </c>
      <c r="E166" s="3" t="s">
        <v>1076</v>
      </c>
      <c r="F166" s="3" t="s">
        <v>1077</v>
      </c>
      <c r="G166" s="3" t="s">
        <v>45</v>
      </c>
      <c r="H166" s="4" t="s">
        <v>1081</v>
      </c>
    </row>
    <row r="167" ht="16.5" customHeight="1" spans="1:8">
      <c r="A167" s="3">
        <v>166</v>
      </c>
      <c r="B167" s="3" t="s">
        <v>1388</v>
      </c>
      <c r="C167" s="3" t="s">
        <v>1074</v>
      </c>
      <c r="D167" s="4" t="s">
        <v>1389</v>
      </c>
      <c r="E167" s="3" t="s">
        <v>1076</v>
      </c>
      <c r="F167" s="3" t="s">
        <v>1077</v>
      </c>
      <c r="G167" s="3" t="s">
        <v>321</v>
      </c>
      <c r="H167" s="4" t="s">
        <v>1390</v>
      </c>
    </row>
    <row r="168" ht="16.5" customHeight="1" spans="1:8">
      <c r="A168" s="3">
        <v>167</v>
      </c>
      <c r="B168" s="3" t="s">
        <v>1391</v>
      </c>
      <c r="C168" s="3" t="s">
        <v>1074</v>
      </c>
      <c r="D168" s="4" t="s">
        <v>1392</v>
      </c>
      <c r="E168" s="3" t="s">
        <v>1076</v>
      </c>
      <c r="F168" s="3" t="s">
        <v>1077</v>
      </c>
      <c r="G168" s="3" t="s">
        <v>321</v>
      </c>
      <c r="H168" s="4" t="s">
        <v>1305</v>
      </c>
    </row>
    <row r="169" ht="16.5" customHeight="1" spans="1:8">
      <c r="A169" s="3">
        <v>168</v>
      </c>
      <c r="B169" s="3" t="s">
        <v>1393</v>
      </c>
      <c r="C169" s="3" t="s">
        <v>1074</v>
      </c>
      <c r="D169" s="4" t="s">
        <v>1112</v>
      </c>
      <c r="E169" s="3" t="s">
        <v>1076</v>
      </c>
      <c r="F169" s="3" t="s">
        <v>1077</v>
      </c>
      <c r="G169" s="3" t="s">
        <v>321</v>
      </c>
      <c r="H169" s="4" t="s">
        <v>1081</v>
      </c>
    </row>
    <row r="170" ht="16.5" customHeight="1" spans="1:8">
      <c r="A170" s="3">
        <v>169</v>
      </c>
      <c r="B170" s="3" t="s">
        <v>1394</v>
      </c>
      <c r="C170" s="3" t="s">
        <v>1074</v>
      </c>
      <c r="D170" s="4" t="s">
        <v>1395</v>
      </c>
      <c r="E170" s="3" t="s">
        <v>1076</v>
      </c>
      <c r="F170" s="3" t="s">
        <v>1077</v>
      </c>
      <c r="G170" s="3" t="s">
        <v>45</v>
      </c>
      <c r="H170" s="4" t="s">
        <v>1081</v>
      </c>
    </row>
    <row r="171" ht="16.5" customHeight="1" spans="1:8">
      <c r="A171" s="3">
        <v>170</v>
      </c>
      <c r="B171" s="3" t="s">
        <v>1396</v>
      </c>
      <c r="C171" s="3" t="s">
        <v>1074</v>
      </c>
      <c r="D171" s="4" t="s">
        <v>1397</v>
      </c>
      <c r="E171" s="3" t="s">
        <v>1076</v>
      </c>
      <c r="F171" s="3" t="s">
        <v>1077</v>
      </c>
      <c r="G171" s="3" t="s">
        <v>45</v>
      </c>
      <c r="H171" s="4" t="s">
        <v>1081</v>
      </c>
    </row>
    <row r="172" ht="16.5" customHeight="1" spans="1:8">
      <c r="A172" s="3">
        <v>171</v>
      </c>
      <c r="B172" s="3" t="s">
        <v>123</v>
      </c>
      <c r="C172" s="3" t="s">
        <v>1074</v>
      </c>
      <c r="D172" s="4" t="s">
        <v>1398</v>
      </c>
      <c r="E172" s="3" t="s">
        <v>1076</v>
      </c>
      <c r="F172" s="3" t="s">
        <v>1077</v>
      </c>
      <c r="G172" s="3" t="s">
        <v>45</v>
      </c>
      <c r="H172" s="4" t="s">
        <v>1399</v>
      </c>
    </row>
    <row r="173" ht="16.5" customHeight="1" spans="1:8">
      <c r="A173" s="3">
        <v>172</v>
      </c>
      <c r="B173" s="3" t="s">
        <v>1400</v>
      </c>
      <c r="C173" s="3" t="s">
        <v>1074</v>
      </c>
      <c r="D173" s="4" t="s">
        <v>1401</v>
      </c>
      <c r="E173" s="3" t="s">
        <v>1076</v>
      </c>
      <c r="F173" s="3" t="s">
        <v>1077</v>
      </c>
      <c r="G173" s="3" t="s">
        <v>321</v>
      </c>
      <c r="H173" s="4" t="s">
        <v>1095</v>
      </c>
    </row>
    <row r="174" ht="16.5" customHeight="1" spans="1:8">
      <c r="A174" s="3">
        <v>173</v>
      </c>
      <c r="B174" s="3" t="s">
        <v>1402</v>
      </c>
      <c r="C174" s="3" t="s">
        <v>1074</v>
      </c>
      <c r="D174" s="4" t="s">
        <v>1403</v>
      </c>
      <c r="E174" s="3" t="s">
        <v>1076</v>
      </c>
      <c r="F174" s="3" t="s">
        <v>1077</v>
      </c>
      <c r="G174" s="3" t="s">
        <v>321</v>
      </c>
      <c r="H174" s="4" t="s">
        <v>1368</v>
      </c>
    </row>
    <row r="175" ht="16.5" customHeight="1" spans="1:8">
      <c r="A175" s="3">
        <v>174</v>
      </c>
      <c r="B175" s="3" t="s">
        <v>1404</v>
      </c>
      <c r="C175" s="3" t="s">
        <v>1074</v>
      </c>
      <c r="D175" s="4" t="s">
        <v>1405</v>
      </c>
      <c r="E175" s="3" t="s">
        <v>1076</v>
      </c>
      <c r="F175" s="3" t="s">
        <v>1077</v>
      </c>
      <c r="G175" s="3" t="s">
        <v>321</v>
      </c>
      <c r="H175" s="4" t="s">
        <v>1305</v>
      </c>
    </row>
    <row r="176" ht="16.5" customHeight="1" spans="1:8">
      <c r="A176" s="3">
        <v>175</v>
      </c>
      <c r="B176" s="3" t="s">
        <v>1406</v>
      </c>
      <c r="C176" s="3" t="s">
        <v>1074</v>
      </c>
      <c r="D176" s="4" t="s">
        <v>1407</v>
      </c>
      <c r="E176" s="3" t="s">
        <v>1076</v>
      </c>
      <c r="F176" s="3" t="s">
        <v>1077</v>
      </c>
      <c r="G176" s="3" t="s">
        <v>321</v>
      </c>
      <c r="H176" s="4" t="s">
        <v>1390</v>
      </c>
    </row>
    <row r="177" ht="16.5" customHeight="1" spans="1:8">
      <c r="A177" s="3">
        <v>176</v>
      </c>
      <c r="B177" s="3" t="s">
        <v>1408</v>
      </c>
      <c r="C177" s="3" t="s">
        <v>1074</v>
      </c>
      <c r="D177" s="4" t="s">
        <v>1409</v>
      </c>
      <c r="E177" s="3" t="s">
        <v>1076</v>
      </c>
      <c r="F177" s="3" t="s">
        <v>1077</v>
      </c>
      <c r="G177" s="3" t="s">
        <v>45</v>
      </c>
      <c r="H177" s="4" t="s">
        <v>1399</v>
      </c>
    </row>
    <row r="178" ht="16.5" customHeight="1" spans="1:8">
      <c r="A178" s="3">
        <v>177</v>
      </c>
      <c r="B178" s="3" t="s">
        <v>1410</v>
      </c>
      <c r="C178" s="3" t="s">
        <v>1074</v>
      </c>
      <c r="D178" s="4" t="s">
        <v>1411</v>
      </c>
      <c r="E178" s="3" t="s">
        <v>1076</v>
      </c>
      <c r="F178" s="3" t="s">
        <v>1077</v>
      </c>
      <c r="G178" s="3" t="s">
        <v>45</v>
      </c>
      <c r="H178" s="4" t="s">
        <v>1399</v>
      </c>
    </row>
    <row r="179" ht="16.5" customHeight="1" spans="1:8">
      <c r="A179" s="3">
        <v>178</v>
      </c>
      <c r="B179" s="3" t="s">
        <v>1412</v>
      </c>
      <c r="C179" s="3" t="s">
        <v>1074</v>
      </c>
      <c r="D179" s="4" t="s">
        <v>1413</v>
      </c>
      <c r="E179" s="3" t="s">
        <v>1076</v>
      </c>
      <c r="F179" s="3" t="s">
        <v>1077</v>
      </c>
      <c r="G179" s="3" t="s">
        <v>45</v>
      </c>
      <c r="H179" s="4" t="s">
        <v>1081</v>
      </c>
    </row>
    <row r="180" ht="16.5" customHeight="1" spans="1:8">
      <c r="A180" s="3">
        <v>179</v>
      </c>
      <c r="B180" s="3" t="s">
        <v>1414</v>
      </c>
      <c r="C180" s="3" t="s">
        <v>1356</v>
      </c>
      <c r="D180" s="4" t="s">
        <v>1415</v>
      </c>
      <c r="E180" s="3" t="s">
        <v>1076</v>
      </c>
      <c r="F180" s="3" t="s">
        <v>1077</v>
      </c>
      <c r="G180" s="3" t="s">
        <v>45</v>
      </c>
      <c r="H180" s="4" t="s">
        <v>1081</v>
      </c>
    </row>
    <row r="181" ht="16.5" customHeight="1" spans="1:8">
      <c r="A181" s="3">
        <v>180</v>
      </c>
      <c r="B181" s="3" t="s">
        <v>1416</v>
      </c>
      <c r="C181" s="3" t="s">
        <v>1074</v>
      </c>
      <c r="D181" s="4" t="s">
        <v>1417</v>
      </c>
      <c r="E181" s="3" t="s">
        <v>1076</v>
      </c>
      <c r="F181" s="3" t="s">
        <v>1077</v>
      </c>
      <c r="G181" s="3" t="s">
        <v>45</v>
      </c>
      <c r="H181" s="4" t="s">
        <v>1081</v>
      </c>
    </row>
    <row r="182" ht="16.5" customHeight="1" spans="1:8">
      <c r="A182" s="3">
        <v>181</v>
      </c>
      <c r="B182" s="3" t="s">
        <v>1418</v>
      </c>
      <c r="C182" s="3" t="s">
        <v>1074</v>
      </c>
      <c r="D182" s="4" t="s">
        <v>1419</v>
      </c>
      <c r="E182" s="3" t="s">
        <v>1076</v>
      </c>
      <c r="F182" s="3" t="s">
        <v>1077</v>
      </c>
      <c r="G182" s="3" t="s">
        <v>45</v>
      </c>
      <c r="H182" s="4" t="s">
        <v>1081</v>
      </c>
    </row>
    <row r="183" ht="16.5" customHeight="1" spans="1:8">
      <c r="A183" s="3">
        <v>182</v>
      </c>
      <c r="B183" s="3" t="s">
        <v>1420</v>
      </c>
      <c r="C183" s="3" t="s">
        <v>1074</v>
      </c>
      <c r="D183" s="4" t="s">
        <v>1421</v>
      </c>
      <c r="E183" s="3" t="s">
        <v>1076</v>
      </c>
      <c r="F183" s="3" t="s">
        <v>1077</v>
      </c>
      <c r="G183" s="3" t="s">
        <v>45</v>
      </c>
      <c r="H183" s="4" t="s">
        <v>1081</v>
      </c>
    </row>
    <row r="184" ht="16.5" customHeight="1" spans="1:8">
      <c r="A184" s="3">
        <v>183</v>
      </c>
      <c r="B184" s="3" t="s">
        <v>1422</v>
      </c>
      <c r="C184" s="3" t="s">
        <v>1074</v>
      </c>
      <c r="D184" s="4" t="s">
        <v>1423</v>
      </c>
      <c r="E184" s="3" t="s">
        <v>1076</v>
      </c>
      <c r="F184" s="3" t="s">
        <v>1077</v>
      </c>
      <c r="G184" s="3" t="s">
        <v>45</v>
      </c>
      <c r="H184" s="4" t="s">
        <v>1084</v>
      </c>
    </row>
    <row r="185" ht="16.5" customHeight="1" spans="1:8">
      <c r="A185" s="3">
        <v>184</v>
      </c>
      <c r="B185" s="3" t="s">
        <v>1424</v>
      </c>
      <c r="C185" s="3" t="s">
        <v>1074</v>
      </c>
      <c r="D185" s="4" t="s">
        <v>1425</v>
      </c>
      <c r="E185" s="3" t="s">
        <v>1076</v>
      </c>
      <c r="F185" s="3" t="s">
        <v>1077</v>
      </c>
      <c r="G185" s="3" t="s">
        <v>45</v>
      </c>
      <c r="H185" s="4" t="s">
        <v>1081</v>
      </c>
    </row>
    <row r="186" ht="16.5" customHeight="1" spans="1:8">
      <c r="A186" s="3">
        <v>185</v>
      </c>
      <c r="B186" s="3" t="s">
        <v>1426</v>
      </c>
      <c r="C186" s="3" t="s">
        <v>1074</v>
      </c>
      <c r="D186" s="4" t="s">
        <v>1123</v>
      </c>
      <c r="E186" s="3" t="s">
        <v>1076</v>
      </c>
      <c r="F186" s="3" t="s">
        <v>1077</v>
      </c>
      <c r="G186" s="3" t="s">
        <v>45</v>
      </c>
      <c r="H186" s="4" t="s">
        <v>1081</v>
      </c>
    </row>
    <row r="187" ht="16.5" customHeight="1" spans="1:8">
      <c r="A187" s="3">
        <v>186</v>
      </c>
      <c r="B187" s="3" t="s">
        <v>1427</v>
      </c>
      <c r="C187" s="3" t="s">
        <v>1356</v>
      </c>
      <c r="D187" s="4" t="s">
        <v>1109</v>
      </c>
      <c r="E187" s="3" t="s">
        <v>1076</v>
      </c>
      <c r="F187" s="3" t="s">
        <v>1077</v>
      </c>
      <c r="G187" s="3" t="s">
        <v>45</v>
      </c>
      <c r="H187" s="4" t="s">
        <v>1081</v>
      </c>
    </row>
    <row r="188" ht="16.5" customHeight="1" spans="1:8">
      <c r="A188" s="3">
        <v>187</v>
      </c>
      <c r="B188" s="3" t="s">
        <v>1428</v>
      </c>
      <c r="C188" s="3" t="s">
        <v>1074</v>
      </c>
      <c r="D188" s="4" t="s">
        <v>1318</v>
      </c>
      <c r="E188" s="3" t="s">
        <v>1076</v>
      </c>
      <c r="F188" s="3" t="s">
        <v>1077</v>
      </c>
      <c r="G188" s="3" t="s">
        <v>45</v>
      </c>
      <c r="H188" s="4" t="s">
        <v>1081</v>
      </c>
    </row>
    <row r="189" ht="16.5" customHeight="1" spans="1:8">
      <c r="A189" s="3">
        <v>188</v>
      </c>
      <c r="B189" s="3" t="s">
        <v>1429</v>
      </c>
      <c r="C189" s="3" t="s">
        <v>1074</v>
      </c>
      <c r="D189" s="4" t="s">
        <v>1121</v>
      </c>
      <c r="E189" s="3" t="s">
        <v>1076</v>
      </c>
      <c r="F189" s="3" t="s">
        <v>1077</v>
      </c>
      <c r="G189" s="3" t="s">
        <v>45</v>
      </c>
      <c r="H189" s="4" t="s">
        <v>1081</v>
      </c>
    </row>
    <row r="190" ht="16.5" customHeight="1" spans="1:8">
      <c r="A190" s="3">
        <v>189</v>
      </c>
      <c r="B190" s="3" t="s">
        <v>1430</v>
      </c>
      <c r="C190" s="3" t="s">
        <v>1074</v>
      </c>
      <c r="D190" s="4" t="s">
        <v>1431</v>
      </c>
      <c r="E190" s="3" t="s">
        <v>1076</v>
      </c>
      <c r="F190" s="3" t="s">
        <v>1077</v>
      </c>
      <c r="G190" s="3" t="s">
        <v>45</v>
      </c>
      <c r="H190" s="4" t="s">
        <v>1081</v>
      </c>
    </row>
    <row r="191" ht="16.5" customHeight="1" spans="1:8">
      <c r="A191" s="3">
        <v>190</v>
      </c>
      <c r="B191" s="3" t="s">
        <v>1432</v>
      </c>
      <c r="C191" s="3" t="s">
        <v>1074</v>
      </c>
      <c r="D191" s="4" t="s">
        <v>1125</v>
      </c>
      <c r="E191" s="3" t="s">
        <v>1076</v>
      </c>
      <c r="F191" s="3" t="s">
        <v>1077</v>
      </c>
      <c r="G191" s="3" t="s">
        <v>45</v>
      </c>
      <c r="H191" s="4" t="s">
        <v>1081</v>
      </c>
    </row>
    <row r="192" ht="16.5" customHeight="1" spans="1:8">
      <c r="A192" s="3">
        <v>191</v>
      </c>
      <c r="B192" s="3" t="s">
        <v>1433</v>
      </c>
      <c r="C192" s="3" t="s">
        <v>1074</v>
      </c>
      <c r="D192" s="4" t="s">
        <v>1434</v>
      </c>
      <c r="E192" s="3" t="s">
        <v>1076</v>
      </c>
      <c r="F192" s="3" t="s">
        <v>1077</v>
      </c>
      <c r="G192" s="3" t="s">
        <v>45</v>
      </c>
      <c r="H192" s="4" t="s">
        <v>1081</v>
      </c>
    </row>
    <row r="193" ht="16.5" customHeight="1" spans="1:8">
      <c r="A193" s="3">
        <v>192</v>
      </c>
      <c r="B193" s="3" t="s">
        <v>1435</v>
      </c>
      <c r="C193" s="3" t="s">
        <v>1074</v>
      </c>
      <c r="D193" s="4" t="s">
        <v>1436</v>
      </c>
      <c r="E193" s="3" t="s">
        <v>1076</v>
      </c>
      <c r="F193" s="3" t="s">
        <v>1077</v>
      </c>
      <c r="G193" s="3" t="s">
        <v>45</v>
      </c>
      <c r="H193" s="4" t="s">
        <v>1081</v>
      </c>
    </row>
    <row r="194" ht="16.5" customHeight="1" spans="1:8">
      <c r="A194" s="3">
        <v>193</v>
      </c>
      <c r="B194" s="3" t="s">
        <v>1437</v>
      </c>
      <c r="C194" s="3" t="s">
        <v>1074</v>
      </c>
      <c r="D194" s="4" t="s">
        <v>338</v>
      </c>
      <c r="E194" s="3" t="s">
        <v>1076</v>
      </c>
      <c r="F194" s="3" t="s">
        <v>1077</v>
      </c>
      <c r="G194" s="3" t="s">
        <v>321</v>
      </c>
      <c r="H194" s="4" t="s">
        <v>1095</v>
      </c>
    </row>
    <row r="195" ht="16.5" customHeight="1" spans="1:8">
      <c r="A195" s="3">
        <v>194</v>
      </c>
      <c r="B195" s="3" t="s">
        <v>344</v>
      </c>
      <c r="C195" s="3" t="s">
        <v>1074</v>
      </c>
      <c r="D195" s="4" t="s">
        <v>342</v>
      </c>
      <c r="E195" s="3" t="s">
        <v>1076</v>
      </c>
      <c r="F195" s="3" t="s">
        <v>1077</v>
      </c>
      <c r="G195" s="3" t="s">
        <v>321</v>
      </c>
      <c r="H195" s="4" t="s">
        <v>1368</v>
      </c>
    </row>
    <row r="196" ht="16.5" customHeight="1" spans="1:8">
      <c r="A196" s="3">
        <v>195</v>
      </c>
      <c r="B196" s="3" t="s">
        <v>1438</v>
      </c>
      <c r="C196" s="3" t="s">
        <v>1074</v>
      </c>
      <c r="D196" s="4" t="s">
        <v>1439</v>
      </c>
      <c r="E196" s="3" t="s">
        <v>1076</v>
      </c>
      <c r="F196" s="3" t="s">
        <v>1077</v>
      </c>
      <c r="G196" s="3" t="s">
        <v>321</v>
      </c>
      <c r="H196" s="4" t="s">
        <v>1390</v>
      </c>
    </row>
    <row r="197" ht="16.5" customHeight="1" spans="1:8">
      <c r="A197" s="3">
        <v>196</v>
      </c>
      <c r="B197" s="3" t="s">
        <v>347</v>
      </c>
      <c r="C197" s="3" t="s">
        <v>1074</v>
      </c>
      <c r="D197" s="4" t="s">
        <v>345</v>
      </c>
      <c r="E197" s="3" t="s">
        <v>1076</v>
      </c>
      <c r="F197" s="3" t="s">
        <v>1077</v>
      </c>
      <c r="G197" s="3" t="s">
        <v>321</v>
      </c>
      <c r="H197" s="4" t="s">
        <v>1095</v>
      </c>
    </row>
    <row r="198" ht="16.5" customHeight="1" spans="1:8">
      <c r="A198" s="3">
        <v>197</v>
      </c>
      <c r="B198" s="3" t="s">
        <v>1440</v>
      </c>
      <c r="C198" s="3" t="s">
        <v>1074</v>
      </c>
      <c r="D198" s="4" t="s">
        <v>348</v>
      </c>
      <c r="E198" s="3" t="s">
        <v>1076</v>
      </c>
      <c r="F198" s="3" t="s">
        <v>1077</v>
      </c>
      <c r="G198" s="3" t="s">
        <v>321</v>
      </c>
      <c r="H198" s="4" t="s">
        <v>1368</v>
      </c>
    </row>
    <row r="199" ht="16.5" customHeight="1" spans="1:8">
      <c r="A199" s="3">
        <v>198</v>
      </c>
      <c r="B199" s="3" t="s">
        <v>1441</v>
      </c>
      <c r="C199" s="3" t="s">
        <v>1074</v>
      </c>
      <c r="D199" s="4" t="s">
        <v>1442</v>
      </c>
      <c r="E199" s="3" t="s">
        <v>1076</v>
      </c>
      <c r="F199" s="3" t="s">
        <v>1077</v>
      </c>
      <c r="G199" s="3" t="s">
        <v>45</v>
      </c>
      <c r="H199" s="4" t="s">
        <v>1087</v>
      </c>
    </row>
    <row r="200" ht="16.5" customHeight="1" spans="1:8">
      <c r="A200" s="3">
        <v>199</v>
      </c>
      <c r="B200" s="3" t="s">
        <v>1443</v>
      </c>
      <c r="C200" s="3" t="s">
        <v>1074</v>
      </c>
      <c r="D200" s="4" t="s">
        <v>1444</v>
      </c>
      <c r="E200" s="3" t="s">
        <v>1076</v>
      </c>
      <c r="F200" s="3" t="s">
        <v>1077</v>
      </c>
      <c r="G200" s="3" t="s">
        <v>321</v>
      </c>
      <c r="H200" s="4" t="s">
        <v>1390</v>
      </c>
    </row>
    <row r="201" ht="16.5" customHeight="1" spans="1:8">
      <c r="A201" s="3">
        <v>200</v>
      </c>
      <c r="B201" s="3" t="s">
        <v>1445</v>
      </c>
      <c r="C201" s="3" t="s">
        <v>1074</v>
      </c>
      <c r="D201" s="4" t="s">
        <v>1446</v>
      </c>
      <c r="E201" s="3" t="s">
        <v>1076</v>
      </c>
      <c r="F201" s="3" t="s">
        <v>1077</v>
      </c>
      <c r="G201" s="3" t="s">
        <v>45</v>
      </c>
      <c r="H201" s="4" t="s">
        <v>1087</v>
      </c>
    </row>
    <row r="202" ht="16.5" customHeight="1" spans="1:8">
      <c r="A202" s="3">
        <v>201</v>
      </c>
      <c r="B202" s="3" t="s">
        <v>1447</v>
      </c>
      <c r="C202" s="3" t="s">
        <v>1105</v>
      </c>
      <c r="D202" s="4" t="s">
        <v>1413</v>
      </c>
      <c r="E202" s="3" t="s">
        <v>1076</v>
      </c>
      <c r="F202" s="3" t="s">
        <v>1077</v>
      </c>
      <c r="G202" s="3" t="s">
        <v>45</v>
      </c>
      <c r="H202" s="4" t="s">
        <v>1448</v>
      </c>
    </row>
    <row r="203" ht="16.5" customHeight="1" spans="1:8">
      <c r="A203" s="3">
        <v>202</v>
      </c>
      <c r="B203" s="3" t="s">
        <v>1449</v>
      </c>
      <c r="C203" s="3" t="s">
        <v>1105</v>
      </c>
      <c r="D203" s="4" t="s">
        <v>1415</v>
      </c>
      <c r="E203" s="3" t="s">
        <v>1076</v>
      </c>
      <c r="F203" s="3" t="s">
        <v>1077</v>
      </c>
      <c r="G203" s="3" t="s">
        <v>45</v>
      </c>
      <c r="H203" s="4" t="s">
        <v>1450</v>
      </c>
    </row>
    <row r="204" ht="16.5" customHeight="1" spans="1:8">
      <c r="A204" s="3">
        <v>203</v>
      </c>
      <c r="B204" s="3" t="s">
        <v>1451</v>
      </c>
      <c r="C204" s="3" t="s">
        <v>1105</v>
      </c>
      <c r="D204" s="4" t="s">
        <v>1452</v>
      </c>
      <c r="E204" s="3" t="s">
        <v>1076</v>
      </c>
      <c r="F204" s="3" t="s">
        <v>1077</v>
      </c>
      <c r="G204" s="3" t="s">
        <v>45</v>
      </c>
      <c r="H204" s="4" t="s">
        <v>1453</v>
      </c>
    </row>
    <row r="205" ht="16.5" customHeight="1" spans="1:8">
      <c r="A205" s="3">
        <v>204</v>
      </c>
      <c r="B205" s="3" t="s">
        <v>1454</v>
      </c>
      <c r="C205" s="3" t="s">
        <v>1105</v>
      </c>
      <c r="D205" s="4" t="s">
        <v>1455</v>
      </c>
      <c r="E205" s="3" t="s">
        <v>1076</v>
      </c>
      <c r="F205" s="3" t="s">
        <v>1077</v>
      </c>
      <c r="G205" s="3" t="s">
        <v>45</v>
      </c>
      <c r="H205" s="4" t="s">
        <v>1456</v>
      </c>
    </row>
    <row r="206" ht="16.5" customHeight="1" spans="1:8">
      <c r="A206" s="3">
        <v>205</v>
      </c>
      <c r="B206" s="3" t="s">
        <v>1457</v>
      </c>
      <c r="C206" s="3" t="s">
        <v>1105</v>
      </c>
      <c r="D206" s="4" t="s">
        <v>1397</v>
      </c>
      <c r="E206" s="3" t="s">
        <v>1076</v>
      </c>
      <c r="F206" s="3" t="s">
        <v>1077</v>
      </c>
      <c r="G206" s="3" t="s">
        <v>45</v>
      </c>
      <c r="H206" s="4" t="s">
        <v>1458</v>
      </c>
    </row>
    <row r="207" ht="16.5" customHeight="1" spans="1:8">
      <c r="A207" s="3">
        <v>206</v>
      </c>
      <c r="B207" s="3" t="s">
        <v>1459</v>
      </c>
      <c r="C207" s="3" t="s">
        <v>1105</v>
      </c>
      <c r="D207" s="4" t="s">
        <v>1417</v>
      </c>
      <c r="E207" s="3" t="s">
        <v>1076</v>
      </c>
      <c r="F207" s="3" t="s">
        <v>1077</v>
      </c>
      <c r="G207" s="3" t="s">
        <v>45</v>
      </c>
      <c r="H207" s="4" t="s">
        <v>1460</v>
      </c>
    </row>
    <row r="208" ht="16.5" customHeight="1" spans="1:8">
      <c r="A208" s="3">
        <v>207</v>
      </c>
      <c r="B208" s="3" t="s">
        <v>1461</v>
      </c>
      <c r="C208" s="3" t="s">
        <v>1105</v>
      </c>
      <c r="D208" s="4" t="s">
        <v>1419</v>
      </c>
      <c r="E208" s="3" t="s">
        <v>1076</v>
      </c>
      <c r="F208" s="3" t="s">
        <v>1077</v>
      </c>
      <c r="G208" s="3" t="s">
        <v>45</v>
      </c>
      <c r="H208" s="4" t="s">
        <v>1462</v>
      </c>
    </row>
    <row r="209" ht="16.5" customHeight="1" spans="1:8">
      <c r="A209" s="3">
        <v>208</v>
      </c>
      <c r="B209" s="3" t="s">
        <v>1463</v>
      </c>
      <c r="C209" s="3" t="s">
        <v>1105</v>
      </c>
      <c r="D209" s="4" t="s">
        <v>1464</v>
      </c>
      <c r="E209" s="3" t="s">
        <v>1076</v>
      </c>
      <c r="F209" s="3" t="s">
        <v>1077</v>
      </c>
      <c r="G209" s="3" t="s">
        <v>321</v>
      </c>
      <c r="H209" s="4" t="s">
        <v>1465</v>
      </c>
    </row>
    <row r="210" ht="16.5" customHeight="1" spans="1:8">
      <c r="A210" s="3">
        <v>209</v>
      </c>
      <c r="B210" s="3" t="s">
        <v>1466</v>
      </c>
      <c r="C210" s="3" t="s">
        <v>1105</v>
      </c>
      <c r="D210" s="4" t="s">
        <v>1467</v>
      </c>
      <c r="E210" s="3" t="s">
        <v>1076</v>
      </c>
      <c r="F210" s="3" t="s">
        <v>1077</v>
      </c>
      <c r="G210" s="3" t="s">
        <v>321</v>
      </c>
      <c r="H210" s="4" t="s">
        <v>1465</v>
      </c>
    </row>
    <row r="211" ht="16.5" customHeight="1" spans="1:8">
      <c r="A211" s="3">
        <v>210</v>
      </c>
      <c r="B211" s="3" t="s">
        <v>1468</v>
      </c>
      <c r="C211" s="3" t="s">
        <v>1105</v>
      </c>
      <c r="D211" s="4" t="s">
        <v>1469</v>
      </c>
      <c r="E211" s="3" t="s">
        <v>1076</v>
      </c>
      <c r="F211" s="3" t="s">
        <v>1077</v>
      </c>
      <c r="G211" s="3" t="s">
        <v>321</v>
      </c>
      <c r="H211" s="4" t="s">
        <v>1470</v>
      </c>
    </row>
    <row r="212" ht="16.5" customHeight="1" spans="1:8">
      <c r="A212" s="3">
        <v>211</v>
      </c>
      <c r="B212" s="3" t="s">
        <v>1471</v>
      </c>
      <c r="C212" s="3" t="s">
        <v>1105</v>
      </c>
      <c r="D212" s="4" t="s">
        <v>1472</v>
      </c>
      <c r="E212" s="3" t="s">
        <v>1076</v>
      </c>
      <c r="F212" s="3" t="s">
        <v>1077</v>
      </c>
      <c r="G212" s="3" t="s">
        <v>321</v>
      </c>
      <c r="H212" s="4" t="s">
        <v>1470</v>
      </c>
    </row>
    <row r="213" ht="16.5" customHeight="1" spans="1:8">
      <c r="A213" s="3">
        <v>212</v>
      </c>
      <c r="B213" s="3" t="s">
        <v>1473</v>
      </c>
      <c r="C213" s="3" t="s">
        <v>1105</v>
      </c>
      <c r="D213" s="4" t="s">
        <v>1474</v>
      </c>
      <c r="E213" s="3" t="s">
        <v>1076</v>
      </c>
      <c r="F213" s="3" t="s">
        <v>1077</v>
      </c>
      <c r="G213" s="3" t="s">
        <v>45</v>
      </c>
      <c r="H213" s="4" t="s">
        <v>1475</v>
      </c>
    </row>
    <row r="214" ht="16.5" customHeight="1" spans="1:8">
      <c r="A214" s="3">
        <v>213</v>
      </c>
      <c r="B214" s="3" t="s">
        <v>1476</v>
      </c>
      <c r="C214" s="3" t="s">
        <v>1105</v>
      </c>
      <c r="D214" s="4" t="s">
        <v>1477</v>
      </c>
      <c r="E214" s="3" t="s">
        <v>1076</v>
      </c>
      <c r="F214" s="3" t="s">
        <v>1077</v>
      </c>
      <c r="G214" s="3" t="s">
        <v>45</v>
      </c>
      <c r="H214" s="4" t="s">
        <v>1475</v>
      </c>
    </row>
    <row r="215" ht="16.5" customHeight="1" spans="1:8">
      <c r="A215" s="3">
        <v>214</v>
      </c>
      <c r="B215" s="3" t="s">
        <v>1478</v>
      </c>
      <c r="C215" s="3" t="s">
        <v>1105</v>
      </c>
      <c r="D215" s="4" t="s">
        <v>1112</v>
      </c>
      <c r="E215" s="3" t="s">
        <v>1076</v>
      </c>
      <c r="F215" s="3" t="s">
        <v>1077</v>
      </c>
      <c r="G215" s="3" t="s">
        <v>45</v>
      </c>
      <c r="H215" s="4" t="s">
        <v>1479</v>
      </c>
    </row>
    <row r="216" ht="16.5" customHeight="1" spans="1:8">
      <c r="A216" s="3">
        <v>215</v>
      </c>
      <c r="B216" s="3" t="s">
        <v>1480</v>
      </c>
      <c r="C216" s="3" t="s">
        <v>1105</v>
      </c>
      <c r="D216" s="4" t="s">
        <v>1425</v>
      </c>
      <c r="E216" s="3" t="s">
        <v>1076</v>
      </c>
      <c r="F216" s="3" t="s">
        <v>1077</v>
      </c>
      <c r="G216" s="3" t="s">
        <v>45</v>
      </c>
      <c r="H216" s="4" t="s">
        <v>1481</v>
      </c>
    </row>
    <row r="217" ht="16.5" customHeight="1" spans="1:8">
      <c r="A217" s="3">
        <v>216</v>
      </c>
      <c r="B217" s="3" t="s">
        <v>1482</v>
      </c>
      <c r="C217" s="3" t="s">
        <v>1105</v>
      </c>
      <c r="D217" s="4" t="s">
        <v>1483</v>
      </c>
      <c r="E217" s="3" t="s">
        <v>1076</v>
      </c>
      <c r="F217" s="3" t="s">
        <v>1077</v>
      </c>
      <c r="G217" s="3" t="s">
        <v>45</v>
      </c>
      <c r="H217" s="4" t="s">
        <v>1484</v>
      </c>
    </row>
    <row r="218" ht="16.5" customHeight="1" spans="1:8">
      <c r="A218" s="3">
        <v>217</v>
      </c>
      <c r="B218" s="3" t="s">
        <v>1485</v>
      </c>
      <c r="C218" s="3" t="s">
        <v>1105</v>
      </c>
      <c r="D218" s="4" t="s">
        <v>1486</v>
      </c>
      <c r="E218" s="3" t="s">
        <v>1076</v>
      </c>
      <c r="F218" s="3" t="s">
        <v>1077</v>
      </c>
      <c r="G218" s="3" t="s">
        <v>45</v>
      </c>
      <c r="H218" s="4" t="s">
        <v>1484</v>
      </c>
    </row>
    <row r="219" ht="16.5" customHeight="1" spans="1:8">
      <c r="A219" s="3">
        <v>218</v>
      </c>
      <c r="B219" s="3" t="s">
        <v>1487</v>
      </c>
      <c r="C219" s="3" t="s">
        <v>1105</v>
      </c>
      <c r="D219" s="4" t="s">
        <v>1488</v>
      </c>
      <c r="E219" s="3" t="s">
        <v>1076</v>
      </c>
      <c r="F219" s="3" t="s">
        <v>1077</v>
      </c>
      <c r="G219" s="3" t="s">
        <v>45</v>
      </c>
      <c r="H219" s="4" t="s">
        <v>1484</v>
      </c>
    </row>
    <row r="220" ht="16.5" customHeight="1" spans="1:8">
      <c r="A220" s="3">
        <v>219</v>
      </c>
      <c r="B220" s="3" t="s">
        <v>1489</v>
      </c>
      <c r="C220" s="3" t="s">
        <v>1105</v>
      </c>
      <c r="D220" s="4" t="s">
        <v>1431</v>
      </c>
      <c r="E220" s="3" t="s">
        <v>1076</v>
      </c>
      <c r="F220" s="3" t="s">
        <v>1077</v>
      </c>
      <c r="G220" s="3" t="s">
        <v>45</v>
      </c>
      <c r="H220" s="4" t="s">
        <v>1490</v>
      </c>
    </row>
    <row r="221" ht="16.5" customHeight="1" spans="1:8">
      <c r="A221" s="3">
        <v>220</v>
      </c>
      <c r="B221" s="3" t="s">
        <v>1491</v>
      </c>
      <c r="C221" s="3" t="s">
        <v>1105</v>
      </c>
      <c r="D221" s="4" t="s">
        <v>1492</v>
      </c>
      <c r="E221" s="3" t="s">
        <v>1076</v>
      </c>
      <c r="F221" s="3" t="s">
        <v>1077</v>
      </c>
      <c r="G221" s="3" t="s">
        <v>321</v>
      </c>
      <c r="H221" s="4" t="s">
        <v>1493</v>
      </c>
    </row>
    <row r="222" ht="16.5" customHeight="1" spans="1:8">
      <c r="A222" s="3">
        <v>221</v>
      </c>
      <c r="B222" s="3" t="s">
        <v>1494</v>
      </c>
      <c r="C222" s="3" t="s">
        <v>1105</v>
      </c>
      <c r="D222" s="4" t="s">
        <v>1495</v>
      </c>
      <c r="E222" s="3" t="s">
        <v>1076</v>
      </c>
      <c r="F222" s="3" t="s">
        <v>1077</v>
      </c>
      <c r="G222" s="3" t="s">
        <v>321</v>
      </c>
      <c r="H222" s="4" t="s">
        <v>1493</v>
      </c>
    </row>
    <row r="223" ht="16.5" customHeight="1" spans="1:8">
      <c r="A223" s="3">
        <v>222</v>
      </c>
      <c r="B223" s="3" t="s">
        <v>1496</v>
      </c>
      <c r="C223" s="3" t="s">
        <v>1105</v>
      </c>
      <c r="D223" s="4" t="s">
        <v>1497</v>
      </c>
      <c r="E223" s="3" t="s">
        <v>1076</v>
      </c>
      <c r="F223" s="3" t="s">
        <v>1077</v>
      </c>
      <c r="G223" s="3" t="s">
        <v>321</v>
      </c>
      <c r="H223" s="4" t="s">
        <v>1493</v>
      </c>
    </row>
    <row r="224" ht="16.5" customHeight="1" spans="1:8">
      <c r="A224" s="3">
        <v>223</v>
      </c>
      <c r="B224" s="3" t="s">
        <v>1498</v>
      </c>
      <c r="C224" s="3" t="s">
        <v>1105</v>
      </c>
      <c r="D224" s="4" t="s">
        <v>1499</v>
      </c>
      <c r="E224" s="3" t="s">
        <v>1076</v>
      </c>
      <c r="F224" s="3" t="s">
        <v>1077</v>
      </c>
      <c r="G224" s="3" t="s">
        <v>45</v>
      </c>
      <c r="H224" s="4" t="s">
        <v>1500</v>
      </c>
    </row>
    <row r="225" ht="16.5" customHeight="1" spans="1:8">
      <c r="A225" s="3">
        <v>224</v>
      </c>
      <c r="B225" s="3" t="s">
        <v>1501</v>
      </c>
      <c r="C225" s="3" t="s">
        <v>1105</v>
      </c>
      <c r="D225" s="4" t="s">
        <v>1502</v>
      </c>
      <c r="E225" s="3" t="s">
        <v>1076</v>
      </c>
      <c r="F225" s="3" t="s">
        <v>1077</v>
      </c>
      <c r="G225" s="3" t="s">
        <v>45</v>
      </c>
      <c r="H225" s="4" t="s">
        <v>1500</v>
      </c>
    </row>
    <row r="226" ht="16.5" customHeight="1" spans="1:8">
      <c r="A226" s="3">
        <v>225</v>
      </c>
      <c r="B226" s="3" t="s">
        <v>1503</v>
      </c>
      <c r="C226" s="3" t="s">
        <v>1105</v>
      </c>
      <c r="D226" s="4" t="s">
        <v>1504</v>
      </c>
      <c r="E226" s="3" t="s">
        <v>1076</v>
      </c>
      <c r="F226" s="3" t="s">
        <v>1077</v>
      </c>
      <c r="G226" s="3" t="s">
        <v>45</v>
      </c>
      <c r="H226" s="4" t="s">
        <v>1505</v>
      </c>
    </row>
    <row r="227" ht="16.5" customHeight="1" spans="1:8">
      <c r="A227" s="3">
        <v>226</v>
      </c>
      <c r="B227" s="3" t="s">
        <v>1506</v>
      </c>
      <c r="C227" s="3" t="s">
        <v>1105</v>
      </c>
      <c r="D227" s="4" t="s">
        <v>1507</v>
      </c>
      <c r="E227" s="3" t="s">
        <v>1076</v>
      </c>
      <c r="F227" s="3" t="s">
        <v>1077</v>
      </c>
      <c r="G227" s="3" t="s">
        <v>45</v>
      </c>
      <c r="H227" s="4" t="s">
        <v>1505</v>
      </c>
    </row>
    <row r="228" ht="16.5" customHeight="1" spans="1:8">
      <c r="A228" s="3">
        <v>227</v>
      </c>
      <c r="B228" s="3" t="s">
        <v>1508</v>
      </c>
      <c r="C228" s="3" t="s">
        <v>1105</v>
      </c>
      <c r="D228" s="4" t="s">
        <v>1509</v>
      </c>
      <c r="E228" s="3" t="s">
        <v>1076</v>
      </c>
      <c r="F228" s="3" t="s">
        <v>1077</v>
      </c>
      <c r="G228" s="3" t="s">
        <v>45</v>
      </c>
      <c r="H228" s="4" t="s">
        <v>1505</v>
      </c>
    </row>
    <row r="229" ht="16.5" customHeight="1" spans="1:8">
      <c r="A229" s="3">
        <v>228</v>
      </c>
      <c r="B229" s="3" t="s">
        <v>1510</v>
      </c>
      <c r="C229" s="3" t="s">
        <v>1105</v>
      </c>
      <c r="D229" s="4" t="s">
        <v>1511</v>
      </c>
      <c r="E229" s="3" t="s">
        <v>1076</v>
      </c>
      <c r="F229" s="3" t="s">
        <v>1077</v>
      </c>
      <c r="G229" s="3" t="s">
        <v>45</v>
      </c>
      <c r="H229" s="4" t="s">
        <v>1512</v>
      </c>
    </row>
    <row r="230" ht="16.5" customHeight="1" spans="1:8">
      <c r="A230" s="3">
        <v>229</v>
      </c>
      <c r="B230" s="3" t="s">
        <v>1513</v>
      </c>
      <c r="C230" s="3" t="s">
        <v>1105</v>
      </c>
      <c r="D230" s="4" t="s">
        <v>1514</v>
      </c>
      <c r="E230" s="3" t="s">
        <v>1076</v>
      </c>
      <c r="F230" s="3" t="s">
        <v>1077</v>
      </c>
      <c r="G230" s="3" t="s">
        <v>45</v>
      </c>
      <c r="H230" s="4" t="s">
        <v>1512</v>
      </c>
    </row>
    <row r="231" ht="16.5" customHeight="1" spans="1:8">
      <c r="A231" s="3">
        <v>230</v>
      </c>
      <c r="B231" s="3" t="s">
        <v>1515</v>
      </c>
      <c r="C231" s="3" t="s">
        <v>1105</v>
      </c>
      <c r="D231" s="4" t="s">
        <v>1516</v>
      </c>
      <c r="E231" s="3" t="s">
        <v>1076</v>
      </c>
      <c r="F231" s="3" t="s">
        <v>1077</v>
      </c>
      <c r="G231" s="3" t="s">
        <v>45</v>
      </c>
      <c r="H231" s="4" t="s">
        <v>1512</v>
      </c>
    </row>
    <row r="232" ht="16.5" customHeight="1" spans="1:8">
      <c r="A232" s="3">
        <v>231</v>
      </c>
      <c r="B232" s="3" t="s">
        <v>1517</v>
      </c>
      <c r="C232" s="3" t="s">
        <v>1105</v>
      </c>
      <c r="D232" s="4" t="s">
        <v>1518</v>
      </c>
      <c r="E232" s="3" t="s">
        <v>1076</v>
      </c>
      <c r="F232" s="3" t="s">
        <v>1077</v>
      </c>
      <c r="G232" s="3" t="s">
        <v>45</v>
      </c>
      <c r="H232" s="4" t="s">
        <v>1519</v>
      </c>
    </row>
    <row r="233" ht="16.5" customHeight="1" spans="1:8">
      <c r="A233" s="3">
        <v>232</v>
      </c>
      <c r="B233" s="3" t="s">
        <v>1520</v>
      </c>
      <c r="C233" s="3" t="s">
        <v>1105</v>
      </c>
      <c r="D233" s="4" t="s">
        <v>1521</v>
      </c>
      <c r="E233" s="3" t="s">
        <v>1076</v>
      </c>
      <c r="F233" s="3" t="s">
        <v>1077</v>
      </c>
      <c r="G233" s="3" t="s">
        <v>45</v>
      </c>
      <c r="H233" s="4" t="s">
        <v>1519</v>
      </c>
    </row>
    <row r="234" ht="16.5" customHeight="1" spans="1:8">
      <c r="A234" s="3">
        <v>233</v>
      </c>
      <c r="B234" s="3" t="s">
        <v>1522</v>
      </c>
      <c r="C234" s="3" t="s">
        <v>1105</v>
      </c>
      <c r="D234" s="4" t="s">
        <v>1385</v>
      </c>
      <c r="E234" s="3" t="s">
        <v>1076</v>
      </c>
      <c r="F234" s="3" t="s">
        <v>1077</v>
      </c>
      <c r="G234" s="3" t="s">
        <v>45</v>
      </c>
      <c r="H234" s="4" t="s">
        <v>1523</v>
      </c>
    </row>
    <row r="235" ht="16.5" customHeight="1" spans="1:8">
      <c r="A235" s="3">
        <v>234</v>
      </c>
      <c r="B235" s="3" t="s">
        <v>1524</v>
      </c>
      <c r="C235" s="3" t="s">
        <v>1105</v>
      </c>
      <c r="D235" s="4" t="s">
        <v>1525</v>
      </c>
      <c r="E235" s="3" t="s">
        <v>1076</v>
      </c>
      <c r="F235" s="3" t="s">
        <v>1077</v>
      </c>
      <c r="G235" s="3" t="s">
        <v>45</v>
      </c>
      <c r="H235" s="4" t="s">
        <v>1526</v>
      </c>
    </row>
    <row r="236" ht="16.5" customHeight="1" spans="1:8">
      <c r="A236" s="3">
        <v>235</v>
      </c>
      <c r="B236" s="3" t="s">
        <v>1527</v>
      </c>
      <c r="C236" s="3" t="s">
        <v>1105</v>
      </c>
      <c r="D236" s="4" t="s">
        <v>1528</v>
      </c>
      <c r="E236" s="3" t="s">
        <v>1076</v>
      </c>
      <c r="F236" s="3" t="s">
        <v>1077</v>
      </c>
      <c r="G236" s="3" t="s">
        <v>45</v>
      </c>
      <c r="H236" s="4" t="s">
        <v>1526</v>
      </c>
    </row>
    <row r="237" ht="16.5" customHeight="1" spans="1:8">
      <c r="A237" s="3">
        <v>236</v>
      </c>
      <c r="B237" s="3" t="s">
        <v>1529</v>
      </c>
      <c r="C237" s="3" t="s">
        <v>1105</v>
      </c>
      <c r="D237" s="4" t="s">
        <v>1530</v>
      </c>
      <c r="E237" s="3" t="s">
        <v>1076</v>
      </c>
      <c r="F237" s="3" t="s">
        <v>1077</v>
      </c>
      <c r="G237" s="3" t="s">
        <v>45</v>
      </c>
      <c r="H237" s="4" t="s">
        <v>1526</v>
      </c>
    </row>
    <row r="238" ht="16.5" customHeight="1" spans="1:8">
      <c r="A238" s="3">
        <v>237</v>
      </c>
      <c r="B238" s="3" t="s">
        <v>1531</v>
      </c>
      <c r="C238" s="3" t="s">
        <v>1105</v>
      </c>
      <c r="D238" s="4" t="s">
        <v>1532</v>
      </c>
      <c r="E238" s="3" t="s">
        <v>1076</v>
      </c>
      <c r="F238" s="3" t="s">
        <v>1077</v>
      </c>
      <c r="G238" s="3" t="s">
        <v>45</v>
      </c>
      <c r="H238" s="4" t="s">
        <v>1533</v>
      </c>
    </row>
    <row r="239" ht="16.5" customHeight="1" spans="1:8">
      <c r="A239" s="3">
        <v>238</v>
      </c>
      <c r="B239" s="3" t="s">
        <v>1534</v>
      </c>
      <c r="C239" s="3" t="s">
        <v>1105</v>
      </c>
      <c r="D239" s="4" t="s">
        <v>1535</v>
      </c>
      <c r="E239" s="3" t="s">
        <v>1076</v>
      </c>
      <c r="F239" s="3" t="s">
        <v>1077</v>
      </c>
      <c r="G239" s="3" t="s">
        <v>45</v>
      </c>
      <c r="H239" s="4" t="s">
        <v>1533</v>
      </c>
    </row>
    <row r="240" ht="16.5" customHeight="1" spans="1:8">
      <c r="A240" s="3">
        <v>239</v>
      </c>
      <c r="B240" s="3" t="s">
        <v>1536</v>
      </c>
      <c r="C240" s="3" t="s">
        <v>1105</v>
      </c>
      <c r="D240" s="4" t="s">
        <v>1537</v>
      </c>
      <c r="E240" s="3" t="s">
        <v>1076</v>
      </c>
      <c r="F240" s="3" t="s">
        <v>1077</v>
      </c>
      <c r="G240" s="3" t="s">
        <v>45</v>
      </c>
      <c r="H240" s="4" t="s">
        <v>1533</v>
      </c>
    </row>
    <row r="241" ht="16.5" customHeight="1" spans="1:8">
      <c r="A241" s="3">
        <v>240</v>
      </c>
      <c r="B241" s="3" t="s">
        <v>1538</v>
      </c>
      <c r="C241" s="3" t="s">
        <v>1105</v>
      </c>
      <c r="D241" s="4" t="s">
        <v>1539</v>
      </c>
      <c r="E241" s="3" t="s">
        <v>1076</v>
      </c>
      <c r="F241" s="3" t="s">
        <v>1077</v>
      </c>
      <c r="G241" s="3" t="s">
        <v>45</v>
      </c>
      <c r="H241" s="4" t="s">
        <v>1540</v>
      </c>
    </row>
    <row r="242" ht="16.5" customHeight="1" spans="1:8">
      <c r="A242" s="3">
        <v>241</v>
      </c>
      <c r="B242" s="3" t="s">
        <v>1541</v>
      </c>
      <c r="C242" s="3" t="s">
        <v>1105</v>
      </c>
      <c r="D242" s="4" t="s">
        <v>1542</v>
      </c>
      <c r="E242" s="3" t="s">
        <v>1076</v>
      </c>
      <c r="F242" s="3" t="s">
        <v>1077</v>
      </c>
      <c r="G242" s="3" t="s">
        <v>45</v>
      </c>
      <c r="H242" s="4" t="s">
        <v>1540</v>
      </c>
    </row>
    <row r="243" ht="16.5" customHeight="1" spans="1:8">
      <c r="A243" s="3">
        <v>242</v>
      </c>
      <c r="B243" s="3" t="s">
        <v>1543</v>
      </c>
      <c r="C243" s="3" t="s">
        <v>1105</v>
      </c>
      <c r="D243" s="4" t="s">
        <v>1544</v>
      </c>
      <c r="E243" s="3" t="s">
        <v>1076</v>
      </c>
      <c r="F243" s="3" t="s">
        <v>1077</v>
      </c>
      <c r="G243" s="3" t="s">
        <v>45</v>
      </c>
      <c r="H243" s="4" t="s">
        <v>1545</v>
      </c>
    </row>
    <row r="244" ht="16.5" customHeight="1" spans="1:8">
      <c r="A244" s="3">
        <v>243</v>
      </c>
      <c r="B244" s="3" t="s">
        <v>1546</v>
      </c>
      <c r="C244" s="3" t="s">
        <v>1105</v>
      </c>
      <c r="D244" s="4" t="s">
        <v>1547</v>
      </c>
      <c r="E244" s="3" t="s">
        <v>1076</v>
      </c>
      <c r="F244" s="3" t="s">
        <v>1077</v>
      </c>
      <c r="G244" s="3" t="s">
        <v>45</v>
      </c>
      <c r="H244" s="4" t="s">
        <v>1545</v>
      </c>
    </row>
    <row r="245" ht="16.5" customHeight="1" spans="1:8">
      <c r="A245" s="3">
        <v>244</v>
      </c>
      <c r="B245" s="3" t="s">
        <v>1548</v>
      </c>
      <c r="C245" s="3" t="s">
        <v>1105</v>
      </c>
      <c r="D245" s="4" t="s">
        <v>1549</v>
      </c>
      <c r="E245" s="3" t="s">
        <v>1076</v>
      </c>
      <c r="F245" s="3" t="s">
        <v>1077</v>
      </c>
      <c r="G245" s="3" t="s">
        <v>45</v>
      </c>
      <c r="H245" s="4" t="s">
        <v>1550</v>
      </c>
    </row>
    <row r="246" ht="16.5" customHeight="1" spans="1:8">
      <c r="A246" s="3">
        <v>245</v>
      </c>
      <c r="B246" s="3" t="s">
        <v>1551</v>
      </c>
      <c r="C246" s="3" t="s">
        <v>1105</v>
      </c>
      <c r="D246" s="4" t="s">
        <v>1552</v>
      </c>
      <c r="E246" s="3" t="s">
        <v>1076</v>
      </c>
      <c r="F246" s="3" t="s">
        <v>1077</v>
      </c>
      <c r="G246" s="3" t="s">
        <v>45</v>
      </c>
      <c r="H246" s="4" t="s">
        <v>1550</v>
      </c>
    </row>
    <row r="247" ht="16.5" customHeight="1" spans="1:8">
      <c r="A247" s="3">
        <v>246</v>
      </c>
      <c r="B247" s="3" t="s">
        <v>1553</v>
      </c>
      <c r="C247" s="3" t="s">
        <v>1105</v>
      </c>
      <c r="D247" s="4" t="s">
        <v>1133</v>
      </c>
      <c r="E247" s="3" t="s">
        <v>1076</v>
      </c>
      <c r="F247" s="3" t="s">
        <v>1077</v>
      </c>
      <c r="G247" s="3" t="s">
        <v>45</v>
      </c>
      <c r="H247" s="4" t="s">
        <v>1519</v>
      </c>
    </row>
    <row r="248" ht="16.5" customHeight="1" spans="1:8">
      <c r="A248" s="3">
        <v>247</v>
      </c>
      <c r="B248" s="3" t="s">
        <v>1554</v>
      </c>
      <c r="C248" s="3" t="s">
        <v>1105</v>
      </c>
      <c r="D248" s="4" t="s">
        <v>1555</v>
      </c>
      <c r="E248" s="3" t="s">
        <v>1076</v>
      </c>
      <c r="F248" s="3" t="s">
        <v>1077</v>
      </c>
      <c r="G248" s="3" t="s">
        <v>321</v>
      </c>
      <c r="H248" s="4" t="s">
        <v>1556</v>
      </c>
    </row>
    <row r="249" ht="16.5" customHeight="1" spans="1:8">
      <c r="A249" s="3">
        <v>248</v>
      </c>
      <c r="B249" s="3" t="s">
        <v>1557</v>
      </c>
      <c r="C249" s="3" t="s">
        <v>1105</v>
      </c>
      <c r="D249" s="4" t="s">
        <v>1558</v>
      </c>
      <c r="E249" s="3" t="s">
        <v>1076</v>
      </c>
      <c r="F249" s="3" t="s">
        <v>1077</v>
      </c>
      <c r="G249" s="3" t="s">
        <v>321</v>
      </c>
      <c r="H249" s="4" t="s">
        <v>1556</v>
      </c>
    </row>
    <row r="250" ht="16.5" customHeight="1" spans="1:8">
      <c r="A250" s="3">
        <v>249</v>
      </c>
      <c r="B250" s="3" t="s">
        <v>1559</v>
      </c>
      <c r="C250" s="3" t="s">
        <v>1105</v>
      </c>
      <c r="D250" s="4" t="s">
        <v>1560</v>
      </c>
      <c r="E250" s="3" t="s">
        <v>1076</v>
      </c>
      <c r="F250" s="3" t="s">
        <v>1077</v>
      </c>
      <c r="G250" s="3" t="s">
        <v>321</v>
      </c>
      <c r="H250" s="4" t="s">
        <v>1561</v>
      </c>
    </row>
    <row r="251" ht="16.5" customHeight="1" spans="1:8">
      <c r="A251" s="3">
        <v>250</v>
      </c>
      <c r="B251" s="3" t="s">
        <v>1562</v>
      </c>
      <c r="C251" s="3" t="s">
        <v>1105</v>
      </c>
      <c r="D251" s="4" t="s">
        <v>1563</v>
      </c>
      <c r="E251" s="3" t="s">
        <v>1076</v>
      </c>
      <c r="F251" s="3" t="s">
        <v>1077</v>
      </c>
      <c r="G251" s="3" t="s">
        <v>321</v>
      </c>
      <c r="H251" s="4" t="s">
        <v>1561</v>
      </c>
    </row>
    <row r="252" ht="16.5" customHeight="1" spans="1:8">
      <c r="A252" s="3">
        <v>251</v>
      </c>
      <c r="B252" s="3" t="s">
        <v>1564</v>
      </c>
      <c r="C252" s="3" t="s">
        <v>1105</v>
      </c>
      <c r="D252" s="4" t="s">
        <v>1565</v>
      </c>
      <c r="E252" s="3" t="s">
        <v>1076</v>
      </c>
      <c r="F252" s="3" t="s">
        <v>1077</v>
      </c>
      <c r="G252" s="3" t="s">
        <v>321</v>
      </c>
      <c r="H252" s="4" t="s">
        <v>1561</v>
      </c>
    </row>
    <row r="253" ht="16.5" customHeight="1" spans="1:8">
      <c r="A253" s="3">
        <v>252</v>
      </c>
      <c r="B253" s="3" t="s">
        <v>1566</v>
      </c>
      <c r="C253" s="3" t="s">
        <v>1105</v>
      </c>
      <c r="D253" s="4" t="s">
        <v>1567</v>
      </c>
      <c r="E253" s="3" t="s">
        <v>1076</v>
      </c>
      <c r="F253" s="3" t="s">
        <v>1077</v>
      </c>
      <c r="G253" s="3" t="s">
        <v>321</v>
      </c>
      <c r="H253" s="4" t="s">
        <v>1561</v>
      </c>
    </row>
    <row r="254" ht="16.5" customHeight="1" spans="1:8">
      <c r="A254" s="3">
        <v>253</v>
      </c>
      <c r="B254" s="3" t="s">
        <v>1568</v>
      </c>
      <c r="C254" s="3" t="s">
        <v>1105</v>
      </c>
      <c r="D254" s="4" t="s">
        <v>1376</v>
      </c>
      <c r="E254" s="3" t="s">
        <v>1076</v>
      </c>
      <c r="F254" s="3" t="s">
        <v>1077</v>
      </c>
      <c r="G254" s="3" t="s">
        <v>321</v>
      </c>
      <c r="H254" s="4" t="s">
        <v>1569</v>
      </c>
    </row>
    <row r="255" ht="16.5" customHeight="1" spans="1:8">
      <c r="A255" s="3">
        <v>254</v>
      </c>
      <c r="B255" s="3" t="s">
        <v>1570</v>
      </c>
      <c r="C255" s="3" t="s">
        <v>1105</v>
      </c>
      <c r="D255" s="4" t="s">
        <v>1571</v>
      </c>
      <c r="E255" s="3" t="s">
        <v>1076</v>
      </c>
      <c r="F255" s="3" t="s">
        <v>1077</v>
      </c>
      <c r="G255" s="3" t="s">
        <v>321</v>
      </c>
      <c r="H255" s="4" t="s">
        <v>1572</v>
      </c>
    </row>
    <row r="256" ht="16.5" customHeight="1" spans="1:8">
      <c r="A256" s="3">
        <v>255</v>
      </c>
      <c r="B256" s="3" t="s">
        <v>1573</v>
      </c>
      <c r="C256" s="3" t="s">
        <v>1105</v>
      </c>
      <c r="D256" s="4" t="s">
        <v>1574</v>
      </c>
      <c r="E256" s="3" t="s">
        <v>1076</v>
      </c>
      <c r="F256" s="3" t="s">
        <v>1077</v>
      </c>
      <c r="G256" s="3" t="s">
        <v>321</v>
      </c>
      <c r="H256" s="4" t="s">
        <v>1572</v>
      </c>
    </row>
    <row r="257" ht="16.5" customHeight="1" spans="1:8">
      <c r="A257" s="3">
        <v>256</v>
      </c>
      <c r="B257" s="3" t="s">
        <v>1575</v>
      </c>
      <c r="C257" s="3" t="s">
        <v>1105</v>
      </c>
      <c r="D257" s="4" t="s">
        <v>1576</v>
      </c>
      <c r="E257" s="3" t="s">
        <v>1076</v>
      </c>
      <c r="F257" s="3" t="s">
        <v>1077</v>
      </c>
      <c r="G257" s="3" t="s">
        <v>321</v>
      </c>
      <c r="H257" s="4" t="s">
        <v>1572</v>
      </c>
    </row>
    <row r="258" ht="16.5" customHeight="1" spans="1:8">
      <c r="A258" s="3">
        <v>257</v>
      </c>
      <c r="B258" s="3" t="s">
        <v>1577</v>
      </c>
      <c r="C258" s="3" t="s">
        <v>1105</v>
      </c>
      <c r="D258" s="4" t="s">
        <v>1378</v>
      </c>
      <c r="E258" s="3" t="s">
        <v>1076</v>
      </c>
      <c r="F258" s="3" t="s">
        <v>1077</v>
      </c>
      <c r="G258" s="3" t="s">
        <v>321</v>
      </c>
      <c r="H258" s="4" t="s">
        <v>1578</v>
      </c>
    </row>
    <row r="259" ht="16.5" customHeight="1" spans="1:8">
      <c r="A259" s="3">
        <v>258</v>
      </c>
      <c r="B259" s="3" t="s">
        <v>1579</v>
      </c>
      <c r="C259" s="3" t="s">
        <v>1105</v>
      </c>
      <c r="D259" s="4" t="s">
        <v>1580</v>
      </c>
      <c r="E259" s="3" t="s">
        <v>1076</v>
      </c>
      <c r="F259" s="3" t="s">
        <v>1077</v>
      </c>
      <c r="G259" s="3" t="s">
        <v>321</v>
      </c>
      <c r="H259" s="4" t="s">
        <v>1581</v>
      </c>
    </row>
    <row r="260" ht="16.5" customHeight="1" spans="1:8">
      <c r="A260" s="3">
        <v>259</v>
      </c>
      <c r="B260" s="3" t="s">
        <v>1582</v>
      </c>
      <c r="C260" s="3" t="s">
        <v>1105</v>
      </c>
      <c r="D260" s="4" t="s">
        <v>1583</v>
      </c>
      <c r="E260" s="3" t="s">
        <v>1076</v>
      </c>
      <c r="F260" s="3" t="s">
        <v>1077</v>
      </c>
      <c r="G260" s="3" t="s">
        <v>321</v>
      </c>
      <c r="H260" s="4" t="s">
        <v>1581</v>
      </c>
    </row>
    <row r="261" ht="16.5" customHeight="1" spans="1:8">
      <c r="A261" s="3">
        <v>260</v>
      </c>
      <c r="B261" s="3" t="s">
        <v>1584</v>
      </c>
      <c r="C261" s="3" t="s">
        <v>1105</v>
      </c>
      <c r="D261" s="4" t="s">
        <v>1585</v>
      </c>
      <c r="E261" s="3" t="s">
        <v>1076</v>
      </c>
      <c r="F261" s="3" t="s">
        <v>1077</v>
      </c>
      <c r="G261" s="3" t="s">
        <v>321</v>
      </c>
      <c r="H261" s="4" t="s">
        <v>1581</v>
      </c>
    </row>
    <row r="262" ht="16.5" customHeight="1" spans="1:8">
      <c r="A262" s="3">
        <v>261</v>
      </c>
      <c r="B262" s="3" t="s">
        <v>1586</v>
      </c>
      <c r="C262" s="3" t="s">
        <v>1105</v>
      </c>
      <c r="D262" s="4" t="s">
        <v>1587</v>
      </c>
      <c r="E262" s="3" t="s">
        <v>1076</v>
      </c>
      <c r="F262" s="3" t="s">
        <v>1077</v>
      </c>
      <c r="G262" s="3" t="s">
        <v>321</v>
      </c>
      <c r="H262" s="4" t="s">
        <v>1588</v>
      </c>
    </row>
    <row r="263" ht="16.5" customHeight="1" spans="1:8">
      <c r="A263" s="3">
        <v>262</v>
      </c>
      <c r="B263" s="3" t="s">
        <v>1589</v>
      </c>
      <c r="C263" s="3" t="s">
        <v>1105</v>
      </c>
      <c r="D263" s="4" t="s">
        <v>1590</v>
      </c>
      <c r="E263" s="3" t="s">
        <v>1076</v>
      </c>
      <c r="F263" s="3" t="s">
        <v>1077</v>
      </c>
      <c r="G263" s="3" t="s">
        <v>321</v>
      </c>
      <c r="H263" s="4" t="s">
        <v>1591</v>
      </c>
    </row>
    <row r="264" ht="16.5" customHeight="1" spans="1:8">
      <c r="A264" s="3">
        <v>263</v>
      </c>
      <c r="B264" s="3" t="s">
        <v>1592</v>
      </c>
      <c r="C264" s="3" t="s">
        <v>1105</v>
      </c>
      <c r="D264" s="4" t="s">
        <v>1593</v>
      </c>
      <c r="E264" s="3" t="s">
        <v>1076</v>
      </c>
      <c r="F264" s="3" t="s">
        <v>1077</v>
      </c>
      <c r="G264" s="3" t="s">
        <v>321</v>
      </c>
      <c r="H264" s="4" t="s">
        <v>1591</v>
      </c>
    </row>
    <row r="265" ht="16.5" customHeight="1" spans="1:8">
      <c r="A265" s="3">
        <v>264</v>
      </c>
      <c r="B265" s="3" t="s">
        <v>1594</v>
      </c>
      <c r="C265" s="3" t="s">
        <v>1105</v>
      </c>
      <c r="D265" s="4" t="s">
        <v>1595</v>
      </c>
      <c r="E265" s="3" t="s">
        <v>1076</v>
      </c>
      <c r="F265" s="3" t="s">
        <v>1077</v>
      </c>
      <c r="G265" s="3" t="s">
        <v>321</v>
      </c>
      <c r="H265" s="4" t="s">
        <v>1591</v>
      </c>
    </row>
    <row r="266" ht="16.5" customHeight="1" spans="1:8">
      <c r="A266" s="3">
        <v>265</v>
      </c>
      <c r="B266" s="3" t="s">
        <v>1596</v>
      </c>
      <c r="C266" s="3" t="s">
        <v>1105</v>
      </c>
      <c r="D266" s="4" t="s">
        <v>1597</v>
      </c>
      <c r="E266" s="3" t="s">
        <v>1076</v>
      </c>
      <c r="F266" s="3" t="s">
        <v>1077</v>
      </c>
      <c r="G266" s="3" t="s">
        <v>321</v>
      </c>
      <c r="H266" s="4" t="s">
        <v>1598</v>
      </c>
    </row>
    <row r="267" ht="16.5" customHeight="1" spans="1:8">
      <c r="A267" s="3">
        <v>266</v>
      </c>
      <c r="B267" s="3" t="s">
        <v>1599</v>
      </c>
      <c r="C267" s="3" t="s">
        <v>1105</v>
      </c>
      <c r="D267" s="4" t="s">
        <v>1600</v>
      </c>
      <c r="E267" s="3" t="s">
        <v>1076</v>
      </c>
      <c r="F267" s="3" t="s">
        <v>1077</v>
      </c>
      <c r="G267" s="3" t="s">
        <v>321</v>
      </c>
      <c r="H267" s="4" t="s">
        <v>1601</v>
      </c>
    </row>
    <row r="268" ht="16.5" customHeight="1" spans="1:8">
      <c r="A268" s="3">
        <v>267</v>
      </c>
      <c r="B268" s="3" t="s">
        <v>1602</v>
      </c>
      <c r="C268" s="3" t="s">
        <v>1105</v>
      </c>
      <c r="D268" s="4" t="s">
        <v>1603</v>
      </c>
      <c r="E268" s="3" t="s">
        <v>1076</v>
      </c>
      <c r="F268" s="3" t="s">
        <v>1077</v>
      </c>
      <c r="G268" s="3" t="s">
        <v>321</v>
      </c>
      <c r="H268" s="4" t="s">
        <v>1601</v>
      </c>
    </row>
    <row r="269" ht="16.5" customHeight="1" spans="1:8">
      <c r="A269" s="3">
        <v>268</v>
      </c>
      <c r="B269" s="3" t="s">
        <v>1604</v>
      </c>
      <c r="C269" s="3" t="s">
        <v>1105</v>
      </c>
      <c r="D269" s="4" t="s">
        <v>1605</v>
      </c>
      <c r="E269" s="3" t="s">
        <v>1076</v>
      </c>
      <c r="F269" s="3" t="s">
        <v>1077</v>
      </c>
      <c r="G269" s="3" t="s">
        <v>321</v>
      </c>
      <c r="H269" s="4" t="s">
        <v>1601</v>
      </c>
    </row>
    <row r="270" ht="16.5" customHeight="1" spans="1:8">
      <c r="A270" s="3">
        <v>269</v>
      </c>
      <c r="B270" s="3" t="s">
        <v>1606</v>
      </c>
      <c r="C270" s="3" t="s">
        <v>1105</v>
      </c>
      <c r="D270" s="4" t="s">
        <v>1607</v>
      </c>
      <c r="E270" s="3" t="s">
        <v>1076</v>
      </c>
      <c r="F270" s="3" t="s">
        <v>1077</v>
      </c>
      <c r="G270" s="3" t="s">
        <v>321</v>
      </c>
      <c r="H270" s="4" t="s">
        <v>1608</v>
      </c>
    </row>
    <row r="271" ht="16.5" customHeight="1" spans="1:8">
      <c r="A271" s="3">
        <v>270</v>
      </c>
      <c r="B271" s="3" t="s">
        <v>1609</v>
      </c>
      <c r="C271" s="3" t="s">
        <v>1105</v>
      </c>
      <c r="D271" s="4" t="s">
        <v>1610</v>
      </c>
      <c r="E271" s="3" t="s">
        <v>1076</v>
      </c>
      <c r="F271" s="3" t="s">
        <v>1077</v>
      </c>
      <c r="G271" s="3" t="s">
        <v>321</v>
      </c>
      <c r="H271" s="4" t="s">
        <v>1608</v>
      </c>
    </row>
    <row r="272" ht="16.5" customHeight="1" spans="1:8">
      <c r="A272" s="3">
        <v>271</v>
      </c>
      <c r="B272" s="3" t="s">
        <v>1611</v>
      </c>
      <c r="C272" s="3" t="s">
        <v>1105</v>
      </c>
      <c r="D272" s="4" t="s">
        <v>1612</v>
      </c>
      <c r="E272" s="3" t="s">
        <v>1076</v>
      </c>
      <c r="F272" s="3" t="s">
        <v>1077</v>
      </c>
      <c r="G272" s="3" t="s">
        <v>321</v>
      </c>
      <c r="H272" s="4" t="s">
        <v>1608</v>
      </c>
    </row>
    <row r="273" ht="16.5" customHeight="1" spans="1:8">
      <c r="A273" s="3">
        <v>272</v>
      </c>
      <c r="B273" s="3" t="s">
        <v>1613</v>
      </c>
      <c r="C273" s="3" t="s">
        <v>1105</v>
      </c>
      <c r="D273" s="4" t="s">
        <v>1614</v>
      </c>
      <c r="E273" s="3" t="s">
        <v>1076</v>
      </c>
      <c r="F273" s="3" t="s">
        <v>1077</v>
      </c>
      <c r="G273" s="3" t="s">
        <v>321</v>
      </c>
      <c r="H273" s="4" t="s">
        <v>1608</v>
      </c>
    </row>
    <row r="274" ht="16.5" customHeight="1" spans="1:8">
      <c r="A274" s="3">
        <v>273</v>
      </c>
      <c r="B274" s="3" t="s">
        <v>1615</v>
      </c>
      <c r="C274" s="3" t="s">
        <v>1105</v>
      </c>
      <c r="D274" s="4" t="s">
        <v>1616</v>
      </c>
      <c r="E274" s="3" t="s">
        <v>1076</v>
      </c>
      <c r="F274" s="3" t="s">
        <v>1077</v>
      </c>
      <c r="G274" s="3" t="s">
        <v>321</v>
      </c>
      <c r="H274" s="4" t="s">
        <v>1608</v>
      </c>
    </row>
    <row r="275" ht="16.5" customHeight="1" spans="1:8">
      <c r="A275" s="3">
        <v>274</v>
      </c>
      <c r="B275" s="3" t="s">
        <v>1617</v>
      </c>
      <c r="C275" s="3" t="s">
        <v>1105</v>
      </c>
      <c r="D275" s="4" t="s">
        <v>1618</v>
      </c>
      <c r="E275" s="3" t="s">
        <v>1076</v>
      </c>
      <c r="F275" s="3" t="s">
        <v>1077</v>
      </c>
      <c r="G275" s="3" t="s">
        <v>321</v>
      </c>
      <c r="H275" s="4" t="s">
        <v>1608</v>
      </c>
    </row>
    <row r="276" ht="16.5" customHeight="1" spans="1:8">
      <c r="A276" s="3">
        <v>275</v>
      </c>
      <c r="B276" s="3" t="s">
        <v>1619</v>
      </c>
      <c r="C276" s="3" t="s">
        <v>1105</v>
      </c>
      <c r="D276" s="4" t="s">
        <v>1620</v>
      </c>
      <c r="E276" s="3" t="s">
        <v>1076</v>
      </c>
      <c r="F276" s="3" t="s">
        <v>1077</v>
      </c>
      <c r="G276" s="3" t="s">
        <v>321</v>
      </c>
      <c r="H276" s="4" t="s">
        <v>1608</v>
      </c>
    </row>
    <row r="277" ht="16.5" customHeight="1" spans="1:8">
      <c r="A277" s="3">
        <v>276</v>
      </c>
      <c r="B277" s="3" t="s">
        <v>1621</v>
      </c>
      <c r="C277" s="3" t="s">
        <v>1105</v>
      </c>
      <c r="D277" s="4" t="s">
        <v>1622</v>
      </c>
      <c r="E277" s="3" t="s">
        <v>1076</v>
      </c>
      <c r="F277" s="3" t="s">
        <v>1077</v>
      </c>
      <c r="G277" s="3" t="s">
        <v>321</v>
      </c>
      <c r="H277" s="4" t="s">
        <v>1623</v>
      </c>
    </row>
    <row r="278" ht="16.5" customHeight="1" spans="1:8">
      <c r="A278" s="3">
        <v>277</v>
      </c>
      <c r="B278" s="3" t="s">
        <v>1624</v>
      </c>
      <c r="C278" s="3" t="s">
        <v>1105</v>
      </c>
      <c r="D278" s="4" t="s">
        <v>1605</v>
      </c>
      <c r="E278" s="3" t="s">
        <v>1076</v>
      </c>
      <c r="F278" s="3" t="s">
        <v>1077</v>
      </c>
      <c r="G278" s="3" t="s">
        <v>321</v>
      </c>
      <c r="H278" s="4" t="s">
        <v>1623</v>
      </c>
    </row>
    <row r="279" ht="16.5" customHeight="1" spans="1:8">
      <c r="A279" s="3">
        <v>278</v>
      </c>
      <c r="B279" s="3" t="s">
        <v>1625</v>
      </c>
      <c r="C279" s="3" t="s">
        <v>1105</v>
      </c>
      <c r="D279" s="4" t="s">
        <v>1626</v>
      </c>
      <c r="E279" s="3" t="s">
        <v>1076</v>
      </c>
      <c r="F279" s="3" t="s">
        <v>1077</v>
      </c>
      <c r="G279" s="3" t="s">
        <v>321</v>
      </c>
      <c r="H279" s="4" t="s">
        <v>1623</v>
      </c>
    </row>
    <row r="280" ht="16.5" customHeight="1" spans="1:8">
      <c r="A280" s="3">
        <v>279</v>
      </c>
      <c r="B280" s="3" t="s">
        <v>1627</v>
      </c>
      <c r="C280" s="3" t="s">
        <v>1105</v>
      </c>
      <c r="D280" s="4" t="s">
        <v>1628</v>
      </c>
      <c r="E280" s="3" t="s">
        <v>1076</v>
      </c>
      <c r="F280" s="3" t="s">
        <v>1077</v>
      </c>
      <c r="G280" s="3" t="s">
        <v>321</v>
      </c>
      <c r="H280" s="4" t="s">
        <v>1629</v>
      </c>
    </row>
    <row r="281" ht="16.5" customHeight="1" spans="1:8">
      <c r="A281" s="3">
        <v>280</v>
      </c>
      <c r="B281" s="3" t="s">
        <v>1630</v>
      </c>
      <c r="C281" s="3" t="s">
        <v>1105</v>
      </c>
      <c r="D281" s="4" t="s">
        <v>1631</v>
      </c>
      <c r="E281" s="3" t="s">
        <v>1076</v>
      </c>
      <c r="F281" s="3" t="s">
        <v>1077</v>
      </c>
      <c r="G281" s="3" t="s">
        <v>321</v>
      </c>
      <c r="H281" s="4" t="s">
        <v>1629</v>
      </c>
    </row>
    <row r="282" ht="16.5" customHeight="1" spans="1:8">
      <c r="A282" s="3">
        <v>281</v>
      </c>
      <c r="B282" s="3" t="s">
        <v>1632</v>
      </c>
      <c r="C282" s="3" t="s">
        <v>1105</v>
      </c>
      <c r="D282" s="4" t="s">
        <v>1633</v>
      </c>
      <c r="E282" s="3" t="s">
        <v>1076</v>
      </c>
      <c r="F282" s="3" t="s">
        <v>1077</v>
      </c>
      <c r="G282" s="3" t="s">
        <v>321</v>
      </c>
      <c r="H282" s="4" t="s">
        <v>1629</v>
      </c>
    </row>
    <row r="283" ht="16.5" customHeight="1" spans="1:8">
      <c r="A283" s="3">
        <v>282</v>
      </c>
      <c r="B283" s="3" t="s">
        <v>1634</v>
      </c>
      <c r="C283" s="3" t="s">
        <v>1105</v>
      </c>
      <c r="D283" s="4" t="s">
        <v>1635</v>
      </c>
      <c r="E283" s="3" t="s">
        <v>1076</v>
      </c>
      <c r="F283" s="3" t="s">
        <v>1077</v>
      </c>
      <c r="G283" s="3" t="s">
        <v>321</v>
      </c>
      <c r="H283" s="4" t="s">
        <v>1629</v>
      </c>
    </row>
    <row r="284" ht="16.5" customHeight="1" spans="1:8">
      <c r="A284" s="3">
        <v>283</v>
      </c>
      <c r="B284" s="3" t="s">
        <v>1636</v>
      </c>
      <c r="C284" s="3" t="s">
        <v>1105</v>
      </c>
      <c r="D284" s="4" t="s">
        <v>1637</v>
      </c>
      <c r="E284" s="3" t="s">
        <v>1076</v>
      </c>
      <c r="F284" s="3" t="s">
        <v>1077</v>
      </c>
      <c r="G284" s="3" t="s">
        <v>321</v>
      </c>
      <c r="H284" s="4" t="s">
        <v>1629</v>
      </c>
    </row>
    <row r="285" ht="16.5" customHeight="1" spans="1:8">
      <c r="A285" s="3">
        <v>284</v>
      </c>
      <c r="B285" s="3" t="s">
        <v>1638</v>
      </c>
      <c r="C285" s="3" t="s">
        <v>1105</v>
      </c>
      <c r="D285" s="4" t="s">
        <v>1639</v>
      </c>
      <c r="E285" s="3" t="s">
        <v>1076</v>
      </c>
      <c r="F285" s="3" t="s">
        <v>1077</v>
      </c>
      <c r="G285" s="3" t="s">
        <v>321</v>
      </c>
      <c r="H285" s="4" t="s">
        <v>1629</v>
      </c>
    </row>
    <row r="286" ht="16.5" customHeight="1" spans="1:8">
      <c r="A286" s="3">
        <v>285</v>
      </c>
      <c r="B286" s="3" t="s">
        <v>1640</v>
      </c>
      <c r="C286" s="3" t="s">
        <v>1105</v>
      </c>
      <c r="D286" s="4" t="s">
        <v>1641</v>
      </c>
      <c r="E286" s="3" t="s">
        <v>1076</v>
      </c>
      <c r="F286" s="3" t="s">
        <v>1077</v>
      </c>
      <c r="G286" s="3" t="s">
        <v>321</v>
      </c>
      <c r="H286" s="4" t="s">
        <v>1629</v>
      </c>
    </row>
    <row r="287" ht="16.5" customHeight="1" spans="1:8">
      <c r="A287" s="3">
        <v>286</v>
      </c>
      <c r="B287" s="3" t="s">
        <v>1642</v>
      </c>
      <c r="C287" s="3" t="s">
        <v>1105</v>
      </c>
      <c r="D287" s="4" t="s">
        <v>1643</v>
      </c>
      <c r="E287" s="3" t="s">
        <v>1076</v>
      </c>
      <c r="F287" s="3" t="s">
        <v>1077</v>
      </c>
      <c r="G287" s="3" t="s">
        <v>321</v>
      </c>
      <c r="H287" s="4" t="s">
        <v>1629</v>
      </c>
    </row>
    <row r="288" ht="16.5" customHeight="1" spans="1:8">
      <c r="A288" s="3">
        <v>287</v>
      </c>
      <c r="B288" s="3" t="s">
        <v>1644</v>
      </c>
      <c r="C288" s="3" t="s">
        <v>1105</v>
      </c>
      <c r="D288" s="4" t="s">
        <v>1645</v>
      </c>
      <c r="E288" s="3" t="s">
        <v>1076</v>
      </c>
      <c r="F288" s="3" t="s">
        <v>1077</v>
      </c>
      <c r="G288" s="3" t="s">
        <v>321</v>
      </c>
      <c r="H288" s="4" t="s">
        <v>1646</v>
      </c>
    </row>
    <row r="289" ht="16.5" customHeight="1" spans="1:8">
      <c r="A289" s="3">
        <v>288</v>
      </c>
      <c r="B289" s="3" t="s">
        <v>1647</v>
      </c>
      <c r="C289" s="3" t="s">
        <v>1105</v>
      </c>
      <c r="D289" s="4" t="s">
        <v>1648</v>
      </c>
      <c r="E289" s="3" t="s">
        <v>1076</v>
      </c>
      <c r="F289" s="3" t="s">
        <v>1077</v>
      </c>
      <c r="G289" s="3" t="s">
        <v>321</v>
      </c>
      <c r="H289" s="4" t="s">
        <v>1646</v>
      </c>
    </row>
    <row r="290" ht="16.5" customHeight="1" spans="1:8">
      <c r="A290" s="3">
        <v>289</v>
      </c>
      <c r="B290" s="3" t="s">
        <v>1649</v>
      </c>
      <c r="C290" s="3" t="s">
        <v>1105</v>
      </c>
      <c r="D290" s="4" t="s">
        <v>1650</v>
      </c>
      <c r="E290" s="3" t="s">
        <v>1076</v>
      </c>
      <c r="F290" s="3" t="s">
        <v>1077</v>
      </c>
      <c r="G290" s="3" t="s">
        <v>321</v>
      </c>
      <c r="H290" s="4" t="s">
        <v>1646</v>
      </c>
    </row>
    <row r="291" ht="16.5" customHeight="1" spans="1:8">
      <c r="A291" s="3">
        <v>290</v>
      </c>
      <c r="B291" s="3" t="s">
        <v>1651</v>
      </c>
      <c r="C291" s="3" t="s">
        <v>1105</v>
      </c>
      <c r="D291" s="4" t="s">
        <v>1652</v>
      </c>
      <c r="E291" s="3" t="s">
        <v>1076</v>
      </c>
      <c r="F291" s="3" t="s">
        <v>1077</v>
      </c>
      <c r="G291" s="3" t="s">
        <v>321</v>
      </c>
      <c r="H291" s="4" t="s">
        <v>1653</v>
      </c>
    </row>
    <row r="292" ht="16.5" customHeight="1" spans="1:8">
      <c r="A292" s="3">
        <v>291</v>
      </c>
      <c r="B292" s="3" t="s">
        <v>1654</v>
      </c>
      <c r="C292" s="3" t="s">
        <v>1105</v>
      </c>
      <c r="D292" s="4" t="s">
        <v>1655</v>
      </c>
      <c r="E292" s="3" t="s">
        <v>1076</v>
      </c>
      <c r="F292" s="3" t="s">
        <v>1077</v>
      </c>
      <c r="G292" s="3" t="s">
        <v>321</v>
      </c>
      <c r="H292" s="4" t="s">
        <v>1653</v>
      </c>
    </row>
    <row r="293" ht="16.5" customHeight="1" spans="1:8">
      <c r="A293" s="3">
        <v>292</v>
      </c>
      <c r="B293" s="3" t="s">
        <v>1656</v>
      </c>
      <c r="C293" s="3" t="s">
        <v>1105</v>
      </c>
      <c r="D293" s="4" t="s">
        <v>1657</v>
      </c>
      <c r="E293" s="3" t="s">
        <v>1076</v>
      </c>
      <c r="F293" s="3" t="s">
        <v>1077</v>
      </c>
      <c r="G293" s="3" t="s">
        <v>321</v>
      </c>
      <c r="H293" s="4" t="s">
        <v>1653</v>
      </c>
    </row>
    <row r="294" ht="16.5" customHeight="1" spans="1:8">
      <c r="A294" s="3">
        <v>293</v>
      </c>
      <c r="B294" s="3" t="s">
        <v>1658</v>
      </c>
      <c r="C294" s="3" t="s">
        <v>1105</v>
      </c>
      <c r="D294" s="4" t="s">
        <v>1659</v>
      </c>
      <c r="E294" s="3" t="s">
        <v>1076</v>
      </c>
      <c r="F294" s="3" t="s">
        <v>1077</v>
      </c>
      <c r="G294" s="3" t="s">
        <v>321</v>
      </c>
      <c r="H294" s="4" t="s">
        <v>1653</v>
      </c>
    </row>
    <row r="295" ht="16.5" customHeight="1" spans="1:8">
      <c r="A295" s="3">
        <v>294</v>
      </c>
      <c r="B295" s="3" t="s">
        <v>1660</v>
      </c>
      <c r="C295" s="3" t="s">
        <v>1105</v>
      </c>
      <c r="D295" s="4" t="s">
        <v>1661</v>
      </c>
      <c r="E295" s="3" t="s">
        <v>1076</v>
      </c>
      <c r="F295" s="3" t="s">
        <v>1077</v>
      </c>
      <c r="G295" s="3" t="s">
        <v>321</v>
      </c>
      <c r="H295" s="4" t="s">
        <v>1653</v>
      </c>
    </row>
    <row r="296" ht="16.5" customHeight="1" spans="1:8">
      <c r="A296" s="3">
        <v>295</v>
      </c>
      <c r="B296" s="3" t="s">
        <v>1662</v>
      </c>
      <c r="C296" s="3" t="s">
        <v>1105</v>
      </c>
      <c r="D296" s="4" t="s">
        <v>1663</v>
      </c>
      <c r="E296" s="3" t="s">
        <v>1076</v>
      </c>
      <c r="F296" s="3" t="s">
        <v>1077</v>
      </c>
      <c r="G296" s="3" t="s">
        <v>321</v>
      </c>
      <c r="H296" s="4" t="s">
        <v>1653</v>
      </c>
    </row>
    <row r="297" ht="16.5" customHeight="1" spans="1:8">
      <c r="A297" s="3">
        <v>296</v>
      </c>
      <c r="B297" s="3" t="s">
        <v>1664</v>
      </c>
      <c r="C297" s="3" t="s">
        <v>1105</v>
      </c>
      <c r="D297" s="4" t="s">
        <v>1665</v>
      </c>
      <c r="E297" s="3" t="s">
        <v>1076</v>
      </c>
      <c r="F297" s="3" t="s">
        <v>1077</v>
      </c>
      <c r="G297" s="3" t="s">
        <v>321</v>
      </c>
      <c r="H297" s="4" t="s">
        <v>1653</v>
      </c>
    </row>
    <row r="298" ht="16.5" customHeight="1" spans="1:8">
      <c r="A298" s="3">
        <v>297</v>
      </c>
      <c r="B298" s="3" t="s">
        <v>1666</v>
      </c>
      <c r="C298" s="3" t="s">
        <v>1105</v>
      </c>
      <c r="D298" s="4" t="s">
        <v>1667</v>
      </c>
      <c r="E298" s="3" t="s">
        <v>1076</v>
      </c>
      <c r="F298" s="3" t="s">
        <v>1077</v>
      </c>
      <c r="G298" s="3" t="s">
        <v>321</v>
      </c>
      <c r="H298" s="4" t="s">
        <v>1653</v>
      </c>
    </row>
    <row r="299" ht="16.5" customHeight="1" spans="1:8">
      <c r="A299" s="3">
        <v>298</v>
      </c>
      <c r="B299" s="3" t="s">
        <v>1668</v>
      </c>
      <c r="C299" s="3" t="s">
        <v>1105</v>
      </c>
      <c r="D299" s="4" t="s">
        <v>1669</v>
      </c>
      <c r="E299" s="3" t="s">
        <v>1076</v>
      </c>
      <c r="F299" s="3" t="s">
        <v>1077</v>
      </c>
      <c r="G299" s="3" t="s">
        <v>45</v>
      </c>
      <c r="H299" s="4" t="s">
        <v>1345</v>
      </c>
    </row>
    <row r="300" ht="16.5" customHeight="1" spans="1:8">
      <c r="A300" s="3">
        <v>299</v>
      </c>
      <c r="B300" s="3" t="s">
        <v>1670</v>
      </c>
      <c r="C300" s="3" t="s">
        <v>1105</v>
      </c>
      <c r="D300" s="4" t="s">
        <v>1671</v>
      </c>
      <c r="E300" s="3" t="s">
        <v>1076</v>
      </c>
      <c r="F300" s="3" t="s">
        <v>1077</v>
      </c>
      <c r="G300" s="3" t="s">
        <v>45</v>
      </c>
      <c r="H300" s="4" t="s">
        <v>1345</v>
      </c>
    </row>
    <row r="301" ht="16.5" customHeight="1" spans="1:8">
      <c r="A301" s="3">
        <v>300</v>
      </c>
      <c r="B301" s="3" t="s">
        <v>1672</v>
      </c>
      <c r="C301" s="3" t="s">
        <v>1105</v>
      </c>
      <c r="D301" s="4" t="s">
        <v>1673</v>
      </c>
      <c r="E301" s="3" t="s">
        <v>1076</v>
      </c>
      <c r="F301" s="3" t="s">
        <v>1077</v>
      </c>
      <c r="G301" s="3" t="s">
        <v>45</v>
      </c>
      <c r="H301" s="4" t="s">
        <v>1345</v>
      </c>
    </row>
    <row r="302" ht="16.5" customHeight="1" spans="1:8">
      <c r="A302" s="3">
        <v>301</v>
      </c>
      <c r="B302" s="3" t="s">
        <v>1674</v>
      </c>
      <c r="C302" s="3" t="s">
        <v>1105</v>
      </c>
      <c r="D302" s="4" t="s">
        <v>1675</v>
      </c>
      <c r="E302" s="3" t="s">
        <v>1076</v>
      </c>
      <c r="F302" s="3" t="s">
        <v>1077</v>
      </c>
      <c r="G302" s="3" t="s">
        <v>45</v>
      </c>
      <c r="H302" s="4" t="s">
        <v>1676</v>
      </c>
    </row>
    <row r="303" ht="16.5" customHeight="1" spans="1:8">
      <c r="A303" s="3">
        <v>302</v>
      </c>
      <c r="B303" s="3" t="s">
        <v>1677</v>
      </c>
      <c r="C303" s="3" t="s">
        <v>1105</v>
      </c>
      <c r="D303" s="4" t="s">
        <v>1678</v>
      </c>
      <c r="E303" s="3" t="s">
        <v>1076</v>
      </c>
      <c r="F303" s="3" t="s">
        <v>1077</v>
      </c>
      <c r="G303" s="3" t="s">
        <v>45</v>
      </c>
      <c r="H303" s="4" t="s">
        <v>1676</v>
      </c>
    </row>
    <row r="304" ht="16.5" customHeight="1" spans="1:8">
      <c r="A304" s="3">
        <v>303</v>
      </c>
      <c r="B304" s="3" t="s">
        <v>1679</v>
      </c>
      <c r="C304" s="3" t="s">
        <v>1105</v>
      </c>
      <c r="D304" s="4" t="s">
        <v>1680</v>
      </c>
      <c r="E304" s="3" t="s">
        <v>1076</v>
      </c>
      <c r="F304" s="3" t="s">
        <v>1077</v>
      </c>
      <c r="G304" s="3" t="s">
        <v>45</v>
      </c>
      <c r="H304" s="4" t="s">
        <v>1676</v>
      </c>
    </row>
    <row r="305" ht="16.5" customHeight="1" spans="1:8">
      <c r="A305" s="3">
        <v>304</v>
      </c>
      <c r="B305" s="3" t="s">
        <v>1681</v>
      </c>
      <c r="C305" s="3" t="s">
        <v>1105</v>
      </c>
      <c r="D305" s="4" t="s">
        <v>1682</v>
      </c>
      <c r="E305" s="3" t="s">
        <v>1076</v>
      </c>
      <c r="F305" s="3" t="s">
        <v>1077</v>
      </c>
      <c r="G305" s="3" t="s">
        <v>45</v>
      </c>
      <c r="H305" s="4" t="s">
        <v>1676</v>
      </c>
    </row>
    <row r="306" ht="16.5" customHeight="1" spans="1:8">
      <c r="A306" s="3">
        <v>305</v>
      </c>
      <c r="B306" s="3" t="s">
        <v>1683</v>
      </c>
      <c r="C306" s="3" t="s">
        <v>1105</v>
      </c>
      <c r="D306" s="4" t="s">
        <v>1684</v>
      </c>
      <c r="E306" s="3" t="s">
        <v>1076</v>
      </c>
      <c r="F306" s="3" t="s">
        <v>1077</v>
      </c>
      <c r="G306" s="3" t="s">
        <v>45</v>
      </c>
      <c r="H306" s="4" t="s">
        <v>1676</v>
      </c>
    </row>
    <row r="307" ht="16.5" customHeight="1" spans="1:8">
      <c r="A307" s="3">
        <v>306</v>
      </c>
      <c r="B307" s="3" t="s">
        <v>1685</v>
      </c>
      <c r="C307" s="3" t="s">
        <v>1361</v>
      </c>
      <c r="D307" s="4" t="s">
        <v>1686</v>
      </c>
      <c r="E307" s="3" t="s">
        <v>1218</v>
      </c>
      <c r="F307" s="3" t="s">
        <v>1358</v>
      </c>
      <c r="G307" s="3" t="s">
        <v>45</v>
      </c>
      <c r="H307" s="4" t="s">
        <v>1078</v>
      </c>
    </row>
    <row r="308" ht="16.5" customHeight="1" spans="1:8">
      <c r="A308" s="3">
        <v>307</v>
      </c>
      <c r="B308" s="3" t="s">
        <v>1687</v>
      </c>
      <c r="C308" s="3" t="s">
        <v>1361</v>
      </c>
      <c r="D308" s="4" t="s">
        <v>1688</v>
      </c>
      <c r="E308" s="3" t="s">
        <v>1218</v>
      </c>
      <c r="F308" s="3" t="s">
        <v>1358</v>
      </c>
      <c r="G308" s="3" t="s">
        <v>45</v>
      </c>
      <c r="H308" s="4" t="s">
        <v>1078</v>
      </c>
    </row>
    <row r="309" ht="16.5" customHeight="1" spans="1:8">
      <c r="A309" s="3">
        <v>308</v>
      </c>
      <c r="B309" s="3" t="s">
        <v>1689</v>
      </c>
      <c r="C309" s="3" t="s">
        <v>1361</v>
      </c>
      <c r="D309" s="4" t="s">
        <v>1690</v>
      </c>
      <c r="E309" s="3" t="s">
        <v>1218</v>
      </c>
      <c r="F309" s="3" t="s">
        <v>1358</v>
      </c>
      <c r="G309" s="3" t="s">
        <v>45</v>
      </c>
      <c r="H309" s="4" t="s">
        <v>1078</v>
      </c>
    </row>
    <row r="310" ht="16.5" customHeight="1" spans="1:8">
      <c r="A310" s="3">
        <v>309</v>
      </c>
      <c r="B310" s="3" t="s">
        <v>1691</v>
      </c>
      <c r="C310" s="3" t="s">
        <v>1356</v>
      </c>
      <c r="D310" s="4" t="s">
        <v>1692</v>
      </c>
      <c r="E310" s="3" t="s">
        <v>1076</v>
      </c>
      <c r="F310" s="3" t="s">
        <v>1077</v>
      </c>
      <c r="G310" s="3" t="s">
        <v>45</v>
      </c>
      <c r="H310" s="4" t="s">
        <v>1095</v>
      </c>
    </row>
    <row r="311" ht="16.5" customHeight="1" spans="1:8">
      <c r="A311" s="3">
        <v>310</v>
      </c>
      <c r="B311" s="3" t="s">
        <v>1693</v>
      </c>
      <c r="C311" s="3" t="s">
        <v>1356</v>
      </c>
      <c r="D311" s="4" t="s">
        <v>1694</v>
      </c>
      <c r="E311" s="3" t="s">
        <v>1076</v>
      </c>
      <c r="F311" s="3" t="s">
        <v>1077</v>
      </c>
      <c r="G311" s="3" t="s">
        <v>45</v>
      </c>
      <c r="H311" s="4" t="s">
        <v>1078</v>
      </c>
    </row>
    <row r="312" ht="16.5" customHeight="1" spans="1:8">
      <c r="A312" s="3">
        <v>311</v>
      </c>
      <c r="B312" s="3" t="s">
        <v>1695</v>
      </c>
      <c r="C312" s="3" t="s">
        <v>1356</v>
      </c>
      <c r="D312" s="4" t="s">
        <v>1696</v>
      </c>
      <c r="E312" s="3" t="s">
        <v>1076</v>
      </c>
      <c r="F312" s="3" t="s">
        <v>1077</v>
      </c>
      <c r="G312" s="3" t="s">
        <v>45</v>
      </c>
      <c r="H312" s="4" t="s">
        <v>1078</v>
      </c>
    </row>
    <row r="313" ht="16.5" customHeight="1" spans="1:8">
      <c r="A313" s="3">
        <v>312</v>
      </c>
      <c r="B313" s="3" t="s">
        <v>1697</v>
      </c>
      <c r="C313" s="3" t="s">
        <v>1356</v>
      </c>
      <c r="D313" s="4" t="s">
        <v>1698</v>
      </c>
      <c r="E313" s="3" t="s">
        <v>1076</v>
      </c>
      <c r="F313" s="3" t="s">
        <v>1077</v>
      </c>
      <c r="G313" s="3" t="s">
        <v>45</v>
      </c>
      <c r="H313" s="4" t="s">
        <v>1359</v>
      </c>
    </row>
    <row r="314" ht="16.5" customHeight="1" spans="1:8">
      <c r="A314" s="3">
        <v>313</v>
      </c>
      <c r="B314" s="3" t="s">
        <v>1699</v>
      </c>
      <c r="C314" s="3" t="s">
        <v>1361</v>
      </c>
      <c r="D314" s="4" t="s">
        <v>1700</v>
      </c>
      <c r="E314" s="3" t="s">
        <v>1218</v>
      </c>
      <c r="F314" s="3" t="s">
        <v>1358</v>
      </c>
      <c r="G314" s="3" t="s">
        <v>45</v>
      </c>
      <c r="H314" s="4" t="s">
        <v>1078</v>
      </c>
    </row>
    <row r="315" ht="16.5" customHeight="1" spans="1:8">
      <c r="A315" s="3">
        <v>314</v>
      </c>
      <c r="B315" s="3" t="s">
        <v>1701</v>
      </c>
      <c r="C315" s="3" t="s">
        <v>1361</v>
      </c>
      <c r="D315" s="4" t="s">
        <v>1702</v>
      </c>
      <c r="E315" s="3" t="s">
        <v>1218</v>
      </c>
      <c r="F315" s="3" t="s">
        <v>1358</v>
      </c>
      <c r="G315" s="3" t="s">
        <v>45</v>
      </c>
      <c r="H315" s="4" t="s">
        <v>1078</v>
      </c>
    </row>
    <row r="316" ht="16.5" customHeight="1" spans="1:8">
      <c r="A316" s="3">
        <v>315</v>
      </c>
      <c r="B316" s="3" t="s">
        <v>1703</v>
      </c>
      <c r="C316" s="3" t="s">
        <v>1361</v>
      </c>
      <c r="D316" s="4" t="s">
        <v>1704</v>
      </c>
      <c r="E316" s="3" t="s">
        <v>1218</v>
      </c>
      <c r="F316" s="3" t="s">
        <v>1358</v>
      </c>
      <c r="G316" s="3" t="s">
        <v>45</v>
      </c>
      <c r="H316" s="4" t="s">
        <v>1078</v>
      </c>
    </row>
    <row r="317" ht="16.5" customHeight="1" spans="1:8">
      <c r="A317" s="3">
        <v>316</v>
      </c>
      <c r="B317" s="3" t="s">
        <v>1705</v>
      </c>
      <c r="C317" s="3" t="s">
        <v>1361</v>
      </c>
      <c r="D317" s="4" t="s">
        <v>1706</v>
      </c>
      <c r="E317" s="3" t="s">
        <v>1218</v>
      </c>
      <c r="F317" s="3" t="s">
        <v>1358</v>
      </c>
      <c r="G317" s="3" t="s">
        <v>45</v>
      </c>
      <c r="H317" s="4" t="s">
        <v>1078</v>
      </c>
    </row>
    <row r="318" ht="16.5" customHeight="1" spans="1:8">
      <c r="A318" s="3">
        <v>317</v>
      </c>
      <c r="B318" s="3" t="s">
        <v>1707</v>
      </c>
      <c r="C318" s="3" t="s">
        <v>1361</v>
      </c>
      <c r="D318" s="4" t="s">
        <v>1708</v>
      </c>
      <c r="E318" s="3" t="s">
        <v>1218</v>
      </c>
      <c r="F318" s="3" t="s">
        <v>1358</v>
      </c>
      <c r="G318" s="3" t="s">
        <v>45</v>
      </c>
      <c r="H318" s="4" t="s">
        <v>1078</v>
      </c>
    </row>
    <row r="319" ht="16.5" customHeight="1" spans="1:8">
      <c r="A319" s="3">
        <v>318</v>
      </c>
      <c r="B319" s="3" t="s">
        <v>1709</v>
      </c>
      <c r="C319" s="3" t="s">
        <v>1361</v>
      </c>
      <c r="D319" s="4" t="s">
        <v>1710</v>
      </c>
      <c r="E319" s="3" t="s">
        <v>1218</v>
      </c>
      <c r="F319" s="3" t="s">
        <v>1358</v>
      </c>
      <c r="G319" s="3" t="s">
        <v>45</v>
      </c>
      <c r="H319" s="4" t="s">
        <v>1078</v>
      </c>
    </row>
    <row r="320" ht="16.5" customHeight="1" spans="1:8">
      <c r="A320" s="3">
        <v>319</v>
      </c>
      <c r="B320" s="3" t="s">
        <v>1711</v>
      </c>
      <c r="C320" s="3" t="s">
        <v>1361</v>
      </c>
      <c r="D320" s="4" t="s">
        <v>1712</v>
      </c>
      <c r="E320" s="3" t="s">
        <v>1218</v>
      </c>
      <c r="F320" s="3" t="s">
        <v>1358</v>
      </c>
      <c r="G320" s="3" t="s">
        <v>45</v>
      </c>
      <c r="H320" s="4" t="s">
        <v>1078</v>
      </c>
    </row>
    <row r="321" ht="16.5" customHeight="1" spans="1:8">
      <c r="A321" s="3">
        <v>320</v>
      </c>
      <c r="B321" s="3" t="s">
        <v>1713</v>
      </c>
      <c r="C321" s="3" t="s">
        <v>1361</v>
      </c>
      <c r="D321" s="4" t="s">
        <v>1714</v>
      </c>
      <c r="E321" s="3" t="s">
        <v>1218</v>
      </c>
      <c r="F321" s="3" t="s">
        <v>1358</v>
      </c>
      <c r="G321" s="3" t="s">
        <v>45</v>
      </c>
      <c r="H321" s="4" t="s">
        <v>1078</v>
      </c>
    </row>
    <row r="322" ht="16.5" customHeight="1" spans="1:8">
      <c r="A322" s="3">
        <v>321</v>
      </c>
      <c r="B322" s="3" t="s">
        <v>1715</v>
      </c>
      <c r="C322" s="3" t="s">
        <v>1105</v>
      </c>
      <c r="D322" s="4" t="s">
        <v>1716</v>
      </c>
      <c r="E322" s="3" t="s">
        <v>1076</v>
      </c>
      <c r="F322" s="3" t="s">
        <v>1152</v>
      </c>
      <c r="G322" s="3" t="s">
        <v>321</v>
      </c>
      <c r="H322" s="4" t="s">
        <v>1581</v>
      </c>
    </row>
    <row r="323" ht="16.5" customHeight="1" spans="1:8">
      <c r="A323" s="3">
        <v>322</v>
      </c>
      <c r="B323" s="3" t="s">
        <v>1717</v>
      </c>
      <c r="C323" s="3" t="s">
        <v>1105</v>
      </c>
      <c r="D323" s="4" t="s">
        <v>1718</v>
      </c>
      <c r="E323" s="3" t="s">
        <v>1076</v>
      </c>
      <c r="F323" s="3" t="s">
        <v>1719</v>
      </c>
      <c r="G323" s="3" t="s">
        <v>321</v>
      </c>
      <c r="H323" s="4" t="s">
        <v>1581</v>
      </c>
    </row>
    <row r="324" ht="16.5" customHeight="1" spans="1:8">
      <c r="A324" s="3">
        <v>323</v>
      </c>
      <c r="B324" s="3" t="s">
        <v>1720</v>
      </c>
      <c r="C324" s="3" t="s">
        <v>1361</v>
      </c>
      <c r="D324" s="4" t="s">
        <v>1721</v>
      </c>
      <c r="E324" s="3" t="s">
        <v>1218</v>
      </c>
      <c r="F324" s="3" t="s">
        <v>1358</v>
      </c>
      <c r="G324" s="3" t="s">
        <v>45</v>
      </c>
      <c r="H324" s="4" t="s">
        <v>1078</v>
      </c>
    </row>
    <row r="325" ht="16.5" customHeight="1" spans="1:8">
      <c r="A325" s="3">
        <v>324</v>
      </c>
      <c r="B325" s="3" t="s">
        <v>1722</v>
      </c>
      <c r="C325" s="3" t="s">
        <v>1361</v>
      </c>
      <c r="D325" s="4" t="s">
        <v>1723</v>
      </c>
      <c r="E325" s="3" t="s">
        <v>1218</v>
      </c>
      <c r="F325" s="3" t="s">
        <v>1358</v>
      </c>
      <c r="G325" s="3" t="s">
        <v>321</v>
      </c>
      <c r="H325" s="4"/>
    </row>
    <row r="326" ht="16.5" customHeight="1" spans="1:8">
      <c r="A326" s="3">
        <v>325</v>
      </c>
      <c r="B326" s="3" t="s">
        <v>1724</v>
      </c>
      <c r="C326" s="3" t="s">
        <v>1361</v>
      </c>
      <c r="D326" s="4" t="s">
        <v>1725</v>
      </c>
      <c r="E326" s="3" t="s">
        <v>1218</v>
      </c>
      <c r="F326" s="3" t="s">
        <v>1358</v>
      </c>
      <c r="G326" s="3" t="s">
        <v>45</v>
      </c>
      <c r="H326" s="4" t="s">
        <v>1078</v>
      </c>
    </row>
    <row r="327" ht="16.5" customHeight="1" spans="1:8">
      <c r="A327" s="3">
        <v>326</v>
      </c>
      <c r="B327" s="3" t="s">
        <v>1726</v>
      </c>
      <c r="C327" s="3" t="s">
        <v>1356</v>
      </c>
      <c r="D327" s="4" t="s">
        <v>1727</v>
      </c>
      <c r="E327" s="3" t="s">
        <v>1076</v>
      </c>
      <c r="F327" s="3" t="s">
        <v>1077</v>
      </c>
      <c r="G327" s="3" t="s">
        <v>45</v>
      </c>
      <c r="H327" s="4" t="s">
        <v>1081</v>
      </c>
    </row>
    <row r="328" ht="16.5" customHeight="1" spans="1:8">
      <c r="A328" s="3">
        <v>327</v>
      </c>
      <c r="B328" s="3" t="s">
        <v>1728</v>
      </c>
      <c r="C328" s="3" t="s">
        <v>1105</v>
      </c>
      <c r="D328" s="4" t="s">
        <v>1729</v>
      </c>
      <c r="E328" s="3" t="s">
        <v>1076</v>
      </c>
      <c r="F328" s="3" t="s">
        <v>1358</v>
      </c>
      <c r="G328" s="3" t="s">
        <v>321</v>
      </c>
      <c r="H328" s="4" t="s">
        <v>1608</v>
      </c>
    </row>
    <row r="329" ht="16.5" customHeight="1" spans="1:8">
      <c r="A329" s="3">
        <v>328</v>
      </c>
      <c r="B329" s="3" t="s">
        <v>1730</v>
      </c>
      <c r="C329" s="3" t="s">
        <v>1105</v>
      </c>
      <c r="D329" s="4" t="s">
        <v>1731</v>
      </c>
      <c r="E329" s="3" t="s">
        <v>1076</v>
      </c>
      <c r="F329" s="3" t="s">
        <v>1152</v>
      </c>
      <c r="G329" s="3" t="s">
        <v>45</v>
      </c>
      <c r="H329" s="4" t="s">
        <v>1456</v>
      </c>
    </row>
    <row r="330" ht="16.5" customHeight="1" spans="1:8">
      <c r="A330" s="3">
        <v>329</v>
      </c>
      <c r="B330" s="3" t="s">
        <v>1732</v>
      </c>
      <c r="C330" s="3" t="s">
        <v>1105</v>
      </c>
      <c r="D330" s="4" t="s">
        <v>1733</v>
      </c>
      <c r="E330" s="3" t="s">
        <v>1076</v>
      </c>
      <c r="F330" s="3" t="s">
        <v>1152</v>
      </c>
      <c r="G330" s="3" t="s">
        <v>45</v>
      </c>
      <c r="H330" s="4" t="s">
        <v>1456</v>
      </c>
    </row>
    <row r="331" ht="16.5" customHeight="1" spans="1:8">
      <c r="A331" s="3">
        <v>330</v>
      </c>
      <c r="B331" s="3" t="s">
        <v>1734</v>
      </c>
      <c r="C331" s="3" t="s">
        <v>1356</v>
      </c>
      <c r="D331" s="4" t="s">
        <v>1735</v>
      </c>
      <c r="E331" s="3" t="s">
        <v>1076</v>
      </c>
      <c r="F331" s="3" t="s">
        <v>1736</v>
      </c>
      <c r="G331" s="3" t="s">
        <v>321</v>
      </c>
      <c r="H331" s="4" t="s">
        <v>1390</v>
      </c>
    </row>
    <row r="332" ht="16.5" customHeight="1" spans="1:8">
      <c r="A332" s="3">
        <v>331</v>
      </c>
      <c r="B332" s="3" t="s">
        <v>1737</v>
      </c>
      <c r="C332" s="3" t="s">
        <v>1105</v>
      </c>
      <c r="D332" s="4" t="s">
        <v>1738</v>
      </c>
      <c r="E332" s="3" t="s">
        <v>1739</v>
      </c>
      <c r="F332" s="3" t="s">
        <v>1736</v>
      </c>
      <c r="G332" s="3" t="s">
        <v>321</v>
      </c>
      <c r="H332" s="4" t="s">
        <v>1740</v>
      </c>
    </row>
    <row r="333" ht="16.5" customHeight="1" spans="1:8">
      <c r="A333" s="3">
        <v>332</v>
      </c>
      <c r="B333" s="3" t="s">
        <v>1741</v>
      </c>
      <c r="C333" s="3" t="s">
        <v>1105</v>
      </c>
      <c r="D333" s="4" t="s">
        <v>1742</v>
      </c>
      <c r="E333" s="3" t="s">
        <v>1739</v>
      </c>
      <c r="F333" s="3" t="s">
        <v>1736</v>
      </c>
      <c r="G333" s="3" t="s">
        <v>321</v>
      </c>
      <c r="H333" s="4" t="s">
        <v>1740</v>
      </c>
    </row>
    <row r="334" ht="16.5" customHeight="1" spans="1:8">
      <c r="A334" s="3">
        <v>333</v>
      </c>
      <c r="B334" s="3" t="s">
        <v>1743</v>
      </c>
      <c r="C334" s="3" t="s">
        <v>1356</v>
      </c>
      <c r="D334" s="4" t="s">
        <v>1744</v>
      </c>
      <c r="E334" s="3" t="s">
        <v>1076</v>
      </c>
      <c r="F334" s="3" t="s">
        <v>1736</v>
      </c>
      <c r="G334" s="3" t="s">
        <v>321</v>
      </c>
      <c r="H334" s="4" t="s">
        <v>1095</v>
      </c>
    </row>
    <row r="335" ht="16.5" customHeight="1" spans="1:8">
      <c r="A335" s="3">
        <v>334</v>
      </c>
      <c r="B335" s="3" t="s">
        <v>1745</v>
      </c>
      <c r="C335" s="3" t="s">
        <v>1105</v>
      </c>
      <c r="D335" s="4" t="s">
        <v>1746</v>
      </c>
      <c r="E335" s="3" t="s">
        <v>1076</v>
      </c>
      <c r="F335" s="3" t="s">
        <v>1736</v>
      </c>
      <c r="G335" s="3" t="s">
        <v>321</v>
      </c>
      <c r="H335" s="4" t="s">
        <v>1747</v>
      </c>
    </row>
    <row r="336" ht="16.5" customHeight="1" spans="1:8">
      <c r="A336" s="3">
        <v>335</v>
      </c>
      <c r="B336" s="3" t="s">
        <v>1748</v>
      </c>
      <c r="C336" s="3" t="s">
        <v>1105</v>
      </c>
      <c r="D336" s="4" t="s">
        <v>1749</v>
      </c>
      <c r="E336" s="3" t="s">
        <v>1076</v>
      </c>
      <c r="F336" s="3" t="s">
        <v>1736</v>
      </c>
      <c r="G336" s="3" t="s">
        <v>321</v>
      </c>
      <c r="H336" s="4" t="s">
        <v>1747</v>
      </c>
    </row>
    <row r="337" ht="16.5" customHeight="1" spans="1:8">
      <c r="A337" s="3">
        <v>336</v>
      </c>
      <c r="B337" s="3" t="s">
        <v>1750</v>
      </c>
      <c r="C337" s="3" t="s">
        <v>1105</v>
      </c>
      <c r="D337" s="4" t="s">
        <v>1751</v>
      </c>
      <c r="E337" s="3" t="s">
        <v>1076</v>
      </c>
      <c r="F337" s="3" t="s">
        <v>1736</v>
      </c>
      <c r="G337" s="3" t="s">
        <v>321</v>
      </c>
      <c r="H337" s="4" t="s">
        <v>1752</v>
      </c>
    </row>
    <row r="338" ht="16.5" customHeight="1" spans="1:8">
      <c r="A338" s="3">
        <v>337</v>
      </c>
      <c r="B338" s="3" t="s">
        <v>1753</v>
      </c>
      <c r="C338" s="3" t="s">
        <v>1105</v>
      </c>
      <c r="D338" s="4" t="s">
        <v>1754</v>
      </c>
      <c r="E338" s="3" t="s">
        <v>1076</v>
      </c>
      <c r="F338" s="3" t="s">
        <v>1736</v>
      </c>
      <c r="G338" s="3" t="s">
        <v>321</v>
      </c>
      <c r="H338" s="4" t="s">
        <v>1752</v>
      </c>
    </row>
    <row r="339" ht="16.5" customHeight="1" spans="1:8">
      <c r="A339" s="3">
        <v>338</v>
      </c>
      <c r="B339" s="3" t="s">
        <v>1755</v>
      </c>
      <c r="C339" s="3" t="s">
        <v>1361</v>
      </c>
      <c r="D339" s="4" t="s">
        <v>1756</v>
      </c>
      <c r="E339" s="3" t="s">
        <v>1218</v>
      </c>
      <c r="F339" s="3" t="s">
        <v>1358</v>
      </c>
      <c r="G339" s="3" t="s">
        <v>45</v>
      </c>
      <c r="H339" s="4"/>
    </row>
    <row r="340" ht="16.5" customHeight="1" spans="1:8">
      <c r="A340" s="3">
        <v>339</v>
      </c>
      <c r="B340" s="3" t="s">
        <v>1757</v>
      </c>
      <c r="C340" s="3" t="s">
        <v>1105</v>
      </c>
      <c r="D340" s="4" t="s">
        <v>1758</v>
      </c>
      <c r="E340" s="3" t="s">
        <v>1076</v>
      </c>
      <c r="F340" s="3" t="s">
        <v>1077</v>
      </c>
      <c r="G340" s="3" t="s">
        <v>45</v>
      </c>
      <c r="H340" s="4" t="s">
        <v>1759</v>
      </c>
    </row>
    <row r="341" ht="16.5" customHeight="1" spans="1:8">
      <c r="A341" s="3">
        <v>340</v>
      </c>
      <c r="B341" s="3" t="s">
        <v>1760</v>
      </c>
      <c r="C341" s="3" t="s">
        <v>1105</v>
      </c>
      <c r="D341" s="4" t="s">
        <v>1761</v>
      </c>
      <c r="E341" s="3" t="s">
        <v>1076</v>
      </c>
      <c r="F341" s="3" t="s">
        <v>1077</v>
      </c>
      <c r="G341" s="3" t="s">
        <v>45</v>
      </c>
      <c r="H341" s="4" t="s">
        <v>1759</v>
      </c>
    </row>
    <row r="342" ht="16.5" customHeight="1" spans="1:8">
      <c r="A342" s="3">
        <v>341</v>
      </c>
      <c r="B342" s="3" t="s">
        <v>1762</v>
      </c>
      <c r="C342" s="3" t="s">
        <v>1105</v>
      </c>
      <c r="D342" s="4" t="s">
        <v>1763</v>
      </c>
      <c r="E342" s="3" t="s">
        <v>1076</v>
      </c>
      <c r="F342" s="3" t="s">
        <v>1719</v>
      </c>
      <c r="G342" s="3" t="s">
        <v>45</v>
      </c>
      <c r="H342" s="4" t="s">
        <v>1319</v>
      </c>
    </row>
    <row r="343" ht="16.5" customHeight="1" spans="1:8">
      <c r="A343" s="3">
        <v>342</v>
      </c>
      <c r="B343" s="3" t="s">
        <v>1764</v>
      </c>
      <c r="C343" s="3" t="s">
        <v>1105</v>
      </c>
      <c r="D343" s="4" t="s">
        <v>1765</v>
      </c>
      <c r="E343" s="3" t="s">
        <v>1076</v>
      </c>
      <c r="F343" s="3" t="s">
        <v>1719</v>
      </c>
      <c r="G343" s="3" t="s">
        <v>321</v>
      </c>
      <c r="H343" s="4" t="s">
        <v>1572</v>
      </c>
    </row>
    <row r="344" ht="16.5" customHeight="1" spans="1:8">
      <c r="A344" s="3">
        <v>343</v>
      </c>
      <c r="B344" s="3" t="s">
        <v>1766</v>
      </c>
      <c r="C344" s="3" t="s">
        <v>1074</v>
      </c>
      <c r="D344" s="4" t="s">
        <v>1767</v>
      </c>
      <c r="E344" s="3" t="s">
        <v>1076</v>
      </c>
      <c r="F344" s="3" t="s">
        <v>1077</v>
      </c>
      <c r="G344" s="3" t="s">
        <v>45</v>
      </c>
      <c r="H344" s="4" t="s">
        <v>1081</v>
      </c>
    </row>
    <row r="345" ht="16.5" customHeight="1" spans="1:8">
      <c r="A345" s="3">
        <v>344</v>
      </c>
      <c r="B345" s="3" t="s">
        <v>1768</v>
      </c>
      <c r="C345" s="3" t="s">
        <v>1105</v>
      </c>
      <c r="D345" s="4" t="s">
        <v>1769</v>
      </c>
      <c r="E345" s="3" t="s">
        <v>1076</v>
      </c>
      <c r="F345" s="3" t="s">
        <v>1077</v>
      </c>
      <c r="G345" s="3" t="s">
        <v>45</v>
      </c>
      <c r="H345" s="4" t="s">
        <v>1770</v>
      </c>
    </row>
    <row r="346" ht="16.5" customHeight="1" spans="1:8">
      <c r="A346" s="3">
        <v>345</v>
      </c>
      <c r="B346" s="3" t="s">
        <v>1771</v>
      </c>
      <c r="C346" s="3" t="s">
        <v>1074</v>
      </c>
      <c r="D346" s="4" t="s">
        <v>1772</v>
      </c>
      <c r="E346" s="3" t="s">
        <v>1076</v>
      </c>
      <c r="F346" s="3" t="s">
        <v>1077</v>
      </c>
      <c r="G346" s="3" t="s">
        <v>45</v>
      </c>
      <c r="H346" s="4" t="s">
        <v>1081</v>
      </c>
    </row>
    <row r="347" ht="16.5" customHeight="1" spans="1:8">
      <c r="A347" s="3">
        <v>346</v>
      </c>
      <c r="B347" s="3" t="s">
        <v>1773</v>
      </c>
      <c r="C347" s="3" t="s">
        <v>1074</v>
      </c>
      <c r="D347" s="4" t="s">
        <v>1774</v>
      </c>
      <c r="E347" s="3" t="s">
        <v>1076</v>
      </c>
      <c r="F347" s="3" t="s">
        <v>1077</v>
      </c>
      <c r="G347" s="3" t="s">
        <v>45</v>
      </c>
      <c r="H347" s="4" t="s">
        <v>1081</v>
      </c>
    </row>
    <row r="348" ht="16.5" customHeight="1" spans="1:8">
      <c r="A348" s="3">
        <v>347</v>
      </c>
      <c r="B348" s="3" t="s">
        <v>1775</v>
      </c>
      <c r="C348" s="3" t="s">
        <v>1361</v>
      </c>
      <c r="D348" s="4" t="s">
        <v>1776</v>
      </c>
      <c r="E348" s="3" t="s">
        <v>1777</v>
      </c>
      <c r="F348" s="3" t="s">
        <v>1358</v>
      </c>
      <c r="G348" s="3" t="s">
        <v>321</v>
      </c>
      <c r="H348" s="4" t="s">
        <v>1095</v>
      </c>
    </row>
    <row r="349" ht="16.5" customHeight="1" spans="1:8">
      <c r="A349" s="3">
        <v>348</v>
      </c>
      <c r="B349" s="3" t="s">
        <v>1778</v>
      </c>
      <c r="C349" s="3" t="s">
        <v>1361</v>
      </c>
      <c r="D349" s="4" t="s">
        <v>1779</v>
      </c>
      <c r="E349" s="3" t="s">
        <v>1218</v>
      </c>
      <c r="F349" s="3" t="s">
        <v>1358</v>
      </c>
      <c r="G349" s="3" t="s">
        <v>321</v>
      </c>
      <c r="H349" s="4" t="s">
        <v>1095</v>
      </c>
    </row>
    <row r="350" ht="16.5" customHeight="1" spans="1:8">
      <c r="A350" s="3">
        <v>349</v>
      </c>
      <c r="B350" s="3" t="s">
        <v>1780</v>
      </c>
      <c r="C350" s="3" t="s">
        <v>1361</v>
      </c>
      <c r="D350" s="4" t="s">
        <v>1781</v>
      </c>
      <c r="E350" s="3" t="s">
        <v>1218</v>
      </c>
      <c r="F350" s="3" t="s">
        <v>1358</v>
      </c>
      <c r="G350" s="3" t="s">
        <v>321</v>
      </c>
      <c r="H350" s="4" t="s">
        <v>1095</v>
      </c>
    </row>
    <row r="351" ht="16.5" customHeight="1" spans="1:8">
      <c r="A351" s="3">
        <v>350</v>
      </c>
      <c r="B351" s="3" t="s">
        <v>1782</v>
      </c>
      <c r="C351" s="3" t="s">
        <v>1361</v>
      </c>
      <c r="D351" s="4" t="s">
        <v>1783</v>
      </c>
      <c r="E351" s="3" t="s">
        <v>1218</v>
      </c>
      <c r="F351" s="3" t="s">
        <v>1358</v>
      </c>
      <c r="G351" s="3" t="s">
        <v>321</v>
      </c>
      <c r="H351" s="4" t="s">
        <v>1095</v>
      </c>
    </row>
    <row r="352" ht="16.5" customHeight="1" spans="1:8">
      <c r="A352" s="3">
        <v>351</v>
      </c>
      <c r="B352" s="3" t="s">
        <v>1784</v>
      </c>
      <c r="C352" s="3" t="s">
        <v>1361</v>
      </c>
      <c r="D352" s="4" t="s">
        <v>1785</v>
      </c>
      <c r="E352" s="3" t="s">
        <v>1218</v>
      </c>
      <c r="F352" s="3" t="s">
        <v>1358</v>
      </c>
      <c r="G352" s="3" t="s">
        <v>321</v>
      </c>
      <c r="H352" s="4" t="s">
        <v>1095</v>
      </c>
    </row>
    <row r="353" ht="16.5" customHeight="1" spans="1:8">
      <c r="A353" s="3">
        <v>352</v>
      </c>
      <c r="B353" s="3" t="s">
        <v>1786</v>
      </c>
      <c r="C353" s="3" t="s">
        <v>1361</v>
      </c>
      <c r="D353" s="4" t="s">
        <v>1787</v>
      </c>
      <c r="E353" s="3" t="s">
        <v>1218</v>
      </c>
      <c r="F353" s="3" t="s">
        <v>1358</v>
      </c>
      <c r="G353" s="3" t="s">
        <v>321</v>
      </c>
      <c r="H353" s="4" t="s">
        <v>1095</v>
      </c>
    </row>
    <row r="354" ht="16.5" customHeight="1" spans="1:8">
      <c r="A354" s="3">
        <v>353</v>
      </c>
      <c r="B354" s="3" t="s">
        <v>1788</v>
      </c>
      <c r="C354" s="3" t="s">
        <v>1361</v>
      </c>
      <c r="D354" s="4" t="s">
        <v>1789</v>
      </c>
      <c r="E354" s="3" t="s">
        <v>1218</v>
      </c>
      <c r="F354" s="3" t="s">
        <v>1358</v>
      </c>
      <c r="G354" s="3" t="s">
        <v>321</v>
      </c>
      <c r="H354" s="4" t="s">
        <v>1095</v>
      </c>
    </row>
    <row r="355" ht="16.5" customHeight="1" spans="1:8">
      <c r="A355" s="3">
        <v>354</v>
      </c>
      <c r="B355" s="3" t="s">
        <v>1790</v>
      </c>
      <c r="C355" s="3" t="s">
        <v>1361</v>
      </c>
      <c r="D355" s="4" t="s">
        <v>1791</v>
      </c>
      <c r="E355" s="3" t="s">
        <v>1218</v>
      </c>
      <c r="F355" s="3" t="s">
        <v>1358</v>
      </c>
      <c r="G355" s="3" t="s">
        <v>321</v>
      </c>
      <c r="H355" s="4" t="s">
        <v>1095</v>
      </c>
    </row>
    <row r="356" ht="16.5" customHeight="1" spans="1:8">
      <c r="A356" s="3">
        <v>355</v>
      </c>
      <c r="B356" s="3" t="s">
        <v>1792</v>
      </c>
      <c r="C356" s="3" t="s">
        <v>1361</v>
      </c>
      <c r="D356" s="4" t="s">
        <v>1793</v>
      </c>
      <c r="E356" s="3" t="s">
        <v>1218</v>
      </c>
      <c r="F356" s="3" t="s">
        <v>1358</v>
      </c>
      <c r="G356" s="3" t="s">
        <v>321</v>
      </c>
      <c r="H356" s="4" t="s">
        <v>1095</v>
      </c>
    </row>
    <row r="357" ht="16.5" customHeight="1" spans="1:8">
      <c r="A357" s="3">
        <v>356</v>
      </c>
      <c r="B357" s="3" t="s">
        <v>1794</v>
      </c>
      <c r="C357" s="3" t="s">
        <v>1361</v>
      </c>
      <c r="D357" s="4" t="s">
        <v>1795</v>
      </c>
      <c r="E357" s="3" t="s">
        <v>1218</v>
      </c>
      <c r="F357" s="3" t="s">
        <v>1358</v>
      </c>
      <c r="G357" s="3" t="s">
        <v>321</v>
      </c>
      <c r="H357" s="4" t="s">
        <v>1390</v>
      </c>
    </row>
    <row r="358" ht="16.5" customHeight="1" spans="1:8">
      <c r="A358" s="3">
        <v>357</v>
      </c>
      <c r="B358" s="3" t="s">
        <v>1796</v>
      </c>
      <c r="C358" s="3" t="s">
        <v>1361</v>
      </c>
      <c r="D358" s="4" t="s">
        <v>1797</v>
      </c>
      <c r="E358" s="3" t="s">
        <v>1218</v>
      </c>
      <c r="F358" s="3" t="s">
        <v>1358</v>
      </c>
      <c r="G358" s="3" t="s">
        <v>321</v>
      </c>
      <c r="H358" s="4" t="s">
        <v>1390</v>
      </c>
    </row>
    <row r="359" ht="16.5" customHeight="1" spans="1:8">
      <c r="A359" s="3">
        <v>358</v>
      </c>
      <c r="B359" s="3" t="s">
        <v>1798</v>
      </c>
      <c r="C359" s="3" t="s">
        <v>1361</v>
      </c>
      <c r="D359" s="4" t="s">
        <v>1799</v>
      </c>
      <c r="E359" s="3" t="s">
        <v>1218</v>
      </c>
      <c r="F359" s="3" t="s">
        <v>1358</v>
      </c>
      <c r="G359" s="3" t="s">
        <v>321</v>
      </c>
      <c r="H359" s="4" t="s">
        <v>1095</v>
      </c>
    </row>
    <row r="360" ht="16.5" customHeight="1" spans="1:8">
      <c r="A360" s="3">
        <v>359</v>
      </c>
      <c r="B360" s="3" t="s">
        <v>1800</v>
      </c>
      <c r="C360" s="3" t="s">
        <v>1361</v>
      </c>
      <c r="D360" s="4" t="s">
        <v>1801</v>
      </c>
      <c r="E360" s="3" t="s">
        <v>1218</v>
      </c>
      <c r="F360" s="3" t="s">
        <v>1358</v>
      </c>
      <c r="G360" s="3" t="s">
        <v>321</v>
      </c>
      <c r="H360" s="4" t="s">
        <v>1390</v>
      </c>
    </row>
    <row r="361" ht="16.5" customHeight="1" spans="1:8">
      <c r="A361" s="3">
        <v>360</v>
      </c>
      <c r="B361" s="3" t="s">
        <v>1802</v>
      </c>
      <c r="C361" s="3" t="s">
        <v>1361</v>
      </c>
      <c r="D361" s="4" t="s">
        <v>1803</v>
      </c>
      <c r="E361" s="3" t="s">
        <v>1218</v>
      </c>
      <c r="F361" s="3" t="s">
        <v>1358</v>
      </c>
      <c r="G361" s="3" t="s">
        <v>321</v>
      </c>
      <c r="H361" s="4" t="s">
        <v>1390</v>
      </c>
    </row>
    <row r="362" ht="16.5" customHeight="1" spans="1:8">
      <c r="A362" s="3">
        <v>361</v>
      </c>
      <c r="B362" s="3" t="s">
        <v>1804</v>
      </c>
      <c r="C362" s="3" t="s">
        <v>1361</v>
      </c>
      <c r="D362" s="4" t="s">
        <v>1805</v>
      </c>
      <c r="E362" s="3" t="s">
        <v>1218</v>
      </c>
      <c r="F362" s="3" t="s">
        <v>1358</v>
      </c>
      <c r="G362" s="3" t="s">
        <v>321</v>
      </c>
      <c r="H362" s="4" t="s">
        <v>1390</v>
      </c>
    </row>
    <row r="363" ht="16.5" customHeight="1" spans="1:8">
      <c r="A363" s="3">
        <v>362</v>
      </c>
      <c r="B363" s="3" t="s">
        <v>1806</v>
      </c>
      <c r="C363" s="3" t="s">
        <v>1361</v>
      </c>
      <c r="D363" s="4" t="s">
        <v>1807</v>
      </c>
      <c r="E363" s="3" t="s">
        <v>1218</v>
      </c>
      <c r="F363" s="3" t="s">
        <v>1358</v>
      </c>
      <c r="G363" s="3" t="s">
        <v>321</v>
      </c>
      <c r="H363" s="4" t="s">
        <v>1095</v>
      </c>
    </row>
    <row r="364" ht="16.5" customHeight="1" spans="1:8">
      <c r="A364" s="3">
        <v>363</v>
      </c>
      <c r="B364" s="3" t="s">
        <v>1808</v>
      </c>
      <c r="C364" s="3" t="s">
        <v>1361</v>
      </c>
      <c r="D364" s="4" t="s">
        <v>1809</v>
      </c>
      <c r="E364" s="3" t="s">
        <v>1218</v>
      </c>
      <c r="F364" s="3" t="s">
        <v>1358</v>
      </c>
      <c r="G364" s="3" t="s">
        <v>321</v>
      </c>
      <c r="H364" s="4" t="s">
        <v>1095</v>
      </c>
    </row>
    <row r="365" ht="16.5" customHeight="1" spans="1:8">
      <c r="A365" s="3">
        <v>364</v>
      </c>
      <c r="B365" s="3" t="s">
        <v>1810</v>
      </c>
      <c r="C365" s="3" t="s">
        <v>1361</v>
      </c>
      <c r="D365" s="4" t="s">
        <v>1811</v>
      </c>
      <c r="E365" s="3" t="s">
        <v>1218</v>
      </c>
      <c r="F365" s="3" t="s">
        <v>1358</v>
      </c>
      <c r="G365" s="3" t="s">
        <v>321</v>
      </c>
      <c r="H365" s="4" t="s">
        <v>1095</v>
      </c>
    </row>
    <row r="366" ht="16.5" customHeight="1" spans="1:8">
      <c r="A366" s="3">
        <v>365</v>
      </c>
      <c r="B366" s="3" t="s">
        <v>1812</v>
      </c>
      <c r="C366" s="3" t="s">
        <v>1361</v>
      </c>
      <c r="D366" s="4" t="s">
        <v>1813</v>
      </c>
      <c r="E366" s="3" t="s">
        <v>1218</v>
      </c>
      <c r="F366" s="3" t="s">
        <v>1358</v>
      </c>
      <c r="G366" s="3" t="s">
        <v>321</v>
      </c>
      <c r="H366" s="4" t="s">
        <v>1095</v>
      </c>
    </row>
    <row r="367" ht="16.5" customHeight="1" spans="1:8">
      <c r="A367" s="3">
        <v>366</v>
      </c>
      <c r="B367" s="3" t="s">
        <v>1814</v>
      </c>
      <c r="C367" s="3" t="s">
        <v>1361</v>
      </c>
      <c r="D367" s="4" t="s">
        <v>1815</v>
      </c>
      <c r="E367" s="3" t="s">
        <v>1218</v>
      </c>
      <c r="F367" s="3" t="s">
        <v>1358</v>
      </c>
      <c r="G367" s="3" t="s">
        <v>321</v>
      </c>
      <c r="H367" s="4" t="s">
        <v>1095</v>
      </c>
    </row>
    <row r="368" ht="16.5" customHeight="1" spans="1:8">
      <c r="A368" s="3">
        <v>367</v>
      </c>
      <c r="B368" s="3" t="s">
        <v>1816</v>
      </c>
      <c r="C368" s="3" t="s">
        <v>1361</v>
      </c>
      <c r="D368" s="4" t="s">
        <v>1817</v>
      </c>
      <c r="E368" s="3" t="s">
        <v>1218</v>
      </c>
      <c r="F368" s="3" t="s">
        <v>1358</v>
      </c>
      <c r="G368" s="3" t="s">
        <v>321</v>
      </c>
      <c r="H368" s="4" t="s">
        <v>1095</v>
      </c>
    </row>
    <row r="369" ht="16.5" customHeight="1" spans="1:8">
      <c r="A369" s="3">
        <v>368</v>
      </c>
      <c r="B369" s="3" t="s">
        <v>1818</v>
      </c>
      <c r="C369" s="3" t="s">
        <v>1361</v>
      </c>
      <c r="D369" s="4" t="s">
        <v>1819</v>
      </c>
      <c r="E369" s="3" t="s">
        <v>1218</v>
      </c>
      <c r="F369" s="3" t="s">
        <v>1358</v>
      </c>
      <c r="G369" s="3" t="s">
        <v>321</v>
      </c>
      <c r="H369" s="4"/>
    </row>
    <row r="370" ht="16.5" customHeight="1" spans="1:8">
      <c r="A370" s="3">
        <v>369</v>
      </c>
      <c r="B370" s="3" t="s">
        <v>1820</v>
      </c>
      <c r="C370" s="3" t="s">
        <v>1361</v>
      </c>
      <c r="D370" s="4" t="s">
        <v>1821</v>
      </c>
      <c r="E370" s="3" t="s">
        <v>1218</v>
      </c>
      <c r="F370" s="3" t="s">
        <v>1358</v>
      </c>
      <c r="G370" s="3" t="s">
        <v>321</v>
      </c>
      <c r="H370" s="4"/>
    </row>
    <row r="371" ht="16.5" customHeight="1" spans="1:8">
      <c r="A371" s="3">
        <v>370</v>
      </c>
      <c r="B371" s="3" t="s">
        <v>1822</v>
      </c>
      <c r="C371" s="3" t="s">
        <v>1361</v>
      </c>
      <c r="D371" s="4" t="s">
        <v>1823</v>
      </c>
      <c r="E371" s="3" t="s">
        <v>1218</v>
      </c>
      <c r="F371" s="3" t="s">
        <v>1358</v>
      </c>
      <c r="G371" s="3" t="s">
        <v>321</v>
      </c>
      <c r="H371" s="4"/>
    </row>
    <row r="372" ht="16.5" customHeight="1" spans="1:8">
      <c r="A372" s="3">
        <v>371</v>
      </c>
      <c r="B372" s="3" t="s">
        <v>1824</v>
      </c>
      <c r="C372" s="3" t="s">
        <v>1361</v>
      </c>
      <c r="D372" s="4" t="s">
        <v>1825</v>
      </c>
      <c r="E372" s="3" t="s">
        <v>1218</v>
      </c>
      <c r="F372" s="3" t="s">
        <v>1358</v>
      </c>
      <c r="G372" s="3" t="s">
        <v>321</v>
      </c>
      <c r="H372" s="4"/>
    </row>
    <row r="373" ht="16.5" customHeight="1" spans="1:8">
      <c r="A373" s="3">
        <v>372</v>
      </c>
      <c r="B373" s="3" t="s">
        <v>1826</v>
      </c>
      <c r="C373" s="3" t="s">
        <v>1361</v>
      </c>
      <c r="D373" s="4" t="s">
        <v>1827</v>
      </c>
      <c r="E373" s="3" t="s">
        <v>1218</v>
      </c>
      <c r="F373" s="3" t="s">
        <v>1358</v>
      </c>
      <c r="G373" s="3" t="s">
        <v>321</v>
      </c>
      <c r="H373" s="4"/>
    </row>
    <row r="374" ht="16.5" customHeight="1" spans="1:8">
      <c r="A374" s="3">
        <v>373</v>
      </c>
      <c r="B374" s="3" t="s">
        <v>1828</v>
      </c>
      <c r="C374" s="3" t="s">
        <v>1361</v>
      </c>
      <c r="D374" s="4" t="s">
        <v>1829</v>
      </c>
      <c r="E374" s="3" t="s">
        <v>1218</v>
      </c>
      <c r="F374" s="3" t="s">
        <v>1358</v>
      </c>
      <c r="G374" s="3" t="s">
        <v>321</v>
      </c>
      <c r="H374" s="4"/>
    </row>
    <row r="375" ht="16.5" customHeight="1" spans="1:8">
      <c r="A375" s="3">
        <v>374</v>
      </c>
      <c r="B375" s="3" t="s">
        <v>1830</v>
      </c>
      <c r="C375" s="3" t="s">
        <v>1361</v>
      </c>
      <c r="D375" s="4" t="s">
        <v>1831</v>
      </c>
      <c r="E375" s="3" t="s">
        <v>1218</v>
      </c>
      <c r="F375" s="3" t="s">
        <v>1358</v>
      </c>
      <c r="G375" s="3" t="s">
        <v>321</v>
      </c>
      <c r="H375" s="4"/>
    </row>
    <row r="376" ht="16.5" customHeight="1" spans="1:8">
      <c r="A376" s="3">
        <v>375</v>
      </c>
      <c r="B376" s="3" t="s">
        <v>1832</v>
      </c>
      <c r="C376" s="3" t="s">
        <v>1833</v>
      </c>
      <c r="D376" s="4" t="s">
        <v>1834</v>
      </c>
      <c r="E376" s="3" t="s">
        <v>1218</v>
      </c>
      <c r="F376" s="3" t="s">
        <v>1077</v>
      </c>
      <c r="G376" s="3" t="s">
        <v>45</v>
      </c>
      <c r="H376" s="4"/>
    </row>
    <row r="377" ht="16.5" customHeight="1" spans="1:8">
      <c r="A377" s="3">
        <v>376</v>
      </c>
      <c r="B377" s="3" t="s">
        <v>1835</v>
      </c>
      <c r="C377" s="3" t="s">
        <v>1105</v>
      </c>
      <c r="D377" s="4" t="s">
        <v>1836</v>
      </c>
      <c r="E377" s="3" t="s">
        <v>1837</v>
      </c>
      <c r="F377" s="3" t="s">
        <v>1077</v>
      </c>
      <c r="G377" s="3" t="s">
        <v>45</v>
      </c>
      <c r="H377" s="4" t="s">
        <v>1838</v>
      </c>
    </row>
    <row r="378" ht="16.5" customHeight="1" spans="1:8">
      <c r="A378" s="3">
        <v>377</v>
      </c>
      <c r="B378" s="3" t="s">
        <v>1839</v>
      </c>
      <c r="C378" s="3" t="s">
        <v>1356</v>
      </c>
      <c r="D378" s="4" t="s">
        <v>1840</v>
      </c>
      <c r="E378" s="3" t="s">
        <v>1076</v>
      </c>
      <c r="F378" s="3" t="s">
        <v>1077</v>
      </c>
      <c r="G378" s="3" t="s">
        <v>321</v>
      </c>
      <c r="H378" s="4" t="s">
        <v>1359</v>
      </c>
    </row>
    <row r="379" ht="16.5" customHeight="1" spans="1:8">
      <c r="A379" s="3">
        <v>378</v>
      </c>
      <c r="B379" s="3" t="s">
        <v>1841</v>
      </c>
      <c r="C379" s="3" t="s">
        <v>1074</v>
      </c>
      <c r="D379" s="4" t="s">
        <v>1842</v>
      </c>
      <c r="E379" s="3" t="s">
        <v>1076</v>
      </c>
      <c r="F379" s="3" t="s">
        <v>1077</v>
      </c>
      <c r="G379" s="3" t="s">
        <v>321</v>
      </c>
      <c r="H379" s="4" t="s">
        <v>1843</v>
      </c>
    </row>
    <row r="380" ht="16.5" customHeight="1" spans="1:8">
      <c r="A380" s="3">
        <v>379</v>
      </c>
      <c r="B380" s="3" t="s">
        <v>1844</v>
      </c>
      <c r="C380" s="3" t="s">
        <v>1074</v>
      </c>
      <c r="D380" s="4" t="s">
        <v>1845</v>
      </c>
      <c r="E380" s="3" t="s">
        <v>1076</v>
      </c>
      <c r="F380" s="3" t="s">
        <v>1077</v>
      </c>
      <c r="G380" s="3" t="s">
        <v>321</v>
      </c>
      <c r="H380" s="4" t="s">
        <v>1390</v>
      </c>
    </row>
    <row r="381" ht="16.5" customHeight="1" spans="1:8">
      <c r="A381" s="3">
        <v>380</v>
      </c>
      <c r="B381" s="3" t="s">
        <v>1846</v>
      </c>
      <c r="C381" s="3" t="s">
        <v>1074</v>
      </c>
      <c r="D381" s="4" t="s">
        <v>1847</v>
      </c>
      <c r="E381" s="3" t="s">
        <v>1076</v>
      </c>
      <c r="F381" s="3" t="s">
        <v>1077</v>
      </c>
      <c r="G381" s="3" t="s">
        <v>321</v>
      </c>
      <c r="H381" s="4" t="s">
        <v>1305</v>
      </c>
    </row>
    <row r="382" ht="16.5" customHeight="1" spans="1:8">
      <c r="A382" s="3">
        <v>381</v>
      </c>
      <c r="B382" s="3" t="s">
        <v>1848</v>
      </c>
      <c r="C382" s="3" t="s">
        <v>1074</v>
      </c>
      <c r="D382" s="4" t="s">
        <v>1849</v>
      </c>
      <c r="E382" s="3" t="s">
        <v>1076</v>
      </c>
      <c r="F382" s="3" t="s">
        <v>1077</v>
      </c>
      <c r="G382" s="3" t="s">
        <v>321</v>
      </c>
      <c r="H382" s="4" t="s">
        <v>1308</v>
      </c>
    </row>
    <row r="383" ht="16.5" customHeight="1" spans="1:8">
      <c r="A383" s="3">
        <v>382</v>
      </c>
      <c r="B383" s="3" t="s">
        <v>1850</v>
      </c>
      <c r="C383" s="3" t="s">
        <v>1356</v>
      </c>
      <c r="D383" s="4" t="s">
        <v>1851</v>
      </c>
      <c r="E383" s="3" t="s">
        <v>1076</v>
      </c>
      <c r="F383" s="3" t="s">
        <v>1358</v>
      </c>
      <c r="G383" s="3" t="s">
        <v>321</v>
      </c>
      <c r="H383" s="4" t="s">
        <v>1095</v>
      </c>
    </row>
    <row r="384" ht="16.5" customHeight="1" spans="1:8">
      <c r="A384" s="3">
        <v>383</v>
      </c>
      <c r="B384" s="3" t="s">
        <v>1852</v>
      </c>
      <c r="C384" s="3" t="s">
        <v>1074</v>
      </c>
      <c r="D384" s="4" t="s">
        <v>1853</v>
      </c>
      <c r="E384" s="3" t="s">
        <v>1076</v>
      </c>
      <c r="F384" s="3" t="s">
        <v>1077</v>
      </c>
      <c r="G384" s="3" t="s">
        <v>45</v>
      </c>
      <c r="H384" s="4" t="s">
        <v>1087</v>
      </c>
    </row>
    <row r="385" ht="16.5" customHeight="1" spans="1:8">
      <c r="A385" s="3">
        <v>384</v>
      </c>
      <c r="B385" s="3" t="s">
        <v>1854</v>
      </c>
      <c r="C385" s="3" t="s">
        <v>1105</v>
      </c>
      <c r="D385" s="4" t="s">
        <v>1855</v>
      </c>
      <c r="E385" s="3" t="s">
        <v>1076</v>
      </c>
      <c r="F385" s="3" t="s">
        <v>1077</v>
      </c>
      <c r="G385" s="3" t="s">
        <v>45</v>
      </c>
      <c r="H385" s="4" t="s">
        <v>1856</v>
      </c>
    </row>
    <row r="386" ht="16.5" customHeight="1" spans="1:8">
      <c r="A386" s="3">
        <v>385</v>
      </c>
      <c r="B386" s="3" t="s">
        <v>1857</v>
      </c>
      <c r="C386" s="3" t="s">
        <v>1105</v>
      </c>
      <c r="D386" s="4" t="s">
        <v>1858</v>
      </c>
      <c r="E386" s="3" t="s">
        <v>1076</v>
      </c>
      <c r="F386" s="3" t="s">
        <v>1152</v>
      </c>
      <c r="G386" s="3" t="s">
        <v>45</v>
      </c>
      <c r="H386" s="4" t="s">
        <v>1512</v>
      </c>
    </row>
    <row r="387" ht="16.5" customHeight="1" spans="1:8">
      <c r="A387" s="3">
        <v>386</v>
      </c>
      <c r="B387" s="3" t="s">
        <v>1859</v>
      </c>
      <c r="C387" s="3" t="s">
        <v>1361</v>
      </c>
      <c r="D387" s="4" t="s">
        <v>1860</v>
      </c>
      <c r="E387" s="3" t="s">
        <v>1218</v>
      </c>
      <c r="F387" s="3" t="s">
        <v>1358</v>
      </c>
      <c r="G387" s="3" t="s">
        <v>321</v>
      </c>
      <c r="H387" s="4" t="s">
        <v>1368</v>
      </c>
    </row>
    <row r="388" ht="16.5" customHeight="1" spans="1:8">
      <c r="A388" s="3">
        <v>387</v>
      </c>
      <c r="B388" s="3" t="s">
        <v>1861</v>
      </c>
      <c r="C388" s="3" t="s">
        <v>1361</v>
      </c>
      <c r="D388" s="4" t="s">
        <v>1862</v>
      </c>
      <c r="E388" s="3" t="s">
        <v>1218</v>
      </c>
      <c r="F388" s="3" t="s">
        <v>1358</v>
      </c>
      <c r="G388" s="3" t="s">
        <v>321</v>
      </c>
      <c r="H388" s="4"/>
    </row>
    <row r="389" ht="16.5" customHeight="1" spans="1:8">
      <c r="A389" s="3">
        <v>388</v>
      </c>
      <c r="B389" s="3" t="s">
        <v>1863</v>
      </c>
      <c r="C389" s="3" t="s">
        <v>1361</v>
      </c>
      <c r="D389" s="4" t="s">
        <v>1864</v>
      </c>
      <c r="E389" s="3" t="s">
        <v>1218</v>
      </c>
      <c r="F389" s="3" t="s">
        <v>1358</v>
      </c>
      <c r="G389" s="3" t="s">
        <v>321</v>
      </c>
      <c r="H389" s="4" t="s">
        <v>1368</v>
      </c>
    </row>
    <row r="390" ht="16.5" customHeight="1" spans="1:8">
      <c r="A390" s="3">
        <v>389</v>
      </c>
      <c r="B390" s="3" t="s">
        <v>1865</v>
      </c>
      <c r="C390" s="3" t="s">
        <v>1361</v>
      </c>
      <c r="D390" s="4" t="s">
        <v>1866</v>
      </c>
      <c r="E390" s="3" t="s">
        <v>1218</v>
      </c>
      <c r="F390" s="3" t="s">
        <v>1358</v>
      </c>
      <c r="G390" s="3" t="s">
        <v>321</v>
      </c>
      <c r="H390" s="4"/>
    </row>
    <row r="391" ht="16.5" customHeight="1" spans="1:8">
      <c r="A391" s="3">
        <v>390</v>
      </c>
      <c r="B391" s="3" t="s">
        <v>1867</v>
      </c>
      <c r="C391" s="3" t="s">
        <v>1361</v>
      </c>
      <c r="D391" s="4" t="s">
        <v>1868</v>
      </c>
      <c r="E391" s="3" t="s">
        <v>1218</v>
      </c>
      <c r="F391" s="3" t="s">
        <v>1358</v>
      </c>
      <c r="G391" s="3" t="s">
        <v>321</v>
      </c>
      <c r="H391" s="4"/>
    </row>
    <row r="392" ht="16.5" customHeight="1" spans="1:8">
      <c r="A392" s="3">
        <v>391</v>
      </c>
      <c r="B392" s="3" t="s">
        <v>1869</v>
      </c>
      <c r="C392" s="3" t="s">
        <v>1361</v>
      </c>
      <c r="D392" s="4" t="s">
        <v>1870</v>
      </c>
      <c r="E392" s="3" t="s">
        <v>1218</v>
      </c>
      <c r="F392" s="3" t="s">
        <v>1358</v>
      </c>
      <c r="G392" s="3" t="s">
        <v>321</v>
      </c>
      <c r="H392" s="4"/>
    </row>
    <row r="393" ht="16.5" customHeight="1" spans="1:8">
      <c r="A393" s="3">
        <v>392</v>
      </c>
      <c r="B393" s="3" t="s">
        <v>1871</v>
      </c>
      <c r="C393" s="3" t="s">
        <v>1361</v>
      </c>
      <c r="D393" s="4" t="s">
        <v>1872</v>
      </c>
      <c r="E393" s="3" t="s">
        <v>1218</v>
      </c>
      <c r="F393" s="3" t="s">
        <v>1358</v>
      </c>
      <c r="G393" s="3" t="s">
        <v>321</v>
      </c>
      <c r="H393" s="4"/>
    </row>
    <row r="394" ht="16.5" customHeight="1" spans="1:8">
      <c r="A394" s="3">
        <v>393</v>
      </c>
      <c r="B394" s="3" t="s">
        <v>1873</v>
      </c>
      <c r="C394" s="3" t="s">
        <v>1361</v>
      </c>
      <c r="D394" s="4" t="s">
        <v>1874</v>
      </c>
      <c r="E394" s="3" t="s">
        <v>1218</v>
      </c>
      <c r="F394" s="3" t="s">
        <v>1358</v>
      </c>
      <c r="G394" s="3" t="s">
        <v>321</v>
      </c>
      <c r="H394" s="4"/>
    </row>
    <row r="395" ht="16.5" customHeight="1" spans="1:8">
      <c r="A395" s="3">
        <v>394</v>
      </c>
      <c r="B395" s="3" t="s">
        <v>1875</v>
      </c>
      <c r="C395" s="3" t="s">
        <v>1361</v>
      </c>
      <c r="D395" s="4" t="s">
        <v>1876</v>
      </c>
      <c r="E395" s="3" t="s">
        <v>1218</v>
      </c>
      <c r="F395" s="3" t="s">
        <v>1358</v>
      </c>
      <c r="G395" s="3" t="s">
        <v>321</v>
      </c>
      <c r="H395" s="4"/>
    </row>
    <row r="396" ht="16.5" customHeight="1" spans="1:8">
      <c r="A396" s="3">
        <v>395</v>
      </c>
      <c r="B396" s="3" t="s">
        <v>1877</v>
      </c>
      <c r="C396" s="3" t="s">
        <v>1356</v>
      </c>
      <c r="D396" s="4" t="s">
        <v>1878</v>
      </c>
      <c r="E396" s="3" t="s">
        <v>1076</v>
      </c>
      <c r="F396" s="3" t="s">
        <v>1358</v>
      </c>
      <c r="G396" s="3" t="s">
        <v>321</v>
      </c>
      <c r="H396" s="4" t="s">
        <v>1368</v>
      </c>
    </row>
    <row r="397" ht="16.5" customHeight="1" spans="1:8">
      <c r="A397" s="3">
        <v>396</v>
      </c>
      <c r="B397" s="3" t="s">
        <v>1879</v>
      </c>
      <c r="C397" s="3" t="s">
        <v>1105</v>
      </c>
      <c r="D397" s="4" t="s">
        <v>1367</v>
      </c>
      <c r="E397" s="3" t="s">
        <v>1076</v>
      </c>
      <c r="F397" s="3" t="s">
        <v>1077</v>
      </c>
      <c r="G397" s="3" t="s">
        <v>321</v>
      </c>
      <c r="H397" s="4" t="s">
        <v>1880</v>
      </c>
    </row>
    <row r="398" ht="16.5" customHeight="1" spans="1:8">
      <c r="A398" s="3">
        <v>397</v>
      </c>
      <c r="B398" s="3" t="s">
        <v>1881</v>
      </c>
      <c r="C398" s="3" t="s">
        <v>1356</v>
      </c>
      <c r="D398" s="4" t="s">
        <v>1882</v>
      </c>
      <c r="E398" s="3" t="s">
        <v>1076</v>
      </c>
      <c r="F398" s="3" t="s">
        <v>1077</v>
      </c>
      <c r="G398" s="3" t="s">
        <v>321</v>
      </c>
      <c r="H398" s="4" t="s">
        <v>1883</v>
      </c>
    </row>
    <row r="399" ht="16.5" customHeight="1" spans="1:8">
      <c r="A399" s="3">
        <v>398</v>
      </c>
      <c r="B399" s="3" t="s">
        <v>1884</v>
      </c>
      <c r="C399" s="3" t="s">
        <v>1356</v>
      </c>
      <c r="D399" s="4" t="s">
        <v>1885</v>
      </c>
      <c r="E399" s="3" t="s">
        <v>1076</v>
      </c>
      <c r="F399" s="3" t="s">
        <v>1077</v>
      </c>
      <c r="G399" s="3" t="s">
        <v>321</v>
      </c>
      <c r="H399" s="4" t="s">
        <v>1843</v>
      </c>
    </row>
    <row r="400" ht="16.5" customHeight="1" spans="1:8">
      <c r="A400" s="3">
        <v>399</v>
      </c>
      <c r="B400" s="3" t="s">
        <v>1886</v>
      </c>
      <c r="C400" s="3" t="s">
        <v>1356</v>
      </c>
      <c r="D400" s="4" t="s">
        <v>1887</v>
      </c>
      <c r="E400" s="3" t="s">
        <v>1076</v>
      </c>
      <c r="F400" s="3" t="s">
        <v>1077</v>
      </c>
      <c r="G400" s="3" t="s">
        <v>321</v>
      </c>
      <c r="H400" s="4" t="s">
        <v>1359</v>
      </c>
    </row>
    <row r="401" ht="16.5" customHeight="1" spans="1:8">
      <c r="A401" s="3">
        <v>400</v>
      </c>
      <c r="B401" s="3" t="s">
        <v>1888</v>
      </c>
      <c r="C401" s="3" t="s">
        <v>1105</v>
      </c>
      <c r="D401" s="4" t="s">
        <v>1889</v>
      </c>
      <c r="E401" s="3" t="s">
        <v>1076</v>
      </c>
      <c r="F401" s="3" t="s">
        <v>1358</v>
      </c>
      <c r="G401" s="3" t="s">
        <v>321</v>
      </c>
      <c r="H401" s="4" t="s">
        <v>1747</v>
      </c>
    </row>
    <row r="402" ht="16.5" customHeight="1" spans="1:8">
      <c r="A402" s="3">
        <v>401</v>
      </c>
      <c r="B402" s="3" t="s">
        <v>1890</v>
      </c>
      <c r="C402" s="3" t="s">
        <v>1356</v>
      </c>
      <c r="D402" s="4" t="s">
        <v>1891</v>
      </c>
      <c r="E402" s="3" t="s">
        <v>1076</v>
      </c>
      <c r="F402" s="3" t="s">
        <v>1358</v>
      </c>
      <c r="G402" s="3" t="s">
        <v>321</v>
      </c>
      <c r="H402" s="4" t="s">
        <v>1095</v>
      </c>
    </row>
    <row r="403" ht="16.5" customHeight="1" spans="1:8">
      <c r="A403" s="3">
        <v>402</v>
      </c>
      <c r="B403" s="3" t="s">
        <v>1892</v>
      </c>
      <c r="C403" s="3" t="s">
        <v>1074</v>
      </c>
      <c r="D403" s="4" t="s">
        <v>1893</v>
      </c>
      <c r="E403" s="3" t="s">
        <v>1076</v>
      </c>
      <c r="F403" s="3" t="s">
        <v>1077</v>
      </c>
      <c r="G403" s="3" t="s">
        <v>321</v>
      </c>
      <c r="H403" s="4" t="s">
        <v>1095</v>
      </c>
    </row>
    <row r="404" ht="16.5" customHeight="1" spans="1:8">
      <c r="A404" s="3">
        <v>403</v>
      </c>
      <c r="B404" s="3" t="s">
        <v>1894</v>
      </c>
      <c r="C404" s="3" t="s">
        <v>1074</v>
      </c>
      <c r="D404" s="4" t="s">
        <v>1895</v>
      </c>
      <c r="E404" s="3" t="s">
        <v>1076</v>
      </c>
      <c r="F404" s="3" t="s">
        <v>1077</v>
      </c>
      <c r="G404" s="3" t="s">
        <v>321</v>
      </c>
      <c r="H404" s="4" t="s">
        <v>1095</v>
      </c>
    </row>
    <row r="405" ht="16.5" customHeight="1" spans="1:8">
      <c r="A405" s="3">
        <v>404</v>
      </c>
      <c r="B405" s="3" t="s">
        <v>1896</v>
      </c>
      <c r="C405" s="3" t="s">
        <v>1074</v>
      </c>
      <c r="D405" s="4" t="s">
        <v>1897</v>
      </c>
      <c r="E405" s="3" t="s">
        <v>1076</v>
      </c>
      <c r="F405" s="3" t="s">
        <v>1077</v>
      </c>
      <c r="G405" s="3" t="s">
        <v>321</v>
      </c>
      <c r="H405" s="4" t="s">
        <v>1368</v>
      </c>
    </row>
    <row r="406" ht="16.5" customHeight="1" spans="1:8">
      <c r="A406" s="3">
        <v>405</v>
      </c>
      <c r="B406" s="3" t="s">
        <v>1898</v>
      </c>
      <c r="C406" s="3" t="s">
        <v>1074</v>
      </c>
      <c r="D406" s="4" t="s">
        <v>1899</v>
      </c>
      <c r="E406" s="3" t="s">
        <v>1076</v>
      </c>
      <c r="F406" s="3" t="s">
        <v>1077</v>
      </c>
      <c r="G406" s="3" t="s">
        <v>321</v>
      </c>
      <c r="H406" s="4" t="s">
        <v>1368</v>
      </c>
    </row>
    <row r="407" ht="16.5" customHeight="1" spans="1:8">
      <c r="A407" s="3">
        <v>406</v>
      </c>
      <c r="B407" s="3" t="s">
        <v>1900</v>
      </c>
      <c r="C407" s="3" t="s">
        <v>1105</v>
      </c>
      <c r="D407" s="4" t="s">
        <v>1901</v>
      </c>
      <c r="E407" s="3" t="s">
        <v>1076</v>
      </c>
      <c r="F407" s="3" t="s">
        <v>1077</v>
      </c>
      <c r="G407" s="3" t="s">
        <v>321</v>
      </c>
      <c r="H407" s="4" t="s">
        <v>1902</v>
      </c>
    </row>
    <row r="408" ht="16.5" customHeight="1" spans="1:8">
      <c r="A408" s="3">
        <v>407</v>
      </c>
      <c r="B408" s="3" t="s">
        <v>1903</v>
      </c>
      <c r="C408" s="3" t="s">
        <v>1105</v>
      </c>
      <c r="D408" s="4" t="s">
        <v>1904</v>
      </c>
      <c r="E408" s="3" t="s">
        <v>1076</v>
      </c>
      <c r="F408" s="3" t="s">
        <v>1077</v>
      </c>
      <c r="G408" s="3" t="s">
        <v>321</v>
      </c>
      <c r="H408" s="4" t="s">
        <v>1902</v>
      </c>
    </row>
    <row r="409" ht="16.5" customHeight="1" spans="1:8">
      <c r="A409" s="3">
        <v>408</v>
      </c>
      <c r="B409" s="3" t="s">
        <v>1905</v>
      </c>
      <c r="C409" s="3" t="s">
        <v>1105</v>
      </c>
      <c r="D409" s="4" t="s">
        <v>1906</v>
      </c>
      <c r="E409" s="3" t="s">
        <v>1076</v>
      </c>
      <c r="F409" s="3" t="s">
        <v>1077</v>
      </c>
      <c r="G409" s="3" t="s">
        <v>321</v>
      </c>
      <c r="H409" s="4" t="s">
        <v>1902</v>
      </c>
    </row>
    <row r="410" ht="16.5" customHeight="1" spans="1:8">
      <c r="A410" s="3">
        <v>409</v>
      </c>
      <c r="B410" s="3" t="s">
        <v>1907</v>
      </c>
      <c r="C410" s="3" t="s">
        <v>1105</v>
      </c>
      <c r="D410" s="4" t="s">
        <v>1908</v>
      </c>
      <c r="E410" s="3" t="s">
        <v>1076</v>
      </c>
      <c r="F410" s="3" t="s">
        <v>1077</v>
      </c>
      <c r="G410" s="3" t="s">
        <v>321</v>
      </c>
      <c r="H410" s="4" t="s">
        <v>1902</v>
      </c>
    </row>
    <row r="411" ht="16.5" customHeight="1" spans="1:8">
      <c r="A411" s="3">
        <v>410</v>
      </c>
      <c r="B411" s="3" t="s">
        <v>1909</v>
      </c>
      <c r="C411" s="3" t="s">
        <v>1105</v>
      </c>
      <c r="D411" s="4" t="s">
        <v>1910</v>
      </c>
      <c r="E411" s="3" t="s">
        <v>1076</v>
      </c>
      <c r="F411" s="3" t="s">
        <v>1077</v>
      </c>
      <c r="G411" s="3" t="s">
        <v>321</v>
      </c>
      <c r="H411" s="4" t="s">
        <v>1902</v>
      </c>
    </row>
    <row r="412" ht="16.5" customHeight="1" spans="1:8">
      <c r="A412" s="3">
        <v>411</v>
      </c>
      <c r="B412" s="3" t="s">
        <v>1911</v>
      </c>
      <c r="C412" s="3" t="s">
        <v>1105</v>
      </c>
      <c r="D412" s="4" t="s">
        <v>1912</v>
      </c>
      <c r="E412" s="3" t="s">
        <v>1076</v>
      </c>
      <c r="F412" s="3" t="s">
        <v>1077</v>
      </c>
      <c r="G412" s="3" t="s">
        <v>321</v>
      </c>
      <c r="H412" s="4" t="s">
        <v>1902</v>
      </c>
    </row>
    <row r="413" ht="16.5" customHeight="1" spans="1:8">
      <c r="A413" s="3">
        <v>412</v>
      </c>
      <c r="B413" s="3" t="s">
        <v>1913</v>
      </c>
      <c r="C413" s="3" t="s">
        <v>1105</v>
      </c>
      <c r="D413" s="4" t="s">
        <v>1914</v>
      </c>
      <c r="E413" s="3" t="s">
        <v>1076</v>
      </c>
      <c r="F413" s="3" t="s">
        <v>1077</v>
      </c>
      <c r="G413" s="3" t="s">
        <v>321</v>
      </c>
      <c r="H413" s="4" t="s">
        <v>1902</v>
      </c>
    </row>
    <row r="414" ht="16.5" customHeight="1" spans="1:8">
      <c r="A414" s="3">
        <v>413</v>
      </c>
      <c r="B414" s="3" t="s">
        <v>1915</v>
      </c>
      <c r="C414" s="3" t="s">
        <v>1105</v>
      </c>
      <c r="D414" s="4" t="s">
        <v>1916</v>
      </c>
      <c r="E414" s="3" t="s">
        <v>1076</v>
      </c>
      <c r="F414" s="3" t="s">
        <v>1077</v>
      </c>
      <c r="G414" s="3" t="s">
        <v>321</v>
      </c>
      <c r="H414" s="4" t="s">
        <v>1902</v>
      </c>
    </row>
    <row r="415" ht="16.5" customHeight="1" spans="1:8">
      <c r="A415" s="3">
        <v>414</v>
      </c>
      <c r="B415" s="3" t="s">
        <v>1917</v>
      </c>
      <c r="C415" s="3" t="s">
        <v>1105</v>
      </c>
      <c r="D415" s="4" t="s">
        <v>1918</v>
      </c>
      <c r="E415" s="3" t="s">
        <v>1076</v>
      </c>
      <c r="F415" s="3" t="s">
        <v>1077</v>
      </c>
      <c r="G415" s="3" t="s">
        <v>321</v>
      </c>
      <c r="H415" s="4" t="s">
        <v>1902</v>
      </c>
    </row>
    <row r="416" ht="16.5" customHeight="1" spans="1:8">
      <c r="A416" s="3">
        <v>415</v>
      </c>
      <c r="B416" s="3" t="s">
        <v>1919</v>
      </c>
      <c r="C416" s="3" t="s">
        <v>1105</v>
      </c>
      <c r="D416" s="4" t="s">
        <v>1920</v>
      </c>
      <c r="E416" s="3" t="s">
        <v>1076</v>
      </c>
      <c r="F416" s="3" t="s">
        <v>1077</v>
      </c>
      <c r="G416" s="3" t="s">
        <v>321</v>
      </c>
      <c r="H416" s="4" t="s">
        <v>1902</v>
      </c>
    </row>
    <row r="417" ht="16.5" customHeight="1" spans="1:8">
      <c r="A417" s="3">
        <v>416</v>
      </c>
      <c r="B417" s="3" t="s">
        <v>1921</v>
      </c>
      <c r="C417" s="3" t="s">
        <v>1105</v>
      </c>
      <c r="D417" s="4" t="s">
        <v>1922</v>
      </c>
      <c r="E417" s="3" t="s">
        <v>1076</v>
      </c>
      <c r="F417" s="3" t="s">
        <v>1077</v>
      </c>
      <c r="G417" s="3" t="s">
        <v>321</v>
      </c>
      <c r="H417" s="4" t="s">
        <v>1923</v>
      </c>
    </row>
    <row r="418" ht="16.5" customHeight="1" spans="1:8">
      <c r="A418" s="3">
        <v>417</v>
      </c>
      <c r="B418" s="3" t="s">
        <v>1924</v>
      </c>
      <c r="C418" s="3" t="s">
        <v>1105</v>
      </c>
      <c r="D418" s="4" t="s">
        <v>1925</v>
      </c>
      <c r="E418" s="3" t="s">
        <v>1076</v>
      </c>
      <c r="F418" s="3" t="s">
        <v>1077</v>
      </c>
      <c r="G418" s="3" t="s">
        <v>321</v>
      </c>
      <c r="H418" s="4" t="s">
        <v>1923</v>
      </c>
    </row>
    <row r="419" ht="16.5" customHeight="1" spans="1:8">
      <c r="A419" s="3">
        <v>418</v>
      </c>
      <c r="B419" s="3" t="s">
        <v>1926</v>
      </c>
      <c r="C419" s="3" t="s">
        <v>1105</v>
      </c>
      <c r="D419" s="4" t="s">
        <v>1927</v>
      </c>
      <c r="E419" s="3" t="s">
        <v>1076</v>
      </c>
      <c r="F419" s="3" t="s">
        <v>1077</v>
      </c>
      <c r="G419" s="3" t="s">
        <v>321</v>
      </c>
      <c r="H419" s="4" t="s">
        <v>1923</v>
      </c>
    </row>
    <row r="420" ht="16.5" customHeight="1" spans="1:8">
      <c r="A420" s="3">
        <v>419</v>
      </c>
      <c r="B420" s="3" t="s">
        <v>1928</v>
      </c>
      <c r="C420" s="3" t="s">
        <v>1105</v>
      </c>
      <c r="D420" s="4" t="s">
        <v>1929</v>
      </c>
      <c r="E420" s="3" t="s">
        <v>1076</v>
      </c>
      <c r="F420" s="3" t="s">
        <v>1077</v>
      </c>
      <c r="G420" s="3" t="s">
        <v>321</v>
      </c>
      <c r="H420" s="4" t="s">
        <v>1923</v>
      </c>
    </row>
    <row r="421" ht="16.5" customHeight="1" spans="1:8">
      <c r="A421" s="3">
        <v>420</v>
      </c>
      <c r="B421" s="3" t="s">
        <v>1930</v>
      </c>
      <c r="C421" s="3" t="s">
        <v>1105</v>
      </c>
      <c r="D421" s="4" t="s">
        <v>1931</v>
      </c>
      <c r="E421" s="3" t="s">
        <v>1076</v>
      </c>
      <c r="F421" s="3" t="s">
        <v>1077</v>
      </c>
      <c r="G421" s="3" t="s">
        <v>321</v>
      </c>
      <c r="H421" s="4" t="s">
        <v>1923</v>
      </c>
    </row>
    <row r="422" ht="16.5" customHeight="1" spans="1:8">
      <c r="A422" s="3">
        <v>421</v>
      </c>
      <c r="B422" s="3" t="s">
        <v>1932</v>
      </c>
      <c r="C422" s="3" t="s">
        <v>1105</v>
      </c>
      <c r="D422" s="4" t="s">
        <v>1933</v>
      </c>
      <c r="E422" s="3" t="s">
        <v>1076</v>
      </c>
      <c r="F422" s="3" t="s">
        <v>1077</v>
      </c>
      <c r="G422" s="3" t="s">
        <v>321</v>
      </c>
      <c r="H422" s="4" t="s">
        <v>1923</v>
      </c>
    </row>
    <row r="423" ht="16.5" customHeight="1" spans="1:8">
      <c r="A423" s="3">
        <v>422</v>
      </c>
      <c r="B423" s="3" t="s">
        <v>1934</v>
      </c>
      <c r="C423" s="3" t="s">
        <v>1105</v>
      </c>
      <c r="D423" s="4" t="s">
        <v>1935</v>
      </c>
      <c r="E423" s="3" t="s">
        <v>1076</v>
      </c>
      <c r="F423" s="3" t="s">
        <v>1077</v>
      </c>
      <c r="G423" s="3" t="s">
        <v>321</v>
      </c>
      <c r="H423" s="4" t="s">
        <v>1936</v>
      </c>
    </row>
    <row r="424" ht="16.5" customHeight="1" spans="1:8">
      <c r="A424" s="3">
        <v>423</v>
      </c>
      <c r="B424" s="3" t="s">
        <v>1937</v>
      </c>
      <c r="C424" s="3" t="s">
        <v>1105</v>
      </c>
      <c r="D424" s="4" t="s">
        <v>1938</v>
      </c>
      <c r="E424" s="3" t="s">
        <v>1076</v>
      </c>
      <c r="F424" s="3" t="s">
        <v>1077</v>
      </c>
      <c r="G424" s="3" t="s">
        <v>321</v>
      </c>
      <c r="H424" s="4" t="s">
        <v>1936</v>
      </c>
    </row>
    <row r="425" ht="16.5" customHeight="1" spans="1:8">
      <c r="A425" s="3">
        <v>424</v>
      </c>
      <c r="B425" s="3" t="s">
        <v>1939</v>
      </c>
      <c r="C425" s="3" t="s">
        <v>1105</v>
      </c>
      <c r="D425" s="4" t="s">
        <v>1940</v>
      </c>
      <c r="E425" s="3" t="s">
        <v>1076</v>
      </c>
      <c r="F425" s="3" t="s">
        <v>1077</v>
      </c>
      <c r="G425" s="3" t="s">
        <v>321</v>
      </c>
      <c r="H425" s="4" t="s">
        <v>1941</v>
      </c>
    </row>
    <row r="426" ht="16.5" customHeight="1" spans="1:8">
      <c r="A426" s="3">
        <v>425</v>
      </c>
      <c r="B426" s="3" t="s">
        <v>1942</v>
      </c>
      <c r="C426" s="3" t="s">
        <v>1105</v>
      </c>
      <c r="D426" s="4" t="s">
        <v>1943</v>
      </c>
      <c r="E426" s="3" t="s">
        <v>1076</v>
      </c>
      <c r="F426" s="3" t="s">
        <v>1077</v>
      </c>
      <c r="G426" s="3" t="s">
        <v>321</v>
      </c>
      <c r="H426" s="4" t="s">
        <v>1941</v>
      </c>
    </row>
    <row r="427" ht="16.5" customHeight="1" spans="1:8">
      <c r="A427" s="3">
        <v>426</v>
      </c>
      <c r="B427" s="3" t="s">
        <v>1944</v>
      </c>
      <c r="C427" s="3" t="s">
        <v>1105</v>
      </c>
      <c r="D427" s="4" t="s">
        <v>1945</v>
      </c>
      <c r="E427" s="3" t="s">
        <v>1076</v>
      </c>
      <c r="F427" s="3" t="s">
        <v>1077</v>
      </c>
      <c r="G427" s="3" t="s">
        <v>321</v>
      </c>
      <c r="H427" s="4" t="s">
        <v>1941</v>
      </c>
    </row>
    <row r="428" ht="16.5" customHeight="1" spans="1:8">
      <c r="A428" s="3">
        <v>427</v>
      </c>
      <c r="B428" s="3" t="s">
        <v>1946</v>
      </c>
      <c r="C428" s="3" t="s">
        <v>1105</v>
      </c>
      <c r="D428" s="4" t="s">
        <v>1947</v>
      </c>
      <c r="E428" s="3" t="s">
        <v>1076</v>
      </c>
      <c r="F428" s="3" t="s">
        <v>1077</v>
      </c>
      <c r="G428" s="3" t="s">
        <v>321</v>
      </c>
      <c r="H428" s="4" t="s">
        <v>1941</v>
      </c>
    </row>
    <row r="429" ht="16.5" customHeight="1" spans="1:8">
      <c r="A429" s="3">
        <v>428</v>
      </c>
      <c r="B429" s="3" t="s">
        <v>1948</v>
      </c>
      <c r="C429" s="3" t="s">
        <v>1105</v>
      </c>
      <c r="D429" s="4" t="s">
        <v>1949</v>
      </c>
      <c r="E429" s="3" t="s">
        <v>1076</v>
      </c>
      <c r="F429" s="3" t="s">
        <v>1077</v>
      </c>
      <c r="G429" s="3" t="s">
        <v>321</v>
      </c>
      <c r="H429" s="4" t="s">
        <v>1941</v>
      </c>
    </row>
    <row r="430" ht="16.5" customHeight="1" spans="1:8">
      <c r="A430" s="3">
        <v>429</v>
      </c>
      <c r="B430" s="3" t="s">
        <v>1950</v>
      </c>
      <c r="C430" s="3" t="s">
        <v>1105</v>
      </c>
      <c r="D430" s="4" t="s">
        <v>1916</v>
      </c>
      <c r="E430" s="3" t="s">
        <v>1076</v>
      </c>
      <c r="F430" s="3" t="s">
        <v>1077</v>
      </c>
      <c r="G430" s="3" t="s">
        <v>321</v>
      </c>
      <c r="H430" s="4" t="s">
        <v>1941</v>
      </c>
    </row>
    <row r="431" ht="16.5" customHeight="1" spans="1:8">
      <c r="A431" s="3">
        <v>430</v>
      </c>
      <c r="B431" s="3" t="s">
        <v>1951</v>
      </c>
      <c r="C431" s="3" t="s">
        <v>1105</v>
      </c>
      <c r="D431" s="4" t="s">
        <v>1952</v>
      </c>
      <c r="E431" s="3" t="s">
        <v>1076</v>
      </c>
      <c r="F431" s="3" t="s">
        <v>1077</v>
      </c>
      <c r="G431" s="3" t="s">
        <v>321</v>
      </c>
      <c r="H431" s="4" t="s">
        <v>1953</v>
      </c>
    </row>
    <row r="432" ht="16.5" customHeight="1" spans="1:8">
      <c r="A432" s="3">
        <v>431</v>
      </c>
      <c r="B432" s="3" t="s">
        <v>1954</v>
      </c>
      <c r="C432" s="3" t="s">
        <v>1105</v>
      </c>
      <c r="D432" s="4" t="s">
        <v>1955</v>
      </c>
      <c r="E432" s="3" t="s">
        <v>1076</v>
      </c>
      <c r="F432" s="3" t="s">
        <v>1077</v>
      </c>
      <c r="G432" s="3" t="s">
        <v>321</v>
      </c>
      <c r="H432" s="4" t="s">
        <v>1953</v>
      </c>
    </row>
    <row r="433" ht="16.5" customHeight="1" spans="1:8">
      <c r="A433" s="3">
        <v>432</v>
      </c>
      <c r="B433" s="3" t="s">
        <v>1956</v>
      </c>
      <c r="C433" s="3" t="s">
        <v>1105</v>
      </c>
      <c r="D433" s="4" t="s">
        <v>1925</v>
      </c>
      <c r="E433" s="3" t="s">
        <v>1076</v>
      </c>
      <c r="F433" s="3" t="s">
        <v>1077</v>
      </c>
      <c r="G433" s="3" t="s">
        <v>321</v>
      </c>
      <c r="H433" s="4" t="s">
        <v>1953</v>
      </c>
    </row>
    <row r="434" ht="16.5" customHeight="1" spans="1:8">
      <c r="A434" s="3">
        <v>433</v>
      </c>
      <c r="B434" s="3" t="s">
        <v>1957</v>
      </c>
      <c r="C434" s="3" t="s">
        <v>1105</v>
      </c>
      <c r="D434" s="4" t="s">
        <v>1958</v>
      </c>
      <c r="E434" s="3" t="s">
        <v>1076</v>
      </c>
      <c r="F434" s="3" t="s">
        <v>1077</v>
      </c>
      <c r="G434" s="3" t="s">
        <v>321</v>
      </c>
      <c r="H434" s="4" t="s">
        <v>1953</v>
      </c>
    </row>
    <row r="435" ht="16.5" customHeight="1" spans="1:8">
      <c r="A435" s="3">
        <v>434</v>
      </c>
      <c r="B435" s="3" t="s">
        <v>1959</v>
      </c>
      <c r="C435" s="3" t="s">
        <v>1105</v>
      </c>
      <c r="D435" s="4" t="s">
        <v>1960</v>
      </c>
      <c r="E435" s="3" t="s">
        <v>1076</v>
      </c>
      <c r="F435" s="3" t="s">
        <v>1077</v>
      </c>
      <c r="G435" s="3" t="s">
        <v>321</v>
      </c>
      <c r="H435" s="4" t="s">
        <v>1953</v>
      </c>
    </row>
    <row r="436" ht="16.5" customHeight="1" spans="1:8">
      <c r="A436" s="3">
        <v>435</v>
      </c>
      <c r="B436" s="3" t="s">
        <v>1961</v>
      </c>
      <c r="C436" s="3" t="s">
        <v>1074</v>
      </c>
      <c r="D436" s="4" t="s">
        <v>1962</v>
      </c>
      <c r="E436" s="3" t="s">
        <v>1076</v>
      </c>
      <c r="F436" s="3" t="s">
        <v>1736</v>
      </c>
      <c r="G436" s="3" t="s">
        <v>321</v>
      </c>
      <c r="H436" s="4" t="s">
        <v>1390</v>
      </c>
    </row>
    <row r="437" ht="16.5" customHeight="1" spans="1:8">
      <c r="A437" s="3">
        <v>436</v>
      </c>
      <c r="B437" s="3" t="s">
        <v>1963</v>
      </c>
      <c r="C437" s="3" t="s">
        <v>1074</v>
      </c>
      <c r="D437" s="4" t="s">
        <v>1964</v>
      </c>
      <c r="E437" s="3" t="s">
        <v>1076</v>
      </c>
      <c r="F437" s="3" t="s">
        <v>1736</v>
      </c>
      <c r="G437" s="3" t="s">
        <v>321</v>
      </c>
      <c r="H437" s="4" t="s">
        <v>1390</v>
      </c>
    </row>
    <row r="438" ht="16.5" customHeight="1" spans="1:8">
      <c r="A438" s="3">
        <v>437</v>
      </c>
      <c r="B438" s="3" t="s">
        <v>1965</v>
      </c>
      <c r="C438" s="3" t="s">
        <v>1356</v>
      </c>
      <c r="D438" s="4" t="s">
        <v>1966</v>
      </c>
      <c r="E438" s="3" t="s">
        <v>1076</v>
      </c>
      <c r="F438" s="3" t="s">
        <v>1077</v>
      </c>
      <c r="G438" s="3" t="s">
        <v>321</v>
      </c>
      <c r="H438" s="4" t="s">
        <v>1305</v>
      </c>
    </row>
    <row r="439" ht="16.5" customHeight="1" spans="1:8">
      <c r="A439" s="3">
        <v>438</v>
      </c>
      <c r="B439" s="3" t="s">
        <v>1967</v>
      </c>
      <c r="C439" s="3" t="s">
        <v>1105</v>
      </c>
      <c r="D439" s="4" t="s">
        <v>1968</v>
      </c>
      <c r="E439" s="3" t="s">
        <v>1076</v>
      </c>
      <c r="F439" s="3" t="s">
        <v>1077</v>
      </c>
      <c r="G439" s="3" t="s">
        <v>321</v>
      </c>
      <c r="H439" s="4" t="s">
        <v>1969</v>
      </c>
    </row>
    <row r="440" ht="16.5" customHeight="1" spans="1:8">
      <c r="A440" s="3">
        <v>439</v>
      </c>
      <c r="B440" s="3" t="s">
        <v>1970</v>
      </c>
      <c r="C440" s="3" t="s">
        <v>1105</v>
      </c>
      <c r="D440" s="4" t="s">
        <v>1971</v>
      </c>
      <c r="E440" s="3" t="s">
        <v>1076</v>
      </c>
      <c r="F440" s="3" t="s">
        <v>1077</v>
      </c>
      <c r="G440" s="3" t="s">
        <v>321</v>
      </c>
      <c r="H440" s="4" t="s">
        <v>1969</v>
      </c>
    </row>
    <row r="441" ht="16.5" customHeight="1" spans="1:8">
      <c r="A441" s="3">
        <v>440</v>
      </c>
      <c r="B441" s="3" t="s">
        <v>1972</v>
      </c>
      <c r="C441" s="3" t="s">
        <v>1105</v>
      </c>
      <c r="D441" s="4" t="s">
        <v>1751</v>
      </c>
      <c r="E441" s="3" t="s">
        <v>1076</v>
      </c>
      <c r="F441" s="3" t="s">
        <v>1077</v>
      </c>
      <c r="G441" s="3" t="s">
        <v>321</v>
      </c>
      <c r="H441" s="4" t="s">
        <v>1969</v>
      </c>
    </row>
    <row r="442" ht="16.5" customHeight="1" spans="1:8">
      <c r="A442" s="3">
        <v>441</v>
      </c>
      <c r="B442" s="3" t="s">
        <v>1973</v>
      </c>
      <c r="C442" s="3" t="s">
        <v>1105</v>
      </c>
      <c r="D442" s="4" t="s">
        <v>1974</v>
      </c>
      <c r="E442" s="3" t="s">
        <v>1076</v>
      </c>
      <c r="F442" s="3" t="s">
        <v>1077</v>
      </c>
      <c r="G442" s="3" t="s">
        <v>321</v>
      </c>
      <c r="H442" s="4" t="s">
        <v>1969</v>
      </c>
    </row>
    <row r="443" ht="16.5" customHeight="1" spans="1:8">
      <c r="A443" s="3">
        <v>442</v>
      </c>
      <c r="B443" s="3" t="s">
        <v>1975</v>
      </c>
      <c r="C443" s="3" t="s">
        <v>1356</v>
      </c>
      <c r="D443" s="4" t="s">
        <v>1976</v>
      </c>
      <c r="E443" s="3" t="s">
        <v>1076</v>
      </c>
      <c r="F443" s="3" t="s">
        <v>1077</v>
      </c>
      <c r="G443" s="3" t="s">
        <v>321</v>
      </c>
      <c r="H443" s="4" t="s">
        <v>1368</v>
      </c>
    </row>
    <row r="444" ht="16.5" customHeight="1" spans="1:8">
      <c r="A444" s="3">
        <v>443</v>
      </c>
      <c r="B444" s="3" t="s">
        <v>1977</v>
      </c>
      <c r="C444" s="3" t="s">
        <v>1105</v>
      </c>
      <c r="D444" s="4" t="s">
        <v>1746</v>
      </c>
      <c r="E444" s="3" t="s">
        <v>1076</v>
      </c>
      <c r="F444" s="3" t="s">
        <v>1077</v>
      </c>
      <c r="G444" s="3" t="s">
        <v>321</v>
      </c>
      <c r="H444" s="4" t="s">
        <v>1978</v>
      </c>
    </row>
    <row r="445" ht="16.5" customHeight="1" spans="1:8">
      <c r="A445" s="3">
        <v>444</v>
      </c>
      <c r="B445" s="3" t="s">
        <v>1979</v>
      </c>
      <c r="C445" s="3" t="s">
        <v>1105</v>
      </c>
      <c r="D445" s="4" t="s">
        <v>1980</v>
      </c>
      <c r="E445" s="3" t="s">
        <v>1076</v>
      </c>
      <c r="F445" s="3" t="s">
        <v>1077</v>
      </c>
      <c r="G445" s="3" t="s">
        <v>321</v>
      </c>
      <c r="H445" s="4" t="s">
        <v>1978</v>
      </c>
    </row>
    <row r="446" ht="16.5" customHeight="1" spans="1:8">
      <c r="A446" s="3">
        <v>445</v>
      </c>
      <c r="B446" s="3" t="s">
        <v>1981</v>
      </c>
      <c r="C446" s="3" t="s">
        <v>1105</v>
      </c>
      <c r="D446" s="4" t="s">
        <v>1751</v>
      </c>
      <c r="E446" s="3" t="s">
        <v>1076</v>
      </c>
      <c r="F446" s="3" t="s">
        <v>1077</v>
      </c>
      <c r="G446" s="3" t="s">
        <v>321</v>
      </c>
      <c r="H446" s="4" t="s">
        <v>1982</v>
      </c>
    </row>
    <row r="447" ht="16.5" customHeight="1" spans="1:8">
      <c r="A447" s="3">
        <v>446</v>
      </c>
      <c r="B447" s="3" t="s">
        <v>1983</v>
      </c>
      <c r="C447" s="3" t="s">
        <v>1361</v>
      </c>
      <c r="D447" s="4" t="s">
        <v>1984</v>
      </c>
      <c r="E447" s="3" t="s">
        <v>1218</v>
      </c>
      <c r="F447" s="3" t="s">
        <v>1358</v>
      </c>
      <c r="G447" s="3" t="s">
        <v>321</v>
      </c>
      <c r="H447" s="4" t="s">
        <v>1095</v>
      </c>
    </row>
    <row r="448" ht="16.5" customHeight="1" spans="1:8">
      <c r="A448" s="3">
        <v>447</v>
      </c>
      <c r="B448" s="3" t="s">
        <v>1985</v>
      </c>
      <c r="C448" s="3" t="s">
        <v>1361</v>
      </c>
      <c r="D448" s="4" t="s">
        <v>1986</v>
      </c>
      <c r="E448" s="3" t="s">
        <v>1218</v>
      </c>
      <c r="F448" s="3" t="s">
        <v>1358</v>
      </c>
      <c r="G448" s="3" t="s">
        <v>321</v>
      </c>
      <c r="H448" s="4" t="s">
        <v>1095</v>
      </c>
    </row>
    <row r="449" ht="16.5" customHeight="1" spans="1:8">
      <c r="A449" s="3">
        <v>448</v>
      </c>
      <c r="B449" s="3" t="s">
        <v>1987</v>
      </c>
      <c r="C449" s="3" t="s">
        <v>1361</v>
      </c>
      <c r="D449" s="4" t="s">
        <v>1988</v>
      </c>
      <c r="E449" s="3" t="s">
        <v>1218</v>
      </c>
      <c r="F449" s="3" t="s">
        <v>1358</v>
      </c>
      <c r="G449" s="3" t="s">
        <v>321</v>
      </c>
      <c r="H449" s="4" t="s">
        <v>1095</v>
      </c>
    </row>
    <row r="450" ht="16.5" customHeight="1" spans="1:8">
      <c r="A450" s="3">
        <v>449</v>
      </c>
      <c r="B450" s="3" t="s">
        <v>1989</v>
      </c>
      <c r="C450" s="3" t="s">
        <v>1361</v>
      </c>
      <c r="D450" s="4" t="s">
        <v>1990</v>
      </c>
      <c r="E450" s="3" t="s">
        <v>1218</v>
      </c>
      <c r="F450" s="3" t="s">
        <v>1358</v>
      </c>
      <c r="G450" s="3" t="s">
        <v>321</v>
      </c>
      <c r="H450" s="4" t="s">
        <v>1095</v>
      </c>
    </row>
    <row r="451" ht="16.5" customHeight="1" spans="1:8">
      <c r="A451" s="3">
        <v>450</v>
      </c>
      <c r="B451" s="3" t="s">
        <v>1991</v>
      </c>
      <c r="C451" s="3" t="s">
        <v>1361</v>
      </c>
      <c r="D451" s="4" t="s">
        <v>1992</v>
      </c>
      <c r="E451" s="3" t="s">
        <v>1218</v>
      </c>
      <c r="F451" s="3" t="s">
        <v>1358</v>
      </c>
      <c r="G451" s="3" t="s">
        <v>321</v>
      </c>
      <c r="H451" s="4"/>
    </row>
    <row r="452" ht="16.5" customHeight="1" spans="1:8">
      <c r="A452" s="3">
        <v>451</v>
      </c>
      <c r="B452" s="3" t="s">
        <v>1993</v>
      </c>
      <c r="C452" s="3" t="s">
        <v>1361</v>
      </c>
      <c r="D452" s="4" t="s">
        <v>1994</v>
      </c>
      <c r="E452" s="3" t="s">
        <v>1218</v>
      </c>
      <c r="F452" s="3" t="s">
        <v>1358</v>
      </c>
      <c r="G452" s="3" t="s">
        <v>321</v>
      </c>
      <c r="H452" s="4"/>
    </row>
    <row r="453" ht="16.5" customHeight="1" spans="1:8">
      <c r="A453" s="3">
        <v>452</v>
      </c>
      <c r="B453" s="3" t="s">
        <v>1995</v>
      </c>
      <c r="C453" s="3" t="s">
        <v>1361</v>
      </c>
      <c r="D453" s="4" t="s">
        <v>1996</v>
      </c>
      <c r="E453" s="3" t="s">
        <v>1218</v>
      </c>
      <c r="F453" s="3" t="s">
        <v>1358</v>
      </c>
      <c r="G453" s="3" t="s">
        <v>321</v>
      </c>
      <c r="H453" s="4"/>
    </row>
    <row r="454" ht="16.5" customHeight="1" spans="1:8">
      <c r="A454" s="3">
        <v>453</v>
      </c>
      <c r="B454" s="3" t="s">
        <v>1997</v>
      </c>
      <c r="C454" s="3" t="s">
        <v>1361</v>
      </c>
      <c r="D454" s="4" t="s">
        <v>1998</v>
      </c>
      <c r="E454" s="3" t="s">
        <v>1218</v>
      </c>
      <c r="F454" s="3" t="s">
        <v>1358</v>
      </c>
      <c r="G454" s="3" t="s">
        <v>321</v>
      </c>
      <c r="H454" s="4"/>
    </row>
    <row r="455" ht="16.5" customHeight="1" spans="1:8">
      <c r="A455" s="3">
        <v>454</v>
      </c>
      <c r="B455" s="3" t="s">
        <v>1999</v>
      </c>
      <c r="C455" s="3" t="s">
        <v>1361</v>
      </c>
      <c r="D455" s="4" t="s">
        <v>2000</v>
      </c>
      <c r="E455" s="3" t="s">
        <v>1218</v>
      </c>
      <c r="F455" s="3" t="s">
        <v>1358</v>
      </c>
      <c r="G455" s="3" t="s">
        <v>321</v>
      </c>
      <c r="H455" s="4" t="s">
        <v>1095</v>
      </c>
    </row>
    <row r="456" ht="16.5" customHeight="1" spans="1:8">
      <c r="A456" s="3">
        <v>455</v>
      </c>
      <c r="B456" s="3" t="s">
        <v>2001</v>
      </c>
      <c r="C456" s="3" t="s">
        <v>1361</v>
      </c>
      <c r="D456" s="4" t="s">
        <v>2002</v>
      </c>
      <c r="E456" s="3" t="s">
        <v>1218</v>
      </c>
      <c r="F456" s="3" t="s">
        <v>1358</v>
      </c>
      <c r="G456" s="3" t="s">
        <v>321</v>
      </c>
      <c r="H456" s="4"/>
    </row>
    <row r="457" ht="16.5" customHeight="1" spans="1:8">
      <c r="A457" s="3">
        <v>456</v>
      </c>
      <c r="B457" s="3" t="s">
        <v>2003</v>
      </c>
      <c r="C457" s="3" t="s">
        <v>1361</v>
      </c>
      <c r="D457" s="4" t="s">
        <v>2004</v>
      </c>
      <c r="E457" s="3" t="s">
        <v>1218</v>
      </c>
      <c r="F457" s="3" t="s">
        <v>1358</v>
      </c>
      <c r="G457" s="3" t="s">
        <v>321</v>
      </c>
      <c r="H457" s="4"/>
    </row>
    <row r="458" ht="16.5" customHeight="1" spans="1:8">
      <c r="A458" s="3">
        <v>457</v>
      </c>
      <c r="B458" s="3" t="s">
        <v>2005</v>
      </c>
      <c r="C458" s="3" t="s">
        <v>1361</v>
      </c>
      <c r="D458" s="4" t="s">
        <v>2006</v>
      </c>
      <c r="E458" s="3" t="s">
        <v>1218</v>
      </c>
      <c r="F458" s="3" t="s">
        <v>1358</v>
      </c>
      <c r="G458" s="3" t="s">
        <v>321</v>
      </c>
      <c r="H458" s="4"/>
    </row>
    <row r="459" ht="16.5" customHeight="1" spans="1:8">
      <c r="A459" s="3">
        <v>458</v>
      </c>
      <c r="B459" s="3" t="s">
        <v>2007</v>
      </c>
      <c r="C459" s="3" t="s">
        <v>1361</v>
      </c>
      <c r="D459" s="4" t="s">
        <v>2008</v>
      </c>
      <c r="E459" s="3" t="s">
        <v>1218</v>
      </c>
      <c r="F459" s="3" t="s">
        <v>1358</v>
      </c>
      <c r="G459" s="3" t="s">
        <v>321</v>
      </c>
      <c r="H459" s="4"/>
    </row>
    <row r="460" ht="16.5" customHeight="1" spans="1:8">
      <c r="A460" s="3">
        <v>459</v>
      </c>
      <c r="B460" s="3" t="s">
        <v>2009</v>
      </c>
      <c r="C460" s="3" t="s">
        <v>1361</v>
      </c>
      <c r="D460" s="4" t="s">
        <v>2010</v>
      </c>
      <c r="E460" s="3" t="s">
        <v>1218</v>
      </c>
      <c r="F460" s="3" t="s">
        <v>1358</v>
      </c>
      <c r="G460" s="3" t="s">
        <v>321</v>
      </c>
      <c r="H460" s="4"/>
    </row>
    <row r="461" ht="16.5" customHeight="1" spans="1:8">
      <c r="A461" s="3">
        <v>460</v>
      </c>
      <c r="B461" s="3" t="s">
        <v>2011</v>
      </c>
      <c r="C461" s="3" t="s">
        <v>1361</v>
      </c>
      <c r="D461" s="4" t="s">
        <v>2012</v>
      </c>
      <c r="E461" s="3" t="s">
        <v>1218</v>
      </c>
      <c r="F461" s="3" t="s">
        <v>1358</v>
      </c>
      <c r="G461" s="3" t="s">
        <v>321</v>
      </c>
      <c r="H461" s="4"/>
    </row>
    <row r="462" ht="16.5" customHeight="1" spans="1:8">
      <c r="A462" s="3">
        <v>461</v>
      </c>
      <c r="B462" s="3" t="s">
        <v>2013</v>
      </c>
      <c r="C462" s="3" t="s">
        <v>1361</v>
      </c>
      <c r="D462" s="4" t="s">
        <v>2014</v>
      </c>
      <c r="E462" s="3" t="s">
        <v>1218</v>
      </c>
      <c r="F462" s="3" t="s">
        <v>1358</v>
      </c>
      <c r="G462" s="3" t="s">
        <v>321</v>
      </c>
      <c r="H462" s="4"/>
    </row>
    <row r="463" ht="16.5" customHeight="1" spans="1:8">
      <c r="A463" s="3">
        <v>462</v>
      </c>
      <c r="B463" s="3" t="s">
        <v>2015</v>
      </c>
      <c r="C463" s="3" t="s">
        <v>1356</v>
      </c>
      <c r="D463" s="4" t="s">
        <v>2016</v>
      </c>
      <c r="E463" s="3" t="s">
        <v>1076</v>
      </c>
      <c r="F463" s="3" t="s">
        <v>1077</v>
      </c>
      <c r="G463" s="3" t="s">
        <v>321</v>
      </c>
      <c r="H463" s="4" t="s">
        <v>1308</v>
      </c>
    </row>
    <row r="464" ht="16.5" customHeight="1" spans="1:8">
      <c r="A464" s="3">
        <v>463</v>
      </c>
      <c r="B464" s="3" t="s">
        <v>2017</v>
      </c>
      <c r="C464" s="3" t="s">
        <v>1105</v>
      </c>
      <c r="D464" s="4" t="s">
        <v>2018</v>
      </c>
      <c r="E464" s="3" t="s">
        <v>1076</v>
      </c>
      <c r="F464" s="3" t="s">
        <v>1077</v>
      </c>
      <c r="G464" s="3" t="s">
        <v>321</v>
      </c>
      <c r="H464" s="4" t="s">
        <v>2019</v>
      </c>
    </row>
    <row r="465" ht="16.5" customHeight="1" spans="1:8">
      <c r="A465" s="3">
        <v>464</v>
      </c>
      <c r="B465" s="3" t="s">
        <v>2020</v>
      </c>
      <c r="C465" s="3" t="s">
        <v>1105</v>
      </c>
      <c r="D465" s="4" t="s">
        <v>2021</v>
      </c>
      <c r="E465" s="3" t="s">
        <v>1076</v>
      </c>
      <c r="F465" s="3" t="s">
        <v>1077</v>
      </c>
      <c r="G465" s="3" t="s">
        <v>321</v>
      </c>
      <c r="H465" s="4" t="s">
        <v>2019</v>
      </c>
    </row>
    <row r="466" ht="16.5" customHeight="1" spans="1:8">
      <c r="A466" s="3">
        <v>465</v>
      </c>
      <c r="B466" s="3" t="s">
        <v>2022</v>
      </c>
      <c r="C466" s="3" t="s">
        <v>1105</v>
      </c>
      <c r="D466" s="4" t="s">
        <v>1751</v>
      </c>
      <c r="E466" s="3" t="s">
        <v>1076</v>
      </c>
      <c r="F466" s="3" t="s">
        <v>1077</v>
      </c>
      <c r="G466" s="3" t="s">
        <v>321</v>
      </c>
      <c r="H466" s="4" t="s">
        <v>2019</v>
      </c>
    </row>
    <row r="467" ht="16.5" customHeight="1" spans="1:8">
      <c r="A467" s="3">
        <v>466</v>
      </c>
      <c r="B467" s="3" t="s">
        <v>2023</v>
      </c>
      <c r="C467" s="3" t="s">
        <v>1105</v>
      </c>
      <c r="D467" s="4" t="s">
        <v>2024</v>
      </c>
      <c r="E467" s="3" t="s">
        <v>1076</v>
      </c>
      <c r="F467" s="3" t="s">
        <v>1077</v>
      </c>
      <c r="G467" s="3" t="s">
        <v>321</v>
      </c>
      <c r="H467" s="4" t="s">
        <v>2019</v>
      </c>
    </row>
    <row r="468" ht="16.5" customHeight="1" spans="1:8">
      <c r="A468" s="3">
        <v>467</v>
      </c>
      <c r="B468" s="3" t="s">
        <v>2025</v>
      </c>
      <c r="C468" s="3" t="s">
        <v>1361</v>
      </c>
      <c r="D468" s="4" t="s">
        <v>2026</v>
      </c>
      <c r="E468" s="3" t="s">
        <v>1218</v>
      </c>
      <c r="F468" s="3" t="s">
        <v>1077</v>
      </c>
      <c r="G468" s="3" t="s">
        <v>45</v>
      </c>
      <c r="H468" s="4" t="s">
        <v>1078</v>
      </c>
    </row>
    <row r="469" ht="16.5" customHeight="1" spans="1:8">
      <c r="A469" s="3">
        <v>468</v>
      </c>
      <c r="B469" s="3" t="s">
        <v>2027</v>
      </c>
      <c r="C469" s="3" t="s">
        <v>1105</v>
      </c>
      <c r="D469" s="4" t="s">
        <v>1845</v>
      </c>
      <c r="E469" s="3" t="s">
        <v>1076</v>
      </c>
      <c r="F469" s="3" t="s">
        <v>1077</v>
      </c>
      <c r="G469" s="3" t="s">
        <v>321</v>
      </c>
      <c r="H469" s="4" t="s">
        <v>2028</v>
      </c>
    </row>
    <row r="470" ht="16.5" customHeight="1" spans="1:8">
      <c r="A470" s="3">
        <v>469</v>
      </c>
      <c r="B470" s="3" t="s">
        <v>2029</v>
      </c>
      <c r="C470" s="3" t="s">
        <v>1105</v>
      </c>
      <c r="D470" s="4" t="s">
        <v>1842</v>
      </c>
      <c r="E470" s="3" t="s">
        <v>1076</v>
      </c>
      <c r="F470" s="3" t="s">
        <v>1077</v>
      </c>
      <c r="G470" s="3" t="s">
        <v>321</v>
      </c>
      <c r="H470" s="4" t="s">
        <v>2030</v>
      </c>
    </row>
    <row r="471" ht="16.5" customHeight="1" spans="1:8">
      <c r="A471" s="3">
        <v>470</v>
      </c>
      <c r="B471" s="3" t="s">
        <v>2031</v>
      </c>
      <c r="C471" s="3" t="s">
        <v>1105</v>
      </c>
      <c r="D471" s="4" t="s">
        <v>2032</v>
      </c>
      <c r="E471" s="3" t="s">
        <v>1076</v>
      </c>
      <c r="F471" s="3" t="s">
        <v>1358</v>
      </c>
      <c r="G471" s="3" t="s">
        <v>321</v>
      </c>
      <c r="H471" s="4" t="s">
        <v>2033</v>
      </c>
    </row>
    <row r="472" ht="16.5" customHeight="1" spans="1:8">
      <c r="A472" s="3">
        <v>471</v>
      </c>
      <c r="B472" s="3" t="s">
        <v>2034</v>
      </c>
      <c r="C472" s="3" t="s">
        <v>2035</v>
      </c>
      <c r="D472" s="4" t="s">
        <v>2036</v>
      </c>
      <c r="E472" s="3" t="s">
        <v>1076</v>
      </c>
      <c r="F472" s="3" t="s">
        <v>1350</v>
      </c>
      <c r="G472" s="3" t="s">
        <v>321</v>
      </c>
      <c r="H472" s="4" t="s">
        <v>1314</v>
      </c>
    </row>
    <row r="473" ht="16.5" customHeight="1" spans="1:8">
      <c r="A473" s="3">
        <v>472</v>
      </c>
      <c r="B473" s="3" t="s">
        <v>2037</v>
      </c>
      <c r="C473" s="3" t="s">
        <v>1105</v>
      </c>
      <c r="D473" s="4" t="s">
        <v>2038</v>
      </c>
      <c r="E473" s="3" t="s">
        <v>1076</v>
      </c>
      <c r="F473" s="3" t="s">
        <v>1358</v>
      </c>
      <c r="G473" s="3" t="s">
        <v>321</v>
      </c>
      <c r="H473" s="4" t="s">
        <v>2033</v>
      </c>
    </row>
    <row r="474" ht="16.5" customHeight="1" spans="1:8">
      <c r="A474" s="3">
        <v>473</v>
      </c>
      <c r="B474" s="3" t="s">
        <v>2039</v>
      </c>
      <c r="C474" s="3" t="s">
        <v>1361</v>
      </c>
      <c r="D474" s="4" t="s">
        <v>2040</v>
      </c>
      <c r="E474" s="3" t="s">
        <v>1218</v>
      </c>
      <c r="F474" s="3" t="s">
        <v>2041</v>
      </c>
      <c r="G474" s="3" t="s">
        <v>321</v>
      </c>
      <c r="H474" s="4" t="s">
        <v>1095</v>
      </c>
    </row>
    <row r="475" ht="16.5" customHeight="1" spans="1:8">
      <c r="A475" s="3">
        <v>474</v>
      </c>
      <c r="B475" s="3" t="s">
        <v>2042</v>
      </c>
      <c r="C475" s="3" t="s">
        <v>1361</v>
      </c>
      <c r="D475" s="4" t="s">
        <v>2043</v>
      </c>
      <c r="E475" s="3" t="s">
        <v>1218</v>
      </c>
      <c r="F475" s="3" t="s">
        <v>2041</v>
      </c>
      <c r="G475" s="3" t="s">
        <v>321</v>
      </c>
      <c r="H475" s="4" t="s">
        <v>1095</v>
      </c>
    </row>
    <row r="476" ht="16.5" customHeight="1" spans="1:8">
      <c r="A476" s="3">
        <v>475</v>
      </c>
      <c r="B476" s="3" t="s">
        <v>2044</v>
      </c>
      <c r="C476" s="3" t="s">
        <v>1361</v>
      </c>
      <c r="D476" s="4" t="s">
        <v>2045</v>
      </c>
      <c r="E476" s="3" t="s">
        <v>1218</v>
      </c>
      <c r="F476" s="3" t="s">
        <v>2041</v>
      </c>
      <c r="G476" s="3" t="s">
        <v>321</v>
      </c>
      <c r="H476" s="4" t="s">
        <v>1095</v>
      </c>
    </row>
    <row r="477" ht="16.5" customHeight="1" spans="1:8">
      <c r="A477" s="3">
        <v>476</v>
      </c>
      <c r="B477" s="3" t="s">
        <v>2046</v>
      </c>
      <c r="C477" s="3" t="s">
        <v>1361</v>
      </c>
      <c r="D477" s="4" t="s">
        <v>2047</v>
      </c>
      <c r="E477" s="3" t="s">
        <v>1218</v>
      </c>
      <c r="F477" s="3" t="s">
        <v>2041</v>
      </c>
      <c r="G477" s="3" t="s">
        <v>321</v>
      </c>
      <c r="H477" s="4" t="s">
        <v>1095</v>
      </c>
    </row>
    <row r="478" ht="16.5" customHeight="1" spans="1:8">
      <c r="A478" s="3">
        <v>477</v>
      </c>
      <c r="B478" s="3" t="s">
        <v>2048</v>
      </c>
      <c r="C478" s="3" t="s">
        <v>1356</v>
      </c>
      <c r="D478" s="4" t="s">
        <v>2049</v>
      </c>
      <c r="E478" s="3" t="s">
        <v>1076</v>
      </c>
      <c r="F478" s="3" t="s">
        <v>1215</v>
      </c>
      <c r="G478" s="3" t="s">
        <v>321</v>
      </c>
      <c r="H478" s="4" t="s">
        <v>2050</v>
      </c>
    </row>
    <row r="479" ht="16.5" customHeight="1" spans="1:8">
      <c r="A479" s="3">
        <v>478</v>
      </c>
      <c r="B479" s="3" t="s">
        <v>2051</v>
      </c>
      <c r="C479" s="3" t="s">
        <v>1361</v>
      </c>
      <c r="D479" s="4" t="s">
        <v>2052</v>
      </c>
      <c r="E479" s="3" t="s">
        <v>2053</v>
      </c>
      <c r="F479" s="3" t="s">
        <v>2041</v>
      </c>
      <c r="G479" s="3" t="s">
        <v>321</v>
      </c>
      <c r="H479" s="4" t="s">
        <v>1095</v>
      </c>
    </row>
    <row r="480" ht="16.5" customHeight="1" spans="1:8">
      <c r="A480" s="3">
        <v>479</v>
      </c>
      <c r="B480" s="3" t="s">
        <v>2054</v>
      </c>
      <c r="C480" s="3" t="s">
        <v>1361</v>
      </c>
      <c r="D480" s="4" t="s">
        <v>2055</v>
      </c>
      <c r="E480" s="3" t="s">
        <v>2056</v>
      </c>
      <c r="F480" s="3" t="s">
        <v>2041</v>
      </c>
      <c r="G480" s="3" t="s">
        <v>321</v>
      </c>
      <c r="H480" s="4" t="s">
        <v>1095</v>
      </c>
    </row>
    <row r="481" ht="16.5" customHeight="1" spans="1:8">
      <c r="A481" s="3">
        <v>480</v>
      </c>
      <c r="B481" s="3" t="s">
        <v>2057</v>
      </c>
      <c r="C481" s="3" t="s">
        <v>1361</v>
      </c>
      <c r="D481" s="4" t="s">
        <v>2058</v>
      </c>
      <c r="E481" s="3" t="s">
        <v>2056</v>
      </c>
      <c r="F481" s="3" t="s">
        <v>2041</v>
      </c>
      <c r="G481" s="3" t="s">
        <v>321</v>
      </c>
      <c r="H481" s="4" t="s">
        <v>1095</v>
      </c>
    </row>
    <row r="482" ht="16.5" customHeight="1" spans="1:8">
      <c r="A482" s="3">
        <v>481</v>
      </c>
      <c r="B482" s="3" t="s">
        <v>2059</v>
      </c>
      <c r="C482" s="3" t="s">
        <v>1361</v>
      </c>
      <c r="D482" s="4" t="s">
        <v>2060</v>
      </c>
      <c r="E482" s="3" t="s">
        <v>2056</v>
      </c>
      <c r="F482" s="3" t="s">
        <v>2041</v>
      </c>
      <c r="G482" s="3" t="s">
        <v>321</v>
      </c>
      <c r="H482" s="4" t="s">
        <v>1095</v>
      </c>
    </row>
    <row r="483" ht="16.5" customHeight="1" spans="1:8">
      <c r="A483" s="3">
        <v>482</v>
      </c>
      <c r="B483" s="3" t="s">
        <v>2061</v>
      </c>
      <c r="C483" s="3" t="s">
        <v>1361</v>
      </c>
      <c r="D483" s="4" t="s">
        <v>2062</v>
      </c>
      <c r="E483" s="3" t="s">
        <v>2056</v>
      </c>
      <c r="F483" s="3" t="s">
        <v>2041</v>
      </c>
      <c r="G483" s="3" t="s">
        <v>321</v>
      </c>
      <c r="H483" s="4" t="s">
        <v>1095</v>
      </c>
    </row>
    <row r="484" ht="16.5" customHeight="1" spans="1:8">
      <c r="A484" s="3">
        <v>483</v>
      </c>
      <c r="B484" s="3" t="s">
        <v>2063</v>
      </c>
      <c r="C484" s="3" t="s">
        <v>1361</v>
      </c>
      <c r="D484" s="4" t="s">
        <v>2064</v>
      </c>
      <c r="E484" s="3" t="s">
        <v>1218</v>
      </c>
      <c r="F484" s="3" t="s">
        <v>2041</v>
      </c>
      <c r="G484" s="3" t="s">
        <v>321</v>
      </c>
      <c r="H484" s="4" t="s">
        <v>1095</v>
      </c>
    </row>
    <row r="485" ht="16.5" customHeight="1" spans="1:8">
      <c r="A485" s="3">
        <v>484</v>
      </c>
      <c r="B485" s="3" t="s">
        <v>2065</v>
      </c>
      <c r="C485" s="3" t="s">
        <v>1361</v>
      </c>
      <c r="D485" s="4" t="s">
        <v>2066</v>
      </c>
      <c r="E485" s="3" t="s">
        <v>1218</v>
      </c>
      <c r="F485" s="3" t="s">
        <v>2041</v>
      </c>
      <c r="G485" s="3" t="s">
        <v>321</v>
      </c>
      <c r="H485" s="4" t="s">
        <v>1095</v>
      </c>
    </row>
    <row r="486" ht="16.5" customHeight="1" spans="1:8">
      <c r="A486" s="3">
        <v>485</v>
      </c>
      <c r="B486" s="3" t="s">
        <v>2067</v>
      </c>
      <c r="C486" s="3" t="s">
        <v>1361</v>
      </c>
      <c r="D486" s="4" t="s">
        <v>2068</v>
      </c>
      <c r="E486" s="3" t="s">
        <v>2053</v>
      </c>
      <c r="F486" s="3" t="s">
        <v>2041</v>
      </c>
      <c r="G486" s="3" t="s">
        <v>321</v>
      </c>
      <c r="H486" s="4" t="s">
        <v>1095</v>
      </c>
    </row>
    <row r="487" ht="16.5" customHeight="1" spans="1:8">
      <c r="A487" s="3">
        <v>486</v>
      </c>
      <c r="B487" s="3" t="s">
        <v>2069</v>
      </c>
      <c r="C487" s="3" t="s">
        <v>1361</v>
      </c>
      <c r="D487" s="4" t="s">
        <v>2070</v>
      </c>
      <c r="E487" s="3" t="s">
        <v>2053</v>
      </c>
      <c r="F487" s="3" t="s">
        <v>2041</v>
      </c>
      <c r="G487" s="3" t="s">
        <v>321</v>
      </c>
      <c r="H487" s="4" t="s">
        <v>1095</v>
      </c>
    </row>
    <row r="488" ht="16.5" customHeight="1" spans="1:8">
      <c r="A488" s="3">
        <v>487</v>
      </c>
      <c r="B488" s="3" t="s">
        <v>2071</v>
      </c>
      <c r="C488" s="3" t="s">
        <v>1361</v>
      </c>
      <c r="D488" s="4" t="s">
        <v>2072</v>
      </c>
      <c r="E488" s="3" t="s">
        <v>2056</v>
      </c>
      <c r="F488" s="3" t="s">
        <v>2041</v>
      </c>
      <c r="G488" s="3" t="s">
        <v>321</v>
      </c>
      <c r="H488" s="4" t="s">
        <v>1095</v>
      </c>
    </row>
    <row r="489" ht="16.5" customHeight="1" spans="1:8">
      <c r="A489" s="3">
        <v>488</v>
      </c>
      <c r="B489" s="3" t="s">
        <v>2073</v>
      </c>
      <c r="C489" s="3" t="s">
        <v>1361</v>
      </c>
      <c r="D489" s="4" t="s">
        <v>2074</v>
      </c>
      <c r="E489" s="3" t="s">
        <v>1218</v>
      </c>
      <c r="F489" s="3" t="s">
        <v>2041</v>
      </c>
      <c r="G489" s="3" t="s">
        <v>321</v>
      </c>
      <c r="H489" s="4" t="s">
        <v>1095</v>
      </c>
    </row>
    <row r="490" ht="16.5" customHeight="1" spans="1:8">
      <c r="A490" s="3">
        <v>489</v>
      </c>
      <c r="B490" s="3" t="s">
        <v>2075</v>
      </c>
      <c r="C490" s="3" t="s">
        <v>1361</v>
      </c>
      <c r="D490" s="4" t="s">
        <v>2076</v>
      </c>
      <c r="E490" s="3" t="s">
        <v>1218</v>
      </c>
      <c r="F490" s="3" t="s">
        <v>2041</v>
      </c>
      <c r="G490" s="3" t="s">
        <v>321</v>
      </c>
      <c r="H490" s="4" t="s">
        <v>1095</v>
      </c>
    </row>
    <row r="491" ht="16.5" customHeight="1" spans="1:8">
      <c r="A491" s="3">
        <v>490</v>
      </c>
      <c r="B491" s="3" t="s">
        <v>2077</v>
      </c>
      <c r="C491" s="3" t="s">
        <v>1361</v>
      </c>
      <c r="D491" s="4" t="s">
        <v>2078</v>
      </c>
      <c r="E491" s="3" t="s">
        <v>1218</v>
      </c>
      <c r="F491" s="3" t="s">
        <v>2041</v>
      </c>
      <c r="G491" s="3" t="s">
        <v>321</v>
      </c>
      <c r="H491" s="4" t="s">
        <v>1095</v>
      </c>
    </row>
    <row r="492" ht="16.5" customHeight="1" spans="1:8">
      <c r="A492" s="3">
        <v>491</v>
      </c>
      <c r="B492" s="3" t="s">
        <v>2079</v>
      </c>
      <c r="C492" s="3" t="s">
        <v>1361</v>
      </c>
      <c r="D492" s="4" t="s">
        <v>2080</v>
      </c>
      <c r="E492" s="3" t="s">
        <v>2056</v>
      </c>
      <c r="F492" s="3" t="s">
        <v>2041</v>
      </c>
      <c r="G492" s="3" t="s">
        <v>321</v>
      </c>
      <c r="H492" s="4" t="s">
        <v>1095</v>
      </c>
    </row>
    <row r="493" ht="16.5" customHeight="1" spans="1:8">
      <c r="A493" s="3">
        <v>492</v>
      </c>
      <c r="B493" s="3" t="s">
        <v>2081</v>
      </c>
      <c r="C493" s="3" t="s">
        <v>1361</v>
      </c>
      <c r="D493" s="4" t="s">
        <v>2082</v>
      </c>
      <c r="E493" s="3" t="s">
        <v>2053</v>
      </c>
      <c r="F493" s="3" t="s">
        <v>2041</v>
      </c>
      <c r="G493" s="3" t="s">
        <v>321</v>
      </c>
      <c r="H493" s="4" t="s">
        <v>1095</v>
      </c>
    </row>
    <row r="494" ht="16.5" customHeight="1" spans="1:8">
      <c r="A494" s="3">
        <v>493</v>
      </c>
      <c r="B494" s="3" t="s">
        <v>2083</v>
      </c>
      <c r="C494" s="3" t="s">
        <v>1361</v>
      </c>
      <c r="D494" s="4" t="s">
        <v>2084</v>
      </c>
      <c r="E494" s="3" t="s">
        <v>2053</v>
      </c>
      <c r="F494" s="3" t="s">
        <v>2041</v>
      </c>
      <c r="G494" s="3" t="s">
        <v>321</v>
      </c>
      <c r="H494" s="4" t="s">
        <v>1095</v>
      </c>
    </row>
    <row r="495" ht="16.5" customHeight="1" spans="1:8">
      <c r="A495" s="3">
        <v>494</v>
      </c>
      <c r="B495" s="3" t="s">
        <v>2085</v>
      </c>
      <c r="C495" s="3" t="s">
        <v>1361</v>
      </c>
      <c r="D495" s="4" t="s">
        <v>2086</v>
      </c>
      <c r="E495" s="3" t="s">
        <v>2056</v>
      </c>
      <c r="F495" s="3" t="s">
        <v>2041</v>
      </c>
      <c r="G495" s="3" t="s">
        <v>321</v>
      </c>
      <c r="H495" s="4" t="s">
        <v>1095</v>
      </c>
    </row>
    <row r="496" ht="16.5" customHeight="1" spans="1:8">
      <c r="A496" s="3">
        <v>495</v>
      </c>
      <c r="B496" s="3" t="s">
        <v>2087</v>
      </c>
      <c r="C496" s="3" t="s">
        <v>1361</v>
      </c>
      <c r="D496" s="4" t="s">
        <v>2088</v>
      </c>
      <c r="E496" s="3" t="s">
        <v>2056</v>
      </c>
      <c r="F496" s="3" t="s">
        <v>2041</v>
      </c>
      <c r="G496" s="3" t="s">
        <v>321</v>
      </c>
      <c r="H496" s="4" t="s">
        <v>1095</v>
      </c>
    </row>
    <row r="497" ht="16.5" customHeight="1" spans="1:8">
      <c r="A497" s="3">
        <v>496</v>
      </c>
      <c r="B497" s="3" t="s">
        <v>2089</v>
      </c>
      <c r="C497" s="3" t="s">
        <v>1361</v>
      </c>
      <c r="D497" s="4" t="s">
        <v>2090</v>
      </c>
      <c r="E497" s="3" t="s">
        <v>2056</v>
      </c>
      <c r="F497" s="3" t="s">
        <v>2041</v>
      </c>
      <c r="G497" s="3" t="s">
        <v>321</v>
      </c>
      <c r="H497" s="4" t="s">
        <v>1095</v>
      </c>
    </row>
    <row r="498" ht="16.5" customHeight="1" spans="1:8">
      <c r="A498" s="3">
        <v>497</v>
      </c>
      <c r="B498" s="3" t="s">
        <v>2091</v>
      </c>
      <c r="C498" s="3" t="s">
        <v>1361</v>
      </c>
      <c r="D498" s="4" t="s">
        <v>2092</v>
      </c>
      <c r="E498" s="3" t="s">
        <v>1218</v>
      </c>
      <c r="F498" s="3" t="s">
        <v>2041</v>
      </c>
      <c r="G498" s="3" t="s">
        <v>321</v>
      </c>
      <c r="H498" s="4" t="s">
        <v>1095</v>
      </c>
    </row>
    <row r="499" ht="16.5" customHeight="1" spans="1:8">
      <c r="A499" s="3">
        <v>498</v>
      </c>
      <c r="B499" s="3" t="s">
        <v>2093</v>
      </c>
      <c r="C499" s="3" t="s">
        <v>1361</v>
      </c>
      <c r="D499" s="4" t="s">
        <v>2094</v>
      </c>
      <c r="E499" s="3" t="s">
        <v>2053</v>
      </c>
      <c r="F499" s="3" t="s">
        <v>2041</v>
      </c>
      <c r="G499" s="3" t="s">
        <v>321</v>
      </c>
      <c r="H499" s="4" t="s">
        <v>1095</v>
      </c>
    </row>
    <row r="500" ht="16.5" customHeight="1" spans="1:8">
      <c r="A500" s="3">
        <v>499</v>
      </c>
      <c r="B500" s="3" t="s">
        <v>2095</v>
      </c>
      <c r="C500" s="3" t="s">
        <v>1361</v>
      </c>
      <c r="D500" s="4" t="s">
        <v>2096</v>
      </c>
      <c r="E500" s="3" t="s">
        <v>2053</v>
      </c>
      <c r="F500" s="3" t="s">
        <v>2041</v>
      </c>
      <c r="G500" s="3" t="s">
        <v>321</v>
      </c>
      <c r="H500" s="4" t="s">
        <v>1095</v>
      </c>
    </row>
    <row r="501" ht="16.5" customHeight="1" spans="1:8">
      <c r="A501" s="3">
        <v>500</v>
      </c>
      <c r="B501" s="3" t="s">
        <v>2097</v>
      </c>
      <c r="C501" s="3" t="s">
        <v>1361</v>
      </c>
      <c r="D501" s="4" t="s">
        <v>2098</v>
      </c>
      <c r="E501" s="3" t="s">
        <v>1218</v>
      </c>
      <c r="F501" s="3" t="s">
        <v>2041</v>
      </c>
      <c r="G501" s="3" t="s">
        <v>321</v>
      </c>
      <c r="H501" s="4" t="s">
        <v>1095</v>
      </c>
    </row>
    <row r="502" ht="16.5" customHeight="1" spans="1:8">
      <c r="A502" s="3">
        <v>501</v>
      </c>
      <c r="B502" s="3" t="s">
        <v>2099</v>
      </c>
      <c r="C502" s="3" t="s">
        <v>1361</v>
      </c>
      <c r="D502" s="4" t="s">
        <v>2100</v>
      </c>
      <c r="E502" s="3" t="s">
        <v>1218</v>
      </c>
      <c r="F502" s="3" t="s">
        <v>2041</v>
      </c>
      <c r="G502" s="3" t="s">
        <v>321</v>
      </c>
      <c r="H502" s="4" t="s">
        <v>1095</v>
      </c>
    </row>
    <row r="503" ht="16.5" customHeight="1" spans="1:8">
      <c r="A503" s="3">
        <v>502</v>
      </c>
      <c r="B503" s="3" t="s">
        <v>2101</v>
      </c>
      <c r="C503" s="3" t="s">
        <v>1361</v>
      </c>
      <c r="D503" s="4" t="s">
        <v>2102</v>
      </c>
      <c r="E503" s="3" t="s">
        <v>1218</v>
      </c>
      <c r="F503" s="3" t="s">
        <v>2041</v>
      </c>
      <c r="G503" s="3" t="s">
        <v>321</v>
      </c>
      <c r="H503" s="4" t="s">
        <v>1095</v>
      </c>
    </row>
    <row r="504" ht="16.5" customHeight="1" spans="1:8">
      <c r="A504" s="3">
        <v>503</v>
      </c>
      <c r="B504" s="3" t="s">
        <v>2103</v>
      </c>
      <c r="C504" s="3" t="s">
        <v>1361</v>
      </c>
      <c r="D504" s="4" t="s">
        <v>2104</v>
      </c>
      <c r="E504" s="3" t="s">
        <v>2056</v>
      </c>
      <c r="F504" s="3" t="s">
        <v>2105</v>
      </c>
      <c r="G504" s="3" t="s">
        <v>321</v>
      </c>
      <c r="H504" s="4" t="s">
        <v>1368</v>
      </c>
    </row>
    <row r="505" ht="16.5" customHeight="1" spans="1:8">
      <c r="A505" s="3">
        <v>504</v>
      </c>
      <c r="B505" s="3" t="s">
        <v>2106</v>
      </c>
      <c r="C505" s="3" t="s">
        <v>1361</v>
      </c>
      <c r="D505" s="4" t="s">
        <v>2107</v>
      </c>
      <c r="E505" s="3" t="s">
        <v>1218</v>
      </c>
      <c r="F505" s="3" t="s">
        <v>2105</v>
      </c>
      <c r="G505" s="3" t="s">
        <v>321</v>
      </c>
      <c r="H505" s="4" t="s">
        <v>1368</v>
      </c>
    </row>
    <row r="506" ht="16.5" customHeight="1" spans="1:8">
      <c r="A506" s="3">
        <v>505</v>
      </c>
      <c r="B506" s="3" t="s">
        <v>2108</v>
      </c>
      <c r="C506" s="3" t="s">
        <v>1361</v>
      </c>
      <c r="D506" s="4" t="s">
        <v>2109</v>
      </c>
      <c r="E506" s="3" t="s">
        <v>2056</v>
      </c>
      <c r="F506" s="3" t="s">
        <v>2041</v>
      </c>
      <c r="G506" s="3" t="s">
        <v>321</v>
      </c>
      <c r="H506" s="4" t="s">
        <v>1095</v>
      </c>
    </row>
    <row r="507" ht="16.5" customHeight="1" spans="1:8">
      <c r="A507" s="3">
        <v>506</v>
      </c>
      <c r="B507" s="3" t="s">
        <v>2110</v>
      </c>
      <c r="C507" s="3" t="s">
        <v>1361</v>
      </c>
      <c r="D507" s="4" t="s">
        <v>2111</v>
      </c>
      <c r="E507" s="3" t="s">
        <v>1218</v>
      </c>
      <c r="F507" s="3" t="s">
        <v>2041</v>
      </c>
      <c r="G507" s="3" t="s">
        <v>321</v>
      </c>
      <c r="H507" s="4" t="s">
        <v>1095</v>
      </c>
    </row>
    <row r="508" ht="16.5" customHeight="1" spans="1:8">
      <c r="A508" s="3">
        <v>507</v>
      </c>
      <c r="B508" s="3" t="s">
        <v>2112</v>
      </c>
      <c r="C508" s="3" t="s">
        <v>1361</v>
      </c>
      <c r="D508" s="4" t="s">
        <v>2113</v>
      </c>
      <c r="E508" s="3" t="s">
        <v>1218</v>
      </c>
      <c r="F508" s="3" t="s">
        <v>2041</v>
      </c>
      <c r="G508" s="3" t="s">
        <v>321</v>
      </c>
      <c r="H508" s="4" t="s">
        <v>1095</v>
      </c>
    </row>
    <row r="509" ht="16.5" customHeight="1" spans="1:8">
      <c r="A509" s="3">
        <v>508</v>
      </c>
      <c r="B509" s="3" t="s">
        <v>2114</v>
      </c>
      <c r="C509" s="3" t="s">
        <v>1361</v>
      </c>
      <c r="D509" s="4" t="s">
        <v>2115</v>
      </c>
      <c r="E509" s="3" t="s">
        <v>1218</v>
      </c>
      <c r="F509" s="3" t="s">
        <v>2041</v>
      </c>
      <c r="G509" s="3" t="s">
        <v>321</v>
      </c>
      <c r="H509" s="4" t="s">
        <v>1095</v>
      </c>
    </row>
    <row r="510" ht="16.5" customHeight="1" spans="1:8">
      <c r="A510" s="3">
        <v>509</v>
      </c>
      <c r="B510" s="3" t="s">
        <v>2116</v>
      </c>
      <c r="C510" s="3" t="s">
        <v>1361</v>
      </c>
      <c r="D510" s="4" t="s">
        <v>2117</v>
      </c>
      <c r="E510" s="3" t="s">
        <v>1218</v>
      </c>
      <c r="F510" s="3" t="s">
        <v>2041</v>
      </c>
      <c r="G510" s="3" t="s">
        <v>321</v>
      </c>
      <c r="H510" s="4" t="s">
        <v>1095</v>
      </c>
    </row>
    <row r="511" ht="16.5" customHeight="1" spans="1:8">
      <c r="A511" s="3">
        <v>510</v>
      </c>
      <c r="B511" s="3" t="s">
        <v>2118</v>
      </c>
      <c r="C511" s="3" t="s">
        <v>1361</v>
      </c>
      <c r="D511" s="4" t="s">
        <v>2119</v>
      </c>
      <c r="E511" s="3" t="s">
        <v>2056</v>
      </c>
      <c r="F511" s="3" t="s">
        <v>2041</v>
      </c>
      <c r="G511" s="3" t="s">
        <v>321</v>
      </c>
      <c r="H511" s="4" t="s">
        <v>1095</v>
      </c>
    </row>
    <row r="512" ht="16.5" customHeight="1" spans="1:8">
      <c r="A512" s="3">
        <v>511</v>
      </c>
      <c r="B512" s="3" t="s">
        <v>2120</v>
      </c>
      <c r="C512" s="3" t="s">
        <v>1361</v>
      </c>
      <c r="D512" s="4" t="s">
        <v>2121</v>
      </c>
      <c r="E512" s="3" t="s">
        <v>1218</v>
      </c>
      <c r="F512" s="3" t="s">
        <v>2041</v>
      </c>
      <c r="G512" s="3" t="s">
        <v>321</v>
      </c>
      <c r="H512" s="4" t="s">
        <v>1095</v>
      </c>
    </row>
    <row r="513" ht="16.5" customHeight="1" spans="1:8">
      <c r="A513" s="3">
        <v>512</v>
      </c>
      <c r="B513" s="3" t="s">
        <v>2122</v>
      </c>
      <c r="C513" s="3" t="s">
        <v>1361</v>
      </c>
      <c r="D513" s="4" t="s">
        <v>2123</v>
      </c>
      <c r="E513" s="3" t="s">
        <v>2053</v>
      </c>
      <c r="F513" s="3" t="s">
        <v>2105</v>
      </c>
      <c r="G513" s="3" t="s">
        <v>321</v>
      </c>
      <c r="H513" s="4" t="s">
        <v>1368</v>
      </c>
    </row>
    <row r="514" ht="16.5" customHeight="1" spans="1:8">
      <c r="A514" s="3">
        <v>513</v>
      </c>
      <c r="B514" s="3" t="s">
        <v>2124</v>
      </c>
      <c r="C514" s="3" t="s">
        <v>1361</v>
      </c>
      <c r="D514" s="4" t="s">
        <v>2125</v>
      </c>
      <c r="E514" s="3" t="s">
        <v>1218</v>
      </c>
      <c r="F514" s="3" t="s">
        <v>2041</v>
      </c>
      <c r="G514" s="3" t="s">
        <v>321</v>
      </c>
      <c r="H514" s="4" t="s">
        <v>1095</v>
      </c>
    </row>
    <row r="515" ht="16.5" customHeight="1" spans="1:8">
      <c r="A515" s="3">
        <v>514</v>
      </c>
      <c r="B515" s="3" t="s">
        <v>2126</v>
      </c>
      <c r="C515" s="3" t="s">
        <v>1361</v>
      </c>
      <c r="D515" s="4" t="s">
        <v>2127</v>
      </c>
      <c r="E515" s="3" t="s">
        <v>1218</v>
      </c>
      <c r="F515" s="3" t="s">
        <v>2105</v>
      </c>
      <c r="G515" s="3" t="s">
        <v>321</v>
      </c>
      <c r="H515" s="4" t="s">
        <v>1368</v>
      </c>
    </row>
    <row r="516" ht="16.5" customHeight="1" spans="1:8">
      <c r="A516" s="3">
        <v>515</v>
      </c>
      <c r="B516" s="3" t="s">
        <v>2128</v>
      </c>
      <c r="C516" s="3" t="s">
        <v>1361</v>
      </c>
      <c r="D516" s="4" t="s">
        <v>2129</v>
      </c>
      <c r="E516" s="3" t="s">
        <v>1218</v>
      </c>
      <c r="F516" s="3" t="s">
        <v>2105</v>
      </c>
      <c r="G516" s="3" t="s">
        <v>321</v>
      </c>
      <c r="H516" s="4" t="s">
        <v>1368</v>
      </c>
    </row>
    <row r="517" ht="16.5" customHeight="1" spans="1:8">
      <c r="A517" s="3">
        <v>516</v>
      </c>
      <c r="B517" s="3" t="s">
        <v>2130</v>
      </c>
      <c r="C517" s="3" t="s">
        <v>1361</v>
      </c>
      <c r="D517" s="4" t="s">
        <v>2131</v>
      </c>
      <c r="E517" s="3" t="s">
        <v>1218</v>
      </c>
      <c r="F517" s="3" t="s">
        <v>2041</v>
      </c>
      <c r="G517" s="3" t="s">
        <v>321</v>
      </c>
      <c r="H517" s="4" t="s">
        <v>1095</v>
      </c>
    </row>
    <row r="518" ht="16.5" customHeight="1" spans="1:8">
      <c r="A518" s="3">
        <v>517</v>
      </c>
      <c r="B518" s="3" t="s">
        <v>2132</v>
      </c>
      <c r="C518" s="3" t="s">
        <v>1361</v>
      </c>
      <c r="D518" s="4" t="s">
        <v>2133</v>
      </c>
      <c r="E518" s="3" t="s">
        <v>1218</v>
      </c>
      <c r="F518" s="3" t="s">
        <v>2041</v>
      </c>
      <c r="G518" s="3" t="s">
        <v>321</v>
      </c>
      <c r="H518" s="4" t="s">
        <v>1095</v>
      </c>
    </row>
    <row r="519" ht="16.5" customHeight="1" spans="1:8">
      <c r="A519" s="3">
        <v>518</v>
      </c>
      <c r="B519" s="3" t="s">
        <v>2134</v>
      </c>
      <c r="C519" s="3" t="s">
        <v>1361</v>
      </c>
      <c r="D519" s="4" t="s">
        <v>2135</v>
      </c>
      <c r="E519" s="3" t="s">
        <v>2053</v>
      </c>
      <c r="F519" s="3" t="s">
        <v>2105</v>
      </c>
      <c r="G519" s="3" t="s">
        <v>321</v>
      </c>
      <c r="H519" s="4" t="s">
        <v>1368</v>
      </c>
    </row>
    <row r="520" ht="16.5" customHeight="1" spans="1:8">
      <c r="A520" s="3">
        <v>519</v>
      </c>
      <c r="B520" s="3" t="s">
        <v>2136</v>
      </c>
      <c r="C520" s="3" t="s">
        <v>1361</v>
      </c>
      <c r="D520" s="4" t="s">
        <v>2137</v>
      </c>
      <c r="E520" s="3" t="s">
        <v>1218</v>
      </c>
      <c r="F520" s="3" t="s">
        <v>2041</v>
      </c>
      <c r="G520" s="3" t="s">
        <v>321</v>
      </c>
      <c r="H520" s="4" t="s">
        <v>1095</v>
      </c>
    </row>
    <row r="521" ht="16.5" customHeight="1" spans="1:8">
      <c r="A521" s="3">
        <v>520</v>
      </c>
      <c r="B521" s="3" t="s">
        <v>2138</v>
      </c>
      <c r="C521" s="3" t="s">
        <v>1361</v>
      </c>
      <c r="D521" s="4" t="s">
        <v>2139</v>
      </c>
      <c r="E521" s="3" t="s">
        <v>2056</v>
      </c>
      <c r="F521" s="3" t="s">
        <v>2105</v>
      </c>
      <c r="G521" s="3" t="s">
        <v>321</v>
      </c>
      <c r="H521" s="4" t="s">
        <v>1368</v>
      </c>
    </row>
    <row r="522" ht="16.5" customHeight="1" spans="1:8">
      <c r="A522" s="3">
        <v>521</v>
      </c>
      <c r="B522" s="3" t="s">
        <v>2140</v>
      </c>
      <c r="C522" s="3" t="s">
        <v>1361</v>
      </c>
      <c r="D522" s="4" t="s">
        <v>2141</v>
      </c>
      <c r="E522" s="3" t="s">
        <v>2053</v>
      </c>
      <c r="F522" s="3" t="s">
        <v>2105</v>
      </c>
      <c r="G522" s="3" t="s">
        <v>321</v>
      </c>
      <c r="H522" s="4" t="s">
        <v>1368</v>
      </c>
    </row>
    <row r="523" ht="16.5" customHeight="1" spans="1:8">
      <c r="A523" s="3">
        <v>522</v>
      </c>
      <c r="B523" s="3" t="s">
        <v>2142</v>
      </c>
      <c r="C523" s="3" t="s">
        <v>1361</v>
      </c>
      <c r="D523" s="4" t="s">
        <v>2143</v>
      </c>
      <c r="E523" s="3" t="s">
        <v>1218</v>
      </c>
      <c r="F523" s="3" t="s">
        <v>2041</v>
      </c>
      <c r="G523" s="3" t="s">
        <v>321</v>
      </c>
      <c r="H523" s="4" t="s">
        <v>1095</v>
      </c>
    </row>
    <row r="524" ht="16.5" customHeight="1" spans="1:8">
      <c r="A524" s="3">
        <v>523</v>
      </c>
      <c r="B524" s="3" t="s">
        <v>2144</v>
      </c>
      <c r="C524" s="3" t="s">
        <v>1361</v>
      </c>
      <c r="D524" s="4" t="s">
        <v>2145</v>
      </c>
      <c r="E524" s="3" t="s">
        <v>1218</v>
      </c>
      <c r="F524" s="3" t="s">
        <v>2105</v>
      </c>
      <c r="G524" s="3" t="s">
        <v>321</v>
      </c>
      <c r="H524" s="4" t="s">
        <v>1368</v>
      </c>
    </row>
    <row r="525" ht="16.5" customHeight="1" spans="1:8">
      <c r="A525" s="3">
        <v>524</v>
      </c>
      <c r="B525" s="3" t="s">
        <v>2146</v>
      </c>
      <c r="C525" s="3" t="s">
        <v>1361</v>
      </c>
      <c r="D525" s="4" t="s">
        <v>2147</v>
      </c>
      <c r="E525" s="3" t="s">
        <v>2053</v>
      </c>
      <c r="F525" s="3" t="s">
        <v>2105</v>
      </c>
      <c r="G525" s="3" t="s">
        <v>321</v>
      </c>
      <c r="H525" s="4" t="s">
        <v>1368</v>
      </c>
    </row>
    <row r="526" ht="16.5" customHeight="1" spans="1:8">
      <c r="A526" s="3">
        <v>525</v>
      </c>
      <c r="B526" s="3" t="s">
        <v>2148</v>
      </c>
      <c r="C526" s="3" t="s">
        <v>1361</v>
      </c>
      <c r="D526" s="4" t="s">
        <v>2149</v>
      </c>
      <c r="E526" s="3" t="s">
        <v>2053</v>
      </c>
      <c r="F526" s="3" t="s">
        <v>2105</v>
      </c>
      <c r="G526" s="3" t="s">
        <v>321</v>
      </c>
      <c r="H526" s="4" t="s">
        <v>1368</v>
      </c>
    </row>
    <row r="527" ht="16.5" customHeight="1" spans="1:8">
      <c r="A527" s="3">
        <v>526</v>
      </c>
      <c r="B527" s="3" t="s">
        <v>2150</v>
      </c>
      <c r="C527" s="3" t="s">
        <v>1361</v>
      </c>
      <c r="D527" s="4" t="s">
        <v>2151</v>
      </c>
      <c r="E527" s="3" t="s">
        <v>2056</v>
      </c>
      <c r="F527" s="3" t="s">
        <v>2105</v>
      </c>
      <c r="G527" s="3" t="s">
        <v>321</v>
      </c>
      <c r="H527" s="4" t="s">
        <v>1368</v>
      </c>
    </row>
    <row r="528" ht="16.5" customHeight="1" spans="1:8">
      <c r="A528" s="3">
        <v>527</v>
      </c>
      <c r="B528" s="3" t="s">
        <v>2152</v>
      </c>
      <c r="C528" s="3" t="s">
        <v>1361</v>
      </c>
      <c r="D528" s="4" t="s">
        <v>2153</v>
      </c>
      <c r="E528" s="3" t="s">
        <v>1218</v>
      </c>
      <c r="F528" s="3" t="s">
        <v>2041</v>
      </c>
      <c r="G528" s="3" t="s">
        <v>321</v>
      </c>
      <c r="H528" s="4" t="s">
        <v>1095</v>
      </c>
    </row>
    <row r="529" ht="16.5" customHeight="1" spans="1:8">
      <c r="A529" s="3">
        <v>528</v>
      </c>
      <c r="B529" s="3" t="s">
        <v>2154</v>
      </c>
      <c r="C529" s="3" t="s">
        <v>1361</v>
      </c>
      <c r="D529" s="4" t="s">
        <v>2155</v>
      </c>
      <c r="E529" s="3" t="s">
        <v>2056</v>
      </c>
      <c r="F529" s="3" t="s">
        <v>2041</v>
      </c>
      <c r="G529" s="3" t="s">
        <v>321</v>
      </c>
      <c r="H529" s="4" t="s">
        <v>1095</v>
      </c>
    </row>
    <row r="530" ht="16.5" customHeight="1" spans="1:8">
      <c r="A530" s="3">
        <v>529</v>
      </c>
      <c r="B530" s="3" t="s">
        <v>2156</v>
      </c>
      <c r="C530" s="3" t="s">
        <v>1356</v>
      </c>
      <c r="D530" s="4" t="s">
        <v>2157</v>
      </c>
      <c r="E530" s="3" t="s">
        <v>1076</v>
      </c>
      <c r="F530" s="3" t="s">
        <v>1736</v>
      </c>
      <c r="G530" s="3" t="s">
        <v>321</v>
      </c>
      <c r="H530" s="4" t="s">
        <v>1368</v>
      </c>
    </row>
    <row r="531" ht="16.5" customHeight="1" spans="1:8">
      <c r="A531" s="3">
        <v>530</v>
      </c>
      <c r="B531" s="3" t="s">
        <v>2158</v>
      </c>
      <c r="C531" s="3" t="s">
        <v>1361</v>
      </c>
      <c r="D531" s="4" t="s">
        <v>2137</v>
      </c>
      <c r="E531" s="3" t="s">
        <v>2053</v>
      </c>
      <c r="F531" s="3" t="s">
        <v>2041</v>
      </c>
      <c r="G531" s="3" t="s">
        <v>321</v>
      </c>
      <c r="H531" s="4" t="s">
        <v>1095</v>
      </c>
    </row>
    <row r="532" ht="16.5" customHeight="1" spans="1:8">
      <c r="A532" s="3">
        <v>531</v>
      </c>
      <c r="B532" s="3" t="s">
        <v>2159</v>
      </c>
      <c r="C532" s="3" t="s">
        <v>1361</v>
      </c>
      <c r="D532" s="4" t="s">
        <v>2143</v>
      </c>
      <c r="E532" s="3" t="s">
        <v>1218</v>
      </c>
      <c r="F532" s="3" t="s">
        <v>2041</v>
      </c>
      <c r="G532" s="3" t="s">
        <v>321</v>
      </c>
      <c r="H532" s="4" t="s">
        <v>1095</v>
      </c>
    </row>
    <row r="533" ht="16.5" customHeight="1" spans="1:8">
      <c r="A533" s="3">
        <v>532</v>
      </c>
      <c r="B533" s="3" t="s">
        <v>2160</v>
      </c>
      <c r="C533" s="3" t="s">
        <v>1361</v>
      </c>
      <c r="D533" s="4" t="s">
        <v>2161</v>
      </c>
      <c r="E533" s="3" t="s">
        <v>1218</v>
      </c>
      <c r="F533" s="3" t="s">
        <v>2105</v>
      </c>
      <c r="G533" s="3" t="s">
        <v>321</v>
      </c>
      <c r="H533" s="4" t="s">
        <v>1368</v>
      </c>
    </row>
    <row r="534" ht="16.5" customHeight="1" spans="1:8">
      <c r="A534" s="3">
        <v>533</v>
      </c>
      <c r="B534" s="3" t="s">
        <v>2162</v>
      </c>
      <c r="C534" s="3" t="s">
        <v>2163</v>
      </c>
      <c r="D534" s="4" t="s">
        <v>2164</v>
      </c>
      <c r="E534" s="3" t="s">
        <v>1076</v>
      </c>
      <c r="F534" s="3" t="s">
        <v>2105</v>
      </c>
      <c r="G534" s="3" t="s">
        <v>321</v>
      </c>
      <c r="H534" s="4" t="s">
        <v>1095</v>
      </c>
    </row>
    <row r="535" ht="16.5" customHeight="1" spans="1:8">
      <c r="A535" s="3">
        <v>534</v>
      </c>
      <c r="B535" s="3" t="s">
        <v>2165</v>
      </c>
      <c r="C535" s="3" t="s">
        <v>2163</v>
      </c>
      <c r="D535" s="4" t="s">
        <v>2166</v>
      </c>
      <c r="E535" s="3" t="s">
        <v>1076</v>
      </c>
      <c r="F535" s="3" t="s">
        <v>2105</v>
      </c>
      <c r="G535" s="3" t="s">
        <v>321</v>
      </c>
      <c r="H535" s="4" t="s">
        <v>1095</v>
      </c>
    </row>
    <row r="536" ht="16.5" customHeight="1" spans="1:8">
      <c r="A536" s="3">
        <v>535</v>
      </c>
      <c r="B536" s="3" t="s">
        <v>2167</v>
      </c>
      <c r="C536" s="3" t="s">
        <v>1074</v>
      </c>
      <c r="D536" s="4" t="s">
        <v>2168</v>
      </c>
      <c r="E536" s="3" t="s">
        <v>1076</v>
      </c>
      <c r="F536" s="3" t="s">
        <v>1215</v>
      </c>
      <c r="G536" s="3" t="s">
        <v>321</v>
      </c>
      <c r="H536" s="4" t="s">
        <v>1095</v>
      </c>
    </row>
    <row r="537" ht="16.5" customHeight="1" spans="1:8">
      <c r="A537" s="3">
        <v>536</v>
      </c>
      <c r="B537" s="3" t="s">
        <v>2169</v>
      </c>
      <c r="C537" s="3" t="s">
        <v>1356</v>
      </c>
      <c r="D537" s="4" t="s">
        <v>2170</v>
      </c>
      <c r="E537" s="3" t="s">
        <v>1076</v>
      </c>
      <c r="F537" s="3" t="s">
        <v>1358</v>
      </c>
      <c r="G537" s="3" t="s">
        <v>321</v>
      </c>
      <c r="H537" s="4" t="s">
        <v>1368</v>
      </c>
    </row>
    <row r="538" ht="16.5" customHeight="1" spans="1:8">
      <c r="A538" s="3">
        <v>537</v>
      </c>
      <c r="B538" s="3" t="s">
        <v>2171</v>
      </c>
      <c r="C538" s="3" t="s">
        <v>1074</v>
      </c>
      <c r="D538" s="4" t="s">
        <v>2172</v>
      </c>
      <c r="E538" s="3" t="s">
        <v>1076</v>
      </c>
      <c r="F538" s="3" t="s">
        <v>1077</v>
      </c>
      <c r="G538" s="3" t="s">
        <v>321</v>
      </c>
      <c r="H538" s="4" t="s">
        <v>1305</v>
      </c>
    </row>
    <row r="539" ht="16.5" customHeight="1" spans="1:8">
      <c r="A539" s="3">
        <v>538</v>
      </c>
      <c r="B539" s="3" t="s">
        <v>2173</v>
      </c>
      <c r="C539" s="3" t="s">
        <v>1074</v>
      </c>
      <c r="D539" s="4" t="s">
        <v>2174</v>
      </c>
      <c r="E539" s="3" t="s">
        <v>1076</v>
      </c>
      <c r="F539" s="3" t="s">
        <v>1077</v>
      </c>
      <c r="G539" s="3" t="s">
        <v>321</v>
      </c>
      <c r="H539" s="4" t="s">
        <v>1305</v>
      </c>
    </row>
    <row r="540" ht="16.5" customHeight="1" spans="1:8">
      <c r="A540" s="3">
        <v>539</v>
      </c>
      <c r="B540" s="3" t="s">
        <v>2175</v>
      </c>
      <c r="C540" s="3" t="s">
        <v>1074</v>
      </c>
      <c r="D540" s="4" t="s">
        <v>2176</v>
      </c>
      <c r="E540" s="3" t="s">
        <v>1076</v>
      </c>
      <c r="F540" s="3" t="s">
        <v>1077</v>
      </c>
      <c r="G540" s="3" t="s">
        <v>321</v>
      </c>
      <c r="H540" s="4" t="s">
        <v>1308</v>
      </c>
    </row>
    <row r="541" ht="16.5" customHeight="1" spans="1:8">
      <c r="A541" s="3">
        <v>540</v>
      </c>
      <c r="B541" s="3" t="s">
        <v>2177</v>
      </c>
      <c r="C541" s="3" t="s">
        <v>1074</v>
      </c>
      <c r="D541" s="4" t="s">
        <v>2178</v>
      </c>
      <c r="E541" s="3" t="s">
        <v>1076</v>
      </c>
      <c r="F541" s="3" t="s">
        <v>1077</v>
      </c>
      <c r="G541" s="3" t="s">
        <v>321</v>
      </c>
      <c r="H541" s="4" t="s">
        <v>1308</v>
      </c>
    </row>
    <row r="542" ht="16.5" customHeight="1" spans="1:8">
      <c r="A542" s="3">
        <v>541</v>
      </c>
      <c r="B542" s="3" t="s">
        <v>2179</v>
      </c>
      <c r="C542" s="3" t="s">
        <v>1074</v>
      </c>
      <c r="D542" s="4" t="s">
        <v>2180</v>
      </c>
      <c r="E542" s="3" t="s">
        <v>1076</v>
      </c>
      <c r="F542" s="3" t="s">
        <v>1077</v>
      </c>
      <c r="G542" s="3" t="s">
        <v>321</v>
      </c>
      <c r="H542" s="4" t="s">
        <v>2181</v>
      </c>
    </row>
    <row r="543" ht="16.5" customHeight="1" spans="1:8">
      <c r="A543" s="3">
        <v>542</v>
      </c>
      <c r="B543" s="3" t="s">
        <v>2182</v>
      </c>
      <c r="C543" s="3" t="s">
        <v>1074</v>
      </c>
      <c r="D543" s="4" t="s">
        <v>2183</v>
      </c>
      <c r="E543" s="3" t="s">
        <v>1076</v>
      </c>
      <c r="F543" s="3" t="s">
        <v>1077</v>
      </c>
      <c r="G543" s="3" t="s">
        <v>321</v>
      </c>
      <c r="H543" s="4" t="s">
        <v>2181</v>
      </c>
    </row>
    <row r="544" ht="16.5" customHeight="1" spans="1:8">
      <c r="A544" s="3">
        <v>543</v>
      </c>
      <c r="B544" s="3" t="s">
        <v>2184</v>
      </c>
      <c r="C544" s="3" t="s">
        <v>1105</v>
      </c>
      <c r="D544" s="4" t="s">
        <v>2185</v>
      </c>
      <c r="E544" s="3" t="s">
        <v>1076</v>
      </c>
      <c r="F544" s="3" t="s">
        <v>1077</v>
      </c>
      <c r="G544" s="3" t="s">
        <v>321</v>
      </c>
      <c r="H544" s="4" t="s">
        <v>2186</v>
      </c>
    </row>
    <row r="545" ht="16.5" customHeight="1" spans="1:8">
      <c r="A545" s="3">
        <v>544</v>
      </c>
      <c r="B545" s="3" t="s">
        <v>2187</v>
      </c>
      <c r="C545" s="3" t="s">
        <v>1105</v>
      </c>
      <c r="D545" s="4" t="s">
        <v>2188</v>
      </c>
      <c r="E545" s="3" t="s">
        <v>1076</v>
      </c>
      <c r="F545" s="3" t="s">
        <v>1077</v>
      </c>
      <c r="G545" s="3" t="s">
        <v>321</v>
      </c>
      <c r="H545" s="4" t="s">
        <v>2189</v>
      </c>
    </row>
    <row r="546" ht="16.5" customHeight="1" spans="1:8">
      <c r="A546" s="3">
        <v>545</v>
      </c>
      <c r="B546" s="3" t="s">
        <v>2190</v>
      </c>
      <c r="C546" s="3" t="s">
        <v>1105</v>
      </c>
      <c r="D546" s="4" t="s">
        <v>2191</v>
      </c>
      <c r="E546" s="3" t="s">
        <v>1076</v>
      </c>
      <c r="F546" s="3" t="s">
        <v>1077</v>
      </c>
      <c r="G546" s="3" t="s">
        <v>321</v>
      </c>
      <c r="H546" s="4" t="s">
        <v>2189</v>
      </c>
    </row>
    <row r="547" ht="16.5" customHeight="1" spans="1:8">
      <c r="A547" s="3">
        <v>546</v>
      </c>
      <c r="B547" s="3" t="s">
        <v>2192</v>
      </c>
      <c r="C547" s="3" t="s">
        <v>1105</v>
      </c>
      <c r="D547" s="4" t="s">
        <v>2193</v>
      </c>
      <c r="E547" s="3" t="s">
        <v>1076</v>
      </c>
      <c r="F547" s="3" t="s">
        <v>1077</v>
      </c>
      <c r="G547" s="3" t="s">
        <v>321</v>
      </c>
      <c r="H547" s="4" t="s">
        <v>2189</v>
      </c>
    </row>
    <row r="548" ht="16.5" customHeight="1" spans="1:8">
      <c r="A548" s="3">
        <v>547</v>
      </c>
      <c r="B548" s="3" t="s">
        <v>2194</v>
      </c>
      <c r="C548" s="3" t="s">
        <v>1105</v>
      </c>
      <c r="D548" s="4" t="s">
        <v>2195</v>
      </c>
      <c r="E548" s="3" t="s">
        <v>1076</v>
      </c>
      <c r="F548" s="3" t="s">
        <v>1077</v>
      </c>
      <c r="G548" s="3" t="s">
        <v>321</v>
      </c>
      <c r="H548" s="4" t="s">
        <v>2189</v>
      </c>
    </row>
    <row r="549" ht="16.5" customHeight="1" spans="1:8">
      <c r="A549" s="3">
        <v>548</v>
      </c>
      <c r="B549" s="3" t="s">
        <v>2196</v>
      </c>
      <c r="C549" s="3" t="s">
        <v>1105</v>
      </c>
      <c r="D549" s="4" t="s">
        <v>2197</v>
      </c>
      <c r="E549" s="3" t="s">
        <v>1076</v>
      </c>
      <c r="F549" s="3" t="s">
        <v>1077</v>
      </c>
      <c r="G549" s="3" t="s">
        <v>321</v>
      </c>
      <c r="H549" s="4" t="s">
        <v>2189</v>
      </c>
    </row>
    <row r="550" ht="16.5" customHeight="1" spans="1:8">
      <c r="A550" s="3">
        <v>549</v>
      </c>
      <c r="B550" s="3" t="s">
        <v>2198</v>
      </c>
      <c r="C550" s="3" t="s">
        <v>1105</v>
      </c>
      <c r="D550" s="4" t="s">
        <v>2199</v>
      </c>
      <c r="E550" s="3" t="s">
        <v>1076</v>
      </c>
      <c r="F550" s="3" t="s">
        <v>1077</v>
      </c>
      <c r="G550" s="3" t="s">
        <v>321</v>
      </c>
      <c r="H550" s="4" t="s">
        <v>2189</v>
      </c>
    </row>
    <row r="551" ht="16.5" customHeight="1" spans="1:8">
      <c r="A551" s="3">
        <v>550</v>
      </c>
      <c r="B551" s="3" t="s">
        <v>2200</v>
      </c>
      <c r="C551" s="3" t="s">
        <v>1105</v>
      </c>
      <c r="D551" s="4" t="s">
        <v>2201</v>
      </c>
      <c r="E551" s="3" t="s">
        <v>1076</v>
      </c>
      <c r="F551" s="3" t="s">
        <v>1077</v>
      </c>
      <c r="G551" s="3" t="s">
        <v>321</v>
      </c>
      <c r="H551" s="4" t="s">
        <v>2202</v>
      </c>
    </row>
    <row r="552" ht="16.5" customHeight="1" spans="1:8">
      <c r="A552" s="3">
        <v>551</v>
      </c>
      <c r="B552" s="3" t="s">
        <v>2203</v>
      </c>
      <c r="C552" s="3" t="s">
        <v>1105</v>
      </c>
      <c r="D552" s="4" t="s">
        <v>2204</v>
      </c>
      <c r="E552" s="3" t="s">
        <v>1076</v>
      </c>
      <c r="F552" s="3" t="s">
        <v>1077</v>
      </c>
      <c r="G552" s="3" t="s">
        <v>321</v>
      </c>
      <c r="H552" s="4" t="s">
        <v>2202</v>
      </c>
    </row>
    <row r="553" ht="16.5" customHeight="1" spans="1:8">
      <c r="A553" s="3">
        <v>552</v>
      </c>
      <c r="B553" s="3" t="s">
        <v>2205</v>
      </c>
      <c r="C553" s="3" t="s">
        <v>1105</v>
      </c>
      <c r="D553" s="4" t="s">
        <v>2206</v>
      </c>
      <c r="E553" s="3" t="s">
        <v>1076</v>
      </c>
      <c r="F553" s="3" t="s">
        <v>1077</v>
      </c>
      <c r="G553" s="3" t="s">
        <v>321</v>
      </c>
      <c r="H553" s="4" t="s">
        <v>2202</v>
      </c>
    </row>
    <row r="554" ht="16.5" customHeight="1" spans="1:8">
      <c r="A554" s="3">
        <v>553</v>
      </c>
      <c r="B554" s="3" t="s">
        <v>2207</v>
      </c>
      <c r="C554" s="3" t="s">
        <v>1105</v>
      </c>
      <c r="D554" s="4" t="s">
        <v>2208</v>
      </c>
      <c r="E554" s="3" t="s">
        <v>1076</v>
      </c>
      <c r="F554" s="3" t="s">
        <v>1077</v>
      </c>
      <c r="G554" s="3" t="s">
        <v>321</v>
      </c>
      <c r="H554" s="4" t="s">
        <v>2202</v>
      </c>
    </row>
    <row r="555" ht="16.5" customHeight="1" spans="1:8">
      <c r="A555" s="3">
        <v>554</v>
      </c>
      <c r="B555" s="3" t="s">
        <v>2209</v>
      </c>
      <c r="C555" s="3" t="s">
        <v>1105</v>
      </c>
      <c r="D555" s="4" t="s">
        <v>2210</v>
      </c>
      <c r="E555" s="3" t="s">
        <v>1076</v>
      </c>
      <c r="F555" s="3" t="s">
        <v>1077</v>
      </c>
      <c r="G555" s="3" t="s">
        <v>321</v>
      </c>
      <c r="H555" s="4" t="s">
        <v>2202</v>
      </c>
    </row>
    <row r="556" ht="16.5" customHeight="1" spans="1:8">
      <c r="A556" s="3">
        <v>555</v>
      </c>
      <c r="B556" s="3" t="s">
        <v>2211</v>
      </c>
      <c r="C556" s="3" t="s">
        <v>1105</v>
      </c>
      <c r="D556" s="4" t="s">
        <v>1910</v>
      </c>
      <c r="E556" s="3" t="s">
        <v>1076</v>
      </c>
      <c r="F556" s="3" t="s">
        <v>1077</v>
      </c>
      <c r="G556" s="3" t="s">
        <v>321</v>
      </c>
      <c r="H556" s="4" t="s">
        <v>2202</v>
      </c>
    </row>
    <row r="557" ht="16.5" customHeight="1" spans="1:8">
      <c r="A557" s="3">
        <v>556</v>
      </c>
      <c r="B557" s="3" t="s">
        <v>2212</v>
      </c>
      <c r="C557" s="3" t="s">
        <v>1105</v>
      </c>
      <c r="D557" s="4" t="s">
        <v>2213</v>
      </c>
      <c r="E557" s="3" t="s">
        <v>1076</v>
      </c>
      <c r="F557" s="3" t="s">
        <v>1077</v>
      </c>
      <c r="G557" s="3" t="s">
        <v>321</v>
      </c>
      <c r="H557" s="4" t="s">
        <v>2214</v>
      </c>
    </row>
    <row r="558" ht="16.5" customHeight="1" spans="1:8">
      <c r="A558" s="3">
        <v>557</v>
      </c>
      <c r="B558" s="3" t="s">
        <v>2215</v>
      </c>
      <c r="C558" s="3" t="s">
        <v>1105</v>
      </c>
      <c r="D558" s="4" t="s">
        <v>2216</v>
      </c>
      <c r="E558" s="3" t="s">
        <v>1076</v>
      </c>
      <c r="F558" s="3" t="s">
        <v>1077</v>
      </c>
      <c r="G558" s="3" t="s">
        <v>321</v>
      </c>
      <c r="H558" s="4" t="s">
        <v>2214</v>
      </c>
    </row>
    <row r="559" ht="16.5" customHeight="1" spans="1:8">
      <c r="A559" s="3">
        <v>558</v>
      </c>
      <c r="B559" s="3" t="s">
        <v>2217</v>
      </c>
      <c r="C559" s="3" t="s">
        <v>1105</v>
      </c>
      <c r="D559" s="4" t="s">
        <v>1925</v>
      </c>
      <c r="E559" s="3" t="s">
        <v>1076</v>
      </c>
      <c r="F559" s="3" t="s">
        <v>1077</v>
      </c>
      <c r="G559" s="3" t="s">
        <v>321</v>
      </c>
      <c r="H559" s="4" t="s">
        <v>2214</v>
      </c>
    </row>
    <row r="560" ht="16.5" customHeight="1" spans="1:8">
      <c r="A560" s="3">
        <v>559</v>
      </c>
      <c r="B560" s="3" t="s">
        <v>2218</v>
      </c>
      <c r="C560" s="3" t="s">
        <v>1105</v>
      </c>
      <c r="D560" s="4" t="s">
        <v>2219</v>
      </c>
      <c r="E560" s="3" t="s">
        <v>1076</v>
      </c>
      <c r="F560" s="3" t="s">
        <v>1077</v>
      </c>
      <c r="G560" s="3" t="s">
        <v>321</v>
      </c>
      <c r="H560" s="4" t="s">
        <v>2214</v>
      </c>
    </row>
    <row r="561" ht="16.5" customHeight="1" spans="1:8">
      <c r="A561" s="3">
        <v>560</v>
      </c>
      <c r="B561" s="3" t="s">
        <v>2220</v>
      </c>
      <c r="C561" s="3" t="s">
        <v>1105</v>
      </c>
      <c r="D561" s="4" t="s">
        <v>2221</v>
      </c>
      <c r="E561" s="3" t="s">
        <v>1076</v>
      </c>
      <c r="F561" s="3" t="s">
        <v>1077</v>
      </c>
      <c r="G561" s="3" t="s">
        <v>321</v>
      </c>
      <c r="H561" s="4" t="s">
        <v>2214</v>
      </c>
    </row>
    <row r="562" ht="16.5" customHeight="1" spans="1:8">
      <c r="A562" s="3">
        <v>561</v>
      </c>
      <c r="B562" s="3" t="s">
        <v>2222</v>
      </c>
      <c r="C562" s="3" t="s">
        <v>1105</v>
      </c>
      <c r="D562" s="4" t="s">
        <v>2223</v>
      </c>
      <c r="E562" s="3" t="s">
        <v>1076</v>
      </c>
      <c r="F562" s="3" t="s">
        <v>1077</v>
      </c>
      <c r="G562" s="3" t="s">
        <v>321</v>
      </c>
      <c r="H562" s="4" t="s">
        <v>2214</v>
      </c>
    </row>
    <row r="563" ht="16.5" customHeight="1" spans="1:8">
      <c r="A563" s="3">
        <v>562</v>
      </c>
      <c r="B563" s="3" t="s">
        <v>2224</v>
      </c>
      <c r="C563" s="3" t="s">
        <v>1105</v>
      </c>
      <c r="D563" s="4" t="s">
        <v>2225</v>
      </c>
      <c r="E563" s="3" t="s">
        <v>1076</v>
      </c>
      <c r="F563" s="3" t="s">
        <v>1077</v>
      </c>
      <c r="G563" s="3" t="s">
        <v>321</v>
      </c>
      <c r="H563" s="4" t="s">
        <v>2226</v>
      </c>
    </row>
    <row r="564" ht="16.5" customHeight="1" spans="1:8">
      <c r="A564" s="3">
        <v>563</v>
      </c>
      <c r="B564" s="3" t="s">
        <v>2227</v>
      </c>
      <c r="C564" s="3" t="s">
        <v>1105</v>
      </c>
      <c r="D564" s="4" t="s">
        <v>2228</v>
      </c>
      <c r="E564" s="3" t="s">
        <v>1076</v>
      </c>
      <c r="F564" s="3" t="s">
        <v>1077</v>
      </c>
      <c r="G564" s="3" t="s">
        <v>321</v>
      </c>
      <c r="H564" s="4" t="s">
        <v>2226</v>
      </c>
    </row>
    <row r="565" ht="16.5" customHeight="1" spans="1:8">
      <c r="A565" s="3">
        <v>564</v>
      </c>
      <c r="B565" s="3" t="s">
        <v>2229</v>
      </c>
      <c r="C565" s="3" t="s">
        <v>1105</v>
      </c>
      <c r="D565" s="4" t="s">
        <v>2230</v>
      </c>
      <c r="E565" s="3" t="s">
        <v>1076</v>
      </c>
      <c r="F565" s="3" t="s">
        <v>1077</v>
      </c>
      <c r="G565" s="3" t="s">
        <v>321</v>
      </c>
      <c r="H565" s="4" t="s">
        <v>2226</v>
      </c>
    </row>
    <row r="566" ht="16.5" customHeight="1" spans="1:8">
      <c r="A566" s="3">
        <v>565</v>
      </c>
      <c r="B566" s="3" t="s">
        <v>2231</v>
      </c>
      <c r="C566" s="3" t="s">
        <v>1105</v>
      </c>
      <c r="D566" s="4" t="s">
        <v>2232</v>
      </c>
      <c r="E566" s="3" t="s">
        <v>1076</v>
      </c>
      <c r="F566" s="3" t="s">
        <v>1077</v>
      </c>
      <c r="G566" s="3" t="s">
        <v>321</v>
      </c>
      <c r="H566" s="4" t="s">
        <v>2226</v>
      </c>
    </row>
    <row r="567" ht="16.5" customHeight="1" spans="1:8">
      <c r="A567" s="3">
        <v>566</v>
      </c>
      <c r="B567" s="3" t="s">
        <v>2233</v>
      </c>
      <c r="C567" s="3" t="s">
        <v>1105</v>
      </c>
      <c r="D567" s="4" t="s">
        <v>2234</v>
      </c>
      <c r="E567" s="3" t="s">
        <v>1076</v>
      </c>
      <c r="F567" s="3" t="s">
        <v>1077</v>
      </c>
      <c r="G567" s="3" t="s">
        <v>321</v>
      </c>
      <c r="H567" s="4" t="s">
        <v>2226</v>
      </c>
    </row>
    <row r="568" ht="16.5" customHeight="1" spans="1:8">
      <c r="A568" s="3">
        <v>567</v>
      </c>
      <c r="B568" s="3" t="s">
        <v>2235</v>
      </c>
      <c r="C568" s="3" t="s">
        <v>1105</v>
      </c>
      <c r="D568" s="4" t="s">
        <v>2236</v>
      </c>
      <c r="E568" s="3" t="s">
        <v>1076</v>
      </c>
      <c r="F568" s="3" t="s">
        <v>1077</v>
      </c>
      <c r="G568" s="3" t="s">
        <v>321</v>
      </c>
      <c r="H568" s="4" t="s">
        <v>2237</v>
      </c>
    </row>
    <row r="569" ht="16.5" customHeight="1" spans="1:8">
      <c r="A569" s="3">
        <v>568</v>
      </c>
      <c r="B569" s="3" t="s">
        <v>2238</v>
      </c>
      <c r="C569" s="3" t="s">
        <v>1105</v>
      </c>
      <c r="D569" s="4" t="s">
        <v>1955</v>
      </c>
      <c r="E569" s="3" t="s">
        <v>1076</v>
      </c>
      <c r="F569" s="3" t="s">
        <v>1077</v>
      </c>
      <c r="G569" s="3" t="s">
        <v>321</v>
      </c>
      <c r="H569" s="4" t="s">
        <v>2237</v>
      </c>
    </row>
    <row r="570" ht="16.5" customHeight="1" spans="1:8">
      <c r="A570" s="3">
        <v>569</v>
      </c>
      <c r="B570" s="3" t="s">
        <v>2239</v>
      </c>
      <c r="C570" s="3" t="s">
        <v>1105</v>
      </c>
      <c r="D570" s="4" t="s">
        <v>1925</v>
      </c>
      <c r="E570" s="3" t="s">
        <v>1076</v>
      </c>
      <c r="F570" s="3" t="s">
        <v>1077</v>
      </c>
      <c r="G570" s="3" t="s">
        <v>321</v>
      </c>
      <c r="H570" s="4" t="s">
        <v>2237</v>
      </c>
    </row>
    <row r="571" ht="16.5" customHeight="1" spans="1:8">
      <c r="A571" s="3">
        <v>570</v>
      </c>
      <c r="B571" s="3" t="s">
        <v>2240</v>
      </c>
      <c r="C571" s="3" t="s">
        <v>1105</v>
      </c>
      <c r="D571" s="4" t="s">
        <v>2241</v>
      </c>
      <c r="E571" s="3" t="s">
        <v>1076</v>
      </c>
      <c r="F571" s="3" t="s">
        <v>1077</v>
      </c>
      <c r="G571" s="3" t="s">
        <v>321</v>
      </c>
      <c r="H571" s="4" t="s">
        <v>2237</v>
      </c>
    </row>
    <row r="572" ht="16.5" customHeight="1" spans="1:8">
      <c r="A572" s="3">
        <v>571</v>
      </c>
      <c r="B572" s="3" t="s">
        <v>2242</v>
      </c>
      <c r="C572" s="3" t="s">
        <v>1105</v>
      </c>
      <c r="D572" s="4" t="s">
        <v>2243</v>
      </c>
      <c r="E572" s="3" t="s">
        <v>1076</v>
      </c>
      <c r="F572" s="3" t="s">
        <v>1077</v>
      </c>
      <c r="G572" s="3" t="s">
        <v>321</v>
      </c>
      <c r="H572" s="4" t="s">
        <v>2237</v>
      </c>
    </row>
    <row r="573" ht="16.5" customHeight="1" spans="1:8">
      <c r="A573" s="3">
        <v>572</v>
      </c>
      <c r="B573" s="3" t="s">
        <v>2244</v>
      </c>
      <c r="C573" s="3" t="s">
        <v>1105</v>
      </c>
      <c r="D573" s="4" t="s">
        <v>2245</v>
      </c>
      <c r="E573" s="3" t="s">
        <v>1076</v>
      </c>
      <c r="F573" s="3" t="s">
        <v>1077</v>
      </c>
      <c r="G573" s="3" t="s">
        <v>321</v>
      </c>
      <c r="H573" s="4" t="s">
        <v>2237</v>
      </c>
    </row>
    <row r="574" ht="16.5" customHeight="1" spans="1:8">
      <c r="A574" s="3">
        <v>573</v>
      </c>
      <c r="B574" s="3" t="s">
        <v>2246</v>
      </c>
      <c r="C574" s="3" t="s">
        <v>1356</v>
      </c>
      <c r="D574" s="4" t="s">
        <v>2247</v>
      </c>
      <c r="E574" s="3" t="s">
        <v>1076</v>
      </c>
      <c r="F574" s="3" t="s">
        <v>1358</v>
      </c>
      <c r="G574" s="3" t="s">
        <v>321</v>
      </c>
      <c r="H574" s="4" t="s">
        <v>1095</v>
      </c>
    </row>
    <row r="575" ht="16.5" customHeight="1" spans="1:8">
      <c r="A575" s="3">
        <v>574</v>
      </c>
      <c r="B575" s="3" t="s">
        <v>2248</v>
      </c>
      <c r="C575" s="3" t="s">
        <v>1356</v>
      </c>
      <c r="D575" s="4" t="s">
        <v>2249</v>
      </c>
      <c r="E575" s="3" t="s">
        <v>1076</v>
      </c>
      <c r="F575" s="3" t="s">
        <v>2250</v>
      </c>
      <c r="G575" s="3" t="s">
        <v>321</v>
      </c>
      <c r="H575" s="4" t="s">
        <v>1359</v>
      </c>
    </row>
    <row r="576" ht="16.5" customHeight="1" spans="1:8">
      <c r="A576" s="3">
        <v>575</v>
      </c>
      <c r="B576" s="3" t="s">
        <v>2251</v>
      </c>
      <c r="C576" s="3" t="s">
        <v>1105</v>
      </c>
      <c r="D576" s="4" t="s">
        <v>2252</v>
      </c>
      <c r="E576" s="3" t="s">
        <v>1076</v>
      </c>
      <c r="F576" s="3" t="s">
        <v>1358</v>
      </c>
      <c r="G576" s="3" t="s">
        <v>321</v>
      </c>
      <c r="H576" s="4" t="s">
        <v>2033</v>
      </c>
    </row>
    <row r="577" ht="16.5" customHeight="1" spans="1:8">
      <c r="A577" s="3">
        <v>576</v>
      </c>
      <c r="B577" s="3" t="s">
        <v>2253</v>
      </c>
      <c r="C577" s="3" t="s">
        <v>1356</v>
      </c>
      <c r="D577" s="4" t="s">
        <v>2254</v>
      </c>
      <c r="E577" s="3" t="s">
        <v>1076</v>
      </c>
      <c r="F577" s="3" t="s">
        <v>1358</v>
      </c>
      <c r="G577" s="3" t="s">
        <v>321</v>
      </c>
      <c r="H577" s="4" t="s">
        <v>1095</v>
      </c>
    </row>
    <row r="578" ht="16.5" customHeight="1" spans="1:8">
      <c r="A578" s="3">
        <v>577</v>
      </c>
      <c r="B578" s="3" t="s">
        <v>2255</v>
      </c>
      <c r="C578" s="3" t="s">
        <v>2163</v>
      </c>
      <c r="D578" s="4" t="s">
        <v>2256</v>
      </c>
      <c r="E578" s="3" t="s">
        <v>1076</v>
      </c>
      <c r="F578" s="3" t="s">
        <v>1358</v>
      </c>
      <c r="G578" s="3" t="s">
        <v>321</v>
      </c>
      <c r="H578" s="4" t="s">
        <v>1095</v>
      </c>
    </row>
    <row r="579" ht="16.5" customHeight="1" spans="1:8">
      <c r="A579" s="3">
        <v>578</v>
      </c>
      <c r="B579" s="3" t="s">
        <v>2257</v>
      </c>
      <c r="C579" s="3" t="s">
        <v>2163</v>
      </c>
      <c r="D579" s="4" t="s">
        <v>2258</v>
      </c>
      <c r="E579" s="3" t="s">
        <v>1076</v>
      </c>
      <c r="F579" s="3" t="s">
        <v>2105</v>
      </c>
      <c r="G579" s="3" t="s">
        <v>321</v>
      </c>
      <c r="H579" s="4" t="s">
        <v>1095</v>
      </c>
    </row>
    <row r="580" ht="16.5" customHeight="1" spans="1:8">
      <c r="A580" s="3">
        <v>579</v>
      </c>
      <c r="B580" s="3" t="s">
        <v>2259</v>
      </c>
      <c r="C580" s="3" t="s">
        <v>2163</v>
      </c>
      <c r="D580" s="4" t="s">
        <v>2260</v>
      </c>
      <c r="E580" s="3" t="s">
        <v>1076</v>
      </c>
      <c r="F580" s="3" t="s">
        <v>2105</v>
      </c>
      <c r="G580" s="3" t="s">
        <v>321</v>
      </c>
      <c r="H580" s="4" t="s">
        <v>1095</v>
      </c>
    </row>
    <row r="581" ht="16.5" customHeight="1" spans="1:8">
      <c r="A581" s="3">
        <v>580</v>
      </c>
      <c r="B581" s="3" t="s">
        <v>2261</v>
      </c>
      <c r="C581" s="3" t="s">
        <v>2163</v>
      </c>
      <c r="D581" s="4" t="s">
        <v>2262</v>
      </c>
      <c r="E581" s="3" t="s">
        <v>2263</v>
      </c>
      <c r="F581" s="3" t="s">
        <v>2105</v>
      </c>
      <c r="G581" s="3" t="s">
        <v>321</v>
      </c>
      <c r="H581" s="4" t="s">
        <v>1095</v>
      </c>
    </row>
    <row r="582" ht="16.5" customHeight="1" spans="1:8">
      <c r="A582" s="3">
        <v>581</v>
      </c>
      <c r="B582" s="3" t="s">
        <v>2264</v>
      </c>
      <c r="C582" s="3" t="s">
        <v>2163</v>
      </c>
      <c r="D582" s="4" t="s">
        <v>2265</v>
      </c>
      <c r="E582" s="3" t="s">
        <v>1076</v>
      </c>
      <c r="F582" s="3" t="s">
        <v>2105</v>
      </c>
      <c r="G582" s="3" t="s">
        <v>321</v>
      </c>
      <c r="H582" s="4" t="s">
        <v>1095</v>
      </c>
    </row>
    <row r="583" ht="16.5" customHeight="1" spans="1:8">
      <c r="A583" s="3">
        <v>582</v>
      </c>
      <c r="B583" s="3" t="s">
        <v>2266</v>
      </c>
      <c r="C583" s="3" t="s">
        <v>2163</v>
      </c>
      <c r="D583" s="4" t="s">
        <v>2267</v>
      </c>
      <c r="E583" s="3" t="s">
        <v>1076</v>
      </c>
      <c r="F583" s="3" t="s">
        <v>2105</v>
      </c>
      <c r="G583" s="3" t="s">
        <v>321</v>
      </c>
      <c r="H583" s="4" t="s">
        <v>1095</v>
      </c>
    </row>
    <row r="584" ht="16.5" customHeight="1" spans="1:8">
      <c r="A584" s="3">
        <v>583</v>
      </c>
      <c r="B584" s="3" t="s">
        <v>2268</v>
      </c>
      <c r="C584" s="3" t="s">
        <v>2163</v>
      </c>
      <c r="D584" s="4" t="s">
        <v>2269</v>
      </c>
      <c r="E584" s="3" t="s">
        <v>1076</v>
      </c>
      <c r="F584" s="3" t="s">
        <v>2105</v>
      </c>
      <c r="G584" s="3" t="s">
        <v>321</v>
      </c>
      <c r="H584" s="4" t="s">
        <v>1095</v>
      </c>
    </row>
    <row r="585" ht="16.5" customHeight="1" spans="1:8">
      <c r="A585" s="3">
        <v>584</v>
      </c>
      <c r="B585" s="3" t="s">
        <v>2270</v>
      </c>
      <c r="C585" s="3" t="s">
        <v>2163</v>
      </c>
      <c r="D585" s="4" t="s">
        <v>2271</v>
      </c>
      <c r="E585" s="3" t="s">
        <v>1076</v>
      </c>
      <c r="F585" s="3" t="s">
        <v>2105</v>
      </c>
      <c r="G585" s="3" t="s">
        <v>321</v>
      </c>
      <c r="H585" s="4" t="s">
        <v>1095</v>
      </c>
    </row>
    <row r="586" ht="16.5" customHeight="1" spans="1:8">
      <c r="A586" s="3">
        <v>585</v>
      </c>
      <c r="B586" s="3" t="s">
        <v>2272</v>
      </c>
      <c r="C586" s="3" t="s">
        <v>2163</v>
      </c>
      <c r="D586" s="4" t="s">
        <v>2273</v>
      </c>
      <c r="E586" s="3" t="s">
        <v>2263</v>
      </c>
      <c r="F586" s="3" t="s">
        <v>2105</v>
      </c>
      <c r="G586" s="3" t="s">
        <v>321</v>
      </c>
      <c r="H586" s="4" t="s">
        <v>1095</v>
      </c>
    </row>
    <row r="587" ht="16.5" customHeight="1" spans="1:8">
      <c r="A587" s="3">
        <v>586</v>
      </c>
      <c r="B587" s="3" t="s">
        <v>2274</v>
      </c>
      <c r="C587" s="3" t="s">
        <v>2163</v>
      </c>
      <c r="D587" s="4" t="s">
        <v>2275</v>
      </c>
      <c r="E587" s="3" t="s">
        <v>1076</v>
      </c>
      <c r="F587" s="3" t="s">
        <v>2105</v>
      </c>
      <c r="G587" s="3" t="s">
        <v>321</v>
      </c>
      <c r="H587" s="4" t="s">
        <v>1095</v>
      </c>
    </row>
    <row r="588" ht="16.5" customHeight="1" spans="1:8">
      <c r="A588" s="3">
        <v>587</v>
      </c>
      <c r="B588" s="3" t="s">
        <v>2276</v>
      </c>
      <c r="C588" s="3" t="s">
        <v>2163</v>
      </c>
      <c r="D588" s="4" t="s">
        <v>2277</v>
      </c>
      <c r="E588" s="3" t="s">
        <v>2263</v>
      </c>
      <c r="F588" s="3" t="s">
        <v>2105</v>
      </c>
      <c r="G588" s="3" t="s">
        <v>321</v>
      </c>
      <c r="H588" s="4" t="s">
        <v>1095</v>
      </c>
    </row>
    <row r="589" ht="16.5" customHeight="1" spans="1:8">
      <c r="A589" s="3">
        <v>588</v>
      </c>
      <c r="B589" s="3" t="s">
        <v>2278</v>
      </c>
      <c r="C589" s="3" t="s">
        <v>2163</v>
      </c>
      <c r="D589" s="4" t="s">
        <v>2279</v>
      </c>
      <c r="E589" s="3" t="s">
        <v>2263</v>
      </c>
      <c r="F589" s="3" t="s">
        <v>2105</v>
      </c>
      <c r="G589" s="3" t="s">
        <v>321</v>
      </c>
      <c r="H589" s="4" t="s">
        <v>1095</v>
      </c>
    </row>
    <row r="590" ht="16.5" customHeight="1" spans="1:8">
      <c r="A590" s="3">
        <v>589</v>
      </c>
      <c r="B590" s="3" t="s">
        <v>2280</v>
      </c>
      <c r="C590" s="3" t="s">
        <v>2163</v>
      </c>
      <c r="D590" s="4" t="s">
        <v>2281</v>
      </c>
      <c r="E590" s="3" t="s">
        <v>2263</v>
      </c>
      <c r="F590" s="3" t="s">
        <v>2105</v>
      </c>
      <c r="G590" s="3" t="s">
        <v>321</v>
      </c>
      <c r="H590" s="4" t="s">
        <v>1095</v>
      </c>
    </row>
    <row r="591" ht="16.5" customHeight="1" spans="1:8">
      <c r="A591" s="3">
        <v>590</v>
      </c>
      <c r="B591" s="3" t="s">
        <v>2282</v>
      </c>
      <c r="C591" s="3" t="s">
        <v>2163</v>
      </c>
      <c r="D591" s="4" t="s">
        <v>2283</v>
      </c>
      <c r="E591" s="3" t="s">
        <v>1076</v>
      </c>
      <c r="F591" s="3" t="s">
        <v>2105</v>
      </c>
      <c r="G591" s="3" t="s">
        <v>321</v>
      </c>
      <c r="H591" s="4" t="s">
        <v>1095</v>
      </c>
    </row>
    <row r="592" ht="16.5" customHeight="1" spans="1:8">
      <c r="A592" s="3">
        <v>591</v>
      </c>
      <c r="B592" s="3" t="s">
        <v>2284</v>
      </c>
      <c r="C592" s="3" t="s">
        <v>2163</v>
      </c>
      <c r="D592" s="4" t="s">
        <v>2285</v>
      </c>
      <c r="E592" s="3" t="s">
        <v>1076</v>
      </c>
      <c r="F592" s="3" t="s">
        <v>2105</v>
      </c>
      <c r="G592" s="3" t="s">
        <v>321</v>
      </c>
      <c r="H592" s="4" t="s">
        <v>1095</v>
      </c>
    </row>
    <row r="593" ht="16.5" customHeight="1" spans="1:8">
      <c r="A593" s="3">
        <v>592</v>
      </c>
      <c r="B593" s="3" t="s">
        <v>2286</v>
      </c>
      <c r="C593" s="3" t="s">
        <v>2163</v>
      </c>
      <c r="D593" s="4" t="s">
        <v>2287</v>
      </c>
      <c r="E593" s="3" t="s">
        <v>2263</v>
      </c>
      <c r="F593" s="3" t="s">
        <v>2105</v>
      </c>
      <c r="G593" s="3" t="s">
        <v>321</v>
      </c>
      <c r="H593" s="4" t="s">
        <v>1095</v>
      </c>
    </row>
    <row r="594" ht="16.5" customHeight="1" spans="1:8">
      <c r="A594" s="3">
        <v>593</v>
      </c>
      <c r="B594" s="3" t="s">
        <v>2288</v>
      </c>
      <c r="C594" s="3" t="s">
        <v>2163</v>
      </c>
      <c r="D594" s="4" t="s">
        <v>2289</v>
      </c>
      <c r="E594" s="3" t="s">
        <v>2263</v>
      </c>
      <c r="F594" s="3" t="s">
        <v>2105</v>
      </c>
      <c r="G594" s="3" t="s">
        <v>321</v>
      </c>
      <c r="H594" s="4" t="s">
        <v>1095</v>
      </c>
    </row>
    <row r="595" ht="16.5" customHeight="1" spans="1:8">
      <c r="A595" s="3">
        <v>594</v>
      </c>
      <c r="B595" s="3" t="s">
        <v>2290</v>
      </c>
      <c r="C595" s="3" t="s">
        <v>2163</v>
      </c>
      <c r="D595" s="4" t="s">
        <v>2291</v>
      </c>
      <c r="E595" s="3" t="s">
        <v>1076</v>
      </c>
      <c r="F595" s="3" t="s">
        <v>2105</v>
      </c>
      <c r="G595" s="3" t="s">
        <v>321</v>
      </c>
      <c r="H595" s="4" t="s">
        <v>1095</v>
      </c>
    </row>
    <row r="596" ht="16.5" customHeight="1" spans="1:8">
      <c r="A596" s="3">
        <v>595</v>
      </c>
      <c r="B596" s="3" t="s">
        <v>2292</v>
      </c>
      <c r="C596" s="3" t="s">
        <v>2163</v>
      </c>
      <c r="D596" s="4" t="s">
        <v>2293</v>
      </c>
      <c r="E596" s="3" t="s">
        <v>1076</v>
      </c>
      <c r="F596" s="3" t="s">
        <v>2105</v>
      </c>
      <c r="G596" s="3" t="s">
        <v>321</v>
      </c>
      <c r="H596" s="4" t="s">
        <v>1095</v>
      </c>
    </row>
    <row r="597" ht="16.5" customHeight="1" spans="1:8">
      <c r="A597" s="3">
        <v>596</v>
      </c>
      <c r="B597" s="3" t="s">
        <v>2294</v>
      </c>
      <c r="C597" s="3" t="s">
        <v>2163</v>
      </c>
      <c r="D597" s="4" t="s">
        <v>2295</v>
      </c>
      <c r="E597" s="3" t="s">
        <v>1076</v>
      </c>
      <c r="F597" s="3" t="s">
        <v>2105</v>
      </c>
      <c r="G597" s="3" t="s">
        <v>321</v>
      </c>
      <c r="H597" s="4" t="s">
        <v>1095</v>
      </c>
    </row>
    <row r="598" ht="16.5" customHeight="1" spans="1:8">
      <c r="A598" s="3">
        <v>597</v>
      </c>
      <c r="B598" s="3" t="s">
        <v>2296</v>
      </c>
      <c r="C598" s="3" t="s">
        <v>2163</v>
      </c>
      <c r="D598" s="4" t="s">
        <v>2297</v>
      </c>
      <c r="E598" s="3" t="s">
        <v>1076</v>
      </c>
      <c r="F598" s="3" t="s">
        <v>2105</v>
      </c>
      <c r="G598" s="3" t="s">
        <v>321</v>
      </c>
      <c r="H598" s="4" t="s">
        <v>1368</v>
      </c>
    </row>
    <row r="599" ht="16.5" customHeight="1" spans="1:8">
      <c r="A599" s="3">
        <v>598</v>
      </c>
      <c r="B599" s="3" t="s">
        <v>2298</v>
      </c>
      <c r="C599" s="3" t="s">
        <v>2163</v>
      </c>
      <c r="D599" s="4" t="s">
        <v>2299</v>
      </c>
      <c r="E599" s="3" t="s">
        <v>1076</v>
      </c>
      <c r="F599" s="3" t="s">
        <v>2105</v>
      </c>
      <c r="G599" s="3" t="s">
        <v>321</v>
      </c>
      <c r="H599" s="4" t="s">
        <v>1095</v>
      </c>
    </row>
    <row r="600" ht="16.5" customHeight="1" spans="1:8">
      <c r="A600" s="3">
        <v>599</v>
      </c>
      <c r="B600" s="3" t="s">
        <v>2300</v>
      </c>
      <c r="C600" s="3" t="s">
        <v>1356</v>
      </c>
      <c r="D600" s="4" t="s">
        <v>2301</v>
      </c>
      <c r="E600" s="3" t="s">
        <v>1076</v>
      </c>
      <c r="F600" s="3" t="s">
        <v>1358</v>
      </c>
      <c r="G600" s="3" t="s">
        <v>321</v>
      </c>
      <c r="H600" s="4" t="s">
        <v>1095</v>
      </c>
    </row>
    <row r="601" ht="16.5" customHeight="1" spans="1:8">
      <c r="A601" s="3">
        <v>600</v>
      </c>
      <c r="B601" s="3" t="s">
        <v>2302</v>
      </c>
      <c r="C601" s="3" t="s">
        <v>1356</v>
      </c>
      <c r="D601" s="4" t="s">
        <v>2303</v>
      </c>
      <c r="E601" s="3" t="s">
        <v>1076</v>
      </c>
      <c r="F601" s="3" t="s">
        <v>1358</v>
      </c>
      <c r="G601" s="3" t="s">
        <v>321</v>
      </c>
      <c r="H601" s="4" t="s">
        <v>1368</v>
      </c>
    </row>
    <row r="602" ht="16.5" customHeight="1" spans="1:8">
      <c r="A602" s="3">
        <v>601</v>
      </c>
      <c r="B602" s="3" t="s">
        <v>2304</v>
      </c>
      <c r="C602" s="3" t="s">
        <v>1356</v>
      </c>
      <c r="D602" s="4" t="s">
        <v>2305</v>
      </c>
      <c r="E602" s="3" t="s">
        <v>1076</v>
      </c>
      <c r="F602" s="3" t="s">
        <v>1358</v>
      </c>
      <c r="G602" s="3" t="s">
        <v>321</v>
      </c>
      <c r="H602" s="4" t="s">
        <v>1368</v>
      </c>
    </row>
    <row r="603" ht="16.5" customHeight="1" spans="1:8">
      <c r="A603" s="3">
        <v>602</v>
      </c>
      <c r="B603" s="3" t="s">
        <v>2306</v>
      </c>
      <c r="C603" s="3" t="s">
        <v>1356</v>
      </c>
      <c r="D603" s="4" t="s">
        <v>2307</v>
      </c>
      <c r="E603" s="3" t="s">
        <v>1076</v>
      </c>
      <c r="F603" s="3" t="s">
        <v>1736</v>
      </c>
      <c r="G603" s="3" t="s">
        <v>321</v>
      </c>
      <c r="H603" s="4" t="s">
        <v>1843</v>
      </c>
    </row>
    <row r="604" ht="16.5" customHeight="1" spans="1:8">
      <c r="A604" s="3">
        <v>603</v>
      </c>
      <c r="B604" s="3" t="s">
        <v>2308</v>
      </c>
      <c r="C604" s="3" t="s">
        <v>1074</v>
      </c>
      <c r="D604" s="4" t="s">
        <v>2309</v>
      </c>
      <c r="E604" s="3" t="s">
        <v>1076</v>
      </c>
      <c r="F604" s="3" t="s">
        <v>1152</v>
      </c>
      <c r="G604" s="3" t="s">
        <v>321</v>
      </c>
      <c r="H604" s="4" t="s">
        <v>1390</v>
      </c>
    </row>
    <row r="605" ht="16.5" customHeight="1" spans="1:8">
      <c r="A605" s="3">
        <v>604</v>
      </c>
      <c r="B605" s="3" t="s">
        <v>2310</v>
      </c>
      <c r="C605" s="3" t="s">
        <v>1105</v>
      </c>
      <c r="D605" s="4" t="s">
        <v>2311</v>
      </c>
      <c r="E605" s="3" t="s">
        <v>1076</v>
      </c>
      <c r="F605" s="3" t="s">
        <v>1152</v>
      </c>
      <c r="G605" s="3" t="s">
        <v>321</v>
      </c>
      <c r="H605" s="4" t="s">
        <v>2312</v>
      </c>
    </row>
    <row r="606" ht="16.5" customHeight="1" spans="1:8">
      <c r="A606" s="3">
        <v>605</v>
      </c>
      <c r="B606" s="3" t="s">
        <v>2313</v>
      </c>
      <c r="C606" s="3" t="s">
        <v>1105</v>
      </c>
      <c r="D606" s="4" t="s">
        <v>2314</v>
      </c>
      <c r="E606" s="3" t="s">
        <v>1076</v>
      </c>
      <c r="F606" s="3" t="s">
        <v>1152</v>
      </c>
      <c r="G606" s="3" t="s">
        <v>321</v>
      </c>
      <c r="H606" s="4" t="s">
        <v>2312</v>
      </c>
    </row>
    <row r="607" ht="16.5" customHeight="1" spans="1:8">
      <c r="A607" s="3">
        <v>606</v>
      </c>
      <c r="B607" s="3" t="s">
        <v>2315</v>
      </c>
      <c r="C607" s="3" t="s">
        <v>1105</v>
      </c>
      <c r="D607" s="4" t="s">
        <v>2316</v>
      </c>
      <c r="E607" s="3" t="s">
        <v>1076</v>
      </c>
      <c r="F607" s="3" t="s">
        <v>1152</v>
      </c>
      <c r="G607" s="3" t="s">
        <v>321</v>
      </c>
      <c r="H607" s="4" t="s">
        <v>2202</v>
      </c>
    </row>
    <row r="608" ht="16.5" customHeight="1" spans="1:8">
      <c r="A608" s="3">
        <v>607</v>
      </c>
      <c r="B608" s="3" t="s">
        <v>2317</v>
      </c>
      <c r="C608" s="3" t="s">
        <v>1105</v>
      </c>
      <c r="D608" s="4" t="s">
        <v>2318</v>
      </c>
      <c r="E608" s="3" t="s">
        <v>1076</v>
      </c>
      <c r="F608" s="3" t="s">
        <v>1152</v>
      </c>
      <c r="G608" s="3" t="s">
        <v>321</v>
      </c>
      <c r="H608" s="4" t="s">
        <v>2226</v>
      </c>
    </row>
    <row r="609" ht="16.5" customHeight="1" spans="1:8">
      <c r="A609" s="3">
        <v>608</v>
      </c>
      <c r="B609" s="3" t="s">
        <v>2319</v>
      </c>
      <c r="C609" s="3" t="s">
        <v>1099</v>
      </c>
      <c r="D609" s="4" t="s">
        <v>2320</v>
      </c>
      <c r="E609" s="3" t="s">
        <v>1164</v>
      </c>
      <c r="F609" s="3" t="s">
        <v>2321</v>
      </c>
      <c r="G609" s="3" t="s">
        <v>45</v>
      </c>
      <c r="H609" s="4"/>
    </row>
    <row r="610" ht="16.5" customHeight="1" spans="1:8">
      <c r="A610" s="3">
        <v>609</v>
      </c>
      <c r="B610" s="3" t="s">
        <v>2322</v>
      </c>
      <c r="C610" s="3" t="s">
        <v>1074</v>
      </c>
      <c r="D610" s="4" t="s">
        <v>2323</v>
      </c>
      <c r="E610" s="3" t="s">
        <v>1076</v>
      </c>
      <c r="F610" s="3" t="s">
        <v>2321</v>
      </c>
      <c r="G610" s="3" t="s">
        <v>45</v>
      </c>
      <c r="H610" s="4" t="s">
        <v>2324</v>
      </c>
    </row>
    <row r="611" ht="16.5" customHeight="1" spans="1:8">
      <c r="A611" s="3">
        <v>610</v>
      </c>
      <c r="B611" s="3" t="s">
        <v>2325</v>
      </c>
      <c r="C611" s="3" t="s">
        <v>1105</v>
      </c>
      <c r="D611" s="4" t="s">
        <v>2326</v>
      </c>
      <c r="E611" s="3" t="s">
        <v>1076</v>
      </c>
      <c r="F611" s="3" t="s">
        <v>1736</v>
      </c>
      <c r="G611" s="3" t="s">
        <v>321</v>
      </c>
      <c r="H611" s="4" t="s">
        <v>2327</v>
      </c>
    </row>
    <row r="612" ht="16.5" customHeight="1" spans="1:8">
      <c r="A612" s="3">
        <v>611</v>
      </c>
      <c r="B612" s="3" t="s">
        <v>2328</v>
      </c>
      <c r="C612" s="3" t="s">
        <v>1105</v>
      </c>
      <c r="D612" s="4" t="s">
        <v>1847</v>
      </c>
      <c r="E612" s="3" t="s">
        <v>1076</v>
      </c>
      <c r="F612" s="3" t="s">
        <v>1736</v>
      </c>
      <c r="G612" s="3" t="s">
        <v>321</v>
      </c>
      <c r="H612" s="4" t="s">
        <v>2329</v>
      </c>
    </row>
    <row r="613" ht="16.5" customHeight="1" spans="1:8">
      <c r="A613" s="3">
        <v>612</v>
      </c>
      <c r="B613" s="3" t="s">
        <v>2330</v>
      </c>
      <c r="C613" s="3" t="s">
        <v>1105</v>
      </c>
      <c r="D613" s="4" t="s">
        <v>2331</v>
      </c>
      <c r="E613" s="3" t="s">
        <v>1076</v>
      </c>
      <c r="F613" s="3" t="s">
        <v>1736</v>
      </c>
      <c r="G613" s="3" t="s">
        <v>321</v>
      </c>
      <c r="H613" s="4" t="s">
        <v>2327</v>
      </c>
    </row>
    <row r="614" ht="16.5" customHeight="1" spans="1:8">
      <c r="A614" s="3">
        <v>613</v>
      </c>
      <c r="B614" s="3" t="s">
        <v>2332</v>
      </c>
      <c r="C614" s="3" t="s">
        <v>1361</v>
      </c>
      <c r="D614" s="4" t="s">
        <v>2333</v>
      </c>
      <c r="E614" s="3" t="s">
        <v>1218</v>
      </c>
      <c r="F614" s="3" t="s">
        <v>2105</v>
      </c>
      <c r="G614" s="3" t="s">
        <v>321</v>
      </c>
      <c r="H614" s="4" t="s">
        <v>1308</v>
      </c>
    </row>
    <row r="615" ht="16.5" customHeight="1" spans="1:8">
      <c r="A615" s="3">
        <v>614</v>
      </c>
      <c r="B615" s="3" t="s">
        <v>2334</v>
      </c>
      <c r="C615" s="3" t="s">
        <v>1361</v>
      </c>
      <c r="D615" s="4" t="s">
        <v>2335</v>
      </c>
      <c r="E615" s="3" t="s">
        <v>1218</v>
      </c>
      <c r="F615" s="3" t="s">
        <v>2105</v>
      </c>
      <c r="G615" s="3" t="s">
        <v>321</v>
      </c>
      <c r="H615" s="4" t="s">
        <v>1308</v>
      </c>
    </row>
    <row r="616" ht="16.5" customHeight="1" spans="1:8">
      <c r="A616" s="3">
        <v>615</v>
      </c>
      <c r="B616" s="3" t="s">
        <v>2336</v>
      </c>
      <c r="C616" s="3" t="s">
        <v>1361</v>
      </c>
      <c r="D616" s="4" t="s">
        <v>2337</v>
      </c>
      <c r="E616" s="3" t="s">
        <v>1218</v>
      </c>
      <c r="F616" s="3" t="s">
        <v>2105</v>
      </c>
      <c r="G616" s="3" t="s">
        <v>321</v>
      </c>
      <c r="H616" s="4" t="s">
        <v>1308</v>
      </c>
    </row>
    <row r="617" ht="16.5" customHeight="1" spans="1:8">
      <c r="A617" s="3">
        <v>616</v>
      </c>
      <c r="B617" s="3" t="s">
        <v>2338</v>
      </c>
      <c r="C617" s="3" t="s">
        <v>1361</v>
      </c>
      <c r="D617" s="4" t="s">
        <v>2339</v>
      </c>
      <c r="E617" s="3" t="s">
        <v>1218</v>
      </c>
      <c r="F617" s="3" t="s">
        <v>2105</v>
      </c>
      <c r="G617" s="3" t="s">
        <v>321</v>
      </c>
      <c r="H617" s="4" t="s">
        <v>1308</v>
      </c>
    </row>
    <row r="618" ht="16.5" customHeight="1" spans="1:8">
      <c r="A618" s="3">
        <v>617</v>
      </c>
      <c r="B618" s="3" t="s">
        <v>2340</v>
      </c>
      <c r="C618" s="3" t="s">
        <v>1361</v>
      </c>
      <c r="D618" s="4" t="s">
        <v>2341</v>
      </c>
      <c r="E618" s="3" t="s">
        <v>1218</v>
      </c>
      <c r="F618" s="3" t="s">
        <v>2105</v>
      </c>
      <c r="G618" s="3" t="s">
        <v>321</v>
      </c>
      <c r="H618" s="4" t="s">
        <v>1308</v>
      </c>
    </row>
    <row r="619" ht="16.5" customHeight="1" spans="1:8">
      <c r="A619" s="3">
        <v>618</v>
      </c>
      <c r="B619" s="3" t="s">
        <v>2342</v>
      </c>
      <c r="C619" s="3" t="s">
        <v>1361</v>
      </c>
      <c r="D619" s="4" t="s">
        <v>2343</v>
      </c>
      <c r="E619" s="3" t="s">
        <v>1218</v>
      </c>
      <c r="F619" s="3" t="s">
        <v>2105</v>
      </c>
      <c r="G619" s="3" t="s">
        <v>321</v>
      </c>
      <c r="H619" s="4" t="s">
        <v>1308</v>
      </c>
    </row>
    <row r="620" ht="16.5" customHeight="1" spans="1:8">
      <c r="A620" s="3">
        <v>619</v>
      </c>
      <c r="B620" s="3" t="s">
        <v>2344</v>
      </c>
      <c r="C620" s="3" t="s">
        <v>1361</v>
      </c>
      <c r="D620" s="4" t="s">
        <v>2345</v>
      </c>
      <c r="E620" s="3" t="s">
        <v>1218</v>
      </c>
      <c r="F620" s="3" t="s">
        <v>2105</v>
      </c>
      <c r="G620" s="3" t="s">
        <v>321</v>
      </c>
      <c r="H620" s="4" t="s">
        <v>1308</v>
      </c>
    </row>
    <row r="621" ht="16.5" customHeight="1" spans="1:8">
      <c r="A621" s="3">
        <v>620</v>
      </c>
      <c r="B621" s="3" t="s">
        <v>2346</v>
      </c>
      <c r="C621" s="3" t="s">
        <v>1361</v>
      </c>
      <c r="D621" s="4" t="s">
        <v>2347</v>
      </c>
      <c r="E621" s="3" t="s">
        <v>1218</v>
      </c>
      <c r="F621" s="3" t="s">
        <v>2105</v>
      </c>
      <c r="G621" s="3" t="s">
        <v>321</v>
      </c>
      <c r="H621" s="4" t="s">
        <v>1308</v>
      </c>
    </row>
    <row r="622" ht="16.5" customHeight="1" spans="1:8">
      <c r="A622" s="3">
        <v>621</v>
      </c>
      <c r="B622" s="3" t="s">
        <v>2348</v>
      </c>
      <c r="C622" s="3" t="s">
        <v>2163</v>
      </c>
      <c r="D622" s="4" t="s">
        <v>2349</v>
      </c>
      <c r="E622" s="3" t="s">
        <v>1076</v>
      </c>
      <c r="F622" s="3" t="s">
        <v>2105</v>
      </c>
      <c r="G622" s="3" t="s">
        <v>321</v>
      </c>
      <c r="H622" s="4" t="s">
        <v>1368</v>
      </c>
    </row>
    <row r="623" ht="16.5" customHeight="1" spans="1:8">
      <c r="A623" s="3">
        <v>622</v>
      </c>
      <c r="B623" s="3" t="s">
        <v>2350</v>
      </c>
      <c r="C623" s="3" t="s">
        <v>1361</v>
      </c>
      <c r="D623" s="4" t="s">
        <v>2351</v>
      </c>
      <c r="E623" s="3" t="s">
        <v>1218</v>
      </c>
      <c r="F623" s="3" t="s">
        <v>2105</v>
      </c>
      <c r="G623" s="3" t="s">
        <v>321</v>
      </c>
      <c r="H623" s="4"/>
    </row>
    <row r="624" ht="16.5" customHeight="1" spans="1:8">
      <c r="A624" s="3">
        <v>623</v>
      </c>
      <c r="B624" s="3" t="s">
        <v>2352</v>
      </c>
      <c r="C624" s="3" t="s">
        <v>2163</v>
      </c>
      <c r="D624" s="4" t="s">
        <v>2353</v>
      </c>
      <c r="E624" s="3" t="s">
        <v>1076</v>
      </c>
      <c r="F624" s="3" t="s">
        <v>1358</v>
      </c>
      <c r="G624" s="3" t="s">
        <v>321</v>
      </c>
      <c r="H624" s="4" t="s">
        <v>1095</v>
      </c>
    </row>
    <row r="625" ht="16.5" customHeight="1" spans="1:8">
      <c r="A625" s="3">
        <v>624</v>
      </c>
      <c r="B625" s="3" t="s">
        <v>2354</v>
      </c>
      <c r="C625" s="3" t="s">
        <v>1361</v>
      </c>
      <c r="D625" s="4" t="s">
        <v>2355</v>
      </c>
      <c r="E625" s="3" t="s">
        <v>1218</v>
      </c>
      <c r="F625" s="3" t="s">
        <v>2105</v>
      </c>
      <c r="G625" s="3" t="s">
        <v>321</v>
      </c>
      <c r="H625" s="4"/>
    </row>
    <row r="626" ht="16.5" customHeight="1" spans="1:8">
      <c r="A626" s="3">
        <v>625</v>
      </c>
      <c r="B626" s="3" t="s">
        <v>2356</v>
      </c>
      <c r="C626" s="3" t="s">
        <v>1361</v>
      </c>
      <c r="D626" s="4" t="s">
        <v>2357</v>
      </c>
      <c r="E626" s="3" t="s">
        <v>1218</v>
      </c>
      <c r="F626" s="3" t="s">
        <v>2105</v>
      </c>
      <c r="G626" s="3" t="s">
        <v>321</v>
      </c>
      <c r="H626" s="4"/>
    </row>
    <row r="627" ht="16.5" customHeight="1" spans="1:8">
      <c r="A627" s="3">
        <v>626</v>
      </c>
      <c r="B627" s="3" t="s">
        <v>2358</v>
      </c>
      <c r="C627" s="3" t="s">
        <v>1361</v>
      </c>
      <c r="D627" s="4" t="s">
        <v>2359</v>
      </c>
      <c r="E627" s="3" t="s">
        <v>1218</v>
      </c>
      <c r="F627" s="3" t="s">
        <v>2105</v>
      </c>
      <c r="G627" s="3" t="s">
        <v>321</v>
      </c>
      <c r="H627" s="4"/>
    </row>
    <row r="628" ht="16.5" customHeight="1" spans="1:8">
      <c r="A628" s="3">
        <v>627</v>
      </c>
      <c r="B628" s="3" t="s">
        <v>2360</v>
      </c>
      <c r="C628" s="3" t="s">
        <v>1361</v>
      </c>
      <c r="D628" s="4" t="s">
        <v>2361</v>
      </c>
      <c r="E628" s="3" t="s">
        <v>1218</v>
      </c>
      <c r="F628" s="3" t="s">
        <v>2105</v>
      </c>
      <c r="G628" s="3" t="s">
        <v>321</v>
      </c>
      <c r="H628" s="4"/>
    </row>
    <row r="629" ht="16.5" customHeight="1" spans="1:8">
      <c r="A629" s="3">
        <v>628</v>
      </c>
      <c r="B629" s="3" t="s">
        <v>2362</v>
      </c>
      <c r="C629" s="3" t="s">
        <v>1361</v>
      </c>
      <c r="D629" s="4" t="s">
        <v>2363</v>
      </c>
      <c r="E629" s="3" t="s">
        <v>1218</v>
      </c>
      <c r="F629" s="3" t="s">
        <v>2105</v>
      </c>
      <c r="G629" s="3" t="s">
        <v>321</v>
      </c>
      <c r="H629" s="4"/>
    </row>
    <row r="630" ht="16.5" customHeight="1" spans="1:8">
      <c r="A630" s="3">
        <v>629</v>
      </c>
      <c r="B630" s="3" t="s">
        <v>2364</v>
      </c>
      <c r="C630" s="3" t="s">
        <v>1361</v>
      </c>
      <c r="D630" s="4" t="s">
        <v>2365</v>
      </c>
      <c r="E630" s="3" t="s">
        <v>1218</v>
      </c>
      <c r="F630" s="3" t="s">
        <v>2105</v>
      </c>
      <c r="G630" s="3" t="s">
        <v>321</v>
      </c>
      <c r="H630" s="4"/>
    </row>
    <row r="631" ht="16.5" customHeight="1" spans="1:8">
      <c r="A631" s="3">
        <v>630</v>
      </c>
      <c r="B631" s="3" t="s">
        <v>2366</v>
      </c>
      <c r="C631" s="3" t="s">
        <v>1361</v>
      </c>
      <c r="D631" s="4" t="s">
        <v>2367</v>
      </c>
      <c r="E631" s="3" t="s">
        <v>1218</v>
      </c>
      <c r="F631" s="3" t="s">
        <v>2105</v>
      </c>
      <c r="G631" s="3" t="s">
        <v>321</v>
      </c>
      <c r="H631" s="4"/>
    </row>
    <row r="632" ht="16.5" customHeight="1" spans="1:8">
      <c r="A632" s="3">
        <v>631</v>
      </c>
      <c r="B632" s="3" t="s">
        <v>2368</v>
      </c>
      <c r="C632" s="3" t="s">
        <v>1361</v>
      </c>
      <c r="D632" s="4" t="s">
        <v>2369</v>
      </c>
      <c r="E632" s="3" t="s">
        <v>1218</v>
      </c>
      <c r="F632" s="3" t="s">
        <v>2105</v>
      </c>
      <c r="G632" s="3" t="s">
        <v>321</v>
      </c>
      <c r="H632" s="4"/>
    </row>
    <row r="633" ht="16.5" customHeight="1" spans="1:8">
      <c r="A633" s="3">
        <v>632</v>
      </c>
      <c r="B633" s="3" t="s">
        <v>2370</v>
      </c>
      <c r="C633" s="3" t="s">
        <v>1361</v>
      </c>
      <c r="D633" s="4" t="s">
        <v>2371</v>
      </c>
      <c r="E633" s="3" t="s">
        <v>1218</v>
      </c>
      <c r="F633" s="3" t="s">
        <v>2105</v>
      </c>
      <c r="G633" s="3" t="s">
        <v>321</v>
      </c>
      <c r="H633" s="4"/>
    </row>
    <row r="634" ht="16.5" customHeight="1" spans="1:8">
      <c r="A634" s="3">
        <v>633</v>
      </c>
      <c r="B634" s="3" t="s">
        <v>2372</v>
      </c>
      <c r="C634" s="3" t="s">
        <v>1361</v>
      </c>
      <c r="D634" s="4" t="s">
        <v>2373</v>
      </c>
      <c r="E634" s="3" t="s">
        <v>2056</v>
      </c>
      <c r="F634" s="3" t="s">
        <v>2105</v>
      </c>
      <c r="G634" s="3" t="s">
        <v>321</v>
      </c>
      <c r="H634" s="4"/>
    </row>
    <row r="635" ht="16.5" customHeight="1" spans="1:8">
      <c r="A635" s="3">
        <v>634</v>
      </c>
      <c r="B635" s="3" t="s">
        <v>2374</v>
      </c>
      <c r="C635" s="3" t="s">
        <v>1361</v>
      </c>
      <c r="D635" s="4" t="s">
        <v>2375</v>
      </c>
      <c r="E635" s="3" t="s">
        <v>1218</v>
      </c>
      <c r="F635" s="3" t="s">
        <v>2105</v>
      </c>
      <c r="G635" s="3" t="s">
        <v>321</v>
      </c>
      <c r="H635" s="4"/>
    </row>
    <row r="636" ht="16.5" customHeight="1" spans="1:8">
      <c r="A636" s="3">
        <v>635</v>
      </c>
      <c r="B636" s="3" t="s">
        <v>2376</v>
      </c>
      <c r="C636" s="3" t="s">
        <v>1361</v>
      </c>
      <c r="D636" s="4" t="s">
        <v>2377</v>
      </c>
      <c r="E636" s="3" t="s">
        <v>1218</v>
      </c>
      <c r="F636" s="3" t="s">
        <v>2105</v>
      </c>
      <c r="G636" s="3" t="s">
        <v>321</v>
      </c>
      <c r="H636" s="4"/>
    </row>
    <row r="637" ht="16.5" customHeight="1" spans="1:8">
      <c r="A637" s="3">
        <v>636</v>
      </c>
      <c r="B637" s="3" t="s">
        <v>2378</v>
      </c>
      <c r="C637" s="3" t="s">
        <v>1361</v>
      </c>
      <c r="D637" s="4" t="s">
        <v>2379</v>
      </c>
      <c r="E637" s="3" t="s">
        <v>1218</v>
      </c>
      <c r="F637" s="3" t="s">
        <v>2105</v>
      </c>
      <c r="G637" s="3" t="s">
        <v>321</v>
      </c>
      <c r="H637" s="4"/>
    </row>
    <row r="638" ht="16.5" customHeight="1" spans="1:8">
      <c r="A638" s="3">
        <v>637</v>
      </c>
      <c r="B638" s="3" t="s">
        <v>2380</v>
      </c>
      <c r="C638" s="3" t="s">
        <v>1361</v>
      </c>
      <c r="D638" s="4" t="s">
        <v>2381</v>
      </c>
      <c r="E638" s="3" t="s">
        <v>1218</v>
      </c>
      <c r="F638" s="3" t="s">
        <v>2105</v>
      </c>
      <c r="G638" s="3" t="s">
        <v>321</v>
      </c>
      <c r="H638" s="4"/>
    </row>
    <row r="639" ht="16.5" customHeight="1" spans="1:8">
      <c r="A639" s="3">
        <v>638</v>
      </c>
      <c r="B639" s="3" t="s">
        <v>2382</v>
      </c>
      <c r="C639" s="3" t="s">
        <v>1361</v>
      </c>
      <c r="D639" s="4" t="s">
        <v>2383</v>
      </c>
      <c r="E639" s="3" t="s">
        <v>1218</v>
      </c>
      <c r="F639" s="3" t="s">
        <v>2105</v>
      </c>
      <c r="G639" s="3" t="s">
        <v>321</v>
      </c>
      <c r="H639" s="4"/>
    </row>
    <row r="640" ht="16.5" customHeight="1" spans="1:8">
      <c r="A640" s="3">
        <v>639</v>
      </c>
      <c r="B640" s="3" t="s">
        <v>2384</v>
      </c>
      <c r="C640" s="3" t="s">
        <v>2163</v>
      </c>
      <c r="D640" s="4" t="s">
        <v>2385</v>
      </c>
      <c r="E640" s="3" t="s">
        <v>1076</v>
      </c>
      <c r="F640" s="3" t="s">
        <v>2041</v>
      </c>
      <c r="G640" s="3" t="s">
        <v>321</v>
      </c>
      <c r="H640" s="4" t="s">
        <v>1095</v>
      </c>
    </row>
    <row r="641" ht="16.5" customHeight="1" spans="1:8">
      <c r="A641" s="3">
        <v>640</v>
      </c>
      <c r="B641" s="3" t="s">
        <v>2386</v>
      </c>
      <c r="C641" s="3" t="s">
        <v>1361</v>
      </c>
      <c r="D641" s="4" t="s">
        <v>2387</v>
      </c>
      <c r="E641" s="3" t="s">
        <v>1218</v>
      </c>
      <c r="F641" s="3" t="s">
        <v>2105</v>
      </c>
      <c r="G641" s="3" t="s">
        <v>321</v>
      </c>
      <c r="H641" s="4"/>
    </row>
    <row r="642" ht="16.5" customHeight="1" spans="1:8">
      <c r="A642" s="3">
        <v>641</v>
      </c>
      <c r="B642" s="3" t="s">
        <v>2388</v>
      </c>
      <c r="C642" s="3" t="s">
        <v>1361</v>
      </c>
      <c r="D642" s="4" t="s">
        <v>2389</v>
      </c>
      <c r="E642" s="3" t="s">
        <v>1218</v>
      </c>
      <c r="F642" s="3" t="s">
        <v>2105</v>
      </c>
      <c r="G642" s="3" t="s">
        <v>321</v>
      </c>
      <c r="H642" s="4"/>
    </row>
    <row r="643" ht="16.5" customHeight="1" spans="1:8">
      <c r="A643" s="3">
        <v>642</v>
      </c>
      <c r="B643" s="3" t="s">
        <v>2390</v>
      </c>
      <c r="C643" s="3" t="s">
        <v>1361</v>
      </c>
      <c r="D643" s="4" t="s">
        <v>2391</v>
      </c>
      <c r="E643" s="3" t="s">
        <v>1218</v>
      </c>
      <c r="F643" s="3" t="s">
        <v>2105</v>
      </c>
      <c r="G643" s="3" t="s">
        <v>321</v>
      </c>
      <c r="H643" s="4"/>
    </row>
    <row r="644" ht="16.5" customHeight="1" spans="1:8">
      <c r="A644" s="3">
        <v>643</v>
      </c>
      <c r="B644" s="3" t="s">
        <v>2392</v>
      </c>
      <c r="C644" s="3" t="s">
        <v>1361</v>
      </c>
      <c r="D644" s="4" t="s">
        <v>2393</v>
      </c>
      <c r="E644" s="3" t="s">
        <v>1218</v>
      </c>
      <c r="F644" s="3" t="s">
        <v>2105</v>
      </c>
      <c r="G644" s="3" t="s">
        <v>321</v>
      </c>
      <c r="H644" s="4"/>
    </row>
    <row r="645" ht="16.5" customHeight="1" spans="1:8">
      <c r="A645" s="3">
        <v>644</v>
      </c>
      <c r="B645" s="3" t="s">
        <v>2394</v>
      </c>
      <c r="C645" s="3" t="s">
        <v>1361</v>
      </c>
      <c r="D645" s="4" t="s">
        <v>2395</v>
      </c>
      <c r="E645" s="3" t="s">
        <v>2053</v>
      </c>
      <c r="F645" s="3" t="s">
        <v>2105</v>
      </c>
      <c r="G645" s="3" t="s">
        <v>321</v>
      </c>
      <c r="H645" s="4"/>
    </row>
    <row r="646" ht="16.5" customHeight="1" spans="1:8">
      <c r="A646" s="3">
        <v>645</v>
      </c>
      <c r="B646" s="3" t="s">
        <v>2396</v>
      </c>
      <c r="C646" s="3" t="s">
        <v>1361</v>
      </c>
      <c r="D646" s="4" t="s">
        <v>2397</v>
      </c>
      <c r="E646" s="3" t="s">
        <v>2053</v>
      </c>
      <c r="F646" s="3" t="s">
        <v>2105</v>
      </c>
      <c r="G646" s="3" t="s">
        <v>321</v>
      </c>
      <c r="H646" s="4" t="s">
        <v>2181</v>
      </c>
    </row>
    <row r="647" ht="16.5" customHeight="1" spans="1:8">
      <c r="A647" s="3">
        <v>646</v>
      </c>
      <c r="B647" s="3" t="s">
        <v>2398</v>
      </c>
      <c r="C647" s="3" t="s">
        <v>1361</v>
      </c>
      <c r="D647" s="4" t="s">
        <v>2399</v>
      </c>
      <c r="E647" s="3" t="s">
        <v>1218</v>
      </c>
      <c r="F647" s="3" t="s">
        <v>2105</v>
      </c>
      <c r="G647" s="3" t="s">
        <v>321</v>
      </c>
      <c r="H647" s="4" t="s">
        <v>2181</v>
      </c>
    </row>
    <row r="648" ht="16.5" customHeight="1" spans="1:8">
      <c r="A648" s="3">
        <v>647</v>
      </c>
      <c r="B648" s="3" t="s">
        <v>2400</v>
      </c>
      <c r="C648" s="3" t="s">
        <v>1361</v>
      </c>
      <c r="D648" s="4" t="s">
        <v>2401</v>
      </c>
      <c r="E648" s="3" t="s">
        <v>1218</v>
      </c>
      <c r="F648" s="3" t="s">
        <v>2105</v>
      </c>
      <c r="G648" s="3" t="s">
        <v>321</v>
      </c>
      <c r="H648" s="4" t="s">
        <v>2181</v>
      </c>
    </row>
    <row r="649" ht="16.5" customHeight="1" spans="1:8">
      <c r="A649" s="3">
        <v>648</v>
      </c>
      <c r="B649" s="3" t="s">
        <v>2402</v>
      </c>
      <c r="C649" s="3" t="s">
        <v>1361</v>
      </c>
      <c r="D649" s="4" t="s">
        <v>2403</v>
      </c>
      <c r="E649" s="3" t="s">
        <v>1218</v>
      </c>
      <c r="F649" s="3" t="s">
        <v>2105</v>
      </c>
      <c r="G649" s="3" t="s">
        <v>321</v>
      </c>
      <c r="H649" s="4" t="s">
        <v>2181</v>
      </c>
    </row>
    <row r="650" ht="16.5" customHeight="1" spans="1:8">
      <c r="A650" s="3">
        <v>649</v>
      </c>
      <c r="B650" s="3" t="s">
        <v>2404</v>
      </c>
      <c r="C650" s="3" t="s">
        <v>1361</v>
      </c>
      <c r="D650" s="4" t="s">
        <v>2405</v>
      </c>
      <c r="E650" s="3" t="s">
        <v>1218</v>
      </c>
      <c r="F650" s="3" t="s">
        <v>2105</v>
      </c>
      <c r="G650" s="3" t="s">
        <v>321</v>
      </c>
      <c r="H650" s="4"/>
    </row>
    <row r="651" ht="16.5" customHeight="1" spans="1:8">
      <c r="A651" s="3">
        <v>650</v>
      </c>
      <c r="B651" s="3" t="s">
        <v>2406</v>
      </c>
      <c r="C651" s="3" t="s">
        <v>1361</v>
      </c>
      <c r="D651" s="4" t="s">
        <v>2407</v>
      </c>
      <c r="E651" s="3" t="s">
        <v>1218</v>
      </c>
      <c r="F651" s="3" t="s">
        <v>2105</v>
      </c>
      <c r="G651" s="3" t="s">
        <v>321</v>
      </c>
      <c r="H651" s="4"/>
    </row>
    <row r="652" ht="16.5" customHeight="1" spans="1:8">
      <c r="A652" s="3">
        <v>651</v>
      </c>
      <c r="B652" s="3" t="s">
        <v>2408</v>
      </c>
      <c r="C652" s="3" t="s">
        <v>1361</v>
      </c>
      <c r="D652" s="4" t="s">
        <v>2409</v>
      </c>
      <c r="E652" s="3" t="s">
        <v>1218</v>
      </c>
      <c r="F652" s="3" t="s">
        <v>2105</v>
      </c>
      <c r="G652" s="3" t="s">
        <v>321</v>
      </c>
      <c r="H652" s="4" t="s">
        <v>2181</v>
      </c>
    </row>
    <row r="653" ht="16.5" customHeight="1" spans="1:8">
      <c r="A653" s="3">
        <v>652</v>
      </c>
      <c r="B653" s="3" t="s">
        <v>2410</v>
      </c>
      <c r="C653" s="3" t="s">
        <v>1074</v>
      </c>
      <c r="D653" s="4" t="s">
        <v>2411</v>
      </c>
      <c r="E653" s="3" t="s">
        <v>1076</v>
      </c>
      <c r="F653" s="3" t="s">
        <v>1152</v>
      </c>
      <c r="G653" s="3" t="s">
        <v>321</v>
      </c>
      <c r="H653" s="4" t="s">
        <v>1308</v>
      </c>
    </row>
    <row r="654" ht="16.5" customHeight="1" spans="1:8">
      <c r="A654" s="3">
        <v>653</v>
      </c>
      <c r="B654" s="3" t="s">
        <v>2412</v>
      </c>
      <c r="C654" s="3" t="s">
        <v>1105</v>
      </c>
      <c r="D654" s="4" t="s">
        <v>2413</v>
      </c>
      <c r="E654" s="3" t="s">
        <v>1076</v>
      </c>
      <c r="F654" s="3" t="s">
        <v>1152</v>
      </c>
      <c r="G654" s="3" t="s">
        <v>321</v>
      </c>
      <c r="H654" s="4" t="s">
        <v>2414</v>
      </c>
    </row>
    <row r="655" ht="16.5" customHeight="1" spans="1:8">
      <c r="A655" s="3">
        <v>654</v>
      </c>
      <c r="B655" s="3" t="s">
        <v>2415</v>
      </c>
      <c r="C655" s="3" t="s">
        <v>1105</v>
      </c>
      <c r="D655" s="4" t="s">
        <v>2416</v>
      </c>
      <c r="E655" s="3" t="s">
        <v>1076</v>
      </c>
      <c r="F655" s="3" t="s">
        <v>1152</v>
      </c>
      <c r="G655" s="3" t="s">
        <v>321</v>
      </c>
      <c r="H655" s="4" t="s">
        <v>2414</v>
      </c>
    </row>
    <row r="656" ht="16.5" customHeight="1" spans="1:8">
      <c r="A656" s="3">
        <v>655</v>
      </c>
      <c r="B656" s="3" t="s">
        <v>2417</v>
      </c>
      <c r="C656" s="3" t="s">
        <v>1105</v>
      </c>
      <c r="D656" s="4" t="s">
        <v>2418</v>
      </c>
      <c r="E656" s="3" t="s">
        <v>1076</v>
      </c>
      <c r="F656" s="3" t="s">
        <v>1152</v>
      </c>
      <c r="G656" s="3" t="s">
        <v>321</v>
      </c>
      <c r="H656" s="4" t="s">
        <v>2414</v>
      </c>
    </row>
    <row r="657" ht="16.5" customHeight="1" spans="1:8">
      <c r="A657" s="3">
        <v>656</v>
      </c>
      <c r="B657" s="3" t="s">
        <v>2419</v>
      </c>
      <c r="C657" s="3" t="s">
        <v>1105</v>
      </c>
      <c r="D657" s="4" t="s">
        <v>2420</v>
      </c>
      <c r="E657" s="3" t="s">
        <v>1076</v>
      </c>
      <c r="F657" s="3" t="s">
        <v>1152</v>
      </c>
      <c r="G657" s="3" t="s">
        <v>321</v>
      </c>
      <c r="H657" s="4" t="s">
        <v>2414</v>
      </c>
    </row>
    <row r="658" ht="16.5" customHeight="1" spans="1:8">
      <c r="A658" s="3">
        <v>657</v>
      </c>
      <c r="B658" s="3" t="s">
        <v>2421</v>
      </c>
      <c r="C658" s="3" t="s">
        <v>1361</v>
      </c>
      <c r="D658" s="4" t="s">
        <v>2422</v>
      </c>
      <c r="E658" s="3" t="s">
        <v>1218</v>
      </c>
      <c r="F658" s="3" t="s">
        <v>2105</v>
      </c>
      <c r="G658" s="3" t="s">
        <v>321</v>
      </c>
      <c r="H658" s="4"/>
    </row>
    <row r="659" ht="16.5" customHeight="1" spans="1:8">
      <c r="A659" s="3">
        <v>658</v>
      </c>
      <c r="B659" s="3" t="s">
        <v>2423</v>
      </c>
      <c r="C659" s="3" t="s">
        <v>1361</v>
      </c>
      <c r="D659" s="4" t="s">
        <v>2424</v>
      </c>
      <c r="E659" s="3" t="s">
        <v>1218</v>
      </c>
      <c r="F659" s="3" t="s">
        <v>2105</v>
      </c>
      <c r="G659" s="3" t="s">
        <v>321</v>
      </c>
      <c r="H659" s="4"/>
    </row>
    <row r="660" ht="16.5" customHeight="1" spans="1:8">
      <c r="A660" s="3">
        <v>659</v>
      </c>
      <c r="B660" s="3" t="s">
        <v>2425</v>
      </c>
      <c r="C660" s="3" t="s">
        <v>1361</v>
      </c>
      <c r="D660" s="4" t="s">
        <v>2426</v>
      </c>
      <c r="E660" s="3" t="s">
        <v>1218</v>
      </c>
      <c r="F660" s="3" t="s">
        <v>2105</v>
      </c>
      <c r="G660" s="3" t="s">
        <v>321</v>
      </c>
      <c r="H660" s="4"/>
    </row>
    <row r="661" ht="16.5" customHeight="1" spans="1:8">
      <c r="A661" s="3">
        <v>660</v>
      </c>
      <c r="B661" s="3" t="s">
        <v>2427</v>
      </c>
      <c r="C661" s="3" t="s">
        <v>1361</v>
      </c>
      <c r="D661" s="4" t="s">
        <v>2428</v>
      </c>
      <c r="E661" s="3" t="s">
        <v>1218</v>
      </c>
      <c r="F661" s="3" t="s">
        <v>2105</v>
      </c>
      <c r="G661" s="3" t="s">
        <v>321</v>
      </c>
      <c r="H661" s="4"/>
    </row>
    <row r="662" ht="16.5" customHeight="1" spans="1:8">
      <c r="A662" s="3">
        <v>661</v>
      </c>
      <c r="B662" s="3" t="s">
        <v>2429</v>
      </c>
      <c r="C662" s="3" t="s">
        <v>1361</v>
      </c>
      <c r="D662" s="4" t="s">
        <v>2430</v>
      </c>
      <c r="E662" s="3" t="s">
        <v>1218</v>
      </c>
      <c r="F662" s="3" t="s">
        <v>2105</v>
      </c>
      <c r="G662" s="3" t="s">
        <v>321</v>
      </c>
      <c r="H662" s="4"/>
    </row>
    <row r="663" ht="16.5" customHeight="1" spans="1:8">
      <c r="A663" s="3">
        <v>662</v>
      </c>
      <c r="B663" s="3" t="s">
        <v>2431</v>
      </c>
      <c r="C663" s="3" t="s">
        <v>1361</v>
      </c>
      <c r="D663" s="4" t="s">
        <v>2432</v>
      </c>
      <c r="E663" s="3" t="s">
        <v>2053</v>
      </c>
      <c r="F663" s="3" t="s">
        <v>2105</v>
      </c>
      <c r="G663" s="3" t="s">
        <v>321</v>
      </c>
      <c r="H663" s="4"/>
    </row>
    <row r="664" ht="16.5" customHeight="1" spans="1:8">
      <c r="A664" s="3">
        <v>663</v>
      </c>
      <c r="B664" s="3" t="s">
        <v>2433</v>
      </c>
      <c r="C664" s="3" t="s">
        <v>1361</v>
      </c>
      <c r="D664" s="4" t="s">
        <v>2434</v>
      </c>
      <c r="E664" s="3" t="s">
        <v>1218</v>
      </c>
      <c r="F664" s="3" t="s">
        <v>2105</v>
      </c>
      <c r="G664" s="3" t="s">
        <v>321</v>
      </c>
      <c r="H664" s="4"/>
    </row>
    <row r="665" ht="16.5" customHeight="1" spans="1:8">
      <c r="A665" s="3">
        <v>664</v>
      </c>
      <c r="B665" s="3" t="s">
        <v>2435</v>
      </c>
      <c r="C665" s="3" t="s">
        <v>1361</v>
      </c>
      <c r="D665" s="4" t="s">
        <v>2436</v>
      </c>
      <c r="E665" s="3" t="s">
        <v>1218</v>
      </c>
      <c r="F665" s="3" t="s">
        <v>2105</v>
      </c>
      <c r="G665" s="3" t="s">
        <v>321</v>
      </c>
      <c r="H665" s="4"/>
    </row>
    <row r="666" ht="16.5" customHeight="1" spans="1:8">
      <c r="A666" s="3">
        <v>665</v>
      </c>
      <c r="B666" s="3" t="s">
        <v>2437</v>
      </c>
      <c r="C666" s="3" t="s">
        <v>1361</v>
      </c>
      <c r="D666" s="4" t="s">
        <v>2438</v>
      </c>
      <c r="E666" s="3" t="s">
        <v>1218</v>
      </c>
      <c r="F666" s="3" t="s">
        <v>2105</v>
      </c>
      <c r="G666" s="3" t="s">
        <v>321</v>
      </c>
      <c r="H666" s="4"/>
    </row>
    <row r="667" ht="16.5" customHeight="1" spans="1:8">
      <c r="A667" s="3">
        <v>666</v>
      </c>
      <c r="B667" s="3" t="s">
        <v>2439</v>
      </c>
      <c r="C667" s="3" t="s">
        <v>1361</v>
      </c>
      <c r="D667" s="4" t="s">
        <v>2440</v>
      </c>
      <c r="E667" s="3" t="s">
        <v>1218</v>
      </c>
      <c r="F667" s="3" t="s">
        <v>2105</v>
      </c>
      <c r="G667" s="3" t="s">
        <v>321</v>
      </c>
      <c r="H667" s="4"/>
    </row>
    <row r="668" ht="16.5" customHeight="1" spans="1:8">
      <c r="A668" s="3">
        <v>667</v>
      </c>
      <c r="B668" s="3" t="s">
        <v>2441</v>
      </c>
      <c r="C668" s="3" t="s">
        <v>2163</v>
      </c>
      <c r="D668" s="4" t="s">
        <v>2442</v>
      </c>
      <c r="E668" s="3" t="s">
        <v>1076</v>
      </c>
      <c r="F668" s="3" t="s">
        <v>2041</v>
      </c>
      <c r="G668" s="3" t="s">
        <v>321</v>
      </c>
      <c r="H668" s="4" t="s">
        <v>1095</v>
      </c>
    </row>
    <row r="669" ht="16.5" customHeight="1" spans="1:8">
      <c r="A669" s="3">
        <v>668</v>
      </c>
      <c r="B669" s="3" t="s">
        <v>2443</v>
      </c>
      <c r="C669" s="3" t="s">
        <v>2163</v>
      </c>
      <c r="D669" s="4" t="s">
        <v>2444</v>
      </c>
      <c r="E669" s="3" t="s">
        <v>1076</v>
      </c>
      <c r="F669" s="3" t="s">
        <v>2105</v>
      </c>
      <c r="G669" s="3" t="s">
        <v>321</v>
      </c>
      <c r="H669" s="4" t="s">
        <v>1095</v>
      </c>
    </row>
    <row r="670" ht="16.5" customHeight="1" spans="1:8">
      <c r="A670" s="3">
        <v>669</v>
      </c>
      <c r="B670" s="3" t="s">
        <v>2445</v>
      </c>
      <c r="C670" s="3" t="s">
        <v>2163</v>
      </c>
      <c r="D670" s="4" t="s">
        <v>2446</v>
      </c>
      <c r="E670" s="3" t="s">
        <v>1076</v>
      </c>
      <c r="F670" s="3" t="s">
        <v>2105</v>
      </c>
      <c r="G670" s="3" t="s">
        <v>321</v>
      </c>
      <c r="H670" s="4" t="s">
        <v>1095</v>
      </c>
    </row>
    <row r="671" ht="16.5" customHeight="1" spans="1:8">
      <c r="A671" s="3">
        <v>670</v>
      </c>
      <c r="B671" s="3" t="s">
        <v>2447</v>
      </c>
      <c r="C671" s="3" t="s">
        <v>2163</v>
      </c>
      <c r="D671" s="4" t="s">
        <v>2448</v>
      </c>
      <c r="E671" s="3" t="s">
        <v>1076</v>
      </c>
      <c r="F671" s="3" t="s">
        <v>2105</v>
      </c>
      <c r="G671" s="3" t="s">
        <v>321</v>
      </c>
      <c r="H671" s="4" t="s">
        <v>1368</v>
      </c>
    </row>
    <row r="672" ht="16.5" customHeight="1" spans="1:8">
      <c r="A672" s="3">
        <v>671</v>
      </c>
      <c r="B672" s="3" t="s">
        <v>2449</v>
      </c>
      <c r="C672" s="3" t="s">
        <v>2163</v>
      </c>
      <c r="D672" s="4" t="s">
        <v>2450</v>
      </c>
      <c r="E672" s="3" t="s">
        <v>1076</v>
      </c>
      <c r="F672" s="3" t="s">
        <v>2105</v>
      </c>
      <c r="G672" s="3" t="s">
        <v>321</v>
      </c>
      <c r="H672" s="4" t="s">
        <v>1095</v>
      </c>
    </row>
    <row r="673" ht="16.5" customHeight="1" spans="1:8">
      <c r="A673" s="3">
        <v>672</v>
      </c>
      <c r="B673" s="3" t="s">
        <v>2451</v>
      </c>
      <c r="C673" s="3" t="s">
        <v>2163</v>
      </c>
      <c r="D673" s="4" t="s">
        <v>2452</v>
      </c>
      <c r="E673" s="3" t="s">
        <v>1076</v>
      </c>
      <c r="F673" s="3" t="s">
        <v>2105</v>
      </c>
      <c r="G673" s="3" t="s">
        <v>321</v>
      </c>
      <c r="H673" s="4" t="s">
        <v>1095</v>
      </c>
    </row>
    <row r="674" ht="16.5" customHeight="1" spans="1:8">
      <c r="A674" s="3">
        <v>673</v>
      </c>
      <c r="B674" s="3" t="s">
        <v>2453</v>
      </c>
      <c r="C674" s="3" t="s">
        <v>2163</v>
      </c>
      <c r="D674" s="4" t="s">
        <v>2454</v>
      </c>
      <c r="E674" s="3" t="s">
        <v>1076</v>
      </c>
      <c r="F674" s="3" t="s">
        <v>2105</v>
      </c>
      <c r="G674" s="3" t="s">
        <v>321</v>
      </c>
      <c r="H674" s="4" t="s">
        <v>1095</v>
      </c>
    </row>
    <row r="675" ht="16.5" customHeight="1" spans="1:8">
      <c r="A675" s="3">
        <v>674</v>
      </c>
      <c r="B675" s="3" t="s">
        <v>2455</v>
      </c>
      <c r="C675" s="3" t="s">
        <v>2163</v>
      </c>
      <c r="D675" s="4" t="s">
        <v>2456</v>
      </c>
      <c r="E675" s="3" t="s">
        <v>1076</v>
      </c>
      <c r="F675" s="3" t="s">
        <v>2041</v>
      </c>
      <c r="G675" s="3" t="s">
        <v>321</v>
      </c>
      <c r="H675" s="4" t="s">
        <v>1095</v>
      </c>
    </row>
    <row r="676" ht="16.5" customHeight="1" spans="1:8">
      <c r="A676" s="3">
        <v>675</v>
      </c>
      <c r="B676" s="3" t="s">
        <v>2457</v>
      </c>
      <c r="C676" s="3" t="s">
        <v>2163</v>
      </c>
      <c r="D676" s="4" t="s">
        <v>2458</v>
      </c>
      <c r="E676" s="3" t="s">
        <v>2263</v>
      </c>
      <c r="F676" s="3" t="s">
        <v>2041</v>
      </c>
      <c r="G676" s="3" t="s">
        <v>321</v>
      </c>
      <c r="H676" s="4" t="s">
        <v>1095</v>
      </c>
    </row>
    <row r="677" ht="16.5" customHeight="1" spans="1:8">
      <c r="A677" s="3">
        <v>676</v>
      </c>
      <c r="B677" s="3" t="s">
        <v>2459</v>
      </c>
      <c r="C677" s="3" t="s">
        <v>1356</v>
      </c>
      <c r="D677" s="4" t="s">
        <v>2460</v>
      </c>
      <c r="E677" s="3" t="s">
        <v>1076</v>
      </c>
      <c r="F677" s="3" t="s">
        <v>1358</v>
      </c>
      <c r="G677" s="3" t="s">
        <v>321</v>
      </c>
      <c r="H677" s="4" t="s">
        <v>1368</v>
      </c>
    </row>
    <row r="678" ht="16.5" customHeight="1" spans="1:8">
      <c r="A678" s="3">
        <v>677</v>
      </c>
      <c r="B678" s="3" t="s">
        <v>2461</v>
      </c>
      <c r="C678" s="3" t="s">
        <v>1356</v>
      </c>
      <c r="D678" s="4" t="s">
        <v>2462</v>
      </c>
      <c r="E678" s="3" t="s">
        <v>1076</v>
      </c>
      <c r="F678" s="3" t="s">
        <v>2463</v>
      </c>
      <c r="G678" s="3" t="s">
        <v>321</v>
      </c>
      <c r="H678" s="4" t="s">
        <v>1359</v>
      </c>
    </row>
    <row r="679" ht="16.5" customHeight="1" spans="1:8">
      <c r="A679" s="3">
        <v>678</v>
      </c>
      <c r="B679" s="3" t="s">
        <v>2464</v>
      </c>
      <c r="C679" s="3" t="s">
        <v>1105</v>
      </c>
      <c r="D679" s="4" t="s">
        <v>2465</v>
      </c>
      <c r="E679" s="3" t="s">
        <v>1076</v>
      </c>
      <c r="F679" s="3" t="s">
        <v>1358</v>
      </c>
      <c r="G679" s="3" t="s">
        <v>321</v>
      </c>
      <c r="H679" s="4" t="s">
        <v>2033</v>
      </c>
    </row>
    <row r="680" ht="16.5" customHeight="1" spans="1:8">
      <c r="A680" s="3">
        <v>679</v>
      </c>
      <c r="B680" s="3" t="s">
        <v>2466</v>
      </c>
      <c r="C680" s="3" t="s">
        <v>2163</v>
      </c>
      <c r="D680" s="4" t="s">
        <v>2467</v>
      </c>
      <c r="E680" s="3" t="s">
        <v>1076</v>
      </c>
      <c r="F680" s="3" t="s">
        <v>2041</v>
      </c>
      <c r="G680" s="3" t="s">
        <v>321</v>
      </c>
      <c r="H680" s="4" t="s">
        <v>1095</v>
      </c>
    </row>
    <row r="681" ht="16.5" customHeight="1" spans="1:8">
      <c r="A681" s="3">
        <v>680</v>
      </c>
      <c r="B681" s="3" t="s">
        <v>2468</v>
      </c>
      <c r="C681" s="3" t="s">
        <v>2163</v>
      </c>
      <c r="D681" s="4" t="s">
        <v>2469</v>
      </c>
      <c r="E681" s="3" t="s">
        <v>1076</v>
      </c>
      <c r="F681" s="3" t="s">
        <v>1358</v>
      </c>
      <c r="G681" s="3" t="s">
        <v>321</v>
      </c>
      <c r="H681" s="4" t="s">
        <v>1095</v>
      </c>
    </row>
    <row r="682" ht="16.5" customHeight="1" spans="1:8">
      <c r="A682" s="3">
        <v>681</v>
      </c>
      <c r="B682" s="3" t="s">
        <v>2470</v>
      </c>
      <c r="C682" s="3" t="s">
        <v>2163</v>
      </c>
      <c r="D682" s="4" t="s">
        <v>2471</v>
      </c>
      <c r="E682" s="3" t="s">
        <v>1076</v>
      </c>
      <c r="F682" s="3" t="s">
        <v>2105</v>
      </c>
      <c r="G682" s="3" t="s">
        <v>321</v>
      </c>
      <c r="H682" s="4" t="s">
        <v>1095</v>
      </c>
    </row>
    <row r="683" ht="16.5" customHeight="1" spans="1:8">
      <c r="A683" s="3">
        <v>682</v>
      </c>
      <c r="B683" s="3" t="s">
        <v>2472</v>
      </c>
      <c r="C683" s="3" t="s">
        <v>2163</v>
      </c>
      <c r="D683" s="4" t="s">
        <v>2473</v>
      </c>
      <c r="E683" s="3" t="s">
        <v>1076</v>
      </c>
      <c r="F683" s="3" t="s">
        <v>2105</v>
      </c>
      <c r="G683" s="3" t="s">
        <v>321</v>
      </c>
      <c r="H683" s="4" t="s">
        <v>1095</v>
      </c>
    </row>
    <row r="684" ht="16.5" customHeight="1" spans="1:8">
      <c r="A684" s="3">
        <v>683</v>
      </c>
      <c r="B684" s="3" t="s">
        <v>2474</v>
      </c>
      <c r="C684" s="3" t="s">
        <v>2163</v>
      </c>
      <c r="D684" s="4" t="s">
        <v>2475</v>
      </c>
      <c r="E684" s="3" t="s">
        <v>1076</v>
      </c>
      <c r="F684" s="3" t="s">
        <v>2105</v>
      </c>
      <c r="G684" s="3" t="s">
        <v>321</v>
      </c>
      <c r="H684" s="4" t="s">
        <v>1095</v>
      </c>
    </row>
    <row r="685" ht="16.5" customHeight="1" spans="1:8">
      <c r="A685" s="3">
        <v>684</v>
      </c>
      <c r="B685" s="3" t="s">
        <v>2476</v>
      </c>
      <c r="C685" s="3" t="s">
        <v>2163</v>
      </c>
      <c r="D685" s="4" t="s">
        <v>2477</v>
      </c>
      <c r="E685" s="3" t="s">
        <v>1076</v>
      </c>
      <c r="F685" s="3" t="s">
        <v>2105</v>
      </c>
      <c r="G685" s="3" t="s">
        <v>321</v>
      </c>
      <c r="H685" s="4" t="s">
        <v>1095</v>
      </c>
    </row>
    <row r="686" ht="16.5" customHeight="1" spans="1:8">
      <c r="A686" s="3">
        <v>685</v>
      </c>
      <c r="B686" s="3" t="s">
        <v>2478</v>
      </c>
      <c r="C686" s="3" t="s">
        <v>2163</v>
      </c>
      <c r="D686" s="4" t="s">
        <v>2479</v>
      </c>
      <c r="E686" s="3" t="s">
        <v>1076</v>
      </c>
      <c r="F686" s="3" t="s">
        <v>2105</v>
      </c>
      <c r="G686" s="3" t="s">
        <v>321</v>
      </c>
      <c r="H686" s="4" t="s">
        <v>1095</v>
      </c>
    </row>
    <row r="687" ht="16.5" customHeight="1" spans="1:8">
      <c r="A687" s="3">
        <v>686</v>
      </c>
      <c r="B687" s="3" t="s">
        <v>2480</v>
      </c>
      <c r="C687" s="3" t="s">
        <v>2163</v>
      </c>
      <c r="D687" s="4" t="s">
        <v>2481</v>
      </c>
      <c r="E687" s="3" t="s">
        <v>1076</v>
      </c>
      <c r="F687" s="3" t="s">
        <v>2105</v>
      </c>
      <c r="G687" s="3" t="s">
        <v>321</v>
      </c>
      <c r="H687" s="4" t="s">
        <v>1095</v>
      </c>
    </row>
    <row r="688" ht="16.5" customHeight="1" spans="1:8">
      <c r="A688" s="3">
        <v>687</v>
      </c>
      <c r="B688" s="3" t="s">
        <v>2482</v>
      </c>
      <c r="C688" s="3" t="s">
        <v>2163</v>
      </c>
      <c r="D688" s="4" t="s">
        <v>2483</v>
      </c>
      <c r="E688" s="3" t="s">
        <v>1076</v>
      </c>
      <c r="F688" s="3" t="s">
        <v>2105</v>
      </c>
      <c r="G688" s="3" t="s">
        <v>321</v>
      </c>
      <c r="H688" s="4" t="s">
        <v>1095</v>
      </c>
    </row>
    <row r="689" ht="16.5" customHeight="1" spans="1:8">
      <c r="A689" s="3">
        <v>688</v>
      </c>
      <c r="B689" s="3" t="s">
        <v>2484</v>
      </c>
      <c r="C689" s="3" t="s">
        <v>2163</v>
      </c>
      <c r="D689" s="4" t="s">
        <v>2485</v>
      </c>
      <c r="E689" s="3" t="s">
        <v>1076</v>
      </c>
      <c r="F689" s="3" t="s">
        <v>2105</v>
      </c>
      <c r="G689" s="3" t="s">
        <v>321</v>
      </c>
      <c r="H689" s="4" t="s">
        <v>1095</v>
      </c>
    </row>
    <row r="690" ht="16.5" customHeight="1" spans="1:8">
      <c r="A690" s="3">
        <v>689</v>
      </c>
      <c r="B690" s="3" t="s">
        <v>2486</v>
      </c>
      <c r="C690" s="3" t="s">
        <v>2163</v>
      </c>
      <c r="D690" s="4" t="s">
        <v>2487</v>
      </c>
      <c r="E690" s="3" t="s">
        <v>2263</v>
      </c>
      <c r="F690" s="3" t="s">
        <v>2105</v>
      </c>
      <c r="G690" s="3" t="s">
        <v>321</v>
      </c>
      <c r="H690" s="4" t="s">
        <v>1368</v>
      </c>
    </row>
    <row r="691" ht="16.5" customHeight="1" spans="1:8">
      <c r="A691" s="3">
        <v>690</v>
      </c>
      <c r="B691" s="3" t="s">
        <v>2488</v>
      </c>
      <c r="C691" s="3" t="s">
        <v>2163</v>
      </c>
      <c r="D691" s="4" t="s">
        <v>2489</v>
      </c>
      <c r="E691" s="3" t="s">
        <v>1076</v>
      </c>
      <c r="F691" s="3" t="s">
        <v>2105</v>
      </c>
      <c r="G691" s="3" t="s">
        <v>321</v>
      </c>
      <c r="H691" s="4" t="s">
        <v>1095</v>
      </c>
    </row>
    <row r="692" ht="16.5" customHeight="1" spans="1:8">
      <c r="A692" s="3">
        <v>691</v>
      </c>
      <c r="B692" s="3" t="s">
        <v>2490</v>
      </c>
      <c r="C692" s="3" t="s">
        <v>2163</v>
      </c>
      <c r="D692" s="4" t="s">
        <v>2491</v>
      </c>
      <c r="E692" s="3" t="s">
        <v>1076</v>
      </c>
      <c r="F692" s="3" t="s">
        <v>2105</v>
      </c>
      <c r="G692" s="3" t="s">
        <v>321</v>
      </c>
      <c r="H692" s="4" t="s">
        <v>1095</v>
      </c>
    </row>
    <row r="693" ht="16.5" customHeight="1" spans="1:8">
      <c r="A693" s="3">
        <v>692</v>
      </c>
      <c r="B693" s="3" t="s">
        <v>2492</v>
      </c>
      <c r="C693" s="3" t="s">
        <v>2163</v>
      </c>
      <c r="D693" s="4" t="s">
        <v>2493</v>
      </c>
      <c r="E693" s="3" t="s">
        <v>1076</v>
      </c>
      <c r="F693" s="3" t="s">
        <v>2105</v>
      </c>
      <c r="G693" s="3" t="s">
        <v>321</v>
      </c>
      <c r="H693" s="4" t="s">
        <v>1095</v>
      </c>
    </row>
    <row r="694" ht="16.5" customHeight="1" spans="1:8">
      <c r="A694" s="3">
        <v>693</v>
      </c>
      <c r="B694" s="3" t="s">
        <v>2494</v>
      </c>
      <c r="C694" s="3" t="s">
        <v>2163</v>
      </c>
      <c r="D694" s="4" t="s">
        <v>2495</v>
      </c>
      <c r="E694" s="3" t="s">
        <v>1076</v>
      </c>
      <c r="F694" s="3" t="s">
        <v>2105</v>
      </c>
      <c r="G694" s="3" t="s">
        <v>321</v>
      </c>
      <c r="H694" s="4" t="s">
        <v>1095</v>
      </c>
    </row>
    <row r="695" ht="16.5" customHeight="1" spans="1:8">
      <c r="A695" s="3">
        <v>694</v>
      </c>
      <c r="B695" s="3" t="s">
        <v>2496</v>
      </c>
      <c r="C695" s="3" t="s">
        <v>2163</v>
      </c>
      <c r="D695" s="4" t="s">
        <v>2497</v>
      </c>
      <c r="E695" s="3" t="s">
        <v>1076</v>
      </c>
      <c r="F695" s="3" t="s">
        <v>2105</v>
      </c>
      <c r="G695" s="3" t="s">
        <v>321</v>
      </c>
      <c r="H695" s="4" t="s">
        <v>1095</v>
      </c>
    </row>
    <row r="696" ht="16.5" customHeight="1" spans="1:8">
      <c r="A696" s="3">
        <v>695</v>
      </c>
      <c r="B696" s="3" t="s">
        <v>2498</v>
      </c>
      <c r="C696" s="3" t="s">
        <v>2163</v>
      </c>
      <c r="D696" s="4" t="s">
        <v>2499</v>
      </c>
      <c r="E696" s="3" t="s">
        <v>1076</v>
      </c>
      <c r="F696" s="3" t="s">
        <v>2105</v>
      </c>
      <c r="G696" s="3" t="s">
        <v>321</v>
      </c>
      <c r="H696" s="4" t="s">
        <v>1095</v>
      </c>
    </row>
    <row r="697" ht="16.5" customHeight="1" spans="1:8">
      <c r="A697" s="3">
        <v>696</v>
      </c>
      <c r="B697" s="3" t="s">
        <v>2500</v>
      </c>
      <c r="C697" s="3" t="s">
        <v>2163</v>
      </c>
      <c r="D697" s="4" t="s">
        <v>2501</v>
      </c>
      <c r="E697" s="3" t="s">
        <v>1076</v>
      </c>
      <c r="F697" s="3" t="s">
        <v>2105</v>
      </c>
      <c r="G697" s="3" t="s">
        <v>321</v>
      </c>
      <c r="H697" s="4" t="s">
        <v>1095</v>
      </c>
    </row>
    <row r="698" ht="16.5" customHeight="1" spans="1:8">
      <c r="A698" s="3">
        <v>697</v>
      </c>
      <c r="B698" s="3" t="s">
        <v>2502</v>
      </c>
      <c r="C698" s="3" t="s">
        <v>2163</v>
      </c>
      <c r="D698" s="4" t="s">
        <v>2503</v>
      </c>
      <c r="E698" s="3" t="s">
        <v>1076</v>
      </c>
      <c r="F698" s="3" t="s">
        <v>2105</v>
      </c>
      <c r="G698" s="3" t="s">
        <v>321</v>
      </c>
      <c r="H698" s="4" t="s">
        <v>1095</v>
      </c>
    </row>
    <row r="699" ht="16.5" customHeight="1" spans="1:8">
      <c r="A699" s="3">
        <v>698</v>
      </c>
      <c r="B699" s="3" t="s">
        <v>2504</v>
      </c>
      <c r="C699" s="3" t="s">
        <v>2163</v>
      </c>
      <c r="D699" s="4" t="s">
        <v>2505</v>
      </c>
      <c r="E699" s="3" t="s">
        <v>1076</v>
      </c>
      <c r="F699" s="3" t="s">
        <v>2105</v>
      </c>
      <c r="G699" s="3" t="s">
        <v>321</v>
      </c>
      <c r="H699" s="4" t="s">
        <v>1095</v>
      </c>
    </row>
    <row r="700" ht="16.5" customHeight="1" spans="1:8">
      <c r="A700" s="3">
        <v>699</v>
      </c>
      <c r="B700" s="3" t="s">
        <v>2506</v>
      </c>
      <c r="C700" s="3" t="s">
        <v>2163</v>
      </c>
      <c r="D700" s="4" t="s">
        <v>2507</v>
      </c>
      <c r="E700" s="3" t="s">
        <v>2263</v>
      </c>
      <c r="F700" s="3" t="s">
        <v>2041</v>
      </c>
      <c r="G700" s="3" t="s">
        <v>321</v>
      </c>
      <c r="H700" s="4" t="s">
        <v>1095</v>
      </c>
    </row>
    <row r="701" ht="16.5" customHeight="1" spans="1:8">
      <c r="A701" s="3">
        <v>700</v>
      </c>
      <c r="B701" s="3" t="s">
        <v>2508</v>
      </c>
      <c r="C701" s="3" t="s">
        <v>2163</v>
      </c>
      <c r="D701" s="4" t="s">
        <v>2509</v>
      </c>
      <c r="E701" s="3" t="s">
        <v>1076</v>
      </c>
      <c r="F701" s="3" t="s">
        <v>2105</v>
      </c>
      <c r="G701" s="3" t="s">
        <v>321</v>
      </c>
      <c r="H701" s="4" t="s">
        <v>1095</v>
      </c>
    </row>
    <row r="702" ht="16.5" customHeight="1" spans="1:8">
      <c r="A702" s="3">
        <v>701</v>
      </c>
      <c r="B702" s="3" t="s">
        <v>2510</v>
      </c>
      <c r="C702" s="3" t="s">
        <v>2163</v>
      </c>
      <c r="D702" s="4" t="s">
        <v>2511</v>
      </c>
      <c r="E702" s="3" t="s">
        <v>2263</v>
      </c>
      <c r="F702" s="3" t="s">
        <v>2105</v>
      </c>
      <c r="G702" s="3" t="s">
        <v>321</v>
      </c>
      <c r="H702" s="4" t="s">
        <v>1095</v>
      </c>
    </row>
    <row r="703" ht="16.5" customHeight="1" spans="1:8">
      <c r="A703" s="3">
        <v>702</v>
      </c>
      <c r="B703" s="3" t="s">
        <v>2512</v>
      </c>
      <c r="C703" s="3" t="s">
        <v>2163</v>
      </c>
      <c r="D703" s="4" t="s">
        <v>2513</v>
      </c>
      <c r="E703" s="3" t="s">
        <v>1076</v>
      </c>
      <c r="F703" s="3" t="s">
        <v>2105</v>
      </c>
      <c r="G703" s="3" t="s">
        <v>321</v>
      </c>
      <c r="H703" s="4" t="s">
        <v>1095</v>
      </c>
    </row>
    <row r="704" ht="16.5" customHeight="1" spans="1:8">
      <c r="A704" s="3">
        <v>703</v>
      </c>
      <c r="B704" s="3" t="s">
        <v>2514</v>
      </c>
      <c r="C704" s="3" t="s">
        <v>2163</v>
      </c>
      <c r="D704" s="4" t="s">
        <v>2515</v>
      </c>
      <c r="E704" s="3" t="s">
        <v>1076</v>
      </c>
      <c r="F704" s="3" t="s">
        <v>2105</v>
      </c>
      <c r="G704" s="3" t="s">
        <v>321</v>
      </c>
      <c r="H704" s="4" t="s">
        <v>1095</v>
      </c>
    </row>
    <row r="705" ht="16.5" customHeight="1" spans="1:8">
      <c r="A705" s="3">
        <v>704</v>
      </c>
      <c r="B705" s="3" t="s">
        <v>2516</v>
      </c>
      <c r="C705" s="3" t="s">
        <v>2163</v>
      </c>
      <c r="D705" s="4" t="s">
        <v>2517</v>
      </c>
      <c r="E705" s="3" t="s">
        <v>1076</v>
      </c>
      <c r="F705" s="3" t="s">
        <v>2105</v>
      </c>
      <c r="G705" s="3" t="s">
        <v>321</v>
      </c>
      <c r="H705" s="4" t="s">
        <v>1095</v>
      </c>
    </row>
    <row r="706" ht="16.5" customHeight="1" spans="1:8">
      <c r="A706" s="3">
        <v>705</v>
      </c>
      <c r="B706" s="3" t="s">
        <v>2518</v>
      </c>
      <c r="C706" s="3" t="s">
        <v>2163</v>
      </c>
      <c r="D706" s="4" t="s">
        <v>2519</v>
      </c>
      <c r="E706" s="3" t="s">
        <v>2263</v>
      </c>
      <c r="F706" s="3" t="s">
        <v>2105</v>
      </c>
      <c r="G706" s="3" t="s">
        <v>321</v>
      </c>
      <c r="H706" s="4" t="s">
        <v>1095</v>
      </c>
    </row>
    <row r="707" ht="16.5" customHeight="1" spans="1:8">
      <c r="A707" s="3">
        <v>706</v>
      </c>
      <c r="B707" s="3" t="s">
        <v>2520</v>
      </c>
      <c r="C707" s="3" t="s">
        <v>2163</v>
      </c>
      <c r="D707" s="4" t="s">
        <v>2521</v>
      </c>
      <c r="E707" s="3" t="s">
        <v>1076</v>
      </c>
      <c r="F707" s="3" t="s">
        <v>2105</v>
      </c>
      <c r="G707" s="3" t="s">
        <v>321</v>
      </c>
      <c r="H707" s="4" t="s">
        <v>1095</v>
      </c>
    </row>
    <row r="708" ht="16.5" customHeight="1" spans="1:8">
      <c r="A708" s="3">
        <v>707</v>
      </c>
      <c r="B708" s="3" t="s">
        <v>2522</v>
      </c>
      <c r="C708" s="3" t="s">
        <v>1361</v>
      </c>
      <c r="D708" s="4" t="s">
        <v>2523</v>
      </c>
      <c r="E708" s="3" t="s">
        <v>1218</v>
      </c>
      <c r="F708" s="3" t="s">
        <v>2041</v>
      </c>
      <c r="G708" s="3" t="s">
        <v>321</v>
      </c>
      <c r="H708" s="4" t="s">
        <v>1305</v>
      </c>
    </row>
    <row r="709" ht="16.5" customHeight="1" spans="1:8">
      <c r="A709" s="3">
        <v>708</v>
      </c>
      <c r="B709" s="3" t="s">
        <v>2524</v>
      </c>
      <c r="C709" s="3" t="s">
        <v>1361</v>
      </c>
      <c r="D709" s="4" t="s">
        <v>2525</v>
      </c>
      <c r="E709" s="3" t="s">
        <v>2056</v>
      </c>
      <c r="F709" s="3" t="s">
        <v>2041</v>
      </c>
      <c r="G709" s="3" t="s">
        <v>321</v>
      </c>
      <c r="H709" s="4" t="s">
        <v>1305</v>
      </c>
    </row>
    <row r="710" ht="16.5" customHeight="1" spans="1:8">
      <c r="A710" s="3">
        <v>709</v>
      </c>
      <c r="B710" s="3" t="s">
        <v>2526</v>
      </c>
      <c r="C710" s="3" t="s">
        <v>1361</v>
      </c>
      <c r="D710" s="4" t="s">
        <v>2527</v>
      </c>
      <c r="E710" s="3" t="s">
        <v>1218</v>
      </c>
      <c r="F710" s="3" t="s">
        <v>2041</v>
      </c>
      <c r="G710" s="3" t="s">
        <v>321</v>
      </c>
      <c r="H710" s="4" t="s">
        <v>1305</v>
      </c>
    </row>
    <row r="711" ht="16.5" customHeight="1" spans="1:8">
      <c r="A711" s="3">
        <v>710</v>
      </c>
      <c r="B711" s="3" t="s">
        <v>2528</v>
      </c>
      <c r="C711" s="3" t="s">
        <v>2163</v>
      </c>
      <c r="D711" s="4" t="s">
        <v>2529</v>
      </c>
      <c r="E711" s="3" t="s">
        <v>1076</v>
      </c>
      <c r="F711" s="3" t="s">
        <v>1358</v>
      </c>
      <c r="G711" s="3" t="s">
        <v>321</v>
      </c>
      <c r="H711" s="4" t="s">
        <v>1368</v>
      </c>
    </row>
    <row r="712" ht="16.5" customHeight="1" spans="1:8">
      <c r="A712" s="3">
        <v>711</v>
      </c>
      <c r="B712" s="3" t="s">
        <v>2530</v>
      </c>
      <c r="C712" s="3" t="s">
        <v>2163</v>
      </c>
      <c r="D712" s="4" t="s">
        <v>2531</v>
      </c>
      <c r="E712" s="3" t="s">
        <v>1076</v>
      </c>
      <c r="F712" s="3" t="s">
        <v>1358</v>
      </c>
      <c r="G712" s="3" t="s">
        <v>321</v>
      </c>
      <c r="H712" s="4" t="s">
        <v>1368</v>
      </c>
    </row>
    <row r="713" ht="16.5" customHeight="1" spans="1:8">
      <c r="A713" s="3">
        <v>712</v>
      </c>
      <c r="B713" s="3" t="s">
        <v>2532</v>
      </c>
      <c r="C713" s="3" t="s">
        <v>2163</v>
      </c>
      <c r="D713" s="4" t="s">
        <v>2533</v>
      </c>
      <c r="E713" s="3" t="s">
        <v>1076</v>
      </c>
      <c r="F713" s="3" t="s">
        <v>1358</v>
      </c>
      <c r="G713" s="3" t="s">
        <v>321</v>
      </c>
      <c r="H713" s="4" t="s">
        <v>1368</v>
      </c>
    </row>
    <row r="714" ht="16.5" customHeight="1" spans="1:8">
      <c r="A714" s="3">
        <v>713</v>
      </c>
      <c r="B714" s="3" t="s">
        <v>2534</v>
      </c>
      <c r="C714" s="3" t="s">
        <v>2163</v>
      </c>
      <c r="D714" s="4" t="s">
        <v>2535</v>
      </c>
      <c r="E714" s="3" t="s">
        <v>1076</v>
      </c>
      <c r="F714" s="3" t="s">
        <v>1358</v>
      </c>
      <c r="G714" s="3" t="s">
        <v>321</v>
      </c>
      <c r="H714" s="4" t="s">
        <v>1368</v>
      </c>
    </row>
    <row r="715" ht="16.5" customHeight="1" spans="1:8">
      <c r="A715" s="3">
        <v>714</v>
      </c>
      <c r="B715" s="3" t="s">
        <v>2536</v>
      </c>
      <c r="C715" s="3" t="s">
        <v>2163</v>
      </c>
      <c r="D715" s="4" t="s">
        <v>2537</v>
      </c>
      <c r="E715" s="3" t="s">
        <v>1076</v>
      </c>
      <c r="F715" s="3" t="s">
        <v>1358</v>
      </c>
      <c r="G715" s="3" t="s">
        <v>321</v>
      </c>
      <c r="H715" s="4" t="s">
        <v>1368</v>
      </c>
    </row>
    <row r="716" ht="16.5" customHeight="1" spans="1:8">
      <c r="A716" s="3">
        <v>715</v>
      </c>
      <c r="B716" s="3" t="s">
        <v>2538</v>
      </c>
      <c r="C716" s="3" t="s">
        <v>2163</v>
      </c>
      <c r="D716" s="4" t="s">
        <v>2539</v>
      </c>
      <c r="E716" s="3" t="s">
        <v>1076</v>
      </c>
      <c r="F716" s="3" t="s">
        <v>1358</v>
      </c>
      <c r="G716" s="3" t="s">
        <v>321</v>
      </c>
      <c r="H716" s="4" t="s">
        <v>1368</v>
      </c>
    </row>
    <row r="717" ht="16.5" customHeight="1" spans="1:8">
      <c r="A717" s="3">
        <v>716</v>
      </c>
      <c r="B717" s="3" t="s">
        <v>2540</v>
      </c>
      <c r="C717" s="3" t="s">
        <v>2163</v>
      </c>
      <c r="D717" s="4" t="s">
        <v>2541</v>
      </c>
      <c r="E717" s="3" t="s">
        <v>1076</v>
      </c>
      <c r="F717" s="3" t="s">
        <v>1358</v>
      </c>
      <c r="G717" s="3" t="s">
        <v>321</v>
      </c>
      <c r="H717" s="4" t="s">
        <v>1368</v>
      </c>
    </row>
    <row r="718" ht="16.5" customHeight="1" spans="1:8">
      <c r="A718" s="3">
        <v>717</v>
      </c>
      <c r="B718" s="3" t="s">
        <v>2542</v>
      </c>
      <c r="C718" s="3" t="s">
        <v>1361</v>
      </c>
      <c r="D718" s="4" t="s">
        <v>2543</v>
      </c>
      <c r="E718" s="3" t="s">
        <v>1218</v>
      </c>
      <c r="F718" s="3" t="s">
        <v>2041</v>
      </c>
      <c r="G718" s="3" t="s">
        <v>321</v>
      </c>
      <c r="H718" s="4" t="s">
        <v>1305</v>
      </c>
    </row>
    <row r="719" ht="16.5" customHeight="1" spans="1:8">
      <c r="A719" s="3">
        <v>718</v>
      </c>
      <c r="B719" s="3" t="s">
        <v>2544</v>
      </c>
      <c r="C719" s="3" t="s">
        <v>1361</v>
      </c>
      <c r="D719" s="4" t="s">
        <v>2545</v>
      </c>
      <c r="E719" s="3" t="s">
        <v>1218</v>
      </c>
      <c r="F719" s="3" t="s">
        <v>2041</v>
      </c>
      <c r="G719" s="3" t="s">
        <v>321</v>
      </c>
      <c r="H719" s="4" t="s">
        <v>1305</v>
      </c>
    </row>
    <row r="720" ht="16.5" customHeight="1" spans="1:8">
      <c r="A720" s="3">
        <v>719</v>
      </c>
      <c r="B720" s="3" t="s">
        <v>2546</v>
      </c>
      <c r="C720" s="3" t="s">
        <v>1361</v>
      </c>
      <c r="D720" s="4" t="s">
        <v>2547</v>
      </c>
      <c r="E720" s="3" t="s">
        <v>2056</v>
      </c>
      <c r="F720" s="3" t="s">
        <v>2041</v>
      </c>
      <c r="G720" s="3" t="s">
        <v>321</v>
      </c>
      <c r="H720" s="4" t="s">
        <v>1305</v>
      </c>
    </row>
    <row r="721" ht="16.5" customHeight="1" spans="1:8">
      <c r="A721" s="3">
        <v>720</v>
      </c>
      <c r="B721" s="3" t="s">
        <v>2548</v>
      </c>
      <c r="C721" s="3" t="s">
        <v>1361</v>
      </c>
      <c r="D721" s="4" t="s">
        <v>2549</v>
      </c>
      <c r="E721" s="3" t="s">
        <v>2053</v>
      </c>
      <c r="F721" s="3" t="s">
        <v>2041</v>
      </c>
      <c r="G721" s="3" t="s">
        <v>321</v>
      </c>
      <c r="H721" s="4" t="s">
        <v>1305</v>
      </c>
    </row>
    <row r="722" ht="16.5" customHeight="1" spans="1:8">
      <c r="A722" s="3">
        <v>721</v>
      </c>
      <c r="B722" s="3" t="s">
        <v>2550</v>
      </c>
      <c r="C722" s="3" t="s">
        <v>1361</v>
      </c>
      <c r="D722" s="4" t="s">
        <v>2551</v>
      </c>
      <c r="E722" s="3" t="s">
        <v>2053</v>
      </c>
      <c r="F722" s="3" t="s">
        <v>2041</v>
      </c>
      <c r="G722" s="3" t="s">
        <v>321</v>
      </c>
      <c r="H722" s="4" t="s">
        <v>1305</v>
      </c>
    </row>
    <row r="723" ht="16.5" customHeight="1" spans="1:8">
      <c r="A723" s="3">
        <v>722</v>
      </c>
      <c r="B723" s="3" t="s">
        <v>2552</v>
      </c>
      <c r="C723" s="3" t="s">
        <v>1361</v>
      </c>
      <c r="D723" s="4" t="s">
        <v>2553</v>
      </c>
      <c r="E723" s="3" t="s">
        <v>1218</v>
      </c>
      <c r="F723" s="3" t="s">
        <v>2041</v>
      </c>
      <c r="G723" s="3" t="s">
        <v>321</v>
      </c>
      <c r="H723" s="4" t="s">
        <v>1305</v>
      </c>
    </row>
    <row r="724" ht="16.5" customHeight="1" spans="1:8">
      <c r="A724" s="3">
        <v>723</v>
      </c>
      <c r="B724" s="3" t="s">
        <v>2554</v>
      </c>
      <c r="C724" s="3" t="s">
        <v>1356</v>
      </c>
      <c r="D724" s="4" t="s">
        <v>2555</v>
      </c>
      <c r="E724" s="3" t="s">
        <v>1076</v>
      </c>
      <c r="F724" s="3" t="s">
        <v>1358</v>
      </c>
      <c r="G724" s="3" t="s">
        <v>321</v>
      </c>
      <c r="H724" s="4" t="s">
        <v>1359</v>
      </c>
    </row>
    <row r="725" ht="16.5" customHeight="1" spans="1:8">
      <c r="A725" s="3">
        <v>724</v>
      </c>
      <c r="B725" s="3" t="s">
        <v>2556</v>
      </c>
      <c r="C725" s="3" t="s">
        <v>1361</v>
      </c>
      <c r="D725" s="4" t="s">
        <v>2557</v>
      </c>
      <c r="E725" s="3" t="s">
        <v>2053</v>
      </c>
      <c r="F725" s="3" t="s">
        <v>2041</v>
      </c>
      <c r="G725" s="3" t="s">
        <v>321</v>
      </c>
      <c r="H725" s="4" t="s">
        <v>1305</v>
      </c>
    </row>
    <row r="726" ht="16.5" customHeight="1" spans="1:8">
      <c r="A726" s="3">
        <v>725</v>
      </c>
      <c r="B726" s="3" t="s">
        <v>2558</v>
      </c>
      <c r="C726" s="3" t="s">
        <v>1105</v>
      </c>
      <c r="D726" s="4" t="s">
        <v>2559</v>
      </c>
      <c r="E726" s="3" t="s">
        <v>1076</v>
      </c>
      <c r="F726" s="3" t="s">
        <v>1152</v>
      </c>
      <c r="G726" s="3" t="s">
        <v>321</v>
      </c>
      <c r="H726" s="4" t="s">
        <v>2560</v>
      </c>
    </row>
    <row r="727" ht="16.5" customHeight="1" spans="1:8">
      <c r="A727" s="3">
        <v>726</v>
      </c>
      <c r="B727" s="3" t="s">
        <v>2561</v>
      </c>
      <c r="C727" s="3" t="s">
        <v>1361</v>
      </c>
      <c r="D727" s="4" t="s">
        <v>2562</v>
      </c>
      <c r="E727" s="3" t="s">
        <v>1218</v>
      </c>
      <c r="F727" s="3" t="s">
        <v>2041</v>
      </c>
      <c r="G727" s="3" t="s">
        <v>321</v>
      </c>
      <c r="H727" s="4" t="s">
        <v>1305</v>
      </c>
    </row>
    <row r="728" ht="16.5" customHeight="1" spans="1:8">
      <c r="A728" s="3">
        <v>727</v>
      </c>
      <c r="B728" s="3" t="s">
        <v>2563</v>
      </c>
      <c r="C728" s="3" t="s">
        <v>1105</v>
      </c>
      <c r="D728" s="4" t="s">
        <v>2564</v>
      </c>
      <c r="E728" s="3" t="s">
        <v>1076</v>
      </c>
      <c r="F728" s="3" t="s">
        <v>1152</v>
      </c>
      <c r="G728" s="3" t="s">
        <v>321</v>
      </c>
      <c r="H728" s="4" t="s">
        <v>2560</v>
      </c>
    </row>
    <row r="729" ht="16.5" customHeight="1" spans="1:8">
      <c r="A729" s="3">
        <v>728</v>
      </c>
      <c r="B729" s="3" t="s">
        <v>2565</v>
      </c>
      <c r="C729" s="3" t="s">
        <v>1105</v>
      </c>
      <c r="D729" s="4" t="s">
        <v>2566</v>
      </c>
      <c r="E729" s="3" t="s">
        <v>1076</v>
      </c>
      <c r="F729" s="3" t="s">
        <v>1152</v>
      </c>
      <c r="G729" s="3" t="s">
        <v>321</v>
      </c>
      <c r="H729" s="4" t="s">
        <v>2560</v>
      </c>
    </row>
    <row r="730" ht="16.5" customHeight="1" spans="1:8">
      <c r="A730" s="3">
        <v>729</v>
      </c>
      <c r="B730" s="3" t="s">
        <v>2567</v>
      </c>
      <c r="C730" s="3" t="s">
        <v>1361</v>
      </c>
      <c r="D730" s="4" t="s">
        <v>2568</v>
      </c>
      <c r="E730" s="3" t="s">
        <v>2053</v>
      </c>
      <c r="F730" s="3" t="s">
        <v>2041</v>
      </c>
      <c r="G730" s="3" t="s">
        <v>321</v>
      </c>
      <c r="H730" s="4" t="s">
        <v>1305</v>
      </c>
    </row>
    <row r="731" ht="16.5" customHeight="1" spans="1:8">
      <c r="A731" s="3">
        <v>730</v>
      </c>
      <c r="B731" s="3" t="s">
        <v>2569</v>
      </c>
      <c r="C731" s="3" t="s">
        <v>1105</v>
      </c>
      <c r="D731" s="4" t="s">
        <v>2570</v>
      </c>
      <c r="E731" s="3" t="s">
        <v>1076</v>
      </c>
      <c r="F731" s="3" t="s">
        <v>1152</v>
      </c>
      <c r="G731" s="3" t="s">
        <v>321</v>
      </c>
      <c r="H731" s="4" t="s">
        <v>2571</v>
      </c>
    </row>
    <row r="732" ht="16.5" customHeight="1" spans="1:8">
      <c r="A732" s="3">
        <v>731</v>
      </c>
      <c r="B732" s="3" t="s">
        <v>2572</v>
      </c>
      <c r="C732" s="3" t="s">
        <v>1105</v>
      </c>
      <c r="D732" s="4" t="s">
        <v>2573</v>
      </c>
      <c r="E732" s="3" t="s">
        <v>1076</v>
      </c>
      <c r="F732" s="3" t="s">
        <v>1152</v>
      </c>
      <c r="G732" s="3" t="s">
        <v>321</v>
      </c>
      <c r="H732" s="4" t="s">
        <v>2571</v>
      </c>
    </row>
    <row r="733" ht="16.5" customHeight="1" spans="1:8">
      <c r="A733" s="3">
        <v>732</v>
      </c>
      <c r="B733" s="3" t="s">
        <v>2574</v>
      </c>
      <c r="C733" s="3" t="s">
        <v>1361</v>
      </c>
      <c r="D733" s="4" t="s">
        <v>2575</v>
      </c>
      <c r="E733" s="3" t="s">
        <v>2053</v>
      </c>
      <c r="F733" s="3" t="s">
        <v>2041</v>
      </c>
      <c r="G733" s="3" t="s">
        <v>321</v>
      </c>
      <c r="H733" s="4" t="s">
        <v>1305</v>
      </c>
    </row>
    <row r="734" ht="16.5" customHeight="1" spans="1:8">
      <c r="A734" s="3">
        <v>733</v>
      </c>
      <c r="B734" s="3" t="s">
        <v>2576</v>
      </c>
      <c r="C734" s="3" t="s">
        <v>1105</v>
      </c>
      <c r="D734" s="4" t="s">
        <v>2577</v>
      </c>
      <c r="E734" s="3" t="s">
        <v>1076</v>
      </c>
      <c r="F734" s="3" t="s">
        <v>1152</v>
      </c>
      <c r="G734" s="3" t="s">
        <v>321</v>
      </c>
      <c r="H734" s="4" t="s">
        <v>2571</v>
      </c>
    </row>
    <row r="735" ht="16.5" customHeight="1" spans="1:8">
      <c r="A735" s="3">
        <v>734</v>
      </c>
      <c r="B735" s="3" t="s">
        <v>2578</v>
      </c>
      <c r="C735" s="3" t="s">
        <v>1361</v>
      </c>
      <c r="D735" s="4" t="s">
        <v>2579</v>
      </c>
      <c r="E735" s="3" t="s">
        <v>2053</v>
      </c>
      <c r="F735" s="3" t="s">
        <v>2041</v>
      </c>
      <c r="G735" s="3" t="s">
        <v>321</v>
      </c>
      <c r="H735" s="4" t="s">
        <v>1305</v>
      </c>
    </row>
    <row r="736" ht="16.5" customHeight="1" spans="1:8">
      <c r="A736" s="3">
        <v>735</v>
      </c>
      <c r="B736" s="3" t="s">
        <v>2580</v>
      </c>
      <c r="C736" s="3" t="s">
        <v>1105</v>
      </c>
      <c r="D736" s="4" t="s">
        <v>2581</v>
      </c>
      <c r="E736" s="3" t="s">
        <v>1076</v>
      </c>
      <c r="F736" s="3" t="s">
        <v>1358</v>
      </c>
      <c r="G736" s="3" t="s">
        <v>321</v>
      </c>
      <c r="H736" s="4" t="s">
        <v>1982</v>
      </c>
    </row>
    <row r="737" ht="16.5" customHeight="1" spans="1:8">
      <c r="A737" s="3">
        <v>736</v>
      </c>
      <c r="B737" s="3" t="s">
        <v>2582</v>
      </c>
      <c r="C737" s="3" t="s">
        <v>1361</v>
      </c>
      <c r="D737" s="4" t="s">
        <v>2583</v>
      </c>
      <c r="E737" s="3" t="s">
        <v>1218</v>
      </c>
      <c r="F737" s="3" t="s">
        <v>2041</v>
      </c>
      <c r="G737" s="3" t="s">
        <v>321</v>
      </c>
      <c r="H737" s="4" t="s">
        <v>1305</v>
      </c>
    </row>
    <row r="738" ht="16.5" customHeight="1" spans="1:8">
      <c r="A738" s="3">
        <v>737</v>
      </c>
      <c r="B738" s="3" t="s">
        <v>2584</v>
      </c>
      <c r="C738" s="3" t="s">
        <v>1105</v>
      </c>
      <c r="D738" s="4" t="s">
        <v>2585</v>
      </c>
      <c r="E738" s="3" t="s">
        <v>1076</v>
      </c>
      <c r="F738" s="3" t="s">
        <v>1358</v>
      </c>
      <c r="G738" s="3" t="s">
        <v>321</v>
      </c>
      <c r="H738" s="4" t="s">
        <v>2019</v>
      </c>
    </row>
    <row r="739" ht="16.5" customHeight="1" spans="1:8">
      <c r="A739" s="3">
        <v>738</v>
      </c>
      <c r="B739" s="3" t="s">
        <v>2586</v>
      </c>
      <c r="C739" s="3" t="s">
        <v>1105</v>
      </c>
      <c r="D739" s="4" t="s">
        <v>2587</v>
      </c>
      <c r="E739" s="3" t="s">
        <v>1076</v>
      </c>
      <c r="F739" s="3" t="s">
        <v>1358</v>
      </c>
      <c r="G739" s="3" t="s">
        <v>321</v>
      </c>
      <c r="H739" s="4" t="s">
        <v>2033</v>
      </c>
    </row>
    <row r="740" ht="16.5" customHeight="1" spans="1:8">
      <c r="A740" s="3">
        <v>739</v>
      </c>
      <c r="B740" s="3" t="s">
        <v>2588</v>
      </c>
      <c r="C740" s="3" t="s">
        <v>1361</v>
      </c>
      <c r="D740" s="4" t="s">
        <v>2589</v>
      </c>
      <c r="E740" s="3" t="s">
        <v>1218</v>
      </c>
      <c r="F740" s="3" t="s">
        <v>2041</v>
      </c>
      <c r="G740" s="3" t="s">
        <v>321</v>
      </c>
      <c r="H740" s="4" t="s">
        <v>1305</v>
      </c>
    </row>
    <row r="741" ht="16.5" customHeight="1" spans="1:8">
      <c r="A741" s="3">
        <v>740</v>
      </c>
      <c r="B741" s="3" t="s">
        <v>2590</v>
      </c>
      <c r="C741" s="3" t="s">
        <v>2163</v>
      </c>
      <c r="D741" s="4" t="s">
        <v>2591</v>
      </c>
      <c r="E741" s="3" t="s">
        <v>1076</v>
      </c>
      <c r="F741" s="3" t="s">
        <v>2105</v>
      </c>
      <c r="G741" s="3" t="s">
        <v>321</v>
      </c>
      <c r="H741" s="4" t="s">
        <v>1095</v>
      </c>
    </row>
    <row r="742" ht="16.5" customHeight="1" spans="1:8">
      <c r="A742" s="3">
        <v>741</v>
      </c>
      <c r="B742" s="3" t="s">
        <v>2592</v>
      </c>
      <c r="C742" s="3" t="s">
        <v>1361</v>
      </c>
      <c r="D742" s="4" t="s">
        <v>2593</v>
      </c>
      <c r="E742" s="3" t="s">
        <v>1218</v>
      </c>
      <c r="F742" s="3" t="s">
        <v>2041</v>
      </c>
      <c r="G742" s="3" t="s">
        <v>321</v>
      </c>
      <c r="H742" s="4" t="s">
        <v>1305</v>
      </c>
    </row>
    <row r="743" ht="16.5" customHeight="1" spans="1:8">
      <c r="A743" s="3">
        <v>742</v>
      </c>
      <c r="B743" s="3" t="s">
        <v>2594</v>
      </c>
      <c r="C743" s="3" t="s">
        <v>2163</v>
      </c>
      <c r="D743" s="4" t="s">
        <v>2595</v>
      </c>
      <c r="E743" s="3" t="s">
        <v>1076</v>
      </c>
      <c r="F743" s="3" t="s">
        <v>2041</v>
      </c>
      <c r="G743" s="3" t="s">
        <v>321</v>
      </c>
      <c r="H743" s="4" t="s">
        <v>1359</v>
      </c>
    </row>
    <row r="744" ht="16.5" customHeight="1" spans="1:8">
      <c r="A744" s="3">
        <v>743</v>
      </c>
      <c r="B744" s="3" t="s">
        <v>2596</v>
      </c>
      <c r="C744" s="3" t="s">
        <v>2163</v>
      </c>
      <c r="D744" s="4" t="s">
        <v>2597</v>
      </c>
      <c r="E744" s="3" t="s">
        <v>1076</v>
      </c>
      <c r="F744" s="3" t="s">
        <v>2041</v>
      </c>
      <c r="G744" s="3" t="s">
        <v>321</v>
      </c>
      <c r="H744" s="4" t="s">
        <v>1359</v>
      </c>
    </row>
    <row r="745" ht="16.5" customHeight="1" spans="1:8">
      <c r="A745" s="3">
        <v>744</v>
      </c>
      <c r="B745" s="3" t="s">
        <v>2598</v>
      </c>
      <c r="C745" s="3" t="s">
        <v>1361</v>
      </c>
      <c r="D745" s="4" t="s">
        <v>2599</v>
      </c>
      <c r="E745" s="3" t="s">
        <v>2056</v>
      </c>
      <c r="F745" s="3" t="s">
        <v>2041</v>
      </c>
      <c r="G745" s="3" t="s">
        <v>321</v>
      </c>
      <c r="H745" s="4" t="s">
        <v>1305</v>
      </c>
    </row>
    <row r="746" ht="16.5" customHeight="1" spans="1:8">
      <c r="A746" s="3">
        <v>745</v>
      </c>
      <c r="B746" s="3" t="s">
        <v>2600</v>
      </c>
      <c r="C746" s="3" t="s">
        <v>1361</v>
      </c>
      <c r="D746" s="4" t="s">
        <v>2601</v>
      </c>
      <c r="E746" s="3" t="s">
        <v>2056</v>
      </c>
      <c r="F746" s="3" t="s">
        <v>2041</v>
      </c>
      <c r="G746" s="3" t="s">
        <v>321</v>
      </c>
      <c r="H746" s="4" t="s">
        <v>1305</v>
      </c>
    </row>
    <row r="747" ht="16.5" customHeight="1" spans="1:8">
      <c r="A747" s="3">
        <v>746</v>
      </c>
      <c r="B747" s="3" t="s">
        <v>2602</v>
      </c>
      <c r="C747" s="3" t="s">
        <v>2163</v>
      </c>
      <c r="D747" s="4" t="s">
        <v>2603</v>
      </c>
      <c r="E747" s="3" t="s">
        <v>1076</v>
      </c>
      <c r="F747" s="3" t="s">
        <v>2041</v>
      </c>
      <c r="G747" s="3" t="s">
        <v>321</v>
      </c>
      <c r="H747" s="4" t="s">
        <v>1368</v>
      </c>
    </row>
    <row r="748" ht="16.5" customHeight="1" spans="1:8">
      <c r="A748" s="3">
        <v>747</v>
      </c>
      <c r="B748" s="3" t="s">
        <v>2604</v>
      </c>
      <c r="C748" s="3" t="s">
        <v>2163</v>
      </c>
      <c r="D748" s="4" t="s">
        <v>2605</v>
      </c>
      <c r="E748" s="3" t="s">
        <v>1076</v>
      </c>
      <c r="F748" s="3" t="s">
        <v>2041</v>
      </c>
      <c r="G748" s="3" t="s">
        <v>321</v>
      </c>
      <c r="H748" s="4" t="s">
        <v>1368</v>
      </c>
    </row>
    <row r="749" ht="16.5" customHeight="1" spans="1:8">
      <c r="A749" s="3">
        <v>748</v>
      </c>
      <c r="B749" s="3" t="s">
        <v>2606</v>
      </c>
      <c r="C749" s="3" t="s">
        <v>2163</v>
      </c>
      <c r="D749" s="4" t="s">
        <v>2607</v>
      </c>
      <c r="E749" s="3" t="s">
        <v>1076</v>
      </c>
      <c r="F749" s="3" t="s">
        <v>2041</v>
      </c>
      <c r="G749" s="3" t="s">
        <v>321</v>
      </c>
      <c r="H749" s="4" t="s">
        <v>1368</v>
      </c>
    </row>
    <row r="750" ht="16.5" customHeight="1" spans="1:8">
      <c r="A750" s="3">
        <v>749</v>
      </c>
      <c r="B750" s="3" t="s">
        <v>2608</v>
      </c>
      <c r="C750" s="3" t="s">
        <v>2163</v>
      </c>
      <c r="D750" s="4" t="s">
        <v>2609</v>
      </c>
      <c r="E750" s="3" t="s">
        <v>1076</v>
      </c>
      <c r="F750" s="3" t="s">
        <v>2041</v>
      </c>
      <c r="G750" s="3" t="s">
        <v>321</v>
      </c>
      <c r="H750" s="4" t="s">
        <v>1368</v>
      </c>
    </row>
    <row r="751" ht="16.5" customHeight="1" spans="1:8">
      <c r="A751" s="3">
        <v>750</v>
      </c>
      <c r="B751" s="3" t="s">
        <v>2610</v>
      </c>
      <c r="C751" s="3" t="s">
        <v>2163</v>
      </c>
      <c r="D751" s="4" t="s">
        <v>2611</v>
      </c>
      <c r="E751" s="3" t="s">
        <v>1076</v>
      </c>
      <c r="F751" s="3" t="s">
        <v>2041</v>
      </c>
      <c r="G751" s="3" t="s">
        <v>321</v>
      </c>
      <c r="H751" s="4" t="s">
        <v>1368</v>
      </c>
    </row>
    <row r="752" ht="16.5" customHeight="1" spans="1:8">
      <c r="A752" s="3">
        <v>751</v>
      </c>
      <c r="B752" s="3" t="s">
        <v>2612</v>
      </c>
      <c r="C752" s="3" t="s">
        <v>2163</v>
      </c>
      <c r="D752" s="4" t="s">
        <v>2613</v>
      </c>
      <c r="E752" s="3" t="s">
        <v>2263</v>
      </c>
      <c r="F752" s="3" t="s">
        <v>2041</v>
      </c>
      <c r="G752" s="3" t="s">
        <v>321</v>
      </c>
      <c r="H752" s="4" t="s">
        <v>1368</v>
      </c>
    </row>
    <row r="753" ht="16.5" customHeight="1" spans="1:8">
      <c r="A753" s="3">
        <v>752</v>
      </c>
      <c r="B753" s="3" t="s">
        <v>2614</v>
      </c>
      <c r="C753" s="3" t="s">
        <v>2163</v>
      </c>
      <c r="D753" s="4" t="s">
        <v>2615</v>
      </c>
      <c r="E753" s="3" t="s">
        <v>1076</v>
      </c>
      <c r="F753" s="3" t="s">
        <v>2041</v>
      </c>
      <c r="G753" s="3" t="s">
        <v>321</v>
      </c>
      <c r="H753" s="4" t="s">
        <v>1368</v>
      </c>
    </row>
    <row r="754" ht="16.5" customHeight="1" spans="1:8">
      <c r="A754" s="3">
        <v>753</v>
      </c>
      <c r="B754" s="3" t="s">
        <v>2616</v>
      </c>
      <c r="C754" s="3" t="s">
        <v>2163</v>
      </c>
      <c r="D754" s="4" t="s">
        <v>2617</v>
      </c>
      <c r="E754" s="3" t="s">
        <v>1076</v>
      </c>
      <c r="F754" s="3" t="s">
        <v>2041</v>
      </c>
      <c r="G754" s="3" t="s">
        <v>321</v>
      </c>
      <c r="H754" s="4" t="s">
        <v>1368</v>
      </c>
    </row>
    <row r="755" ht="16.5" customHeight="1" spans="1:8">
      <c r="A755" s="3">
        <v>754</v>
      </c>
      <c r="B755" s="3" t="s">
        <v>2618</v>
      </c>
      <c r="C755" s="3" t="s">
        <v>2163</v>
      </c>
      <c r="D755" s="4" t="s">
        <v>2619</v>
      </c>
      <c r="E755" s="3" t="s">
        <v>1076</v>
      </c>
      <c r="F755" s="3" t="s">
        <v>2041</v>
      </c>
      <c r="G755" s="3" t="s">
        <v>321</v>
      </c>
      <c r="H755" s="4" t="s">
        <v>1368</v>
      </c>
    </row>
    <row r="756" ht="16.5" customHeight="1" spans="1:8">
      <c r="A756" s="3">
        <v>755</v>
      </c>
      <c r="B756" s="3" t="s">
        <v>2620</v>
      </c>
      <c r="C756" s="3" t="s">
        <v>1105</v>
      </c>
      <c r="D756" s="4" t="s">
        <v>2621</v>
      </c>
      <c r="E756" s="3" t="s">
        <v>1076</v>
      </c>
      <c r="F756" s="3" t="s">
        <v>1350</v>
      </c>
      <c r="G756" s="3" t="s">
        <v>321</v>
      </c>
      <c r="H756" s="4" t="s">
        <v>2329</v>
      </c>
    </row>
    <row r="757" ht="16.5" customHeight="1" spans="1:8">
      <c r="A757" s="3">
        <v>756</v>
      </c>
      <c r="B757" s="3" t="s">
        <v>2622</v>
      </c>
      <c r="C757" s="3" t="s">
        <v>2163</v>
      </c>
      <c r="D757" s="4" t="s">
        <v>2623</v>
      </c>
      <c r="E757" s="3" t="s">
        <v>1076</v>
      </c>
      <c r="F757" s="3" t="s">
        <v>2041</v>
      </c>
      <c r="G757" s="3" t="s">
        <v>321</v>
      </c>
      <c r="H757" s="4" t="s">
        <v>1368</v>
      </c>
    </row>
    <row r="758" ht="16.5" customHeight="1" spans="1:8">
      <c r="A758" s="3">
        <v>757</v>
      </c>
      <c r="B758" s="3" t="s">
        <v>2624</v>
      </c>
      <c r="C758" s="3" t="s">
        <v>2163</v>
      </c>
      <c r="D758" s="4" t="s">
        <v>2625</v>
      </c>
      <c r="E758" s="3" t="s">
        <v>1076</v>
      </c>
      <c r="F758" s="3" t="s">
        <v>2041</v>
      </c>
      <c r="G758" s="3" t="s">
        <v>321</v>
      </c>
      <c r="H758" s="4" t="s">
        <v>1368</v>
      </c>
    </row>
    <row r="759" ht="16.5" customHeight="1" spans="1:8">
      <c r="A759" s="3">
        <v>758</v>
      </c>
      <c r="B759" s="3" t="s">
        <v>2626</v>
      </c>
      <c r="C759" s="3" t="s">
        <v>1105</v>
      </c>
      <c r="D759" s="4" t="s">
        <v>2627</v>
      </c>
      <c r="E759" s="3" t="s">
        <v>1076</v>
      </c>
      <c r="F759" s="3" t="s">
        <v>1350</v>
      </c>
      <c r="G759" s="3" t="s">
        <v>321</v>
      </c>
      <c r="H759" s="4" t="s">
        <v>1880</v>
      </c>
    </row>
    <row r="760" ht="16.5" customHeight="1" spans="1:8">
      <c r="A760" s="3">
        <v>759</v>
      </c>
      <c r="B760" s="3" t="s">
        <v>2628</v>
      </c>
      <c r="C760" s="3" t="s">
        <v>1105</v>
      </c>
      <c r="D760" s="4" t="s">
        <v>2629</v>
      </c>
      <c r="E760" s="3" t="s">
        <v>1076</v>
      </c>
      <c r="F760" s="3" t="s">
        <v>1350</v>
      </c>
      <c r="G760" s="3" t="s">
        <v>321</v>
      </c>
      <c r="H760" s="4" t="s">
        <v>1880</v>
      </c>
    </row>
    <row r="761" ht="16.5" customHeight="1" spans="1:8">
      <c r="A761" s="3">
        <v>760</v>
      </c>
      <c r="B761" s="3" t="s">
        <v>2630</v>
      </c>
      <c r="C761" s="3" t="s">
        <v>1074</v>
      </c>
      <c r="D761" s="4" t="s">
        <v>2631</v>
      </c>
      <c r="E761" s="3" t="s">
        <v>1076</v>
      </c>
      <c r="F761" s="3" t="s">
        <v>1077</v>
      </c>
      <c r="G761" s="3" t="s">
        <v>321</v>
      </c>
      <c r="H761" s="4" t="s">
        <v>1095</v>
      </c>
    </row>
    <row r="762" ht="16.5" customHeight="1" spans="1:8">
      <c r="A762" s="3">
        <v>761</v>
      </c>
      <c r="B762" s="3" t="s">
        <v>2632</v>
      </c>
      <c r="C762" s="3" t="s">
        <v>1074</v>
      </c>
      <c r="D762" s="4" t="s">
        <v>2633</v>
      </c>
      <c r="E762" s="3" t="s">
        <v>1076</v>
      </c>
      <c r="F762" s="3" t="s">
        <v>1077</v>
      </c>
      <c r="G762" s="3"/>
      <c r="H762" s="4" t="s">
        <v>1095</v>
      </c>
    </row>
    <row r="763" ht="16.5" customHeight="1" spans="1:8">
      <c r="A763" s="3">
        <v>762</v>
      </c>
      <c r="B763" s="3" t="s">
        <v>2634</v>
      </c>
      <c r="C763" s="3" t="s">
        <v>1074</v>
      </c>
      <c r="D763" s="4" t="s">
        <v>2635</v>
      </c>
      <c r="E763" s="3" t="s">
        <v>1076</v>
      </c>
      <c r="F763" s="3" t="s">
        <v>1077</v>
      </c>
      <c r="G763" s="3"/>
      <c r="H763" s="4" t="s">
        <v>1095</v>
      </c>
    </row>
    <row r="764" ht="16.5" customHeight="1" spans="1:8">
      <c r="A764" s="3">
        <v>763</v>
      </c>
      <c r="B764" s="3" t="s">
        <v>2636</v>
      </c>
      <c r="C764" s="3" t="s">
        <v>1074</v>
      </c>
      <c r="D764" s="4" t="s">
        <v>2637</v>
      </c>
      <c r="E764" s="3" t="s">
        <v>1076</v>
      </c>
      <c r="F764" s="3" t="s">
        <v>1077</v>
      </c>
      <c r="G764" s="3"/>
      <c r="H764" s="4" t="s">
        <v>1095</v>
      </c>
    </row>
    <row r="765" ht="16.5" customHeight="1" spans="1:8">
      <c r="A765" s="3">
        <v>764</v>
      </c>
      <c r="B765" s="3" t="s">
        <v>2638</v>
      </c>
      <c r="C765" s="3" t="s">
        <v>1074</v>
      </c>
      <c r="D765" s="4" t="s">
        <v>2639</v>
      </c>
      <c r="E765" s="3" t="s">
        <v>1076</v>
      </c>
      <c r="F765" s="3" t="s">
        <v>1077</v>
      </c>
      <c r="G765" s="3"/>
      <c r="H765" s="4" t="s">
        <v>1095</v>
      </c>
    </row>
    <row r="766" ht="16.5" customHeight="1" spans="1:8">
      <c r="A766" s="3">
        <v>765</v>
      </c>
      <c r="B766" s="3" t="s">
        <v>2640</v>
      </c>
      <c r="C766" s="3" t="s">
        <v>1074</v>
      </c>
      <c r="D766" s="4" t="s">
        <v>2641</v>
      </c>
      <c r="E766" s="3" t="s">
        <v>1076</v>
      </c>
      <c r="F766" s="3" t="s">
        <v>1077</v>
      </c>
      <c r="G766" s="3"/>
      <c r="H766" s="4" t="s">
        <v>1095</v>
      </c>
    </row>
    <row r="767" ht="16.5" customHeight="1" spans="1:8">
      <c r="A767" s="3">
        <v>766</v>
      </c>
      <c r="B767" s="3" t="s">
        <v>2642</v>
      </c>
      <c r="C767" s="3" t="s">
        <v>1074</v>
      </c>
      <c r="D767" s="4" t="s">
        <v>2643</v>
      </c>
      <c r="E767" s="3" t="s">
        <v>1076</v>
      </c>
      <c r="F767" s="3" t="s">
        <v>1077</v>
      </c>
      <c r="G767" s="3"/>
      <c r="H767" s="4" t="s">
        <v>1095</v>
      </c>
    </row>
    <row r="768" ht="16.5" customHeight="1" spans="1:8">
      <c r="A768" s="3">
        <v>767</v>
      </c>
      <c r="B768" s="3" t="s">
        <v>2644</v>
      </c>
      <c r="C768" s="3" t="s">
        <v>1074</v>
      </c>
      <c r="D768" s="4" t="s">
        <v>2645</v>
      </c>
      <c r="E768" s="3" t="s">
        <v>1076</v>
      </c>
      <c r="F768" s="3" t="s">
        <v>1077</v>
      </c>
      <c r="G768" s="3"/>
      <c r="H768" s="4" t="s">
        <v>1095</v>
      </c>
    </row>
    <row r="769" ht="16.5" customHeight="1" spans="1:8">
      <c r="A769" s="3">
        <v>768</v>
      </c>
      <c r="B769" s="3" t="s">
        <v>2646</v>
      </c>
      <c r="C769" s="3" t="s">
        <v>1074</v>
      </c>
      <c r="D769" s="4" t="s">
        <v>2647</v>
      </c>
      <c r="E769" s="3" t="s">
        <v>1076</v>
      </c>
      <c r="F769" s="3" t="s">
        <v>1077</v>
      </c>
      <c r="G769" s="3"/>
      <c r="H769" s="4" t="s">
        <v>1095</v>
      </c>
    </row>
    <row r="770" ht="16.5" customHeight="1" spans="1:8">
      <c r="A770" s="3">
        <v>769</v>
      </c>
      <c r="B770" s="3" t="s">
        <v>2648</v>
      </c>
      <c r="C770" s="3" t="s">
        <v>1074</v>
      </c>
      <c r="D770" s="4" t="s">
        <v>2649</v>
      </c>
      <c r="E770" s="3" t="s">
        <v>1076</v>
      </c>
      <c r="F770" s="3" t="s">
        <v>1077</v>
      </c>
      <c r="G770" s="3"/>
      <c r="H770" s="4" t="s">
        <v>1095</v>
      </c>
    </row>
    <row r="771" ht="16.5" customHeight="1" spans="1:8">
      <c r="A771" s="3">
        <v>770</v>
      </c>
      <c r="B771" s="3" t="s">
        <v>2650</v>
      </c>
      <c r="C771" s="3" t="s">
        <v>1074</v>
      </c>
      <c r="D771" s="4" t="s">
        <v>2651</v>
      </c>
      <c r="E771" s="3" t="s">
        <v>1076</v>
      </c>
      <c r="F771" s="3" t="s">
        <v>1077</v>
      </c>
      <c r="G771" s="3"/>
      <c r="H771" s="4" t="s">
        <v>1095</v>
      </c>
    </row>
    <row r="772" ht="16.5" customHeight="1" spans="1:8">
      <c r="A772" s="3">
        <v>771</v>
      </c>
      <c r="B772" s="3" t="s">
        <v>2652</v>
      </c>
      <c r="C772" s="3" t="s">
        <v>2163</v>
      </c>
      <c r="D772" s="4" t="s">
        <v>2653</v>
      </c>
      <c r="E772" s="3" t="s">
        <v>1076</v>
      </c>
      <c r="F772" s="3" t="s">
        <v>2041</v>
      </c>
      <c r="G772" s="3" t="s">
        <v>321</v>
      </c>
      <c r="H772" s="4" t="s">
        <v>1368</v>
      </c>
    </row>
    <row r="773" ht="16.5" customHeight="1" spans="1:8">
      <c r="A773" s="3">
        <v>772</v>
      </c>
      <c r="B773" s="3" t="s">
        <v>2654</v>
      </c>
      <c r="C773" s="3" t="s">
        <v>1074</v>
      </c>
      <c r="D773" s="4" t="s">
        <v>2655</v>
      </c>
      <c r="E773" s="3" t="s">
        <v>1076</v>
      </c>
      <c r="F773" s="3" t="s">
        <v>1077</v>
      </c>
      <c r="G773" s="3"/>
      <c r="H773" s="4" t="s">
        <v>1095</v>
      </c>
    </row>
    <row r="774" ht="16.5" customHeight="1" spans="1:8">
      <c r="A774" s="3">
        <v>773</v>
      </c>
      <c r="B774" s="3" t="s">
        <v>2656</v>
      </c>
      <c r="C774" s="3" t="s">
        <v>1074</v>
      </c>
      <c r="D774" s="4" t="s">
        <v>2657</v>
      </c>
      <c r="E774" s="3" t="s">
        <v>1076</v>
      </c>
      <c r="F774" s="3" t="s">
        <v>1077</v>
      </c>
      <c r="G774" s="3"/>
      <c r="H774" s="4" t="s">
        <v>1095</v>
      </c>
    </row>
    <row r="775" ht="16.5" customHeight="1" spans="1:8">
      <c r="A775" s="3">
        <v>774</v>
      </c>
      <c r="B775" s="3" t="s">
        <v>2658</v>
      </c>
      <c r="C775" s="3" t="s">
        <v>1074</v>
      </c>
      <c r="D775" s="4" t="s">
        <v>2659</v>
      </c>
      <c r="E775" s="3" t="s">
        <v>1076</v>
      </c>
      <c r="F775" s="3" t="s">
        <v>1077</v>
      </c>
      <c r="G775" s="3"/>
      <c r="H775" s="4" t="s">
        <v>1095</v>
      </c>
    </row>
    <row r="776" ht="16.5" customHeight="1" spans="1:8">
      <c r="A776" s="3">
        <v>775</v>
      </c>
      <c r="B776" s="3" t="s">
        <v>2660</v>
      </c>
      <c r="C776" s="3" t="s">
        <v>1074</v>
      </c>
      <c r="D776" s="4" t="s">
        <v>2661</v>
      </c>
      <c r="E776" s="3" t="s">
        <v>1076</v>
      </c>
      <c r="F776" s="3" t="s">
        <v>1077</v>
      </c>
      <c r="G776" s="3"/>
      <c r="H776" s="4" t="s">
        <v>1095</v>
      </c>
    </row>
    <row r="777" ht="16.5" customHeight="1" spans="1:8">
      <c r="A777" s="3">
        <v>776</v>
      </c>
      <c r="B777" s="3" t="s">
        <v>2662</v>
      </c>
      <c r="C777" s="3" t="s">
        <v>1074</v>
      </c>
      <c r="D777" s="4" t="s">
        <v>2663</v>
      </c>
      <c r="E777" s="3" t="s">
        <v>1076</v>
      </c>
      <c r="F777" s="3" t="s">
        <v>1077</v>
      </c>
      <c r="G777" s="3"/>
      <c r="H777" s="4" t="s">
        <v>1095</v>
      </c>
    </row>
    <row r="778" ht="16.5" customHeight="1" spans="1:8">
      <c r="A778" s="3">
        <v>777</v>
      </c>
      <c r="B778" s="3" t="s">
        <v>2664</v>
      </c>
      <c r="C778" s="3" t="s">
        <v>1074</v>
      </c>
      <c r="D778" s="4" t="s">
        <v>2665</v>
      </c>
      <c r="E778" s="3" t="s">
        <v>1076</v>
      </c>
      <c r="F778" s="3" t="s">
        <v>1077</v>
      </c>
      <c r="G778" s="3"/>
      <c r="H778" s="4" t="s">
        <v>1095</v>
      </c>
    </row>
    <row r="779" ht="16.5" customHeight="1" spans="1:8">
      <c r="A779" s="3">
        <v>778</v>
      </c>
      <c r="B779" s="3" t="s">
        <v>2666</v>
      </c>
      <c r="C779" s="3" t="s">
        <v>1074</v>
      </c>
      <c r="D779" s="4" t="s">
        <v>2667</v>
      </c>
      <c r="E779" s="3" t="s">
        <v>1076</v>
      </c>
      <c r="F779" s="3" t="s">
        <v>1077</v>
      </c>
      <c r="G779" s="3"/>
      <c r="H779" s="4" t="s">
        <v>1095</v>
      </c>
    </row>
    <row r="780" ht="16.5" customHeight="1" spans="1:8">
      <c r="A780" s="3">
        <v>779</v>
      </c>
      <c r="B780" s="3" t="s">
        <v>2668</v>
      </c>
      <c r="C780" s="3" t="s">
        <v>1074</v>
      </c>
      <c r="D780" s="4" t="s">
        <v>2669</v>
      </c>
      <c r="E780" s="3" t="s">
        <v>1076</v>
      </c>
      <c r="F780" s="3" t="s">
        <v>1077</v>
      </c>
      <c r="G780" s="3"/>
      <c r="H780" s="4" t="s">
        <v>1095</v>
      </c>
    </row>
    <row r="781" ht="16.5" customHeight="1" spans="1:8">
      <c r="A781" s="3">
        <v>780</v>
      </c>
      <c r="B781" s="3" t="s">
        <v>2670</v>
      </c>
      <c r="C781" s="3" t="s">
        <v>1074</v>
      </c>
      <c r="D781" s="4" t="s">
        <v>2671</v>
      </c>
      <c r="E781" s="3" t="s">
        <v>1218</v>
      </c>
      <c r="F781" s="3" t="s">
        <v>1077</v>
      </c>
      <c r="G781" s="3"/>
      <c r="H781" s="4" t="s">
        <v>1095</v>
      </c>
    </row>
    <row r="782" ht="16.5" customHeight="1" spans="1:8">
      <c r="A782" s="3">
        <v>781</v>
      </c>
      <c r="B782" s="3" t="s">
        <v>2672</v>
      </c>
      <c r="C782" s="3" t="s">
        <v>1074</v>
      </c>
      <c r="D782" s="4" t="s">
        <v>2673</v>
      </c>
      <c r="E782" s="3" t="s">
        <v>1076</v>
      </c>
      <c r="F782" s="3" t="s">
        <v>1077</v>
      </c>
      <c r="G782" s="3"/>
      <c r="H782" s="4" t="s">
        <v>1095</v>
      </c>
    </row>
    <row r="783" ht="16.5" customHeight="1" spans="1:8">
      <c r="A783" s="3">
        <v>782</v>
      </c>
      <c r="B783" s="3" t="s">
        <v>2674</v>
      </c>
      <c r="C783" s="3" t="s">
        <v>1074</v>
      </c>
      <c r="D783" s="4" t="s">
        <v>2675</v>
      </c>
      <c r="E783" s="3" t="s">
        <v>1218</v>
      </c>
      <c r="F783" s="3" t="s">
        <v>1077</v>
      </c>
      <c r="G783" s="3"/>
      <c r="H783" s="4" t="s">
        <v>1095</v>
      </c>
    </row>
    <row r="784" ht="16.5" customHeight="1" spans="1:8">
      <c r="A784" s="3">
        <v>783</v>
      </c>
      <c r="B784" s="3" t="s">
        <v>2676</v>
      </c>
      <c r="C784" s="3" t="s">
        <v>1074</v>
      </c>
      <c r="D784" s="4" t="s">
        <v>2677</v>
      </c>
      <c r="E784" s="3" t="s">
        <v>1076</v>
      </c>
      <c r="F784" s="3" t="s">
        <v>1077</v>
      </c>
      <c r="G784" s="3"/>
      <c r="H784" s="4" t="s">
        <v>1095</v>
      </c>
    </row>
    <row r="785" ht="16.5" customHeight="1" spans="1:8">
      <c r="A785" s="3">
        <v>784</v>
      </c>
      <c r="B785" s="3" t="s">
        <v>2678</v>
      </c>
      <c r="C785" s="3" t="s">
        <v>1074</v>
      </c>
      <c r="D785" s="4" t="s">
        <v>2679</v>
      </c>
      <c r="E785" s="3" t="s">
        <v>1076</v>
      </c>
      <c r="F785" s="3" t="s">
        <v>1077</v>
      </c>
      <c r="G785" s="3"/>
      <c r="H785" s="4" t="s">
        <v>1095</v>
      </c>
    </row>
    <row r="786" ht="16.5" customHeight="1" spans="1:8">
      <c r="A786" s="3">
        <v>785</v>
      </c>
      <c r="B786" s="3" t="s">
        <v>2680</v>
      </c>
      <c r="C786" s="3" t="s">
        <v>1074</v>
      </c>
      <c r="D786" s="4" t="s">
        <v>2681</v>
      </c>
      <c r="E786" s="3" t="s">
        <v>1076</v>
      </c>
      <c r="F786" s="3" t="s">
        <v>1077</v>
      </c>
      <c r="G786" s="3"/>
      <c r="H786" s="4" t="s">
        <v>1095</v>
      </c>
    </row>
    <row r="787" ht="16.5" customHeight="1" spans="1:8">
      <c r="A787" s="3">
        <v>786</v>
      </c>
      <c r="B787" s="3" t="s">
        <v>2682</v>
      </c>
      <c r="C787" s="3" t="s">
        <v>1074</v>
      </c>
      <c r="D787" s="4" t="s">
        <v>2683</v>
      </c>
      <c r="E787" s="3" t="s">
        <v>1076</v>
      </c>
      <c r="F787" s="3" t="s">
        <v>1077</v>
      </c>
      <c r="G787" s="3"/>
      <c r="H787" s="4" t="s">
        <v>1095</v>
      </c>
    </row>
    <row r="788" ht="16.5" customHeight="1" spans="1:8">
      <c r="A788" s="3">
        <v>787</v>
      </c>
      <c r="B788" s="3" t="s">
        <v>2684</v>
      </c>
      <c r="C788" s="3" t="s">
        <v>1074</v>
      </c>
      <c r="D788" s="4" t="s">
        <v>2685</v>
      </c>
      <c r="E788" s="3" t="s">
        <v>1076</v>
      </c>
      <c r="F788" s="3" t="s">
        <v>1077</v>
      </c>
      <c r="G788" s="3"/>
      <c r="H788" s="4" t="s">
        <v>1095</v>
      </c>
    </row>
    <row r="789" ht="16.5" customHeight="1" spans="1:8">
      <c r="A789" s="3">
        <v>788</v>
      </c>
      <c r="B789" s="3" t="s">
        <v>2686</v>
      </c>
      <c r="C789" s="3" t="s">
        <v>1074</v>
      </c>
      <c r="D789" s="4" t="s">
        <v>2687</v>
      </c>
      <c r="E789" s="3" t="s">
        <v>1076</v>
      </c>
      <c r="F789" s="3" t="s">
        <v>1077</v>
      </c>
      <c r="G789" s="3"/>
      <c r="H789" s="4" t="s">
        <v>1095</v>
      </c>
    </row>
    <row r="790" ht="16.5" customHeight="1" spans="1:8">
      <c r="A790" s="3">
        <v>789</v>
      </c>
      <c r="B790" s="3" t="s">
        <v>2688</v>
      </c>
      <c r="C790" s="3" t="s">
        <v>1074</v>
      </c>
      <c r="D790" s="4" t="s">
        <v>2689</v>
      </c>
      <c r="E790" s="3" t="s">
        <v>1076</v>
      </c>
      <c r="F790" s="3" t="s">
        <v>1077</v>
      </c>
      <c r="G790" s="3"/>
      <c r="H790" s="4" t="s">
        <v>1095</v>
      </c>
    </row>
    <row r="791" ht="16.5" customHeight="1" spans="1:8">
      <c r="A791" s="3">
        <v>790</v>
      </c>
      <c r="B791" s="3" t="s">
        <v>2690</v>
      </c>
      <c r="C791" s="3" t="s">
        <v>1074</v>
      </c>
      <c r="D791" s="4" t="s">
        <v>2691</v>
      </c>
      <c r="E791" s="3" t="s">
        <v>1076</v>
      </c>
      <c r="F791" s="3" t="s">
        <v>1077</v>
      </c>
      <c r="G791" s="3"/>
      <c r="H791" s="4" t="s">
        <v>1095</v>
      </c>
    </row>
    <row r="792" ht="16.5" customHeight="1" spans="1:8">
      <c r="A792" s="3">
        <v>791</v>
      </c>
      <c r="B792" s="3" t="s">
        <v>2692</v>
      </c>
      <c r="C792" s="3" t="s">
        <v>1074</v>
      </c>
      <c r="D792" s="4" t="s">
        <v>2693</v>
      </c>
      <c r="E792" s="3" t="s">
        <v>1076</v>
      </c>
      <c r="F792" s="3" t="s">
        <v>1077</v>
      </c>
      <c r="G792" s="3"/>
      <c r="H792" s="4" t="s">
        <v>1095</v>
      </c>
    </row>
    <row r="793" ht="16.5" customHeight="1" spans="1:8">
      <c r="A793" s="3">
        <v>792</v>
      </c>
      <c r="B793" s="3" t="s">
        <v>2694</v>
      </c>
      <c r="C793" s="3" t="s">
        <v>1074</v>
      </c>
      <c r="D793" s="4" t="s">
        <v>2695</v>
      </c>
      <c r="E793" s="3" t="s">
        <v>1076</v>
      </c>
      <c r="F793" s="3" t="s">
        <v>1077</v>
      </c>
      <c r="G793" s="3"/>
      <c r="H793" s="4" t="s">
        <v>1095</v>
      </c>
    </row>
    <row r="794" ht="16.5" customHeight="1" spans="1:8">
      <c r="A794" s="3">
        <v>793</v>
      </c>
      <c r="B794" s="3" t="s">
        <v>2696</v>
      </c>
      <c r="C794" s="3" t="s">
        <v>1074</v>
      </c>
      <c r="D794" s="4" t="s">
        <v>2697</v>
      </c>
      <c r="E794" s="3" t="s">
        <v>1076</v>
      </c>
      <c r="F794" s="3" t="s">
        <v>1077</v>
      </c>
      <c r="G794" s="3"/>
      <c r="H794" s="4" t="s">
        <v>1095</v>
      </c>
    </row>
    <row r="795" ht="16.5" customHeight="1" spans="1:8">
      <c r="A795" s="3">
        <v>794</v>
      </c>
      <c r="B795" s="3" t="s">
        <v>2698</v>
      </c>
      <c r="C795" s="3" t="s">
        <v>1074</v>
      </c>
      <c r="D795" s="4" t="s">
        <v>2699</v>
      </c>
      <c r="E795" s="3" t="s">
        <v>1076</v>
      </c>
      <c r="F795" s="3" t="s">
        <v>1077</v>
      </c>
      <c r="G795" s="3"/>
      <c r="H795" s="4" t="s">
        <v>1095</v>
      </c>
    </row>
    <row r="796" ht="16.5" customHeight="1" spans="1:8">
      <c r="A796" s="3">
        <v>795</v>
      </c>
      <c r="B796" s="3" t="s">
        <v>2700</v>
      </c>
      <c r="C796" s="3" t="s">
        <v>1074</v>
      </c>
      <c r="D796" s="4" t="s">
        <v>2701</v>
      </c>
      <c r="E796" s="3" t="s">
        <v>1076</v>
      </c>
      <c r="F796" s="3" t="s">
        <v>1077</v>
      </c>
      <c r="G796" s="3"/>
      <c r="H796" s="4" t="s">
        <v>1095</v>
      </c>
    </row>
    <row r="797" ht="16.5" customHeight="1" spans="1:8">
      <c r="A797" s="3">
        <v>796</v>
      </c>
      <c r="B797" s="3" t="s">
        <v>2702</v>
      </c>
      <c r="C797" s="3" t="s">
        <v>1074</v>
      </c>
      <c r="D797" s="4" t="s">
        <v>2703</v>
      </c>
      <c r="E797" s="3" t="s">
        <v>1076</v>
      </c>
      <c r="F797" s="3" t="s">
        <v>1077</v>
      </c>
      <c r="G797" s="3"/>
      <c r="H797" s="4" t="s">
        <v>1095</v>
      </c>
    </row>
    <row r="798" ht="16.5" customHeight="1" spans="1:8">
      <c r="A798" s="3">
        <v>797</v>
      </c>
      <c r="B798" s="3" t="s">
        <v>2704</v>
      </c>
      <c r="C798" s="3" t="s">
        <v>1074</v>
      </c>
      <c r="D798" s="4" t="s">
        <v>2705</v>
      </c>
      <c r="E798" s="3" t="s">
        <v>1076</v>
      </c>
      <c r="F798" s="3" t="s">
        <v>1077</v>
      </c>
      <c r="G798" s="3"/>
      <c r="H798" s="4" t="s">
        <v>1095</v>
      </c>
    </row>
    <row r="799" ht="16.5" customHeight="1" spans="1:8">
      <c r="A799" s="3">
        <v>798</v>
      </c>
      <c r="B799" s="3" t="s">
        <v>2706</v>
      </c>
      <c r="C799" s="3" t="s">
        <v>1074</v>
      </c>
      <c r="D799" s="4" t="s">
        <v>2707</v>
      </c>
      <c r="E799" s="3" t="s">
        <v>1076</v>
      </c>
      <c r="F799" s="3" t="s">
        <v>1077</v>
      </c>
      <c r="G799" s="3"/>
      <c r="H799" s="4" t="s">
        <v>1095</v>
      </c>
    </row>
    <row r="800" ht="16.5" customHeight="1" spans="1:8">
      <c r="A800" s="3">
        <v>799</v>
      </c>
      <c r="B800" s="3" t="s">
        <v>2708</v>
      </c>
      <c r="C800" s="3" t="s">
        <v>1074</v>
      </c>
      <c r="D800" s="4" t="s">
        <v>2709</v>
      </c>
      <c r="E800" s="3" t="s">
        <v>1218</v>
      </c>
      <c r="F800" s="3" t="s">
        <v>1077</v>
      </c>
      <c r="G800" s="3"/>
      <c r="H800" s="4" t="s">
        <v>1095</v>
      </c>
    </row>
    <row r="801" ht="16.5" customHeight="1" spans="1:8">
      <c r="A801" s="3">
        <v>800</v>
      </c>
      <c r="B801" s="3" t="s">
        <v>2710</v>
      </c>
      <c r="C801" s="3" t="s">
        <v>1074</v>
      </c>
      <c r="D801" s="4" t="s">
        <v>2711</v>
      </c>
      <c r="E801" s="3" t="s">
        <v>1076</v>
      </c>
      <c r="F801" s="3" t="s">
        <v>1077</v>
      </c>
      <c r="G801" s="3"/>
      <c r="H801" s="4" t="s">
        <v>1095</v>
      </c>
    </row>
    <row r="802" ht="16.5" customHeight="1" spans="1:8">
      <c r="A802" s="3">
        <v>801</v>
      </c>
      <c r="B802" s="3" t="s">
        <v>2712</v>
      </c>
      <c r="C802" s="3" t="s">
        <v>1074</v>
      </c>
      <c r="D802" s="4" t="s">
        <v>2713</v>
      </c>
      <c r="E802" s="3" t="s">
        <v>1218</v>
      </c>
      <c r="F802" s="3" t="s">
        <v>1077</v>
      </c>
      <c r="G802" s="3"/>
      <c r="H802" s="4" t="s">
        <v>1095</v>
      </c>
    </row>
    <row r="803" ht="16.5" customHeight="1" spans="1:8">
      <c r="A803" s="3">
        <v>802</v>
      </c>
      <c r="B803" s="3" t="s">
        <v>2714</v>
      </c>
      <c r="C803" s="3" t="s">
        <v>1074</v>
      </c>
      <c r="D803" s="4" t="s">
        <v>2715</v>
      </c>
      <c r="E803" s="3" t="s">
        <v>1076</v>
      </c>
      <c r="F803" s="3" t="s">
        <v>1077</v>
      </c>
      <c r="G803" s="3"/>
      <c r="H803" s="4" t="s">
        <v>1095</v>
      </c>
    </row>
    <row r="804" ht="16.5" customHeight="1" spans="1:8">
      <c r="A804" s="3">
        <v>803</v>
      </c>
      <c r="B804" s="3" t="s">
        <v>2716</v>
      </c>
      <c r="C804" s="3" t="s">
        <v>1074</v>
      </c>
      <c r="D804" s="4" t="s">
        <v>2717</v>
      </c>
      <c r="E804" s="3" t="s">
        <v>1076</v>
      </c>
      <c r="F804" s="3" t="s">
        <v>1077</v>
      </c>
      <c r="G804" s="3"/>
      <c r="H804" s="4" t="s">
        <v>1095</v>
      </c>
    </row>
    <row r="805" ht="16.5" customHeight="1" spans="1:8">
      <c r="A805" s="3">
        <v>804</v>
      </c>
      <c r="B805" s="3" t="s">
        <v>2718</v>
      </c>
      <c r="C805" s="3" t="s">
        <v>1074</v>
      </c>
      <c r="D805" s="4" t="s">
        <v>2719</v>
      </c>
      <c r="E805" s="3" t="s">
        <v>1076</v>
      </c>
      <c r="F805" s="3" t="s">
        <v>1077</v>
      </c>
      <c r="G805" s="3"/>
      <c r="H805" s="4" t="s">
        <v>1095</v>
      </c>
    </row>
    <row r="806" ht="16.5" customHeight="1" spans="1:8">
      <c r="A806" s="3">
        <v>805</v>
      </c>
      <c r="B806" s="3" t="s">
        <v>2720</v>
      </c>
      <c r="C806" s="3" t="s">
        <v>1074</v>
      </c>
      <c r="D806" s="4" t="s">
        <v>2721</v>
      </c>
      <c r="E806" s="3" t="s">
        <v>1076</v>
      </c>
      <c r="F806" s="3" t="s">
        <v>1077</v>
      </c>
      <c r="G806" s="3"/>
      <c r="H806" s="4" t="s">
        <v>1095</v>
      </c>
    </row>
    <row r="807" ht="16.5" customHeight="1" spans="1:8">
      <c r="A807" s="3">
        <v>806</v>
      </c>
      <c r="B807" s="3" t="s">
        <v>2722</v>
      </c>
      <c r="C807" s="3" t="s">
        <v>1074</v>
      </c>
      <c r="D807" s="4" t="s">
        <v>2723</v>
      </c>
      <c r="E807" s="3" t="s">
        <v>1076</v>
      </c>
      <c r="F807" s="3" t="s">
        <v>1077</v>
      </c>
      <c r="G807" s="3"/>
      <c r="H807" s="4" t="s">
        <v>1095</v>
      </c>
    </row>
    <row r="808" ht="16.5" customHeight="1" spans="1:8">
      <c r="A808" s="3">
        <v>807</v>
      </c>
      <c r="B808" s="3" t="s">
        <v>2724</v>
      </c>
      <c r="C808" s="3" t="s">
        <v>1074</v>
      </c>
      <c r="D808" s="4" t="s">
        <v>2725</v>
      </c>
      <c r="E808" s="3" t="s">
        <v>2726</v>
      </c>
      <c r="F808" s="3" t="s">
        <v>1077</v>
      </c>
      <c r="G808" s="3"/>
      <c r="H808" s="4" t="s">
        <v>1095</v>
      </c>
    </row>
    <row r="809" ht="16.5" customHeight="1" spans="1:8">
      <c r="A809" s="3">
        <v>808</v>
      </c>
      <c r="B809" s="3" t="s">
        <v>2727</v>
      </c>
      <c r="C809" s="3" t="s">
        <v>1074</v>
      </c>
      <c r="D809" s="4" t="s">
        <v>2728</v>
      </c>
      <c r="E809" s="3" t="s">
        <v>1076</v>
      </c>
      <c r="F809" s="3" t="s">
        <v>1077</v>
      </c>
      <c r="G809" s="3"/>
      <c r="H809" s="4" t="s">
        <v>1095</v>
      </c>
    </row>
    <row r="810" ht="16.5" customHeight="1" spans="1:8">
      <c r="A810" s="3">
        <v>809</v>
      </c>
      <c r="B810" s="3" t="s">
        <v>2729</v>
      </c>
      <c r="C810" s="3" t="s">
        <v>1074</v>
      </c>
      <c r="D810" s="4" t="s">
        <v>2730</v>
      </c>
      <c r="E810" s="3" t="s">
        <v>1076</v>
      </c>
      <c r="F810" s="3" t="s">
        <v>1077</v>
      </c>
      <c r="G810" s="3"/>
      <c r="H810" s="4" t="s">
        <v>1095</v>
      </c>
    </row>
    <row r="811" ht="16.5" customHeight="1" spans="1:8">
      <c r="A811" s="3">
        <v>810</v>
      </c>
      <c r="B811" s="3" t="s">
        <v>2731</v>
      </c>
      <c r="C811" s="3" t="s">
        <v>1074</v>
      </c>
      <c r="D811" s="4" t="s">
        <v>2732</v>
      </c>
      <c r="E811" s="3" t="s">
        <v>1076</v>
      </c>
      <c r="F811" s="3" t="s">
        <v>1077</v>
      </c>
      <c r="G811" s="3"/>
      <c r="H811" s="4" t="s">
        <v>1095</v>
      </c>
    </row>
    <row r="812" ht="16.5" customHeight="1" spans="1:8">
      <c r="A812" s="3">
        <v>811</v>
      </c>
      <c r="B812" s="3" t="s">
        <v>2733</v>
      </c>
      <c r="C812" s="3" t="s">
        <v>1074</v>
      </c>
      <c r="D812" s="4" t="s">
        <v>2734</v>
      </c>
      <c r="E812" s="3" t="s">
        <v>1076</v>
      </c>
      <c r="F812" s="3" t="s">
        <v>1077</v>
      </c>
      <c r="G812" s="3"/>
      <c r="H812" s="4" t="s">
        <v>1095</v>
      </c>
    </row>
    <row r="813" ht="16.5" customHeight="1" spans="1:8">
      <c r="A813" s="3">
        <v>812</v>
      </c>
      <c r="B813" s="3" t="s">
        <v>2735</v>
      </c>
      <c r="C813" s="3" t="s">
        <v>1074</v>
      </c>
      <c r="D813" s="4" t="s">
        <v>2736</v>
      </c>
      <c r="E813" s="3" t="s">
        <v>1076</v>
      </c>
      <c r="F813" s="3" t="s">
        <v>1077</v>
      </c>
      <c r="G813" s="3"/>
      <c r="H813" s="4" t="s">
        <v>1095</v>
      </c>
    </row>
    <row r="814" ht="16.5" customHeight="1" spans="1:8">
      <c r="A814" s="3">
        <v>813</v>
      </c>
      <c r="B814" s="3" t="s">
        <v>2737</v>
      </c>
      <c r="C814" s="3" t="s">
        <v>1074</v>
      </c>
      <c r="D814" s="4" t="s">
        <v>2738</v>
      </c>
      <c r="E814" s="3" t="s">
        <v>1076</v>
      </c>
      <c r="F814" s="3" t="s">
        <v>1077</v>
      </c>
      <c r="G814" s="3"/>
      <c r="H814" s="4" t="s">
        <v>1095</v>
      </c>
    </row>
    <row r="815" ht="16.5" customHeight="1" spans="1:8">
      <c r="A815" s="3">
        <v>814</v>
      </c>
      <c r="B815" s="3" t="s">
        <v>2739</v>
      </c>
      <c r="C815" s="3" t="s">
        <v>1074</v>
      </c>
      <c r="D815" s="4" t="s">
        <v>2740</v>
      </c>
      <c r="E815" s="3" t="s">
        <v>1076</v>
      </c>
      <c r="F815" s="3" t="s">
        <v>1077</v>
      </c>
      <c r="G815" s="3"/>
      <c r="H815" s="4" t="s">
        <v>1368</v>
      </c>
    </row>
    <row r="816" ht="16.5" customHeight="1" spans="1:8">
      <c r="A816" s="3">
        <v>815</v>
      </c>
      <c r="B816" s="3" t="s">
        <v>2741</v>
      </c>
      <c r="C816" s="3" t="s">
        <v>1074</v>
      </c>
      <c r="D816" s="4" t="s">
        <v>2742</v>
      </c>
      <c r="E816" s="3" t="s">
        <v>1076</v>
      </c>
      <c r="F816" s="3" t="s">
        <v>1077</v>
      </c>
      <c r="G816" s="3"/>
      <c r="H816" s="4" t="s">
        <v>1368</v>
      </c>
    </row>
    <row r="817" ht="16.5" customHeight="1" spans="1:8">
      <c r="A817" s="3">
        <v>816</v>
      </c>
      <c r="B817" s="3" t="s">
        <v>2743</v>
      </c>
      <c r="C817" s="3" t="s">
        <v>1074</v>
      </c>
      <c r="D817" s="4" t="s">
        <v>2744</v>
      </c>
      <c r="E817" s="3" t="s">
        <v>1076</v>
      </c>
      <c r="F817" s="3" t="s">
        <v>1077</v>
      </c>
      <c r="G817" s="3"/>
      <c r="H817" s="4" t="s">
        <v>1368</v>
      </c>
    </row>
    <row r="818" ht="16.5" customHeight="1" spans="1:8">
      <c r="A818" s="3">
        <v>817</v>
      </c>
      <c r="B818" s="3" t="s">
        <v>2745</v>
      </c>
      <c r="C818" s="3" t="s">
        <v>1074</v>
      </c>
      <c r="D818" s="4" t="s">
        <v>2746</v>
      </c>
      <c r="E818" s="3" t="s">
        <v>1076</v>
      </c>
      <c r="F818" s="3" t="s">
        <v>1077</v>
      </c>
      <c r="G818" s="3"/>
      <c r="H818" s="4" t="s">
        <v>1368</v>
      </c>
    </row>
    <row r="819" ht="16.5" customHeight="1" spans="1:8">
      <c r="A819" s="3">
        <v>818</v>
      </c>
      <c r="B819" s="3" t="s">
        <v>2747</v>
      </c>
      <c r="C819" s="3" t="s">
        <v>1074</v>
      </c>
      <c r="D819" s="4" t="s">
        <v>2748</v>
      </c>
      <c r="E819" s="3" t="s">
        <v>1076</v>
      </c>
      <c r="F819" s="3" t="s">
        <v>1077</v>
      </c>
      <c r="G819" s="3"/>
      <c r="H819" s="4" t="s">
        <v>1368</v>
      </c>
    </row>
    <row r="820" ht="16.5" customHeight="1" spans="1:8">
      <c r="A820" s="3">
        <v>819</v>
      </c>
      <c r="B820" s="3" t="s">
        <v>2749</v>
      </c>
      <c r="C820" s="3" t="s">
        <v>1074</v>
      </c>
      <c r="D820" s="4" t="s">
        <v>2750</v>
      </c>
      <c r="E820" s="3" t="s">
        <v>1076</v>
      </c>
      <c r="F820" s="3" t="s">
        <v>1077</v>
      </c>
      <c r="G820" s="3"/>
      <c r="H820" s="4" t="s">
        <v>1368</v>
      </c>
    </row>
    <row r="821" ht="16.5" customHeight="1" spans="1:8">
      <c r="A821" s="3">
        <v>820</v>
      </c>
      <c r="B821" s="3" t="s">
        <v>2751</v>
      </c>
      <c r="C821" s="3" t="s">
        <v>1074</v>
      </c>
      <c r="D821" s="4" t="s">
        <v>2752</v>
      </c>
      <c r="E821" s="3" t="s">
        <v>1076</v>
      </c>
      <c r="F821" s="3" t="s">
        <v>1077</v>
      </c>
      <c r="G821" s="3"/>
      <c r="H821" s="4" t="s">
        <v>1368</v>
      </c>
    </row>
    <row r="822" ht="16.5" customHeight="1" spans="1:8">
      <c r="A822" s="3">
        <v>821</v>
      </c>
      <c r="B822" s="3" t="s">
        <v>2753</v>
      </c>
      <c r="C822" s="3" t="s">
        <v>1074</v>
      </c>
      <c r="D822" s="4" t="s">
        <v>2754</v>
      </c>
      <c r="E822" s="3" t="s">
        <v>1076</v>
      </c>
      <c r="F822" s="3" t="s">
        <v>1077</v>
      </c>
      <c r="G822" s="3"/>
      <c r="H822" s="4" t="s">
        <v>1368</v>
      </c>
    </row>
    <row r="823" ht="16.5" customHeight="1" spans="1:8">
      <c r="A823" s="3">
        <v>822</v>
      </c>
      <c r="B823" s="3" t="s">
        <v>2755</v>
      </c>
      <c r="C823" s="3" t="s">
        <v>1074</v>
      </c>
      <c r="D823" s="4" t="s">
        <v>2756</v>
      </c>
      <c r="E823" s="3" t="s">
        <v>1076</v>
      </c>
      <c r="F823" s="3" t="s">
        <v>1077</v>
      </c>
      <c r="G823" s="3"/>
      <c r="H823" s="4" t="s">
        <v>1368</v>
      </c>
    </row>
    <row r="824" ht="16.5" customHeight="1" spans="1:8">
      <c r="A824" s="3">
        <v>823</v>
      </c>
      <c r="B824" s="3" t="s">
        <v>2757</v>
      </c>
      <c r="C824" s="3" t="s">
        <v>1074</v>
      </c>
      <c r="D824" s="4" t="s">
        <v>2758</v>
      </c>
      <c r="E824" s="3" t="s">
        <v>1076</v>
      </c>
      <c r="F824" s="3" t="s">
        <v>1077</v>
      </c>
      <c r="G824" s="3"/>
      <c r="H824" s="4" t="s">
        <v>1368</v>
      </c>
    </row>
    <row r="825" ht="16.5" customHeight="1" spans="1:8">
      <c r="A825" s="3">
        <v>824</v>
      </c>
      <c r="B825" s="3" t="s">
        <v>2759</v>
      </c>
      <c r="C825" s="3" t="s">
        <v>1074</v>
      </c>
      <c r="D825" s="4" t="s">
        <v>2760</v>
      </c>
      <c r="E825" s="3" t="s">
        <v>1076</v>
      </c>
      <c r="F825" s="3" t="s">
        <v>1077</v>
      </c>
      <c r="G825" s="3"/>
      <c r="H825" s="4" t="s">
        <v>1368</v>
      </c>
    </row>
    <row r="826" ht="16.5" customHeight="1" spans="1:8">
      <c r="A826" s="3">
        <v>825</v>
      </c>
      <c r="B826" s="3" t="s">
        <v>2761</v>
      </c>
      <c r="C826" s="3" t="s">
        <v>1074</v>
      </c>
      <c r="D826" s="4" t="s">
        <v>2762</v>
      </c>
      <c r="E826" s="3" t="s">
        <v>1076</v>
      </c>
      <c r="F826" s="3" t="s">
        <v>1077</v>
      </c>
      <c r="G826" s="3"/>
      <c r="H826" s="4" t="s">
        <v>1368</v>
      </c>
    </row>
    <row r="827" ht="16.5" customHeight="1" spans="1:8">
      <c r="A827" s="3">
        <v>826</v>
      </c>
      <c r="B827" s="3" t="s">
        <v>2763</v>
      </c>
      <c r="C827" s="3" t="s">
        <v>1074</v>
      </c>
      <c r="D827" s="4" t="s">
        <v>2764</v>
      </c>
      <c r="E827" s="3" t="s">
        <v>1076</v>
      </c>
      <c r="F827" s="3" t="s">
        <v>1077</v>
      </c>
      <c r="G827" s="3"/>
      <c r="H827" s="4" t="s">
        <v>1368</v>
      </c>
    </row>
    <row r="828" ht="16.5" customHeight="1" spans="1:8">
      <c r="A828" s="3">
        <v>827</v>
      </c>
      <c r="B828" s="3" t="s">
        <v>2765</v>
      </c>
      <c r="C828" s="3" t="s">
        <v>1074</v>
      </c>
      <c r="D828" s="4" t="s">
        <v>2766</v>
      </c>
      <c r="E828" s="3" t="s">
        <v>1076</v>
      </c>
      <c r="F828" s="3" t="s">
        <v>1077</v>
      </c>
      <c r="G828" s="3"/>
      <c r="H828" s="4" t="s">
        <v>1368</v>
      </c>
    </row>
    <row r="829" ht="16.5" customHeight="1" spans="1:8">
      <c r="A829" s="3">
        <v>828</v>
      </c>
      <c r="B829" s="3" t="s">
        <v>2767</v>
      </c>
      <c r="C829" s="3" t="s">
        <v>1074</v>
      </c>
      <c r="D829" s="4" t="s">
        <v>2768</v>
      </c>
      <c r="E829" s="3" t="s">
        <v>1076</v>
      </c>
      <c r="F829" s="3" t="s">
        <v>1077</v>
      </c>
      <c r="G829" s="3"/>
      <c r="H829" s="4" t="s">
        <v>1368</v>
      </c>
    </row>
    <row r="830" ht="16.5" customHeight="1" spans="1:8">
      <c r="A830" s="3">
        <v>829</v>
      </c>
      <c r="B830" s="3" t="s">
        <v>2769</v>
      </c>
      <c r="C830" s="3" t="s">
        <v>1074</v>
      </c>
      <c r="D830" s="4" t="s">
        <v>2770</v>
      </c>
      <c r="E830" s="3" t="s">
        <v>1076</v>
      </c>
      <c r="F830" s="3" t="s">
        <v>1077</v>
      </c>
      <c r="G830" s="3"/>
      <c r="H830" s="4" t="s">
        <v>1368</v>
      </c>
    </row>
    <row r="831" ht="16.5" customHeight="1" spans="1:8">
      <c r="A831" s="3">
        <v>830</v>
      </c>
      <c r="B831" s="3" t="s">
        <v>2771</v>
      </c>
      <c r="C831" s="3" t="s">
        <v>1074</v>
      </c>
      <c r="D831" s="4" t="s">
        <v>2772</v>
      </c>
      <c r="E831" s="3" t="s">
        <v>1076</v>
      </c>
      <c r="F831" s="3" t="s">
        <v>1077</v>
      </c>
      <c r="G831" s="3"/>
      <c r="H831" s="4" t="s">
        <v>1368</v>
      </c>
    </row>
    <row r="832" ht="16.5" customHeight="1" spans="1:8">
      <c r="A832" s="3">
        <v>831</v>
      </c>
      <c r="B832" s="3" t="s">
        <v>2773</v>
      </c>
      <c r="C832" s="3" t="s">
        <v>1074</v>
      </c>
      <c r="D832" s="4" t="s">
        <v>2774</v>
      </c>
      <c r="E832" s="3" t="s">
        <v>1076</v>
      </c>
      <c r="F832" s="3" t="s">
        <v>1077</v>
      </c>
      <c r="G832" s="3"/>
      <c r="H832" s="4" t="s">
        <v>1368</v>
      </c>
    </row>
    <row r="833" ht="16.5" customHeight="1" spans="1:8">
      <c r="A833" s="3">
        <v>832</v>
      </c>
      <c r="B833" s="3" t="s">
        <v>2775</v>
      </c>
      <c r="C833" s="3" t="s">
        <v>1074</v>
      </c>
      <c r="D833" s="4" t="s">
        <v>2776</v>
      </c>
      <c r="E833" s="3" t="s">
        <v>1076</v>
      </c>
      <c r="F833" s="3" t="s">
        <v>1077</v>
      </c>
      <c r="G833" s="3"/>
      <c r="H833" s="4" t="s">
        <v>1368</v>
      </c>
    </row>
    <row r="834" ht="16.5" customHeight="1" spans="1:8">
      <c r="A834" s="3">
        <v>833</v>
      </c>
      <c r="B834" s="3" t="s">
        <v>2777</v>
      </c>
      <c r="C834" s="3" t="s">
        <v>1074</v>
      </c>
      <c r="D834" s="4" t="s">
        <v>2778</v>
      </c>
      <c r="E834" s="3" t="s">
        <v>1076</v>
      </c>
      <c r="F834" s="3" t="s">
        <v>1077</v>
      </c>
      <c r="G834" s="3"/>
      <c r="H834" s="4" t="s">
        <v>1368</v>
      </c>
    </row>
    <row r="835" ht="16.5" customHeight="1" spans="1:8">
      <c r="A835" s="3">
        <v>834</v>
      </c>
      <c r="B835" s="3" t="s">
        <v>2779</v>
      </c>
      <c r="C835" s="3" t="s">
        <v>1074</v>
      </c>
      <c r="D835" s="4" t="s">
        <v>2780</v>
      </c>
      <c r="E835" s="3" t="s">
        <v>1076</v>
      </c>
      <c r="F835" s="3" t="s">
        <v>1077</v>
      </c>
      <c r="G835" s="3"/>
      <c r="H835" s="4" t="s">
        <v>1368</v>
      </c>
    </row>
    <row r="836" ht="16.5" customHeight="1" spans="1:8">
      <c r="A836" s="3">
        <v>835</v>
      </c>
      <c r="B836" s="3" t="s">
        <v>2781</v>
      </c>
      <c r="C836" s="3" t="s">
        <v>1074</v>
      </c>
      <c r="D836" s="4" t="s">
        <v>2782</v>
      </c>
      <c r="E836" s="3" t="s">
        <v>1076</v>
      </c>
      <c r="F836" s="3" t="s">
        <v>1077</v>
      </c>
      <c r="G836" s="3"/>
      <c r="H836" s="4" t="s">
        <v>1368</v>
      </c>
    </row>
    <row r="837" ht="16.5" customHeight="1" spans="1:8">
      <c r="A837" s="3">
        <v>836</v>
      </c>
      <c r="B837" s="3" t="s">
        <v>2783</v>
      </c>
      <c r="C837" s="3" t="s">
        <v>1074</v>
      </c>
      <c r="D837" s="4" t="s">
        <v>2784</v>
      </c>
      <c r="E837" s="3" t="s">
        <v>1076</v>
      </c>
      <c r="F837" s="3" t="s">
        <v>1077</v>
      </c>
      <c r="G837" s="3"/>
      <c r="H837" s="4" t="s">
        <v>1368</v>
      </c>
    </row>
    <row r="838" ht="16.5" customHeight="1" spans="1:8">
      <c r="A838" s="3">
        <v>837</v>
      </c>
      <c r="B838" s="3" t="s">
        <v>2785</v>
      </c>
      <c r="C838" s="3" t="s">
        <v>1074</v>
      </c>
      <c r="D838" s="4" t="s">
        <v>2786</v>
      </c>
      <c r="E838" s="3" t="s">
        <v>1076</v>
      </c>
      <c r="F838" s="3" t="s">
        <v>1077</v>
      </c>
      <c r="G838" s="3"/>
      <c r="H838" s="4" t="s">
        <v>1368</v>
      </c>
    </row>
    <row r="839" ht="16.5" customHeight="1" spans="1:8">
      <c r="A839" s="3">
        <v>838</v>
      </c>
      <c r="B839" s="3" t="s">
        <v>2787</v>
      </c>
      <c r="C839" s="3" t="s">
        <v>1074</v>
      </c>
      <c r="D839" s="4" t="s">
        <v>2788</v>
      </c>
      <c r="E839" s="3" t="s">
        <v>1076</v>
      </c>
      <c r="F839" s="3" t="s">
        <v>1077</v>
      </c>
      <c r="G839" s="3"/>
      <c r="H839" s="4" t="s">
        <v>1368</v>
      </c>
    </row>
    <row r="840" ht="16.5" customHeight="1" spans="1:8">
      <c r="A840" s="3">
        <v>839</v>
      </c>
      <c r="B840" s="3" t="s">
        <v>2789</v>
      </c>
      <c r="C840" s="3" t="s">
        <v>1074</v>
      </c>
      <c r="D840" s="4" t="s">
        <v>2790</v>
      </c>
      <c r="E840" s="3" t="s">
        <v>1076</v>
      </c>
      <c r="F840" s="3" t="s">
        <v>1077</v>
      </c>
      <c r="G840" s="3"/>
      <c r="H840" s="4" t="s">
        <v>1368</v>
      </c>
    </row>
    <row r="841" ht="16.5" customHeight="1" spans="1:8">
      <c r="A841" s="3">
        <v>840</v>
      </c>
      <c r="B841" s="3" t="s">
        <v>2791</v>
      </c>
      <c r="C841" s="3" t="s">
        <v>1074</v>
      </c>
      <c r="D841" s="4" t="s">
        <v>2792</v>
      </c>
      <c r="E841" s="3" t="s">
        <v>1076</v>
      </c>
      <c r="F841" s="3" t="s">
        <v>1077</v>
      </c>
      <c r="G841" s="3"/>
      <c r="H841" s="4" t="s">
        <v>1368</v>
      </c>
    </row>
    <row r="842" ht="16.5" customHeight="1" spans="1:8">
      <c r="A842" s="3">
        <v>841</v>
      </c>
      <c r="B842" s="3" t="s">
        <v>2793</v>
      </c>
      <c r="C842" s="3" t="s">
        <v>1074</v>
      </c>
      <c r="D842" s="4" t="s">
        <v>2794</v>
      </c>
      <c r="E842" s="3" t="s">
        <v>1076</v>
      </c>
      <c r="F842" s="3" t="s">
        <v>1077</v>
      </c>
      <c r="G842" s="3"/>
      <c r="H842" s="4" t="s">
        <v>1368</v>
      </c>
    </row>
    <row r="843" ht="16.5" customHeight="1" spans="1:8">
      <c r="A843" s="3">
        <v>842</v>
      </c>
      <c r="B843" s="3" t="s">
        <v>2795</v>
      </c>
      <c r="C843" s="3" t="s">
        <v>1074</v>
      </c>
      <c r="D843" s="4" t="s">
        <v>2796</v>
      </c>
      <c r="E843" s="3" t="s">
        <v>1076</v>
      </c>
      <c r="F843" s="3" t="s">
        <v>1077</v>
      </c>
      <c r="G843" s="3"/>
      <c r="H843" s="4" t="s">
        <v>1368</v>
      </c>
    </row>
    <row r="844" ht="16.5" customHeight="1" spans="1:8">
      <c r="A844" s="3">
        <v>843</v>
      </c>
      <c r="B844" s="3" t="s">
        <v>2797</v>
      </c>
      <c r="C844" s="3" t="s">
        <v>1074</v>
      </c>
      <c r="D844" s="4" t="s">
        <v>2798</v>
      </c>
      <c r="E844" s="3" t="s">
        <v>1076</v>
      </c>
      <c r="F844" s="3" t="s">
        <v>1077</v>
      </c>
      <c r="G844" s="3"/>
      <c r="H844" s="4" t="s">
        <v>1368</v>
      </c>
    </row>
    <row r="845" ht="16.5" customHeight="1" spans="1:8">
      <c r="A845" s="3">
        <v>844</v>
      </c>
      <c r="B845" s="3" t="s">
        <v>2799</v>
      </c>
      <c r="C845" s="3" t="s">
        <v>1074</v>
      </c>
      <c r="D845" s="4" t="s">
        <v>2800</v>
      </c>
      <c r="E845" s="3" t="s">
        <v>1076</v>
      </c>
      <c r="F845" s="3" t="s">
        <v>1077</v>
      </c>
      <c r="G845" s="3"/>
      <c r="H845" s="4" t="s">
        <v>1368</v>
      </c>
    </row>
    <row r="846" ht="16.5" customHeight="1" spans="1:8">
      <c r="A846" s="3">
        <v>845</v>
      </c>
      <c r="B846" s="3" t="s">
        <v>2801</v>
      </c>
      <c r="C846" s="3" t="s">
        <v>1074</v>
      </c>
      <c r="D846" s="4" t="s">
        <v>2802</v>
      </c>
      <c r="E846" s="3" t="s">
        <v>1076</v>
      </c>
      <c r="F846" s="3" t="s">
        <v>1077</v>
      </c>
      <c r="G846" s="3"/>
      <c r="H846" s="4" t="s">
        <v>1368</v>
      </c>
    </row>
    <row r="847" ht="16.5" customHeight="1" spans="1:8">
      <c r="A847" s="3">
        <v>846</v>
      </c>
      <c r="B847" s="3" t="s">
        <v>2803</v>
      </c>
      <c r="C847" s="3" t="s">
        <v>1074</v>
      </c>
      <c r="D847" s="4" t="s">
        <v>2804</v>
      </c>
      <c r="E847" s="3" t="s">
        <v>1076</v>
      </c>
      <c r="F847" s="3" t="s">
        <v>1077</v>
      </c>
      <c r="G847" s="3"/>
      <c r="H847" s="4" t="s">
        <v>1368</v>
      </c>
    </row>
    <row r="848" ht="16.5" customHeight="1" spans="1:8">
      <c r="A848" s="3">
        <v>847</v>
      </c>
      <c r="B848" s="3" t="s">
        <v>2805</v>
      </c>
      <c r="C848" s="3" t="s">
        <v>1074</v>
      </c>
      <c r="D848" s="4" t="s">
        <v>2806</v>
      </c>
      <c r="E848" s="3" t="s">
        <v>1076</v>
      </c>
      <c r="F848" s="3" t="s">
        <v>1077</v>
      </c>
      <c r="G848" s="3"/>
      <c r="H848" s="4" t="s">
        <v>1368</v>
      </c>
    </row>
    <row r="849" ht="16.5" customHeight="1" spans="1:8">
      <c r="A849" s="3">
        <v>848</v>
      </c>
      <c r="B849" s="3" t="s">
        <v>2807</v>
      </c>
      <c r="C849" s="3" t="s">
        <v>1074</v>
      </c>
      <c r="D849" s="4" t="s">
        <v>2808</v>
      </c>
      <c r="E849" s="3" t="s">
        <v>1076</v>
      </c>
      <c r="F849" s="3" t="s">
        <v>1077</v>
      </c>
      <c r="G849" s="3"/>
      <c r="H849" s="4" t="s">
        <v>1368</v>
      </c>
    </row>
    <row r="850" ht="16.5" customHeight="1" spans="1:8">
      <c r="A850" s="3">
        <v>849</v>
      </c>
      <c r="B850" s="3" t="s">
        <v>2809</v>
      </c>
      <c r="C850" s="3" t="s">
        <v>1074</v>
      </c>
      <c r="D850" s="4" t="s">
        <v>2810</v>
      </c>
      <c r="E850" s="3" t="s">
        <v>1076</v>
      </c>
      <c r="F850" s="3" t="s">
        <v>1077</v>
      </c>
      <c r="G850" s="3"/>
      <c r="H850" s="4" t="s">
        <v>1368</v>
      </c>
    </row>
    <row r="851" ht="16.5" customHeight="1" spans="1:8">
      <c r="A851" s="3">
        <v>850</v>
      </c>
      <c r="B851" s="3" t="s">
        <v>2811</v>
      </c>
      <c r="C851" s="3" t="s">
        <v>1074</v>
      </c>
      <c r="D851" s="4" t="s">
        <v>2812</v>
      </c>
      <c r="E851" s="3" t="s">
        <v>1076</v>
      </c>
      <c r="F851" s="3" t="s">
        <v>1077</v>
      </c>
      <c r="G851" s="3"/>
      <c r="H851" s="4" t="s">
        <v>1368</v>
      </c>
    </row>
    <row r="852" ht="16.5" customHeight="1" spans="1:8">
      <c r="A852" s="3">
        <v>851</v>
      </c>
      <c r="B852" s="3" t="s">
        <v>2813</v>
      </c>
      <c r="C852" s="3" t="s">
        <v>1074</v>
      </c>
      <c r="D852" s="4" t="s">
        <v>2814</v>
      </c>
      <c r="E852" s="3" t="s">
        <v>1076</v>
      </c>
      <c r="F852" s="3" t="s">
        <v>1077</v>
      </c>
      <c r="G852" s="3"/>
      <c r="H852" s="4" t="s">
        <v>1368</v>
      </c>
    </row>
    <row r="853" ht="16.5" customHeight="1" spans="1:8">
      <c r="A853" s="3">
        <v>852</v>
      </c>
      <c r="B853" s="3" t="s">
        <v>2815</v>
      </c>
      <c r="C853" s="3" t="s">
        <v>1074</v>
      </c>
      <c r="D853" s="4" t="s">
        <v>2816</v>
      </c>
      <c r="E853" s="3" t="s">
        <v>1076</v>
      </c>
      <c r="F853" s="3" t="s">
        <v>1077</v>
      </c>
      <c r="G853" s="3"/>
      <c r="H853" s="4" t="s">
        <v>1368</v>
      </c>
    </row>
    <row r="854" ht="16.5" customHeight="1" spans="1:8">
      <c r="A854" s="3">
        <v>853</v>
      </c>
      <c r="B854" s="3" t="s">
        <v>2817</v>
      </c>
      <c r="C854" s="3" t="s">
        <v>1074</v>
      </c>
      <c r="D854" s="4" t="s">
        <v>2818</v>
      </c>
      <c r="E854" s="3" t="s">
        <v>1076</v>
      </c>
      <c r="F854" s="3" t="s">
        <v>1077</v>
      </c>
      <c r="G854" s="3"/>
      <c r="H854" s="4" t="s">
        <v>1368</v>
      </c>
    </row>
    <row r="855" ht="16.5" customHeight="1" spans="1:8">
      <c r="A855" s="3">
        <v>854</v>
      </c>
      <c r="B855" s="3" t="s">
        <v>2819</v>
      </c>
      <c r="C855" s="3" t="s">
        <v>1074</v>
      </c>
      <c r="D855" s="4" t="s">
        <v>2820</v>
      </c>
      <c r="E855" s="3" t="s">
        <v>1076</v>
      </c>
      <c r="F855" s="3" t="s">
        <v>1077</v>
      </c>
      <c r="G855" s="3"/>
      <c r="H855" s="4" t="s">
        <v>1368</v>
      </c>
    </row>
    <row r="856" ht="16.5" customHeight="1" spans="1:8">
      <c r="A856" s="3">
        <v>855</v>
      </c>
      <c r="B856" s="3" t="s">
        <v>2821</v>
      </c>
      <c r="C856" s="3" t="s">
        <v>1074</v>
      </c>
      <c r="D856" s="4" t="s">
        <v>2822</v>
      </c>
      <c r="E856" s="3" t="s">
        <v>1076</v>
      </c>
      <c r="F856" s="3" t="s">
        <v>1077</v>
      </c>
      <c r="G856" s="3"/>
      <c r="H856" s="4" t="s">
        <v>1368</v>
      </c>
    </row>
    <row r="857" ht="16.5" customHeight="1" spans="1:8">
      <c r="A857" s="3">
        <v>856</v>
      </c>
      <c r="B857" s="3" t="s">
        <v>2823</v>
      </c>
      <c r="C857" s="3" t="s">
        <v>1074</v>
      </c>
      <c r="D857" s="4" t="s">
        <v>2824</v>
      </c>
      <c r="E857" s="3" t="s">
        <v>1076</v>
      </c>
      <c r="F857" s="3" t="s">
        <v>1077</v>
      </c>
      <c r="G857" s="3"/>
      <c r="H857" s="4" t="s">
        <v>1368</v>
      </c>
    </row>
    <row r="858" ht="16.5" customHeight="1" spans="1:8">
      <c r="A858" s="3">
        <v>857</v>
      </c>
      <c r="B858" s="3" t="s">
        <v>2825</v>
      </c>
      <c r="C858" s="3" t="s">
        <v>1074</v>
      </c>
      <c r="D858" s="4" t="s">
        <v>2826</v>
      </c>
      <c r="E858" s="3" t="s">
        <v>1076</v>
      </c>
      <c r="F858" s="3" t="s">
        <v>1077</v>
      </c>
      <c r="G858" s="3"/>
      <c r="H858" s="4" t="s">
        <v>1359</v>
      </c>
    </row>
    <row r="859" ht="16.5" customHeight="1" spans="1:8">
      <c r="A859" s="3">
        <v>858</v>
      </c>
      <c r="B859" s="3" t="s">
        <v>2827</v>
      </c>
      <c r="C859" s="3" t="s">
        <v>1074</v>
      </c>
      <c r="D859" s="4" t="s">
        <v>2828</v>
      </c>
      <c r="E859" s="3" t="s">
        <v>1076</v>
      </c>
      <c r="F859" s="3" t="s">
        <v>1077</v>
      </c>
      <c r="G859" s="3"/>
      <c r="H859" s="4" t="s">
        <v>1359</v>
      </c>
    </row>
    <row r="860" ht="16.5" customHeight="1" spans="1:8">
      <c r="A860" s="3">
        <v>859</v>
      </c>
      <c r="B860" s="3" t="s">
        <v>2829</v>
      </c>
      <c r="C860" s="3" t="s">
        <v>1074</v>
      </c>
      <c r="D860" s="4" t="s">
        <v>2830</v>
      </c>
      <c r="E860" s="3" t="s">
        <v>1076</v>
      </c>
      <c r="F860" s="3" t="s">
        <v>1077</v>
      </c>
      <c r="G860" s="3"/>
      <c r="H860" s="4" t="s">
        <v>1359</v>
      </c>
    </row>
    <row r="861" ht="16.5" customHeight="1" spans="1:8">
      <c r="A861" s="3">
        <v>860</v>
      </c>
      <c r="B861" s="3" t="s">
        <v>2831</v>
      </c>
      <c r="C861" s="3" t="s">
        <v>1074</v>
      </c>
      <c r="D861" s="4" t="s">
        <v>2832</v>
      </c>
      <c r="E861" s="3" t="s">
        <v>1076</v>
      </c>
      <c r="F861" s="3" t="s">
        <v>1077</v>
      </c>
      <c r="G861" s="3"/>
      <c r="H861" s="4" t="s">
        <v>1359</v>
      </c>
    </row>
    <row r="862" ht="16.5" customHeight="1" spans="1:8">
      <c r="A862" s="3">
        <v>861</v>
      </c>
      <c r="B862" s="3" t="s">
        <v>2833</v>
      </c>
      <c r="C862" s="3" t="s">
        <v>1074</v>
      </c>
      <c r="D862" s="4" t="s">
        <v>2834</v>
      </c>
      <c r="E862" s="3" t="s">
        <v>1076</v>
      </c>
      <c r="F862" s="3" t="s">
        <v>1077</v>
      </c>
      <c r="G862" s="3"/>
      <c r="H862" s="4" t="s">
        <v>1359</v>
      </c>
    </row>
    <row r="863" ht="16.5" customHeight="1" spans="1:8">
      <c r="A863" s="3">
        <v>862</v>
      </c>
      <c r="B863" s="3" t="s">
        <v>2835</v>
      </c>
      <c r="C863" s="3" t="s">
        <v>1074</v>
      </c>
      <c r="D863" s="4" t="s">
        <v>2836</v>
      </c>
      <c r="E863" s="3" t="s">
        <v>1076</v>
      </c>
      <c r="F863" s="3" t="s">
        <v>1077</v>
      </c>
      <c r="G863" s="3"/>
      <c r="H863" s="4" t="s">
        <v>1359</v>
      </c>
    </row>
    <row r="864" ht="16.5" customHeight="1" spans="1:8">
      <c r="A864" s="3">
        <v>863</v>
      </c>
      <c r="B864" s="3" t="s">
        <v>2837</v>
      </c>
      <c r="C864" s="3" t="s">
        <v>1074</v>
      </c>
      <c r="D864" s="4" t="s">
        <v>2838</v>
      </c>
      <c r="E864" s="3" t="s">
        <v>1076</v>
      </c>
      <c r="F864" s="3" t="s">
        <v>1077</v>
      </c>
      <c r="G864" s="3"/>
      <c r="H864" s="4" t="s">
        <v>1359</v>
      </c>
    </row>
    <row r="865" ht="16.5" customHeight="1" spans="1:8">
      <c r="A865" s="3">
        <v>864</v>
      </c>
      <c r="B865" s="3" t="s">
        <v>2839</v>
      </c>
      <c r="C865" s="3" t="s">
        <v>1074</v>
      </c>
      <c r="D865" s="4" t="s">
        <v>2840</v>
      </c>
      <c r="E865" s="3" t="s">
        <v>1076</v>
      </c>
      <c r="F865" s="3" t="s">
        <v>1077</v>
      </c>
      <c r="G865" s="3"/>
      <c r="H865" s="4" t="s">
        <v>1359</v>
      </c>
    </row>
    <row r="866" ht="16.5" customHeight="1" spans="1:8">
      <c r="A866" s="3">
        <v>865</v>
      </c>
      <c r="B866" s="3" t="s">
        <v>2841</v>
      </c>
      <c r="C866" s="3" t="s">
        <v>1074</v>
      </c>
      <c r="D866" s="4" t="s">
        <v>2842</v>
      </c>
      <c r="E866" s="3" t="s">
        <v>1076</v>
      </c>
      <c r="F866" s="3" t="s">
        <v>1077</v>
      </c>
      <c r="G866" s="3"/>
      <c r="H866" s="4" t="s">
        <v>1359</v>
      </c>
    </row>
    <row r="867" ht="16.5" customHeight="1" spans="1:8">
      <c r="A867" s="3">
        <v>866</v>
      </c>
      <c r="B867" s="3" t="s">
        <v>2843</v>
      </c>
      <c r="C867" s="3" t="s">
        <v>1074</v>
      </c>
      <c r="D867" s="4" t="s">
        <v>2844</v>
      </c>
      <c r="E867" s="3" t="s">
        <v>1076</v>
      </c>
      <c r="F867" s="3" t="s">
        <v>1077</v>
      </c>
      <c r="G867" s="3"/>
      <c r="H867" s="4" t="s">
        <v>1359</v>
      </c>
    </row>
    <row r="868" ht="16.5" customHeight="1" spans="1:8">
      <c r="A868" s="3">
        <v>867</v>
      </c>
      <c r="B868" s="3" t="s">
        <v>2845</v>
      </c>
      <c r="C868" s="3" t="s">
        <v>1074</v>
      </c>
      <c r="D868" s="4" t="s">
        <v>2846</v>
      </c>
      <c r="E868" s="3" t="s">
        <v>1076</v>
      </c>
      <c r="F868" s="3" t="s">
        <v>1077</v>
      </c>
      <c r="G868" s="3"/>
      <c r="H868" s="4" t="s">
        <v>1359</v>
      </c>
    </row>
    <row r="869" ht="16.5" customHeight="1" spans="1:8">
      <c r="A869" s="3">
        <v>868</v>
      </c>
      <c r="B869" s="3" t="s">
        <v>2847</v>
      </c>
      <c r="C869" s="3" t="s">
        <v>1074</v>
      </c>
      <c r="D869" s="4" t="s">
        <v>2848</v>
      </c>
      <c r="E869" s="3" t="s">
        <v>1076</v>
      </c>
      <c r="F869" s="3" t="s">
        <v>1077</v>
      </c>
      <c r="G869" s="3"/>
      <c r="H869" s="4" t="s">
        <v>1359</v>
      </c>
    </row>
    <row r="870" ht="16.5" customHeight="1" spans="1:8">
      <c r="A870" s="3">
        <v>869</v>
      </c>
      <c r="B870" s="3" t="s">
        <v>2849</v>
      </c>
      <c r="C870" s="3" t="s">
        <v>1074</v>
      </c>
      <c r="D870" s="4" t="s">
        <v>2850</v>
      </c>
      <c r="E870" s="3" t="s">
        <v>1076</v>
      </c>
      <c r="F870" s="3" t="s">
        <v>1077</v>
      </c>
      <c r="G870" s="3"/>
      <c r="H870" s="4" t="s">
        <v>1359</v>
      </c>
    </row>
    <row r="871" ht="16.5" customHeight="1" spans="1:8">
      <c r="A871" s="3">
        <v>870</v>
      </c>
      <c r="B871" s="3" t="s">
        <v>2851</v>
      </c>
      <c r="C871" s="3" t="s">
        <v>1074</v>
      </c>
      <c r="D871" s="4" t="s">
        <v>2852</v>
      </c>
      <c r="E871" s="3" t="s">
        <v>1076</v>
      </c>
      <c r="F871" s="3" t="s">
        <v>1077</v>
      </c>
      <c r="G871" s="3"/>
      <c r="H871" s="4" t="s">
        <v>1359</v>
      </c>
    </row>
    <row r="872" ht="16.5" customHeight="1" spans="1:8">
      <c r="A872" s="3">
        <v>871</v>
      </c>
      <c r="B872" s="3" t="s">
        <v>2853</v>
      </c>
      <c r="C872" s="3" t="s">
        <v>1074</v>
      </c>
      <c r="D872" s="4" t="s">
        <v>2854</v>
      </c>
      <c r="E872" s="3" t="s">
        <v>1076</v>
      </c>
      <c r="F872" s="3" t="s">
        <v>1077</v>
      </c>
      <c r="G872" s="3"/>
      <c r="H872" s="4" t="s">
        <v>1359</v>
      </c>
    </row>
    <row r="873" ht="16.5" customHeight="1" spans="1:8">
      <c r="A873" s="3">
        <v>872</v>
      </c>
      <c r="B873" s="3" t="s">
        <v>2855</v>
      </c>
      <c r="C873" s="3" t="s">
        <v>1074</v>
      </c>
      <c r="D873" s="4" t="s">
        <v>2856</v>
      </c>
      <c r="E873" s="3" t="s">
        <v>1076</v>
      </c>
      <c r="F873" s="3" t="s">
        <v>1077</v>
      </c>
      <c r="G873" s="3"/>
      <c r="H873" s="4" t="s">
        <v>1359</v>
      </c>
    </row>
    <row r="874" ht="16.5" customHeight="1" spans="1:8">
      <c r="A874" s="3">
        <v>873</v>
      </c>
      <c r="B874" s="3" t="s">
        <v>2857</v>
      </c>
      <c r="C874" s="3" t="s">
        <v>1074</v>
      </c>
      <c r="D874" s="4" t="s">
        <v>2858</v>
      </c>
      <c r="E874" s="3" t="s">
        <v>1076</v>
      </c>
      <c r="F874" s="3" t="s">
        <v>1077</v>
      </c>
      <c r="G874" s="3"/>
      <c r="H874" s="4" t="s">
        <v>1359</v>
      </c>
    </row>
    <row r="875" ht="16.5" customHeight="1" spans="1:8">
      <c r="A875" s="3">
        <v>874</v>
      </c>
      <c r="B875" s="3" t="s">
        <v>2859</v>
      </c>
      <c r="C875" s="3" t="s">
        <v>1074</v>
      </c>
      <c r="D875" s="4" t="s">
        <v>2860</v>
      </c>
      <c r="E875" s="3" t="s">
        <v>1076</v>
      </c>
      <c r="F875" s="3" t="s">
        <v>1077</v>
      </c>
      <c r="G875" s="3"/>
      <c r="H875" s="4" t="s">
        <v>1359</v>
      </c>
    </row>
    <row r="876" ht="16.5" customHeight="1" spans="1:8">
      <c r="A876" s="3">
        <v>875</v>
      </c>
      <c r="B876" s="3" t="s">
        <v>2861</v>
      </c>
      <c r="C876" s="3" t="s">
        <v>1074</v>
      </c>
      <c r="D876" s="4" t="s">
        <v>2862</v>
      </c>
      <c r="E876" s="3" t="s">
        <v>1076</v>
      </c>
      <c r="F876" s="3" t="s">
        <v>1077</v>
      </c>
      <c r="G876" s="3"/>
      <c r="H876" s="4" t="s">
        <v>1359</v>
      </c>
    </row>
    <row r="877" ht="16.5" customHeight="1" spans="1:8">
      <c r="A877" s="3">
        <v>876</v>
      </c>
      <c r="B877" s="3" t="s">
        <v>2863</v>
      </c>
      <c r="C877" s="3" t="s">
        <v>1074</v>
      </c>
      <c r="D877" s="4" t="s">
        <v>2864</v>
      </c>
      <c r="E877" s="3" t="s">
        <v>1076</v>
      </c>
      <c r="F877" s="3" t="s">
        <v>1077</v>
      </c>
      <c r="G877" s="3"/>
      <c r="H877" s="4" t="s">
        <v>1359</v>
      </c>
    </row>
    <row r="878" ht="16.5" customHeight="1" spans="1:8">
      <c r="A878" s="3">
        <v>877</v>
      </c>
      <c r="B878" s="3" t="s">
        <v>2865</v>
      </c>
      <c r="C878" s="3" t="s">
        <v>1074</v>
      </c>
      <c r="D878" s="4" t="s">
        <v>2866</v>
      </c>
      <c r="E878" s="3" t="s">
        <v>1076</v>
      </c>
      <c r="F878" s="3" t="s">
        <v>1077</v>
      </c>
      <c r="G878" s="3"/>
      <c r="H878" s="4" t="s">
        <v>1359</v>
      </c>
    </row>
    <row r="879" ht="16.5" customHeight="1" spans="1:8">
      <c r="A879" s="3">
        <v>878</v>
      </c>
      <c r="B879" s="3" t="s">
        <v>2867</v>
      </c>
      <c r="C879" s="3" t="s">
        <v>1074</v>
      </c>
      <c r="D879" s="4" t="s">
        <v>2868</v>
      </c>
      <c r="E879" s="3" t="s">
        <v>1076</v>
      </c>
      <c r="F879" s="3" t="s">
        <v>1077</v>
      </c>
      <c r="G879" s="3"/>
      <c r="H879" s="4" t="s">
        <v>1359</v>
      </c>
    </row>
    <row r="880" ht="16.5" customHeight="1" spans="1:8">
      <c r="A880" s="3">
        <v>879</v>
      </c>
      <c r="B880" s="3" t="s">
        <v>2869</v>
      </c>
      <c r="C880" s="3" t="s">
        <v>1074</v>
      </c>
      <c r="D880" s="4" t="s">
        <v>2870</v>
      </c>
      <c r="E880" s="3" t="s">
        <v>1076</v>
      </c>
      <c r="F880" s="3" t="s">
        <v>1077</v>
      </c>
      <c r="G880" s="3"/>
      <c r="H880" s="4" t="s">
        <v>1359</v>
      </c>
    </row>
    <row r="881" ht="16.5" customHeight="1" spans="1:8">
      <c r="A881" s="3">
        <v>880</v>
      </c>
      <c r="B881" s="3" t="s">
        <v>2871</v>
      </c>
      <c r="C881" s="3" t="s">
        <v>1074</v>
      </c>
      <c r="D881" s="4" t="s">
        <v>2872</v>
      </c>
      <c r="E881" s="3" t="s">
        <v>1076</v>
      </c>
      <c r="F881" s="3" t="s">
        <v>1077</v>
      </c>
      <c r="G881" s="3"/>
      <c r="H881" s="4" t="s">
        <v>1359</v>
      </c>
    </row>
    <row r="882" ht="16.5" customHeight="1" spans="1:8">
      <c r="A882" s="3">
        <v>881</v>
      </c>
      <c r="B882" s="3" t="s">
        <v>2873</v>
      </c>
      <c r="C882" s="3" t="s">
        <v>1074</v>
      </c>
      <c r="D882" s="4" t="s">
        <v>2874</v>
      </c>
      <c r="E882" s="3" t="s">
        <v>1076</v>
      </c>
      <c r="F882" s="3" t="s">
        <v>1077</v>
      </c>
      <c r="G882" s="3"/>
      <c r="H882" s="4" t="s">
        <v>1359</v>
      </c>
    </row>
    <row r="883" ht="16.5" customHeight="1" spans="1:8">
      <c r="A883" s="3">
        <v>882</v>
      </c>
      <c r="B883" s="3" t="s">
        <v>2875</v>
      </c>
      <c r="C883" s="3" t="s">
        <v>1074</v>
      </c>
      <c r="D883" s="4" t="s">
        <v>2876</v>
      </c>
      <c r="E883" s="3" t="s">
        <v>1076</v>
      </c>
      <c r="F883" s="3" t="s">
        <v>1077</v>
      </c>
      <c r="G883" s="3"/>
      <c r="H883" s="4" t="s">
        <v>1359</v>
      </c>
    </row>
    <row r="884" ht="16.5" customHeight="1" spans="1:8">
      <c r="A884" s="3">
        <v>883</v>
      </c>
      <c r="B884" s="3" t="s">
        <v>2877</v>
      </c>
      <c r="C884" s="3" t="s">
        <v>1074</v>
      </c>
      <c r="D884" s="4" t="s">
        <v>2878</v>
      </c>
      <c r="E884" s="3" t="s">
        <v>1076</v>
      </c>
      <c r="F884" s="3" t="s">
        <v>1077</v>
      </c>
      <c r="G884" s="3"/>
      <c r="H884" s="4" t="s">
        <v>1359</v>
      </c>
    </row>
    <row r="885" ht="16.5" customHeight="1" spans="1:8">
      <c r="A885" s="3">
        <v>884</v>
      </c>
      <c r="B885" s="3" t="s">
        <v>2879</v>
      </c>
      <c r="C885" s="3" t="s">
        <v>1074</v>
      </c>
      <c r="D885" s="4" t="s">
        <v>2880</v>
      </c>
      <c r="E885" s="3" t="s">
        <v>1076</v>
      </c>
      <c r="F885" s="3" t="s">
        <v>1077</v>
      </c>
      <c r="G885" s="3"/>
      <c r="H885" s="4" t="s">
        <v>1359</v>
      </c>
    </row>
    <row r="886" ht="16.5" customHeight="1" spans="1:8">
      <c r="A886" s="3">
        <v>885</v>
      </c>
      <c r="B886" s="3" t="s">
        <v>2881</v>
      </c>
      <c r="C886" s="3" t="s">
        <v>1074</v>
      </c>
      <c r="D886" s="4" t="s">
        <v>2882</v>
      </c>
      <c r="E886" s="3" t="s">
        <v>1076</v>
      </c>
      <c r="F886" s="3" t="s">
        <v>1077</v>
      </c>
      <c r="G886" s="3"/>
      <c r="H886" s="4" t="s">
        <v>1359</v>
      </c>
    </row>
    <row r="887" ht="16.5" customHeight="1" spans="1:8">
      <c r="A887" s="3">
        <v>886</v>
      </c>
      <c r="B887" s="3" t="s">
        <v>2883</v>
      </c>
      <c r="C887" s="3" t="s">
        <v>1074</v>
      </c>
      <c r="D887" s="4" t="s">
        <v>2884</v>
      </c>
      <c r="E887" s="3" t="s">
        <v>1076</v>
      </c>
      <c r="F887" s="3" t="s">
        <v>1077</v>
      </c>
      <c r="G887" s="3"/>
      <c r="H887" s="4" t="s">
        <v>1359</v>
      </c>
    </row>
    <row r="888" ht="16.5" customHeight="1" spans="1:8">
      <c r="A888" s="3">
        <v>887</v>
      </c>
      <c r="B888" s="3" t="s">
        <v>2885</v>
      </c>
      <c r="C888" s="3" t="s">
        <v>1074</v>
      </c>
      <c r="D888" s="4" t="s">
        <v>2886</v>
      </c>
      <c r="E888" s="3" t="s">
        <v>1076</v>
      </c>
      <c r="F888" s="3" t="s">
        <v>1077</v>
      </c>
      <c r="G888" s="3"/>
      <c r="H888" s="4" t="s">
        <v>1359</v>
      </c>
    </row>
    <row r="889" ht="16.5" customHeight="1" spans="1:8">
      <c r="A889" s="3">
        <v>888</v>
      </c>
      <c r="B889" s="3" t="s">
        <v>2887</v>
      </c>
      <c r="C889" s="3" t="s">
        <v>1074</v>
      </c>
      <c r="D889" s="4" t="s">
        <v>2888</v>
      </c>
      <c r="E889" s="3" t="s">
        <v>1076</v>
      </c>
      <c r="F889" s="3" t="s">
        <v>1077</v>
      </c>
      <c r="G889" s="3"/>
      <c r="H889" s="4" t="s">
        <v>1359</v>
      </c>
    </row>
    <row r="890" ht="16.5" customHeight="1" spans="1:8">
      <c r="A890" s="3">
        <v>889</v>
      </c>
      <c r="B890" s="3" t="s">
        <v>2889</v>
      </c>
      <c r="C890" s="3" t="s">
        <v>1074</v>
      </c>
      <c r="D890" s="4" t="s">
        <v>2890</v>
      </c>
      <c r="E890" s="3" t="s">
        <v>1076</v>
      </c>
      <c r="F890" s="3" t="s">
        <v>1077</v>
      </c>
      <c r="G890" s="3"/>
      <c r="H890" s="4" t="s">
        <v>1359</v>
      </c>
    </row>
    <row r="891" ht="16.5" customHeight="1" spans="1:8">
      <c r="A891" s="3">
        <v>890</v>
      </c>
      <c r="B891" s="3" t="s">
        <v>2891</v>
      </c>
      <c r="C891" s="3" t="s">
        <v>1074</v>
      </c>
      <c r="D891" s="4" t="s">
        <v>2892</v>
      </c>
      <c r="E891" s="3" t="s">
        <v>1076</v>
      </c>
      <c r="F891" s="3" t="s">
        <v>1077</v>
      </c>
      <c r="G891" s="3"/>
      <c r="H891" s="4" t="s">
        <v>1359</v>
      </c>
    </row>
    <row r="892" ht="16.5" customHeight="1" spans="1:8">
      <c r="A892" s="3">
        <v>891</v>
      </c>
      <c r="B892" s="3" t="s">
        <v>2893</v>
      </c>
      <c r="C892" s="3" t="s">
        <v>1074</v>
      </c>
      <c r="D892" s="4" t="s">
        <v>2894</v>
      </c>
      <c r="E892" s="3" t="s">
        <v>1076</v>
      </c>
      <c r="F892" s="3" t="s">
        <v>1077</v>
      </c>
      <c r="G892" s="3"/>
      <c r="H892" s="4" t="s">
        <v>1359</v>
      </c>
    </row>
    <row r="893" ht="16.5" customHeight="1" spans="1:8">
      <c r="A893" s="3">
        <v>892</v>
      </c>
      <c r="B893" s="3" t="s">
        <v>2895</v>
      </c>
      <c r="C893" s="3" t="s">
        <v>1074</v>
      </c>
      <c r="D893" s="4" t="s">
        <v>2896</v>
      </c>
      <c r="E893" s="3" t="s">
        <v>1076</v>
      </c>
      <c r="F893" s="3" t="s">
        <v>1077</v>
      </c>
      <c r="G893" s="3"/>
      <c r="H893" s="4" t="s">
        <v>1359</v>
      </c>
    </row>
    <row r="894" ht="16.5" customHeight="1" spans="1:8">
      <c r="A894" s="3">
        <v>893</v>
      </c>
      <c r="B894" s="3" t="s">
        <v>2897</v>
      </c>
      <c r="C894" s="3" t="s">
        <v>1074</v>
      </c>
      <c r="D894" s="4" t="s">
        <v>2898</v>
      </c>
      <c r="E894" s="3" t="s">
        <v>1076</v>
      </c>
      <c r="F894" s="3" t="s">
        <v>1077</v>
      </c>
      <c r="G894" s="3"/>
      <c r="H894" s="4" t="s">
        <v>1359</v>
      </c>
    </row>
    <row r="895" ht="16.5" customHeight="1" spans="1:8">
      <c r="A895" s="3">
        <v>894</v>
      </c>
      <c r="B895" s="3" t="s">
        <v>2899</v>
      </c>
      <c r="C895" s="3" t="s">
        <v>1074</v>
      </c>
      <c r="D895" s="4" t="s">
        <v>2900</v>
      </c>
      <c r="E895" s="3" t="s">
        <v>1076</v>
      </c>
      <c r="F895" s="3" t="s">
        <v>1077</v>
      </c>
      <c r="G895" s="3"/>
      <c r="H895" s="4" t="s">
        <v>1359</v>
      </c>
    </row>
    <row r="896" ht="16.5" customHeight="1" spans="1:8">
      <c r="A896" s="3">
        <v>895</v>
      </c>
      <c r="B896" s="3" t="s">
        <v>2901</v>
      </c>
      <c r="C896" s="3" t="s">
        <v>1074</v>
      </c>
      <c r="D896" s="4" t="s">
        <v>2902</v>
      </c>
      <c r="E896" s="3" t="s">
        <v>1076</v>
      </c>
      <c r="F896" s="3" t="s">
        <v>1077</v>
      </c>
      <c r="G896" s="3"/>
      <c r="H896" s="4" t="s">
        <v>1359</v>
      </c>
    </row>
    <row r="897" ht="16.5" customHeight="1" spans="1:8">
      <c r="A897" s="3">
        <v>896</v>
      </c>
      <c r="B897" s="3" t="s">
        <v>2903</v>
      </c>
      <c r="C897" s="3" t="s">
        <v>1074</v>
      </c>
      <c r="D897" s="4" t="s">
        <v>2904</v>
      </c>
      <c r="E897" s="3" t="s">
        <v>1076</v>
      </c>
      <c r="F897" s="3" t="s">
        <v>1077</v>
      </c>
      <c r="G897" s="3"/>
      <c r="H897" s="4" t="s">
        <v>1359</v>
      </c>
    </row>
    <row r="898" ht="16.5" customHeight="1" spans="1:8">
      <c r="A898" s="3">
        <v>897</v>
      </c>
      <c r="B898" s="3" t="s">
        <v>2905</v>
      </c>
      <c r="C898" s="3" t="s">
        <v>1074</v>
      </c>
      <c r="D898" s="4" t="s">
        <v>2906</v>
      </c>
      <c r="E898" s="3" t="s">
        <v>1076</v>
      </c>
      <c r="F898" s="3" t="s">
        <v>1077</v>
      </c>
      <c r="G898" s="3"/>
      <c r="H898" s="4" t="s">
        <v>1359</v>
      </c>
    </row>
    <row r="899" ht="16.5" customHeight="1" spans="1:8">
      <c r="A899" s="3">
        <v>898</v>
      </c>
      <c r="B899" s="3" t="s">
        <v>2907</v>
      </c>
      <c r="C899" s="3" t="s">
        <v>1074</v>
      </c>
      <c r="D899" s="4" t="s">
        <v>2908</v>
      </c>
      <c r="E899" s="3" t="s">
        <v>1076</v>
      </c>
      <c r="F899" s="3" t="s">
        <v>1077</v>
      </c>
      <c r="G899" s="3"/>
      <c r="H899" s="4" t="s">
        <v>1359</v>
      </c>
    </row>
    <row r="900" ht="16.5" customHeight="1" spans="1:8">
      <c r="A900" s="3">
        <v>899</v>
      </c>
      <c r="B900" s="3" t="s">
        <v>2909</v>
      </c>
      <c r="C900" s="3" t="s">
        <v>1074</v>
      </c>
      <c r="D900" s="4" t="s">
        <v>2910</v>
      </c>
      <c r="E900" s="3" t="s">
        <v>1076</v>
      </c>
      <c r="F900" s="3" t="s">
        <v>1077</v>
      </c>
      <c r="G900" s="3"/>
      <c r="H900" s="4" t="s">
        <v>1359</v>
      </c>
    </row>
    <row r="901" ht="16.5" customHeight="1" spans="1:8">
      <c r="A901" s="3">
        <v>900</v>
      </c>
      <c r="B901" s="3" t="s">
        <v>2911</v>
      </c>
      <c r="C901" s="3" t="s">
        <v>1074</v>
      </c>
      <c r="D901" s="4" t="s">
        <v>2912</v>
      </c>
      <c r="E901" s="3" t="s">
        <v>1076</v>
      </c>
      <c r="F901" s="3" t="s">
        <v>1077</v>
      </c>
      <c r="G901" s="3"/>
      <c r="H901" s="4" t="s">
        <v>1359</v>
      </c>
    </row>
    <row r="902" ht="16.5" customHeight="1" spans="1:8">
      <c r="A902" s="3">
        <v>901</v>
      </c>
      <c r="B902" s="3" t="s">
        <v>2913</v>
      </c>
      <c r="C902" s="3" t="s">
        <v>1074</v>
      </c>
      <c r="D902" s="4" t="s">
        <v>2914</v>
      </c>
      <c r="E902" s="3" t="s">
        <v>1076</v>
      </c>
      <c r="F902" s="3" t="s">
        <v>1077</v>
      </c>
      <c r="G902" s="3"/>
      <c r="H902" s="4" t="s">
        <v>1359</v>
      </c>
    </row>
    <row r="903" ht="16.5" customHeight="1" spans="1:8">
      <c r="A903" s="3">
        <v>902</v>
      </c>
      <c r="B903" s="3" t="s">
        <v>2915</v>
      </c>
      <c r="C903" s="3" t="s">
        <v>1074</v>
      </c>
      <c r="D903" s="4" t="s">
        <v>2916</v>
      </c>
      <c r="E903" s="3" t="s">
        <v>1076</v>
      </c>
      <c r="F903" s="3" t="s">
        <v>1077</v>
      </c>
      <c r="G903" s="3"/>
      <c r="H903" s="4" t="s">
        <v>1359</v>
      </c>
    </row>
    <row r="904" ht="16.5" customHeight="1" spans="1:8">
      <c r="A904" s="3">
        <v>903</v>
      </c>
      <c r="B904" s="3" t="s">
        <v>2917</v>
      </c>
      <c r="C904" s="3" t="s">
        <v>1074</v>
      </c>
      <c r="D904" s="4" t="s">
        <v>2918</v>
      </c>
      <c r="E904" s="3" t="s">
        <v>1076</v>
      </c>
      <c r="F904" s="3" t="s">
        <v>1077</v>
      </c>
      <c r="G904" s="3"/>
      <c r="H904" s="4" t="s">
        <v>1359</v>
      </c>
    </row>
    <row r="905" ht="16.5" customHeight="1" spans="1:8">
      <c r="A905" s="3">
        <v>904</v>
      </c>
      <c r="B905" s="3" t="s">
        <v>2919</v>
      </c>
      <c r="C905" s="3" t="s">
        <v>1074</v>
      </c>
      <c r="D905" s="4" t="s">
        <v>2920</v>
      </c>
      <c r="E905" s="3" t="s">
        <v>1076</v>
      </c>
      <c r="F905" s="3" t="s">
        <v>1077</v>
      </c>
      <c r="G905" s="3"/>
      <c r="H905" s="4" t="s">
        <v>1359</v>
      </c>
    </row>
    <row r="906" ht="16.5" customHeight="1" spans="1:8">
      <c r="A906" s="3">
        <v>905</v>
      </c>
      <c r="B906" s="3" t="s">
        <v>2921</v>
      </c>
      <c r="C906" s="3" t="s">
        <v>1074</v>
      </c>
      <c r="D906" s="4" t="s">
        <v>2922</v>
      </c>
      <c r="E906" s="3" t="s">
        <v>1076</v>
      </c>
      <c r="F906" s="3" t="s">
        <v>1077</v>
      </c>
      <c r="G906" s="3"/>
      <c r="H906" s="4" t="s">
        <v>1359</v>
      </c>
    </row>
    <row r="907" ht="16.5" customHeight="1" spans="1:8">
      <c r="A907" s="3">
        <v>906</v>
      </c>
      <c r="B907" s="3" t="s">
        <v>2923</v>
      </c>
      <c r="C907" s="3" t="s">
        <v>1074</v>
      </c>
      <c r="D907" s="4" t="s">
        <v>2924</v>
      </c>
      <c r="E907" s="3" t="s">
        <v>1076</v>
      </c>
      <c r="F907" s="3" t="s">
        <v>1077</v>
      </c>
      <c r="G907" s="3"/>
      <c r="H907" s="4" t="s">
        <v>1308</v>
      </c>
    </row>
    <row r="908" ht="16.5" customHeight="1" spans="1:8">
      <c r="A908" s="3">
        <v>907</v>
      </c>
      <c r="B908" s="3" t="s">
        <v>2925</v>
      </c>
      <c r="C908" s="3" t="s">
        <v>1074</v>
      </c>
      <c r="D908" s="4" t="s">
        <v>2926</v>
      </c>
      <c r="E908" s="3" t="s">
        <v>1076</v>
      </c>
      <c r="F908" s="3" t="s">
        <v>1077</v>
      </c>
      <c r="G908" s="3"/>
      <c r="H908" s="4" t="s">
        <v>1308</v>
      </c>
    </row>
    <row r="909" ht="16.5" customHeight="1" spans="1:8">
      <c r="A909" s="3">
        <v>908</v>
      </c>
      <c r="B909" s="3" t="s">
        <v>2927</v>
      </c>
      <c r="C909" s="3" t="s">
        <v>1074</v>
      </c>
      <c r="D909" s="4" t="s">
        <v>2928</v>
      </c>
      <c r="E909" s="3" t="s">
        <v>1076</v>
      </c>
      <c r="F909" s="3" t="s">
        <v>1077</v>
      </c>
      <c r="G909" s="3"/>
      <c r="H909" s="4" t="s">
        <v>1308</v>
      </c>
    </row>
    <row r="910" ht="16.5" customHeight="1" spans="1:8">
      <c r="A910" s="3">
        <v>909</v>
      </c>
      <c r="B910" s="3" t="s">
        <v>2929</v>
      </c>
      <c r="C910" s="3" t="s">
        <v>1074</v>
      </c>
      <c r="D910" s="4" t="s">
        <v>2930</v>
      </c>
      <c r="E910" s="3" t="s">
        <v>1076</v>
      </c>
      <c r="F910" s="3" t="s">
        <v>1077</v>
      </c>
      <c r="G910" s="3"/>
      <c r="H910" s="4" t="s">
        <v>1308</v>
      </c>
    </row>
    <row r="911" ht="16.5" customHeight="1" spans="1:8">
      <c r="A911" s="3">
        <v>910</v>
      </c>
      <c r="B911" s="3" t="s">
        <v>2931</v>
      </c>
      <c r="C911" s="3" t="s">
        <v>1074</v>
      </c>
      <c r="D911" s="4" t="s">
        <v>2932</v>
      </c>
      <c r="E911" s="3" t="s">
        <v>1076</v>
      </c>
      <c r="F911" s="3" t="s">
        <v>1077</v>
      </c>
      <c r="G911" s="3"/>
      <c r="H911" s="4" t="s">
        <v>1308</v>
      </c>
    </row>
    <row r="912" ht="16.5" customHeight="1" spans="1:8">
      <c r="A912" s="3">
        <v>911</v>
      </c>
      <c r="B912" s="3" t="s">
        <v>2933</v>
      </c>
      <c r="C912" s="3" t="s">
        <v>1074</v>
      </c>
      <c r="D912" s="4" t="s">
        <v>2934</v>
      </c>
      <c r="E912" s="3" t="s">
        <v>1076</v>
      </c>
      <c r="F912" s="3" t="s">
        <v>1077</v>
      </c>
      <c r="G912" s="3"/>
      <c r="H912" s="4" t="s">
        <v>1308</v>
      </c>
    </row>
    <row r="913" ht="16.5" customHeight="1" spans="1:8">
      <c r="A913" s="3">
        <v>912</v>
      </c>
      <c r="B913" s="3" t="s">
        <v>2935</v>
      </c>
      <c r="C913" s="3" t="s">
        <v>1074</v>
      </c>
      <c r="D913" s="4" t="s">
        <v>2936</v>
      </c>
      <c r="E913" s="3" t="s">
        <v>1076</v>
      </c>
      <c r="F913" s="3" t="s">
        <v>1077</v>
      </c>
      <c r="G913" s="3"/>
      <c r="H913" s="4" t="s">
        <v>1308</v>
      </c>
    </row>
    <row r="914" ht="16.5" customHeight="1" spans="1:8">
      <c r="A914" s="3">
        <v>913</v>
      </c>
      <c r="B914" s="3" t="s">
        <v>2937</v>
      </c>
      <c r="C914" s="3" t="s">
        <v>1074</v>
      </c>
      <c r="D914" s="4" t="s">
        <v>2938</v>
      </c>
      <c r="E914" s="3" t="s">
        <v>1076</v>
      </c>
      <c r="F914" s="3" t="s">
        <v>1077</v>
      </c>
      <c r="G914" s="3"/>
      <c r="H914" s="4" t="s">
        <v>1308</v>
      </c>
    </row>
    <row r="915" ht="16.5" customHeight="1" spans="1:8">
      <c r="A915" s="3">
        <v>914</v>
      </c>
      <c r="B915" s="3" t="s">
        <v>2939</v>
      </c>
      <c r="C915" s="3" t="s">
        <v>1074</v>
      </c>
      <c r="D915" s="4" t="s">
        <v>2940</v>
      </c>
      <c r="E915" s="3" t="s">
        <v>1076</v>
      </c>
      <c r="F915" s="3" t="s">
        <v>1077</v>
      </c>
      <c r="G915" s="3"/>
      <c r="H915" s="4" t="s">
        <v>1308</v>
      </c>
    </row>
    <row r="916" ht="16.5" customHeight="1" spans="1:8">
      <c r="A916" s="3">
        <v>915</v>
      </c>
      <c r="B916" s="3" t="s">
        <v>2941</v>
      </c>
      <c r="C916" s="3" t="s">
        <v>1074</v>
      </c>
      <c r="D916" s="4" t="s">
        <v>2942</v>
      </c>
      <c r="E916" s="3" t="s">
        <v>1076</v>
      </c>
      <c r="F916" s="3" t="s">
        <v>1077</v>
      </c>
      <c r="G916" s="3"/>
      <c r="H916" s="4" t="s">
        <v>1308</v>
      </c>
    </row>
    <row r="917" ht="16.5" customHeight="1" spans="1:8">
      <c r="A917" s="3">
        <v>916</v>
      </c>
      <c r="B917" s="3" t="s">
        <v>2943</v>
      </c>
      <c r="C917" s="3" t="s">
        <v>1074</v>
      </c>
      <c r="D917" s="4" t="s">
        <v>2944</v>
      </c>
      <c r="E917" s="3" t="s">
        <v>1076</v>
      </c>
      <c r="F917" s="3" t="s">
        <v>1077</v>
      </c>
      <c r="G917" s="3"/>
      <c r="H917" s="4" t="s">
        <v>1308</v>
      </c>
    </row>
    <row r="918" ht="16.5" customHeight="1" spans="1:8">
      <c r="A918" s="3">
        <v>917</v>
      </c>
      <c r="B918" s="3" t="s">
        <v>2945</v>
      </c>
      <c r="C918" s="3" t="s">
        <v>1074</v>
      </c>
      <c r="D918" s="4" t="s">
        <v>2946</v>
      </c>
      <c r="E918" s="3" t="s">
        <v>1076</v>
      </c>
      <c r="F918" s="3" t="s">
        <v>1077</v>
      </c>
      <c r="G918" s="3"/>
      <c r="H918" s="4" t="s">
        <v>1308</v>
      </c>
    </row>
    <row r="919" ht="16.5" customHeight="1" spans="1:8">
      <c r="A919" s="3">
        <v>918</v>
      </c>
      <c r="B919" s="3" t="s">
        <v>2947</v>
      </c>
      <c r="C919" s="3" t="s">
        <v>1074</v>
      </c>
      <c r="D919" s="4" t="s">
        <v>2948</v>
      </c>
      <c r="E919" s="3" t="s">
        <v>1076</v>
      </c>
      <c r="F919" s="3" t="s">
        <v>1077</v>
      </c>
      <c r="G919" s="3"/>
      <c r="H919" s="4" t="s">
        <v>1308</v>
      </c>
    </row>
    <row r="920" ht="16.5" customHeight="1" spans="1:8">
      <c r="A920" s="3">
        <v>919</v>
      </c>
      <c r="B920" s="3" t="s">
        <v>2949</v>
      </c>
      <c r="C920" s="3" t="s">
        <v>1074</v>
      </c>
      <c r="D920" s="4" t="s">
        <v>2950</v>
      </c>
      <c r="E920" s="3" t="s">
        <v>1076</v>
      </c>
      <c r="F920" s="3" t="s">
        <v>1077</v>
      </c>
      <c r="G920" s="3"/>
      <c r="H920" s="4" t="s">
        <v>2181</v>
      </c>
    </row>
    <row r="921" ht="16.5" customHeight="1" spans="1:8">
      <c r="A921" s="3">
        <v>920</v>
      </c>
      <c r="B921" s="3" t="s">
        <v>2951</v>
      </c>
      <c r="C921" s="3" t="s">
        <v>1074</v>
      </c>
      <c r="D921" s="4" t="s">
        <v>2952</v>
      </c>
      <c r="E921" s="3" t="s">
        <v>1076</v>
      </c>
      <c r="F921" s="3" t="s">
        <v>1077</v>
      </c>
      <c r="G921" s="3"/>
      <c r="H921" s="4" t="s">
        <v>2181</v>
      </c>
    </row>
    <row r="922" ht="16.5" customHeight="1" spans="1:8">
      <c r="A922" s="3">
        <v>921</v>
      </c>
      <c r="B922" s="3" t="s">
        <v>2953</v>
      </c>
      <c r="C922" s="3" t="s">
        <v>1074</v>
      </c>
      <c r="D922" s="4" t="s">
        <v>2954</v>
      </c>
      <c r="E922" s="3" t="s">
        <v>1076</v>
      </c>
      <c r="F922" s="3" t="s">
        <v>1077</v>
      </c>
      <c r="G922" s="3"/>
      <c r="H922" s="4" t="s">
        <v>2181</v>
      </c>
    </row>
    <row r="923" ht="16.5" customHeight="1" spans="1:8">
      <c r="A923" s="3">
        <v>922</v>
      </c>
      <c r="B923" s="3" t="s">
        <v>2955</v>
      </c>
      <c r="C923" s="3" t="s">
        <v>1074</v>
      </c>
      <c r="D923" s="4" t="s">
        <v>2956</v>
      </c>
      <c r="E923" s="3" t="s">
        <v>1076</v>
      </c>
      <c r="F923" s="3" t="s">
        <v>1077</v>
      </c>
      <c r="G923" s="3"/>
      <c r="H923" s="4" t="s">
        <v>2181</v>
      </c>
    </row>
    <row r="924" ht="16.5" customHeight="1" spans="1:8">
      <c r="A924" s="3">
        <v>923</v>
      </c>
      <c r="B924" s="3" t="s">
        <v>2957</v>
      </c>
      <c r="C924" s="3" t="s">
        <v>1074</v>
      </c>
      <c r="D924" s="4" t="s">
        <v>2958</v>
      </c>
      <c r="E924" s="3" t="s">
        <v>1076</v>
      </c>
      <c r="F924" s="3" t="s">
        <v>1077</v>
      </c>
      <c r="G924" s="3"/>
      <c r="H924" s="4" t="s">
        <v>2181</v>
      </c>
    </row>
    <row r="925" ht="16.5" customHeight="1" spans="1:8">
      <c r="A925" s="3">
        <v>924</v>
      </c>
      <c r="B925" s="3" t="s">
        <v>2959</v>
      </c>
      <c r="C925" s="3" t="s">
        <v>1074</v>
      </c>
      <c r="D925" s="4" t="s">
        <v>2960</v>
      </c>
      <c r="E925" s="3" t="s">
        <v>1076</v>
      </c>
      <c r="F925" s="3" t="s">
        <v>1077</v>
      </c>
      <c r="G925" s="3"/>
      <c r="H925" s="4" t="s">
        <v>2181</v>
      </c>
    </row>
    <row r="926" ht="16.5" customHeight="1" spans="1:8">
      <c r="A926" s="3">
        <v>925</v>
      </c>
      <c r="B926" s="3" t="s">
        <v>2961</v>
      </c>
      <c r="C926" s="3" t="s">
        <v>1074</v>
      </c>
      <c r="D926" s="4" t="s">
        <v>2962</v>
      </c>
      <c r="E926" s="3" t="s">
        <v>1076</v>
      </c>
      <c r="F926" s="3" t="s">
        <v>1077</v>
      </c>
      <c r="G926" s="3"/>
      <c r="H926" s="4" t="s">
        <v>2181</v>
      </c>
    </row>
    <row r="927" ht="16.5" customHeight="1" spans="1:8">
      <c r="A927" s="3">
        <v>926</v>
      </c>
      <c r="B927" s="3" t="s">
        <v>2963</v>
      </c>
      <c r="C927" s="3" t="s">
        <v>1074</v>
      </c>
      <c r="D927" s="4" t="s">
        <v>2964</v>
      </c>
      <c r="E927" s="3" t="s">
        <v>1076</v>
      </c>
      <c r="F927" s="3" t="s">
        <v>1077</v>
      </c>
      <c r="G927" s="3"/>
      <c r="H927" s="4" t="s">
        <v>2181</v>
      </c>
    </row>
    <row r="928" ht="16.5" customHeight="1" spans="1:8">
      <c r="A928" s="3">
        <v>927</v>
      </c>
      <c r="B928" s="3" t="s">
        <v>2965</v>
      </c>
      <c r="C928" s="3" t="s">
        <v>1074</v>
      </c>
      <c r="D928" s="4" t="s">
        <v>2966</v>
      </c>
      <c r="E928" s="3" t="s">
        <v>1076</v>
      </c>
      <c r="F928" s="3" t="s">
        <v>1077</v>
      </c>
      <c r="G928" s="3"/>
      <c r="H928" s="4" t="s">
        <v>2181</v>
      </c>
    </row>
    <row r="929" ht="16.5" customHeight="1" spans="1:8">
      <c r="A929" s="3">
        <v>928</v>
      </c>
      <c r="B929" s="3" t="s">
        <v>2967</v>
      </c>
      <c r="C929" s="3" t="s">
        <v>1074</v>
      </c>
      <c r="D929" s="4" t="s">
        <v>2968</v>
      </c>
      <c r="E929" s="3" t="s">
        <v>1076</v>
      </c>
      <c r="F929" s="3" t="s">
        <v>1077</v>
      </c>
      <c r="G929" s="3"/>
      <c r="H929" s="4" t="s">
        <v>2181</v>
      </c>
    </row>
    <row r="930" ht="16.5" customHeight="1" spans="1:8">
      <c r="A930" s="3">
        <v>929</v>
      </c>
      <c r="B930" s="3" t="s">
        <v>2969</v>
      </c>
      <c r="C930" s="3" t="s">
        <v>1074</v>
      </c>
      <c r="D930" s="4" t="s">
        <v>2970</v>
      </c>
      <c r="E930" s="3" t="s">
        <v>1076</v>
      </c>
      <c r="F930" s="3" t="s">
        <v>1077</v>
      </c>
      <c r="G930" s="3"/>
      <c r="H930" s="4" t="s">
        <v>2181</v>
      </c>
    </row>
    <row r="931" ht="16.5" customHeight="1" spans="1:8">
      <c r="A931" s="3">
        <v>930</v>
      </c>
      <c r="B931" s="3" t="s">
        <v>2971</v>
      </c>
      <c r="C931" s="3" t="s">
        <v>1074</v>
      </c>
      <c r="D931" s="4" t="s">
        <v>2972</v>
      </c>
      <c r="E931" s="3" t="s">
        <v>1076</v>
      </c>
      <c r="F931" s="3" t="s">
        <v>1077</v>
      </c>
      <c r="G931" s="3"/>
      <c r="H931" s="4" t="s">
        <v>2181</v>
      </c>
    </row>
    <row r="932" ht="16.5" customHeight="1" spans="1:8">
      <c r="A932" s="3">
        <v>931</v>
      </c>
      <c r="B932" s="3" t="s">
        <v>2973</v>
      </c>
      <c r="C932" s="3" t="s">
        <v>1074</v>
      </c>
      <c r="D932" s="4" t="s">
        <v>2974</v>
      </c>
      <c r="E932" s="3" t="s">
        <v>1076</v>
      </c>
      <c r="F932" s="3" t="s">
        <v>1077</v>
      </c>
      <c r="G932" s="3"/>
      <c r="H932" s="4" t="s">
        <v>2181</v>
      </c>
    </row>
    <row r="933" ht="16.5" customHeight="1" spans="1:8">
      <c r="A933" s="3">
        <v>932</v>
      </c>
      <c r="B933" s="3" t="s">
        <v>2975</v>
      </c>
      <c r="C933" s="3" t="s">
        <v>1074</v>
      </c>
      <c r="D933" s="4" t="s">
        <v>2976</v>
      </c>
      <c r="E933" s="3" t="s">
        <v>1076</v>
      </c>
      <c r="F933" s="3" t="s">
        <v>1077</v>
      </c>
      <c r="G933" s="3"/>
      <c r="H933" s="4" t="s">
        <v>1308</v>
      </c>
    </row>
    <row r="934" ht="16.5" customHeight="1" spans="1:8">
      <c r="A934" s="3">
        <v>933</v>
      </c>
      <c r="B934" s="3" t="s">
        <v>2977</v>
      </c>
      <c r="C934" s="3" t="s">
        <v>1074</v>
      </c>
      <c r="D934" s="4" t="s">
        <v>2978</v>
      </c>
      <c r="E934" s="3" t="s">
        <v>1076</v>
      </c>
      <c r="F934" s="3" t="s">
        <v>1077</v>
      </c>
      <c r="G934" s="3"/>
      <c r="H934" s="4" t="s">
        <v>1308</v>
      </c>
    </row>
    <row r="935" ht="16.5" customHeight="1" spans="1:8">
      <c r="A935" s="3">
        <v>934</v>
      </c>
      <c r="B935" s="3" t="s">
        <v>2979</v>
      </c>
      <c r="C935" s="3" t="s">
        <v>1074</v>
      </c>
      <c r="D935" s="4" t="s">
        <v>2980</v>
      </c>
      <c r="E935" s="3" t="s">
        <v>1076</v>
      </c>
      <c r="F935" s="3" t="s">
        <v>1077</v>
      </c>
      <c r="G935" s="3"/>
      <c r="H935" s="4" t="s">
        <v>1308</v>
      </c>
    </row>
    <row r="936" ht="16.5" customHeight="1" spans="1:8">
      <c r="A936" s="3">
        <v>935</v>
      </c>
      <c r="B936" s="3" t="s">
        <v>2981</v>
      </c>
      <c r="C936" s="3" t="s">
        <v>1074</v>
      </c>
      <c r="D936" s="4" t="s">
        <v>2982</v>
      </c>
      <c r="E936" s="3" t="s">
        <v>1076</v>
      </c>
      <c r="F936" s="3" t="s">
        <v>1077</v>
      </c>
      <c r="G936" s="3"/>
      <c r="H936" s="4" t="s">
        <v>1308</v>
      </c>
    </row>
    <row r="937" ht="16.5" customHeight="1" spans="1:8">
      <c r="A937" s="3">
        <v>936</v>
      </c>
      <c r="B937" s="3" t="s">
        <v>2983</v>
      </c>
      <c r="C937" s="3" t="s">
        <v>1074</v>
      </c>
      <c r="D937" s="4" t="s">
        <v>2984</v>
      </c>
      <c r="E937" s="3" t="s">
        <v>1076</v>
      </c>
      <c r="F937" s="3" t="s">
        <v>1077</v>
      </c>
      <c r="G937" s="3"/>
      <c r="H937" s="4" t="s">
        <v>1308</v>
      </c>
    </row>
    <row r="938" ht="16.5" customHeight="1" spans="1:8">
      <c r="A938" s="3">
        <v>937</v>
      </c>
      <c r="B938" s="3" t="s">
        <v>2985</v>
      </c>
      <c r="C938" s="3" t="s">
        <v>1074</v>
      </c>
      <c r="D938" s="4" t="s">
        <v>2986</v>
      </c>
      <c r="E938" s="3" t="s">
        <v>1076</v>
      </c>
      <c r="F938" s="3" t="s">
        <v>1077</v>
      </c>
      <c r="G938" s="3"/>
      <c r="H938" s="4" t="s">
        <v>1308</v>
      </c>
    </row>
    <row r="939" ht="16.5" customHeight="1" spans="1:8">
      <c r="A939" s="3">
        <v>938</v>
      </c>
      <c r="B939" s="3" t="s">
        <v>2987</v>
      </c>
      <c r="C939" s="3" t="s">
        <v>1074</v>
      </c>
      <c r="D939" s="4" t="s">
        <v>2988</v>
      </c>
      <c r="E939" s="3" t="s">
        <v>1076</v>
      </c>
      <c r="F939" s="3" t="s">
        <v>1077</v>
      </c>
      <c r="G939" s="3"/>
      <c r="H939" s="4" t="s">
        <v>1308</v>
      </c>
    </row>
    <row r="940" ht="16.5" customHeight="1" spans="1:8">
      <c r="A940" s="3">
        <v>939</v>
      </c>
      <c r="B940" s="3" t="s">
        <v>2989</v>
      </c>
      <c r="C940" s="3" t="s">
        <v>1074</v>
      </c>
      <c r="D940" s="4" t="s">
        <v>2990</v>
      </c>
      <c r="E940" s="3" t="s">
        <v>1076</v>
      </c>
      <c r="F940" s="3" t="s">
        <v>1077</v>
      </c>
      <c r="G940" s="3"/>
      <c r="H940" s="4" t="s">
        <v>1308</v>
      </c>
    </row>
    <row r="941" ht="16.5" customHeight="1" spans="1:8">
      <c r="A941" s="3">
        <v>940</v>
      </c>
      <c r="B941" s="3" t="s">
        <v>2991</v>
      </c>
      <c r="C941" s="3" t="s">
        <v>1074</v>
      </c>
      <c r="D941" s="4" t="s">
        <v>2992</v>
      </c>
      <c r="E941" s="3" t="s">
        <v>1076</v>
      </c>
      <c r="F941" s="3" t="s">
        <v>1077</v>
      </c>
      <c r="G941" s="3"/>
      <c r="H941" s="4" t="s">
        <v>1308</v>
      </c>
    </row>
    <row r="942" ht="16.5" customHeight="1" spans="1:8">
      <c r="A942" s="3">
        <v>941</v>
      </c>
      <c r="B942" s="3" t="s">
        <v>2993</v>
      </c>
      <c r="C942" s="3" t="s">
        <v>1074</v>
      </c>
      <c r="D942" s="4" t="s">
        <v>2994</v>
      </c>
      <c r="E942" s="3" t="s">
        <v>1076</v>
      </c>
      <c r="F942" s="3" t="s">
        <v>1077</v>
      </c>
      <c r="G942" s="3"/>
      <c r="H942" s="4" t="s">
        <v>1308</v>
      </c>
    </row>
    <row r="943" ht="16.5" customHeight="1" spans="1:8">
      <c r="A943" s="3">
        <v>942</v>
      </c>
      <c r="B943" s="3" t="s">
        <v>2995</v>
      </c>
      <c r="C943" s="3" t="s">
        <v>1074</v>
      </c>
      <c r="D943" s="4" t="s">
        <v>2996</v>
      </c>
      <c r="E943" s="3" t="s">
        <v>1076</v>
      </c>
      <c r="F943" s="3" t="s">
        <v>1077</v>
      </c>
      <c r="G943" s="3"/>
      <c r="H943" s="4" t="s">
        <v>1308</v>
      </c>
    </row>
    <row r="944" ht="16.5" customHeight="1" spans="1:8">
      <c r="A944" s="3">
        <v>943</v>
      </c>
      <c r="B944" s="3" t="s">
        <v>2997</v>
      </c>
      <c r="C944" s="3" t="s">
        <v>1074</v>
      </c>
      <c r="D944" s="4" t="s">
        <v>2998</v>
      </c>
      <c r="E944" s="3" t="s">
        <v>1076</v>
      </c>
      <c r="F944" s="3" t="s">
        <v>1077</v>
      </c>
      <c r="G944" s="3"/>
      <c r="H944" s="4" t="s">
        <v>1308</v>
      </c>
    </row>
    <row r="945" ht="16.5" customHeight="1" spans="1:8">
      <c r="A945" s="3">
        <v>944</v>
      </c>
      <c r="B945" s="3" t="s">
        <v>2999</v>
      </c>
      <c r="C945" s="3" t="s">
        <v>1074</v>
      </c>
      <c r="D945" s="4" t="s">
        <v>3000</v>
      </c>
      <c r="E945" s="3" t="s">
        <v>1076</v>
      </c>
      <c r="F945" s="3" t="s">
        <v>1077</v>
      </c>
      <c r="G945" s="3"/>
      <c r="H945" s="4" t="s">
        <v>1308</v>
      </c>
    </row>
    <row r="946" ht="16.5" customHeight="1" spans="1:8">
      <c r="A946" s="3">
        <v>945</v>
      </c>
      <c r="B946" s="3" t="s">
        <v>3001</v>
      </c>
      <c r="C946" s="3" t="s">
        <v>1074</v>
      </c>
      <c r="D946" s="4" t="s">
        <v>3002</v>
      </c>
      <c r="E946" s="3" t="s">
        <v>1076</v>
      </c>
      <c r="F946" s="3" t="s">
        <v>1077</v>
      </c>
      <c r="G946" s="3"/>
      <c r="H946" s="4" t="s">
        <v>1308</v>
      </c>
    </row>
    <row r="947" ht="16.5" customHeight="1" spans="1:8">
      <c r="A947" s="3">
        <v>946</v>
      </c>
      <c r="B947" s="3" t="s">
        <v>3003</v>
      </c>
      <c r="C947" s="3" t="s">
        <v>1074</v>
      </c>
      <c r="D947" s="4" t="s">
        <v>3004</v>
      </c>
      <c r="E947" s="3" t="s">
        <v>1076</v>
      </c>
      <c r="F947" s="3" t="s">
        <v>1077</v>
      </c>
      <c r="G947" s="3"/>
      <c r="H947" s="4" t="s">
        <v>1308</v>
      </c>
    </row>
    <row r="948" ht="16.5" customHeight="1" spans="1:8">
      <c r="A948" s="3">
        <v>947</v>
      </c>
      <c r="B948" s="3" t="s">
        <v>3005</v>
      </c>
      <c r="C948" s="3" t="s">
        <v>1074</v>
      </c>
      <c r="D948" s="4" t="s">
        <v>3006</v>
      </c>
      <c r="E948" s="3" t="s">
        <v>1076</v>
      </c>
      <c r="F948" s="3" t="s">
        <v>1077</v>
      </c>
      <c r="G948" s="3"/>
      <c r="H948" s="4" t="s">
        <v>1308</v>
      </c>
    </row>
    <row r="949" ht="16.5" customHeight="1" spans="1:8">
      <c r="A949" s="3">
        <v>948</v>
      </c>
      <c r="B949" s="3" t="s">
        <v>3007</v>
      </c>
      <c r="C949" s="3" t="s">
        <v>1074</v>
      </c>
      <c r="D949" s="4" t="s">
        <v>3008</v>
      </c>
      <c r="E949" s="3" t="s">
        <v>1076</v>
      </c>
      <c r="F949" s="3" t="s">
        <v>1077</v>
      </c>
      <c r="G949" s="3"/>
      <c r="H949" s="4" t="s">
        <v>1308</v>
      </c>
    </row>
    <row r="950" ht="16.5" customHeight="1" spans="1:8">
      <c r="A950" s="3">
        <v>949</v>
      </c>
      <c r="B950" s="3" t="s">
        <v>3009</v>
      </c>
      <c r="C950" s="3" t="s">
        <v>1074</v>
      </c>
      <c r="D950" s="4" t="s">
        <v>3010</v>
      </c>
      <c r="E950" s="3" t="s">
        <v>1076</v>
      </c>
      <c r="F950" s="3" t="s">
        <v>1077</v>
      </c>
      <c r="G950" s="3"/>
      <c r="H950" s="4" t="s">
        <v>1308</v>
      </c>
    </row>
    <row r="951" ht="16.5" customHeight="1" spans="1:8">
      <c r="A951" s="3">
        <v>950</v>
      </c>
      <c r="B951" s="3" t="s">
        <v>3011</v>
      </c>
      <c r="C951" s="3" t="s">
        <v>1074</v>
      </c>
      <c r="D951" s="4" t="s">
        <v>3012</v>
      </c>
      <c r="E951" s="3" t="s">
        <v>1076</v>
      </c>
      <c r="F951" s="3" t="s">
        <v>1077</v>
      </c>
      <c r="G951" s="3"/>
      <c r="H951" s="4" t="s">
        <v>1308</v>
      </c>
    </row>
    <row r="952" ht="16.5" customHeight="1" spans="1:8">
      <c r="A952" s="3">
        <v>951</v>
      </c>
      <c r="B952" s="3" t="s">
        <v>3013</v>
      </c>
      <c r="C952" s="3" t="s">
        <v>1074</v>
      </c>
      <c r="D952" s="4" t="s">
        <v>3014</v>
      </c>
      <c r="E952" s="3" t="s">
        <v>1076</v>
      </c>
      <c r="F952" s="3" t="s">
        <v>1077</v>
      </c>
      <c r="G952" s="3"/>
      <c r="H952" s="4" t="s">
        <v>1308</v>
      </c>
    </row>
    <row r="953" ht="16.5" customHeight="1" spans="1:8">
      <c r="A953" s="3">
        <v>952</v>
      </c>
      <c r="B953" s="3" t="s">
        <v>3015</v>
      </c>
      <c r="C953" s="3" t="s">
        <v>1074</v>
      </c>
      <c r="D953" s="4" t="s">
        <v>3016</v>
      </c>
      <c r="E953" s="3" t="s">
        <v>1076</v>
      </c>
      <c r="F953" s="3" t="s">
        <v>1077</v>
      </c>
      <c r="G953" s="3"/>
      <c r="H953" s="4" t="s">
        <v>1308</v>
      </c>
    </row>
    <row r="954" ht="16.5" customHeight="1" spans="1:8">
      <c r="A954" s="3">
        <v>953</v>
      </c>
      <c r="B954" s="3" t="s">
        <v>3017</v>
      </c>
      <c r="C954" s="3" t="s">
        <v>1074</v>
      </c>
      <c r="D954" s="4" t="s">
        <v>3018</v>
      </c>
      <c r="E954" s="3" t="s">
        <v>1076</v>
      </c>
      <c r="F954" s="3" t="s">
        <v>1077</v>
      </c>
      <c r="G954" s="3"/>
      <c r="H954" s="4" t="s">
        <v>1308</v>
      </c>
    </row>
    <row r="955" ht="16.5" customHeight="1" spans="1:8">
      <c r="A955" s="3">
        <v>954</v>
      </c>
      <c r="B955" s="3" t="s">
        <v>3019</v>
      </c>
      <c r="C955" s="3" t="s">
        <v>1074</v>
      </c>
      <c r="D955" s="4" t="s">
        <v>3020</v>
      </c>
      <c r="E955" s="3" t="s">
        <v>1076</v>
      </c>
      <c r="F955" s="3" t="s">
        <v>1077</v>
      </c>
      <c r="G955" s="3"/>
      <c r="H955" s="4" t="s">
        <v>1308</v>
      </c>
    </row>
    <row r="956" ht="16.5" customHeight="1" spans="1:8">
      <c r="A956" s="3">
        <v>955</v>
      </c>
      <c r="B956" s="3" t="s">
        <v>3021</v>
      </c>
      <c r="C956" s="3" t="s">
        <v>1074</v>
      </c>
      <c r="D956" s="4" t="s">
        <v>3022</v>
      </c>
      <c r="E956" s="3" t="s">
        <v>1076</v>
      </c>
      <c r="F956" s="3" t="s">
        <v>1077</v>
      </c>
      <c r="G956" s="3"/>
      <c r="H956" s="4" t="s">
        <v>1308</v>
      </c>
    </row>
    <row r="957" ht="16.5" customHeight="1" spans="1:8">
      <c r="A957" s="3">
        <v>956</v>
      </c>
      <c r="B957" s="3" t="s">
        <v>3023</v>
      </c>
      <c r="C957" s="3" t="s">
        <v>1074</v>
      </c>
      <c r="D957" s="4" t="s">
        <v>3024</v>
      </c>
      <c r="E957" s="3" t="s">
        <v>1076</v>
      </c>
      <c r="F957" s="3" t="s">
        <v>1077</v>
      </c>
      <c r="G957" s="3"/>
      <c r="H957" s="4" t="s">
        <v>1308</v>
      </c>
    </row>
    <row r="958" ht="16.5" customHeight="1" spans="1:8">
      <c r="A958" s="3">
        <v>957</v>
      </c>
      <c r="B958" s="3" t="s">
        <v>3025</v>
      </c>
      <c r="C958" s="3" t="s">
        <v>1074</v>
      </c>
      <c r="D958" s="4" t="s">
        <v>3026</v>
      </c>
      <c r="E958" s="3" t="s">
        <v>1076</v>
      </c>
      <c r="F958" s="3" t="s">
        <v>1077</v>
      </c>
      <c r="G958" s="3"/>
      <c r="H958" s="4" t="s">
        <v>1308</v>
      </c>
    </row>
    <row r="959" ht="16.5" customHeight="1" spans="1:8">
      <c r="A959" s="3">
        <v>958</v>
      </c>
      <c r="B959" s="3" t="s">
        <v>3027</v>
      </c>
      <c r="C959" s="3" t="s">
        <v>1074</v>
      </c>
      <c r="D959" s="4" t="s">
        <v>3028</v>
      </c>
      <c r="E959" s="3" t="s">
        <v>1076</v>
      </c>
      <c r="F959" s="3" t="s">
        <v>1077</v>
      </c>
      <c r="G959" s="3"/>
      <c r="H959" s="4" t="s">
        <v>1308</v>
      </c>
    </row>
    <row r="960" ht="16.5" customHeight="1" spans="1:8">
      <c r="A960" s="3">
        <v>959</v>
      </c>
      <c r="B960" s="3" t="s">
        <v>3029</v>
      </c>
      <c r="C960" s="3" t="s">
        <v>1074</v>
      </c>
      <c r="D960" s="4" t="s">
        <v>3030</v>
      </c>
      <c r="E960" s="3" t="s">
        <v>1076</v>
      </c>
      <c r="F960" s="3" t="s">
        <v>1077</v>
      </c>
      <c r="G960" s="3"/>
      <c r="H960" s="4" t="s">
        <v>1308</v>
      </c>
    </row>
    <row r="961" ht="16.5" customHeight="1" spans="1:8">
      <c r="A961" s="3">
        <v>960</v>
      </c>
      <c r="B961" s="3" t="s">
        <v>3031</v>
      </c>
      <c r="C961" s="3" t="s">
        <v>1074</v>
      </c>
      <c r="D961" s="4" t="s">
        <v>3032</v>
      </c>
      <c r="E961" s="3" t="s">
        <v>1076</v>
      </c>
      <c r="F961" s="3" t="s">
        <v>1077</v>
      </c>
      <c r="G961" s="3"/>
      <c r="H961" s="4" t="s">
        <v>1308</v>
      </c>
    </row>
    <row r="962" ht="16.5" customHeight="1" spans="1:8">
      <c r="A962" s="3">
        <v>961</v>
      </c>
      <c r="B962" s="3" t="s">
        <v>3033</v>
      </c>
      <c r="C962" s="3" t="s">
        <v>1074</v>
      </c>
      <c r="D962" s="4" t="s">
        <v>3034</v>
      </c>
      <c r="E962" s="3" t="s">
        <v>1076</v>
      </c>
      <c r="F962" s="3" t="s">
        <v>1077</v>
      </c>
      <c r="G962" s="3"/>
      <c r="H962" s="4" t="s">
        <v>1308</v>
      </c>
    </row>
    <row r="963" ht="16.5" customHeight="1" spans="1:8">
      <c r="A963" s="3">
        <v>962</v>
      </c>
      <c r="B963" s="3" t="s">
        <v>3035</v>
      </c>
      <c r="C963" s="3" t="s">
        <v>1074</v>
      </c>
      <c r="D963" s="4" t="s">
        <v>3036</v>
      </c>
      <c r="E963" s="3" t="s">
        <v>1076</v>
      </c>
      <c r="F963" s="3" t="s">
        <v>1077</v>
      </c>
      <c r="G963" s="3"/>
      <c r="H963" s="4" t="s">
        <v>1308</v>
      </c>
    </row>
    <row r="964" ht="16.5" customHeight="1" spans="1:8">
      <c r="A964" s="3">
        <v>963</v>
      </c>
      <c r="B964" s="3" t="s">
        <v>3037</v>
      </c>
      <c r="C964" s="3" t="s">
        <v>1074</v>
      </c>
      <c r="D964" s="4" t="s">
        <v>3038</v>
      </c>
      <c r="E964" s="3" t="s">
        <v>1076</v>
      </c>
      <c r="F964" s="3" t="s">
        <v>1077</v>
      </c>
      <c r="G964" s="3"/>
      <c r="H964" s="4" t="s">
        <v>1308</v>
      </c>
    </row>
    <row r="965" ht="16.5" customHeight="1" spans="1:8">
      <c r="A965" s="3">
        <v>964</v>
      </c>
      <c r="B965" s="3" t="s">
        <v>3039</v>
      </c>
      <c r="C965" s="3" t="s">
        <v>1074</v>
      </c>
      <c r="D965" s="4" t="s">
        <v>3040</v>
      </c>
      <c r="E965" s="3" t="s">
        <v>1076</v>
      </c>
      <c r="F965" s="3" t="s">
        <v>1077</v>
      </c>
      <c r="G965" s="3"/>
      <c r="H965" s="4" t="s">
        <v>1308</v>
      </c>
    </row>
    <row r="966" ht="16.5" customHeight="1" spans="1:8">
      <c r="A966" s="3">
        <v>965</v>
      </c>
      <c r="B966" s="3" t="s">
        <v>3041</v>
      </c>
      <c r="C966" s="3" t="s">
        <v>1074</v>
      </c>
      <c r="D966" s="4" t="s">
        <v>3042</v>
      </c>
      <c r="E966" s="3" t="s">
        <v>1076</v>
      </c>
      <c r="F966" s="3" t="s">
        <v>1077</v>
      </c>
      <c r="G966" s="3"/>
      <c r="H966" s="4" t="s">
        <v>1308</v>
      </c>
    </row>
    <row r="967" ht="16.5" customHeight="1" spans="1:8">
      <c r="A967" s="3">
        <v>966</v>
      </c>
      <c r="B967" s="3" t="s">
        <v>3043</v>
      </c>
      <c r="C967" s="3" t="s">
        <v>1074</v>
      </c>
      <c r="D967" s="4" t="s">
        <v>3044</v>
      </c>
      <c r="E967" s="3" t="s">
        <v>1076</v>
      </c>
      <c r="F967" s="3" t="s">
        <v>1077</v>
      </c>
      <c r="G967" s="3"/>
      <c r="H967" s="4" t="s">
        <v>1308</v>
      </c>
    </row>
    <row r="968" ht="16.5" customHeight="1" spans="1:8">
      <c r="A968" s="3">
        <v>967</v>
      </c>
      <c r="B968" s="3" t="s">
        <v>3045</v>
      </c>
      <c r="C968" s="3" t="s">
        <v>1074</v>
      </c>
      <c r="D968" s="4" t="s">
        <v>3046</v>
      </c>
      <c r="E968" s="3" t="s">
        <v>1076</v>
      </c>
      <c r="F968" s="3" t="s">
        <v>1077</v>
      </c>
      <c r="G968" s="3"/>
      <c r="H968" s="4" t="s">
        <v>1308</v>
      </c>
    </row>
    <row r="969" ht="16.5" customHeight="1" spans="1:8">
      <c r="A969" s="3">
        <v>968</v>
      </c>
      <c r="B969" s="3" t="s">
        <v>3047</v>
      </c>
      <c r="C969" s="3" t="s">
        <v>1074</v>
      </c>
      <c r="D969" s="4" t="s">
        <v>3048</v>
      </c>
      <c r="E969" s="3" t="s">
        <v>1076</v>
      </c>
      <c r="F969" s="3" t="s">
        <v>1077</v>
      </c>
      <c r="G969" s="3"/>
      <c r="H969" s="4" t="s">
        <v>1308</v>
      </c>
    </row>
    <row r="970" ht="16.5" customHeight="1" spans="1:8">
      <c r="A970" s="3">
        <v>969</v>
      </c>
      <c r="B970" s="3" t="s">
        <v>3049</v>
      </c>
      <c r="C970" s="3" t="s">
        <v>1074</v>
      </c>
      <c r="D970" s="4" t="s">
        <v>3050</v>
      </c>
      <c r="E970" s="3" t="s">
        <v>1076</v>
      </c>
      <c r="F970" s="3" t="s">
        <v>1077</v>
      </c>
      <c r="G970" s="3"/>
      <c r="H970" s="4" t="s">
        <v>1308</v>
      </c>
    </row>
    <row r="971" ht="16.5" customHeight="1" spans="1:8">
      <c r="A971" s="3">
        <v>970</v>
      </c>
      <c r="B971" s="3" t="s">
        <v>3051</v>
      </c>
      <c r="C971" s="3" t="s">
        <v>1074</v>
      </c>
      <c r="D971" s="4" t="s">
        <v>3052</v>
      </c>
      <c r="E971" s="3" t="s">
        <v>1076</v>
      </c>
      <c r="F971" s="3" t="s">
        <v>1077</v>
      </c>
      <c r="G971" s="3"/>
      <c r="H971" s="4" t="s">
        <v>1308</v>
      </c>
    </row>
    <row r="972" ht="16.5" customHeight="1" spans="1:8">
      <c r="A972" s="3">
        <v>971</v>
      </c>
      <c r="B972" s="3" t="s">
        <v>3053</v>
      </c>
      <c r="C972" s="3" t="s">
        <v>1074</v>
      </c>
      <c r="D972" s="4" t="s">
        <v>3054</v>
      </c>
      <c r="E972" s="3" t="s">
        <v>1076</v>
      </c>
      <c r="F972" s="3" t="s">
        <v>1077</v>
      </c>
      <c r="G972" s="3"/>
      <c r="H972" s="4" t="s">
        <v>1308</v>
      </c>
    </row>
    <row r="973" ht="16.5" customHeight="1" spans="1:8">
      <c r="A973" s="3">
        <v>972</v>
      </c>
      <c r="B973" s="3" t="s">
        <v>3055</v>
      </c>
      <c r="C973" s="3" t="s">
        <v>1074</v>
      </c>
      <c r="D973" s="4" t="s">
        <v>3056</v>
      </c>
      <c r="E973" s="3" t="s">
        <v>1076</v>
      </c>
      <c r="F973" s="3" t="s">
        <v>1077</v>
      </c>
      <c r="G973" s="3"/>
      <c r="H973" s="4" t="s">
        <v>1308</v>
      </c>
    </row>
    <row r="974" ht="16.5" customHeight="1" spans="1:8">
      <c r="A974" s="3">
        <v>973</v>
      </c>
      <c r="B974" s="3" t="s">
        <v>3057</v>
      </c>
      <c r="C974" s="3" t="s">
        <v>1074</v>
      </c>
      <c r="D974" s="4" t="s">
        <v>3058</v>
      </c>
      <c r="E974" s="3" t="s">
        <v>1076</v>
      </c>
      <c r="F974" s="3" t="s">
        <v>1077</v>
      </c>
      <c r="G974" s="3"/>
      <c r="H974" s="4" t="s">
        <v>1308</v>
      </c>
    </row>
    <row r="975" ht="16.5" customHeight="1" spans="1:8">
      <c r="A975" s="3">
        <v>974</v>
      </c>
      <c r="B975" s="3" t="s">
        <v>3059</v>
      </c>
      <c r="C975" s="3" t="s">
        <v>1074</v>
      </c>
      <c r="D975" s="4" t="s">
        <v>3060</v>
      </c>
      <c r="E975" s="3" t="s">
        <v>1076</v>
      </c>
      <c r="F975" s="3" t="s">
        <v>1077</v>
      </c>
      <c r="G975" s="3"/>
      <c r="H975" s="4" t="s">
        <v>1308</v>
      </c>
    </row>
    <row r="976" ht="16.5" customHeight="1" spans="1:8">
      <c r="A976" s="3">
        <v>975</v>
      </c>
      <c r="B976" s="3" t="s">
        <v>3061</v>
      </c>
      <c r="C976" s="3" t="s">
        <v>1074</v>
      </c>
      <c r="D976" s="4" t="s">
        <v>3062</v>
      </c>
      <c r="E976" s="3" t="s">
        <v>1076</v>
      </c>
      <c r="F976" s="3" t="s">
        <v>1077</v>
      </c>
      <c r="G976" s="3"/>
      <c r="H976" s="4" t="s">
        <v>1308</v>
      </c>
    </row>
    <row r="977" ht="16.5" customHeight="1" spans="1:8">
      <c r="A977" s="3">
        <v>976</v>
      </c>
      <c r="B977" s="3" t="s">
        <v>3063</v>
      </c>
      <c r="C977" s="3" t="s">
        <v>1074</v>
      </c>
      <c r="D977" s="4" t="s">
        <v>3064</v>
      </c>
      <c r="E977" s="3" t="s">
        <v>1076</v>
      </c>
      <c r="F977" s="3" t="s">
        <v>1077</v>
      </c>
      <c r="G977" s="3"/>
      <c r="H977" s="4" t="s">
        <v>1308</v>
      </c>
    </row>
    <row r="978" ht="16.5" customHeight="1" spans="1:8">
      <c r="A978" s="3">
        <v>977</v>
      </c>
      <c r="B978" s="3" t="s">
        <v>3065</v>
      </c>
      <c r="C978" s="3" t="s">
        <v>1074</v>
      </c>
      <c r="D978" s="4" t="s">
        <v>3066</v>
      </c>
      <c r="E978" s="3" t="s">
        <v>1076</v>
      </c>
      <c r="F978" s="3" t="s">
        <v>1077</v>
      </c>
      <c r="G978" s="3"/>
      <c r="H978" s="4" t="s">
        <v>1308</v>
      </c>
    </row>
    <row r="979" ht="16.5" customHeight="1" spans="1:8">
      <c r="A979" s="3">
        <v>978</v>
      </c>
      <c r="B979" s="3" t="s">
        <v>3067</v>
      </c>
      <c r="C979" s="3" t="s">
        <v>1074</v>
      </c>
      <c r="D979" s="4" t="s">
        <v>3068</v>
      </c>
      <c r="E979" s="3" t="s">
        <v>1076</v>
      </c>
      <c r="F979" s="3" t="s">
        <v>1077</v>
      </c>
      <c r="G979" s="3"/>
      <c r="H979" s="4" t="s">
        <v>1308</v>
      </c>
    </row>
    <row r="980" ht="16.5" customHeight="1" spans="1:8">
      <c r="A980" s="3">
        <v>979</v>
      </c>
      <c r="B980" s="3" t="s">
        <v>3069</v>
      </c>
      <c r="C980" s="3" t="s">
        <v>1074</v>
      </c>
      <c r="D980" s="4" t="s">
        <v>3070</v>
      </c>
      <c r="E980" s="3" t="s">
        <v>1076</v>
      </c>
      <c r="F980" s="3" t="s">
        <v>1077</v>
      </c>
      <c r="G980" s="3"/>
      <c r="H980" s="4" t="s">
        <v>1308</v>
      </c>
    </row>
    <row r="981" ht="16.5" customHeight="1" spans="1:8">
      <c r="A981" s="3">
        <v>980</v>
      </c>
      <c r="B981" s="3" t="s">
        <v>3071</v>
      </c>
      <c r="C981" s="3" t="s">
        <v>1074</v>
      </c>
      <c r="D981" s="4" t="s">
        <v>3072</v>
      </c>
      <c r="E981" s="3" t="s">
        <v>1076</v>
      </c>
      <c r="F981" s="3" t="s">
        <v>1077</v>
      </c>
      <c r="G981" s="3"/>
      <c r="H981" s="4" t="s">
        <v>1390</v>
      </c>
    </row>
    <row r="982" ht="16.5" customHeight="1" spans="1:8">
      <c r="A982" s="3">
        <v>981</v>
      </c>
      <c r="B982" s="3" t="s">
        <v>3073</v>
      </c>
      <c r="C982" s="3" t="s">
        <v>1074</v>
      </c>
      <c r="D982" s="4" t="s">
        <v>3074</v>
      </c>
      <c r="E982" s="3" t="s">
        <v>1076</v>
      </c>
      <c r="F982" s="3" t="s">
        <v>1077</v>
      </c>
      <c r="G982" s="3"/>
      <c r="H982" s="4" t="s">
        <v>1390</v>
      </c>
    </row>
    <row r="983" ht="16.5" customHeight="1" spans="1:8">
      <c r="A983" s="3">
        <v>982</v>
      </c>
      <c r="B983" s="3" t="s">
        <v>3075</v>
      </c>
      <c r="C983" s="3" t="s">
        <v>1074</v>
      </c>
      <c r="D983" s="4" t="s">
        <v>3076</v>
      </c>
      <c r="E983" s="3" t="s">
        <v>1076</v>
      </c>
      <c r="F983" s="3" t="s">
        <v>1077</v>
      </c>
      <c r="G983" s="3"/>
      <c r="H983" s="4" t="s">
        <v>1390</v>
      </c>
    </row>
    <row r="984" ht="16.5" customHeight="1" spans="1:8">
      <c r="A984" s="3">
        <v>983</v>
      </c>
      <c r="B984" s="3" t="s">
        <v>3077</v>
      </c>
      <c r="C984" s="3" t="s">
        <v>1074</v>
      </c>
      <c r="D984" s="4" t="s">
        <v>3078</v>
      </c>
      <c r="E984" s="3" t="s">
        <v>1076</v>
      </c>
      <c r="F984" s="3" t="s">
        <v>1077</v>
      </c>
      <c r="G984" s="3"/>
      <c r="H984" s="4" t="s">
        <v>1390</v>
      </c>
    </row>
    <row r="985" ht="16.5" customHeight="1" spans="1:8">
      <c r="A985" s="3">
        <v>984</v>
      </c>
      <c r="B985" s="3" t="s">
        <v>3079</v>
      </c>
      <c r="C985" s="3" t="s">
        <v>1074</v>
      </c>
      <c r="D985" s="4" t="s">
        <v>3080</v>
      </c>
      <c r="E985" s="3" t="s">
        <v>1076</v>
      </c>
      <c r="F985" s="3" t="s">
        <v>1077</v>
      </c>
      <c r="G985" s="3"/>
      <c r="H985" s="4" t="s">
        <v>1390</v>
      </c>
    </row>
    <row r="986" ht="16.5" customHeight="1" spans="1:8">
      <c r="A986" s="3">
        <v>985</v>
      </c>
      <c r="B986" s="3" t="s">
        <v>3081</v>
      </c>
      <c r="C986" s="3" t="s">
        <v>1074</v>
      </c>
      <c r="D986" s="4" t="s">
        <v>3082</v>
      </c>
      <c r="E986" s="3" t="s">
        <v>1076</v>
      </c>
      <c r="F986" s="3" t="s">
        <v>1077</v>
      </c>
      <c r="G986" s="3"/>
      <c r="H986" s="4" t="s">
        <v>1390</v>
      </c>
    </row>
    <row r="987" ht="16.5" customHeight="1" spans="1:8">
      <c r="A987" s="3">
        <v>986</v>
      </c>
      <c r="B987" s="3" t="s">
        <v>3083</v>
      </c>
      <c r="C987" s="3" t="s">
        <v>1074</v>
      </c>
      <c r="D987" s="4" t="s">
        <v>3084</v>
      </c>
      <c r="E987" s="3" t="s">
        <v>1076</v>
      </c>
      <c r="F987" s="3" t="s">
        <v>1077</v>
      </c>
      <c r="G987" s="3"/>
      <c r="H987" s="4" t="s">
        <v>1390</v>
      </c>
    </row>
    <row r="988" ht="16.5" customHeight="1" spans="1:8">
      <c r="A988" s="3">
        <v>987</v>
      </c>
      <c r="B988" s="3" t="s">
        <v>3085</v>
      </c>
      <c r="C988" s="3" t="s">
        <v>1074</v>
      </c>
      <c r="D988" s="4" t="s">
        <v>3086</v>
      </c>
      <c r="E988" s="3" t="s">
        <v>1076</v>
      </c>
      <c r="F988" s="3" t="s">
        <v>1077</v>
      </c>
      <c r="G988" s="3"/>
      <c r="H988" s="4" t="s">
        <v>1390</v>
      </c>
    </row>
    <row r="989" ht="16.5" customHeight="1" spans="1:8">
      <c r="A989" s="3">
        <v>988</v>
      </c>
      <c r="B989" s="3" t="s">
        <v>3087</v>
      </c>
      <c r="C989" s="3" t="s">
        <v>1074</v>
      </c>
      <c r="D989" s="4" t="s">
        <v>3088</v>
      </c>
      <c r="E989" s="3" t="s">
        <v>1076</v>
      </c>
      <c r="F989" s="3" t="s">
        <v>1077</v>
      </c>
      <c r="G989" s="3"/>
      <c r="H989" s="4" t="s">
        <v>1390</v>
      </c>
    </row>
    <row r="990" ht="16.5" customHeight="1" spans="1:8">
      <c r="A990" s="3">
        <v>989</v>
      </c>
      <c r="B990" s="3" t="s">
        <v>3089</v>
      </c>
      <c r="C990" s="3" t="s">
        <v>1074</v>
      </c>
      <c r="D990" s="4" t="s">
        <v>3090</v>
      </c>
      <c r="E990" s="3" t="s">
        <v>1076</v>
      </c>
      <c r="F990" s="3" t="s">
        <v>1077</v>
      </c>
      <c r="G990" s="3"/>
      <c r="H990" s="4" t="s">
        <v>1390</v>
      </c>
    </row>
    <row r="991" ht="16.5" customHeight="1" spans="1:8">
      <c r="A991" s="3">
        <v>990</v>
      </c>
      <c r="B991" s="3" t="s">
        <v>3091</v>
      </c>
      <c r="C991" s="3" t="s">
        <v>2163</v>
      </c>
      <c r="D991" s="4" t="s">
        <v>3092</v>
      </c>
      <c r="E991" s="3" t="s">
        <v>3093</v>
      </c>
      <c r="F991" s="3" t="s">
        <v>2041</v>
      </c>
      <c r="G991" s="3" t="s">
        <v>321</v>
      </c>
      <c r="H991" s="4" t="s">
        <v>1368</v>
      </c>
    </row>
    <row r="992" ht="16.5" customHeight="1" spans="1:8">
      <c r="A992" s="3">
        <v>991</v>
      </c>
      <c r="B992" s="3" t="s">
        <v>3094</v>
      </c>
      <c r="C992" s="3" t="s">
        <v>2163</v>
      </c>
      <c r="D992" s="4" t="s">
        <v>3095</v>
      </c>
      <c r="E992" s="3" t="s">
        <v>1076</v>
      </c>
      <c r="F992" s="3" t="s">
        <v>2041</v>
      </c>
      <c r="G992" s="3" t="s">
        <v>321</v>
      </c>
      <c r="H992" s="4" t="s">
        <v>1368</v>
      </c>
    </row>
    <row r="993" ht="16.5" customHeight="1" spans="1:8">
      <c r="A993" s="3">
        <v>992</v>
      </c>
      <c r="B993" s="3" t="s">
        <v>3096</v>
      </c>
      <c r="C993" s="3" t="s">
        <v>2163</v>
      </c>
      <c r="D993" s="4" t="s">
        <v>3097</v>
      </c>
      <c r="E993" s="3" t="s">
        <v>1076</v>
      </c>
      <c r="F993" s="3" t="s">
        <v>2041</v>
      </c>
      <c r="G993" s="3" t="s">
        <v>321</v>
      </c>
      <c r="H993" s="4" t="s">
        <v>1368</v>
      </c>
    </row>
    <row r="994" ht="16.5" customHeight="1" spans="1:8">
      <c r="A994" s="3">
        <v>993</v>
      </c>
      <c r="B994" s="3" t="s">
        <v>3098</v>
      </c>
      <c r="C994" s="3" t="s">
        <v>1105</v>
      </c>
      <c r="D994" s="4" t="s">
        <v>3099</v>
      </c>
      <c r="E994" s="3" t="s">
        <v>1076</v>
      </c>
      <c r="F994" s="3" t="s">
        <v>1350</v>
      </c>
      <c r="G994" s="3" t="s">
        <v>321</v>
      </c>
      <c r="H994" s="4" t="s">
        <v>1880</v>
      </c>
    </row>
    <row r="995" ht="16.5" customHeight="1" spans="1:8">
      <c r="A995" s="3">
        <v>994</v>
      </c>
      <c r="B995" s="3" t="s">
        <v>3100</v>
      </c>
      <c r="C995" s="3" t="s">
        <v>2163</v>
      </c>
      <c r="D995" s="4" t="s">
        <v>3101</v>
      </c>
      <c r="E995" s="3" t="s">
        <v>1076</v>
      </c>
      <c r="F995" s="3" t="s">
        <v>2105</v>
      </c>
      <c r="G995" s="3" t="s">
        <v>321</v>
      </c>
      <c r="H995" s="4" t="s">
        <v>1095</v>
      </c>
    </row>
    <row r="996" ht="16.5" customHeight="1" spans="1:8">
      <c r="A996" s="3">
        <v>995</v>
      </c>
      <c r="B996" s="3" t="s">
        <v>3102</v>
      </c>
      <c r="C996" s="3" t="s">
        <v>1105</v>
      </c>
      <c r="D996" s="4" t="s">
        <v>3103</v>
      </c>
      <c r="E996" s="3" t="s">
        <v>1076</v>
      </c>
      <c r="F996" s="3" t="s">
        <v>3104</v>
      </c>
      <c r="G996" s="3" t="s">
        <v>321</v>
      </c>
      <c r="H996" s="4" t="s">
        <v>1335</v>
      </c>
    </row>
    <row r="997" ht="16.5" customHeight="1" spans="1:8">
      <c r="A997" s="3">
        <v>996</v>
      </c>
      <c r="B997" s="3" t="s">
        <v>3105</v>
      </c>
      <c r="C997" s="3" t="s">
        <v>1074</v>
      </c>
      <c r="D997" s="4" t="s">
        <v>3106</v>
      </c>
      <c r="E997" s="3" t="s">
        <v>1076</v>
      </c>
      <c r="F997" s="3" t="s">
        <v>3104</v>
      </c>
      <c r="G997" s="3" t="s">
        <v>321</v>
      </c>
      <c r="H997" s="4" t="s">
        <v>2181</v>
      </c>
    </row>
    <row r="998" ht="16.5" customHeight="1" spans="1:8">
      <c r="A998" s="3">
        <v>997</v>
      </c>
      <c r="B998" s="3" t="s">
        <v>3107</v>
      </c>
      <c r="C998" s="3" t="s">
        <v>2163</v>
      </c>
      <c r="D998" s="4" t="s">
        <v>3108</v>
      </c>
      <c r="E998" s="3" t="s">
        <v>1076</v>
      </c>
      <c r="F998" s="3" t="s">
        <v>2041</v>
      </c>
      <c r="G998" s="3" t="s">
        <v>321</v>
      </c>
      <c r="H998" s="4" t="s">
        <v>1368</v>
      </c>
    </row>
    <row r="999" ht="16.5" customHeight="1" spans="1:8">
      <c r="A999" s="3">
        <v>998</v>
      </c>
      <c r="B999" s="3" t="s">
        <v>3109</v>
      </c>
      <c r="C999" s="3" t="s">
        <v>1105</v>
      </c>
      <c r="D999" s="4" t="s">
        <v>3103</v>
      </c>
      <c r="E999" s="3" t="s">
        <v>1076</v>
      </c>
      <c r="F999" s="3" t="s">
        <v>3104</v>
      </c>
      <c r="G999" s="3" t="s">
        <v>321</v>
      </c>
      <c r="H999" s="4" t="s">
        <v>3110</v>
      </c>
    </row>
    <row r="1000" ht="16.5" customHeight="1" spans="1:8">
      <c r="A1000" s="3">
        <v>999</v>
      </c>
      <c r="B1000" s="3" t="s">
        <v>3111</v>
      </c>
      <c r="C1000" s="3" t="s">
        <v>1105</v>
      </c>
      <c r="D1000" s="4" t="s">
        <v>3112</v>
      </c>
      <c r="E1000" s="3" t="s">
        <v>1076</v>
      </c>
      <c r="F1000" s="3" t="s">
        <v>3104</v>
      </c>
      <c r="G1000" s="3" t="s">
        <v>321</v>
      </c>
      <c r="H1000" s="4" t="s">
        <v>3110</v>
      </c>
    </row>
    <row r="1001" ht="16.5" customHeight="1" spans="1:8">
      <c r="A1001" s="3">
        <v>1000</v>
      </c>
      <c r="B1001" s="3" t="s">
        <v>3113</v>
      </c>
      <c r="C1001" s="3" t="s">
        <v>1105</v>
      </c>
      <c r="D1001" s="4" t="s">
        <v>3114</v>
      </c>
      <c r="E1001" s="3" t="s">
        <v>1076</v>
      </c>
      <c r="F1001" s="3" t="s">
        <v>1077</v>
      </c>
      <c r="G1001" s="3" t="s">
        <v>321</v>
      </c>
      <c r="H1001" s="4" t="s">
        <v>3115</v>
      </c>
    </row>
    <row r="1002" ht="16.5" customHeight="1" spans="1:8">
      <c r="A1002" s="3">
        <v>1001</v>
      </c>
      <c r="B1002" s="3" t="s">
        <v>3116</v>
      </c>
      <c r="C1002" s="3" t="s">
        <v>2163</v>
      </c>
      <c r="D1002" s="4" t="s">
        <v>3117</v>
      </c>
      <c r="E1002" s="3" t="s">
        <v>1076</v>
      </c>
      <c r="F1002" s="3" t="s">
        <v>2105</v>
      </c>
      <c r="G1002" s="3" t="s">
        <v>321</v>
      </c>
      <c r="H1002" s="4" t="s">
        <v>1390</v>
      </c>
    </row>
    <row r="1003" ht="16.5" customHeight="1" spans="1:8">
      <c r="A1003" s="3">
        <v>1002</v>
      </c>
      <c r="B1003" s="3" t="s">
        <v>3118</v>
      </c>
      <c r="C1003" s="3" t="s">
        <v>2163</v>
      </c>
      <c r="D1003" s="4" t="s">
        <v>3119</v>
      </c>
      <c r="E1003" s="3" t="s">
        <v>1076</v>
      </c>
      <c r="F1003" s="3" t="s">
        <v>2105</v>
      </c>
      <c r="G1003" s="3" t="s">
        <v>321</v>
      </c>
      <c r="H1003" s="4" t="s">
        <v>1390</v>
      </c>
    </row>
    <row r="1004" ht="16.5" customHeight="1" spans="1:8">
      <c r="A1004" s="3">
        <v>1003</v>
      </c>
      <c r="B1004" s="3" t="s">
        <v>3120</v>
      </c>
      <c r="C1004" s="3" t="s">
        <v>2163</v>
      </c>
      <c r="D1004" s="4" t="s">
        <v>3121</v>
      </c>
      <c r="E1004" s="3" t="s">
        <v>1076</v>
      </c>
      <c r="F1004" s="3" t="s">
        <v>2105</v>
      </c>
      <c r="G1004" s="3" t="s">
        <v>321</v>
      </c>
      <c r="H1004" s="4" t="s">
        <v>1390</v>
      </c>
    </row>
    <row r="1005" ht="16.5" customHeight="1" spans="1:8">
      <c r="A1005" s="3">
        <v>1004</v>
      </c>
      <c r="B1005" s="3" t="s">
        <v>3122</v>
      </c>
      <c r="C1005" s="3" t="s">
        <v>2163</v>
      </c>
      <c r="D1005" s="4" t="s">
        <v>3123</v>
      </c>
      <c r="E1005" s="3" t="s">
        <v>1076</v>
      </c>
      <c r="F1005" s="3" t="s">
        <v>2105</v>
      </c>
      <c r="G1005" s="3" t="s">
        <v>321</v>
      </c>
      <c r="H1005" s="4" t="s">
        <v>1390</v>
      </c>
    </row>
    <row r="1006" ht="16.5" customHeight="1" spans="1:8">
      <c r="A1006" s="3">
        <v>1005</v>
      </c>
      <c r="B1006" s="3" t="s">
        <v>3124</v>
      </c>
      <c r="C1006" s="3" t="s">
        <v>1105</v>
      </c>
      <c r="D1006" s="4" t="s">
        <v>3125</v>
      </c>
      <c r="E1006" s="3" t="s">
        <v>1076</v>
      </c>
      <c r="F1006" s="3" t="s">
        <v>1350</v>
      </c>
      <c r="G1006" s="3" t="s">
        <v>321</v>
      </c>
      <c r="H1006" s="4" t="s">
        <v>2329</v>
      </c>
    </row>
    <row r="1007" ht="16.5" customHeight="1" spans="1:8">
      <c r="A1007" s="3">
        <v>1006</v>
      </c>
      <c r="B1007" s="3" t="s">
        <v>3126</v>
      </c>
      <c r="C1007" s="3" t="s">
        <v>1105</v>
      </c>
      <c r="D1007" s="4" t="s">
        <v>3127</v>
      </c>
      <c r="E1007" s="3" t="s">
        <v>1076</v>
      </c>
      <c r="F1007" s="3" t="s">
        <v>3128</v>
      </c>
      <c r="G1007" s="3" t="s">
        <v>321</v>
      </c>
      <c r="H1007" s="4" t="s">
        <v>1107</v>
      </c>
    </row>
    <row r="1008" ht="16.5" customHeight="1" spans="1:8">
      <c r="A1008" s="3">
        <v>1007</v>
      </c>
      <c r="B1008" s="3" t="s">
        <v>3129</v>
      </c>
      <c r="C1008" s="3" t="s">
        <v>1361</v>
      </c>
      <c r="D1008" s="4" t="s">
        <v>3130</v>
      </c>
      <c r="E1008" s="3" t="s">
        <v>1218</v>
      </c>
      <c r="F1008" s="3" t="s">
        <v>2105</v>
      </c>
      <c r="G1008" s="3" t="s">
        <v>321</v>
      </c>
      <c r="H1008" s="4"/>
    </row>
    <row r="1009" ht="16.5" customHeight="1" spans="1:8">
      <c r="A1009" s="3">
        <v>1008</v>
      </c>
      <c r="B1009" s="3" t="s">
        <v>3131</v>
      </c>
      <c r="C1009" s="3" t="s">
        <v>1105</v>
      </c>
      <c r="D1009" s="4" t="s">
        <v>3132</v>
      </c>
      <c r="E1009" s="3" t="s">
        <v>1076</v>
      </c>
      <c r="F1009" s="3" t="s">
        <v>3128</v>
      </c>
      <c r="G1009" s="3" t="s">
        <v>321</v>
      </c>
      <c r="H1009" s="4" t="s">
        <v>1880</v>
      </c>
    </row>
    <row r="1010" ht="16.5" customHeight="1" spans="1:8">
      <c r="A1010" s="3">
        <v>1009</v>
      </c>
      <c r="B1010" s="3" t="s">
        <v>3133</v>
      </c>
      <c r="C1010" s="3" t="s">
        <v>1074</v>
      </c>
      <c r="D1010" s="4" t="s">
        <v>3134</v>
      </c>
      <c r="E1010" s="3" t="s">
        <v>1076</v>
      </c>
      <c r="F1010" s="3" t="s">
        <v>3128</v>
      </c>
      <c r="G1010" s="3" t="s">
        <v>321</v>
      </c>
      <c r="H1010" s="4" t="s">
        <v>1305</v>
      </c>
    </row>
    <row r="1011" ht="16.5" customHeight="1" spans="1:8">
      <c r="A1011" s="3">
        <v>1010</v>
      </c>
      <c r="B1011" s="3" t="s">
        <v>3135</v>
      </c>
      <c r="C1011" s="3" t="s">
        <v>1356</v>
      </c>
      <c r="D1011" s="4" t="s">
        <v>3134</v>
      </c>
      <c r="E1011" s="3" t="s">
        <v>1076</v>
      </c>
      <c r="F1011" s="3" t="s">
        <v>3128</v>
      </c>
      <c r="G1011" s="3" t="s">
        <v>321</v>
      </c>
      <c r="H1011" s="4" t="s">
        <v>1390</v>
      </c>
    </row>
    <row r="1012" ht="16.5" customHeight="1" spans="1:8">
      <c r="A1012" s="3">
        <v>1011</v>
      </c>
      <c r="B1012" s="3" t="s">
        <v>3136</v>
      </c>
      <c r="C1012" s="3" t="s">
        <v>1105</v>
      </c>
      <c r="D1012" s="4" t="s">
        <v>3134</v>
      </c>
      <c r="E1012" s="3" t="s">
        <v>1076</v>
      </c>
      <c r="F1012" s="3" t="s">
        <v>1077</v>
      </c>
      <c r="G1012" s="3" t="s">
        <v>321</v>
      </c>
      <c r="H1012" s="4" t="s">
        <v>3137</v>
      </c>
    </row>
    <row r="1013" ht="16.5" customHeight="1" spans="1:8">
      <c r="A1013" s="3">
        <v>1012</v>
      </c>
      <c r="B1013" s="3" t="s">
        <v>3138</v>
      </c>
      <c r="C1013" s="3" t="s">
        <v>1105</v>
      </c>
      <c r="D1013" s="4" t="s">
        <v>3139</v>
      </c>
      <c r="E1013" s="3" t="s">
        <v>1076</v>
      </c>
      <c r="F1013" s="3" t="s">
        <v>3128</v>
      </c>
      <c r="G1013" s="3" t="s">
        <v>321</v>
      </c>
      <c r="H1013" s="4" t="s">
        <v>2329</v>
      </c>
    </row>
    <row r="1014" ht="16.5" customHeight="1" spans="1:8">
      <c r="A1014" s="3">
        <v>1013</v>
      </c>
      <c r="B1014" s="3" t="s">
        <v>3140</v>
      </c>
      <c r="C1014" s="3" t="s">
        <v>1105</v>
      </c>
      <c r="D1014" s="4" t="s">
        <v>3139</v>
      </c>
      <c r="E1014" s="3" t="s">
        <v>1076</v>
      </c>
      <c r="F1014" s="3" t="s">
        <v>3128</v>
      </c>
      <c r="G1014" s="3" t="s">
        <v>321</v>
      </c>
      <c r="H1014" s="4" t="s">
        <v>1107</v>
      </c>
    </row>
    <row r="1015" ht="16.5" customHeight="1" spans="1:8">
      <c r="A1015" s="3">
        <v>1014</v>
      </c>
      <c r="B1015" s="3" t="s">
        <v>3141</v>
      </c>
      <c r="C1015" s="3" t="s">
        <v>2163</v>
      </c>
      <c r="D1015" s="4" t="s">
        <v>3142</v>
      </c>
      <c r="E1015" s="3" t="s">
        <v>1076</v>
      </c>
      <c r="F1015" s="3" t="s">
        <v>2041</v>
      </c>
      <c r="G1015" s="3" t="s">
        <v>321</v>
      </c>
      <c r="H1015" s="4" t="s">
        <v>2181</v>
      </c>
    </row>
    <row r="1016" ht="16.5" customHeight="1" spans="1:8">
      <c r="A1016" s="3">
        <v>1015</v>
      </c>
      <c r="B1016" s="3" t="s">
        <v>3143</v>
      </c>
      <c r="C1016" s="3" t="s">
        <v>2163</v>
      </c>
      <c r="D1016" s="4" t="s">
        <v>3144</v>
      </c>
      <c r="E1016" s="3" t="s">
        <v>1076</v>
      </c>
      <c r="F1016" s="3" t="s">
        <v>2041</v>
      </c>
      <c r="G1016" s="3" t="s">
        <v>321</v>
      </c>
      <c r="H1016" s="4" t="s">
        <v>2181</v>
      </c>
    </row>
    <row r="1017" ht="16.5" customHeight="1" spans="1:8">
      <c r="A1017" s="3">
        <v>1016</v>
      </c>
      <c r="B1017" s="3" t="s">
        <v>3145</v>
      </c>
      <c r="C1017" s="3" t="s">
        <v>2163</v>
      </c>
      <c r="D1017" s="4" t="s">
        <v>3146</v>
      </c>
      <c r="E1017" s="3" t="s">
        <v>1076</v>
      </c>
      <c r="F1017" s="3" t="s">
        <v>1358</v>
      </c>
      <c r="G1017" s="3" t="s">
        <v>321</v>
      </c>
      <c r="H1017" s="4" t="s">
        <v>2181</v>
      </c>
    </row>
    <row r="1018" ht="16.5" customHeight="1" spans="1:8">
      <c r="A1018" s="3">
        <v>1017</v>
      </c>
      <c r="B1018" s="3" t="s">
        <v>3147</v>
      </c>
      <c r="C1018" s="3" t="s">
        <v>2163</v>
      </c>
      <c r="D1018" s="4" t="s">
        <v>3148</v>
      </c>
      <c r="E1018" s="3" t="s">
        <v>1076</v>
      </c>
      <c r="F1018" s="3" t="s">
        <v>1358</v>
      </c>
      <c r="G1018" s="3" t="s">
        <v>321</v>
      </c>
      <c r="H1018" s="4" t="s">
        <v>2181</v>
      </c>
    </row>
    <row r="1019" ht="16.5" customHeight="1" spans="1:8">
      <c r="A1019" s="3">
        <v>1018</v>
      </c>
      <c r="B1019" s="3" t="s">
        <v>3149</v>
      </c>
      <c r="C1019" s="3" t="s">
        <v>2163</v>
      </c>
      <c r="D1019" s="4" t="s">
        <v>3150</v>
      </c>
      <c r="E1019" s="3" t="s">
        <v>1076</v>
      </c>
      <c r="F1019" s="3" t="s">
        <v>1358</v>
      </c>
      <c r="G1019" s="3" t="s">
        <v>321</v>
      </c>
      <c r="H1019" s="4" t="s">
        <v>2181</v>
      </c>
    </row>
    <row r="1020" ht="16.5" customHeight="1" spans="1:8">
      <c r="A1020" s="3">
        <v>1019</v>
      </c>
      <c r="B1020" s="3" t="s">
        <v>3151</v>
      </c>
      <c r="C1020" s="3" t="s">
        <v>2163</v>
      </c>
      <c r="D1020" s="4" t="s">
        <v>3152</v>
      </c>
      <c r="E1020" s="3" t="s">
        <v>1076</v>
      </c>
      <c r="F1020" s="3" t="s">
        <v>2041</v>
      </c>
      <c r="G1020" s="3" t="s">
        <v>321</v>
      </c>
      <c r="H1020" s="4" t="s">
        <v>1368</v>
      </c>
    </row>
    <row r="1021" ht="16.5" customHeight="1" spans="1:8">
      <c r="A1021" s="3">
        <v>1020</v>
      </c>
      <c r="B1021" s="3" t="s">
        <v>3153</v>
      </c>
      <c r="C1021" s="3" t="s">
        <v>2163</v>
      </c>
      <c r="D1021" s="4" t="s">
        <v>3154</v>
      </c>
      <c r="E1021" s="3" t="s">
        <v>1076</v>
      </c>
      <c r="F1021" s="3" t="s">
        <v>2041</v>
      </c>
      <c r="G1021" s="3" t="s">
        <v>321</v>
      </c>
      <c r="H1021" s="4" t="s">
        <v>1368</v>
      </c>
    </row>
    <row r="1022" ht="16.5" customHeight="1" spans="1:8">
      <c r="A1022" s="3">
        <v>1021</v>
      </c>
      <c r="B1022" s="3" t="s">
        <v>3155</v>
      </c>
      <c r="C1022" s="3" t="s">
        <v>1105</v>
      </c>
      <c r="D1022" s="4" t="s">
        <v>3156</v>
      </c>
      <c r="E1022" s="3" t="s">
        <v>1076</v>
      </c>
      <c r="F1022" s="3" t="s">
        <v>1358</v>
      </c>
      <c r="G1022" s="3" t="s">
        <v>321</v>
      </c>
      <c r="H1022" s="4" t="s">
        <v>2019</v>
      </c>
    </row>
    <row r="1023" ht="16.5" customHeight="1" spans="1:8">
      <c r="A1023" s="3">
        <v>1022</v>
      </c>
      <c r="B1023" s="3" t="s">
        <v>3157</v>
      </c>
      <c r="C1023" s="3" t="s">
        <v>1356</v>
      </c>
      <c r="D1023" s="4" t="s">
        <v>3158</v>
      </c>
      <c r="E1023" s="3" t="s">
        <v>1076</v>
      </c>
      <c r="F1023" s="3" t="s">
        <v>1358</v>
      </c>
      <c r="G1023" s="3" t="s">
        <v>321</v>
      </c>
      <c r="H1023" s="4" t="s">
        <v>1308</v>
      </c>
    </row>
    <row r="1024" ht="16.5" customHeight="1" spans="1:8">
      <c r="A1024" s="3">
        <v>1023</v>
      </c>
      <c r="B1024" s="3" t="s">
        <v>3159</v>
      </c>
      <c r="C1024" s="3" t="s">
        <v>1105</v>
      </c>
      <c r="D1024" s="4" t="s">
        <v>3160</v>
      </c>
      <c r="E1024" s="3" t="s">
        <v>1076</v>
      </c>
      <c r="F1024" s="3" t="s">
        <v>1358</v>
      </c>
      <c r="G1024" s="3" t="s">
        <v>321</v>
      </c>
      <c r="H1024" s="4" t="s">
        <v>3161</v>
      </c>
    </row>
    <row r="1025" ht="16.5" customHeight="1" spans="1:8">
      <c r="A1025" s="3">
        <v>1024</v>
      </c>
      <c r="B1025" s="3" t="s">
        <v>3162</v>
      </c>
      <c r="C1025" s="3" t="s">
        <v>1105</v>
      </c>
      <c r="D1025" s="4" t="s">
        <v>3163</v>
      </c>
      <c r="E1025" s="3" t="s">
        <v>1076</v>
      </c>
      <c r="F1025" s="3" t="s">
        <v>1358</v>
      </c>
      <c r="G1025" s="3" t="s">
        <v>321</v>
      </c>
      <c r="H1025" s="4" t="s">
        <v>3161</v>
      </c>
    </row>
    <row r="1026" ht="16.5" customHeight="1" spans="1:8">
      <c r="A1026" s="3">
        <v>1025</v>
      </c>
      <c r="B1026" s="3" t="s">
        <v>3164</v>
      </c>
      <c r="C1026" s="3" t="s">
        <v>1105</v>
      </c>
      <c r="D1026" s="4" t="s">
        <v>3165</v>
      </c>
      <c r="E1026" s="3" t="s">
        <v>1076</v>
      </c>
      <c r="F1026" s="3" t="s">
        <v>1358</v>
      </c>
      <c r="G1026" s="3" t="s">
        <v>321</v>
      </c>
      <c r="H1026" s="4" t="s">
        <v>2033</v>
      </c>
    </row>
    <row r="1027" ht="16.5" customHeight="1" spans="1:8">
      <c r="A1027" s="3">
        <v>1026</v>
      </c>
      <c r="B1027" s="3" t="s">
        <v>3166</v>
      </c>
      <c r="C1027" s="3" t="s">
        <v>2163</v>
      </c>
      <c r="D1027" s="4" t="s">
        <v>3167</v>
      </c>
      <c r="E1027" s="3" t="s">
        <v>2263</v>
      </c>
      <c r="F1027" s="3" t="s">
        <v>2105</v>
      </c>
      <c r="G1027" s="3" t="s">
        <v>321</v>
      </c>
      <c r="H1027" s="4" t="s">
        <v>1095</v>
      </c>
    </row>
    <row r="1028" ht="16.5" customHeight="1" spans="1:8">
      <c r="A1028" s="3">
        <v>1027</v>
      </c>
      <c r="B1028" s="3" t="s">
        <v>3168</v>
      </c>
      <c r="C1028" s="3" t="s">
        <v>2163</v>
      </c>
      <c r="D1028" s="4" t="s">
        <v>3169</v>
      </c>
      <c r="E1028" s="3" t="s">
        <v>1076</v>
      </c>
      <c r="F1028" s="3" t="s">
        <v>2105</v>
      </c>
      <c r="G1028" s="3" t="s">
        <v>321</v>
      </c>
      <c r="H1028" s="4" t="s">
        <v>1095</v>
      </c>
    </row>
    <row r="1029" ht="16.5" customHeight="1" spans="1:8">
      <c r="A1029" s="3">
        <v>1028</v>
      </c>
      <c r="B1029" s="3" t="s">
        <v>3170</v>
      </c>
      <c r="C1029" s="3" t="s">
        <v>2163</v>
      </c>
      <c r="D1029" s="4" t="s">
        <v>3171</v>
      </c>
      <c r="E1029" s="3" t="s">
        <v>1076</v>
      </c>
      <c r="F1029" s="3" t="s">
        <v>2105</v>
      </c>
      <c r="G1029" s="3" t="s">
        <v>321</v>
      </c>
      <c r="H1029" s="4" t="s">
        <v>1095</v>
      </c>
    </row>
    <row r="1030" ht="16.5" customHeight="1" spans="1:8">
      <c r="A1030" s="3">
        <v>1029</v>
      </c>
      <c r="B1030" s="3" t="s">
        <v>3172</v>
      </c>
      <c r="C1030" s="3" t="s">
        <v>2163</v>
      </c>
      <c r="D1030" s="4" t="s">
        <v>3173</v>
      </c>
      <c r="E1030" s="3" t="s">
        <v>2263</v>
      </c>
      <c r="F1030" s="3" t="s">
        <v>2105</v>
      </c>
      <c r="G1030" s="3" t="s">
        <v>321</v>
      </c>
      <c r="H1030" s="4" t="s">
        <v>1095</v>
      </c>
    </row>
    <row r="1031" ht="16.5" customHeight="1" spans="1:8">
      <c r="A1031" s="3">
        <v>1030</v>
      </c>
      <c r="B1031" s="3" t="s">
        <v>3174</v>
      </c>
      <c r="C1031" s="3" t="s">
        <v>2163</v>
      </c>
      <c r="D1031" s="4" t="s">
        <v>3175</v>
      </c>
      <c r="E1031" s="3" t="s">
        <v>1076</v>
      </c>
      <c r="F1031" s="3" t="s">
        <v>2105</v>
      </c>
      <c r="G1031" s="3" t="s">
        <v>321</v>
      </c>
      <c r="H1031" s="4" t="s">
        <v>1095</v>
      </c>
    </row>
    <row r="1032" ht="16.5" customHeight="1" spans="1:8">
      <c r="A1032" s="3">
        <v>1031</v>
      </c>
      <c r="B1032" s="3" t="s">
        <v>3176</v>
      </c>
      <c r="C1032" s="3" t="s">
        <v>2163</v>
      </c>
      <c r="D1032" s="4" t="s">
        <v>3177</v>
      </c>
      <c r="E1032" s="3" t="s">
        <v>1076</v>
      </c>
      <c r="F1032" s="3" t="s">
        <v>2105</v>
      </c>
      <c r="G1032" s="3" t="s">
        <v>321</v>
      </c>
      <c r="H1032" s="4" t="s">
        <v>1095</v>
      </c>
    </row>
    <row r="1033" ht="16.5" customHeight="1" spans="1:8">
      <c r="A1033" s="3">
        <v>1032</v>
      </c>
      <c r="B1033" s="3" t="s">
        <v>3178</v>
      </c>
      <c r="C1033" s="3" t="s">
        <v>2163</v>
      </c>
      <c r="D1033" s="4" t="s">
        <v>3179</v>
      </c>
      <c r="E1033" s="3" t="s">
        <v>2726</v>
      </c>
      <c r="F1033" s="3" t="s">
        <v>2105</v>
      </c>
      <c r="G1033" s="3" t="s">
        <v>321</v>
      </c>
      <c r="H1033" s="4" t="s">
        <v>1095</v>
      </c>
    </row>
    <row r="1034" ht="16.5" customHeight="1" spans="1:8">
      <c r="A1034" s="3">
        <v>1033</v>
      </c>
      <c r="B1034" s="3" t="s">
        <v>3180</v>
      </c>
      <c r="C1034" s="3" t="s">
        <v>1356</v>
      </c>
      <c r="D1034" s="4" t="s">
        <v>3181</v>
      </c>
      <c r="E1034" s="3" t="s">
        <v>1076</v>
      </c>
      <c r="F1034" s="3" t="s">
        <v>1350</v>
      </c>
      <c r="G1034" s="3" t="s">
        <v>321</v>
      </c>
      <c r="H1034" s="4" t="s">
        <v>1305</v>
      </c>
    </row>
    <row r="1035" ht="16.5" customHeight="1" spans="1:8">
      <c r="A1035" s="3">
        <v>1034</v>
      </c>
      <c r="B1035" s="3" t="s">
        <v>3182</v>
      </c>
      <c r="C1035" s="3" t="s">
        <v>1105</v>
      </c>
      <c r="D1035" s="4" t="s">
        <v>3183</v>
      </c>
      <c r="E1035" s="3" t="s">
        <v>1076</v>
      </c>
      <c r="F1035" s="3" t="s">
        <v>1350</v>
      </c>
      <c r="G1035" s="3" t="s">
        <v>321</v>
      </c>
      <c r="H1035" s="4" t="s">
        <v>3184</v>
      </c>
    </row>
    <row r="1036" ht="16.5" customHeight="1" spans="1:8">
      <c r="A1036" s="3">
        <v>1035</v>
      </c>
      <c r="B1036" s="3" t="s">
        <v>3185</v>
      </c>
      <c r="C1036" s="3" t="s">
        <v>2163</v>
      </c>
      <c r="D1036" s="4" t="s">
        <v>3186</v>
      </c>
      <c r="E1036" s="3" t="s">
        <v>1076</v>
      </c>
      <c r="F1036" s="3" t="s">
        <v>2105</v>
      </c>
      <c r="G1036" s="3" t="s">
        <v>321</v>
      </c>
      <c r="H1036" s="4" t="s">
        <v>1308</v>
      </c>
    </row>
    <row r="1037" ht="16.5" customHeight="1" spans="1:8">
      <c r="A1037" s="3">
        <v>1036</v>
      </c>
      <c r="B1037" s="3" t="s">
        <v>3187</v>
      </c>
      <c r="C1037" s="3" t="s">
        <v>2163</v>
      </c>
      <c r="D1037" s="4" t="s">
        <v>3188</v>
      </c>
      <c r="E1037" s="3" t="s">
        <v>1076</v>
      </c>
      <c r="F1037" s="3" t="s">
        <v>2041</v>
      </c>
      <c r="G1037" s="3" t="s">
        <v>321</v>
      </c>
      <c r="H1037" s="4" t="s">
        <v>1308</v>
      </c>
    </row>
    <row r="1038" ht="16.5" customHeight="1" spans="1:8">
      <c r="A1038" s="3">
        <v>1037</v>
      </c>
      <c r="B1038" s="3" t="s">
        <v>3189</v>
      </c>
      <c r="C1038" s="3" t="s">
        <v>2163</v>
      </c>
      <c r="D1038" s="4" t="s">
        <v>3190</v>
      </c>
      <c r="E1038" s="3" t="s">
        <v>1076</v>
      </c>
      <c r="F1038" s="3" t="s">
        <v>2105</v>
      </c>
      <c r="G1038" s="3" t="s">
        <v>321</v>
      </c>
      <c r="H1038" s="4" t="s">
        <v>1305</v>
      </c>
    </row>
    <row r="1039" ht="16.5" customHeight="1" spans="1:8">
      <c r="A1039" s="3">
        <v>1038</v>
      </c>
      <c r="B1039" s="3" t="s">
        <v>3191</v>
      </c>
      <c r="C1039" s="3" t="s">
        <v>2163</v>
      </c>
      <c r="D1039" s="4" t="s">
        <v>3192</v>
      </c>
      <c r="E1039" s="3" t="s">
        <v>1076</v>
      </c>
      <c r="F1039" s="3" t="s">
        <v>2105</v>
      </c>
      <c r="G1039" s="3" t="s">
        <v>321</v>
      </c>
      <c r="H1039" s="4" t="s">
        <v>1095</v>
      </c>
    </row>
    <row r="1040" ht="16.5" customHeight="1" spans="1:8">
      <c r="A1040" s="3">
        <v>1039</v>
      </c>
      <c r="B1040" s="3" t="s">
        <v>3193</v>
      </c>
      <c r="C1040" s="3" t="s">
        <v>2163</v>
      </c>
      <c r="D1040" s="4" t="s">
        <v>3194</v>
      </c>
      <c r="E1040" s="3" t="s">
        <v>1076</v>
      </c>
      <c r="F1040" s="3" t="s">
        <v>2105</v>
      </c>
      <c r="G1040" s="3" t="s">
        <v>321</v>
      </c>
      <c r="H1040" s="4" t="s">
        <v>1368</v>
      </c>
    </row>
    <row r="1041" ht="16.5" customHeight="1" spans="1:8">
      <c r="A1041" s="3">
        <v>1040</v>
      </c>
      <c r="B1041" s="3" t="s">
        <v>3195</v>
      </c>
      <c r="C1041" s="3" t="s">
        <v>2163</v>
      </c>
      <c r="D1041" s="4" t="s">
        <v>3196</v>
      </c>
      <c r="E1041" s="3" t="s">
        <v>1076</v>
      </c>
      <c r="F1041" s="3" t="s">
        <v>1358</v>
      </c>
      <c r="G1041" s="3" t="s">
        <v>321</v>
      </c>
      <c r="H1041" s="4" t="s">
        <v>1308</v>
      </c>
    </row>
    <row r="1042" ht="16.5" customHeight="1" spans="1:8">
      <c r="A1042" s="3">
        <v>1041</v>
      </c>
      <c r="B1042" s="3" t="s">
        <v>3197</v>
      </c>
      <c r="C1042" s="3" t="s">
        <v>2163</v>
      </c>
      <c r="D1042" s="4" t="s">
        <v>3198</v>
      </c>
      <c r="E1042" s="3" t="s">
        <v>1076</v>
      </c>
      <c r="F1042" s="3" t="s">
        <v>2041</v>
      </c>
      <c r="G1042" s="3" t="s">
        <v>321</v>
      </c>
      <c r="H1042" s="4" t="s">
        <v>1308</v>
      </c>
    </row>
    <row r="1043" ht="16.5" customHeight="1" spans="1:8">
      <c r="A1043" s="3">
        <v>1042</v>
      </c>
      <c r="B1043" s="3" t="s">
        <v>3199</v>
      </c>
      <c r="C1043" s="3" t="s">
        <v>2163</v>
      </c>
      <c r="D1043" s="4" t="s">
        <v>3188</v>
      </c>
      <c r="E1043" s="3" t="s">
        <v>1076</v>
      </c>
      <c r="F1043" s="3" t="s">
        <v>2041</v>
      </c>
      <c r="G1043" s="3" t="s">
        <v>321</v>
      </c>
      <c r="H1043" s="4" t="s">
        <v>1308</v>
      </c>
    </row>
    <row r="1044" ht="16.5" customHeight="1" spans="1:8">
      <c r="A1044" s="3">
        <v>1043</v>
      </c>
      <c r="B1044" s="3" t="s">
        <v>3200</v>
      </c>
      <c r="C1044" s="3" t="s">
        <v>2163</v>
      </c>
      <c r="D1044" s="4" t="s">
        <v>3201</v>
      </c>
      <c r="E1044" s="3" t="s">
        <v>1076</v>
      </c>
      <c r="F1044" s="3" t="s">
        <v>2105</v>
      </c>
      <c r="G1044" s="3" t="s">
        <v>321</v>
      </c>
      <c r="H1044" s="4" t="s">
        <v>1359</v>
      </c>
    </row>
    <row r="1045" ht="16.5" customHeight="1" spans="1:8">
      <c r="A1045" s="3">
        <v>1044</v>
      </c>
      <c r="B1045" s="3" t="s">
        <v>3202</v>
      </c>
      <c r="C1045" s="3" t="s">
        <v>2163</v>
      </c>
      <c r="D1045" s="4" t="s">
        <v>3203</v>
      </c>
      <c r="E1045" s="3" t="s">
        <v>1076</v>
      </c>
      <c r="F1045" s="3" t="s">
        <v>2105</v>
      </c>
      <c r="G1045" s="3" t="s">
        <v>321</v>
      </c>
      <c r="H1045" s="4" t="s">
        <v>1359</v>
      </c>
    </row>
    <row r="1046" ht="16.5" customHeight="1" spans="1:8">
      <c r="A1046" s="3">
        <v>1045</v>
      </c>
      <c r="B1046" s="3" t="s">
        <v>3204</v>
      </c>
      <c r="C1046" s="3" t="s">
        <v>2163</v>
      </c>
      <c r="D1046" s="4" t="s">
        <v>3205</v>
      </c>
      <c r="E1046" s="3" t="s">
        <v>1076</v>
      </c>
      <c r="F1046" s="3" t="s">
        <v>2105</v>
      </c>
      <c r="G1046" s="3" t="s">
        <v>321</v>
      </c>
      <c r="H1046" s="4" t="s">
        <v>1359</v>
      </c>
    </row>
    <row r="1047" ht="16.5" customHeight="1" spans="1:8">
      <c r="A1047" s="3">
        <v>1046</v>
      </c>
      <c r="B1047" s="3" t="s">
        <v>3206</v>
      </c>
      <c r="C1047" s="3" t="s">
        <v>2163</v>
      </c>
      <c r="D1047" s="4" t="s">
        <v>3207</v>
      </c>
      <c r="E1047" s="3" t="s">
        <v>1076</v>
      </c>
      <c r="F1047" s="3" t="s">
        <v>2041</v>
      </c>
      <c r="G1047" s="3" t="s">
        <v>321</v>
      </c>
      <c r="H1047" s="4" t="s">
        <v>1095</v>
      </c>
    </row>
    <row r="1048" ht="16.5" customHeight="1" spans="1:8">
      <c r="A1048" s="3">
        <v>1047</v>
      </c>
      <c r="B1048" s="3" t="s">
        <v>3208</v>
      </c>
      <c r="C1048" s="3" t="s">
        <v>2163</v>
      </c>
      <c r="D1048" s="4" t="s">
        <v>3209</v>
      </c>
      <c r="E1048" s="3" t="s">
        <v>1076</v>
      </c>
      <c r="F1048" s="3" t="s">
        <v>2105</v>
      </c>
      <c r="G1048" s="3" t="s">
        <v>321</v>
      </c>
      <c r="H1048" s="4" t="s">
        <v>1368</v>
      </c>
    </row>
    <row r="1049" ht="16.5" customHeight="1" spans="1:8">
      <c r="A1049" s="3">
        <v>1048</v>
      </c>
      <c r="B1049" s="3" t="s">
        <v>3210</v>
      </c>
      <c r="C1049" s="3" t="s">
        <v>2163</v>
      </c>
      <c r="D1049" s="4" t="s">
        <v>3211</v>
      </c>
      <c r="E1049" s="3" t="s">
        <v>1076</v>
      </c>
      <c r="F1049" s="3" t="s">
        <v>1358</v>
      </c>
      <c r="G1049" s="3" t="s">
        <v>321</v>
      </c>
      <c r="H1049" s="4" t="s">
        <v>1095</v>
      </c>
    </row>
    <row r="1050" ht="16.5" customHeight="1" spans="1:8">
      <c r="A1050" s="3">
        <v>1049</v>
      </c>
      <c r="B1050" s="3" t="s">
        <v>3212</v>
      </c>
      <c r="C1050" s="3" t="s">
        <v>2163</v>
      </c>
      <c r="D1050" s="4" t="s">
        <v>3213</v>
      </c>
      <c r="E1050" s="3" t="s">
        <v>1076</v>
      </c>
      <c r="F1050" s="3" t="s">
        <v>2105</v>
      </c>
      <c r="G1050" s="3" t="s">
        <v>321</v>
      </c>
      <c r="H1050" s="4" t="s">
        <v>1308</v>
      </c>
    </row>
    <row r="1051" ht="16.5" customHeight="1" spans="1:8">
      <c r="A1051" s="3">
        <v>1050</v>
      </c>
      <c r="B1051" s="3" t="s">
        <v>3214</v>
      </c>
      <c r="C1051" s="3" t="s">
        <v>1361</v>
      </c>
      <c r="D1051" s="4" t="s">
        <v>3215</v>
      </c>
      <c r="E1051" s="3" t="s">
        <v>1218</v>
      </c>
      <c r="F1051" s="3" t="s">
        <v>2041</v>
      </c>
      <c r="G1051" s="3" t="s">
        <v>321</v>
      </c>
      <c r="H1051" s="4" t="s">
        <v>1308</v>
      </c>
    </row>
    <row r="1052" ht="16.5" customHeight="1" spans="1:8">
      <c r="A1052" s="3">
        <v>1051</v>
      </c>
      <c r="B1052" s="3" t="s">
        <v>3216</v>
      </c>
      <c r="C1052" s="3" t="s">
        <v>2163</v>
      </c>
      <c r="D1052" s="4" t="s">
        <v>3217</v>
      </c>
      <c r="E1052" s="3" t="s">
        <v>1076</v>
      </c>
      <c r="F1052" s="3" t="s">
        <v>2105</v>
      </c>
      <c r="G1052" s="3" t="s">
        <v>321</v>
      </c>
      <c r="H1052" s="4" t="s">
        <v>1095</v>
      </c>
    </row>
    <row r="1053" ht="16.5" customHeight="1" spans="1:8">
      <c r="A1053" s="3">
        <v>1052</v>
      </c>
      <c r="B1053" s="3" t="s">
        <v>3218</v>
      </c>
      <c r="C1053" s="3" t="s">
        <v>2163</v>
      </c>
      <c r="D1053" s="4" t="s">
        <v>3219</v>
      </c>
      <c r="E1053" s="3" t="s">
        <v>1076</v>
      </c>
      <c r="F1053" s="3" t="s">
        <v>2105</v>
      </c>
      <c r="G1053" s="3" t="s">
        <v>321</v>
      </c>
      <c r="H1053" s="4" t="s">
        <v>1095</v>
      </c>
    </row>
    <row r="1054" ht="16.5" customHeight="1" spans="1:8">
      <c r="A1054" s="3">
        <v>1053</v>
      </c>
      <c r="B1054" s="3" t="s">
        <v>3220</v>
      </c>
      <c r="C1054" s="3" t="s">
        <v>2163</v>
      </c>
      <c r="D1054" s="4" t="s">
        <v>3221</v>
      </c>
      <c r="E1054" s="3" t="s">
        <v>1076</v>
      </c>
      <c r="F1054" s="3" t="s">
        <v>2105</v>
      </c>
      <c r="G1054" s="3" t="s">
        <v>321</v>
      </c>
      <c r="H1054" s="4" t="s">
        <v>1359</v>
      </c>
    </row>
    <row r="1055" ht="16.5" customHeight="1" spans="1:8">
      <c r="A1055" s="3">
        <v>1054</v>
      </c>
      <c r="B1055" s="3" t="s">
        <v>3222</v>
      </c>
      <c r="C1055" s="3" t="s">
        <v>2163</v>
      </c>
      <c r="D1055" s="4" t="s">
        <v>3223</v>
      </c>
      <c r="E1055" s="3" t="s">
        <v>1076</v>
      </c>
      <c r="F1055" s="3" t="s">
        <v>2105</v>
      </c>
      <c r="G1055" s="3" t="s">
        <v>321</v>
      </c>
      <c r="H1055" s="4" t="s">
        <v>1305</v>
      </c>
    </row>
    <row r="1056" ht="16.5" customHeight="1" spans="1:8">
      <c r="A1056" s="3">
        <v>1055</v>
      </c>
      <c r="B1056" s="3" t="s">
        <v>3224</v>
      </c>
      <c r="C1056" s="3" t="s">
        <v>1074</v>
      </c>
      <c r="D1056" s="4" t="s">
        <v>3225</v>
      </c>
      <c r="E1056" s="3" t="s">
        <v>1076</v>
      </c>
      <c r="F1056" s="3" t="s">
        <v>1077</v>
      </c>
      <c r="G1056" s="3" t="s">
        <v>321</v>
      </c>
      <c r="H1056" s="4" t="s">
        <v>2181</v>
      </c>
    </row>
    <row r="1057" ht="16.5" customHeight="1" spans="1:8">
      <c r="A1057" s="3">
        <v>1056</v>
      </c>
      <c r="B1057" s="3" t="s">
        <v>3226</v>
      </c>
      <c r="C1057" s="3" t="s">
        <v>1074</v>
      </c>
      <c r="D1057" s="4" t="s">
        <v>3227</v>
      </c>
      <c r="E1057" s="3" t="s">
        <v>1076</v>
      </c>
      <c r="F1057" s="3" t="s">
        <v>1077</v>
      </c>
      <c r="G1057" s="3" t="s">
        <v>321</v>
      </c>
      <c r="H1057" s="4" t="s">
        <v>1308</v>
      </c>
    </row>
    <row r="1058" ht="16.5" customHeight="1" spans="1:8">
      <c r="A1058" s="3">
        <v>1057</v>
      </c>
      <c r="B1058" s="3" t="s">
        <v>3228</v>
      </c>
      <c r="C1058" s="3" t="s">
        <v>1105</v>
      </c>
      <c r="D1058" s="4" t="s">
        <v>3225</v>
      </c>
      <c r="E1058" s="3" t="s">
        <v>1076</v>
      </c>
      <c r="F1058" s="3" t="s">
        <v>1077</v>
      </c>
      <c r="G1058" s="3" t="s">
        <v>321</v>
      </c>
      <c r="H1058" s="4" t="s">
        <v>3229</v>
      </c>
    </row>
    <row r="1059" ht="16.5" customHeight="1" spans="1:8">
      <c r="A1059" s="3">
        <v>1058</v>
      </c>
      <c r="B1059" s="3" t="s">
        <v>3230</v>
      </c>
      <c r="C1059" s="3" t="s">
        <v>2163</v>
      </c>
      <c r="D1059" s="4" t="s">
        <v>3231</v>
      </c>
      <c r="E1059" s="3" t="s">
        <v>1076</v>
      </c>
      <c r="F1059" s="3" t="s">
        <v>2105</v>
      </c>
      <c r="G1059" s="3" t="s">
        <v>321</v>
      </c>
      <c r="H1059" s="4" t="s">
        <v>1095</v>
      </c>
    </row>
    <row r="1060" ht="16.5" customHeight="1" spans="1:8">
      <c r="A1060" s="3">
        <v>1059</v>
      </c>
      <c r="B1060" s="3" t="s">
        <v>3232</v>
      </c>
      <c r="C1060" s="3" t="s">
        <v>1356</v>
      </c>
      <c r="D1060" s="4" t="s">
        <v>3233</v>
      </c>
      <c r="E1060" s="3" t="s">
        <v>1076</v>
      </c>
      <c r="F1060" s="3" t="s">
        <v>1358</v>
      </c>
      <c r="G1060" s="3" t="s">
        <v>321</v>
      </c>
      <c r="H1060" s="4" t="s">
        <v>1308</v>
      </c>
    </row>
    <row r="1061" ht="16.5" customHeight="1" spans="1:8">
      <c r="A1061" s="3">
        <v>1060</v>
      </c>
      <c r="B1061" s="3" t="s">
        <v>3234</v>
      </c>
      <c r="C1061" s="3" t="s">
        <v>1356</v>
      </c>
      <c r="D1061" s="4" t="s">
        <v>3235</v>
      </c>
      <c r="E1061" s="3" t="s">
        <v>1076</v>
      </c>
      <c r="F1061" s="3" t="s">
        <v>1358</v>
      </c>
      <c r="G1061" s="3" t="s">
        <v>321</v>
      </c>
      <c r="H1061" s="4" t="s">
        <v>1308</v>
      </c>
    </row>
    <row r="1062" ht="16.5" customHeight="1" spans="1:8">
      <c r="A1062" s="3">
        <v>1061</v>
      </c>
      <c r="B1062" s="3" t="s">
        <v>3236</v>
      </c>
      <c r="C1062" s="3" t="s">
        <v>1356</v>
      </c>
      <c r="D1062" s="4" t="s">
        <v>3237</v>
      </c>
      <c r="E1062" s="3" t="s">
        <v>1076</v>
      </c>
      <c r="F1062" s="3" t="s">
        <v>1358</v>
      </c>
      <c r="G1062" s="3" t="s">
        <v>321</v>
      </c>
      <c r="H1062" s="4" t="s">
        <v>1368</v>
      </c>
    </row>
    <row r="1063" ht="16.5" customHeight="1" spans="1:8">
      <c r="A1063" s="3">
        <v>1062</v>
      </c>
      <c r="B1063" s="3" t="s">
        <v>3238</v>
      </c>
      <c r="C1063" s="3" t="s">
        <v>1356</v>
      </c>
      <c r="D1063" s="4" t="s">
        <v>3239</v>
      </c>
      <c r="E1063" s="3" t="s">
        <v>1076</v>
      </c>
      <c r="F1063" s="3" t="s">
        <v>1358</v>
      </c>
      <c r="G1063" s="3" t="s">
        <v>321</v>
      </c>
      <c r="H1063" s="4" t="s">
        <v>1095</v>
      </c>
    </row>
    <row r="1064" ht="16.5" customHeight="1" spans="1:8">
      <c r="A1064" s="3">
        <v>1063</v>
      </c>
      <c r="B1064" s="3" t="s">
        <v>3240</v>
      </c>
      <c r="C1064" s="3" t="s">
        <v>1356</v>
      </c>
      <c r="D1064" s="4" t="s">
        <v>3241</v>
      </c>
      <c r="E1064" s="3" t="s">
        <v>1076</v>
      </c>
      <c r="F1064" s="3" t="s">
        <v>1358</v>
      </c>
      <c r="G1064" s="3" t="s">
        <v>321</v>
      </c>
      <c r="H1064" s="4" t="s">
        <v>1308</v>
      </c>
    </row>
    <row r="1065" ht="16.5" customHeight="1" spans="1:8">
      <c r="A1065" s="3">
        <v>1064</v>
      </c>
      <c r="B1065" s="3" t="s">
        <v>3242</v>
      </c>
      <c r="C1065" s="3" t="s">
        <v>1356</v>
      </c>
      <c r="D1065" s="4" t="s">
        <v>3243</v>
      </c>
      <c r="E1065" s="3" t="s">
        <v>1076</v>
      </c>
      <c r="F1065" s="3" t="s">
        <v>1358</v>
      </c>
      <c r="G1065" s="3" t="s">
        <v>321</v>
      </c>
      <c r="H1065" s="4" t="s">
        <v>1308</v>
      </c>
    </row>
    <row r="1066" ht="16.5" customHeight="1" spans="1:8">
      <c r="A1066" s="3">
        <v>1065</v>
      </c>
      <c r="B1066" s="3" t="s">
        <v>3244</v>
      </c>
      <c r="C1066" s="3" t="s">
        <v>1356</v>
      </c>
      <c r="D1066" s="4" t="s">
        <v>3245</v>
      </c>
      <c r="E1066" s="3" t="s">
        <v>1076</v>
      </c>
      <c r="F1066" s="3" t="s">
        <v>1358</v>
      </c>
      <c r="G1066" s="3" t="s">
        <v>321</v>
      </c>
      <c r="H1066" s="4" t="s">
        <v>1308</v>
      </c>
    </row>
    <row r="1067" ht="16.5" customHeight="1" spans="1:8">
      <c r="A1067" s="3">
        <v>1066</v>
      </c>
      <c r="B1067" s="3" t="s">
        <v>3246</v>
      </c>
      <c r="C1067" s="3" t="s">
        <v>1356</v>
      </c>
      <c r="D1067" s="4" t="s">
        <v>3247</v>
      </c>
      <c r="E1067" s="3" t="s">
        <v>1076</v>
      </c>
      <c r="F1067" s="3" t="s">
        <v>1358</v>
      </c>
      <c r="G1067" s="3" t="s">
        <v>321</v>
      </c>
      <c r="H1067" s="4" t="s">
        <v>1308</v>
      </c>
    </row>
    <row r="1068" ht="16.5" customHeight="1" spans="1:8">
      <c r="A1068" s="3">
        <v>1067</v>
      </c>
      <c r="B1068" s="3" t="s">
        <v>3248</v>
      </c>
      <c r="C1068" s="3" t="s">
        <v>1356</v>
      </c>
      <c r="D1068" s="4" t="s">
        <v>3249</v>
      </c>
      <c r="E1068" s="3" t="s">
        <v>1076</v>
      </c>
      <c r="F1068" s="3" t="s">
        <v>1358</v>
      </c>
      <c r="G1068" s="3" t="s">
        <v>321</v>
      </c>
      <c r="H1068" s="4" t="s">
        <v>1308</v>
      </c>
    </row>
    <row r="1069" ht="16.5" customHeight="1" spans="1:8">
      <c r="A1069" s="3">
        <v>1068</v>
      </c>
      <c r="B1069" s="3" t="s">
        <v>3250</v>
      </c>
      <c r="C1069" s="3" t="s">
        <v>1356</v>
      </c>
      <c r="D1069" s="4" t="s">
        <v>3251</v>
      </c>
      <c r="E1069" s="3" t="s">
        <v>1076</v>
      </c>
      <c r="F1069" s="3" t="s">
        <v>1358</v>
      </c>
      <c r="G1069" s="3" t="s">
        <v>321</v>
      </c>
      <c r="H1069" s="4" t="s">
        <v>1308</v>
      </c>
    </row>
    <row r="1070" ht="16.5" customHeight="1" spans="1:8">
      <c r="A1070" s="3">
        <v>1069</v>
      </c>
      <c r="B1070" s="3" t="s">
        <v>3252</v>
      </c>
      <c r="C1070" s="3" t="s">
        <v>1105</v>
      </c>
      <c r="D1070" s="4" t="s">
        <v>3253</v>
      </c>
      <c r="E1070" s="3" t="s">
        <v>1076</v>
      </c>
      <c r="F1070" s="3" t="s">
        <v>1358</v>
      </c>
      <c r="G1070" s="3" t="s">
        <v>321</v>
      </c>
      <c r="H1070" s="4" t="s">
        <v>2033</v>
      </c>
    </row>
    <row r="1071" ht="16.5" customHeight="1" spans="1:8">
      <c r="A1071" s="3">
        <v>1070</v>
      </c>
      <c r="B1071" s="3" t="s">
        <v>3254</v>
      </c>
      <c r="C1071" s="3" t="s">
        <v>1356</v>
      </c>
      <c r="D1071" s="4" t="s">
        <v>3255</v>
      </c>
      <c r="E1071" s="3" t="s">
        <v>1076</v>
      </c>
      <c r="F1071" s="3" t="s">
        <v>1358</v>
      </c>
      <c r="G1071" s="3" t="s">
        <v>321</v>
      </c>
      <c r="H1071" s="4" t="s">
        <v>1095</v>
      </c>
    </row>
    <row r="1072" ht="16.5" customHeight="1" spans="1:8">
      <c r="A1072" s="3">
        <v>1071</v>
      </c>
      <c r="B1072" s="3" t="s">
        <v>3256</v>
      </c>
      <c r="C1072" s="3" t="s">
        <v>1361</v>
      </c>
      <c r="D1072" s="4" t="s">
        <v>3257</v>
      </c>
      <c r="E1072" s="3" t="s">
        <v>1218</v>
      </c>
      <c r="F1072" s="3" t="s">
        <v>2041</v>
      </c>
      <c r="G1072" s="3" t="s">
        <v>321</v>
      </c>
      <c r="H1072" s="4"/>
    </row>
    <row r="1073" ht="16.5" customHeight="1" spans="1:8">
      <c r="A1073" s="3">
        <v>1072</v>
      </c>
      <c r="B1073" s="3" t="s">
        <v>3258</v>
      </c>
      <c r="C1073" s="3" t="s">
        <v>1356</v>
      </c>
      <c r="D1073" s="4" t="s">
        <v>3259</v>
      </c>
      <c r="E1073" s="3" t="s">
        <v>1076</v>
      </c>
      <c r="F1073" s="3" t="s">
        <v>1358</v>
      </c>
      <c r="G1073" s="3" t="s">
        <v>321</v>
      </c>
      <c r="H1073" s="4" t="s">
        <v>1308</v>
      </c>
    </row>
    <row r="1074" ht="16.5" customHeight="1" spans="1:8">
      <c r="A1074" s="3">
        <v>1073</v>
      </c>
      <c r="B1074" s="3" t="s">
        <v>3260</v>
      </c>
      <c r="C1074" s="3" t="s">
        <v>1356</v>
      </c>
      <c r="D1074" s="4" t="s">
        <v>3261</v>
      </c>
      <c r="E1074" s="3" t="s">
        <v>1076</v>
      </c>
      <c r="F1074" s="3" t="s">
        <v>1358</v>
      </c>
      <c r="G1074" s="3" t="s">
        <v>321</v>
      </c>
      <c r="H1074" s="4" t="s">
        <v>1308</v>
      </c>
    </row>
    <row r="1075" ht="16.5" customHeight="1" spans="1:8">
      <c r="A1075" s="3">
        <v>1074</v>
      </c>
      <c r="B1075" s="3" t="s">
        <v>3262</v>
      </c>
      <c r="C1075" s="3" t="s">
        <v>1356</v>
      </c>
      <c r="D1075" s="4" t="s">
        <v>3263</v>
      </c>
      <c r="E1075" s="3" t="s">
        <v>1076</v>
      </c>
      <c r="F1075" s="3" t="s">
        <v>1358</v>
      </c>
      <c r="G1075" s="3" t="s">
        <v>321</v>
      </c>
      <c r="H1075" s="4" t="s">
        <v>1308</v>
      </c>
    </row>
    <row r="1076" ht="16.5" customHeight="1" spans="1:8">
      <c r="A1076" s="3">
        <v>1075</v>
      </c>
      <c r="B1076" s="3" t="s">
        <v>3264</v>
      </c>
      <c r="C1076" s="3" t="s">
        <v>1356</v>
      </c>
      <c r="D1076" s="4" t="s">
        <v>3265</v>
      </c>
      <c r="E1076" s="3" t="s">
        <v>1076</v>
      </c>
      <c r="F1076" s="3" t="s">
        <v>1358</v>
      </c>
      <c r="G1076" s="3" t="s">
        <v>321</v>
      </c>
      <c r="H1076" s="4" t="s">
        <v>1308</v>
      </c>
    </row>
    <row r="1077" ht="16.5" customHeight="1" spans="1:8">
      <c r="A1077" s="3">
        <v>1076</v>
      </c>
      <c r="B1077" s="3" t="s">
        <v>3266</v>
      </c>
      <c r="C1077" s="3" t="s">
        <v>1074</v>
      </c>
      <c r="D1077" s="4" t="s">
        <v>3267</v>
      </c>
      <c r="E1077" s="3" t="s">
        <v>1076</v>
      </c>
      <c r="F1077" s="3" t="s">
        <v>1077</v>
      </c>
      <c r="G1077" s="3" t="s">
        <v>321</v>
      </c>
      <c r="H1077" s="4" t="s">
        <v>1095</v>
      </c>
    </row>
    <row r="1078" ht="16.5" customHeight="1" spans="1:8">
      <c r="A1078" s="3">
        <v>1077</v>
      </c>
      <c r="B1078" s="3" t="s">
        <v>3268</v>
      </c>
      <c r="C1078" s="3" t="s">
        <v>1105</v>
      </c>
      <c r="D1078" s="4" t="s">
        <v>3269</v>
      </c>
      <c r="E1078" s="3" t="s">
        <v>1076</v>
      </c>
      <c r="F1078" s="3" t="s">
        <v>1077</v>
      </c>
      <c r="G1078" s="3" t="s">
        <v>321</v>
      </c>
      <c r="H1078" s="4" t="s">
        <v>3270</v>
      </c>
    </row>
    <row r="1079" ht="16.5" customHeight="1" spans="1:8">
      <c r="A1079" s="3">
        <v>1078</v>
      </c>
      <c r="B1079" s="3" t="s">
        <v>3271</v>
      </c>
      <c r="C1079" s="3" t="s">
        <v>1105</v>
      </c>
      <c r="D1079" s="4" t="s">
        <v>3272</v>
      </c>
      <c r="E1079" s="3" t="s">
        <v>1076</v>
      </c>
      <c r="F1079" s="3" t="s">
        <v>1077</v>
      </c>
      <c r="G1079" s="3" t="s">
        <v>321</v>
      </c>
      <c r="H1079" s="4" t="s">
        <v>3270</v>
      </c>
    </row>
    <row r="1080" ht="16.5" customHeight="1" spans="1:8">
      <c r="A1080" s="3">
        <v>1079</v>
      </c>
      <c r="B1080" s="3" t="s">
        <v>3273</v>
      </c>
      <c r="C1080" s="3" t="s">
        <v>1105</v>
      </c>
      <c r="D1080" s="4" t="s">
        <v>3274</v>
      </c>
      <c r="E1080" s="3" t="s">
        <v>1076</v>
      </c>
      <c r="F1080" s="3" t="s">
        <v>1077</v>
      </c>
      <c r="G1080" s="3" t="s">
        <v>321</v>
      </c>
      <c r="H1080" s="4" t="s">
        <v>3270</v>
      </c>
    </row>
    <row r="1081" ht="16.5" customHeight="1" spans="1:8">
      <c r="A1081" s="3">
        <v>1080</v>
      </c>
      <c r="B1081" s="3" t="s">
        <v>3275</v>
      </c>
      <c r="C1081" s="3" t="s">
        <v>1105</v>
      </c>
      <c r="D1081" s="4" t="s">
        <v>3276</v>
      </c>
      <c r="E1081" s="3" t="s">
        <v>1076</v>
      </c>
      <c r="F1081" s="3" t="s">
        <v>1077</v>
      </c>
      <c r="G1081" s="3" t="s">
        <v>321</v>
      </c>
      <c r="H1081" s="4" t="s">
        <v>3270</v>
      </c>
    </row>
    <row r="1082" ht="16.5" customHeight="1" spans="1:8">
      <c r="A1082" s="3">
        <v>1081</v>
      </c>
      <c r="B1082" s="3" t="s">
        <v>3277</v>
      </c>
      <c r="C1082" s="3" t="s">
        <v>1074</v>
      </c>
      <c r="D1082" s="4" t="s">
        <v>3278</v>
      </c>
      <c r="E1082" s="3" t="s">
        <v>1076</v>
      </c>
      <c r="F1082" s="3" t="s">
        <v>1077</v>
      </c>
      <c r="G1082" s="3" t="s">
        <v>321</v>
      </c>
      <c r="H1082" s="4" t="s">
        <v>1368</v>
      </c>
    </row>
    <row r="1083" ht="16.5" customHeight="1" spans="1:8">
      <c r="A1083" s="3">
        <v>1082</v>
      </c>
      <c r="B1083" s="3" t="s">
        <v>3279</v>
      </c>
      <c r="C1083" s="3" t="s">
        <v>1105</v>
      </c>
      <c r="D1083" s="4" t="s">
        <v>3280</v>
      </c>
      <c r="E1083" s="3" t="s">
        <v>1076</v>
      </c>
      <c r="F1083" s="3" t="s">
        <v>1077</v>
      </c>
      <c r="G1083" s="3" t="s">
        <v>321</v>
      </c>
      <c r="H1083" s="4" t="s">
        <v>3281</v>
      </c>
    </row>
    <row r="1084" ht="16.5" customHeight="1" spans="1:8">
      <c r="A1084" s="3">
        <v>1083</v>
      </c>
      <c r="B1084" s="3" t="s">
        <v>3282</v>
      </c>
      <c r="C1084" s="3" t="s">
        <v>1105</v>
      </c>
      <c r="D1084" s="4" t="s">
        <v>3283</v>
      </c>
      <c r="E1084" s="3" t="s">
        <v>1076</v>
      </c>
      <c r="F1084" s="3" t="s">
        <v>1077</v>
      </c>
      <c r="G1084" s="3" t="s">
        <v>321</v>
      </c>
      <c r="H1084" s="4" t="s">
        <v>3281</v>
      </c>
    </row>
    <row r="1085" ht="16.5" customHeight="1" spans="1:8">
      <c r="A1085" s="3">
        <v>1084</v>
      </c>
      <c r="B1085" s="3" t="s">
        <v>3284</v>
      </c>
      <c r="C1085" s="3" t="s">
        <v>1105</v>
      </c>
      <c r="D1085" s="4" t="s">
        <v>3285</v>
      </c>
      <c r="E1085" s="3" t="s">
        <v>1076</v>
      </c>
      <c r="F1085" s="3" t="s">
        <v>1077</v>
      </c>
      <c r="G1085" s="3" t="s">
        <v>321</v>
      </c>
      <c r="H1085" s="4" t="s">
        <v>3281</v>
      </c>
    </row>
    <row r="1086" ht="16.5" customHeight="1" spans="1:8">
      <c r="A1086" s="3">
        <v>1085</v>
      </c>
      <c r="B1086" s="3" t="s">
        <v>3286</v>
      </c>
      <c r="C1086" s="3" t="s">
        <v>1105</v>
      </c>
      <c r="D1086" s="4" t="s">
        <v>3287</v>
      </c>
      <c r="E1086" s="3" t="s">
        <v>1076</v>
      </c>
      <c r="F1086" s="3" t="s">
        <v>1077</v>
      </c>
      <c r="G1086" s="3" t="s">
        <v>321</v>
      </c>
      <c r="H1086" s="4" t="s">
        <v>3288</v>
      </c>
    </row>
    <row r="1087" ht="16.5" customHeight="1" spans="1:8">
      <c r="A1087" s="3">
        <v>1086</v>
      </c>
      <c r="B1087" s="3" t="s">
        <v>3289</v>
      </c>
      <c r="C1087" s="3" t="s">
        <v>1105</v>
      </c>
      <c r="D1087" s="4" t="s">
        <v>3290</v>
      </c>
      <c r="E1087" s="3" t="s">
        <v>1076</v>
      </c>
      <c r="F1087" s="3" t="s">
        <v>1077</v>
      </c>
      <c r="G1087" s="3" t="s">
        <v>321</v>
      </c>
      <c r="H1087" s="4" t="s">
        <v>3288</v>
      </c>
    </row>
    <row r="1088" ht="16.5" customHeight="1" spans="1:8">
      <c r="A1088" s="3">
        <v>1087</v>
      </c>
      <c r="B1088" s="3" t="s">
        <v>3291</v>
      </c>
      <c r="C1088" s="3" t="s">
        <v>1074</v>
      </c>
      <c r="D1088" s="4" t="s">
        <v>3292</v>
      </c>
      <c r="E1088" s="3" t="s">
        <v>1076</v>
      </c>
      <c r="F1088" s="3" t="s">
        <v>1077</v>
      </c>
      <c r="G1088" s="3" t="s">
        <v>321</v>
      </c>
      <c r="H1088" s="4" t="s">
        <v>1308</v>
      </c>
    </row>
    <row r="1089" ht="16.5" customHeight="1" spans="1:8">
      <c r="A1089" s="3">
        <v>1088</v>
      </c>
      <c r="B1089" s="3" t="s">
        <v>3293</v>
      </c>
      <c r="C1089" s="3" t="s">
        <v>1105</v>
      </c>
      <c r="D1089" s="4" t="s">
        <v>3294</v>
      </c>
      <c r="E1089" s="3" t="s">
        <v>1076</v>
      </c>
      <c r="F1089" s="3" t="s">
        <v>1077</v>
      </c>
      <c r="G1089" s="3" t="s">
        <v>321</v>
      </c>
      <c r="H1089" s="4" t="s">
        <v>3295</v>
      </c>
    </row>
    <row r="1090" ht="16.5" customHeight="1" spans="1:8">
      <c r="A1090" s="3">
        <v>1089</v>
      </c>
      <c r="B1090" s="3" t="s">
        <v>3296</v>
      </c>
      <c r="C1090" s="3" t="s">
        <v>1105</v>
      </c>
      <c r="D1090" s="4" t="s">
        <v>3297</v>
      </c>
      <c r="E1090" s="3" t="s">
        <v>1076</v>
      </c>
      <c r="F1090" s="3" t="s">
        <v>1077</v>
      </c>
      <c r="G1090" s="3" t="s">
        <v>321</v>
      </c>
      <c r="H1090" s="4" t="s">
        <v>3298</v>
      </c>
    </row>
    <row r="1091" ht="16.5" customHeight="1" spans="1:8">
      <c r="A1091" s="3">
        <v>1090</v>
      </c>
      <c r="B1091" s="3" t="s">
        <v>3299</v>
      </c>
      <c r="C1091" s="3" t="s">
        <v>1105</v>
      </c>
      <c r="D1091" s="4" t="s">
        <v>3300</v>
      </c>
      <c r="E1091" s="3" t="s">
        <v>1076</v>
      </c>
      <c r="F1091" s="3" t="s">
        <v>1077</v>
      </c>
      <c r="G1091" s="3" t="s">
        <v>321</v>
      </c>
      <c r="H1091" s="4" t="s">
        <v>3295</v>
      </c>
    </row>
    <row r="1092" ht="16.5" customHeight="1" spans="1:8">
      <c r="A1092" s="3">
        <v>1091</v>
      </c>
      <c r="B1092" s="3" t="s">
        <v>3301</v>
      </c>
      <c r="C1092" s="3" t="s">
        <v>1105</v>
      </c>
      <c r="D1092" s="4" t="s">
        <v>3302</v>
      </c>
      <c r="E1092" s="3" t="s">
        <v>1076</v>
      </c>
      <c r="F1092" s="3" t="s">
        <v>1077</v>
      </c>
      <c r="G1092" s="3" t="s">
        <v>321</v>
      </c>
      <c r="H1092" s="4" t="s">
        <v>3303</v>
      </c>
    </row>
    <row r="1093" ht="16.5" customHeight="1" spans="1:8">
      <c r="A1093" s="3">
        <v>1092</v>
      </c>
      <c r="B1093" s="3" t="s">
        <v>3304</v>
      </c>
      <c r="C1093" s="3" t="s">
        <v>1105</v>
      </c>
      <c r="D1093" s="4" t="s">
        <v>3305</v>
      </c>
      <c r="E1093" s="3" t="s">
        <v>1076</v>
      </c>
      <c r="F1093" s="3" t="s">
        <v>1077</v>
      </c>
      <c r="G1093" s="3" t="s">
        <v>321</v>
      </c>
      <c r="H1093" s="4" t="s">
        <v>3303</v>
      </c>
    </row>
    <row r="1094" ht="16.5" customHeight="1" spans="1:8">
      <c r="A1094" s="3">
        <v>1093</v>
      </c>
      <c r="B1094" s="3" t="s">
        <v>3306</v>
      </c>
      <c r="C1094" s="3" t="s">
        <v>1105</v>
      </c>
      <c r="D1094" s="4" t="s">
        <v>3307</v>
      </c>
      <c r="E1094" s="3" t="s">
        <v>1076</v>
      </c>
      <c r="F1094" s="3" t="s">
        <v>1077</v>
      </c>
      <c r="G1094" s="3" t="s">
        <v>321</v>
      </c>
      <c r="H1094" s="4" t="s">
        <v>3303</v>
      </c>
    </row>
    <row r="1095" ht="16.5" customHeight="1" spans="1:8">
      <c r="A1095" s="3">
        <v>1094</v>
      </c>
      <c r="B1095" s="3" t="s">
        <v>3308</v>
      </c>
      <c r="C1095" s="3" t="s">
        <v>1074</v>
      </c>
      <c r="D1095" s="4" t="s">
        <v>3309</v>
      </c>
      <c r="E1095" s="3" t="s">
        <v>1076</v>
      </c>
      <c r="F1095" s="3" t="s">
        <v>1077</v>
      </c>
      <c r="G1095" s="3" t="s">
        <v>321</v>
      </c>
      <c r="H1095" s="4" t="s">
        <v>1390</v>
      </c>
    </row>
    <row r="1096" ht="16.5" customHeight="1" spans="1:8">
      <c r="A1096" s="3">
        <v>1095</v>
      </c>
      <c r="B1096" s="3" t="s">
        <v>3310</v>
      </c>
      <c r="C1096" s="3" t="s">
        <v>1105</v>
      </c>
      <c r="D1096" s="4" t="s">
        <v>3311</v>
      </c>
      <c r="E1096" s="3" t="s">
        <v>1076</v>
      </c>
      <c r="F1096" s="3" t="s">
        <v>1077</v>
      </c>
      <c r="G1096" s="3" t="s">
        <v>321</v>
      </c>
      <c r="H1096" s="4" t="s">
        <v>3312</v>
      </c>
    </row>
    <row r="1097" ht="16.5" customHeight="1" spans="1:8">
      <c r="A1097" s="3">
        <v>1096</v>
      </c>
      <c r="B1097" s="3" t="s">
        <v>3313</v>
      </c>
      <c r="C1097" s="3" t="s">
        <v>1105</v>
      </c>
      <c r="D1097" s="4" t="s">
        <v>3314</v>
      </c>
      <c r="E1097" s="3" t="s">
        <v>1076</v>
      </c>
      <c r="F1097" s="3" t="s">
        <v>1077</v>
      </c>
      <c r="G1097" s="3" t="s">
        <v>321</v>
      </c>
      <c r="H1097" s="4" t="s">
        <v>3312</v>
      </c>
    </row>
    <row r="1098" ht="16.5" customHeight="1" spans="1:8">
      <c r="A1098" s="3">
        <v>1097</v>
      </c>
      <c r="B1098" s="3" t="s">
        <v>3315</v>
      </c>
      <c r="C1098" s="3" t="s">
        <v>1105</v>
      </c>
      <c r="D1098" s="4" t="s">
        <v>3316</v>
      </c>
      <c r="E1098" s="3" t="s">
        <v>1076</v>
      </c>
      <c r="F1098" s="3" t="s">
        <v>1077</v>
      </c>
      <c r="G1098" s="3" t="s">
        <v>321</v>
      </c>
      <c r="H1098" s="4" t="s">
        <v>3312</v>
      </c>
    </row>
    <row r="1099" ht="16.5" customHeight="1" spans="1:8">
      <c r="A1099" s="3">
        <v>1098</v>
      </c>
      <c r="B1099" s="3" t="s">
        <v>3317</v>
      </c>
      <c r="C1099" s="3" t="s">
        <v>1074</v>
      </c>
      <c r="D1099" s="4" t="s">
        <v>3318</v>
      </c>
      <c r="E1099" s="3" t="s">
        <v>1076</v>
      </c>
      <c r="F1099" s="3" t="s">
        <v>1077</v>
      </c>
      <c r="G1099" s="3" t="s">
        <v>321</v>
      </c>
      <c r="H1099" s="4" t="s">
        <v>1368</v>
      </c>
    </row>
    <row r="1100" ht="16.5" customHeight="1" spans="1:8">
      <c r="A1100" s="3">
        <v>1099</v>
      </c>
      <c r="B1100" s="3" t="s">
        <v>3319</v>
      </c>
      <c r="C1100" s="3" t="s">
        <v>1105</v>
      </c>
      <c r="D1100" s="4" t="s">
        <v>3320</v>
      </c>
      <c r="E1100" s="3" t="s">
        <v>1076</v>
      </c>
      <c r="F1100" s="3" t="s">
        <v>1077</v>
      </c>
      <c r="G1100" s="3" t="s">
        <v>321</v>
      </c>
      <c r="H1100" s="4" t="s">
        <v>3321</v>
      </c>
    </row>
    <row r="1101" ht="16.5" customHeight="1" spans="1:8">
      <c r="A1101" s="3">
        <v>1100</v>
      </c>
      <c r="B1101" s="3" t="s">
        <v>3322</v>
      </c>
      <c r="C1101" s="3" t="s">
        <v>1105</v>
      </c>
      <c r="D1101" s="4" t="s">
        <v>3323</v>
      </c>
      <c r="E1101" s="3" t="s">
        <v>1076</v>
      </c>
      <c r="F1101" s="3" t="s">
        <v>1077</v>
      </c>
      <c r="G1101" s="3" t="s">
        <v>321</v>
      </c>
      <c r="H1101" s="4" t="s">
        <v>3324</v>
      </c>
    </row>
    <row r="1102" ht="16.5" customHeight="1" spans="1:8">
      <c r="A1102" s="3">
        <v>1101</v>
      </c>
      <c r="B1102" s="3" t="s">
        <v>3325</v>
      </c>
      <c r="C1102" s="3" t="s">
        <v>1105</v>
      </c>
      <c r="D1102" s="4" t="s">
        <v>3326</v>
      </c>
      <c r="E1102" s="3" t="s">
        <v>1076</v>
      </c>
      <c r="F1102" s="3" t="s">
        <v>1077</v>
      </c>
      <c r="G1102" s="3" t="s">
        <v>321</v>
      </c>
      <c r="H1102" s="4" t="s">
        <v>3321</v>
      </c>
    </row>
    <row r="1103" ht="16.5" customHeight="1" spans="1:8">
      <c r="A1103" s="3">
        <v>1102</v>
      </c>
      <c r="B1103" s="3" t="s">
        <v>3327</v>
      </c>
      <c r="C1103" s="3" t="s">
        <v>1105</v>
      </c>
      <c r="D1103" s="4" t="s">
        <v>3328</v>
      </c>
      <c r="E1103" s="3" t="s">
        <v>1076</v>
      </c>
      <c r="F1103" s="3" t="s">
        <v>1077</v>
      </c>
      <c r="G1103" s="3" t="s">
        <v>321</v>
      </c>
      <c r="H1103" s="4" t="s">
        <v>3321</v>
      </c>
    </row>
    <row r="1104" ht="16.5" customHeight="1" spans="1:8">
      <c r="A1104" s="3">
        <v>1103</v>
      </c>
      <c r="B1104" s="3" t="s">
        <v>3329</v>
      </c>
      <c r="C1104" s="3" t="s">
        <v>1105</v>
      </c>
      <c r="D1104" s="4" t="s">
        <v>3330</v>
      </c>
      <c r="E1104" s="3" t="s">
        <v>1076</v>
      </c>
      <c r="F1104" s="3" t="s">
        <v>1077</v>
      </c>
      <c r="G1104" s="3" t="s">
        <v>321</v>
      </c>
      <c r="H1104" s="4" t="s">
        <v>3321</v>
      </c>
    </row>
    <row r="1105" ht="16.5" customHeight="1" spans="1:8">
      <c r="A1105" s="3">
        <v>1104</v>
      </c>
      <c r="B1105" s="3" t="s">
        <v>3331</v>
      </c>
      <c r="C1105" s="3" t="s">
        <v>1105</v>
      </c>
      <c r="D1105" s="4" t="s">
        <v>3332</v>
      </c>
      <c r="E1105" s="3" t="s">
        <v>1076</v>
      </c>
      <c r="F1105" s="3" t="s">
        <v>1077</v>
      </c>
      <c r="G1105" s="3" t="s">
        <v>321</v>
      </c>
      <c r="H1105" s="4" t="s">
        <v>3321</v>
      </c>
    </row>
    <row r="1106" ht="16.5" customHeight="1" spans="1:8">
      <c r="A1106" s="3">
        <v>1105</v>
      </c>
      <c r="B1106" s="3" t="s">
        <v>3333</v>
      </c>
      <c r="C1106" s="3" t="s">
        <v>1105</v>
      </c>
      <c r="D1106" s="4" t="s">
        <v>3334</v>
      </c>
      <c r="E1106" s="3" t="s">
        <v>1076</v>
      </c>
      <c r="F1106" s="3" t="s">
        <v>1077</v>
      </c>
      <c r="G1106" s="3" t="s">
        <v>321</v>
      </c>
      <c r="H1106" s="4" t="s">
        <v>3321</v>
      </c>
    </row>
    <row r="1107" ht="16.5" customHeight="1" spans="1:8">
      <c r="A1107" s="3">
        <v>1106</v>
      </c>
      <c r="B1107" s="3" t="s">
        <v>3335</v>
      </c>
      <c r="C1107" s="3" t="s">
        <v>1105</v>
      </c>
      <c r="D1107" s="4" t="s">
        <v>3336</v>
      </c>
      <c r="E1107" s="3" t="s">
        <v>1076</v>
      </c>
      <c r="F1107" s="3" t="s">
        <v>1077</v>
      </c>
      <c r="G1107" s="3" t="s">
        <v>321</v>
      </c>
      <c r="H1107" s="4" t="s">
        <v>3321</v>
      </c>
    </row>
    <row r="1108" ht="16.5" customHeight="1" spans="1:8">
      <c r="A1108" s="3">
        <v>1107</v>
      </c>
      <c r="B1108" s="3" t="s">
        <v>3337</v>
      </c>
      <c r="C1108" s="3" t="s">
        <v>1105</v>
      </c>
      <c r="D1108" s="4" t="s">
        <v>3338</v>
      </c>
      <c r="E1108" s="3" t="s">
        <v>1076</v>
      </c>
      <c r="F1108" s="3" t="s">
        <v>1077</v>
      </c>
      <c r="G1108" s="3" t="s">
        <v>321</v>
      </c>
      <c r="H1108" s="4" t="s">
        <v>3324</v>
      </c>
    </row>
    <row r="1109" ht="16.5" customHeight="1" spans="1:8">
      <c r="A1109" s="3">
        <v>1108</v>
      </c>
      <c r="B1109" s="3" t="s">
        <v>3339</v>
      </c>
      <c r="C1109" s="3" t="s">
        <v>1105</v>
      </c>
      <c r="D1109" s="4" t="s">
        <v>3340</v>
      </c>
      <c r="E1109" s="3" t="s">
        <v>1076</v>
      </c>
      <c r="F1109" s="3" t="s">
        <v>1077</v>
      </c>
      <c r="G1109" s="3" t="s">
        <v>321</v>
      </c>
      <c r="H1109" s="4" t="s">
        <v>3324</v>
      </c>
    </row>
    <row r="1110" ht="16.5" customHeight="1" spans="1:8">
      <c r="A1110" s="3">
        <v>1109</v>
      </c>
      <c r="B1110" s="3" t="s">
        <v>3341</v>
      </c>
      <c r="C1110" s="3" t="s">
        <v>1105</v>
      </c>
      <c r="D1110" s="4" t="s">
        <v>3342</v>
      </c>
      <c r="E1110" s="3" t="s">
        <v>1076</v>
      </c>
      <c r="F1110" s="3" t="s">
        <v>1077</v>
      </c>
      <c r="G1110" s="3" t="s">
        <v>321</v>
      </c>
      <c r="H1110" s="4" t="s">
        <v>3321</v>
      </c>
    </row>
    <row r="1111" ht="16.5" customHeight="1" spans="1:8">
      <c r="A1111" s="3">
        <v>1110</v>
      </c>
      <c r="B1111" s="3" t="s">
        <v>3343</v>
      </c>
      <c r="C1111" s="3" t="s">
        <v>1105</v>
      </c>
      <c r="D1111" s="4" t="s">
        <v>3344</v>
      </c>
      <c r="E1111" s="3" t="s">
        <v>1076</v>
      </c>
      <c r="F1111" s="3" t="s">
        <v>1077</v>
      </c>
      <c r="G1111" s="3" t="s">
        <v>321</v>
      </c>
      <c r="H1111" s="4" t="s">
        <v>3321</v>
      </c>
    </row>
    <row r="1112" ht="16.5" customHeight="1" spans="1:8">
      <c r="A1112" s="3">
        <v>1111</v>
      </c>
      <c r="B1112" s="3" t="s">
        <v>3345</v>
      </c>
      <c r="C1112" s="3" t="s">
        <v>1105</v>
      </c>
      <c r="D1112" s="4" t="s">
        <v>3346</v>
      </c>
      <c r="E1112" s="3" t="s">
        <v>1076</v>
      </c>
      <c r="F1112" s="3" t="s">
        <v>1077</v>
      </c>
      <c r="G1112" s="3" t="s">
        <v>321</v>
      </c>
      <c r="H1112" s="4" t="s">
        <v>3321</v>
      </c>
    </row>
    <row r="1113" ht="16.5" customHeight="1" spans="1:8">
      <c r="A1113" s="3">
        <v>1112</v>
      </c>
      <c r="B1113" s="3" t="s">
        <v>3347</v>
      </c>
      <c r="C1113" s="3" t="s">
        <v>1105</v>
      </c>
      <c r="D1113" s="4" t="s">
        <v>3348</v>
      </c>
      <c r="E1113" s="3" t="s">
        <v>1076</v>
      </c>
      <c r="F1113" s="3" t="s">
        <v>1077</v>
      </c>
      <c r="G1113" s="3" t="s">
        <v>321</v>
      </c>
      <c r="H1113" s="4" t="s">
        <v>3321</v>
      </c>
    </row>
    <row r="1114" ht="16.5" customHeight="1" spans="1:8">
      <c r="A1114" s="3">
        <v>1113</v>
      </c>
      <c r="B1114" s="3" t="s">
        <v>3349</v>
      </c>
      <c r="C1114" s="3" t="s">
        <v>1074</v>
      </c>
      <c r="D1114" s="4" t="s">
        <v>3350</v>
      </c>
      <c r="E1114" s="3" t="s">
        <v>1076</v>
      </c>
      <c r="F1114" s="3" t="s">
        <v>1077</v>
      </c>
      <c r="G1114" s="3" t="s">
        <v>321</v>
      </c>
      <c r="H1114" s="4" t="s">
        <v>3351</v>
      </c>
    </row>
    <row r="1115" ht="16.5" customHeight="1" spans="1:8">
      <c r="A1115" s="3">
        <v>1114</v>
      </c>
      <c r="B1115" s="3" t="s">
        <v>3352</v>
      </c>
      <c r="C1115" s="3" t="s">
        <v>1074</v>
      </c>
      <c r="D1115" s="4" t="s">
        <v>3353</v>
      </c>
      <c r="E1115" s="3" t="s">
        <v>1076</v>
      </c>
      <c r="F1115" s="3" t="s">
        <v>1077</v>
      </c>
      <c r="G1115" s="3" t="s">
        <v>321</v>
      </c>
      <c r="H1115" s="4" t="s">
        <v>3354</v>
      </c>
    </row>
    <row r="1116" ht="16.5" customHeight="1" spans="1:8">
      <c r="A1116" s="3">
        <v>1115</v>
      </c>
      <c r="B1116" s="3" t="s">
        <v>3355</v>
      </c>
      <c r="C1116" s="3" t="s">
        <v>1105</v>
      </c>
      <c r="D1116" s="4" t="s">
        <v>3356</v>
      </c>
      <c r="E1116" s="3" t="s">
        <v>1076</v>
      </c>
      <c r="F1116" s="3" t="s">
        <v>1077</v>
      </c>
      <c r="G1116" s="3" t="s">
        <v>321</v>
      </c>
      <c r="H1116" s="4" t="s">
        <v>3357</v>
      </c>
    </row>
    <row r="1117" ht="16.5" customHeight="1" spans="1:8">
      <c r="A1117" s="3">
        <v>1116</v>
      </c>
      <c r="B1117" s="3" t="s">
        <v>3358</v>
      </c>
      <c r="C1117" s="3" t="s">
        <v>1105</v>
      </c>
      <c r="D1117" s="4" t="s">
        <v>3359</v>
      </c>
      <c r="E1117" s="3" t="s">
        <v>1076</v>
      </c>
      <c r="F1117" s="3" t="s">
        <v>1077</v>
      </c>
      <c r="G1117" s="3" t="s">
        <v>321</v>
      </c>
      <c r="H1117" s="4" t="s">
        <v>3357</v>
      </c>
    </row>
    <row r="1118" ht="16.5" customHeight="1" spans="1:8">
      <c r="A1118" s="3">
        <v>1117</v>
      </c>
      <c r="B1118" s="3" t="s">
        <v>3360</v>
      </c>
      <c r="C1118" s="3" t="s">
        <v>1105</v>
      </c>
      <c r="D1118" s="4" t="s">
        <v>3361</v>
      </c>
      <c r="E1118" s="3" t="s">
        <v>1076</v>
      </c>
      <c r="F1118" s="3" t="s">
        <v>1077</v>
      </c>
      <c r="G1118" s="3" t="s">
        <v>321</v>
      </c>
      <c r="H1118" s="4" t="s">
        <v>3357</v>
      </c>
    </row>
    <row r="1119" ht="16.5" customHeight="1" spans="1:8">
      <c r="A1119" s="3">
        <v>1118</v>
      </c>
      <c r="B1119" s="3" t="s">
        <v>3362</v>
      </c>
      <c r="C1119" s="3" t="s">
        <v>1105</v>
      </c>
      <c r="D1119" s="4" t="s">
        <v>3363</v>
      </c>
      <c r="E1119" s="3" t="s">
        <v>1076</v>
      </c>
      <c r="F1119" s="3" t="s">
        <v>1077</v>
      </c>
      <c r="G1119" s="3" t="s">
        <v>321</v>
      </c>
      <c r="H1119" s="4" t="s">
        <v>3357</v>
      </c>
    </row>
    <row r="1120" ht="16.5" customHeight="1" spans="1:8">
      <c r="A1120" s="3">
        <v>1119</v>
      </c>
      <c r="B1120" s="3" t="s">
        <v>3364</v>
      </c>
      <c r="C1120" s="3" t="s">
        <v>1105</v>
      </c>
      <c r="D1120" s="4" t="s">
        <v>3365</v>
      </c>
      <c r="E1120" s="3" t="s">
        <v>1076</v>
      </c>
      <c r="F1120" s="3" t="s">
        <v>1077</v>
      </c>
      <c r="G1120" s="3" t="s">
        <v>321</v>
      </c>
      <c r="H1120" s="4" t="s">
        <v>3357</v>
      </c>
    </row>
    <row r="1121" ht="16.5" customHeight="1" spans="1:8">
      <c r="A1121" s="3">
        <v>1120</v>
      </c>
      <c r="B1121" s="3" t="s">
        <v>3366</v>
      </c>
      <c r="C1121" s="3" t="s">
        <v>1105</v>
      </c>
      <c r="D1121" s="4" t="s">
        <v>3367</v>
      </c>
      <c r="E1121" s="3" t="s">
        <v>1076</v>
      </c>
      <c r="F1121" s="3" t="s">
        <v>1077</v>
      </c>
      <c r="G1121" s="3" t="s">
        <v>321</v>
      </c>
      <c r="H1121" s="4" t="s">
        <v>3357</v>
      </c>
    </row>
    <row r="1122" ht="16.5" customHeight="1" spans="1:8">
      <c r="A1122" s="3">
        <v>1121</v>
      </c>
      <c r="B1122" s="3" t="s">
        <v>3368</v>
      </c>
      <c r="C1122" s="3" t="s">
        <v>1105</v>
      </c>
      <c r="D1122" s="4" t="s">
        <v>3369</v>
      </c>
      <c r="E1122" s="3" t="s">
        <v>1076</v>
      </c>
      <c r="F1122" s="3" t="s">
        <v>1077</v>
      </c>
      <c r="G1122" s="3" t="s">
        <v>321</v>
      </c>
      <c r="H1122" s="4" t="s">
        <v>3357</v>
      </c>
    </row>
    <row r="1123" ht="16.5" customHeight="1" spans="1:8">
      <c r="A1123" s="3">
        <v>1122</v>
      </c>
      <c r="B1123" s="3" t="s">
        <v>3370</v>
      </c>
      <c r="C1123" s="3" t="s">
        <v>1105</v>
      </c>
      <c r="D1123" s="4" t="s">
        <v>3371</v>
      </c>
      <c r="E1123" s="3" t="s">
        <v>1076</v>
      </c>
      <c r="F1123" s="3" t="s">
        <v>1077</v>
      </c>
      <c r="G1123" s="3" t="s">
        <v>321</v>
      </c>
      <c r="H1123" s="4" t="s">
        <v>3357</v>
      </c>
    </row>
    <row r="1124" ht="16.5" customHeight="1" spans="1:8">
      <c r="A1124" s="3">
        <v>1123</v>
      </c>
      <c r="B1124" s="3" t="s">
        <v>3372</v>
      </c>
      <c r="C1124" s="3" t="s">
        <v>1105</v>
      </c>
      <c r="D1124" s="4" t="s">
        <v>3373</v>
      </c>
      <c r="E1124" s="3" t="s">
        <v>1076</v>
      </c>
      <c r="F1124" s="3" t="s">
        <v>1077</v>
      </c>
      <c r="G1124" s="3" t="s">
        <v>321</v>
      </c>
      <c r="H1124" s="4" t="s">
        <v>3374</v>
      </c>
    </row>
    <row r="1125" ht="16.5" customHeight="1" spans="1:8">
      <c r="A1125" s="3">
        <v>1124</v>
      </c>
      <c r="B1125" s="3" t="s">
        <v>3375</v>
      </c>
      <c r="C1125" s="3" t="s">
        <v>1105</v>
      </c>
      <c r="D1125" s="4" t="s">
        <v>3376</v>
      </c>
      <c r="E1125" s="3" t="s">
        <v>1076</v>
      </c>
      <c r="F1125" s="3" t="s">
        <v>1077</v>
      </c>
      <c r="G1125" s="3" t="s">
        <v>321</v>
      </c>
      <c r="H1125" s="4" t="s">
        <v>3374</v>
      </c>
    </row>
    <row r="1126" ht="16.5" customHeight="1" spans="1:8">
      <c r="A1126" s="3">
        <v>1125</v>
      </c>
      <c r="B1126" s="3" t="s">
        <v>3377</v>
      </c>
      <c r="C1126" s="3" t="s">
        <v>1105</v>
      </c>
      <c r="D1126" s="4" t="s">
        <v>3378</v>
      </c>
      <c r="E1126" s="3" t="s">
        <v>1076</v>
      </c>
      <c r="F1126" s="3" t="s">
        <v>1077</v>
      </c>
      <c r="G1126" s="3" t="s">
        <v>321</v>
      </c>
      <c r="H1126" s="4" t="s">
        <v>3374</v>
      </c>
    </row>
    <row r="1127" ht="16.5" customHeight="1" spans="1:8">
      <c r="A1127" s="3">
        <v>1126</v>
      </c>
      <c r="B1127" s="3" t="s">
        <v>3379</v>
      </c>
      <c r="C1127" s="3" t="s">
        <v>1105</v>
      </c>
      <c r="D1127" s="4" t="s">
        <v>3380</v>
      </c>
      <c r="E1127" s="3" t="s">
        <v>1076</v>
      </c>
      <c r="F1127" s="3" t="s">
        <v>1077</v>
      </c>
      <c r="G1127" s="3" t="s">
        <v>321</v>
      </c>
      <c r="H1127" s="4" t="s">
        <v>3374</v>
      </c>
    </row>
    <row r="1128" ht="16.5" customHeight="1" spans="1:8">
      <c r="A1128" s="3">
        <v>1127</v>
      </c>
      <c r="B1128" s="3" t="s">
        <v>3381</v>
      </c>
      <c r="C1128" s="3" t="s">
        <v>1105</v>
      </c>
      <c r="D1128" s="4" t="s">
        <v>3382</v>
      </c>
      <c r="E1128" s="3" t="s">
        <v>1076</v>
      </c>
      <c r="F1128" s="3" t="s">
        <v>1077</v>
      </c>
      <c r="G1128" s="3" t="s">
        <v>321</v>
      </c>
      <c r="H1128" s="4" t="s">
        <v>3374</v>
      </c>
    </row>
    <row r="1129" ht="16.5" customHeight="1" spans="1:8">
      <c r="A1129" s="3">
        <v>1128</v>
      </c>
      <c r="B1129" s="3" t="s">
        <v>3383</v>
      </c>
      <c r="C1129" s="3" t="s">
        <v>1105</v>
      </c>
      <c r="D1129" s="4" t="s">
        <v>3384</v>
      </c>
      <c r="E1129" s="3" t="s">
        <v>1076</v>
      </c>
      <c r="F1129" s="3" t="s">
        <v>1077</v>
      </c>
      <c r="G1129" s="3" t="s">
        <v>321</v>
      </c>
      <c r="H1129" s="4" t="s">
        <v>3374</v>
      </c>
    </row>
    <row r="1130" ht="16.5" customHeight="1" spans="1:8">
      <c r="A1130" s="3">
        <v>1129</v>
      </c>
      <c r="B1130" s="3" t="s">
        <v>3385</v>
      </c>
      <c r="C1130" s="3" t="s">
        <v>1105</v>
      </c>
      <c r="D1130" s="4" t="s">
        <v>3386</v>
      </c>
      <c r="E1130" s="3" t="s">
        <v>1076</v>
      </c>
      <c r="F1130" s="3" t="s">
        <v>1077</v>
      </c>
      <c r="G1130" s="3" t="s">
        <v>321</v>
      </c>
      <c r="H1130" s="4" t="s">
        <v>3374</v>
      </c>
    </row>
    <row r="1131" ht="16.5" customHeight="1" spans="1:8">
      <c r="A1131" s="3">
        <v>1130</v>
      </c>
      <c r="B1131" s="3" t="s">
        <v>3387</v>
      </c>
      <c r="C1131" s="3" t="s">
        <v>1105</v>
      </c>
      <c r="D1131" s="4" t="s">
        <v>3388</v>
      </c>
      <c r="E1131" s="3" t="s">
        <v>1076</v>
      </c>
      <c r="F1131" s="3" t="s">
        <v>1077</v>
      </c>
      <c r="G1131" s="3" t="s">
        <v>321</v>
      </c>
      <c r="H1131" s="4" t="s">
        <v>3374</v>
      </c>
    </row>
    <row r="1132" ht="16.5" customHeight="1" spans="1:8">
      <c r="A1132" s="3">
        <v>1131</v>
      </c>
      <c r="B1132" s="3" t="s">
        <v>3389</v>
      </c>
      <c r="C1132" s="3" t="s">
        <v>1105</v>
      </c>
      <c r="D1132" s="4" t="s">
        <v>3390</v>
      </c>
      <c r="E1132" s="3" t="s">
        <v>1076</v>
      </c>
      <c r="F1132" s="3" t="s">
        <v>1077</v>
      </c>
      <c r="G1132" s="3" t="s">
        <v>321</v>
      </c>
      <c r="H1132" s="4" t="s">
        <v>3374</v>
      </c>
    </row>
    <row r="1133" ht="16.5" customHeight="1" spans="1:8">
      <c r="A1133" s="3">
        <v>1132</v>
      </c>
      <c r="B1133" s="3" t="s">
        <v>3391</v>
      </c>
      <c r="C1133" s="3" t="s">
        <v>1105</v>
      </c>
      <c r="D1133" s="4" t="s">
        <v>3392</v>
      </c>
      <c r="E1133" s="3" t="s">
        <v>1076</v>
      </c>
      <c r="F1133" s="3" t="s">
        <v>1077</v>
      </c>
      <c r="G1133" s="3" t="s">
        <v>321</v>
      </c>
      <c r="H1133" s="4" t="s">
        <v>3374</v>
      </c>
    </row>
    <row r="1134" ht="16.5" customHeight="1" spans="1:8">
      <c r="A1134" s="3">
        <v>1133</v>
      </c>
      <c r="B1134" s="3" t="s">
        <v>3393</v>
      </c>
      <c r="C1134" s="3" t="s">
        <v>1105</v>
      </c>
      <c r="D1134" s="4" t="s">
        <v>3394</v>
      </c>
      <c r="E1134" s="3" t="s">
        <v>1076</v>
      </c>
      <c r="F1134" s="3" t="s">
        <v>1077</v>
      </c>
      <c r="G1134" s="3" t="s">
        <v>321</v>
      </c>
      <c r="H1134" s="4" t="s">
        <v>3374</v>
      </c>
    </row>
    <row r="1135" ht="16.5" customHeight="1" spans="1:8">
      <c r="A1135" s="3">
        <v>1134</v>
      </c>
      <c r="B1135" s="3" t="s">
        <v>3395</v>
      </c>
      <c r="C1135" s="3" t="s">
        <v>1105</v>
      </c>
      <c r="D1135" s="4" t="s">
        <v>3396</v>
      </c>
      <c r="E1135" s="3" t="s">
        <v>1076</v>
      </c>
      <c r="F1135" s="3" t="s">
        <v>1077</v>
      </c>
      <c r="G1135" s="3" t="s">
        <v>321</v>
      </c>
      <c r="H1135" s="4" t="s">
        <v>3374</v>
      </c>
    </row>
    <row r="1136" ht="16.5" customHeight="1" spans="1:8">
      <c r="A1136" s="3">
        <v>1135</v>
      </c>
      <c r="B1136" s="3" t="s">
        <v>3397</v>
      </c>
      <c r="C1136" s="3" t="s">
        <v>1356</v>
      </c>
      <c r="D1136" s="4" t="s">
        <v>3398</v>
      </c>
      <c r="E1136" s="3" t="s">
        <v>1076</v>
      </c>
      <c r="F1136" s="3" t="s">
        <v>1077</v>
      </c>
      <c r="G1136" s="3" t="s">
        <v>321</v>
      </c>
      <c r="H1136" s="4" t="s">
        <v>1078</v>
      </c>
    </row>
    <row r="1137" ht="16.5" customHeight="1" spans="1:8">
      <c r="A1137" s="3">
        <v>1136</v>
      </c>
      <c r="B1137" s="3" t="s">
        <v>3399</v>
      </c>
      <c r="C1137" s="3" t="s">
        <v>1105</v>
      </c>
      <c r="D1137" s="4" t="s">
        <v>3400</v>
      </c>
      <c r="E1137" s="3" t="s">
        <v>1076</v>
      </c>
      <c r="F1137" s="3" t="s">
        <v>1077</v>
      </c>
      <c r="G1137" s="3" t="s">
        <v>321</v>
      </c>
      <c r="H1137" s="4" t="s">
        <v>3401</v>
      </c>
    </row>
    <row r="1138" ht="16.5" customHeight="1" spans="1:8">
      <c r="A1138" s="3">
        <v>1137</v>
      </c>
      <c r="B1138" s="3" t="s">
        <v>3402</v>
      </c>
      <c r="C1138" s="3" t="s">
        <v>1105</v>
      </c>
      <c r="D1138" s="4" t="s">
        <v>3403</v>
      </c>
      <c r="E1138" s="3" t="s">
        <v>1076</v>
      </c>
      <c r="F1138" s="3" t="s">
        <v>1077</v>
      </c>
      <c r="G1138" s="3" t="s">
        <v>321</v>
      </c>
      <c r="H1138" s="4" t="s">
        <v>3401</v>
      </c>
    </row>
    <row r="1139" ht="16.5" customHeight="1" spans="1:8">
      <c r="A1139" s="3">
        <v>1138</v>
      </c>
      <c r="B1139" s="3" t="s">
        <v>3404</v>
      </c>
      <c r="C1139" s="3" t="s">
        <v>1074</v>
      </c>
      <c r="D1139" s="4" t="s">
        <v>3405</v>
      </c>
      <c r="E1139" s="3" t="s">
        <v>1076</v>
      </c>
      <c r="F1139" s="3" t="s">
        <v>1077</v>
      </c>
      <c r="G1139" s="3" t="s">
        <v>321</v>
      </c>
      <c r="H1139" s="4" t="s">
        <v>1843</v>
      </c>
    </row>
    <row r="1140" ht="16.5" customHeight="1" spans="1:8">
      <c r="A1140" s="3">
        <v>1139</v>
      </c>
      <c r="B1140" s="3" t="s">
        <v>3406</v>
      </c>
      <c r="C1140" s="3" t="s">
        <v>1105</v>
      </c>
      <c r="D1140" s="4" t="s">
        <v>3407</v>
      </c>
      <c r="E1140" s="3" t="s">
        <v>1076</v>
      </c>
      <c r="F1140" s="3" t="s">
        <v>1077</v>
      </c>
      <c r="G1140" s="3" t="s">
        <v>321</v>
      </c>
      <c r="H1140" s="4" t="s">
        <v>3408</v>
      </c>
    </row>
    <row r="1141" ht="16.5" customHeight="1" spans="1:8">
      <c r="A1141" s="3">
        <v>1140</v>
      </c>
      <c r="B1141" s="3" t="s">
        <v>3409</v>
      </c>
      <c r="C1141" s="3" t="s">
        <v>1105</v>
      </c>
      <c r="D1141" s="4" t="s">
        <v>3410</v>
      </c>
      <c r="E1141" s="3" t="s">
        <v>1076</v>
      </c>
      <c r="F1141" s="3" t="s">
        <v>1077</v>
      </c>
      <c r="G1141" s="3" t="s">
        <v>321</v>
      </c>
      <c r="H1141" s="4" t="s">
        <v>3408</v>
      </c>
    </row>
    <row r="1142" ht="16.5" customHeight="1" spans="1:8">
      <c r="A1142" s="3">
        <v>1141</v>
      </c>
      <c r="B1142" s="3" t="s">
        <v>3411</v>
      </c>
      <c r="C1142" s="3" t="s">
        <v>1356</v>
      </c>
      <c r="D1142" s="4" t="s">
        <v>3412</v>
      </c>
      <c r="E1142" s="3" t="s">
        <v>1076</v>
      </c>
      <c r="F1142" s="3" t="s">
        <v>1077</v>
      </c>
      <c r="G1142" s="3" t="s">
        <v>321</v>
      </c>
      <c r="H1142" s="4" t="s">
        <v>1359</v>
      </c>
    </row>
    <row r="1143" ht="16.5" customHeight="1" spans="1:8">
      <c r="A1143" s="3">
        <v>1142</v>
      </c>
      <c r="B1143" s="3" t="s">
        <v>3413</v>
      </c>
      <c r="C1143" s="3" t="s">
        <v>1105</v>
      </c>
      <c r="D1143" s="4" t="s">
        <v>3414</v>
      </c>
      <c r="E1143" s="3" t="s">
        <v>1076</v>
      </c>
      <c r="F1143" s="3" t="s">
        <v>1358</v>
      </c>
      <c r="G1143" s="3" t="s">
        <v>321</v>
      </c>
      <c r="H1143" s="4" t="s">
        <v>3270</v>
      </c>
    </row>
    <row r="1144" ht="16.5" customHeight="1" spans="1:8">
      <c r="A1144" s="3">
        <v>1143</v>
      </c>
      <c r="B1144" s="3" t="s">
        <v>3415</v>
      </c>
      <c r="C1144" s="3" t="s">
        <v>1105</v>
      </c>
      <c r="D1144" s="4" t="s">
        <v>3416</v>
      </c>
      <c r="E1144" s="3" t="s">
        <v>1076</v>
      </c>
      <c r="F1144" s="3" t="s">
        <v>1358</v>
      </c>
      <c r="G1144" s="3" t="s">
        <v>321</v>
      </c>
      <c r="H1144" s="4" t="s">
        <v>3270</v>
      </c>
    </row>
    <row r="1145" ht="16.5" customHeight="1" spans="1:8">
      <c r="A1145" s="3">
        <v>1144</v>
      </c>
      <c r="B1145" s="3" t="s">
        <v>3417</v>
      </c>
      <c r="C1145" s="3" t="s">
        <v>1105</v>
      </c>
      <c r="D1145" s="4" t="s">
        <v>3418</v>
      </c>
      <c r="E1145" s="3" t="s">
        <v>1076</v>
      </c>
      <c r="F1145" s="3" t="s">
        <v>1358</v>
      </c>
      <c r="G1145" s="3" t="s">
        <v>321</v>
      </c>
      <c r="H1145" s="4" t="s">
        <v>3270</v>
      </c>
    </row>
    <row r="1146" ht="16.5" customHeight="1" spans="1:8">
      <c r="A1146" s="3">
        <v>1145</v>
      </c>
      <c r="B1146" s="3" t="s">
        <v>3419</v>
      </c>
      <c r="C1146" s="3" t="s">
        <v>1105</v>
      </c>
      <c r="D1146" s="4" t="s">
        <v>3420</v>
      </c>
      <c r="E1146" s="3" t="s">
        <v>1076</v>
      </c>
      <c r="F1146" s="3" t="s">
        <v>1358</v>
      </c>
      <c r="G1146" s="3" t="s">
        <v>321</v>
      </c>
      <c r="H1146" s="4" t="s">
        <v>3270</v>
      </c>
    </row>
    <row r="1147" ht="16.5" customHeight="1" spans="1:8">
      <c r="A1147" s="3">
        <v>1146</v>
      </c>
      <c r="B1147" s="3" t="s">
        <v>3421</v>
      </c>
      <c r="C1147" s="3" t="s">
        <v>1105</v>
      </c>
      <c r="D1147" s="4" t="s">
        <v>1738</v>
      </c>
      <c r="E1147" s="3" t="s">
        <v>1076</v>
      </c>
      <c r="F1147" s="3" t="s">
        <v>1358</v>
      </c>
      <c r="G1147" s="3" t="s">
        <v>321</v>
      </c>
      <c r="H1147" s="4" t="s">
        <v>3288</v>
      </c>
    </row>
    <row r="1148" ht="16.5" customHeight="1" spans="1:8">
      <c r="A1148" s="3">
        <v>1147</v>
      </c>
      <c r="B1148" s="3" t="s">
        <v>3422</v>
      </c>
      <c r="C1148" s="3" t="s">
        <v>1105</v>
      </c>
      <c r="D1148" s="4" t="s">
        <v>3423</v>
      </c>
      <c r="E1148" s="3" t="s">
        <v>1076</v>
      </c>
      <c r="F1148" s="3" t="s">
        <v>1358</v>
      </c>
      <c r="G1148" s="3" t="s">
        <v>321</v>
      </c>
      <c r="H1148" s="4" t="s">
        <v>3281</v>
      </c>
    </row>
    <row r="1149" ht="16.5" customHeight="1" spans="1:8">
      <c r="A1149" s="3">
        <v>1148</v>
      </c>
      <c r="B1149" s="3" t="s">
        <v>3424</v>
      </c>
      <c r="C1149" s="3" t="s">
        <v>1105</v>
      </c>
      <c r="D1149" s="4" t="s">
        <v>3425</v>
      </c>
      <c r="E1149" s="3" t="s">
        <v>1076</v>
      </c>
      <c r="F1149" s="3" t="s">
        <v>1358</v>
      </c>
      <c r="G1149" s="3" t="s">
        <v>321</v>
      </c>
      <c r="H1149" s="4" t="s">
        <v>3281</v>
      </c>
    </row>
    <row r="1150" ht="16.5" customHeight="1" spans="1:8">
      <c r="A1150" s="3">
        <v>1149</v>
      </c>
      <c r="B1150" s="3" t="s">
        <v>3426</v>
      </c>
      <c r="C1150" s="3" t="s">
        <v>1105</v>
      </c>
      <c r="D1150" s="4" t="s">
        <v>3427</v>
      </c>
      <c r="E1150" s="3" t="s">
        <v>1076</v>
      </c>
      <c r="F1150" s="3" t="s">
        <v>1358</v>
      </c>
      <c r="G1150" s="3" t="s">
        <v>321</v>
      </c>
      <c r="H1150" s="4" t="s">
        <v>3281</v>
      </c>
    </row>
    <row r="1151" ht="16.5" customHeight="1" spans="1:8">
      <c r="A1151" s="3">
        <v>1150</v>
      </c>
      <c r="B1151" s="3" t="s">
        <v>3428</v>
      </c>
      <c r="C1151" s="3" t="s">
        <v>1105</v>
      </c>
      <c r="D1151" s="4" t="s">
        <v>3429</v>
      </c>
      <c r="E1151" s="3" t="s">
        <v>1076</v>
      </c>
      <c r="F1151" s="3" t="s">
        <v>1358</v>
      </c>
      <c r="G1151" s="3" t="s">
        <v>321</v>
      </c>
      <c r="H1151" s="4" t="s">
        <v>3281</v>
      </c>
    </row>
    <row r="1152" ht="16.5" customHeight="1" spans="1:8">
      <c r="A1152" s="3">
        <v>1151</v>
      </c>
      <c r="B1152" s="3" t="s">
        <v>3430</v>
      </c>
      <c r="C1152" s="3" t="s">
        <v>1105</v>
      </c>
      <c r="D1152" s="4" t="s">
        <v>2018</v>
      </c>
      <c r="E1152" s="3" t="s">
        <v>1076</v>
      </c>
      <c r="F1152" s="3" t="s">
        <v>1358</v>
      </c>
      <c r="G1152" s="3" t="s">
        <v>321</v>
      </c>
      <c r="H1152" s="4" t="s">
        <v>3295</v>
      </c>
    </row>
    <row r="1153" ht="16.5" customHeight="1" spans="1:8">
      <c r="A1153" s="3">
        <v>1152</v>
      </c>
      <c r="B1153" s="3" t="s">
        <v>3431</v>
      </c>
      <c r="C1153" s="3" t="s">
        <v>1105</v>
      </c>
      <c r="D1153" s="4" t="s">
        <v>3432</v>
      </c>
      <c r="E1153" s="3" t="s">
        <v>1076</v>
      </c>
      <c r="F1153" s="3" t="s">
        <v>1358</v>
      </c>
      <c r="G1153" s="3" t="s">
        <v>321</v>
      </c>
      <c r="H1153" s="4" t="s">
        <v>3298</v>
      </c>
    </row>
    <row r="1154" ht="16.5" customHeight="1" spans="1:8">
      <c r="A1154" s="3">
        <v>1153</v>
      </c>
      <c r="B1154" s="3" t="s">
        <v>3433</v>
      </c>
      <c r="C1154" s="3" t="s">
        <v>1105</v>
      </c>
      <c r="D1154" s="4" t="s">
        <v>3434</v>
      </c>
      <c r="E1154" s="3" t="s">
        <v>1076</v>
      </c>
      <c r="F1154" s="3" t="s">
        <v>1358</v>
      </c>
      <c r="G1154" s="3" t="s">
        <v>321</v>
      </c>
      <c r="H1154" s="4" t="s">
        <v>3298</v>
      </c>
    </row>
    <row r="1155" ht="16.5" customHeight="1" spans="1:8">
      <c r="A1155" s="3">
        <v>1154</v>
      </c>
      <c r="B1155" s="3" t="s">
        <v>3435</v>
      </c>
      <c r="C1155" s="3" t="s">
        <v>1105</v>
      </c>
      <c r="D1155" s="4" t="s">
        <v>3436</v>
      </c>
      <c r="E1155" s="3" t="s">
        <v>1076</v>
      </c>
      <c r="F1155" s="3" t="s">
        <v>1358</v>
      </c>
      <c r="G1155" s="3" t="s">
        <v>321</v>
      </c>
      <c r="H1155" s="4" t="s">
        <v>3298</v>
      </c>
    </row>
    <row r="1156" ht="16.5" customHeight="1" spans="1:8">
      <c r="A1156" s="3">
        <v>1155</v>
      </c>
      <c r="B1156" s="3" t="s">
        <v>3437</v>
      </c>
      <c r="C1156" s="3" t="s">
        <v>1105</v>
      </c>
      <c r="D1156" s="4" t="s">
        <v>3438</v>
      </c>
      <c r="E1156" s="3" t="s">
        <v>1076</v>
      </c>
      <c r="F1156" s="3" t="s">
        <v>1358</v>
      </c>
      <c r="G1156" s="3" t="s">
        <v>321</v>
      </c>
      <c r="H1156" s="4" t="s">
        <v>3298</v>
      </c>
    </row>
    <row r="1157" ht="16.5" customHeight="1" spans="1:8">
      <c r="A1157" s="3">
        <v>1156</v>
      </c>
      <c r="B1157" s="3" t="s">
        <v>3439</v>
      </c>
      <c r="C1157" s="3" t="s">
        <v>1105</v>
      </c>
      <c r="D1157" s="4" t="s">
        <v>3440</v>
      </c>
      <c r="E1157" s="3" t="s">
        <v>1076</v>
      </c>
      <c r="F1157" s="3" t="s">
        <v>1077</v>
      </c>
      <c r="G1157" s="3"/>
      <c r="H1157" s="4" t="s">
        <v>1314</v>
      </c>
    </row>
    <row r="1158" ht="16.5" customHeight="1" spans="1:8">
      <c r="A1158" s="3">
        <v>1157</v>
      </c>
      <c r="B1158" s="3" t="s">
        <v>3441</v>
      </c>
      <c r="C1158" s="3" t="s">
        <v>1105</v>
      </c>
      <c r="D1158" s="4" t="s">
        <v>3442</v>
      </c>
      <c r="E1158" s="3" t="s">
        <v>1837</v>
      </c>
      <c r="F1158" s="3" t="s">
        <v>1077</v>
      </c>
      <c r="G1158" s="3"/>
      <c r="H1158" s="4" t="s">
        <v>1314</v>
      </c>
    </row>
    <row r="1159" ht="16.5" customHeight="1" spans="1:8">
      <c r="A1159" s="3">
        <v>1158</v>
      </c>
      <c r="B1159" s="3" t="s">
        <v>3443</v>
      </c>
      <c r="C1159" s="3" t="s">
        <v>1105</v>
      </c>
      <c r="D1159" s="4" t="s">
        <v>3444</v>
      </c>
      <c r="E1159" s="3" t="s">
        <v>1076</v>
      </c>
      <c r="F1159" s="3" t="s">
        <v>1077</v>
      </c>
      <c r="G1159" s="3"/>
      <c r="H1159" s="4" t="s">
        <v>1314</v>
      </c>
    </row>
    <row r="1160" ht="16.5" customHeight="1" spans="1:8">
      <c r="A1160" s="3">
        <v>1159</v>
      </c>
      <c r="B1160" s="3" t="s">
        <v>3445</v>
      </c>
      <c r="C1160" s="3" t="s">
        <v>1105</v>
      </c>
      <c r="D1160" s="4" t="s">
        <v>3446</v>
      </c>
      <c r="E1160" s="3" t="s">
        <v>1076</v>
      </c>
      <c r="F1160" s="3" t="s">
        <v>1077</v>
      </c>
      <c r="G1160" s="3"/>
      <c r="H1160" s="4" t="s">
        <v>1314</v>
      </c>
    </row>
    <row r="1161" ht="16.5" customHeight="1" spans="1:8">
      <c r="A1161" s="3">
        <v>1160</v>
      </c>
      <c r="B1161" s="3" t="s">
        <v>3447</v>
      </c>
      <c r="C1161" s="3" t="s">
        <v>1105</v>
      </c>
      <c r="D1161" s="4" t="s">
        <v>3448</v>
      </c>
      <c r="E1161" s="3" t="s">
        <v>1076</v>
      </c>
      <c r="F1161" s="3" t="s">
        <v>1077</v>
      </c>
      <c r="G1161" s="3"/>
      <c r="H1161" s="4" t="s">
        <v>1314</v>
      </c>
    </row>
    <row r="1162" ht="16.5" customHeight="1" spans="1:8">
      <c r="A1162" s="3">
        <v>1161</v>
      </c>
      <c r="B1162" s="3" t="s">
        <v>3449</v>
      </c>
      <c r="C1162" s="3" t="s">
        <v>1105</v>
      </c>
      <c r="D1162" s="4" t="s">
        <v>3450</v>
      </c>
      <c r="E1162" s="3" t="s">
        <v>1076</v>
      </c>
      <c r="F1162" s="3" t="s">
        <v>1077</v>
      </c>
      <c r="G1162" s="3"/>
      <c r="H1162" s="4" t="s">
        <v>1314</v>
      </c>
    </row>
    <row r="1163" ht="16.5" customHeight="1" spans="1:8">
      <c r="A1163" s="3">
        <v>1162</v>
      </c>
      <c r="B1163" s="3" t="s">
        <v>3451</v>
      </c>
      <c r="C1163" s="3" t="s">
        <v>1105</v>
      </c>
      <c r="D1163" s="4" t="s">
        <v>3452</v>
      </c>
      <c r="E1163" s="3" t="s">
        <v>1076</v>
      </c>
      <c r="F1163" s="3" t="s">
        <v>1077</v>
      </c>
      <c r="G1163" s="3"/>
      <c r="H1163" s="4" t="s">
        <v>1314</v>
      </c>
    </row>
    <row r="1164" ht="16.5" customHeight="1" spans="1:8">
      <c r="A1164" s="3">
        <v>1163</v>
      </c>
      <c r="B1164" s="3" t="s">
        <v>3453</v>
      </c>
      <c r="C1164" s="3" t="s">
        <v>1105</v>
      </c>
      <c r="D1164" s="4" t="s">
        <v>3454</v>
      </c>
      <c r="E1164" s="3" t="s">
        <v>1076</v>
      </c>
      <c r="F1164" s="3" t="s">
        <v>1077</v>
      </c>
      <c r="G1164" s="3"/>
      <c r="H1164" s="4" t="s">
        <v>1314</v>
      </c>
    </row>
    <row r="1165" ht="16.5" customHeight="1" spans="1:8">
      <c r="A1165" s="3">
        <v>1164</v>
      </c>
      <c r="B1165" s="3" t="s">
        <v>3455</v>
      </c>
      <c r="C1165" s="3" t="s">
        <v>1105</v>
      </c>
      <c r="D1165" s="4" t="s">
        <v>3456</v>
      </c>
      <c r="E1165" s="3" t="s">
        <v>1076</v>
      </c>
      <c r="F1165" s="3" t="s">
        <v>1077</v>
      </c>
      <c r="G1165" s="3"/>
      <c r="H1165" s="4" t="s">
        <v>1314</v>
      </c>
    </row>
    <row r="1166" ht="16.5" customHeight="1" spans="1:8">
      <c r="A1166" s="3">
        <v>1165</v>
      </c>
      <c r="B1166" s="3" t="s">
        <v>3457</v>
      </c>
      <c r="C1166" s="3" t="s">
        <v>1356</v>
      </c>
      <c r="D1166" s="4" t="s">
        <v>3458</v>
      </c>
      <c r="E1166" s="3" t="s">
        <v>1076</v>
      </c>
      <c r="F1166" s="3" t="s">
        <v>1358</v>
      </c>
      <c r="G1166" s="3"/>
      <c r="H1166" s="4" t="s">
        <v>1308</v>
      </c>
    </row>
    <row r="1167" ht="16.5" customHeight="1" spans="1:8">
      <c r="A1167" s="3">
        <v>1166</v>
      </c>
      <c r="B1167" s="3" t="s">
        <v>3459</v>
      </c>
      <c r="C1167" s="3" t="s">
        <v>1074</v>
      </c>
      <c r="D1167" s="4" t="s">
        <v>3460</v>
      </c>
      <c r="E1167" s="3" t="s">
        <v>1076</v>
      </c>
      <c r="F1167" s="3" t="s">
        <v>1077</v>
      </c>
      <c r="G1167" s="3" t="s">
        <v>321</v>
      </c>
      <c r="H1167" s="4" t="s">
        <v>3351</v>
      </c>
    </row>
    <row r="1168" ht="16.5" customHeight="1" spans="1:8">
      <c r="A1168" s="3">
        <v>1167</v>
      </c>
      <c r="B1168" s="3" t="s">
        <v>3461</v>
      </c>
      <c r="C1168" s="3" t="s">
        <v>1074</v>
      </c>
      <c r="D1168" s="4" t="s">
        <v>3462</v>
      </c>
      <c r="E1168" s="3" t="s">
        <v>1076</v>
      </c>
      <c r="F1168" s="3" t="s">
        <v>1077</v>
      </c>
      <c r="G1168" s="3" t="s">
        <v>321</v>
      </c>
      <c r="H1168" s="4" t="s">
        <v>3463</v>
      </c>
    </row>
    <row r="1169" ht="16.5" customHeight="1" spans="1:8">
      <c r="A1169" s="3">
        <v>1168</v>
      </c>
      <c r="B1169" s="3" t="s">
        <v>3464</v>
      </c>
      <c r="C1169" s="3" t="s">
        <v>1105</v>
      </c>
      <c r="D1169" s="4" t="s">
        <v>3465</v>
      </c>
      <c r="E1169" s="3" t="s">
        <v>1076</v>
      </c>
      <c r="F1169" s="3" t="s">
        <v>1077</v>
      </c>
      <c r="G1169" s="3" t="s">
        <v>321</v>
      </c>
      <c r="H1169" s="4" t="s">
        <v>3466</v>
      </c>
    </row>
    <row r="1170" ht="16.5" customHeight="1" spans="1:8">
      <c r="A1170" s="3">
        <v>1169</v>
      </c>
      <c r="B1170" s="3" t="s">
        <v>3467</v>
      </c>
      <c r="C1170" s="3" t="s">
        <v>1105</v>
      </c>
      <c r="D1170" s="4" t="s">
        <v>3468</v>
      </c>
      <c r="E1170" s="3" t="s">
        <v>1076</v>
      </c>
      <c r="F1170" s="3" t="s">
        <v>3128</v>
      </c>
      <c r="G1170" s="3" t="s">
        <v>321</v>
      </c>
      <c r="H1170" s="4" t="s">
        <v>3357</v>
      </c>
    </row>
    <row r="1171" ht="16.5" customHeight="1" spans="1:8">
      <c r="A1171" s="3">
        <v>1170</v>
      </c>
      <c r="B1171" s="3" t="s">
        <v>3469</v>
      </c>
      <c r="C1171" s="3" t="s">
        <v>1105</v>
      </c>
      <c r="D1171" s="4" t="s">
        <v>3470</v>
      </c>
      <c r="E1171" s="3" t="s">
        <v>1076</v>
      </c>
      <c r="F1171" s="3" t="s">
        <v>3128</v>
      </c>
      <c r="G1171" s="3" t="s">
        <v>321</v>
      </c>
      <c r="H1171" s="4" t="s">
        <v>3357</v>
      </c>
    </row>
    <row r="1172" ht="16.5" customHeight="1" spans="1:8">
      <c r="A1172" s="3">
        <v>1171</v>
      </c>
      <c r="B1172" s="3" t="s">
        <v>3471</v>
      </c>
      <c r="C1172" s="3" t="s">
        <v>1356</v>
      </c>
      <c r="D1172" s="4" t="s">
        <v>3472</v>
      </c>
      <c r="E1172" s="3" t="s">
        <v>1076</v>
      </c>
      <c r="F1172" s="3" t="s">
        <v>1077</v>
      </c>
      <c r="G1172" s="3"/>
      <c r="H1172" s="4" t="s">
        <v>1308</v>
      </c>
    </row>
    <row r="1173" ht="16.5" customHeight="1" spans="1:8">
      <c r="A1173" s="3">
        <v>1172</v>
      </c>
      <c r="B1173" s="3" t="s">
        <v>3473</v>
      </c>
      <c r="C1173" s="3" t="s">
        <v>1074</v>
      </c>
      <c r="D1173" s="4" t="s">
        <v>3474</v>
      </c>
      <c r="E1173" s="3" t="s">
        <v>1076</v>
      </c>
      <c r="F1173" s="3" t="s">
        <v>1077</v>
      </c>
      <c r="G1173" s="3" t="s">
        <v>321</v>
      </c>
      <c r="H1173" s="4" t="s">
        <v>1359</v>
      </c>
    </row>
    <row r="1174" ht="16.5" customHeight="1" spans="1:8">
      <c r="A1174" s="3">
        <v>1173</v>
      </c>
      <c r="B1174" s="3" t="s">
        <v>3475</v>
      </c>
      <c r="C1174" s="3" t="s">
        <v>1105</v>
      </c>
      <c r="D1174" s="4" t="s">
        <v>3476</v>
      </c>
      <c r="E1174" s="3" t="s">
        <v>1076</v>
      </c>
      <c r="F1174" s="3" t="s">
        <v>1077</v>
      </c>
      <c r="G1174" s="3" t="s">
        <v>321</v>
      </c>
      <c r="H1174" s="4" t="s">
        <v>3477</v>
      </c>
    </row>
    <row r="1175" ht="16.5" customHeight="1" spans="1:8">
      <c r="A1175" s="3">
        <v>1174</v>
      </c>
      <c r="B1175" s="3" t="s">
        <v>3478</v>
      </c>
      <c r="C1175" s="3" t="s">
        <v>1105</v>
      </c>
      <c r="D1175" s="4" t="s">
        <v>3479</v>
      </c>
      <c r="E1175" s="3" t="s">
        <v>1076</v>
      </c>
      <c r="F1175" s="3" t="s">
        <v>1077</v>
      </c>
      <c r="G1175" s="3" t="s">
        <v>321</v>
      </c>
      <c r="H1175" s="4" t="s">
        <v>3477</v>
      </c>
    </row>
    <row r="1176" ht="16.5" customHeight="1" spans="1:8">
      <c r="A1176" s="3">
        <v>1175</v>
      </c>
      <c r="B1176" s="3" t="s">
        <v>3480</v>
      </c>
      <c r="C1176" s="3" t="s">
        <v>1105</v>
      </c>
      <c r="D1176" s="4" t="s">
        <v>3481</v>
      </c>
      <c r="E1176" s="3" t="s">
        <v>1076</v>
      </c>
      <c r="F1176" s="3" t="s">
        <v>1077</v>
      </c>
      <c r="G1176" s="3" t="s">
        <v>321</v>
      </c>
      <c r="H1176" s="4" t="s">
        <v>3482</v>
      </c>
    </row>
    <row r="1177" ht="16.5" customHeight="1" spans="1:8">
      <c r="A1177" s="3">
        <v>1176</v>
      </c>
      <c r="B1177" s="3" t="s">
        <v>3483</v>
      </c>
      <c r="C1177" s="3" t="s">
        <v>1105</v>
      </c>
      <c r="D1177" s="4" t="s">
        <v>3484</v>
      </c>
      <c r="E1177" s="3" t="s">
        <v>1076</v>
      </c>
      <c r="F1177" s="3" t="s">
        <v>1077</v>
      </c>
      <c r="G1177" s="3" t="s">
        <v>321</v>
      </c>
      <c r="H1177" s="4" t="s">
        <v>3482</v>
      </c>
    </row>
    <row r="1178" ht="16.5" customHeight="1" spans="1:8">
      <c r="A1178" s="3">
        <v>1177</v>
      </c>
      <c r="B1178" s="3" t="s">
        <v>3485</v>
      </c>
      <c r="C1178" s="3" t="s">
        <v>1105</v>
      </c>
      <c r="D1178" s="4" t="s">
        <v>3486</v>
      </c>
      <c r="E1178" s="3" t="s">
        <v>1076</v>
      </c>
      <c r="F1178" s="3" t="s">
        <v>1719</v>
      </c>
      <c r="G1178" s="3"/>
      <c r="H1178" s="4" t="s">
        <v>3321</v>
      </c>
    </row>
    <row r="1179" ht="16.5" customHeight="1" spans="1:8">
      <c r="A1179" s="3">
        <v>1178</v>
      </c>
      <c r="B1179" s="3" t="s">
        <v>3487</v>
      </c>
      <c r="C1179" s="3" t="s">
        <v>1356</v>
      </c>
      <c r="D1179" s="4" t="s">
        <v>3488</v>
      </c>
      <c r="E1179" s="3" t="s">
        <v>1076</v>
      </c>
      <c r="F1179" s="3" t="s">
        <v>1358</v>
      </c>
      <c r="G1179" s="3" t="s">
        <v>321</v>
      </c>
      <c r="H1179" s="4" t="s">
        <v>1359</v>
      </c>
    </row>
    <row r="1180" ht="16.5" customHeight="1" spans="1:8">
      <c r="A1180" s="3">
        <v>1179</v>
      </c>
      <c r="B1180" s="3" t="s">
        <v>3489</v>
      </c>
      <c r="C1180" s="3" t="s">
        <v>1105</v>
      </c>
      <c r="D1180" s="4" t="s">
        <v>3490</v>
      </c>
      <c r="E1180" s="3" t="s">
        <v>1076</v>
      </c>
      <c r="F1180" s="3" t="s">
        <v>1358</v>
      </c>
      <c r="G1180" s="3"/>
      <c r="H1180" s="4" t="s">
        <v>3408</v>
      </c>
    </row>
    <row r="1181" ht="16.5" customHeight="1" spans="1:8">
      <c r="A1181" s="3">
        <v>1180</v>
      </c>
      <c r="B1181" s="3" t="s">
        <v>3491</v>
      </c>
      <c r="C1181" s="3" t="s">
        <v>2163</v>
      </c>
      <c r="D1181" s="4" t="s">
        <v>3492</v>
      </c>
      <c r="E1181" s="3" t="s">
        <v>1076</v>
      </c>
      <c r="F1181" s="3" t="s">
        <v>2105</v>
      </c>
      <c r="G1181" s="3" t="s">
        <v>321</v>
      </c>
      <c r="H1181" s="4" t="s">
        <v>1095</v>
      </c>
    </row>
    <row r="1182" ht="16.5" customHeight="1" spans="1:8">
      <c r="A1182" s="3">
        <v>1181</v>
      </c>
      <c r="B1182" s="3" t="s">
        <v>3493</v>
      </c>
      <c r="C1182" s="3" t="s">
        <v>1105</v>
      </c>
      <c r="D1182" s="4" t="s">
        <v>3494</v>
      </c>
      <c r="E1182" s="3" t="s">
        <v>1076</v>
      </c>
      <c r="F1182" s="3" t="s">
        <v>1350</v>
      </c>
      <c r="G1182" s="3"/>
      <c r="H1182" s="4" t="s">
        <v>2329</v>
      </c>
    </row>
    <row r="1183" ht="16.5" customHeight="1" spans="1:8">
      <c r="A1183" s="3">
        <v>1182</v>
      </c>
      <c r="B1183" s="3" t="s">
        <v>3495</v>
      </c>
      <c r="C1183" s="3" t="s">
        <v>1105</v>
      </c>
      <c r="D1183" s="4" t="s">
        <v>3496</v>
      </c>
      <c r="E1183" s="3" t="s">
        <v>1076</v>
      </c>
      <c r="F1183" s="3" t="s">
        <v>1358</v>
      </c>
      <c r="G1183" s="3"/>
      <c r="H1183" s="4" t="s">
        <v>3298</v>
      </c>
    </row>
    <row r="1184" ht="16.5" customHeight="1" spans="1:8">
      <c r="A1184" s="3">
        <v>1183</v>
      </c>
      <c r="B1184" s="3" t="s">
        <v>3497</v>
      </c>
      <c r="C1184" s="3" t="s">
        <v>1105</v>
      </c>
      <c r="D1184" s="4" t="s">
        <v>3498</v>
      </c>
      <c r="E1184" s="3" t="s">
        <v>1076</v>
      </c>
      <c r="F1184" s="3" t="s">
        <v>1358</v>
      </c>
      <c r="G1184" s="3"/>
      <c r="H1184" s="4" t="s">
        <v>3295</v>
      </c>
    </row>
    <row r="1185" ht="16.5" customHeight="1" spans="1:8">
      <c r="A1185" s="3">
        <v>1184</v>
      </c>
      <c r="B1185" s="3" t="s">
        <v>3499</v>
      </c>
      <c r="C1185" s="3" t="s">
        <v>1105</v>
      </c>
      <c r="D1185" s="4" t="s">
        <v>3500</v>
      </c>
      <c r="E1185" s="3" t="s">
        <v>1076</v>
      </c>
      <c r="F1185" s="3" t="s">
        <v>1719</v>
      </c>
      <c r="G1185" s="3"/>
      <c r="H1185" s="4" t="s">
        <v>3321</v>
      </c>
    </row>
    <row r="1186" ht="16.5" customHeight="1" spans="1:8">
      <c r="A1186" s="3">
        <v>1185</v>
      </c>
      <c r="B1186" s="3" t="s">
        <v>3501</v>
      </c>
      <c r="C1186" s="3" t="s">
        <v>1105</v>
      </c>
      <c r="D1186" s="4" t="s">
        <v>3502</v>
      </c>
      <c r="E1186" s="3" t="s">
        <v>1076</v>
      </c>
      <c r="F1186" s="3" t="s">
        <v>1719</v>
      </c>
      <c r="G1186" s="3"/>
      <c r="H1186" s="4" t="s">
        <v>3321</v>
      </c>
    </row>
    <row r="1187" ht="16.5" customHeight="1" spans="1:8">
      <c r="A1187" s="3">
        <v>1186</v>
      </c>
      <c r="B1187" s="3" t="s">
        <v>3503</v>
      </c>
      <c r="C1187" s="3" t="s">
        <v>1105</v>
      </c>
      <c r="D1187" s="4" t="s">
        <v>3504</v>
      </c>
      <c r="E1187" s="3" t="s">
        <v>1076</v>
      </c>
      <c r="F1187" s="3" t="s">
        <v>1719</v>
      </c>
      <c r="G1187" s="3"/>
      <c r="H1187" s="4" t="s">
        <v>3324</v>
      </c>
    </row>
    <row r="1188" ht="16.5" customHeight="1" spans="1:8">
      <c r="A1188" s="3">
        <v>1187</v>
      </c>
      <c r="B1188" s="3" t="s">
        <v>3505</v>
      </c>
      <c r="C1188" s="3" t="s">
        <v>2163</v>
      </c>
      <c r="D1188" s="4" t="s">
        <v>3506</v>
      </c>
      <c r="E1188" s="3" t="s">
        <v>1076</v>
      </c>
      <c r="F1188" s="3" t="s">
        <v>1358</v>
      </c>
      <c r="G1188" s="3" t="s">
        <v>321</v>
      </c>
      <c r="H1188" s="4" t="s">
        <v>1095</v>
      </c>
    </row>
    <row r="1189" ht="16.5" customHeight="1" spans="1:8">
      <c r="A1189" s="3">
        <v>1188</v>
      </c>
      <c r="B1189" s="3" t="s">
        <v>3507</v>
      </c>
      <c r="C1189" s="3" t="s">
        <v>2163</v>
      </c>
      <c r="D1189" s="4" t="s">
        <v>3508</v>
      </c>
      <c r="E1189" s="3" t="s">
        <v>1076</v>
      </c>
      <c r="F1189" s="3" t="s">
        <v>1358</v>
      </c>
      <c r="G1189" s="3"/>
      <c r="H1189" s="4" t="s">
        <v>1095</v>
      </c>
    </row>
    <row r="1190" ht="16.5" customHeight="1" spans="1:8">
      <c r="A1190" s="3">
        <v>1189</v>
      </c>
      <c r="B1190" s="3" t="s">
        <v>3509</v>
      </c>
      <c r="C1190" s="3" t="s">
        <v>2163</v>
      </c>
      <c r="D1190" s="4" t="s">
        <v>3510</v>
      </c>
      <c r="E1190" s="3" t="s">
        <v>1076</v>
      </c>
      <c r="F1190" s="3" t="s">
        <v>2041</v>
      </c>
      <c r="G1190" s="3" t="s">
        <v>321</v>
      </c>
      <c r="H1190" s="4" t="s">
        <v>1095</v>
      </c>
    </row>
    <row r="1191" ht="16.5" customHeight="1" spans="1:8">
      <c r="A1191" s="3">
        <v>1190</v>
      </c>
      <c r="B1191" s="3" t="s">
        <v>3511</v>
      </c>
      <c r="C1191" s="3" t="s">
        <v>1356</v>
      </c>
      <c r="D1191" s="4" t="s">
        <v>3512</v>
      </c>
      <c r="E1191" s="3" t="s">
        <v>1076</v>
      </c>
      <c r="F1191" s="3" t="s">
        <v>1077</v>
      </c>
      <c r="G1191" s="3" t="s">
        <v>321</v>
      </c>
      <c r="H1191" s="4" t="s">
        <v>3351</v>
      </c>
    </row>
    <row r="1192" ht="16.5" customHeight="1" spans="1:8">
      <c r="A1192" s="3">
        <v>1191</v>
      </c>
      <c r="B1192" s="3" t="s">
        <v>3513</v>
      </c>
      <c r="C1192" s="3" t="s">
        <v>1356</v>
      </c>
      <c r="D1192" s="4" t="s">
        <v>3514</v>
      </c>
      <c r="E1192" s="3" t="s">
        <v>1076</v>
      </c>
      <c r="F1192" s="3" t="s">
        <v>1077</v>
      </c>
      <c r="G1192" s="3" t="s">
        <v>321</v>
      </c>
      <c r="H1192" s="4" t="s">
        <v>3351</v>
      </c>
    </row>
    <row r="1193" ht="16.5" customHeight="1" spans="1:8">
      <c r="A1193" s="3">
        <v>1192</v>
      </c>
      <c r="B1193" s="3" t="s">
        <v>3515</v>
      </c>
      <c r="C1193" s="3" t="s">
        <v>1356</v>
      </c>
      <c r="D1193" s="4" t="s">
        <v>3516</v>
      </c>
      <c r="E1193" s="3" t="s">
        <v>1076</v>
      </c>
      <c r="F1193" s="3" t="s">
        <v>1077</v>
      </c>
      <c r="G1193" s="3" t="s">
        <v>321</v>
      </c>
      <c r="H1193" s="4" t="s">
        <v>3351</v>
      </c>
    </row>
    <row r="1194" ht="16.5" customHeight="1" spans="1:8">
      <c r="A1194" s="3">
        <v>1193</v>
      </c>
      <c r="B1194" s="3" t="s">
        <v>3517</v>
      </c>
      <c r="C1194" s="3" t="s">
        <v>1356</v>
      </c>
      <c r="D1194" s="4" t="s">
        <v>3518</v>
      </c>
      <c r="E1194" s="3" t="s">
        <v>1076</v>
      </c>
      <c r="F1194" s="3" t="s">
        <v>1077</v>
      </c>
      <c r="G1194" s="3" t="s">
        <v>321</v>
      </c>
      <c r="H1194" s="4" t="s">
        <v>3351</v>
      </c>
    </row>
    <row r="1195" ht="16.5" customHeight="1" spans="1:8">
      <c r="A1195" s="3">
        <v>1194</v>
      </c>
      <c r="B1195" s="3" t="s">
        <v>3519</v>
      </c>
      <c r="C1195" s="3" t="s">
        <v>1356</v>
      </c>
      <c r="D1195" s="4" t="s">
        <v>3520</v>
      </c>
      <c r="E1195" s="3" t="s">
        <v>1076</v>
      </c>
      <c r="F1195" s="3" t="s">
        <v>1077</v>
      </c>
      <c r="G1195" s="3" t="s">
        <v>321</v>
      </c>
      <c r="H1195" s="4" t="s">
        <v>3351</v>
      </c>
    </row>
    <row r="1196" ht="16.5" customHeight="1" spans="1:8">
      <c r="A1196" s="3">
        <v>1195</v>
      </c>
      <c r="B1196" s="3" t="s">
        <v>3521</v>
      </c>
      <c r="C1196" s="3" t="s">
        <v>1105</v>
      </c>
      <c r="D1196" s="4" t="s">
        <v>3522</v>
      </c>
      <c r="E1196" s="3" t="s">
        <v>1076</v>
      </c>
      <c r="F1196" s="3" t="s">
        <v>1077</v>
      </c>
      <c r="G1196" s="3" t="s">
        <v>321</v>
      </c>
      <c r="H1196" s="4" t="s">
        <v>3523</v>
      </c>
    </row>
    <row r="1197" ht="16.5" customHeight="1" spans="1:8">
      <c r="A1197" s="3">
        <v>1196</v>
      </c>
      <c r="B1197" s="3" t="s">
        <v>3524</v>
      </c>
      <c r="C1197" s="3" t="s">
        <v>1105</v>
      </c>
      <c r="D1197" s="4" t="s">
        <v>3525</v>
      </c>
      <c r="E1197" s="3" t="s">
        <v>1076</v>
      </c>
      <c r="F1197" s="3" t="s">
        <v>1077</v>
      </c>
      <c r="G1197" s="3" t="s">
        <v>321</v>
      </c>
      <c r="H1197" s="4" t="s">
        <v>3523</v>
      </c>
    </row>
    <row r="1198" ht="16.5" customHeight="1" spans="1:8">
      <c r="A1198" s="3">
        <v>1197</v>
      </c>
      <c r="B1198" s="3" t="s">
        <v>3526</v>
      </c>
      <c r="C1198" s="3" t="s">
        <v>1105</v>
      </c>
      <c r="D1198" s="4" t="s">
        <v>3527</v>
      </c>
      <c r="E1198" s="3" t="s">
        <v>1076</v>
      </c>
      <c r="F1198" s="3" t="s">
        <v>1077</v>
      </c>
      <c r="G1198" s="3" t="s">
        <v>321</v>
      </c>
      <c r="H1198" s="4" t="s">
        <v>3523</v>
      </c>
    </row>
    <row r="1199" ht="16.5" customHeight="1" spans="1:8">
      <c r="A1199" s="3">
        <v>1198</v>
      </c>
      <c r="B1199" s="3" t="s">
        <v>3528</v>
      </c>
      <c r="C1199" s="3" t="s">
        <v>1105</v>
      </c>
      <c r="D1199" s="4" t="s">
        <v>3529</v>
      </c>
      <c r="E1199" s="3" t="s">
        <v>1076</v>
      </c>
      <c r="F1199" s="3" t="s">
        <v>1077</v>
      </c>
      <c r="G1199" s="3" t="s">
        <v>321</v>
      </c>
      <c r="H1199" s="4" t="s">
        <v>3523</v>
      </c>
    </row>
    <row r="1200" ht="16.5" customHeight="1" spans="1:8">
      <c r="A1200" s="3">
        <v>1199</v>
      </c>
      <c r="B1200" s="3" t="s">
        <v>3530</v>
      </c>
      <c r="C1200" s="3" t="s">
        <v>1105</v>
      </c>
      <c r="D1200" s="4" t="s">
        <v>3531</v>
      </c>
      <c r="E1200" s="3" t="s">
        <v>1076</v>
      </c>
      <c r="F1200" s="3" t="s">
        <v>1077</v>
      </c>
      <c r="G1200" s="3" t="s">
        <v>321</v>
      </c>
      <c r="H1200" s="4" t="s">
        <v>3532</v>
      </c>
    </row>
    <row r="1201" ht="16.5" customHeight="1" spans="1:8">
      <c r="A1201" s="3">
        <v>1200</v>
      </c>
      <c r="B1201" s="3" t="s">
        <v>3533</v>
      </c>
      <c r="C1201" s="3" t="s">
        <v>1105</v>
      </c>
      <c r="D1201" s="4" t="s">
        <v>3534</v>
      </c>
      <c r="E1201" s="3" t="s">
        <v>1076</v>
      </c>
      <c r="F1201" s="3" t="s">
        <v>1077</v>
      </c>
      <c r="G1201" s="3" t="s">
        <v>321</v>
      </c>
      <c r="H1201" s="4" t="s">
        <v>3535</v>
      </c>
    </row>
    <row r="1202" ht="16.5" customHeight="1" spans="1:8">
      <c r="A1202" s="3">
        <v>1201</v>
      </c>
      <c r="B1202" s="3" t="s">
        <v>3536</v>
      </c>
      <c r="C1202" s="3" t="s">
        <v>1105</v>
      </c>
      <c r="D1202" s="4" t="s">
        <v>3537</v>
      </c>
      <c r="E1202" s="3" t="s">
        <v>1076</v>
      </c>
      <c r="F1202" s="3" t="s">
        <v>1077</v>
      </c>
      <c r="G1202" s="3" t="s">
        <v>321</v>
      </c>
      <c r="H1202" s="4" t="s">
        <v>3535</v>
      </c>
    </row>
    <row r="1203" ht="16.5" customHeight="1" spans="1:8">
      <c r="A1203" s="3">
        <v>1202</v>
      </c>
      <c r="B1203" s="3" t="s">
        <v>3538</v>
      </c>
      <c r="C1203" s="3" t="s">
        <v>1105</v>
      </c>
      <c r="D1203" s="4" t="s">
        <v>3539</v>
      </c>
      <c r="E1203" s="3" t="s">
        <v>1076</v>
      </c>
      <c r="F1203" s="3" t="s">
        <v>1077</v>
      </c>
      <c r="G1203" s="3" t="s">
        <v>321</v>
      </c>
      <c r="H1203" s="4" t="s">
        <v>3535</v>
      </c>
    </row>
    <row r="1204" ht="16.5" customHeight="1" spans="1:8">
      <c r="A1204" s="3">
        <v>1203</v>
      </c>
      <c r="B1204" s="3" t="s">
        <v>3540</v>
      </c>
      <c r="C1204" s="3" t="s">
        <v>1105</v>
      </c>
      <c r="D1204" s="4" t="s">
        <v>3541</v>
      </c>
      <c r="E1204" s="3" t="s">
        <v>1076</v>
      </c>
      <c r="F1204" s="3" t="s">
        <v>1077</v>
      </c>
      <c r="G1204" s="3" t="s">
        <v>321</v>
      </c>
      <c r="H1204" s="4" t="s">
        <v>3542</v>
      </c>
    </row>
    <row r="1205" ht="16.5" customHeight="1" spans="1:8">
      <c r="A1205" s="3">
        <v>1204</v>
      </c>
      <c r="B1205" s="3" t="s">
        <v>3543</v>
      </c>
      <c r="C1205" s="3" t="s">
        <v>1105</v>
      </c>
      <c r="D1205" s="4" t="s">
        <v>3544</v>
      </c>
      <c r="E1205" s="3" t="s">
        <v>1076</v>
      </c>
      <c r="F1205" s="3" t="s">
        <v>1077</v>
      </c>
      <c r="G1205" s="3" t="s">
        <v>321</v>
      </c>
      <c r="H1205" s="4" t="s">
        <v>3542</v>
      </c>
    </row>
    <row r="1206" ht="16.5" customHeight="1" spans="1:8">
      <c r="A1206" s="3">
        <v>1205</v>
      </c>
      <c r="B1206" s="3" t="s">
        <v>3545</v>
      </c>
      <c r="C1206" s="3" t="s">
        <v>1105</v>
      </c>
      <c r="D1206" s="4" t="s">
        <v>3546</v>
      </c>
      <c r="E1206" s="3" t="s">
        <v>1837</v>
      </c>
      <c r="F1206" s="3" t="s">
        <v>1077</v>
      </c>
      <c r="G1206" s="3" t="s">
        <v>321</v>
      </c>
      <c r="H1206" s="4" t="s">
        <v>3547</v>
      </c>
    </row>
    <row r="1207" ht="16.5" customHeight="1" spans="1:8">
      <c r="A1207" s="3">
        <v>1206</v>
      </c>
      <c r="B1207" s="3" t="s">
        <v>3548</v>
      </c>
      <c r="C1207" s="3" t="s">
        <v>1105</v>
      </c>
      <c r="D1207" s="4" t="s">
        <v>3549</v>
      </c>
      <c r="E1207" s="3" t="s">
        <v>1837</v>
      </c>
      <c r="F1207" s="3" t="s">
        <v>1077</v>
      </c>
      <c r="G1207" s="3" t="s">
        <v>321</v>
      </c>
      <c r="H1207" s="4" t="s">
        <v>3547</v>
      </c>
    </row>
    <row r="1208" ht="16.5" customHeight="1" spans="1:8">
      <c r="A1208" s="3">
        <v>1207</v>
      </c>
      <c r="B1208" s="3" t="s">
        <v>3550</v>
      </c>
      <c r="C1208" s="3" t="s">
        <v>1105</v>
      </c>
      <c r="D1208" s="4" t="s">
        <v>3551</v>
      </c>
      <c r="E1208" s="3" t="s">
        <v>1837</v>
      </c>
      <c r="F1208" s="3" t="s">
        <v>1077</v>
      </c>
      <c r="G1208" s="3" t="s">
        <v>321</v>
      </c>
      <c r="H1208" s="4" t="s">
        <v>3547</v>
      </c>
    </row>
    <row r="1209" ht="16.5" customHeight="1" spans="1:8">
      <c r="A1209" s="3">
        <v>1208</v>
      </c>
      <c r="B1209" s="3" t="s">
        <v>3552</v>
      </c>
      <c r="C1209" s="3" t="s">
        <v>1105</v>
      </c>
      <c r="D1209" s="4" t="s">
        <v>3553</v>
      </c>
      <c r="E1209" s="3" t="s">
        <v>1076</v>
      </c>
      <c r="F1209" s="3" t="s">
        <v>1077</v>
      </c>
      <c r="G1209" s="3" t="s">
        <v>321</v>
      </c>
      <c r="H1209" s="4" t="s">
        <v>3554</v>
      </c>
    </row>
    <row r="1210" ht="16.5" customHeight="1" spans="1:8">
      <c r="A1210" s="3">
        <v>1209</v>
      </c>
      <c r="B1210" s="3" t="s">
        <v>3555</v>
      </c>
      <c r="C1210" s="3" t="s">
        <v>1105</v>
      </c>
      <c r="D1210" s="4" t="s">
        <v>3556</v>
      </c>
      <c r="E1210" s="3" t="s">
        <v>1076</v>
      </c>
      <c r="F1210" s="3" t="s">
        <v>1077</v>
      </c>
      <c r="G1210" s="3" t="s">
        <v>321</v>
      </c>
      <c r="H1210" s="4" t="s">
        <v>3554</v>
      </c>
    </row>
    <row r="1211" ht="16.5" customHeight="1" spans="1:8">
      <c r="A1211" s="3">
        <v>1210</v>
      </c>
      <c r="B1211" s="3" t="s">
        <v>3557</v>
      </c>
      <c r="C1211" s="3" t="s">
        <v>1105</v>
      </c>
      <c r="D1211" s="4" t="s">
        <v>3558</v>
      </c>
      <c r="E1211" s="3" t="s">
        <v>1076</v>
      </c>
      <c r="F1211" s="3" t="s">
        <v>1077</v>
      </c>
      <c r="G1211" s="3" t="s">
        <v>321</v>
      </c>
      <c r="H1211" s="4" t="s">
        <v>3554</v>
      </c>
    </row>
    <row r="1212" ht="16.5" customHeight="1" spans="1:8">
      <c r="A1212" s="3">
        <v>1211</v>
      </c>
      <c r="B1212" s="3" t="s">
        <v>3559</v>
      </c>
      <c r="C1212" s="3" t="s">
        <v>2163</v>
      </c>
      <c r="D1212" s="4" t="s">
        <v>3560</v>
      </c>
      <c r="E1212" s="3" t="s">
        <v>1076</v>
      </c>
      <c r="F1212" s="3" t="s">
        <v>2041</v>
      </c>
      <c r="G1212" s="3" t="s">
        <v>321</v>
      </c>
      <c r="H1212" s="4" t="s">
        <v>1095</v>
      </c>
    </row>
    <row r="1213" ht="16.5" customHeight="1" spans="1:8">
      <c r="A1213" s="3">
        <v>1212</v>
      </c>
      <c r="B1213" s="3" t="s">
        <v>3561</v>
      </c>
      <c r="C1213" s="3" t="s">
        <v>1105</v>
      </c>
      <c r="D1213" s="4" t="s">
        <v>3562</v>
      </c>
      <c r="E1213" s="3" t="s">
        <v>1076</v>
      </c>
      <c r="F1213" s="3" t="s">
        <v>1719</v>
      </c>
      <c r="G1213" s="3"/>
      <c r="H1213" s="4" t="s">
        <v>3401</v>
      </c>
    </row>
    <row r="1214" ht="16.5" customHeight="1" spans="1:8">
      <c r="A1214" s="3">
        <v>1213</v>
      </c>
      <c r="B1214" s="3" t="s">
        <v>3563</v>
      </c>
      <c r="C1214" s="3" t="s">
        <v>1074</v>
      </c>
      <c r="D1214" s="4" t="s">
        <v>3564</v>
      </c>
      <c r="E1214" s="3" t="s">
        <v>1076</v>
      </c>
      <c r="F1214" s="3" t="s">
        <v>1719</v>
      </c>
      <c r="G1214" s="3"/>
      <c r="H1214" s="4" t="s">
        <v>1368</v>
      </c>
    </row>
    <row r="1215" ht="16.5" customHeight="1" spans="1:8">
      <c r="A1215" s="3">
        <v>1214</v>
      </c>
      <c r="B1215" s="3" t="s">
        <v>3565</v>
      </c>
      <c r="C1215" s="3" t="s">
        <v>1074</v>
      </c>
      <c r="D1215" s="4" t="s">
        <v>3566</v>
      </c>
      <c r="E1215" s="3" t="s">
        <v>1076</v>
      </c>
      <c r="F1215" s="3" t="s">
        <v>1719</v>
      </c>
      <c r="G1215" s="3" t="s">
        <v>321</v>
      </c>
      <c r="H1215" s="4" t="s">
        <v>1359</v>
      </c>
    </row>
    <row r="1216" ht="16.5" customHeight="1" spans="1:8">
      <c r="A1216" s="3">
        <v>1215</v>
      </c>
      <c r="B1216" s="3" t="s">
        <v>3567</v>
      </c>
      <c r="C1216" s="3" t="s">
        <v>1074</v>
      </c>
      <c r="D1216" s="4" t="s">
        <v>3568</v>
      </c>
      <c r="E1216" s="3" t="s">
        <v>1076</v>
      </c>
      <c r="F1216" s="3" t="s">
        <v>1719</v>
      </c>
      <c r="G1216" s="3" t="s">
        <v>321</v>
      </c>
      <c r="H1216" s="4" t="s">
        <v>1368</v>
      </c>
    </row>
    <row r="1217" ht="16.5" customHeight="1" spans="1:8">
      <c r="A1217" s="3">
        <v>1216</v>
      </c>
      <c r="B1217" s="3" t="s">
        <v>3569</v>
      </c>
      <c r="C1217" s="3" t="s">
        <v>1074</v>
      </c>
      <c r="D1217" s="4" t="s">
        <v>3570</v>
      </c>
      <c r="E1217" s="3" t="s">
        <v>1076</v>
      </c>
      <c r="F1217" s="3" t="s">
        <v>1719</v>
      </c>
      <c r="G1217" s="3" t="s">
        <v>321</v>
      </c>
      <c r="H1217" s="4" t="s">
        <v>1308</v>
      </c>
    </row>
    <row r="1218" ht="16.5" customHeight="1" spans="1:8">
      <c r="A1218" s="3">
        <v>1217</v>
      </c>
      <c r="B1218" s="3" t="s">
        <v>3571</v>
      </c>
      <c r="C1218" s="3" t="s">
        <v>1356</v>
      </c>
      <c r="D1218" s="4" t="s">
        <v>3572</v>
      </c>
      <c r="E1218" s="3" t="s">
        <v>1076</v>
      </c>
      <c r="F1218" s="3" t="s">
        <v>1077</v>
      </c>
      <c r="G1218" s="3" t="s">
        <v>321</v>
      </c>
      <c r="H1218" s="4" t="s">
        <v>3351</v>
      </c>
    </row>
    <row r="1219" ht="16.5" customHeight="1" spans="1:8">
      <c r="A1219" s="3">
        <v>1218</v>
      </c>
      <c r="B1219" s="3" t="s">
        <v>3573</v>
      </c>
      <c r="C1219" s="3" t="s">
        <v>1356</v>
      </c>
      <c r="D1219" s="4" t="s">
        <v>3574</v>
      </c>
      <c r="E1219" s="3" t="s">
        <v>1076</v>
      </c>
      <c r="F1219" s="3" t="s">
        <v>1077</v>
      </c>
      <c r="G1219" s="3" t="s">
        <v>321</v>
      </c>
      <c r="H1219" s="4" t="s">
        <v>3351</v>
      </c>
    </row>
    <row r="1220" ht="16.5" customHeight="1" spans="1:8">
      <c r="A1220" s="3">
        <v>1219</v>
      </c>
      <c r="B1220" s="3" t="s">
        <v>3575</v>
      </c>
      <c r="C1220" s="3" t="s">
        <v>1356</v>
      </c>
      <c r="D1220" s="4" t="s">
        <v>3576</v>
      </c>
      <c r="E1220" s="3" t="s">
        <v>1076</v>
      </c>
      <c r="F1220" s="3" t="s">
        <v>1077</v>
      </c>
      <c r="G1220" s="3" t="s">
        <v>321</v>
      </c>
      <c r="H1220" s="4" t="s">
        <v>3351</v>
      </c>
    </row>
    <row r="1221" ht="16.5" customHeight="1" spans="1:8">
      <c r="A1221" s="3">
        <v>1220</v>
      </c>
      <c r="B1221" s="3" t="s">
        <v>3577</v>
      </c>
      <c r="C1221" s="3" t="s">
        <v>1105</v>
      </c>
      <c r="D1221" s="4" t="s">
        <v>3578</v>
      </c>
      <c r="E1221" s="3" t="s">
        <v>1837</v>
      </c>
      <c r="F1221" s="3" t="s">
        <v>1077</v>
      </c>
      <c r="G1221" s="3" t="s">
        <v>321</v>
      </c>
      <c r="H1221" s="4" t="s">
        <v>3579</v>
      </c>
    </row>
    <row r="1222" ht="16.5" customHeight="1" spans="1:8">
      <c r="A1222" s="3">
        <v>1221</v>
      </c>
      <c r="B1222" s="3" t="s">
        <v>3580</v>
      </c>
      <c r="C1222" s="3" t="s">
        <v>1105</v>
      </c>
      <c r="D1222" s="4" t="s">
        <v>3581</v>
      </c>
      <c r="E1222" s="3" t="s">
        <v>1076</v>
      </c>
      <c r="F1222" s="3" t="s">
        <v>1077</v>
      </c>
      <c r="G1222" s="3" t="s">
        <v>321</v>
      </c>
      <c r="H1222" s="4" t="s">
        <v>3582</v>
      </c>
    </row>
    <row r="1223" ht="16.5" customHeight="1" spans="1:8">
      <c r="A1223" s="3">
        <v>1222</v>
      </c>
      <c r="B1223" s="3" t="s">
        <v>3583</v>
      </c>
      <c r="C1223" s="3" t="s">
        <v>1105</v>
      </c>
      <c r="D1223" s="4" t="s">
        <v>3584</v>
      </c>
      <c r="E1223" s="3" t="s">
        <v>1076</v>
      </c>
      <c r="F1223" s="3" t="s">
        <v>1077</v>
      </c>
      <c r="G1223" s="3" t="s">
        <v>321</v>
      </c>
      <c r="H1223" s="4" t="s">
        <v>3582</v>
      </c>
    </row>
    <row r="1224" ht="16.5" customHeight="1" spans="1:8">
      <c r="A1224" s="3">
        <v>1223</v>
      </c>
      <c r="B1224" s="3" t="s">
        <v>3585</v>
      </c>
      <c r="C1224" s="3" t="s">
        <v>1105</v>
      </c>
      <c r="D1224" s="4" t="s">
        <v>3586</v>
      </c>
      <c r="E1224" s="3" t="s">
        <v>1076</v>
      </c>
      <c r="F1224" s="3" t="s">
        <v>1077</v>
      </c>
      <c r="G1224" s="3" t="s">
        <v>321</v>
      </c>
      <c r="H1224" s="4" t="s">
        <v>3587</v>
      </c>
    </row>
    <row r="1225" ht="16.5" customHeight="1" spans="1:8">
      <c r="A1225" s="3">
        <v>1224</v>
      </c>
      <c r="B1225" s="3" t="s">
        <v>3588</v>
      </c>
      <c r="C1225" s="3" t="s">
        <v>1105</v>
      </c>
      <c r="D1225" s="4" t="s">
        <v>3589</v>
      </c>
      <c r="E1225" s="3" t="s">
        <v>1076</v>
      </c>
      <c r="F1225" s="3" t="s">
        <v>1077</v>
      </c>
      <c r="G1225" s="3" t="s">
        <v>321</v>
      </c>
      <c r="H1225" s="4" t="s">
        <v>3542</v>
      </c>
    </row>
    <row r="1226" ht="16.5" customHeight="1" spans="1:8">
      <c r="A1226" s="3">
        <v>1225</v>
      </c>
      <c r="B1226" s="3" t="s">
        <v>3590</v>
      </c>
      <c r="C1226" s="3" t="s">
        <v>1074</v>
      </c>
      <c r="D1226" s="4" t="s">
        <v>3591</v>
      </c>
      <c r="E1226" s="3" t="s">
        <v>1076</v>
      </c>
      <c r="F1226" s="3" t="s">
        <v>1077</v>
      </c>
      <c r="G1226" s="3" t="s">
        <v>321</v>
      </c>
      <c r="H1226" s="4" t="s">
        <v>3351</v>
      </c>
    </row>
    <row r="1227" ht="16.5" customHeight="1" spans="1:8">
      <c r="A1227" s="3">
        <v>1226</v>
      </c>
      <c r="B1227" s="3" t="s">
        <v>3592</v>
      </c>
      <c r="C1227" s="3" t="s">
        <v>1074</v>
      </c>
      <c r="D1227" s="4" t="s">
        <v>3593</v>
      </c>
      <c r="E1227" s="3" t="s">
        <v>1076</v>
      </c>
      <c r="F1227" s="3" t="s">
        <v>1077</v>
      </c>
      <c r="G1227" s="3" t="s">
        <v>321</v>
      </c>
      <c r="H1227" s="4" t="s">
        <v>3351</v>
      </c>
    </row>
    <row r="1228" ht="16.5" customHeight="1" spans="1:8">
      <c r="A1228" s="3">
        <v>1227</v>
      </c>
      <c r="B1228" s="3" t="s">
        <v>3594</v>
      </c>
      <c r="C1228" s="3" t="s">
        <v>1074</v>
      </c>
      <c r="D1228" s="4" t="s">
        <v>3595</v>
      </c>
      <c r="E1228" s="3" t="s">
        <v>1076</v>
      </c>
      <c r="F1228" s="3" t="s">
        <v>1077</v>
      </c>
      <c r="G1228" s="3" t="s">
        <v>321</v>
      </c>
      <c r="H1228" s="4" t="s">
        <v>3351</v>
      </c>
    </row>
    <row r="1229" ht="16.5" customHeight="1" spans="1:8">
      <c r="A1229" s="3">
        <v>1228</v>
      </c>
      <c r="B1229" s="3" t="s">
        <v>3596</v>
      </c>
      <c r="C1229" s="3" t="s">
        <v>1074</v>
      </c>
      <c r="D1229" s="4" t="s">
        <v>3597</v>
      </c>
      <c r="E1229" s="3" t="s">
        <v>1076</v>
      </c>
      <c r="F1229" s="3" t="s">
        <v>1077</v>
      </c>
      <c r="G1229" s="3" t="s">
        <v>321</v>
      </c>
      <c r="H1229" s="4" t="s">
        <v>3351</v>
      </c>
    </row>
    <row r="1230" ht="16.5" customHeight="1" spans="1:8">
      <c r="A1230" s="3">
        <v>1229</v>
      </c>
      <c r="B1230" s="3" t="s">
        <v>3598</v>
      </c>
      <c r="C1230" s="3" t="s">
        <v>1074</v>
      </c>
      <c r="D1230" s="4" t="s">
        <v>3599</v>
      </c>
      <c r="E1230" s="3" t="s">
        <v>1076</v>
      </c>
      <c r="F1230" s="3" t="s">
        <v>1077</v>
      </c>
      <c r="G1230" s="3" t="s">
        <v>321</v>
      </c>
      <c r="H1230" s="4" t="s">
        <v>3351</v>
      </c>
    </row>
    <row r="1231" ht="16.5" customHeight="1" spans="1:8">
      <c r="A1231" s="3">
        <v>1230</v>
      </c>
      <c r="B1231" s="3" t="s">
        <v>3600</v>
      </c>
      <c r="C1231" s="3" t="s">
        <v>1074</v>
      </c>
      <c r="D1231" s="4" t="s">
        <v>3601</v>
      </c>
      <c r="E1231" s="3" t="s">
        <v>1164</v>
      </c>
      <c r="F1231" s="3" t="s">
        <v>1077</v>
      </c>
      <c r="G1231" s="3" t="s">
        <v>321</v>
      </c>
      <c r="H1231" s="4" t="s">
        <v>3354</v>
      </c>
    </row>
    <row r="1232" ht="16.5" customHeight="1" spans="1:8">
      <c r="A1232" s="3">
        <v>1231</v>
      </c>
      <c r="B1232" s="3" t="s">
        <v>3602</v>
      </c>
      <c r="C1232" s="3" t="s">
        <v>1074</v>
      </c>
      <c r="D1232" s="4" t="s">
        <v>3603</v>
      </c>
      <c r="E1232" s="3" t="s">
        <v>1076</v>
      </c>
      <c r="F1232" s="3" t="s">
        <v>1077</v>
      </c>
      <c r="G1232" s="3" t="s">
        <v>321</v>
      </c>
      <c r="H1232" s="4" t="s">
        <v>3354</v>
      </c>
    </row>
    <row r="1233" ht="16.5" customHeight="1" spans="1:8">
      <c r="A1233" s="3">
        <v>1232</v>
      </c>
      <c r="B1233" s="3" t="s">
        <v>3604</v>
      </c>
      <c r="C1233" s="3" t="s">
        <v>1074</v>
      </c>
      <c r="D1233" s="4" t="s">
        <v>3605</v>
      </c>
      <c r="E1233" s="3" t="s">
        <v>1076</v>
      </c>
      <c r="F1233" s="3" t="s">
        <v>1077</v>
      </c>
      <c r="G1233" s="3" t="s">
        <v>321</v>
      </c>
      <c r="H1233" s="4" t="s">
        <v>3354</v>
      </c>
    </row>
    <row r="1234" ht="16.5" customHeight="1" spans="1:8">
      <c r="A1234" s="3">
        <v>1233</v>
      </c>
      <c r="B1234" s="3" t="s">
        <v>3606</v>
      </c>
      <c r="C1234" s="3" t="s">
        <v>1074</v>
      </c>
      <c r="D1234" s="4" t="s">
        <v>3607</v>
      </c>
      <c r="E1234" s="3" t="s">
        <v>1076</v>
      </c>
      <c r="F1234" s="3" t="s">
        <v>1077</v>
      </c>
      <c r="G1234" s="3" t="s">
        <v>321</v>
      </c>
      <c r="H1234" s="4" t="s">
        <v>3354</v>
      </c>
    </row>
    <row r="1235" ht="16.5" customHeight="1" spans="1:8">
      <c r="A1235" s="3">
        <v>1234</v>
      </c>
      <c r="B1235" s="3" t="s">
        <v>3608</v>
      </c>
      <c r="C1235" s="3" t="s">
        <v>1074</v>
      </c>
      <c r="D1235" s="4" t="s">
        <v>3609</v>
      </c>
      <c r="E1235" s="3" t="s">
        <v>1076</v>
      </c>
      <c r="F1235" s="3" t="s">
        <v>1077</v>
      </c>
      <c r="G1235" s="3" t="s">
        <v>321</v>
      </c>
      <c r="H1235" s="4" t="s">
        <v>3354</v>
      </c>
    </row>
    <row r="1236" ht="16.5" customHeight="1" spans="1:8">
      <c r="A1236" s="3">
        <v>1235</v>
      </c>
      <c r="B1236" s="3" t="s">
        <v>3610</v>
      </c>
      <c r="C1236" s="3" t="s">
        <v>1074</v>
      </c>
      <c r="D1236" s="4" t="s">
        <v>3611</v>
      </c>
      <c r="E1236" s="3" t="s">
        <v>1076</v>
      </c>
      <c r="F1236" s="3" t="s">
        <v>1077</v>
      </c>
      <c r="G1236" s="3" t="s">
        <v>321</v>
      </c>
      <c r="H1236" s="4" t="s">
        <v>3354</v>
      </c>
    </row>
    <row r="1237" ht="16.5" customHeight="1" spans="1:8">
      <c r="A1237" s="3">
        <v>1236</v>
      </c>
      <c r="B1237" s="3" t="s">
        <v>3612</v>
      </c>
      <c r="C1237" s="3" t="s">
        <v>1074</v>
      </c>
      <c r="D1237" s="4" t="s">
        <v>3613</v>
      </c>
      <c r="E1237" s="3" t="s">
        <v>1076</v>
      </c>
      <c r="F1237" s="3" t="s">
        <v>1077</v>
      </c>
      <c r="G1237" s="3" t="s">
        <v>321</v>
      </c>
      <c r="H1237" s="4" t="s">
        <v>3354</v>
      </c>
    </row>
    <row r="1238" ht="16.5" customHeight="1" spans="1:8">
      <c r="A1238" s="3">
        <v>1237</v>
      </c>
      <c r="B1238" s="3" t="s">
        <v>3614</v>
      </c>
      <c r="C1238" s="3" t="s">
        <v>1074</v>
      </c>
      <c r="D1238" s="4" t="s">
        <v>3615</v>
      </c>
      <c r="E1238" s="3" t="s">
        <v>1076</v>
      </c>
      <c r="F1238" s="3" t="s">
        <v>1077</v>
      </c>
      <c r="G1238" s="3" t="s">
        <v>321</v>
      </c>
      <c r="H1238" s="4" t="s">
        <v>3354</v>
      </c>
    </row>
    <row r="1239" ht="16.5" customHeight="1" spans="1:8">
      <c r="A1239" s="3">
        <v>1238</v>
      </c>
      <c r="B1239" s="3" t="s">
        <v>3616</v>
      </c>
      <c r="C1239" s="3" t="s">
        <v>1074</v>
      </c>
      <c r="D1239" s="4" t="s">
        <v>3617</v>
      </c>
      <c r="E1239" s="3" t="s">
        <v>1076</v>
      </c>
      <c r="F1239" s="3" t="s">
        <v>1077</v>
      </c>
      <c r="G1239" s="3" t="s">
        <v>321</v>
      </c>
      <c r="H1239" s="4" t="s">
        <v>3463</v>
      </c>
    </row>
    <row r="1240" ht="16.5" customHeight="1" spans="1:8">
      <c r="A1240" s="3">
        <v>1239</v>
      </c>
      <c r="B1240" s="3" t="s">
        <v>3618</v>
      </c>
      <c r="C1240" s="3" t="s">
        <v>1074</v>
      </c>
      <c r="D1240" s="4" t="s">
        <v>3619</v>
      </c>
      <c r="E1240" s="3" t="s">
        <v>1076</v>
      </c>
      <c r="F1240" s="3" t="s">
        <v>1077</v>
      </c>
      <c r="G1240" s="3" t="s">
        <v>321</v>
      </c>
      <c r="H1240" s="4" t="s">
        <v>3463</v>
      </c>
    </row>
    <row r="1241" ht="16.5" customHeight="1" spans="1:8">
      <c r="A1241" s="3">
        <v>1240</v>
      </c>
      <c r="B1241" s="3" t="s">
        <v>3620</v>
      </c>
      <c r="C1241" s="3" t="s">
        <v>1074</v>
      </c>
      <c r="D1241" s="4" t="s">
        <v>3621</v>
      </c>
      <c r="E1241" s="3" t="s">
        <v>1076</v>
      </c>
      <c r="F1241" s="3" t="s">
        <v>1077</v>
      </c>
      <c r="G1241" s="3" t="s">
        <v>321</v>
      </c>
      <c r="H1241" s="4" t="s">
        <v>3463</v>
      </c>
    </row>
    <row r="1242" ht="16.5" customHeight="1" spans="1:8">
      <c r="A1242" s="3">
        <v>1241</v>
      </c>
      <c r="B1242" s="3" t="s">
        <v>3622</v>
      </c>
      <c r="C1242" s="3" t="s">
        <v>1074</v>
      </c>
      <c r="D1242" s="4" t="s">
        <v>3623</v>
      </c>
      <c r="E1242" s="3" t="s">
        <v>1076</v>
      </c>
      <c r="F1242" s="3" t="s">
        <v>1077</v>
      </c>
      <c r="G1242" s="3" t="s">
        <v>321</v>
      </c>
      <c r="H1242" s="4" t="s">
        <v>3463</v>
      </c>
    </row>
    <row r="1243" ht="16.5" customHeight="1" spans="1:8">
      <c r="A1243" s="3">
        <v>1242</v>
      </c>
      <c r="B1243" s="3" t="s">
        <v>3624</v>
      </c>
      <c r="C1243" s="3" t="s">
        <v>1074</v>
      </c>
      <c r="D1243" s="4" t="s">
        <v>3625</v>
      </c>
      <c r="E1243" s="3" t="s">
        <v>1076</v>
      </c>
      <c r="F1243" s="3" t="s">
        <v>1077</v>
      </c>
      <c r="G1243" s="3" t="s">
        <v>321</v>
      </c>
      <c r="H1243" s="4" t="s">
        <v>3463</v>
      </c>
    </row>
    <row r="1244" ht="16.5" customHeight="1" spans="1:8">
      <c r="A1244" s="3">
        <v>1243</v>
      </c>
      <c r="B1244" s="3" t="s">
        <v>3626</v>
      </c>
      <c r="C1244" s="3" t="s">
        <v>1074</v>
      </c>
      <c r="D1244" s="4" t="s">
        <v>3627</v>
      </c>
      <c r="E1244" s="3" t="s">
        <v>1076</v>
      </c>
      <c r="F1244" s="3" t="s">
        <v>1077</v>
      </c>
      <c r="G1244" s="3" t="s">
        <v>321</v>
      </c>
      <c r="H1244" s="4" t="s">
        <v>3463</v>
      </c>
    </row>
    <row r="1245" ht="16.5" customHeight="1" spans="1:8">
      <c r="A1245" s="3">
        <v>1244</v>
      </c>
      <c r="B1245" s="3" t="s">
        <v>3628</v>
      </c>
      <c r="C1245" s="3" t="s">
        <v>1356</v>
      </c>
      <c r="D1245" s="4" t="s">
        <v>3629</v>
      </c>
      <c r="E1245" s="3" t="s">
        <v>1076</v>
      </c>
      <c r="F1245" s="3" t="s">
        <v>1077</v>
      </c>
      <c r="G1245" s="3" t="s">
        <v>321</v>
      </c>
      <c r="H1245" s="4" t="s">
        <v>3351</v>
      </c>
    </row>
    <row r="1246" ht="16.5" customHeight="1" spans="1:8">
      <c r="A1246" s="3">
        <v>1245</v>
      </c>
      <c r="B1246" s="3" t="s">
        <v>3630</v>
      </c>
      <c r="C1246" s="3" t="s">
        <v>1356</v>
      </c>
      <c r="D1246" s="4" t="s">
        <v>3631</v>
      </c>
      <c r="E1246" s="3" t="s">
        <v>1076</v>
      </c>
      <c r="F1246" s="3" t="s">
        <v>1077</v>
      </c>
      <c r="G1246" s="3" t="s">
        <v>321</v>
      </c>
      <c r="H1246" s="4" t="s">
        <v>3351</v>
      </c>
    </row>
    <row r="1247" ht="16.5" customHeight="1" spans="1:8">
      <c r="A1247" s="3">
        <v>1246</v>
      </c>
      <c r="B1247" s="3" t="s">
        <v>3632</v>
      </c>
      <c r="C1247" s="3" t="s">
        <v>1356</v>
      </c>
      <c r="D1247" s="4" t="s">
        <v>3576</v>
      </c>
      <c r="E1247" s="3" t="s">
        <v>1076</v>
      </c>
      <c r="F1247" s="3" t="s">
        <v>1077</v>
      </c>
      <c r="G1247" s="3" t="s">
        <v>321</v>
      </c>
      <c r="H1247" s="4" t="s">
        <v>3351</v>
      </c>
    </row>
    <row r="1248" ht="16.5" customHeight="1" spans="1:8">
      <c r="A1248" s="3">
        <v>1247</v>
      </c>
      <c r="B1248" s="3" t="s">
        <v>3633</v>
      </c>
      <c r="C1248" s="3" t="s">
        <v>1105</v>
      </c>
      <c r="D1248" s="4" t="s">
        <v>3634</v>
      </c>
      <c r="E1248" s="3" t="s">
        <v>1837</v>
      </c>
      <c r="F1248" s="3" t="s">
        <v>1077</v>
      </c>
      <c r="G1248" s="3" t="s">
        <v>321</v>
      </c>
      <c r="H1248" s="4" t="s">
        <v>3635</v>
      </c>
    </row>
    <row r="1249" ht="16.5" customHeight="1" spans="1:8">
      <c r="A1249" s="3">
        <v>1248</v>
      </c>
      <c r="B1249" s="3" t="s">
        <v>3636</v>
      </c>
      <c r="C1249" s="3" t="s">
        <v>1105</v>
      </c>
      <c r="D1249" s="4" t="s">
        <v>3637</v>
      </c>
      <c r="E1249" s="3" t="s">
        <v>1076</v>
      </c>
      <c r="F1249" s="3" t="s">
        <v>1077</v>
      </c>
      <c r="G1249" s="3" t="s">
        <v>321</v>
      </c>
      <c r="H1249" s="4" t="s">
        <v>3554</v>
      </c>
    </row>
    <row r="1250" ht="16.5" customHeight="1" spans="1:8">
      <c r="A1250" s="3">
        <v>1249</v>
      </c>
      <c r="B1250" s="3" t="s">
        <v>3638</v>
      </c>
      <c r="C1250" s="3" t="s">
        <v>1105</v>
      </c>
      <c r="D1250" s="4" t="s">
        <v>3639</v>
      </c>
      <c r="E1250" s="3" t="s">
        <v>1076</v>
      </c>
      <c r="F1250" s="3" t="s">
        <v>1077</v>
      </c>
      <c r="G1250" s="3" t="s">
        <v>321</v>
      </c>
      <c r="H1250" s="4" t="s">
        <v>3554</v>
      </c>
    </row>
    <row r="1251" ht="16.5" customHeight="1" spans="1:8">
      <c r="A1251" s="3">
        <v>1250</v>
      </c>
      <c r="B1251" s="3" t="s">
        <v>3640</v>
      </c>
      <c r="C1251" s="3" t="s">
        <v>1105</v>
      </c>
      <c r="D1251" s="4" t="s">
        <v>3641</v>
      </c>
      <c r="E1251" s="3" t="s">
        <v>1076</v>
      </c>
      <c r="F1251" s="3" t="s">
        <v>1077</v>
      </c>
      <c r="G1251" s="3" t="s">
        <v>321</v>
      </c>
      <c r="H1251" s="4" t="s">
        <v>3642</v>
      </c>
    </row>
    <row r="1252" ht="16.5" customHeight="1" spans="1:8">
      <c r="A1252" s="3">
        <v>1251</v>
      </c>
      <c r="B1252" s="3" t="s">
        <v>3643</v>
      </c>
      <c r="C1252" s="3" t="s">
        <v>1105</v>
      </c>
      <c r="D1252" s="4" t="s">
        <v>3644</v>
      </c>
      <c r="E1252" s="3" t="s">
        <v>1076</v>
      </c>
      <c r="F1252" s="3" t="s">
        <v>1077</v>
      </c>
      <c r="G1252" s="3" t="s">
        <v>321</v>
      </c>
      <c r="H1252" s="4" t="s">
        <v>3642</v>
      </c>
    </row>
    <row r="1253" ht="16.5" customHeight="1" spans="1:8">
      <c r="A1253" s="3">
        <v>1252</v>
      </c>
      <c r="B1253" s="3" t="s">
        <v>3645</v>
      </c>
      <c r="C1253" s="3" t="s">
        <v>1105</v>
      </c>
      <c r="D1253" s="4" t="s">
        <v>3646</v>
      </c>
      <c r="E1253" s="3" t="s">
        <v>1076</v>
      </c>
      <c r="F1253" s="3" t="s">
        <v>1077</v>
      </c>
      <c r="G1253" s="3" t="s">
        <v>321</v>
      </c>
      <c r="H1253" s="4" t="s">
        <v>3642</v>
      </c>
    </row>
    <row r="1254" ht="16.5" customHeight="1" spans="1:8">
      <c r="A1254" s="3">
        <v>1253</v>
      </c>
      <c r="B1254" s="3" t="s">
        <v>3647</v>
      </c>
      <c r="C1254" s="3" t="s">
        <v>1105</v>
      </c>
      <c r="D1254" s="4" t="s">
        <v>3648</v>
      </c>
      <c r="E1254" s="3" t="s">
        <v>1076</v>
      </c>
      <c r="F1254" s="3" t="s">
        <v>1077</v>
      </c>
      <c r="G1254" s="3" t="s">
        <v>321</v>
      </c>
      <c r="H1254" s="4" t="s">
        <v>3649</v>
      </c>
    </row>
    <row r="1255" ht="16.5" customHeight="1" spans="1:8">
      <c r="A1255" s="3">
        <v>1254</v>
      </c>
      <c r="B1255" s="3" t="s">
        <v>3650</v>
      </c>
      <c r="C1255" s="3" t="s">
        <v>1105</v>
      </c>
      <c r="D1255" s="4" t="s">
        <v>3651</v>
      </c>
      <c r="E1255" s="3" t="s">
        <v>1076</v>
      </c>
      <c r="F1255" s="3" t="s">
        <v>1077</v>
      </c>
      <c r="G1255" s="3" t="s">
        <v>321</v>
      </c>
      <c r="H1255" s="4" t="s">
        <v>3652</v>
      </c>
    </row>
    <row r="1256" ht="16.5" customHeight="1" spans="1:8">
      <c r="A1256" s="3">
        <v>1255</v>
      </c>
      <c r="B1256" s="3" t="s">
        <v>3653</v>
      </c>
      <c r="C1256" s="3" t="s">
        <v>1105</v>
      </c>
      <c r="D1256" s="4" t="s">
        <v>3654</v>
      </c>
      <c r="E1256" s="3" t="s">
        <v>1076</v>
      </c>
      <c r="F1256" s="3" t="s">
        <v>1077</v>
      </c>
      <c r="G1256" s="3" t="s">
        <v>321</v>
      </c>
      <c r="H1256" s="4" t="s">
        <v>3652</v>
      </c>
    </row>
    <row r="1257" ht="16.5" customHeight="1" spans="1:8">
      <c r="A1257" s="3">
        <v>1256</v>
      </c>
      <c r="B1257" s="3" t="s">
        <v>3655</v>
      </c>
      <c r="C1257" s="3" t="s">
        <v>1105</v>
      </c>
      <c r="D1257" s="4" t="s">
        <v>3656</v>
      </c>
      <c r="E1257" s="3" t="s">
        <v>1076</v>
      </c>
      <c r="F1257" s="3" t="s">
        <v>1077</v>
      </c>
      <c r="G1257" s="3" t="s">
        <v>321</v>
      </c>
      <c r="H1257" s="4" t="s">
        <v>3657</v>
      </c>
    </row>
    <row r="1258" ht="16.5" customHeight="1" spans="1:8">
      <c r="A1258" s="3">
        <v>1257</v>
      </c>
      <c r="B1258" s="3" t="s">
        <v>3658</v>
      </c>
      <c r="C1258" s="3" t="s">
        <v>1105</v>
      </c>
      <c r="D1258" s="4" t="s">
        <v>3659</v>
      </c>
      <c r="E1258" s="3" t="s">
        <v>1739</v>
      </c>
      <c r="F1258" s="3" t="s">
        <v>1077</v>
      </c>
      <c r="G1258" s="3" t="s">
        <v>321</v>
      </c>
      <c r="H1258" s="4" t="s">
        <v>3657</v>
      </c>
    </row>
    <row r="1259" ht="16.5" customHeight="1" spans="1:8">
      <c r="A1259" s="3">
        <v>1258</v>
      </c>
      <c r="B1259" s="3" t="s">
        <v>3660</v>
      </c>
      <c r="C1259" s="3" t="s">
        <v>1105</v>
      </c>
      <c r="D1259" s="4" t="s">
        <v>3661</v>
      </c>
      <c r="E1259" s="3" t="s">
        <v>1076</v>
      </c>
      <c r="F1259" s="3" t="s">
        <v>1077</v>
      </c>
      <c r="G1259" s="3" t="s">
        <v>321</v>
      </c>
      <c r="H1259" s="4" t="s">
        <v>3662</v>
      </c>
    </row>
    <row r="1260" ht="16.5" customHeight="1" spans="1:8">
      <c r="A1260" s="3">
        <v>1259</v>
      </c>
      <c r="B1260" s="3" t="s">
        <v>3663</v>
      </c>
      <c r="C1260" s="3" t="s">
        <v>1105</v>
      </c>
      <c r="D1260" s="4" t="s">
        <v>3664</v>
      </c>
      <c r="E1260" s="3" t="s">
        <v>1739</v>
      </c>
      <c r="F1260" s="3" t="s">
        <v>1077</v>
      </c>
      <c r="G1260" s="3" t="s">
        <v>321</v>
      </c>
      <c r="H1260" s="4" t="s">
        <v>3662</v>
      </c>
    </row>
    <row r="1261" ht="16.5" customHeight="1" spans="1:8">
      <c r="A1261" s="3">
        <v>1260</v>
      </c>
      <c r="B1261" s="3" t="s">
        <v>3665</v>
      </c>
      <c r="C1261" s="3" t="s">
        <v>1105</v>
      </c>
      <c r="D1261" s="4" t="s">
        <v>3666</v>
      </c>
      <c r="E1261" s="3" t="s">
        <v>1076</v>
      </c>
      <c r="F1261" s="3" t="s">
        <v>1077</v>
      </c>
      <c r="G1261" s="3" t="s">
        <v>321</v>
      </c>
      <c r="H1261" s="4" t="s">
        <v>3667</v>
      </c>
    </row>
    <row r="1262" ht="16.5" customHeight="1" spans="1:8">
      <c r="A1262" s="3">
        <v>1261</v>
      </c>
      <c r="B1262" s="3" t="s">
        <v>3668</v>
      </c>
      <c r="C1262" s="3" t="s">
        <v>1105</v>
      </c>
      <c r="D1262" s="4" t="s">
        <v>3669</v>
      </c>
      <c r="E1262" s="3" t="s">
        <v>1076</v>
      </c>
      <c r="F1262" s="3" t="s">
        <v>1077</v>
      </c>
      <c r="G1262" s="3" t="s">
        <v>321</v>
      </c>
      <c r="H1262" s="4" t="s">
        <v>3667</v>
      </c>
    </row>
    <row r="1263" ht="16.5" customHeight="1" spans="1:8">
      <c r="A1263" s="3">
        <v>1262</v>
      </c>
      <c r="B1263" s="3" t="s">
        <v>3670</v>
      </c>
      <c r="C1263" s="3" t="s">
        <v>1105</v>
      </c>
      <c r="D1263" s="4" t="s">
        <v>3671</v>
      </c>
      <c r="E1263" s="3" t="s">
        <v>1076</v>
      </c>
      <c r="F1263" s="3" t="s">
        <v>1077</v>
      </c>
      <c r="G1263" s="3" t="s">
        <v>321</v>
      </c>
      <c r="H1263" s="4" t="s">
        <v>3667</v>
      </c>
    </row>
    <row r="1264" ht="16.5" customHeight="1" spans="1:8">
      <c r="A1264" s="3">
        <v>1263</v>
      </c>
      <c r="B1264" s="3" t="s">
        <v>3672</v>
      </c>
      <c r="C1264" s="3" t="s">
        <v>1105</v>
      </c>
      <c r="D1264" s="4" t="s">
        <v>3673</v>
      </c>
      <c r="E1264" s="3" t="s">
        <v>1076</v>
      </c>
      <c r="F1264" s="3" t="s">
        <v>1077</v>
      </c>
      <c r="G1264" s="3" t="s">
        <v>321</v>
      </c>
      <c r="H1264" s="4" t="s">
        <v>3674</v>
      </c>
    </row>
    <row r="1265" ht="16.5" customHeight="1" spans="1:8">
      <c r="A1265" s="3">
        <v>1264</v>
      </c>
      <c r="B1265" s="3" t="s">
        <v>3675</v>
      </c>
      <c r="C1265" s="3" t="s">
        <v>1105</v>
      </c>
      <c r="D1265" s="4" t="s">
        <v>3676</v>
      </c>
      <c r="E1265" s="3" t="s">
        <v>1076</v>
      </c>
      <c r="F1265" s="3" t="s">
        <v>1077</v>
      </c>
      <c r="G1265" s="3" t="s">
        <v>321</v>
      </c>
      <c r="H1265" s="4" t="s">
        <v>3674</v>
      </c>
    </row>
    <row r="1266" ht="16.5" customHeight="1" spans="1:8">
      <c r="A1266" s="3">
        <v>1265</v>
      </c>
      <c r="B1266" s="3" t="s">
        <v>3677</v>
      </c>
      <c r="C1266" s="3" t="s">
        <v>1105</v>
      </c>
      <c r="D1266" s="4" t="s">
        <v>3678</v>
      </c>
      <c r="E1266" s="3" t="s">
        <v>1076</v>
      </c>
      <c r="F1266" s="3" t="s">
        <v>1077</v>
      </c>
      <c r="G1266" s="3" t="s">
        <v>321</v>
      </c>
      <c r="H1266" s="4" t="s">
        <v>3674</v>
      </c>
    </row>
    <row r="1267" ht="16.5" customHeight="1" spans="1:8">
      <c r="A1267" s="3">
        <v>1266</v>
      </c>
      <c r="B1267" s="3" t="s">
        <v>3679</v>
      </c>
      <c r="C1267" s="3" t="s">
        <v>1105</v>
      </c>
      <c r="D1267" s="4" t="s">
        <v>3680</v>
      </c>
      <c r="E1267" s="3" t="s">
        <v>1076</v>
      </c>
      <c r="F1267" s="3" t="s">
        <v>1077</v>
      </c>
      <c r="G1267" s="3" t="s">
        <v>321</v>
      </c>
      <c r="H1267" s="4" t="s">
        <v>3681</v>
      </c>
    </row>
    <row r="1268" ht="16.5" customHeight="1" spans="1:8">
      <c r="A1268" s="3">
        <v>1267</v>
      </c>
      <c r="B1268" s="3" t="s">
        <v>3682</v>
      </c>
      <c r="C1268" s="3" t="s">
        <v>1105</v>
      </c>
      <c r="D1268" s="4" t="s">
        <v>3683</v>
      </c>
      <c r="E1268" s="3" t="s">
        <v>1076</v>
      </c>
      <c r="F1268" s="3" t="s">
        <v>1077</v>
      </c>
      <c r="G1268" s="3" t="s">
        <v>321</v>
      </c>
      <c r="H1268" s="4" t="s">
        <v>3681</v>
      </c>
    </row>
    <row r="1269" ht="16.5" customHeight="1" spans="1:8">
      <c r="A1269" s="3">
        <v>1268</v>
      </c>
      <c r="B1269" s="3" t="s">
        <v>3684</v>
      </c>
      <c r="C1269" s="3" t="s">
        <v>1105</v>
      </c>
      <c r="D1269" s="4" t="s">
        <v>3685</v>
      </c>
      <c r="E1269" s="3" t="s">
        <v>1076</v>
      </c>
      <c r="F1269" s="3" t="s">
        <v>1077</v>
      </c>
      <c r="G1269" s="3" t="s">
        <v>321</v>
      </c>
      <c r="H1269" s="4" t="s">
        <v>3681</v>
      </c>
    </row>
    <row r="1270" ht="16.5" customHeight="1" spans="1:8">
      <c r="A1270" s="3">
        <v>1269</v>
      </c>
      <c r="B1270" s="3" t="s">
        <v>3686</v>
      </c>
      <c r="C1270" s="3" t="s">
        <v>1105</v>
      </c>
      <c r="D1270" s="4" t="s">
        <v>3687</v>
      </c>
      <c r="E1270" s="3" t="s">
        <v>1076</v>
      </c>
      <c r="F1270" s="3" t="s">
        <v>1077</v>
      </c>
      <c r="G1270" s="3" t="s">
        <v>321</v>
      </c>
      <c r="H1270" s="4" t="s">
        <v>3681</v>
      </c>
    </row>
    <row r="1271" ht="16.5" customHeight="1" spans="1:8">
      <c r="A1271" s="3">
        <v>1270</v>
      </c>
      <c r="B1271" s="3" t="s">
        <v>3688</v>
      </c>
      <c r="C1271" s="3" t="s">
        <v>1105</v>
      </c>
      <c r="D1271" s="4" t="s">
        <v>3689</v>
      </c>
      <c r="E1271" s="3" t="s">
        <v>1076</v>
      </c>
      <c r="F1271" s="3" t="s">
        <v>1077</v>
      </c>
      <c r="G1271" s="3" t="s">
        <v>321</v>
      </c>
      <c r="H1271" s="4" t="s">
        <v>3681</v>
      </c>
    </row>
    <row r="1272" ht="16.5" customHeight="1" spans="1:8">
      <c r="A1272" s="3">
        <v>1271</v>
      </c>
      <c r="B1272" s="3" t="s">
        <v>3690</v>
      </c>
      <c r="C1272" s="3" t="s">
        <v>1105</v>
      </c>
      <c r="D1272" s="4" t="s">
        <v>3691</v>
      </c>
      <c r="E1272" s="3" t="s">
        <v>1076</v>
      </c>
      <c r="F1272" s="3" t="s">
        <v>1077</v>
      </c>
      <c r="G1272" s="3" t="s">
        <v>321</v>
      </c>
      <c r="H1272" s="4" t="s">
        <v>3692</v>
      </c>
    </row>
    <row r="1273" ht="16.5" customHeight="1" spans="1:8">
      <c r="A1273" s="3">
        <v>1272</v>
      </c>
      <c r="B1273" s="3" t="s">
        <v>3693</v>
      </c>
      <c r="C1273" s="3" t="s">
        <v>1105</v>
      </c>
      <c r="D1273" s="4" t="s">
        <v>3694</v>
      </c>
      <c r="E1273" s="3" t="s">
        <v>1076</v>
      </c>
      <c r="F1273" s="3" t="s">
        <v>1077</v>
      </c>
      <c r="G1273" s="3" t="s">
        <v>321</v>
      </c>
      <c r="H1273" s="4" t="s">
        <v>3692</v>
      </c>
    </row>
    <row r="1274" ht="16.5" customHeight="1" spans="1:8">
      <c r="A1274" s="3">
        <v>1273</v>
      </c>
      <c r="B1274" s="3" t="s">
        <v>3695</v>
      </c>
      <c r="C1274" s="3" t="s">
        <v>1105</v>
      </c>
      <c r="D1274" s="4" t="s">
        <v>3696</v>
      </c>
      <c r="E1274" s="3" t="s">
        <v>1076</v>
      </c>
      <c r="F1274" s="3" t="s">
        <v>1077</v>
      </c>
      <c r="G1274" s="3" t="s">
        <v>321</v>
      </c>
      <c r="H1274" s="4" t="s">
        <v>3697</v>
      </c>
    </row>
    <row r="1275" ht="16.5" customHeight="1" spans="1:8">
      <c r="A1275" s="3">
        <v>1274</v>
      </c>
      <c r="B1275" s="3" t="s">
        <v>3698</v>
      </c>
      <c r="C1275" s="3" t="s">
        <v>1105</v>
      </c>
      <c r="D1275" s="4" t="s">
        <v>3699</v>
      </c>
      <c r="E1275" s="3" t="s">
        <v>1076</v>
      </c>
      <c r="F1275" s="3" t="s">
        <v>1077</v>
      </c>
      <c r="G1275" s="3" t="s">
        <v>321</v>
      </c>
      <c r="H1275" s="4" t="s">
        <v>3697</v>
      </c>
    </row>
    <row r="1276" ht="16.5" customHeight="1" spans="1:8">
      <c r="A1276" s="3">
        <v>1275</v>
      </c>
      <c r="B1276" s="3" t="s">
        <v>3700</v>
      </c>
      <c r="C1276" s="3" t="s">
        <v>1105</v>
      </c>
      <c r="D1276" s="4" t="s">
        <v>3701</v>
      </c>
      <c r="E1276" s="3" t="s">
        <v>1076</v>
      </c>
      <c r="F1276" s="3" t="s">
        <v>1077</v>
      </c>
      <c r="G1276" s="3" t="s">
        <v>321</v>
      </c>
      <c r="H1276" s="4" t="s">
        <v>3702</v>
      </c>
    </row>
    <row r="1277" ht="16.5" customHeight="1" spans="1:8">
      <c r="A1277" s="3">
        <v>1276</v>
      </c>
      <c r="B1277" s="3" t="s">
        <v>3703</v>
      </c>
      <c r="C1277" s="3" t="s">
        <v>1105</v>
      </c>
      <c r="D1277" s="4" t="s">
        <v>3683</v>
      </c>
      <c r="E1277" s="3" t="s">
        <v>1076</v>
      </c>
      <c r="F1277" s="3" t="s">
        <v>1077</v>
      </c>
      <c r="G1277" s="3" t="s">
        <v>321</v>
      </c>
      <c r="H1277" s="4" t="s">
        <v>3702</v>
      </c>
    </row>
    <row r="1278" ht="16.5" customHeight="1" spans="1:8">
      <c r="A1278" s="3">
        <v>1277</v>
      </c>
      <c r="B1278" s="3" t="s">
        <v>3704</v>
      </c>
      <c r="C1278" s="3" t="s">
        <v>1105</v>
      </c>
      <c r="D1278" s="4" t="s">
        <v>3705</v>
      </c>
      <c r="E1278" s="3" t="s">
        <v>1076</v>
      </c>
      <c r="F1278" s="3" t="s">
        <v>1077</v>
      </c>
      <c r="G1278" s="3" t="s">
        <v>321</v>
      </c>
      <c r="H1278" s="4" t="s">
        <v>3702</v>
      </c>
    </row>
    <row r="1279" ht="16.5" customHeight="1" spans="1:8">
      <c r="A1279" s="3">
        <v>1278</v>
      </c>
      <c r="B1279" s="3" t="s">
        <v>3706</v>
      </c>
      <c r="C1279" s="3" t="s">
        <v>1105</v>
      </c>
      <c r="D1279" s="4" t="s">
        <v>3707</v>
      </c>
      <c r="E1279" s="3" t="s">
        <v>1076</v>
      </c>
      <c r="F1279" s="3" t="s">
        <v>1077</v>
      </c>
      <c r="G1279" s="3" t="s">
        <v>321</v>
      </c>
      <c r="H1279" s="4" t="s">
        <v>3702</v>
      </c>
    </row>
    <row r="1280" ht="16.5" customHeight="1" spans="1:8">
      <c r="A1280" s="3">
        <v>1279</v>
      </c>
      <c r="B1280" s="3" t="s">
        <v>3708</v>
      </c>
      <c r="C1280" s="3" t="s">
        <v>1105</v>
      </c>
      <c r="D1280" s="4" t="s">
        <v>3709</v>
      </c>
      <c r="E1280" s="3" t="s">
        <v>1076</v>
      </c>
      <c r="F1280" s="3" t="s">
        <v>1077</v>
      </c>
      <c r="G1280" s="3" t="s">
        <v>321</v>
      </c>
      <c r="H1280" s="4" t="s">
        <v>3702</v>
      </c>
    </row>
    <row r="1281" ht="16.5" customHeight="1" spans="1:8">
      <c r="A1281" s="3">
        <v>1280</v>
      </c>
      <c r="B1281" s="3" t="s">
        <v>3710</v>
      </c>
      <c r="C1281" s="3" t="s">
        <v>1105</v>
      </c>
      <c r="D1281" s="4" t="s">
        <v>3711</v>
      </c>
      <c r="E1281" s="3" t="s">
        <v>1076</v>
      </c>
      <c r="F1281" s="3" t="s">
        <v>1077</v>
      </c>
      <c r="G1281" s="3" t="s">
        <v>321</v>
      </c>
      <c r="H1281" s="4" t="s">
        <v>3712</v>
      </c>
    </row>
    <row r="1282" ht="16.5" customHeight="1" spans="1:8">
      <c r="A1282" s="3">
        <v>1281</v>
      </c>
      <c r="B1282" s="3" t="s">
        <v>3713</v>
      </c>
      <c r="C1282" s="3" t="s">
        <v>1105</v>
      </c>
      <c r="D1282" s="4" t="s">
        <v>3714</v>
      </c>
      <c r="E1282" s="3" t="s">
        <v>1076</v>
      </c>
      <c r="F1282" s="3" t="s">
        <v>1077</v>
      </c>
      <c r="G1282" s="3" t="s">
        <v>321</v>
      </c>
      <c r="H1282" s="4" t="s">
        <v>3712</v>
      </c>
    </row>
    <row r="1283" ht="16.5" customHeight="1" spans="1:8">
      <c r="A1283" s="3">
        <v>1282</v>
      </c>
      <c r="B1283" s="3" t="s">
        <v>3715</v>
      </c>
      <c r="C1283" s="3" t="s">
        <v>1105</v>
      </c>
      <c r="D1283" s="4" t="s">
        <v>3716</v>
      </c>
      <c r="E1283" s="3" t="s">
        <v>1076</v>
      </c>
      <c r="F1283" s="3" t="s">
        <v>1077</v>
      </c>
      <c r="G1283" s="3" t="s">
        <v>321</v>
      </c>
      <c r="H1283" s="4" t="s">
        <v>3717</v>
      </c>
    </row>
    <row r="1284" ht="16.5" customHeight="1" spans="1:8">
      <c r="A1284" s="3">
        <v>1283</v>
      </c>
      <c r="B1284" s="3" t="s">
        <v>3718</v>
      </c>
      <c r="C1284" s="3" t="s">
        <v>1105</v>
      </c>
      <c r="D1284" s="4" t="s">
        <v>3719</v>
      </c>
      <c r="E1284" s="3" t="s">
        <v>1076</v>
      </c>
      <c r="F1284" s="3" t="s">
        <v>1077</v>
      </c>
      <c r="G1284" s="3" t="s">
        <v>321</v>
      </c>
      <c r="H1284" s="4" t="s">
        <v>3717</v>
      </c>
    </row>
    <row r="1285" ht="16.5" customHeight="1" spans="1:8">
      <c r="A1285" s="3">
        <v>1284</v>
      </c>
      <c r="B1285" s="3" t="s">
        <v>3720</v>
      </c>
      <c r="C1285" s="3" t="s">
        <v>1105</v>
      </c>
      <c r="D1285" s="4" t="s">
        <v>3721</v>
      </c>
      <c r="E1285" s="3" t="s">
        <v>1076</v>
      </c>
      <c r="F1285" s="3" t="s">
        <v>1077</v>
      </c>
      <c r="G1285" s="3" t="s">
        <v>321</v>
      </c>
      <c r="H1285" s="4" t="s">
        <v>3722</v>
      </c>
    </row>
    <row r="1286" ht="16.5" customHeight="1" spans="1:8">
      <c r="A1286" s="3">
        <v>1285</v>
      </c>
      <c r="B1286" s="3" t="s">
        <v>3723</v>
      </c>
      <c r="C1286" s="3" t="s">
        <v>1105</v>
      </c>
      <c r="D1286" s="4" t="s">
        <v>3724</v>
      </c>
      <c r="E1286" s="3" t="s">
        <v>1076</v>
      </c>
      <c r="F1286" s="3" t="s">
        <v>1077</v>
      </c>
      <c r="G1286" s="3" t="s">
        <v>321</v>
      </c>
      <c r="H1286" s="4" t="s">
        <v>3722</v>
      </c>
    </row>
    <row r="1287" ht="16.5" customHeight="1" spans="1:8">
      <c r="A1287" s="3">
        <v>1286</v>
      </c>
      <c r="B1287" s="3" t="s">
        <v>3725</v>
      </c>
      <c r="C1287" s="3" t="s">
        <v>1105</v>
      </c>
      <c r="D1287" s="4" t="s">
        <v>3726</v>
      </c>
      <c r="E1287" s="3" t="s">
        <v>1076</v>
      </c>
      <c r="F1287" s="3" t="s">
        <v>1077</v>
      </c>
      <c r="G1287" s="3" t="s">
        <v>321</v>
      </c>
      <c r="H1287" s="4" t="s">
        <v>3727</v>
      </c>
    </row>
    <row r="1288" ht="16.5" customHeight="1" spans="1:8">
      <c r="A1288" s="3">
        <v>1287</v>
      </c>
      <c r="B1288" s="3" t="s">
        <v>3728</v>
      </c>
      <c r="C1288" s="3" t="s">
        <v>1105</v>
      </c>
      <c r="D1288" s="4" t="s">
        <v>3729</v>
      </c>
      <c r="E1288" s="3" t="s">
        <v>1076</v>
      </c>
      <c r="F1288" s="3" t="s">
        <v>1077</v>
      </c>
      <c r="G1288" s="3" t="s">
        <v>321</v>
      </c>
      <c r="H1288" s="4" t="s">
        <v>3727</v>
      </c>
    </row>
    <row r="1289" ht="16.5" customHeight="1" spans="1:8">
      <c r="A1289" s="3">
        <v>1288</v>
      </c>
      <c r="B1289" s="3" t="s">
        <v>3730</v>
      </c>
      <c r="C1289" s="3" t="s">
        <v>1105</v>
      </c>
      <c r="D1289" s="4" t="s">
        <v>3731</v>
      </c>
      <c r="E1289" s="3" t="s">
        <v>1076</v>
      </c>
      <c r="F1289" s="3" t="s">
        <v>1077</v>
      </c>
      <c r="G1289" s="3" t="s">
        <v>321</v>
      </c>
      <c r="H1289" s="4" t="s">
        <v>3732</v>
      </c>
    </row>
    <row r="1290" ht="16.5" customHeight="1" spans="1:8">
      <c r="A1290" s="3">
        <v>1289</v>
      </c>
      <c r="B1290" s="3" t="s">
        <v>3733</v>
      </c>
      <c r="C1290" s="3" t="s">
        <v>1105</v>
      </c>
      <c r="D1290" s="4" t="s">
        <v>3734</v>
      </c>
      <c r="E1290" s="3" t="s">
        <v>1076</v>
      </c>
      <c r="F1290" s="3" t="s">
        <v>1077</v>
      </c>
      <c r="G1290" s="3" t="s">
        <v>321</v>
      </c>
      <c r="H1290" s="4" t="s">
        <v>3732</v>
      </c>
    </row>
    <row r="1291" ht="16.5" customHeight="1" spans="1:8">
      <c r="A1291" s="3">
        <v>1290</v>
      </c>
      <c r="B1291" s="3" t="s">
        <v>3735</v>
      </c>
      <c r="C1291" s="3" t="s">
        <v>1105</v>
      </c>
      <c r="D1291" s="4" t="s">
        <v>3736</v>
      </c>
      <c r="E1291" s="3" t="s">
        <v>1076</v>
      </c>
      <c r="F1291" s="3" t="s">
        <v>1077</v>
      </c>
      <c r="G1291" s="3" t="s">
        <v>321</v>
      </c>
      <c r="H1291" s="4" t="s">
        <v>3737</v>
      </c>
    </row>
    <row r="1292" ht="16.5" customHeight="1" spans="1:8">
      <c r="A1292" s="3">
        <v>1291</v>
      </c>
      <c r="B1292" s="3" t="s">
        <v>3738</v>
      </c>
      <c r="C1292" s="3" t="s">
        <v>1105</v>
      </c>
      <c r="D1292" s="4" t="s">
        <v>3739</v>
      </c>
      <c r="E1292" s="3" t="s">
        <v>1076</v>
      </c>
      <c r="F1292" s="3" t="s">
        <v>1077</v>
      </c>
      <c r="G1292" s="3" t="s">
        <v>321</v>
      </c>
      <c r="H1292" s="4" t="s">
        <v>3737</v>
      </c>
    </row>
    <row r="1293" ht="16.5" customHeight="1" spans="1:8">
      <c r="A1293" s="3">
        <v>1292</v>
      </c>
      <c r="B1293" s="3" t="s">
        <v>3740</v>
      </c>
      <c r="C1293" s="3" t="s">
        <v>1105</v>
      </c>
      <c r="D1293" s="4" t="s">
        <v>3741</v>
      </c>
      <c r="E1293" s="3" t="s">
        <v>1076</v>
      </c>
      <c r="F1293" s="3" t="s">
        <v>1077</v>
      </c>
      <c r="G1293" s="3" t="s">
        <v>321</v>
      </c>
      <c r="H1293" s="4" t="s">
        <v>3742</v>
      </c>
    </row>
    <row r="1294" ht="16.5" customHeight="1" spans="1:8">
      <c r="A1294" s="3">
        <v>1293</v>
      </c>
      <c r="B1294" s="3" t="s">
        <v>3743</v>
      </c>
      <c r="C1294" s="3" t="s">
        <v>1105</v>
      </c>
      <c r="D1294" s="4" t="s">
        <v>3744</v>
      </c>
      <c r="E1294" s="3" t="s">
        <v>1076</v>
      </c>
      <c r="F1294" s="3" t="s">
        <v>1077</v>
      </c>
      <c r="G1294" s="3" t="s">
        <v>321</v>
      </c>
      <c r="H1294" s="4" t="s">
        <v>3742</v>
      </c>
    </row>
    <row r="1295" ht="16.5" customHeight="1" spans="1:8">
      <c r="A1295" s="3">
        <v>1294</v>
      </c>
      <c r="B1295" s="3" t="s">
        <v>3745</v>
      </c>
      <c r="C1295" s="3" t="s">
        <v>1105</v>
      </c>
      <c r="D1295" s="4" t="s">
        <v>3746</v>
      </c>
      <c r="E1295" s="3" t="s">
        <v>1076</v>
      </c>
      <c r="F1295" s="3" t="s">
        <v>1077</v>
      </c>
      <c r="G1295" s="3" t="s">
        <v>321</v>
      </c>
      <c r="H1295" s="4" t="s">
        <v>3747</v>
      </c>
    </row>
    <row r="1296" ht="16.5" customHeight="1" spans="1:8">
      <c r="A1296" s="3">
        <v>1295</v>
      </c>
      <c r="B1296" s="3" t="s">
        <v>3748</v>
      </c>
      <c r="C1296" s="3" t="s">
        <v>1105</v>
      </c>
      <c r="D1296" s="4" t="s">
        <v>3749</v>
      </c>
      <c r="E1296" s="3" t="s">
        <v>1076</v>
      </c>
      <c r="F1296" s="3" t="s">
        <v>1077</v>
      </c>
      <c r="G1296" s="3" t="s">
        <v>321</v>
      </c>
      <c r="H1296" s="4" t="s">
        <v>3747</v>
      </c>
    </row>
    <row r="1297" ht="16.5" customHeight="1" spans="1:8">
      <c r="A1297" s="3">
        <v>1296</v>
      </c>
      <c r="B1297" s="3" t="s">
        <v>3750</v>
      </c>
      <c r="C1297" s="3" t="s">
        <v>2163</v>
      </c>
      <c r="D1297" s="4" t="s">
        <v>3751</v>
      </c>
      <c r="E1297" s="3" t="s">
        <v>1076</v>
      </c>
      <c r="F1297" s="3" t="s">
        <v>2041</v>
      </c>
      <c r="G1297" s="3" t="s">
        <v>321</v>
      </c>
      <c r="H1297" s="4" t="s">
        <v>1095</v>
      </c>
    </row>
    <row r="1298" ht="16.5" customHeight="1" spans="1:8">
      <c r="A1298" s="3">
        <v>1297</v>
      </c>
      <c r="B1298" s="3" t="s">
        <v>3752</v>
      </c>
      <c r="C1298" s="3" t="s">
        <v>1105</v>
      </c>
      <c r="D1298" s="4" t="s">
        <v>3578</v>
      </c>
      <c r="E1298" s="3" t="s">
        <v>1076</v>
      </c>
      <c r="F1298" s="3" t="s">
        <v>1077</v>
      </c>
      <c r="G1298" s="3" t="s">
        <v>321</v>
      </c>
      <c r="H1298" s="4" t="s">
        <v>3635</v>
      </c>
    </row>
    <row r="1299" ht="16.5" customHeight="1" spans="1:8">
      <c r="A1299" s="3">
        <v>1298</v>
      </c>
      <c r="B1299" s="3" t="s">
        <v>3753</v>
      </c>
      <c r="C1299" s="3" t="s">
        <v>1074</v>
      </c>
      <c r="D1299" s="4" t="s">
        <v>3754</v>
      </c>
      <c r="E1299" s="3" t="s">
        <v>1076</v>
      </c>
      <c r="F1299" s="3" t="s">
        <v>1077</v>
      </c>
      <c r="G1299" s="3" t="s">
        <v>321</v>
      </c>
      <c r="H1299" s="4" t="s">
        <v>3351</v>
      </c>
    </row>
    <row r="1300" ht="16.5" customHeight="1" spans="1:8">
      <c r="A1300" s="3">
        <v>1299</v>
      </c>
      <c r="B1300" s="3" t="s">
        <v>3755</v>
      </c>
      <c r="C1300" s="3" t="s">
        <v>1074</v>
      </c>
      <c r="D1300" s="4" t="s">
        <v>3756</v>
      </c>
      <c r="E1300" s="3" t="s">
        <v>1076</v>
      </c>
      <c r="F1300" s="3" t="s">
        <v>1077</v>
      </c>
      <c r="G1300" s="3" t="s">
        <v>321</v>
      </c>
      <c r="H1300" s="4" t="s">
        <v>3351</v>
      </c>
    </row>
    <row r="1301" ht="16.5" customHeight="1" spans="1:8">
      <c r="A1301" s="3">
        <v>1300</v>
      </c>
      <c r="B1301" s="3" t="s">
        <v>3757</v>
      </c>
      <c r="C1301" s="3" t="s">
        <v>1074</v>
      </c>
      <c r="D1301" s="4" t="s">
        <v>3758</v>
      </c>
      <c r="E1301" s="3" t="s">
        <v>1076</v>
      </c>
      <c r="F1301" s="3" t="s">
        <v>1077</v>
      </c>
      <c r="G1301" s="3" t="s">
        <v>321</v>
      </c>
      <c r="H1301" s="4" t="s">
        <v>3351</v>
      </c>
    </row>
    <row r="1302" ht="16.5" customHeight="1" spans="1:8">
      <c r="A1302" s="3">
        <v>1301</v>
      </c>
      <c r="B1302" s="3" t="s">
        <v>3759</v>
      </c>
      <c r="C1302" s="3" t="s">
        <v>1356</v>
      </c>
      <c r="D1302" s="4" t="s">
        <v>3760</v>
      </c>
      <c r="E1302" s="3" t="s">
        <v>1076</v>
      </c>
      <c r="F1302" s="3" t="s">
        <v>1077</v>
      </c>
      <c r="G1302" s="3"/>
      <c r="H1302" s="4" t="s">
        <v>1095</v>
      </c>
    </row>
    <row r="1303" ht="16.5" customHeight="1" spans="1:8">
      <c r="A1303" s="3">
        <v>1302</v>
      </c>
      <c r="B1303" s="3" t="s">
        <v>3761</v>
      </c>
      <c r="C1303" s="3" t="s">
        <v>1105</v>
      </c>
      <c r="D1303" s="4" t="s">
        <v>3762</v>
      </c>
      <c r="E1303" s="3" t="s">
        <v>1076</v>
      </c>
      <c r="F1303" s="3" t="s">
        <v>1077</v>
      </c>
      <c r="G1303" s="3"/>
      <c r="H1303" s="4" t="s">
        <v>3763</v>
      </c>
    </row>
    <row r="1304" ht="16.5" customHeight="1" spans="1:8">
      <c r="A1304" s="3">
        <v>1303</v>
      </c>
      <c r="B1304" s="3" t="s">
        <v>3764</v>
      </c>
      <c r="C1304" s="3" t="s">
        <v>1105</v>
      </c>
      <c r="D1304" s="4" t="s">
        <v>3765</v>
      </c>
      <c r="E1304" s="3" t="s">
        <v>1076</v>
      </c>
      <c r="F1304" s="3" t="s">
        <v>1077</v>
      </c>
      <c r="G1304" s="3"/>
      <c r="H1304" s="4" t="s">
        <v>3763</v>
      </c>
    </row>
    <row r="1305" ht="16.5" customHeight="1" spans="1:8">
      <c r="A1305" s="3">
        <v>1304</v>
      </c>
      <c r="B1305" s="3" t="s">
        <v>3766</v>
      </c>
      <c r="C1305" s="3" t="s">
        <v>1105</v>
      </c>
      <c r="D1305" s="4" t="s">
        <v>3767</v>
      </c>
      <c r="E1305" s="3" t="s">
        <v>1076</v>
      </c>
      <c r="F1305" s="3" t="s">
        <v>1077</v>
      </c>
      <c r="G1305" s="3"/>
      <c r="H1305" s="4" t="s">
        <v>3763</v>
      </c>
    </row>
    <row r="1306" ht="16.5" customHeight="1" spans="1:8">
      <c r="A1306" s="3">
        <v>1305</v>
      </c>
      <c r="B1306" s="3" t="s">
        <v>3768</v>
      </c>
      <c r="C1306" s="3" t="s">
        <v>1105</v>
      </c>
      <c r="D1306" s="4" t="s">
        <v>3769</v>
      </c>
      <c r="E1306" s="3" t="s">
        <v>1076</v>
      </c>
      <c r="F1306" s="3" t="s">
        <v>1077</v>
      </c>
      <c r="G1306" s="3"/>
      <c r="H1306" s="4" t="s">
        <v>3763</v>
      </c>
    </row>
    <row r="1307" ht="16.5" customHeight="1" spans="1:8">
      <c r="A1307" s="3">
        <v>1306</v>
      </c>
      <c r="B1307" s="3" t="s">
        <v>3770</v>
      </c>
      <c r="C1307" s="3" t="s">
        <v>1105</v>
      </c>
      <c r="D1307" s="4" t="s">
        <v>3771</v>
      </c>
      <c r="E1307" s="3" t="s">
        <v>1076</v>
      </c>
      <c r="F1307" s="3" t="s">
        <v>1077</v>
      </c>
      <c r="G1307" s="3"/>
      <c r="H1307" s="4" t="s">
        <v>3763</v>
      </c>
    </row>
    <row r="1308" ht="16.5" customHeight="1" spans="1:8">
      <c r="A1308" s="3">
        <v>1307</v>
      </c>
      <c r="B1308" s="3" t="s">
        <v>3772</v>
      </c>
      <c r="C1308" s="3" t="s">
        <v>1105</v>
      </c>
      <c r="D1308" s="4" t="s">
        <v>3773</v>
      </c>
      <c r="E1308" s="3" t="s">
        <v>1076</v>
      </c>
      <c r="F1308" s="3" t="s">
        <v>1077</v>
      </c>
      <c r="G1308" s="3"/>
      <c r="H1308" s="4" t="s">
        <v>3763</v>
      </c>
    </row>
    <row r="1309" ht="16.5" customHeight="1" spans="1:8">
      <c r="A1309" s="3">
        <v>1308</v>
      </c>
      <c r="B1309" s="3" t="s">
        <v>3774</v>
      </c>
      <c r="C1309" s="3" t="s">
        <v>1105</v>
      </c>
      <c r="D1309" s="4" t="s">
        <v>3775</v>
      </c>
      <c r="E1309" s="3" t="s">
        <v>1076</v>
      </c>
      <c r="F1309" s="3" t="s">
        <v>1077</v>
      </c>
      <c r="G1309" s="3"/>
      <c r="H1309" s="4" t="s">
        <v>3763</v>
      </c>
    </row>
    <row r="1310" ht="16.5" customHeight="1" spans="1:8">
      <c r="A1310" s="3">
        <v>1309</v>
      </c>
      <c r="B1310" s="3" t="s">
        <v>3776</v>
      </c>
      <c r="C1310" s="3" t="s">
        <v>1105</v>
      </c>
      <c r="D1310" s="4" t="s">
        <v>3777</v>
      </c>
      <c r="E1310" s="3" t="s">
        <v>1076</v>
      </c>
      <c r="F1310" s="3" t="s">
        <v>1077</v>
      </c>
      <c r="G1310" s="3"/>
      <c r="H1310" s="4" t="s">
        <v>3763</v>
      </c>
    </row>
    <row r="1311" ht="16.5" customHeight="1" spans="1:8">
      <c r="A1311" s="3">
        <v>1310</v>
      </c>
      <c r="B1311" s="3" t="s">
        <v>3778</v>
      </c>
      <c r="C1311" s="3" t="s">
        <v>1105</v>
      </c>
      <c r="D1311" s="4" t="s">
        <v>3779</v>
      </c>
      <c r="E1311" s="3" t="s">
        <v>1076</v>
      </c>
      <c r="F1311" s="3" t="s">
        <v>1077</v>
      </c>
      <c r="G1311" s="3"/>
      <c r="H1311" s="4" t="s">
        <v>3763</v>
      </c>
    </row>
    <row r="1312" ht="16.5" customHeight="1" spans="1:8">
      <c r="A1312" s="3">
        <v>1311</v>
      </c>
      <c r="B1312" s="3" t="s">
        <v>3780</v>
      </c>
      <c r="C1312" s="3" t="s">
        <v>1105</v>
      </c>
      <c r="D1312" s="4" t="s">
        <v>3781</v>
      </c>
      <c r="E1312" s="3" t="s">
        <v>1076</v>
      </c>
      <c r="F1312" s="3" t="s">
        <v>1077</v>
      </c>
      <c r="G1312" s="3"/>
      <c r="H1312" s="4" t="s">
        <v>3763</v>
      </c>
    </row>
    <row r="1313" ht="16.5" customHeight="1" spans="1:8">
      <c r="A1313" s="3">
        <v>1312</v>
      </c>
      <c r="B1313" s="3" t="s">
        <v>3782</v>
      </c>
      <c r="C1313" s="3" t="s">
        <v>1105</v>
      </c>
      <c r="D1313" s="4" t="s">
        <v>3783</v>
      </c>
      <c r="E1313" s="3" t="s">
        <v>1076</v>
      </c>
      <c r="F1313" s="3" t="s">
        <v>1077</v>
      </c>
      <c r="G1313" s="3"/>
      <c r="H1313" s="4" t="s">
        <v>3763</v>
      </c>
    </row>
    <row r="1314" ht="16.5" customHeight="1" spans="1:8">
      <c r="A1314" s="3">
        <v>1313</v>
      </c>
      <c r="B1314" s="3" t="s">
        <v>3784</v>
      </c>
      <c r="C1314" s="3" t="s">
        <v>1105</v>
      </c>
      <c r="D1314" s="4" t="s">
        <v>3785</v>
      </c>
      <c r="E1314" s="3" t="s">
        <v>1076</v>
      </c>
      <c r="F1314" s="3" t="s">
        <v>1358</v>
      </c>
      <c r="G1314" s="3"/>
      <c r="H1314" s="4" t="s">
        <v>3303</v>
      </c>
    </row>
    <row r="1315" ht="16.5" customHeight="1" spans="1:8">
      <c r="A1315" s="3">
        <v>1314</v>
      </c>
      <c r="B1315" s="3" t="s">
        <v>3786</v>
      </c>
      <c r="C1315" s="3" t="s">
        <v>1105</v>
      </c>
      <c r="D1315" s="4" t="s">
        <v>3787</v>
      </c>
      <c r="E1315" s="3" t="s">
        <v>1076</v>
      </c>
      <c r="F1315" s="3" t="s">
        <v>1358</v>
      </c>
      <c r="G1315" s="3"/>
      <c r="H1315" s="4" t="s">
        <v>3303</v>
      </c>
    </row>
    <row r="1316" ht="16.5" customHeight="1" spans="1:8">
      <c r="A1316" s="3">
        <v>1315</v>
      </c>
      <c r="B1316" s="3" t="s">
        <v>3788</v>
      </c>
      <c r="C1316" s="3" t="s">
        <v>1105</v>
      </c>
      <c r="D1316" s="4" t="s">
        <v>3789</v>
      </c>
      <c r="E1316" s="3" t="s">
        <v>1076</v>
      </c>
      <c r="F1316" s="3" t="s">
        <v>1358</v>
      </c>
      <c r="G1316" s="3"/>
      <c r="H1316" s="4" t="s">
        <v>3303</v>
      </c>
    </row>
    <row r="1317" ht="16.5" customHeight="1" spans="1:8">
      <c r="A1317" s="3">
        <v>1316</v>
      </c>
      <c r="B1317" s="3" t="s">
        <v>3790</v>
      </c>
      <c r="C1317" s="3" t="s">
        <v>1105</v>
      </c>
      <c r="D1317" s="4" t="s">
        <v>3791</v>
      </c>
      <c r="E1317" s="3" t="s">
        <v>1837</v>
      </c>
      <c r="F1317" s="3" t="s">
        <v>1358</v>
      </c>
      <c r="G1317" s="3"/>
      <c r="H1317" s="4" t="s">
        <v>3303</v>
      </c>
    </row>
    <row r="1318" ht="16.5" customHeight="1" spans="1:8">
      <c r="A1318" s="3">
        <v>1317</v>
      </c>
      <c r="B1318" s="3" t="s">
        <v>3792</v>
      </c>
      <c r="C1318" s="3" t="s">
        <v>1105</v>
      </c>
      <c r="D1318" s="4" t="s">
        <v>3793</v>
      </c>
      <c r="E1318" s="3" t="s">
        <v>1076</v>
      </c>
      <c r="F1318" s="3" t="s">
        <v>1358</v>
      </c>
      <c r="G1318" s="3"/>
      <c r="H1318" s="4" t="s">
        <v>3303</v>
      </c>
    </row>
    <row r="1319" ht="16.5" customHeight="1" spans="1:8">
      <c r="A1319" s="3">
        <v>1318</v>
      </c>
      <c r="B1319" s="3" t="s">
        <v>3794</v>
      </c>
      <c r="C1319" s="3" t="s">
        <v>1105</v>
      </c>
      <c r="D1319" s="4" t="s">
        <v>3795</v>
      </c>
      <c r="E1319" s="3" t="s">
        <v>1076</v>
      </c>
      <c r="F1319" s="3" t="s">
        <v>3128</v>
      </c>
      <c r="G1319" s="3"/>
      <c r="H1319" s="4" t="s">
        <v>3374</v>
      </c>
    </row>
    <row r="1320" ht="16.5" customHeight="1" spans="1:8">
      <c r="A1320" s="3">
        <v>1319</v>
      </c>
      <c r="B1320" s="3" t="s">
        <v>3796</v>
      </c>
      <c r="C1320" s="3" t="s">
        <v>1105</v>
      </c>
      <c r="D1320" s="4" t="s">
        <v>3797</v>
      </c>
      <c r="E1320" s="3" t="s">
        <v>1076</v>
      </c>
      <c r="F1320" s="3" t="s">
        <v>1077</v>
      </c>
      <c r="G1320" s="3"/>
      <c r="H1320" s="4" t="s">
        <v>3466</v>
      </c>
    </row>
    <row r="1321" ht="16.5" customHeight="1" spans="1:8">
      <c r="A1321" s="3">
        <v>1320</v>
      </c>
      <c r="B1321" s="3" t="s">
        <v>3798</v>
      </c>
      <c r="C1321" s="3" t="s">
        <v>1105</v>
      </c>
      <c r="D1321" s="4" t="s">
        <v>3799</v>
      </c>
      <c r="E1321" s="3" t="s">
        <v>1076</v>
      </c>
      <c r="F1321" s="3" t="s">
        <v>1077</v>
      </c>
      <c r="G1321" s="3"/>
      <c r="H1321" s="4" t="s">
        <v>3466</v>
      </c>
    </row>
    <row r="1322" ht="16.5" customHeight="1" spans="1:8">
      <c r="A1322" s="3">
        <v>1321</v>
      </c>
      <c r="B1322" s="3" t="s">
        <v>3800</v>
      </c>
      <c r="C1322" s="3" t="s">
        <v>1105</v>
      </c>
      <c r="D1322" s="4" t="s">
        <v>3801</v>
      </c>
      <c r="E1322" s="3" t="s">
        <v>1076</v>
      </c>
      <c r="F1322" s="3" t="s">
        <v>1077</v>
      </c>
      <c r="G1322" s="3"/>
      <c r="H1322" s="4" t="s">
        <v>3466</v>
      </c>
    </row>
    <row r="1323" ht="16.5" customHeight="1" spans="1:8">
      <c r="A1323" s="3">
        <v>1322</v>
      </c>
      <c r="B1323" s="3" t="s">
        <v>3802</v>
      </c>
      <c r="C1323" s="3" t="s">
        <v>1105</v>
      </c>
      <c r="D1323" s="4" t="s">
        <v>3803</v>
      </c>
      <c r="E1323" s="3" t="s">
        <v>1076</v>
      </c>
      <c r="F1323" s="3" t="s">
        <v>1077</v>
      </c>
      <c r="G1323" s="3"/>
      <c r="H1323" s="4" t="s">
        <v>3466</v>
      </c>
    </row>
    <row r="1324" ht="16.5" customHeight="1" spans="1:8">
      <c r="A1324" s="3">
        <v>1323</v>
      </c>
      <c r="B1324" s="3" t="s">
        <v>3804</v>
      </c>
      <c r="C1324" s="3" t="s">
        <v>1105</v>
      </c>
      <c r="D1324" s="4" t="s">
        <v>3805</v>
      </c>
      <c r="E1324" s="3" t="s">
        <v>1076</v>
      </c>
      <c r="F1324" s="3" t="s">
        <v>1077</v>
      </c>
      <c r="G1324" s="3"/>
      <c r="H1324" s="4" t="s">
        <v>3466</v>
      </c>
    </row>
    <row r="1325" ht="16.5" customHeight="1" spans="1:8">
      <c r="A1325" s="3">
        <v>1324</v>
      </c>
      <c r="B1325" s="3" t="s">
        <v>3806</v>
      </c>
      <c r="C1325" s="3" t="s">
        <v>1105</v>
      </c>
      <c r="D1325" s="4" t="s">
        <v>3807</v>
      </c>
      <c r="E1325" s="3" t="s">
        <v>1076</v>
      </c>
      <c r="F1325" s="3" t="s">
        <v>1077</v>
      </c>
      <c r="G1325" s="3"/>
      <c r="H1325" s="4" t="s">
        <v>3466</v>
      </c>
    </row>
    <row r="1326" ht="16.5" customHeight="1" spans="1:8">
      <c r="A1326" s="3">
        <v>1325</v>
      </c>
      <c r="B1326" s="3" t="s">
        <v>3808</v>
      </c>
      <c r="C1326" s="3" t="s">
        <v>1105</v>
      </c>
      <c r="D1326" s="4" t="s">
        <v>3809</v>
      </c>
      <c r="E1326" s="3" t="s">
        <v>1076</v>
      </c>
      <c r="F1326" s="3" t="s">
        <v>1077</v>
      </c>
      <c r="G1326" s="3"/>
      <c r="H1326" s="4" t="s">
        <v>3466</v>
      </c>
    </row>
    <row r="1327" ht="16.5" customHeight="1" spans="1:8">
      <c r="A1327" s="3">
        <v>1326</v>
      </c>
      <c r="B1327" s="3" t="s">
        <v>3810</v>
      </c>
      <c r="C1327" s="3" t="s">
        <v>1356</v>
      </c>
      <c r="D1327" s="4" t="s">
        <v>3811</v>
      </c>
      <c r="E1327" s="3" t="s">
        <v>1076</v>
      </c>
      <c r="F1327" s="3" t="s">
        <v>1077</v>
      </c>
      <c r="G1327" s="3"/>
      <c r="H1327" s="4" t="s">
        <v>3812</v>
      </c>
    </row>
    <row r="1328" ht="16.5" customHeight="1" spans="1:8">
      <c r="A1328" s="3">
        <v>1327</v>
      </c>
      <c r="B1328" s="3" t="s">
        <v>3813</v>
      </c>
      <c r="C1328" s="3" t="s">
        <v>1105</v>
      </c>
      <c r="D1328" s="4" t="s">
        <v>3814</v>
      </c>
      <c r="E1328" s="3" t="s">
        <v>1076</v>
      </c>
      <c r="F1328" s="3" t="s">
        <v>1077</v>
      </c>
      <c r="G1328" s="3"/>
      <c r="H1328" s="4" t="s">
        <v>3815</v>
      </c>
    </row>
    <row r="1329" ht="16.5" customHeight="1" spans="1:8">
      <c r="A1329" s="3">
        <v>1328</v>
      </c>
      <c r="B1329" s="3" t="s">
        <v>3816</v>
      </c>
      <c r="C1329" s="3" t="s">
        <v>1105</v>
      </c>
      <c r="D1329" s="4" t="s">
        <v>3817</v>
      </c>
      <c r="E1329" s="3" t="s">
        <v>1076</v>
      </c>
      <c r="F1329" s="3" t="s">
        <v>1077</v>
      </c>
      <c r="G1329" s="3"/>
      <c r="H1329" s="4" t="s">
        <v>3815</v>
      </c>
    </row>
    <row r="1330" ht="16.5" customHeight="1" spans="1:8">
      <c r="A1330" s="3">
        <v>1329</v>
      </c>
      <c r="B1330" s="3" t="s">
        <v>3818</v>
      </c>
      <c r="C1330" s="3" t="s">
        <v>1105</v>
      </c>
      <c r="D1330" s="4" t="s">
        <v>3819</v>
      </c>
      <c r="E1330" s="3" t="s">
        <v>1076</v>
      </c>
      <c r="F1330" s="3" t="s">
        <v>1077</v>
      </c>
      <c r="G1330" s="3"/>
      <c r="H1330" s="4" t="s">
        <v>3815</v>
      </c>
    </row>
    <row r="1331" ht="16.5" customHeight="1" spans="1:8">
      <c r="A1331" s="3">
        <v>1330</v>
      </c>
      <c r="B1331" s="3" t="s">
        <v>3820</v>
      </c>
      <c r="C1331" s="3" t="s">
        <v>1356</v>
      </c>
      <c r="D1331" s="4" t="s">
        <v>3821</v>
      </c>
      <c r="E1331" s="3" t="s">
        <v>1076</v>
      </c>
      <c r="F1331" s="3" t="s">
        <v>1719</v>
      </c>
      <c r="G1331" s="3"/>
      <c r="H1331" s="4" t="s">
        <v>2181</v>
      </c>
    </row>
    <row r="1332" ht="16.5" customHeight="1" spans="1:8">
      <c r="A1332" s="3">
        <v>1331</v>
      </c>
      <c r="B1332" s="3" t="s">
        <v>3822</v>
      </c>
      <c r="C1332" s="3" t="s">
        <v>2163</v>
      </c>
      <c r="D1332" s="4" t="s">
        <v>3823</v>
      </c>
      <c r="E1332" s="3" t="s">
        <v>1076</v>
      </c>
      <c r="F1332" s="3" t="s">
        <v>2041</v>
      </c>
      <c r="G1332" s="3" t="s">
        <v>321</v>
      </c>
      <c r="H1332" s="4" t="s">
        <v>1368</v>
      </c>
    </row>
    <row r="1333" ht="16.5" customHeight="1" spans="1:8">
      <c r="A1333" s="3">
        <v>1332</v>
      </c>
      <c r="B1333" s="3" t="s">
        <v>3824</v>
      </c>
      <c r="C1333" s="3" t="s">
        <v>2163</v>
      </c>
      <c r="D1333" s="4" t="s">
        <v>3825</v>
      </c>
      <c r="E1333" s="3" t="s">
        <v>1076</v>
      </c>
      <c r="F1333" s="3" t="s">
        <v>2041</v>
      </c>
      <c r="G1333" s="3" t="s">
        <v>321</v>
      </c>
      <c r="H1333" s="4" t="s">
        <v>1368</v>
      </c>
    </row>
    <row r="1334" ht="16.5" customHeight="1" spans="1:8">
      <c r="A1334" s="3">
        <v>1333</v>
      </c>
      <c r="B1334" s="3" t="s">
        <v>3826</v>
      </c>
      <c r="C1334" s="3" t="s">
        <v>2163</v>
      </c>
      <c r="D1334" s="4" t="s">
        <v>3827</v>
      </c>
      <c r="E1334" s="3" t="s">
        <v>1076</v>
      </c>
      <c r="F1334" s="3" t="s">
        <v>2041</v>
      </c>
      <c r="G1334" s="3" t="s">
        <v>321</v>
      </c>
      <c r="H1334" s="4" t="s">
        <v>1368</v>
      </c>
    </row>
    <row r="1335" ht="16.5" customHeight="1" spans="1:8">
      <c r="A1335" s="3">
        <v>1334</v>
      </c>
      <c r="B1335" s="3" t="s">
        <v>3828</v>
      </c>
      <c r="C1335" s="3" t="s">
        <v>2163</v>
      </c>
      <c r="D1335" s="4" t="s">
        <v>3829</v>
      </c>
      <c r="E1335" s="3" t="s">
        <v>1076</v>
      </c>
      <c r="F1335" s="3" t="s">
        <v>2041</v>
      </c>
      <c r="G1335" s="3" t="s">
        <v>321</v>
      </c>
      <c r="H1335" s="4" t="s">
        <v>1368</v>
      </c>
    </row>
    <row r="1336" ht="16.5" customHeight="1" spans="1:8">
      <c r="A1336" s="3">
        <v>1335</v>
      </c>
      <c r="B1336" s="3" t="s">
        <v>3830</v>
      </c>
      <c r="C1336" s="3" t="s">
        <v>2163</v>
      </c>
      <c r="D1336" s="4" t="s">
        <v>3831</v>
      </c>
      <c r="E1336" s="3" t="s">
        <v>1076</v>
      </c>
      <c r="F1336" s="3" t="s">
        <v>2041</v>
      </c>
      <c r="G1336" s="3" t="s">
        <v>321</v>
      </c>
      <c r="H1336" s="4" t="s">
        <v>1368</v>
      </c>
    </row>
    <row r="1337" ht="16.5" customHeight="1" spans="1:8">
      <c r="A1337" s="3">
        <v>1336</v>
      </c>
      <c r="B1337" s="3" t="s">
        <v>3832</v>
      </c>
      <c r="C1337" s="3" t="s">
        <v>2163</v>
      </c>
      <c r="D1337" s="4" t="s">
        <v>3833</v>
      </c>
      <c r="E1337" s="3" t="s">
        <v>1076</v>
      </c>
      <c r="F1337" s="3" t="s">
        <v>2041</v>
      </c>
      <c r="G1337" s="3" t="s">
        <v>321</v>
      </c>
      <c r="H1337" s="4" t="s">
        <v>1368</v>
      </c>
    </row>
    <row r="1338" ht="16.5" customHeight="1" spans="1:8">
      <c r="A1338" s="3">
        <v>1337</v>
      </c>
      <c r="B1338" s="3" t="s">
        <v>3834</v>
      </c>
      <c r="C1338" s="3" t="s">
        <v>2163</v>
      </c>
      <c r="D1338" s="4" t="s">
        <v>3835</v>
      </c>
      <c r="E1338" s="3" t="s">
        <v>3093</v>
      </c>
      <c r="F1338" s="3" t="s">
        <v>2041</v>
      </c>
      <c r="G1338" s="3" t="s">
        <v>321</v>
      </c>
      <c r="H1338" s="4" t="s">
        <v>1368</v>
      </c>
    </row>
    <row r="1339" ht="16.5" customHeight="1" spans="1:8">
      <c r="A1339" s="3">
        <v>1338</v>
      </c>
      <c r="B1339" s="3" t="s">
        <v>3836</v>
      </c>
      <c r="C1339" s="3" t="s">
        <v>1105</v>
      </c>
      <c r="D1339" s="4" t="s">
        <v>3837</v>
      </c>
      <c r="E1339" s="3" t="s">
        <v>1076</v>
      </c>
      <c r="F1339" s="3" t="s">
        <v>1358</v>
      </c>
      <c r="G1339" s="3"/>
      <c r="H1339" s="4" t="s">
        <v>3303</v>
      </c>
    </row>
    <row r="1340" ht="16.5" customHeight="1" spans="1:8">
      <c r="A1340" s="3">
        <v>1339</v>
      </c>
      <c r="B1340" s="3" t="s">
        <v>3838</v>
      </c>
      <c r="C1340" s="3" t="s">
        <v>1074</v>
      </c>
      <c r="D1340" s="4" t="s">
        <v>3839</v>
      </c>
      <c r="E1340" s="3" t="s">
        <v>1218</v>
      </c>
      <c r="F1340" s="3" t="s">
        <v>2321</v>
      </c>
      <c r="G1340" s="3"/>
      <c r="H1340" s="4" t="s">
        <v>2324</v>
      </c>
    </row>
    <row r="1341" ht="16.5" customHeight="1" spans="1:8">
      <c r="A1341" s="3">
        <v>1340</v>
      </c>
      <c r="B1341" s="3" t="s">
        <v>3840</v>
      </c>
      <c r="C1341" s="3" t="s">
        <v>1105</v>
      </c>
      <c r="D1341" s="4" t="s">
        <v>3841</v>
      </c>
      <c r="E1341" s="3" t="s">
        <v>1164</v>
      </c>
      <c r="F1341" s="3" t="s">
        <v>2321</v>
      </c>
      <c r="G1341" s="3"/>
      <c r="H1341" s="4" t="s">
        <v>3842</v>
      </c>
    </row>
    <row r="1342" ht="16.5" customHeight="1" spans="1:8">
      <c r="A1342" s="3">
        <v>1341</v>
      </c>
      <c r="B1342" s="3" t="s">
        <v>3843</v>
      </c>
      <c r="C1342" s="3" t="s">
        <v>1105</v>
      </c>
      <c r="D1342" s="4" t="s">
        <v>3844</v>
      </c>
      <c r="E1342" s="3" t="s">
        <v>1164</v>
      </c>
      <c r="F1342" s="3" t="s">
        <v>2321</v>
      </c>
      <c r="G1342" s="3"/>
      <c r="H1342" s="4" t="s">
        <v>3842</v>
      </c>
    </row>
    <row r="1343" ht="16.5" customHeight="1" spans="1:8">
      <c r="A1343" s="3">
        <v>1342</v>
      </c>
      <c r="B1343" s="3" t="s">
        <v>3845</v>
      </c>
      <c r="C1343" s="3" t="s">
        <v>1105</v>
      </c>
      <c r="D1343" s="4" t="s">
        <v>3846</v>
      </c>
      <c r="E1343" s="3" t="s">
        <v>1164</v>
      </c>
      <c r="F1343" s="3" t="s">
        <v>2321</v>
      </c>
      <c r="G1343" s="3"/>
      <c r="H1343" s="4" t="s">
        <v>3842</v>
      </c>
    </row>
    <row r="1344" ht="16.5" customHeight="1" spans="1:8">
      <c r="A1344" s="3">
        <v>1343</v>
      </c>
      <c r="B1344" s="3" t="s">
        <v>3847</v>
      </c>
      <c r="C1344" s="3" t="s">
        <v>1105</v>
      </c>
      <c r="D1344" s="4" t="s">
        <v>3848</v>
      </c>
      <c r="E1344" s="3" t="s">
        <v>1837</v>
      </c>
      <c r="F1344" s="3" t="s">
        <v>1358</v>
      </c>
      <c r="G1344" s="3"/>
      <c r="H1344" s="4" t="s">
        <v>3303</v>
      </c>
    </row>
    <row r="1345" ht="16.5" customHeight="1" spans="1:8">
      <c r="A1345" s="3">
        <v>1344</v>
      </c>
      <c r="B1345" s="3" t="s">
        <v>3849</v>
      </c>
      <c r="C1345" s="3" t="s">
        <v>1105</v>
      </c>
      <c r="D1345" s="4" t="s">
        <v>3850</v>
      </c>
      <c r="E1345" s="3" t="s">
        <v>1076</v>
      </c>
      <c r="F1345" s="3" t="s">
        <v>1358</v>
      </c>
      <c r="G1345" s="3"/>
      <c r="H1345" s="4" t="s">
        <v>3303</v>
      </c>
    </row>
    <row r="1346" ht="16.5" customHeight="1" spans="1:8">
      <c r="A1346" s="3">
        <v>1345</v>
      </c>
      <c r="B1346" s="3" t="s">
        <v>3851</v>
      </c>
      <c r="C1346" s="3" t="s">
        <v>2163</v>
      </c>
      <c r="D1346" s="4" t="s">
        <v>3852</v>
      </c>
      <c r="E1346" s="3" t="s">
        <v>2263</v>
      </c>
      <c r="F1346" s="3" t="s">
        <v>2105</v>
      </c>
      <c r="G1346" s="3" t="s">
        <v>321</v>
      </c>
      <c r="H1346" s="4" t="s">
        <v>1368</v>
      </c>
    </row>
    <row r="1347" ht="16.5" customHeight="1" spans="1:8">
      <c r="A1347" s="3">
        <v>1346</v>
      </c>
      <c r="B1347" s="3" t="s">
        <v>3853</v>
      </c>
      <c r="C1347" s="3" t="s">
        <v>2163</v>
      </c>
      <c r="D1347" s="4" t="s">
        <v>3854</v>
      </c>
      <c r="E1347" s="3" t="s">
        <v>2263</v>
      </c>
      <c r="F1347" s="3" t="s">
        <v>2105</v>
      </c>
      <c r="G1347" s="3" t="s">
        <v>321</v>
      </c>
      <c r="H1347" s="4" t="s">
        <v>1368</v>
      </c>
    </row>
    <row r="1348" ht="16.5" customHeight="1" spans="1:8">
      <c r="A1348" s="3">
        <v>1347</v>
      </c>
      <c r="B1348" s="3" t="s">
        <v>3855</v>
      </c>
      <c r="C1348" s="3" t="s">
        <v>2163</v>
      </c>
      <c r="D1348" s="4" t="s">
        <v>3856</v>
      </c>
      <c r="E1348" s="3" t="s">
        <v>1076</v>
      </c>
      <c r="F1348" s="3" t="s">
        <v>2105</v>
      </c>
      <c r="G1348" s="3"/>
      <c r="H1348" s="4" t="s">
        <v>1368</v>
      </c>
    </row>
    <row r="1349" ht="16.5" customHeight="1" spans="1:8">
      <c r="A1349" s="3">
        <v>1348</v>
      </c>
      <c r="B1349" s="3" t="s">
        <v>3857</v>
      </c>
      <c r="C1349" s="3" t="s">
        <v>2163</v>
      </c>
      <c r="D1349" s="4" t="s">
        <v>3858</v>
      </c>
      <c r="E1349" s="3" t="s">
        <v>2263</v>
      </c>
      <c r="F1349" s="3" t="s">
        <v>2105</v>
      </c>
      <c r="G1349" s="3" t="s">
        <v>321</v>
      </c>
      <c r="H1349" s="4" t="s">
        <v>1368</v>
      </c>
    </row>
    <row r="1350" ht="16.5" customHeight="1" spans="1:8">
      <c r="A1350" s="3">
        <v>1349</v>
      </c>
      <c r="B1350" s="3" t="s">
        <v>3859</v>
      </c>
      <c r="C1350" s="3" t="s">
        <v>1105</v>
      </c>
      <c r="D1350" s="4" t="s">
        <v>3860</v>
      </c>
      <c r="E1350" s="3" t="s">
        <v>1076</v>
      </c>
      <c r="F1350" s="3" t="s">
        <v>1358</v>
      </c>
      <c r="G1350" s="3"/>
      <c r="H1350" s="4" t="s">
        <v>3281</v>
      </c>
    </row>
    <row r="1351" ht="16.5" customHeight="1" spans="1:8">
      <c r="A1351" s="3">
        <v>1350</v>
      </c>
      <c r="B1351" s="3" t="s">
        <v>3861</v>
      </c>
      <c r="C1351" s="3" t="s">
        <v>2163</v>
      </c>
      <c r="D1351" s="4" t="s">
        <v>3862</v>
      </c>
      <c r="E1351" s="3" t="s">
        <v>1076</v>
      </c>
      <c r="F1351" s="3" t="s">
        <v>2041</v>
      </c>
      <c r="G1351" s="3" t="s">
        <v>321</v>
      </c>
      <c r="H1351" s="4" t="s">
        <v>1095</v>
      </c>
    </row>
    <row r="1352" ht="16.5" customHeight="1" spans="1:8">
      <c r="A1352" s="3">
        <v>1351</v>
      </c>
      <c r="B1352" s="3" t="s">
        <v>3863</v>
      </c>
      <c r="C1352" s="3" t="s">
        <v>1105</v>
      </c>
      <c r="D1352" s="4" t="s">
        <v>3864</v>
      </c>
      <c r="E1352" s="3" t="s">
        <v>1076</v>
      </c>
      <c r="F1352" s="3" t="s">
        <v>1358</v>
      </c>
      <c r="G1352" s="3"/>
      <c r="H1352" s="4" t="s">
        <v>3270</v>
      </c>
    </row>
    <row r="1353" ht="16.5" customHeight="1" spans="1:8">
      <c r="A1353" s="3">
        <v>1352</v>
      </c>
      <c r="B1353" s="3" t="s">
        <v>3865</v>
      </c>
      <c r="C1353" s="3" t="s">
        <v>2163</v>
      </c>
      <c r="D1353" s="4" t="s">
        <v>3866</v>
      </c>
      <c r="E1353" s="3" t="s">
        <v>2263</v>
      </c>
      <c r="F1353" s="3" t="s">
        <v>2105</v>
      </c>
      <c r="G1353" s="3" t="s">
        <v>321</v>
      </c>
      <c r="H1353" s="4" t="s">
        <v>1368</v>
      </c>
    </row>
    <row r="1354" ht="16.5" customHeight="1" spans="1:8">
      <c r="A1354" s="3">
        <v>1353</v>
      </c>
      <c r="B1354" s="3" t="s">
        <v>3867</v>
      </c>
      <c r="C1354" s="3" t="s">
        <v>2163</v>
      </c>
      <c r="D1354" s="4" t="s">
        <v>3868</v>
      </c>
      <c r="E1354" s="3" t="s">
        <v>1076</v>
      </c>
      <c r="F1354" s="3" t="s">
        <v>2105</v>
      </c>
      <c r="G1354" s="3" t="s">
        <v>321</v>
      </c>
      <c r="H1354" s="4" t="s">
        <v>1368</v>
      </c>
    </row>
    <row r="1355" ht="16.5" customHeight="1" spans="1:8">
      <c r="A1355" s="3">
        <v>1354</v>
      </c>
      <c r="B1355" s="3" t="s">
        <v>3869</v>
      </c>
      <c r="C1355" s="3" t="s">
        <v>2163</v>
      </c>
      <c r="D1355" s="4" t="s">
        <v>3870</v>
      </c>
      <c r="E1355" s="3" t="s">
        <v>1076</v>
      </c>
      <c r="F1355" s="3" t="s">
        <v>2105</v>
      </c>
      <c r="G1355" s="3" t="s">
        <v>321</v>
      </c>
      <c r="H1355" s="4" t="s">
        <v>1368</v>
      </c>
    </row>
    <row r="1356" ht="16.5" customHeight="1" spans="1:8">
      <c r="A1356" s="3">
        <v>1355</v>
      </c>
      <c r="B1356" s="3" t="s">
        <v>3871</v>
      </c>
      <c r="C1356" s="3" t="s">
        <v>2163</v>
      </c>
      <c r="D1356" s="4" t="s">
        <v>3872</v>
      </c>
      <c r="E1356" s="3" t="s">
        <v>1076</v>
      </c>
      <c r="F1356" s="3" t="s">
        <v>2105</v>
      </c>
      <c r="G1356" s="3" t="s">
        <v>321</v>
      </c>
      <c r="H1356" s="4" t="s">
        <v>1368</v>
      </c>
    </row>
    <row r="1357" ht="16.5" customHeight="1" spans="1:8">
      <c r="A1357" s="3">
        <v>1356</v>
      </c>
      <c r="B1357" s="3" t="s">
        <v>3873</v>
      </c>
      <c r="C1357" s="3" t="s">
        <v>2163</v>
      </c>
      <c r="D1357" s="4" t="s">
        <v>3874</v>
      </c>
      <c r="E1357" s="3" t="s">
        <v>1076</v>
      </c>
      <c r="F1357" s="3" t="s">
        <v>2105</v>
      </c>
      <c r="G1357" s="3" t="s">
        <v>321</v>
      </c>
      <c r="H1357" s="4" t="s">
        <v>1368</v>
      </c>
    </row>
    <row r="1358" ht="16.5" customHeight="1" spans="1:8">
      <c r="A1358" s="3">
        <v>1357</v>
      </c>
      <c r="B1358" s="3" t="s">
        <v>3875</v>
      </c>
      <c r="C1358" s="3" t="s">
        <v>2163</v>
      </c>
      <c r="D1358" s="4" t="s">
        <v>3876</v>
      </c>
      <c r="E1358" s="3" t="s">
        <v>1076</v>
      </c>
      <c r="F1358" s="3" t="s">
        <v>1358</v>
      </c>
      <c r="G1358" s="3" t="s">
        <v>321</v>
      </c>
      <c r="H1358" s="4" t="s">
        <v>1095</v>
      </c>
    </row>
    <row r="1359" ht="16.5" customHeight="1" spans="1:8">
      <c r="A1359" s="3">
        <v>1358</v>
      </c>
      <c r="B1359" s="3" t="s">
        <v>3877</v>
      </c>
      <c r="C1359" s="3" t="s">
        <v>2163</v>
      </c>
      <c r="D1359" s="4" t="s">
        <v>3878</v>
      </c>
      <c r="E1359" s="3" t="s">
        <v>1076</v>
      </c>
      <c r="F1359" s="3" t="s">
        <v>1358</v>
      </c>
      <c r="G1359" s="3"/>
      <c r="H1359" s="4" t="s">
        <v>1095</v>
      </c>
    </row>
    <row r="1360" ht="16.5" customHeight="1" spans="1:8">
      <c r="A1360" s="3">
        <v>1359</v>
      </c>
      <c r="B1360" s="3" t="s">
        <v>3879</v>
      </c>
      <c r="C1360" s="3" t="s">
        <v>2163</v>
      </c>
      <c r="D1360" s="4" t="s">
        <v>3880</v>
      </c>
      <c r="E1360" s="3" t="s">
        <v>1076</v>
      </c>
      <c r="F1360" s="3" t="s">
        <v>2041</v>
      </c>
      <c r="G1360" s="3" t="s">
        <v>321</v>
      </c>
      <c r="H1360" s="4" t="s">
        <v>1095</v>
      </c>
    </row>
    <row r="1361" ht="16.5" customHeight="1" spans="1:8">
      <c r="A1361" s="3">
        <v>1360</v>
      </c>
      <c r="B1361" s="3" t="s">
        <v>3881</v>
      </c>
      <c r="C1361" s="3" t="s">
        <v>2163</v>
      </c>
      <c r="D1361" s="4" t="s">
        <v>3882</v>
      </c>
      <c r="E1361" s="3" t="s">
        <v>1076</v>
      </c>
      <c r="F1361" s="3" t="s">
        <v>1358</v>
      </c>
      <c r="G1361" s="3"/>
      <c r="H1361" s="4" t="s">
        <v>1095</v>
      </c>
    </row>
    <row r="1362" ht="16.5" customHeight="1" spans="1:8">
      <c r="A1362" s="3">
        <v>1361</v>
      </c>
      <c r="B1362" s="3" t="s">
        <v>3883</v>
      </c>
      <c r="C1362" s="3" t="s">
        <v>2163</v>
      </c>
      <c r="D1362" s="4" t="s">
        <v>3884</v>
      </c>
      <c r="E1362" s="3" t="s">
        <v>1076</v>
      </c>
      <c r="F1362" s="3" t="s">
        <v>2041</v>
      </c>
      <c r="G1362" s="3" t="s">
        <v>321</v>
      </c>
      <c r="H1362" s="4" t="s">
        <v>1095</v>
      </c>
    </row>
    <row r="1363" ht="16.5" customHeight="1" spans="1:8">
      <c r="A1363" s="3">
        <v>1362</v>
      </c>
      <c r="B1363" s="3" t="s">
        <v>3885</v>
      </c>
      <c r="C1363" s="3" t="s">
        <v>2163</v>
      </c>
      <c r="D1363" s="4" t="s">
        <v>3886</v>
      </c>
      <c r="E1363" s="3" t="s">
        <v>1076</v>
      </c>
      <c r="F1363" s="3" t="s">
        <v>2105</v>
      </c>
      <c r="G1363" s="3" t="s">
        <v>321</v>
      </c>
      <c r="H1363" s="4" t="s">
        <v>1368</v>
      </c>
    </row>
    <row r="1364" ht="16.5" customHeight="1" spans="1:8">
      <c r="A1364" s="3">
        <v>1363</v>
      </c>
      <c r="B1364" s="3" t="s">
        <v>3887</v>
      </c>
      <c r="C1364" s="3" t="s">
        <v>2163</v>
      </c>
      <c r="D1364" s="4" t="s">
        <v>3888</v>
      </c>
      <c r="E1364" s="3" t="s">
        <v>1076</v>
      </c>
      <c r="F1364" s="3" t="s">
        <v>1358</v>
      </c>
      <c r="G1364" s="3" t="s">
        <v>321</v>
      </c>
      <c r="H1364" s="4" t="s">
        <v>1095</v>
      </c>
    </row>
    <row r="1365" ht="16.5" customHeight="1" spans="1:8">
      <c r="A1365" s="3">
        <v>1364</v>
      </c>
      <c r="B1365" s="3" t="s">
        <v>3889</v>
      </c>
      <c r="C1365" s="3" t="s">
        <v>2163</v>
      </c>
      <c r="D1365" s="4" t="s">
        <v>3890</v>
      </c>
      <c r="E1365" s="3" t="s">
        <v>1076</v>
      </c>
      <c r="F1365" s="3" t="s">
        <v>2041</v>
      </c>
      <c r="G1365" s="3" t="s">
        <v>321</v>
      </c>
      <c r="H1365" s="4" t="s">
        <v>1095</v>
      </c>
    </row>
    <row r="1366" ht="16.5" customHeight="1" spans="1:8">
      <c r="A1366" s="3">
        <v>1365</v>
      </c>
      <c r="B1366" s="3" t="s">
        <v>3891</v>
      </c>
      <c r="C1366" s="3" t="s">
        <v>2163</v>
      </c>
      <c r="D1366" s="4" t="s">
        <v>3892</v>
      </c>
      <c r="E1366" s="3" t="s">
        <v>1076</v>
      </c>
      <c r="F1366" s="3" t="s">
        <v>2105</v>
      </c>
      <c r="G1366" s="3" t="s">
        <v>321</v>
      </c>
      <c r="H1366" s="4" t="s">
        <v>1368</v>
      </c>
    </row>
    <row r="1367" ht="16.5" customHeight="1" spans="1:8">
      <c r="A1367" s="3">
        <v>1366</v>
      </c>
      <c r="B1367" s="3" t="s">
        <v>3893</v>
      </c>
      <c r="C1367" s="3" t="s">
        <v>2163</v>
      </c>
      <c r="D1367" s="4" t="s">
        <v>3894</v>
      </c>
      <c r="E1367" s="3" t="s">
        <v>1076</v>
      </c>
      <c r="F1367" s="3" t="s">
        <v>2041</v>
      </c>
      <c r="G1367" s="3" t="s">
        <v>321</v>
      </c>
      <c r="H1367" s="4" t="s">
        <v>1095</v>
      </c>
    </row>
    <row r="1368" ht="16.5" customHeight="1" spans="1:8">
      <c r="A1368" s="3">
        <v>1367</v>
      </c>
      <c r="B1368" s="3" t="s">
        <v>3895</v>
      </c>
      <c r="C1368" s="3" t="s">
        <v>2163</v>
      </c>
      <c r="D1368" s="4" t="s">
        <v>3896</v>
      </c>
      <c r="E1368" s="3" t="s">
        <v>1076</v>
      </c>
      <c r="F1368" s="3" t="s">
        <v>2105</v>
      </c>
      <c r="G1368" s="3" t="s">
        <v>321</v>
      </c>
      <c r="H1368" s="4" t="s">
        <v>1368</v>
      </c>
    </row>
    <row r="1369" ht="16.5" customHeight="1" spans="1:8">
      <c r="A1369" s="3">
        <v>1368</v>
      </c>
      <c r="B1369" s="3" t="s">
        <v>3897</v>
      </c>
      <c r="C1369" s="3" t="s">
        <v>1105</v>
      </c>
      <c r="D1369" s="4" t="s">
        <v>3898</v>
      </c>
      <c r="E1369" s="3" t="s">
        <v>1076</v>
      </c>
      <c r="F1369" s="3" t="s">
        <v>1358</v>
      </c>
      <c r="G1369" s="3"/>
      <c r="H1369" s="4" t="s">
        <v>3270</v>
      </c>
    </row>
    <row r="1370" ht="16.5" customHeight="1" spans="1:8">
      <c r="A1370" s="3">
        <v>1369</v>
      </c>
      <c r="B1370" s="3" t="s">
        <v>3899</v>
      </c>
      <c r="C1370" s="3" t="s">
        <v>2163</v>
      </c>
      <c r="D1370" s="4" t="s">
        <v>3900</v>
      </c>
      <c r="E1370" s="3" t="s">
        <v>1076</v>
      </c>
      <c r="F1370" s="3" t="s">
        <v>2105</v>
      </c>
      <c r="G1370" s="3" t="s">
        <v>321</v>
      </c>
      <c r="H1370" s="4" t="s">
        <v>1308</v>
      </c>
    </row>
    <row r="1371" ht="16.5" customHeight="1" spans="1:8">
      <c r="A1371" s="3">
        <v>1370</v>
      </c>
      <c r="B1371" s="3" t="s">
        <v>3901</v>
      </c>
      <c r="C1371" s="3" t="s">
        <v>2163</v>
      </c>
      <c r="D1371" s="4" t="s">
        <v>3902</v>
      </c>
      <c r="E1371" s="3" t="s">
        <v>1076</v>
      </c>
      <c r="F1371" s="3" t="s">
        <v>2105</v>
      </c>
      <c r="G1371" s="3" t="s">
        <v>321</v>
      </c>
      <c r="H1371" s="4" t="s">
        <v>1368</v>
      </c>
    </row>
    <row r="1372" ht="16.5" customHeight="1" spans="1:8">
      <c r="A1372" s="3">
        <v>1371</v>
      </c>
      <c r="B1372" s="3" t="s">
        <v>3903</v>
      </c>
      <c r="C1372" s="3" t="s">
        <v>1356</v>
      </c>
      <c r="D1372" s="4" t="s">
        <v>3904</v>
      </c>
      <c r="E1372" s="3" t="s">
        <v>1076</v>
      </c>
      <c r="F1372" s="3" t="s">
        <v>2463</v>
      </c>
      <c r="G1372" s="3"/>
      <c r="H1372" s="4" t="s">
        <v>1359</v>
      </c>
    </row>
    <row r="1373" ht="16.5" customHeight="1" spans="1:8">
      <c r="A1373" s="3">
        <v>1372</v>
      </c>
      <c r="B1373" s="3" t="s">
        <v>3905</v>
      </c>
      <c r="C1373" s="3" t="s">
        <v>1356</v>
      </c>
      <c r="D1373" s="4" t="s">
        <v>3906</v>
      </c>
      <c r="E1373" s="3" t="s">
        <v>1076</v>
      </c>
      <c r="F1373" s="3" t="s">
        <v>2463</v>
      </c>
      <c r="G1373" s="3"/>
      <c r="H1373" s="4" t="s">
        <v>1359</v>
      </c>
    </row>
    <row r="1374" ht="16.5" customHeight="1" spans="1:8">
      <c r="A1374" s="3">
        <v>1373</v>
      </c>
      <c r="B1374" s="3" t="s">
        <v>3907</v>
      </c>
      <c r="C1374" s="3" t="s">
        <v>2163</v>
      </c>
      <c r="D1374" s="4" t="s">
        <v>3908</v>
      </c>
      <c r="E1374" s="3" t="s">
        <v>1076</v>
      </c>
      <c r="F1374" s="3" t="s">
        <v>2105</v>
      </c>
      <c r="G1374" s="3" t="s">
        <v>321</v>
      </c>
      <c r="H1374" s="4" t="s">
        <v>1305</v>
      </c>
    </row>
    <row r="1375" ht="16.5" customHeight="1" spans="1:8">
      <c r="A1375" s="3">
        <v>1374</v>
      </c>
      <c r="B1375" s="3" t="s">
        <v>3909</v>
      </c>
      <c r="C1375" s="3" t="s">
        <v>1356</v>
      </c>
      <c r="D1375" s="4" t="s">
        <v>3910</v>
      </c>
      <c r="E1375" s="3" t="s">
        <v>1076</v>
      </c>
      <c r="F1375" s="3" t="s">
        <v>1719</v>
      </c>
      <c r="G1375" s="3"/>
      <c r="H1375" s="4" t="s">
        <v>1883</v>
      </c>
    </row>
    <row r="1376" ht="16.5" customHeight="1" spans="1:8">
      <c r="A1376" s="3">
        <v>1375</v>
      </c>
      <c r="B1376" s="3" t="s">
        <v>3911</v>
      </c>
      <c r="C1376" s="3" t="s">
        <v>2163</v>
      </c>
      <c r="D1376" s="4" t="s">
        <v>3912</v>
      </c>
      <c r="E1376" s="3" t="s">
        <v>1076</v>
      </c>
      <c r="F1376" s="3" t="s">
        <v>2105</v>
      </c>
      <c r="G1376" s="3" t="s">
        <v>321</v>
      </c>
      <c r="H1376" s="4" t="s">
        <v>1305</v>
      </c>
    </row>
    <row r="1377" ht="16.5" customHeight="1" spans="1:8">
      <c r="A1377" s="3">
        <v>1376</v>
      </c>
      <c r="B1377" s="3" t="s">
        <v>3913</v>
      </c>
      <c r="C1377" s="3" t="s">
        <v>1105</v>
      </c>
      <c r="D1377" s="4" t="s">
        <v>3914</v>
      </c>
      <c r="E1377" s="3" t="s">
        <v>1076</v>
      </c>
      <c r="F1377" s="3" t="s">
        <v>1358</v>
      </c>
      <c r="G1377" s="3"/>
      <c r="H1377" s="4" t="s">
        <v>3482</v>
      </c>
    </row>
    <row r="1378" ht="16.5" customHeight="1" spans="1:8">
      <c r="A1378" s="3">
        <v>1377</v>
      </c>
      <c r="B1378" s="3" t="s">
        <v>3915</v>
      </c>
      <c r="C1378" s="3" t="s">
        <v>2163</v>
      </c>
      <c r="D1378" s="4" t="s">
        <v>3916</v>
      </c>
      <c r="E1378" s="3" t="s">
        <v>1076</v>
      </c>
      <c r="F1378" s="3" t="s">
        <v>2105</v>
      </c>
      <c r="G1378" s="3" t="s">
        <v>321</v>
      </c>
      <c r="H1378" s="4" t="s">
        <v>1308</v>
      </c>
    </row>
    <row r="1379" ht="16.5" customHeight="1" spans="1:8">
      <c r="A1379" s="3">
        <v>1378</v>
      </c>
      <c r="B1379" s="3" t="s">
        <v>3917</v>
      </c>
      <c r="C1379" s="3" t="s">
        <v>2163</v>
      </c>
      <c r="D1379" s="4" t="s">
        <v>3918</v>
      </c>
      <c r="E1379" s="3" t="s">
        <v>1076</v>
      </c>
      <c r="F1379" s="3" t="s">
        <v>2105</v>
      </c>
      <c r="G1379" s="3" t="s">
        <v>321</v>
      </c>
      <c r="H1379" s="4" t="s">
        <v>1308</v>
      </c>
    </row>
    <row r="1380" ht="16.5" customHeight="1" spans="1:8">
      <c r="A1380" s="3">
        <v>1379</v>
      </c>
      <c r="B1380" s="3" t="s">
        <v>3919</v>
      </c>
      <c r="C1380" s="3" t="s">
        <v>2163</v>
      </c>
      <c r="D1380" s="4" t="s">
        <v>3920</v>
      </c>
      <c r="E1380" s="3" t="s">
        <v>1076</v>
      </c>
      <c r="F1380" s="3" t="s">
        <v>2105</v>
      </c>
      <c r="G1380" s="3" t="s">
        <v>321</v>
      </c>
      <c r="H1380" s="4" t="s">
        <v>1308</v>
      </c>
    </row>
    <row r="1381" ht="16.5" customHeight="1" spans="1:8">
      <c r="A1381" s="3">
        <v>1380</v>
      </c>
      <c r="B1381" s="3" t="s">
        <v>3921</v>
      </c>
      <c r="C1381" s="3" t="s">
        <v>2163</v>
      </c>
      <c r="D1381" s="4" t="s">
        <v>3922</v>
      </c>
      <c r="E1381" s="3" t="s">
        <v>1076</v>
      </c>
      <c r="F1381" s="3" t="s">
        <v>2105</v>
      </c>
      <c r="G1381" s="3" t="s">
        <v>321</v>
      </c>
      <c r="H1381" s="4" t="s">
        <v>1308</v>
      </c>
    </row>
    <row r="1382" ht="16.5" customHeight="1" spans="1:8">
      <c r="A1382" s="3">
        <v>1381</v>
      </c>
      <c r="B1382" s="3" t="s">
        <v>3923</v>
      </c>
      <c r="C1382" s="3" t="s">
        <v>2163</v>
      </c>
      <c r="D1382" s="4" t="s">
        <v>3924</v>
      </c>
      <c r="E1382" s="3" t="s">
        <v>1076</v>
      </c>
      <c r="F1382" s="3" t="s">
        <v>1358</v>
      </c>
      <c r="G1382" s="3"/>
      <c r="H1382" s="4" t="s">
        <v>1368</v>
      </c>
    </row>
    <row r="1383" ht="16.5" customHeight="1" spans="1:8">
      <c r="A1383" s="3">
        <v>1382</v>
      </c>
      <c r="B1383" s="3" t="s">
        <v>3925</v>
      </c>
      <c r="C1383" s="3" t="s">
        <v>1356</v>
      </c>
      <c r="D1383" s="4" t="s">
        <v>3926</v>
      </c>
      <c r="E1383" s="3" t="s">
        <v>1076</v>
      </c>
      <c r="F1383" s="3" t="s">
        <v>1719</v>
      </c>
      <c r="G1383" s="3"/>
      <c r="H1383" s="4" t="s">
        <v>1095</v>
      </c>
    </row>
    <row r="1384" ht="16.5" customHeight="1" spans="1:8">
      <c r="A1384" s="3">
        <v>1383</v>
      </c>
      <c r="B1384" s="3" t="s">
        <v>3927</v>
      </c>
      <c r="C1384" s="3" t="s">
        <v>1356</v>
      </c>
      <c r="D1384" s="4" t="s">
        <v>3928</v>
      </c>
      <c r="E1384" s="3" t="s">
        <v>1076</v>
      </c>
      <c r="F1384" s="3" t="s">
        <v>1719</v>
      </c>
      <c r="G1384" s="3"/>
      <c r="H1384" s="4" t="s">
        <v>1095</v>
      </c>
    </row>
    <row r="1385" ht="16.5" customHeight="1" spans="1:8">
      <c r="A1385" s="3">
        <v>1384</v>
      </c>
      <c r="B1385" s="3" t="s">
        <v>3929</v>
      </c>
      <c r="C1385" s="3" t="s">
        <v>1356</v>
      </c>
      <c r="D1385" s="4" t="s">
        <v>3930</v>
      </c>
      <c r="E1385" s="3" t="s">
        <v>1076</v>
      </c>
      <c r="F1385" s="3" t="s">
        <v>1358</v>
      </c>
      <c r="G1385" s="3"/>
      <c r="H1385" s="4" t="s">
        <v>1095</v>
      </c>
    </row>
    <row r="1386" ht="16.5" customHeight="1" spans="1:8">
      <c r="A1386" s="3">
        <v>1385</v>
      </c>
      <c r="B1386" s="3" t="s">
        <v>3931</v>
      </c>
      <c r="C1386" s="3" t="s">
        <v>1105</v>
      </c>
      <c r="D1386" s="4" t="s">
        <v>3754</v>
      </c>
      <c r="E1386" s="3" t="s">
        <v>1076</v>
      </c>
      <c r="F1386" s="3" t="s">
        <v>1736</v>
      </c>
      <c r="G1386" s="3"/>
      <c r="H1386" s="4" t="s">
        <v>3932</v>
      </c>
    </row>
    <row r="1387" ht="16.5" customHeight="1" spans="1:8">
      <c r="A1387" s="3">
        <v>1386</v>
      </c>
      <c r="B1387" s="3" t="s">
        <v>3933</v>
      </c>
      <c r="C1387" s="3" t="s">
        <v>1105</v>
      </c>
      <c r="D1387" s="4" t="s">
        <v>3756</v>
      </c>
      <c r="E1387" s="3" t="s">
        <v>1076</v>
      </c>
      <c r="F1387" s="3" t="s">
        <v>1736</v>
      </c>
      <c r="G1387" s="3"/>
      <c r="H1387" s="4" t="s">
        <v>3934</v>
      </c>
    </row>
    <row r="1388" ht="16.5" customHeight="1" spans="1:8">
      <c r="A1388" s="3">
        <v>1387</v>
      </c>
      <c r="B1388" s="3" t="s">
        <v>3935</v>
      </c>
      <c r="C1388" s="3" t="s">
        <v>1105</v>
      </c>
      <c r="D1388" s="4" t="s">
        <v>3758</v>
      </c>
      <c r="E1388" s="3" t="s">
        <v>1076</v>
      </c>
      <c r="F1388" s="3" t="s">
        <v>1736</v>
      </c>
      <c r="G1388" s="3"/>
      <c r="H1388" s="4" t="s">
        <v>3936</v>
      </c>
    </row>
    <row r="1389" ht="16.5" customHeight="1" spans="1:8">
      <c r="A1389" s="3">
        <v>1388</v>
      </c>
      <c r="B1389" s="3" t="s">
        <v>3937</v>
      </c>
      <c r="C1389" s="3" t="s">
        <v>1105</v>
      </c>
      <c r="D1389" s="4" t="s">
        <v>3938</v>
      </c>
      <c r="E1389" s="3" t="s">
        <v>1076</v>
      </c>
      <c r="F1389" s="3" t="s">
        <v>1736</v>
      </c>
      <c r="G1389" s="3"/>
      <c r="H1389" s="4" t="s">
        <v>3939</v>
      </c>
    </row>
    <row r="1390" ht="16.5" customHeight="1" spans="1:8">
      <c r="A1390" s="3">
        <v>1389</v>
      </c>
      <c r="B1390" s="3" t="s">
        <v>3940</v>
      </c>
      <c r="C1390" s="3" t="s">
        <v>2163</v>
      </c>
      <c r="D1390" s="4" t="s">
        <v>3941</v>
      </c>
      <c r="E1390" s="3" t="s">
        <v>1076</v>
      </c>
      <c r="F1390" s="3" t="s">
        <v>2105</v>
      </c>
      <c r="G1390" s="3" t="s">
        <v>321</v>
      </c>
      <c r="H1390" s="4" t="s">
        <v>1095</v>
      </c>
    </row>
    <row r="1391" ht="16.5" customHeight="1" spans="1:8">
      <c r="A1391" s="3">
        <v>1390</v>
      </c>
      <c r="B1391" s="3" t="s">
        <v>3942</v>
      </c>
      <c r="C1391" s="3" t="s">
        <v>1074</v>
      </c>
      <c r="D1391" s="4" t="s">
        <v>3943</v>
      </c>
      <c r="E1391" s="3" t="s">
        <v>1218</v>
      </c>
      <c r="F1391" s="3" t="s">
        <v>2321</v>
      </c>
      <c r="G1391" s="3"/>
      <c r="H1391" s="4" t="s">
        <v>1359</v>
      </c>
    </row>
    <row r="1392" ht="16.5" customHeight="1" spans="1:8">
      <c r="A1392" s="3">
        <v>1391</v>
      </c>
      <c r="B1392" s="3" t="s">
        <v>3944</v>
      </c>
      <c r="C1392" s="3" t="s">
        <v>1074</v>
      </c>
      <c r="D1392" s="4" t="s">
        <v>3945</v>
      </c>
      <c r="E1392" s="3" t="s">
        <v>1076</v>
      </c>
      <c r="F1392" s="3" t="s">
        <v>2321</v>
      </c>
      <c r="G1392" s="3"/>
      <c r="H1392" s="4" t="s">
        <v>1359</v>
      </c>
    </row>
    <row r="1393" ht="16.5" customHeight="1" spans="1:8">
      <c r="A1393" s="3">
        <v>1392</v>
      </c>
      <c r="B1393" s="3" t="s">
        <v>3946</v>
      </c>
      <c r="C1393" s="3" t="s">
        <v>2163</v>
      </c>
      <c r="D1393" s="4" t="s">
        <v>3947</v>
      </c>
      <c r="E1393" s="3" t="s">
        <v>1076</v>
      </c>
      <c r="F1393" s="3" t="s">
        <v>2041</v>
      </c>
      <c r="G1393" s="3" t="s">
        <v>321</v>
      </c>
      <c r="H1393" s="4" t="s">
        <v>1095</v>
      </c>
    </row>
    <row r="1394" ht="16.5" customHeight="1" spans="1:8">
      <c r="A1394" s="3">
        <v>1393</v>
      </c>
      <c r="B1394" s="3" t="s">
        <v>3948</v>
      </c>
      <c r="C1394" s="3" t="s">
        <v>2163</v>
      </c>
      <c r="D1394" s="4" t="s">
        <v>3949</v>
      </c>
      <c r="E1394" s="3" t="s">
        <v>1076</v>
      </c>
      <c r="F1394" s="3" t="s">
        <v>2105</v>
      </c>
      <c r="G1394" s="3" t="s">
        <v>321</v>
      </c>
      <c r="H1394" s="4" t="s">
        <v>1305</v>
      </c>
    </row>
    <row r="1395" ht="16.5" customHeight="1" spans="1:8">
      <c r="A1395" s="3">
        <v>1394</v>
      </c>
      <c r="B1395" s="3" t="s">
        <v>3950</v>
      </c>
      <c r="C1395" s="3" t="s">
        <v>2163</v>
      </c>
      <c r="D1395" s="4" t="s">
        <v>3951</v>
      </c>
      <c r="E1395" s="3" t="s">
        <v>1076</v>
      </c>
      <c r="F1395" s="3" t="s">
        <v>2041</v>
      </c>
      <c r="G1395" s="3" t="s">
        <v>321</v>
      </c>
      <c r="H1395" s="4" t="s">
        <v>1095</v>
      </c>
    </row>
    <row r="1396" ht="16.5" customHeight="1" spans="1:8">
      <c r="A1396" s="3">
        <v>1395</v>
      </c>
      <c r="B1396" s="3" t="s">
        <v>3952</v>
      </c>
      <c r="C1396" s="3" t="s">
        <v>2163</v>
      </c>
      <c r="D1396" s="4" t="s">
        <v>3953</v>
      </c>
      <c r="E1396" s="3" t="s">
        <v>3954</v>
      </c>
      <c r="F1396" s="3" t="s">
        <v>2105</v>
      </c>
      <c r="G1396" s="3" t="s">
        <v>321</v>
      </c>
      <c r="H1396" s="4" t="s">
        <v>1305</v>
      </c>
    </row>
    <row r="1397" ht="16.5" customHeight="1" spans="1:8">
      <c r="A1397" s="3">
        <v>1396</v>
      </c>
      <c r="B1397" s="3" t="s">
        <v>3955</v>
      </c>
      <c r="C1397" s="3" t="s">
        <v>2163</v>
      </c>
      <c r="D1397" s="4" t="s">
        <v>3956</v>
      </c>
      <c r="E1397" s="3" t="s">
        <v>1076</v>
      </c>
      <c r="F1397" s="3" t="s">
        <v>2105</v>
      </c>
      <c r="G1397" s="3" t="s">
        <v>321</v>
      </c>
      <c r="H1397" s="4" t="s">
        <v>1305</v>
      </c>
    </row>
    <row r="1398" ht="16.5" customHeight="1" spans="1:8">
      <c r="A1398" s="3">
        <v>1397</v>
      </c>
      <c r="B1398" s="3" t="s">
        <v>3957</v>
      </c>
      <c r="C1398" s="3" t="s">
        <v>2163</v>
      </c>
      <c r="D1398" s="4" t="s">
        <v>3958</v>
      </c>
      <c r="E1398" s="3" t="s">
        <v>1076</v>
      </c>
      <c r="F1398" s="3" t="s">
        <v>2041</v>
      </c>
      <c r="G1398" s="3" t="s">
        <v>321</v>
      </c>
      <c r="H1398" s="4" t="s">
        <v>1095</v>
      </c>
    </row>
    <row r="1399" ht="16.5" customHeight="1" spans="1:8">
      <c r="A1399" s="3">
        <v>1398</v>
      </c>
      <c r="B1399" s="3" t="s">
        <v>3959</v>
      </c>
      <c r="C1399" s="3" t="s">
        <v>2163</v>
      </c>
      <c r="D1399" s="4" t="s">
        <v>3960</v>
      </c>
      <c r="E1399" s="3" t="s">
        <v>1076</v>
      </c>
      <c r="F1399" s="3" t="s">
        <v>2105</v>
      </c>
      <c r="G1399" s="3" t="s">
        <v>321</v>
      </c>
      <c r="H1399" s="4" t="s">
        <v>1368</v>
      </c>
    </row>
    <row r="1400" ht="16.5" customHeight="1" spans="1:8">
      <c r="A1400" s="3">
        <v>1399</v>
      </c>
      <c r="B1400" s="3" t="s">
        <v>3961</v>
      </c>
      <c r="C1400" s="3" t="s">
        <v>2163</v>
      </c>
      <c r="D1400" s="4" t="s">
        <v>3962</v>
      </c>
      <c r="E1400" s="3" t="s">
        <v>1076</v>
      </c>
      <c r="F1400" s="3" t="s">
        <v>2041</v>
      </c>
      <c r="G1400" s="3" t="s">
        <v>321</v>
      </c>
      <c r="H1400" s="4" t="s">
        <v>1095</v>
      </c>
    </row>
    <row r="1401" ht="16.5" customHeight="1" spans="1:8">
      <c r="A1401" s="3">
        <v>1400</v>
      </c>
      <c r="B1401" s="3" t="s">
        <v>3963</v>
      </c>
      <c r="C1401" s="3" t="s">
        <v>2163</v>
      </c>
      <c r="D1401" s="4" t="s">
        <v>3964</v>
      </c>
      <c r="E1401" s="3" t="s">
        <v>1076</v>
      </c>
      <c r="F1401" s="3" t="s">
        <v>2105</v>
      </c>
      <c r="G1401" s="3" t="s">
        <v>321</v>
      </c>
      <c r="H1401" s="4" t="s">
        <v>1368</v>
      </c>
    </row>
    <row r="1402" ht="16.5" customHeight="1" spans="1:8">
      <c r="A1402" s="3">
        <v>1401</v>
      </c>
      <c r="B1402" s="3" t="s">
        <v>3965</v>
      </c>
      <c r="C1402" s="3" t="s">
        <v>1356</v>
      </c>
      <c r="D1402" s="4" t="s">
        <v>3966</v>
      </c>
      <c r="E1402" s="3" t="s">
        <v>1076</v>
      </c>
      <c r="F1402" s="3" t="s">
        <v>1719</v>
      </c>
      <c r="G1402" s="3"/>
      <c r="H1402" s="4" t="s">
        <v>1843</v>
      </c>
    </row>
    <row r="1403" ht="16.5" customHeight="1" spans="1:8">
      <c r="A1403" s="3">
        <v>1402</v>
      </c>
      <c r="B1403" s="3" t="s">
        <v>3967</v>
      </c>
      <c r="C1403" s="3" t="s">
        <v>2163</v>
      </c>
      <c r="D1403" s="4" t="s">
        <v>3968</v>
      </c>
      <c r="E1403" s="3" t="s">
        <v>1076</v>
      </c>
      <c r="F1403" s="3" t="s">
        <v>2105</v>
      </c>
      <c r="G1403" s="3" t="s">
        <v>321</v>
      </c>
      <c r="H1403" s="4" t="s">
        <v>1368</v>
      </c>
    </row>
    <row r="1404" ht="16.5" customHeight="1" spans="1:8">
      <c r="A1404" s="3">
        <v>1403</v>
      </c>
      <c r="B1404" s="3" t="s">
        <v>3969</v>
      </c>
      <c r="C1404" s="3" t="s">
        <v>2163</v>
      </c>
      <c r="D1404" s="4" t="s">
        <v>3970</v>
      </c>
      <c r="E1404" s="3" t="s">
        <v>1076</v>
      </c>
      <c r="F1404" s="3" t="s">
        <v>2105</v>
      </c>
      <c r="G1404" s="3" t="s">
        <v>321</v>
      </c>
      <c r="H1404" s="4" t="s">
        <v>1308</v>
      </c>
    </row>
    <row r="1405" ht="16.5" customHeight="1" spans="1:8">
      <c r="A1405" s="3">
        <v>1404</v>
      </c>
      <c r="B1405" s="3" t="s">
        <v>3971</v>
      </c>
      <c r="C1405" s="3" t="s">
        <v>1356</v>
      </c>
      <c r="D1405" s="4" t="s">
        <v>3972</v>
      </c>
      <c r="E1405" s="3" t="s">
        <v>1076</v>
      </c>
      <c r="F1405" s="3" t="s">
        <v>1077</v>
      </c>
      <c r="G1405" s="3"/>
      <c r="H1405" s="4" t="s">
        <v>1095</v>
      </c>
    </row>
    <row r="1406" ht="16.5" customHeight="1" spans="1:8">
      <c r="A1406" s="3">
        <v>1405</v>
      </c>
      <c r="B1406" s="3" t="s">
        <v>3973</v>
      </c>
      <c r="C1406" s="3" t="s">
        <v>1356</v>
      </c>
      <c r="D1406" s="4" t="s">
        <v>3974</v>
      </c>
      <c r="E1406" s="3" t="s">
        <v>1076</v>
      </c>
      <c r="F1406" s="3" t="s">
        <v>1077</v>
      </c>
      <c r="G1406" s="3"/>
      <c r="H1406" s="4" t="s">
        <v>1095</v>
      </c>
    </row>
    <row r="1407" ht="16.5" customHeight="1" spans="1:8">
      <c r="A1407" s="3">
        <v>1406</v>
      </c>
      <c r="B1407" s="3" t="s">
        <v>3975</v>
      </c>
      <c r="C1407" s="3" t="s">
        <v>1356</v>
      </c>
      <c r="D1407" s="4" t="s">
        <v>3976</v>
      </c>
      <c r="E1407" s="3" t="s">
        <v>1076</v>
      </c>
      <c r="F1407" s="3" t="s">
        <v>1077</v>
      </c>
      <c r="G1407" s="3"/>
      <c r="H1407" s="4" t="s">
        <v>1305</v>
      </c>
    </row>
    <row r="1408" ht="16.5" customHeight="1" spans="1:8">
      <c r="A1408" s="3">
        <v>1407</v>
      </c>
      <c r="B1408" s="3" t="s">
        <v>3977</v>
      </c>
      <c r="C1408" s="3" t="s">
        <v>1356</v>
      </c>
      <c r="D1408" s="4" t="s">
        <v>3978</v>
      </c>
      <c r="E1408" s="3" t="s">
        <v>1076</v>
      </c>
      <c r="F1408" s="3" t="s">
        <v>1077</v>
      </c>
      <c r="G1408" s="3"/>
      <c r="H1408" s="4" t="s">
        <v>1305</v>
      </c>
    </row>
    <row r="1409" ht="16.5" customHeight="1" spans="1:8">
      <c r="A1409" s="3">
        <v>1408</v>
      </c>
      <c r="B1409" s="3" t="s">
        <v>3979</v>
      </c>
      <c r="C1409" s="3" t="s">
        <v>1356</v>
      </c>
      <c r="D1409" s="4" t="s">
        <v>3980</v>
      </c>
      <c r="E1409" s="3" t="s">
        <v>1076</v>
      </c>
      <c r="F1409" s="3" t="s">
        <v>1077</v>
      </c>
      <c r="G1409" s="3"/>
      <c r="H1409" s="4" t="s">
        <v>1305</v>
      </c>
    </row>
    <row r="1410" ht="16.5" customHeight="1" spans="1:8">
      <c r="A1410" s="3">
        <v>1409</v>
      </c>
      <c r="B1410" s="3" t="s">
        <v>3981</v>
      </c>
      <c r="C1410" s="3" t="s">
        <v>1356</v>
      </c>
      <c r="D1410" s="4" t="s">
        <v>3982</v>
      </c>
      <c r="E1410" s="3" t="s">
        <v>1076</v>
      </c>
      <c r="F1410" s="3" t="s">
        <v>1077</v>
      </c>
      <c r="G1410" s="3"/>
      <c r="H1410" s="4" t="s">
        <v>1305</v>
      </c>
    </row>
    <row r="1411" ht="16.5" customHeight="1" spans="1:8">
      <c r="A1411" s="3">
        <v>1410</v>
      </c>
      <c r="B1411" s="3" t="s">
        <v>3983</v>
      </c>
      <c r="C1411" s="3" t="s">
        <v>1356</v>
      </c>
      <c r="D1411" s="4" t="s">
        <v>3984</v>
      </c>
      <c r="E1411" s="3" t="s">
        <v>1076</v>
      </c>
      <c r="F1411" s="3" t="s">
        <v>1077</v>
      </c>
      <c r="G1411" s="3"/>
      <c r="H1411" s="4" t="s">
        <v>1095</v>
      </c>
    </row>
    <row r="1412" ht="16.5" customHeight="1" spans="1:8">
      <c r="A1412" s="3">
        <v>1411</v>
      </c>
      <c r="B1412" s="3" t="s">
        <v>3985</v>
      </c>
      <c r="C1412" s="3" t="s">
        <v>1356</v>
      </c>
      <c r="D1412" s="4" t="s">
        <v>3986</v>
      </c>
      <c r="E1412" s="3" t="s">
        <v>1076</v>
      </c>
      <c r="F1412" s="3" t="s">
        <v>1077</v>
      </c>
      <c r="G1412" s="3"/>
      <c r="H1412" s="4" t="s">
        <v>1095</v>
      </c>
    </row>
    <row r="1413" ht="16.5" customHeight="1" spans="1:8">
      <c r="A1413" s="3">
        <v>1412</v>
      </c>
      <c r="B1413" s="3" t="s">
        <v>3987</v>
      </c>
      <c r="C1413" s="3" t="s">
        <v>1356</v>
      </c>
      <c r="D1413" s="4" t="s">
        <v>3988</v>
      </c>
      <c r="E1413" s="3" t="s">
        <v>1076</v>
      </c>
      <c r="F1413" s="3" t="s">
        <v>1077</v>
      </c>
      <c r="G1413" s="3"/>
      <c r="H1413" s="4" t="s">
        <v>1368</v>
      </c>
    </row>
    <row r="1414" ht="16.5" customHeight="1" spans="1:8">
      <c r="A1414" s="3">
        <v>1413</v>
      </c>
      <c r="B1414" s="3" t="s">
        <v>3989</v>
      </c>
      <c r="C1414" s="3" t="s">
        <v>1356</v>
      </c>
      <c r="D1414" s="4" t="s">
        <v>3990</v>
      </c>
      <c r="E1414" s="3" t="s">
        <v>1076</v>
      </c>
      <c r="F1414" s="3" t="s">
        <v>1077</v>
      </c>
      <c r="G1414" s="3"/>
      <c r="H1414" s="4" t="s">
        <v>1368</v>
      </c>
    </row>
    <row r="1415" ht="16.5" customHeight="1" spans="1:8">
      <c r="A1415" s="3">
        <v>1414</v>
      </c>
      <c r="B1415" s="3" t="s">
        <v>3991</v>
      </c>
      <c r="C1415" s="3" t="s">
        <v>1356</v>
      </c>
      <c r="D1415" s="4" t="s">
        <v>3992</v>
      </c>
      <c r="E1415" s="3" t="s">
        <v>1076</v>
      </c>
      <c r="F1415" s="3" t="s">
        <v>1077</v>
      </c>
      <c r="G1415" s="3"/>
      <c r="H1415" s="4" t="s">
        <v>1095</v>
      </c>
    </row>
    <row r="1416" ht="16.5" customHeight="1" spans="1:8">
      <c r="A1416" s="3">
        <v>1415</v>
      </c>
      <c r="B1416" s="3" t="s">
        <v>3993</v>
      </c>
      <c r="C1416" s="3" t="s">
        <v>1356</v>
      </c>
      <c r="D1416" s="4" t="s">
        <v>3994</v>
      </c>
      <c r="E1416" s="3" t="s">
        <v>1076</v>
      </c>
      <c r="F1416" s="3" t="s">
        <v>1077</v>
      </c>
      <c r="G1416" s="3"/>
      <c r="H1416" s="4" t="s">
        <v>1095</v>
      </c>
    </row>
    <row r="1417" ht="16.5" customHeight="1" spans="1:8">
      <c r="A1417" s="3">
        <v>1416</v>
      </c>
      <c r="B1417" s="3" t="s">
        <v>3995</v>
      </c>
      <c r="C1417" s="3" t="s">
        <v>1356</v>
      </c>
      <c r="D1417" s="4" t="s">
        <v>3996</v>
      </c>
      <c r="E1417" s="3" t="s">
        <v>1076</v>
      </c>
      <c r="F1417" s="3" t="s">
        <v>1077</v>
      </c>
      <c r="G1417" s="3"/>
      <c r="H1417" s="4" t="s">
        <v>1843</v>
      </c>
    </row>
    <row r="1418" ht="16.5" customHeight="1" spans="1:8">
      <c r="A1418" s="3">
        <v>1417</v>
      </c>
      <c r="B1418" s="3" t="s">
        <v>3997</v>
      </c>
      <c r="C1418" s="3" t="s">
        <v>1356</v>
      </c>
      <c r="D1418" s="4" t="s">
        <v>3998</v>
      </c>
      <c r="E1418" s="3" t="s">
        <v>1076</v>
      </c>
      <c r="F1418" s="3" t="s">
        <v>1077</v>
      </c>
      <c r="G1418" s="3"/>
      <c r="H1418" s="4" t="s">
        <v>1368</v>
      </c>
    </row>
    <row r="1419" ht="16.5" customHeight="1" spans="1:8">
      <c r="A1419" s="3">
        <v>1418</v>
      </c>
      <c r="B1419" s="3" t="s">
        <v>3999</v>
      </c>
      <c r="C1419" s="3" t="s">
        <v>1356</v>
      </c>
      <c r="D1419" s="4" t="s">
        <v>4000</v>
      </c>
      <c r="E1419" s="3" t="s">
        <v>1076</v>
      </c>
      <c r="F1419" s="3" t="s">
        <v>1077</v>
      </c>
      <c r="G1419" s="3"/>
      <c r="H1419" s="4" t="s">
        <v>1368</v>
      </c>
    </row>
    <row r="1420" ht="16.5" customHeight="1" spans="1:8">
      <c r="A1420" s="3">
        <v>1419</v>
      </c>
      <c r="B1420" s="3" t="s">
        <v>4001</v>
      </c>
      <c r="C1420" s="3" t="s">
        <v>1356</v>
      </c>
      <c r="D1420" s="4" t="s">
        <v>4002</v>
      </c>
      <c r="E1420" s="3" t="s">
        <v>1076</v>
      </c>
      <c r="F1420" s="3" t="s">
        <v>1077</v>
      </c>
      <c r="G1420" s="3"/>
      <c r="H1420" s="4" t="s">
        <v>1368</v>
      </c>
    </row>
    <row r="1421" ht="16.5" customHeight="1" spans="1:8">
      <c r="A1421" s="3">
        <v>1420</v>
      </c>
      <c r="B1421" s="3" t="s">
        <v>4003</v>
      </c>
      <c r="C1421" s="3" t="s">
        <v>1356</v>
      </c>
      <c r="D1421" s="4" t="s">
        <v>4004</v>
      </c>
      <c r="E1421" s="3" t="s">
        <v>1076</v>
      </c>
      <c r="F1421" s="3" t="s">
        <v>1077</v>
      </c>
      <c r="G1421" s="3"/>
      <c r="H1421" s="4" t="s">
        <v>4005</v>
      </c>
    </row>
    <row r="1422" ht="16.5" customHeight="1" spans="1:8">
      <c r="A1422" s="3">
        <v>1421</v>
      </c>
      <c r="B1422" s="3" t="s">
        <v>4006</v>
      </c>
      <c r="C1422" s="3" t="s">
        <v>1105</v>
      </c>
      <c r="D1422" s="4" t="s">
        <v>4007</v>
      </c>
      <c r="E1422" s="3" t="s">
        <v>1837</v>
      </c>
      <c r="F1422" s="3" t="s">
        <v>1077</v>
      </c>
      <c r="G1422" s="3"/>
      <c r="H1422" s="4" t="s">
        <v>4008</v>
      </c>
    </row>
    <row r="1423" ht="16.5" customHeight="1" spans="1:8">
      <c r="A1423" s="3">
        <v>1422</v>
      </c>
      <c r="B1423" s="3" t="s">
        <v>4009</v>
      </c>
      <c r="C1423" s="3" t="s">
        <v>1356</v>
      </c>
      <c r="D1423" s="4" t="s">
        <v>4010</v>
      </c>
      <c r="E1423" s="3" t="s">
        <v>1076</v>
      </c>
      <c r="F1423" s="3" t="s">
        <v>1077</v>
      </c>
      <c r="G1423" s="3"/>
      <c r="H1423" s="4" t="s">
        <v>1095</v>
      </c>
    </row>
    <row r="1424" ht="16.5" customHeight="1" spans="1:8">
      <c r="A1424" s="3">
        <v>1423</v>
      </c>
      <c r="B1424" s="3" t="s">
        <v>4011</v>
      </c>
      <c r="C1424" s="3" t="s">
        <v>1105</v>
      </c>
      <c r="D1424" s="4" t="s">
        <v>4012</v>
      </c>
      <c r="E1424" s="3" t="s">
        <v>1076</v>
      </c>
      <c r="F1424" s="3" t="s">
        <v>1077</v>
      </c>
      <c r="G1424" s="3"/>
      <c r="H1424" s="4" t="s">
        <v>4013</v>
      </c>
    </row>
    <row r="1425" ht="16.5" customHeight="1" spans="1:8">
      <c r="A1425" s="3">
        <v>1424</v>
      </c>
      <c r="B1425" s="3" t="s">
        <v>4014</v>
      </c>
      <c r="C1425" s="3" t="s">
        <v>1105</v>
      </c>
      <c r="D1425" s="4" t="s">
        <v>4015</v>
      </c>
      <c r="E1425" s="3" t="s">
        <v>1076</v>
      </c>
      <c r="F1425" s="3" t="s">
        <v>1077</v>
      </c>
      <c r="G1425" s="3"/>
      <c r="H1425" s="4" t="s">
        <v>4013</v>
      </c>
    </row>
    <row r="1426" ht="16.5" customHeight="1" spans="1:8">
      <c r="A1426" s="3">
        <v>1425</v>
      </c>
      <c r="B1426" s="3" t="s">
        <v>4016</v>
      </c>
      <c r="C1426" s="3" t="s">
        <v>1105</v>
      </c>
      <c r="D1426" s="4" t="s">
        <v>4017</v>
      </c>
      <c r="E1426" s="3" t="s">
        <v>1076</v>
      </c>
      <c r="F1426" s="3" t="s">
        <v>1077</v>
      </c>
      <c r="G1426" s="3"/>
      <c r="H1426" s="4" t="s">
        <v>4013</v>
      </c>
    </row>
    <row r="1427" ht="16.5" customHeight="1" spans="1:8">
      <c r="A1427" s="3">
        <v>1426</v>
      </c>
      <c r="B1427" s="3" t="s">
        <v>4018</v>
      </c>
      <c r="C1427" s="3" t="s">
        <v>1105</v>
      </c>
      <c r="D1427" s="4" t="s">
        <v>4019</v>
      </c>
      <c r="E1427" s="3" t="s">
        <v>1076</v>
      </c>
      <c r="F1427" s="3" t="s">
        <v>1077</v>
      </c>
      <c r="G1427" s="3"/>
      <c r="H1427" s="4" t="s">
        <v>4013</v>
      </c>
    </row>
    <row r="1428" ht="16.5" customHeight="1" spans="1:8">
      <c r="A1428" s="3">
        <v>1427</v>
      </c>
      <c r="B1428" s="3" t="s">
        <v>4020</v>
      </c>
      <c r="C1428" s="3" t="s">
        <v>1105</v>
      </c>
      <c r="D1428" s="4" t="s">
        <v>4021</v>
      </c>
      <c r="E1428" s="3" t="s">
        <v>1076</v>
      </c>
      <c r="F1428" s="3" t="s">
        <v>1077</v>
      </c>
      <c r="G1428" s="3"/>
      <c r="H1428" s="4" t="s">
        <v>4013</v>
      </c>
    </row>
    <row r="1429" ht="16.5" customHeight="1" spans="1:8">
      <c r="A1429" s="3">
        <v>1428</v>
      </c>
      <c r="B1429" s="3" t="s">
        <v>4022</v>
      </c>
      <c r="C1429" s="3" t="s">
        <v>1105</v>
      </c>
      <c r="D1429" s="4" t="s">
        <v>4023</v>
      </c>
      <c r="E1429" s="3" t="s">
        <v>1076</v>
      </c>
      <c r="F1429" s="3" t="s">
        <v>1077</v>
      </c>
      <c r="G1429" s="3"/>
      <c r="H1429" s="4" t="s">
        <v>4013</v>
      </c>
    </row>
    <row r="1430" ht="16.5" customHeight="1" spans="1:8">
      <c r="A1430" s="3">
        <v>1429</v>
      </c>
      <c r="B1430" s="3" t="s">
        <v>4024</v>
      </c>
      <c r="C1430" s="3" t="s">
        <v>1105</v>
      </c>
      <c r="D1430" s="4" t="s">
        <v>4025</v>
      </c>
      <c r="E1430" s="3" t="s">
        <v>1076</v>
      </c>
      <c r="F1430" s="3" t="s">
        <v>1077</v>
      </c>
      <c r="G1430" s="3"/>
      <c r="H1430" s="4" t="s">
        <v>4013</v>
      </c>
    </row>
    <row r="1431" ht="16.5" customHeight="1" spans="1:8">
      <c r="A1431" s="3">
        <v>1430</v>
      </c>
      <c r="B1431" s="3" t="s">
        <v>4026</v>
      </c>
      <c r="C1431" s="3" t="s">
        <v>1105</v>
      </c>
      <c r="D1431" s="4" t="s">
        <v>4027</v>
      </c>
      <c r="E1431" s="3" t="s">
        <v>1076</v>
      </c>
      <c r="F1431" s="3" t="s">
        <v>1077</v>
      </c>
      <c r="G1431" s="3"/>
      <c r="H1431" s="4" t="s">
        <v>4013</v>
      </c>
    </row>
    <row r="1432" ht="16.5" customHeight="1" spans="1:8">
      <c r="A1432" s="3">
        <v>1431</v>
      </c>
      <c r="B1432" s="3" t="s">
        <v>4028</v>
      </c>
      <c r="C1432" s="3" t="s">
        <v>1105</v>
      </c>
      <c r="D1432" s="4" t="s">
        <v>4029</v>
      </c>
      <c r="E1432" s="3" t="s">
        <v>1076</v>
      </c>
      <c r="F1432" s="3" t="s">
        <v>1077</v>
      </c>
      <c r="G1432" s="3"/>
      <c r="H1432" s="4" t="s">
        <v>4013</v>
      </c>
    </row>
    <row r="1433" ht="16.5" customHeight="1" spans="1:8">
      <c r="A1433" s="3">
        <v>1432</v>
      </c>
      <c r="B1433" s="3" t="s">
        <v>4030</v>
      </c>
      <c r="C1433" s="3" t="s">
        <v>1105</v>
      </c>
      <c r="D1433" s="4" t="s">
        <v>4031</v>
      </c>
      <c r="E1433" s="3" t="s">
        <v>1076</v>
      </c>
      <c r="F1433" s="3" t="s">
        <v>1077</v>
      </c>
      <c r="G1433" s="3"/>
      <c r="H1433" s="4" t="s">
        <v>4013</v>
      </c>
    </row>
    <row r="1434" ht="16.5" customHeight="1" spans="1:8">
      <c r="A1434" s="3">
        <v>1433</v>
      </c>
      <c r="B1434" s="3" t="s">
        <v>4032</v>
      </c>
      <c r="C1434" s="3" t="s">
        <v>1105</v>
      </c>
      <c r="D1434" s="4" t="s">
        <v>4027</v>
      </c>
      <c r="E1434" s="3" t="s">
        <v>1076</v>
      </c>
      <c r="F1434" s="3" t="s">
        <v>1077</v>
      </c>
      <c r="G1434" s="3"/>
      <c r="H1434" s="4" t="s">
        <v>4013</v>
      </c>
    </row>
    <row r="1435" ht="16.5" customHeight="1" spans="1:8">
      <c r="A1435" s="3">
        <v>1434</v>
      </c>
      <c r="B1435" s="3" t="s">
        <v>4033</v>
      </c>
      <c r="C1435" s="3" t="s">
        <v>1105</v>
      </c>
      <c r="D1435" s="4" t="s">
        <v>4029</v>
      </c>
      <c r="E1435" s="3" t="s">
        <v>1076</v>
      </c>
      <c r="F1435" s="3" t="s">
        <v>1077</v>
      </c>
      <c r="G1435" s="3"/>
      <c r="H1435" s="4" t="s">
        <v>4013</v>
      </c>
    </row>
    <row r="1436" ht="16.5" customHeight="1" spans="1:8">
      <c r="A1436" s="3">
        <v>1435</v>
      </c>
      <c r="B1436" s="3" t="s">
        <v>4034</v>
      </c>
      <c r="C1436" s="3" t="s">
        <v>1105</v>
      </c>
      <c r="D1436" s="4" t="s">
        <v>4031</v>
      </c>
      <c r="E1436" s="3" t="s">
        <v>1076</v>
      </c>
      <c r="F1436" s="3" t="s">
        <v>1077</v>
      </c>
      <c r="G1436" s="3"/>
      <c r="H1436" s="4" t="s">
        <v>4013</v>
      </c>
    </row>
    <row r="1437" ht="16.5" customHeight="1" spans="1:8">
      <c r="A1437" s="3">
        <v>1436</v>
      </c>
      <c r="B1437" s="3" t="s">
        <v>4035</v>
      </c>
      <c r="C1437" s="3" t="s">
        <v>1105</v>
      </c>
      <c r="D1437" s="4" t="s">
        <v>4036</v>
      </c>
      <c r="E1437" s="3" t="s">
        <v>1076</v>
      </c>
      <c r="F1437" s="3" t="s">
        <v>1077</v>
      </c>
      <c r="G1437" s="3"/>
      <c r="H1437" s="4" t="s">
        <v>4013</v>
      </c>
    </row>
    <row r="1438" ht="16.5" customHeight="1" spans="1:8">
      <c r="A1438" s="3">
        <v>1437</v>
      </c>
      <c r="B1438" s="3" t="s">
        <v>4037</v>
      </c>
      <c r="C1438" s="3" t="s">
        <v>1105</v>
      </c>
      <c r="D1438" s="4" t="s">
        <v>4038</v>
      </c>
      <c r="E1438" s="3" t="s">
        <v>1076</v>
      </c>
      <c r="F1438" s="3" t="s">
        <v>1077</v>
      </c>
      <c r="G1438" s="3"/>
      <c r="H1438" s="4" t="s">
        <v>4013</v>
      </c>
    </row>
    <row r="1439" ht="16.5" customHeight="1" spans="1:8">
      <c r="A1439" s="3">
        <v>1438</v>
      </c>
      <c r="B1439" s="3" t="s">
        <v>4039</v>
      </c>
      <c r="C1439" s="3" t="s">
        <v>1105</v>
      </c>
      <c r="D1439" s="4" t="s">
        <v>4040</v>
      </c>
      <c r="E1439" s="3" t="s">
        <v>1076</v>
      </c>
      <c r="F1439" s="3" t="s">
        <v>1077</v>
      </c>
      <c r="G1439" s="3"/>
      <c r="H1439" s="4" t="s">
        <v>4013</v>
      </c>
    </row>
    <row r="1440" ht="16.5" customHeight="1" spans="1:8">
      <c r="A1440" s="3">
        <v>1439</v>
      </c>
      <c r="B1440" s="3" t="s">
        <v>4041</v>
      </c>
      <c r="C1440" s="3" t="s">
        <v>1105</v>
      </c>
      <c r="D1440" s="4" t="s">
        <v>4042</v>
      </c>
      <c r="E1440" s="3" t="s">
        <v>1076</v>
      </c>
      <c r="F1440" s="3" t="s">
        <v>1077</v>
      </c>
      <c r="G1440" s="3"/>
      <c r="H1440" s="4" t="s">
        <v>4013</v>
      </c>
    </row>
    <row r="1441" ht="16.5" customHeight="1" spans="1:8">
      <c r="A1441" s="3">
        <v>1440</v>
      </c>
      <c r="B1441" s="3" t="s">
        <v>4043</v>
      </c>
      <c r="C1441" s="3" t="s">
        <v>1105</v>
      </c>
      <c r="D1441" s="4" t="s">
        <v>4044</v>
      </c>
      <c r="E1441" s="3" t="s">
        <v>1076</v>
      </c>
      <c r="F1441" s="3" t="s">
        <v>1077</v>
      </c>
      <c r="G1441" s="3"/>
      <c r="H1441" s="4" t="s">
        <v>4013</v>
      </c>
    </row>
    <row r="1442" ht="16.5" customHeight="1" spans="1:8">
      <c r="A1442" s="3">
        <v>1441</v>
      </c>
      <c r="B1442" s="3" t="s">
        <v>4045</v>
      </c>
      <c r="C1442" s="3" t="s">
        <v>1105</v>
      </c>
      <c r="D1442" s="4" t="s">
        <v>4046</v>
      </c>
      <c r="E1442" s="3" t="s">
        <v>1076</v>
      </c>
      <c r="F1442" s="3" t="s">
        <v>1077</v>
      </c>
      <c r="G1442" s="3"/>
      <c r="H1442" s="4" t="s">
        <v>4013</v>
      </c>
    </row>
    <row r="1443" ht="16.5" customHeight="1" spans="1:8">
      <c r="A1443" s="3">
        <v>1442</v>
      </c>
      <c r="B1443" s="3" t="s">
        <v>4047</v>
      </c>
      <c r="C1443" s="3" t="s">
        <v>1105</v>
      </c>
      <c r="D1443" s="4" t="s">
        <v>4048</v>
      </c>
      <c r="E1443" s="3" t="s">
        <v>1076</v>
      </c>
      <c r="F1443" s="3" t="s">
        <v>1077</v>
      </c>
      <c r="G1443" s="3"/>
      <c r="H1443" s="4" t="s">
        <v>4013</v>
      </c>
    </row>
    <row r="1444" ht="16.5" customHeight="1" spans="1:8">
      <c r="A1444" s="3">
        <v>1443</v>
      </c>
      <c r="B1444" s="3" t="s">
        <v>4049</v>
      </c>
      <c r="C1444" s="3" t="s">
        <v>1105</v>
      </c>
      <c r="D1444" s="4" t="s">
        <v>4050</v>
      </c>
      <c r="E1444" s="3" t="s">
        <v>1076</v>
      </c>
      <c r="F1444" s="3" t="s">
        <v>1077</v>
      </c>
      <c r="G1444" s="3"/>
      <c r="H1444" s="4" t="s">
        <v>4013</v>
      </c>
    </row>
    <row r="1445" ht="16.5" customHeight="1" spans="1:8">
      <c r="A1445" s="3">
        <v>1444</v>
      </c>
      <c r="B1445" s="3" t="s">
        <v>4051</v>
      </c>
      <c r="C1445" s="3" t="s">
        <v>1105</v>
      </c>
      <c r="D1445" s="4" t="s">
        <v>4052</v>
      </c>
      <c r="E1445" s="3" t="s">
        <v>1076</v>
      </c>
      <c r="F1445" s="3" t="s">
        <v>1077</v>
      </c>
      <c r="G1445" s="3"/>
      <c r="H1445" s="4" t="s">
        <v>4013</v>
      </c>
    </row>
    <row r="1446" ht="16.5" customHeight="1" spans="1:8">
      <c r="A1446" s="3">
        <v>1445</v>
      </c>
      <c r="B1446" s="3" t="s">
        <v>4053</v>
      </c>
      <c r="C1446" s="3" t="s">
        <v>1105</v>
      </c>
      <c r="D1446" s="4" t="s">
        <v>4054</v>
      </c>
      <c r="E1446" s="3" t="s">
        <v>1076</v>
      </c>
      <c r="F1446" s="3" t="s">
        <v>1077</v>
      </c>
      <c r="G1446" s="3"/>
      <c r="H1446" s="4" t="s">
        <v>4013</v>
      </c>
    </row>
    <row r="1447" ht="16.5" customHeight="1" spans="1:8">
      <c r="A1447" s="3">
        <v>1446</v>
      </c>
      <c r="B1447" s="3" t="s">
        <v>4055</v>
      </c>
      <c r="C1447" s="3" t="s">
        <v>1105</v>
      </c>
      <c r="D1447" s="4" t="s">
        <v>4056</v>
      </c>
      <c r="E1447" s="3" t="s">
        <v>1076</v>
      </c>
      <c r="F1447" s="3" t="s">
        <v>1077</v>
      </c>
      <c r="G1447" s="3"/>
      <c r="H1447" s="4" t="s">
        <v>4013</v>
      </c>
    </row>
    <row r="1448" ht="16.5" customHeight="1" spans="1:8">
      <c r="A1448" s="3">
        <v>1447</v>
      </c>
      <c r="B1448" s="3" t="s">
        <v>4057</v>
      </c>
      <c r="C1448" s="3" t="s">
        <v>1105</v>
      </c>
      <c r="D1448" s="4" t="s">
        <v>4058</v>
      </c>
      <c r="E1448" s="3" t="s">
        <v>1076</v>
      </c>
      <c r="F1448" s="3" t="s">
        <v>1077</v>
      </c>
      <c r="G1448" s="3"/>
      <c r="H1448" s="4" t="s">
        <v>4013</v>
      </c>
    </row>
    <row r="1449" ht="16.5" customHeight="1" spans="1:8">
      <c r="A1449" s="3">
        <v>1448</v>
      </c>
      <c r="B1449" s="3" t="s">
        <v>4059</v>
      </c>
      <c r="C1449" s="3" t="s">
        <v>1105</v>
      </c>
      <c r="D1449" s="4" t="s">
        <v>4060</v>
      </c>
      <c r="E1449" s="3" t="s">
        <v>1076</v>
      </c>
      <c r="F1449" s="3" t="s">
        <v>1077</v>
      </c>
      <c r="G1449" s="3"/>
      <c r="H1449" s="4" t="s">
        <v>4013</v>
      </c>
    </row>
    <row r="1450" ht="16.5" customHeight="1" spans="1:8">
      <c r="A1450" s="3">
        <v>1449</v>
      </c>
      <c r="B1450" s="3" t="s">
        <v>4061</v>
      </c>
      <c r="C1450" s="3" t="s">
        <v>1105</v>
      </c>
      <c r="D1450" s="4" t="s">
        <v>4062</v>
      </c>
      <c r="E1450" s="3" t="s">
        <v>1076</v>
      </c>
      <c r="F1450" s="3" t="s">
        <v>1077</v>
      </c>
      <c r="G1450" s="3"/>
      <c r="H1450" s="4" t="s">
        <v>4013</v>
      </c>
    </row>
    <row r="1451" ht="16.5" customHeight="1" spans="1:8">
      <c r="A1451" s="3">
        <v>1450</v>
      </c>
      <c r="B1451" s="3" t="s">
        <v>4063</v>
      </c>
      <c r="C1451" s="3" t="s">
        <v>1105</v>
      </c>
      <c r="D1451" s="4" t="s">
        <v>4064</v>
      </c>
      <c r="E1451" s="3" t="s">
        <v>1076</v>
      </c>
      <c r="F1451" s="3" t="s">
        <v>1077</v>
      </c>
      <c r="G1451" s="3"/>
      <c r="H1451" s="4" t="s">
        <v>4013</v>
      </c>
    </row>
    <row r="1452" ht="16.5" customHeight="1" spans="1:8">
      <c r="A1452" s="3">
        <v>1451</v>
      </c>
      <c r="B1452" s="3" t="s">
        <v>4065</v>
      </c>
      <c r="C1452" s="3" t="s">
        <v>1105</v>
      </c>
      <c r="D1452" s="4" t="s">
        <v>4066</v>
      </c>
      <c r="E1452" s="3" t="s">
        <v>1076</v>
      </c>
      <c r="F1452" s="3" t="s">
        <v>1077</v>
      </c>
      <c r="G1452" s="3"/>
      <c r="H1452" s="4" t="s">
        <v>4013</v>
      </c>
    </row>
    <row r="1453" ht="16.5" customHeight="1" spans="1:8">
      <c r="A1453" s="3">
        <v>1452</v>
      </c>
      <c r="B1453" s="3" t="s">
        <v>4067</v>
      </c>
      <c r="C1453" s="3" t="s">
        <v>1105</v>
      </c>
      <c r="D1453" s="4" t="s">
        <v>4068</v>
      </c>
      <c r="E1453" s="3" t="s">
        <v>1076</v>
      </c>
      <c r="F1453" s="3" t="s">
        <v>1077</v>
      </c>
      <c r="G1453" s="3"/>
      <c r="H1453" s="4" t="s">
        <v>4013</v>
      </c>
    </row>
    <row r="1454" ht="16.5" customHeight="1" spans="1:8">
      <c r="A1454" s="3">
        <v>1453</v>
      </c>
      <c r="B1454" s="3" t="s">
        <v>4069</v>
      </c>
      <c r="C1454" s="3" t="s">
        <v>1105</v>
      </c>
      <c r="D1454" s="4" t="s">
        <v>4070</v>
      </c>
      <c r="E1454" s="3" t="s">
        <v>1076</v>
      </c>
      <c r="F1454" s="3" t="s">
        <v>1077</v>
      </c>
      <c r="G1454" s="3"/>
      <c r="H1454" s="4" t="s">
        <v>4013</v>
      </c>
    </row>
    <row r="1455" ht="16.5" customHeight="1" spans="1:8">
      <c r="A1455" s="3">
        <v>1454</v>
      </c>
      <c r="B1455" s="3" t="s">
        <v>4071</v>
      </c>
      <c r="C1455" s="3" t="s">
        <v>1105</v>
      </c>
      <c r="D1455" s="4" t="s">
        <v>4072</v>
      </c>
      <c r="E1455" s="3" t="s">
        <v>1076</v>
      </c>
      <c r="F1455" s="3" t="s">
        <v>1077</v>
      </c>
      <c r="G1455" s="3"/>
      <c r="H1455" s="4" t="s">
        <v>4013</v>
      </c>
    </row>
    <row r="1456" ht="16.5" customHeight="1" spans="1:8">
      <c r="A1456" s="3">
        <v>1455</v>
      </c>
      <c r="B1456" s="3" t="s">
        <v>4073</v>
      </c>
      <c r="C1456" s="3" t="s">
        <v>1105</v>
      </c>
      <c r="D1456" s="4" t="s">
        <v>4074</v>
      </c>
      <c r="E1456" s="3" t="s">
        <v>1076</v>
      </c>
      <c r="F1456" s="3" t="s">
        <v>1077</v>
      </c>
      <c r="G1456" s="3"/>
      <c r="H1456" s="4" t="s">
        <v>4013</v>
      </c>
    </row>
    <row r="1457" ht="16.5" customHeight="1" spans="1:8">
      <c r="A1457" s="3">
        <v>1456</v>
      </c>
      <c r="B1457" s="3" t="s">
        <v>4075</v>
      </c>
      <c r="C1457" s="3" t="s">
        <v>1105</v>
      </c>
      <c r="D1457" s="4" t="s">
        <v>4076</v>
      </c>
      <c r="E1457" s="3" t="s">
        <v>1076</v>
      </c>
      <c r="F1457" s="3" t="s">
        <v>1077</v>
      </c>
      <c r="G1457" s="3"/>
      <c r="H1457" s="4" t="s">
        <v>4013</v>
      </c>
    </row>
    <row r="1458" ht="16.5" customHeight="1" spans="1:8">
      <c r="A1458" s="3">
        <v>1457</v>
      </c>
      <c r="B1458" s="3" t="s">
        <v>4077</v>
      </c>
      <c r="C1458" s="3" t="s">
        <v>1105</v>
      </c>
      <c r="D1458" s="4" t="s">
        <v>4078</v>
      </c>
      <c r="E1458" s="3" t="s">
        <v>1076</v>
      </c>
      <c r="F1458" s="3" t="s">
        <v>1077</v>
      </c>
      <c r="G1458" s="3"/>
      <c r="H1458" s="4" t="s">
        <v>4013</v>
      </c>
    </row>
    <row r="1459" ht="16.5" customHeight="1" spans="1:8">
      <c r="A1459" s="3">
        <v>1458</v>
      </c>
      <c r="B1459" s="3" t="s">
        <v>4079</v>
      </c>
      <c r="C1459" s="3" t="s">
        <v>1105</v>
      </c>
      <c r="D1459" s="4" t="s">
        <v>4080</v>
      </c>
      <c r="E1459" s="3" t="s">
        <v>1076</v>
      </c>
      <c r="F1459" s="3" t="s">
        <v>1077</v>
      </c>
      <c r="G1459" s="3"/>
      <c r="H1459" s="4" t="s">
        <v>4013</v>
      </c>
    </row>
    <row r="1460" ht="16.5" customHeight="1" spans="1:8">
      <c r="A1460" s="3">
        <v>1459</v>
      </c>
      <c r="B1460" s="3" t="s">
        <v>4081</v>
      </c>
      <c r="C1460" s="3" t="s">
        <v>1105</v>
      </c>
      <c r="D1460" s="4" t="s">
        <v>4082</v>
      </c>
      <c r="E1460" s="3" t="s">
        <v>1076</v>
      </c>
      <c r="F1460" s="3" t="s">
        <v>1077</v>
      </c>
      <c r="G1460" s="3"/>
      <c r="H1460" s="4" t="s">
        <v>4013</v>
      </c>
    </row>
    <row r="1461" ht="16.5" customHeight="1" spans="1:8">
      <c r="A1461" s="3">
        <v>1460</v>
      </c>
      <c r="B1461" s="3" t="s">
        <v>4083</v>
      </c>
      <c r="C1461" s="3" t="s">
        <v>1105</v>
      </c>
      <c r="D1461" s="4" t="s">
        <v>4084</v>
      </c>
      <c r="E1461" s="3" t="s">
        <v>1076</v>
      </c>
      <c r="F1461" s="3" t="s">
        <v>1077</v>
      </c>
      <c r="G1461" s="3"/>
      <c r="H1461" s="4" t="s">
        <v>4013</v>
      </c>
    </row>
    <row r="1462" ht="16.5" customHeight="1" spans="1:8">
      <c r="A1462" s="3">
        <v>1461</v>
      </c>
      <c r="B1462" s="3" t="s">
        <v>4085</v>
      </c>
      <c r="C1462" s="3" t="s">
        <v>1105</v>
      </c>
      <c r="D1462" s="4" t="s">
        <v>4086</v>
      </c>
      <c r="E1462" s="3" t="s">
        <v>1076</v>
      </c>
      <c r="F1462" s="3" t="s">
        <v>1077</v>
      </c>
      <c r="G1462" s="3"/>
      <c r="H1462" s="4" t="s">
        <v>4013</v>
      </c>
    </row>
    <row r="1463" ht="16.5" customHeight="1" spans="1:8">
      <c r="A1463" s="3">
        <v>1462</v>
      </c>
      <c r="B1463" s="3" t="s">
        <v>4087</v>
      </c>
      <c r="C1463" s="3" t="s">
        <v>1105</v>
      </c>
      <c r="D1463" s="4" t="s">
        <v>4088</v>
      </c>
      <c r="E1463" s="3" t="s">
        <v>1076</v>
      </c>
      <c r="F1463" s="3" t="s">
        <v>1077</v>
      </c>
      <c r="G1463" s="3"/>
      <c r="H1463" s="4" t="s">
        <v>4013</v>
      </c>
    </row>
    <row r="1464" ht="16.5" customHeight="1" spans="1:8">
      <c r="A1464" s="3">
        <v>1463</v>
      </c>
      <c r="B1464" s="3" t="s">
        <v>4089</v>
      </c>
      <c r="C1464" s="3" t="s">
        <v>1105</v>
      </c>
      <c r="D1464" s="4" t="s">
        <v>4090</v>
      </c>
      <c r="E1464" s="3" t="s">
        <v>1076</v>
      </c>
      <c r="F1464" s="3" t="s">
        <v>1077</v>
      </c>
      <c r="G1464" s="3"/>
      <c r="H1464" s="4" t="s">
        <v>4013</v>
      </c>
    </row>
    <row r="1465" ht="16.5" customHeight="1" spans="1:8">
      <c r="A1465" s="3">
        <v>1464</v>
      </c>
      <c r="B1465" s="3" t="s">
        <v>4091</v>
      </c>
      <c r="C1465" s="3" t="s">
        <v>1105</v>
      </c>
      <c r="D1465" s="4" t="s">
        <v>4092</v>
      </c>
      <c r="E1465" s="3" t="s">
        <v>1076</v>
      </c>
      <c r="F1465" s="3" t="s">
        <v>1077</v>
      </c>
      <c r="G1465" s="3"/>
      <c r="H1465" s="4" t="s">
        <v>4013</v>
      </c>
    </row>
    <row r="1466" ht="16.5" customHeight="1" spans="1:8">
      <c r="A1466" s="3">
        <v>1465</v>
      </c>
      <c r="B1466" s="3" t="s">
        <v>4093</v>
      </c>
      <c r="C1466" s="3" t="s">
        <v>1105</v>
      </c>
      <c r="D1466" s="4" t="s">
        <v>4094</v>
      </c>
      <c r="E1466" s="3" t="s">
        <v>1076</v>
      </c>
      <c r="F1466" s="3" t="s">
        <v>1077</v>
      </c>
      <c r="G1466" s="3"/>
      <c r="H1466" s="4" t="s">
        <v>4013</v>
      </c>
    </row>
    <row r="1467" ht="16.5" customHeight="1" spans="1:8">
      <c r="A1467" s="3">
        <v>1466</v>
      </c>
      <c r="B1467" s="3" t="s">
        <v>4095</v>
      </c>
      <c r="C1467" s="3" t="s">
        <v>1105</v>
      </c>
      <c r="D1467" s="4" t="s">
        <v>4096</v>
      </c>
      <c r="E1467" s="3" t="s">
        <v>1837</v>
      </c>
      <c r="F1467" s="3" t="s">
        <v>1077</v>
      </c>
      <c r="G1467" s="3"/>
      <c r="H1467" s="4" t="s">
        <v>4013</v>
      </c>
    </row>
    <row r="1468" ht="16.5" customHeight="1" spans="1:8">
      <c r="A1468" s="3">
        <v>1467</v>
      </c>
      <c r="B1468" s="3" t="s">
        <v>4097</v>
      </c>
      <c r="C1468" s="3" t="s">
        <v>1105</v>
      </c>
      <c r="D1468" s="4" t="s">
        <v>4098</v>
      </c>
      <c r="E1468" s="3" t="s">
        <v>1837</v>
      </c>
      <c r="F1468" s="3" t="s">
        <v>1077</v>
      </c>
      <c r="G1468" s="3"/>
      <c r="H1468" s="4" t="s">
        <v>4013</v>
      </c>
    </row>
    <row r="1469" ht="16.5" customHeight="1" spans="1:8">
      <c r="A1469" s="3">
        <v>1468</v>
      </c>
      <c r="B1469" s="3" t="s">
        <v>4099</v>
      </c>
      <c r="C1469" s="3" t="s">
        <v>1105</v>
      </c>
      <c r="D1469" s="4" t="s">
        <v>4100</v>
      </c>
      <c r="E1469" s="3" t="s">
        <v>1076</v>
      </c>
      <c r="F1469" s="3" t="s">
        <v>1358</v>
      </c>
      <c r="G1469" s="3"/>
      <c r="H1469" s="4" t="s">
        <v>2033</v>
      </c>
    </row>
    <row r="1470" ht="16.5" customHeight="1" spans="1:8">
      <c r="A1470" s="3">
        <v>1469</v>
      </c>
      <c r="B1470" s="3" t="s">
        <v>4101</v>
      </c>
      <c r="C1470" s="3" t="s">
        <v>1074</v>
      </c>
      <c r="D1470" s="4" t="s">
        <v>4102</v>
      </c>
      <c r="E1470" s="3" t="s">
        <v>1076</v>
      </c>
      <c r="F1470" s="3" t="s">
        <v>1719</v>
      </c>
      <c r="G1470" s="3"/>
      <c r="H1470" s="4"/>
    </row>
    <row r="1471" ht="16.5" customHeight="1" spans="1:8">
      <c r="A1471" s="3">
        <v>1470</v>
      </c>
      <c r="B1471" s="3" t="s">
        <v>4103</v>
      </c>
      <c r="C1471" s="3" t="s">
        <v>2163</v>
      </c>
      <c r="D1471" s="4" t="s">
        <v>4104</v>
      </c>
      <c r="E1471" s="3" t="s">
        <v>1076</v>
      </c>
      <c r="F1471" s="3" t="s">
        <v>1358</v>
      </c>
      <c r="G1471" s="3" t="s">
        <v>321</v>
      </c>
      <c r="H1471" s="4" t="s">
        <v>1095</v>
      </c>
    </row>
    <row r="1472" ht="16.5" customHeight="1" spans="1:8">
      <c r="A1472" s="3">
        <v>1471</v>
      </c>
      <c r="B1472" s="3" t="s">
        <v>4105</v>
      </c>
      <c r="C1472" s="3" t="s">
        <v>1356</v>
      </c>
      <c r="D1472" s="4" t="s">
        <v>4106</v>
      </c>
      <c r="E1472" s="3" t="s">
        <v>1076</v>
      </c>
      <c r="F1472" s="3" t="s">
        <v>4107</v>
      </c>
      <c r="G1472" s="3"/>
      <c r="H1472" s="4" t="s">
        <v>1305</v>
      </c>
    </row>
    <row r="1473" ht="16.5" customHeight="1" spans="1:8">
      <c r="A1473" s="3">
        <v>1472</v>
      </c>
      <c r="B1473" s="3" t="s">
        <v>4108</v>
      </c>
      <c r="C1473" s="3" t="s">
        <v>1074</v>
      </c>
      <c r="D1473" s="4" t="s">
        <v>4109</v>
      </c>
      <c r="E1473" s="3" t="s">
        <v>1076</v>
      </c>
      <c r="F1473" s="3" t="s">
        <v>4110</v>
      </c>
      <c r="G1473" s="3"/>
      <c r="H1473" s="4"/>
    </row>
    <row r="1474" ht="16.5" customHeight="1" spans="1:8">
      <c r="A1474" s="3">
        <v>1473</v>
      </c>
      <c r="B1474" s="3" t="s">
        <v>4111</v>
      </c>
      <c r="C1474" s="3" t="s">
        <v>1074</v>
      </c>
      <c r="D1474" s="4" t="s">
        <v>4112</v>
      </c>
      <c r="E1474" s="3" t="s">
        <v>1076</v>
      </c>
      <c r="F1474" s="3" t="s">
        <v>4110</v>
      </c>
      <c r="G1474" s="3"/>
      <c r="H1474" s="4"/>
    </row>
    <row r="1475" ht="16.5" customHeight="1" spans="1:8">
      <c r="A1475" s="3">
        <v>1474</v>
      </c>
      <c r="B1475" s="3" t="s">
        <v>4113</v>
      </c>
      <c r="C1475" s="3" t="s">
        <v>1356</v>
      </c>
      <c r="D1475" s="4" t="s">
        <v>4114</v>
      </c>
      <c r="E1475" s="3" t="s">
        <v>1076</v>
      </c>
      <c r="F1475" s="3" t="s">
        <v>4107</v>
      </c>
      <c r="G1475" s="3"/>
      <c r="H1475" s="4" t="s">
        <v>1305</v>
      </c>
    </row>
    <row r="1476" ht="16.5" customHeight="1" spans="1:8">
      <c r="A1476" s="3">
        <v>1475</v>
      </c>
      <c r="B1476" s="3" t="s">
        <v>4115</v>
      </c>
      <c r="C1476" s="3" t="s">
        <v>1074</v>
      </c>
      <c r="D1476" s="4" t="s">
        <v>4116</v>
      </c>
      <c r="E1476" s="3" t="s">
        <v>1076</v>
      </c>
      <c r="F1476" s="3" t="s">
        <v>1719</v>
      </c>
      <c r="G1476" s="3"/>
      <c r="H1476" s="4" t="s">
        <v>4117</v>
      </c>
    </row>
    <row r="1477" ht="16.5" customHeight="1" spans="1:8">
      <c r="A1477" s="3">
        <v>1476</v>
      </c>
      <c r="B1477" s="3" t="s">
        <v>4118</v>
      </c>
      <c r="C1477" s="3" t="s">
        <v>1105</v>
      </c>
      <c r="D1477" s="4" t="s">
        <v>4119</v>
      </c>
      <c r="E1477" s="3" t="s">
        <v>1076</v>
      </c>
      <c r="F1477" s="3" t="s">
        <v>4120</v>
      </c>
      <c r="G1477" s="3"/>
      <c r="H1477" s="4" t="s">
        <v>4121</v>
      </c>
    </row>
    <row r="1478" ht="16.5" customHeight="1" spans="1:8">
      <c r="A1478" s="3">
        <v>1477</v>
      </c>
      <c r="B1478" s="3" t="s">
        <v>4122</v>
      </c>
      <c r="C1478" s="3" t="s">
        <v>1356</v>
      </c>
      <c r="D1478" s="4" t="s">
        <v>4123</v>
      </c>
      <c r="E1478" s="3" t="s">
        <v>1076</v>
      </c>
      <c r="F1478" s="3" t="s">
        <v>1736</v>
      </c>
      <c r="G1478" s="3" t="s">
        <v>321</v>
      </c>
      <c r="H1478" s="4" t="s">
        <v>1095</v>
      </c>
    </row>
    <row r="1479" ht="16.5" customHeight="1" spans="1:8">
      <c r="A1479" s="3">
        <v>1478</v>
      </c>
      <c r="B1479" s="3" t="s">
        <v>4124</v>
      </c>
      <c r="C1479" s="3" t="s">
        <v>1356</v>
      </c>
      <c r="D1479" s="4" t="s">
        <v>4125</v>
      </c>
      <c r="E1479" s="3" t="s">
        <v>1076</v>
      </c>
      <c r="F1479" s="3" t="s">
        <v>1736</v>
      </c>
      <c r="G1479" s="3" t="s">
        <v>321</v>
      </c>
      <c r="H1479" s="4" t="s">
        <v>1359</v>
      </c>
    </row>
    <row r="1480" ht="16.5" customHeight="1" spans="1:8">
      <c r="A1480" s="3">
        <v>1479</v>
      </c>
      <c r="B1480" s="3" t="s">
        <v>4126</v>
      </c>
      <c r="C1480" s="3" t="s">
        <v>1356</v>
      </c>
      <c r="D1480" s="4" t="s">
        <v>4127</v>
      </c>
      <c r="E1480" s="3" t="s">
        <v>1076</v>
      </c>
      <c r="F1480" s="3" t="s">
        <v>1736</v>
      </c>
      <c r="G1480" s="3" t="s">
        <v>321</v>
      </c>
      <c r="H1480" s="4" t="s">
        <v>1359</v>
      </c>
    </row>
    <row r="1481" ht="16.5" customHeight="1" spans="1:8">
      <c r="A1481" s="3">
        <v>1480</v>
      </c>
      <c r="B1481" s="3" t="s">
        <v>4128</v>
      </c>
      <c r="C1481" s="3" t="s">
        <v>2163</v>
      </c>
      <c r="D1481" s="4" t="s">
        <v>4129</v>
      </c>
      <c r="E1481" s="3" t="s">
        <v>1076</v>
      </c>
      <c r="F1481" s="3" t="s">
        <v>1358</v>
      </c>
      <c r="G1481" s="3" t="s">
        <v>321</v>
      </c>
      <c r="H1481" s="4" t="s">
        <v>1095</v>
      </c>
    </row>
    <row r="1482" ht="16.5" customHeight="1" spans="1:8">
      <c r="A1482" s="3">
        <v>1481</v>
      </c>
      <c r="B1482" s="3" t="s">
        <v>4130</v>
      </c>
      <c r="C1482" s="3" t="s">
        <v>2163</v>
      </c>
      <c r="D1482" s="4" t="s">
        <v>4131</v>
      </c>
      <c r="E1482" s="3" t="s">
        <v>1076</v>
      </c>
      <c r="F1482" s="3" t="s">
        <v>1358</v>
      </c>
      <c r="G1482" s="3" t="s">
        <v>321</v>
      </c>
      <c r="H1482" s="4" t="s">
        <v>1368</v>
      </c>
    </row>
    <row r="1483" ht="16.5" customHeight="1" spans="1:8">
      <c r="A1483" s="3">
        <v>1482</v>
      </c>
      <c r="B1483" s="3" t="s">
        <v>4132</v>
      </c>
      <c r="C1483" s="3" t="s">
        <v>2163</v>
      </c>
      <c r="D1483" s="4" t="s">
        <v>4133</v>
      </c>
      <c r="E1483" s="3" t="s">
        <v>1076</v>
      </c>
      <c r="F1483" s="3" t="s">
        <v>1358</v>
      </c>
      <c r="G1483" s="3" t="s">
        <v>321</v>
      </c>
      <c r="H1483" s="4" t="s">
        <v>1095</v>
      </c>
    </row>
    <row r="1484" ht="16.5" customHeight="1" spans="1:8">
      <c r="A1484" s="3">
        <v>1483</v>
      </c>
      <c r="B1484" s="3" t="s">
        <v>4134</v>
      </c>
      <c r="C1484" s="3" t="s">
        <v>2163</v>
      </c>
      <c r="D1484" s="4" t="s">
        <v>4135</v>
      </c>
      <c r="E1484" s="3" t="s">
        <v>1076</v>
      </c>
      <c r="F1484" s="3" t="s">
        <v>1358</v>
      </c>
      <c r="G1484" s="3" t="s">
        <v>321</v>
      </c>
      <c r="H1484" s="4" t="s">
        <v>1305</v>
      </c>
    </row>
    <row r="1485" ht="16.5" customHeight="1" spans="1:8">
      <c r="A1485" s="3">
        <v>1484</v>
      </c>
      <c r="B1485" s="3" t="s">
        <v>4136</v>
      </c>
      <c r="C1485" s="3" t="s">
        <v>1105</v>
      </c>
      <c r="D1485" s="4" t="s">
        <v>4137</v>
      </c>
      <c r="E1485" s="3" t="s">
        <v>1076</v>
      </c>
      <c r="F1485" s="3" t="s">
        <v>1358</v>
      </c>
      <c r="G1485" s="3"/>
      <c r="H1485" s="4" t="s">
        <v>3482</v>
      </c>
    </row>
    <row r="1486" ht="16.5" customHeight="1" spans="1:8">
      <c r="A1486" s="3">
        <v>1485</v>
      </c>
      <c r="B1486" s="3" t="s">
        <v>4138</v>
      </c>
      <c r="C1486" s="3" t="s">
        <v>1105</v>
      </c>
      <c r="D1486" s="4" t="s">
        <v>4139</v>
      </c>
      <c r="E1486" s="3" t="s">
        <v>1076</v>
      </c>
      <c r="F1486" s="3" t="s">
        <v>1358</v>
      </c>
      <c r="G1486" s="3"/>
      <c r="H1486" s="4" t="s">
        <v>3482</v>
      </c>
    </row>
    <row r="1487" ht="16.5" customHeight="1" spans="1:8">
      <c r="A1487" s="3">
        <v>1486</v>
      </c>
      <c r="B1487" s="3" t="s">
        <v>4140</v>
      </c>
      <c r="C1487" s="3" t="s">
        <v>1356</v>
      </c>
      <c r="D1487" s="4" t="s">
        <v>4141</v>
      </c>
      <c r="E1487" s="3" t="s">
        <v>1076</v>
      </c>
      <c r="F1487" s="3" t="s">
        <v>1358</v>
      </c>
      <c r="G1487" s="3"/>
      <c r="H1487" s="4" t="s">
        <v>1095</v>
      </c>
    </row>
    <row r="1488" ht="16.5" customHeight="1" spans="1:8">
      <c r="A1488" s="3">
        <v>1487</v>
      </c>
      <c r="B1488" s="3" t="s">
        <v>4142</v>
      </c>
      <c r="C1488" s="3" t="s">
        <v>1356</v>
      </c>
      <c r="D1488" s="4" t="s">
        <v>4143</v>
      </c>
      <c r="E1488" s="3" t="s">
        <v>1076</v>
      </c>
      <c r="F1488" s="3" t="s">
        <v>1358</v>
      </c>
      <c r="G1488" s="3"/>
      <c r="H1488" s="4" t="s">
        <v>1359</v>
      </c>
    </row>
    <row r="1489" ht="16.5" customHeight="1" spans="1:8">
      <c r="A1489" s="3">
        <v>1488</v>
      </c>
      <c r="B1489" s="3" t="s">
        <v>4144</v>
      </c>
      <c r="C1489" s="3" t="s">
        <v>1356</v>
      </c>
      <c r="D1489" s="4" t="s">
        <v>4145</v>
      </c>
      <c r="E1489" s="3" t="s">
        <v>1076</v>
      </c>
      <c r="F1489" s="3" t="s">
        <v>1358</v>
      </c>
      <c r="G1489" s="3" t="s">
        <v>321</v>
      </c>
      <c r="H1489" s="4" t="s">
        <v>1359</v>
      </c>
    </row>
    <row r="1490" ht="16.5" customHeight="1" spans="1:8">
      <c r="A1490" s="3">
        <v>1489</v>
      </c>
      <c r="B1490" s="3" t="s">
        <v>4146</v>
      </c>
      <c r="C1490" s="3" t="s">
        <v>1356</v>
      </c>
      <c r="D1490" s="4" t="s">
        <v>4147</v>
      </c>
      <c r="E1490" s="3" t="s">
        <v>1076</v>
      </c>
      <c r="F1490" s="3" t="s">
        <v>1358</v>
      </c>
      <c r="G1490" s="3"/>
      <c r="H1490" s="4" t="s">
        <v>1359</v>
      </c>
    </row>
    <row r="1491" ht="16.5" customHeight="1" spans="1:8">
      <c r="A1491" s="3">
        <v>1490</v>
      </c>
      <c r="B1491" s="3" t="s">
        <v>4148</v>
      </c>
      <c r="C1491" s="3" t="s">
        <v>1105</v>
      </c>
      <c r="D1491" s="4" t="s">
        <v>4149</v>
      </c>
      <c r="E1491" s="3" t="s">
        <v>1076</v>
      </c>
      <c r="F1491" s="3" t="s">
        <v>3104</v>
      </c>
      <c r="G1491" s="3"/>
      <c r="H1491" s="4" t="s">
        <v>4121</v>
      </c>
    </row>
    <row r="1492" ht="16.5" customHeight="1" spans="1:8">
      <c r="A1492" s="3">
        <v>1491</v>
      </c>
      <c r="B1492" s="3" t="s">
        <v>4150</v>
      </c>
      <c r="C1492" s="3" t="s">
        <v>1105</v>
      </c>
      <c r="D1492" s="4" t="s">
        <v>4151</v>
      </c>
      <c r="E1492" s="3" t="s">
        <v>1076</v>
      </c>
      <c r="F1492" s="3" t="s">
        <v>3104</v>
      </c>
      <c r="G1492" s="3"/>
      <c r="H1492" s="4" t="s">
        <v>4121</v>
      </c>
    </row>
    <row r="1493" ht="16.5" customHeight="1" spans="1:8">
      <c r="A1493" s="3">
        <v>1492</v>
      </c>
      <c r="B1493" s="3" t="s">
        <v>4152</v>
      </c>
      <c r="C1493" s="3" t="s">
        <v>2163</v>
      </c>
      <c r="D1493" s="4" t="s">
        <v>4153</v>
      </c>
      <c r="E1493" s="3" t="s">
        <v>1076</v>
      </c>
      <c r="F1493" s="3" t="s">
        <v>4154</v>
      </c>
      <c r="G1493" s="3"/>
      <c r="H1493" s="4" t="s">
        <v>1095</v>
      </c>
    </row>
    <row r="1494" ht="16.5" customHeight="1" spans="1:8">
      <c r="A1494" s="3">
        <v>1493</v>
      </c>
      <c r="B1494" s="3" t="s">
        <v>4155</v>
      </c>
      <c r="C1494" s="3" t="s">
        <v>2163</v>
      </c>
      <c r="D1494" s="4" t="s">
        <v>4156</v>
      </c>
      <c r="E1494" s="3" t="s">
        <v>2263</v>
      </c>
      <c r="F1494" s="3" t="s">
        <v>4154</v>
      </c>
      <c r="G1494" s="3"/>
      <c r="H1494" s="4" t="s">
        <v>1095</v>
      </c>
    </row>
    <row r="1495" ht="16.5" customHeight="1" spans="1:8">
      <c r="A1495" s="3">
        <v>1494</v>
      </c>
      <c r="B1495" s="3" t="s">
        <v>4157</v>
      </c>
      <c r="C1495" s="3" t="s">
        <v>2163</v>
      </c>
      <c r="D1495" s="4" t="s">
        <v>4156</v>
      </c>
      <c r="E1495" s="3" t="s">
        <v>2263</v>
      </c>
      <c r="F1495" s="3" t="s">
        <v>4154</v>
      </c>
      <c r="G1495" s="3"/>
      <c r="H1495" s="4" t="s">
        <v>1095</v>
      </c>
    </row>
    <row r="1496" ht="16.5" customHeight="1" spans="1:8">
      <c r="A1496" s="3">
        <v>1495</v>
      </c>
      <c r="B1496" s="3" t="s">
        <v>4158</v>
      </c>
      <c r="C1496" s="3" t="s">
        <v>2163</v>
      </c>
      <c r="D1496" s="4" t="s">
        <v>4159</v>
      </c>
      <c r="E1496" s="3" t="s">
        <v>2263</v>
      </c>
      <c r="F1496" s="3" t="s">
        <v>4154</v>
      </c>
      <c r="G1496" s="3"/>
      <c r="H1496" s="4" t="s">
        <v>1095</v>
      </c>
    </row>
    <row r="1497" ht="16.5" customHeight="1" spans="1:8">
      <c r="A1497" s="3">
        <v>1496</v>
      </c>
      <c r="B1497" s="3" t="s">
        <v>4160</v>
      </c>
      <c r="C1497" s="3" t="s">
        <v>2163</v>
      </c>
      <c r="D1497" s="4" t="s">
        <v>4161</v>
      </c>
      <c r="E1497" s="3" t="s">
        <v>1076</v>
      </c>
      <c r="F1497" s="3" t="s">
        <v>4154</v>
      </c>
      <c r="G1497" s="3"/>
      <c r="H1497" s="4" t="s">
        <v>1095</v>
      </c>
    </row>
    <row r="1498" ht="16.5" customHeight="1" spans="1:8">
      <c r="A1498" s="3">
        <v>1497</v>
      </c>
      <c r="B1498" s="3" t="s">
        <v>4162</v>
      </c>
      <c r="C1498" s="3" t="s">
        <v>2163</v>
      </c>
      <c r="D1498" s="4" t="s">
        <v>4163</v>
      </c>
      <c r="E1498" s="3" t="s">
        <v>2263</v>
      </c>
      <c r="F1498" s="3" t="s">
        <v>4154</v>
      </c>
      <c r="G1498" s="3"/>
      <c r="H1498" s="4" t="s">
        <v>1095</v>
      </c>
    </row>
    <row r="1499" ht="16.5" customHeight="1" spans="1:8">
      <c r="A1499" s="3">
        <v>1498</v>
      </c>
      <c r="B1499" s="3" t="s">
        <v>4164</v>
      </c>
      <c r="C1499" s="3" t="s">
        <v>2163</v>
      </c>
      <c r="D1499" s="4" t="s">
        <v>4165</v>
      </c>
      <c r="E1499" s="3" t="s">
        <v>1076</v>
      </c>
      <c r="F1499" s="3" t="s">
        <v>4154</v>
      </c>
      <c r="G1499" s="3"/>
      <c r="H1499" s="4" t="s">
        <v>1095</v>
      </c>
    </row>
    <row r="1500" ht="16.5" customHeight="1" spans="1:8">
      <c r="A1500" s="3">
        <v>1499</v>
      </c>
      <c r="B1500" s="3" t="s">
        <v>4166</v>
      </c>
      <c r="C1500" s="3" t="s">
        <v>2163</v>
      </c>
      <c r="D1500" s="4" t="s">
        <v>4167</v>
      </c>
      <c r="E1500" s="3" t="s">
        <v>1076</v>
      </c>
      <c r="F1500" s="3" t="s">
        <v>4154</v>
      </c>
      <c r="G1500" s="3"/>
      <c r="H1500" s="4" t="s">
        <v>1095</v>
      </c>
    </row>
    <row r="1501" ht="16.5" customHeight="1" spans="1:8">
      <c r="A1501" s="3">
        <v>1500</v>
      </c>
      <c r="B1501" s="3" t="s">
        <v>4168</v>
      </c>
      <c r="C1501" s="3" t="s">
        <v>2163</v>
      </c>
      <c r="D1501" s="4" t="s">
        <v>4169</v>
      </c>
      <c r="E1501" s="3" t="s">
        <v>1076</v>
      </c>
      <c r="F1501" s="3" t="s">
        <v>4154</v>
      </c>
      <c r="G1501" s="3"/>
      <c r="H1501" s="4" t="s">
        <v>1368</v>
      </c>
    </row>
    <row r="1502" ht="16.5" customHeight="1" spans="1:8">
      <c r="A1502" s="3">
        <v>1501</v>
      </c>
      <c r="B1502" s="3" t="s">
        <v>4170</v>
      </c>
      <c r="C1502" s="3" t="s">
        <v>2163</v>
      </c>
      <c r="D1502" s="4" t="s">
        <v>4171</v>
      </c>
      <c r="E1502" s="3" t="s">
        <v>1076</v>
      </c>
      <c r="F1502" s="3" t="s">
        <v>2105</v>
      </c>
      <c r="G1502" s="3" t="s">
        <v>321</v>
      </c>
      <c r="H1502" s="4" t="s">
        <v>1095</v>
      </c>
    </row>
    <row r="1503" ht="16.5" customHeight="1" spans="1:8">
      <c r="A1503" s="3">
        <v>1502</v>
      </c>
      <c r="B1503" s="3" t="s">
        <v>4172</v>
      </c>
      <c r="C1503" s="3" t="s">
        <v>2163</v>
      </c>
      <c r="D1503" s="4" t="s">
        <v>4173</v>
      </c>
      <c r="E1503" s="3" t="s">
        <v>1076</v>
      </c>
      <c r="F1503" s="3" t="s">
        <v>4154</v>
      </c>
      <c r="G1503" s="3"/>
      <c r="H1503" s="4" t="s">
        <v>1095</v>
      </c>
    </row>
    <row r="1504" ht="16.5" customHeight="1" spans="1:8">
      <c r="A1504" s="3">
        <v>1503</v>
      </c>
      <c r="B1504" s="3" t="s">
        <v>4174</v>
      </c>
      <c r="C1504" s="3" t="s">
        <v>2163</v>
      </c>
      <c r="D1504" s="4" t="s">
        <v>4175</v>
      </c>
      <c r="E1504" s="3" t="s">
        <v>1076</v>
      </c>
      <c r="F1504" s="3" t="s">
        <v>4154</v>
      </c>
      <c r="G1504" s="3"/>
      <c r="H1504" s="4" t="s">
        <v>1095</v>
      </c>
    </row>
    <row r="1505" ht="16.5" customHeight="1" spans="1:8">
      <c r="A1505" s="3">
        <v>1504</v>
      </c>
      <c r="B1505" s="3" t="s">
        <v>4176</v>
      </c>
      <c r="C1505" s="3" t="s">
        <v>2163</v>
      </c>
      <c r="D1505" s="4" t="s">
        <v>4177</v>
      </c>
      <c r="E1505" s="3" t="s">
        <v>2263</v>
      </c>
      <c r="F1505" s="3" t="s">
        <v>4154</v>
      </c>
      <c r="G1505" s="3"/>
      <c r="H1505" s="4" t="s">
        <v>1095</v>
      </c>
    </row>
    <row r="1506" ht="16.5" customHeight="1" spans="1:8">
      <c r="A1506" s="3">
        <v>1505</v>
      </c>
      <c r="B1506" s="3" t="s">
        <v>4178</v>
      </c>
      <c r="C1506" s="3" t="s">
        <v>2163</v>
      </c>
      <c r="D1506" s="4" t="s">
        <v>4179</v>
      </c>
      <c r="E1506" s="3" t="s">
        <v>1076</v>
      </c>
      <c r="F1506" s="3" t="s">
        <v>4154</v>
      </c>
      <c r="G1506" s="3"/>
      <c r="H1506" s="4" t="s">
        <v>1095</v>
      </c>
    </row>
    <row r="1507" ht="16.5" customHeight="1" spans="1:8">
      <c r="A1507" s="3">
        <v>1506</v>
      </c>
      <c r="B1507" s="3" t="s">
        <v>4180</v>
      </c>
      <c r="C1507" s="3" t="s">
        <v>2163</v>
      </c>
      <c r="D1507" s="4" t="s">
        <v>4181</v>
      </c>
      <c r="E1507" s="3" t="s">
        <v>1076</v>
      </c>
      <c r="F1507" s="3" t="s">
        <v>4154</v>
      </c>
      <c r="G1507" s="3"/>
      <c r="H1507" s="4" t="s">
        <v>1095</v>
      </c>
    </row>
    <row r="1508" ht="16.5" customHeight="1" spans="1:8">
      <c r="A1508" s="3">
        <v>1507</v>
      </c>
      <c r="B1508" s="3" t="s">
        <v>4182</v>
      </c>
      <c r="C1508" s="3" t="s">
        <v>2163</v>
      </c>
      <c r="D1508" s="4" t="s">
        <v>4183</v>
      </c>
      <c r="E1508" s="3" t="s">
        <v>1076</v>
      </c>
      <c r="F1508" s="3" t="s">
        <v>4154</v>
      </c>
      <c r="G1508" s="3"/>
      <c r="H1508" s="4" t="s">
        <v>1368</v>
      </c>
    </row>
    <row r="1509" ht="16.5" customHeight="1" spans="1:8">
      <c r="A1509" s="3">
        <v>1508</v>
      </c>
      <c r="B1509" s="3" t="s">
        <v>4184</v>
      </c>
      <c r="C1509" s="3" t="s">
        <v>2163</v>
      </c>
      <c r="D1509" s="4" t="s">
        <v>4185</v>
      </c>
      <c r="E1509" s="3" t="s">
        <v>2263</v>
      </c>
      <c r="F1509" s="3" t="s">
        <v>4154</v>
      </c>
      <c r="G1509" s="3"/>
      <c r="H1509" s="4" t="s">
        <v>1095</v>
      </c>
    </row>
    <row r="1510" ht="16.5" customHeight="1" spans="1:8">
      <c r="A1510" s="3">
        <v>1509</v>
      </c>
      <c r="B1510" s="3" t="s">
        <v>4186</v>
      </c>
      <c r="C1510" s="3" t="s">
        <v>2163</v>
      </c>
      <c r="D1510" s="4" t="s">
        <v>4187</v>
      </c>
      <c r="E1510" s="3" t="s">
        <v>1076</v>
      </c>
      <c r="F1510" s="3" t="s">
        <v>4154</v>
      </c>
      <c r="G1510" s="3"/>
      <c r="H1510" s="4" t="s">
        <v>1095</v>
      </c>
    </row>
    <row r="1511" ht="16.5" customHeight="1" spans="1:8">
      <c r="A1511" s="3">
        <v>1510</v>
      </c>
      <c r="B1511" s="3" t="s">
        <v>4188</v>
      </c>
      <c r="C1511" s="3" t="s">
        <v>2163</v>
      </c>
      <c r="D1511" s="4" t="s">
        <v>4189</v>
      </c>
      <c r="E1511" s="3" t="s">
        <v>2263</v>
      </c>
      <c r="F1511" s="3" t="s">
        <v>4154</v>
      </c>
      <c r="G1511" s="3"/>
      <c r="H1511" s="4" t="s">
        <v>1095</v>
      </c>
    </row>
    <row r="1512" ht="16.5" customHeight="1" spans="1:8">
      <c r="A1512" s="3">
        <v>1511</v>
      </c>
      <c r="B1512" s="3" t="s">
        <v>4190</v>
      </c>
      <c r="C1512" s="3" t="s">
        <v>2163</v>
      </c>
      <c r="D1512" s="4" t="s">
        <v>4191</v>
      </c>
      <c r="E1512" s="3" t="s">
        <v>1076</v>
      </c>
      <c r="F1512" s="3" t="s">
        <v>4154</v>
      </c>
      <c r="G1512" s="3"/>
      <c r="H1512" s="4" t="s">
        <v>1095</v>
      </c>
    </row>
    <row r="1513" ht="16.5" customHeight="1" spans="1:8">
      <c r="A1513" s="3">
        <v>1512</v>
      </c>
      <c r="B1513" s="3" t="s">
        <v>4192</v>
      </c>
      <c r="C1513" s="3" t="s">
        <v>2163</v>
      </c>
      <c r="D1513" s="4" t="s">
        <v>4193</v>
      </c>
      <c r="E1513" s="3" t="s">
        <v>1076</v>
      </c>
      <c r="F1513" s="3" t="s">
        <v>4154</v>
      </c>
      <c r="G1513" s="3"/>
      <c r="H1513" s="4" t="s">
        <v>1095</v>
      </c>
    </row>
    <row r="1514" ht="16.5" customHeight="1" spans="1:8">
      <c r="A1514" s="3">
        <v>1513</v>
      </c>
      <c r="B1514" s="3" t="s">
        <v>4194</v>
      </c>
      <c r="C1514" s="3" t="s">
        <v>2163</v>
      </c>
      <c r="D1514" s="4" t="s">
        <v>4195</v>
      </c>
      <c r="E1514" s="3" t="s">
        <v>1076</v>
      </c>
      <c r="F1514" s="3" t="s">
        <v>4154</v>
      </c>
      <c r="G1514" s="3"/>
      <c r="H1514" s="4" t="s">
        <v>1368</v>
      </c>
    </row>
    <row r="1515" ht="16.5" customHeight="1" spans="1:8">
      <c r="A1515" s="3">
        <v>1514</v>
      </c>
      <c r="B1515" s="3" t="s">
        <v>4196</v>
      </c>
      <c r="C1515" s="3" t="s">
        <v>1833</v>
      </c>
      <c r="D1515" s="4" t="s">
        <v>4197</v>
      </c>
      <c r="E1515" s="3" t="s">
        <v>1238</v>
      </c>
      <c r="F1515" s="3" t="s">
        <v>4154</v>
      </c>
      <c r="G1515" s="3"/>
      <c r="H1515" s="4" t="s">
        <v>4198</v>
      </c>
    </row>
    <row r="1516" ht="16.5" customHeight="1" spans="1:8">
      <c r="A1516" s="3">
        <v>1515</v>
      </c>
      <c r="B1516" s="3" t="s">
        <v>4199</v>
      </c>
      <c r="C1516" s="3" t="s">
        <v>2163</v>
      </c>
      <c r="D1516" s="4" t="s">
        <v>4200</v>
      </c>
      <c r="E1516" s="3" t="s">
        <v>1076</v>
      </c>
      <c r="F1516" s="3" t="s">
        <v>4154</v>
      </c>
      <c r="G1516" s="3"/>
      <c r="H1516" s="4" t="s">
        <v>1095</v>
      </c>
    </row>
    <row r="1517" ht="16.5" customHeight="1" spans="1:8">
      <c r="A1517" s="3">
        <v>1516</v>
      </c>
      <c r="B1517" s="3" t="s">
        <v>4201</v>
      </c>
      <c r="C1517" s="3" t="s">
        <v>1833</v>
      </c>
      <c r="D1517" s="4" t="s">
        <v>4202</v>
      </c>
      <c r="E1517" s="3" t="s">
        <v>1238</v>
      </c>
      <c r="F1517" s="3" t="s">
        <v>4154</v>
      </c>
      <c r="G1517" s="3"/>
      <c r="H1517" s="4" t="s">
        <v>4198</v>
      </c>
    </row>
    <row r="1518" ht="16.5" customHeight="1" spans="1:8">
      <c r="A1518" s="3">
        <v>1517</v>
      </c>
      <c r="B1518" s="3" t="s">
        <v>4203</v>
      </c>
      <c r="C1518" s="3" t="s">
        <v>1833</v>
      </c>
      <c r="D1518" s="4" t="s">
        <v>4204</v>
      </c>
      <c r="E1518" s="3" t="s">
        <v>1238</v>
      </c>
      <c r="F1518" s="3" t="s">
        <v>4154</v>
      </c>
      <c r="G1518" s="3"/>
      <c r="H1518" s="4" t="s">
        <v>4198</v>
      </c>
    </row>
    <row r="1519" ht="16.5" customHeight="1" spans="1:8">
      <c r="A1519" s="3">
        <v>1518</v>
      </c>
      <c r="B1519" s="3" t="s">
        <v>4205</v>
      </c>
      <c r="C1519" s="3" t="s">
        <v>1833</v>
      </c>
      <c r="D1519" s="4" t="s">
        <v>4206</v>
      </c>
      <c r="E1519" s="3" t="s">
        <v>1238</v>
      </c>
      <c r="F1519" s="3" t="s">
        <v>4154</v>
      </c>
      <c r="G1519" s="3"/>
      <c r="H1519" s="4" t="s">
        <v>4198</v>
      </c>
    </row>
    <row r="1520" ht="16.5" customHeight="1" spans="1:8">
      <c r="A1520" s="3">
        <v>1519</v>
      </c>
      <c r="B1520" s="3" t="s">
        <v>4207</v>
      </c>
      <c r="C1520" s="3" t="s">
        <v>2163</v>
      </c>
      <c r="D1520" s="4" t="s">
        <v>4208</v>
      </c>
      <c r="E1520" s="3" t="s">
        <v>1076</v>
      </c>
      <c r="F1520" s="3" t="s">
        <v>4154</v>
      </c>
      <c r="G1520" s="3"/>
      <c r="H1520" s="4" t="s">
        <v>4198</v>
      </c>
    </row>
    <row r="1521" ht="16.5" customHeight="1" spans="1:8">
      <c r="A1521" s="3">
        <v>1520</v>
      </c>
      <c r="B1521" s="3" t="s">
        <v>4209</v>
      </c>
      <c r="C1521" s="3" t="s">
        <v>2163</v>
      </c>
      <c r="D1521" s="4" t="s">
        <v>4210</v>
      </c>
      <c r="E1521" s="3" t="s">
        <v>2263</v>
      </c>
      <c r="F1521" s="3" t="s">
        <v>4154</v>
      </c>
      <c r="G1521" s="3"/>
      <c r="H1521" s="4" t="s">
        <v>1095</v>
      </c>
    </row>
    <row r="1522" ht="16.5" customHeight="1" spans="1:8">
      <c r="A1522" s="3">
        <v>1521</v>
      </c>
      <c r="B1522" s="3" t="s">
        <v>4211</v>
      </c>
      <c r="C1522" s="3" t="s">
        <v>1105</v>
      </c>
      <c r="D1522" s="4" t="s">
        <v>4212</v>
      </c>
      <c r="E1522" s="3" t="s">
        <v>1076</v>
      </c>
      <c r="F1522" s="3" t="s">
        <v>1736</v>
      </c>
      <c r="G1522" s="3"/>
      <c r="H1522" s="4" t="s">
        <v>3717</v>
      </c>
    </row>
    <row r="1523" ht="16.5" customHeight="1" spans="1:8">
      <c r="A1523" s="3">
        <v>1522</v>
      </c>
      <c r="B1523" s="3" t="s">
        <v>4213</v>
      </c>
      <c r="C1523" s="3" t="s">
        <v>1105</v>
      </c>
      <c r="D1523" s="4" t="s">
        <v>4214</v>
      </c>
      <c r="E1523" s="3" t="s">
        <v>1076</v>
      </c>
      <c r="F1523" s="3" t="s">
        <v>1736</v>
      </c>
      <c r="G1523" s="3"/>
      <c r="H1523" s="4" t="s">
        <v>3712</v>
      </c>
    </row>
    <row r="1524" ht="16.5" customHeight="1" spans="1:8">
      <c r="A1524" s="3">
        <v>1523</v>
      </c>
      <c r="B1524" s="3" t="s">
        <v>4215</v>
      </c>
      <c r="C1524" s="3" t="s">
        <v>1105</v>
      </c>
      <c r="D1524" s="4" t="s">
        <v>4216</v>
      </c>
      <c r="E1524" s="3" t="s">
        <v>1076</v>
      </c>
      <c r="F1524" s="3" t="s">
        <v>1736</v>
      </c>
      <c r="G1524" s="3"/>
      <c r="H1524" s="4" t="s">
        <v>3554</v>
      </c>
    </row>
    <row r="1525" ht="16.5" customHeight="1" spans="1:8">
      <c r="A1525" s="3">
        <v>1524</v>
      </c>
      <c r="B1525" s="3" t="s">
        <v>4217</v>
      </c>
      <c r="C1525" s="3" t="s">
        <v>1105</v>
      </c>
      <c r="D1525" s="4" t="s">
        <v>4218</v>
      </c>
      <c r="E1525" s="3" t="s">
        <v>1739</v>
      </c>
      <c r="F1525" s="3" t="s">
        <v>1736</v>
      </c>
      <c r="G1525" s="3"/>
      <c r="H1525" s="4" t="s">
        <v>3657</v>
      </c>
    </row>
    <row r="1526" ht="16.5" customHeight="1" spans="1:8">
      <c r="A1526" s="3">
        <v>1525</v>
      </c>
      <c r="B1526" s="3" t="s">
        <v>4219</v>
      </c>
      <c r="C1526" s="3" t="s">
        <v>1105</v>
      </c>
      <c r="D1526" s="4" t="s">
        <v>4220</v>
      </c>
      <c r="E1526" s="3" t="s">
        <v>1076</v>
      </c>
      <c r="F1526" s="3" t="s">
        <v>1736</v>
      </c>
      <c r="G1526" s="3"/>
      <c r="H1526" s="4" t="s">
        <v>3667</v>
      </c>
    </row>
    <row r="1527" ht="16.5" customHeight="1" spans="1:8">
      <c r="A1527" s="3">
        <v>1526</v>
      </c>
      <c r="B1527" s="3" t="s">
        <v>4221</v>
      </c>
      <c r="C1527" s="3" t="s">
        <v>2163</v>
      </c>
      <c r="D1527" s="4" t="s">
        <v>4222</v>
      </c>
      <c r="E1527" s="3" t="s">
        <v>1076</v>
      </c>
      <c r="F1527" s="3" t="s">
        <v>2105</v>
      </c>
      <c r="G1527" s="3" t="s">
        <v>321</v>
      </c>
      <c r="H1527" s="4" t="s">
        <v>1305</v>
      </c>
    </row>
    <row r="1528" ht="16.5" customHeight="1" spans="1:8">
      <c r="A1528" s="3">
        <v>1527</v>
      </c>
      <c r="B1528" s="3" t="s">
        <v>4223</v>
      </c>
      <c r="C1528" s="3" t="s">
        <v>1105</v>
      </c>
      <c r="D1528" s="4" t="s">
        <v>4224</v>
      </c>
      <c r="E1528" s="3" t="s">
        <v>1076</v>
      </c>
      <c r="F1528" s="3" t="s">
        <v>1736</v>
      </c>
      <c r="G1528" s="3"/>
      <c r="H1528" s="4" t="s">
        <v>3662</v>
      </c>
    </row>
    <row r="1529" ht="16.5" customHeight="1" spans="1:8">
      <c r="A1529" s="3">
        <v>1528</v>
      </c>
      <c r="B1529" s="3" t="s">
        <v>4225</v>
      </c>
      <c r="C1529" s="3" t="s">
        <v>1105</v>
      </c>
      <c r="D1529" s="4" t="s">
        <v>4226</v>
      </c>
      <c r="E1529" s="3" t="s">
        <v>1076</v>
      </c>
      <c r="F1529" s="3" t="s">
        <v>1736</v>
      </c>
      <c r="G1529" s="3"/>
      <c r="H1529" s="4" t="s">
        <v>3681</v>
      </c>
    </row>
    <row r="1530" ht="16.5" customHeight="1" spans="1:8">
      <c r="A1530" s="3">
        <v>1529</v>
      </c>
      <c r="B1530" s="3" t="s">
        <v>4227</v>
      </c>
      <c r="C1530" s="3" t="s">
        <v>1105</v>
      </c>
      <c r="D1530" s="4" t="s">
        <v>4228</v>
      </c>
      <c r="E1530" s="3" t="s">
        <v>1076</v>
      </c>
      <c r="F1530" s="3" t="s">
        <v>1736</v>
      </c>
      <c r="G1530" s="3"/>
      <c r="H1530" s="4" t="s">
        <v>3692</v>
      </c>
    </row>
    <row r="1531" ht="16.5" customHeight="1" spans="1:8">
      <c r="A1531" s="3">
        <v>1530</v>
      </c>
      <c r="B1531" s="3" t="s">
        <v>4229</v>
      </c>
      <c r="C1531" s="3" t="s">
        <v>1105</v>
      </c>
      <c r="D1531" s="4" t="s">
        <v>4230</v>
      </c>
      <c r="E1531" s="3" t="s">
        <v>1076</v>
      </c>
      <c r="F1531" s="3" t="s">
        <v>1736</v>
      </c>
      <c r="G1531" s="3"/>
      <c r="H1531" s="4" t="s">
        <v>3697</v>
      </c>
    </row>
    <row r="1532" ht="16.5" customHeight="1" spans="1:8">
      <c r="A1532" s="3">
        <v>1531</v>
      </c>
      <c r="B1532" s="3" t="s">
        <v>4231</v>
      </c>
      <c r="C1532" s="3" t="s">
        <v>1105</v>
      </c>
      <c r="D1532" s="4" t="s">
        <v>4232</v>
      </c>
      <c r="E1532" s="3" t="s">
        <v>1076</v>
      </c>
      <c r="F1532" s="3" t="s">
        <v>1736</v>
      </c>
      <c r="G1532" s="3"/>
      <c r="H1532" s="4" t="s">
        <v>3702</v>
      </c>
    </row>
    <row r="1533" ht="16.5" customHeight="1" spans="1:8">
      <c r="A1533" s="3">
        <v>1532</v>
      </c>
      <c r="B1533" s="3" t="s">
        <v>4233</v>
      </c>
      <c r="C1533" s="3" t="s">
        <v>1105</v>
      </c>
      <c r="D1533" s="4" t="s">
        <v>4234</v>
      </c>
      <c r="E1533" s="3" t="s">
        <v>1076</v>
      </c>
      <c r="F1533" s="3" t="s">
        <v>1736</v>
      </c>
      <c r="G1533" s="3"/>
      <c r="H1533" s="4" t="s">
        <v>3722</v>
      </c>
    </row>
    <row r="1534" ht="16.5" customHeight="1" spans="1:8">
      <c r="A1534" s="3">
        <v>1533</v>
      </c>
      <c r="B1534" s="3" t="s">
        <v>4235</v>
      </c>
      <c r="C1534" s="3" t="s">
        <v>1105</v>
      </c>
      <c r="D1534" s="4" t="s">
        <v>4236</v>
      </c>
      <c r="E1534" s="3" t="s">
        <v>1076</v>
      </c>
      <c r="F1534" s="3" t="s">
        <v>1736</v>
      </c>
      <c r="G1534" s="3"/>
      <c r="H1534" s="4" t="s">
        <v>3727</v>
      </c>
    </row>
    <row r="1535" ht="16.5" customHeight="1" spans="1:8">
      <c r="A1535" s="3">
        <v>1534</v>
      </c>
      <c r="B1535" s="3" t="s">
        <v>4237</v>
      </c>
      <c r="C1535" s="3" t="s">
        <v>1105</v>
      </c>
      <c r="D1535" s="4" t="s">
        <v>4238</v>
      </c>
      <c r="E1535" s="3" t="s">
        <v>1076</v>
      </c>
      <c r="F1535" s="3" t="s">
        <v>1736</v>
      </c>
      <c r="G1535" s="3"/>
      <c r="H1535" s="4" t="s">
        <v>3732</v>
      </c>
    </row>
    <row r="1536" ht="16.5" customHeight="1" spans="1:8">
      <c r="A1536" s="3">
        <v>1535</v>
      </c>
      <c r="B1536" s="3" t="s">
        <v>4239</v>
      </c>
      <c r="C1536" s="3" t="s">
        <v>1105</v>
      </c>
      <c r="D1536" s="4" t="s">
        <v>4240</v>
      </c>
      <c r="E1536" s="3" t="s">
        <v>1076</v>
      </c>
      <c r="F1536" s="3" t="s">
        <v>1736</v>
      </c>
      <c r="G1536" s="3"/>
      <c r="H1536" s="4" t="s">
        <v>3737</v>
      </c>
    </row>
    <row r="1537" ht="16.5" customHeight="1" spans="1:8">
      <c r="A1537" s="3">
        <v>1536</v>
      </c>
      <c r="B1537" s="3" t="s">
        <v>4241</v>
      </c>
      <c r="C1537" s="3" t="s">
        <v>1356</v>
      </c>
      <c r="D1537" s="4" t="s">
        <v>4242</v>
      </c>
      <c r="E1537" s="3" t="s">
        <v>1076</v>
      </c>
      <c r="F1537" s="3" t="s">
        <v>1358</v>
      </c>
      <c r="G1537" s="3" t="s">
        <v>321</v>
      </c>
      <c r="H1537" s="4" t="s">
        <v>1095</v>
      </c>
    </row>
    <row r="1538" ht="16.5" customHeight="1" spans="1:8">
      <c r="A1538" s="3">
        <v>1537</v>
      </c>
      <c r="B1538" s="3" t="s">
        <v>4243</v>
      </c>
      <c r="C1538" s="3" t="s">
        <v>1105</v>
      </c>
      <c r="D1538" s="4" t="s">
        <v>4244</v>
      </c>
      <c r="E1538" s="3" t="s">
        <v>1076</v>
      </c>
      <c r="F1538" s="3" t="s">
        <v>1736</v>
      </c>
      <c r="G1538" s="3"/>
      <c r="H1538" s="4" t="s">
        <v>3674</v>
      </c>
    </row>
    <row r="1539" ht="16.5" customHeight="1" spans="1:8">
      <c r="A1539" s="3">
        <v>1538</v>
      </c>
      <c r="B1539" s="3" t="s">
        <v>4245</v>
      </c>
      <c r="C1539" s="3" t="s">
        <v>2163</v>
      </c>
      <c r="D1539" s="4" t="s">
        <v>4246</v>
      </c>
      <c r="E1539" s="3" t="s">
        <v>1076</v>
      </c>
      <c r="F1539" s="3" t="s">
        <v>2105</v>
      </c>
      <c r="G1539" s="3" t="s">
        <v>321</v>
      </c>
      <c r="H1539" s="4" t="s">
        <v>1095</v>
      </c>
    </row>
    <row r="1540" ht="16.5" customHeight="1" spans="1:8">
      <c r="A1540" s="3">
        <v>1539</v>
      </c>
      <c r="B1540" s="3" t="s">
        <v>4247</v>
      </c>
      <c r="C1540" s="3" t="s">
        <v>2163</v>
      </c>
      <c r="D1540" s="4" t="s">
        <v>4248</v>
      </c>
      <c r="E1540" s="3" t="s">
        <v>1076</v>
      </c>
      <c r="F1540" s="3" t="s">
        <v>2105</v>
      </c>
      <c r="G1540" s="3" t="s">
        <v>321</v>
      </c>
      <c r="H1540" s="4" t="s">
        <v>1095</v>
      </c>
    </row>
    <row r="1541" ht="16.5" customHeight="1" spans="1:8">
      <c r="A1541" s="3">
        <v>1540</v>
      </c>
      <c r="B1541" s="3" t="s">
        <v>4249</v>
      </c>
      <c r="C1541" s="3" t="s">
        <v>2163</v>
      </c>
      <c r="D1541" s="4" t="s">
        <v>4250</v>
      </c>
      <c r="E1541" s="3" t="s">
        <v>1076</v>
      </c>
      <c r="F1541" s="3" t="s">
        <v>2105</v>
      </c>
      <c r="G1541" s="3" t="s">
        <v>321</v>
      </c>
      <c r="H1541" s="4" t="s">
        <v>1095</v>
      </c>
    </row>
    <row r="1542" ht="16.5" customHeight="1" spans="1:8">
      <c r="A1542" s="3">
        <v>1541</v>
      </c>
      <c r="B1542" s="3" t="s">
        <v>4251</v>
      </c>
      <c r="C1542" s="3" t="s">
        <v>2163</v>
      </c>
      <c r="D1542" s="4" t="s">
        <v>4252</v>
      </c>
      <c r="E1542" s="3" t="s">
        <v>1076</v>
      </c>
      <c r="F1542" s="3" t="s">
        <v>2105</v>
      </c>
      <c r="G1542" s="3" t="s">
        <v>321</v>
      </c>
      <c r="H1542" s="4" t="s">
        <v>1095</v>
      </c>
    </row>
    <row r="1543" ht="16.5" customHeight="1" spans="1:8">
      <c r="A1543" s="3">
        <v>1542</v>
      </c>
      <c r="B1543" s="3" t="s">
        <v>4253</v>
      </c>
      <c r="C1543" s="3" t="s">
        <v>2163</v>
      </c>
      <c r="D1543" s="4" t="s">
        <v>4254</v>
      </c>
      <c r="E1543" s="3" t="s">
        <v>1076</v>
      </c>
      <c r="F1543" s="3" t="s">
        <v>2105</v>
      </c>
      <c r="G1543" s="3" t="s">
        <v>321</v>
      </c>
      <c r="H1543" s="4" t="s">
        <v>1095</v>
      </c>
    </row>
    <row r="1544" ht="16.5" customHeight="1" spans="1:8">
      <c r="A1544" s="3">
        <v>1543</v>
      </c>
      <c r="B1544" s="3" t="s">
        <v>4255</v>
      </c>
      <c r="C1544" s="3" t="s">
        <v>2163</v>
      </c>
      <c r="D1544" s="4" t="s">
        <v>4256</v>
      </c>
      <c r="E1544" s="3" t="s">
        <v>1076</v>
      </c>
      <c r="F1544" s="3" t="s">
        <v>2105</v>
      </c>
      <c r="G1544" s="3" t="s">
        <v>321</v>
      </c>
      <c r="H1544" s="4" t="s">
        <v>1095</v>
      </c>
    </row>
    <row r="1545" ht="16.5" customHeight="1" spans="1:8">
      <c r="A1545" s="3">
        <v>1544</v>
      </c>
      <c r="B1545" s="3" t="s">
        <v>4257</v>
      </c>
      <c r="C1545" s="3" t="s">
        <v>2163</v>
      </c>
      <c r="D1545" s="4" t="s">
        <v>4258</v>
      </c>
      <c r="E1545" s="3" t="s">
        <v>1076</v>
      </c>
      <c r="F1545" s="3" t="s">
        <v>2105</v>
      </c>
      <c r="G1545" s="3" t="s">
        <v>321</v>
      </c>
      <c r="H1545" s="4" t="s">
        <v>1095</v>
      </c>
    </row>
    <row r="1546" ht="16.5" customHeight="1" spans="1:8">
      <c r="A1546" s="3">
        <v>1545</v>
      </c>
      <c r="B1546" s="3" t="s">
        <v>4259</v>
      </c>
      <c r="C1546" s="3" t="s">
        <v>2163</v>
      </c>
      <c r="D1546" s="4" t="s">
        <v>4260</v>
      </c>
      <c r="E1546" s="3" t="s">
        <v>1076</v>
      </c>
      <c r="F1546" s="3" t="s">
        <v>2105</v>
      </c>
      <c r="G1546" s="3" t="s">
        <v>321</v>
      </c>
      <c r="H1546" s="4" t="s">
        <v>1095</v>
      </c>
    </row>
    <row r="1547" ht="16.5" customHeight="1" spans="1:8">
      <c r="A1547" s="3">
        <v>1546</v>
      </c>
      <c r="B1547" s="3" t="s">
        <v>4261</v>
      </c>
      <c r="C1547" s="3" t="s">
        <v>2163</v>
      </c>
      <c r="D1547" s="4" t="s">
        <v>4262</v>
      </c>
      <c r="E1547" s="3" t="s">
        <v>1076</v>
      </c>
      <c r="F1547" s="3" t="s">
        <v>2105</v>
      </c>
      <c r="G1547" s="3" t="s">
        <v>321</v>
      </c>
      <c r="H1547" s="4" t="s">
        <v>1368</v>
      </c>
    </row>
    <row r="1548" ht="16.5" customHeight="1" spans="1:8">
      <c r="A1548" s="3">
        <v>1547</v>
      </c>
      <c r="B1548" s="3" t="s">
        <v>4263</v>
      </c>
      <c r="C1548" s="3" t="s">
        <v>2163</v>
      </c>
      <c r="D1548" s="4" t="s">
        <v>4264</v>
      </c>
      <c r="E1548" s="3" t="s">
        <v>1076</v>
      </c>
      <c r="F1548" s="3" t="s">
        <v>2105</v>
      </c>
      <c r="G1548" s="3" t="s">
        <v>321</v>
      </c>
      <c r="H1548" s="4" t="s">
        <v>1368</v>
      </c>
    </row>
    <row r="1549" ht="16.5" customHeight="1" spans="1:8">
      <c r="A1549" s="3">
        <v>1548</v>
      </c>
      <c r="B1549" s="3" t="s">
        <v>4265</v>
      </c>
      <c r="C1549" s="3" t="s">
        <v>2163</v>
      </c>
      <c r="D1549" s="4" t="s">
        <v>4266</v>
      </c>
      <c r="E1549" s="3" t="s">
        <v>1076</v>
      </c>
      <c r="F1549" s="3" t="s">
        <v>2105</v>
      </c>
      <c r="G1549" s="3" t="s">
        <v>321</v>
      </c>
      <c r="H1549" s="4" t="s">
        <v>1368</v>
      </c>
    </row>
    <row r="1550" ht="16.5" customHeight="1" spans="1:8">
      <c r="A1550" s="3">
        <v>1549</v>
      </c>
      <c r="B1550" s="3" t="s">
        <v>4267</v>
      </c>
      <c r="C1550" s="3" t="s">
        <v>1356</v>
      </c>
      <c r="D1550" s="4" t="s">
        <v>4268</v>
      </c>
      <c r="E1550" s="3" t="s">
        <v>1076</v>
      </c>
      <c r="F1550" s="3" t="s">
        <v>2105</v>
      </c>
      <c r="G1550" s="3" t="s">
        <v>321</v>
      </c>
      <c r="H1550" s="4" t="s">
        <v>1095</v>
      </c>
    </row>
    <row r="1551" ht="16.5" customHeight="1" spans="1:8">
      <c r="A1551" s="3">
        <v>1550</v>
      </c>
      <c r="B1551" s="3" t="s">
        <v>4269</v>
      </c>
      <c r="C1551" s="3" t="s">
        <v>2163</v>
      </c>
      <c r="D1551" s="4" t="s">
        <v>4270</v>
      </c>
      <c r="E1551" s="3" t="s">
        <v>1076</v>
      </c>
      <c r="F1551" s="3" t="s">
        <v>4154</v>
      </c>
      <c r="G1551" s="3"/>
      <c r="H1551" s="4" t="s">
        <v>1095</v>
      </c>
    </row>
    <row r="1552" ht="16.5" customHeight="1" spans="1:8">
      <c r="A1552" s="3">
        <v>1551</v>
      </c>
      <c r="B1552" s="3" t="s">
        <v>4271</v>
      </c>
      <c r="C1552" s="3" t="s">
        <v>2163</v>
      </c>
      <c r="D1552" s="4" t="s">
        <v>4272</v>
      </c>
      <c r="E1552" s="3" t="s">
        <v>1076</v>
      </c>
      <c r="F1552" s="3" t="s">
        <v>4154</v>
      </c>
      <c r="G1552" s="3"/>
      <c r="H1552" s="4" t="s">
        <v>1368</v>
      </c>
    </row>
    <row r="1553" ht="16.5" customHeight="1" spans="1:8">
      <c r="A1553" s="3">
        <v>1552</v>
      </c>
      <c r="B1553" s="3" t="s">
        <v>4273</v>
      </c>
      <c r="C1553" s="3" t="s">
        <v>2163</v>
      </c>
      <c r="D1553" s="4" t="s">
        <v>4274</v>
      </c>
      <c r="E1553" s="3" t="s">
        <v>1076</v>
      </c>
      <c r="F1553" s="3" t="s">
        <v>4154</v>
      </c>
      <c r="G1553" s="3"/>
      <c r="H1553" s="4" t="s">
        <v>1368</v>
      </c>
    </row>
    <row r="1554" ht="16.5" customHeight="1" spans="1:8">
      <c r="A1554" s="3">
        <v>1553</v>
      </c>
      <c r="B1554" s="3" t="s">
        <v>4275</v>
      </c>
      <c r="C1554" s="3" t="s">
        <v>1356</v>
      </c>
      <c r="D1554" s="4" t="s">
        <v>4276</v>
      </c>
      <c r="E1554" s="3" t="s">
        <v>1076</v>
      </c>
      <c r="F1554" s="3" t="s">
        <v>2105</v>
      </c>
      <c r="G1554" s="3"/>
      <c r="H1554" s="4" t="s">
        <v>1308</v>
      </c>
    </row>
    <row r="1555" ht="16.5" customHeight="1" spans="1:8">
      <c r="A1555" s="3">
        <v>1554</v>
      </c>
      <c r="B1555" s="3" t="s">
        <v>4277</v>
      </c>
      <c r="C1555" s="3" t="s">
        <v>1356</v>
      </c>
      <c r="D1555" s="4" t="s">
        <v>4278</v>
      </c>
      <c r="E1555" s="3" t="s">
        <v>1076</v>
      </c>
      <c r="F1555" s="3" t="s">
        <v>2105</v>
      </c>
      <c r="G1555" s="3" t="s">
        <v>321</v>
      </c>
      <c r="H1555" s="4" t="s">
        <v>1095</v>
      </c>
    </row>
    <row r="1556" ht="16.5" customHeight="1" spans="1:8">
      <c r="A1556" s="3">
        <v>1555</v>
      </c>
      <c r="B1556" s="3" t="s">
        <v>4279</v>
      </c>
      <c r="C1556" s="3" t="s">
        <v>2163</v>
      </c>
      <c r="D1556" s="4" t="s">
        <v>4280</v>
      </c>
      <c r="E1556" s="3" t="s">
        <v>2263</v>
      </c>
      <c r="F1556" s="3" t="s">
        <v>4154</v>
      </c>
      <c r="G1556" s="3"/>
      <c r="H1556" s="4" t="s">
        <v>1368</v>
      </c>
    </row>
    <row r="1557" ht="16.5" customHeight="1" spans="1:8">
      <c r="A1557" s="3">
        <v>1556</v>
      </c>
      <c r="B1557" s="3" t="s">
        <v>4281</v>
      </c>
      <c r="C1557" s="3" t="s">
        <v>2163</v>
      </c>
      <c r="D1557" s="4" t="s">
        <v>4282</v>
      </c>
      <c r="E1557" s="3" t="s">
        <v>1076</v>
      </c>
      <c r="F1557" s="3" t="s">
        <v>4154</v>
      </c>
      <c r="G1557" s="3"/>
      <c r="H1557" s="4" t="s">
        <v>1368</v>
      </c>
    </row>
    <row r="1558" ht="16.5" customHeight="1" spans="1:8">
      <c r="A1558" s="3">
        <v>1557</v>
      </c>
      <c r="B1558" s="3" t="s">
        <v>4283</v>
      </c>
      <c r="C1558" s="3" t="s">
        <v>2163</v>
      </c>
      <c r="D1558" s="4" t="s">
        <v>4284</v>
      </c>
      <c r="E1558" s="3" t="s">
        <v>2263</v>
      </c>
      <c r="F1558" s="3" t="s">
        <v>4154</v>
      </c>
      <c r="G1558" s="3"/>
      <c r="H1558" s="4" t="s">
        <v>1368</v>
      </c>
    </row>
    <row r="1559" ht="16.5" customHeight="1" spans="1:8">
      <c r="A1559" s="3">
        <v>1558</v>
      </c>
      <c r="B1559" s="3" t="s">
        <v>4285</v>
      </c>
      <c r="C1559" s="3" t="s">
        <v>2163</v>
      </c>
      <c r="D1559" s="4" t="s">
        <v>4286</v>
      </c>
      <c r="E1559" s="3" t="s">
        <v>1076</v>
      </c>
      <c r="F1559" s="3" t="s">
        <v>4154</v>
      </c>
      <c r="G1559" s="3"/>
      <c r="H1559" s="4" t="s">
        <v>1095</v>
      </c>
    </row>
    <row r="1560" ht="16.5" customHeight="1" spans="1:8">
      <c r="A1560" s="3">
        <v>1559</v>
      </c>
      <c r="B1560" s="3" t="s">
        <v>4287</v>
      </c>
      <c r="C1560" s="3" t="s">
        <v>2163</v>
      </c>
      <c r="D1560" s="4" t="s">
        <v>4288</v>
      </c>
      <c r="E1560" s="3" t="s">
        <v>2263</v>
      </c>
      <c r="F1560" s="3" t="s">
        <v>4154</v>
      </c>
      <c r="G1560" s="3"/>
      <c r="H1560" s="4" t="s">
        <v>1368</v>
      </c>
    </row>
    <row r="1561" ht="16.5" customHeight="1" spans="1:8">
      <c r="A1561" s="3">
        <v>1560</v>
      </c>
      <c r="B1561" s="3" t="s">
        <v>4289</v>
      </c>
      <c r="C1561" s="3" t="s">
        <v>2163</v>
      </c>
      <c r="D1561" s="4" t="s">
        <v>4290</v>
      </c>
      <c r="E1561" s="3" t="s">
        <v>2263</v>
      </c>
      <c r="F1561" s="3" t="s">
        <v>4154</v>
      </c>
      <c r="G1561" s="3"/>
      <c r="H1561" s="4" t="s">
        <v>1368</v>
      </c>
    </row>
    <row r="1562" ht="16.5" customHeight="1" spans="1:8">
      <c r="A1562" s="3">
        <v>1561</v>
      </c>
      <c r="B1562" s="3" t="s">
        <v>4291</v>
      </c>
      <c r="C1562" s="3" t="s">
        <v>2163</v>
      </c>
      <c r="D1562" s="4" t="s">
        <v>4292</v>
      </c>
      <c r="E1562" s="3" t="s">
        <v>2263</v>
      </c>
      <c r="F1562" s="3" t="s">
        <v>4154</v>
      </c>
      <c r="G1562" s="3"/>
      <c r="H1562" s="4" t="s">
        <v>1368</v>
      </c>
    </row>
    <row r="1563" ht="16.5" customHeight="1" spans="1:8">
      <c r="A1563" s="3">
        <v>1562</v>
      </c>
      <c r="B1563" s="3" t="s">
        <v>4293</v>
      </c>
      <c r="C1563" s="3" t="s">
        <v>1356</v>
      </c>
      <c r="D1563" s="4" t="s">
        <v>4294</v>
      </c>
      <c r="E1563" s="3" t="s">
        <v>1076</v>
      </c>
      <c r="F1563" s="3" t="s">
        <v>4154</v>
      </c>
      <c r="G1563" s="3"/>
      <c r="H1563" s="4" t="s">
        <v>4198</v>
      </c>
    </row>
    <row r="1564" ht="16.5" customHeight="1" spans="1:8">
      <c r="A1564" s="3">
        <v>1563</v>
      </c>
      <c r="B1564" s="3" t="s">
        <v>4295</v>
      </c>
      <c r="C1564" s="3" t="s">
        <v>1356</v>
      </c>
      <c r="D1564" s="4" t="s">
        <v>4296</v>
      </c>
      <c r="E1564" s="3" t="s">
        <v>1076</v>
      </c>
      <c r="F1564" s="3" t="s">
        <v>2105</v>
      </c>
      <c r="G1564" s="3" t="s">
        <v>321</v>
      </c>
      <c r="H1564" s="4" t="s">
        <v>1095</v>
      </c>
    </row>
    <row r="1565" ht="16.5" customHeight="1" spans="1:8">
      <c r="A1565" s="3">
        <v>1564</v>
      </c>
      <c r="B1565" s="3" t="s">
        <v>4297</v>
      </c>
      <c r="C1565" s="3" t="s">
        <v>1356</v>
      </c>
      <c r="D1565" s="4" t="s">
        <v>4298</v>
      </c>
      <c r="E1565" s="3" t="s">
        <v>1076</v>
      </c>
      <c r="F1565" s="3" t="s">
        <v>2105</v>
      </c>
      <c r="G1565" s="3" t="s">
        <v>321</v>
      </c>
      <c r="H1565" s="4" t="s">
        <v>3463</v>
      </c>
    </row>
    <row r="1566" ht="16.5" customHeight="1" spans="1:8">
      <c r="A1566" s="3">
        <v>1565</v>
      </c>
      <c r="B1566" s="3" t="s">
        <v>4299</v>
      </c>
      <c r="C1566" s="3" t="s">
        <v>2163</v>
      </c>
      <c r="D1566" s="4" t="s">
        <v>4300</v>
      </c>
      <c r="E1566" s="3" t="s">
        <v>2263</v>
      </c>
      <c r="F1566" s="3" t="s">
        <v>4154</v>
      </c>
      <c r="G1566" s="3"/>
      <c r="H1566" s="4" t="s">
        <v>1368</v>
      </c>
    </row>
    <row r="1567" ht="16.5" customHeight="1" spans="1:8">
      <c r="A1567" s="3">
        <v>1566</v>
      </c>
      <c r="B1567" s="3" t="s">
        <v>4301</v>
      </c>
      <c r="C1567" s="3" t="s">
        <v>1105</v>
      </c>
      <c r="D1567" s="4" t="s">
        <v>4302</v>
      </c>
      <c r="E1567" s="3" t="s">
        <v>1076</v>
      </c>
      <c r="F1567" s="3" t="s">
        <v>4120</v>
      </c>
      <c r="G1567" s="3"/>
      <c r="H1567" s="4" t="s">
        <v>4121</v>
      </c>
    </row>
    <row r="1568" ht="16.5" customHeight="1" spans="1:8">
      <c r="A1568" s="3">
        <v>1567</v>
      </c>
      <c r="B1568" s="3" t="s">
        <v>4303</v>
      </c>
      <c r="C1568" s="3" t="s">
        <v>2163</v>
      </c>
      <c r="D1568" s="4" t="s">
        <v>4304</v>
      </c>
      <c r="E1568" s="3" t="s">
        <v>1076</v>
      </c>
      <c r="F1568" s="3" t="s">
        <v>2105</v>
      </c>
      <c r="G1568" s="3" t="s">
        <v>321</v>
      </c>
      <c r="H1568" s="4" t="s">
        <v>1095</v>
      </c>
    </row>
    <row r="1569" ht="16.5" customHeight="1" spans="1:8">
      <c r="A1569" s="3">
        <v>1568</v>
      </c>
      <c r="B1569" s="3" t="s">
        <v>4305</v>
      </c>
      <c r="C1569" s="3" t="s">
        <v>2163</v>
      </c>
      <c r="D1569" s="4" t="s">
        <v>4306</v>
      </c>
      <c r="E1569" s="3" t="s">
        <v>1076</v>
      </c>
      <c r="F1569" s="3" t="s">
        <v>2105</v>
      </c>
      <c r="G1569" s="3" t="s">
        <v>321</v>
      </c>
      <c r="H1569" s="4" t="s">
        <v>1368</v>
      </c>
    </row>
    <row r="1570" ht="16.5" customHeight="1" spans="1:8">
      <c r="A1570" s="3">
        <v>1569</v>
      </c>
      <c r="B1570" s="3" t="s">
        <v>4307</v>
      </c>
      <c r="C1570" s="3" t="s">
        <v>2163</v>
      </c>
      <c r="D1570" s="4" t="s">
        <v>4308</v>
      </c>
      <c r="E1570" s="3" t="s">
        <v>1076</v>
      </c>
      <c r="F1570" s="3" t="s">
        <v>2105</v>
      </c>
      <c r="G1570" s="3" t="s">
        <v>321</v>
      </c>
      <c r="H1570" s="4" t="s">
        <v>1305</v>
      </c>
    </row>
    <row r="1571" ht="16.5" customHeight="1" spans="1:8">
      <c r="A1571" s="3">
        <v>1570</v>
      </c>
      <c r="B1571" s="3" t="s">
        <v>4309</v>
      </c>
      <c r="C1571" s="3" t="s">
        <v>1099</v>
      </c>
      <c r="D1571" s="4" t="s">
        <v>4310</v>
      </c>
      <c r="E1571" s="3" t="s">
        <v>1164</v>
      </c>
      <c r="F1571" s="3" t="s">
        <v>1736</v>
      </c>
      <c r="G1571" s="3" t="s">
        <v>98</v>
      </c>
      <c r="H1571" s="4"/>
    </row>
    <row r="1572" ht="16.5" customHeight="1" spans="1:8">
      <c r="A1572" s="3">
        <v>1571</v>
      </c>
      <c r="B1572" s="3" t="s">
        <v>4311</v>
      </c>
      <c r="C1572" s="3" t="s">
        <v>1356</v>
      </c>
      <c r="D1572" s="4" t="s">
        <v>4312</v>
      </c>
      <c r="E1572" s="3" t="s">
        <v>1164</v>
      </c>
      <c r="F1572" s="3" t="s">
        <v>1736</v>
      </c>
      <c r="G1572" s="3"/>
      <c r="H1572" s="4" t="s">
        <v>4313</v>
      </c>
    </row>
    <row r="1573" ht="16.5" customHeight="1" spans="1:8">
      <c r="A1573" s="3">
        <v>1572</v>
      </c>
      <c r="B1573" s="3" t="s">
        <v>4314</v>
      </c>
      <c r="C1573" s="3" t="s">
        <v>1356</v>
      </c>
      <c r="D1573" s="4" t="s">
        <v>4315</v>
      </c>
      <c r="E1573" s="3" t="s">
        <v>1164</v>
      </c>
      <c r="F1573" s="3" t="s">
        <v>1736</v>
      </c>
      <c r="G1573" s="3"/>
      <c r="H1573" s="4" t="s">
        <v>4313</v>
      </c>
    </row>
    <row r="1574" ht="16.5" customHeight="1" spans="1:8">
      <c r="A1574" s="3">
        <v>1573</v>
      </c>
      <c r="B1574" s="3" t="s">
        <v>4316</v>
      </c>
      <c r="C1574" s="3" t="s">
        <v>1356</v>
      </c>
      <c r="D1574" s="4" t="s">
        <v>4317</v>
      </c>
      <c r="E1574" s="3" t="s">
        <v>1076</v>
      </c>
      <c r="F1574" s="3" t="s">
        <v>1736</v>
      </c>
      <c r="G1574" s="3"/>
      <c r="H1574" s="4" t="s">
        <v>4313</v>
      </c>
    </row>
    <row r="1575" ht="16.5" customHeight="1" spans="1:8">
      <c r="A1575" s="3">
        <v>1574</v>
      </c>
      <c r="B1575" s="3" t="s">
        <v>4318</v>
      </c>
      <c r="C1575" s="3" t="s">
        <v>1356</v>
      </c>
      <c r="D1575" s="4" t="s">
        <v>4319</v>
      </c>
      <c r="E1575" s="3" t="s">
        <v>1076</v>
      </c>
      <c r="F1575" s="3" t="s">
        <v>1736</v>
      </c>
      <c r="G1575" s="3"/>
      <c r="H1575" s="4" t="s">
        <v>4313</v>
      </c>
    </row>
    <row r="1576" ht="16.5" customHeight="1" spans="1:8">
      <c r="A1576" s="3">
        <v>1575</v>
      </c>
      <c r="B1576" s="3" t="s">
        <v>4320</v>
      </c>
      <c r="C1576" s="3" t="s">
        <v>1356</v>
      </c>
      <c r="D1576" s="4" t="s">
        <v>4321</v>
      </c>
      <c r="E1576" s="3" t="s">
        <v>1076</v>
      </c>
      <c r="F1576" s="3" t="s">
        <v>1736</v>
      </c>
      <c r="G1576" s="3"/>
      <c r="H1576" s="4" t="s">
        <v>4322</v>
      </c>
    </row>
    <row r="1577" ht="16.5" customHeight="1" spans="1:8">
      <c r="A1577" s="3">
        <v>1576</v>
      </c>
      <c r="B1577" s="3" t="s">
        <v>4323</v>
      </c>
      <c r="C1577" s="3" t="s">
        <v>1356</v>
      </c>
      <c r="D1577" s="4" t="s">
        <v>4324</v>
      </c>
      <c r="E1577" s="3" t="s">
        <v>1076</v>
      </c>
      <c r="F1577" s="3" t="s">
        <v>1736</v>
      </c>
      <c r="G1577" s="3"/>
      <c r="H1577" s="4" t="s">
        <v>4313</v>
      </c>
    </row>
    <row r="1578" ht="16.5" customHeight="1" spans="1:8">
      <c r="A1578" s="3">
        <v>1577</v>
      </c>
      <c r="B1578" s="3" t="s">
        <v>4325</v>
      </c>
      <c r="C1578" s="3" t="s">
        <v>1356</v>
      </c>
      <c r="D1578" s="4" t="s">
        <v>4326</v>
      </c>
      <c r="E1578" s="3" t="s">
        <v>1164</v>
      </c>
      <c r="F1578" s="3" t="s">
        <v>1736</v>
      </c>
      <c r="G1578" s="3"/>
      <c r="H1578" s="4" t="s">
        <v>4313</v>
      </c>
    </row>
    <row r="1579" ht="16.5" customHeight="1" spans="1:8">
      <c r="A1579" s="3">
        <v>1578</v>
      </c>
      <c r="B1579" s="3" t="s">
        <v>4327</v>
      </c>
      <c r="C1579" s="3" t="s">
        <v>1356</v>
      </c>
      <c r="D1579" s="4" t="s">
        <v>4328</v>
      </c>
      <c r="E1579" s="3" t="s">
        <v>1076</v>
      </c>
      <c r="F1579" s="3" t="s">
        <v>1736</v>
      </c>
      <c r="G1579" s="3"/>
      <c r="H1579" s="4" t="s">
        <v>4313</v>
      </c>
    </row>
    <row r="1580" ht="16.5" customHeight="1" spans="1:8">
      <c r="A1580" s="3">
        <v>1579</v>
      </c>
      <c r="B1580" s="3" t="s">
        <v>4329</v>
      </c>
      <c r="C1580" s="3" t="s">
        <v>2163</v>
      </c>
      <c r="D1580" s="4" t="s">
        <v>4330</v>
      </c>
      <c r="E1580" s="3" t="s">
        <v>1076</v>
      </c>
      <c r="F1580" s="3" t="s">
        <v>4331</v>
      </c>
      <c r="G1580" s="3" t="s">
        <v>321</v>
      </c>
      <c r="H1580" s="4" t="s">
        <v>1308</v>
      </c>
    </row>
    <row r="1581" ht="16.5" customHeight="1" spans="1:8">
      <c r="A1581" s="3">
        <v>1580</v>
      </c>
      <c r="B1581" s="3" t="s">
        <v>4332</v>
      </c>
      <c r="C1581" s="3" t="s">
        <v>2163</v>
      </c>
      <c r="D1581" s="4" t="s">
        <v>4333</v>
      </c>
      <c r="E1581" s="3" t="s">
        <v>2263</v>
      </c>
      <c r="F1581" s="3" t="s">
        <v>4154</v>
      </c>
      <c r="G1581" s="3"/>
      <c r="H1581" s="4" t="s">
        <v>1095</v>
      </c>
    </row>
    <row r="1582" ht="16.5" customHeight="1" spans="1:8">
      <c r="A1582" s="3">
        <v>1581</v>
      </c>
      <c r="B1582" s="3" t="s">
        <v>4334</v>
      </c>
      <c r="C1582" s="3" t="s">
        <v>2163</v>
      </c>
      <c r="D1582" s="4" t="s">
        <v>4335</v>
      </c>
      <c r="E1582" s="3" t="s">
        <v>2263</v>
      </c>
      <c r="F1582" s="3" t="s">
        <v>4336</v>
      </c>
      <c r="G1582" s="3"/>
      <c r="H1582" s="4" t="s">
        <v>1095</v>
      </c>
    </row>
    <row r="1583" ht="16.5" customHeight="1" spans="1:8">
      <c r="A1583" s="3">
        <v>1582</v>
      </c>
      <c r="B1583" s="3" t="s">
        <v>4337</v>
      </c>
      <c r="C1583" s="3" t="s">
        <v>1356</v>
      </c>
      <c r="D1583" s="4" t="s">
        <v>4338</v>
      </c>
      <c r="E1583" s="3" t="s">
        <v>1076</v>
      </c>
      <c r="F1583" s="3" t="s">
        <v>2105</v>
      </c>
      <c r="G1583" s="3" t="s">
        <v>321</v>
      </c>
      <c r="H1583" s="4" t="s">
        <v>1359</v>
      </c>
    </row>
    <row r="1584" ht="16.5" customHeight="1" spans="1:8">
      <c r="A1584" s="3">
        <v>1583</v>
      </c>
      <c r="B1584" s="3" t="s">
        <v>4339</v>
      </c>
      <c r="C1584" s="3" t="s">
        <v>2163</v>
      </c>
      <c r="D1584" s="4" t="s">
        <v>4340</v>
      </c>
      <c r="E1584" s="3" t="s">
        <v>1076</v>
      </c>
      <c r="F1584" s="3" t="s">
        <v>4331</v>
      </c>
      <c r="G1584" s="3"/>
      <c r="H1584" s="4" t="s">
        <v>1308</v>
      </c>
    </row>
    <row r="1585" ht="16.5" customHeight="1" spans="1:8">
      <c r="A1585" s="3">
        <v>1584</v>
      </c>
      <c r="B1585" s="3" t="s">
        <v>4341</v>
      </c>
      <c r="C1585" s="3" t="s">
        <v>1074</v>
      </c>
      <c r="D1585" s="4" t="s">
        <v>4342</v>
      </c>
      <c r="E1585" s="3" t="s">
        <v>1076</v>
      </c>
      <c r="F1585" s="3" t="s">
        <v>4110</v>
      </c>
      <c r="G1585" s="3"/>
      <c r="H1585" s="4"/>
    </row>
    <row r="1586" ht="16.5" customHeight="1" spans="1:8">
      <c r="A1586" s="3">
        <v>1585</v>
      </c>
      <c r="B1586" s="3" t="s">
        <v>4343</v>
      </c>
      <c r="C1586" s="3" t="s">
        <v>2163</v>
      </c>
      <c r="D1586" s="4" t="s">
        <v>4344</v>
      </c>
      <c r="E1586" s="3" t="s">
        <v>2263</v>
      </c>
      <c r="F1586" s="3" t="s">
        <v>2105</v>
      </c>
      <c r="G1586" s="3"/>
      <c r="H1586" s="4" t="s">
        <v>2181</v>
      </c>
    </row>
    <row r="1587" ht="16.5" customHeight="1" spans="1:8">
      <c r="A1587" s="3">
        <v>1586</v>
      </c>
      <c r="B1587" s="3" t="s">
        <v>4345</v>
      </c>
      <c r="C1587" s="3" t="s">
        <v>2163</v>
      </c>
      <c r="D1587" s="4" t="s">
        <v>4346</v>
      </c>
      <c r="E1587" s="3" t="s">
        <v>1076</v>
      </c>
      <c r="F1587" s="3" t="s">
        <v>2041</v>
      </c>
      <c r="G1587" s="3" t="s">
        <v>321</v>
      </c>
      <c r="H1587" s="4" t="s">
        <v>1095</v>
      </c>
    </row>
    <row r="1588" ht="16.5" customHeight="1" spans="1:8">
      <c r="A1588" s="3">
        <v>1587</v>
      </c>
      <c r="B1588" s="3" t="s">
        <v>4347</v>
      </c>
      <c r="C1588" s="3" t="s">
        <v>2163</v>
      </c>
      <c r="D1588" s="4" t="s">
        <v>4348</v>
      </c>
      <c r="E1588" s="3" t="s">
        <v>1076</v>
      </c>
      <c r="F1588" s="3" t="s">
        <v>2105</v>
      </c>
      <c r="G1588" s="3" t="s">
        <v>321</v>
      </c>
      <c r="H1588" s="4" t="s">
        <v>1368</v>
      </c>
    </row>
    <row r="1589" ht="16.5" customHeight="1" spans="1:8">
      <c r="A1589" s="3">
        <v>1588</v>
      </c>
      <c r="B1589" s="3" t="s">
        <v>4349</v>
      </c>
      <c r="C1589" s="3" t="s">
        <v>2163</v>
      </c>
      <c r="D1589" s="4" t="s">
        <v>4350</v>
      </c>
      <c r="E1589" s="3" t="s">
        <v>1076</v>
      </c>
      <c r="F1589" s="3" t="s">
        <v>2041</v>
      </c>
      <c r="G1589" s="3"/>
      <c r="H1589" s="4" t="s">
        <v>1095</v>
      </c>
    </row>
    <row r="1590" ht="16.5" customHeight="1" spans="1:8">
      <c r="A1590" s="3">
        <v>1589</v>
      </c>
      <c r="B1590" s="3" t="s">
        <v>4351</v>
      </c>
      <c r="C1590" s="3" t="s">
        <v>2163</v>
      </c>
      <c r="D1590" s="4" t="s">
        <v>4352</v>
      </c>
      <c r="E1590" s="3" t="s">
        <v>1076</v>
      </c>
      <c r="F1590" s="3" t="s">
        <v>2105</v>
      </c>
      <c r="G1590" s="3" t="s">
        <v>321</v>
      </c>
      <c r="H1590" s="4" t="s">
        <v>1359</v>
      </c>
    </row>
    <row r="1591" ht="16.5" customHeight="1" spans="1:8">
      <c r="A1591" s="3">
        <v>1590</v>
      </c>
      <c r="B1591" s="3" t="s">
        <v>4353</v>
      </c>
      <c r="C1591" s="3" t="s">
        <v>1105</v>
      </c>
      <c r="D1591" s="4" t="s">
        <v>4354</v>
      </c>
      <c r="E1591" s="3" t="s">
        <v>1076</v>
      </c>
      <c r="F1591" s="3" t="s">
        <v>1736</v>
      </c>
      <c r="G1591" s="3"/>
      <c r="H1591" s="4" t="s">
        <v>4355</v>
      </c>
    </row>
    <row r="1592" ht="16.5" customHeight="1" spans="1:8">
      <c r="A1592" s="3">
        <v>1591</v>
      </c>
      <c r="B1592" s="3" t="s">
        <v>4356</v>
      </c>
      <c r="C1592" s="3" t="s">
        <v>1074</v>
      </c>
      <c r="D1592" s="4" t="s">
        <v>4357</v>
      </c>
      <c r="E1592" s="3" t="s">
        <v>1076</v>
      </c>
      <c r="F1592" s="3" t="s">
        <v>1736</v>
      </c>
      <c r="G1592" s="3"/>
      <c r="H1592" s="4" t="s">
        <v>1368</v>
      </c>
    </row>
    <row r="1593" ht="16.5" customHeight="1" spans="1:8">
      <c r="A1593" s="3">
        <v>1592</v>
      </c>
      <c r="B1593" s="3" t="s">
        <v>4358</v>
      </c>
      <c r="C1593" s="3" t="s">
        <v>1105</v>
      </c>
      <c r="D1593" s="4" t="s">
        <v>4359</v>
      </c>
      <c r="E1593" s="3" t="s">
        <v>1076</v>
      </c>
      <c r="F1593" s="3" t="s">
        <v>1736</v>
      </c>
      <c r="G1593" s="3"/>
      <c r="H1593" s="4" t="s">
        <v>4360</v>
      </c>
    </row>
    <row r="1594" ht="16.5" customHeight="1" spans="1:8">
      <c r="A1594" s="3">
        <v>1593</v>
      </c>
      <c r="B1594" s="3" t="s">
        <v>4361</v>
      </c>
      <c r="C1594" s="3" t="s">
        <v>1105</v>
      </c>
      <c r="D1594" s="4" t="s">
        <v>4362</v>
      </c>
      <c r="E1594" s="3" t="s">
        <v>1076</v>
      </c>
      <c r="F1594" s="3" t="s">
        <v>1736</v>
      </c>
      <c r="G1594" s="3"/>
      <c r="H1594" s="4" t="s">
        <v>4360</v>
      </c>
    </row>
    <row r="1595" ht="16.5" customHeight="1" spans="1:8">
      <c r="A1595" s="3">
        <v>1594</v>
      </c>
      <c r="B1595" s="3" t="s">
        <v>4363</v>
      </c>
      <c r="C1595" s="3" t="s">
        <v>1105</v>
      </c>
      <c r="D1595" s="4" t="s">
        <v>4139</v>
      </c>
      <c r="E1595" s="3" t="s">
        <v>1076</v>
      </c>
      <c r="F1595" s="3" t="s">
        <v>1736</v>
      </c>
      <c r="G1595" s="3"/>
      <c r="H1595" s="4" t="s">
        <v>4360</v>
      </c>
    </row>
    <row r="1596" ht="16.5" customHeight="1" spans="1:8">
      <c r="A1596" s="3">
        <v>1595</v>
      </c>
      <c r="B1596" s="3" t="s">
        <v>4364</v>
      </c>
      <c r="C1596" s="3" t="s">
        <v>1074</v>
      </c>
      <c r="D1596" s="4" t="s">
        <v>4365</v>
      </c>
      <c r="E1596" s="3" t="s">
        <v>1076</v>
      </c>
      <c r="F1596" s="3" t="s">
        <v>1736</v>
      </c>
      <c r="G1596" s="3"/>
      <c r="H1596" s="4" t="s">
        <v>1359</v>
      </c>
    </row>
    <row r="1597" ht="16.5" customHeight="1" spans="1:8">
      <c r="A1597" s="3">
        <v>1596</v>
      </c>
      <c r="B1597" s="3" t="s">
        <v>4366</v>
      </c>
      <c r="C1597" s="3" t="s">
        <v>2163</v>
      </c>
      <c r="D1597" s="4" t="s">
        <v>4367</v>
      </c>
      <c r="E1597" s="3" t="s">
        <v>1076</v>
      </c>
      <c r="F1597" s="3" t="s">
        <v>2041</v>
      </c>
      <c r="G1597" s="3" t="s">
        <v>321</v>
      </c>
      <c r="H1597" s="4" t="s">
        <v>1095</v>
      </c>
    </row>
    <row r="1598" ht="16.5" customHeight="1" spans="1:8">
      <c r="A1598" s="3">
        <v>1597</v>
      </c>
      <c r="B1598" s="3" t="s">
        <v>4368</v>
      </c>
      <c r="C1598" s="3" t="s">
        <v>4369</v>
      </c>
      <c r="D1598" s="4" t="s">
        <v>4370</v>
      </c>
      <c r="E1598" s="3" t="s">
        <v>1218</v>
      </c>
      <c r="F1598" s="3" t="s">
        <v>4371</v>
      </c>
      <c r="G1598" s="3"/>
      <c r="H1598" s="4"/>
    </row>
    <row r="1599" ht="16.5" customHeight="1" spans="1:8">
      <c r="A1599" s="3">
        <v>1598</v>
      </c>
      <c r="B1599" s="3" t="s">
        <v>4372</v>
      </c>
      <c r="C1599" s="3" t="s">
        <v>4373</v>
      </c>
      <c r="D1599" s="4" t="s">
        <v>4374</v>
      </c>
      <c r="E1599" s="3" t="s">
        <v>1218</v>
      </c>
      <c r="F1599" s="3" t="s">
        <v>4371</v>
      </c>
      <c r="G1599" s="3"/>
      <c r="H1599" s="4" t="s">
        <v>4375</v>
      </c>
    </row>
    <row r="1600" ht="16.5" customHeight="1" spans="1:8">
      <c r="A1600" s="3">
        <v>1599</v>
      </c>
      <c r="B1600" s="3" t="s">
        <v>4376</v>
      </c>
      <c r="C1600" s="3" t="s">
        <v>4373</v>
      </c>
      <c r="D1600" s="4" t="s">
        <v>4377</v>
      </c>
      <c r="E1600" s="3" t="s">
        <v>1218</v>
      </c>
      <c r="F1600" s="3" t="s">
        <v>4371</v>
      </c>
      <c r="G1600" s="3"/>
      <c r="H1600" s="4" t="s">
        <v>4375</v>
      </c>
    </row>
    <row r="1601" ht="16.5" customHeight="1" spans="1:8">
      <c r="A1601" s="3">
        <v>1600</v>
      </c>
      <c r="B1601" s="3" t="s">
        <v>4378</v>
      </c>
      <c r="C1601" s="3" t="s">
        <v>4373</v>
      </c>
      <c r="D1601" s="4" t="s">
        <v>4379</v>
      </c>
      <c r="E1601" s="3" t="s">
        <v>1218</v>
      </c>
      <c r="F1601" s="3" t="s">
        <v>4371</v>
      </c>
      <c r="G1601" s="3"/>
      <c r="H1601" s="4" t="s">
        <v>4375</v>
      </c>
    </row>
    <row r="1602" ht="16.5" customHeight="1" spans="1:8">
      <c r="A1602" s="3">
        <v>1601</v>
      </c>
      <c r="B1602" s="3" t="s">
        <v>4380</v>
      </c>
      <c r="C1602" s="3" t="s">
        <v>4373</v>
      </c>
      <c r="D1602" s="4" t="s">
        <v>4381</v>
      </c>
      <c r="E1602" s="3" t="s">
        <v>1218</v>
      </c>
      <c r="F1602" s="3" t="s">
        <v>4371</v>
      </c>
      <c r="G1602" s="3"/>
      <c r="H1602" s="4" t="s">
        <v>4375</v>
      </c>
    </row>
    <row r="1603" ht="16.5" customHeight="1" spans="1:8">
      <c r="A1603" s="3">
        <v>1602</v>
      </c>
      <c r="B1603" s="3" t="s">
        <v>4382</v>
      </c>
      <c r="C1603" s="3" t="s">
        <v>4373</v>
      </c>
      <c r="D1603" s="4" t="s">
        <v>4383</v>
      </c>
      <c r="E1603" s="3" t="s">
        <v>1218</v>
      </c>
      <c r="F1603" s="3" t="s">
        <v>4371</v>
      </c>
      <c r="G1603" s="3"/>
      <c r="H1603" s="4" t="s">
        <v>4375</v>
      </c>
    </row>
    <row r="1604" ht="16.5" customHeight="1" spans="1:8">
      <c r="A1604" s="3">
        <v>1603</v>
      </c>
      <c r="B1604" s="3" t="s">
        <v>4384</v>
      </c>
      <c r="C1604" s="3" t="s">
        <v>4373</v>
      </c>
      <c r="D1604" s="4" t="s">
        <v>4385</v>
      </c>
      <c r="E1604" s="3" t="s">
        <v>1218</v>
      </c>
      <c r="F1604" s="3" t="s">
        <v>4371</v>
      </c>
      <c r="G1604" s="3"/>
      <c r="H1604" s="4" t="s">
        <v>4375</v>
      </c>
    </row>
    <row r="1605" ht="16.5" customHeight="1" spans="1:8">
      <c r="A1605" s="3">
        <v>1604</v>
      </c>
      <c r="B1605" s="3" t="s">
        <v>4386</v>
      </c>
      <c r="C1605" s="3" t="s">
        <v>4373</v>
      </c>
      <c r="D1605" s="4" t="s">
        <v>4387</v>
      </c>
      <c r="E1605" s="3" t="s">
        <v>1218</v>
      </c>
      <c r="F1605" s="3" t="s">
        <v>4371</v>
      </c>
      <c r="G1605" s="3"/>
      <c r="H1605" s="4" t="s">
        <v>4375</v>
      </c>
    </row>
    <row r="1606" ht="16.5" customHeight="1" spans="1:8">
      <c r="A1606" s="3">
        <v>1605</v>
      </c>
      <c r="B1606" s="3" t="s">
        <v>4388</v>
      </c>
      <c r="C1606" s="3" t="s">
        <v>4373</v>
      </c>
      <c r="D1606" s="4" t="s">
        <v>4389</v>
      </c>
      <c r="E1606" s="3" t="s">
        <v>1218</v>
      </c>
      <c r="F1606" s="3" t="s">
        <v>4371</v>
      </c>
      <c r="G1606" s="3"/>
      <c r="H1606" s="4" t="s">
        <v>4375</v>
      </c>
    </row>
    <row r="1607" ht="16.5" customHeight="1" spans="1:8">
      <c r="A1607" s="3">
        <v>1606</v>
      </c>
      <c r="B1607" s="3" t="s">
        <v>4390</v>
      </c>
      <c r="C1607" s="3" t="s">
        <v>4373</v>
      </c>
      <c r="D1607" s="4" t="s">
        <v>4391</v>
      </c>
      <c r="E1607" s="3" t="s">
        <v>1218</v>
      </c>
      <c r="F1607" s="3" t="s">
        <v>4371</v>
      </c>
      <c r="G1607" s="3"/>
      <c r="H1607" s="4" t="s">
        <v>4375</v>
      </c>
    </row>
    <row r="1608" ht="16.5" customHeight="1" spans="1:8">
      <c r="A1608" s="3">
        <v>1607</v>
      </c>
      <c r="B1608" s="3" t="s">
        <v>4392</v>
      </c>
      <c r="C1608" s="3" t="s">
        <v>4373</v>
      </c>
      <c r="D1608" s="4" t="s">
        <v>4393</v>
      </c>
      <c r="E1608" s="3" t="s">
        <v>1218</v>
      </c>
      <c r="F1608" s="3" t="s">
        <v>4371</v>
      </c>
      <c r="G1608" s="3"/>
      <c r="H1608" s="4" t="s">
        <v>4375</v>
      </c>
    </row>
    <row r="1609" ht="16.5" customHeight="1" spans="1:8">
      <c r="A1609" s="3">
        <v>1608</v>
      </c>
      <c r="B1609" s="3" t="s">
        <v>4394</v>
      </c>
      <c r="C1609" s="3" t="s">
        <v>4373</v>
      </c>
      <c r="D1609" s="4" t="s">
        <v>4395</v>
      </c>
      <c r="E1609" s="3" t="s">
        <v>1218</v>
      </c>
      <c r="F1609" s="3" t="s">
        <v>4371</v>
      </c>
      <c r="G1609" s="3"/>
      <c r="H1609" s="4" t="s">
        <v>4375</v>
      </c>
    </row>
    <row r="1610" ht="16.5" customHeight="1" spans="1:8">
      <c r="A1610" s="3">
        <v>1609</v>
      </c>
      <c r="B1610" s="3" t="s">
        <v>4396</v>
      </c>
      <c r="C1610" s="3" t="s">
        <v>4373</v>
      </c>
      <c r="D1610" s="4" t="s">
        <v>4397</v>
      </c>
      <c r="E1610" s="3" t="s">
        <v>1218</v>
      </c>
      <c r="F1610" s="3" t="s">
        <v>4371</v>
      </c>
      <c r="G1610" s="3"/>
      <c r="H1610" s="4" t="s">
        <v>4375</v>
      </c>
    </row>
    <row r="1611" ht="16.5" customHeight="1" spans="1:8">
      <c r="A1611" s="3">
        <v>1610</v>
      </c>
      <c r="B1611" s="3" t="s">
        <v>4398</v>
      </c>
      <c r="C1611" s="3" t="s">
        <v>4373</v>
      </c>
      <c r="D1611" s="4" t="s">
        <v>4399</v>
      </c>
      <c r="E1611" s="3" t="s">
        <v>1218</v>
      </c>
      <c r="F1611" s="3" t="s">
        <v>4371</v>
      </c>
      <c r="G1611" s="3"/>
      <c r="H1611" s="4" t="s">
        <v>4375</v>
      </c>
    </row>
    <row r="1612" ht="16.5" customHeight="1" spans="1:8">
      <c r="A1612" s="3">
        <v>1611</v>
      </c>
      <c r="B1612" s="3" t="s">
        <v>4400</v>
      </c>
      <c r="C1612" s="3" t="s">
        <v>4373</v>
      </c>
      <c r="D1612" s="4" t="s">
        <v>4401</v>
      </c>
      <c r="E1612" s="3" t="s">
        <v>1218</v>
      </c>
      <c r="F1612" s="3" t="s">
        <v>4371</v>
      </c>
      <c r="G1612" s="3"/>
      <c r="H1612" s="4" t="s">
        <v>4375</v>
      </c>
    </row>
    <row r="1613" ht="16.5" customHeight="1" spans="1:8">
      <c r="A1613" s="3">
        <v>1612</v>
      </c>
      <c r="B1613" s="3" t="s">
        <v>4402</v>
      </c>
      <c r="C1613" s="3" t="s">
        <v>1074</v>
      </c>
      <c r="D1613" s="4" t="s">
        <v>4403</v>
      </c>
      <c r="E1613" s="3" t="s">
        <v>1076</v>
      </c>
      <c r="F1613" s="3" t="s">
        <v>1736</v>
      </c>
      <c r="G1613" s="3"/>
      <c r="H1613" s="4" t="s">
        <v>4404</v>
      </c>
    </row>
    <row r="1614" ht="16.5" customHeight="1" spans="1:8">
      <c r="A1614" s="3">
        <v>1613</v>
      </c>
      <c r="B1614" s="3" t="s">
        <v>4405</v>
      </c>
      <c r="C1614" s="3" t="s">
        <v>1105</v>
      </c>
      <c r="D1614" s="4" t="s">
        <v>4406</v>
      </c>
      <c r="E1614" s="3" t="s">
        <v>1076</v>
      </c>
      <c r="F1614" s="3" t="s">
        <v>1736</v>
      </c>
      <c r="G1614" s="3"/>
      <c r="H1614" s="4" t="s">
        <v>4407</v>
      </c>
    </row>
    <row r="1615" ht="16.5" customHeight="1" spans="1:8">
      <c r="A1615" s="3">
        <v>1614</v>
      </c>
      <c r="B1615" s="3" t="s">
        <v>4408</v>
      </c>
      <c r="C1615" s="3" t="s">
        <v>1105</v>
      </c>
      <c r="D1615" s="4" t="s">
        <v>4409</v>
      </c>
      <c r="E1615" s="3" t="s">
        <v>1076</v>
      </c>
      <c r="F1615" s="3" t="s">
        <v>1736</v>
      </c>
      <c r="G1615" s="3"/>
      <c r="H1615" s="4" t="s">
        <v>4407</v>
      </c>
    </row>
    <row r="1616" ht="16.5" customHeight="1" spans="1:8">
      <c r="A1616" s="3">
        <v>1615</v>
      </c>
      <c r="B1616" s="3" t="s">
        <v>4410</v>
      </c>
      <c r="C1616" s="3" t="s">
        <v>1074</v>
      </c>
      <c r="D1616" s="4" t="s">
        <v>4411</v>
      </c>
      <c r="E1616" s="3" t="s">
        <v>1076</v>
      </c>
      <c r="F1616" s="3" t="s">
        <v>1736</v>
      </c>
      <c r="G1616" s="3"/>
      <c r="H1616" s="4" t="s">
        <v>4322</v>
      </c>
    </row>
    <row r="1617" ht="16.5" customHeight="1" spans="1:8">
      <c r="A1617" s="3">
        <v>1616</v>
      </c>
      <c r="B1617" s="3" t="s">
        <v>4412</v>
      </c>
      <c r="C1617" s="3" t="s">
        <v>1105</v>
      </c>
      <c r="D1617" s="4" t="s">
        <v>4413</v>
      </c>
      <c r="E1617" s="3" t="s">
        <v>1076</v>
      </c>
      <c r="F1617" s="3" t="s">
        <v>1736</v>
      </c>
      <c r="G1617" s="3"/>
      <c r="H1617" s="4" t="s">
        <v>4414</v>
      </c>
    </row>
    <row r="1618" ht="16.5" customHeight="1" spans="1:8">
      <c r="A1618" s="3">
        <v>1617</v>
      </c>
      <c r="B1618" s="3" t="s">
        <v>4415</v>
      </c>
      <c r="C1618" s="3" t="s">
        <v>1105</v>
      </c>
      <c r="D1618" s="4" t="s">
        <v>4416</v>
      </c>
      <c r="E1618" s="3" t="s">
        <v>1076</v>
      </c>
      <c r="F1618" s="3" t="s">
        <v>1736</v>
      </c>
      <c r="G1618" s="3"/>
      <c r="H1618" s="4" t="s">
        <v>4414</v>
      </c>
    </row>
    <row r="1619" ht="16.5" customHeight="1" spans="1:8">
      <c r="A1619" s="3">
        <v>1618</v>
      </c>
      <c r="B1619" s="3" t="s">
        <v>4417</v>
      </c>
      <c r="C1619" s="3" t="s">
        <v>2163</v>
      </c>
      <c r="D1619" s="4" t="s">
        <v>4418</v>
      </c>
      <c r="E1619" s="3" t="s">
        <v>1076</v>
      </c>
      <c r="F1619" s="3" t="s">
        <v>2105</v>
      </c>
      <c r="G1619" s="3" t="s">
        <v>321</v>
      </c>
      <c r="H1619" s="4" t="s">
        <v>1308</v>
      </c>
    </row>
    <row r="1620" ht="16.5" customHeight="1" spans="1:8">
      <c r="A1620" s="3">
        <v>1619</v>
      </c>
      <c r="B1620" s="3" t="s">
        <v>4419</v>
      </c>
      <c r="C1620" s="3" t="s">
        <v>1105</v>
      </c>
      <c r="D1620" s="4" t="s">
        <v>4420</v>
      </c>
      <c r="E1620" s="3" t="s">
        <v>1076</v>
      </c>
      <c r="F1620" s="3" t="s">
        <v>1736</v>
      </c>
      <c r="G1620" s="3"/>
      <c r="H1620" s="4" t="s">
        <v>3742</v>
      </c>
    </row>
    <row r="1621" ht="16.5" customHeight="1" spans="1:8">
      <c r="A1621" s="3">
        <v>1620</v>
      </c>
      <c r="B1621" s="3" t="s">
        <v>4421</v>
      </c>
      <c r="C1621" s="3" t="s">
        <v>1105</v>
      </c>
      <c r="D1621" s="4" t="s">
        <v>4422</v>
      </c>
      <c r="E1621" s="3" t="s">
        <v>1076</v>
      </c>
      <c r="F1621" s="3" t="s">
        <v>1736</v>
      </c>
      <c r="G1621" s="3"/>
      <c r="H1621" s="4" t="s">
        <v>3747</v>
      </c>
    </row>
    <row r="1622" ht="16.5" customHeight="1" spans="1:8">
      <c r="A1622" s="3">
        <v>1621</v>
      </c>
      <c r="B1622" s="3" t="s">
        <v>4423</v>
      </c>
      <c r="C1622" s="3" t="s">
        <v>2163</v>
      </c>
      <c r="D1622" s="4" t="s">
        <v>4424</v>
      </c>
      <c r="E1622" s="3" t="s">
        <v>1076</v>
      </c>
      <c r="F1622" s="3" t="s">
        <v>2105</v>
      </c>
      <c r="G1622" s="3" t="s">
        <v>321</v>
      </c>
      <c r="H1622" s="4" t="s">
        <v>2181</v>
      </c>
    </row>
    <row r="1623" ht="16.5" customHeight="1" spans="1:8">
      <c r="A1623" s="3">
        <v>1622</v>
      </c>
      <c r="B1623" s="3" t="s">
        <v>4425</v>
      </c>
      <c r="C1623" s="3" t="s">
        <v>2163</v>
      </c>
      <c r="D1623" s="4" t="s">
        <v>4426</v>
      </c>
      <c r="E1623" s="3" t="s">
        <v>3954</v>
      </c>
      <c r="F1623" s="3" t="s">
        <v>2105</v>
      </c>
      <c r="G1623" s="3" t="s">
        <v>321</v>
      </c>
      <c r="H1623" s="4" t="s">
        <v>2181</v>
      </c>
    </row>
    <row r="1624" ht="16.5" customHeight="1" spans="1:8">
      <c r="A1624" s="3">
        <v>1623</v>
      </c>
      <c r="B1624" s="3" t="s">
        <v>4427</v>
      </c>
      <c r="C1624" s="3" t="s">
        <v>2163</v>
      </c>
      <c r="D1624" s="4" t="s">
        <v>4428</v>
      </c>
      <c r="E1624" s="3" t="s">
        <v>1076</v>
      </c>
      <c r="F1624" s="3" t="s">
        <v>2041</v>
      </c>
      <c r="G1624" s="3" t="s">
        <v>321</v>
      </c>
      <c r="H1624" s="4" t="s">
        <v>1308</v>
      </c>
    </row>
    <row r="1625" ht="16.5" customHeight="1" spans="1:8">
      <c r="A1625" s="3">
        <v>1624</v>
      </c>
      <c r="B1625" s="3" t="s">
        <v>4429</v>
      </c>
      <c r="C1625" s="3" t="s">
        <v>2163</v>
      </c>
      <c r="D1625" s="4" t="s">
        <v>4430</v>
      </c>
      <c r="E1625" s="3" t="s">
        <v>1076</v>
      </c>
      <c r="F1625" s="3" t="s">
        <v>2105</v>
      </c>
      <c r="G1625" s="3" t="s">
        <v>321</v>
      </c>
      <c r="H1625" s="4" t="s">
        <v>1095</v>
      </c>
    </row>
    <row r="1626" ht="16.5" customHeight="1" spans="1:8">
      <c r="A1626" s="3">
        <v>1625</v>
      </c>
      <c r="B1626" s="3" t="s">
        <v>4431</v>
      </c>
      <c r="C1626" s="3" t="s">
        <v>2163</v>
      </c>
      <c r="D1626" s="4" t="s">
        <v>4432</v>
      </c>
      <c r="E1626" s="3" t="s">
        <v>1076</v>
      </c>
      <c r="F1626" s="3" t="s">
        <v>2041</v>
      </c>
      <c r="G1626" s="3" t="s">
        <v>321</v>
      </c>
      <c r="H1626" s="4" t="s">
        <v>1308</v>
      </c>
    </row>
    <row r="1627" ht="16.5" customHeight="1" spans="1:8">
      <c r="A1627" s="3">
        <v>1626</v>
      </c>
      <c r="B1627" s="3" t="s">
        <v>4433</v>
      </c>
      <c r="C1627" s="3" t="s">
        <v>2163</v>
      </c>
      <c r="D1627" s="4" t="s">
        <v>4434</v>
      </c>
      <c r="E1627" s="3" t="s">
        <v>1076</v>
      </c>
      <c r="F1627" s="3" t="s">
        <v>2041</v>
      </c>
      <c r="G1627" s="3" t="s">
        <v>321</v>
      </c>
      <c r="H1627" s="4" t="s">
        <v>1308</v>
      </c>
    </row>
    <row r="1628" ht="16.5" customHeight="1" spans="1:8">
      <c r="A1628" s="3">
        <v>1627</v>
      </c>
      <c r="B1628" s="3" t="s">
        <v>4435</v>
      </c>
      <c r="C1628" s="3" t="s">
        <v>1356</v>
      </c>
      <c r="D1628" s="4" t="s">
        <v>4436</v>
      </c>
      <c r="E1628" s="3" t="s">
        <v>1076</v>
      </c>
      <c r="F1628" s="3" t="s">
        <v>1736</v>
      </c>
      <c r="G1628" s="3"/>
      <c r="H1628" s="4" t="s">
        <v>1359</v>
      </c>
    </row>
    <row r="1629" ht="16.5" customHeight="1" spans="1:8">
      <c r="A1629" s="3">
        <v>1628</v>
      </c>
      <c r="B1629" s="3" t="s">
        <v>4437</v>
      </c>
      <c r="C1629" s="3" t="s">
        <v>1356</v>
      </c>
      <c r="D1629" s="4" t="s">
        <v>4438</v>
      </c>
      <c r="E1629" s="3" t="s">
        <v>1076</v>
      </c>
      <c r="F1629" s="3" t="s">
        <v>1736</v>
      </c>
      <c r="G1629" s="3"/>
      <c r="H1629" s="4" t="s">
        <v>1359</v>
      </c>
    </row>
    <row r="1630" ht="16.5" customHeight="1" spans="1:8">
      <c r="A1630" s="3">
        <v>1629</v>
      </c>
      <c r="B1630" s="3" t="s">
        <v>4439</v>
      </c>
      <c r="C1630" s="3" t="s">
        <v>2163</v>
      </c>
      <c r="D1630" s="4" t="s">
        <v>4440</v>
      </c>
      <c r="E1630" s="3" t="s">
        <v>1076</v>
      </c>
      <c r="F1630" s="3" t="s">
        <v>4154</v>
      </c>
      <c r="G1630" s="3"/>
      <c r="H1630" s="4" t="s">
        <v>4198</v>
      </c>
    </row>
    <row r="1631" ht="16.5" customHeight="1" spans="1:8">
      <c r="A1631" s="3">
        <v>1630</v>
      </c>
      <c r="B1631" s="3" t="s">
        <v>4441</v>
      </c>
      <c r="C1631" s="3" t="s">
        <v>2163</v>
      </c>
      <c r="D1631" s="4" t="s">
        <v>4442</v>
      </c>
      <c r="E1631" s="3" t="s">
        <v>1076</v>
      </c>
      <c r="F1631" s="3" t="s">
        <v>4154</v>
      </c>
      <c r="G1631" s="3"/>
      <c r="H1631" s="4" t="s">
        <v>4198</v>
      </c>
    </row>
    <row r="1632" ht="16.5" customHeight="1" spans="1:8">
      <c r="A1632" s="3">
        <v>1631</v>
      </c>
      <c r="B1632" s="3" t="s">
        <v>4443</v>
      </c>
      <c r="C1632" s="3" t="s">
        <v>2163</v>
      </c>
      <c r="D1632" s="4" t="s">
        <v>4444</v>
      </c>
      <c r="E1632" s="3" t="s">
        <v>1076</v>
      </c>
      <c r="F1632" s="3" t="s">
        <v>4154</v>
      </c>
      <c r="G1632" s="3"/>
      <c r="H1632" s="4" t="s">
        <v>1095</v>
      </c>
    </row>
    <row r="1633" ht="16.5" customHeight="1" spans="1:8">
      <c r="A1633" s="3">
        <v>1632</v>
      </c>
      <c r="B1633" s="3" t="s">
        <v>4445</v>
      </c>
      <c r="C1633" s="3" t="s">
        <v>2163</v>
      </c>
      <c r="D1633" s="4" t="s">
        <v>4446</v>
      </c>
      <c r="E1633" s="3" t="s">
        <v>1076</v>
      </c>
      <c r="F1633" s="3" t="s">
        <v>4154</v>
      </c>
      <c r="G1633" s="3"/>
      <c r="H1633" s="4" t="s">
        <v>4198</v>
      </c>
    </row>
    <row r="1634" ht="16.5" customHeight="1" spans="1:8">
      <c r="A1634" s="3">
        <v>1633</v>
      </c>
      <c r="B1634" s="3" t="s">
        <v>4447</v>
      </c>
      <c r="C1634" s="3" t="s">
        <v>2163</v>
      </c>
      <c r="D1634" s="4" t="s">
        <v>4448</v>
      </c>
      <c r="E1634" s="3" t="s">
        <v>1076</v>
      </c>
      <c r="F1634" s="3" t="s">
        <v>2105</v>
      </c>
      <c r="G1634" s="3" t="s">
        <v>321</v>
      </c>
      <c r="H1634" s="4" t="s">
        <v>1368</v>
      </c>
    </row>
    <row r="1635" ht="16.5" customHeight="1" spans="1:8">
      <c r="A1635" s="3">
        <v>1634</v>
      </c>
      <c r="B1635" s="3" t="s">
        <v>4449</v>
      </c>
      <c r="C1635" s="3" t="s">
        <v>2163</v>
      </c>
      <c r="D1635" s="4" t="s">
        <v>4450</v>
      </c>
      <c r="E1635" s="3" t="s">
        <v>1076</v>
      </c>
      <c r="F1635" s="3" t="s">
        <v>1358</v>
      </c>
      <c r="G1635" s="3"/>
      <c r="H1635" s="4" t="s">
        <v>1368</v>
      </c>
    </row>
    <row r="1636" ht="16.5" customHeight="1" spans="1:8">
      <c r="A1636" s="3">
        <v>1635</v>
      </c>
      <c r="B1636" s="3" t="s">
        <v>4451</v>
      </c>
      <c r="C1636" s="3" t="s">
        <v>2163</v>
      </c>
      <c r="D1636" s="4" t="s">
        <v>4452</v>
      </c>
      <c r="E1636" s="3" t="s">
        <v>1076</v>
      </c>
      <c r="F1636" s="3" t="s">
        <v>2105</v>
      </c>
      <c r="G1636" s="3" t="s">
        <v>321</v>
      </c>
      <c r="H1636" s="4" t="s">
        <v>1095</v>
      </c>
    </row>
    <row r="1637" ht="16.5" customHeight="1" spans="1:8">
      <c r="A1637" s="3">
        <v>1636</v>
      </c>
      <c r="B1637" s="3" t="s">
        <v>4453</v>
      </c>
      <c r="C1637" s="3" t="s">
        <v>2163</v>
      </c>
      <c r="D1637" s="4" t="s">
        <v>4454</v>
      </c>
      <c r="E1637" s="3" t="s">
        <v>1076</v>
      </c>
      <c r="F1637" s="3" t="s">
        <v>2041</v>
      </c>
      <c r="G1637" s="3" t="s">
        <v>321</v>
      </c>
      <c r="H1637" s="4" t="s">
        <v>1095</v>
      </c>
    </row>
    <row r="1638" ht="16.5" customHeight="1" spans="1:8">
      <c r="A1638" s="3">
        <v>1637</v>
      </c>
      <c r="B1638" s="3" t="s">
        <v>4455</v>
      </c>
      <c r="C1638" s="3" t="s">
        <v>2163</v>
      </c>
      <c r="D1638" s="4" t="s">
        <v>4456</v>
      </c>
      <c r="E1638" s="3" t="s">
        <v>3093</v>
      </c>
      <c r="F1638" s="3" t="s">
        <v>2105</v>
      </c>
      <c r="G1638" s="3" t="s">
        <v>321</v>
      </c>
      <c r="H1638" s="4" t="s">
        <v>1368</v>
      </c>
    </row>
    <row r="1639" ht="16.5" customHeight="1" spans="1:8">
      <c r="A1639" s="3">
        <v>1638</v>
      </c>
      <c r="B1639" s="3" t="s">
        <v>4457</v>
      </c>
      <c r="C1639" s="3" t="s">
        <v>2163</v>
      </c>
      <c r="D1639" s="4" t="s">
        <v>4458</v>
      </c>
      <c r="E1639" s="3" t="s">
        <v>1076</v>
      </c>
      <c r="F1639" s="3" t="s">
        <v>4331</v>
      </c>
      <c r="G1639" s="3"/>
      <c r="H1639" s="4" t="s">
        <v>4117</v>
      </c>
    </row>
    <row r="1640" ht="16.5" customHeight="1" spans="1:8">
      <c r="A1640" s="3">
        <v>1639</v>
      </c>
      <c r="B1640" s="3" t="s">
        <v>4459</v>
      </c>
      <c r="C1640" s="3" t="s">
        <v>2163</v>
      </c>
      <c r="D1640" s="4" t="s">
        <v>4460</v>
      </c>
      <c r="E1640" s="3" t="s">
        <v>1076</v>
      </c>
      <c r="F1640" s="3" t="s">
        <v>2105</v>
      </c>
      <c r="G1640" s="3" t="s">
        <v>321</v>
      </c>
      <c r="H1640" s="4" t="s">
        <v>1368</v>
      </c>
    </row>
    <row r="1641" ht="16.5" customHeight="1" spans="1:8">
      <c r="A1641" s="3">
        <v>1640</v>
      </c>
      <c r="B1641" s="3" t="s">
        <v>4461</v>
      </c>
      <c r="C1641" s="3" t="s">
        <v>2163</v>
      </c>
      <c r="D1641" s="4" t="s">
        <v>4462</v>
      </c>
      <c r="E1641" s="3" t="s">
        <v>2263</v>
      </c>
      <c r="F1641" s="3" t="s">
        <v>2105</v>
      </c>
      <c r="G1641" s="3" t="s">
        <v>321</v>
      </c>
      <c r="H1641" s="4" t="s">
        <v>1305</v>
      </c>
    </row>
    <row r="1642" ht="16.5" customHeight="1" spans="1:8">
      <c r="A1642" s="3">
        <v>1641</v>
      </c>
      <c r="B1642" s="3" t="s">
        <v>4463</v>
      </c>
      <c r="C1642" s="3" t="s">
        <v>2163</v>
      </c>
      <c r="D1642" s="4" t="s">
        <v>4464</v>
      </c>
      <c r="E1642" s="3" t="s">
        <v>1076</v>
      </c>
      <c r="F1642" s="3" t="s">
        <v>1358</v>
      </c>
      <c r="G1642" s="3"/>
      <c r="H1642" s="4" t="s">
        <v>1095</v>
      </c>
    </row>
    <row r="1643" ht="16.5" customHeight="1" spans="1:8">
      <c r="A1643" s="3">
        <v>1642</v>
      </c>
      <c r="B1643" s="3" t="s">
        <v>4465</v>
      </c>
      <c r="C1643" s="3" t="s">
        <v>2163</v>
      </c>
      <c r="D1643" s="4" t="s">
        <v>4466</v>
      </c>
      <c r="E1643" s="3" t="s">
        <v>1076</v>
      </c>
      <c r="F1643" s="3" t="s">
        <v>2105</v>
      </c>
      <c r="G1643" s="3" t="s">
        <v>321</v>
      </c>
      <c r="H1643" s="4" t="s">
        <v>1308</v>
      </c>
    </row>
    <row r="1644" ht="16.5" customHeight="1" spans="1:8">
      <c r="A1644" s="3">
        <v>1643</v>
      </c>
      <c r="B1644" s="3" t="s">
        <v>4467</v>
      </c>
      <c r="C1644" s="3" t="s">
        <v>2163</v>
      </c>
      <c r="D1644" s="4" t="s">
        <v>4468</v>
      </c>
      <c r="E1644" s="3" t="s">
        <v>1076</v>
      </c>
      <c r="F1644" s="3" t="s">
        <v>2041</v>
      </c>
      <c r="G1644" s="3" t="s">
        <v>321</v>
      </c>
      <c r="H1644" s="4" t="s">
        <v>1095</v>
      </c>
    </row>
    <row r="1645" ht="16.5" customHeight="1" spans="1:8">
      <c r="A1645" s="3">
        <v>1644</v>
      </c>
      <c r="B1645" s="3" t="s">
        <v>4469</v>
      </c>
      <c r="C1645" s="3" t="s">
        <v>2163</v>
      </c>
      <c r="D1645" s="4" t="s">
        <v>4470</v>
      </c>
      <c r="E1645" s="3" t="s">
        <v>1076</v>
      </c>
      <c r="F1645" s="3" t="s">
        <v>2105</v>
      </c>
      <c r="G1645" s="3" t="s">
        <v>321</v>
      </c>
      <c r="H1645" s="4" t="s">
        <v>1305</v>
      </c>
    </row>
    <row r="1646" ht="16.5" customHeight="1" spans="1:8">
      <c r="A1646" s="3">
        <v>1645</v>
      </c>
      <c r="B1646" s="3" t="s">
        <v>4471</v>
      </c>
      <c r="C1646" s="3" t="s">
        <v>2163</v>
      </c>
      <c r="D1646" s="4" t="s">
        <v>4472</v>
      </c>
      <c r="E1646" s="3" t="s">
        <v>1076</v>
      </c>
      <c r="F1646" s="3" t="s">
        <v>1358</v>
      </c>
      <c r="G1646" s="3" t="s">
        <v>321</v>
      </c>
      <c r="H1646" s="4" t="s">
        <v>1305</v>
      </c>
    </row>
    <row r="1647" ht="16.5" customHeight="1" spans="1:8">
      <c r="A1647" s="3">
        <v>1646</v>
      </c>
      <c r="B1647" s="3" t="s">
        <v>4473</v>
      </c>
      <c r="C1647" s="3" t="s">
        <v>1105</v>
      </c>
      <c r="D1647" s="4" t="s">
        <v>4474</v>
      </c>
      <c r="E1647" s="3" t="s">
        <v>1076</v>
      </c>
      <c r="F1647" s="3" t="s">
        <v>4120</v>
      </c>
      <c r="G1647" s="3"/>
      <c r="H1647" s="4" t="s">
        <v>4121</v>
      </c>
    </row>
    <row r="1648" ht="16.5" customHeight="1" spans="1:8">
      <c r="A1648" s="3">
        <v>1647</v>
      </c>
      <c r="B1648" s="3" t="s">
        <v>4475</v>
      </c>
      <c r="C1648" s="3" t="s">
        <v>2163</v>
      </c>
      <c r="D1648" s="4" t="s">
        <v>4476</v>
      </c>
      <c r="E1648" s="3" t="s">
        <v>1076</v>
      </c>
      <c r="F1648" s="3" t="s">
        <v>1358</v>
      </c>
      <c r="G1648" s="3" t="s">
        <v>321</v>
      </c>
      <c r="H1648" s="4" t="s">
        <v>1095</v>
      </c>
    </row>
    <row r="1649" ht="16.5" customHeight="1" spans="1:8">
      <c r="A1649" s="3">
        <v>1648</v>
      </c>
      <c r="B1649" s="3" t="s">
        <v>4477</v>
      </c>
      <c r="C1649" s="3" t="s">
        <v>2163</v>
      </c>
      <c r="D1649" s="4" t="s">
        <v>4478</v>
      </c>
      <c r="E1649" s="3" t="s">
        <v>3093</v>
      </c>
      <c r="F1649" s="3" t="s">
        <v>4331</v>
      </c>
      <c r="G1649" s="3"/>
      <c r="H1649" s="4" t="s">
        <v>1081</v>
      </c>
    </row>
    <row r="1650" ht="16.5" customHeight="1" spans="1:8">
      <c r="A1650" s="3">
        <v>1649</v>
      </c>
      <c r="B1650" s="3" t="s">
        <v>4479</v>
      </c>
      <c r="C1650" s="3" t="s">
        <v>2163</v>
      </c>
      <c r="D1650" s="4" t="s">
        <v>4480</v>
      </c>
      <c r="E1650" s="3" t="s">
        <v>1076</v>
      </c>
      <c r="F1650" s="3" t="s">
        <v>2041</v>
      </c>
      <c r="G1650" s="3" t="s">
        <v>321</v>
      </c>
      <c r="H1650" s="4" t="s">
        <v>1368</v>
      </c>
    </row>
    <row r="1651" ht="16.5" customHeight="1" spans="1:8">
      <c r="A1651" s="3">
        <v>1650</v>
      </c>
      <c r="B1651" s="3" t="s">
        <v>4481</v>
      </c>
      <c r="C1651" s="3" t="s">
        <v>2163</v>
      </c>
      <c r="D1651" s="4" t="s">
        <v>4482</v>
      </c>
      <c r="E1651" s="3" t="s">
        <v>1076</v>
      </c>
      <c r="F1651" s="3" t="s">
        <v>2041</v>
      </c>
      <c r="G1651" s="3" t="s">
        <v>321</v>
      </c>
      <c r="H1651" s="4" t="s">
        <v>1305</v>
      </c>
    </row>
    <row r="1652" ht="16.5" customHeight="1" spans="1:8">
      <c r="A1652" s="3">
        <v>1651</v>
      </c>
      <c r="B1652" s="3" t="s">
        <v>4483</v>
      </c>
      <c r="C1652" s="3" t="s">
        <v>2163</v>
      </c>
      <c r="D1652" s="4" t="s">
        <v>4484</v>
      </c>
      <c r="E1652" s="3" t="s">
        <v>1076</v>
      </c>
      <c r="F1652" s="3" t="s">
        <v>4154</v>
      </c>
      <c r="G1652" s="3"/>
      <c r="H1652" s="4" t="s">
        <v>4198</v>
      </c>
    </row>
    <row r="1653" ht="16.5" customHeight="1" spans="1:8">
      <c r="A1653" s="3">
        <v>1652</v>
      </c>
      <c r="B1653" s="3" t="s">
        <v>4485</v>
      </c>
      <c r="C1653" s="3" t="s">
        <v>2163</v>
      </c>
      <c r="D1653" s="4" t="s">
        <v>4486</v>
      </c>
      <c r="E1653" s="3" t="s">
        <v>1076</v>
      </c>
      <c r="F1653" s="3" t="s">
        <v>2041</v>
      </c>
      <c r="G1653" s="3" t="s">
        <v>321</v>
      </c>
      <c r="H1653" s="4" t="s">
        <v>1305</v>
      </c>
    </row>
    <row r="1654" ht="16.5" customHeight="1" spans="1:8">
      <c r="A1654" s="3">
        <v>1653</v>
      </c>
      <c r="B1654" s="3" t="s">
        <v>4487</v>
      </c>
      <c r="C1654" s="3" t="s">
        <v>2163</v>
      </c>
      <c r="D1654" s="4" t="s">
        <v>4488</v>
      </c>
      <c r="E1654" s="3" t="s">
        <v>1076</v>
      </c>
      <c r="F1654" s="3" t="s">
        <v>4154</v>
      </c>
      <c r="G1654" s="3"/>
      <c r="H1654" s="4" t="s">
        <v>1305</v>
      </c>
    </row>
    <row r="1655" ht="16.5" customHeight="1" spans="1:8">
      <c r="A1655" s="3">
        <v>1654</v>
      </c>
      <c r="B1655" s="3" t="s">
        <v>4489</v>
      </c>
      <c r="C1655" s="3" t="s">
        <v>2163</v>
      </c>
      <c r="D1655" s="4" t="s">
        <v>4490</v>
      </c>
      <c r="E1655" s="3" t="s">
        <v>1076</v>
      </c>
      <c r="F1655" s="3" t="s">
        <v>2041</v>
      </c>
      <c r="G1655" s="3" t="s">
        <v>321</v>
      </c>
      <c r="H1655" s="4" t="s">
        <v>1305</v>
      </c>
    </row>
    <row r="1656" ht="16.5" customHeight="1" spans="1:8">
      <c r="A1656" s="3">
        <v>1655</v>
      </c>
      <c r="B1656" s="3" t="s">
        <v>4491</v>
      </c>
      <c r="C1656" s="3" t="s">
        <v>2163</v>
      </c>
      <c r="D1656" s="4" t="s">
        <v>4492</v>
      </c>
      <c r="E1656" s="3" t="s">
        <v>1076</v>
      </c>
      <c r="F1656" s="3" t="s">
        <v>2041</v>
      </c>
      <c r="G1656" s="3" t="s">
        <v>321</v>
      </c>
      <c r="H1656" s="4" t="s">
        <v>1305</v>
      </c>
    </row>
    <row r="1657" ht="16.5" customHeight="1" spans="1:8">
      <c r="A1657" s="3">
        <v>1656</v>
      </c>
      <c r="B1657" s="3" t="s">
        <v>4493</v>
      </c>
      <c r="C1657" s="3" t="s">
        <v>2163</v>
      </c>
      <c r="D1657" s="4" t="s">
        <v>4494</v>
      </c>
      <c r="E1657" s="3" t="s">
        <v>1076</v>
      </c>
      <c r="F1657" s="3" t="s">
        <v>4154</v>
      </c>
      <c r="G1657" s="3"/>
      <c r="H1657" s="4" t="s">
        <v>4198</v>
      </c>
    </row>
    <row r="1658" ht="16.5" customHeight="1" spans="1:8">
      <c r="A1658" s="3">
        <v>1657</v>
      </c>
      <c r="B1658" s="3" t="s">
        <v>4495</v>
      </c>
      <c r="C1658" s="3" t="s">
        <v>2163</v>
      </c>
      <c r="D1658" s="4" t="s">
        <v>4496</v>
      </c>
      <c r="E1658" s="3" t="s">
        <v>1076</v>
      </c>
      <c r="F1658" s="3" t="s">
        <v>4154</v>
      </c>
      <c r="G1658" s="3"/>
      <c r="H1658" s="4" t="s">
        <v>4198</v>
      </c>
    </row>
    <row r="1659" ht="16.5" customHeight="1" spans="1:8">
      <c r="A1659" s="3">
        <v>1658</v>
      </c>
      <c r="B1659" s="3" t="s">
        <v>4497</v>
      </c>
      <c r="C1659" s="3" t="s">
        <v>2163</v>
      </c>
      <c r="D1659" s="4" t="s">
        <v>4498</v>
      </c>
      <c r="E1659" s="3" t="s">
        <v>1076</v>
      </c>
      <c r="F1659" s="3" t="s">
        <v>4154</v>
      </c>
      <c r="G1659" s="3"/>
      <c r="H1659" s="4" t="s">
        <v>1095</v>
      </c>
    </row>
    <row r="1660" ht="16.5" customHeight="1" spans="1:8">
      <c r="A1660" s="3">
        <v>1659</v>
      </c>
      <c r="B1660" s="3" t="s">
        <v>4499</v>
      </c>
      <c r="C1660" s="3" t="s">
        <v>2163</v>
      </c>
      <c r="D1660" s="4" t="s">
        <v>4500</v>
      </c>
      <c r="E1660" s="3" t="s">
        <v>1076</v>
      </c>
      <c r="F1660" s="3" t="s">
        <v>4154</v>
      </c>
      <c r="G1660" s="3"/>
      <c r="H1660" s="4" t="s">
        <v>4198</v>
      </c>
    </row>
    <row r="1661" ht="16.5" customHeight="1" spans="1:8">
      <c r="A1661" s="3">
        <v>1660</v>
      </c>
      <c r="B1661" s="3" t="s">
        <v>4501</v>
      </c>
      <c r="C1661" s="3" t="s">
        <v>2163</v>
      </c>
      <c r="D1661" s="4" t="s">
        <v>4502</v>
      </c>
      <c r="E1661" s="3" t="s">
        <v>1076</v>
      </c>
      <c r="F1661" s="3" t="s">
        <v>2105</v>
      </c>
      <c r="G1661" s="3" t="s">
        <v>321</v>
      </c>
      <c r="H1661" s="4" t="s">
        <v>1305</v>
      </c>
    </row>
    <row r="1662" ht="16.5" customHeight="1" spans="1:8">
      <c r="A1662" s="3">
        <v>1661</v>
      </c>
      <c r="B1662" s="3" t="s">
        <v>4503</v>
      </c>
      <c r="C1662" s="3" t="s">
        <v>2163</v>
      </c>
      <c r="D1662" s="4" t="s">
        <v>4504</v>
      </c>
      <c r="E1662" s="3" t="s">
        <v>1076</v>
      </c>
      <c r="F1662" s="3" t="s">
        <v>4154</v>
      </c>
      <c r="G1662" s="3"/>
      <c r="H1662" s="4" t="s">
        <v>4198</v>
      </c>
    </row>
    <row r="1663" ht="16.5" customHeight="1" spans="1:8">
      <c r="A1663" s="3">
        <v>1662</v>
      </c>
      <c r="B1663" s="3" t="s">
        <v>4505</v>
      </c>
      <c r="C1663" s="3" t="s">
        <v>2163</v>
      </c>
      <c r="D1663" s="4" t="s">
        <v>4506</v>
      </c>
      <c r="E1663" s="3" t="s">
        <v>1076</v>
      </c>
      <c r="F1663" s="3" t="s">
        <v>4154</v>
      </c>
      <c r="G1663" s="3"/>
      <c r="H1663" s="4" t="s">
        <v>4198</v>
      </c>
    </row>
    <row r="1664" ht="16.5" customHeight="1" spans="1:8">
      <c r="A1664" s="3">
        <v>1663</v>
      </c>
      <c r="B1664" s="3" t="s">
        <v>4507</v>
      </c>
      <c r="C1664" s="3" t="s">
        <v>2163</v>
      </c>
      <c r="D1664" s="4" t="s">
        <v>4508</v>
      </c>
      <c r="E1664" s="3" t="s">
        <v>1076</v>
      </c>
      <c r="F1664" s="3" t="s">
        <v>4154</v>
      </c>
      <c r="G1664" s="3"/>
      <c r="H1664" s="4" t="s">
        <v>4198</v>
      </c>
    </row>
    <row r="1665" ht="16.5" customHeight="1" spans="1:8">
      <c r="A1665" s="3">
        <v>1664</v>
      </c>
      <c r="B1665" s="3" t="s">
        <v>4509</v>
      </c>
      <c r="C1665" s="3" t="s">
        <v>2163</v>
      </c>
      <c r="D1665" s="4" t="s">
        <v>4510</v>
      </c>
      <c r="E1665" s="3" t="s">
        <v>1076</v>
      </c>
      <c r="F1665" s="3" t="s">
        <v>2105</v>
      </c>
      <c r="G1665" s="3" t="s">
        <v>321</v>
      </c>
      <c r="H1665" s="4" t="s">
        <v>1305</v>
      </c>
    </row>
    <row r="1666" ht="16.5" customHeight="1" spans="1:8">
      <c r="A1666" s="3">
        <v>1665</v>
      </c>
      <c r="B1666" s="3" t="s">
        <v>4511</v>
      </c>
      <c r="C1666" s="3" t="s">
        <v>2163</v>
      </c>
      <c r="D1666" s="4" t="s">
        <v>4512</v>
      </c>
      <c r="E1666" s="3" t="s">
        <v>1076</v>
      </c>
      <c r="F1666" s="3" t="s">
        <v>4154</v>
      </c>
      <c r="G1666" s="3"/>
      <c r="H1666" s="4" t="s">
        <v>4198</v>
      </c>
    </row>
    <row r="1667" ht="16.5" customHeight="1" spans="1:8">
      <c r="A1667" s="3">
        <v>1666</v>
      </c>
      <c r="B1667" s="3" t="s">
        <v>4513</v>
      </c>
      <c r="C1667" s="3" t="s">
        <v>2163</v>
      </c>
      <c r="D1667" s="4" t="s">
        <v>4514</v>
      </c>
      <c r="E1667" s="3" t="s">
        <v>1076</v>
      </c>
      <c r="F1667" s="3" t="s">
        <v>4154</v>
      </c>
      <c r="G1667" s="3"/>
      <c r="H1667" s="4" t="s">
        <v>4198</v>
      </c>
    </row>
    <row r="1668" ht="16.5" customHeight="1" spans="1:8">
      <c r="A1668" s="3">
        <v>1667</v>
      </c>
      <c r="B1668" s="3" t="s">
        <v>4515</v>
      </c>
      <c r="C1668" s="3" t="s">
        <v>2163</v>
      </c>
      <c r="D1668" s="4" t="s">
        <v>4516</v>
      </c>
      <c r="E1668" s="3" t="s">
        <v>1076</v>
      </c>
      <c r="F1668" s="3" t="s">
        <v>2041</v>
      </c>
      <c r="G1668" s="3" t="s">
        <v>321</v>
      </c>
      <c r="H1668" s="4" t="s">
        <v>1305</v>
      </c>
    </row>
    <row r="1669" ht="16.5" customHeight="1" spans="1:8">
      <c r="A1669" s="3">
        <v>1668</v>
      </c>
      <c r="B1669" s="3" t="s">
        <v>4517</v>
      </c>
      <c r="C1669" s="3" t="s">
        <v>2163</v>
      </c>
      <c r="D1669" s="4" t="s">
        <v>4518</v>
      </c>
      <c r="E1669" s="3" t="s">
        <v>1076</v>
      </c>
      <c r="F1669" s="3" t="s">
        <v>4154</v>
      </c>
      <c r="G1669" s="3"/>
      <c r="H1669" s="4" t="s">
        <v>2181</v>
      </c>
    </row>
    <row r="1670" ht="16.5" customHeight="1" spans="1:8">
      <c r="A1670" s="3">
        <v>1669</v>
      </c>
      <c r="B1670" s="3" t="s">
        <v>4519</v>
      </c>
      <c r="C1670" s="3" t="s">
        <v>2163</v>
      </c>
      <c r="D1670" s="4" t="s">
        <v>4520</v>
      </c>
      <c r="E1670" s="3" t="s">
        <v>1076</v>
      </c>
      <c r="F1670" s="3" t="s">
        <v>4154</v>
      </c>
      <c r="G1670" s="3"/>
      <c r="H1670" s="4" t="s">
        <v>1308</v>
      </c>
    </row>
    <row r="1671" ht="16.5" customHeight="1" spans="1:8">
      <c r="A1671" s="3">
        <v>1670</v>
      </c>
      <c r="B1671" s="3" t="s">
        <v>4521</v>
      </c>
      <c r="C1671" s="3" t="s">
        <v>2163</v>
      </c>
      <c r="D1671" s="4" t="s">
        <v>4522</v>
      </c>
      <c r="E1671" s="3" t="s">
        <v>1076</v>
      </c>
      <c r="F1671" s="3" t="s">
        <v>4154</v>
      </c>
      <c r="G1671" s="3"/>
      <c r="H1671" s="4" t="s">
        <v>4198</v>
      </c>
    </row>
    <row r="1672" ht="16.5" customHeight="1" spans="1:8">
      <c r="A1672" s="3">
        <v>1671</v>
      </c>
      <c r="B1672" s="3" t="s">
        <v>4523</v>
      </c>
      <c r="C1672" s="3" t="s">
        <v>2163</v>
      </c>
      <c r="D1672" s="4" t="s">
        <v>4524</v>
      </c>
      <c r="E1672" s="3" t="s">
        <v>1076</v>
      </c>
      <c r="F1672" s="3" t="s">
        <v>4154</v>
      </c>
      <c r="G1672" s="3"/>
      <c r="H1672" s="4" t="s">
        <v>4198</v>
      </c>
    </row>
    <row r="1673" ht="16.5" customHeight="1" spans="1:8">
      <c r="A1673" s="3">
        <v>1672</v>
      </c>
      <c r="B1673" s="3" t="s">
        <v>4525</v>
      </c>
      <c r="C1673" s="3" t="s">
        <v>2163</v>
      </c>
      <c r="D1673" s="4" t="s">
        <v>4526</v>
      </c>
      <c r="E1673" s="3" t="s">
        <v>1076</v>
      </c>
      <c r="F1673" s="3" t="s">
        <v>4154</v>
      </c>
      <c r="G1673" s="3"/>
      <c r="H1673" s="4" t="s">
        <v>4198</v>
      </c>
    </row>
    <row r="1674" ht="16.5" customHeight="1" spans="1:8">
      <c r="A1674" s="3">
        <v>1673</v>
      </c>
      <c r="B1674" s="3" t="s">
        <v>4527</v>
      </c>
      <c r="C1674" s="3" t="s">
        <v>2163</v>
      </c>
      <c r="D1674" s="4" t="s">
        <v>4528</v>
      </c>
      <c r="E1674" s="3" t="s">
        <v>1076</v>
      </c>
      <c r="F1674" s="3" t="s">
        <v>4154</v>
      </c>
      <c r="G1674" s="3"/>
      <c r="H1674" s="4" t="s">
        <v>1368</v>
      </c>
    </row>
    <row r="1675" ht="16.5" customHeight="1" spans="1:8">
      <c r="A1675" s="3">
        <v>1674</v>
      </c>
      <c r="B1675" s="3" t="s">
        <v>4529</v>
      </c>
      <c r="C1675" s="3" t="s">
        <v>2163</v>
      </c>
      <c r="D1675" s="4" t="s">
        <v>4530</v>
      </c>
      <c r="E1675" s="3" t="s">
        <v>1076</v>
      </c>
      <c r="F1675" s="3" t="s">
        <v>4154</v>
      </c>
      <c r="G1675" s="3"/>
      <c r="H1675" s="4" t="s">
        <v>4198</v>
      </c>
    </row>
    <row r="1676" ht="16.5" customHeight="1" spans="1:8">
      <c r="A1676" s="3">
        <v>1675</v>
      </c>
      <c r="B1676" s="3" t="s">
        <v>4531</v>
      </c>
      <c r="C1676" s="3" t="s">
        <v>1074</v>
      </c>
      <c r="D1676" s="4" t="s">
        <v>4532</v>
      </c>
      <c r="E1676" s="3" t="s">
        <v>1076</v>
      </c>
      <c r="F1676" s="3" t="s">
        <v>1719</v>
      </c>
      <c r="G1676" s="3"/>
      <c r="H1676" s="4" t="s">
        <v>1843</v>
      </c>
    </row>
    <row r="1677" ht="16.5" customHeight="1" spans="1:8">
      <c r="A1677" s="3">
        <v>1676</v>
      </c>
      <c r="B1677" s="3" t="s">
        <v>4533</v>
      </c>
      <c r="C1677" s="3" t="s">
        <v>1105</v>
      </c>
      <c r="D1677" s="4" t="s">
        <v>4534</v>
      </c>
      <c r="E1677" s="3" t="s">
        <v>1076</v>
      </c>
      <c r="F1677" s="3" t="s">
        <v>1719</v>
      </c>
      <c r="G1677" s="3"/>
      <c r="H1677" s="4" t="s">
        <v>4535</v>
      </c>
    </row>
    <row r="1678" ht="16.5" customHeight="1" spans="1:8">
      <c r="A1678" s="3">
        <v>1677</v>
      </c>
      <c r="B1678" s="3" t="s">
        <v>4536</v>
      </c>
      <c r="C1678" s="3" t="s">
        <v>1105</v>
      </c>
      <c r="D1678" s="4" t="s">
        <v>4537</v>
      </c>
      <c r="E1678" s="3" t="s">
        <v>1076</v>
      </c>
      <c r="F1678" s="3" t="s">
        <v>1719</v>
      </c>
      <c r="G1678" s="3"/>
      <c r="H1678" s="4" t="s">
        <v>4535</v>
      </c>
    </row>
    <row r="1679" ht="16.5" customHeight="1" spans="1:8">
      <c r="A1679" s="3">
        <v>1678</v>
      </c>
      <c r="B1679" s="3" t="s">
        <v>4538</v>
      </c>
      <c r="C1679" s="3" t="s">
        <v>1105</v>
      </c>
      <c r="D1679" s="4" t="s">
        <v>4539</v>
      </c>
      <c r="E1679" s="3" t="s">
        <v>1076</v>
      </c>
      <c r="F1679" s="3" t="s">
        <v>1719</v>
      </c>
      <c r="G1679" s="3"/>
      <c r="H1679" s="4" t="s">
        <v>4535</v>
      </c>
    </row>
    <row r="1680" ht="16.5" customHeight="1" spans="1:8">
      <c r="A1680" s="3">
        <v>1679</v>
      </c>
      <c r="B1680" s="3" t="s">
        <v>4540</v>
      </c>
      <c r="C1680" s="3" t="s">
        <v>1105</v>
      </c>
      <c r="D1680" s="4" t="s">
        <v>4541</v>
      </c>
      <c r="E1680" s="3" t="s">
        <v>1076</v>
      </c>
      <c r="F1680" s="3" t="s">
        <v>1719</v>
      </c>
      <c r="G1680" s="3"/>
      <c r="H1680" s="4" t="s">
        <v>4535</v>
      </c>
    </row>
    <row r="1681" ht="16.5" customHeight="1" spans="1:8">
      <c r="A1681" s="3">
        <v>1680</v>
      </c>
      <c r="B1681" s="3" t="s">
        <v>4542</v>
      </c>
      <c r="C1681" s="3" t="s">
        <v>2163</v>
      </c>
      <c r="D1681" s="4" t="s">
        <v>4543</v>
      </c>
      <c r="E1681" s="3" t="s">
        <v>1076</v>
      </c>
      <c r="F1681" s="3" t="s">
        <v>1358</v>
      </c>
      <c r="G1681" s="3" t="s">
        <v>321</v>
      </c>
      <c r="H1681" s="4" t="s">
        <v>1305</v>
      </c>
    </row>
    <row r="1682" ht="16.5" customHeight="1" spans="1:8">
      <c r="A1682" s="3">
        <v>1681</v>
      </c>
      <c r="B1682" s="3" t="s">
        <v>4544</v>
      </c>
      <c r="C1682" s="3" t="s">
        <v>2163</v>
      </c>
      <c r="D1682" s="4" t="s">
        <v>4545</v>
      </c>
      <c r="E1682" s="3" t="s">
        <v>1076</v>
      </c>
      <c r="F1682" s="3" t="s">
        <v>2105</v>
      </c>
      <c r="G1682" s="3" t="s">
        <v>321</v>
      </c>
      <c r="H1682" s="4" t="s">
        <v>1095</v>
      </c>
    </row>
    <row r="1683" ht="16.5" customHeight="1" spans="1:8">
      <c r="A1683" s="3">
        <v>1682</v>
      </c>
      <c r="B1683" s="3" t="s">
        <v>4546</v>
      </c>
      <c r="C1683" s="3" t="s">
        <v>1105</v>
      </c>
      <c r="D1683" s="4" t="s">
        <v>4547</v>
      </c>
      <c r="E1683" s="3" t="s">
        <v>1076</v>
      </c>
      <c r="F1683" s="3" t="s">
        <v>4120</v>
      </c>
      <c r="G1683" s="3"/>
      <c r="H1683" s="4" t="s">
        <v>4121</v>
      </c>
    </row>
    <row r="1684" ht="16.5" customHeight="1" spans="1:8">
      <c r="A1684" s="3">
        <v>1683</v>
      </c>
      <c r="B1684" s="3" t="s">
        <v>4548</v>
      </c>
      <c r="C1684" s="3" t="s">
        <v>2163</v>
      </c>
      <c r="D1684" s="4" t="s">
        <v>4549</v>
      </c>
      <c r="E1684" s="3" t="s">
        <v>1076</v>
      </c>
      <c r="F1684" s="3" t="s">
        <v>2105</v>
      </c>
      <c r="G1684" s="3" t="s">
        <v>321</v>
      </c>
      <c r="H1684" s="4" t="s">
        <v>1095</v>
      </c>
    </row>
    <row r="1685" ht="16.5" customHeight="1" spans="1:8">
      <c r="A1685" s="3">
        <v>1684</v>
      </c>
      <c r="B1685" s="3" t="s">
        <v>4550</v>
      </c>
      <c r="C1685" s="3" t="s">
        <v>2163</v>
      </c>
      <c r="D1685" s="4" t="s">
        <v>4551</v>
      </c>
      <c r="E1685" s="3" t="s">
        <v>1076</v>
      </c>
      <c r="F1685" s="3" t="s">
        <v>2105</v>
      </c>
      <c r="G1685" s="3" t="s">
        <v>321</v>
      </c>
      <c r="H1685" s="4" t="s">
        <v>1359</v>
      </c>
    </row>
    <row r="1686" ht="16.5" customHeight="1" spans="1:8">
      <c r="A1686" s="3">
        <v>1685</v>
      </c>
      <c r="B1686" s="3" t="s">
        <v>4552</v>
      </c>
      <c r="C1686" s="3" t="s">
        <v>2163</v>
      </c>
      <c r="D1686" s="4" t="s">
        <v>4553</v>
      </c>
      <c r="E1686" s="3" t="s">
        <v>1076</v>
      </c>
      <c r="F1686" s="3" t="s">
        <v>2105</v>
      </c>
      <c r="G1686" s="3" t="s">
        <v>321</v>
      </c>
      <c r="H1686" s="4" t="s">
        <v>1095</v>
      </c>
    </row>
    <row r="1687" ht="16.5" customHeight="1" spans="1:8">
      <c r="A1687" s="3">
        <v>1686</v>
      </c>
      <c r="B1687" s="3" t="s">
        <v>4554</v>
      </c>
      <c r="C1687" s="3" t="s">
        <v>2163</v>
      </c>
      <c r="D1687" s="4" t="s">
        <v>4555</v>
      </c>
      <c r="E1687" s="3" t="s">
        <v>1076</v>
      </c>
      <c r="F1687" s="3" t="s">
        <v>2105</v>
      </c>
      <c r="G1687" s="3" t="s">
        <v>321</v>
      </c>
      <c r="H1687" s="4" t="s">
        <v>1305</v>
      </c>
    </row>
    <row r="1688" ht="16.5" customHeight="1" spans="1:8">
      <c r="A1688" s="3">
        <v>1687</v>
      </c>
      <c r="B1688" s="3" t="s">
        <v>4556</v>
      </c>
      <c r="C1688" s="3" t="s">
        <v>2163</v>
      </c>
      <c r="D1688" s="4" t="s">
        <v>4557</v>
      </c>
      <c r="E1688" s="3" t="s">
        <v>1076</v>
      </c>
      <c r="F1688" s="3" t="s">
        <v>2105</v>
      </c>
      <c r="G1688" s="3" t="s">
        <v>321</v>
      </c>
      <c r="H1688" s="4" t="s">
        <v>1095</v>
      </c>
    </row>
    <row r="1689" ht="16.5" customHeight="1" spans="1:8">
      <c r="A1689" s="3">
        <v>1688</v>
      </c>
      <c r="B1689" s="3" t="s">
        <v>4558</v>
      </c>
      <c r="C1689" s="3" t="s">
        <v>2163</v>
      </c>
      <c r="D1689" s="4" t="s">
        <v>4559</v>
      </c>
      <c r="E1689" s="3" t="s">
        <v>1076</v>
      </c>
      <c r="F1689" s="3" t="s">
        <v>2105</v>
      </c>
      <c r="G1689" s="3" t="s">
        <v>321</v>
      </c>
      <c r="H1689" s="4" t="s">
        <v>1305</v>
      </c>
    </row>
    <row r="1690" ht="16.5" customHeight="1" spans="1:8">
      <c r="A1690" s="3">
        <v>1689</v>
      </c>
      <c r="B1690" s="3" t="s">
        <v>4560</v>
      </c>
      <c r="C1690" s="3" t="s">
        <v>1356</v>
      </c>
      <c r="D1690" s="4" t="s">
        <v>4561</v>
      </c>
      <c r="E1690" s="3" t="s">
        <v>1076</v>
      </c>
      <c r="F1690" s="3" t="s">
        <v>1358</v>
      </c>
      <c r="G1690" s="3" t="s">
        <v>321</v>
      </c>
      <c r="H1690" s="4" t="s">
        <v>1095</v>
      </c>
    </row>
    <row r="1691" ht="16.5" customHeight="1" spans="1:8">
      <c r="A1691" s="3">
        <v>1690</v>
      </c>
      <c r="B1691" s="3" t="s">
        <v>4562</v>
      </c>
      <c r="C1691" s="3" t="s">
        <v>1356</v>
      </c>
      <c r="D1691" s="4" t="s">
        <v>4563</v>
      </c>
      <c r="E1691" s="3" t="s">
        <v>1076</v>
      </c>
      <c r="F1691" s="3" t="s">
        <v>1358</v>
      </c>
      <c r="G1691" s="3"/>
      <c r="H1691" s="4" t="s">
        <v>1883</v>
      </c>
    </row>
    <row r="1692" ht="16.5" customHeight="1" spans="1:8">
      <c r="A1692" s="3">
        <v>1691</v>
      </c>
      <c r="B1692" s="3" t="s">
        <v>4564</v>
      </c>
      <c r="C1692" s="3" t="s">
        <v>1356</v>
      </c>
      <c r="D1692" s="4" t="s">
        <v>4565</v>
      </c>
      <c r="E1692" s="3" t="s">
        <v>1076</v>
      </c>
      <c r="F1692" s="3" t="s">
        <v>1358</v>
      </c>
      <c r="G1692" s="3"/>
      <c r="H1692" s="4" t="s">
        <v>1308</v>
      </c>
    </row>
    <row r="1693" ht="16.5" customHeight="1" spans="1:8">
      <c r="A1693" s="3">
        <v>1692</v>
      </c>
      <c r="B1693" s="3" t="s">
        <v>4566</v>
      </c>
      <c r="C1693" s="3" t="s">
        <v>2163</v>
      </c>
      <c r="D1693" s="4" t="s">
        <v>4567</v>
      </c>
      <c r="E1693" s="3" t="s">
        <v>1076</v>
      </c>
      <c r="F1693" s="3" t="s">
        <v>4154</v>
      </c>
      <c r="G1693" s="3"/>
      <c r="H1693" s="4" t="s">
        <v>4198</v>
      </c>
    </row>
    <row r="1694" ht="16.5" customHeight="1" spans="1:8">
      <c r="A1694" s="3">
        <v>1693</v>
      </c>
      <c r="B1694" s="3" t="s">
        <v>4568</v>
      </c>
      <c r="C1694" s="3" t="s">
        <v>1356</v>
      </c>
      <c r="D1694" s="4" t="s">
        <v>4569</v>
      </c>
      <c r="E1694" s="3" t="s">
        <v>1076</v>
      </c>
      <c r="F1694" s="3" t="s">
        <v>1358</v>
      </c>
      <c r="G1694" s="3" t="s">
        <v>321</v>
      </c>
      <c r="H1694" s="4" t="s">
        <v>1359</v>
      </c>
    </row>
    <row r="1695" ht="16.5" customHeight="1" spans="1:8">
      <c r="A1695" s="3">
        <v>1694</v>
      </c>
      <c r="B1695" s="3" t="s">
        <v>4570</v>
      </c>
      <c r="C1695" s="3" t="s">
        <v>2163</v>
      </c>
      <c r="D1695" s="4" t="s">
        <v>4571</v>
      </c>
      <c r="E1695" s="3" t="s">
        <v>1076</v>
      </c>
      <c r="F1695" s="3" t="s">
        <v>4154</v>
      </c>
      <c r="G1695" s="3"/>
      <c r="H1695" s="4" t="s">
        <v>4198</v>
      </c>
    </row>
    <row r="1696" ht="16.5" customHeight="1" spans="1:8">
      <c r="A1696" s="3">
        <v>1695</v>
      </c>
      <c r="B1696" s="3" t="s">
        <v>4572</v>
      </c>
      <c r="C1696" s="3" t="s">
        <v>2163</v>
      </c>
      <c r="D1696" s="4" t="s">
        <v>4573</v>
      </c>
      <c r="E1696" s="3" t="s">
        <v>1076</v>
      </c>
      <c r="F1696" s="3" t="s">
        <v>4154</v>
      </c>
      <c r="G1696" s="3"/>
      <c r="H1696" s="4" t="s">
        <v>1305</v>
      </c>
    </row>
    <row r="1697" ht="16.5" customHeight="1" spans="1:8">
      <c r="A1697" s="3">
        <v>1696</v>
      </c>
      <c r="B1697" s="3" t="s">
        <v>4574</v>
      </c>
      <c r="C1697" s="3" t="s">
        <v>2163</v>
      </c>
      <c r="D1697" s="4" t="s">
        <v>4575</v>
      </c>
      <c r="E1697" s="3" t="s">
        <v>1076</v>
      </c>
      <c r="F1697" s="3" t="s">
        <v>4154</v>
      </c>
      <c r="G1697" s="3"/>
      <c r="H1697" s="4" t="s">
        <v>4198</v>
      </c>
    </row>
    <row r="1698" ht="16.5" customHeight="1" spans="1:8">
      <c r="A1698" s="3">
        <v>1697</v>
      </c>
      <c r="B1698" s="3" t="s">
        <v>4576</v>
      </c>
      <c r="C1698" s="3" t="s">
        <v>2163</v>
      </c>
      <c r="D1698" s="4" t="s">
        <v>4577</v>
      </c>
      <c r="E1698" s="3" t="s">
        <v>1076</v>
      </c>
      <c r="F1698" s="3" t="s">
        <v>4154</v>
      </c>
      <c r="G1698" s="3"/>
      <c r="H1698" s="4" t="s">
        <v>1305</v>
      </c>
    </row>
    <row r="1699" ht="16.5" customHeight="1" spans="1:8">
      <c r="A1699" s="3">
        <v>1698</v>
      </c>
      <c r="B1699" s="3" t="s">
        <v>4578</v>
      </c>
      <c r="C1699" s="3" t="s">
        <v>2163</v>
      </c>
      <c r="D1699" s="4" t="s">
        <v>4579</v>
      </c>
      <c r="E1699" s="3" t="s">
        <v>1076</v>
      </c>
      <c r="F1699" s="3" t="s">
        <v>4154</v>
      </c>
      <c r="G1699" s="3"/>
      <c r="H1699" s="4" t="s">
        <v>4198</v>
      </c>
    </row>
    <row r="1700" ht="16.5" customHeight="1" spans="1:8">
      <c r="A1700" s="3">
        <v>1699</v>
      </c>
      <c r="B1700" s="3" t="s">
        <v>4580</v>
      </c>
      <c r="C1700" s="3" t="s">
        <v>2163</v>
      </c>
      <c r="D1700" s="4" t="s">
        <v>4581</v>
      </c>
      <c r="E1700" s="3" t="s">
        <v>1076</v>
      </c>
      <c r="F1700" s="3" t="s">
        <v>2041</v>
      </c>
      <c r="G1700" s="3" t="s">
        <v>321</v>
      </c>
      <c r="H1700" s="4" t="s">
        <v>1305</v>
      </c>
    </row>
    <row r="1701" ht="16.5" customHeight="1" spans="1:8">
      <c r="A1701" s="3">
        <v>1700</v>
      </c>
      <c r="B1701" s="3" t="s">
        <v>4582</v>
      </c>
      <c r="C1701" s="3" t="s">
        <v>2163</v>
      </c>
      <c r="D1701" s="4" t="s">
        <v>4583</v>
      </c>
      <c r="E1701" s="3" t="s">
        <v>2263</v>
      </c>
      <c r="F1701" s="3" t="s">
        <v>4154</v>
      </c>
      <c r="G1701" s="3"/>
      <c r="H1701" s="4" t="s">
        <v>4198</v>
      </c>
    </row>
    <row r="1702" ht="16.5" customHeight="1" spans="1:8">
      <c r="A1702" s="3">
        <v>1701</v>
      </c>
      <c r="B1702" s="3" t="s">
        <v>4584</v>
      </c>
      <c r="C1702" s="3" t="s">
        <v>2163</v>
      </c>
      <c r="D1702" s="4" t="s">
        <v>4585</v>
      </c>
      <c r="E1702" s="3" t="s">
        <v>1076</v>
      </c>
      <c r="F1702" s="3" t="s">
        <v>4154</v>
      </c>
      <c r="G1702" s="3"/>
      <c r="H1702" s="4" t="s">
        <v>4198</v>
      </c>
    </row>
    <row r="1703" ht="16.5" customHeight="1" spans="1:8">
      <c r="A1703" s="3">
        <v>1702</v>
      </c>
      <c r="B1703" s="3" t="s">
        <v>4586</v>
      </c>
      <c r="C1703" s="3" t="s">
        <v>2163</v>
      </c>
      <c r="D1703" s="4" t="s">
        <v>4587</v>
      </c>
      <c r="E1703" s="3" t="s">
        <v>1076</v>
      </c>
      <c r="F1703" s="3" t="s">
        <v>2041</v>
      </c>
      <c r="G1703" s="3" t="s">
        <v>321</v>
      </c>
      <c r="H1703" s="4" t="s">
        <v>1305</v>
      </c>
    </row>
    <row r="1704" ht="16.5" customHeight="1" spans="1:8">
      <c r="A1704" s="3">
        <v>1703</v>
      </c>
      <c r="B1704" s="3" t="s">
        <v>4588</v>
      </c>
      <c r="C1704" s="3" t="s">
        <v>1105</v>
      </c>
      <c r="D1704" s="4" t="s">
        <v>4589</v>
      </c>
      <c r="E1704" s="3" t="s">
        <v>1076</v>
      </c>
      <c r="F1704" s="3" t="s">
        <v>1736</v>
      </c>
      <c r="G1704" s="3"/>
      <c r="H1704" s="4" t="s">
        <v>4590</v>
      </c>
    </row>
    <row r="1705" ht="16.5" customHeight="1" spans="1:8">
      <c r="A1705" s="3">
        <v>1704</v>
      </c>
      <c r="B1705" s="3" t="s">
        <v>4591</v>
      </c>
      <c r="C1705" s="3" t="s">
        <v>1105</v>
      </c>
      <c r="D1705" s="4" t="s">
        <v>4592</v>
      </c>
      <c r="E1705" s="3" t="s">
        <v>1076</v>
      </c>
      <c r="F1705" s="3" t="s">
        <v>1736</v>
      </c>
      <c r="G1705" s="3"/>
      <c r="H1705" s="4" t="s">
        <v>4590</v>
      </c>
    </row>
    <row r="1706" ht="16.5" customHeight="1" spans="1:8">
      <c r="A1706" s="3">
        <v>1705</v>
      </c>
      <c r="B1706" s="3" t="s">
        <v>4593</v>
      </c>
      <c r="C1706" s="3" t="s">
        <v>1105</v>
      </c>
      <c r="D1706" s="4" t="s">
        <v>4594</v>
      </c>
      <c r="E1706" s="3" t="s">
        <v>1076</v>
      </c>
      <c r="F1706" s="3" t="s">
        <v>1736</v>
      </c>
      <c r="G1706" s="3"/>
      <c r="H1706" s="4" t="s">
        <v>4590</v>
      </c>
    </row>
    <row r="1707" ht="16.5" customHeight="1" spans="1:8">
      <c r="A1707" s="3">
        <v>1706</v>
      </c>
      <c r="B1707" s="3" t="s">
        <v>4595</v>
      </c>
      <c r="C1707" s="3" t="s">
        <v>1105</v>
      </c>
      <c r="D1707" s="4" t="s">
        <v>4596</v>
      </c>
      <c r="E1707" s="3" t="s">
        <v>1076</v>
      </c>
      <c r="F1707" s="3" t="s">
        <v>1736</v>
      </c>
      <c r="G1707" s="3"/>
      <c r="H1707" s="4" t="s">
        <v>4590</v>
      </c>
    </row>
    <row r="1708" ht="16.5" customHeight="1" spans="1:8">
      <c r="A1708" s="3">
        <v>1707</v>
      </c>
      <c r="B1708" s="3" t="s">
        <v>4597</v>
      </c>
      <c r="C1708" s="3" t="s">
        <v>1105</v>
      </c>
      <c r="D1708" s="4" t="s">
        <v>4598</v>
      </c>
      <c r="E1708" s="3" t="s">
        <v>1076</v>
      </c>
      <c r="F1708" s="3" t="s">
        <v>1736</v>
      </c>
      <c r="G1708" s="3"/>
      <c r="H1708" s="4" t="s">
        <v>4590</v>
      </c>
    </row>
    <row r="1709" ht="16.5" customHeight="1" spans="1:8">
      <c r="A1709" s="3">
        <v>1708</v>
      </c>
      <c r="B1709" s="3" t="s">
        <v>4599</v>
      </c>
      <c r="C1709" s="3" t="s">
        <v>1105</v>
      </c>
      <c r="D1709" s="4" t="s">
        <v>4600</v>
      </c>
      <c r="E1709" s="3" t="s">
        <v>1076</v>
      </c>
      <c r="F1709" s="3" t="s">
        <v>1736</v>
      </c>
      <c r="G1709" s="3"/>
      <c r="H1709" s="4" t="s">
        <v>4590</v>
      </c>
    </row>
    <row r="1710" ht="16.5" customHeight="1" spans="1:8">
      <c r="A1710" s="3">
        <v>1709</v>
      </c>
      <c r="B1710" s="3" t="s">
        <v>4601</v>
      </c>
      <c r="C1710" s="3" t="s">
        <v>1105</v>
      </c>
      <c r="D1710" s="4" t="s">
        <v>4602</v>
      </c>
      <c r="E1710" s="3" t="s">
        <v>1076</v>
      </c>
      <c r="F1710" s="3" t="s">
        <v>1736</v>
      </c>
      <c r="G1710" s="3"/>
      <c r="H1710" s="4" t="s">
        <v>4590</v>
      </c>
    </row>
    <row r="1711" ht="16.5" customHeight="1" spans="1:8">
      <c r="A1711" s="3">
        <v>1710</v>
      </c>
      <c r="B1711" s="3" t="s">
        <v>4603</v>
      </c>
      <c r="C1711" s="3" t="s">
        <v>1105</v>
      </c>
      <c r="D1711" s="4" t="s">
        <v>4604</v>
      </c>
      <c r="E1711" s="3" t="s">
        <v>1076</v>
      </c>
      <c r="F1711" s="3" t="s">
        <v>1736</v>
      </c>
      <c r="G1711" s="3"/>
      <c r="H1711" s="4" t="s">
        <v>4590</v>
      </c>
    </row>
    <row r="1712" ht="16.5" customHeight="1" spans="1:8">
      <c r="A1712" s="3">
        <v>1711</v>
      </c>
      <c r="B1712" s="3" t="s">
        <v>4605</v>
      </c>
      <c r="C1712" s="3" t="s">
        <v>1105</v>
      </c>
      <c r="D1712" s="4" t="s">
        <v>4606</v>
      </c>
      <c r="E1712" s="3" t="s">
        <v>1076</v>
      </c>
      <c r="F1712" s="3" t="s">
        <v>1736</v>
      </c>
      <c r="G1712" s="3"/>
      <c r="H1712" s="4" t="s">
        <v>4590</v>
      </c>
    </row>
    <row r="1713" ht="16.5" customHeight="1" spans="1:8">
      <c r="A1713" s="3">
        <v>1712</v>
      </c>
      <c r="B1713" s="3" t="s">
        <v>4607</v>
      </c>
      <c r="C1713" s="3" t="s">
        <v>1105</v>
      </c>
      <c r="D1713" s="4" t="s">
        <v>4608</v>
      </c>
      <c r="E1713" s="3" t="s">
        <v>1076</v>
      </c>
      <c r="F1713" s="3" t="s">
        <v>1736</v>
      </c>
      <c r="G1713" s="3"/>
      <c r="H1713" s="4" t="s">
        <v>4590</v>
      </c>
    </row>
    <row r="1714" ht="16.5" customHeight="1" spans="1:8">
      <c r="A1714" s="3">
        <v>1713</v>
      </c>
      <c r="B1714" s="3" t="s">
        <v>4609</v>
      </c>
      <c r="C1714" s="3" t="s">
        <v>1105</v>
      </c>
      <c r="D1714" s="4" t="s">
        <v>4610</v>
      </c>
      <c r="E1714" s="3" t="s">
        <v>1076</v>
      </c>
      <c r="F1714" s="3" t="s">
        <v>1736</v>
      </c>
      <c r="G1714" s="3"/>
      <c r="H1714" s="4" t="s">
        <v>4590</v>
      </c>
    </row>
    <row r="1715" ht="16.5" customHeight="1" spans="1:8">
      <c r="A1715" s="3">
        <v>1714</v>
      </c>
      <c r="B1715" s="3" t="s">
        <v>4611</v>
      </c>
      <c r="C1715" s="3" t="s">
        <v>1105</v>
      </c>
      <c r="D1715" s="4" t="s">
        <v>4612</v>
      </c>
      <c r="E1715" s="3" t="s">
        <v>1076</v>
      </c>
      <c r="F1715" s="3" t="s">
        <v>1736</v>
      </c>
      <c r="G1715" s="3"/>
      <c r="H1715" s="4" t="s">
        <v>4590</v>
      </c>
    </row>
    <row r="1716" ht="16.5" customHeight="1" spans="1:8">
      <c r="A1716" s="3">
        <v>1715</v>
      </c>
      <c r="B1716" s="3" t="s">
        <v>4613</v>
      </c>
      <c r="C1716" s="3" t="s">
        <v>1105</v>
      </c>
      <c r="D1716" s="4" t="s">
        <v>4614</v>
      </c>
      <c r="E1716" s="3" t="s">
        <v>1076</v>
      </c>
      <c r="F1716" s="3" t="s">
        <v>1736</v>
      </c>
      <c r="G1716" s="3"/>
      <c r="H1716" s="4" t="s">
        <v>4590</v>
      </c>
    </row>
    <row r="1717" ht="16.5" customHeight="1" spans="1:8">
      <c r="A1717" s="3">
        <v>1716</v>
      </c>
      <c r="B1717" s="3" t="s">
        <v>4615</v>
      </c>
      <c r="C1717" s="3" t="s">
        <v>1105</v>
      </c>
      <c r="D1717" s="4" t="s">
        <v>4616</v>
      </c>
      <c r="E1717" s="3" t="s">
        <v>1076</v>
      </c>
      <c r="F1717" s="3" t="s">
        <v>1736</v>
      </c>
      <c r="G1717" s="3"/>
      <c r="H1717" s="4" t="s">
        <v>4590</v>
      </c>
    </row>
    <row r="1718" ht="16.5" customHeight="1" spans="1:8">
      <c r="A1718" s="3">
        <v>1717</v>
      </c>
      <c r="B1718" s="3" t="s">
        <v>4617</v>
      </c>
      <c r="C1718" s="3" t="s">
        <v>2163</v>
      </c>
      <c r="D1718" s="4" t="s">
        <v>4618</v>
      </c>
      <c r="E1718" s="3" t="s">
        <v>1076</v>
      </c>
      <c r="F1718" s="3" t="s">
        <v>2041</v>
      </c>
      <c r="G1718" s="3" t="s">
        <v>321</v>
      </c>
      <c r="H1718" s="4" t="s">
        <v>1095</v>
      </c>
    </row>
    <row r="1719" ht="16.5" customHeight="1" spans="1:8">
      <c r="A1719" s="3">
        <v>1718</v>
      </c>
      <c r="B1719" s="3" t="s">
        <v>4619</v>
      </c>
      <c r="C1719" s="3" t="s">
        <v>1356</v>
      </c>
      <c r="D1719" s="4" t="s">
        <v>4620</v>
      </c>
      <c r="E1719" s="3" t="s">
        <v>1076</v>
      </c>
      <c r="F1719" s="3" t="s">
        <v>1736</v>
      </c>
      <c r="G1719" s="3"/>
      <c r="H1719" s="4" t="s">
        <v>1078</v>
      </c>
    </row>
    <row r="1720" ht="16.5" customHeight="1" spans="1:8">
      <c r="A1720" s="3">
        <v>1719</v>
      </c>
      <c r="B1720" s="3" t="s">
        <v>4621</v>
      </c>
      <c r="C1720" s="3" t="s">
        <v>2163</v>
      </c>
      <c r="D1720" s="4" t="s">
        <v>4622</v>
      </c>
      <c r="E1720" s="3" t="s">
        <v>1076</v>
      </c>
      <c r="F1720" s="3" t="s">
        <v>4154</v>
      </c>
      <c r="G1720" s="3"/>
      <c r="H1720" s="4" t="s">
        <v>4198</v>
      </c>
    </row>
    <row r="1721" ht="16.5" customHeight="1" spans="1:8">
      <c r="A1721" s="3">
        <v>1720</v>
      </c>
      <c r="B1721" s="3" t="s">
        <v>4623</v>
      </c>
      <c r="C1721" s="3" t="s">
        <v>1356</v>
      </c>
      <c r="D1721" s="4" t="s">
        <v>4624</v>
      </c>
      <c r="E1721" s="3" t="s">
        <v>1076</v>
      </c>
      <c r="F1721" s="3" t="s">
        <v>1358</v>
      </c>
      <c r="G1721" s="3" t="s">
        <v>321</v>
      </c>
      <c r="H1721" s="4" t="s">
        <v>1095</v>
      </c>
    </row>
    <row r="1722" ht="16.5" customHeight="1" spans="1:8">
      <c r="A1722" s="3">
        <v>1721</v>
      </c>
      <c r="B1722" s="3" t="s">
        <v>4625</v>
      </c>
      <c r="C1722" s="3" t="s">
        <v>2163</v>
      </c>
      <c r="D1722" s="4" t="s">
        <v>4626</v>
      </c>
      <c r="E1722" s="3" t="s">
        <v>1076</v>
      </c>
      <c r="F1722" s="3" t="s">
        <v>2105</v>
      </c>
      <c r="G1722" s="3" t="s">
        <v>321</v>
      </c>
      <c r="H1722" s="4" t="s">
        <v>1359</v>
      </c>
    </row>
    <row r="1723" ht="16.5" customHeight="1" spans="1:8">
      <c r="A1723" s="3">
        <v>1722</v>
      </c>
      <c r="B1723" s="3" t="s">
        <v>4627</v>
      </c>
      <c r="C1723" s="3" t="s">
        <v>2163</v>
      </c>
      <c r="D1723" s="4" t="s">
        <v>4628</v>
      </c>
      <c r="E1723" s="3" t="s">
        <v>1076</v>
      </c>
      <c r="F1723" s="3" t="s">
        <v>2105</v>
      </c>
      <c r="G1723" s="3" t="s">
        <v>321</v>
      </c>
      <c r="H1723" s="4" t="s">
        <v>1095</v>
      </c>
    </row>
    <row r="1724" ht="16.5" customHeight="1" spans="1:8">
      <c r="A1724" s="3">
        <v>1723</v>
      </c>
      <c r="B1724" s="3" t="s">
        <v>4629</v>
      </c>
      <c r="C1724" s="3" t="s">
        <v>2163</v>
      </c>
      <c r="D1724" s="4" t="s">
        <v>4630</v>
      </c>
      <c r="E1724" s="3" t="s">
        <v>1076</v>
      </c>
      <c r="F1724" s="3" t="s">
        <v>4154</v>
      </c>
      <c r="G1724" s="3"/>
      <c r="H1724" s="4" t="s">
        <v>1095</v>
      </c>
    </row>
    <row r="1725" ht="16.5" customHeight="1" spans="1:8">
      <c r="A1725" s="3">
        <v>1724</v>
      </c>
      <c r="B1725" s="3" t="s">
        <v>4631</v>
      </c>
      <c r="C1725" s="3" t="s">
        <v>1105</v>
      </c>
      <c r="D1725" s="4" t="s">
        <v>4632</v>
      </c>
      <c r="E1725" s="3" t="s">
        <v>1076</v>
      </c>
      <c r="F1725" s="3" t="s">
        <v>1736</v>
      </c>
      <c r="G1725" s="3"/>
      <c r="H1725" s="4" t="s">
        <v>4535</v>
      </c>
    </row>
    <row r="1726" ht="16.5" customHeight="1" spans="1:8">
      <c r="A1726" s="3">
        <v>1725</v>
      </c>
      <c r="B1726" s="3" t="s">
        <v>4633</v>
      </c>
      <c r="C1726" s="3" t="s">
        <v>1105</v>
      </c>
      <c r="D1726" s="4" t="s">
        <v>4634</v>
      </c>
      <c r="E1726" s="3" t="s">
        <v>1076</v>
      </c>
      <c r="F1726" s="3" t="s">
        <v>1736</v>
      </c>
      <c r="G1726" s="3"/>
      <c r="H1726" s="4" t="s">
        <v>4535</v>
      </c>
    </row>
    <row r="1727" ht="16.5" customHeight="1" spans="1:8">
      <c r="A1727" s="3">
        <v>1726</v>
      </c>
      <c r="B1727" s="3" t="s">
        <v>4635</v>
      </c>
      <c r="C1727" s="3" t="s">
        <v>1074</v>
      </c>
      <c r="D1727" s="4" t="s">
        <v>383</v>
      </c>
      <c r="E1727" s="3" t="s">
        <v>1076</v>
      </c>
      <c r="F1727" s="3" t="s">
        <v>1736</v>
      </c>
      <c r="G1727" s="3"/>
      <c r="H1727" s="4" t="s">
        <v>4636</v>
      </c>
    </row>
    <row r="1728" ht="16.5" customHeight="1" spans="1:8">
      <c r="A1728" s="3">
        <v>1727</v>
      </c>
      <c r="B1728" s="3" t="s">
        <v>4637</v>
      </c>
      <c r="C1728" s="3" t="s">
        <v>1105</v>
      </c>
      <c r="D1728" s="4" t="s">
        <v>4638</v>
      </c>
      <c r="E1728" s="3" t="s">
        <v>1076</v>
      </c>
      <c r="F1728" s="3" t="s">
        <v>1736</v>
      </c>
      <c r="G1728" s="3"/>
      <c r="H1728" s="4" t="s">
        <v>4639</v>
      </c>
    </row>
    <row r="1729" ht="16.5" customHeight="1" spans="1:8">
      <c r="A1729" s="3">
        <v>1728</v>
      </c>
      <c r="B1729" s="3" t="s">
        <v>4640</v>
      </c>
      <c r="C1729" s="3" t="s">
        <v>1105</v>
      </c>
      <c r="D1729" s="4" t="s">
        <v>4641</v>
      </c>
      <c r="E1729" s="3" t="s">
        <v>1076</v>
      </c>
      <c r="F1729" s="3" t="s">
        <v>1736</v>
      </c>
      <c r="G1729" s="3"/>
      <c r="H1729" s="4" t="s">
        <v>4639</v>
      </c>
    </row>
    <row r="1730" ht="16.5" customHeight="1" spans="1:8">
      <c r="A1730" s="3">
        <v>1729</v>
      </c>
      <c r="B1730" s="3" t="s">
        <v>4642</v>
      </c>
      <c r="C1730" s="3" t="s">
        <v>2163</v>
      </c>
      <c r="D1730" s="4" t="s">
        <v>4643</v>
      </c>
      <c r="E1730" s="3" t="s">
        <v>1076</v>
      </c>
      <c r="F1730" s="3" t="s">
        <v>4154</v>
      </c>
      <c r="G1730" s="3"/>
      <c r="H1730" s="4" t="s">
        <v>4198</v>
      </c>
    </row>
    <row r="1731" ht="16.5" customHeight="1" spans="1:8">
      <c r="A1731" s="3">
        <v>1730</v>
      </c>
      <c r="B1731" s="3" t="s">
        <v>4644</v>
      </c>
      <c r="C1731" s="3" t="s">
        <v>2163</v>
      </c>
      <c r="D1731" s="4" t="s">
        <v>4645</v>
      </c>
      <c r="E1731" s="3" t="s">
        <v>1076</v>
      </c>
      <c r="F1731" s="3" t="s">
        <v>4154</v>
      </c>
      <c r="G1731" s="3"/>
      <c r="H1731" s="4" t="s">
        <v>1308</v>
      </c>
    </row>
    <row r="1732" ht="16.5" customHeight="1" spans="1:8">
      <c r="A1732" s="3">
        <v>1731</v>
      </c>
      <c r="B1732" s="3" t="s">
        <v>4646</v>
      </c>
      <c r="C1732" s="3" t="s">
        <v>2163</v>
      </c>
      <c r="D1732" s="4" t="s">
        <v>4647</v>
      </c>
      <c r="E1732" s="3" t="s">
        <v>1076</v>
      </c>
      <c r="F1732" s="3" t="s">
        <v>2041</v>
      </c>
      <c r="G1732" s="3" t="s">
        <v>321</v>
      </c>
      <c r="H1732" s="4" t="s">
        <v>1305</v>
      </c>
    </row>
    <row r="1733" ht="16.5" customHeight="1" spans="1:8">
      <c r="A1733" s="3">
        <v>1732</v>
      </c>
      <c r="B1733" s="3" t="s">
        <v>4648</v>
      </c>
      <c r="C1733" s="3" t="s">
        <v>2163</v>
      </c>
      <c r="D1733" s="4" t="s">
        <v>4649</v>
      </c>
      <c r="E1733" s="3" t="s">
        <v>1076</v>
      </c>
      <c r="F1733" s="3" t="s">
        <v>4154</v>
      </c>
      <c r="G1733" s="3"/>
      <c r="H1733" s="4" t="s">
        <v>4198</v>
      </c>
    </row>
    <row r="1734" ht="16.5" customHeight="1" spans="1:8">
      <c r="A1734" s="3">
        <v>1733</v>
      </c>
      <c r="B1734" s="3" t="s">
        <v>4650</v>
      </c>
      <c r="C1734" s="3" t="s">
        <v>2163</v>
      </c>
      <c r="D1734" s="4" t="s">
        <v>4651</v>
      </c>
      <c r="E1734" s="3" t="s">
        <v>1076</v>
      </c>
      <c r="F1734" s="3" t="s">
        <v>2041</v>
      </c>
      <c r="G1734" s="3" t="s">
        <v>321</v>
      </c>
      <c r="H1734" s="4" t="s">
        <v>1095</v>
      </c>
    </row>
    <row r="1735" ht="16.5" customHeight="1" spans="1:8">
      <c r="A1735" s="3">
        <v>1734</v>
      </c>
      <c r="B1735" s="3" t="s">
        <v>4652</v>
      </c>
      <c r="C1735" s="3" t="s">
        <v>2163</v>
      </c>
      <c r="D1735" s="4" t="s">
        <v>4653</v>
      </c>
      <c r="E1735" s="3" t="s">
        <v>2263</v>
      </c>
      <c r="F1735" s="3" t="s">
        <v>4154</v>
      </c>
      <c r="G1735" s="3"/>
      <c r="H1735" s="4" t="s">
        <v>1308</v>
      </c>
    </row>
    <row r="1736" ht="16.5" customHeight="1" spans="1:8">
      <c r="A1736" s="3">
        <v>1735</v>
      </c>
      <c r="B1736" s="3" t="s">
        <v>4654</v>
      </c>
      <c r="C1736" s="3" t="s">
        <v>2163</v>
      </c>
      <c r="D1736" s="4" t="s">
        <v>4655</v>
      </c>
      <c r="E1736" s="3" t="s">
        <v>1076</v>
      </c>
      <c r="F1736" s="3" t="s">
        <v>4154</v>
      </c>
      <c r="G1736" s="3"/>
      <c r="H1736" s="4" t="s">
        <v>4198</v>
      </c>
    </row>
    <row r="1737" ht="16.5" customHeight="1" spans="1:8">
      <c r="A1737" s="3">
        <v>1736</v>
      </c>
      <c r="B1737" s="3" t="s">
        <v>4656</v>
      </c>
      <c r="C1737" s="3" t="s">
        <v>2163</v>
      </c>
      <c r="D1737" s="4" t="s">
        <v>4657</v>
      </c>
      <c r="E1737" s="3" t="s">
        <v>1076</v>
      </c>
      <c r="F1737" s="3" t="s">
        <v>2041</v>
      </c>
      <c r="G1737" s="3" t="s">
        <v>321</v>
      </c>
      <c r="H1737" s="4" t="s">
        <v>1305</v>
      </c>
    </row>
    <row r="1738" ht="16.5" customHeight="1" spans="1:8">
      <c r="A1738" s="3">
        <v>1737</v>
      </c>
      <c r="B1738" s="3" t="s">
        <v>4658</v>
      </c>
      <c r="C1738" s="3" t="s">
        <v>2163</v>
      </c>
      <c r="D1738" s="4" t="s">
        <v>4659</v>
      </c>
      <c r="E1738" s="3" t="s">
        <v>1076</v>
      </c>
      <c r="F1738" s="3" t="s">
        <v>1358</v>
      </c>
      <c r="G1738" s="3" t="s">
        <v>321</v>
      </c>
      <c r="H1738" s="4" t="s">
        <v>1305</v>
      </c>
    </row>
    <row r="1739" ht="16.5" customHeight="1" spans="1:8">
      <c r="A1739" s="3">
        <v>1738</v>
      </c>
      <c r="B1739" s="3" t="s">
        <v>4660</v>
      </c>
      <c r="C1739" s="3" t="s">
        <v>2163</v>
      </c>
      <c r="D1739" s="4" t="s">
        <v>4661</v>
      </c>
      <c r="E1739" s="3" t="s">
        <v>1076</v>
      </c>
      <c r="F1739" s="3" t="s">
        <v>1358</v>
      </c>
      <c r="G1739" s="3" t="s">
        <v>321</v>
      </c>
      <c r="H1739" s="4" t="s">
        <v>1359</v>
      </c>
    </row>
    <row r="1740" ht="16.5" customHeight="1" spans="1:8">
      <c r="A1740" s="3">
        <v>1739</v>
      </c>
      <c r="B1740" s="3" t="s">
        <v>4662</v>
      </c>
      <c r="C1740" s="3" t="s">
        <v>2163</v>
      </c>
      <c r="D1740" s="4" t="s">
        <v>4663</v>
      </c>
      <c r="E1740" s="3" t="s">
        <v>1076</v>
      </c>
      <c r="F1740" s="3" t="s">
        <v>2105</v>
      </c>
      <c r="G1740" s="3" t="s">
        <v>321</v>
      </c>
      <c r="H1740" s="4" t="s">
        <v>1368</v>
      </c>
    </row>
    <row r="1741" ht="16.5" customHeight="1" spans="1:8">
      <c r="A1741" s="3">
        <v>1740</v>
      </c>
      <c r="B1741" s="3" t="s">
        <v>4664</v>
      </c>
      <c r="C1741" s="3" t="s">
        <v>2163</v>
      </c>
      <c r="D1741" s="4" t="s">
        <v>4665</v>
      </c>
      <c r="E1741" s="3" t="s">
        <v>1076</v>
      </c>
      <c r="F1741" s="3" t="s">
        <v>2105</v>
      </c>
      <c r="G1741" s="3" t="s">
        <v>321</v>
      </c>
      <c r="H1741" s="4" t="s">
        <v>1305</v>
      </c>
    </row>
    <row r="1742" ht="16.5" customHeight="1" spans="1:8">
      <c r="A1742" s="3">
        <v>1741</v>
      </c>
      <c r="B1742" s="3" t="s">
        <v>4666</v>
      </c>
      <c r="C1742" s="3" t="s">
        <v>1356</v>
      </c>
      <c r="D1742" s="4" t="s">
        <v>4667</v>
      </c>
      <c r="E1742" s="3" t="s">
        <v>1076</v>
      </c>
      <c r="F1742" s="3" t="s">
        <v>4668</v>
      </c>
      <c r="G1742" s="3"/>
      <c r="H1742" s="4" t="s">
        <v>4198</v>
      </c>
    </row>
    <row r="1743" ht="16.5" customHeight="1" spans="1:8">
      <c r="A1743" s="3">
        <v>1742</v>
      </c>
      <c r="B1743" s="3" t="s">
        <v>4669</v>
      </c>
      <c r="C1743" s="3" t="s">
        <v>1356</v>
      </c>
      <c r="D1743" s="4" t="s">
        <v>4670</v>
      </c>
      <c r="E1743" s="3" t="s">
        <v>1076</v>
      </c>
      <c r="F1743" s="3" t="s">
        <v>4668</v>
      </c>
      <c r="G1743" s="3"/>
      <c r="H1743" s="4" t="s">
        <v>4198</v>
      </c>
    </row>
    <row r="1744" ht="16.5" customHeight="1" spans="1:8">
      <c r="A1744" s="3">
        <v>1743</v>
      </c>
      <c r="B1744" s="3" t="s">
        <v>4671</v>
      </c>
      <c r="C1744" s="3" t="s">
        <v>1356</v>
      </c>
      <c r="D1744" s="4" t="s">
        <v>4672</v>
      </c>
      <c r="E1744" s="3" t="s">
        <v>1076</v>
      </c>
      <c r="F1744" s="3" t="s">
        <v>4668</v>
      </c>
      <c r="G1744" s="3"/>
      <c r="H1744" s="4" t="s">
        <v>4198</v>
      </c>
    </row>
    <row r="1745" ht="16.5" customHeight="1" spans="1:8">
      <c r="A1745" s="3">
        <v>1744</v>
      </c>
      <c r="B1745" s="3" t="s">
        <v>4673</v>
      </c>
      <c r="C1745" s="3" t="s">
        <v>1356</v>
      </c>
      <c r="D1745" s="4" t="s">
        <v>4674</v>
      </c>
      <c r="E1745" s="3" t="s">
        <v>1076</v>
      </c>
      <c r="F1745" s="3" t="s">
        <v>4668</v>
      </c>
      <c r="G1745" s="3"/>
      <c r="H1745" s="4" t="s">
        <v>4198</v>
      </c>
    </row>
    <row r="1746" ht="16.5" customHeight="1" spans="1:8">
      <c r="A1746" s="3">
        <v>1745</v>
      </c>
      <c r="B1746" s="3" t="s">
        <v>4675</v>
      </c>
      <c r="C1746" s="3" t="s">
        <v>1356</v>
      </c>
      <c r="D1746" s="4" t="s">
        <v>4676</v>
      </c>
      <c r="E1746" s="3" t="s">
        <v>1076</v>
      </c>
      <c r="F1746" s="3" t="s">
        <v>4668</v>
      </c>
      <c r="G1746" s="3"/>
      <c r="H1746" s="4" t="s">
        <v>4198</v>
      </c>
    </row>
    <row r="1747" ht="16.5" customHeight="1" spans="1:8">
      <c r="A1747" s="3">
        <v>1746</v>
      </c>
      <c r="B1747" s="3" t="s">
        <v>4677</v>
      </c>
      <c r="C1747" s="3" t="s">
        <v>1356</v>
      </c>
      <c r="D1747" s="4" t="s">
        <v>4678</v>
      </c>
      <c r="E1747" s="3" t="s">
        <v>1076</v>
      </c>
      <c r="F1747" s="3" t="s">
        <v>4668</v>
      </c>
      <c r="G1747" s="3"/>
      <c r="H1747" s="4" t="s">
        <v>4198</v>
      </c>
    </row>
    <row r="1748" ht="16.5" customHeight="1" spans="1:8">
      <c r="A1748" s="3">
        <v>1747</v>
      </c>
      <c r="B1748" s="3" t="s">
        <v>4679</v>
      </c>
      <c r="C1748" s="3" t="s">
        <v>1356</v>
      </c>
      <c r="D1748" s="4" t="s">
        <v>4680</v>
      </c>
      <c r="E1748" s="3" t="s">
        <v>1076</v>
      </c>
      <c r="F1748" s="3" t="s">
        <v>4668</v>
      </c>
      <c r="G1748" s="3"/>
      <c r="H1748" s="4" t="s">
        <v>4198</v>
      </c>
    </row>
    <row r="1749" ht="16.5" customHeight="1" spans="1:8">
      <c r="A1749" s="3">
        <v>1748</v>
      </c>
      <c r="B1749" s="3" t="s">
        <v>4681</v>
      </c>
      <c r="C1749" s="3" t="s">
        <v>1105</v>
      </c>
      <c r="D1749" s="4" t="s">
        <v>4682</v>
      </c>
      <c r="E1749" s="3" t="s">
        <v>1076</v>
      </c>
      <c r="F1749" s="3" t="s">
        <v>3128</v>
      </c>
      <c r="G1749" s="3"/>
      <c r="H1749" s="4" t="s">
        <v>2030</v>
      </c>
    </row>
    <row r="1750" ht="16.5" customHeight="1" spans="1:8">
      <c r="A1750" s="3">
        <v>1749</v>
      </c>
      <c r="B1750" s="3" t="s">
        <v>4683</v>
      </c>
      <c r="C1750" s="3" t="s">
        <v>1105</v>
      </c>
      <c r="D1750" s="4" t="s">
        <v>4684</v>
      </c>
      <c r="E1750" s="3" t="s">
        <v>1076</v>
      </c>
      <c r="F1750" s="3" t="s">
        <v>3128</v>
      </c>
      <c r="G1750" s="3"/>
      <c r="H1750" s="4" t="s">
        <v>2030</v>
      </c>
    </row>
    <row r="1751" ht="16.5" customHeight="1" spans="1:8">
      <c r="A1751" s="3">
        <v>1750</v>
      </c>
      <c r="B1751" s="3" t="s">
        <v>4685</v>
      </c>
      <c r="C1751" s="3" t="s">
        <v>1105</v>
      </c>
      <c r="D1751" s="4" t="s">
        <v>3139</v>
      </c>
      <c r="E1751" s="3" t="s">
        <v>1076</v>
      </c>
      <c r="F1751" s="3" t="s">
        <v>3128</v>
      </c>
      <c r="G1751" s="3"/>
      <c r="H1751" s="4" t="s">
        <v>2030</v>
      </c>
    </row>
    <row r="1752" ht="16.5" customHeight="1" spans="1:8">
      <c r="A1752" s="3">
        <v>1751</v>
      </c>
      <c r="B1752" s="3" t="s">
        <v>4686</v>
      </c>
      <c r="C1752" s="3" t="s">
        <v>2163</v>
      </c>
      <c r="D1752" s="4" t="s">
        <v>4687</v>
      </c>
      <c r="E1752" s="3" t="s">
        <v>1076</v>
      </c>
      <c r="F1752" s="3" t="s">
        <v>2105</v>
      </c>
      <c r="G1752" s="3" t="s">
        <v>321</v>
      </c>
      <c r="H1752" s="4" t="s">
        <v>1305</v>
      </c>
    </row>
    <row r="1753" ht="16.5" customHeight="1" spans="1:8">
      <c r="A1753" s="3">
        <v>1752</v>
      </c>
      <c r="B1753" s="3" t="s">
        <v>4688</v>
      </c>
      <c r="C1753" s="3" t="s">
        <v>1356</v>
      </c>
      <c r="D1753" s="4" t="s">
        <v>4689</v>
      </c>
      <c r="E1753" s="3" t="s">
        <v>1076</v>
      </c>
      <c r="F1753" s="3" t="s">
        <v>4110</v>
      </c>
      <c r="G1753" s="3"/>
      <c r="H1753" s="4" t="s">
        <v>1095</v>
      </c>
    </row>
    <row r="1754" ht="16.5" customHeight="1" spans="1:8">
      <c r="A1754" s="3">
        <v>1753</v>
      </c>
      <c r="B1754" s="3" t="s">
        <v>4690</v>
      </c>
      <c r="C1754" s="3" t="s">
        <v>1356</v>
      </c>
      <c r="D1754" s="4" t="s">
        <v>4691</v>
      </c>
      <c r="E1754" s="3" t="s">
        <v>1076</v>
      </c>
      <c r="F1754" s="3" t="s">
        <v>1358</v>
      </c>
      <c r="G1754" s="3" t="s">
        <v>321</v>
      </c>
      <c r="H1754" s="4" t="s">
        <v>1883</v>
      </c>
    </row>
    <row r="1755" ht="16.5" customHeight="1" spans="1:8">
      <c r="A1755" s="3">
        <v>1754</v>
      </c>
      <c r="B1755" s="3" t="s">
        <v>4692</v>
      </c>
      <c r="C1755" s="3" t="s">
        <v>1105</v>
      </c>
      <c r="D1755" s="4" t="s">
        <v>4693</v>
      </c>
      <c r="E1755" s="3" t="s">
        <v>1739</v>
      </c>
      <c r="F1755" s="3" t="s">
        <v>1350</v>
      </c>
      <c r="G1755" s="3"/>
      <c r="H1755" s="4" t="s">
        <v>4694</v>
      </c>
    </row>
    <row r="1756" ht="16.5" customHeight="1" spans="1:8">
      <c r="A1756" s="3">
        <v>1755</v>
      </c>
      <c r="B1756" s="3" t="s">
        <v>4695</v>
      </c>
      <c r="C1756" s="3" t="s">
        <v>2163</v>
      </c>
      <c r="D1756" s="4" t="s">
        <v>4696</v>
      </c>
      <c r="E1756" s="3" t="s">
        <v>1076</v>
      </c>
      <c r="F1756" s="3" t="s">
        <v>2105</v>
      </c>
      <c r="G1756" s="3" t="s">
        <v>321</v>
      </c>
      <c r="H1756" s="4" t="s">
        <v>1305</v>
      </c>
    </row>
    <row r="1757" ht="16.5" customHeight="1" spans="1:8">
      <c r="A1757" s="3">
        <v>1756</v>
      </c>
      <c r="B1757" s="3" t="s">
        <v>4697</v>
      </c>
      <c r="C1757" s="3" t="s">
        <v>2163</v>
      </c>
      <c r="D1757" s="4" t="s">
        <v>4698</v>
      </c>
      <c r="E1757" s="3" t="s">
        <v>1076</v>
      </c>
      <c r="F1757" s="3" t="s">
        <v>2105</v>
      </c>
      <c r="G1757" s="3" t="s">
        <v>321</v>
      </c>
      <c r="H1757" s="4" t="s">
        <v>1359</v>
      </c>
    </row>
    <row r="1758" ht="16.5" customHeight="1" spans="1:8">
      <c r="A1758" s="3">
        <v>1757</v>
      </c>
      <c r="B1758" s="3" t="s">
        <v>4699</v>
      </c>
      <c r="C1758" s="3" t="s">
        <v>2163</v>
      </c>
      <c r="D1758" s="4" t="s">
        <v>4700</v>
      </c>
      <c r="E1758" s="3" t="s">
        <v>1076</v>
      </c>
      <c r="F1758" s="3" t="s">
        <v>2105</v>
      </c>
      <c r="G1758" s="3" t="s">
        <v>321</v>
      </c>
      <c r="H1758" s="4" t="s">
        <v>1368</v>
      </c>
    </row>
    <row r="1759" ht="16.5" customHeight="1" spans="1:8">
      <c r="A1759" s="3">
        <v>1758</v>
      </c>
      <c r="B1759" s="3" t="s">
        <v>4701</v>
      </c>
      <c r="C1759" s="3" t="s">
        <v>2163</v>
      </c>
      <c r="D1759" s="4" t="s">
        <v>4702</v>
      </c>
      <c r="E1759" s="3" t="s">
        <v>1076</v>
      </c>
      <c r="F1759" s="3" t="s">
        <v>4154</v>
      </c>
      <c r="G1759" s="3"/>
      <c r="H1759" s="4" t="s">
        <v>4198</v>
      </c>
    </row>
    <row r="1760" ht="16.5" customHeight="1" spans="1:8">
      <c r="A1760" s="3">
        <v>1759</v>
      </c>
      <c r="B1760" s="3" t="s">
        <v>4703</v>
      </c>
      <c r="C1760" s="3" t="s">
        <v>1074</v>
      </c>
      <c r="D1760" s="4" t="s">
        <v>4704</v>
      </c>
      <c r="E1760" s="3" t="s">
        <v>1076</v>
      </c>
      <c r="F1760" s="3" t="s">
        <v>1736</v>
      </c>
      <c r="G1760" s="3"/>
      <c r="H1760" s="4" t="s">
        <v>4117</v>
      </c>
    </row>
    <row r="1761" ht="16.5" customHeight="1" spans="1:8">
      <c r="A1761" s="3">
        <v>1760</v>
      </c>
      <c r="B1761" s="3" t="s">
        <v>4705</v>
      </c>
      <c r="C1761" s="3" t="s">
        <v>1105</v>
      </c>
      <c r="D1761" s="4" t="s">
        <v>4706</v>
      </c>
      <c r="E1761" s="3" t="s">
        <v>1076</v>
      </c>
      <c r="F1761" s="3" t="s">
        <v>1736</v>
      </c>
      <c r="G1761" s="3"/>
      <c r="H1761" s="4" t="s">
        <v>4707</v>
      </c>
    </row>
    <row r="1762" ht="16.5" customHeight="1" spans="1:8">
      <c r="A1762" s="3">
        <v>1761</v>
      </c>
      <c r="B1762" s="3" t="s">
        <v>4708</v>
      </c>
      <c r="C1762" s="3" t="s">
        <v>1105</v>
      </c>
      <c r="D1762" s="4" t="s">
        <v>4709</v>
      </c>
      <c r="E1762" s="3" t="s">
        <v>1076</v>
      </c>
      <c r="F1762" s="3" t="s">
        <v>1736</v>
      </c>
      <c r="G1762" s="3"/>
      <c r="H1762" s="4" t="s">
        <v>4707</v>
      </c>
    </row>
    <row r="1763" ht="16.5" customHeight="1" spans="1:8">
      <c r="A1763" s="3">
        <v>1762</v>
      </c>
      <c r="B1763" s="3" t="s">
        <v>4710</v>
      </c>
      <c r="C1763" s="3" t="s">
        <v>1105</v>
      </c>
      <c r="D1763" s="4" t="s">
        <v>4711</v>
      </c>
      <c r="E1763" s="3" t="s">
        <v>1076</v>
      </c>
      <c r="F1763" s="3" t="s">
        <v>1350</v>
      </c>
      <c r="G1763" s="3"/>
      <c r="H1763" s="4" t="s">
        <v>4694</v>
      </c>
    </row>
    <row r="1764" ht="16.5" customHeight="1" spans="1:8">
      <c r="A1764" s="3">
        <v>1763</v>
      </c>
      <c r="B1764" s="3" t="s">
        <v>4712</v>
      </c>
      <c r="C1764" s="3" t="s">
        <v>4369</v>
      </c>
      <c r="D1764" s="4" t="s">
        <v>4713</v>
      </c>
      <c r="E1764" s="3" t="s">
        <v>1218</v>
      </c>
      <c r="F1764" s="3" t="s">
        <v>4371</v>
      </c>
      <c r="G1764" s="3"/>
      <c r="H1764" s="4"/>
    </row>
    <row r="1765" ht="16.5" customHeight="1" spans="1:8">
      <c r="A1765" s="3">
        <v>1764</v>
      </c>
      <c r="B1765" s="3" t="s">
        <v>4714</v>
      </c>
      <c r="C1765" s="3" t="s">
        <v>4373</v>
      </c>
      <c r="D1765" s="4" t="s">
        <v>4374</v>
      </c>
      <c r="E1765" s="3" t="s">
        <v>1218</v>
      </c>
      <c r="F1765" s="3" t="s">
        <v>4371</v>
      </c>
      <c r="G1765" s="3"/>
      <c r="H1765" s="4" t="s">
        <v>4715</v>
      </c>
    </row>
    <row r="1766" ht="16.5" customHeight="1" spans="1:8">
      <c r="A1766" s="3">
        <v>1765</v>
      </c>
      <c r="B1766" s="3" t="s">
        <v>4716</v>
      </c>
      <c r="C1766" s="3" t="s">
        <v>4373</v>
      </c>
      <c r="D1766" s="4" t="s">
        <v>4377</v>
      </c>
      <c r="E1766" s="3" t="s">
        <v>1218</v>
      </c>
      <c r="F1766" s="3" t="s">
        <v>4371</v>
      </c>
      <c r="G1766" s="3"/>
      <c r="H1766" s="4" t="s">
        <v>4715</v>
      </c>
    </row>
    <row r="1767" ht="16.5" customHeight="1" spans="1:8">
      <c r="A1767" s="3">
        <v>1766</v>
      </c>
      <c r="B1767" s="3" t="s">
        <v>4717</v>
      </c>
      <c r="C1767" s="3" t="s">
        <v>4373</v>
      </c>
      <c r="D1767" s="4" t="s">
        <v>4379</v>
      </c>
      <c r="E1767" s="3" t="s">
        <v>1218</v>
      </c>
      <c r="F1767" s="3" t="s">
        <v>4371</v>
      </c>
      <c r="G1767" s="3"/>
      <c r="H1767" s="4" t="s">
        <v>4715</v>
      </c>
    </row>
    <row r="1768" ht="16.5" customHeight="1" spans="1:8">
      <c r="A1768" s="3">
        <v>1767</v>
      </c>
      <c r="B1768" s="3" t="s">
        <v>4718</v>
      </c>
      <c r="C1768" s="3" t="s">
        <v>4373</v>
      </c>
      <c r="D1768" s="4" t="s">
        <v>4381</v>
      </c>
      <c r="E1768" s="3" t="s">
        <v>1218</v>
      </c>
      <c r="F1768" s="3" t="s">
        <v>4371</v>
      </c>
      <c r="G1768" s="3"/>
      <c r="H1768" s="4" t="s">
        <v>4715</v>
      </c>
    </row>
    <row r="1769" ht="16.5" customHeight="1" spans="1:8">
      <c r="A1769" s="3">
        <v>1768</v>
      </c>
      <c r="B1769" s="3" t="s">
        <v>4719</v>
      </c>
      <c r="C1769" s="3" t="s">
        <v>4373</v>
      </c>
      <c r="D1769" s="4" t="s">
        <v>4383</v>
      </c>
      <c r="E1769" s="3" t="s">
        <v>1218</v>
      </c>
      <c r="F1769" s="3" t="s">
        <v>4371</v>
      </c>
      <c r="G1769" s="3"/>
      <c r="H1769" s="4" t="s">
        <v>4715</v>
      </c>
    </row>
    <row r="1770" ht="16.5" customHeight="1" spans="1:8">
      <c r="A1770" s="3">
        <v>1769</v>
      </c>
      <c r="B1770" s="3" t="s">
        <v>4720</v>
      </c>
      <c r="C1770" s="3" t="s">
        <v>4373</v>
      </c>
      <c r="D1770" s="4" t="s">
        <v>4385</v>
      </c>
      <c r="E1770" s="3" t="s">
        <v>1218</v>
      </c>
      <c r="F1770" s="3" t="s">
        <v>4371</v>
      </c>
      <c r="G1770" s="3"/>
      <c r="H1770" s="4" t="s">
        <v>4715</v>
      </c>
    </row>
    <row r="1771" ht="16.5" customHeight="1" spans="1:8">
      <c r="A1771" s="3">
        <v>1770</v>
      </c>
      <c r="B1771" s="3" t="s">
        <v>4721</v>
      </c>
      <c r="C1771" s="3" t="s">
        <v>4373</v>
      </c>
      <c r="D1771" s="4" t="s">
        <v>4387</v>
      </c>
      <c r="E1771" s="3" t="s">
        <v>1218</v>
      </c>
      <c r="F1771" s="3" t="s">
        <v>4371</v>
      </c>
      <c r="G1771" s="3"/>
      <c r="H1771" s="4" t="s">
        <v>4715</v>
      </c>
    </row>
    <row r="1772" ht="16.5" customHeight="1" spans="1:8">
      <c r="A1772" s="3">
        <v>1771</v>
      </c>
      <c r="B1772" s="3" t="s">
        <v>4722</v>
      </c>
      <c r="C1772" s="3" t="s">
        <v>4373</v>
      </c>
      <c r="D1772" s="4" t="s">
        <v>4389</v>
      </c>
      <c r="E1772" s="3" t="s">
        <v>1218</v>
      </c>
      <c r="F1772" s="3" t="s">
        <v>4371</v>
      </c>
      <c r="G1772" s="3"/>
      <c r="H1772" s="4" t="s">
        <v>4715</v>
      </c>
    </row>
    <row r="1773" ht="16.5" customHeight="1" spans="1:8">
      <c r="A1773" s="3">
        <v>1772</v>
      </c>
      <c r="B1773" s="3" t="s">
        <v>4723</v>
      </c>
      <c r="C1773" s="3" t="s">
        <v>4373</v>
      </c>
      <c r="D1773" s="4" t="s">
        <v>4391</v>
      </c>
      <c r="E1773" s="3" t="s">
        <v>1218</v>
      </c>
      <c r="F1773" s="3" t="s">
        <v>4371</v>
      </c>
      <c r="G1773" s="3"/>
      <c r="H1773" s="4" t="s">
        <v>4715</v>
      </c>
    </row>
    <row r="1774" ht="16.5" customHeight="1" spans="1:8">
      <c r="A1774" s="3">
        <v>1773</v>
      </c>
      <c r="B1774" s="3" t="s">
        <v>4724</v>
      </c>
      <c r="C1774" s="3" t="s">
        <v>4373</v>
      </c>
      <c r="D1774" s="4" t="s">
        <v>4393</v>
      </c>
      <c r="E1774" s="3" t="s">
        <v>1218</v>
      </c>
      <c r="F1774" s="3" t="s">
        <v>4371</v>
      </c>
      <c r="G1774" s="3"/>
      <c r="H1774" s="4" t="s">
        <v>4715</v>
      </c>
    </row>
    <row r="1775" ht="16.5" customHeight="1" spans="1:8">
      <c r="A1775" s="3">
        <v>1774</v>
      </c>
      <c r="B1775" s="3" t="s">
        <v>4725</v>
      </c>
      <c r="C1775" s="3" t="s">
        <v>4373</v>
      </c>
      <c r="D1775" s="4" t="s">
        <v>4395</v>
      </c>
      <c r="E1775" s="3" t="s">
        <v>1218</v>
      </c>
      <c r="F1775" s="3" t="s">
        <v>4371</v>
      </c>
      <c r="G1775" s="3"/>
      <c r="H1775" s="4" t="s">
        <v>4715</v>
      </c>
    </row>
    <row r="1776" ht="16.5" customHeight="1" spans="1:8">
      <c r="A1776" s="3">
        <v>1775</v>
      </c>
      <c r="B1776" s="3" t="s">
        <v>4726</v>
      </c>
      <c r="C1776" s="3" t="s">
        <v>4373</v>
      </c>
      <c r="D1776" s="4" t="s">
        <v>4397</v>
      </c>
      <c r="E1776" s="3" t="s">
        <v>1218</v>
      </c>
      <c r="F1776" s="3" t="s">
        <v>4371</v>
      </c>
      <c r="G1776" s="3"/>
      <c r="H1776" s="4" t="s">
        <v>4715</v>
      </c>
    </row>
    <row r="1777" ht="16.5" customHeight="1" spans="1:8">
      <c r="A1777" s="3">
        <v>1776</v>
      </c>
      <c r="B1777" s="3" t="s">
        <v>4727</v>
      </c>
      <c r="C1777" s="3" t="s">
        <v>4373</v>
      </c>
      <c r="D1777" s="4" t="s">
        <v>4399</v>
      </c>
      <c r="E1777" s="3" t="s">
        <v>1218</v>
      </c>
      <c r="F1777" s="3" t="s">
        <v>4371</v>
      </c>
      <c r="G1777" s="3"/>
      <c r="H1777" s="4" t="s">
        <v>4715</v>
      </c>
    </row>
    <row r="1778" ht="16.5" customHeight="1" spans="1:8">
      <c r="A1778" s="3">
        <v>1777</v>
      </c>
      <c r="B1778" s="3" t="s">
        <v>4728</v>
      </c>
      <c r="C1778" s="3" t="s">
        <v>4373</v>
      </c>
      <c r="D1778" s="4" t="s">
        <v>4401</v>
      </c>
      <c r="E1778" s="3" t="s">
        <v>1218</v>
      </c>
      <c r="F1778" s="3" t="s">
        <v>4371</v>
      </c>
      <c r="G1778" s="3"/>
      <c r="H1778" s="4" t="s">
        <v>4715</v>
      </c>
    </row>
    <row r="1779" ht="16.5" customHeight="1" spans="1:8">
      <c r="A1779" s="3">
        <v>1778</v>
      </c>
      <c r="B1779" s="3" t="s">
        <v>4729</v>
      </c>
      <c r="C1779" s="3" t="s">
        <v>2163</v>
      </c>
      <c r="D1779" s="4" t="s">
        <v>4730</v>
      </c>
      <c r="E1779" s="3" t="s">
        <v>1076</v>
      </c>
      <c r="F1779" s="3" t="s">
        <v>2105</v>
      </c>
      <c r="G1779" s="3" t="s">
        <v>321</v>
      </c>
      <c r="H1779" s="4" t="s">
        <v>1095</v>
      </c>
    </row>
    <row r="1780" ht="16.5" customHeight="1" spans="1:8">
      <c r="A1780" s="3">
        <v>1779</v>
      </c>
      <c r="B1780" s="3" t="s">
        <v>4731</v>
      </c>
      <c r="C1780" s="3" t="s">
        <v>2163</v>
      </c>
      <c r="D1780" s="4" t="s">
        <v>4732</v>
      </c>
      <c r="E1780" s="3" t="s">
        <v>2263</v>
      </c>
      <c r="F1780" s="3" t="s">
        <v>2105</v>
      </c>
      <c r="G1780" s="3" t="s">
        <v>321</v>
      </c>
      <c r="H1780" s="4" t="s">
        <v>1095</v>
      </c>
    </row>
    <row r="1781" ht="16.5" customHeight="1" spans="1:8">
      <c r="A1781" s="3">
        <v>1780</v>
      </c>
      <c r="B1781" s="3" t="s">
        <v>4733</v>
      </c>
      <c r="C1781" s="3" t="s">
        <v>2163</v>
      </c>
      <c r="D1781" s="4" t="s">
        <v>4734</v>
      </c>
      <c r="E1781" s="3" t="s">
        <v>1076</v>
      </c>
      <c r="F1781" s="3" t="s">
        <v>4154</v>
      </c>
      <c r="G1781" s="3"/>
      <c r="H1781" s="4" t="s">
        <v>1095</v>
      </c>
    </row>
    <row r="1782" ht="16.5" customHeight="1" spans="1:8">
      <c r="A1782" s="3">
        <v>1781</v>
      </c>
      <c r="B1782" s="3" t="s">
        <v>4735</v>
      </c>
      <c r="C1782" s="3" t="s">
        <v>1074</v>
      </c>
      <c r="D1782" s="4" t="s">
        <v>4736</v>
      </c>
      <c r="E1782" s="3" t="s">
        <v>1218</v>
      </c>
      <c r="F1782" s="3" t="s">
        <v>1077</v>
      </c>
      <c r="G1782" s="3"/>
      <c r="H1782" s="4" t="s">
        <v>1359</v>
      </c>
    </row>
    <row r="1783" ht="16.5" customHeight="1" spans="1:8">
      <c r="A1783" s="3">
        <v>1782</v>
      </c>
      <c r="B1783" s="3" t="s">
        <v>4737</v>
      </c>
      <c r="C1783" s="3" t="s">
        <v>1074</v>
      </c>
      <c r="D1783" s="4" t="s">
        <v>4738</v>
      </c>
      <c r="E1783" s="3" t="s">
        <v>1218</v>
      </c>
      <c r="F1783" s="3" t="s">
        <v>1077</v>
      </c>
      <c r="G1783" s="3"/>
      <c r="H1783" s="4" t="s">
        <v>1359</v>
      </c>
    </row>
    <row r="1784" ht="16.5" customHeight="1" spans="1:8">
      <c r="A1784" s="3">
        <v>1783</v>
      </c>
      <c r="B1784" s="3" t="s">
        <v>4739</v>
      </c>
      <c r="C1784" s="3" t="s">
        <v>1074</v>
      </c>
      <c r="D1784" s="4" t="s">
        <v>4740</v>
      </c>
      <c r="E1784" s="3" t="s">
        <v>1076</v>
      </c>
      <c r="F1784" s="3" t="s">
        <v>1077</v>
      </c>
      <c r="G1784" s="3"/>
      <c r="H1784" s="4"/>
    </row>
    <row r="1785" ht="16.5" customHeight="1" spans="1:8">
      <c r="A1785" s="3">
        <v>1784</v>
      </c>
      <c r="B1785" s="3" t="s">
        <v>4741</v>
      </c>
      <c r="C1785" s="3" t="s">
        <v>2163</v>
      </c>
      <c r="D1785" s="4" t="s">
        <v>4742</v>
      </c>
      <c r="E1785" s="3" t="s">
        <v>1076</v>
      </c>
      <c r="F1785" s="3" t="s">
        <v>2105</v>
      </c>
      <c r="G1785" s="3" t="s">
        <v>321</v>
      </c>
      <c r="H1785" s="4" t="s">
        <v>1305</v>
      </c>
    </row>
    <row r="1786" ht="16.5" customHeight="1" spans="1:8">
      <c r="A1786" s="3">
        <v>1785</v>
      </c>
      <c r="B1786" s="3" t="s">
        <v>4743</v>
      </c>
      <c r="C1786" s="3" t="s">
        <v>2163</v>
      </c>
      <c r="D1786" s="4" t="s">
        <v>4744</v>
      </c>
      <c r="E1786" s="3" t="s">
        <v>1076</v>
      </c>
      <c r="F1786" s="3" t="s">
        <v>4154</v>
      </c>
      <c r="G1786" s="3"/>
      <c r="H1786" s="4" t="s">
        <v>4198</v>
      </c>
    </row>
    <row r="1787" ht="16.5" customHeight="1" spans="1:8">
      <c r="A1787" s="3">
        <v>1786</v>
      </c>
      <c r="B1787" s="3" t="s">
        <v>4745</v>
      </c>
      <c r="C1787" s="3" t="s">
        <v>2163</v>
      </c>
      <c r="D1787" s="4" t="s">
        <v>4746</v>
      </c>
      <c r="E1787" s="3" t="s">
        <v>1076</v>
      </c>
      <c r="F1787" s="3" t="s">
        <v>4154</v>
      </c>
      <c r="G1787" s="3"/>
      <c r="H1787" s="4" t="s">
        <v>4198</v>
      </c>
    </row>
    <row r="1788" ht="16.5" customHeight="1" spans="1:8">
      <c r="A1788" s="3">
        <v>1787</v>
      </c>
      <c r="B1788" s="3" t="s">
        <v>4747</v>
      </c>
      <c r="C1788" s="3" t="s">
        <v>2163</v>
      </c>
      <c r="D1788" s="4" t="s">
        <v>4748</v>
      </c>
      <c r="E1788" s="3" t="s">
        <v>1076</v>
      </c>
      <c r="F1788" s="3" t="s">
        <v>2105</v>
      </c>
      <c r="G1788" s="3" t="s">
        <v>321</v>
      </c>
      <c r="H1788" s="4" t="s">
        <v>1305</v>
      </c>
    </row>
    <row r="1789" ht="16.5" customHeight="1" spans="1:8">
      <c r="A1789" s="3">
        <v>1788</v>
      </c>
      <c r="B1789" s="3" t="s">
        <v>4749</v>
      </c>
      <c r="C1789" s="3" t="s">
        <v>2163</v>
      </c>
      <c r="D1789" s="4" t="s">
        <v>4750</v>
      </c>
      <c r="E1789" s="3" t="s">
        <v>1076</v>
      </c>
      <c r="F1789" s="3" t="s">
        <v>4154</v>
      </c>
      <c r="G1789" s="3"/>
      <c r="H1789" s="4" t="s">
        <v>4198</v>
      </c>
    </row>
    <row r="1790" ht="16.5" customHeight="1" spans="1:8">
      <c r="A1790" s="3">
        <v>1789</v>
      </c>
      <c r="B1790" s="3" t="s">
        <v>4751</v>
      </c>
      <c r="C1790" s="3" t="s">
        <v>2163</v>
      </c>
      <c r="D1790" s="4" t="s">
        <v>4752</v>
      </c>
      <c r="E1790" s="3" t="s">
        <v>1076</v>
      </c>
      <c r="F1790" s="3" t="s">
        <v>4154</v>
      </c>
      <c r="G1790" s="3"/>
      <c r="H1790" s="4" t="s">
        <v>4198</v>
      </c>
    </row>
    <row r="1791" ht="16.5" customHeight="1" spans="1:8">
      <c r="A1791" s="3">
        <v>1790</v>
      </c>
      <c r="B1791" s="3" t="s">
        <v>4753</v>
      </c>
      <c r="C1791" s="3" t="s">
        <v>1356</v>
      </c>
      <c r="D1791" s="4" t="s">
        <v>4754</v>
      </c>
      <c r="E1791" s="3" t="s">
        <v>1076</v>
      </c>
      <c r="F1791" s="3" t="s">
        <v>4154</v>
      </c>
      <c r="G1791" s="3"/>
      <c r="H1791" s="4" t="s">
        <v>4198</v>
      </c>
    </row>
    <row r="1792" ht="16.5" customHeight="1" spans="1:8">
      <c r="A1792" s="3">
        <v>1791</v>
      </c>
      <c r="B1792" s="3" t="s">
        <v>4755</v>
      </c>
      <c r="C1792" s="3" t="s">
        <v>2163</v>
      </c>
      <c r="D1792" s="4" t="s">
        <v>4756</v>
      </c>
      <c r="E1792" s="3" t="s">
        <v>1076</v>
      </c>
      <c r="F1792" s="3" t="s">
        <v>4154</v>
      </c>
      <c r="G1792" s="3"/>
      <c r="H1792" s="4" t="s">
        <v>4198</v>
      </c>
    </row>
    <row r="1793" ht="16.5" customHeight="1" spans="1:8">
      <c r="A1793" s="3">
        <v>1792</v>
      </c>
      <c r="B1793" s="3" t="s">
        <v>4757</v>
      </c>
      <c r="C1793" s="3" t="s">
        <v>2163</v>
      </c>
      <c r="D1793" s="4" t="s">
        <v>4758</v>
      </c>
      <c r="E1793" s="3" t="s">
        <v>1076</v>
      </c>
      <c r="F1793" s="3" t="s">
        <v>4154</v>
      </c>
      <c r="G1793" s="3"/>
      <c r="H1793" s="4" t="s">
        <v>4198</v>
      </c>
    </row>
    <row r="1794" ht="16.5" customHeight="1" spans="1:8">
      <c r="A1794" s="3">
        <v>1793</v>
      </c>
      <c r="B1794" s="3" t="s">
        <v>4759</v>
      </c>
      <c r="C1794" s="3" t="s">
        <v>2163</v>
      </c>
      <c r="D1794" s="4" t="s">
        <v>4760</v>
      </c>
      <c r="E1794" s="3" t="s">
        <v>1076</v>
      </c>
      <c r="F1794" s="3" t="s">
        <v>4154</v>
      </c>
      <c r="G1794" s="3"/>
      <c r="H1794" s="4" t="s">
        <v>4198</v>
      </c>
    </row>
    <row r="1795" ht="16.5" customHeight="1" spans="1:8">
      <c r="A1795" s="3">
        <v>1794</v>
      </c>
      <c r="B1795" s="3" t="s">
        <v>4761</v>
      </c>
      <c r="C1795" s="3" t="s">
        <v>2163</v>
      </c>
      <c r="D1795" s="4" t="s">
        <v>4762</v>
      </c>
      <c r="E1795" s="3" t="s">
        <v>1076</v>
      </c>
      <c r="F1795" s="3" t="s">
        <v>4154</v>
      </c>
      <c r="G1795" s="3"/>
      <c r="H1795" s="4" t="s">
        <v>4198</v>
      </c>
    </row>
    <row r="1796" ht="16.5" customHeight="1" spans="1:8">
      <c r="A1796" s="3">
        <v>1795</v>
      </c>
      <c r="B1796" s="3" t="s">
        <v>4763</v>
      </c>
      <c r="C1796" s="3" t="s">
        <v>2163</v>
      </c>
      <c r="D1796" s="4" t="s">
        <v>4764</v>
      </c>
      <c r="E1796" s="3" t="s">
        <v>1076</v>
      </c>
      <c r="F1796" s="3" t="s">
        <v>4154</v>
      </c>
      <c r="G1796" s="3"/>
      <c r="H1796" s="4" t="s">
        <v>4198</v>
      </c>
    </row>
    <row r="1797" ht="16.5" customHeight="1" spans="1:8">
      <c r="A1797" s="3">
        <v>1796</v>
      </c>
      <c r="B1797" s="3" t="s">
        <v>4765</v>
      </c>
      <c r="C1797" s="3" t="s">
        <v>2163</v>
      </c>
      <c r="D1797" s="4" t="s">
        <v>4766</v>
      </c>
      <c r="E1797" s="3" t="s">
        <v>1076</v>
      </c>
      <c r="F1797" s="3" t="s">
        <v>4154</v>
      </c>
      <c r="G1797" s="3"/>
      <c r="H1797" s="4" t="s">
        <v>4198</v>
      </c>
    </row>
    <row r="1798" ht="16.5" customHeight="1" spans="1:8">
      <c r="A1798" s="3">
        <v>1797</v>
      </c>
      <c r="B1798" s="3" t="s">
        <v>4767</v>
      </c>
      <c r="C1798" s="3" t="s">
        <v>2163</v>
      </c>
      <c r="D1798" s="4" t="s">
        <v>4768</v>
      </c>
      <c r="E1798" s="3" t="s">
        <v>1076</v>
      </c>
      <c r="F1798" s="3" t="s">
        <v>4154</v>
      </c>
      <c r="G1798" s="3"/>
      <c r="H1798" s="4" t="s">
        <v>4198</v>
      </c>
    </row>
    <row r="1799" ht="16.5" customHeight="1" spans="1:8">
      <c r="A1799" s="3">
        <v>1798</v>
      </c>
      <c r="B1799" s="3" t="s">
        <v>4769</v>
      </c>
      <c r="C1799" s="3" t="s">
        <v>2163</v>
      </c>
      <c r="D1799" s="4" t="s">
        <v>4770</v>
      </c>
      <c r="E1799" s="3" t="s">
        <v>1076</v>
      </c>
      <c r="F1799" s="3" t="s">
        <v>4154</v>
      </c>
      <c r="G1799" s="3"/>
      <c r="H1799" s="4" t="s">
        <v>4198</v>
      </c>
    </row>
    <row r="1800" ht="16.5" customHeight="1" spans="1:8">
      <c r="A1800" s="3">
        <v>1799</v>
      </c>
      <c r="B1800" s="3" t="s">
        <v>4771</v>
      </c>
      <c r="C1800" s="3" t="s">
        <v>2163</v>
      </c>
      <c r="D1800" s="4" t="s">
        <v>4772</v>
      </c>
      <c r="E1800" s="3" t="s">
        <v>1076</v>
      </c>
      <c r="F1800" s="3" t="s">
        <v>4154</v>
      </c>
      <c r="G1800" s="3"/>
      <c r="H1800" s="4" t="s">
        <v>1305</v>
      </c>
    </row>
    <row r="1801" ht="16.5" customHeight="1" spans="1:8">
      <c r="A1801" s="3">
        <v>1800</v>
      </c>
      <c r="B1801" s="3" t="s">
        <v>4773</v>
      </c>
      <c r="C1801" s="3" t="s">
        <v>2163</v>
      </c>
      <c r="D1801" s="4" t="s">
        <v>4774</v>
      </c>
      <c r="E1801" s="3" t="s">
        <v>1076</v>
      </c>
      <c r="F1801" s="3" t="s">
        <v>4154</v>
      </c>
      <c r="G1801" s="3"/>
      <c r="H1801" s="4" t="s">
        <v>1305</v>
      </c>
    </row>
    <row r="1802" ht="16.5" customHeight="1" spans="1:8">
      <c r="A1802" s="3">
        <v>1801</v>
      </c>
      <c r="B1802" s="3" t="s">
        <v>4775</v>
      </c>
      <c r="C1802" s="3" t="s">
        <v>2163</v>
      </c>
      <c r="D1802" s="4" t="s">
        <v>4776</v>
      </c>
      <c r="E1802" s="3" t="s">
        <v>1076</v>
      </c>
      <c r="F1802" s="3" t="s">
        <v>4154</v>
      </c>
      <c r="G1802" s="3"/>
      <c r="H1802" s="4" t="s">
        <v>1305</v>
      </c>
    </row>
    <row r="1803" ht="16.5" customHeight="1" spans="1:8">
      <c r="A1803" s="3">
        <v>1802</v>
      </c>
      <c r="B1803" s="3" t="s">
        <v>4777</v>
      </c>
      <c r="C1803" s="3" t="s">
        <v>2163</v>
      </c>
      <c r="D1803" s="4" t="s">
        <v>4778</v>
      </c>
      <c r="E1803" s="3" t="s">
        <v>1076</v>
      </c>
      <c r="F1803" s="3" t="s">
        <v>4154</v>
      </c>
      <c r="G1803" s="3"/>
      <c r="H1803" s="4" t="s">
        <v>1305</v>
      </c>
    </row>
    <row r="1804" ht="16.5" customHeight="1" spans="1:8">
      <c r="A1804" s="3">
        <v>1803</v>
      </c>
      <c r="B1804" s="3" t="s">
        <v>4779</v>
      </c>
      <c r="C1804" s="3" t="s">
        <v>2163</v>
      </c>
      <c r="D1804" s="4" t="s">
        <v>4780</v>
      </c>
      <c r="E1804" s="3" t="s">
        <v>1076</v>
      </c>
      <c r="F1804" s="3" t="s">
        <v>4154</v>
      </c>
      <c r="G1804" s="3"/>
      <c r="H1804" s="4" t="s">
        <v>1305</v>
      </c>
    </row>
    <row r="1805" ht="16.5" customHeight="1" spans="1:8">
      <c r="A1805" s="3">
        <v>1804</v>
      </c>
      <c r="B1805" s="3" t="s">
        <v>4781</v>
      </c>
      <c r="C1805" s="3" t="s">
        <v>2163</v>
      </c>
      <c r="D1805" s="4" t="s">
        <v>4782</v>
      </c>
      <c r="E1805" s="3" t="s">
        <v>2726</v>
      </c>
      <c r="F1805" s="3" t="s">
        <v>2105</v>
      </c>
      <c r="G1805" s="3" t="s">
        <v>321</v>
      </c>
      <c r="H1805" s="4" t="s">
        <v>1308</v>
      </c>
    </row>
    <row r="1806" ht="16.5" customHeight="1" spans="1:8">
      <c r="A1806" s="3">
        <v>1805</v>
      </c>
      <c r="B1806" s="3" t="s">
        <v>4783</v>
      </c>
      <c r="C1806" s="3" t="s">
        <v>2163</v>
      </c>
      <c r="D1806" s="4" t="s">
        <v>4784</v>
      </c>
      <c r="E1806" s="3" t="s">
        <v>1076</v>
      </c>
      <c r="F1806" s="3" t="s">
        <v>1358</v>
      </c>
      <c r="G1806" s="3" t="s">
        <v>321</v>
      </c>
      <c r="H1806" s="4" t="s">
        <v>1305</v>
      </c>
    </row>
    <row r="1807" ht="16.5" customHeight="1" spans="1:8">
      <c r="A1807" s="3">
        <v>1806</v>
      </c>
      <c r="B1807" s="3" t="s">
        <v>4785</v>
      </c>
      <c r="C1807" s="3" t="s">
        <v>2163</v>
      </c>
      <c r="D1807" s="4" t="s">
        <v>4786</v>
      </c>
      <c r="E1807" s="3" t="s">
        <v>1076</v>
      </c>
      <c r="F1807" s="3" t="s">
        <v>4154</v>
      </c>
      <c r="G1807" s="3"/>
      <c r="H1807" s="4" t="s">
        <v>1305</v>
      </c>
    </row>
    <row r="1808" ht="16.5" customHeight="1" spans="1:8">
      <c r="A1808" s="3">
        <v>1807</v>
      </c>
      <c r="B1808" s="3" t="s">
        <v>4787</v>
      </c>
      <c r="C1808" s="3" t="s">
        <v>2163</v>
      </c>
      <c r="D1808" s="4" t="s">
        <v>4788</v>
      </c>
      <c r="E1808" s="3" t="s">
        <v>1076</v>
      </c>
      <c r="F1808" s="3" t="s">
        <v>4154</v>
      </c>
      <c r="G1808" s="3"/>
      <c r="H1808" s="4" t="s">
        <v>4198</v>
      </c>
    </row>
    <row r="1809" ht="16.5" customHeight="1" spans="1:8">
      <c r="A1809" s="3">
        <v>1808</v>
      </c>
      <c r="B1809" s="3" t="s">
        <v>4789</v>
      </c>
      <c r="C1809" s="3" t="s">
        <v>2163</v>
      </c>
      <c r="D1809" s="4" t="s">
        <v>4790</v>
      </c>
      <c r="E1809" s="3" t="s">
        <v>2263</v>
      </c>
      <c r="F1809" s="3" t="s">
        <v>4154</v>
      </c>
      <c r="G1809" s="3"/>
      <c r="H1809" s="4" t="s">
        <v>4198</v>
      </c>
    </row>
    <row r="1810" ht="16.5" customHeight="1" spans="1:8">
      <c r="A1810" s="3">
        <v>1809</v>
      </c>
      <c r="B1810" s="3" t="s">
        <v>4791</v>
      </c>
      <c r="C1810" s="3" t="s">
        <v>1356</v>
      </c>
      <c r="D1810" s="4" t="s">
        <v>4792</v>
      </c>
      <c r="E1810" s="3" t="s">
        <v>1076</v>
      </c>
      <c r="F1810" s="3" t="s">
        <v>1358</v>
      </c>
      <c r="G1810" s="3" t="s">
        <v>321</v>
      </c>
      <c r="H1810" s="4" t="s">
        <v>1359</v>
      </c>
    </row>
    <row r="1811" ht="16.5" customHeight="1" spans="1:8">
      <c r="A1811" s="3">
        <v>1810</v>
      </c>
      <c r="B1811" s="3" t="s">
        <v>4793</v>
      </c>
      <c r="C1811" s="3" t="s">
        <v>1356</v>
      </c>
      <c r="D1811" s="4" t="s">
        <v>4794</v>
      </c>
      <c r="E1811" s="3" t="s">
        <v>1076</v>
      </c>
      <c r="F1811" s="3" t="s">
        <v>1358</v>
      </c>
      <c r="G1811" s="3" t="s">
        <v>321</v>
      </c>
      <c r="H1811" s="4" t="s">
        <v>1359</v>
      </c>
    </row>
    <row r="1812" ht="16.5" customHeight="1" spans="1:8">
      <c r="A1812" s="3">
        <v>1811</v>
      </c>
      <c r="B1812" s="3" t="s">
        <v>4795</v>
      </c>
      <c r="C1812" s="3" t="s">
        <v>1356</v>
      </c>
      <c r="D1812" s="4" t="s">
        <v>4796</v>
      </c>
      <c r="E1812" s="3" t="s">
        <v>1076</v>
      </c>
      <c r="F1812" s="3" t="s">
        <v>1358</v>
      </c>
      <c r="G1812" s="3" t="s">
        <v>321</v>
      </c>
      <c r="H1812" s="4" t="s">
        <v>1883</v>
      </c>
    </row>
    <row r="1813" ht="16.5" customHeight="1" spans="1:8">
      <c r="A1813" s="3">
        <v>1812</v>
      </c>
      <c r="B1813" s="3" t="s">
        <v>4797</v>
      </c>
      <c r="C1813" s="3" t="s">
        <v>1356</v>
      </c>
      <c r="D1813" s="4" t="s">
        <v>4798</v>
      </c>
      <c r="E1813" s="3" t="s">
        <v>1076</v>
      </c>
      <c r="F1813" s="3" t="s">
        <v>1358</v>
      </c>
      <c r="G1813" s="3" t="s">
        <v>321</v>
      </c>
      <c r="H1813" s="4" t="s">
        <v>2181</v>
      </c>
    </row>
    <row r="1814" ht="16.5" customHeight="1" spans="1:8">
      <c r="A1814" s="3">
        <v>1813</v>
      </c>
      <c r="B1814" s="3" t="s">
        <v>4799</v>
      </c>
      <c r="C1814" s="3" t="s">
        <v>1356</v>
      </c>
      <c r="D1814" s="4" t="s">
        <v>4800</v>
      </c>
      <c r="E1814" s="3" t="s">
        <v>1076</v>
      </c>
      <c r="F1814" s="3" t="s">
        <v>1358</v>
      </c>
      <c r="G1814" s="3" t="s">
        <v>321</v>
      </c>
      <c r="H1814" s="4" t="s">
        <v>2181</v>
      </c>
    </row>
    <row r="1815" ht="16.5" customHeight="1" spans="1:8">
      <c r="A1815" s="3">
        <v>1814</v>
      </c>
      <c r="B1815" s="3" t="s">
        <v>4801</v>
      </c>
      <c r="C1815" s="3" t="s">
        <v>1356</v>
      </c>
      <c r="D1815" s="4" t="s">
        <v>4802</v>
      </c>
      <c r="E1815" s="3" t="s">
        <v>1076</v>
      </c>
      <c r="F1815" s="3" t="s">
        <v>1358</v>
      </c>
      <c r="G1815" s="3" t="s">
        <v>321</v>
      </c>
      <c r="H1815" s="4" t="s">
        <v>1095</v>
      </c>
    </row>
    <row r="1816" ht="16.5" customHeight="1" spans="1:8">
      <c r="A1816" s="3">
        <v>1815</v>
      </c>
      <c r="B1816" s="3" t="s">
        <v>4803</v>
      </c>
      <c r="C1816" s="3" t="s">
        <v>2163</v>
      </c>
      <c r="D1816" s="4" t="s">
        <v>4804</v>
      </c>
      <c r="E1816" s="3" t="s">
        <v>1076</v>
      </c>
      <c r="F1816" s="3" t="s">
        <v>2105</v>
      </c>
      <c r="G1816" s="3" t="s">
        <v>321</v>
      </c>
      <c r="H1816" s="4" t="s">
        <v>1095</v>
      </c>
    </row>
    <row r="1817" ht="16.5" customHeight="1" spans="1:8">
      <c r="A1817" s="3">
        <v>1816</v>
      </c>
      <c r="B1817" s="3" t="s">
        <v>4805</v>
      </c>
      <c r="C1817" s="3" t="s">
        <v>1356</v>
      </c>
      <c r="D1817" s="4" t="s">
        <v>4806</v>
      </c>
      <c r="E1817" s="3" t="s">
        <v>1076</v>
      </c>
      <c r="F1817" s="3" t="s">
        <v>4668</v>
      </c>
      <c r="G1817" s="3"/>
      <c r="H1817" s="4" t="s">
        <v>1843</v>
      </c>
    </row>
    <row r="1818" ht="16.5" customHeight="1" spans="1:8">
      <c r="A1818" s="3">
        <v>1817</v>
      </c>
      <c r="B1818" s="3" t="s">
        <v>4807</v>
      </c>
      <c r="C1818" s="3" t="s">
        <v>1356</v>
      </c>
      <c r="D1818" s="4" t="s">
        <v>4808</v>
      </c>
      <c r="E1818" s="3" t="s">
        <v>1076</v>
      </c>
      <c r="F1818" s="3" t="s">
        <v>4668</v>
      </c>
      <c r="G1818" s="3"/>
      <c r="H1818" s="4" t="s">
        <v>4198</v>
      </c>
    </row>
    <row r="1819" ht="16.5" customHeight="1" spans="1:8">
      <c r="A1819" s="3">
        <v>1818</v>
      </c>
      <c r="B1819" s="3" t="s">
        <v>4809</v>
      </c>
      <c r="C1819" s="3" t="s">
        <v>2163</v>
      </c>
      <c r="D1819" s="4" t="s">
        <v>4810</v>
      </c>
      <c r="E1819" s="3" t="s">
        <v>1076</v>
      </c>
      <c r="F1819" s="3" t="s">
        <v>2105</v>
      </c>
      <c r="G1819" s="3" t="s">
        <v>321</v>
      </c>
      <c r="H1819" s="4" t="s">
        <v>1308</v>
      </c>
    </row>
    <row r="1820" ht="16.5" customHeight="1" spans="1:8">
      <c r="A1820" s="3">
        <v>1819</v>
      </c>
      <c r="B1820" s="3" t="s">
        <v>4811</v>
      </c>
      <c r="C1820" s="3" t="s">
        <v>1356</v>
      </c>
      <c r="D1820" s="4" t="s">
        <v>4812</v>
      </c>
      <c r="E1820" s="3" t="s">
        <v>1076</v>
      </c>
      <c r="F1820" s="3" t="s">
        <v>1736</v>
      </c>
      <c r="G1820" s="3"/>
      <c r="H1820" s="4" t="s">
        <v>4198</v>
      </c>
    </row>
    <row r="1821" ht="16.5" customHeight="1" spans="1:8">
      <c r="A1821" s="3">
        <v>1820</v>
      </c>
      <c r="B1821" s="3" t="s">
        <v>4813</v>
      </c>
      <c r="C1821" s="3" t="s">
        <v>1105</v>
      </c>
      <c r="D1821" s="4" t="s">
        <v>4814</v>
      </c>
      <c r="E1821" s="3" t="s">
        <v>1076</v>
      </c>
      <c r="F1821" s="3" t="s">
        <v>1736</v>
      </c>
      <c r="G1821" s="3"/>
      <c r="H1821" s="4" t="s">
        <v>4815</v>
      </c>
    </row>
    <row r="1822" ht="16.5" customHeight="1" spans="1:8">
      <c r="A1822" s="3">
        <v>1821</v>
      </c>
      <c r="B1822" s="3" t="s">
        <v>4816</v>
      </c>
      <c r="C1822" s="3" t="s">
        <v>1105</v>
      </c>
      <c r="D1822" s="4" t="s">
        <v>4817</v>
      </c>
      <c r="E1822" s="3" t="s">
        <v>1076</v>
      </c>
      <c r="F1822" s="3" t="s">
        <v>1736</v>
      </c>
      <c r="G1822" s="3"/>
      <c r="H1822" s="4" t="s">
        <v>4815</v>
      </c>
    </row>
    <row r="1823" ht="16.5" customHeight="1" spans="1:8">
      <c r="A1823" s="3">
        <v>1822</v>
      </c>
      <c r="B1823" s="3" t="s">
        <v>4818</v>
      </c>
      <c r="C1823" s="3" t="s">
        <v>1105</v>
      </c>
      <c r="D1823" s="4" t="s">
        <v>4819</v>
      </c>
      <c r="E1823" s="3" t="s">
        <v>1076</v>
      </c>
      <c r="F1823" s="3" t="s">
        <v>1736</v>
      </c>
      <c r="G1823" s="3"/>
      <c r="H1823" s="4" t="s">
        <v>4815</v>
      </c>
    </row>
    <row r="1824" ht="16.5" customHeight="1" spans="1:8">
      <c r="A1824" s="3">
        <v>1823</v>
      </c>
      <c r="B1824" s="3" t="s">
        <v>4820</v>
      </c>
      <c r="C1824" s="3" t="s">
        <v>1105</v>
      </c>
      <c r="D1824" s="4" t="s">
        <v>4821</v>
      </c>
      <c r="E1824" s="3" t="s">
        <v>1076</v>
      </c>
      <c r="F1824" s="3" t="s">
        <v>1736</v>
      </c>
      <c r="G1824" s="3"/>
      <c r="H1824" s="4" t="s">
        <v>4815</v>
      </c>
    </row>
    <row r="1825" ht="16.5" customHeight="1" spans="1:8">
      <c r="A1825" s="3">
        <v>1824</v>
      </c>
      <c r="B1825" s="3" t="s">
        <v>4822</v>
      </c>
      <c r="C1825" s="3" t="s">
        <v>1105</v>
      </c>
      <c r="D1825" s="4" t="s">
        <v>4823</v>
      </c>
      <c r="E1825" s="3" t="s">
        <v>1076</v>
      </c>
      <c r="F1825" s="3" t="s">
        <v>1736</v>
      </c>
      <c r="G1825" s="3"/>
      <c r="H1825" s="4" t="s">
        <v>4815</v>
      </c>
    </row>
    <row r="1826" ht="16.5" customHeight="1" spans="1:8">
      <c r="A1826" s="3">
        <v>1825</v>
      </c>
      <c r="B1826" s="3" t="s">
        <v>4824</v>
      </c>
      <c r="C1826" s="3" t="s">
        <v>1105</v>
      </c>
      <c r="D1826" s="4" t="s">
        <v>4825</v>
      </c>
      <c r="E1826" s="3" t="s">
        <v>1076</v>
      </c>
      <c r="F1826" s="3" t="s">
        <v>1736</v>
      </c>
      <c r="G1826" s="3"/>
      <c r="H1826" s="4" t="s">
        <v>4815</v>
      </c>
    </row>
    <row r="1827" ht="16.5" customHeight="1" spans="1:8">
      <c r="A1827" s="3">
        <v>1826</v>
      </c>
      <c r="B1827" s="3" t="s">
        <v>4826</v>
      </c>
      <c r="C1827" s="3" t="s">
        <v>1105</v>
      </c>
      <c r="D1827" s="4" t="s">
        <v>4827</v>
      </c>
      <c r="E1827" s="3" t="s">
        <v>1076</v>
      </c>
      <c r="F1827" s="3" t="s">
        <v>1736</v>
      </c>
      <c r="G1827" s="3"/>
      <c r="H1827" s="4" t="s">
        <v>4815</v>
      </c>
    </row>
    <row r="1828" ht="16.5" customHeight="1" spans="1:8">
      <c r="A1828" s="3">
        <v>1827</v>
      </c>
      <c r="B1828" s="3" t="s">
        <v>4828</v>
      </c>
      <c r="C1828" s="3" t="s">
        <v>1105</v>
      </c>
      <c r="D1828" s="4" t="s">
        <v>4829</v>
      </c>
      <c r="E1828" s="3" t="s">
        <v>1076</v>
      </c>
      <c r="F1828" s="3" t="s">
        <v>1736</v>
      </c>
      <c r="G1828" s="3"/>
      <c r="H1828" s="4" t="s">
        <v>4815</v>
      </c>
    </row>
    <row r="1829" ht="16.5" customHeight="1" spans="1:8">
      <c r="A1829" s="3">
        <v>1828</v>
      </c>
      <c r="B1829" s="3" t="s">
        <v>4830</v>
      </c>
      <c r="C1829" s="3" t="s">
        <v>1105</v>
      </c>
      <c r="D1829" s="4" t="s">
        <v>4831</v>
      </c>
      <c r="E1829" s="3" t="s">
        <v>1076</v>
      </c>
      <c r="F1829" s="3" t="s">
        <v>1736</v>
      </c>
      <c r="G1829" s="3"/>
      <c r="H1829" s="4" t="s">
        <v>4815</v>
      </c>
    </row>
    <row r="1830" ht="16.5" customHeight="1" spans="1:8">
      <c r="A1830" s="3">
        <v>1829</v>
      </c>
      <c r="B1830" s="3" t="s">
        <v>4832</v>
      </c>
      <c r="C1830" s="3" t="s">
        <v>1105</v>
      </c>
      <c r="D1830" s="4" t="s">
        <v>4833</v>
      </c>
      <c r="E1830" s="3" t="s">
        <v>1076</v>
      </c>
      <c r="F1830" s="3" t="s">
        <v>1736</v>
      </c>
      <c r="G1830" s="3"/>
      <c r="H1830" s="4" t="s">
        <v>4815</v>
      </c>
    </row>
    <row r="1831" ht="16.5" customHeight="1" spans="1:8">
      <c r="A1831" s="3">
        <v>1830</v>
      </c>
      <c r="B1831" s="3" t="s">
        <v>4834</v>
      </c>
      <c r="C1831" s="3" t="s">
        <v>1105</v>
      </c>
      <c r="D1831" s="4" t="s">
        <v>4835</v>
      </c>
      <c r="E1831" s="3" t="s">
        <v>1076</v>
      </c>
      <c r="F1831" s="3" t="s">
        <v>1736</v>
      </c>
      <c r="G1831" s="3"/>
      <c r="H1831" s="4" t="s">
        <v>4815</v>
      </c>
    </row>
    <row r="1832" ht="16.5" customHeight="1" spans="1:8">
      <c r="A1832" s="3">
        <v>1831</v>
      </c>
      <c r="B1832" s="3" t="s">
        <v>4836</v>
      </c>
      <c r="C1832" s="3" t="s">
        <v>1105</v>
      </c>
      <c r="D1832" s="4" t="s">
        <v>4837</v>
      </c>
      <c r="E1832" s="3" t="s">
        <v>1076</v>
      </c>
      <c r="F1832" s="3" t="s">
        <v>1736</v>
      </c>
      <c r="G1832" s="3"/>
      <c r="H1832" s="4" t="s">
        <v>4815</v>
      </c>
    </row>
    <row r="1833" ht="16.5" customHeight="1" spans="1:8">
      <c r="A1833" s="3">
        <v>1832</v>
      </c>
      <c r="B1833" s="3" t="s">
        <v>4838</v>
      </c>
      <c r="C1833" s="3" t="s">
        <v>1105</v>
      </c>
      <c r="D1833" s="4" t="s">
        <v>4839</v>
      </c>
      <c r="E1833" s="3" t="s">
        <v>1076</v>
      </c>
      <c r="F1833" s="3" t="s">
        <v>1736</v>
      </c>
      <c r="G1833" s="3"/>
      <c r="H1833" s="4" t="s">
        <v>4815</v>
      </c>
    </row>
    <row r="1834" ht="16.5" customHeight="1" spans="1:8">
      <c r="A1834" s="3">
        <v>1833</v>
      </c>
      <c r="B1834" s="3" t="s">
        <v>4840</v>
      </c>
      <c r="C1834" s="3" t="s">
        <v>1105</v>
      </c>
      <c r="D1834" s="4" t="s">
        <v>4841</v>
      </c>
      <c r="E1834" s="3" t="s">
        <v>1076</v>
      </c>
      <c r="F1834" s="3" t="s">
        <v>1736</v>
      </c>
      <c r="G1834" s="3"/>
      <c r="H1834" s="4" t="s">
        <v>4815</v>
      </c>
    </row>
    <row r="1835" ht="16.5" customHeight="1" spans="1:8">
      <c r="A1835" s="3">
        <v>1834</v>
      </c>
      <c r="B1835" s="3" t="s">
        <v>4842</v>
      </c>
      <c r="C1835" s="3" t="s">
        <v>1105</v>
      </c>
      <c r="D1835" s="4" t="s">
        <v>4843</v>
      </c>
      <c r="E1835" s="3" t="s">
        <v>1076</v>
      </c>
      <c r="F1835" s="3" t="s">
        <v>1736</v>
      </c>
      <c r="G1835" s="3"/>
      <c r="H1835" s="4" t="s">
        <v>4815</v>
      </c>
    </row>
    <row r="1836" ht="16.5" customHeight="1" spans="1:8">
      <c r="A1836" s="3">
        <v>1835</v>
      </c>
      <c r="B1836" s="3" t="s">
        <v>4844</v>
      </c>
      <c r="C1836" s="3" t="s">
        <v>2163</v>
      </c>
      <c r="D1836" s="4" t="s">
        <v>4845</v>
      </c>
      <c r="E1836" s="3" t="s">
        <v>3093</v>
      </c>
      <c r="F1836" s="3" t="s">
        <v>2105</v>
      </c>
      <c r="G1836" s="3" t="s">
        <v>321</v>
      </c>
      <c r="H1836" s="4" t="s">
        <v>2181</v>
      </c>
    </row>
    <row r="1837" ht="16.5" customHeight="1" spans="1:8">
      <c r="A1837" s="3">
        <v>1836</v>
      </c>
      <c r="B1837" s="3" t="s">
        <v>4846</v>
      </c>
      <c r="C1837" s="3" t="s">
        <v>2163</v>
      </c>
      <c r="D1837" s="4" t="s">
        <v>4847</v>
      </c>
      <c r="E1837" s="3" t="s">
        <v>3093</v>
      </c>
      <c r="F1837" s="3" t="s">
        <v>2105</v>
      </c>
      <c r="G1837" s="3" t="s">
        <v>321</v>
      </c>
      <c r="H1837" s="4" t="s">
        <v>1359</v>
      </c>
    </row>
    <row r="1838" ht="16.5" customHeight="1" spans="1:8">
      <c r="A1838" s="3">
        <v>1837</v>
      </c>
      <c r="B1838" s="3" t="s">
        <v>4848</v>
      </c>
      <c r="C1838" s="3" t="s">
        <v>1074</v>
      </c>
      <c r="D1838" s="4" t="s">
        <v>4849</v>
      </c>
      <c r="E1838" s="3" t="s">
        <v>1218</v>
      </c>
      <c r="F1838" s="3" t="s">
        <v>1736</v>
      </c>
      <c r="G1838" s="3"/>
      <c r="H1838" s="4" t="s">
        <v>1359</v>
      </c>
    </row>
    <row r="1839" ht="16.5" customHeight="1" spans="1:8">
      <c r="A1839" s="3">
        <v>1838</v>
      </c>
      <c r="B1839" s="3" t="s">
        <v>4850</v>
      </c>
      <c r="C1839" s="3" t="s">
        <v>2163</v>
      </c>
      <c r="D1839" s="4" t="s">
        <v>4851</v>
      </c>
      <c r="E1839" s="3" t="s">
        <v>1076</v>
      </c>
      <c r="F1839" s="3" t="s">
        <v>2105</v>
      </c>
      <c r="G1839" s="3" t="s">
        <v>321</v>
      </c>
      <c r="H1839" s="4" t="s">
        <v>1308</v>
      </c>
    </row>
    <row r="1840" ht="16.5" customHeight="1" spans="1:8">
      <c r="A1840" s="3">
        <v>1839</v>
      </c>
      <c r="B1840" s="3" t="s">
        <v>4852</v>
      </c>
      <c r="C1840" s="3" t="s">
        <v>2163</v>
      </c>
      <c r="D1840" s="4" t="s">
        <v>4853</v>
      </c>
      <c r="E1840" s="3" t="s">
        <v>1076</v>
      </c>
      <c r="F1840" s="3" t="s">
        <v>2105</v>
      </c>
      <c r="G1840" s="3" t="s">
        <v>321</v>
      </c>
      <c r="H1840" s="4" t="s">
        <v>2181</v>
      </c>
    </row>
    <row r="1841" ht="16.5" customHeight="1" spans="1:8">
      <c r="A1841" s="3">
        <v>1840</v>
      </c>
      <c r="B1841" s="3" t="s">
        <v>4854</v>
      </c>
      <c r="C1841" s="3" t="s">
        <v>2163</v>
      </c>
      <c r="D1841" s="4" t="s">
        <v>4855</v>
      </c>
      <c r="E1841" s="3" t="s">
        <v>1076</v>
      </c>
      <c r="F1841" s="3" t="s">
        <v>2105</v>
      </c>
      <c r="G1841" s="3" t="s">
        <v>321</v>
      </c>
      <c r="H1841" s="4" t="s">
        <v>1359</v>
      </c>
    </row>
    <row r="1842" ht="16.5" customHeight="1" spans="1:8">
      <c r="A1842" s="3">
        <v>1841</v>
      </c>
      <c r="B1842" s="3" t="s">
        <v>4856</v>
      </c>
      <c r="C1842" s="3" t="s">
        <v>1356</v>
      </c>
      <c r="D1842" s="4" t="s">
        <v>4857</v>
      </c>
      <c r="E1842" s="3" t="s">
        <v>1076</v>
      </c>
      <c r="F1842" s="3" t="s">
        <v>1736</v>
      </c>
      <c r="G1842" s="3"/>
      <c r="H1842" s="4" t="s">
        <v>1095</v>
      </c>
    </row>
    <row r="1843" ht="16.5" customHeight="1" spans="1:8">
      <c r="A1843" s="3">
        <v>1842</v>
      </c>
      <c r="B1843" s="3" t="s">
        <v>4858</v>
      </c>
      <c r="C1843" s="3" t="s">
        <v>2163</v>
      </c>
      <c r="D1843" s="4" t="s">
        <v>4859</v>
      </c>
      <c r="E1843" s="3" t="s">
        <v>1076</v>
      </c>
      <c r="F1843" s="3" t="s">
        <v>1358</v>
      </c>
      <c r="G1843" s="3" t="s">
        <v>321</v>
      </c>
      <c r="H1843" s="4" t="s">
        <v>1305</v>
      </c>
    </row>
    <row r="1844" ht="16.5" customHeight="1" spans="1:8">
      <c r="A1844" s="3">
        <v>1843</v>
      </c>
      <c r="B1844" s="3" t="s">
        <v>4860</v>
      </c>
      <c r="C1844" s="3" t="s">
        <v>2163</v>
      </c>
      <c r="D1844" s="4" t="s">
        <v>4861</v>
      </c>
      <c r="E1844" s="3" t="s">
        <v>2263</v>
      </c>
      <c r="F1844" s="3" t="s">
        <v>1358</v>
      </c>
      <c r="G1844" s="3" t="s">
        <v>321</v>
      </c>
      <c r="H1844" s="4" t="s">
        <v>1305</v>
      </c>
    </row>
    <row r="1845" ht="16.5" customHeight="1" spans="1:8">
      <c r="A1845" s="3">
        <v>1844</v>
      </c>
      <c r="B1845" s="3" t="s">
        <v>4862</v>
      </c>
      <c r="C1845" s="3" t="s">
        <v>2163</v>
      </c>
      <c r="D1845" s="4" t="s">
        <v>4863</v>
      </c>
      <c r="E1845" s="3" t="s">
        <v>1076</v>
      </c>
      <c r="F1845" s="3" t="s">
        <v>1358</v>
      </c>
      <c r="G1845" s="3"/>
      <c r="H1845" s="4" t="s">
        <v>1359</v>
      </c>
    </row>
    <row r="1846" ht="16.5" customHeight="1" spans="1:8">
      <c r="A1846" s="3">
        <v>1845</v>
      </c>
      <c r="B1846" s="3" t="s">
        <v>4864</v>
      </c>
      <c r="C1846" s="3" t="s">
        <v>2163</v>
      </c>
      <c r="D1846" s="4" t="s">
        <v>4865</v>
      </c>
      <c r="E1846" s="3" t="s">
        <v>1076</v>
      </c>
      <c r="F1846" s="3" t="s">
        <v>2041</v>
      </c>
      <c r="G1846" s="3" t="s">
        <v>321</v>
      </c>
      <c r="H1846" s="4" t="s">
        <v>1368</v>
      </c>
    </row>
    <row r="1847" ht="16.5" customHeight="1" spans="1:8">
      <c r="A1847" s="3">
        <v>1846</v>
      </c>
      <c r="B1847" s="3" t="s">
        <v>4866</v>
      </c>
      <c r="C1847" s="3" t="s">
        <v>2163</v>
      </c>
      <c r="D1847" s="4" t="s">
        <v>4867</v>
      </c>
      <c r="E1847" s="3" t="s">
        <v>3093</v>
      </c>
      <c r="F1847" s="3" t="s">
        <v>2041</v>
      </c>
      <c r="G1847" s="3" t="s">
        <v>321</v>
      </c>
      <c r="H1847" s="4" t="s">
        <v>1095</v>
      </c>
    </row>
    <row r="1848" ht="16.5" customHeight="1" spans="1:8">
      <c r="A1848" s="3">
        <v>1847</v>
      </c>
      <c r="B1848" s="3" t="s">
        <v>4868</v>
      </c>
      <c r="C1848" s="3" t="s">
        <v>2163</v>
      </c>
      <c r="D1848" s="4" t="s">
        <v>4869</v>
      </c>
      <c r="E1848" s="3" t="s">
        <v>3093</v>
      </c>
      <c r="F1848" s="3" t="s">
        <v>2105</v>
      </c>
      <c r="G1848" s="3" t="s">
        <v>321</v>
      </c>
      <c r="H1848" s="4" t="s">
        <v>1368</v>
      </c>
    </row>
    <row r="1849" ht="16.5" customHeight="1" spans="1:8">
      <c r="A1849" s="3">
        <v>1848</v>
      </c>
      <c r="B1849" s="3" t="s">
        <v>4870</v>
      </c>
      <c r="C1849" s="3" t="s">
        <v>2163</v>
      </c>
      <c r="D1849" s="4" t="s">
        <v>4871</v>
      </c>
      <c r="E1849" s="3" t="s">
        <v>1076</v>
      </c>
      <c r="F1849" s="3" t="s">
        <v>4154</v>
      </c>
      <c r="G1849" s="3"/>
      <c r="H1849" s="4" t="s">
        <v>1305</v>
      </c>
    </row>
    <row r="1850" ht="16.5" customHeight="1" spans="1:8">
      <c r="A1850" s="3">
        <v>1849</v>
      </c>
      <c r="B1850" s="3" t="s">
        <v>4872</v>
      </c>
      <c r="C1850" s="3" t="s">
        <v>2163</v>
      </c>
      <c r="D1850" s="4" t="s">
        <v>4873</v>
      </c>
      <c r="E1850" s="3" t="s">
        <v>1076</v>
      </c>
      <c r="F1850" s="3" t="s">
        <v>2105</v>
      </c>
      <c r="G1850" s="3" t="s">
        <v>321</v>
      </c>
      <c r="H1850" s="4" t="s">
        <v>1095</v>
      </c>
    </row>
    <row r="1851" ht="16.5" customHeight="1" spans="1:8">
      <c r="A1851" s="3">
        <v>1850</v>
      </c>
      <c r="B1851" s="3" t="s">
        <v>4874</v>
      </c>
      <c r="C1851" s="3" t="s">
        <v>2163</v>
      </c>
      <c r="D1851" s="4" t="s">
        <v>4875</v>
      </c>
      <c r="E1851" s="3" t="s">
        <v>2263</v>
      </c>
      <c r="F1851" s="3" t="s">
        <v>2041</v>
      </c>
      <c r="G1851" s="3" t="s">
        <v>321</v>
      </c>
      <c r="H1851" s="4" t="s">
        <v>1368</v>
      </c>
    </row>
    <row r="1852" ht="16.5" customHeight="1" spans="1:8">
      <c r="A1852" s="3">
        <v>1851</v>
      </c>
      <c r="B1852" s="3" t="s">
        <v>4876</v>
      </c>
      <c r="C1852" s="3" t="s">
        <v>2163</v>
      </c>
      <c r="D1852" s="4" t="s">
        <v>4877</v>
      </c>
      <c r="E1852" s="3" t="s">
        <v>1076</v>
      </c>
      <c r="F1852" s="3" t="s">
        <v>2041</v>
      </c>
      <c r="G1852" s="3" t="s">
        <v>321</v>
      </c>
      <c r="H1852" s="4" t="s">
        <v>1368</v>
      </c>
    </row>
    <row r="1853" ht="16.5" customHeight="1" spans="1:8">
      <c r="A1853" s="3">
        <v>1852</v>
      </c>
      <c r="B1853" s="3" t="s">
        <v>4878</v>
      </c>
      <c r="C1853" s="3" t="s">
        <v>2163</v>
      </c>
      <c r="D1853" s="4" t="s">
        <v>4879</v>
      </c>
      <c r="E1853" s="3" t="s">
        <v>1076</v>
      </c>
      <c r="F1853" s="3" t="s">
        <v>2041</v>
      </c>
      <c r="G1853" s="3" t="s">
        <v>321</v>
      </c>
      <c r="H1853" s="4" t="s">
        <v>1095</v>
      </c>
    </row>
    <row r="1854" ht="16.5" customHeight="1" spans="1:8">
      <c r="A1854" s="3">
        <v>1853</v>
      </c>
      <c r="B1854" s="3" t="s">
        <v>4880</v>
      </c>
      <c r="C1854" s="3" t="s">
        <v>2163</v>
      </c>
      <c r="D1854" s="4" t="s">
        <v>4881</v>
      </c>
      <c r="E1854" s="3" t="s">
        <v>1076</v>
      </c>
      <c r="F1854" s="3" t="s">
        <v>2041</v>
      </c>
      <c r="G1854" s="3" t="s">
        <v>321</v>
      </c>
      <c r="H1854" s="4" t="s">
        <v>1095</v>
      </c>
    </row>
    <row r="1855" ht="16.5" customHeight="1" spans="1:8">
      <c r="A1855" s="3">
        <v>1854</v>
      </c>
      <c r="B1855" s="3" t="s">
        <v>4882</v>
      </c>
      <c r="C1855" s="3" t="s">
        <v>2163</v>
      </c>
      <c r="D1855" s="4" t="s">
        <v>4883</v>
      </c>
      <c r="E1855" s="3" t="s">
        <v>1076</v>
      </c>
      <c r="F1855" s="3" t="s">
        <v>2041</v>
      </c>
      <c r="G1855" s="3" t="s">
        <v>321</v>
      </c>
      <c r="H1855" s="4" t="s">
        <v>1308</v>
      </c>
    </row>
    <row r="1856" ht="16.5" customHeight="1" spans="1:8">
      <c r="A1856" s="3">
        <v>1855</v>
      </c>
      <c r="B1856" s="3" t="s">
        <v>4884</v>
      </c>
      <c r="C1856" s="3" t="s">
        <v>1356</v>
      </c>
      <c r="D1856" s="4" t="s">
        <v>4885</v>
      </c>
      <c r="E1856" s="3" t="s">
        <v>1076</v>
      </c>
      <c r="F1856" s="3" t="s">
        <v>1358</v>
      </c>
      <c r="G1856" s="3" t="s">
        <v>321</v>
      </c>
      <c r="H1856" s="4" t="s">
        <v>1308</v>
      </c>
    </row>
    <row r="1857" ht="16.5" customHeight="1" spans="1:8">
      <c r="A1857" s="3">
        <v>1856</v>
      </c>
      <c r="B1857" s="3" t="s">
        <v>4886</v>
      </c>
      <c r="C1857" s="3" t="s">
        <v>1356</v>
      </c>
      <c r="D1857" s="4" t="s">
        <v>4887</v>
      </c>
      <c r="E1857" s="3" t="s">
        <v>1076</v>
      </c>
      <c r="F1857" s="3" t="s">
        <v>1358</v>
      </c>
      <c r="G1857" s="3" t="s">
        <v>321</v>
      </c>
      <c r="H1857" s="4" t="s">
        <v>1308</v>
      </c>
    </row>
    <row r="1858" ht="16.5" customHeight="1" spans="1:8">
      <c r="A1858" s="3">
        <v>1857</v>
      </c>
      <c r="B1858" s="3" t="s">
        <v>4888</v>
      </c>
      <c r="C1858" s="3" t="s">
        <v>2163</v>
      </c>
      <c r="D1858" s="4" t="s">
        <v>4889</v>
      </c>
      <c r="E1858" s="3" t="s">
        <v>1076</v>
      </c>
      <c r="F1858" s="3" t="s">
        <v>2041</v>
      </c>
      <c r="G1858" s="3" t="s">
        <v>321</v>
      </c>
      <c r="H1858" s="4" t="s">
        <v>1095</v>
      </c>
    </row>
    <row r="1859" ht="16.5" customHeight="1" spans="1:8">
      <c r="A1859" s="3">
        <v>1858</v>
      </c>
      <c r="B1859" s="3" t="s">
        <v>4890</v>
      </c>
      <c r="C1859" s="3" t="s">
        <v>2163</v>
      </c>
      <c r="D1859" s="4" t="s">
        <v>4891</v>
      </c>
      <c r="E1859" s="3" t="s">
        <v>1076</v>
      </c>
      <c r="F1859" s="3" t="s">
        <v>2041</v>
      </c>
      <c r="G1859" s="3" t="s">
        <v>321</v>
      </c>
      <c r="H1859" s="4" t="s">
        <v>1368</v>
      </c>
    </row>
    <row r="1860" ht="16.5" customHeight="1" spans="1:8">
      <c r="A1860" s="3">
        <v>1859</v>
      </c>
      <c r="B1860" s="3" t="s">
        <v>4892</v>
      </c>
      <c r="C1860" s="3" t="s">
        <v>1105</v>
      </c>
      <c r="D1860" s="4" t="s">
        <v>4893</v>
      </c>
      <c r="E1860" s="3" t="s">
        <v>1076</v>
      </c>
      <c r="F1860" s="3" t="s">
        <v>1358</v>
      </c>
      <c r="G1860" s="3"/>
      <c r="H1860" s="4" t="s">
        <v>3554</v>
      </c>
    </row>
    <row r="1861" ht="16.5" customHeight="1" spans="1:8">
      <c r="A1861" s="3">
        <v>1860</v>
      </c>
      <c r="B1861" s="3" t="s">
        <v>4894</v>
      </c>
      <c r="C1861" s="3" t="s">
        <v>1105</v>
      </c>
      <c r="D1861" s="4" t="s">
        <v>4893</v>
      </c>
      <c r="E1861" s="3" t="s">
        <v>1076</v>
      </c>
      <c r="F1861" s="3" t="s">
        <v>1358</v>
      </c>
      <c r="G1861" s="3"/>
      <c r="H1861" s="4" t="s">
        <v>3657</v>
      </c>
    </row>
    <row r="1862" ht="16.5" customHeight="1" spans="1:8">
      <c r="A1862" s="3">
        <v>1861</v>
      </c>
      <c r="B1862" s="3" t="s">
        <v>4895</v>
      </c>
      <c r="C1862" s="3" t="s">
        <v>1105</v>
      </c>
      <c r="D1862" s="4" t="s">
        <v>4893</v>
      </c>
      <c r="E1862" s="3" t="s">
        <v>1076</v>
      </c>
      <c r="F1862" s="3" t="s">
        <v>1358</v>
      </c>
      <c r="G1862" s="3"/>
      <c r="H1862" s="4" t="s">
        <v>3662</v>
      </c>
    </row>
    <row r="1863" ht="16.5" customHeight="1" spans="1:8">
      <c r="A1863" s="3">
        <v>1862</v>
      </c>
      <c r="B1863" s="3" t="s">
        <v>4896</v>
      </c>
      <c r="C1863" s="3" t="s">
        <v>1356</v>
      </c>
      <c r="D1863" s="4" t="s">
        <v>4897</v>
      </c>
      <c r="E1863" s="3" t="s">
        <v>1076</v>
      </c>
      <c r="F1863" s="3" t="s">
        <v>1358</v>
      </c>
      <c r="G1863" s="3" t="s">
        <v>321</v>
      </c>
      <c r="H1863" s="4" t="s">
        <v>1308</v>
      </c>
    </row>
    <row r="1864" ht="16.5" customHeight="1" spans="1:8">
      <c r="A1864" s="3">
        <v>1863</v>
      </c>
      <c r="B1864" s="3" t="s">
        <v>4898</v>
      </c>
      <c r="C1864" s="3" t="s">
        <v>2163</v>
      </c>
      <c r="D1864" s="4" t="s">
        <v>4899</v>
      </c>
      <c r="E1864" s="3" t="s">
        <v>1076</v>
      </c>
      <c r="F1864" s="3" t="s">
        <v>2041</v>
      </c>
      <c r="G1864" s="3" t="s">
        <v>321</v>
      </c>
      <c r="H1864" s="4" t="s">
        <v>1308</v>
      </c>
    </row>
    <row r="1865" ht="16.5" customHeight="1" spans="1:8">
      <c r="A1865" s="3">
        <v>1864</v>
      </c>
      <c r="B1865" s="3" t="s">
        <v>4900</v>
      </c>
      <c r="C1865" s="3" t="s">
        <v>2163</v>
      </c>
      <c r="D1865" s="4" t="s">
        <v>4901</v>
      </c>
      <c r="E1865" s="3" t="s">
        <v>1076</v>
      </c>
      <c r="F1865" s="3" t="s">
        <v>2105</v>
      </c>
      <c r="G1865" s="3" t="s">
        <v>321</v>
      </c>
      <c r="H1865" s="4" t="s">
        <v>1308</v>
      </c>
    </row>
    <row r="1866" ht="16.5" customHeight="1" spans="1:8">
      <c r="A1866" s="3">
        <v>1865</v>
      </c>
      <c r="B1866" s="3" t="s">
        <v>4902</v>
      </c>
      <c r="C1866" s="3" t="s">
        <v>2163</v>
      </c>
      <c r="D1866" s="4" t="s">
        <v>4903</v>
      </c>
      <c r="E1866" s="3" t="s">
        <v>1076</v>
      </c>
      <c r="F1866" s="3" t="s">
        <v>2105</v>
      </c>
      <c r="G1866" s="3" t="s">
        <v>321</v>
      </c>
      <c r="H1866" s="4" t="s">
        <v>1305</v>
      </c>
    </row>
    <row r="1867" ht="16.5" customHeight="1" spans="1:8">
      <c r="A1867" s="3">
        <v>1866</v>
      </c>
      <c r="B1867" s="3" t="s">
        <v>4904</v>
      </c>
      <c r="C1867" s="3" t="s">
        <v>2163</v>
      </c>
      <c r="D1867" s="4" t="s">
        <v>4905</v>
      </c>
      <c r="E1867" s="3" t="s">
        <v>1076</v>
      </c>
      <c r="F1867" s="3" t="s">
        <v>2105</v>
      </c>
      <c r="G1867" s="3" t="s">
        <v>321</v>
      </c>
      <c r="H1867" s="4" t="s">
        <v>1305</v>
      </c>
    </row>
    <row r="1868" ht="16.5" customHeight="1" spans="1:8">
      <c r="A1868" s="3">
        <v>1867</v>
      </c>
      <c r="B1868" s="3" t="s">
        <v>4906</v>
      </c>
      <c r="C1868" s="3" t="s">
        <v>2163</v>
      </c>
      <c r="D1868" s="4" t="s">
        <v>4907</v>
      </c>
      <c r="E1868" s="3" t="s">
        <v>1076</v>
      </c>
      <c r="F1868" s="3" t="s">
        <v>2105</v>
      </c>
      <c r="G1868" s="3" t="s">
        <v>321</v>
      </c>
      <c r="H1868" s="4" t="s">
        <v>1305</v>
      </c>
    </row>
    <row r="1869" ht="16.5" customHeight="1" spans="1:8">
      <c r="A1869" s="3">
        <v>1868</v>
      </c>
      <c r="B1869" s="3" t="s">
        <v>4908</v>
      </c>
      <c r="C1869" s="3" t="s">
        <v>2163</v>
      </c>
      <c r="D1869" s="4" t="s">
        <v>4909</v>
      </c>
      <c r="E1869" s="3" t="s">
        <v>1076</v>
      </c>
      <c r="F1869" s="3" t="s">
        <v>2105</v>
      </c>
      <c r="G1869" s="3" t="s">
        <v>321</v>
      </c>
      <c r="H1869" s="4" t="s">
        <v>1305</v>
      </c>
    </row>
    <row r="1870" ht="16.5" customHeight="1" spans="1:8">
      <c r="A1870" s="3">
        <v>1869</v>
      </c>
      <c r="B1870" s="3" t="s">
        <v>4910</v>
      </c>
      <c r="C1870" s="3" t="s">
        <v>2163</v>
      </c>
      <c r="D1870" s="4" t="s">
        <v>4911</v>
      </c>
      <c r="E1870" s="3" t="s">
        <v>1076</v>
      </c>
      <c r="F1870" s="3" t="s">
        <v>2105</v>
      </c>
      <c r="G1870" s="3" t="s">
        <v>321</v>
      </c>
      <c r="H1870" s="4" t="s">
        <v>1305</v>
      </c>
    </row>
    <row r="1871" ht="16.5" customHeight="1" spans="1:8">
      <c r="A1871" s="3">
        <v>1870</v>
      </c>
      <c r="B1871" s="3" t="s">
        <v>4912</v>
      </c>
      <c r="C1871" s="3" t="s">
        <v>2163</v>
      </c>
      <c r="D1871" s="4" t="s">
        <v>4913</v>
      </c>
      <c r="E1871" s="3" t="s">
        <v>1076</v>
      </c>
      <c r="F1871" s="3" t="s">
        <v>2105</v>
      </c>
      <c r="G1871" s="3" t="s">
        <v>321</v>
      </c>
      <c r="H1871" s="4" t="s">
        <v>1305</v>
      </c>
    </row>
    <row r="1872" ht="16.5" customHeight="1" spans="1:8">
      <c r="A1872" s="3">
        <v>1871</v>
      </c>
      <c r="B1872" s="3" t="s">
        <v>4914</v>
      </c>
      <c r="C1872" s="3" t="s">
        <v>2163</v>
      </c>
      <c r="D1872" s="4" t="s">
        <v>4915</v>
      </c>
      <c r="E1872" s="3" t="s">
        <v>1076</v>
      </c>
      <c r="F1872" s="3" t="s">
        <v>2105</v>
      </c>
      <c r="G1872" s="3" t="s">
        <v>321</v>
      </c>
      <c r="H1872" s="4" t="s">
        <v>1368</v>
      </c>
    </row>
    <row r="1873" ht="16.5" customHeight="1" spans="1:8">
      <c r="A1873" s="3">
        <v>1872</v>
      </c>
      <c r="B1873" s="3" t="s">
        <v>4916</v>
      </c>
      <c r="C1873" s="3" t="s">
        <v>2163</v>
      </c>
      <c r="D1873" s="4" t="s">
        <v>4917</v>
      </c>
      <c r="E1873" s="3" t="s">
        <v>1076</v>
      </c>
      <c r="F1873" s="3" t="s">
        <v>2041</v>
      </c>
      <c r="G1873" s="3" t="s">
        <v>321</v>
      </c>
      <c r="H1873" s="4" t="s">
        <v>1368</v>
      </c>
    </row>
    <row r="1874" ht="16.5" customHeight="1" spans="1:8">
      <c r="A1874" s="3">
        <v>1873</v>
      </c>
      <c r="B1874" s="3" t="s">
        <v>4918</v>
      </c>
      <c r="C1874" s="3" t="s">
        <v>2163</v>
      </c>
      <c r="D1874" s="4" t="s">
        <v>4919</v>
      </c>
      <c r="E1874" s="3" t="s">
        <v>1076</v>
      </c>
      <c r="F1874" s="3" t="s">
        <v>2041</v>
      </c>
      <c r="G1874" s="3" t="s">
        <v>321</v>
      </c>
      <c r="H1874" s="4" t="s">
        <v>1368</v>
      </c>
    </row>
    <row r="1875" ht="16.5" customHeight="1" spans="1:8">
      <c r="A1875" s="3">
        <v>1874</v>
      </c>
      <c r="B1875" s="3" t="s">
        <v>4920</v>
      </c>
      <c r="C1875" s="3" t="s">
        <v>2163</v>
      </c>
      <c r="D1875" s="4" t="s">
        <v>4921</v>
      </c>
      <c r="E1875" s="3" t="s">
        <v>1076</v>
      </c>
      <c r="F1875" s="3" t="s">
        <v>2105</v>
      </c>
      <c r="G1875" s="3" t="s">
        <v>321</v>
      </c>
      <c r="H1875" s="4" t="s">
        <v>1305</v>
      </c>
    </row>
    <row r="1876" ht="16.5" customHeight="1" spans="1:8">
      <c r="A1876" s="3">
        <v>1875</v>
      </c>
      <c r="B1876" s="3" t="s">
        <v>4922</v>
      </c>
      <c r="C1876" s="3" t="s">
        <v>2163</v>
      </c>
      <c r="D1876" s="4" t="s">
        <v>4923</v>
      </c>
      <c r="E1876" s="3" t="s">
        <v>1076</v>
      </c>
      <c r="F1876" s="3" t="s">
        <v>2105</v>
      </c>
      <c r="G1876" s="3" t="s">
        <v>321</v>
      </c>
      <c r="H1876" s="4" t="s">
        <v>1308</v>
      </c>
    </row>
    <row r="1877" ht="16.5" customHeight="1" spans="1:8">
      <c r="A1877" s="3">
        <v>1876</v>
      </c>
      <c r="B1877" s="3" t="s">
        <v>4924</v>
      </c>
      <c r="C1877" s="3" t="s">
        <v>2163</v>
      </c>
      <c r="D1877" s="4" t="s">
        <v>4925</v>
      </c>
      <c r="E1877" s="3" t="s">
        <v>1076</v>
      </c>
      <c r="F1877" s="3" t="s">
        <v>4154</v>
      </c>
      <c r="G1877" s="3"/>
      <c r="H1877" s="4" t="s">
        <v>4198</v>
      </c>
    </row>
    <row r="1878" ht="16.5" customHeight="1" spans="1:8">
      <c r="A1878" s="3">
        <v>1877</v>
      </c>
      <c r="B1878" s="3" t="s">
        <v>4926</v>
      </c>
      <c r="C1878" s="3" t="s">
        <v>2163</v>
      </c>
      <c r="D1878" s="4" t="s">
        <v>4927</v>
      </c>
      <c r="E1878" s="3" t="s">
        <v>1076</v>
      </c>
      <c r="F1878" s="3" t="s">
        <v>4154</v>
      </c>
      <c r="G1878" s="3"/>
      <c r="H1878" s="4" t="s">
        <v>4198</v>
      </c>
    </row>
    <row r="1879" ht="16.5" customHeight="1" spans="1:8">
      <c r="A1879" s="3">
        <v>1878</v>
      </c>
      <c r="B1879" s="3" t="s">
        <v>4928</v>
      </c>
      <c r="C1879" s="3" t="s">
        <v>2163</v>
      </c>
      <c r="D1879" s="4" t="s">
        <v>4929</v>
      </c>
      <c r="E1879" s="3" t="s">
        <v>1076</v>
      </c>
      <c r="F1879" s="3" t="s">
        <v>4154</v>
      </c>
      <c r="G1879" s="3"/>
      <c r="H1879" s="4" t="s">
        <v>4198</v>
      </c>
    </row>
    <row r="1880" ht="16.5" customHeight="1" spans="1:8">
      <c r="A1880" s="3">
        <v>1879</v>
      </c>
      <c r="B1880" s="3" t="s">
        <v>4930</v>
      </c>
      <c r="C1880" s="3" t="s">
        <v>2163</v>
      </c>
      <c r="D1880" s="4" t="s">
        <v>4931</v>
      </c>
      <c r="E1880" s="3" t="s">
        <v>1076</v>
      </c>
      <c r="F1880" s="3" t="s">
        <v>4154</v>
      </c>
      <c r="G1880" s="3"/>
      <c r="H1880" s="4" t="s">
        <v>4198</v>
      </c>
    </row>
    <row r="1881" ht="16.5" customHeight="1" spans="1:8">
      <c r="A1881" s="3">
        <v>1880</v>
      </c>
      <c r="B1881" s="3" t="s">
        <v>4932</v>
      </c>
      <c r="C1881" s="3" t="s">
        <v>2163</v>
      </c>
      <c r="D1881" s="4" t="s">
        <v>4933</v>
      </c>
      <c r="E1881" s="3" t="s">
        <v>1076</v>
      </c>
      <c r="F1881" s="3" t="s">
        <v>4154</v>
      </c>
      <c r="G1881" s="3"/>
      <c r="H1881" s="4" t="s">
        <v>4198</v>
      </c>
    </row>
    <row r="1882" ht="16.5" customHeight="1" spans="1:8">
      <c r="A1882" s="3">
        <v>1881</v>
      </c>
      <c r="B1882" s="3" t="s">
        <v>4934</v>
      </c>
      <c r="C1882" s="3" t="s">
        <v>2163</v>
      </c>
      <c r="D1882" s="4" t="s">
        <v>4935</v>
      </c>
      <c r="E1882" s="3" t="s">
        <v>1076</v>
      </c>
      <c r="F1882" s="3" t="s">
        <v>4154</v>
      </c>
      <c r="G1882" s="3"/>
      <c r="H1882" s="4" t="s">
        <v>1095</v>
      </c>
    </row>
    <row r="1883" ht="16.5" customHeight="1" spans="1:8">
      <c r="A1883" s="3">
        <v>1882</v>
      </c>
      <c r="B1883" s="3" t="s">
        <v>4936</v>
      </c>
      <c r="C1883" s="3" t="s">
        <v>2163</v>
      </c>
      <c r="D1883" s="4" t="s">
        <v>4937</v>
      </c>
      <c r="E1883" s="3" t="s">
        <v>1076</v>
      </c>
      <c r="F1883" s="3" t="s">
        <v>4154</v>
      </c>
      <c r="G1883" s="3"/>
      <c r="H1883" s="4" t="s">
        <v>4198</v>
      </c>
    </row>
    <row r="1884" ht="16.5" customHeight="1" spans="1:8">
      <c r="A1884" s="3">
        <v>1883</v>
      </c>
      <c r="B1884" s="3" t="s">
        <v>4938</v>
      </c>
      <c r="C1884" s="3" t="s">
        <v>2163</v>
      </c>
      <c r="D1884" s="4" t="s">
        <v>4939</v>
      </c>
      <c r="E1884" s="3" t="s">
        <v>1076</v>
      </c>
      <c r="F1884" s="3" t="s">
        <v>4154</v>
      </c>
      <c r="G1884" s="3"/>
      <c r="H1884" s="4" t="s">
        <v>1305</v>
      </c>
    </row>
    <row r="1885" ht="16.5" customHeight="1" spans="1:8">
      <c r="A1885" s="3">
        <v>1884</v>
      </c>
      <c r="B1885" s="3" t="s">
        <v>4940</v>
      </c>
      <c r="C1885" s="3" t="s">
        <v>2163</v>
      </c>
      <c r="D1885" s="4" t="s">
        <v>4941</v>
      </c>
      <c r="E1885" s="3" t="s">
        <v>1076</v>
      </c>
      <c r="F1885" s="3" t="s">
        <v>4154</v>
      </c>
      <c r="G1885" s="3"/>
      <c r="H1885" s="4" t="s">
        <v>4198</v>
      </c>
    </row>
    <row r="1886" ht="16.5" customHeight="1" spans="1:8">
      <c r="A1886" s="3">
        <v>1885</v>
      </c>
      <c r="B1886" s="3" t="s">
        <v>4942</v>
      </c>
      <c r="C1886" s="3" t="s">
        <v>2163</v>
      </c>
      <c r="D1886" s="4" t="s">
        <v>4943</v>
      </c>
      <c r="E1886" s="3" t="s">
        <v>1076</v>
      </c>
      <c r="F1886" s="3" t="s">
        <v>2105</v>
      </c>
      <c r="G1886" s="3" t="s">
        <v>321</v>
      </c>
      <c r="H1886" s="4" t="s">
        <v>1305</v>
      </c>
    </row>
    <row r="1887" ht="16.5" customHeight="1" spans="1:8">
      <c r="A1887" s="3">
        <v>1886</v>
      </c>
      <c r="B1887" s="3" t="s">
        <v>4944</v>
      </c>
      <c r="C1887" s="3" t="s">
        <v>2163</v>
      </c>
      <c r="D1887" s="4" t="s">
        <v>4945</v>
      </c>
      <c r="E1887" s="3" t="s">
        <v>1076</v>
      </c>
      <c r="F1887" s="3" t="s">
        <v>4154</v>
      </c>
      <c r="G1887" s="3"/>
      <c r="H1887" s="4" t="s">
        <v>4198</v>
      </c>
    </row>
    <row r="1888" ht="16.5" customHeight="1" spans="1:8">
      <c r="A1888" s="3">
        <v>1887</v>
      </c>
      <c r="B1888" s="3" t="s">
        <v>4946</v>
      </c>
      <c r="C1888" s="3" t="s">
        <v>2163</v>
      </c>
      <c r="D1888" s="4" t="s">
        <v>4947</v>
      </c>
      <c r="E1888" s="3" t="s">
        <v>1076</v>
      </c>
      <c r="F1888" s="3" t="s">
        <v>4154</v>
      </c>
      <c r="G1888" s="3"/>
      <c r="H1888" s="4" t="s">
        <v>1095</v>
      </c>
    </row>
    <row r="1889" ht="16.5" customHeight="1" spans="1:8">
      <c r="A1889" s="3">
        <v>1888</v>
      </c>
      <c r="B1889" s="3" t="s">
        <v>4948</v>
      </c>
      <c r="C1889" s="3" t="s">
        <v>1105</v>
      </c>
      <c r="D1889" s="4" t="s">
        <v>4949</v>
      </c>
      <c r="E1889" s="3" t="s">
        <v>1076</v>
      </c>
      <c r="F1889" s="3" t="s">
        <v>1736</v>
      </c>
      <c r="G1889" s="3"/>
      <c r="H1889" s="4" t="s">
        <v>4639</v>
      </c>
    </row>
    <row r="1890" ht="16.5" customHeight="1" spans="1:8">
      <c r="A1890" s="3">
        <v>1889</v>
      </c>
      <c r="B1890" s="3" t="s">
        <v>4950</v>
      </c>
      <c r="C1890" s="3" t="s">
        <v>2163</v>
      </c>
      <c r="D1890" s="4" t="s">
        <v>4951</v>
      </c>
      <c r="E1890" s="3" t="s">
        <v>2263</v>
      </c>
      <c r="F1890" s="3" t="s">
        <v>4154</v>
      </c>
      <c r="G1890" s="3"/>
      <c r="H1890" s="4" t="s">
        <v>4198</v>
      </c>
    </row>
    <row r="1891" ht="16.5" customHeight="1" spans="1:8">
      <c r="A1891" s="3">
        <v>1890</v>
      </c>
      <c r="B1891" s="3" t="s">
        <v>4952</v>
      </c>
      <c r="C1891" s="3" t="s">
        <v>2163</v>
      </c>
      <c r="D1891" s="4" t="s">
        <v>4953</v>
      </c>
      <c r="E1891" s="3" t="s">
        <v>1076</v>
      </c>
      <c r="F1891" s="3" t="s">
        <v>4154</v>
      </c>
      <c r="G1891" s="3"/>
      <c r="H1891" s="4" t="s">
        <v>4198</v>
      </c>
    </row>
    <row r="1892" ht="16.5" customHeight="1" spans="1:8">
      <c r="A1892" s="3">
        <v>1891</v>
      </c>
      <c r="B1892" s="3" t="s">
        <v>4954</v>
      </c>
      <c r="C1892" s="3" t="s">
        <v>1356</v>
      </c>
      <c r="D1892" s="4" t="s">
        <v>4955</v>
      </c>
      <c r="E1892" s="3" t="s">
        <v>1076</v>
      </c>
      <c r="F1892" s="3" t="s">
        <v>1358</v>
      </c>
      <c r="G1892" s="3" t="s">
        <v>321</v>
      </c>
      <c r="H1892" s="4" t="s">
        <v>1308</v>
      </c>
    </row>
    <row r="1893" ht="16.5" customHeight="1" spans="1:8">
      <c r="A1893" s="3">
        <v>1892</v>
      </c>
      <c r="B1893" s="3" t="s">
        <v>4956</v>
      </c>
      <c r="C1893" s="3" t="s">
        <v>1356</v>
      </c>
      <c r="D1893" s="4" t="s">
        <v>4957</v>
      </c>
      <c r="E1893" s="3" t="s">
        <v>1076</v>
      </c>
      <c r="F1893" s="3" t="s">
        <v>1358</v>
      </c>
      <c r="G1893" s="3" t="s">
        <v>321</v>
      </c>
      <c r="H1893" s="4" t="s">
        <v>1308</v>
      </c>
    </row>
    <row r="1894" ht="16.5" customHeight="1" spans="1:8">
      <c r="A1894" s="3">
        <v>1893</v>
      </c>
      <c r="B1894" s="3" t="s">
        <v>4958</v>
      </c>
      <c r="C1894" s="3" t="s">
        <v>2163</v>
      </c>
      <c r="D1894" s="4" t="s">
        <v>4959</v>
      </c>
      <c r="E1894" s="3" t="s">
        <v>1076</v>
      </c>
      <c r="F1894" s="3" t="s">
        <v>4154</v>
      </c>
      <c r="G1894" s="3"/>
      <c r="H1894" s="4" t="s">
        <v>4198</v>
      </c>
    </row>
    <row r="1895" ht="16.5" customHeight="1" spans="1:8">
      <c r="A1895" s="3">
        <v>1894</v>
      </c>
      <c r="B1895" s="3" t="s">
        <v>4960</v>
      </c>
      <c r="C1895" s="3" t="s">
        <v>2163</v>
      </c>
      <c r="D1895" s="4" t="s">
        <v>4961</v>
      </c>
      <c r="E1895" s="3" t="s">
        <v>1076</v>
      </c>
      <c r="F1895" s="3" t="s">
        <v>4107</v>
      </c>
      <c r="G1895" s="3"/>
      <c r="H1895" s="4" t="s">
        <v>3351</v>
      </c>
    </row>
    <row r="1896" ht="16.5" customHeight="1" spans="1:8">
      <c r="A1896" s="3">
        <v>1895</v>
      </c>
      <c r="B1896" s="3" t="s">
        <v>4962</v>
      </c>
      <c r="C1896" s="3" t="s">
        <v>2163</v>
      </c>
      <c r="D1896" s="4" t="s">
        <v>4963</v>
      </c>
      <c r="E1896" s="3" t="s">
        <v>1076</v>
      </c>
      <c r="F1896" s="3" t="s">
        <v>4107</v>
      </c>
      <c r="G1896" s="3"/>
      <c r="H1896" s="4" t="s">
        <v>1359</v>
      </c>
    </row>
    <row r="1897" ht="16.5" customHeight="1" spans="1:8">
      <c r="A1897" s="3">
        <v>1896</v>
      </c>
      <c r="B1897" s="3" t="s">
        <v>4964</v>
      </c>
      <c r="C1897" s="3" t="s">
        <v>2163</v>
      </c>
      <c r="D1897" s="4" t="s">
        <v>4965</v>
      </c>
      <c r="E1897" s="3" t="s">
        <v>3093</v>
      </c>
      <c r="F1897" s="3" t="s">
        <v>4107</v>
      </c>
      <c r="G1897" s="3"/>
      <c r="H1897" s="4" t="s">
        <v>1078</v>
      </c>
    </row>
    <row r="1898" ht="16.5" customHeight="1" spans="1:8">
      <c r="A1898" s="3">
        <v>1897</v>
      </c>
      <c r="B1898" s="3" t="s">
        <v>4966</v>
      </c>
      <c r="C1898" s="3" t="s">
        <v>2163</v>
      </c>
      <c r="D1898" s="4" t="s">
        <v>4967</v>
      </c>
      <c r="E1898" s="3" t="s">
        <v>3093</v>
      </c>
      <c r="F1898" s="3" t="s">
        <v>4107</v>
      </c>
      <c r="G1898" s="3"/>
      <c r="H1898" s="4" t="s">
        <v>1305</v>
      </c>
    </row>
    <row r="1899" ht="16.5" customHeight="1" spans="1:8">
      <c r="A1899" s="3">
        <v>1898</v>
      </c>
      <c r="B1899" s="3" t="s">
        <v>4968</v>
      </c>
      <c r="C1899" s="3" t="s">
        <v>2163</v>
      </c>
      <c r="D1899" s="4" t="s">
        <v>4969</v>
      </c>
      <c r="E1899" s="3" t="s">
        <v>1076</v>
      </c>
      <c r="F1899" s="3" t="s">
        <v>4107</v>
      </c>
      <c r="G1899" s="3"/>
      <c r="H1899" s="4" t="s">
        <v>1359</v>
      </c>
    </row>
    <row r="1900" ht="16.5" customHeight="1" spans="1:8">
      <c r="A1900" s="3">
        <v>1899</v>
      </c>
      <c r="B1900" s="3" t="s">
        <v>4970</v>
      </c>
      <c r="C1900" s="3" t="s">
        <v>2163</v>
      </c>
      <c r="D1900" s="4" t="s">
        <v>4971</v>
      </c>
      <c r="E1900" s="3" t="s">
        <v>1076</v>
      </c>
      <c r="F1900" s="3" t="s">
        <v>4154</v>
      </c>
      <c r="G1900" s="3"/>
      <c r="H1900" s="4" t="s">
        <v>4198</v>
      </c>
    </row>
    <row r="1901" ht="16.5" customHeight="1" spans="1:8">
      <c r="A1901" s="3">
        <v>1900</v>
      </c>
      <c r="B1901" s="3" t="s">
        <v>4972</v>
      </c>
      <c r="C1901" s="3" t="s">
        <v>2163</v>
      </c>
      <c r="D1901" s="4" t="s">
        <v>4973</v>
      </c>
      <c r="E1901" s="3" t="s">
        <v>1076</v>
      </c>
      <c r="F1901" s="3" t="s">
        <v>4107</v>
      </c>
      <c r="G1901" s="3"/>
      <c r="H1901" s="4" t="s">
        <v>1305</v>
      </c>
    </row>
    <row r="1902" ht="16.5" customHeight="1" spans="1:8">
      <c r="A1902" s="3">
        <v>1901</v>
      </c>
      <c r="B1902" s="3" t="s">
        <v>4974</v>
      </c>
      <c r="C1902" s="3" t="s">
        <v>2163</v>
      </c>
      <c r="D1902" s="4" t="s">
        <v>4975</v>
      </c>
      <c r="E1902" s="3" t="s">
        <v>1076</v>
      </c>
      <c r="F1902" s="3" t="s">
        <v>2105</v>
      </c>
      <c r="G1902" s="3" t="s">
        <v>321</v>
      </c>
      <c r="H1902" s="4" t="s">
        <v>1305</v>
      </c>
    </row>
    <row r="1903" ht="16.5" customHeight="1" spans="1:8">
      <c r="A1903" s="3">
        <v>1902</v>
      </c>
      <c r="B1903" s="3" t="s">
        <v>4976</v>
      </c>
      <c r="C1903" s="3" t="s">
        <v>1356</v>
      </c>
      <c r="D1903" s="4" t="s">
        <v>4977</v>
      </c>
      <c r="E1903" s="3" t="s">
        <v>1076</v>
      </c>
      <c r="F1903" s="3" t="s">
        <v>4107</v>
      </c>
      <c r="G1903" s="3"/>
      <c r="H1903" s="4" t="s">
        <v>1305</v>
      </c>
    </row>
    <row r="1904" ht="16.5" customHeight="1" spans="1:8">
      <c r="A1904" s="3">
        <v>1903</v>
      </c>
      <c r="B1904" s="3" t="s">
        <v>4978</v>
      </c>
      <c r="C1904" s="3" t="s">
        <v>1356</v>
      </c>
      <c r="D1904" s="4" t="s">
        <v>4979</v>
      </c>
      <c r="E1904" s="3" t="s">
        <v>1076</v>
      </c>
      <c r="F1904" s="3" t="s">
        <v>4107</v>
      </c>
      <c r="G1904" s="3"/>
      <c r="H1904" s="4" t="s">
        <v>1368</v>
      </c>
    </row>
    <row r="1905" ht="16.5" customHeight="1" spans="1:8">
      <c r="A1905" s="3">
        <v>1904</v>
      </c>
      <c r="B1905" s="3" t="s">
        <v>4980</v>
      </c>
      <c r="C1905" s="3" t="s">
        <v>1356</v>
      </c>
      <c r="D1905" s="4" t="s">
        <v>4981</v>
      </c>
      <c r="E1905" s="3" t="s">
        <v>1076</v>
      </c>
      <c r="F1905" s="3" t="s">
        <v>4107</v>
      </c>
      <c r="G1905" s="3"/>
      <c r="H1905" s="4" t="s">
        <v>1883</v>
      </c>
    </row>
    <row r="1906" ht="16.5" customHeight="1" spans="1:8">
      <c r="A1906" s="3">
        <v>1905</v>
      </c>
      <c r="B1906" s="3" t="s">
        <v>4982</v>
      </c>
      <c r="C1906" s="3" t="s">
        <v>1356</v>
      </c>
      <c r="D1906" s="4" t="s">
        <v>4983</v>
      </c>
      <c r="E1906" s="3" t="s">
        <v>1076</v>
      </c>
      <c r="F1906" s="3" t="s">
        <v>4107</v>
      </c>
      <c r="G1906" s="3"/>
      <c r="H1906" s="4" t="s">
        <v>1305</v>
      </c>
    </row>
    <row r="1907" ht="16.5" customHeight="1" spans="1:8">
      <c r="A1907" s="3">
        <v>1906</v>
      </c>
      <c r="B1907" s="3" t="s">
        <v>4984</v>
      </c>
      <c r="C1907" s="3" t="s">
        <v>1074</v>
      </c>
      <c r="D1907" s="4" t="s">
        <v>4985</v>
      </c>
      <c r="E1907" s="3" t="s">
        <v>1076</v>
      </c>
      <c r="F1907" s="3" t="s">
        <v>1719</v>
      </c>
      <c r="G1907" s="3"/>
      <c r="H1907" s="4"/>
    </row>
    <row r="1908" ht="16.5" customHeight="1" spans="1:8">
      <c r="A1908" s="3">
        <v>1907</v>
      </c>
      <c r="B1908" s="3" t="s">
        <v>4986</v>
      </c>
      <c r="C1908" s="3" t="s">
        <v>1361</v>
      </c>
      <c r="D1908" s="4" t="s">
        <v>4987</v>
      </c>
      <c r="E1908" s="3" t="s">
        <v>1218</v>
      </c>
      <c r="F1908" s="3" t="s">
        <v>2105</v>
      </c>
      <c r="G1908" s="3" t="s">
        <v>321</v>
      </c>
      <c r="H1908" s="4" t="s">
        <v>1305</v>
      </c>
    </row>
    <row r="1909" ht="16.5" customHeight="1" spans="1:8">
      <c r="A1909" s="3">
        <v>1908</v>
      </c>
      <c r="B1909" s="3" t="s">
        <v>4988</v>
      </c>
      <c r="C1909" s="3" t="s">
        <v>1361</v>
      </c>
      <c r="D1909" s="4" t="s">
        <v>4989</v>
      </c>
      <c r="E1909" s="3" t="s">
        <v>1218</v>
      </c>
      <c r="F1909" s="3" t="s">
        <v>2041</v>
      </c>
      <c r="G1909" s="3" t="s">
        <v>321</v>
      </c>
      <c r="H1909" s="4"/>
    </row>
    <row r="1910" ht="16.5" customHeight="1" spans="1:8">
      <c r="A1910" s="3">
        <v>1909</v>
      </c>
      <c r="B1910" s="3" t="s">
        <v>4990</v>
      </c>
      <c r="C1910" s="3" t="s">
        <v>1361</v>
      </c>
      <c r="D1910" s="4" t="s">
        <v>4991</v>
      </c>
      <c r="E1910" s="3" t="s">
        <v>1218</v>
      </c>
      <c r="F1910" s="3" t="s">
        <v>2105</v>
      </c>
      <c r="G1910" s="3"/>
      <c r="H1910" s="4" t="s">
        <v>1305</v>
      </c>
    </row>
    <row r="1911" ht="16.5" customHeight="1" spans="1:8">
      <c r="A1911" s="3">
        <v>1910</v>
      </c>
      <c r="B1911" s="3" t="s">
        <v>4992</v>
      </c>
      <c r="C1911" s="3" t="s">
        <v>1361</v>
      </c>
      <c r="D1911" s="4" t="s">
        <v>4993</v>
      </c>
      <c r="E1911" s="3" t="s">
        <v>1218</v>
      </c>
      <c r="F1911" s="3" t="s">
        <v>1358</v>
      </c>
      <c r="G1911" s="3" t="s">
        <v>321</v>
      </c>
      <c r="H1911" s="4"/>
    </row>
    <row r="1912" ht="16.5" customHeight="1" spans="1:8">
      <c r="A1912" s="3">
        <v>1911</v>
      </c>
      <c r="B1912" s="3" t="s">
        <v>4994</v>
      </c>
      <c r="C1912" s="3" t="s">
        <v>1361</v>
      </c>
      <c r="D1912" s="4" t="s">
        <v>4995</v>
      </c>
      <c r="E1912" s="3" t="s">
        <v>1218</v>
      </c>
      <c r="F1912" s="3" t="s">
        <v>2105</v>
      </c>
      <c r="G1912" s="3"/>
      <c r="H1912" s="4" t="s">
        <v>1305</v>
      </c>
    </row>
    <row r="1913" ht="16.5" customHeight="1" spans="1:8">
      <c r="A1913" s="3">
        <v>1912</v>
      </c>
      <c r="B1913" s="3" t="s">
        <v>4996</v>
      </c>
      <c r="C1913" s="3" t="s">
        <v>1361</v>
      </c>
      <c r="D1913" s="4" t="s">
        <v>4997</v>
      </c>
      <c r="E1913" s="3" t="s">
        <v>1218</v>
      </c>
      <c r="F1913" s="3" t="s">
        <v>2041</v>
      </c>
      <c r="G1913" s="3" t="s">
        <v>321</v>
      </c>
      <c r="H1913" s="4"/>
    </row>
    <row r="1914" ht="16.5" customHeight="1" spans="1:8">
      <c r="A1914" s="3">
        <v>1913</v>
      </c>
      <c r="B1914" s="3" t="s">
        <v>4998</v>
      </c>
      <c r="C1914" s="3" t="s">
        <v>1361</v>
      </c>
      <c r="D1914" s="4" t="s">
        <v>4999</v>
      </c>
      <c r="E1914" s="3" t="s">
        <v>1218</v>
      </c>
      <c r="F1914" s="3" t="s">
        <v>2105</v>
      </c>
      <c r="G1914" s="3"/>
      <c r="H1914" s="4" t="s">
        <v>1305</v>
      </c>
    </row>
    <row r="1915" ht="16.5" customHeight="1" spans="1:8">
      <c r="A1915" s="3">
        <v>1914</v>
      </c>
      <c r="B1915" s="3" t="s">
        <v>5000</v>
      </c>
      <c r="C1915" s="3" t="s">
        <v>1361</v>
      </c>
      <c r="D1915" s="4" t="s">
        <v>5001</v>
      </c>
      <c r="E1915" s="3" t="s">
        <v>1218</v>
      </c>
      <c r="F1915" s="3" t="s">
        <v>1358</v>
      </c>
      <c r="G1915" s="3" t="s">
        <v>321</v>
      </c>
      <c r="H1915" s="4"/>
    </row>
    <row r="1916" ht="16.5" customHeight="1" spans="1:8">
      <c r="A1916" s="3">
        <v>1915</v>
      </c>
      <c r="B1916" s="3" t="s">
        <v>5002</v>
      </c>
      <c r="C1916" s="3" t="s">
        <v>1361</v>
      </c>
      <c r="D1916" s="4" t="s">
        <v>5003</v>
      </c>
      <c r="E1916" s="3" t="s">
        <v>1218</v>
      </c>
      <c r="F1916" s="3" t="s">
        <v>2105</v>
      </c>
      <c r="G1916" s="3" t="s">
        <v>321</v>
      </c>
      <c r="H1916" s="4" t="s">
        <v>1305</v>
      </c>
    </row>
    <row r="1917" ht="16.5" customHeight="1" spans="1:8">
      <c r="A1917" s="3">
        <v>1916</v>
      </c>
      <c r="B1917" s="3" t="s">
        <v>5004</v>
      </c>
      <c r="C1917" s="3" t="s">
        <v>1361</v>
      </c>
      <c r="D1917" s="4" t="s">
        <v>5005</v>
      </c>
      <c r="E1917" s="3" t="s">
        <v>1218</v>
      </c>
      <c r="F1917" s="3" t="s">
        <v>2105</v>
      </c>
      <c r="G1917" s="3" t="s">
        <v>321</v>
      </c>
      <c r="H1917" s="4" t="s">
        <v>1305</v>
      </c>
    </row>
    <row r="1918" ht="16.5" customHeight="1" spans="1:8">
      <c r="A1918" s="3">
        <v>1917</v>
      </c>
      <c r="B1918" s="3" t="s">
        <v>5006</v>
      </c>
      <c r="C1918" s="3" t="s">
        <v>1361</v>
      </c>
      <c r="D1918" s="4" t="s">
        <v>5007</v>
      </c>
      <c r="E1918" s="3" t="s">
        <v>1218</v>
      </c>
      <c r="F1918" s="3" t="s">
        <v>2105</v>
      </c>
      <c r="G1918" s="3" t="s">
        <v>321</v>
      </c>
      <c r="H1918" s="4" t="s">
        <v>1305</v>
      </c>
    </row>
    <row r="1919" ht="16.5" customHeight="1" spans="1:8">
      <c r="A1919" s="3">
        <v>1918</v>
      </c>
      <c r="B1919" s="3" t="s">
        <v>5008</v>
      </c>
      <c r="C1919" s="3" t="s">
        <v>1361</v>
      </c>
      <c r="D1919" s="4" t="s">
        <v>5009</v>
      </c>
      <c r="E1919" s="3" t="s">
        <v>1218</v>
      </c>
      <c r="F1919" s="3" t="s">
        <v>2041</v>
      </c>
      <c r="G1919" s="3" t="s">
        <v>321</v>
      </c>
      <c r="H1919" s="4"/>
    </row>
    <row r="1920" ht="16.5" customHeight="1" spans="1:8">
      <c r="A1920" s="3">
        <v>1919</v>
      </c>
      <c r="B1920" s="3" t="s">
        <v>5010</v>
      </c>
      <c r="C1920" s="3" t="s">
        <v>1361</v>
      </c>
      <c r="D1920" s="4" t="s">
        <v>5011</v>
      </c>
      <c r="E1920" s="3" t="s">
        <v>1218</v>
      </c>
      <c r="F1920" s="3" t="s">
        <v>2105</v>
      </c>
      <c r="G1920" s="3" t="s">
        <v>321</v>
      </c>
      <c r="H1920" s="4" t="s">
        <v>3351</v>
      </c>
    </row>
    <row r="1921" ht="16.5" customHeight="1" spans="1:8">
      <c r="A1921" s="3">
        <v>1920</v>
      </c>
      <c r="B1921" s="3" t="s">
        <v>5012</v>
      </c>
      <c r="C1921" s="3" t="s">
        <v>1361</v>
      </c>
      <c r="D1921" s="4" t="s">
        <v>5013</v>
      </c>
      <c r="E1921" s="3" t="s">
        <v>1218</v>
      </c>
      <c r="F1921" s="3" t="s">
        <v>2105</v>
      </c>
      <c r="G1921" s="3" t="s">
        <v>321</v>
      </c>
      <c r="H1921" s="4" t="s">
        <v>1305</v>
      </c>
    </row>
    <row r="1922" ht="16.5" customHeight="1" spans="1:8">
      <c r="A1922" s="3">
        <v>1921</v>
      </c>
      <c r="B1922" s="3" t="s">
        <v>5014</v>
      </c>
      <c r="C1922" s="3" t="s">
        <v>1361</v>
      </c>
      <c r="D1922" s="4" t="s">
        <v>5015</v>
      </c>
      <c r="E1922" s="3" t="s">
        <v>1218</v>
      </c>
      <c r="F1922" s="3" t="s">
        <v>2105</v>
      </c>
      <c r="G1922" s="3" t="s">
        <v>321</v>
      </c>
      <c r="H1922" s="4" t="s">
        <v>1305</v>
      </c>
    </row>
    <row r="1923" ht="16.5" customHeight="1" spans="1:8">
      <c r="A1923" s="3">
        <v>1922</v>
      </c>
      <c r="B1923" s="3" t="s">
        <v>5016</v>
      </c>
      <c r="C1923" s="3" t="s">
        <v>1361</v>
      </c>
      <c r="D1923" s="4" t="s">
        <v>5017</v>
      </c>
      <c r="E1923" s="3" t="s">
        <v>1218</v>
      </c>
      <c r="F1923" s="3" t="s">
        <v>2105</v>
      </c>
      <c r="G1923" s="3" t="s">
        <v>321</v>
      </c>
      <c r="H1923" s="4" t="s">
        <v>1305</v>
      </c>
    </row>
    <row r="1924" ht="16.5" customHeight="1" spans="1:8">
      <c r="A1924" s="3">
        <v>1923</v>
      </c>
      <c r="B1924" s="3" t="s">
        <v>5018</v>
      </c>
      <c r="C1924" s="3" t="s">
        <v>1361</v>
      </c>
      <c r="D1924" s="4" t="s">
        <v>5019</v>
      </c>
      <c r="E1924" s="3" t="s">
        <v>1218</v>
      </c>
      <c r="F1924" s="3" t="s">
        <v>1358</v>
      </c>
      <c r="G1924" s="3"/>
      <c r="H1924" s="4"/>
    </row>
    <row r="1925" ht="16.5" customHeight="1" spans="1:8">
      <c r="A1925" s="3">
        <v>1924</v>
      </c>
      <c r="B1925" s="3" t="s">
        <v>5020</v>
      </c>
      <c r="C1925" s="3" t="s">
        <v>1361</v>
      </c>
      <c r="D1925" s="4" t="s">
        <v>5021</v>
      </c>
      <c r="E1925" s="3" t="s">
        <v>1218</v>
      </c>
      <c r="F1925" s="3" t="s">
        <v>2105</v>
      </c>
      <c r="G1925" s="3" t="s">
        <v>321</v>
      </c>
      <c r="H1925" s="4" t="s">
        <v>1305</v>
      </c>
    </row>
    <row r="1926" ht="16.5" customHeight="1" spans="1:8">
      <c r="A1926" s="3">
        <v>1925</v>
      </c>
      <c r="B1926" s="3" t="s">
        <v>5022</v>
      </c>
      <c r="C1926" s="3" t="s">
        <v>1361</v>
      </c>
      <c r="D1926" s="4" t="s">
        <v>5023</v>
      </c>
      <c r="E1926" s="3" t="s">
        <v>1218</v>
      </c>
      <c r="F1926" s="3" t="s">
        <v>2041</v>
      </c>
      <c r="G1926" s="3" t="s">
        <v>321</v>
      </c>
      <c r="H1926" s="4"/>
    </row>
    <row r="1927" ht="16.5" customHeight="1" spans="1:8">
      <c r="A1927" s="3">
        <v>1926</v>
      </c>
      <c r="B1927" s="3" t="s">
        <v>5024</v>
      </c>
      <c r="C1927" s="3" t="s">
        <v>1361</v>
      </c>
      <c r="D1927" s="4" t="s">
        <v>5025</v>
      </c>
      <c r="E1927" s="3" t="s">
        <v>1218</v>
      </c>
      <c r="F1927" s="3" t="s">
        <v>2041</v>
      </c>
      <c r="G1927" s="3" t="s">
        <v>321</v>
      </c>
      <c r="H1927" s="4"/>
    </row>
    <row r="1928" ht="16.5" customHeight="1" spans="1:8">
      <c r="A1928" s="3">
        <v>1927</v>
      </c>
      <c r="B1928" s="3" t="s">
        <v>5026</v>
      </c>
      <c r="C1928" s="3" t="s">
        <v>1361</v>
      </c>
      <c r="D1928" s="4" t="s">
        <v>5027</v>
      </c>
      <c r="E1928" s="3" t="s">
        <v>1218</v>
      </c>
      <c r="F1928" s="3" t="s">
        <v>2041</v>
      </c>
      <c r="G1928" s="3" t="s">
        <v>321</v>
      </c>
      <c r="H1928" s="4"/>
    </row>
    <row r="1929" ht="16.5" customHeight="1" spans="1:8">
      <c r="A1929" s="3">
        <v>1928</v>
      </c>
      <c r="B1929" s="3" t="s">
        <v>5028</v>
      </c>
      <c r="C1929" s="3" t="s">
        <v>1361</v>
      </c>
      <c r="D1929" s="4" t="s">
        <v>5029</v>
      </c>
      <c r="E1929" s="3" t="s">
        <v>1218</v>
      </c>
      <c r="F1929" s="3" t="s">
        <v>1358</v>
      </c>
      <c r="G1929" s="3" t="s">
        <v>321</v>
      </c>
      <c r="H1929" s="4"/>
    </row>
    <row r="1930" ht="16.5" customHeight="1" spans="1:8">
      <c r="A1930" s="3">
        <v>1929</v>
      </c>
      <c r="B1930" s="3" t="s">
        <v>5030</v>
      </c>
      <c r="C1930" s="3" t="s">
        <v>1361</v>
      </c>
      <c r="D1930" s="4" t="s">
        <v>5031</v>
      </c>
      <c r="E1930" s="3" t="s">
        <v>1218</v>
      </c>
      <c r="F1930" s="3" t="s">
        <v>2041</v>
      </c>
      <c r="G1930" s="3" t="s">
        <v>321</v>
      </c>
      <c r="H1930" s="4"/>
    </row>
    <row r="1931" ht="16.5" customHeight="1" spans="1:8">
      <c r="A1931" s="3">
        <v>1930</v>
      </c>
      <c r="B1931" s="3" t="s">
        <v>5032</v>
      </c>
      <c r="C1931" s="3" t="s">
        <v>1361</v>
      </c>
      <c r="D1931" s="4" t="s">
        <v>5033</v>
      </c>
      <c r="E1931" s="3" t="s">
        <v>1218</v>
      </c>
      <c r="F1931" s="3" t="s">
        <v>2041</v>
      </c>
      <c r="G1931" s="3" t="s">
        <v>321</v>
      </c>
      <c r="H1931" s="4"/>
    </row>
    <row r="1932" ht="16.5" customHeight="1" spans="1:8">
      <c r="A1932" s="3">
        <v>1931</v>
      </c>
      <c r="B1932" s="3" t="s">
        <v>5034</v>
      </c>
      <c r="C1932" s="3" t="s">
        <v>1361</v>
      </c>
      <c r="D1932" s="4" t="s">
        <v>5035</v>
      </c>
      <c r="E1932" s="3" t="s">
        <v>1218</v>
      </c>
      <c r="F1932" s="3" t="s">
        <v>1358</v>
      </c>
      <c r="G1932" s="3" t="s">
        <v>321</v>
      </c>
      <c r="H1932" s="4"/>
    </row>
    <row r="1933" ht="16.5" customHeight="1" spans="1:8">
      <c r="A1933" s="3">
        <v>1932</v>
      </c>
      <c r="B1933" s="3" t="s">
        <v>5036</v>
      </c>
      <c r="C1933" s="3" t="s">
        <v>1361</v>
      </c>
      <c r="D1933" s="4" t="s">
        <v>5037</v>
      </c>
      <c r="E1933" s="3" t="s">
        <v>1218</v>
      </c>
      <c r="F1933" s="3" t="s">
        <v>1358</v>
      </c>
      <c r="G1933" s="3" t="s">
        <v>321</v>
      </c>
      <c r="H1933" s="4"/>
    </row>
    <row r="1934" ht="16.5" customHeight="1" spans="1:8">
      <c r="A1934" s="3">
        <v>1933</v>
      </c>
      <c r="B1934" s="3" t="s">
        <v>5038</v>
      </c>
      <c r="C1934" s="3" t="s">
        <v>1361</v>
      </c>
      <c r="D1934" s="4" t="s">
        <v>5039</v>
      </c>
      <c r="E1934" s="3" t="s">
        <v>1218</v>
      </c>
      <c r="F1934" s="3" t="s">
        <v>2041</v>
      </c>
      <c r="G1934" s="3" t="s">
        <v>321</v>
      </c>
      <c r="H1934" s="4"/>
    </row>
    <row r="1935" ht="16.5" customHeight="1" spans="1:8">
      <c r="A1935" s="3">
        <v>1934</v>
      </c>
      <c r="B1935" s="3" t="s">
        <v>5040</v>
      </c>
      <c r="C1935" s="3" t="s">
        <v>1361</v>
      </c>
      <c r="D1935" s="4" t="s">
        <v>5041</v>
      </c>
      <c r="E1935" s="3" t="s">
        <v>1218</v>
      </c>
      <c r="F1935" s="3" t="s">
        <v>2041</v>
      </c>
      <c r="G1935" s="3" t="s">
        <v>321</v>
      </c>
      <c r="H1935" s="4"/>
    </row>
    <row r="1936" ht="16.5" customHeight="1" spans="1:8">
      <c r="A1936" s="3">
        <v>1935</v>
      </c>
      <c r="B1936" s="3" t="s">
        <v>5042</v>
      </c>
      <c r="C1936" s="3" t="s">
        <v>1361</v>
      </c>
      <c r="D1936" s="4" t="s">
        <v>5043</v>
      </c>
      <c r="E1936" s="3" t="s">
        <v>1218</v>
      </c>
      <c r="F1936" s="3" t="s">
        <v>2041</v>
      </c>
      <c r="G1936" s="3" t="s">
        <v>321</v>
      </c>
      <c r="H1936" s="4"/>
    </row>
    <row r="1937" ht="16.5" customHeight="1" spans="1:8">
      <c r="A1937" s="3">
        <v>1936</v>
      </c>
      <c r="B1937" s="3" t="s">
        <v>5044</v>
      </c>
      <c r="C1937" s="3" t="s">
        <v>1361</v>
      </c>
      <c r="D1937" s="4" t="s">
        <v>5045</v>
      </c>
      <c r="E1937" s="3" t="s">
        <v>1218</v>
      </c>
      <c r="F1937" s="3" t="s">
        <v>2041</v>
      </c>
      <c r="G1937" s="3" t="s">
        <v>321</v>
      </c>
      <c r="H1937" s="4"/>
    </row>
    <row r="1938" ht="16.5" customHeight="1" spans="1:8">
      <c r="A1938" s="3">
        <v>1937</v>
      </c>
      <c r="B1938" s="3" t="s">
        <v>5046</v>
      </c>
      <c r="C1938" s="3" t="s">
        <v>1361</v>
      </c>
      <c r="D1938" s="4" t="s">
        <v>5047</v>
      </c>
      <c r="E1938" s="3" t="s">
        <v>1218</v>
      </c>
      <c r="F1938" s="3" t="s">
        <v>2041</v>
      </c>
      <c r="G1938" s="3" t="s">
        <v>321</v>
      </c>
      <c r="H1938" s="4"/>
    </row>
    <row r="1939" ht="16.5" customHeight="1" spans="1:8">
      <c r="A1939" s="3">
        <v>1938</v>
      </c>
      <c r="B1939" s="3" t="s">
        <v>5048</v>
      </c>
      <c r="C1939" s="3" t="s">
        <v>1361</v>
      </c>
      <c r="D1939" s="4" t="s">
        <v>5049</v>
      </c>
      <c r="E1939" s="3" t="s">
        <v>1218</v>
      </c>
      <c r="F1939" s="3" t="s">
        <v>2041</v>
      </c>
      <c r="G1939" s="3" t="s">
        <v>321</v>
      </c>
      <c r="H1939" s="4"/>
    </row>
    <row r="1940" ht="16.5" customHeight="1" spans="1:8">
      <c r="A1940" s="3">
        <v>1939</v>
      </c>
      <c r="B1940" s="3" t="s">
        <v>5050</v>
      </c>
      <c r="C1940" s="3" t="s">
        <v>1361</v>
      </c>
      <c r="D1940" s="4" t="s">
        <v>5051</v>
      </c>
      <c r="E1940" s="3" t="s">
        <v>1218</v>
      </c>
      <c r="F1940" s="3" t="s">
        <v>2041</v>
      </c>
      <c r="G1940" s="3" t="s">
        <v>321</v>
      </c>
      <c r="H1940" s="4"/>
    </row>
    <row r="1941" ht="16.5" customHeight="1" spans="1:8">
      <c r="A1941" s="3">
        <v>1940</v>
      </c>
      <c r="B1941" s="3" t="s">
        <v>5052</v>
      </c>
      <c r="C1941" s="3" t="s">
        <v>1361</v>
      </c>
      <c r="D1941" s="4" t="s">
        <v>5053</v>
      </c>
      <c r="E1941" s="3" t="s">
        <v>1218</v>
      </c>
      <c r="F1941" s="3" t="s">
        <v>2041</v>
      </c>
      <c r="G1941" s="3" t="s">
        <v>321</v>
      </c>
      <c r="H1941" s="4"/>
    </row>
    <row r="1942" ht="16.5" customHeight="1" spans="1:8">
      <c r="A1942" s="3">
        <v>1941</v>
      </c>
      <c r="B1942" s="3" t="s">
        <v>5054</v>
      </c>
      <c r="C1942" s="3" t="s">
        <v>1361</v>
      </c>
      <c r="D1942" s="4" t="s">
        <v>5055</v>
      </c>
      <c r="E1942" s="3" t="s">
        <v>1218</v>
      </c>
      <c r="F1942" s="3" t="s">
        <v>2041</v>
      </c>
      <c r="G1942" s="3" t="s">
        <v>321</v>
      </c>
      <c r="H1942" s="4"/>
    </row>
    <row r="1943" ht="16.5" customHeight="1" spans="1:8">
      <c r="A1943" s="3">
        <v>1942</v>
      </c>
      <c r="B1943" s="3" t="s">
        <v>5056</v>
      </c>
      <c r="C1943" s="3" t="s">
        <v>1361</v>
      </c>
      <c r="D1943" s="4" t="s">
        <v>5057</v>
      </c>
      <c r="E1943" s="3" t="s">
        <v>1218</v>
      </c>
      <c r="F1943" s="3" t="s">
        <v>1358</v>
      </c>
      <c r="G1943" s="3" t="s">
        <v>321</v>
      </c>
      <c r="H1943" s="4"/>
    </row>
    <row r="1944" ht="16.5" customHeight="1" spans="1:8">
      <c r="A1944" s="3">
        <v>1943</v>
      </c>
      <c r="B1944" s="3" t="s">
        <v>5058</v>
      </c>
      <c r="C1944" s="3" t="s">
        <v>1361</v>
      </c>
      <c r="D1944" s="4" t="s">
        <v>5059</v>
      </c>
      <c r="E1944" s="3" t="s">
        <v>1218</v>
      </c>
      <c r="F1944" s="3" t="s">
        <v>2041</v>
      </c>
      <c r="G1944" s="3" t="s">
        <v>321</v>
      </c>
      <c r="H1944" s="4"/>
    </row>
    <row r="1945" ht="16.5" customHeight="1" spans="1:8">
      <c r="A1945" s="3">
        <v>1944</v>
      </c>
      <c r="B1945" s="3" t="s">
        <v>5060</v>
      </c>
      <c r="C1945" s="3" t="s">
        <v>1361</v>
      </c>
      <c r="D1945" s="4" t="s">
        <v>5061</v>
      </c>
      <c r="E1945" s="3" t="s">
        <v>1218</v>
      </c>
      <c r="F1945" s="3" t="s">
        <v>2041</v>
      </c>
      <c r="G1945" s="3" t="s">
        <v>321</v>
      </c>
      <c r="H1945" s="4"/>
    </row>
    <row r="1946" ht="16.5" customHeight="1" spans="1:8">
      <c r="A1946" s="3">
        <v>1945</v>
      </c>
      <c r="B1946" s="3" t="s">
        <v>5062</v>
      </c>
      <c r="C1946" s="3" t="s">
        <v>1361</v>
      </c>
      <c r="D1946" s="4" t="s">
        <v>5063</v>
      </c>
      <c r="E1946" s="3" t="s">
        <v>1218</v>
      </c>
      <c r="F1946" s="3" t="s">
        <v>2041</v>
      </c>
      <c r="G1946" s="3" t="s">
        <v>321</v>
      </c>
      <c r="H1946" s="4"/>
    </row>
    <row r="1947" ht="16.5" customHeight="1" spans="1:8">
      <c r="A1947" s="3">
        <v>1946</v>
      </c>
      <c r="B1947" s="3" t="s">
        <v>5064</v>
      </c>
      <c r="C1947" s="3" t="s">
        <v>1361</v>
      </c>
      <c r="D1947" s="4" t="s">
        <v>5065</v>
      </c>
      <c r="E1947" s="3" t="s">
        <v>1218</v>
      </c>
      <c r="F1947" s="3" t="s">
        <v>2041</v>
      </c>
      <c r="G1947" s="3" t="s">
        <v>321</v>
      </c>
      <c r="H1947" s="4"/>
    </row>
    <row r="1948" ht="16.5" customHeight="1" spans="1:8">
      <c r="A1948" s="3">
        <v>1947</v>
      </c>
      <c r="B1948" s="3" t="s">
        <v>5066</v>
      </c>
      <c r="C1948" s="3" t="s">
        <v>1361</v>
      </c>
      <c r="D1948" s="4" t="s">
        <v>5067</v>
      </c>
      <c r="E1948" s="3" t="s">
        <v>1218</v>
      </c>
      <c r="F1948" s="3" t="s">
        <v>2041</v>
      </c>
      <c r="G1948" s="3" t="s">
        <v>321</v>
      </c>
      <c r="H1948" s="4"/>
    </row>
    <row r="1949" ht="16.5" customHeight="1" spans="1:8">
      <c r="A1949" s="3">
        <v>1948</v>
      </c>
      <c r="B1949" s="3" t="s">
        <v>5068</v>
      </c>
      <c r="C1949" s="3" t="s">
        <v>1356</v>
      </c>
      <c r="D1949" s="4" t="s">
        <v>5069</v>
      </c>
      <c r="E1949" s="3" t="s">
        <v>1076</v>
      </c>
      <c r="F1949" s="3" t="s">
        <v>1152</v>
      </c>
      <c r="G1949" s="3"/>
      <c r="H1949" s="4" t="s">
        <v>2050</v>
      </c>
    </row>
    <row r="1950" ht="16.5" customHeight="1" spans="1:8">
      <c r="A1950" s="3">
        <v>1949</v>
      </c>
      <c r="B1950" s="3" t="s">
        <v>5070</v>
      </c>
      <c r="C1950" s="3" t="s">
        <v>1356</v>
      </c>
      <c r="D1950" s="4" t="s">
        <v>5071</v>
      </c>
      <c r="E1950" s="3" t="s">
        <v>1076</v>
      </c>
      <c r="F1950" s="3" t="s">
        <v>1152</v>
      </c>
      <c r="G1950" s="3"/>
      <c r="H1950" s="4" t="s">
        <v>2050</v>
      </c>
    </row>
    <row r="1951" ht="16.5" customHeight="1" spans="1:8">
      <c r="A1951" s="3">
        <v>1950</v>
      </c>
      <c r="B1951" s="3" t="s">
        <v>5072</v>
      </c>
      <c r="C1951" s="3" t="s">
        <v>2163</v>
      </c>
      <c r="D1951" s="4" t="s">
        <v>5073</v>
      </c>
      <c r="E1951" s="3" t="s">
        <v>1076</v>
      </c>
      <c r="F1951" s="3" t="s">
        <v>2105</v>
      </c>
      <c r="G1951" s="3" t="s">
        <v>321</v>
      </c>
      <c r="H1951" s="4" t="s">
        <v>1305</v>
      </c>
    </row>
    <row r="1952" ht="16.5" customHeight="1" spans="1:8">
      <c r="A1952" s="3">
        <v>1951</v>
      </c>
      <c r="B1952" s="3" t="s">
        <v>5074</v>
      </c>
      <c r="C1952" s="3" t="s">
        <v>2163</v>
      </c>
      <c r="D1952" s="4" t="s">
        <v>5075</v>
      </c>
      <c r="E1952" s="3" t="s">
        <v>1076</v>
      </c>
      <c r="F1952" s="3" t="s">
        <v>2105</v>
      </c>
      <c r="G1952" s="3" t="s">
        <v>321</v>
      </c>
      <c r="H1952" s="4" t="s">
        <v>1305</v>
      </c>
    </row>
    <row r="1953" ht="16.5" customHeight="1" spans="1:8">
      <c r="A1953" s="3">
        <v>1952</v>
      </c>
      <c r="B1953" s="3" t="s">
        <v>5076</v>
      </c>
      <c r="C1953" s="3" t="s">
        <v>2163</v>
      </c>
      <c r="D1953" s="4" t="s">
        <v>5077</v>
      </c>
      <c r="E1953" s="3" t="s">
        <v>1076</v>
      </c>
      <c r="F1953" s="3" t="s">
        <v>2105</v>
      </c>
      <c r="G1953" s="3" t="s">
        <v>321</v>
      </c>
      <c r="H1953" s="4" t="s">
        <v>1305</v>
      </c>
    </row>
    <row r="1954" ht="16.5" customHeight="1" spans="1:8">
      <c r="A1954" s="3">
        <v>1953</v>
      </c>
      <c r="B1954" s="3" t="s">
        <v>5078</v>
      </c>
      <c r="C1954" s="3" t="s">
        <v>2163</v>
      </c>
      <c r="D1954" s="4" t="s">
        <v>5079</v>
      </c>
      <c r="E1954" s="3" t="s">
        <v>1076</v>
      </c>
      <c r="F1954" s="3" t="s">
        <v>2105</v>
      </c>
      <c r="G1954" s="3" t="s">
        <v>321</v>
      </c>
      <c r="H1954" s="4" t="s">
        <v>1305</v>
      </c>
    </row>
    <row r="1955" ht="16.5" customHeight="1" spans="1:8">
      <c r="A1955" s="3">
        <v>1954</v>
      </c>
      <c r="B1955" s="3" t="s">
        <v>5080</v>
      </c>
      <c r="C1955" s="3" t="s">
        <v>2163</v>
      </c>
      <c r="D1955" s="4" t="s">
        <v>5081</v>
      </c>
      <c r="E1955" s="3" t="s">
        <v>1076</v>
      </c>
      <c r="F1955" s="3" t="s">
        <v>2105</v>
      </c>
      <c r="G1955" s="3" t="s">
        <v>321</v>
      </c>
      <c r="H1955" s="4" t="s">
        <v>1305</v>
      </c>
    </row>
    <row r="1956" ht="16.5" customHeight="1" spans="1:8">
      <c r="A1956" s="3">
        <v>1955</v>
      </c>
      <c r="B1956" s="3" t="s">
        <v>5082</v>
      </c>
      <c r="C1956" s="3" t="s">
        <v>2163</v>
      </c>
      <c r="D1956" s="4" t="s">
        <v>5083</v>
      </c>
      <c r="E1956" s="3" t="s">
        <v>1076</v>
      </c>
      <c r="F1956" s="3" t="s">
        <v>2105</v>
      </c>
      <c r="G1956" s="3" t="s">
        <v>321</v>
      </c>
      <c r="H1956" s="4" t="s">
        <v>1305</v>
      </c>
    </row>
    <row r="1957" ht="16.5" customHeight="1" spans="1:8">
      <c r="A1957" s="3">
        <v>1956</v>
      </c>
      <c r="B1957" s="3" t="s">
        <v>5084</v>
      </c>
      <c r="C1957" s="3" t="s">
        <v>2163</v>
      </c>
      <c r="D1957" s="4" t="s">
        <v>5085</v>
      </c>
      <c r="E1957" s="3" t="s">
        <v>1076</v>
      </c>
      <c r="F1957" s="3" t="s">
        <v>1358</v>
      </c>
      <c r="G1957" s="3" t="s">
        <v>321</v>
      </c>
      <c r="H1957" s="4" t="s">
        <v>1843</v>
      </c>
    </row>
    <row r="1958" ht="16.5" customHeight="1" spans="1:8">
      <c r="A1958" s="3">
        <v>1957</v>
      </c>
      <c r="B1958" s="3" t="s">
        <v>5086</v>
      </c>
      <c r="C1958" s="3" t="s">
        <v>2163</v>
      </c>
      <c r="D1958" s="4" t="s">
        <v>5087</v>
      </c>
      <c r="E1958" s="3" t="s">
        <v>1076</v>
      </c>
      <c r="F1958" s="3" t="s">
        <v>1358</v>
      </c>
      <c r="G1958" s="3" t="s">
        <v>321</v>
      </c>
      <c r="H1958" s="4" t="s">
        <v>1843</v>
      </c>
    </row>
    <row r="1959" ht="16.5" customHeight="1" spans="1:8">
      <c r="A1959" s="3">
        <v>1958</v>
      </c>
      <c r="B1959" s="3" t="s">
        <v>5088</v>
      </c>
      <c r="C1959" s="3" t="s">
        <v>2163</v>
      </c>
      <c r="D1959" s="4" t="s">
        <v>5089</v>
      </c>
      <c r="E1959" s="3" t="s">
        <v>1076</v>
      </c>
      <c r="F1959" s="3" t="s">
        <v>2105</v>
      </c>
      <c r="G1959" s="3" t="s">
        <v>321</v>
      </c>
      <c r="H1959" s="4" t="s">
        <v>1305</v>
      </c>
    </row>
    <row r="1960" ht="16.5" customHeight="1" spans="1:8">
      <c r="A1960" s="3">
        <v>1959</v>
      </c>
      <c r="B1960" s="3" t="s">
        <v>5090</v>
      </c>
      <c r="C1960" s="3" t="s">
        <v>2163</v>
      </c>
      <c r="D1960" s="4" t="s">
        <v>5091</v>
      </c>
      <c r="E1960" s="3" t="s">
        <v>1076</v>
      </c>
      <c r="F1960" s="3" t="s">
        <v>4107</v>
      </c>
      <c r="G1960" s="3"/>
      <c r="H1960" s="4" t="s">
        <v>1359</v>
      </c>
    </row>
    <row r="1961" ht="16.5" customHeight="1" spans="1:8">
      <c r="A1961" s="3">
        <v>1960</v>
      </c>
      <c r="B1961" s="3" t="s">
        <v>5092</v>
      </c>
      <c r="C1961" s="3" t="s">
        <v>2163</v>
      </c>
      <c r="D1961" s="4" t="s">
        <v>5093</v>
      </c>
      <c r="E1961" s="3" t="s">
        <v>1076</v>
      </c>
      <c r="F1961" s="3" t="s">
        <v>4107</v>
      </c>
      <c r="G1961" s="3"/>
      <c r="H1961" s="4" t="s">
        <v>1305</v>
      </c>
    </row>
    <row r="1962" ht="16.5" customHeight="1" spans="1:8">
      <c r="A1962" s="3">
        <v>1961</v>
      </c>
      <c r="B1962" s="3" t="s">
        <v>5094</v>
      </c>
      <c r="C1962" s="3" t="s">
        <v>2163</v>
      </c>
      <c r="D1962" s="4" t="s">
        <v>5095</v>
      </c>
      <c r="E1962" s="3" t="s">
        <v>1076</v>
      </c>
      <c r="F1962" s="3" t="s">
        <v>4107</v>
      </c>
      <c r="G1962" s="3"/>
      <c r="H1962" s="4" t="s">
        <v>1359</v>
      </c>
    </row>
    <row r="1963" ht="16.5" customHeight="1" spans="1:8">
      <c r="A1963" s="3">
        <v>1962</v>
      </c>
      <c r="B1963" s="3" t="s">
        <v>5096</v>
      </c>
      <c r="C1963" s="3" t="s">
        <v>2163</v>
      </c>
      <c r="D1963" s="4" t="s">
        <v>5097</v>
      </c>
      <c r="E1963" s="3" t="s">
        <v>2263</v>
      </c>
      <c r="F1963" s="3" t="s">
        <v>4107</v>
      </c>
      <c r="G1963" s="3"/>
      <c r="H1963" s="4" t="s">
        <v>1095</v>
      </c>
    </row>
    <row r="1964" ht="16.5" customHeight="1" spans="1:8">
      <c r="A1964" s="3">
        <v>1963</v>
      </c>
      <c r="B1964" s="3" t="s">
        <v>5098</v>
      </c>
      <c r="C1964" s="3" t="s">
        <v>2163</v>
      </c>
      <c r="D1964" s="4" t="s">
        <v>5099</v>
      </c>
      <c r="E1964" s="3" t="s">
        <v>1076</v>
      </c>
      <c r="F1964" s="3" t="s">
        <v>4154</v>
      </c>
      <c r="G1964" s="3"/>
      <c r="H1964" s="4" t="s">
        <v>4198</v>
      </c>
    </row>
    <row r="1965" ht="16.5" customHeight="1" spans="1:8">
      <c r="A1965" s="3">
        <v>1964</v>
      </c>
      <c r="B1965" s="3" t="s">
        <v>5100</v>
      </c>
      <c r="C1965" s="3" t="s">
        <v>2163</v>
      </c>
      <c r="D1965" s="4" t="s">
        <v>5101</v>
      </c>
      <c r="E1965" s="3" t="s">
        <v>2726</v>
      </c>
      <c r="F1965" s="3" t="s">
        <v>2105</v>
      </c>
      <c r="G1965" s="3" t="s">
        <v>321</v>
      </c>
      <c r="H1965" s="4" t="s">
        <v>4005</v>
      </c>
    </row>
    <row r="1966" ht="16.5" customHeight="1" spans="1:8">
      <c r="A1966" s="3">
        <v>1965</v>
      </c>
      <c r="B1966" s="3" t="s">
        <v>5102</v>
      </c>
      <c r="C1966" s="3" t="s">
        <v>1356</v>
      </c>
      <c r="D1966" s="4" t="s">
        <v>5103</v>
      </c>
      <c r="E1966" s="3" t="s">
        <v>1076</v>
      </c>
      <c r="F1966" s="3" t="s">
        <v>1077</v>
      </c>
      <c r="G1966" s="3"/>
      <c r="H1966" s="4" t="s">
        <v>1359</v>
      </c>
    </row>
    <row r="1967" ht="16.5" customHeight="1" spans="1:8">
      <c r="A1967" s="3">
        <v>1966</v>
      </c>
      <c r="B1967" s="3" t="s">
        <v>5104</v>
      </c>
      <c r="C1967" s="3" t="s">
        <v>2163</v>
      </c>
      <c r="D1967" s="4" t="s">
        <v>5105</v>
      </c>
      <c r="E1967" s="3" t="s">
        <v>1076</v>
      </c>
      <c r="F1967" s="3" t="s">
        <v>4154</v>
      </c>
      <c r="G1967" s="3"/>
      <c r="H1967" s="4" t="s">
        <v>4198</v>
      </c>
    </row>
    <row r="1968" ht="16.5" customHeight="1" spans="1:8">
      <c r="A1968" s="3">
        <v>1967</v>
      </c>
      <c r="B1968" s="3" t="s">
        <v>5106</v>
      </c>
      <c r="C1968" s="3" t="s">
        <v>2163</v>
      </c>
      <c r="D1968" s="4" t="s">
        <v>5107</v>
      </c>
      <c r="E1968" s="3" t="s">
        <v>1076</v>
      </c>
      <c r="F1968" s="3" t="s">
        <v>2105</v>
      </c>
      <c r="G1968" s="3" t="s">
        <v>321</v>
      </c>
      <c r="H1968" s="4" t="s">
        <v>1095</v>
      </c>
    </row>
    <row r="1969" ht="16.5" customHeight="1" spans="1:8">
      <c r="A1969" s="3">
        <v>1968</v>
      </c>
      <c r="B1969" s="3" t="s">
        <v>5108</v>
      </c>
      <c r="C1969" s="3" t="s">
        <v>2163</v>
      </c>
      <c r="D1969" s="4" t="s">
        <v>5109</v>
      </c>
      <c r="E1969" s="3" t="s">
        <v>1076</v>
      </c>
      <c r="F1969" s="3" t="s">
        <v>4154</v>
      </c>
      <c r="G1969" s="3"/>
      <c r="H1969" s="4" t="s">
        <v>4198</v>
      </c>
    </row>
    <row r="1970" ht="16.5" customHeight="1" spans="1:8">
      <c r="A1970" s="3">
        <v>1969</v>
      </c>
      <c r="B1970" s="3" t="s">
        <v>5110</v>
      </c>
      <c r="C1970" s="3" t="s">
        <v>2163</v>
      </c>
      <c r="D1970" s="4" t="s">
        <v>5111</v>
      </c>
      <c r="E1970" s="3" t="s">
        <v>1076</v>
      </c>
      <c r="F1970" s="3" t="s">
        <v>4154</v>
      </c>
      <c r="G1970" s="3"/>
      <c r="H1970" s="4" t="s">
        <v>4198</v>
      </c>
    </row>
    <row r="1971" ht="16.5" customHeight="1" spans="1:8">
      <c r="A1971" s="3">
        <v>1970</v>
      </c>
      <c r="B1971" s="3" t="s">
        <v>5112</v>
      </c>
      <c r="C1971" s="3" t="s">
        <v>2163</v>
      </c>
      <c r="D1971" s="4" t="s">
        <v>5113</v>
      </c>
      <c r="E1971" s="3" t="s">
        <v>1076</v>
      </c>
      <c r="F1971" s="3" t="s">
        <v>4154</v>
      </c>
      <c r="G1971" s="3"/>
      <c r="H1971" s="4" t="s">
        <v>4198</v>
      </c>
    </row>
    <row r="1972" ht="16.5" customHeight="1" spans="1:8">
      <c r="A1972" s="3">
        <v>1971</v>
      </c>
      <c r="B1972" s="3" t="s">
        <v>5114</v>
      </c>
      <c r="C1972" s="3" t="s">
        <v>1074</v>
      </c>
      <c r="D1972" s="4" t="s">
        <v>5115</v>
      </c>
      <c r="E1972" s="3" t="s">
        <v>1164</v>
      </c>
      <c r="F1972" s="3" t="s">
        <v>1077</v>
      </c>
      <c r="G1972" s="3"/>
      <c r="H1972" s="4"/>
    </row>
    <row r="1973" ht="16.5" customHeight="1" spans="1:8">
      <c r="A1973" s="3">
        <v>1972</v>
      </c>
      <c r="B1973" s="3" t="s">
        <v>5116</v>
      </c>
      <c r="C1973" s="3" t="s">
        <v>1074</v>
      </c>
      <c r="D1973" s="4" t="s">
        <v>5117</v>
      </c>
      <c r="E1973" s="3" t="s">
        <v>2726</v>
      </c>
      <c r="F1973" s="3" t="s">
        <v>1077</v>
      </c>
      <c r="G1973" s="3"/>
      <c r="H1973" s="4"/>
    </row>
    <row r="1974" ht="16.5" customHeight="1" spans="1:8">
      <c r="A1974" s="3">
        <v>1973</v>
      </c>
      <c r="B1974" s="3" t="s">
        <v>5118</v>
      </c>
      <c r="C1974" s="3" t="s">
        <v>1074</v>
      </c>
      <c r="D1974" s="4" t="s">
        <v>5117</v>
      </c>
      <c r="E1974" s="3" t="s">
        <v>1218</v>
      </c>
      <c r="F1974" s="3" t="s">
        <v>1077</v>
      </c>
      <c r="G1974" s="3"/>
      <c r="H1974" s="4"/>
    </row>
    <row r="1975" ht="16.5" customHeight="1" spans="1:8">
      <c r="A1975" s="3">
        <v>1974</v>
      </c>
      <c r="B1975" s="3" t="s">
        <v>5119</v>
      </c>
      <c r="C1975" s="3" t="s">
        <v>1074</v>
      </c>
      <c r="D1975" s="4" t="s">
        <v>5120</v>
      </c>
      <c r="E1975" s="3" t="s">
        <v>2726</v>
      </c>
      <c r="F1975" s="3" t="s">
        <v>1077</v>
      </c>
      <c r="G1975" s="3"/>
      <c r="H1975" s="4"/>
    </row>
    <row r="1976" ht="16.5" customHeight="1" spans="1:8">
      <c r="A1976" s="3">
        <v>1975</v>
      </c>
      <c r="B1976" s="3" t="s">
        <v>5121</v>
      </c>
      <c r="C1976" s="3" t="s">
        <v>1074</v>
      </c>
      <c r="D1976" s="4" t="s">
        <v>5120</v>
      </c>
      <c r="E1976" s="3" t="s">
        <v>2726</v>
      </c>
      <c r="F1976" s="3" t="s">
        <v>1077</v>
      </c>
      <c r="G1976" s="3"/>
      <c r="H1976" s="4"/>
    </row>
    <row r="1977" ht="16.5" customHeight="1" spans="1:8">
      <c r="A1977" s="3">
        <v>1976</v>
      </c>
      <c r="B1977" s="3" t="s">
        <v>5122</v>
      </c>
      <c r="C1977" s="3" t="s">
        <v>1074</v>
      </c>
      <c r="D1977" s="4" t="s">
        <v>5120</v>
      </c>
      <c r="E1977" s="3" t="s">
        <v>2726</v>
      </c>
      <c r="F1977" s="3" t="s">
        <v>1077</v>
      </c>
      <c r="G1977" s="3"/>
      <c r="H1977" s="4"/>
    </row>
    <row r="1978" ht="16.5" customHeight="1" spans="1:8">
      <c r="A1978" s="3">
        <v>1977</v>
      </c>
      <c r="B1978" s="3" t="s">
        <v>5123</v>
      </c>
      <c r="C1978" s="3" t="s">
        <v>1074</v>
      </c>
      <c r="D1978" s="4" t="s">
        <v>5115</v>
      </c>
      <c r="E1978" s="3" t="s">
        <v>2726</v>
      </c>
      <c r="F1978" s="3" t="s">
        <v>1077</v>
      </c>
      <c r="G1978" s="3"/>
      <c r="H1978" s="4"/>
    </row>
    <row r="1979" ht="16.5" customHeight="1" spans="1:8">
      <c r="A1979" s="3">
        <v>1978</v>
      </c>
      <c r="B1979" s="3" t="s">
        <v>5124</v>
      </c>
      <c r="C1979" s="3" t="s">
        <v>1074</v>
      </c>
      <c r="D1979" s="4" t="s">
        <v>5125</v>
      </c>
      <c r="E1979" s="3" t="s">
        <v>1076</v>
      </c>
      <c r="F1979" s="3" t="s">
        <v>1077</v>
      </c>
      <c r="G1979" s="3" t="s">
        <v>5126</v>
      </c>
      <c r="H1979" s="4" t="s">
        <v>5127</v>
      </c>
    </row>
    <row r="1980" ht="16.5" customHeight="1" spans="1:8">
      <c r="A1980" s="3">
        <v>1979</v>
      </c>
      <c r="B1980" s="3" t="s">
        <v>5128</v>
      </c>
      <c r="C1980" s="3" t="s">
        <v>1074</v>
      </c>
      <c r="D1980" s="4" t="s">
        <v>5129</v>
      </c>
      <c r="E1980" s="3" t="s">
        <v>2726</v>
      </c>
      <c r="F1980" s="3" t="s">
        <v>1077</v>
      </c>
      <c r="G1980" s="3" t="s">
        <v>5126</v>
      </c>
      <c r="H1980" s="4" t="s">
        <v>5127</v>
      </c>
    </row>
    <row r="1981" ht="16.5" customHeight="1" spans="1:8">
      <c r="A1981" s="3">
        <v>1980</v>
      </c>
      <c r="B1981" s="3" t="s">
        <v>5130</v>
      </c>
      <c r="C1981" s="3" t="s">
        <v>1074</v>
      </c>
      <c r="D1981" s="4" t="s">
        <v>5131</v>
      </c>
      <c r="E1981" s="3" t="s">
        <v>1739</v>
      </c>
      <c r="F1981" s="3" t="s">
        <v>1077</v>
      </c>
      <c r="G1981" s="3" t="s">
        <v>98</v>
      </c>
      <c r="H1981" s="4" t="s">
        <v>5127</v>
      </c>
    </row>
    <row r="1982" ht="16.5" customHeight="1" spans="1:8">
      <c r="A1982" s="3">
        <v>1981</v>
      </c>
      <c r="B1982" s="3" t="s">
        <v>5132</v>
      </c>
      <c r="C1982" s="3" t="s">
        <v>1074</v>
      </c>
      <c r="D1982" s="4" t="s">
        <v>5133</v>
      </c>
      <c r="E1982" s="3" t="s">
        <v>1076</v>
      </c>
      <c r="F1982" s="3" t="s">
        <v>1077</v>
      </c>
      <c r="G1982" s="3" t="s">
        <v>5126</v>
      </c>
      <c r="H1982" s="4" t="s">
        <v>5127</v>
      </c>
    </row>
    <row r="1983" ht="16.5" customHeight="1" spans="1:8">
      <c r="A1983" s="3">
        <v>1982</v>
      </c>
      <c r="B1983" s="3" t="s">
        <v>5134</v>
      </c>
      <c r="C1983" s="3" t="s">
        <v>1074</v>
      </c>
      <c r="D1983" s="4" t="s">
        <v>5135</v>
      </c>
      <c r="E1983" s="3" t="s">
        <v>1076</v>
      </c>
      <c r="F1983" s="3" t="s">
        <v>1077</v>
      </c>
      <c r="G1983" s="3" t="s">
        <v>5126</v>
      </c>
      <c r="H1983" s="4" t="s">
        <v>5127</v>
      </c>
    </row>
    <row r="1984" ht="16.5" customHeight="1" spans="1:8">
      <c r="A1984" s="3">
        <v>1983</v>
      </c>
      <c r="B1984" s="3" t="s">
        <v>5136</v>
      </c>
      <c r="C1984" s="3" t="s">
        <v>1074</v>
      </c>
      <c r="D1984" s="4" t="s">
        <v>5137</v>
      </c>
      <c r="E1984" s="3" t="s">
        <v>1164</v>
      </c>
      <c r="F1984" s="3" t="s">
        <v>1077</v>
      </c>
      <c r="G1984" s="3" t="s">
        <v>5126</v>
      </c>
      <c r="H1984" s="4" t="s">
        <v>5127</v>
      </c>
    </row>
    <row r="1985" ht="16.5" customHeight="1" spans="1:8">
      <c r="A1985" s="3">
        <v>1984</v>
      </c>
      <c r="B1985" s="3" t="s">
        <v>5138</v>
      </c>
      <c r="C1985" s="3" t="s">
        <v>1074</v>
      </c>
      <c r="D1985" s="4" t="s">
        <v>5139</v>
      </c>
      <c r="E1985" s="3" t="s">
        <v>1164</v>
      </c>
      <c r="F1985" s="3" t="s">
        <v>1077</v>
      </c>
      <c r="G1985" s="3" t="s">
        <v>5126</v>
      </c>
      <c r="H1985" s="4" t="s">
        <v>5127</v>
      </c>
    </row>
    <row r="1986" ht="16.5" customHeight="1" spans="1:8">
      <c r="A1986" s="3">
        <v>1985</v>
      </c>
      <c r="B1986" s="3" t="s">
        <v>113</v>
      </c>
      <c r="C1986" s="3" t="s">
        <v>1074</v>
      </c>
      <c r="D1986" s="4" t="s">
        <v>110</v>
      </c>
      <c r="E1986" s="3" t="s">
        <v>1164</v>
      </c>
      <c r="F1986" s="3" t="s">
        <v>1077</v>
      </c>
      <c r="G1986" s="3" t="s">
        <v>5126</v>
      </c>
      <c r="H1986" s="4" t="s">
        <v>5127</v>
      </c>
    </row>
    <row r="1987" ht="16.5" customHeight="1" spans="1:8">
      <c r="A1987" s="3">
        <v>1986</v>
      </c>
      <c r="B1987" s="3" t="s">
        <v>5140</v>
      </c>
      <c r="C1987" s="3" t="s">
        <v>1074</v>
      </c>
      <c r="D1987" s="4" t="s">
        <v>5141</v>
      </c>
      <c r="E1987" s="3" t="s">
        <v>2726</v>
      </c>
      <c r="F1987" s="3" t="s">
        <v>1077</v>
      </c>
      <c r="G1987" s="3" t="s">
        <v>5126</v>
      </c>
      <c r="H1987" s="4" t="s">
        <v>5127</v>
      </c>
    </row>
    <row r="1988" ht="16.5" customHeight="1" spans="1:8">
      <c r="A1988" s="3">
        <v>1987</v>
      </c>
      <c r="B1988" s="3" t="s">
        <v>5142</v>
      </c>
      <c r="C1988" s="3" t="s">
        <v>1074</v>
      </c>
      <c r="D1988" s="4" t="s">
        <v>5143</v>
      </c>
      <c r="E1988" s="3" t="s">
        <v>1164</v>
      </c>
      <c r="F1988" s="3" t="s">
        <v>1077</v>
      </c>
      <c r="G1988" s="3" t="s">
        <v>5126</v>
      </c>
      <c r="H1988" s="4" t="s">
        <v>5127</v>
      </c>
    </row>
    <row r="1989" ht="16.5" customHeight="1" spans="1:8">
      <c r="A1989" s="3">
        <v>1988</v>
      </c>
      <c r="B1989" s="3" t="s">
        <v>5144</v>
      </c>
      <c r="C1989" s="3" t="s">
        <v>1074</v>
      </c>
      <c r="D1989" s="4" t="s">
        <v>5145</v>
      </c>
      <c r="E1989" s="3" t="s">
        <v>2726</v>
      </c>
      <c r="F1989" s="3" t="s">
        <v>1077</v>
      </c>
      <c r="G1989" s="3" t="s">
        <v>98</v>
      </c>
      <c r="H1989" s="4" t="s">
        <v>5127</v>
      </c>
    </row>
    <row r="1990" ht="16.5" customHeight="1" spans="1:8">
      <c r="A1990" s="3">
        <v>1989</v>
      </c>
      <c r="B1990" s="3" t="s">
        <v>102</v>
      </c>
      <c r="C1990" s="3" t="s">
        <v>1074</v>
      </c>
      <c r="D1990" s="4" t="s">
        <v>5146</v>
      </c>
      <c r="E1990" s="3" t="s">
        <v>2726</v>
      </c>
      <c r="F1990" s="3" t="s">
        <v>1077</v>
      </c>
      <c r="G1990" s="3" t="s">
        <v>5126</v>
      </c>
      <c r="H1990" s="4" t="s">
        <v>5127</v>
      </c>
    </row>
    <row r="1991" ht="16.5" customHeight="1" spans="1:8">
      <c r="A1991" s="3">
        <v>1990</v>
      </c>
      <c r="B1991" s="3" t="s">
        <v>105</v>
      </c>
      <c r="C1991" s="3" t="s">
        <v>1074</v>
      </c>
      <c r="D1991" s="4" t="s">
        <v>103</v>
      </c>
      <c r="E1991" s="3" t="s">
        <v>2726</v>
      </c>
      <c r="F1991" s="3" t="s">
        <v>1077</v>
      </c>
      <c r="G1991" s="3" t="s">
        <v>5126</v>
      </c>
      <c r="H1991" s="4" t="s">
        <v>5127</v>
      </c>
    </row>
    <row r="1992" ht="16.5" customHeight="1" spans="1:8">
      <c r="A1992" s="3">
        <v>1991</v>
      </c>
      <c r="B1992" s="3" t="s">
        <v>5147</v>
      </c>
      <c r="C1992" s="3" t="s">
        <v>1074</v>
      </c>
      <c r="D1992" s="4" t="s">
        <v>5148</v>
      </c>
      <c r="E1992" s="3" t="s">
        <v>1164</v>
      </c>
      <c r="F1992" s="3" t="s">
        <v>1077</v>
      </c>
      <c r="G1992" s="3" t="s">
        <v>5126</v>
      </c>
      <c r="H1992" s="4" t="s">
        <v>5127</v>
      </c>
    </row>
    <row r="1993" ht="16.5" customHeight="1" spans="1:8">
      <c r="A1993" s="3">
        <v>1992</v>
      </c>
      <c r="B1993" s="3" t="s">
        <v>115</v>
      </c>
      <c r="C1993" s="3" t="s">
        <v>1074</v>
      </c>
      <c r="D1993" s="4" t="s">
        <v>5149</v>
      </c>
      <c r="E1993" s="3" t="s">
        <v>1164</v>
      </c>
      <c r="F1993" s="3" t="s">
        <v>1077</v>
      </c>
      <c r="G1993" s="3" t="s">
        <v>5126</v>
      </c>
      <c r="H1993" s="4" t="s">
        <v>5127</v>
      </c>
    </row>
    <row r="1994" ht="16.5" customHeight="1" spans="1:8">
      <c r="A1994" s="3">
        <v>1993</v>
      </c>
      <c r="B1994" s="3" t="s">
        <v>5150</v>
      </c>
      <c r="C1994" s="3" t="s">
        <v>1074</v>
      </c>
      <c r="D1994" s="4" t="s">
        <v>5151</v>
      </c>
      <c r="E1994" s="3" t="s">
        <v>1164</v>
      </c>
      <c r="F1994" s="3" t="s">
        <v>1077</v>
      </c>
      <c r="G1994" s="3" t="s">
        <v>5126</v>
      </c>
      <c r="H1994" s="4" t="s">
        <v>5127</v>
      </c>
    </row>
    <row r="1995" ht="16.5" customHeight="1" spans="1:8">
      <c r="A1995" s="3">
        <v>1994</v>
      </c>
      <c r="B1995" s="3" t="s">
        <v>109</v>
      </c>
      <c r="C1995" s="3" t="s">
        <v>1074</v>
      </c>
      <c r="D1995" s="4" t="s">
        <v>106</v>
      </c>
      <c r="E1995" s="3" t="s">
        <v>1076</v>
      </c>
      <c r="F1995" s="3" t="s">
        <v>1077</v>
      </c>
      <c r="G1995" s="3" t="s">
        <v>321</v>
      </c>
      <c r="H1995" s="4" t="s">
        <v>5127</v>
      </c>
    </row>
    <row r="1996" ht="16.5" customHeight="1" spans="1:8">
      <c r="A1996" s="3">
        <v>1995</v>
      </c>
      <c r="B1996" s="3" t="s">
        <v>5152</v>
      </c>
      <c r="C1996" s="3" t="s">
        <v>1074</v>
      </c>
      <c r="D1996" s="4" t="s">
        <v>5153</v>
      </c>
      <c r="E1996" s="3" t="s">
        <v>1076</v>
      </c>
      <c r="F1996" s="3" t="s">
        <v>1077</v>
      </c>
      <c r="G1996" s="3" t="s">
        <v>321</v>
      </c>
      <c r="H1996" s="4" t="s">
        <v>5127</v>
      </c>
    </row>
    <row r="1997" ht="16.5" customHeight="1" spans="1:8">
      <c r="A1997" s="3">
        <v>1996</v>
      </c>
      <c r="B1997" s="3" t="s">
        <v>5154</v>
      </c>
      <c r="C1997" s="3" t="s">
        <v>1074</v>
      </c>
      <c r="D1997" s="4" t="s">
        <v>5155</v>
      </c>
      <c r="E1997" s="3" t="s">
        <v>1076</v>
      </c>
      <c r="F1997" s="3" t="s">
        <v>1077</v>
      </c>
      <c r="G1997" s="3" t="s">
        <v>5126</v>
      </c>
      <c r="H1997" s="4" t="s">
        <v>5127</v>
      </c>
    </row>
    <row r="1998" ht="16.5" customHeight="1" spans="1:8">
      <c r="A1998" s="3">
        <v>1997</v>
      </c>
      <c r="B1998" s="3" t="s">
        <v>5156</v>
      </c>
      <c r="C1998" s="3" t="s">
        <v>1074</v>
      </c>
      <c r="D1998" s="4" t="s">
        <v>5157</v>
      </c>
      <c r="E1998" s="3" t="s">
        <v>1218</v>
      </c>
      <c r="F1998" s="3" t="s">
        <v>1077</v>
      </c>
      <c r="G1998" s="3" t="s">
        <v>321</v>
      </c>
      <c r="H1998" s="4" t="s">
        <v>5127</v>
      </c>
    </row>
    <row r="1999" ht="16.5" customHeight="1" spans="1:8">
      <c r="A1999" s="3">
        <v>1998</v>
      </c>
      <c r="B1999" s="3" t="s">
        <v>5158</v>
      </c>
      <c r="C1999" s="3" t="s">
        <v>1074</v>
      </c>
      <c r="D1999" s="4" t="s">
        <v>5159</v>
      </c>
      <c r="E1999" s="3" t="s">
        <v>1076</v>
      </c>
      <c r="F1999" s="3" t="s">
        <v>1077</v>
      </c>
      <c r="G1999" s="3" t="s">
        <v>5126</v>
      </c>
      <c r="H1999" s="4" t="s">
        <v>5127</v>
      </c>
    </row>
    <row r="2000" ht="16.5" customHeight="1" spans="1:8">
      <c r="A2000" s="3">
        <v>1999</v>
      </c>
      <c r="B2000" s="3" t="s">
        <v>5160</v>
      </c>
      <c r="C2000" s="3" t="s">
        <v>1074</v>
      </c>
      <c r="D2000" s="4" t="s">
        <v>5161</v>
      </c>
      <c r="E2000" s="3" t="s">
        <v>1076</v>
      </c>
      <c r="F2000" s="3" t="s">
        <v>1077</v>
      </c>
      <c r="G2000" s="3" t="s">
        <v>5126</v>
      </c>
      <c r="H2000" s="4" t="s">
        <v>5162</v>
      </c>
    </row>
    <row r="2001" ht="16.5" customHeight="1" spans="1:8">
      <c r="A2001" s="3">
        <v>2000</v>
      </c>
      <c r="B2001" s="3" t="s">
        <v>5163</v>
      </c>
      <c r="C2001" s="3" t="s">
        <v>1074</v>
      </c>
      <c r="D2001" s="4" t="s">
        <v>5164</v>
      </c>
      <c r="E2001" s="3" t="s">
        <v>2726</v>
      </c>
      <c r="F2001" s="3" t="s">
        <v>1077</v>
      </c>
      <c r="G2001" s="3" t="s">
        <v>5126</v>
      </c>
      <c r="H2001" s="4" t="s">
        <v>5162</v>
      </c>
    </row>
    <row r="2002" ht="16.5" customHeight="1" spans="1:8">
      <c r="A2002" s="3">
        <v>2001</v>
      </c>
      <c r="B2002" s="3" t="s">
        <v>5165</v>
      </c>
      <c r="C2002" s="3" t="s">
        <v>1074</v>
      </c>
      <c r="D2002" s="4" t="s">
        <v>5166</v>
      </c>
      <c r="E2002" s="3" t="s">
        <v>1164</v>
      </c>
      <c r="F2002" s="3" t="s">
        <v>1077</v>
      </c>
      <c r="G2002" s="3" t="s">
        <v>5126</v>
      </c>
      <c r="H2002" s="4" t="s">
        <v>5162</v>
      </c>
    </row>
    <row r="2003" ht="16.5" customHeight="1" spans="1:8">
      <c r="A2003" s="3">
        <v>2002</v>
      </c>
      <c r="B2003" s="3" t="s">
        <v>5167</v>
      </c>
      <c r="C2003" s="3" t="s">
        <v>1074</v>
      </c>
      <c r="D2003" s="4" t="s">
        <v>5168</v>
      </c>
      <c r="E2003" s="3" t="s">
        <v>5169</v>
      </c>
      <c r="F2003" s="3" t="s">
        <v>1077</v>
      </c>
      <c r="G2003" s="3" t="s">
        <v>5126</v>
      </c>
      <c r="H2003" s="4" t="s">
        <v>5162</v>
      </c>
    </row>
    <row r="2004" ht="16.5" customHeight="1" spans="1:8">
      <c r="A2004" s="3">
        <v>2003</v>
      </c>
      <c r="B2004" s="3" t="s">
        <v>5170</v>
      </c>
      <c r="C2004" s="3" t="s">
        <v>1074</v>
      </c>
      <c r="D2004" s="4" t="s">
        <v>5171</v>
      </c>
      <c r="E2004" s="3" t="s">
        <v>1076</v>
      </c>
      <c r="F2004" s="3" t="s">
        <v>1077</v>
      </c>
      <c r="G2004" s="3" t="s">
        <v>5126</v>
      </c>
      <c r="H2004" s="4" t="s">
        <v>5162</v>
      </c>
    </row>
    <row r="2005" ht="16.5" customHeight="1" spans="1:8">
      <c r="A2005" s="3">
        <v>2004</v>
      </c>
      <c r="B2005" s="3" t="s">
        <v>5172</v>
      </c>
      <c r="C2005" s="3" t="s">
        <v>1074</v>
      </c>
      <c r="D2005" s="4" t="s">
        <v>5173</v>
      </c>
      <c r="E2005" s="3" t="s">
        <v>1076</v>
      </c>
      <c r="F2005" s="3" t="s">
        <v>1077</v>
      </c>
      <c r="G2005" s="3" t="s">
        <v>5126</v>
      </c>
      <c r="H2005" s="4" t="s">
        <v>5162</v>
      </c>
    </row>
    <row r="2006" ht="16.5" customHeight="1" spans="1:8">
      <c r="A2006" s="3">
        <v>2005</v>
      </c>
      <c r="B2006" s="3" t="s">
        <v>5174</v>
      </c>
      <c r="C2006" s="3" t="s">
        <v>1074</v>
      </c>
      <c r="D2006" s="4" t="s">
        <v>5175</v>
      </c>
      <c r="E2006" s="3" t="s">
        <v>2726</v>
      </c>
      <c r="F2006" s="3" t="s">
        <v>1077</v>
      </c>
      <c r="G2006" s="3" t="s">
        <v>5126</v>
      </c>
      <c r="H2006" s="4" t="s">
        <v>5162</v>
      </c>
    </row>
    <row r="2007" ht="16.5" customHeight="1" spans="1:8">
      <c r="A2007" s="3">
        <v>2006</v>
      </c>
      <c r="B2007" s="3" t="s">
        <v>5176</v>
      </c>
      <c r="C2007" s="3" t="s">
        <v>1074</v>
      </c>
      <c r="D2007" s="4" t="s">
        <v>5177</v>
      </c>
      <c r="E2007" s="3" t="s">
        <v>1076</v>
      </c>
      <c r="F2007" s="3" t="s">
        <v>1077</v>
      </c>
      <c r="G2007" s="3" t="s">
        <v>5126</v>
      </c>
      <c r="H2007" s="4" t="s">
        <v>5162</v>
      </c>
    </row>
    <row r="2008" ht="16.5" customHeight="1" spans="1:8">
      <c r="A2008" s="3">
        <v>2007</v>
      </c>
      <c r="B2008" s="3" t="s">
        <v>5178</v>
      </c>
      <c r="C2008" s="3" t="s">
        <v>1074</v>
      </c>
      <c r="D2008" s="4" t="s">
        <v>5179</v>
      </c>
      <c r="E2008" s="3" t="s">
        <v>1739</v>
      </c>
      <c r="F2008" s="3" t="s">
        <v>1077</v>
      </c>
      <c r="G2008" s="3" t="s">
        <v>5126</v>
      </c>
      <c r="H2008" s="4" t="s">
        <v>5162</v>
      </c>
    </row>
    <row r="2009" ht="16.5" customHeight="1" spans="1:8">
      <c r="A2009" s="3">
        <v>2008</v>
      </c>
      <c r="B2009" s="3" t="s">
        <v>5180</v>
      </c>
      <c r="C2009" s="3" t="s">
        <v>1074</v>
      </c>
      <c r="D2009" s="4" t="s">
        <v>5181</v>
      </c>
      <c r="E2009" s="3" t="s">
        <v>2726</v>
      </c>
      <c r="F2009" s="3" t="s">
        <v>1077</v>
      </c>
      <c r="G2009" s="3" t="s">
        <v>5126</v>
      </c>
      <c r="H2009" s="4" t="s">
        <v>5162</v>
      </c>
    </row>
    <row r="2010" ht="16.5" customHeight="1" spans="1:8">
      <c r="A2010" s="3">
        <v>2009</v>
      </c>
      <c r="B2010" s="3" t="s">
        <v>5182</v>
      </c>
      <c r="C2010" s="3" t="s">
        <v>1074</v>
      </c>
      <c r="D2010" s="4" t="s">
        <v>5183</v>
      </c>
      <c r="E2010" s="3" t="s">
        <v>2726</v>
      </c>
      <c r="F2010" s="3" t="s">
        <v>1077</v>
      </c>
      <c r="G2010" s="3" t="s">
        <v>5126</v>
      </c>
      <c r="H2010" s="4" t="s">
        <v>5162</v>
      </c>
    </row>
    <row r="2011" ht="16.5" customHeight="1" spans="1:8">
      <c r="A2011" s="3">
        <v>2010</v>
      </c>
      <c r="B2011" s="3" t="s">
        <v>5184</v>
      </c>
      <c r="C2011" s="3" t="s">
        <v>1074</v>
      </c>
      <c r="D2011" s="4" t="s">
        <v>5185</v>
      </c>
      <c r="E2011" s="3" t="s">
        <v>2726</v>
      </c>
      <c r="F2011" s="3" t="s">
        <v>1077</v>
      </c>
      <c r="G2011" s="3" t="s">
        <v>5126</v>
      </c>
      <c r="H2011" s="4" t="s">
        <v>5162</v>
      </c>
    </row>
    <row r="2012" ht="16.5" customHeight="1" spans="1:8">
      <c r="A2012" s="3">
        <v>2011</v>
      </c>
      <c r="B2012" s="3" t="s">
        <v>5186</v>
      </c>
      <c r="C2012" s="3" t="s">
        <v>1074</v>
      </c>
      <c r="D2012" s="4" t="s">
        <v>5187</v>
      </c>
      <c r="E2012" s="3" t="s">
        <v>2726</v>
      </c>
      <c r="F2012" s="3" t="s">
        <v>1077</v>
      </c>
      <c r="G2012" s="3" t="s">
        <v>5126</v>
      </c>
      <c r="H2012" s="4" t="s">
        <v>5162</v>
      </c>
    </row>
    <row r="2013" ht="16.5" customHeight="1" spans="1:8">
      <c r="A2013" s="3">
        <v>2012</v>
      </c>
      <c r="B2013" s="3" t="s">
        <v>5188</v>
      </c>
      <c r="C2013" s="3" t="s">
        <v>1074</v>
      </c>
      <c r="D2013" s="4" t="s">
        <v>5189</v>
      </c>
      <c r="E2013" s="3" t="s">
        <v>2726</v>
      </c>
      <c r="F2013" s="3" t="s">
        <v>1077</v>
      </c>
      <c r="G2013" s="3" t="s">
        <v>5126</v>
      </c>
      <c r="H2013" s="4" t="s">
        <v>5162</v>
      </c>
    </row>
    <row r="2014" ht="16.5" customHeight="1" spans="1:8">
      <c r="A2014" s="3">
        <v>2013</v>
      </c>
      <c r="B2014" s="3" t="s">
        <v>5190</v>
      </c>
      <c r="C2014" s="3" t="s">
        <v>1074</v>
      </c>
      <c r="D2014" s="4" t="s">
        <v>5191</v>
      </c>
      <c r="E2014" s="3" t="s">
        <v>2726</v>
      </c>
      <c r="F2014" s="3" t="s">
        <v>1077</v>
      </c>
      <c r="G2014" s="3" t="s">
        <v>5126</v>
      </c>
      <c r="H2014" s="4" t="s">
        <v>5162</v>
      </c>
    </row>
    <row r="2015" ht="16.5" customHeight="1" spans="1:8">
      <c r="A2015" s="3">
        <v>2014</v>
      </c>
      <c r="B2015" s="3" t="s">
        <v>5192</v>
      </c>
      <c r="C2015" s="3" t="s">
        <v>1074</v>
      </c>
      <c r="D2015" s="4" t="s">
        <v>5193</v>
      </c>
      <c r="E2015" s="3" t="s">
        <v>2726</v>
      </c>
      <c r="F2015" s="3" t="s">
        <v>1077</v>
      </c>
      <c r="G2015" s="3" t="s">
        <v>5126</v>
      </c>
      <c r="H2015" s="4" t="s">
        <v>5162</v>
      </c>
    </row>
    <row r="2016" ht="16.5" customHeight="1" spans="1:8">
      <c r="A2016" s="3">
        <v>2015</v>
      </c>
      <c r="B2016" s="3" t="s">
        <v>5194</v>
      </c>
      <c r="C2016" s="3" t="s">
        <v>1074</v>
      </c>
      <c r="D2016" s="4" t="s">
        <v>5195</v>
      </c>
      <c r="E2016" s="3" t="s">
        <v>2726</v>
      </c>
      <c r="F2016" s="3" t="s">
        <v>1077</v>
      </c>
      <c r="G2016" s="3" t="s">
        <v>5126</v>
      </c>
      <c r="H2016" s="4" t="s">
        <v>5162</v>
      </c>
    </row>
    <row r="2017" ht="16.5" customHeight="1" spans="1:8">
      <c r="A2017" s="3">
        <v>2016</v>
      </c>
      <c r="B2017" s="3" t="s">
        <v>5196</v>
      </c>
      <c r="C2017" s="3" t="s">
        <v>1074</v>
      </c>
      <c r="D2017" s="4" t="s">
        <v>5197</v>
      </c>
      <c r="E2017" s="3" t="s">
        <v>1076</v>
      </c>
      <c r="F2017" s="3" t="s">
        <v>1077</v>
      </c>
      <c r="G2017" s="3" t="s">
        <v>5126</v>
      </c>
      <c r="H2017" s="4" t="s">
        <v>5162</v>
      </c>
    </row>
    <row r="2018" ht="16.5" customHeight="1" spans="1:8">
      <c r="A2018" s="3">
        <v>2017</v>
      </c>
      <c r="B2018" s="3" t="s">
        <v>5198</v>
      </c>
      <c r="C2018" s="3" t="s">
        <v>1074</v>
      </c>
      <c r="D2018" s="4" t="s">
        <v>5199</v>
      </c>
      <c r="E2018" s="3" t="s">
        <v>1164</v>
      </c>
      <c r="F2018" s="3" t="s">
        <v>1077</v>
      </c>
      <c r="G2018" s="3" t="s">
        <v>5126</v>
      </c>
      <c r="H2018" s="4" t="s">
        <v>5162</v>
      </c>
    </row>
    <row r="2019" ht="16.5" customHeight="1" spans="1:8">
      <c r="A2019" s="3">
        <v>2018</v>
      </c>
      <c r="B2019" s="3" t="s">
        <v>5200</v>
      </c>
      <c r="C2019" s="3" t="s">
        <v>1074</v>
      </c>
      <c r="D2019" s="4" t="s">
        <v>5201</v>
      </c>
      <c r="E2019" s="3" t="s">
        <v>1076</v>
      </c>
      <c r="F2019" s="3" t="s">
        <v>1077</v>
      </c>
      <c r="G2019" s="3" t="s">
        <v>5126</v>
      </c>
      <c r="H2019" s="4" t="s">
        <v>5162</v>
      </c>
    </row>
    <row r="2020" ht="16.5" customHeight="1" spans="1:8">
      <c r="A2020" s="3">
        <v>2019</v>
      </c>
      <c r="B2020" s="3" t="s">
        <v>5202</v>
      </c>
      <c r="C2020" s="3" t="s">
        <v>1074</v>
      </c>
      <c r="D2020" s="4" t="s">
        <v>5203</v>
      </c>
      <c r="E2020" s="3" t="s">
        <v>1076</v>
      </c>
      <c r="F2020" s="3" t="s">
        <v>1077</v>
      </c>
      <c r="G2020" s="3" t="s">
        <v>5126</v>
      </c>
      <c r="H2020" s="4" t="s">
        <v>5162</v>
      </c>
    </row>
    <row r="2021" ht="16.5" customHeight="1" spans="1:8">
      <c r="A2021" s="3">
        <v>2020</v>
      </c>
      <c r="B2021" s="3" t="s">
        <v>5204</v>
      </c>
      <c r="C2021" s="3" t="s">
        <v>1074</v>
      </c>
      <c r="D2021" s="4" t="s">
        <v>5205</v>
      </c>
      <c r="E2021" s="3" t="s">
        <v>1076</v>
      </c>
      <c r="F2021" s="3" t="s">
        <v>1077</v>
      </c>
      <c r="G2021" s="3" t="s">
        <v>5126</v>
      </c>
      <c r="H2021" s="4" t="s">
        <v>5162</v>
      </c>
    </row>
    <row r="2022" ht="16.5" customHeight="1" spans="1:8">
      <c r="A2022" s="3">
        <v>2021</v>
      </c>
      <c r="B2022" s="3" t="s">
        <v>5206</v>
      </c>
      <c r="C2022" s="3" t="s">
        <v>1074</v>
      </c>
      <c r="D2022" s="4" t="s">
        <v>5207</v>
      </c>
      <c r="E2022" s="3" t="s">
        <v>2726</v>
      </c>
      <c r="F2022" s="3" t="s">
        <v>1077</v>
      </c>
      <c r="G2022" s="3" t="s">
        <v>5126</v>
      </c>
      <c r="H2022" s="4" t="s">
        <v>5162</v>
      </c>
    </row>
    <row r="2023" ht="16.5" customHeight="1" spans="1:8">
      <c r="A2023" s="3">
        <v>2022</v>
      </c>
      <c r="B2023" s="3" t="s">
        <v>5208</v>
      </c>
      <c r="C2023" s="3" t="s">
        <v>1074</v>
      </c>
      <c r="D2023" s="4" t="s">
        <v>5209</v>
      </c>
      <c r="E2023" s="3" t="s">
        <v>5169</v>
      </c>
      <c r="F2023" s="3" t="s">
        <v>1077</v>
      </c>
      <c r="G2023" s="3" t="s">
        <v>5126</v>
      </c>
      <c r="H2023" s="4" t="s">
        <v>5162</v>
      </c>
    </row>
    <row r="2024" ht="16.5" customHeight="1" spans="1:8">
      <c r="A2024" s="3">
        <v>2023</v>
      </c>
      <c r="B2024" s="3" t="s">
        <v>5210</v>
      </c>
      <c r="C2024" s="3" t="s">
        <v>1074</v>
      </c>
      <c r="D2024" s="4" t="s">
        <v>5211</v>
      </c>
      <c r="E2024" s="3" t="s">
        <v>1164</v>
      </c>
      <c r="F2024" s="3" t="s">
        <v>1077</v>
      </c>
      <c r="G2024" s="3" t="s">
        <v>5126</v>
      </c>
      <c r="H2024" s="4" t="s">
        <v>5162</v>
      </c>
    </row>
    <row r="2025" ht="16.5" customHeight="1" spans="1:8">
      <c r="A2025" s="3">
        <v>2024</v>
      </c>
      <c r="B2025" s="3" t="s">
        <v>5212</v>
      </c>
      <c r="C2025" s="3" t="s">
        <v>1074</v>
      </c>
      <c r="D2025" s="4" t="s">
        <v>5213</v>
      </c>
      <c r="E2025" s="3" t="s">
        <v>1076</v>
      </c>
      <c r="F2025" s="3" t="s">
        <v>1077</v>
      </c>
      <c r="G2025" s="3" t="s">
        <v>5126</v>
      </c>
      <c r="H2025" s="4" t="s">
        <v>5162</v>
      </c>
    </row>
    <row r="2026" ht="16.5" customHeight="1" spans="1:8">
      <c r="A2026" s="3">
        <v>2025</v>
      </c>
      <c r="B2026" s="3" t="s">
        <v>5214</v>
      </c>
      <c r="C2026" s="3" t="s">
        <v>1074</v>
      </c>
      <c r="D2026" s="4" t="s">
        <v>5215</v>
      </c>
      <c r="E2026" s="3" t="s">
        <v>2726</v>
      </c>
      <c r="F2026" s="3" t="s">
        <v>1077</v>
      </c>
      <c r="G2026" s="3" t="s">
        <v>5126</v>
      </c>
      <c r="H2026" s="4" t="s">
        <v>5162</v>
      </c>
    </row>
    <row r="2027" ht="16.5" customHeight="1" spans="1:8">
      <c r="A2027" s="3">
        <v>2026</v>
      </c>
      <c r="B2027" s="3" t="s">
        <v>5216</v>
      </c>
      <c r="C2027" s="3" t="s">
        <v>1074</v>
      </c>
      <c r="D2027" s="4" t="s">
        <v>5217</v>
      </c>
      <c r="E2027" s="3" t="s">
        <v>1076</v>
      </c>
      <c r="F2027" s="3" t="s">
        <v>1077</v>
      </c>
      <c r="G2027" s="3" t="s">
        <v>5126</v>
      </c>
      <c r="H2027" s="4" t="s">
        <v>5162</v>
      </c>
    </row>
    <row r="2028" ht="16.5" customHeight="1" spans="1:8">
      <c r="A2028" s="3">
        <v>2027</v>
      </c>
      <c r="B2028" s="3" t="s">
        <v>5218</v>
      </c>
      <c r="C2028" s="3" t="s">
        <v>1074</v>
      </c>
      <c r="D2028" s="4" t="s">
        <v>5219</v>
      </c>
      <c r="E2028" s="3" t="s">
        <v>1076</v>
      </c>
      <c r="F2028" s="3" t="s">
        <v>1077</v>
      </c>
      <c r="G2028" s="3" t="s">
        <v>5126</v>
      </c>
      <c r="H2028" s="4" t="s">
        <v>5162</v>
      </c>
    </row>
    <row r="2029" ht="16.5" customHeight="1" spans="1:8">
      <c r="A2029" s="3">
        <v>2028</v>
      </c>
      <c r="B2029" s="3" t="s">
        <v>5220</v>
      </c>
      <c r="C2029" s="3" t="s">
        <v>1074</v>
      </c>
      <c r="D2029" s="4" t="s">
        <v>5221</v>
      </c>
      <c r="E2029" s="3" t="s">
        <v>5169</v>
      </c>
      <c r="F2029" s="3" t="s">
        <v>1077</v>
      </c>
      <c r="G2029" s="3" t="s">
        <v>5126</v>
      </c>
      <c r="H2029" s="4" t="s">
        <v>5222</v>
      </c>
    </row>
    <row r="2030" ht="16.5" customHeight="1" spans="1:8">
      <c r="A2030" s="3">
        <v>2029</v>
      </c>
      <c r="B2030" s="3" t="s">
        <v>5223</v>
      </c>
      <c r="C2030" s="3" t="s">
        <v>1074</v>
      </c>
      <c r="D2030" s="4" t="s">
        <v>5224</v>
      </c>
      <c r="E2030" s="3" t="s">
        <v>1076</v>
      </c>
      <c r="F2030" s="3" t="s">
        <v>1077</v>
      </c>
      <c r="G2030" s="3" t="s">
        <v>5126</v>
      </c>
      <c r="H2030" s="4" t="s">
        <v>5222</v>
      </c>
    </row>
    <row r="2031" ht="16.5" customHeight="1" spans="1:8">
      <c r="A2031" s="3">
        <v>2030</v>
      </c>
      <c r="B2031" s="3" t="s">
        <v>5225</v>
      </c>
      <c r="C2031" s="3" t="s">
        <v>1074</v>
      </c>
      <c r="D2031" s="4" t="s">
        <v>5226</v>
      </c>
      <c r="E2031" s="3" t="s">
        <v>1076</v>
      </c>
      <c r="F2031" s="3" t="s">
        <v>1077</v>
      </c>
      <c r="G2031" s="3" t="s">
        <v>5126</v>
      </c>
      <c r="H2031" s="4" t="s">
        <v>5222</v>
      </c>
    </row>
    <row r="2032" ht="16.5" customHeight="1" spans="1:8">
      <c r="A2032" s="3">
        <v>2031</v>
      </c>
      <c r="B2032" s="3" t="s">
        <v>5227</v>
      </c>
      <c r="C2032" s="3" t="s">
        <v>1074</v>
      </c>
      <c r="D2032" s="4" t="s">
        <v>5228</v>
      </c>
      <c r="E2032" s="3" t="s">
        <v>1076</v>
      </c>
      <c r="F2032" s="3" t="s">
        <v>1077</v>
      </c>
      <c r="G2032" s="3" t="s">
        <v>5126</v>
      </c>
      <c r="H2032" s="4" t="s">
        <v>5222</v>
      </c>
    </row>
    <row r="2033" ht="16.5" customHeight="1" spans="1:8">
      <c r="A2033" s="3">
        <v>2032</v>
      </c>
      <c r="B2033" s="3" t="s">
        <v>5229</v>
      </c>
      <c r="C2033" s="3" t="s">
        <v>1074</v>
      </c>
      <c r="D2033" s="4" t="s">
        <v>5230</v>
      </c>
      <c r="E2033" s="3" t="s">
        <v>1076</v>
      </c>
      <c r="F2033" s="3" t="s">
        <v>1077</v>
      </c>
      <c r="G2033" s="3" t="s">
        <v>5126</v>
      </c>
      <c r="H2033" s="4" t="s">
        <v>5222</v>
      </c>
    </row>
    <row r="2034" ht="16.5" customHeight="1" spans="1:8">
      <c r="A2034" s="3">
        <v>2033</v>
      </c>
      <c r="B2034" s="3" t="s">
        <v>5231</v>
      </c>
      <c r="C2034" s="3" t="s">
        <v>1074</v>
      </c>
      <c r="D2034" s="4" t="s">
        <v>5232</v>
      </c>
      <c r="E2034" s="3" t="s">
        <v>1076</v>
      </c>
      <c r="F2034" s="3" t="s">
        <v>1077</v>
      </c>
      <c r="G2034" s="3" t="s">
        <v>5126</v>
      </c>
      <c r="H2034" s="4" t="s">
        <v>5222</v>
      </c>
    </row>
    <row r="2035" ht="16.5" customHeight="1" spans="1:8">
      <c r="A2035" s="3">
        <v>2034</v>
      </c>
      <c r="B2035" s="3" t="s">
        <v>5233</v>
      </c>
      <c r="C2035" s="3" t="s">
        <v>1074</v>
      </c>
      <c r="D2035" s="4" t="s">
        <v>5234</v>
      </c>
      <c r="E2035" s="3" t="s">
        <v>1076</v>
      </c>
      <c r="F2035" s="3" t="s">
        <v>1077</v>
      </c>
      <c r="G2035" s="3" t="s">
        <v>5126</v>
      </c>
      <c r="H2035" s="4" t="s">
        <v>5222</v>
      </c>
    </row>
    <row r="2036" ht="16.5" customHeight="1" spans="1:8">
      <c r="A2036" s="3">
        <v>2035</v>
      </c>
      <c r="B2036" s="3" t="s">
        <v>5235</v>
      </c>
      <c r="C2036" s="3" t="s">
        <v>1074</v>
      </c>
      <c r="D2036" s="4" t="s">
        <v>5236</v>
      </c>
      <c r="E2036" s="3" t="s">
        <v>1076</v>
      </c>
      <c r="F2036" s="3" t="s">
        <v>1077</v>
      </c>
      <c r="G2036" s="3" t="s">
        <v>5126</v>
      </c>
      <c r="H2036" s="4" t="s">
        <v>5222</v>
      </c>
    </row>
    <row r="2037" ht="16.5" customHeight="1" spans="1:8">
      <c r="A2037" s="3">
        <v>2036</v>
      </c>
      <c r="B2037" s="3" t="s">
        <v>5237</v>
      </c>
      <c r="C2037" s="3" t="s">
        <v>1074</v>
      </c>
      <c r="D2037" s="4" t="s">
        <v>5238</v>
      </c>
      <c r="E2037" s="3" t="s">
        <v>1739</v>
      </c>
      <c r="F2037" s="3" t="s">
        <v>1077</v>
      </c>
      <c r="G2037" s="3" t="s">
        <v>5126</v>
      </c>
      <c r="H2037" s="4" t="s">
        <v>5222</v>
      </c>
    </row>
    <row r="2038" ht="16.5" customHeight="1" spans="1:8">
      <c r="A2038" s="3">
        <v>2037</v>
      </c>
      <c r="B2038" s="3" t="s">
        <v>5239</v>
      </c>
      <c r="C2038" s="3" t="s">
        <v>1074</v>
      </c>
      <c r="D2038" s="4" t="s">
        <v>5240</v>
      </c>
      <c r="E2038" s="3" t="s">
        <v>1076</v>
      </c>
      <c r="F2038" s="3" t="s">
        <v>1077</v>
      </c>
      <c r="G2038" s="3" t="s">
        <v>5126</v>
      </c>
      <c r="H2038" s="4" t="s">
        <v>5222</v>
      </c>
    </row>
    <row r="2039" ht="16.5" customHeight="1" spans="1:8">
      <c r="A2039" s="3">
        <v>2038</v>
      </c>
      <c r="B2039" s="3" t="s">
        <v>120</v>
      </c>
      <c r="C2039" s="3" t="s">
        <v>1074</v>
      </c>
      <c r="D2039" s="4" t="s">
        <v>5241</v>
      </c>
      <c r="E2039" s="3" t="s">
        <v>2726</v>
      </c>
      <c r="F2039" s="3" t="s">
        <v>1077</v>
      </c>
      <c r="G2039" s="3" t="s">
        <v>5126</v>
      </c>
      <c r="H2039" s="4" t="s">
        <v>5222</v>
      </c>
    </row>
    <row r="2040" ht="16.5" customHeight="1" spans="1:8">
      <c r="A2040" s="3">
        <v>2039</v>
      </c>
      <c r="B2040" s="3" t="s">
        <v>5242</v>
      </c>
      <c r="C2040" s="3" t="s">
        <v>1074</v>
      </c>
      <c r="D2040" s="4" t="s">
        <v>5243</v>
      </c>
      <c r="E2040" s="3" t="s">
        <v>1164</v>
      </c>
      <c r="F2040" s="3" t="s">
        <v>1077</v>
      </c>
      <c r="G2040" s="3" t="s">
        <v>5126</v>
      </c>
      <c r="H2040" s="4" t="s">
        <v>5222</v>
      </c>
    </row>
    <row r="2041" ht="16.5" customHeight="1" spans="1:8">
      <c r="A2041" s="3">
        <v>2040</v>
      </c>
      <c r="B2041" s="3" t="s">
        <v>5244</v>
      </c>
      <c r="C2041" s="3" t="s">
        <v>1074</v>
      </c>
      <c r="D2041" s="4" t="s">
        <v>5245</v>
      </c>
      <c r="E2041" s="3" t="s">
        <v>1164</v>
      </c>
      <c r="F2041" s="3" t="s">
        <v>1077</v>
      </c>
      <c r="G2041" s="3" t="s">
        <v>5126</v>
      </c>
      <c r="H2041" s="4" t="s">
        <v>5222</v>
      </c>
    </row>
    <row r="2042" ht="16.5" customHeight="1" spans="1:8">
      <c r="A2042" s="3">
        <v>2041</v>
      </c>
      <c r="B2042" s="3" t="s">
        <v>5246</v>
      </c>
      <c r="C2042" s="3" t="s">
        <v>1074</v>
      </c>
      <c r="D2042" s="4" t="s">
        <v>5247</v>
      </c>
      <c r="E2042" s="3" t="s">
        <v>1076</v>
      </c>
      <c r="F2042" s="3" t="s">
        <v>1077</v>
      </c>
      <c r="G2042" s="3" t="s">
        <v>5126</v>
      </c>
      <c r="H2042" s="4" t="s">
        <v>5222</v>
      </c>
    </row>
    <row r="2043" ht="16.5" customHeight="1" spans="1:8">
      <c r="A2043" s="3">
        <v>2042</v>
      </c>
      <c r="B2043" s="3" t="s">
        <v>5248</v>
      </c>
      <c r="C2043" s="3" t="s">
        <v>1074</v>
      </c>
      <c r="D2043" s="4" t="s">
        <v>5249</v>
      </c>
      <c r="E2043" s="3" t="s">
        <v>1076</v>
      </c>
      <c r="F2043" s="3" t="s">
        <v>1077</v>
      </c>
      <c r="G2043" s="3" t="s">
        <v>5126</v>
      </c>
      <c r="H2043" s="4" t="s">
        <v>5222</v>
      </c>
    </row>
    <row r="2044" ht="16.5" customHeight="1" spans="1:8">
      <c r="A2044" s="3">
        <v>2043</v>
      </c>
      <c r="B2044" s="3" t="s">
        <v>5250</v>
      </c>
      <c r="C2044" s="3" t="s">
        <v>1074</v>
      </c>
      <c r="D2044" s="4" t="s">
        <v>5251</v>
      </c>
      <c r="E2044" s="3" t="s">
        <v>1076</v>
      </c>
      <c r="F2044" s="3" t="s">
        <v>1077</v>
      </c>
      <c r="G2044" s="3" t="s">
        <v>5126</v>
      </c>
      <c r="H2044" s="4" t="s">
        <v>5222</v>
      </c>
    </row>
    <row r="2045" ht="16.5" customHeight="1" spans="1:8">
      <c r="A2045" s="3">
        <v>2044</v>
      </c>
      <c r="B2045" s="3" t="s">
        <v>5252</v>
      </c>
      <c r="C2045" s="3" t="s">
        <v>1074</v>
      </c>
      <c r="D2045" s="4" t="s">
        <v>5253</v>
      </c>
      <c r="E2045" s="3" t="s">
        <v>1076</v>
      </c>
      <c r="F2045" s="3" t="s">
        <v>1077</v>
      </c>
      <c r="G2045" s="3" t="s">
        <v>5126</v>
      </c>
      <c r="H2045" s="4" t="s">
        <v>5222</v>
      </c>
    </row>
    <row r="2046" ht="16.5" customHeight="1" spans="1:8">
      <c r="A2046" s="3">
        <v>2045</v>
      </c>
      <c r="B2046" s="3" t="s">
        <v>118</v>
      </c>
      <c r="C2046" s="3" t="s">
        <v>1074</v>
      </c>
      <c r="D2046" s="4" t="s">
        <v>116</v>
      </c>
      <c r="E2046" s="3" t="s">
        <v>2726</v>
      </c>
      <c r="F2046" s="3" t="s">
        <v>1077</v>
      </c>
      <c r="G2046" s="3" t="s">
        <v>321</v>
      </c>
      <c r="H2046" s="4" t="s">
        <v>5222</v>
      </c>
    </row>
    <row r="2047" ht="16.5" customHeight="1" spans="1:8">
      <c r="A2047" s="3">
        <v>2046</v>
      </c>
      <c r="B2047" s="3" t="s">
        <v>5254</v>
      </c>
      <c r="C2047" s="3" t="s">
        <v>1074</v>
      </c>
      <c r="D2047" s="4" t="s">
        <v>5255</v>
      </c>
      <c r="E2047" s="3" t="s">
        <v>1076</v>
      </c>
      <c r="F2047" s="3" t="s">
        <v>1077</v>
      </c>
      <c r="G2047" s="3" t="s">
        <v>5126</v>
      </c>
      <c r="H2047" s="4" t="s">
        <v>5222</v>
      </c>
    </row>
    <row r="2048" ht="16.5" customHeight="1" spans="1:8">
      <c r="A2048" s="3">
        <v>2047</v>
      </c>
      <c r="B2048" s="3" t="s">
        <v>5256</v>
      </c>
      <c r="C2048" s="3" t="s">
        <v>1074</v>
      </c>
      <c r="D2048" s="4" t="s">
        <v>5257</v>
      </c>
      <c r="E2048" s="3" t="s">
        <v>1076</v>
      </c>
      <c r="F2048" s="3" t="s">
        <v>1077</v>
      </c>
      <c r="G2048" s="3" t="s">
        <v>5126</v>
      </c>
      <c r="H2048" s="4" t="s">
        <v>5222</v>
      </c>
    </row>
    <row r="2049" ht="16.5" customHeight="1" spans="1:8">
      <c r="A2049" s="3">
        <v>2048</v>
      </c>
      <c r="B2049" s="3" t="s">
        <v>5258</v>
      </c>
      <c r="C2049" s="3" t="s">
        <v>1074</v>
      </c>
      <c r="D2049" s="4" t="s">
        <v>5259</v>
      </c>
      <c r="E2049" s="3" t="s">
        <v>1076</v>
      </c>
      <c r="F2049" s="3" t="s">
        <v>1077</v>
      </c>
      <c r="G2049" s="3" t="s">
        <v>5126</v>
      </c>
      <c r="H2049" s="4" t="s">
        <v>5260</v>
      </c>
    </row>
    <row r="2050" ht="16.5" customHeight="1" spans="1:8">
      <c r="A2050" s="3">
        <v>2049</v>
      </c>
      <c r="B2050" s="3" t="s">
        <v>5261</v>
      </c>
      <c r="C2050" s="3" t="s">
        <v>1074</v>
      </c>
      <c r="D2050" s="4" t="s">
        <v>5262</v>
      </c>
      <c r="E2050" s="3" t="s">
        <v>1076</v>
      </c>
      <c r="F2050" s="3" t="s">
        <v>1077</v>
      </c>
      <c r="G2050" s="3" t="s">
        <v>5126</v>
      </c>
      <c r="H2050" s="4" t="s">
        <v>5260</v>
      </c>
    </row>
    <row r="2051" ht="16.5" customHeight="1" spans="1:8">
      <c r="A2051" s="3">
        <v>2050</v>
      </c>
      <c r="B2051" s="3" t="s">
        <v>5263</v>
      </c>
      <c r="C2051" s="3" t="s">
        <v>1074</v>
      </c>
      <c r="D2051" s="4" t="s">
        <v>5264</v>
      </c>
      <c r="E2051" s="3" t="s">
        <v>1164</v>
      </c>
      <c r="F2051" s="3" t="s">
        <v>1077</v>
      </c>
      <c r="G2051" s="3" t="s">
        <v>5126</v>
      </c>
      <c r="H2051" s="4" t="s">
        <v>5260</v>
      </c>
    </row>
    <row r="2052" ht="16.5" customHeight="1" spans="1:8">
      <c r="A2052" s="3">
        <v>2051</v>
      </c>
      <c r="B2052" s="3" t="s">
        <v>5265</v>
      </c>
      <c r="C2052" s="3" t="s">
        <v>1074</v>
      </c>
      <c r="D2052" s="4" t="s">
        <v>5266</v>
      </c>
      <c r="E2052" s="3" t="s">
        <v>5169</v>
      </c>
      <c r="F2052" s="3" t="s">
        <v>1077</v>
      </c>
      <c r="G2052" s="3" t="s">
        <v>5126</v>
      </c>
      <c r="H2052" s="4" t="s">
        <v>5260</v>
      </c>
    </row>
    <row r="2053" ht="16.5" customHeight="1" spans="1:8">
      <c r="A2053" s="3">
        <v>2052</v>
      </c>
      <c r="B2053" s="3" t="s">
        <v>5267</v>
      </c>
      <c r="C2053" s="3" t="s">
        <v>1074</v>
      </c>
      <c r="D2053" s="4" t="s">
        <v>5268</v>
      </c>
      <c r="E2053" s="3" t="s">
        <v>1076</v>
      </c>
      <c r="F2053" s="3" t="s">
        <v>1077</v>
      </c>
      <c r="G2053" s="3" t="s">
        <v>5126</v>
      </c>
      <c r="H2053" s="4" t="s">
        <v>5260</v>
      </c>
    </row>
    <row r="2054" ht="16.5" customHeight="1" spans="1:8">
      <c r="A2054" s="3">
        <v>2053</v>
      </c>
      <c r="B2054" s="3" t="s">
        <v>5269</v>
      </c>
      <c r="C2054" s="3" t="s">
        <v>1074</v>
      </c>
      <c r="D2054" s="4" t="s">
        <v>5270</v>
      </c>
      <c r="E2054" s="3" t="s">
        <v>1076</v>
      </c>
      <c r="F2054" s="3" t="s">
        <v>1077</v>
      </c>
      <c r="G2054" s="3" t="s">
        <v>5126</v>
      </c>
      <c r="H2054" s="4" t="s">
        <v>5260</v>
      </c>
    </row>
    <row r="2055" ht="16.5" customHeight="1" spans="1:8">
      <c r="A2055" s="3">
        <v>2054</v>
      </c>
      <c r="B2055" s="3" t="s">
        <v>5271</v>
      </c>
      <c r="C2055" s="3" t="s">
        <v>1074</v>
      </c>
      <c r="D2055" s="4" t="s">
        <v>5272</v>
      </c>
      <c r="E2055" s="3" t="s">
        <v>1164</v>
      </c>
      <c r="F2055" s="3" t="s">
        <v>1077</v>
      </c>
      <c r="G2055" s="3" t="s">
        <v>5126</v>
      </c>
      <c r="H2055" s="4" t="s">
        <v>5260</v>
      </c>
    </row>
    <row r="2056" ht="16.5" customHeight="1" spans="1:8">
      <c r="A2056" s="3">
        <v>2055</v>
      </c>
      <c r="B2056" s="3" t="s">
        <v>5273</v>
      </c>
      <c r="C2056" s="3" t="s">
        <v>1074</v>
      </c>
      <c r="D2056" s="4" t="s">
        <v>5274</v>
      </c>
      <c r="E2056" s="3" t="s">
        <v>1218</v>
      </c>
      <c r="F2056" s="3" t="s">
        <v>1077</v>
      </c>
      <c r="G2056" s="3" t="s">
        <v>5126</v>
      </c>
      <c r="H2056" s="4" t="s">
        <v>5275</v>
      </c>
    </row>
    <row r="2057" ht="16.5" customHeight="1" spans="1:8">
      <c r="A2057" s="3">
        <v>2056</v>
      </c>
      <c r="B2057" s="3" t="s">
        <v>5276</v>
      </c>
      <c r="C2057" s="3" t="s">
        <v>1074</v>
      </c>
      <c r="D2057" s="4" t="s">
        <v>5277</v>
      </c>
      <c r="E2057" s="3" t="s">
        <v>2726</v>
      </c>
      <c r="F2057" s="3" t="s">
        <v>1077</v>
      </c>
      <c r="G2057" s="3" t="s">
        <v>5126</v>
      </c>
      <c r="H2057" s="4" t="s">
        <v>5275</v>
      </c>
    </row>
    <row r="2058" ht="16.5" customHeight="1" spans="1:8">
      <c r="A2058" s="3">
        <v>2057</v>
      </c>
      <c r="B2058" s="3" t="s">
        <v>5278</v>
      </c>
      <c r="C2058" s="3" t="s">
        <v>1074</v>
      </c>
      <c r="D2058" s="4" t="s">
        <v>5279</v>
      </c>
      <c r="E2058" s="3" t="s">
        <v>1076</v>
      </c>
      <c r="F2058" s="3" t="s">
        <v>1077</v>
      </c>
      <c r="G2058" s="3" t="s">
        <v>5126</v>
      </c>
      <c r="H2058" s="4" t="s">
        <v>5275</v>
      </c>
    </row>
    <row r="2059" ht="16.5" customHeight="1" spans="1:8">
      <c r="A2059" s="3">
        <v>2058</v>
      </c>
      <c r="B2059" s="3" t="s">
        <v>5280</v>
      </c>
      <c r="C2059" s="3" t="s">
        <v>1074</v>
      </c>
      <c r="D2059" s="4" t="s">
        <v>5281</v>
      </c>
      <c r="E2059" s="3" t="s">
        <v>1076</v>
      </c>
      <c r="F2059" s="3" t="s">
        <v>1077</v>
      </c>
      <c r="G2059" s="3" t="s">
        <v>5126</v>
      </c>
      <c r="H2059" s="4" t="s">
        <v>5275</v>
      </c>
    </row>
    <row r="2060" ht="16.5" customHeight="1" spans="1:8">
      <c r="A2060" s="3">
        <v>2059</v>
      </c>
      <c r="B2060" s="3" t="s">
        <v>5282</v>
      </c>
      <c r="C2060" s="3" t="s">
        <v>1074</v>
      </c>
      <c r="D2060" s="4" t="s">
        <v>5283</v>
      </c>
      <c r="E2060" s="3" t="s">
        <v>1076</v>
      </c>
      <c r="F2060" s="3" t="s">
        <v>1077</v>
      </c>
      <c r="G2060" s="3" t="s">
        <v>5126</v>
      </c>
      <c r="H2060" s="4" t="s">
        <v>5275</v>
      </c>
    </row>
    <row r="2061" ht="16.5" customHeight="1" spans="1:8">
      <c r="A2061" s="3">
        <v>2060</v>
      </c>
      <c r="B2061" s="3" t="s">
        <v>5284</v>
      </c>
      <c r="C2061" s="3" t="s">
        <v>1074</v>
      </c>
      <c r="D2061" s="4" t="s">
        <v>5285</v>
      </c>
      <c r="E2061" s="3" t="s">
        <v>1076</v>
      </c>
      <c r="F2061" s="3" t="s">
        <v>1077</v>
      </c>
      <c r="G2061" s="3" t="s">
        <v>5126</v>
      </c>
      <c r="H2061" s="4" t="s">
        <v>5275</v>
      </c>
    </row>
    <row r="2062" ht="16.5" customHeight="1" spans="1:8">
      <c r="A2062" s="3">
        <v>2061</v>
      </c>
      <c r="B2062" s="3" t="s">
        <v>5286</v>
      </c>
      <c r="C2062" s="3" t="s">
        <v>1074</v>
      </c>
      <c r="D2062" s="4" t="s">
        <v>5287</v>
      </c>
      <c r="E2062" s="3" t="s">
        <v>1076</v>
      </c>
      <c r="F2062" s="3" t="s">
        <v>1077</v>
      </c>
      <c r="G2062" s="3" t="s">
        <v>5126</v>
      </c>
      <c r="H2062" s="4" t="s">
        <v>5288</v>
      </c>
    </row>
    <row r="2063" ht="16.5" customHeight="1" spans="1:8">
      <c r="A2063" s="3">
        <v>2062</v>
      </c>
      <c r="B2063" s="3" t="s">
        <v>5289</v>
      </c>
      <c r="C2063" s="3" t="s">
        <v>1074</v>
      </c>
      <c r="D2063" s="4" t="s">
        <v>5290</v>
      </c>
      <c r="E2063" s="3" t="s">
        <v>1076</v>
      </c>
      <c r="F2063" s="3" t="s">
        <v>1077</v>
      </c>
      <c r="G2063" s="3" t="s">
        <v>5126</v>
      </c>
      <c r="H2063" s="4" t="s">
        <v>5288</v>
      </c>
    </row>
    <row r="2064" ht="16.5" customHeight="1" spans="1:8">
      <c r="A2064" s="3">
        <v>2063</v>
      </c>
      <c r="B2064" s="3" t="s">
        <v>5291</v>
      </c>
      <c r="C2064" s="3" t="s">
        <v>1074</v>
      </c>
      <c r="D2064" s="4" t="s">
        <v>5292</v>
      </c>
      <c r="E2064" s="3" t="s">
        <v>1076</v>
      </c>
      <c r="F2064" s="3" t="s">
        <v>1077</v>
      </c>
      <c r="G2064" s="3" t="s">
        <v>5126</v>
      </c>
      <c r="H2064" s="4" t="s">
        <v>5293</v>
      </c>
    </row>
    <row r="2065" ht="16.5" customHeight="1" spans="1:8">
      <c r="A2065" s="3">
        <v>2064</v>
      </c>
      <c r="B2065" s="3" t="s">
        <v>5294</v>
      </c>
      <c r="C2065" s="3" t="s">
        <v>1074</v>
      </c>
      <c r="D2065" s="4" t="s">
        <v>5295</v>
      </c>
      <c r="E2065" s="3" t="s">
        <v>1076</v>
      </c>
      <c r="F2065" s="3" t="s">
        <v>1077</v>
      </c>
      <c r="G2065" s="3" t="s">
        <v>5126</v>
      </c>
      <c r="H2065" s="4" t="s">
        <v>5293</v>
      </c>
    </row>
    <row r="2066" ht="16.5" customHeight="1" spans="1:8">
      <c r="A2066" s="3">
        <v>2065</v>
      </c>
      <c r="B2066" s="3" t="s">
        <v>5296</v>
      </c>
      <c r="C2066" s="3" t="s">
        <v>1074</v>
      </c>
      <c r="D2066" s="4" t="s">
        <v>5297</v>
      </c>
      <c r="E2066" s="3" t="s">
        <v>1739</v>
      </c>
      <c r="F2066" s="3" t="s">
        <v>1077</v>
      </c>
      <c r="G2066" s="3" t="s">
        <v>5126</v>
      </c>
      <c r="H2066" s="4" t="s">
        <v>5293</v>
      </c>
    </row>
    <row r="2067" ht="16.5" customHeight="1" spans="1:8">
      <c r="A2067" s="3">
        <v>2066</v>
      </c>
      <c r="B2067" s="3" t="s">
        <v>5298</v>
      </c>
      <c r="C2067" s="3" t="s">
        <v>1074</v>
      </c>
      <c r="D2067" s="4" t="s">
        <v>5299</v>
      </c>
      <c r="E2067" s="3" t="s">
        <v>1076</v>
      </c>
      <c r="F2067" s="3" t="s">
        <v>1077</v>
      </c>
      <c r="G2067" s="3" t="s">
        <v>5126</v>
      </c>
      <c r="H2067" s="4" t="s">
        <v>5293</v>
      </c>
    </row>
    <row r="2068" ht="16.5" customHeight="1" spans="1:8">
      <c r="A2068" s="3">
        <v>2067</v>
      </c>
      <c r="B2068" s="3" t="s">
        <v>5300</v>
      </c>
      <c r="C2068" s="3" t="s">
        <v>1074</v>
      </c>
      <c r="D2068" s="4" t="s">
        <v>5301</v>
      </c>
      <c r="E2068" s="3" t="s">
        <v>1076</v>
      </c>
      <c r="F2068" s="3" t="s">
        <v>1077</v>
      </c>
      <c r="G2068" s="3" t="s">
        <v>5126</v>
      </c>
      <c r="H2068" s="4" t="s">
        <v>5293</v>
      </c>
    </row>
    <row r="2069" ht="16.5" customHeight="1" spans="1:8">
      <c r="A2069" s="3">
        <v>2068</v>
      </c>
      <c r="B2069" s="3" t="s">
        <v>5302</v>
      </c>
      <c r="C2069" s="3" t="s">
        <v>1074</v>
      </c>
      <c r="D2069" s="4" t="s">
        <v>5303</v>
      </c>
      <c r="E2069" s="3" t="s">
        <v>1076</v>
      </c>
      <c r="F2069" s="3" t="s">
        <v>1077</v>
      </c>
      <c r="G2069" s="3" t="s">
        <v>5126</v>
      </c>
      <c r="H2069" s="4" t="s">
        <v>5293</v>
      </c>
    </row>
    <row r="2070" ht="16.5" customHeight="1" spans="1:8">
      <c r="A2070" s="3">
        <v>2069</v>
      </c>
      <c r="B2070" s="3" t="s">
        <v>5304</v>
      </c>
      <c r="C2070" s="3" t="s">
        <v>1074</v>
      </c>
      <c r="D2070" s="4" t="s">
        <v>5305</v>
      </c>
      <c r="E2070" s="3" t="s">
        <v>1076</v>
      </c>
      <c r="F2070" s="3" t="s">
        <v>1077</v>
      </c>
      <c r="G2070" s="3" t="s">
        <v>5126</v>
      </c>
      <c r="H2070" s="4" t="s">
        <v>5293</v>
      </c>
    </row>
    <row r="2071" ht="16.5" customHeight="1" spans="1:8">
      <c r="A2071" s="3">
        <v>2070</v>
      </c>
      <c r="B2071" s="3" t="s">
        <v>5306</v>
      </c>
      <c r="C2071" s="3" t="s">
        <v>1074</v>
      </c>
      <c r="D2071" s="4" t="s">
        <v>5307</v>
      </c>
      <c r="E2071" s="3" t="s">
        <v>2726</v>
      </c>
      <c r="F2071" s="3" t="s">
        <v>1077</v>
      </c>
      <c r="G2071" s="3" t="s">
        <v>5126</v>
      </c>
      <c r="H2071" s="4" t="s">
        <v>5293</v>
      </c>
    </row>
    <row r="2072" ht="16.5" customHeight="1" spans="1:8">
      <c r="A2072" s="3">
        <v>2071</v>
      </c>
      <c r="B2072" s="3" t="s">
        <v>5308</v>
      </c>
      <c r="C2072" s="3" t="s">
        <v>1074</v>
      </c>
      <c r="D2072" s="4" t="s">
        <v>5309</v>
      </c>
      <c r="E2072" s="3" t="s">
        <v>1076</v>
      </c>
      <c r="F2072" s="3" t="s">
        <v>1077</v>
      </c>
      <c r="G2072" s="3" t="s">
        <v>5126</v>
      </c>
      <c r="H2072" s="4" t="s">
        <v>5293</v>
      </c>
    </row>
    <row r="2073" ht="16.5" customHeight="1" spans="1:8">
      <c r="A2073" s="3">
        <v>2072</v>
      </c>
      <c r="B2073" s="3" t="s">
        <v>5310</v>
      </c>
      <c r="C2073" s="3" t="s">
        <v>1074</v>
      </c>
      <c r="D2073" s="4" t="s">
        <v>5311</v>
      </c>
      <c r="E2073" s="3" t="s">
        <v>1739</v>
      </c>
      <c r="F2073" s="3" t="s">
        <v>1077</v>
      </c>
      <c r="G2073" s="3" t="s">
        <v>5126</v>
      </c>
      <c r="H2073" s="4" t="s">
        <v>5293</v>
      </c>
    </row>
    <row r="2074" ht="16.5" customHeight="1" spans="1:8">
      <c r="A2074" s="3">
        <v>2073</v>
      </c>
      <c r="B2074" s="3" t="s">
        <v>5312</v>
      </c>
      <c r="C2074" s="3" t="s">
        <v>1074</v>
      </c>
      <c r="D2074" s="4" t="s">
        <v>5313</v>
      </c>
      <c r="E2074" s="3" t="s">
        <v>1739</v>
      </c>
      <c r="F2074" s="3" t="s">
        <v>1077</v>
      </c>
      <c r="G2074" s="3" t="s">
        <v>5126</v>
      </c>
      <c r="H2074" s="4" t="s">
        <v>5293</v>
      </c>
    </row>
    <row r="2075" ht="16.5" customHeight="1" spans="1:8">
      <c r="A2075" s="3">
        <v>2074</v>
      </c>
      <c r="B2075" s="3" t="s">
        <v>5314</v>
      </c>
      <c r="C2075" s="3" t="s">
        <v>1074</v>
      </c>
      <c r="D2075" s="4" t="s">
        <v>5315</v>
      </c>
      <c r="E2075" s="3" t="s">
        <v>2726</v>
      </c>
      <c r="F2075" s="3" t="s">
        <v>1077</v>
      </c>
      <c r="G2075" s="3" t="s">
        <v>5126</v>
      </c>
      <c r="H2075" s="4" t="s">
        <v>5293</v>
      </c>
    </row>
    <row r="2076" ht="16.5" customHeight="1" spans="1:8">
      <c r="A2076" s="3">
        <v>2075</v>
      </c>
      <c r="B2076" s="3" t="s">
        <v>5316</v>
      </c>
      <c r="C2076" s="3" t="s">
        <v>1074</v>
      </c>
      <c r="D2076" s="4" t="s">
        <v>5317</v>
      </c>
      <c r="E2076" s="3" t="s">
        <v>2726</v>
      </c>
      <c r="F2076" s="3" t="s">
        <v>1077</v>
      </c>
      <c r="G2076" s="3" t="s">
        <v>5126</v>
      </c>
      <c r="H2076" s="4" t="s">
        <v>5293</v>
      </c>
    </row>
    <row r="2077" ht="16.5" customHeight="1" spans="1:8">
      <c r="A2077" s="3">
        <v>2076</v>
      </c>
      <c r="B2077" s="3" t="s">
        <v>5318</v>
      </c>
      <c r="C2077" s="3" t="s">
        <v>1074</v>
      </c>
      <c r="D2077" s="4" t="s">
        <v>5319</v>
      </c>
      <c r="E2077" s="3" t="s">
        <v>1076</v>
      </c>
      <c r="F2077" s="3" t="s">
        <v>1077</v>
      </c>
      <c r="G2077" s="3" t="s">
        <v>5126</v>
      </c>
      <c r="H2077" s="4" t="s">
        <v>5293</v>
      </c>
    </row>
    <row r="2078" ht="16.5" customHeight="1" spans="1:8">
      <c r="A2078" s="3">
        <v>2077</v>
      </c>
      <c r="B2078" s="3" t="s">
        <v>5320</v>
      </c>
      <c r="C2078" s="3" t="s">
        <v>1074</v>
      </c>
      <c r="D2078" s="4" t="s">
        <v>5321</v>
      </c>
      <c r="E2078" s="3" t="s">
        <v>2726</v>
      </c>
      <c r="F2078" s="3" t="s">
        <v>1077</v>
      </c>
      <c r="G2078" s="3" t="s">
        <v>5126</v>
      </c>
      <c r="H2078" s="4" t="s">
        <v>5293</v>
      </c>
    </row>
    <row r="2079" ht="16.5" customHeight="1" spans="1:8">
      <c r="A2079" s="3">
        <v>2078</v>
      </c>
      <c r="B2079" s="3" t="s">
        <v>5322</v>
      </c>
      <c r="C2079" s="3" t="s">
        <v>1074</v>
      </c>
      <c r="D2079" s="4" t="s">
        <v>5323</v>
      </c>
      <c r="E2079" s="3" t="s">
        <v>1218</v>
      </c>
      <c r="F2079" s="3" t="s">
        <v>1077</v>
      </c>
      <c r="G2079" s="3" t="s">
        <v>5126</v>
      </c>
      <c r="H2079" s="4" t="s">
        <v>5293</v>
      </c>
    </row>
    <row r="2080" ht="16.5" customHeight="1" spans="1:8">
      <c r="A2080" s="3">
        <v>2079</v>
      </c>
      <c r="B2080" s="3" t="s">
        <v>5324</v>
      </c>
      <c r="C2080" s="3" t="s">
        <v>2163</v>
      </c>
      <c r="D2080" s="4" t="s">
        <v>5325</v>
      </c>
      <c r="E2080" s="3" t="s">
        <v>1076</v>
      </c>
      <c r="F2080" s="3" t="s">
        <v>4154</v>
      </c>
      <c r="G2080" s="3"/>
      <c r="H2080" s="4" t="s">
        <v>4198</v>
      </c>
    </row>
    <row r="2081" ht="16.5" customHeight="1" spans="1:8">
      <c r="A2081" s="3">
        <v>2080</v>
      </c>
      <c r="B2081" s="3" t="s">
        <v>5326</v>
      </c>
      <c r="C2081" s="3" t="s">
        <v>2163</v>
      </c>
      <c r="D2081" s="4" t="s">
        <v>5327</v>
      </c>
      <c r="E2081" s="3" t="s">
        <v>1076</v>
      </c>
      <c r="F2081" s="3" t="s">
        <v>4154</v>
      </c>
      <c r="G2081" s="3"/>
      <c r="H2081" s="4" t="s">
        <v>4198</v>
      </c>
    </row>
    <row r="2082" ht="16.5" customHeight="1" spans="1:8">
      <c r="A2082" s="3">
        <v>2081</v>
      </c>
      <c r="B2082" s="3" t="s">
        <v>5328</v>
      </c>
      <c r="C2082" s="3" t="s">
        <v>2163</v>
      </c>
      <c r="D2082" s="4" t="s">
        <v>5329</v>
      </c>
      <c r="E2082" s="3" t="s">
        <v>1076</v>
      </c>
      <c r="F2082" s="3" t="s">
        <v>4154</v>
      </c>
      <c r="G2082" s="3"/>
      <c r="H2082" s="4" t="s">
        <v>4198</v>
      </c>
    </row>
    <row r="2083" ht="16.5" customHeight="1" spans="1:8">
      <c r="A2083" s="3">
        <v>2082</v>
      </c>
      <c r="B2083" s="3" t="s">
        <v>5330</v>
      </c>
      <c r="C2083" s="3" t="s">
        <v>2163</v>
      </c>
      <c r="D2083" s="4" t="s">
        <v>5331</v>
      </c>
      <c r="E2083" s="3" t="s">
        <v>1076</v>
      </c>
      <c r="F2083" s="3" t="s">
        <v>4154</v>
      </c>
      <c r="G2083" s="3"/>
      <c r="H2083" s="4" t="s">
        <v>4198</v>
      </c>
    </row>
    <row r="2084" ht="16.5" customHeight="1" spans="1:8">
      <c r="A2084" s="3">
        <v>2083</v>
      </c>
      <c r="B2084" s="3" t="s">
        <v>5332</v>
      </c>
      <c r="C2084" s="3" t="s">
        <v>2163</v>
      </c>
      <c r="D2084" s="4" t="s">
        <v>5333</v>
      </c>
      <c r="E2084" s="3" t="s">
        <v>1076</v>
      </c>
      <c r="F2084" s="3" t="s">
        <v>4154</v>
      </c>
      <c r="G2084" s="3"/>
      <c r="H2084" s="4" t="s">
        <v>4198</v>
      </c>
    </row>
    <row r="2085" ht="16.5" customHeight="1" spans="1:8">
      <c r="A2085" s="3">
        <v>2084</v>
      </c>
      <c r="B2085" s="3" t="s">
        <v>5334</v>
      </c>
      <c r="C2085" s="3" t="s">
        <v>2163</v>
      </c>
      <c r="D2085" s="4" t="s">
        <v>5335</v>
      </c>
      <c r="E2085" s="3" t="s">
        <v>1076</v>
      </c>
      <c r="F2085" s="3" t="s">
        <v>2041</v>
      </c>
      <c r="G2085" s="3" t="s">
        <v>321</v>
      </c>
      <c r="H2085" s="4" t="s">
        <v>1843</v>
      </c>
    </row>
    <row r="2086" ht="16.5" customHeight="1" spans="1:8">
      <c r="A2086" s="3">
        <v>2085</v>
      </c>
      <c r="B2086" s="3" t="s">
        <v>5336</v>
      </c>
      <c r="C2086" s="3" t="s">
        <v>2163</v>
      </c>
      <c r="D2086" s="4" t="s">
        <v>5337</v>
      </c>
      <c r="E2086" s="3" t="s">
        <v>1076</v>
      </c>
      <c r="F2086" s="3" t="s">
        <v>2041</v>
      </c>
      <c r="G2086" s="3" t="s">
        <v>321</v>
      </c>
      <c r="H2086" s="4" t="s">
        <v>1843</v>
      </c>
    </row>
    <row r="2087" ht="16.5" customHeight="1" spans="1:8">
      <c r="A2087" s="3">
        <v>2086</v>
      </c>
      <c r="B2087" s="3" t="s">
        <v>5338</v>
      </c>
      <c r="C2087" s="3" t="s">
        <v>2163</v>
      </c>
      <c r="D2087" s="4" t="s">
        <v>5339</v>
      </c>
      <c r="E2087" s="3" t="s">
        <v>1076</v>
      </c>
      <c r="F2087" s="3" t="s">
        <v>2041</v>
      </c>
      <c r="G2087" s="3" t="s">
        <v>321</v>
      </c>
      <c r="H2087" s="4" t="s">
        <v>1843</v>
      </c>
    </row>
    <row r="2088" ht="16.5" customHeight="1" spans="1:8">
      <c r="A2088" s="3">
        <v>2087</v>
      </c>
      <c r="B2088" s="3" t="s">
        <v>5340</v>
      </c>
      <c r="C2088" s="3" t="s">
        <v>2163</v>
      </c>
      <c r="D2088" s="4" t="s">
        <v>5341</v>
      </c>
      <c r="E2088" s="3" t="s">
        <v>1076</v>
      </c>
      <c r="F2088" s="3" t="s">
        <v>2041</v>
      </c>
      <c r="G2088" s="3" t="s">
        <v>321</v>
      </c>
      <c r="H2088" s="4" t="s">
        <v>1843</v>
      </c>
    </row>
    <row r="2089" ht="16.5" customHeight="1" spans="1:8">
      <c r="A2089" s="3">
        <v>2088</v>
      </c>
      <c r="B2089" s="3" t="s">
        <v>5342</v>
      </c>
      <c r="C2089" s="3" t="s">
        <v>2163</v>
      </c>
      <c r="D2089" s="4" t="s">
        <v>5343</v>
      </c>
      <c r="E2089" s="3" t="s">
        <v>1076</v>
      </c>
      <c r="F2089" s="3" t="s">
        <v>2041</v>
      </c>
      <c r="G2089" s="3" t="s">
        <v>321</v>
      </c>
      <c r="H2089" s="4" t="s">
        <v>1843</v>
      </c>
    </row>
    <row r="2090" ht="16.5" customHeight="1" spans="1:8">
      <c r="A2090" s="3">
        <v>2089</v>
      </c>
      <c r="B2090" s="3" t="s">
        <v>5344</v>
      </c>
      <c r="C2090" s="3" t="s">
        <v>2163</v>
      </c>
      <c r="D2090" s="4" t="s">
        <v>5345</v>
      </c>
      <c r="E2090" s="3" t="s">
        <v>1076</v>
      </c>
      <c r="F2090" s="3" t="s">
        <v>2041</v>
      </c>
      <c r="G2090" s="3" t="s">
        <v>321</v>
      </c>
      <c r="H2090" s="4" t="s">
        <v>1843</v>
      </c>
    </row>
    <row r="2091" ht="16.5" customHeight="1" spans="1:8">
      <c r="A2091" s="3">
        <v>2090</v>
      </c>
      <c r="B2091" s="3" t="s">
        <v>5346</v>
      </c>
      <c r="C2091" s="3" t="s">
        <v>2163</v>
      </c>
      <c r="D2091" s="4" t="s">
        <v>5347</v>
      </c>
      <c r="E2091" s="3" t="s">
        <v>1076</v>
      </c>
      <c r="F2091" s="3" t="s">
        <v>2041</v>
      </c>
      <c r="G2091" s="3" t="s">
        <v>321</v>
      </c>
      <c r="H2091" s="4" t="s">
        <v>1843</v>
      </c>
    </row>
    <row r="2092" ht="16.5" customHeight="1" spans="1:8">
      <c r="A2092" s="3">
        <v>2091</v>
      </c>
      <c r="B2092" s="3" t="s">
        <v>5348</v>
      </c>
      <c r="C2092" s="3" t="s">
        <v>2163</v>
      </c>
      <c r="D2092" s="4" t="s">
        <v>5349</v>
      </c>
      <c r="E2092" s="3" t="s">
        <v>1076</v>
      </c>
      <c r="F2092" s="3" t="s">
        <v>2041</v>
      </c>
      <c r="G2092" s="3" t="s">
        <v>321</v>
      </c>
      <c r="H2092" s="4" t="s">
        <v>1843</v>
      </c>
    </row>
    <row r="2093" ht="16.5" customHeight="1" spans="1:8">
      <c r="A2093" s="3">
        <v>2092</v>
      </c>
      <c r="B2093" s="3" t="s">
        <v>5350</v>
      </c>
      <c r="C2093" s="3" t="s">
        <v>2163</v>
      </c>
      <c r="D2093" s="4" t="s">
        <v>5351</v>
      </c>
      <c r="E2093" s="3" t="s">
        <v>1076</v>
      </c>
      <c r="F2093" s="3" t="s">
        <v>2041</v>
      </c>
      <c r="G2093" s="3" t="s">
        <v>321</v>
      </c>
      <c r="H2093" s="4" t="s">
        <v>1843</v>
      </c>
    </row>
    <row r="2094" ht="16.5" customHeight="1" spans="1:8">
      <c r="A2094" s="3">
        <v>2093</v>
      </c>
      <c r="B2094" s="3" t="s">
        <v>5352</v>
      </c>
      <c r="C2094" s="3" t="s">
        <v>2163</v>
      </c>
      <c r="D2094" s="4" t="s">
        <v>5353</v>
      </c>
      <c r="E2094" s="3" t="s">
        <v>1076</v>
      </c>
      <c r="F2094" s="3" t="s">
        <v>2041</v>
      </c>
      <c r="G2094" s="3" t="s">
        <v>321</v>
      </c>
      <c r="H2094" s="4" t="s">
        <v>1843</v>
      </c>
    </row>
    <row r="2095" ht="16.5" customHeight="1" spans="1:8">
      <c r="A2095" s="3">
        <v>2094</v>
      </c>
      <c r="B2095" s="3" t="s">
        <v>5354</v>
      </c>
      <c r="C2095" s="3" t="s">
        <v>2163</v>
      </c>
      <c r="D2095" s="4" t="s">
        <v>5355</v>
      </c>
      <c r="E2095" s="3" t="s">
        <v>1076</v>
      </c>
      <c r="F2095" s="3" t="s">
        <v>2105</v>
      </c>
      <c r="G2095" s="3" t="s">
        <v>321</v>
      </c>
      <c r="H2095" s="4" t="s">
        <v>1305</v>
      </c>
    </row>
    <row r="2096" ht="16.5" customHeight="1" spans="1:8">
      <c r="A2096" s="3">
        <v>2095</v>
      </c>
      <c r="B2096" s="3" t="s">
        <v>5356</v>
      </c>
      <c r="C2096" s="3" t="s">
        <v>2163</v>
      </c>
      <c r="D2096" s="4" t="s">
        <v>5357</v>
      </c>
      <c r="E2096" s="3" t="s">
        <v>1076</v>
      </c>
      <c r="F2096" s="3" t="s">
        <v>2105</v>
      </c>
      <c r="G2096" s="3" t="s">
        <v>321</v>
      </c>
      <c r="H2096" s="4" t="s">
        <v>1305</v>
      </c>
    </row>
    <row r="2097" ht="16.5" customHeight="1" spans="1:8">
      <c r="A2097" s="3">
        <v>2096</v>
      </c>
      <c r="B2097" s="3" t="s">
        <v>5358</v>
      </c>
      <c r="C2097" s="3" t="s">
        <v>2163</v>
      </c>
      <c r="D2097" s="4" t="s">
        <v>5359</v>
      </c>
      <c r="E2097" s="3" t="s">
        <v>1076</v>
      </c>
      <c r="F2097" s="3" t="s">
        <v>2041</v>
      </c>
      <c r="G2097" s="3" t="s">
        <v>321</v>
      </c>
      <c r="H2097" s="4" t="s">
        <v>1843</v>
      </c>
    </row>
    <row r="2098" ht="16.5" customHeight="1" spans="1:8">
      <c r="A2098" s="3">
        <v>2097</v>
      </c>
      <c r="B2098" s="3" t="s">
        <v>5360</v>
      </c>
      <c r="C2098" s="3" t="s">
        <v>2163</v>
      </c>
      <c r="D2098" s="4" t="s">
        <v>5361</v>
      </c>
      <c r="E2098" s="3" t="s">
        <v>1076</v>
      </c>
      <c r="F2098" s="3" t="s">
        <v>2041</v>
      </c>
      <c r="G2098" s="3" t="s">
        <v>321</v>
      </c>
      <c r="H2098" s="4" t="s">
        <v>1843</v>
      </c>
    </row>
    <row r="2099" ht="16.5" customHeight="1" spans="1:8">
      <c r="A2099" s="3">
        <v>2098</v>
      </c>
      <c r="B2099" s="3" t="s">
        <v>5362</v>
      </c>
      <c r="C2099" s="3" t="s">
        <v>2163</v>
      </c>
      <c r="D2099" s="4" t="s">
        <v>5363</v>
      </c>
      <c r="E2099" s="3" t="s">
        <v>1076</v>
      </c>
      <c r="F2099" s="3" t="s">
        <v>2105</v>
      </c>
      <c r="G2099" s="3" t="s">
        <v>321</v>
      </c>
      <c r="H2099" s="4" t="s">
        <v>1305</v>
      </c>
    </row>
    <row r="2100" ht="16.5" customHeight="1" spans="1:8">
      <c r="A2100" s="3">
        <v>2099</v>
      </c>
      <c r="B2100" s="3" t="s">
        <v>5364</v>
      </c>
      <c r="C2100" s="3" t="s">
        <v>2163</v>
      </c>
      <c r="D2100" s="4" t="s">
        <v>5365</v>
      </c>
      <c r="E2100" s="3" t="s">
        <v>1076</v>
      </c>
      <c r="F2100" s="3" t="s">
        <v>2105</v>
      </c>
      <c r="G2100" s="3" t="s">
        <v>321</v>
      </c>
      <c r="H2100" s="4" t="s">
        <v>1305</v>
      </c>
    </row>
    <row r="2101" ht="16.5" customHeight="1" spans="1:8">
      <c r="A2101" s="3">
        <v>2100</v>
      </c>
      <c r="B2101" s="3" t="s">
        <v>5366</v>
      </c>
      <c r="C2101" s="3" t="s">
        <v>2163</v>
      </c>
      <c r="D2101" s="4" t="s">
        <v>5367</v>
      </c>
      <c r="E2101" s="3" t="s">
        <v>1076</v>
      </c>
      <c r="F2101" s="3" t="s">
        <v>2105</v>
      </c>
      <c r="G2101" s="3" t="s">
        <v>321</v>
      </c>
      <c r="H2101" s="4" t="s">
        <v>1305</v>
      </c>
    </row>
    <row r="2102" ht="16.5" customHeight="1" spans="1:8">
      <c r="A2102" s="3">
        <v>2101</v>
      </c>
      <c r="B2102" s="3" t="s">
        <v>5368</v>
      </c>
      <c r="C2102" s="3" t="s">
        <v>1074</v>
      </c>
      <c r="D2102" s="4" t="s">
        <v>5369</v>
      </c>
      <c r="E2102" s="3" t="s">
        <v>1076</v>
      </c>
      <c r="F2102" s="3" t="s">
        <v>1077</v>
      </c>
      <c r="G2102" s="3"/>
      <c r="H2102" s="4" t="s">
        <v>3463</v>
      </c>
    </row>
    <row r="2103" ht="16.5" customHeight="1" spans="1:8">
      <c r="A2103" s="3">
        <v>2102</v>
      </c>
      <c r="B2103" s="3" t="s">
        <v>5370</v>
      </c>
      <c r="C2103" s="3" t="s">
        <v>2163</v>
      </c>
      <c r="D2103" s="4" t="s">
        <v>5371</v>
      </c>
      <c r="E2103" s="3" t="s">
        <v>1076</v>
      </c>
      <c r="F2103" s="3" t="s">
        <v>2105</v>
      </c>
      <c r="G2103" s="3" t="s">
        <v>321</v>
      </c>
      <c r="H2103" s="4" t="s">
        <v>1305</v>
      </c>
    </row>
    <row r="2104" ht="16.5" customHeight="1" spans="1:8">
      <c r="A2104" s="3">
        <v>2103</v>
      </c>
      <c r="B2104" s="3" t="s">
        <v>5372</v>
      </c>
      <c r="C2104" s="3" t="s">
        <v>2163</v>
      </c>
      <c r="D2104" s="4" t="s">
        <v>5373</v>
      </c>
      <c r="E2104" s="3" t="s">
        <v>1076</v>
      </c>
      <c r="F2104" s="3" t="s">
        <v>2105</v>
      </c>
      <c r="G2104" s="3" t="s">
        <v>321</v>
      </c>
      <c r="H2104" s="4" t="s">
        <v>1305</v>
      </c>
    </row>
    <row r="2105" ht="16.5" customHeight="1" spans="1:8">
      <c r="A2105" s="3">
        <v>2104</v>
      </c>
      <c r="B2105" s="3" t="s">
        <v>5374</v>
      </c>
      <c r="C2105" s="3" t="s">
        <v>1074</v>
      </c>
      <c r="D2105" s="4" t="s">
        <v>5375</v>
      </c>
      <c r="E2105" s="3" t="s">
        <v>1076</v>
      </c>
      <c r="F2105" s="3" t="s">
        <v>1077</v>
      </c>
      <c r="G2105" s="3"/>
      <c r="H2105" s="4" t="s">
        <v>1305</v>
      </c>
    </row>
    <row r="2106" ht="16.5" customHeight="1" spans="1:8">
      <c r="A2106" s="3">
        <v>2105</v>
      </c>
      <c r="B2106" s="3" t="s">
        <v>5376</v>
      </c>
      <c r="C2106" s="3" t="s">
        <v>2163</v>
      </c>
      <c r="D2106" s="4" t="s">
        <v>5377</v>
      </c>
      <c r="E2106" s="3" t="s">
        <v>1076</v>
      </c>
      <c r="F2106" s="3" t="s">
        <v>2105</v>
      </c>
      <c r="G2106" s="3" t="s">
        <v>321</v>
      </c>
      <c r="H2106" s="4" t="s">
        <v>1359</v>
      </c>
    </row>
    <row r="2107" ht="16.5" customHeight="1" spans="1:8">
      <c r="A2107" s="3">
        <v>2106</v>
      </c>
      <c r="B2107" s="3" t="s">
        <v>5378</v>
      </c>
      <c r="C2107" s="3" t="s">
        <v>1074</v>
      </c>
      <c r="D2107" s="4" t="s">
        <v>5379</v>
      </c>
      <c r="E2107" s="3" t="s">
        <v>2726</v>
      </c>
      <c r="F2107" s="3" t="s">
        <v>4668</v>
      </c>
      <c r="G2107" s="3"/>
      <c r="H2107" s="4" t="s">
        <v>1305</v>
      </c>
    </row>
    <row r="2108" ht="16.5" customHeight="1" spans="1:8">
      <c r="A2108" s="3">
        <v>2107</v>
      </c>
      <c r="B2108" s="3" t="s">
        <v>5380</v>
      </c>
      <c r="C2108" s="3" t="s">
        <v>2163</v>
      </c>
      <c r="D2108" s="4" t="s">
        <v>5381</v>
      </c>
      <c r="E2108" s="3" t="s">
        <v>1076</v>
      </c>
      <c r="F2108" s="3" t="s">
        <v>2105</v>
      </c>
      <c r="G2108" s="3" t="s">
        <v>321</v>
      </c>
      <c r="H2108" s="4" t="s">
        <v>1305</v>
      </c>
    </row>
    <row r="2109" ht="16.5" customHeight="1" spans="1:8">
      <c r="A2109" s="3">
        <v>2108</v>
      </c>
      <c r="B2109" s="3" t="s">
        <v>5382</v>
      </c>
      <c r="C2109" s="3" t="s">
        <v>2163</v>
      </c>
      <c r="D2109" s="4" t="s">
        <v>5383</v>
      </c>
      <c r="E2109" s="3" t="s">
        <v>1076</v>
      </c>
      <c r="F2109" s="3" t="s">
        <v>2105</v>
      </c>
      <c r="G2109" s="3" t="s">
        <v>321</v>
      </c>
      <c r="H2109" s="4" t="s">
        <v>1305</v>
      </c>
    </row>
    <row r="2110" ht="16.5" customHeight="1" spans="1:8">
      <c r="A2110" s="3">
        <v>2109</v>
      </c>
      <c r="B2110" s="3" t="s">
        <v>5384</v>
      </c>
      <c r="C2110" s="3" t="s">
        <v>2163</v>
      </c>
      <c r="D2110" s="4" t="s">
        <v>5385</v>
      </c>
      <c r="E2110" s="3" t="s">
        <v>1076</v>
      </c>
      <c r="F2110" s="3" t="s">
        <v>4154</v>
      </c>
      <c r="G2110" s="3"/>
      <c r="H2110" s="4" t="s">
        <v>4198</v>
      </c>
    </row>
    <row r="2111" ht="16.5" customHeight="1" spans="1:8">
      <c r="A2111" s="3">
        <v>2110</v>
      </c>
      <c r="B2111" s="3" t="s">
        <v>5386</v>
      </c>
      <c r="C2111" s="3" t="s">
        <v>2163</v>
      </c>
      <c r="D2111" s="4" t="s">
        <v>5387</v>
      </c>
      <c r="E2111" s="3" t="s">
        <v>1076</v>
      </c>
      <c r="F2111" s="3" t="s">
        <v>2105</v>
      </c>
      <c r="G2111" s="3" t="s">
        <v>321</v>
      </c>
      <c r="H2111" s="4" t="s">
        <v>1305</v>
      </c>
    </row>
    <row r="2112" ht="16.5" customHeight="1" spans="1:8">
      <c r="A2112" s="3">
        <v>2111</v>
      </c>
      <c r="B2112" s="3" t="s">
        <v>5388</v>
      </c>
      <c r="C2112" s="3" t="s">
        <v>2163</v>
      </c>
      <c r="D2112" s="4" t="s">
        <v>5389</v>
      </c>
      <c r="E2112" s="3" t="s">
        <v>1076</v>
      </c>
      <c r="F2112" s="3" t="s">
        <v>2105</v>
      </c>
      <c r="G2112" s="3" t="s">
        <v>321</v>
      </c>
      <c r="H2112" s="4" t="s">
        <v>1305</v>
      </c>
    </row>
    <row r="2113" ht="16.5" customHeight="1" spans="1:8">
      <c r="A2113" s="3">
        <v>2112</v>
      </c>
      <c r="B2113" s="3" t="s">
        <v>5390</v>
      </c>
      <c r="C2113" s="3" t="s">
        <v>2163</v>
      </c>
      <c r="D2113" s="4" t="s">
        <v>5391</v>
      </c>
      <c r="E2113" s="3" t="s">
        <v>1076</v>
      </c>
      <c r="F2113" s="3" t="s">
        <v>4154</v>
      </c>
      <c r="G2113" s="3"/>
      <c r="H2113" s="4" t="s">
        <v>4198</v>
      </c>
    </row>
    <row r="2114" ht="16.5" customHeight="1" spans="1:8">
      <c r="A2114" s="3">
        <v>2113</v>
      </c>
      <c r="B2114" s="3" t="s">
        <v>5392</v>
      </c>
      <c r="C2114" s="3" t="s">
        <v>1356</v>
      </c>
      <c r="D2114" s="4" t="s">
        <v>5393</v>
      </c>
      <c r="E2114" s="3" t="s">
        <v>1076</v>
      </c>
      <c r="F2114" s="3" t="s">
        <v>1736</v>
      </c>
      <c r="G2114" s="3"/>
      <c r="H2114" s="4" t="s">
        <v>2050</v>
      </c>
    </row>
    <row r="2115" ht="16.5" customHeight="1" spans="1:8">
      <c r="A2115" s="3">
        <v>2114</v>
      </c>
      <c r="B2115" s="3" t="s">
        <v>5394</v>
      </c>
      <c r="C2115" s="3" t="s">
        <v>1356</v>
      </c>
      <c r="D2115" s="4" t="s">
        <v>5395</v>
      </c>
      <c r="E2115" s="3" t="s">
        <v>1218</v>
      </c>
      <c r="F2115" s="3" t="s">
        <v>1736</v>
      </c>
      <c r="G2115" s="3"/>
      <c r="H2115" s="4" t="s">
        <v>5396</v>
      </c>
    </row>
    <row r="2116" ht="16.5" customHeight="1" spans="1:8">
      <c r="A2116" s="3">
        <v>2115</v>
      </c>
      <c r="B2116" s="3" t="s">
        <v>5397</v>
      </c>
      <c r="C2116" s="3" t="s">
        <v>2163</v>
      </c>
      <c r="D2116" s="4" t="s">
        <v>5398</v>
      </c>
      <c r="E2116" s="3" t="s">
        <v>1076</v>
      </c>
      <c r="F2116" s="3" t="s">
        <v>4154</v>
      </c>
      <c r="G2116" s="3"/>
      <c r="H2116" s="4" t="s">
        <v>4198</v>
      </c>
    </row>
    <row r="2117" ht="16.5" customHeight="1" spans="1:8">
      <c r="A2117" s="3">
        <v>2116</v>
      </c>
      <c r="B2117" s="3" t="s">
        <v>5399</v>
      </c>
      <c r="C2117" s="3" t="s">
        <v>2163</v>
      </c>
      <c r="D2117" s="4" t="s">
        <v>5400</v>
      </c>
      <c r="E2117" s="3" t="s">
        <v>1076</v>
      </c>
      <c r="F2117" s="3" t="s">
        <v>4154</v>
      </c>
      <c r="G2117" s="3"/>
      <c r="H2117" s="4" t="s">
        <v>4198</v>
      </c>
    </row>
    <row r="2118" ht="16.5" customHeight="1" spans="1:8">
      <c r="A2118" s="3">
        <v>2117</v>
      </c>
      <c r="B2118" s="3" t="s">
        <v>5401</v>
      </c>
      <c r="C2118" s="3" t="s">
        <v>2163</v>
      </c>
      <c r="D2118" s="4" t="s">
        <v>5402</v>
      </c>
      <c r="E2118" s="3" t="s">
        <v>1076</v>
      </c>
      <c r="F2118" s="3" t="s">
        <v>4154</v>
      </c>
      <c r="G2118" s="3"/>
      <c r="H2118" s="4" t="s">
        <v>4198</v>
      </c>
    </row>
    <row r="2119" ht="16.5" customHeight="1" spans="1:8">
      <c r="A2119" s="3">
        <v>2118</v>
      </c>
      <c r="B2119" s="3" t="s">
        <v>5403</v>
      </c>
      <c r="C2119" s="3" t="s">
        <v>2163</v>
      </c>
      <c r="D2119" s="4" t="s">
        <v>5404</v>
      </c>
      <c r="E2119" s="3" t="s">
        <v>1076</v>
      </c>
      <c r="F2119" s="3" t="s">
        <v>4154</v>
      </c>
      <c r="G2119" s="3"/>
      <c r="H2119" s="4" t="s">
        <v>4198</v>
      </c>
    </row>
    <row r="2120" ht="16.5" customHeight="1" spans="1:8">
      <c r="A2120" s="3">
        <v>2119</v>
      </c>
      <c r="B2120" s="3" t="s">
        <v>5405</v>
      </c>
      <c r="C2120" s="3" t="s">
        <v>2163</v>
      </c>
      <c r="D2120" s="4" t="s">
        <v>5406</v>
      </c>
      <c r="E2120" s="3" t="s">
        <v>1076</v>
      </c>
      <c r="F2120" s="3" t="s">
        <v>4154</v>
      </c>
      <c r="G2120" s="3"/>
      <c r="H2120" s="4" t="s">
        <v>4198</v>
      </c>
    </row>
    <row r="2121" ht="16.5" customHeight="1" spans="1:8">
      <c r="A2121" s="3">
        <v>2120</v>
      </c>
      <c r="B2121" s="3" t="s">
        <v>5407</v>
      </c>
      <c r="C2121" s="3" t="s">
        <v>2163</v>
      </c>
      <c r="D2121" s="4" t="s">
        <v>5408</v>
      </c>
      <c r="E2121" s="3" t="s">
        <v>1076</v>
      </c>
      <c r="F2121" s="3" t="s">
        <v>4154</v>
      </c>
      <c r="G2121" s="3"/>
      <c r="H2121" s="4" t="s">
        <v>4198</v>
      </c>
    </row>
    <row r="2122" ht="16.5" customHeight="1" spans="1:8">
      <c r="A2122" s="3">
        <v>2121</v>
      </c>
      <c r="B2122" s="3" t="s">
        <v>5409</v>
      </c>
      <c r="C2122" s="3" t="s">
        <v>2163</v>
      </c>
      <c r="D2122" s="4" t="s">
        <v>5410</v>
      </c>
      <c r="E2122" s="3" t="s">
        <v>1076</v>
      </c>
      <c r="F2122" s="3" t="s">
        <v>4154</v>
      </c>
      <c r="G2122" s="3"/>
      <c r="H2122" s="4" t="s">
        <v>4198</v>
      </c>
    </row>
    <row r="2123" ht="16.5" customHeight="1" spans="1:8">
      <c r="A2123" s="3">
        <v>2122</v>
      </c>
      <c r="B2123" s="3" t="s">
        <v>5411</v>
      </c>
      <c r="C2123" s="3" t="s">
        <v>1356</v>
      </c>
      <c r="D2123" s="4" t="s">
        <v>5412</v>
      </c>
      <c r="E2123" s="3" t="s">
        <v>1076</v>
      </c>
      <c r="F2123" s="3" t="s">
        <v>1152</v>
      </c>
      <c r="G2123" s="3"/>
      <c r="H2123" s="4" t="s">
        <v>1359</v>
      </c>
    </row>
    <row r="2124" ht="16.5" customHeight="1" spans="1:8">
      <c r="A2124" s="3">
        <v>2123</v>
      </c>
      <c r="B2124" s="3" t="s">
        <v>5413</v>
      </c>
      <c r="C2124" s="3" t="s">
        <v>2163</v>
      </c>
      <c r="D2124" s="4" t="s">
        <v>5414</v>
      </c>
      <c r="E2124" s="3" t="s">
        <v>1076</v>
      </c>
      <c r="F2124" s="3" t="s">
        <v>2041</v>
      </c>
      <c r="G2124" s="3" t="s">
        <v>321</v>
      </c>
      <c r="H2124" s="4" t="s">
        <v>1843</v>
      </c>
    </row>
    <row r="2125" ht="16.5" customHeight="1" spans="1:8">
      <c r="A2125" s="3">
        <v>2124</v>
      </c>
      <c r="B2125" s="3" t="s">
        <v>5415</v>
      </c>
      <c r="C2125" s="3" t="s">
        <v>2163</v>
      </c>
      <c r="D2125" s="4" t="s">
        <v>5416</v>
      </c>
      <c r="E2125" s="3" t="s">
        <v>1076</v>
      </c>
      <c r="F2125" s="3" t="s">
        <v>2041</v>
      </c>
      <c r="G2125" s="3" t="s">
        <v>321</v>
      </c>
      <c r="H2125" s="4" t="s">
        <v>4005</v>
      </c>
    </row>
    <row r="2126" ht="16.5" customHeight="1" spans="1:8">
      <c r="A2126" s="3">
        <v>2125</v>
      </c>
      <c r="B2126" s="3" t="s">
        <v>125</v>
      </c>
      <c r="C2126" s="3" t="s">
        <v>1356</v>
      </c>
      <c r="D2126" s="4" t="s">
        <v>124</v>
      </c>
      <c r="E2126" s="3" t="s">
        <v>1076</v>
      </c>
      <c r="F2126" s="3" t="s">
        <v>4668</v>
      </c>
      <c r="G2126" s="3"/>
      <c r="H2126" s="4" t="s">
        <v>1359</v>
      </c>
    </row>
    <row r="2127" ht="16.5" customHeight="1" spans="1:8">
      <c r="A2127" s="3">
        <v>2126</v>
      </c>
      <c r="B2127" s="3" t="s">
        <v>5417</v>
      </c>
      <c r="C2127" s="3" t="s">
        <v>1356</v>
      </c>
      <c r="D2127" s="4" t="s">
        <v>5418</v>
      </c>
      <c r="E2127" s="3" t="s">
        <v>1218</v>
      </c>
      <c r="F2127" s="3" t="s">
        <v>4668</v>
      </c>
      <c r="G2127" s="3"/>
      <c r="H2127" s="4" t="s">
        <v>2050</v>
      </c>
    </row>
    <row r="2128" ht="16.5" customHeight="1" spans="1:8">
      <c r="A2128" s="3">
        <v>2127</v>
      </c>
      <c r="B2128" s="3" t="s">
        <v>5419</v>
      </c>
      <c r="C2128" s="3" t="s">
        <v>2163</v>
      </c>
      <c r="D2128" s="4" t="s">
        <v>5420</v>
      </c>
      <c r="E2128" s="3" t="s">
        <v>1076</v>
      </c>
      <c r="F2128" s="3" t="s">
        <v>2041</v>
      </c>
      <c r="G2128" s="3" t="s">
        <v>321</v>
      </c>
      <c r="H2128" s="4" t="s">
        <v>1843</v>
      </c>
    </row>
    <row r="2129" ht="16.5" customHeight="1" spans="1:8">
      <c r="A2129" s="3">
        <v>2128</v>
      </c>
      <c r="B2129" s="3" t="s">
        <v>5421</v>
      </c>
      <c r="C2129" s="3" t="s">
        <v>2163</v>
      </c>
      <c r="D2129" s="4" t="s">
        <v>5422</v>
      </c>
      <c r="E2129" s="3" t="s">
        <v>1076</v>
      </c>
      <c r="F2129" s="3" t="s">
        <v>2105</v>
      </c>
      <c r="G2129" s="3" t="s">
        <v>321</v>
      </c>
      <c r="H2129" s="4" t="s">
        <v>1305</v>
      </c>
    </row>
    <row r="2130" ht="16.5" customHeight="1" spans="1:8">
      <c r="A2130" s="3">
        <v>2129</v>
      </c>
      <c r="B2130" s="3" t="s">
        <v>5423</v>
      </c>
      <c r="C2130" s="3" t="s">
        <v>2163</v>
      </c>
      <c r="D2130" s="4" t="s">
        <v>5424</v>
      </c>
      <c r="E2130" s="3" t="s">
        <v>1076</v>
      </c>
      <c r="F2130" s="3" t="s">
        <v>2105</v>
      </c>
      <c r="G2130" s="3" t="s">
        <v>321</v>
      </c>
      <c r="H2130" s="4" t="s">
        <v>1305</v>
      </c>
    </row>
    <row r="2131" ht="16.5" customHeight="1" spans="1:8">
      <c r="A2131" s="3">
        <v>2130</v>
      </c>
      <c r="B2131" s="3" t="s">
        <v>5425</v>
      </c>
      <c r="C2131" s="3" t="s">
        <v>2163</v>
      </c>
      <c r="D2131" s="4" t="s">
        <v>5426</v>
      </c>
      <c r="E2131" s="3" t="s">
        <v>1076</v>
      </c>
      <c r="F2131" s="3" t="s">
        <v>4107</v>
      </c>
      <c r="G2131" s="3"/>
      <c r="H2131" s="4" t="s">
        <v>1359</v>
      </c>
    </row>
    <row r="2132" ht="16.5" customHeight="1" spans="1:8">
      <c r="A2132" s="3">
        <v>2131</v>
      </c>
      <c r="B2132" s="3" t="s">
        <v>5427</v>
      </c>
      <c r="C2132" s="3" t="s">
        <v>2163</v>
      </c>
      <c r="D2132" s="4" t="s">
        <v>5428</v>
      </c>
      <c r="E2132" s="3" t="s">
        <v>1076</v>
      </c>
      <c r="F2132" s="3" t="s">
        <v>4107</v>
      </c>
      <c r="G2132" s="3"/>
      <c r="H2132" s="4" t="s">
        <v>1359</v>
      </c>
    </row>
    <row r="2133" ht="16.5" customHeight="1" spans="1:8">
      <c r="A2133" s="3">
        <v>2132</v>
      </c>
      <c r="B2133" s="3" t="s">
        <v>5429</v>
      </c>
      <c r="C2133" s="3" t="s">
        <v>2163</v>
      </c>
      <c r="D2133" s="4" t="s">
        <v>5430</v>
      </c>
      <c r="E2133" s="3" t="s">
        <v>1076</v>
      </c>
      <c r="F2133" s="3" t="s">
        <v>4107</v>
      </c>
      <c r="G2133" s="3"/>
      <c r="H2133" s="4" t="s">
        <v>1843</v>
      </c>
    </row>
    <row r="2134" ht="16.5" customHeight="1" spans="1:8">
      <c r="A2134" s="3">
        <v>2133</v>
      </c>
      <c r="B2134" s="3" t="s">
        <v>5431</v>
      </c>
      <c r="C2134" s="3" t="s">
        <v>2163</v>
      </c>
      <c r="D2134" s="4" t="s">
        <v>5432</v>
      </c>
      <c r="E2134" s="3" t="s">
        <v>1076</v>
      </c>
      <c r="F2134" s="3" t="s">
        <v>4107</v>
      </c>
      <c r="G2134" s="3"/>
      <c r="H2134" s="4" t="s">
        <v>1305</v>
      </c>
    </row>
    <row r="2135" ht="16.5" customHeight="1" spans="1:8">
      <c r="A2135" s="3">
        <v>2134</v>
      </c>
      <c r="B2135" s="3" t="s">
        <v>5433</v>
      </c>
      <c r="C2135" s="3" t="s">
        <v>2163</v>
      </c>
      <c r="D2135" s="4" t="s">
        <v>5434</v>
      </c>
      <c r="E2135" s="3" t="s">
        <v>1076</v>
      </c>
      <c r="F2135" s="3" t="s">
        <v>4107</v>
      </c>
      <c r="G2135" s="3"/>
      <c r="H2135" s="4" t="s">
        <v>1359</v>
      </c>
    </row>
    <row r="2136" ht="16.5" customHeight="1" spans="1:8">
      <c r="A2136" s="3">
        <v>2135</v>
      </c>
      <c r="B2136" s="3" t="s">
        <v>5435</v>
      </c>
      <c r="C2136" s="3" t="s">
        <v>2163</v>
      </c>
      <c r="D2136" s="4" t="s">
        <v>5436</v>
      </c>
      <c r="E2136" s="3" t="s">
        <v>1076</v>
      </c>
      <c r="F2136" s="3" t="s">
        <v>4107</v>
      </c>
      <c r="G2136" s="3"/>
      <c r="H2136" s="4" t="s">
        <v>1359</v>
      </c>
    </row>
    <row r="2137" ht="16.5" customHeight="1" spans="1:8">
      <c r="A2137" s="3">
        <v>2136</v>
      </c>
      <c r="B2137" s="3" t="s">
        <v>5437</v>
      </c>
      <c r="C2137" s="3" t="s">
        <v>2163</v>
      </c>
      <c r="D2137" s="4" t="s">
        <v>5438</v>
      </c>
      <c r="E2137" s="3" t="s">
        <v>1076</v>
      </c>
      <c r="F2137" s="3" t="s">
        <v>4107</v>
      </c>
      <c r="G2137" s="3"/>
      <c r="H2137" s="4" t="s">
        <v>1305</v>
      </c>
    </row>
    <row r="2138" ht="16.5" customHeight="1" spans="1:8">
      <c r="A2138" s="3">
        <v>2137</v>
      </c>
      <c r="B2138" s="3" t="s">
        <v>5439</v>
      </c>
      <c r="C2138" s="3" t="s">
        <v>2163</v>
      </c>
      <c r="D2138" s="4" t="s">
        <v>5440</v>
      </c>
      <c r="E2138" s="3" t="s">
        <v>1076</v>
      </c>
      <c r="F2138" s="3" t="s">
        <v>4154</v>
      </c>
      <c r="G2138" s="3"/>
      <c r="H2138" s="4" t="s">
        <v>4198</v>
      </c>
    </row>
    <row r="2139" ht="16.5" customHeight="1" spans="1:8">
      <c r="A2139" s="3">
        <v>2138</v>
      </c>
      <c r="B2139" s="3" t="s">
        <v>5441</v>
      </c>
      <c r="C2139" s="3" t="s">
        <v>2163</v>
      </c>
      <c r="D2139" s="4" t="s">
        <v>5442</v>
      </c>
      <c r="E2139" s="3" t="s">
        <v>1076</v>
      </c>
      <c r="F2139" s="3" t="s">
        <v>4154</v>
      </c>
      <c r="G2139" s="3"/>
      <c r="H2139" s="4" t="s">
        <v>4198</v>
      </c>
    </row>
    <row r="2140" ht="16.5" customHeight="1" spans="1:8">
      <c r="A2140" s="3">
        <v>2139</v>
      </c>
      <c r="B2140" s="3" t="s">
        <v>5443</v>
      </c>
      <c r="C2140" s="3" t="s">
        <v>2163</v>
      </c>
      <c r="D2140" s="4" t="s">
        <v>5444</v>
      </c>
      <c r="E2140" s="3" t="s">
        <v>1076</v>
      </c>
      <c r="F2140" s="3" t="s">
        <v>2041</v>
      </c>
      <c r="G2140" s="3" t="s">
        <v>321</v>
      </c>
      <c r="H2140" s="4" t="s">
        <v>4005</v>
      </c>
    </row>
    <row r="2141" ht="16.5" customHeight="1" spans="1:8">
      <c r="A2141" s="3">
        <v>2140</v>
      </c>
      <c r="B2141" s="3" t="s">
        <v>5445</v>
      </c>
      <c r="C2141" s="3" t="s">
        <v>2163</v>
      </c>
      <c r="D2141" s="4" t="s">
        <v>5446</v>
      </c>
      <c r="E2141" s="3" t="s">
        <v>1076</v>
      </c>
      <c r="F2141" s="3" t="s">
        <v>4154</v>
      </c>
      <c r="G2141" s="3"/>
      <c r="H2141" s="4" t="s">
        <v>4198</v>
      </c>
    </row>
    <row r="2142" ht="16.5" customHeight="1" spans="1:8">
      <c r="A2142" s="3">
        <v>2141</v>
      </c>
      <c r="B2142" s="3" t="s">
        <v>5447</v>
      </c>
      <c r="C2142" s="3" t="s">
        <v>1356</v>
      </c>
      <c r="D2142" s="4" t="s">
        <v>5448</v>
      </c>
      <c r="E2142" s="3" t="s">
        <v>1076</v>
      </c>
      <c r="F2142" s="3" t="s">
        <v>1358</v>
      </c>
      <c r="G2142" s="3"/>
      <c r="H2142" s="4" t="s">
        <v>1359</v>
      </c>
    </row>
    <row r="2143" ht="16.5" customHeight="1" spans="1:8">
      <c r="A2143" s="3">
        <v>2142</v>
      </c>
      <c r="B2143" s="3" t="s">
        <v>5449</v>
      </c>
      <c r="C2143" s="3" t="s">
        <v>1356</v>
      </c>
      <c r="D2143" s="4" t="s">
        <v>5450</v>
      </c>
      <c r="E2143" s="3" t="s">
        <v>1076</v>
      </c>
      <c r="F2143" s="3" t="s">
        <v>1358</v>
      </c>
      <c r="G2143" s="3"/>
      <c r="H2143" s="4" t="s">
        <v>1359</v>
      </c>
    </row>
    <row r="2144" ht="16.5" customHeight="1" spans="1:8">
      <c r="A2144" s="3">
        <v>2143</v>
      </c>
      <c r="B2144" s="3" t="s">
        <v>5451</v>
      </c>
      <c r="C2144" s="3" t="s">
        <v>1356</v>
      </c>
      <c r="D2144" s="4" t="s">
        <v>5452</v>
      </c>
      <c r="E2144" s="3" t="s">
        <v>1076</v>
      </c>
      <c r="F2144" s="3" t="s">
        <v>1358</v>
      </c>
      <c r="G2144" s="3"/>
      <c r="H2144" s="4" t="s">
        <v>1843</v>
      </c>
    </row>
    <row r="2145" ht="16.5" customHeight="1" spans="1:8">
      <c r="A2145" s="3">
        <v>2144</v>
      </c>
      <c r="B2145" s="3" t="s">
        <v>5453</v>
      </c>
      <c r="C2145" s="3" t="s">
        <v>1356</v>
      </c>
      <c r="D2145" s="4" t="s">
        <v>5454</v>
      </c>
      <c r="E2145" s="3" t="s">
        <v>1076</v>
      </c>
      <c r="F2145" s="3" t="s">
        <v>1358</v>
      </c>
      <c r="G2145" s="3"/>
      <c r="H2145" s="4" t="s">
        <v>1843</v>
      </c>
    </row>
    <row r="2146" ht="16.5" customHeight="1" spans="1:8">
      <c r="A2146" s="3">
        <v>2145</v>
      </c>
      <c r="B2146" s="3" t="s">
        <v>5455</v>
      </c>
      <c r="C2146" s="3" t="s">
        <v>1356</v>
      </c>
      <c r="D2146" s="4" t="s">
        <v>5456</v>
      </c>
      <c r="E2146" s="3" t="s">
        <v>1076</v>
      </c>
      <c r="F2146" s="3" t="s">
        <v>1358</v>
      </c>
      <c r="G2146" s="3"/>
      <c r="H2146" s="4" t="s">
        <v>4005</v>
      </c>
    </row>
    <row r="2147" ht="16.5" customHeight="1" spans="1:8">
      <c r="A2147" s="3">
        <v>2146</v>
      </c>
      <c r="B2147" s="3" t="s">
        <v>5457</v>
      </c>
      <c r="C2147" s="3" t="s">
        <v>1356</v>
      </c>
      <c r="D2147" s="4" t="s">
        <v>5458</v>
      </c>
      <c r="E2147" s="3" t="s">
        <v>1076</v>
      </c>
      <c r="F2147" s="3" t="s">
        <v>1358</v>
      </c>
      <c r="G2147" s="3"/>
      <c r="H2147" s="4" t="s">
        <v>4005</v>
      </c>
    </row>
    <row r="2148" ht="16.5" customHeight="1" spans="1:8">
      <c r="A2148" s="3">
        <v>2147</v>
      </c>
      <c r="B2148" s="3" t="s">
        <v>5459</v>
      </c>
      <c r="C2148" s="3" t="s">
        <v>2163</v>
      </c>
      <c r="D2148" s="4" t="s">
        <v>5460</v>
      </c>
      <c r="E2148" s="3" t="s">
        <v>2263</v>
      </c>
      <c r="F2148" s="3" t="s">
        <v>4107</v>
      </c>
      <c r="G2148" s="3"/>
      <c r="H2148" s="4" t="s">
        <v>1359</v>
      </c>
    </row>
    <row r="2149" ht="16.5" customHeight="1" spans="1:8">
      <c r="A2149" s="3">
        <v>2148</v>
      </c>
      <c r="B2149" s="3" t="s">
        <v>5461</v>
      </c>
      <c r="C2149" s="3" t="s">
        <v>1356</v>
      </c>
      <c r="D2149" s="4" t="s">
        <v>5462</v>
      </c>
      <c r="E2149" s="3" t="s">
        <v>1076</v>
      </c>
      <c r="F2149" s="3" t="s">
        <v>1358</v>
      </c>
      <c r="G2149" s="3"/>
      <c r="H2149" s="4" t="s">
        <v>1359</v>
      </c>
    </row>
    <row r="2150" ht="16.5" customHeight="1" spans="1:8">
      <c r="A2150" s="3">
        <v>2149</v>
      </c>
      <c r="B2150" s="3" t="s">
        <v>5463</v>
      </c>
      <c r="C2150" s="3" t="s">
        <v>1361</v>
      </c>
      <c r="D2150" s="4" t="s">
        <v>5464</v>
      </c>
      <c r="E2150" s="3" t="s">
        <v>1218</v>
      </c>
      <c r="F2150" s="3" t="s">
        <v>2105</v>
      </c>
      <c r="G2150" s="3" t="s">
        <v>321</v>
      </c>
      <c r="H2150" s="4" t="s">
        <v>4005</v>
      </c>
    </row>
    <row r="2151" ht="16.5" customHeight="1" spans="1:8">
      <c r="A2151" s="3">
        <v>2150</v>
      </c>
      <c r="B2151" s="3" t="s">
        <v>5465</v>
      </c>
      <c r="C2151" s="3" t="s">
        <v>1361</v>
      </c>
      <c r="D2151" s="4" t="s">
        <v>5466</v>
      </c>
      <c r="E2151" s="3" t="s">
        <v>1218</v>
      </c>
      <c r="F2151" s="3" t="s">
        <v>2105</v>
      </c>
      <c r="G2151" s="3" t="s">
        <v>321</v>
      </c>
      <c r="H2151" s="4" t="s">
        <v>4005</v>
      </c>
    </row>
    <row r="2152" ht="16.5" customHeight="1" spans="1:8">
      <c r="A2152" s="3">
        <v>2151</v>
      </c>
      <c r="B2152" s="3" t="s">
        <v>5467</v>
      </c>
      <c r="C2152" s="3" t="s">
        <v>1361</v>
      </c>
      <c r="D2152" s="4" t="s">
        <v>5468</v>
      </c>
      <c r="E2152" s="3" t="s">
        <v>1218</v>
      </c>
      <c r="F2152" s="3" t="s">
        <v>2105</v>
      </c>
      <c r="G2152" s="3" t="s">
        <v>321</v>
      </c>
      <c r="H2152" s="4" t="s">
        <v>4005</v>
      </c>
    </row>
    <row r="2153" ht="16.5" customHeight="1" spans="1:8">
      <c r="A2153" s="3">
        <v>2152</v>
      </c>
      <c r="B2153" s="3" t="s">
        <v>5469</v>
      </c>
      <c r="C2153" s="3" t="s">
        <v>1361</v>
      </c>
      <c r="D2153" s="4" t="s">
        <v>5470</v>
      </c>
      <c r="E2153" s="3" t="s">
        <v>1218</v>
      </c>
      <c r="F2153" s="3" t="s">
        <v>2105</v>
      </c>
      <c r="G2153" s="3" t="s">
        <v>321</v>
      </c>
      <c r="H2153" s="4" t="s">
        <v>4005</v>
      </c>
    </row>
    <row r="2154" ht="16.5" customHeight="1" spans="1:8">
      <c r="A2154" s="3">
        <v>2153</v>
      </c>
      <c r="B2154" s="3" t="s">
        <v>5471</v>
      </c>
      <c r="C2154" s="3" t="s">
        <v>1361</v>
      </c>
      <c r="D2154" s="4" t="s">
        <v>5472</v>
      </c>
      <c r="E2154" s="3" t="s">
        <v>1218</v>
      </c>
      <c r="F2154" s="3" t="s">
        <v>2105</v>
      </c>
      <c r="G2154" s="3" t="s">
        <v>321</v>
      </c>
      <c r="H2154" s="4" t="s">
        <v>4005</v>
      </c>
    </row>
    <row r="2155" ht="16.5" customHeight="1" spans="1:8">
      <c r="A2155" s="3">
        <v>2154</v>
      </c>
      <c r="B2155" s="3" t="s">
        <v>5473</v>
      </c>
      <c r="C2155" s="3" t="s">
        <v>1361</v>
      </c>
      <c r="D2155" s="4" t="s">
        <v>5474</v>
      </c>
      <c r="E2155" s="3" t="s">
        <v>1218</v>
      </c>
      <c r="F2155" s="3" t="s">
        <v>2105</v>
      </c>
      <c r="G2155" s="3" t="s">
        <v>321</v>
      </c>
      <c r="H2155" s="4" t="s">
        <v>4005</v>
      </c>
    </row>
    <row r="2156" ht="16.5" customHeight="1" spans="1:8">
      <c r="A2156" s="3">
        <v>2155</v>
      </c>
      <c r="B2156" s="3" t="s">
        <v>5475</v>
      </c>
      <c r="C2156" s="3" t="s">
        <v>2163</v>
      </c>
      <c r="D2156" s="4" t="s">
        <v>5476</v>
      </c>
      <c r="E2156" s="3" t="s">
        <v>1076</v>
      </c>
      <c r="F2156" s="3" t="s">
        <v>1358</v>
      </c>
      <c r="G2156" s="3" t="s">
        <v>321</v>
      </c>
      <c r="H2156" s="4" t="s">
        <v>1305</v>
      </c>
    </row>
    <row r="2157" ht="16.5" customHeight="1" spans="1:8">
      <c r="A2157" s="3">
        <v>2156</v>
      </c>
      <c r="B2157" s="3" t="s">
        <v>5477</v>
      </c>
      <c r="C2157" s="3" t="s">
        <v>2163</v>
      </c>
      <c r="D2157" s="4" t="s">
        <v>5478</v>
      </c>
      <c r="E2157" s="3" t="s">
        <v>2263</v>
      </c>
      <c r="F2157" s="3" t="s">
        <v>4154</v>
      </c>
      <c r="G2157" s="3"/>
      <c r="H2157" s="4" t="s">
        <v>4198</v>
      </c>
    </row>
    <row r="2158" ht="16.5" customHeight="1" spans="1:8">
      <c r="A2158" s="3">
        <v>2157</v>
      </c>
      <c r="B2158" s="3" t="s">
        <v>5479</v>
      </c>
      <c r="C2158" s="3" t="s">
        <v>2163</v>
      </c>
      <c r="D2158" s="4" t="s">
        <v>5480</v>
      </c>
      <c r="E2158" s="3" t="s">
        <v>1076</v>
      </c>
      <c r="F2158" s="3" t="s">
        <v>4154</v>
      </c>
      <c r="G2158" s="3"/>
      <c r="H2158" s="4" t="s">
        <v>4198</v>
      </c>
    </row>
    <row r="2159" ht="16.5" customHeight="1" spans="1:8">
      <c r="A2159" s="3">
        <v>2158</v>
      </c>
      <c r="B2159" s="3" t="s">
        <v>5481</v>
      </c>
      <c r="C2159" s="3" t="s">
        <v>2163</v>
      </c>
      <c r="D2159" s="4" t="s">
        <v>5482</v>
      </c>
      <c r="E2159" s="3" t="s">
        <v>1076</v>
      </c>
      <c r="F2159" s="3" t="s">
        <v>4154</v>
      </c>
      <c r="G2159" s="3"/>
      <c r="H2159" s="4" t="s">
        <v>4198</v>
      </c>
    </row>
    <row r="2160" ht="16.5" customHeight="1" spans="1:8">
      <c r="A2160" s="3">
        <v>2159</v>
      </c>
      <c r="B2160" s="3" t="s">
        <v>5483</v>
      </c>
      <c r="C2160" s="3" t="s">
        <v>1356</v>
      </c>
      <c r="D2160" s="4" t="s">
        <v>5484</v>
      </c>
      <c r="E2160" s="3" t="s">
        <v>1076</v>
      </c>
      <c r="F2160" s="3" t="s">
        <v>1152</v>
      </c>
      <c r="G2160" s="3"/>
      <c r="H2160" s="4" t="s">
        <v>4198</v>
      </c>
    </row>
    <row r="2161" ht="16.5" customHeight="1" spans="1:8">
      <c r="A2161" s="3">
        <v>2160</v>
      </c>
      <c r="B2161" s="3" t="s">
        <v>5485</v>
      </c>
      <c r="C2161" s="3" t="s">
        <v>2163</v>
      </c>
      <c r="D2161" s="4" t="s">
        <v>5486</v>
      </c>
      <c r="E2161" s="3" t="s">
        <v>1076</v>
      </c>
      <c r="F2161" s="3" t="s">
        <v>2105</v>
      </c>
      <c r="G2161" s="3" t="s">
        <v>321</v>
      </c>
      <c r="H2161" s="4" t="s">
        <v>1095</v>
      </c>
    </row>
    <row r="2162" ht="16.5" customHeight="1" spans="1:8">
      <c r="A2162" s="3">
        <v>2161</v>
      </c>
      <c r="B2162" s="3" t="s">
        <v>5487</v>
      </c>
      <c r="C2162" s="3" t="s">
        <v>2163</v>
      </c>
      <c r="D2162" s="4" t="s">
        <v>5488</v>
      </c>
      <c r="E2162" s="3" t="s">
        <v>2263</v>
      </c>
      <c r="F2162" s="3" t="s">
        <v>4331</v>
      </c>
      <c r="G2162" s="3"/>
      <c r="H2162" s="4" t="s">
        <v>4005</v>
      </c>
    </row>
    <row r="2163" ht="16.5" customHeight="1" spans="1:8">
      <c r="A2163" s="3">
        <v>2162</v>
      </c>
      <c r="B2163" s="3" t="s">
        <v>5489</v>
      </c>
      <c r="C2163" s="3" t="s">
        <v>2163</v>
      </c>
      <c r="D2163" s="4" t="s">
        <v>5490</v>
      </c>
      <c r="E2163" s="3" t="s">
        <v>1076</v>
      </c>
      <c r="F2163" s="3" t="s">
        <v>2041</v>
      </c>
      <c r="G2163" s="3" t="s">
        <v>321</v>
      </c>
      <c r="H2163" s="4" t="s">
        <v>1305</v>
      </c>
    </row>
    <row r="2164" ht="16.5" customHeight="1" spans="1:8">
      <c r="A2164" s="3">
        <v>2163</v>
      </c>
      <c r="B2164" s="3" t="s">
        <v>5491</v>
      </c>
      <c r="C2164" s="3" t="s">
        <v>2163</v>
      </c>
      <c r="D2164" s="4" t="s">
        <v>5492</v>
      </c>
      <c r="E2164" s="3" t="s">
        <v>1076</v>
      </c>
      <c r="F2164" s="3" t="s">
        <v>4154</v>
      </c>
      <c r="G2164" s="3"/>
      <c r="H2164" s="4" t="s">
        <v>4198</v>
      </c>
    </row>
    <row r="2165" ht="16.5" customHeight="1" spans="1:8">
      <c r="A2165" s="3">
        <v>2164</v>
      </c>
      <c r="B2165" s="3" t="s">
        <v>5493</v>
      </c>
      <c r="C2165" s="3" t="s">
        <v>2163</v>
      </c>
      <c r="D2165" s="4" t="s">
        <v>5494</v>
      </c>
      <c r="E2165" s="3" t="s">
        <v>1076</v>
      </c>
      <c r="F2165" s="3" t="s">
        <v>2041</v>
      </c>
      <c r="G2165" s="3"/>
      <c r="H2165" s="4" t="s">
        <v>1095</v>
      </c>
    </row>
    <row r="2166" ht="16.5" customHeight="1" spans="1:8">
      <c r="A2166" s="3">
        <v>2165</v>
      </c>
      <c r="B2166" s="3" t="s">
        <v>5495</v>
      </c>
      <c r="C2166" s="3" t="s">
        <v>2163</v>
      </c>
      <c r="D2166" s="4" t="s">
        <v>5496</v>
      </c>
      <c r="E2166" s="3" t="s">
        <v>1076</v>
      </c>
      <c r="F2166" s="3" t="s">
        <v>4154</v>
      </c>
      <c r="G2166" s="3"/>
      <c r="H2166" s="4" t="s">
        <v>4198</v>
      </c>
    </row>
    <row r="2167" ht="16.5" customHeight="1" spans="1:8">
      <c r="A2167" s="3">
        <v>2166</v>
      </c>
      <c r="B2167" s="3" t="s">
        <v>5497</v>
      </c>
      <c r="C2167" s="3" t="s">
        <v>2163</v>
      </c>
      <c r="D2167" s="4" t="s">
        <v>5498</v>
      </c>
      <c r="E2167" s="3" t="s">
        <v>1076</v>
      </c>
      <c r="F2167" s="3" t="s">
        <v>4154</v>
      </c>
      <c r="G2167" s="3"/>
      <c r="H2167" s="4" t="s">
        <v>4198</v>
      </c>
    </row>
    <row r="2168" ht="16.5" customHeight="1" spans="1:8">
      <c r="A2168" s="3">
        <v>2167</v>
      </c>
      <c r="B2168" s="3" t="s">
        <v>5499</v>
      </c>
      <c r="C2168" s="3" t="s">
        <v>2163</v>
      </c>
      <c r="D2168" s="4" t="s">
        <v>5500</v>
      </c>
      <c r="E2168" s="3" t="s">
        <v>1076</v>
      </c>
      <c r="F2168" s="3" t="s">
        <v>2041</v>
      </c>
      <c r="G2168" s="3" t="s">
        <v>321</v>
      </c>
      <c r="H2168" s="4" t="s">
        <v>1308</v>
      </c>
    </row>
    <row r="2169" ht="16.5" customHeight="1" spans="1:8">
      <c r="A2169" s="3">
        <v>2168</v>
      </c>
      <c r="B2169" s="3" t="s">
        <v>5501</v>
      </c>
      <c r="C2169" s="3" t="s">
        <v>2163</v>
      </c>
      <c r="D2169" s="4" t="s">
        <v>5502</v>
      </c>
      <c r="E2169" s="3" t="s">
        <v>1076</v>
      </c>
      <c r="F2169" s="3" t="s">
        <v>4154</v>
      </c>
      <c r="G2169" s="3"/>
      <c r="H2169" s="4" t="s">
        <v>4198</v>
      </c>
    </row>
    <row r="2170" ht="16.5" customHeight="1" spans="1:8">
      <c r="A2170" s="3">
        <v>2169</v>
      </c>
      <c r="B2170" s="3" t="s">
        <v>5503</v>
      </c>
      <c r="C2170" s="3" t="s">
        <v>2163</v>
      </c>
      <c r="D2170" s="4" t="s">
        <v>5504</v>
      </c>
      <c r="E2170" s="3" t="s">
        <v>1076</v>
      </c>
      <c r="F2170" s="3" t="s">
        <v>4154</v>
      </c>
      <c r="G2170" s="3"/>
      <c r="H2170" s="4" t="s">
        <v>4198</v>
      </c>
    </row>
    <row r="2171" ht="16.5" customHeight="1" spans="1:8">
      <c r="A2171" s="3">
        <v>2170</v>
      </c>
      <c r="B2171" s="3" t="s">
        <v>5505</v>
      </c>
      <c r="C2171" s="3" t="s">
        <v>2163</v>
      </c>
      <c r="D2171" s="4" t="s">
        <v>5506</v>
      </c>
      <c r="E2171" s="3" t="s">
        <v>1076</v>
      </c>
      <c r="F2171" s="3" t="s">
        <v>4331</v>
      </c>
      <c r="G2171" s="3"/>
      <c r="H2171" s="4" t="s">
        <v>1095</v>
      </c>
    </row>
    <row r="2172" ht="16.5" customHeight="1" spans="1:8">
      <c r="A2172" s="3">
        <v>2171</v>
      </c>
      <c r="B2172" s="3" t="s">
        <v>5507</v>
      </c>
      <c r="C2172" s="3" t="s">
        <v>2163</v>
      </c>
      <c r="D2172" s="4" t="s">
        <v>5508</v>
      </c>
      <c r="E2172" s="3" t="s">
        <v>1076</v>
      </c>
      <c r="F2172" s="3" t="s">
        <v>2041</v>
      </c>
      <c r="G2172" s="3"/>
      <c r="H2172" s="4" t="s">
        <v>1368</v>
      </c>
    </row>
    <row r="2173" ht="16.5" customHeight="1" spans="1:8">
      <c r="A2173" s="3">
        <v>2172</v>
      </c>
      <c r="B2173" s="3" t="s">
        <v>5509</v>
      </c>
      <c r="C2173" s="3" t="s">
        <v>2163</v>
      </c>
      <c r="D2173" s="4" t="s">
        <v>5510</v>
      </c>
      <c r="E2173" s="3" t="s">
        <v>1076</v>
      </c>
      <c r="F2173" s="3" t="s">
        <v>2041</v>
      </c>
      <c r="G2173" s="3" t="s">
        <v>321</v>
      </c>
      <c r="H2173" s="4" t="s">
        <v>1305</v>
      </c>
    </row>
    <row r="2174" ht="16.5" customHeight="1" spans="1:8">
      <c r="A2174" s="3">
        <v>2173</v>
      </c>
      <c r="B2174" s="3" t="s">
        <v>5511</v>
      </c>
      <c r="C2174" s="3" t="s">
        <v>2163</v>
      </c>
      <c r="D2174" s="4" t="s">
        <v>5512</v>
      </c>
      <c r="E2174" s="3" t="s">
        <v>1076</v>
      </c>
      <c r="F2174" s="3" t="s">
        <v>2041</v>
      </c>
      <c r="G2174" s="3" t="s">
        <v>321</v>
      </c>
      <c r="H2174" s="4" t="s">
        <v>1305</v>
      </c>
    </row>
    <row r="2175" ht="16.5" customHeight="1" spans="1:8">
      <c r="A2175" s="3">
        <v>2174</v>
      </c>
      <c r="B2175" s="3" t="s">
        <v>5513</v>
      </c>
      <c r="C2175" s="3" t="s">
        <v>2163</v>
      </c>
      <c r="D2175" s="4" t="s">
        <v>5514</v>
      </c>
      <c r="E2175" s="3" t="s">
        <v>1076</v>
      </c>
      <c r="F2175" s="3" t="s">
        <v>2105</v>
      </c>
      <c r="G2175" s="3" t="s">
        <v>321</v>
      </c>
      <c r="H2175" s="4" t="s">
        <v>4005</v>
      </c>
    </row>
    <row r="2176" ht="16.5" customHeight="1" spans="1:8">
      <c r="A2176" s="3">
        <v>2175</v>
      </c>
      <c r="B2176" s="3" t="s">
        <v>5515</v>
      </c>
      <c r="C2176" s="3" t="s">
        <v>2163</v>
      </c>
      <c r="D2176" s="4" t="s">
        <v>5516</v>
      </c>
      <c r="E2176" s="3" t="s">
        <v>2263</v>
      </c>
      <c r="F2176" s="3" t="s">
        <v>2105</v>
      </c>
      <c r="G2176" s="3" t="s">
        <v>321</v>
      </c>
      <c r="H2176" s="4" t="s">
        <v>4005</v>
      </c>
    </row>
    <row r="2177" ht="16.5" customHeight="1" spans="1:8">
      <c r="A2177" s="3">
        <v>2176</v>
      </c>
      <c r="B2177" s="3" t="s">
        <v>5517</v>
      </c>
      <c r="C2177" s="3" t="s">
        <v>2163</v>
      </c>
      <c r="D2177" s="4" t="s">
        <v>5518</v>
      </c>
      <c r="E2177" s="3" t="s">
        <v>1076</v>
      </c>
      <c r="F2177" s="3" t="s">
        <v>2105</v>
      </c>
      <c r="G2177" s="3" t="s">
        <v>321</v>
      </c>
      <c r="H2177" s="4" t="s">
        <v>1843</v>
      </c>
    </row>
    <row r="2178" ht="16.5" customHeight="1" spans="1:8">
      <c r="A2178" s="3">
        <v>2177</v>
      </c>
      <c r="B2178" s="3" t="s">
        <v>5519</v>
      </c>
      <c r="C2178" s="3" t="s">
        <v>2163</v>
      </c>
      <c r="D2178" s="4" t="s">
        <v>5520</v>
      </c>
      <c r="E2178" s="3" t="s">
        <v>1076</v>
      </c>
      <c r="F2178" s="3" t="s">
        <v>2105</v>
      </c>
      <c r="G2178" s="3" t="s">
        <v>321</v>
      </c>
      <c r="H2178" s="4" t="s">
        <v>1843</v>
      </c>
    </row>
    <row r="2179" ht="16.5" customHeight="1" spans="1:8">
      <c r="A2179" s="3">
        <v>2178</v>
      </c>
      <c r="B2179" s="3" t="s">
        <v>5521</v>
      </c>
      <c r="C2179" s="3" t="s">
        <v>2163</v>
      </c>
      <c r="D2179" s="4" t="s">
        <v>5522</v>
      </c>
      <c r="E2179" s="3" t="s">
        <v>1076</v>
      </c>
      <c r="F2179" s="3" t="s">
        <v>2105</v>
      </c>
      <c r="G2179" s="3" t="s">
        <v>321</v>
      </c>
      <c r="H2179" s="4" t="s">
        <v>1843</v>
      </c>
    </row>
    <row r="2180" ht="16.5" customHeight="1" spans="1:8">
      <c r="A2180" s="3">
        <v>2179</v>
      </c>
      <c r="B2180" s="3" t="s">
        <v>5523</v>
      </c>
      <c r="C2180" s="3" t="s">
        <v>2163</v>
      </c>
      <c r="D2180" s="4" t="s">
        <v>5524</v>
      </c>
      <c r="E2180" s="3" t="s">
        <v>1076</v>
      </c>
      <c r="F2180" s="3" t="s">
        <v>2105</v>
      </c>
      <c r="G2180" s="3" t="s">
        <v>321</v>
      </c>
      <c r="H2180" s="4" t="s">
        <v>1843</v>
      </c>
    </row>
    <row r="2181" ht="16.5" customHeight="1" spans="1:8">
      <c r="A2181" s="3">
        <v>2180</v>
      </c>
      <c r="B2181" s="3" t="s">
        <v>5525</v>
      </c>
      <c r="C2181" s="3" t="s">
        <v>2163</v>
      </c>
      <c r="D2181" s="4" t="s">
        <v>5526</v>
      </c>
      <c r="E2181" s="3" t="s">
        <v>1076</v>
      </c>
      <c r="F2181" s="3" t="s">
        <v>2105</v>
      </c>
      <c r="G2181" s="3" t="s">
        <v>321</v>
      </c>
      <c r="H2181" s="4" t="s">
        <v>1843</v>
      </c>
    </row>
    <row r="2182" ht="16.5" customHeight="1" spans="1:8">
      <c r="A2182" s="3">
        <v>2181</v>
      </c>
      <c r="B2182" s="3" t="s">
        <v>5527</v>
      </c>
      <c r="C2182" s="3" t="s">
        <v>2163</v>
      </c>
      <c r="D2182" s="4" t="s">
        <v>5528</v>
      </c>
      <c r="E2182" s="3" t="s">
        <v>2263</v>
      </c>
      <c r="F2182" s="3" t="s">
        <v>2105</v>
      </c>
      <c r="G2182" s="3" t="s">
        <v>321</v>
      </c>
      <c r="H2182" s="4" t="s">
        <v>1305</v>
      </c>
    </row>
    <row r="2183" ht="16.5" customHeight="1" spans="1:8">
      <c r="A2183" s="3">
        <v>2182</v>
      </c>
      <c r="B2183" s="3" t="s">
        <v>5529</v>
      </c>
      <c r="C2183" s="3" t="s">
        <v>2163</v>
      </c>
      <c r="D2183" s="4" t="s">
        <v>5530</v>
      </c>
      <c r="E2183" s="3" t="s">
        <v>1076</v>
      </c>
      <c r="F2183" s="3" t="s">
        <v>1358</v>
      </c>
      <c r="G2183" s="3" t="s">
        <v>321</v>
      </c>
      <c r="H2183" s="4" t="s">
        <v>1095</v>
      </c>
    </row>
    <row r="2184" ht="16.5" customHeight="1" spans="1:8">
      <c r="A2184" s="3">
        <v>2183</v>
      </c>
      <c r="B2184" s="3" t="s">
        <v>5531</v>
      </c>
      <c r="C2184" s="3" t="s">
        <v>1356</v>
      </c>
      <c r="D2184" s="4" t="s">
        <v>5532</v>
      </c>
      <c r="E2184" s="3" t="s">
        <v>2726</v>
      </c>
      <c r="F2184" s="3" t="s">
        <v>1719</v>
      </c>
      <c r="G2184" s="3"/>
      <c r="H2184" s="4" t="s">
        <v>5533</v>
      </c>
    </row>
    <row r="2185" ht="16.5" customHeight="1" spans="1:8">
      <c r="A2185" s="3">
        <v>2184</v>
      </c>
      <c r="B2185" s="3" t="s">
        <v>5534</v>
      </c>
      <c r="C2185" s="3" t="s">
        <v>2163</v>
      </c>
      <c r="D2185" s="4" t="s">
        <v>5535</v>
      </c>
      <c r="E2185" s="3" t="s">
        <v>1076</v>
      </c>
      <c r="F2185" s="3" t="s">
        <v>4107</v>
      </c>
      <c r="G2185" s="3"/>
      <c r="H2185" s="4" t="s">
        <v>1359</v>
      </c>
    </row>
    <row r="2186" ht="16.5" customHeight="1" spans="1:8">
      <c r="A2186" s="3">
        <v>2185</v>
      </c>
      <c r="B2186" s="3" t="s">
        <v>5536</v>
      </c>
      <c r="C2186" s="3" t="s">
        <v>2163</v>
      </c>
      <c r="D2186" s="4" t="s">
        <v>5537</v>
      </c>
      <c r="E2186" s="3" t="s">
        <v>1076</v>
      </c>
      <c r="F2186" s="3" t="s">
        <v>4107</v>
      </c>
      <c r="G2186" s="3"/>
      <c r="H2186" s="4" t="s">
        <v>1359</v>
      </c>
    </row>
    <row r="2187" ht="16.5" customHeight="1" spans="1:8">
      <c r="A2187" s="3">
        <v>2186</v>
      </c>
      <c r="B2187" s="3" t="s">
        <v>5538</v>
      </c>
      <c r="C2187" s="3" t="s">
        <v>2163</v>
      </c>
      <c r="D2187" s="4" t="s">
        <v>5539</v>
      </c>
      <c r="E2187" s="3" t="s">
        <v>1076</v>
      </c>
      <c r="F2187" s="3" t="s">
        <v>1358</v>
      </c>
      <c r="G2187" s="3"/>
      <c r="H2187" s="4" t="s">
        <v>1359</v>
      </c>
    </row>
    <row r="2188" ht="16.5" customHeight="1" spans="1:8">
      <c r="A2188" s="3">
        <v>2187</v>
      </c>
      <c r="B2188" s="3" t="s">
        <v>5540</v>
      </c>
      <c r="C2188" s="3" t="s">
        <v>2163</v>
      </c>
      <c r="D2188" s="4" t="s">
        <v>5541</v>
      </c>
      <c r="E2188" s="3" t="s">
        <v>1076</v>
      </c>
      <c r="F2188" s="3" t="s">
        <v>1358</v>
      </c>
      <c r="G2188" s="3" t="s">
        <v>321</v>
      </c>
      <c r="H2188" s="4" t="s">
        <v>1095</v>
      </c>
    </row>
    <row r="2189" ht="16.5" customHeight="1" spans="1:8">
      <c r="A2189" s="3">
        <v>2188</v>
      </c>
      <c r="B2189" s="3" t="s">
        <v>5542</v>
      </c>
      <c r="C2189" s="3" t="s">
        <v>2163</v>
      </c>
      <c r="D2189" s="4" t="s">
        <v>5543</v>
      </c>
      <c r="E2189" s="3" t="s">
        <v>1076</v>
      </c>
      <c r="F2189" s="3" t="s">
        <v>1358</v>
      </c>
      <c r="G2189" s="3" t="s">
        <v>321</v>
      </c>
      <c r="H2189" s="4" t="s">
        <v>1368</v>
      </c>
    </row>
    <row r="2190" ht="16.5" customHeight="1" spans="1:8">
      <c r="A2190" s="3">
        <v>2189</v>
      </c>
      <c r="B2190" s="3" t="s">
        <v>5544</v>
      </c>
      <c r="C2190" s="3" t="s">
        <v>2163</v>
      </c>
      <c r="D2190" s="4" t="s">
        <v>5545</v>
      </c>
      <c r="E2190" s="3" t="s">
        <v>1076</v>
      </c>
      <c r="F2190" s="3" t="s">
        <v>1358</v>
      </c>
      <c r="G2190" s="3"/>
      <c r="H2190" s="4" t="s">
        <v>1359</v>
      </c>
    </row>
    <row r="2191" ht="16.5" customHeight="1" spans="1:8">
      <c r="A2191" s="3">
        <v>2190</v>
      </c>
      <c r="B2191" s="3" t="s">
        <v>5546</v>
      </c>
      <c r="C2191" s="3" t="s">
        <v>2163</v>
      </c>
      <c r="D2191" s="4" t="s">
        <v>5547</v>
      </c>
      <c r="E2191" s="3" t="s">
        <v>1076</v>
      </c>
      <c r="F2191" s="3" t="s">
        <v>2041</v>
      </c>
      <c r="G2191" s="3" t="s">
        <v>321</v>
      </c>
      <c r="H2191" s="4" t="s">
        <v>1359</v>
      </c>
    </row>
    <row r="2192" ht="16.5" customHeight="1" spans="1:8">
      <c r="A2192" s="3">
        <v>2191</v>
      </c>
      <c r="B2192" s="3" t="s">
        <v>5548</v>
      </c>
      <c r="C2192" s="3" t="s">
        <v>2163</v>
      </c>
      <c r="D2192" s="4" t="s">
        <v>5549</v>
      </c>
      <c r="E2192" s="3" t="s">
        <v>1076</v>
      </c>
      <c r="F2192" s="3" t="s">
        <v>2041</v>
      </c>
      <c r="G2192" s="3" t="s">
        <v>321</v>
      </c>
      <c r="H2192" s="4" t="s">
        <v>1359</v>
      </c>
    </row>
    <row r="2193" ht="16.5" customHeight="1" spans="1:8">
      <c r="A2193" s="3">
        <v>2192</v>
      </c>
      <c r="B2193" s="3" t="s">
        <v>5550</v>
      </c>
      <c r="C2193" s="3" t="s">
        <v>2163</v>
      </c>
      <c r="D2193" s="4" t="s">
        <v>5551</v>
      </c>
      <c r="E2193" s="3" t="s">
        <v>1076</v>
      </c>
      <c r="F2193" s="3" t="s">
        <v>2105</v>
      </c>
      <c r="G2193" s="3" t="s">
        <v>321</v>
      </c>
      <c r="H2193" s="4" t="s">
        <v>1305</v>
      </c>
    </row>
    <row r="2194" ht="16.5" customHeight="1" spans="1:8">
      <c r="A2194" s="3">
        <v>2193</v>
      </c>
      <c r="B2194" s="3" t="s">
        <v>5552</v>
      </c>
      <c r="C2194" s="3" t="s">
        <v>2163</v>
      </c>
      <c r="D2194" s="4" t="s">
        <v>5553</v>
      </c>
      <c r="E2194" s="3" t="s">
        <v>1076</v>
      </c>
      <c r="F2194" s="3" t="s">
        <v>2105</v>
      </c>
      <c r="G2194" s="3" t="s">
        <v>321</v>
      </c>
      <c r="H2194" s="4" t="s">
        <v>1305</v>
      </c>
    </row>
    <row r="2195" ht="16.5" customHeight="1" spans="1:8">
      <c r="A2195" s="3">
        <v>2194</v>
      </c>
      <c r="B2195" s="3" t="s">
        <v>5554</v>
      </c>
      <c r="C2195" s="3" t="s">
        <v>2163</v>
      </c>
      <c r="D2195" s="4" t="s">
        <v>5555</v>
      </c>
      <c r="E2195" s="3" t="s">
        <v>1076</v>
      </c>
      <c r="F2195" s="3" t="s">
        <v>2105</v>
      </c>
      <c r="G2195" s="3" t="s">
        <v>321</v>
      </c>
      <c r="H2195" s="4" t="s">
        <v>1305</v>
      </c>
    </row>
    <row r="2196" ht="16.5" customHeight="1" spans="1:8">
      <c r="A2196" s="3">
        <v>2195</v>
      </c>
      <c r="B2196" s="3" t="s">
        <v>5556</v>
      </c>
      <c r="C2196" s="3" t="s">
        <v>2163</v>
      </c>
      <c r="D2196" s="4" t="s">
        <v>5557</v>
      </c>
      <c r="E2196" s="3" t="s">
        <v>1076</v>
      </c>
      <c r="F2196" s="3" t="s">
        <v>2105</v>
      </c>
      <c r="G2196" s="3" t="s">
        <v>321</v>
      </c>
      <c r="H2196" s="4" t="s">
        <v>1305</v>
      </c>
    </row>
    <row r="2197" ht="16.5" customHeight="1" spans="1:8">
      <c r="A2197" s="3">
        <v>2196</v>
      </c>
      <c r="B2197" s="3" t="s">
        <v>5558</v>
      </c>
      <c r="C2197" s="3" t="s">
        <v>2163</v>
      </c>
      <c r="D2197" s="4" t="s">
        <v>5559</v>
      </c>
      <c r="E2197" s="3" t="s">
        <v>1076</v>
      </c>
      <c r="F2197" s="3" t="s">
        <v>2105</v>
      </c>
      <c r="G2197" s="3" t="s">
        <v>321</v>
      </c>
      <c r="H2197" s="4" t="s">
        <v>1305</v>
      </c>
    </row>
    <row r="2198" ht="16.5" customHeight="1" spans="1:8">
      <c r="A2198" s="3">
        <v>2197</v>
      </c>
      <c r="B2198" s="3" t="s">
        <v>5560</v>
      </c>
      <c r="C2198" s="3" t="s">
        <v>2163</v>
      </c>
      <c r="D2198" s="4" t="s">
        <v>5561</v>
      </c>
      <c r="E2198" s="3" t="s">
        <v>1076</v>
      </c>
      <c r="F2198" s="3" t="s">
        <v>2105</v>
      </c>
      <c r="G2198" s="3" t="s">
        <v>321</v>
      </c>
      <c r="H2198" s="4" t="s">
        <v>1305</v>
      </c>
    </row>
    <row r="2199" ht="16.5" customHeight="1" spans="1:8">
      <c r="A2199" s="3">
        <v>2198</v>
      </c>
      <c r="B2199" s="3" t="s">
        <v>5562</v>
      </c>
      <c r="C2199" s="3" t="s">
        <v>2163</v>
      </c>
      <c r="D2199" s="4" t="s">
        <v>5563</v>
      </c>
      <c r="E2199" s="3" t="s">
        <v>1076</v>
      </c>
      <c r="F2199" s="3" t="s">
        <v>2105</v>
      </c>
      <c r="G2199" s="3" t="s">
        <v>321</v>
      </c>
      <c r="H2199" s="4" t="s">
        <v>1305</v>
      </c>
    </row>
    <row r="2200" ht="16.5" customHeight="1" spans="1:8">
      <c r="A2200" s="3">
        <v>2199</v>
      </c>
      <c r="B2200" s="3" t="s">
        <v>5564</v>
      </c>
      <c r="C2200" s="3" t="s">
        <v>2163</v>
      </c>
      <c r="D2200" s="4" t="s">
        <v>5565</v>
      </c>
      <c r="E2200" s="3" t="s">
        <v>1076</v>
      </c>
      <c r="F2200" s="3" t="s">
        <v>2105</v>
      </c>
      <c r="G2200" s="3" t="s">
        <v>321</v>
      </c>
      <c r="H2200" s="4" t="s">
        <v>1305</v>
      </c>
    </row>
    <row r="2201" ht="16.5" customHeight="1" spans="1:8">
      <c r="A2201" s="3">
        <v>2200</v>
      </c>
      <c r="B2201" s="3" t="s">
        <v>5566</v>
      </c>
      <c r="C2201" s="3" t="s">
        <v>1356</v>
      </c>
      <c r="D2201" s="4" t="s">
        <v>5567</v>
      </c>
      <c r="E2201" s="3" t="s">
        <v>1076</v>
      </c>
      <c r="F2201" s="3" t="s">
        <v>1358</v>
      </c>
      <c r="G2201" s="3" t="s">
        <v>321</v>
      </c>
      <c r="H2201" s="4" t="s">
        <v>1359</v>
      </c>
    </row>
    <row r="2202" ht="16.5" customHeight="1" spans="1:8">
      <c r="A2202" s="3">
        <v>2201</v>
      </c>
      <c r="B2202" s="3" t="s">
        <v>5568</v>
      </c>
      <c r="C2202" s="3" t="s">
        <v>1356</v>
      </c>
      <c r="D2202" s="4" t="s">
        <v>5569</v>
      </c>
      <c r="E2202" s="3" t="s">
        <v>1076</v>
      </c>
      <c r="F2202" s="3" t="s">
        <v>1358</v>
      </c>
      <c r="G2202" s="3" t="s">
        <v>321</v>
      </c>
      <c r="H2202" s="4" t="s">
        <v>4117</v>
      </c>
    </row>
    <row r="2203" ht="16.5" customHeight="1" spans="1:8">
      <c r="A2203" s="3">
        <v>2202</v>
      </c>
      <c r="B2203" s="3" t="s">
        <v>5570</v>
      </c>
      <c r="C2203" s="3" t="s">
        <v>1105</v>
      </c>
      <c r="D2203" s="4" t="s">
        <v>3139</v>
      </c>
      <c r="E2203" s="3" t="s">
        <v>1076</v>
      </c>
      <c r="F2203" s="3" t="s">
        <v>3128</v>
      </c>
      <c r="G2203" s="3"/>
      <c r="H2203" s="4" t="s">
        <v>2327</v>
      </c>
    </row>
    <row r="2204" ht="16.5" customHeight="1" spans="1:8">
      <c r="A2204" s="3">
        <v>2203</v>
      </c>
      <c r="B2204" s="3" t="s">
        <v>5571</v>
      </c>
      <c r="C2204" s="3" t="s">
        <v>1356</v>
      </c>
      <c r="D2204" s="4" t="s">
        <v>3139</v>
      </c>
      <c r="E2204" s="3" t="s">
        <v>1076</v>
      </c>
      <c r="F2204" s="3" t="s">
        <v>3128</v>
      </c>
      <c r="G2204" s="3"/>
      <c r="H2204" s="4" t="s">
        <v>1390</v>
      </c>
    </row>
    <row r="2205" ht="16.5" customHeight="1" spans="1:8">
      <c r="A2205" s="3">
        <v>2204</v>
      </c>
      <c r="B2205" s="3" t="s">
        <v>5572</v>
      </c>
      <c r="C2205" s="3" t="s">
        <v>2163</v>
      </c>
      <c r="D2205" s="4" t="s">
        <v>5573</v>
      </c>
      <c r="E2205" s="3" t="s">
        <v>1076</v>
      </c>
      <c r="F2205" s="3" t="s">
        <v>4154</v>
      </c>
      <c r="G2205" s="3"/>
      <c r="H2205" s="4" t="s">
        <v>4198</v>
      </c>
    </row>
    <row r="2206" ht="16.5" customHeight="1" spans="1:8">
      <c r="A2206" s="3">
        <v>2205</v>
      </c>
      <c r="B2206" s="3" t="s">
        <v>5574</v>
      </c>
      <c r="C2206" s="3" t="s">
        <v>2163</v>
      </c>
      <c r="D2206" s="4" t="s">
        <v>5575</v>
      </c>
      <c r="E2206" s="3" t="s">
        <v>1076</v>
      </c>
      <c r="F2206" s="3" t="s">
        <v>4154</v>
      </c>
      <c r="G2206" s="3"/>
      <c r="H2206" s="4" t="s">
        <v>4198</v>
      </c>
    </row>
    <row r="2207" ht="16.5" customHeight="1" spans="1:8">
      <c r="A2207" s="3">
        <v>2206</v>
      </c>
      <c r="B2207" s="3" t="s">
        <v>5576</v>
      </c>
      <c r="C2207" s="3" t="s">
        <v>2163</v>
      </c>
      <c r="D2207" s="4" t="s">
        <v>5577</v>
      </c>
      <c r="E2207" s="3" t="s">
        <v>1076</v>
      </c>
      <c r="F2207" s="3" t="s">
        <v>4154</v>
      </c>
      <c r="G2207" s="3"/>
      <c r="H2207" s="4" t="s">
        <v>4198</v>
      </c>
    </row>
    <row r="2208" ht="16.5" customHeight="1" spans="1:8">
      <c r="A2208" s="3">
        <v>2207</v>
      </c>
      <c r="B2208" s="3" t="s">
        <v>5578</v>
      </c>
      <c r="C2208" s="3" t="s">
        <v>2163</v>
      </c>
      <c r="D2208" s="4" t="s">
        <v>5579</v>
      </c>
      <c r="E2208" s="3" t="s">
        <v>1076</v>
      </c>
      <c r="F2208" s="3" t="s">
        <v>4154</v>
      </c>
      <c r="G2208" s="3"/>
      <c r="H2208" s="4" t="s">
        <v>4198</v>
      </c>
    </row>
    <row r="2209" ht="16.5" customHeight="1" spans="1:8">
      <c r="A2209" s="3">
        <v>2208</v>
      </c>
      <c r="B2209" s="3" t="s">
        <v>5580</v>
      </c>
      <c r="C2209" s="3" t="s">
        <v>2163</v>
      </c>
      <c r="D2209" s="4" t="s">
        <v>5581</v>
      </c>
      <c r="E2209" s="3" t="s">
        <v>1076</v>
      </c>
      <c r="F2209" s="3" t="s">
        <v>4154</v>
      </c>
      <c r="G2209" s="3"/>
      <c r="H2209" s="4" t="s">
        <v>4198</v>
      </c>
    </row>
    <row r="2210" ht="16.5" customHeight="1" spans="1:8">
      <c r="A2210" s="3">
        <v>2209</v>
      </c>
      <c r="B2210" s="3" t="s">
        <v>5582</v>
      </c>
      <c r="C2210" s="3" t="s">
        <v>2163</v>
      </c>
      <c r="D2210" s="4" t="s">
        <v>5583</v>
      </c>
      <c r="E2210" s="3" t="s">
        <v>1076</v>
      </c>
      <c r="F2210" s="3" t="s">
        <v>4154</v>
      </c>
      <c r="G2210" s="3"/>
      <c r="H2210" s="4" t="s">
        <v>4198</v>
      </c>
    </row>
    <row r="2211" ht="16.5" customHeight="1" spans="1:8">
      <c r="A2211" s="3">
        <v>2210</v>
      </c>
      <c r="B2211" s="3" t="s">
        <v>5584</v>
      </c>
      <c r="C2211" s="3" t="s">
        <v>2163</v>
      </c>
      <c r="D2211" s="4" t="s">
        <v>5585</v>
      </c>
      <c r="E2211" s="3" t="s">
        <v>1076</v>
      </c>
      <c r="F2211" s="3" t="s">
        <v>4154</v>
      </c>
      <c r="G2211" s="3"/>
      <c r="H2211" s="4" t="s">
        <v>4198</v>
      </c>
    </row>
    <row r="2212" ht="16.5" customHeight="1" spans="1:8">
      <c r="A2212" s="3">
        <v>2211</v>
      </c>
      <c r="B2212" s="3" t="s">
        <v>5586</v>
      </c>
      <c r="C2212" s="3" t="s">
        <v>2163</v>
      </c>
      <c r="D2212" s="4" t="s">
        <v>5587</v>
      </c>
      <c r="E2212" s="3" t="s">
        <v>1076</v>
      </c>
      <c r="F2212" s="3" t="s">
        <v>4154</v>
      </c>
      <c r="G2212" s="3"/>
      <c r="H2212" s="4" t="s">
        <v>4198</v>
      </c>
    </row>
    <row r="2213" ht="16.5" customHeight="1" spans="1:8">
      <c r="A2213" s="3">
        <v>2212</v>
      </c>
      <c r="B2213" s="3" t="s">
        <v>5588</v>
      </c>
      <c r="C2213" s="3" t="s">
        <v>1356</v>
      </c>
      <c r="D2213" s="4" t="s">
        <v>5589</v>
      </c>
      <c r="E2213" s="3" t="s">
        <v>1076</v>
      </c>
      <c r="F2213" s="3" t="s">
        <v>1358</v>
      </c>
      <c r="G2213" s="3" t="s">
        <v>321</v>
      </c>
      <c r="H2213" s="4" t="s">
        <v>5396</v>
      </c>
    </row>
    <row r="2214" ht="16.5" customHeight="1" spans="1:8">
      <c r="A2214" s="3">
        <v>2213</v>
      </c>
      <c r="B2214" s="3" t="s">
        <v>5590</v>
      </c>
      <c r="C2214" s="3" t="s">
        <v>2163</v>
      </c>
      <c r="D2214" s="4" t="s">
        <v>5591</v>
      </c>
      <c r="E2214" s="3" t="s">
        <v>1076</v>
      </c>
      <c r="F2214" s="3" t="s">
        <v>1358</v>
      </c>
      <c r="G2214" s="3" t="s">
        <v>321</v>
      </c>
      <c r="H2214" s="4" t="s">
        <v>1843</v>
      </c>
    </row>
    <row r="2215" ht="16.5" customHeight="1" spans="1:8">
      <c r="A2215" s="3">
        <v>2214</v>
      </c>
      <c r="B2215" s="3" t="s">
        <v>5592</v>
      </c>
      <c r="C2215" s="3" t="s">
        <v>2163</v>
      </c>
      <c r="D2215" s="4" t="s">
        <v>5593</v>
      </c>
      <c r="E2215" s="3" t="s">
        <v>2263</v>
      </c>
      <c r="F2215" s="3" t="s">
        <v>653</v>
      </c>
      <c r="G2215" s="3" t="s">
        <v>321</v>
      </c>
      <c r="H2215" s="4" t="s">
        <v>1095</v>
      </c>
    </row>
    <row r="2216" ht="16.5" customHeight="1" spans="1:8">
      <c r="A2216" s="3">
        <v>2215</v>
      </c>
      <c r="B2216" s="3" t="s">
        <v>5594</v>
      </c>
      <c r="C2216" s="3" t="s">
        <v>2163</v>
      </c>
      <c r="D2216" s="4" t="s">
        <v>5595</v>
      </c>
      <c r="E2216" s="3" t="s">
        <v>1076</v>
      </c>
      <c r="F2216" s="3" t="s">
        <v>4154</v>
      </c>
      <c r="G2216" s="3"/>
      <c r="H2216" s="4" t="s">
        <v>4198</v>
      </c>
    </row>
    <row r="2217" ht="16.5" customHeight="1" spans="1:8">
      <c r="A2217" s="3">
        <v>2216</v>
      </c>
      <c r="B2217" s="3" t="s">
        <v>5596</v>
      </c>
      <c r="C2217" s="3" t="s">
        <v>2163</v>
      </c>
      <c r="D2217" s="4" t="s">
        <v>5597</v>
      </c>
      <c r="E2217" s="3" t="s">
        <v>1076</v>
      </c>
      <c r="F2217" s="3" t="s">
        <v>4154</v>
      </c>
      <c r="G2217" s="3"/>
      <c r="H2217" s="4" t="s">
        <v>4198</v>
      </c>
    </row>
    <row r="2218" ht="16.5" customHeight="1" spans="1:8">
      <c r="A2218" s="3">
        <v>2217</v>
      </c>
      <c r="B2218" s="3" t="s">
        <v>5598</v>
      </c>
      <c r="C2218" s="3" t="s">
        <v>2163</v>
      </c>
      <c r="D2218" s="4" t="s">
        <v>5599</v>
      </c>
      <c r="E2218" s="3" t="s">
        <v>1076</v>
      </c>
      <c r="F2218" s="3" t="s">
        <v>4154</v>
      </c>
      <c r="G2218" s="3"/>
      <c r="H2218" s="4" t="s">
        <v>4198</v>
      </c>
    </row>
    <row r="2219" ht="16.5" customHeight="1" spans="1:8">
      <c r="A2219" s="3">
        <v>2218</v>
      </c>
      <c r="B2219" s="3" t="s">
        <v>5600</v>
      </c>
      <c r="C2219" s="3" t="s">
        <v>2163</v>
      </c>
      <c r="D2219" s="4" t="s">
        <v>5601</v>
      </c>
      <c r="E2219" s="3" t="s">
        <v>1076</v>
      </c>
      <c r="F2219" s="3" t="s">
        <v>4154</v>
      </c>
      <c r="G2219" s="3"/>
      <c r="H2219" s="4" t="s">
        <v>4198</v>
      </c>
    </row>
    <row r="2220" ht="16.5" customHeight="1" spans="1:8">
      <c r="A2220" s="3">
        <v>2219</v>
      </c>
      <c r="B2220" s="3" t="s">
        <v>5602</v>
      </c>
      <c r="C2220" s="3" t="s">
        <v>2163</v>
      </c>
      <c r="D2220" s="4" t="s">
        <v>5603</v>
      </c>
      <c r="E2220" s="3" t="s">
        <v>1076</v>
      </c>
      <c r="F2220" s="3" t="s">
        <v>4154</v>
      </c>
      <c r="G2220" s="3"/>
      <c r="H2220" s="4" t="s">
        <v>4198</v>
      </c>
    </row>
    <row r="2221" ht="16.5" customHeight="1" spans="1:8">
      <c r="A2221" s="3">
        <v>2220</v>
      </c>
      <c r="B2221" s="3" t="s">
        <v>5604</v>
      </c>
      <c r="C2221" s="3" t="s">
        <v>2163</v>
      </c>
      <c r="D2221" s="4" t="s">
        <v>5605</v>
      </c>
      <c r="E2221" s="3" t="s">
        <v>2263</v>
      </c>
      <c r="F2221" s="3" t="s">
        <v>2041</v>
      </c>
      <c r="G2221" s="3" t="s">
        <v>321</v>
      </c>
      <c r="H2221" s="4" t="s">
        <v>1095</v>
      </c>
    </row>
    <row r="2222" ht="16.5" customHeight="1" spans="1:8">
      <c r="A2222" s="3">
        <v>2221</v>
      </c>
      <c r="B2222" s="3" t="s">
        <v>5606</v>
      </c>
      <c r="C2222" s="3" t="s">
        <v>2163</v>
      </c>
      <c r="D2222" s="4" t="s">
        <v>5607</v>
      </c>
      <c r="E2222" s="3" t="s">
        <v>1076</v>
      </c>
      <c r="F2222" s="3" t="s">
        <v>2041</v>
      </c>
      <c r="G2222" s="3" t="s">
        <v>321</v>
      </c>
      <c r="H2222" s="4" t="s">
        <v>1078</v>
      </c>
    </row>
    <row r="2223" ht="16.5" customHeight="1" spans="1:8">
      <c r="A2223" s="3">
        <v>2222</v>
      </c>
      <c r="B2223" s="3" t="s">
        <v>5608</v>
      </c>
      <c r="C2223" s="3" t="s">
        <v>2163</v>
      </c>
      <c r="D2223" s="4" t="s">
        <v>5609</v>
      </c>
      <c r="E2223" s="3" t="s">
        <v>1076</v>
      </c>
      <c r="F2223" s="3" t="s">
        <v>2041</v>
      </c>
      <c r="G2223" s="3" t="s">
        <v>321</v>
      </c>
      <c r="H2223" s="4" t="s">
        <v>1305</v>
      </c>
    </row>
    <row r="2224" ht="16.5" customHeight="1" spans="1:8">
      <c r="A2224" s="3">
        <v>2223</v>
      </c>
      <c r="B2224" s="3" t="s">
        <v>5610</v>
      </c>
      <c r="C2224" s="3" t="s">
        <v>2163</v>
      </c>
      <c r="D2224" s="4" t="s">
        <v>5611</v>
      </c>
      <c r="E2224" s="3" t="s">
        <v>1076</v>
      </c>
      <c r="F2224" s="3" t="s">
        <v>2041</v>
      </c>
      <c r="G2224" s="3" t="s">
        <v>321</v>
      </c>
      <c r="H2224" s="4" t="s">
        <v>1305</v>
      </c>
    </row>
    <row r="2225" ht="16.5" customHeight="1" spans="1:8">
      <c r="A2225" s="3">
        <v>2224</v>
      </c>
      <c r="B2225" s="3" t="s">
        <v>5612</v>
      </c>
      <c r="C2225" s="3" t="s">
        <v>2163</v>
      </c>
      <c r="D2225" s="4" t="s">
        <v>5613</v>
      </c>
      <c r="E2225" s="3" t="s">
        <v>1076</v>
      </c>
      <c r="F2225" s="3" t="s">
        <v>2041</v>
      </c>
      <c r="G2225" s="3" t="s">
        <v>321</v>
      </c>
      <c r="H2225" s="4" t="s">
        <v>1305</v>
      </c>
    </row>
    <row r="2226" ht="16.5" customHeight="1" spans="1:8">
      <c r="A2226" s="3">
        <v>2225</v>
      </c>
      <c r="B2226" s="3" t="s">
        <v>5614</v>
      </c>
      <c r="C2226" s="3" t="s">
        <v>2163</v>
      </c>
      <c r="D2226" s="4" t="s">
        <v>5615</v>
      </c>
      <c r="E2226" s="3" t="s">
        <v>1076</v>
      </c>
      <c r="F2226" s="3" t="s">
        <v>2041</v>
      </c>
      <c r="G2226" s="3" t="s">
        <v>321</v>
      </c>
      <c r="H2226" s="4" t="s">
        <v>1095</v>
      </c>
    </row>
    <row r="2227" ht="16.5" customHeight="1" spans="1:8">
      <c r="A2227" s="3">
        <v>2226</v>
      </c>
      <c r="B2227" s="3" t="s">
        <v>5616</v>
      </c>
      <c r="C2227" s="3" t="s">
        <v>2163</v>
      </c>
      <c r="D2227" s="4" t="s">
        <v>5617</v>
      </c>
      <c r="E2227" s="3" t="s">
        <v>1076</v>
      </c>
      <c r="F2227" s="3" t="s">
        <v>2105</v>
      </c>
      <c r="G2227" s="3" t="s">
        <v>321</v>
      </c>
      <c r="H2227" s="4" t="s">
        <v>1843</v>
      </c>
    </row>
    <row r="2228" ht="16.5" customHeight="1" spans="1:8">
      <c r="A2228" s="3">
        <v>2227</v>
      </c>
      <c r="B2228" s="3" t="s">
        <v>5618</v>
      </c>
      <c r="C2228" s="3" t="s">
        <v>2163</v>
      </c>
      <c r="D2228" s="4" t="s">
        <v>5619</v>
      </c>
      <c r="E2228" s="3" t="s">
        <v>1076</v>
      </c>
      <c r="F2228" s="3" t="s">
        <v>2041</v>
      </c>
      <c r="G2228" s="3" t="s">
        <v>321</v>
      </c>
      <c r="H2228" s="4" t="s">
        <v>1078</v>
      </c>
    </row>
    <row r="2229" ht="16.5" customHeight="1" spans="1:8">
      <c r="A2229" s="3">
        <v>2228</v>
      </c>
      <c r="B2229" s="3" t="s">
        <v>5620</v>
      </c>
      <c r="C2229" s="3" t="s">
        <v>2163</v>
      </c>
      <c r="D2229" s="4" t="s">
        <v>5621</v>
      </c>
      <c r="E2229" s="3" t="s">
        <v>1076</v>
      </c>
      <c r="F2229" s="3" t="s">
        <v>2105</v>
      </c>
      <c r="G2229" s="3" t="s">
        <v>321</v>
      </c>
      <c r="H2229" s="4" t="s">
        <v>1095</v>
      </c>
    </row>
    <row r="2230" ht="16.5" customHeight="1" spans="1:8">
      <c r="A2230" s="3">
        <v>2229</v>
      </c>
      <c r="B2230" s="3" t="s">
        <v>5622</v>
      </c>
      <c r="C2230" s="3" t="s">
        <v>2163</v>
      </c>
      <c r="D2230" s="4" t="s">
        <v>5623</v>
      </c>
      <c r="E2230" s="3" t="s">
        <v>1076</v>
      </c>
      <c r="F2230" s="3" t="s">
        <v>2041</v>
      </c>
      <c r="G2230" s="3" t="s">
        <v>321</v>
      </c>
      <c r="H2230" s="4" t="s">
        <v>1305</v>
      </c>
    </row>
    <row r="2231" ht="16.5" customHeight="1" spans="1:8">
      <c r="A2231" s="3">
        <v>2230</v>
      </c>
      <c r="B2231" s="3" t="s">
        <v>5624</v>
      </c>
      <c r="C2231" s="3" t="s">
        <v>2163</v>
      </c>
      <c r="D2231" s="4" t="s">
        <v>5625</v>
      </c>
      <c r="E2231" s="3" t="s">
        <v>1076</v>
      </c>
      <c r="F2231" s="3" t="s">
        <v>2041</v>
      </c>
      <c r="G2231" s="3" t="s">
        <v>321</v>
      </c>
      <c r="H2231" s="4" t="s">
        <v>1095</v>
      </c>
    </row>
    <row r="2232" ht="16.5" customHeight="1" spans="1:8">
      <c r="A2232" s="3">
        <v>2231</v>
      </c>
      <c r="B2232" s="3" t="s">
        <v>5626</v>
      </c>
      <c r="C2232" s="3" t="s">
        <v>2163</v>
      </c>
      <c r="D2232" s="4" t="s">
        <v>5627</v>
      </c>
      <c r="E2232" s="3" t="s">
        <v>1076</v>
      </c>
      <c r="F2232" s="3" t="s">
        <v>2041</v>
      </c>
      <c r="G2232" s="3" t="s">
        <v>321</v>
      </c>
      <c r="H2232" s="4" t="s">
        <v>1095</v>
      </c>
    </row>
    <row r="2233" ht="16.5" customHeight="1" spans="1:8">
      <c r="A2233" s="3">
        <v>2232</v>
      </c>
      <c r="B2233" s="3" t="s">
        <v>5628</v>
      </c>
      <c r="C2233" s="3" t="s">
        <v>2163</v>
      </c>
      <c r="D2233" s="4" t="s">
        <v>5629</v>
      </c>
      <c r="E2233" s="3" t="s">
        <v>1076</v>
      </c>
      <c r="F2233" s="3" t="s">
        <v>2105</v>
      </c>
      <c r="G2233" s="3" t="s">
        <v>321</v>
      </c>
      <c r="H2233" s="4" t="s">
        <v>1095</v>
      </c>
    </row>
    <row r="2234" ht="16.5" customHeight="1" spans="1:8">
      <c r="A2234" s="3">
        <v>2233</v>
      </c>
      <c r="B2234" s="3" t="s">
        <v>5630</v>
      </c>
      <c r="C2234" s="3" t="s">
        <v>2163</v>
      </c>
      <c r="D2234" s="4" t="s">
        <v>5631</v>
      </c>
      <c r="E2234" s="3" t="s">
        <v>1076</v>
      </c>
      <c r="F2234" s="3" t="s">
        <v>2105</v>
      </c>
      <c r="G2234" s="3" t="s">
        <v>321</v>
      </c>
      <c r="H2234" s="4" t="s">
        <v>1095</v>
      </c>
    </row>
    <row r="2235" ht="16.5" customHeight="1" spans="1:8">
      <c r="A2235" s="3">
        <v>2234</v>
      </c>
      <c r="B2235" s="3" t="s">
        <v>5632</v>
      </c>
      <c r="C2235" s="3" t="s">
        <v>2163</v>
      </c>
      <c r="D2235" s="4" t="s">
        <v>5633</v>
      </c>
      <c r="E2235" s="3" t="s">
        <v>1076</v>
      </c>
      <c r="F2235" s="3" t="s">
        <v>2041</v>
      </c>
      <c r="G2235" s="3" t="s">
        <v>321</v>
      </c>
      <c r="H2235" s="4" t="s">
        <v>1095</v>
      </c>
    </row>
    <row r="2236" ht="16.5" customHeight="1" spans="1:8">
      <c r="A2236" s="3">
        <v>2235</v>
      </c>
      <c r="B2236" s="3" t="s">
        <v>5634</v>
      </c>
      <c r="C2236" s="3" t="s">
        <v>2163</v>
      </c>
      <c r="D2236" s="4" t="s">
        <v>5635</v>
      </c>
      <c r="E2236" s="3" t="s">
        <v>1076</v>
      </c>
      <c r="F2236" s="3" t="s">
        <v>2041</v>
      </c>
      <c r="G2236" s="3" t="s">
        <v>321</v>
      </c>
      <c r="H2236" s="4" t="s">
        <v>1095</v>
      </c>
    </row>
    <row r="2237" ht="16.5" customHeight="1" spans="1:8">
      <c r="A2237" s="3">
        <v>2236</v>
      </c>
      <c r="B2237" s="3" t="s">
        <v>5636</v>
      </c>
      <c r="C2237" s="3" t="s">
        <v>2163</v>
      </c>
      <c r="D2237" s="4" t="s">
        <v>5637</v>
      </c>
      <c r="E2237" s="3" t="s">
        <v>1076</v>
      </c>
      <c r="F2237" s="3" t="s">
        <v>2041</v>
      </c>
      <c r="G2237" s="3" t="s">
        <v>321</v>
      </c>
      <c r="H2237" s="4" t="s">
        <v>1095</v>
      </c>
    </row>
    <row r="2238" ht="16.5" customHeight="1" spans="1:8">
      <c r="A2238" s="3">
        <v>2237</v>
      </c>
      <c r="B2238" s="3" t="s">
        <v>5638</v>
      </c>
      <c r="C2238" s="3" t="s">
        <v>2163</v>
      </c>
      <c r="D2238" s="4" t="s">
        <v>5639</v>
      </c>
      <c r="E2238" s="3" t="s">
        <v>1076</v>
      </c>
      <c r="F2238" s="3" t="s">
        <v>2041</v>
      </c>
      <c r="G2238" s="3" t="s">
        <v>321</v>
      </c>
      <c r="H2238" s="4" t="s">
        <v>1305</v>
      </c>
    </row>
    <row r="2239" ht="16.5" customHeight="1" spans="1:8">
      <c r="A2239" s="3">
        <v>2238</v>
      </c>
      <c r="B2239" s="3" t="s">
        <v>5640</v>
      </c>
      <c r="C2239" s="3" t="s">
        <v>2163</v>
      </c>
      <c r="D2239" s="4" t="s">
        <v>5641</v>
      </c>
      <c r="E2239" s="3" t="s">
        <v>1076</v>
      </c>
      <c r="F2239" s="3" t="s">
        <v>2041</v>
      </c>
      <c r="G2239" s="3" t="s">
        <v>321</v>
      </c>
      <c r="H2239" s="4" t="s">
        <v>1305</v>
      </c>
    </row>
    <row r="2240" ht="16.5" customHeight="1" spans="1:8">
      <c r="A2240" s="3">
        <v>2239</v>
      </c>
      <c r="B2240" s="3" t="s">
        <v>5642</v>
      </c>
      <c r="C2240" s="3" t="s">
        <v>2163</v>
      </c>
      <c r="D2240" s="4" t="s">
        <v>5643</v>
      </c>
      <c r="E2240" s="3" t="s">
        <v>1076</v>
      </c>
      <c r="F2240" s="3" t="s">
        <v>2041</v>
      </c>
      <c r="G2240" s="3" t="s">
        <v>321</v>
      </c>
      <c r="H2240" s="4" t="s">
        <v>1305</v>
      </c>
    </row>
    <row r="2241" ht="16.5" customHeight="1" spans="1:8">
      <c r="A2241" s="3">
        <v>2240</v>
      </c>
      <c r="B2241" s="3" t="s">
        <v>5644</v>
      </c>
      <c r="C2241" s="3" t="s">
        <v>2163</v>
      </c>
      <c r="D2241" s="4" t="s">
        <v>5645</v>
      </c>
      <c r="E2241" s="3" t="s">
        <v>1076</v>
      </c>
      <c r="F2241" s="3" t="s">
        <v>2105</v>
      </c>
      <c r="G2241" s="3" t="s">
        <v>321</v>
      </c>
      <c r="H2241" s="4" t="s">
        <v>1305</v>
      </c>
    </row>
    <row r="2242" ht="16.5" customHeight="1" spans="1:8">
      <c r="A2242" s="3">
        <v>2241</v>
      </c>
      <c r="B2242" s="3" t="s">
        <v>5646</v>
      </c>
      <c r="C2242" s="3" t="s">
        <v>2163</v>
      </c>
      <c r="D2242" s="4" t="s">
        <v>5647</v>
      </c>
      <c r="E2242" s="3" t="s">
        <v>1076</v>
      </c>
      <c r="F2242" s="3" t="s">
        <v>2105</v>
      </c>
      <c r="G2242" s="3" t="s">
        <v>321</v>
      </c>
      <c r="H2242" s="4" t="s">
        <v>1368</v>
      </c>
    </row>
    <row r="2243" ht="16.5" customHeight="1" spans="1:8">
      <c r="A2243" s="3">
        <v>2242</v>
      </c>
      <c r="B2243" s="3" t="s">
        <v>5648</v>
      </c>
      <c r="C2243" s="3" t="s">
        <v>2163</v>
      </c>
      <c r="D2243" s="4" t="s">
        <v>5649</v>
      </c>
      <c r="E2243" s="3" t="s">
        <v>1076</v>
      </c>
      <c r="F2243" s="3" t="s">
        <v>2105</v>
      </c>
      <c r="G2243" s="3" t="s">
        <v>321</v>
      </c>
      <c r="H2243" s="4" t="s">
        <v>1095</v>
      </c>
    </row>
    <row r="2244" ht="16.5" customHeight="1" spans="1:8">
      <c r="A2244" s="3">
        <v>2243</v>
      </c>
      <c r="B2244" s="3" t="s">
        <v>5650</v>
      </c>
      <c r="C2244" s="3" t="s">
        <v>2163</v>
      </c>
      <c r="D2244" s="4" t="s">
        <v>5651</v>
      </c>
      <c r="E2244" s="3" t="s">
        <v>1076</v>
      </c>
      <c r="F2244" s="3" t="s">
        <v>2105</v>
      </c>
      <c r="G2244" s="3" t="s">
        <v>321</v>
      </c>
      <c r="H2244" s="4" t="s">
        <v>1305</v>
      </c>
    </row>
    <row r="2245" ht="16.5" customHeight="1" spans="1:8">
      <c r="A2245" s="3">
        <v>2244</v>
      </c>
      <c r="B2245" s="3" t="s">
        <v>5652</v>
      </c>
      <c r="C2245" s="3" t="s">
        <v>2163</v>
      </c>
      <c r="D2245" s="4" t="s">
        <v>5653</v>
      </c>
      <c r="E2245" s="3" t="s">
        <v>1076</v>
      </c>
      <c r="F2245" s="3" t="s">
        <v>2105</v>
      </c>
      <c r="G2245" s="3" t="s">
        <v>321</v>
      </c>
      <c r="H2245" s="4" t="s">
        <v>1305</v>
      </c>
    </row>
    <row r="2246" ht="16.5" customHeight="1" spans="1:8">
      <c r="A2246" s="3">
        <v>2245</v>
      </c>
      <c r="B2246" s="3" t="s">
        <v>5654</v>
      </c>
      <c r="C2246" s="3" t="s">
        <v>2163</v>
      </c>
      <c r="D2246" s="4" t="s">
        <v>5655</v>
      </c>
      <c r="E2246" s="3" t="s">
        <v>1076</v>
      </c>
      <c r="F2246" s="3" t="s">
        <v>2105</v>
      </c>
      <c r="G2246" s="3" t="s">
        <v>321</v>
      </c>
      <c r="H2246" s="4" t="s">
        <v>1305</v>
      </c>
    </row>
    <row r="2247" ht="16.5" customHeight="1" spans="1:8">
      <c r="A2247" s="3">
        <v>2246</v>
      </c>
      <c r="B2247" s="3" t="s">
        <v>5656</v>
      </c>
      <c r="C2247" s="3" t="s">
        <v>2163</v>
      </c>
      <c r="D2247" s="4" t="s">
        <v>5657</v>
      </c>
      <c r="E2247" s="3" t="s">
        <v>1076</v>
      </c>
      <c r="F2247" s="3" t="s">
        <v>2105</v>
      </c>
      <c r="G2247" s="3" t="s">
        <v>321</v>
      </c>
      <c r="H2247" s="4" t="s">
        <v>1305</v>
      </c>
    </row>
    <row r="2248" ht="16.5" customHeight="1" spans="1:8">
      <c r="A2248" s="3">
        <v>2247</v>
      </c>
      <c r="B2248" s="3" t="s">
        <v>5658</v>
      </c>
      <c r="C2248" s="3" t="s">
        <v>2163</v>
      </c>
      <c r="D2248" s="4" t="s">
        <v>5659</v>
      </c>
      <c r="E2248" s="3" t="s">
        <v>1076</v>
      </c>
      <c r="F2248" s="3" t="s">
        <v>2041</v>
      </c>
      <c r="G2248" s="3" t="s">
        <v>98</v>
      </c>
      <c r="H2248" s="4" t="s">
        <v>1843</v>
      </c>
    </row>
    <row r="2249" ht="16.5" customHeight="1" spans="1:8">
      <c r="A2249" s="3">
        <v>2248</v>
      </c>
      <c r="B2249" s="3" t="s">
        <v>5660</v>
      </c>
      <c r="C2249" s="3" t="s">
        <v>2163</v>
      </c>
      <c r="D2249" s="4" t="s">
        <v>5661</v>
      </c>
      <c r="E2249" s="3" t="s">
        <v>1076</v>
      </c>
      <c r="F2249" s="3" t="s">
        <v>2105</v>
      </c>
      <c r="G2249" s="3" t="s">
        <v>321</v>
      </c>
      <c r="H2249" s="4" t="s">
        <v>1843</v>
      </c>
    </row>
    <row r="2250" ht="16.5" customHeight="1" spans="1:8">
      <c r="A2250" s="3">
        <v>2249</v>
      </c>
      <c r="B2250" s="3" t="s">
        <v>5662</v>
      </c>
      <c r="C2250" s="3" t="s">
        <v>1356</v>
      </c>
      <c r="D2250" s="4" t="s">
        <v>5663</v>
      </c>
      <c r="E2250" s="3" t="s">
        <v>1076</v>
      </c>
      <c r="F2250" s="3" t="s">
        <v>1736</v>
      </c>
      <c r="G2250" s="3"/>
      <c r="H2250" s="4" t="s">
        <v>5664</v>
      </c>
    </row>
    <row r="2251" ht="16.5" customHeight="1" spans="1:8">
      <c r="A2251" s="3">
        <v>2250</v>
      </c>
      <c r="B2251" s="3" t="s">
        <v>5665</v>
      </c>
      <c r="C2251" s="3" t="s">
        <v>1356</v>
      </c>
      <c r="D2251" s="4" t="s">
        <v>5666</v>
      </c>
      <c r="E2251" s="3" t="s">
        <v>1076</v>
      </c>
      <c r="F2251" s="3" t="s">
        <v>1736</v>
      </c>
      <c r="G2251" s="3"/>
      <c r="H2251" s="4" t="s">
        <v>1305</v>
      </c>
    </row>
    <row r="2252" ht="16.5" customHeight="1" spans="1:8">
      <c r="A2252" s="3">
        <v>2251</v>
      </c>
      <c r="B2252" s="3" t="s">
        <v>5667</v>
      </c>
      <c r="C2252" s="3" t="s">
        <v>1356</v>
      </c>
      <c r="D2252" s="4" t="s">
        <v>82</v>
      </c>
      <c r="E2252" s="3" t="s">
        <v>1076</v>
      </c>
      <c r="F2252" s="3" t="s">
        <v>1736</v>
      </c>
      <c r="G2252" s="3"/>
      <c r="H2252" s="4" t="s">
        <v>5396</v>
      </c>
    </row>
    <row r="2253" ht="16.5" customHeight="1" spans="1:8">
      <c r="A2253" s="3">
        <v>2252</v>
      </c>
      <c r="B2253" s="3" t="s">
        <v>5668</v>
      </c>
      <c r="C2253" s="3" t="s">
        <v>1356</v>
      </c>
      <c r="D2253" s="4" t="s">
        <v>5669</v>
      </c>
      <c r="E2253" s="3" t="s">
        <v>1076</v>
      </c>
      <c r="F2253" s="3" t="s">
        <v>1736</v>
      </c>
      <c r="G2253" s="3"/>
      <c r="H2253" s="4" t="s">
        <v>1843</v>
      </c>
    </row>
    <row r="2254" ht="16.5" customHeight="1" spans="1:8">
      <c r="A2254" s="3">
        <v>2253</v>
      </c>
      <c r="B2254" s="3" t="s">
        <v>5670</v>
      </c>
      <c r="C2254" s="3" t="s">
        <v>1356</v>
      </c>
      <c r="D2254" s="4" t="s">
        <v>5671</v>
      </c>
      <c r="E2254" s="3" t="s">
        <v>1076</v>
      </c>
      <c r="F2254" s="3" t="s">
        <v>1736</v>
      </c>
      <c r="G2254" s="3"/>
      <c r="H2254" s="4" t="s">
        <v>1359</v>
      </c>
    </row>
    <row r="2255" ht="16.5" customHeight="1" spans="1:8">
      <c r="A2255" s="3">
        <v>2254</v>
      </c>
      <c r="B2255" s="3" t="s">
        <v>5672</v>
      </c>
      <c r="C2255" s="3" t="s">
        <v>1074</v>
      </c>
      <c r="D2255" s="4" t="s">
        <v>5673</v>
      </c>
      <c r="E2255" s="3" t="s">
        <v>1076</v>
      </c>
      <c r="F2255" s="3" t="s">
        <v>1736</v>
      </c>
      <c r="G2255" s="3"/>
      <c r="H2255" s="4" t="s">
        <v>4404</v>
      </c>
    </row>
    <row r="2256" ht="16.5" customHeight="1" spans="1:8">
      <c r="A2256" s="3">
        <v>2255</v>
      </c>
      <c r="B2256" s="3" t="s">
        <v>5674</v>
      </c>
      <c r="C2256" s="3" t="s">
        <v>1356</v>
      </c>
      <c r="D2256" s="4" t="s">
        <v>5675</v>
      </c>
      <c r="E2256" s="3" t="s">
        <v>1076</v>
      </c>
      <c r="F2256" s="3" t="s">
        <v>1736</v>
      </c>
      <c r="G2256" s="3"/>
      <c r="H2256" s="4" t="s">
        <v>1078</v>
      </c>
    </row>
    <row r="2257" ht="16.5" customHeight="1" spans="1:8">
      <c r="A2257" s="3">
        <v>2256</v>
      </c>
      <c r="B2257" s="3" t="s">
        <v>5676</v>
      </c>
      <c r="C2257" s="3" t="s">
        <v>1356</v>
      </c>
      <c r="D2257" s="4" t="s">
        <v>5677</v>
      </c>
      <c r="E2257" s="3" t="s">
        <v>1076</v>
      </c>
      <c r="F2257" s="3" t="s">
        <v>1736</v>
      </c>
      <c r="G2257" s="3"/>
      <c r="H2257" s="4" t="s">
        <v>1308</v>
      </c>
    </row>
    <row r="2258" ht="16.5" customHeight="1" spans="1:8">
      <c r="A2258" s="3">
        <v>2257</v>
      </c>
      <c r="B2258" s="3" t="s">
        <v>5678</v>
      </c>
      <c r="C2258" s="3" t="s">
        <v>1356</v>
      </c>
      <c r="D2258" s="4" t="s">
        <v>5679</v>
      </c>
      <c r="E2258" s="3" t="s">
        <v>1076</v>
      </c>
      <c r="F2258" s="3" t="s">
        <v>1736</v>
      </c>
      <c r="G2258" s="3"/>
      <c r="H2258" s="4" t="s">
        <v>1359</v>
      </c>
    </row>
    <row r="2259" ht="16.5" customHeight="1" spans="1:8">
      <c r="A2259" s="3">
        <v>2258</v>
      </c>
      <c r="B2259" s="3" t="s">
        <v>5680</v>
      </c>
      <c r="C2259" s="3" t="s">
        <v>1356</v>
      </c>
      <c r="D2259" s="4" t="s">
        <v>5681</v>
      </c>
      <c r="E2259" s="3" t="s">
        <v>1076</v>
      </c>
      <c r="F2259" s="3" t="s">
        <v>1736</v>
      </c>
      <c r="G2259" s="3"/>
      <c r="H2259" s="4" t="s">
        <v>4198</v>
      </c>
    </row>
    <row r="2260" ht="16.5" customHeight="1" spans="1:8">
      <c r="A2260" s="3">
        <v>2259</v>
      </c>
      <c r="B2260" s="3" t="s">
        <v>5682</v>
      </c>
      <c r="C2260" s="3" t="s">
        <v>1356</v>
      </c>
      <c r="D2260" s="4" t="s">
        <v>5683</v>
      </c>
      <c r="E2260" s="3" t="s">
        <v>1076</v>
      </c>
      <c r="F2260" s="3" t="s">
        <v>1736</v>
      </c>
      <c r="G2260" s="3"/>
      <c r="H2260" s="4" t="s">
        <v>1368</v>
      </c>
    </row>
    <row r="2261" ht="16.5" customHeight="1" spans="1:8">
      <c r="A2261" s="3">
        <v>2260</v>
      </c>
      <c r="B2261" s="3" t="s">
        <v>5684</v>
      </c>
      <c r="C2261" s="3" t="s">
        <v>2163</v>
      </c>
      <c r="D2261" s="4" t="s">
        <v>5685</v>
      </c>
      <c r="E2261" s="3" t="s">
        <v>1076</v>
      </c>
      <c r="F2261" s="3" t="s">
        <v>1736</v>
      </c>
      <c r="G2261" s="3"/>
      <c r="H2261" s="4" t="s">
        <v>1368</v>
      </c>
    </row>
    <row r="2262" ht="16.5" customHeight="1" spans="1:8">
      <c r="A2262" s="3">
        <v>2261</v>
      </c>
      <c r="B2262" s="3" t="s">
        <v>5686</v>
      </c>
      <c r="C2262" s="3" t="s">
        <v>1356</v>
      </c>
      <c r="D2262" s="4" t="s">
        <v>5687</v>
      </c>
      <c r="E2262" s="3" t="s">
        <v>1076</v>
      </c>
      <c r="F2262" s="3" t="s">
        <v>1736</v>
      </c>
      <c r="G2262" s="3"/>
      <c r="H2262" s="4" t="s">
        <v>4117</v>
      </c>
    </row>
    <row r="2263" ht="16.5" customHeight="1" spans="1:8">
      <c r="A2263" s="3">
        <v>2262</v>
      </c>
      <c r="B2263" s="3" t="s">
        <v>5688</v>
      </c>
      <c r="C2263" s="3" t="s">
        <v>2163</v>
      </c>
      <c r="D2263" s="4" t="s">
        <v>5689</v>
      </c>
      <c r="E2263" s="3" t="s">
        <v>1076</v>
      </c>
      <c r="F2263" s="3" t="s">
        <v>4107</v>
      </c>
      <c r="G2263" s="3"/>
      <c r="H2263" s="4" t="s">
        <v>1359</v>
      </c>
    </row>
    <row r="2264" ht="16.5" customHeight="1" spans="1:8">
      <c r="A2264" s="3">
        <v>2263</v>
      </c>
      <c r="B2264" s="3" t="s">
        <v>5690</v>
      </c>
      <c r="C2264" s="3" t="s">
        <v>2163</v>
      </c>
      <c r="D2264" s="4" t="s">
        <v>5691</v>
      </c>
      <c r="E2264" s="3" t="s">
        <v>1076</v>
      </c>
      <c r="F2264" s="3" t="s">
        <v>4668</v>
      </c>
      <c r="G2264" s="3"/>
      <c r="H2264" s="4" t="s">
        <v>1359</v>
      </c>
    </row>
    <row r="2265" ht="16.5" customHeight="1" spans="1:8">
      <c r="A2265" s="3">
        <v>2264</v>
      </c>
      <c r="B2265" s="3" t="s">
        <v>5692</v>
      </c>
      <c r="C2265" s="3" t="s">
        <v>2163</v>
      </c>
      <c r="D2265" s="4" t="s">
        <v>5693</v>
      </c>
      <c r="E2265" s="3" t="s">
        <v>1076</v>
      </c>
      <c r="F2265" s="3" t="s">
        <v>4668</v>
      </c>
      <c r="G2265" s="3"/>
      <c r="H2265" s="4" t="s">
        <v>1359</v>
      </c>
    </row>
    <row r="2266" ht="16.5" customHeight="1" spans="1:8">
      <c r="A2266" s="3">
        <v>2265</v>
      </c>
      <c r="B2266" s="3" t="s">
        <v>5694</v>
      </c>
      <c r="C2266" s="3" t="s">
        <v>1356</v>
      </c>
      <c r="D2266" s="4" t="s">
        <v>5695</v>
      </c>
      <c r="E2266" s="3" t="s">
        <v>1076</v>
      </c>
      <c r="F2266" s="3" t="s">
        <v>1736</v>
      </c>
      <c r="G2266" s="3"/>
      <c r="H2266" s="4" t="s">
        <v>4313</v>
      </c>
    </row>
    <row r="2267" ht="16.5" customHeight="1" spans="1:8">
      <c r="A2267" s="3">
        <v>2266</v>
      </c>
      <c r="B2267" s="3" t="s">
        <v>5696</v>
      </c>
      <c r="C2267" s="3" t="s">
        <v>1356</v>
      </c>
      <c r="D2267" s="4" t="s">
        <v>5697</v>
      </c>
      <c r="E2267" s="3" t="s">
        <v>1076</v>
      </c>
      <c r="F2267" s="3" t="s">
        <v>1736</v>
      </c>
      <c r="G2267" s="3"/>
      <c r="H2267" s="4" t="s">
        <v>4313</v>
      </c>
    </row>
    <row r="2268" ht="16.5" customHeight="1" spans="1:8">
      <c r="A2268" s="3">
        <v>2267</v>
      </c>
      <c r="B2268" s="3" t="s">
        <v>5698</v>
      </c>
      <c r="C2268" s="3" t="s">
        <v>1356</v>
      </c>
      <c r="D2268" s="4" t="s">
        <v>5699</v>
      </c>
      <c r="E2268" s="3" t="s">
        <v>1076</v>
      </c>
      <c r="F2268" s="3" t="s">
        <v>1736</v>
      </c>
      <c r="G2268" s="3"/>
      <c r="H2268" s="4" t="s">
        <v>4313</v>
      </c>
    </row>
    <row r="2269" ht="16.5" customHeight="1" spans="1:8">
      <c r="A2269" s="3">
        <v>2268</v>
      </c>
      <c r="B2269" s="3" t="s">
        <v>5700</v>
      </c>
      <c r="C2269" s="3" t="s">
        <v>1356</v>
      </c>
      <c r="D2269" s="4" t="s">
        <v>5701</v>
      </c>
      <c r="E2269" s="3" t="s">
        <v>1076</v>
      </c>
      <c r="F2269" s="3" t="s">
        <v>4668</v>
      </c>
      <c r="G2269" s="3"/>
      <c r="H2269" s="4" t="s">
        <v>1095</v>
      </c>
    </row>
    <row r="2270" ht="16.5" customHeight="1" spans="1:8">
      <c r="A2270" s="3">
        <v>2269</v>
      </c>
      <c r="B2270" s="3" t="s">
        <v>5702</v>
      </c>
      <c r="C2270" s="3" t="s">
        <v>2163</v>
      </c>
      <c r="D2270" s="4" t="s">
        <v>5703</v>
      </c>
      <c r="E2270" s="3" t="s">
        <v>1076</v>
      </c>
      <c r="F2270" s="3" t="s">
        <v>4154</v>
      </c>
      <c r="G2270" s="3"/>
      <c r="H2270" s="4" t="s">
        <v>4198</v>
      </c>
    </row>
    <row r="2271" ht="16.5" customHeight="1" spans="1:8">
      <c r="A2271" s="3">
        <v>2270</v>
      </c>
      <c r="B2271" s="3" t="s">
        <v>5704</v>
      </c>
      <c r="C2271" s="3" t="s">
        <v>2163</v>
      </c>
      <c r="D2271" s="4" t="s">
        <v>5705</v>
      </c>
      <c r="E2271" s="3" t="s">
        <v>1076</v>
      </c>
      <c r="F2271" s="3" t="s">
        <v>4331</v>
      </c>
      <c r="G2271" s="3"/>
      <c r="H2271" s="4" t="s">
        <v>1305</v>
      </c>
    </row>
    <row r="2272" ht="16.5" customHeight="1" spans="1:8">
      <c r="A2272" s="3">
        <v>2271</v>
      </c>
      <c r="B2272" s="3" t="s">
        <v>5706</v>
      </c>
      <c r="C2272" s="3" t="s">
        <v>2163</v>
      </c>
      <c r="D2272" s="4" t="s">
        <v>5707</v>
      </c>
      <c r="E2272" s="3" t="s">
        <v>1076</v>
      </c>
      <c r="F2272" s="3" t="s">
        <v>4331</v>
      </c>
      <c r="G2272" s="3"/>
      <c r="H2272" s="4" t="s">
        <v>1305</v>
      </c>
    </row>
    <row r="2273" ht="16.5" customHeight="1" spans="1:8">
      <c r="A2273" s="3">
        <v>2272</v>
      </c>
      <c r="B2273" s="3" t="s">
        <v>5708</v>
      </c>
      <c r="C2273" s="3" t="s">
        <v>2163</v>
      </c>
      <c r="D2273" s="4" t="s">
        <v>5709</v>
      </c>
      <c r="E2273" s="3" t="s">
        <v>1076</v>
      </c>
      <c r="F2273" s="3" t="s">
        <v>4107</v>
      </c>
      <c r="G2273" s="3"/>
      <c r="H2273" s="4" t="s">
        <v>1305</v>
      </c>
    </row>
    <row r="2274" ht="16.5" customHeight="1" spans="1:8">
      <c r="A2274" s="3">
        <v>2273</v>
      </c>
      <c r="B2274" s="3" t="s">
        <v>5710</v>
      </c>
      <c r="C2274" s="3" t="s">
        <v>2163</v>
      </c>
      <c r="D2274" s="4" t="s">
        <v>5711</v>
      </c>
      <c r="E2274" s="3" t="s">
        <v>1076</v>
      </c>
      <c r="F2274" s="3" t="s">
        <v>2105</v>
      </c>
      <c r="G2274" s="3" t="s">
        <v>321</v>
      </c>
      <c r="H2274" s="4" t="s">
        <v>1305</v>
      </c>
    </row>
    <row r="2275" ht="16.5" customHeight="1" spans="1:8">
      <c r="A2275" s="3">
        <v>2274</v>
      </c>
      <c r="B2275" s="3" t="s">
        <v>5712</v>
      </c>
      <c r="C2275" s="3" t="s">
        <v>2163</v>
      </c>
      <c r="D2275" s="4" t="s">
        <v>5713</v>
      </c>
      <c r="E2275" s="3" t="s">
        <v>1076</v>
      </c>
      <c r="F2275" s="3" t="s">
        <v>4331</v>
      </c>
      <c r="G2275" s="3"/>
      <c r="H2275" s="4" t="s">
        <v>1305</v>
      </c>
    </row>
    <row r="2276" ht="16.5" customHeight="1" spans="1:8">
      <c r="A2276" s="3">
        <v>2275</v>
      </c>
      <c r="B2276" s="3" t="s">
        <v>5714</v>
      </c>
      <c r="C2276" s="3" t="s">
        <v>1356</v>
      </c>
      <c r="D2276" s="4" t="s">
        <v>5715</v>
      </c>
      <c r="E2276" s="3" t="s">
        <v>1837</v>
      </c>
      <c r="F2276" s="3" t="s">
        <v>4668</v>
      </c>
      <c r="G2276" s="3"/>
      <c r="H2276" s="4" t="s">
        <v>1305</v>
      </c>
    </row>
    <row r="2277" ht="16.5" customHeight="1" spans="1:8">
      <c r="A2277" s="3">
        <v>2276</v>
      </c>
      <c r="B2277" s="3" t="s">
        <v>5716</v>
      </c>
      <c r="C2277" s="3" t="s">
        <v>1356</v>
      </c>
      <c r="D2277" s="4" t="s">
        <v>5717</v>
      </c>
      <c r="E2277" s="3" t="s">
        <v>1076</v>
      </c>
      <c r="F2277" s="3" t="s">
        <v>4668</v>
      </c>
      <c r="G2277" s="3"/>
      <c r="H2277" s="4" t="s">
        <v>1843</v>
      </c>
    </row>
    <row r="2278" ht="16.5" customHeight="1" spans="1:8">
      <c r="A2278" s="3">
        <v>2277</v>
      </c>
      <c r="B2278" s="3" t="s">
        <v>5718</v>
      </c>
      <c r="C2278" s="3" t="s">
        <v>2163</v>
      </c>
      <c r="D2278" s="4" t="s">
        <v>5719</v>
      </c>
      <c r="E2278" s="3" t="s">
        <v>1076</v>
      </c>
      <c r="F2278" s="3" t="s">
        <v>4107</v>
      </c>
      <c r="G2278" s="3"/>
      <c r="H2278" s="4" t="s">
        <v>1359</v>
      </c>
    </row>
    <row r="2279" ht="16.5" customHeight="1" spans="1:8">
      <c r="A2279" s="3">
        <v>2278</v>
      </c>
      <c r="B2279" s="3" t="s">
        <v>5720</v>
      </c>
      <c r="C2279" s="3" t="s">
        <v>1105</v>
      </c>
      <c r="D2279" s="4" t="s">
        <v>5721</v>
      </c>
      <c r="E2279" s="3" t="s">
        <v>1218</v>
      </c>
      <c r="F2279" s="3" t="s">
        <v>4668</v>
      </c>
      <c r="G2279" s="3"/>
      <c r="H2279" s="4" t="s">
        <v>4117</v>
      </c>
    </row>
    <row r="2280" ht="16.5" customHeight="1" spans="1:8">
      <c r="A2280" s="3">
        <v>2279</v>
      </c>
      <c r="B2280" s="3" t="s">
        <v>5722</v>
      </c>
      <c r="C2280" s="3" t="s">
        <v>1356</v>
      </c>
      <c r="D2280" s="4" t="s">
        <v>5723</v>
      </c>
      <c r="E2280" s="3" t="s">
        <v>1076</v>
      </c>
      <c r="F2280" s="3" t="s">
        <v>4668</v>
      </c>
      <c r="G2280" s="3"/>
      <c r="H2280" s="4" t="s">
        <v>1305</v>
      </c>
    </row>
    <row r="2281" ht="16.5" customHeight="1" spans="1:8">
      <c r="A2281" s="3">
        <v>2280</v>
      </c>
      <c r="B2281" s="3" t="s">
        <v>5724</v>
      </c>
      <c r="C2281" s="3" t="s">
        <v>2163</v>
      </c>
      <c r="D2281" s="4" t="s">
        <v>5725</v>
      </c>
      <c r="E2281" s="3" t="s">
        <v>1076</v>
      </c>
      <c r="F2281" s="3" t="s">
        <v>4668</v>
      </c>
      <c r="G2281" s="3"/>
      <c r="H2281" s="4" t="s">
        <v>1359</v>
      </c>
    </row>
    <row r="2282" ht="16.5" customHeight="1" spans="1:8">
      <c r="A2282" s="3">
        <v>2281</v>
      </c>
      <c r="B2282" s="3" t="s">
        <v>5726</v>
      </c>
      <c r="C2282" s="3" t="s">
        <v>2163</v>
      </c>
      <c r="D2282" s="4" t="s">
        <v>5727</v>
      </c>
      <c r="E2282" s="3" t="s">
        <v>1076</v>
      </c>
      <c r="F2282" s="3" t="s">
        <v>4668</v>
      </c>
      <c r="G2282" s="3"/>
      <c r="H2282" s="4" t="s">
        <v>1359</v>
      </c>
    </row>
    <row r="2283" ht="16.5" customHeight="1" spans="1:8">
      <c r="A2283" s="3">
        <v>2282</v>
      </c>
      <c r="B2283" s="3" t="s">
        <v>5728</v>
      </c>
      <c r="C2283" s="3" t="s">
        <v>1356</v>
      </c>
      <c r="D2283" s="4" t="s">
        <v>5729</v>
      </c>
      <c r="E2283" s="3" t="s">
        <v>1076</v>
      </c>
      <c r="F2283" s="3" t="s">
        <v>4668</v>
      </c>
      <c r="G2283" s="3"/>
      <c r="H2283" s="4" t="s">
        <v>1359</v>
      </c>
    </row>
    <row r="2284" ht="16.5" customHeight="1" spans="1:8">
      <c r="A2284" s="3">
        <v>2283</v>
      </c>
      <c r="B2284" s="3" t="s">
        <v>5730</v>
      </c>
      <c r="C2284" s="3" t="s">
        <v>2163</v>
      </c>
      <c r="D2284" s="4" t="s">
        <v>5731</v>
      </c>
      <c r="E2284" s="3" t="s">
        <v>1076</v>
      </c>
      <c r="F2284" s="3" t="s">
        <v>4668</v>
      </c>
      <c r="G2284" s="3"/>
      <c r="H2284" s="4" t="s">
        <v>1359</v>
      </c>
    </row>
    <row r="2285" ht="16.5" customHeight="1" spans="1:8">
      <c r="A2285" s="3">
        <v>2284</v>
      </c>
      <c r="B2285" s="3" t="s">
        <v>5732</v>
      </c>
      <c r="C2285" s="3" t="s">
        <v>2163</v>
      </c>
      <c r="D2285" s="4" t="s">
        <v>5733</v>
      </c>
      <c r="E2285" s="3" t="s">
        <v>1076</v>
      </c>
      <c r="F2285" s="3" t="s">
        <v>4668</v>
      </c>
      <c r="G2285" s="3"/>
      <c r="H2285" s="4" t="s">
        <v>1305</v>
      </c>
    </row>
    <row r="2286" ht="16.5" customHeight="1" spans="1:8">
      <c r="A2286" s="3">
        <v>2285</v>
      </c>
      <c r="B2286" s="3" t="s">
        <v>5734</v>
      </c>
      <c r="C2286" s="3" t="s">
        <v>1356</v>
      </c>
      <c r="D2286" s="4" t="s">
        <v>5735</v>
      </c>
      <c r="E2286" s="3" t="s">
        <v>1837</v>
      </c>
      <c r="F2286" s="3" t="s">
        <v>4668</v>
      </c>
      <c r="G2286" s="3"/>
      <c r="H2286" s="4" t="s">
        <v>4117</v>
      </c>
    </row>
    <row r="2287" ht="16.5" customHeight="1" spans="1:8">
      <c r="A2287" s="3">
        <v>2286</v>
      </c>
      <c r="B2287" s="3" t="s">
        <v>5736</v>
      </c>
      <c r="C2287" s="3" t="s">
        <v>1356</v>
      </c>
      <c r="D2287" s="4" t="s">
        <v>5737</v>
      </c>
      <c r="E2287" s="3" t="s">
        <v>1837</v>
      </c>
      <c r="F2287" s="3" t="s">
        <v>4668</v>
      </c>
      <c r="G2287" s="3"/>
      <c r="H2287" s="4" t="s">
        <v>4117</v>
      </c>
    </row>
    <row r="2288" ht="16.5" customHeight="1" spans="1:8">
      <c r="A2288" s="3">
        <v>2287</v>
      </c>
      <c r="B2288" s="3" t="s">
        <v>5738</v>
      </c>
      <c r="C2288" s="3" t="s">
        <v>2163</v>
      </c>
      <c r="D2288" s="4" t="s">
        <v>5739</v>
      </c>
      <c r="E2288" s="3" t="s">
        <v>1076</v>
      </c>
      <c r="F2288" s="3" t="s">
        <v>4331</v>
      </c>
      <c r="G2288" s="3"/>
      <c r="H2288" s="4" t="s">
        <v>5740</v>
      </c>
    </row>
    <row r="2289" ht="16.5" customHeight="1" spans="1:8">
      <c r="A2289" s="3">
        <v>2288</v>
      </c>
      <c r="B2289" s="3" t="s">
        <v>5741</v>
      </c>
      <c r="C2289" s="3" t="s">
        <v>2163</v>
      </c>
      <c r="D2289" s="4" t="s">
        <v>5742</v>
      </c>
      <c r="E2289" s="3" t="s">
        <v>1076</v>
      </c>
      <c r="F2289" s="3" t="s">
        <v>4154</v>
      </c>
      <c r="G2289" s="3"/>
      <c r="H2289" s="4" t="s">
        <v>4198</v>
      </c>
    </row>
    <row r="2290" ht="16.5" customHeight="1" spans="1:8">
      <c r="A2290" s="3">
        <v>2289</v>
      </c>
      <c r="B2290" s="3" t="s">
        <v>5743</v>
      </c>
      <c r="C2290" s="3" t="s">
        <v>2163</v>
      </c>
      <c r="D2290" s="4" t="s">
        <v>5744</v>
      </c>
      <c r="E2290" s="3" t="s">
        <v>1076</v>
      </c>
      <c r="F2290" s="3" t="s">
        <v>4154</v>
      </c>
      <c r="G2290" s="3"/>
      <c r="H2290" s="4" t="s">
        <v>4198</v>
      </c>
    </row>
    <row r="2291" ht="16.5" customHeight="1" spans="1:8">
      <c r="A2291" s="3">
        <v>2290</v>
      </c>
      <c r="B2291" s="3" t="s">
        <v>5745</v>
      </c>
      <c r="C2291" s="3" t="s">
        <v>2163</v>
      </c>
      <c r="D2291" s="4" t="s">
        <v>5746</v>
      </c>
      <c r="E2291" s="3" t="s">
        <v>1076</v>
      </c>
      <c r="F2291" s="3" t="s">
        <v>4154</v>
      </c>
      <c r="G2291" s="3"/>
      <c r="H2291" s="4" t="s">
        <v>3354</v>
      </c>
    </row>
    <row r="2292" ht="16.5" customHeight="1" spans="1:8">
      <c r="A2292" s="3">
        <v>2291</v>
      </c>
      <c r="B2292" s="3" t="s">
        <v>5747</v>
      </c>
      <c r="C2292" s="3" t="s">
        <v>2163</v>
      </c>
      <c r="D2292" s="4" t="s">
        <v>5748</v>
      </c>
      <c r="E2292" s="3" t="s">
        <v>1076</v>
      </c>
      <c r="F2292" s="3" t="s">
        <v>4154</v>
      </c>
      <c r="G2292" s="3"/>
      <c r="H2292" s="4" t="s">
        <v>4198</v>
      </c>
    </row>
    <row r="2293" ht="16.5" customHeight="1" spans="1:8">
      <c r="A2293" s="3">
        <v>2292</v>
      </c>
      <c r="B2293" s="3" t="s">
        <v>5749</v>
      </c>
      <c r="C2293" s="3" t="s">
        <v>2163</v>
      </c>
      <c r="D2293" s="4" t="s">
        <v>5750</v>
      </c>
      <c r="E2293" s="3" t="s">
        <v>1076</v>
      </c>
      <c r="F2293" s="3" t="s">
        <v>2105</v>
      </c>
      <c r="G2293" s="3" t="s">
        <v>321</v>
      </c>
      <c r="H2293" s="4" t="s">
        <v>1305</v>
      </c>
    </row>
    <row r="2294" ht="16.5" customHeight="1" spans="1:8">
      <c r="A2294" s="3">
        <v>2293</v>
      </c>
      <c r="B2294" s="3" t="s">
        <v>5751</v>
      </c>
      <c r="C2294" s="3" t="s">
        <v>2163</v>
      </c>
      <c r="D2294" s="4" t="s">
        <v>5752</v>
      </c>
      <c r="E2294" s="3" t="s">
        <v>1076</v>
      </c>
      <c r="F2294" s="3" t="s">
        <v>2105</v>
      </c>
      <c r="G2294" s="3" t="s">
        <v>321</v>
      </c>
      <c r="H2294" s="4" t="s">
        <v>1368</v>
      </c>
    </row>
    <row r="2295" ht="16.5" customHeight="1" spans="1:8">
      <c r="A2295" s="3">
        <v>2294</v>
      </c>
      <c r="B2295" s="3" t="s">
        <v>5753</v>
      </c>
      <c r="C2295" s="3" t="s">
        <v>2163</v>
      </c>
      <c r="D2295" s="4" t="s">
        <v>5754</v>
      </c>
      <c r="E2295" s="3" t="s">
        <v>1076</v>
      </c>
      <c r="F2295" s="3" t="s">
        <v>2105</v>
      </c>
      <c r="G2295" s="3" t="s">
        <v>321</v>
      </c>
      <c r="H2295" s="4" t="s">
        <v>1305</v>
      </c>
    </row>
    <row r="2296" ht="16.5" customHeight="1" spans="1:8">
      <c r="A2296" s="3">
        <v>2295</v>
      </c>
      <c r="B2296" s="3" t="s">
        <v>5755</v>
      </c>
      <c r="C2296" s="3" t="s">
        <v>2163</v>
      </c>
      <c r="D2296" s="4" t="s">
        <v>5756</v>
      </c>
      <c r="E2296" s="3" t="s">
        <v>1076</v>
      </c>
      <c r="F2296" s="3" t="s">
        <v>2105</v>
      </c>
      <c r="G2296" s="3" t="s">
        <v>321</v>
      </c>
      <c r="H2296" s="4" t="s">
        <v>1305</v>
      </c>
    </row>
    <row r="2297" ht="16.5" customHeight="1" spans="1:8">
      <c r="A2297" s="3">
        <v>2296</v>
      </c>
      <c r="B2297" s="3" t="s">
        <v>5757</v>
      </c>
      <c r="C2297" s="3" t="s">
        <v>2163</v>
      </c>
      <c r="D2297" s="4" t="s">
        <v>5758</v>
      </c>
      <c r="E2297" s="3" t="s">
        <v>1076</v>
      </c>
      <c r="F2297" s="3" t="s">
        <v>2105</v>
      </c>
      <c r="G2297" s="3" t="s">
        <v>321</v>
      </c>
      <c r="H2297" s="4" t="s">
        <v>1305</v>
      </c>
    </row>
    <row r="2298" ht="16.5" customHeight="1" spans="1:8">
      <c r="A2298" s="3">
        <v>2297</v>
      </c>
      <c r="B2298" s="3" t="s">
        <v>5759</v>
      </c>
      <c r="C2298" s="3" t="s">
        <v>2163</v>
      </c>
      <c r="D2298" s="4" t="s">
        <v>5760</v>
      </c>
      <c r="E2298" s="3" t="s">
        <v>1076</v>
      </c>
      <c r="F2298" s="3" t="s">
        <v>2105</v>
      </c>
      <c r="G2298" s="3" t="s">
        <v>321</v>
      </c>
      <c r="H2298" s="4" t="s">
        <v>1305</v>
      </c>
    </row>
    <row r="2299" ht="16.5" customHeight="1" spans="1:8">
      <c r="A2299" s="3">
        <v>2298</v>
      </c>
      <c r="B2299" s="3" t="s">
        <v>5761</v>
      </c>
      <c r="C2299" s="3" t="s">
        <v>1074</v>
      </c>
      <c r="D2299" s="4" t="s">
        <v>5762</v>
      </c>
      <c r="E2299" s="3" t="s">
        <v>1076</v>
      </c>
      <c r="F2299" s="3" t="s">
        <v>4107</v>
      </c>
      <c r="G2299" s="3"/>
      <c r="H2299" s="4" t="s">
        <v>1308</v>
      </c>
    </row>
    <row r="2300" ht="16.5" customHeight="1" spans="1:8">
      <c r="A2300" s="3">
        <v>2299</v>
      </c>
      <c r="B2300" s="3" t="s">
        <v>5763</v>
      </c>
      <c r="C2300" s="3" t="s">
        <v>2163</v>
      </c>
      <c r="D2300" s="4" t="s">
        <v>5764</v>
      </c>
      <c r="E2300" s="3" t="s">
        <v>1076</v>
      </c>
      <c r="F2300" s="3" t="s">
        <v>4107</v>
      </c>
      <c r="G2300" s="3"/>
      <c r="H2300" s="4" t="s">
        <v>1359</v>
      </c>
    </row>
    <row r="2301" ht="16.5" customHeight="1" spans="1:8">
      <c r="A2301" s="3">
        <v>2300</v>
      </c>
      <c r="B2301" s="3" t="s">
        <v>5765</v>
      </c>
      <c r="C2301" s="3" t="s">
        <v>2163</v>
      </c>
      <c r="D2301" s="4" t="s">
        <v>5766</v>
      </c>
      <c r="E2301" s="3" t="s">
        <v>1076</v>
      </c>
      <c r="F2301" s="3" t="s">
        <v>2105</v>
      </c>
      <c r="G2301" s="3" t="s">
        <v>321</v>
      </c>
      <c r="H2301" s="4" t="s">
        <v>2181</v>
      </c>
    </row>
    <row r="2302" ht="16.5" customHeight="1" spans="1:8">
      <c r="A2302" s="3">
        <v>2301</v>
      </c>
      <c r="B2302" s="3" t="s">
        <v>5767</v>
      </c>
      <c r="C2302" s="3" t="s">
        <v>2163</v>
      </c>
      <c r="D2302" s="4" t="s">
        <v>5768</v>
      </c>
      <c r="E2302" s="3" t="s">
        <v>1076</v>
      </c>
      <c r="F2302" s="3" t="s">
        <v>2105</v>
      </c>
      <c r="G2302" s="3" t="s">
        <v>321</v>
      </c>
      <c r="H2302" s="4" t="s">
        <v>1305</v>
      </c>
    </row>
    <row r="2303" ht="16.5" customHeight="1" spans="1:8">
      <c r="A2303" s="3">
        <v>2302</v>
      </c>
      <c r="B2303" s="3" t="s">
        <v>5769</v>
      </c>
      <c r="C2303" s="3" t="s">
        <v>2163</v>
      </c>
      <c r="D2303" s="4" t="s">
        <v>5770</v>
      </c>
      <c r="E2303" s="3" t="s">
        <v>1076</v>
      </c>
      <c r="F2303" s="3" t="s">
        <v>2105</v>
      </c>
      <c r="G2303" s="3" t="s">
        <v>321</v>
      </c>
      <c r="H2303" s="4" t="s">
        <v>1305</v>
      </c>
    </row>
    <row r="2304" ht="16.5" customHeight="1" spans="1:8">
      <c r="A2304" s="3">
        <v>2303</v>
      </c>
      <c r="B2304" s="3" t="s">
        <v>5771</v>
      </c>
      <c r="C2304" s="3" t="s">
        <v>2163</v>
      </c>
      <c r="D2304" s="4" t="s">
        <v>5772</v>
      </c>
      <c r="E2304" s="3" t="s">
        <v>1076</v>
      </c>
      <c r="F2304" s="3" t="s">
        <v>2105</v>
      </c>
      <c r="G2304" s="3" t="s">
        <v>321</v>
      </c>
      <c r="H2304" s="4" t="s">
        <v>1305</v>
      </c>
    </row>
    <row r="2305" ht="16.5" customHeight="1" spans="1:8">
      <c r="A2305" s="3">
        <v>2304</v>
      </c>
      <c r="B2305" s="3" t="s">
        <v>5773</v>
      </c>
      <c r="C2305" s="3" t="s">
        <v>2163</v>
      </c>
      <c r="D2305" s="4" t="s">
        <v>5774</v>
      </c>
      <c r="E2305" s="3" t="s">
        <v>1076</v>
      </c>
      <c r="F2305" s="3" t="s">
        <v>2105</v>
      </c>
      <c r="G2305" s="3" t="s">
        <v>321</v>
      </c>
      <c r="H2305" s="4" t="s">
        <v>1305</v>
      </c>
    </row>
    <row r="2306" ht="16.5" customHeight="1" spans="1:8">
      <c r="A2306" s="3">
        <v>2305</v>
      </c>
      <c r="B2306" s="3" t="s">
        <v>5775</v>
      </c>
      <c r="C2306" s="3" t="s">
        <v>2163</v>
      </c>
      <c r="D2306" s="4" t="s">
        <v>5776</v>
      </c>
      <c r="E2306" s="3" t="s">
        <v>1076</v>
      </c>
      <c r="F2306" s="3" t="s">
        <v>4107</v>
      </c>
      <c r="G2306" s="3"/>
      <c r="H2306" s="4" t="s">
        <v>1305</v>
      </c>
    </row>
    <row r="2307" ht="16.5" customHeight="1" spans="1:8">
      <c r="A2307" s="3">
        <v>2306</v>
      </c>
      <c r="B2307" s="3" t="s">
        <v>5777</v>
      </c>
      <c r="C2307" s="3" t="s">
        <v>2163</v>
      </c>
      <c r="D2307" s="4" t="s">
        <v>5778</v>
      </c>
      <c r="E2307" s="3" t="s">
        <v>5779</v>
      </c>
      <c r="F2307" s="3" t="s">
        <v>4107</v>
      </c>
      <c r="G2307" s="3"/>
      <c r="H2307" s="4" t="s">
        <v>1095</v>
      </c>
    </row>
    <row r="2308" ht="16.5" customHeight="1" spans="1:8">
      <c r="A2308" s="3">
        <v>2307</v>
      </c>
      <c r="B2308" s="3" t="s">
        <v>5780</v>
      </c>
      <c r="C2308" s="3" t="s">
        <v>2163</v>
      </c>
      <c r="D2308" s="4" t="s">
        <v>5781</v>
      </c>
      <c r="E2308" s="3" t="s">
        <v>1076</v>
      </c>
      <c r="F2308" s="3" t="s">
        <v>4107</v>
      </c>
      <c r="G2308" s="3"/>
      <c r="H2308" s="4" t="s">
        <v>1359</v>
      </c>
    </row>
    <row r="2309" ht="16.5" customHeight="1" spans="1:8">
      <c r="A2309" s="3">
        <v>2308</v>
      </c>
      <c r="B2309" s="3" t="s">
        <v>5782</v>
      </c>
      <c r="C2309" s="3" t="s">
        <v>2163</v>
      </c>
      <c r="D2309" s="4" t="s">
        <v>5783</v>
      </c>
      <c r="E2309" s="3" t="s">
        <v>1076</v>
      </c>
      <c r="F2309" s="3" t="s">
        <v>4668</v>
      </c>
      <c r="G2309" s="3"/>
      <c r="H2309" s="4" t="s">
        <v>1305</v>
      </c>
    </row>
    <row r="2310" ht="16.5" customHeight="1" spans="1:8">
      <c r="A2310" s="3">
        <v>2309</v>
      </c>
      <c r="B2310" s="3" t="s">
        <v>5784</v>
      </c>
      <c r="C2310" s="3" t="s">
        <v>2163</v>
      </c>
      <c r="D2310" s="4" t="s">
        <v>5785</v>
      </c>
      <c r="E2310" s="3" t="s">
        <v>1076</v>
      </c>
      <c r="F2310" s="3" t="s">
        <v>4668</v>
      </c>
      <c r="G2310" s="3"/>
      <c r="H2310" s="4" t="s">
        <v>3354</v>
      </c>
    </row>
    <row r="2311" ht="16.5" customHeight="1" spans="1:8">
      <c r="A2311" s="3">
        <v>2310</v>
      </c>
      <c r="B2311" s="3" t="s">
        <v>5786</v>
      </c>
      <c r="C2311" s="3" t="s">
        <v>1356</v>
      </c>
      <c r="D2311" s="4" t="s">
        <v>5787</v>
      </c>
      <c r="E2311" s="3" t="s">
        <v>1076</v>
      </c>
      <c r="F2311" s="3" t="s">
        <v>4668</v>
      </c>
      <c r="G2311" s="3"/>
      <c r="H2311" s="4" t="s">
        <v>1359</v>
      </c>
    </row>
    <row r="2312" ht="16.5" customHeight="1" spans="1:8">
      <c r="A2312" s="3">
        <v>2311</v>
      </c>
      <c r="B2312" s="3" t="s">
        <v>5788</v>
      </c>
      <c r="C2312" s="3" t="s">
        <v>2163</v>
      </c>
      <c r="D2312" s="4" t="s">
        <v>5789</v>
      </c>
      <c r="E2312" s="3" t="s">
        <v>1076</v>
      </c>
      <c r="F2312" s="3" t="s">
        <v>4668</v>
      </c>
      <c r="G2312" s="3"/>
      <c r="H2312" s="4" t="s">
        <v>3354</v>
      </c>
    </row>
    <row r="2313" ht="16.5" customHeight="1" spans="1:8">
      <c r="A2313" s="3">
        <v>2312</v>
      </c>
      <c r="B2313" s="3" t="s">
        <v>5790</v>
      </c>
      <c r="C2313" s="3" t="s">
        <v>2163</v>
      </c>
      <c r="D2313" s="4" t="s">
        <v>5791</v>
      </c>
      <c r="E2313" s="3" t="s">
        <v>1076</v>
      </c>
      <c r="F2313" s="3" t="s">
        <v>4668</v>
      </c>
      <c r="G2313" s="3"/>
      <c r="H2313" s="4" t="s">
        <v>1095</v>
      </c>
    </row>
    <row r="2314" ht="16.5" customHeight="1" spans="1:8">
      <c r="A2314" s="3">
        <v>2313</v>
      </c>
      <c r="B2314" s="3" t="s">
        <v>5792</v>
      </c>
      <c r="C2314" s="3" t="s">
        <v>2163</v>
      </c>
      <c r="D2314" s="4" t="s">
        <v>5793</v>
      </c>
      <c r="E2314" s="3" t="s">
        <v>1076</v>
      </c>
      <c r="F2314" s="3" t="s">
        <v>4668</v>
      </c>
      <c r="G2314" s="3"/>
      <c r="H2314" s="4" t="s">
        <v>3354</v>
      </c>
    </row>
    <row r="2315" ht="16.5" customHeight="1" spans="1:8">
      <c r="A2315" s="3">
        <v>2314</v>
      </c>
      <c r="B2315" s="3" t="s">
        <v>5794</v>
      </c>
      <c r="C2315" s="3" t="s">
        <v>2163</v>
      </c>
      <c r="D2315" s="4" t="s">
        <v>5795</v>
      </c>
      <c r="E2315" s="3" t="s">
        <v>1076</v>
      </c>
      <c r="F2315" s="3" t="s">
        <v>4668</v>
      </c>
      <c r="G2315" s="3"/>
      <c r="H2315" s="4" t="s">
        <v>3354</v>
      </c>
    </row>
    <row r="2316" ht="16.5" customHeight="1" spans="1:8">
      <c r="A2316" s="3">
        <v>2315</v>
      </c>
      <c r="B2316" s="3" t="s">
        <v>5796</v>
      </c>
      <c r="C2316" s="3" t="s">
        <v>2163</v>
      </c>
      <c r="D2316" s="4" t="s">
        <v>5797</v>
      </c>
      <c r="E2316" s="3" t="s">
        <v>1076</v>
      </c>
      <c r="F2316" s="3" t="s">
        <v>4668</v>
      </c>
      <c r="G2316" s="3"/>
      <c r="H2316" s="4" t="s">
        <v>3354</v>
      </c>
    </row>
    <row r="2317" ht="16.5" customHeight="1" spans="1:8">
      <c r="A2317" s="3">
        <v>2316</v>
      </c>
      <c r="B2317" s="3" t="s">
        <v>5798</v>
      </c>
      <c r="C2317" s="3" t="s">
        <v>2163</v>
      </c>
      <c r="D2317" s="4" t="s">
        <v>5799</v>
      </c>
      <c r="E2317" s="3" t="s">
        <v>1076</v>
      </c>
      <c r="F2317" s="3" t="s">
        <v>4668</v>
      </c>
      <c r="G2317" s="3"/>
      <c r="H2317" s="4" t="s">
        <v>3354</v>
      </c>
    </row>
    <row r="2318" ht="16.5" customHeight="1" spans="1:8">
      <c r="A2318" s="3">
        <v>2317</v>
      </c>
      <c r="B2318" s="3" t="s">
        <v>5800</v>
      </c>
      <c r="C2318" s="3" t="s">
        <v>2163</v>
      </c>
      <c r="D2318" s="4" t="s">
        <v>5801</v>
      </c>
      <c r="E2318" s="3" t="s">
        <v>1076</v>
      </c>
      <c r="F2318" s="3" t="s">
        <v>4668</v>
      </c>
      <c r="G2318" s="3"/>
      <c r="H2318" s="4" t="s">
        <v>3354</v>
      </c>
    </row>
    <row r="2319" ht="16.5" customHeight="1" spans="1:8">
      <c r="A2319" s="3">
        <v>2318</v>
      </c>
      <c r="B2319" s="3" t="s">
        <v>5802</v>
      </c>
      <c r="C2319" s="3" t="s">
        <v>2163</v>
      </c>
      <c r="D2319" s="4" t="s">
        <v>5803</v>
      </c>
      <c r="E2319" s="3" t="s">
        <v>1076</v>
      </c>
      <c r="F2319" s="3" t="s">
        <v>4668</v>
      </c>
      <c r="G2319" s="3"/>
      <c r="H2319" s="4" t="s">
        <v>3354</v>
      </c>
    </row>
    <row r="2320" ht="16.5" customHeight="1" spans="1:8">
      <c r="A2320" s="3">
        <v>2319</v>
      </c>
      <c r="B2320" s="3" t="s">
        <v>5804</v>
      </c>
      <c r="C2320" s="3" t="s">
        <v>2163</v>
      </c>
      <c r="D2320" s="4" t="s">
        <v>5805</v>
      </c>
      <c r="E2320" s="3" t="s">
        <v>1076</v>
      </c>
      <c r="F2320" s="3" t="s">
        <v>4668</v>
      </c>
      <c r="G2320" s="3"/>
      <c r="H2320" s="4" t="s">
        <v>1305</v>
      </c>
    </row>
    <row r="2321" ht="16.5" customHeight="1" spans="1:8">
      <c r="A2321" s="3">
        <v>2320</v>
      </c>
      <c r="B2321" s="3" t="s">
        <v>5806</v>
      </c>
      <c r="C2321" s="3" t="s">
        <v>2163</v>
      </c>
      <c r="D2321" s="4" t="s">
        <v>5807</v>
      </c>
      <c r="E2321" s="3" t="s">
        <v>1076</v>
      </c>
      <c r="F2321" s="3" t="s">
        <v>4668</v>
      </c>
      <c r="G2321" s="3"/>
      <c r="H2321" s="4" t="s">
        <v>1305</v>
      </c>
    </row>
    <row r="2322" ht="16.5" customHeight="1" spans="1:8">
      <c r="A2322" s="3">
        <v>2321</v>
      </c>
      <c r="B2322" s="3" t="s">
        <v>5808</v>
      </c>
      <c r="C2322" s="3" t="s">
        <v>2163</v>
      </c>
      <c r="D2322" s="4" t="s">
        <v>5809</v>
      </c>
      <c r="E2322" s="3" t="s">
        <v>1076</v>
      </c>
      <c r="F2322" s="3" t="s">
        <v>4668</v>
      </c>
      <c r="G2322" s="3"/>
      <c r="H2322" s="4" t="s">
        <v>3354</v>
      </c>
    </row>
    <row r="2323" ht="16.5" customHeight="1" spans="1:8">
      <c r="A2323" s="3">
        <v>2322</v>
      </c>
      <c r="B2323" s="3" t="s">
        <v>5810</v>
      </c>
      <c r="C2323" s="3" t="s">
        <v>2163</v>
      </c>
      <c r="D2323" s="4" t="s">
        <v>5811</v>
      </c>
      <c r="E2323" s="3" t="s">
        <v>1076</v>
      </c>
      <c r="F2323" s="3" t="s">
        <v>4668</v>
      </c>
      <c r="G2323" s="3"/>
      <c r="H2323" s="4" t="s">
        <v>3354</v>
      </c>
    </row>
    <row r="2324" ht="16.5" customHeight="1" spans="1:8">
      <c r="A2324" s="3">
        <v>2323</v>
      </c>
      <c r="B2324" s="3" t="s">
        <v>5812</v>
      </c>
      <c r="C2324" s="3" t="s">
        <v>2163</v>
      </c>
      <c r="D2324" s="4" t="s">
        <v>5813</v>
      </c>
      <c r="E2324" s="3" t="s">
        <v>1076</v>
      </c>
      <c r="F2324" s="3" t="s">
        <v>4668</v>
      </c>
      <c r="G2324" s="3"/>
      <c r="H2324" s="4" t="s">
        <v>3354</v>
      </c>
    </row>
    <row r="2325" ht="16.5" customHeight="1" spans="1:8">
      <c r="A2325" s="3">
        <v>2324</v>
      </c>
      <c r="B2325" s="3" t="s">
        <v>5814</v>
      </c>
      <c r="C2325" s="3" t="s">
        <v>2163</v>
      </c>
      <c r="D2325" s="4" t="s">
        <v>5815</v>
      </c>
      <c r="E2325" s="3" t="s">
        <v>1076</v>
      </c>
      <c r="F2325" s="3" t="s">
        <v>4668</v>
      </c>
      <c r="G2325" s="3"/>
      <c r="H2325" s="4" t="s">
        <v>3354</v>
      </c>
    </row>
    <row r="2326" ht="16.5" customHeight="1" spans="1:8">
      <c r="A2326" s="3">
        <v>2325</v>
      </c>
      <c r="B2326" s="3" t="s">
        <v>5816</v>
      </c>
      <c r="C2326" s="3" t="s">
        <v>2163</v>
      </c>
      <c r="D2326" s="4" t="s">
        <v>5817</v>
      </c>
      <c r="E2326" s="3" t="s">
        <v>1076</v>
      </c>
      <c r="F2326" s="3" t="s">
        <v>4668</v>
      </c>
      <c r="G2326" s="3"/>
      <c r="H2326" s="4" t="s">
        <v>3354</v>
      </c>
    </row>
    <row r="2327" ht="16.5" customHeight="1" spans="1:8">
      <c r="A2327" s="3">
        <v>2326</v>
      </c>
      <c r="B2327" s="3" t="s">
        <v>5818</v>
      </c>
      <c r="C2327" s="3" t="s">
        <v>2163</v>
      </c>
      <c r="D2327" s="4" t="s">
        <v>5819</v>
      </c>
      <c r="E2327" s="3" t="s">
        <v>1076</v>
      </c>
      <c r="F2327" s="3" t="s">
        <v>4668</v>
      </c>
      <c r="G2327" s="3"/>
      <c r="H2327" s="4" t="s">
        <v>3354</v>
      </c>
    </row>
    <row r="2328" ht="16.5" customHeight="1" spans="1:8">
      <c r="A2328" s="3">
        <v>2327</v>
      </c>
      <c r="B2328" s="3" t="s">
        <v>5820</v>
      </c>
      <c r="C2328" s="3" t="s">
        <v>2163</v>
      </c>
      <c r="D2328" s="4" t="s">
        <v>5821</v>
      </c>
      <c r="E2328" s="3" t="s">
        <v>1076</v>
      </c>
      <c r="F2328" s="3" t="s">
        <v>4668</v>
      </c>
      <c r="G2328" s="3"/>
      <c r="H2328" s="4" t="s">
        <v>1305</v>
      </c>
    </row>
    <row r="2329" ht="16.5" customHeight="1" spans="1:8">
      <c r="A2329" s="3">
        <v>2328</v>
      </c>
      <c r="B2329" s="3" t="s">
        <v>5822</v>
      </c>
      <c r="C2329" s="3" t="s">
        <v>2163</v>
      </c>
      <c r="D2329" s="4" t="s">
        <v>5823</v>
      </c>
      <c r="E2329" s="3" t="s">
        <v>1076</v>
      </c>
      <c r="F2329" s="3" t="s">
        <v>4668</v>
      </c>
      <c r="G2329" s="3"/>
      <c r="H2329" s="4" t="s">
        <v>3354</v>
      </c>
    </row>
    <row r="2330" ht="16.5" customHeight="1" spans="1:8">
      <c r="A2330" s="3">
        <v>2329</v>
      </c>
      <c r="B2330" s="3" t="s">
        <v>5824</v>
      </c>
      <c r="C2330" s="3" t="s">
        <v>2163</v>
      </c>
      <c r="D2330" s="4" t="s">
        <v>5825</v>
      </c>
      <c r="E2330" s="3" t="s">
        <v>1076</v>
      </c>
      <c r="F2330" s="3" t="s">
        <v>4668</v>
      </c>
      <c r="G2330" s="3"/>
      <c r="H2330" s="4" t="s">
        <v>3354</v>
      </c>
    </row>
    <row r="2331" ht="16.5" customHeight="1" spans="1:8">
      <c r="A2331" s="3">
        <v>2330</v>
      </c>
      <c r="B2331" s="3" t="s">
        <v>5826</v>
      </c>
      <c r="C2331" s="3" t="s">
        <v>2163</v>
      </c>
      <c r="D2331" s="4" t="s">
        <v>5827</v>
      </c>
      <c r="E2331" s="3" t="s">
        <v>1076</v>
      </c>
      <c r="F2331" s="3" t="s">
        <v>4668</v>
      </c>
      <c r="G2331" s="3"/>
      <c r="H2331" s="4" t="s">
        <v>3354</v>
      </c>
    </row>
    <row r="2332" ht="16.5" customHeight="1" spans="1:8">
      <c r="A2332" s="3">
        <v>2331</v>
      </c>
      <c r="B2332" s="3" t="s">
        <v>5828</v>
      </c>
      <c r="C2332" s="3" t="s">
        <v>2163</v>
      </c>
      <c r="D2332" s="4" t="s">
        <v>5829</v>
      </c>
      <c r="E2332" s="3" t="s">
        <v>1076</v>
      </c>
      <c r="F2332" s="3" t="s">
        <v>4668</v>
      </c>
      <c r="G2332" s="3"/>
      <c r="H2332" s="4" t="s">
        <v>3354</v>
      </c>
    </row>
    <row r="2333" ht="16.5" customHeight="1" spans="1:8">
      <c r="A2333" s="3">
        <v>2332</v>
      </c>
      <c r="B2333" s="3" t="s">
        <v>5830</v>
      </c>
      <c r="C2333" s="3" t="s">
        <v>2163</v>
      </c>
      <c r="D2333" s="4" t="s">
        <v>5831</v>
      </c>
      <c r="E2333" s="3" t="s">
        <v>1076</v>
      </c>
      <c r="F2333" s="3" t="s">
        <v>4668</v>
      </c>
      <c r="G2333" s="3"/>
      <c r="H2333" s="4" t="s">
        <v>1305</v>
      </c>
    </row>
    <row r="2334" ht="16.5" customHeight="1" spans="1:8">
      <c r="A2334" s="3">
        <v>2333</v>
      </c>
      <c r="B2334" s="3" t="s">
        <v>5832</v>
      </c>
      <c r="C2334" s="3" t="s">
        <v>2163</v>
      </c>
      <c r="D2334" s="4" t="s">
        <v>5833</v>
      </c>
      <c r="E2334" s="3" t="s">
        <v>1076</v>
      </c>
      <c r="F2334" s="3" t="s">
        <v>4668</v>
      </c>
      <c r="G2334" s="3"/>
      <c r="H2334" s="4" t="s">
        <v>3354</v>
      </c>
    </row>
    <row r="2335" ht="16.5" customHeight="1" spans="1:8">
      <c r="A2335" s="3">
        <v>2334</v>
      </c>
      <c r="B2335" s="3" t="s">
        <v>5834</v>
      </c>
      <c r="C2335" s="3" t="s">
        <v>2163</v>
      </c>
      <c r="D2335" s="4" t="s">
        <v>5835</v>
      </c>
      <c r="E2335" s="3" t="s">
        <v>2263</v>
      </c>
      <c r="F2335" s="3" t="s">
        <v>4668</v>
      </c>
      <c r="G2335" s="3"/>
      <c r="H2335" s="4" t="s">
        <v>1305</v>
      </c>
    </row>
    <row r="2336" ht="16.5" customHeight="1" spans="1:8">
      <c r="A2336" s="3">
        <v>2335</v>
      </c>
      <c r="B2336" s="3" t="s">
        <v>5836</v>
      </c>
      <c r="C2336" s="3" t="s">
        <v>2163</v>
      </c>
      <c r="D2336" s="4" t="s">
        <v>5837</v>
      </c>
      <c r="E2336" s="3" t="s">
        <v>1076</v>
      </c>
      <c r="F2336" s="3" t="s">
        <v>4668</v>
      </c>
      <c r="G2336" s="3"/>
      <c r="H2336" s="4" t="s">
        <v>1305</v>
      </c>
    </row>
    <row r="2337" ht="16.5" customHeight="1" spans="1:8">
      <c r="A2337" s="3">
        <v>2336</v>
      </c>
      <c r="B2337" s="3" t="s">
        <v>5838</v>
      </c>
      <c r="C2337" s="3" t="s">
        <v>2163</v>
      </c>
      <c r="D2337" s="4" t="s">
        <v>5835</v>
      </c>
      <c r="E2337" s="3" t="s">
        <v>1076</v>
      </c>
      <c r="F2337" s="3" t="s">
        <v>4668</v>
      </c>
      <c r="G2337" s="3"/>
      <c r="H2337" s="4" t="s">
        <v>1305</v>
      </c>
    </row>
    <row r="2338" ht="16.5" customHeight="1" spans="1:8">
      <c r="A2338" s="3">
        <v>2337</v>
      </c>
      <c r="B2338" s="3" t="s">
        <v>5839</v>
      </c>
      <c r="C2338" s="3" t="s">
        <v>1356</v>
      </c>
      <c r="D2338" s="4" t="s">
        <v>5840</v>
      </c>
      <c r="E2338" s="3" t="s">
        <v>1076</v>
      </c>
      <c r="F2338" s="3" t="s">
        <v>1358</v>
      </c>
      <c r="G2338" s="3" t="s">
        <v>321</v>
      </c>
      <c r="H2338" s="4" t="s">
        <v>1359</v>
      </c>
    </row>
    <row r="2339" ht="16.5" customHeight="1" spans="1:8">
      <c r="A2339" s="3">
        <v>2338</v>
      </c>
      <c r="B2339" s="3" t="s">
        <v>5841</v>
      </c>
      <c r="C2339" s="3" t="s">
        <v>1356</v>
      </c>
      <c r="D2339" s="4" t="s">
        <v>5842</v>
      </c>
      <c r="E2339" s="3" t="s">
        <v>1076</v>
      </c>
      <c r="F2339" s="3" t="s">
        <v>1358</v>
      </c>
      <c r="G2339" s="3" t="s">
        <v>321</v>
      </c>
      <c r="H2339" s="4" t="s">
        <v>1359</v>
      </c>
    </row>
    <row r="2340" ht="16.5" customHeight="1" spans="1:8">
      <c r="A2340" s="3">
        <v>2339</v>
      </c>
      <c r="B2340" s="3" t="s">
        <v>5843</v>
      </c>
      <c r="C2340" s="3" t="s">
        <v>1356</v>
      </c>
      <c r="D2340" s="4" t="s">
        <v>5844</v>
      </c>
      <c r="E2340" s="3" t="s">
        <v>1076</v>
      </c>
      <c r="F2340" s="3" t="s">
        <v>1358</v>
      </c>
      <c r="G2340" s="3" t="s">
        <v>321</v>
      </c>
      <c r="H2340" s="4" t="s">
        <v>1308</v>
      </c>
    </row>
    <row r="2341" ht="16.5" customHeight="1" spans="1:8">
      <c r="A2341" s="3">
        <v>2340</v>
      </c>
      <c r="B2341" s="3" t="s">
        <v>5845</v>
      </c>
      <c r="C2341" s="3" t="s">
        <v>1356</v>
      </c>
      <c r="D2341" s="4" t="s">
        <v>5846</v>
      </c>
      <c r="E2341" s="3" t="s">
        <v>1076</v>
      </c>
      <c r="F2341" s="3" t="s">
        <v>1358</v>
      </c>
      <c r="G2341" s="3" t="s">
        <v>321</v>
      </c>
      <c r="H2341" s="4" t="s">
        <v>1368</v>
      </c>
    </row>
    <row r="2342" ht="16.5" customHeight="1" spans="1:8">
      <c r="A2342" s="3">
        <v>2341</v>
      </c>
      <c r="B2342" s="3" t="s">
        <v>5847</v>
      </c>
      <c r="C2342" s="3" t="s">
        <v>1356</v>
      </c>
      <c r="D2342" s="4" t="s">
        <v>5848</v>
      </c>
      <c r="E2342" s="3" t="s">
        <v>1076</v>
      </c>
      <c r="F2342" s="3" t="s">
        <v>1358</v>
      </c>
      <c r="G2342" s="3"/>
      <c r="H2342" s="4" t="s">
        <v>1308</v>
      </c>
    </row>
    <row r="2343" ht="16.5" customHeight="1" spans="1:8">
      <c r="A2343" s="3">
        <v>2342</v>
      </c>
      <c r="B2343" s="3" t="s">
        <v>5849</v>
      </c>
      <c r="C2343" s="3" t="s">
        <v>1356</v>
      </c>
      <c r="D2343" s="4" t="s">
        <v>5850</v>
      </c>
      <c r="E2343" s="3" t="s">
        <v>1076</v>
      </c>
      <c r="F2343" s="3" t="s">
        <v>1358</v>
      </c>
      <c r="G2343" s="3" t="s">
        <v>321</v>
      </c>
      <c r="H2343" s="4" t="s">
        <v>1359</v>
      </c>
    </row>
    <row r="2344" ht="16.5" customHeight="1" spans="1:8">
      <c r="A2344" s="3">
        <v>2343</v>
      </c>
      <c r="B2344" s="3" t="s">
        <v>5851</v>
      </c>
      <c r="C2344" s="3" t="s">
        <v>1356</v>
      </c>
      <c r="D2344" s="4" t="s">
        <v>5852</v>
      </c>
      <c r="E2344" s="3" t="s">
        <v>1076</v>
      </c>
      <c r="F2344" s="3" t="s">
        <v>1358</v>
      </c>
      <c r="G2344" s="3" t="s">
        <v>321</v>
      </c>
      <c r="H2344" s="4" t="s">
        <v>1359</v>
      </c>
    </row>
    <row r="2345" ht="16.5" customHeight="1" spans="1:8">
      <c r="A2345" s="3">
        <v>2344</v>
      </c>
      <c r="B2345" s="3" t="s">
        <v>5853</v>
      </c>
      <c r="C2345" s="3" t="s">
        <v>1356</v>
      </c>
      <c r="D2345" s="4" t="s">
        <v>5854</v>
      </c>
      <c r="E2345" s="3" t="s">
        <v>1076</v>
      </c>
      <c r="F2345" s="3" t="s">
        <v>1358</v>
      </c>
      <c r="G2345" s="3" t="s">
        <v>321</v>
      </c>
      <c r="H2345" s="4" t="s">
        <v>1359</v>
      </c>
    </row>
    <row r="2346" ht="16.5" customHeight="1" spans="1:8">
      <c r="A2346" s="3">
        <v>2345</v>
      </c>
      <c r="B2346" s="3" t="s">
        <v>5855</v>
      </c>
      <c r="C2346" s="3" t="s">
        <v>2163</v>
      </c>
      <c r="D2346" s="4" t="s">
        <v>5856</v>
      </c>
      <c r="E2346" s="3" t="s">
        <v>1076</v>
      </c>
      <c r="F2346" s="3" t="s">
        <v>4107</v>
      </c>
      <c r="G2346" s="3"/>
      <c r="H2346" s="4" t="s">
        <v>1359</v>
      </c>
    </row>
    <row r="2347" ht="16.5" customHeight="1" spans="1:8">
      <c r="A2347" s="3">
        <v>2346</v>
      </c>
      <c r="B2347" s="3" t="s">
        <v>5857</v>
      </c>
      <c r="C2347" s="3" t="s">
        <v>2163</v>
      </c>
      <c r="D2347" s="4" t="s">
        <v>5858</v>
      </c>
      <c r="E2347" s="3" t="s">
        <v>1076</v>
      </c>
      <c r="F2347" s="3" t="s">
        <v>4107</v>
      </c>
      <c r="G2347" s="3"/>
      <c r="H2347" s="4" t="s">
        <v>1359</v>
      </c>
    </row>
    <row r="2348" ht="16.5" customHeight="1" spans="1:8">
      <c r="A2348" s="3">
        <v>2347</v>
      </c>
      <c r="B2348" s="3" t="s">
        <v>5859</v>
      </c>
      <c r="C2348" s="3" t="s">
        <v>2163</v>
      </c>
      <c r="D2348" s="4" t="s">
        <v>5860</v>
      </c>
      <c r="E2348" s="3" t="s">
        <v>1076</v>
      </c>
      <c r="F2348" s="3" t="s">
        <v>4107</v>
      </c>
      <c r="G2348" s="3"/>
      <c r="H2348" s="4" t="s">
        <v>1359</v>
      </c>
    </row>
    <row r="2349" ht="16.5" customHeight="1" spans="1:8">
      <c r="A2349" s="3">
        <v>2348</v>
      </c>
      <c r="B2349" s="3" t="s">
        <v>5861</v>
      </c>
      <c r="C2349" s="3" t="s">
        <v>2163</v>
      </c>
      <c r="D2349" s="4" t="s">
        <v>5862</v>
      </c>
      <c r="E2349" s="3" t="s">
        <v>1076</v>
      </c>
      <c r="F2349" s="3" t="s">
        <v>4107</v>
      </c>
      <c r="G2349" s="3"/>
      <c r="H2349" s="4" t="s">
        <v>1359</v>
      </c>
    </row>
    <row r="2350" ht="16.5" customHeight="1" spans="1:8">
      <c r="A2350" s="3">
        <v>2349</v>
      </c>
      <c r="B2350" s="3" t="s">
        <v>5863</v>
      </c>
      <c r="C2350" s="3" t="s">
        <v>2163</v>
      </c>
      <c r="D2350" s="4" t="s">
        <v>5864</v>
      </c>
      <c r="E2350" s="3" t="s">
        <v>1076</v>
      </c>
      <c r="F2350" s="3" t="s">
        <v>4107</v>
      </c>
      <c r="G2350" s="3"/>
      <c r="H2350" s="4" t="s">
        <v>1305</v>
      </c>
    </row>
    <row r="2351" ht="16.5" customHeight="1" spans="1:8">
      <c r="A2351" s="3">
        <v>2350</v>
      </c>
      <c r="B2351" s="3" t="s">
        <v>5865</v>
      </c>
      <c r="C2351" s="3" t="s">
        <v>2163</v>
      </c>
      <c r="D2351" s="4" t="s">
        <v>5866</v>
      </c>
      <c r="E2351" s="3" t="s">
        <v>1076</v>
      </c>
      <c r="F2351" s="3" t="s">
        <v>4107</v>
      </c>
      <c r="G2351" s="3"/>
      <c r="H2351" s="4" t="s">
        <v>1305</v>
      </c>
    </row>
    <row r="2352" ht="16.5" customHeight="1" spans="1:8">
      <c r="A2352" s="3">
        <v>2351</v>
      </c>
      <c r="B2352" s="3" t="s">
        <v>5867</v>
      </c>
      <c r="C2352" s="3" t="s">
        <v>2163</v>
      </c>
      <c r="D2352" s="4" t="s">
        <v>5868</v>
      </c>
      <c r="E2352" s="3" t="s">
        <v>1076</v>
      </c>
      <c r="F2352" s="3" t="s">
        <v>1358</v>
      </c>
      <c r="G2352" s="3" t="s">
        <v>98</v>
      </c>
      <c r="H2352" s="4" t="s">
        <v>1305</v>
      </c>
    </row>
    <row r="2353" ht="16.5" customHeight="1" spans="1:8">
      <c r="A2353" s="3">
        <v>2352</v>
      </c>
      <c r="B2353" s="3" t="s">
        <v>5869</v>
      </c>
      <c r="C2353" s="3" t="s">
        <v>2163</v>
      </c>
      <c r="D2353" s="4" t="s">
        <v>5870</v>
      </c>
      <c r="E2353" s="3" t="s">
        <v>1076</v>
      </c>
      <c r="F2353" s="3" t="s">
        <v>4107</v>
      </c>
      <c r="G2353" s="3"/>
      <c r="H2353" s="4" t="s">
        <v>1305</v>
      </c>
    </row>
    <row r="2354" ht="16.5" customHeight="1" spans="1:8">
      <c r="A2354" s="3">
        <v>2353</v>
      </c>
      <c r="B2354" s="3" t="s">
        <v>5871</v>
      </c>
      <c r="C2354" s="3" t="s">
        <v>1356</v>
      </c>
      <c r="D2354" s="4" t="s">
        <v>5872</v>
      </c>
      <c r="E2354" s="3" t="s">
        <v>1076</v>
      </c>
      <c r="F2354" s="3" t="s">
        <v>1358</v>
      </c>
      <c r="G2354" s="3"/>
      <c r="H2354" s="4" t="s">
        <v>1305</v>
      </c>
    </row>
    <row r="2355" ht="16.5" customHeight="1" spans="1:8">
      <c r="A2355" s="3">
        <v>2354</v>
      </c>
      <c r="B2355" s="3" t="s">
        <v>5873</v>
      </c>
      <c r="C2355" s="3" t="s">
        <v>1074</v>
      </c>
      <c r="D2355" s="4" t="s">
        <v>5874</v>
      </c>
      <c r="E2355" s="3" t="s">
        <v>1076</v>
      </c>
      <c r="F2355" s="3" t="s">
        <v>4107</v>
      </c>
      <c r="G2355" s="3"/>
      <c r="H2355" s="4" t="s">
        <v>1305</v>
      </c>
    </row>
    <row r="2356" ht="16.5" customHeight="1" spans="1:8">
      <c r="A2356" s="3">
        <v>2355</v>
      </c>
      <c r="B2356" s="3" t="s">
        <v>5875</v>
      </c>
      <c r="C2356" s="3" t="s">
        <v>2163</v>
      </c>
      <c r="D2356" s="4" t="s">
        <v>5876</v>
      </c>
      <c r="E2356" s="3" t="s">
        <v>1076</v>
      </c>
      <c r="F2356" s="3" t="s">
        <v>1358</v>
      </c>
      <c r="G2356" s="3"/>
      <c r="H2356" s="4" t="s">
        <v>1359</v>
      </c>
    </row>
    <row r="2357" ht="16.5" customHeight="1" spans="1:8">
      <c r="A2357" s="3">
        <v>2356</v>
      </c>
      <c r="B2357" s="3" t="s">
        <v>5877</v>
      </c>
      <c r="C2357" s="3" t="s">
        <v>2163</v>
      </c>
      <c r="D2357" s="4" t="s">
        <v>5878</v>
      </c>
      <c r="E2357" s="3" t="s">
        <v>1076</v>
      </c>
      <c r="F2357" s="3" t="s">
        <v>4107</v>
      </c>
      <c r="G2357" s="3"/>
      <c r="H2357" s="4" t="s">
        <v>1305</v>
      </c>
    </row>
    <row r="2358" ht="16.5" customHeight="1" spans="1:8">
      <c r="A2358" s="3">
        <v>2357</v>
      </c>
      <c r="B2358" s="3" t="s">
        <v>5879</v>
      </c>
      <c r="C2358" s="3" t="s">
        <v>2163</v>
      </c>
      <c r="D2358" s="4" t="s">
        <v>5880</v>
      </c>
      <c r="E2358" s="3" t="s">
        <v>1076</v>
      </c>
      <c r="F2358" s="3" t="s">
        <v>4107</v>
      </c>
      <c r="G2358" s="3"/>
      <c r="H2358" s="4" t="s">
        <v>1305</v>
      </c>
    </row>
    <row r="2359" ht="16.5" customHeight="1" spans="1:8">
      <c r="A2359" s="3">
        <v>2358</v>
      </c>
      <c r="B2359" s="3" t="s">
        <v>5881</v>
      </c>
      <c r="C2359" s="3" t="s">
        <v>1356</v>
      </c>
      <c r="D2359" s="4" t="s">
        <v>5882</v>
      </c>
      <c r="E2359" s="3" t="s">
        <v>1076</v>
      </c>
      <c r="F2359" s="3" t="s">
        <v>4110</v>
      </c>
      <c r="G2359" s="3"/>
      <c r="H2359" s="4" t="s">
        <v>5396</v>
      </c>
    </row>
    <row r="2360" ht="16.5" customHeight="1" spans="1:8">
      <c r="A2360" s="3">
        <v>2359</v>
      </c>
      <c r="B2360" s="3" t="s">
        <v>5883</v>
      </c>
      <c r="C2360" s="3" t="s">
        <v>1356</v>
      </c>
      <c r="D2360" s="4" t="s">
        <v>5884</v>
      </c>
      <c r="E2360" s="3" t="s">
        <v>1076</v>
      </c>
      <c r="F2360" s="3" t="s">
        <v>4110</v>
      </c>
      <c r="G2360" s="3"/>
      <c r="H2360" s="4" t="s">
        <v>1359</v>
      </c>
    </row>
    <row r="2361" ht="16.5" customHeight="1" spans="1:8">
      <c r="A2361" s="3">
        <v>2360</v>
      </c>
      <c r="B2361" s="3" t="s">
        <v>5885</v>
      </c>
      <c r="C2361" s="3" t="s">
        <v>1356</v>
      </c>
      <c r="D2361" s="4" t="s">
        <v>5886</v>
      </c>
      <c r="E2361" s="3" t="s">
        <v>1076</v>
      </c>
      <c r="F2361" s="3" t="s">
        <v>5887</v>
      </c>
      <c r="G2361" s="3"/>
      <c r="H2361" s="4" t="s">
        <v>2050</v>
      </c>
    </row>
    <row r="2362" ht="16.5" customHeight="1" spans="1:8">
      <c r="A2362" s="3">
        <v>2361</v>
      </c>
      <c r="B2362" s="3" t="s">
        <v>5888</v>
      </c>
      <c r="C2362" s="3" t="s">
        <v>1356</v>
      </c>
      <c r="D2362" s="4" t="s">
        <v>5889</v>
      </c>
      <c r="E2362" s="3" t="s">
        <v>1076</v>
      </c>
      <c r="F2362" s="3" t="s">
        <v>5887</v>
      </c>
      <c r="G2362" s="3"/>
      <c r="H2362" s="4" t="s">
        <v>2050</v>
      </c>
    </row>
    <row r="2363" ht="16.5" customHeight="1" spans="1:8">
      <c r="A2363" s="3">
        <v>2362</v>
      </c>
      <c r="B2363" s="3" t="s">
        <v>5890</v>
      </c>
      <c r="C2363" s="3" t="s">
        <v>2163</v>
      </c>
      <c r="D2363" s="4" t="s">
        <v>5891</v>
      </c>
      <c r="E2363" s="3" t="s">
        <v>1076</v>
      </c>
      <c r="F2363" s="3" t="s">
        <v>2041</v>
      </c>
      <c r="G2363" s="3" t="s">
        <v>321</v>
      </c>
      <c r="H2363" s="4" t="s">
        <v>1305</v>
      </c>
    </row>
    <row r="2364" ht="16.5" customHeight="1" spans="1:8">
      <c r="A2364" s="3">
        <v>2363</v>
      </c>
      <c r="B2364" s="3" t="s">
        <v>5892</v>
      </c>
      <c r="C2364" s="3" t="s">
        <v>1356</v>
      </c>
      <c r="D2364" s="4" t="s">
        <v>5893</v>
      </c>
      <c r="E2364" s="3" t="s">
        <v>1076</v>
      </c>
      <c r="F2364" s="3" t="s">
        <v>4107</v>
      </c>
      <c r="G2364" s="3"/>
      <c r="H2364" s="4" t="s">
        <v>1359</v>
      </c>
    </row>
    <row r="2365" ht="16.5" customHeight="1" spans="1:8">
      <c r="A2365" s="3">
        <v>2364</v>
      </c>
      <c r="B2365" s="3" t="s">
        <v>5894</v>
      </c>
      <c r="C2365" s="3" t="s">
        <v>2163</v>
      </c>
      <c r="D2365" s="4" t="s">
        <v>5895</v>
      </c>
      <c r="E2365" s="3" t="s">
        <v>1076</v>
      </c>
      <c r="F2365" s="3" t="s">
        <v>4107</v>
      </c>
      <c r="G2365" s="3"/>
      <c r="H2365" s="4" t="s">
        <v>1305</v>
      </c>
    </row>
    <row r="2366" ht="16.5" customHeight="1" spans="1:8">
      <c r="A2366" s="3">
        <v>2365</v>
      </c>
      <c r="B2366" s="3" t="s">
        <v>5896</v>
      </c>
      <c r="C2366" s="3" t="s">
        <v>1356</v>
      </c>
      <c r="D2366" s="4" t="s">
        <v>5897</v>
      </c>
      <c r="E2366" s="3" t="s">
        <v>1164</v>
      </c>
      <c r="F2366" s="3" t="s">
        <v>1736</v>
      </c>
      <c r="G2366" s="3"/>
      <c r="H2366" s="4" t="s">
        <v>4313</v>
      </c>
    </row>
    <row r="2367" ht="16.5" customHeight="1" spans="1:8">
      <c r="A2367" s="3">
        <v>2366</v>
      </c>
      <c r="B2367" s="3" t="s">
        <v>5898</v>
      </c>
      <c r="C2367" s="3" t="s">
        <v>1105</v>
      </c>
      <c r="D2367" s="4" t="s">
        <v>5899</v>
      </c>
      <c r="E2367" s="3" t="s">
        <v>1164</v>
      </c>
      <c r="F2367" s="3" t="s">
        <v>1736</v>
      </c>
      <c r="G2367" s="3"/>
      <c r="H2367" s="4" t="s">
        <v>5900</v>
      </c>
    </row>
    <row r="2368" ht="16.5" customHeight="1" spans="1:8">
      <c r="A2368" s="3">
        <v>2367</v>
      </c>
      <c r="B2368" s="3" t="s">
        <v>5901</v>
      </c>
      <c r="C2368" s="3" t="s">
        <v>1105</v>
      </c>
      <c r="D2368" s="4" t="s">
        <v>5902</v>
      </c>
      <c r="E2368" s="3" t="s">
        <v>1164</v>
      </c>
      <c r="F2368" s="3" t="s">
        <v>1736</v>
      </c>
      <c r="G2368" s="3"/>
      <c r="H2368" s="4" t="s">
        <v>5900</v>
      </c>
    </row>
    <row r="2369" ht="16.5" customHeight="1" spans="1:8">
      <c r="A2369" s="3">
        <v>2368</v>
      </c>
      <c r="B2369" s="3" t="s">
        <v>5903</v>
      </c>
      <c r="C2369" s="3" t="s">
        <v>1105</v>
      </c>
      <c r="D2369" s="4" t="s">
        <v>5904</v>
      </c>
      <c r="E2369" s="3" t="s">
        <v>1076</v>
      </c>
      <c r="F2369" s="3" t="s">
        <v>1736</v>
      </c>
      <c r="G2369" s="3"/>
      <c r="H2369" s="4" t="s">
        <v>5900</v>
      </c>
    </row>
    <row r="2370" ht="16.5" customHeight="1" spans="1:8">
      <c r="A2370" s="3">
        <v>2369</v>
      </c>
      <c r="B2370" s="3" t="s">
        <v>5905</v>
      </c>
      <c r="C2370" s="3" t="s">
        <v>1105</v>
      </c>
      <c r="D2370" s="4" t="s">
        <v>5906</v>
      </c>
      <c r="E2370" s="3" t="s">
        <v>1164</v>
      </c>
      <c r="F2370" s="3" t="s">
        <v>1736</v>
      </c>
      <c r="G2370" s="3"/>
      <c r="H2370" s="4" t="s">
        <v>5900</v>
      </c>
    </row>
    <row r="2371" ht="16.5" customHeight="1" spans="1:8">
      <c r="A2371" s="3">
        <v>2370</v>
      </c>
      <c r="B2371" s="3" t="s">
        <v>5907</v>
      </c>
      <c r="C2371" s="3" t="s">
        <v>2163</v>
      </c>
      <c r="D2371" s="4" t="s">
        <v>5908</v>
      </c>
      <c r="E2371" s="3" t="s">
        <v>1076</v>
      </c>
      <c r="F2371" s="3" t="s">
        <v>4154</v>
      </c>
      <c r="G2371" s="3"/>
      <c r="H2371" s="4" t="s">
        <v>4198</v>
      </c>
    </row>
    <row r="2372" ht="16.5" customHeight="1" spans="1:8">
      <c r="A2372" s="3">
        <v>2371</v>
      </c>
      <c r="B2372" s="3" t="s">
        <v>5909</v>
      </c>
      <c r="C2372" s="3" t="s">
        <v>2163</v>
      </c>
      <c r="D2372" s="4" t="s">
        <v>5910</v>
      </c>
      <c r="E2372" s="3" t="s">
        <v>1076</v>
      </c>
      <c r="F2372" s="3" t="s">
        <v>2041</v>
      </c>
      <c r="G2372" s="3" t="s">
        <v>321</v>
      </c>
      <c r="H2372" s="4" t="s">
        <v>1305</v>
      </c>
    </row>
    <row r="2373" ht="16.5" customHeight="1" spans="1:8">
      <c r="A2373" s="3">
        <v>2372</v>
      </c>
      <c r="B2373" s="3" t="s">
        <v>5911</v>
      </c>
      <c r="C2373" s="3" t="s">
        <v>2163</v>
      </c>
      <c r="D2373" s="4" t="s">
        <v>5912</v>
      </c>
      <c r="E2373" s="3" t="s">
        <v>1076</v>
      </c>
      <c r="F2373" s="3" t="s">
        <v>2041</v>
      </c>
      <c r="G2373" s="3" t="s">
        <v>321</v>
      </c>
      <c r="H2373" s="4" t="s">
        <v>1305</v>
      </c>
    </row>
    <row r="2374" ht="16.5" customHeight="1" spans="1:8">
      <c r="A2374" s="3">
        <v>2373</v>
      </c>
      <c r="B2374" s="3" t="s">
        <v>5913</v>
      </c>
      <c r="C2374" s="3" t="s">
        <v>2163</v>
      </c>
      <c r="D2374" s="4" t="s">
        <v>5914</v>
      </c>
      <c r="E2374" s="3" t="s">
        <v>1076</v>
      </c>
      <c r="F2374" s="3" t="s">
        <v>2105</v>
      </c>
      <c r="G2374" s="3" t="s">
        <v>321</v>
      </c>
      <c r="H2374" s="4" t="s">
        <v>1359</v>
      </c>
    </row>
    <row r="2375" ht="16.5" customHeight="1" spans="1:8">
      <c r="A2375" s="3">
        <v>2374</v>
      </c>
      <c r="B2375" s="3" t="s">
        <v>5915</v>
      </c>
      <c r="C2375" s="3" t="s">
        <v>2163</v>
      </c>
      <c r="D2375" s="4" t="s">
        <v>5916</v>
      </c>
      <c r="E2375" s="3" t="s">
        <v>1076</v>
      </c>
      <c r="F2375" s="3" t="s">
        <v>2105</v>
      </c>
      <c r="G2375" s="3" t="s">
        <v>321</v>
      </c>
      <c r="H2375" s="4" t="s">
        <v>1305</v>
      </c>
    </row>
    <row r="2376" ht="16.5" customHeight="1" spans="1:8">
      <c r="A2376" s="3">
        <v>2375</v>
      </c>
      <c r="B2376" s="3" t="s">
        <v>5917</v>
      </c>
      <c r="C2376" s="3" t="s">
        <v>2163</v>
      </c>
      <c r="D2376" s="4" t="s">
        <v>5918</v>
      </c>
      <c r="E2376" s="3" t="s">
        <v>1076</v>
      </c>
      <c r="F2376" s="3" t="s">
        <v>4154</v>
      </c>
      <c r="G2376" s="3"/>
      <c r="H2376" s="4" t="s">
        <v>4198</v>
      </c>
    </row>
    <row r="2377" ht="16.5" customHeight="1" spans="1:8">
      <c r="A2377" s="3">
        <v>2376</v>
      </c>
      <c r="B2377" s="3" t="s">
        <v>5919</v>
      </c>
      <c r="C2377" s="3" t="s">
        <v>2163</v>
      </c>
      <c r="D2377" s="4" t="s">
        <v>5920</v>
      </c>
      <c r="E2377" s="3" t="s">
        <v>1076</v>
      </c>
      <c r="F2377" s="3" t="s">
        <v>2041</v>
      </c>
      <c r="G2377" s="3" t="s">
        <v>321</v>
      </c>
      <c r="H2377" s="4" t="s">
        <v>5533</v>
      </c>
    </row>
    <row r="2378" ht="16.5" customHeight="1" spans="1:8">
      <c r="A2378" s="3">
        <v>2377</v>
      </c>
      <c r="B2378" s="3" t="s">
        <v>5921</v>
      </c>
      <c r="C2378" s="3" t="s">
        <v>2163</v>
      </c>
      <c r="D2378" s="4" t="s">
        <v>5922</v>
      </c>
      <c r="E2378" s="3" t="s">
        <v>3093</v>
      </c>
      <c r="F2378" s="3" t="s">
        <v>2041</v>
      </c>
      <c r="G2378" s="3" t="s">
        <v>321</v>
      </c>
      <c r="H2378" s="4" t="s">
        <v>1359</v>
      </c>
    </row>
    <row r="2379" ht="16.5" customHeight="1" spans="1:8">
      <c r="A2379" s="3">
        <v>2378</v>
      </c>
      <c r="B2379" s="3" t="s">
        <v>5923</v>
      </c>
      <c r="C2379" s="3" t="s">
        <v>2163</v>
      </c>
      <c r="D2379" s="4" t="s">
        <v>5924</v>
      </c>
      <c r="E2379" s="3" t="s">
        <v>1076</v>
      </c>
      <c r="F2379" s="3" t="s">
        <v>2041</v>
      </c>
      <c r="G2379" s="3" t="s">
        <v>321</v>
      </c>
      <c r="H2379" s="4" t="s">
        <v>5533</v>
      </c>
    </row>
    <row r="2380" ht="16.5" customHeight="1" spans="1:8">
      <c r="A2380" s="3">
        <v>2379</v>
      </c>
      <c r="B2380" s="3" t="s">
        <v>5925</v>
      </c>
      <c r="C2380" s="3" t="s">
        <v>2163</v>
      </c>
      <c r="D2380" s="4" t="s">
        <v>5926</v>
      </c>
      <c r="E2380" s="3" t="s">
        <v>1076</v>
      </c>
      <c r="F2380" s="3" t="s">
        <v>2041</v>
      </c>
      <c r="G2380" s="3" t="s">
        <v>321</v>
      </c>
      <c r="H2380" s="4" t="s">
        <v>5533</v>
      </c>
    </row>
    <row r="2381" ht="16.5" customHeight="1" spans="1:8">
      <c r="A2381" s="3">
        <v>2380</v>
      </c>
      <c r="B2381" s="3" t="s">
        <v>5927</v>
      </c>
      <c r="C2381" s="3" t="s">
        <v>1356</v>
      </c>
      <c r="D2381" s="4" t="s">
        <v>5928</v>
      </c>
      <c r="E2381" s="3" t="s">
        <v>1076</v>
      </c>
      <c r="F2381" s="3" t="s">
        <v>1736</v>
      </c>
      <c r="G2381" s="3"/>
      <c r="H2381" s="4" t="s">
        <v>4404</v>
      </c>
    </row>
    <row r="2382" ht="16.5" customHeight="1" spans="1:8">
      <c r="A2382" s="3">
        <v>2381</v>
      </c>
      <c r="B2382" s="3" t="s">
        <v>5929</v>
      </c>
      <c r="C2382" s="3" t="s">
        <v>2163</v>
      </c>
      <c r="D2382" s="4" t="s">
        <v>5930</v>
      </c>
      <c r="E2382" s="3" t="s">
        <v>1076</v>
      </c>
      <c r="F2382" s="3" t="s">
        <v>2105</v>
      </c>
      <c r="G2382" s="3" t="s">
        <v>321</v>
      </c>
      <c r="H2382" s="4" t="s">
        <v>1305</v>
      </c>
    </row>
    <row r="2383" ht="16.5" customHeight="1" spans="1:8">
      <c r="A2383" s="3">
        <v>2382</v>
      </c>
      <c r="B2383" s="3" t="s">
        <v>5931</v>
      </c>
      <c r="C2383" s="3" t="s">
        <v>1356</v>
      </c>
      <c r="D2383" s="4" t="s">
        <v>5679</v>
      </c>
      <c r="E2383" s="3" t="s">
        <v>1076</v>
      </c>
      <c r="F2383" s="3" t="s">
        <v>1736</v>
      </c>
      <c r="G2383" s="3"/>
      <c r="H2383" s="4" t="s">
        <v>1305</v>
      </c>
    </row>
    <row r="2384" ht="16.5" customHeight="1" spans="1:8">
      <c r="A2384" s="3">
        <v>2383</v>
      </c>
      <c r="B2384" s="3" t="s">
        <v>5932</v>
      </c>
      <c r="C2384" s="3" t="s">
        <v>2163</v>
      </c>
      <c r="D2384" s="4" t="s">
        <v>5933</v>
      </c>
      <c r="E2384" s="3" t="s">
        <v>1076</v>
      </c>
      <c r="F2384" s="3" t="s">
        <v>2041</v>
      </c>
      <c r="G2384" s="3" t="s">
        <v>321</v>
      </c>
      <c r="H2384" s="4" t="s">
        <v>5533</v>
      </c>
    </row>
    <row r="2385" ht="16.5" customHeight="1" spans="1:8">
      <c r="A2385" s="3">
        <v>2384</v>
      </c>
      <c r="B2385" s="3" t="s">
        <v>5934</v>
      </c>
      <c r="C2385" s="3" t="s">
        <v>2163</v>
      </c>
      <c r="D2385" s="4" t="s">
        <v>5935</v>
      </c>
      <c r="E2385" s="3" t="s">
        <v>1076</v>
      </c>
      <c r="F2385" s="3" t="s">
        <v>2105</v>
      </c>
      <c r="G2385" s="3" t="s">
        <v>321</v>
      </c>
      <c r="H2385" s="4" t="s">
        <v>1305</v>
      </c>
    </row>
    <row r="2386" ht="16.5" customHeight="1" spans="1:8">
      <c r="A2386" s="3">
        <v>2385</v>
      </c>
      <c r="B2386" s="3" t="s">
        <v>5936</v>
      </c>
      <c r="C2386" s="3" t="s">
        <v>2163</v>
      </c>
      <c r="D2386" s="4" t="s">
        <v>5937</v>
      </c>
      <c r="E2386" s="3" t="s">
        <v>1076</v>
      </c>
      <c r="F2386" s="3" t="s">
        <v>2041</v>
      </c>
      <c r="G2386" s="3" t="s">
        <v>321</v>
      </c>
      <c r="H2386" s="4" t="s">
        <v>1359</v>
      </c>
    </row>
    <row r="2387" ht="16.5" customHeight="1" spans="1:8">
      <c r="A2387" s="3">
        <v>2386</v>
      </c>
      <c r="B2387" s="3" t="s">
        <v>5938</v>
      </c>
      <c r="C2387" s="3" t="s">
        <v>1356</v>
      </c>
      <c r="D2387" s="4" t="s">
        <v>5939</v>
      </c>
      <c r="E2387" s="3" t="s">
        <v>1076</v>
      </c>
      <c r="F2387" s="3" t="s">
        <v>2041</v>
      </c>
      <c r="G2387" s="3" t="s">
        <v>321</v>
      </c>
      <c r="H2387" s="4" t="s">
        <v>1305</v>
      </c>
    </row>
    <row r="2388" ht="16.5" customHeight="1" spans="1:8">
      <c r="A2388" s="3">
        <v>2387</v>
      </c>
      <c r="B2388" s="3" t="s">
        <v>5940</v>
      </c>
      <c r="C2388" s="3" t="s">
        <v>1356</v>
      </c>
      <c r="D2388" s="4" t="s">
        <v>5941</v>
      </c>
      <c r="E2388" s="3" t="s">
        <v>1076</v>
      </c>
      <c r="F2388" s="3" t="s">
        <v>1736</v>
      </c>
      <c r="G2388" s="3"/>
      <c r="H2388" s="4" t="s">
        <v>1359</v>
      </c>
    </row>
    <row r="2389" ht="16.5" customHeight="1" spans="1:8">
      <c r="A2389" s="3">
        <v>2388</v>
      </c>
      <c r="B2389" s="3" t="s">
        <v>5942</v>
      </c>
      <c r="C2389" s="3" t="s">
        <v>1356</v>
      </c>
      <c r="D2389" s="4" t="s">
        <v>5943</v>
      </c>
      <c r="E2389" s="3" t="s">
        <v>1076</v>
      </c>
      <c r="F2389" s="3" t="s">
        <v>1736</v>
      </c>
      <c r="G2389" s="3"/>
      <c r="H2389" s="4" t="s">
        <v>1305</v>
      </c>
    </row>
    <row r="2390" ht="16.5" customHeight="1" spans="1:8">
      <c r="A2390" s="3">
        <v>2389</v>
      </c>
      <c r="B2390" s="3" t="s">
        <v>5944</v>
      </c>
      <c r="C2390" s="3" t="s">
        <v>1356</v>
      </c>
      <c r="D2390" s="4" t="s">
        <v>5945</v>
      </c>
      <c r="E2390" s="3" t="s">
        <v>1076</v>
      </c>
      <c r="F2390" s="3" t="s">
        <v>1736</v>
      </c>
      <c r="G2390" s="3"/>
      <c r="H2390" s="4" t="s">
        <v>1359</v>
      </c>
    </row>
    <row r="2391" ht="16.5" customHeight="1" spans="1:8">
      <c r="A2391" s="3">
        <v>2390</v>
      </c>
      <c r="B2391" s="3" t="s">
        <v>5946</v>
      </c>
      <c r="C2391" s="3" t="s">
        <v>1356</v>
      </c>
      <c r="D2391" s="4" t="s">
        <v>5687</v>
      </c>
      <c r="E2391" s="3" t="s">
        <v>1076</v>
      </c>
      <c r="F2391" s="3" t="s">
        <v>1736</v>
      </c>
      <c r="G2391" s="3"/>
      <c r="H2391" s="4" t="s">
        <v>1305</v>
      </c>
    </row>
    <row r="2392" ht="16.5" customHeight="1" spans="1:8">
      <c r="A2392" s="3">
        <v>2391</v>
      </c>
      <c r="B2392" s="3" t="s">
        <v>5947</v>
      </c>
      <c r="C2392" s="3" t="s">
        <v>2163</v>
      </c>
      <c r="D2392" s="4" t="s">
        <v>5948</v>
      </c>
      <c r="E2392" s="3" t="s">
        <v>1076</v>
      </c>
      <c r="F2392" s="3" t="s">
        <v>2105</v>
      </c>
      <c r="G2392" s="3" t="s">
        <v>321</v>
      </c>
      <c r="H2392" s="4" t="s">
        <v>1305</v>
      </c>
    </row>
    <row r="2393" ht="16.5" customHeight="1" spans="1:8">
      <c r="A2393" s="3">
        <v>2392</v>
      </c>
      <c r="B2393" s="3" t="s">
        <v>5949</v>
      </c>
      <c r="C2393" s="3" t="s">
        <v>2163</v>
      </c>
      <c r="D2393" s="4" t="s">
        <v>5950</v>
      </c>
      <c r="E2393" s="3" t="s">
        <v>1076</v>
      </c>
      <c r="F2393" s="3" t="s">
        <v>4154</v>
      </c>
      <c r="G2393" s="3"/>
      <c r="H2393" s="4" t="s">
        <v>4198</v>
      </c>
    </row>
    <row r="2394" ht="16.5" customHeight="1" spans="1:8">
      <c r="A2394" s="3">
        <v>2393</v>
      </c>
      <c r="B2394" s="3" t="s">
        <v>5951</v>
      </c>
      <c r="C2394" s="3" t="s">
        <v>2163</v>
      </c>
      <c r="D2394" s="4" t="s">
        <v>5952</v>
      </c>
      <c r="E2394" s="3" t="s">
        <v>1076</v>
      </c>
      <c r="F2394" s="3" t="s">
        <v>4154</v>
      </c>
      <c r="G2394" s="3"/>
      <c r="H2394" s="4" t="s">
        <v>4198</v>
      </c>
    </row>
    <row r="2395" ht="16.5" customHeight="1" spans="1:8">
      <c r="A2395" s="3">
        <v>2394</v>
      </c>
      <c r="B2395" s="3" t="s">
        <v>5953</v>
      </c>
      <c r="C2395" s="3" t="s">
        <v>1356</v>
      </c>
      <c r="D2395" s="4" t="s">
        <v>5954</v>
      </c>
      <c r="E2395" s="3" t="s">
        <v>1076</v>
      </c>
      <c r="F2395" s="3" t="s">
        <v>1736</v>
      </c>
      <c r="G2395" s="3"/>
      <c r="H2395" s="4" t="s">
        <v>1078</v>
      </c>
    </row>
    <row r="2396" ht="16.5" customHeight="1" spans="1:8">
      <c r="A2396" s="3">
        <v>2395</v>
      </c>
      <c r="B2396" s="3" t="s">
        <v>5955</v>
      </c>
      <c r="C2396" s="3" t="s">
        <v>2163</v>
      </c>
      <c r="D2396" s="4" t="s">
        <v>5956</v>
      </c>
      <c r="E2396" s="3" t="s">
        <v>1076</v>
      </c>
      <c r="F2396" s="3" t="s">
        <v>4154</v>
      </c>
      <c r="G2396" s="3"/>
      <c r="H2396" s="4" t="s">
        <v>4198</v>
      </c>
    </row>
    <row r="2397" ht="16.5" customHeight="1" spans="1:8">
      <c r="A2397" s="3">
        <v>2396</v>
      </c>
      <c r="B2397" s="3" t="s">
        <v>5957</v>
      </c>
      <c r="C2397" s="3" t="s">
        <v>2163</v>
      </c>
      <c r="D2397" s="4" t="s">
        <v>5958</v>
      </c>
      <c r="E2397" s="3" t="s">
        <v>1076</v>
      </c>
      <c r="F2397" s="3" t="s">
        <v>2105</v>
      </c>
      <c r="G2397" s="3" t="s">
        <v>321</v>
      </c>
      <c r="H2397" s="4" t="s">
        <v>1305</v>
      </c>
    </row>
    <row r="2398" ht="16.5" customHeight="1" spans="1:8">
      <c r="A2398" s="3">
        <v>2397</v>
      </c>
      <c r="B2398" s="3" t="s">
        <v>5959</v>
      </c>
      <c r="C2398" s="3" t="s">
        <v>2163</v>
      </c>
      <c r="D2398" s="4" t="s">
        <v>5960</v>
      </c>
      <c r="E2398" s="3" t="s">
        <v>1076</v>
      </c>
      <c r="F2398" s="3" t="s">
        <v>4154</v>
      </c>
      <c r="G2398" s="3"/>
      <c r="H2398" s="4" t="s">
        <v>4198</v>
      </c>
    </row>
    <row r="2399" ht="16.5" customHeight="1" spans="1:8">
      <c r="A2399" s="3">
        <v>2398</v>
      </c>
      <c r="B2399" s="3" t="s">
        <v>5961</v>
      </c>
      <c r="C2399" s="3" t="s">
        <v>2163</v>
      </c>
      <c r="D2399" s="4" t="s">
        <v>5962</v>
      </c>
      <c r="E2399" s="3" t="s">
        <v>1076</v>
      </c>
      <c r="F2399" s="3" t="s">
        <v>4154</v>
      </c>
      <c r="G2399" s="3"/>
      <c r="H2399" s="4" t="s">
        <v>4198</v>
      </c>
    </row>
    <row r="2400" ht="16.5" customHeight="1" spans="1:8">
      <c r="A2400" s="3">
        <v>2399</v>
      </c>
      <c r="B2400" s="3" t="s">
        <v>5963</v>
      </c>
      <c r="C2400" s="3" t="s">
        <v>2163</v>
      </c>
      <c r="D2400" s="4" t="s">
        <v>5964</v>
      </c>
      <c r="E2400" s="3" t="s">
        <v>1076</v>
      </c>
      <c r="F2400" s="3" t="s">
        <v>4154</v>
      </c>
      <c r="G2400" s="3"/>
      <c r="H2400" s="4" t="s">
        <v>4198</v>
      </c>
    </row>
    <row r="2401" ht="16.5" customHeight="1" spans="1:8">
      <c r="A2401" s="3">
        <v>2400</v>
      </c>
      <c r="B2401" s="3" t="s">
        <v>5965</v>
      </c>
      <c r="C2401" s="3" t="s">
        <v>2163</v>
      </c>
      <c r="D2401" s="4" t="s">
        <v>5966</v>
      </c>
      <c r="E2401" s="3" t="s">
        <v>1076</v>
      </c>
      <c r="F2401" s="3" t="s">
        <v>2105</v>
      </c>
      <c r="G2401" s="3"/>
      <c r="H2401" s="4" t="s">
        <v>1359</v>
      </c>
    </row>
    <row r="2402" ht="16.5" customHeight="1" spans="1:8">
      <c r="A2402" s="3">
        <v>2401</v>
      </c>
      <c r="B2402" s="3" t="s">
        <v>5967</v>
      </c>
      <c r="C2402" s="3" t="s">
        <v>2163</v>
      </c>
      <c r="D2402" s="4" t="s">
        <v>5968</v>
      </c>
      <c r="E2402" s="3" t="s">
        <v>1076</v>
      </c>
      <c r="F2402" s="3" t="s">
        <v>2041</v>
      </c>
      <c r="G2402" s="3" t="s">
        <v>321</v>
      </c>
      <c r="H2402" s="4" t="s">
        <v>1359</v>
      </c>
    </row>
    <row r="2403" ht="16.5" customHeight="1" spans="1:8">
      <c r="A2403" s="3">
        <v>2402</v>
      </c>
      <c r="B2403" s="3" t="s">
        <v>5969</v>
      </c>
      <c r="C2403" s="3" t="s">
        <v>2163</v>
      </c>
      <c r="D2403" s="4" t="s">
        <v>5970</v>
      </c>
      <c r="E2403" s="3" t="s">
        <v>1076</v>
      </c>
      <c r="F2403" s="3" t="s">
        <v>2041</v>
      </c>
      <c r="G2403" s="3" t="s">
        <v>321</v>
      </c>
      <c r="H2403" s="4" t="s">
        <v>4198</v>
      </c>
    </row>
    <row r="2404" ht="16.5" customHeight="1" spans="1:8">
      <c r="A2404" s="3">
        <v>2403</v>
      </c>
      <c r="B2404" s="3" t="s">
        <v>5971</v>
      </c>
      <c r="C2404" s="3" t="s">
        <v>2163</v>
      </c>
      <c r="D2404" s="4" t="s">
        <v>5972</v>
      </c>
      <c r="E2404" s="3" t="s">
        <v>1076</v>
      </c>
      <c r="F2404" s="3" t="s">
        <v>2041</v>
      </c>
      <c r="G2404" s="3" t="s">
        <v>321</v>
      </c>
      <c r="H2404" s="4" t="s">
        <v>4198</v>
      </c>
    </row>
    <row r="2405" ht="16.5" customHeight="1" spans="1:8">
      <c r="A2405" s="3">
        <v>2404</v>
      </c>
      <c r="B2405" s="3" t="s">
        <v>5973</v>
      </c>
      <c r="C2405" s="3" t="s">
        <v>2163</v>
      </c>
      <c r="D2405" s="4" t="s">
        <v>5974</v>
      </c>
      <c r="E2405" s="3" t="s">
        <v>1076</v>
      </c>
      <c r="F2405" s="3" t="s">
        <v>2041</v>
      </c>
      <c r="G2405" s="3" t="s">
        <v>321</v>
      </c>
      <c r="H2405" s="4" t="s">
        <v>4198</v>
      </c>
    </row>
    <row r="2406" ht="16.5" customHeight="1" spans="1:8">
      <c r="A2406" s="3">
        <v>2405</v>
      </c>
      <c r="B2406" s="3" t="s">
        <v>5975</v>
      </c>
      <c r="C2406" s="3" t="s">
        <v>2163</v>
      </c>
      <c r="D2406" s="4" t="s">
        <v>5976</v>
      </c>
      <c r="E2406" s="3" t="s">
        <v>1076</v>
      </c>
      <c r="F2406" s="3" t="s">
        <v>2041</v>
      </c>
      <c r="G2406" s="3" t="s">
        <v>321</v>
      </c>
      <c r="H2406" s="4" t="s">
        <v>1095</v>
      </c>
    </row>
    <row r="2407" ht="16.5" customHeight="1" spans="1:8">
      <c r="A2407" s="3">
        <v>2406</v>
      </c>
      <c r="B2407" s="3" t="s">
        <v>5977</v>
      </c>
      <c r="C2407" s="3" t="s">
        <v>2163</v>
      </c>
      <c r="D2407" s="4" t="s">
        <v>5978</v>
      </c>
      <c r="E2407" s="3" t="s">
        <v>1076</v>
      </c>
      <c r="F2407" s="3" t="s">
        <v>2041</v>
      </c>
      <c r="G2407" s="3" t="s">
        <v>321</v>
      </c>
      <c r="H2407" s="4" t="s">
        <v>4198</v>
      </c>
    </row>
    <row r="2408" ht="16.5" customHeight="1" spans="1:8">
      <c r="A2408" s="3">
        <v>2407</v>
      </c>
      <c r="B2408" s="3" t="s">
        <v>5979</v>
      </c>
      <c r="C2408" s="3" t="s">
        <v>2163</v>
      </c>
      <c r="D2408" s="4" t="s">
        <v>5980</v>
      </c>
      <c r="E2408" s="3" t="s">
        <v>1076</v>
      </c>
      <c r="F2408" s="3" t="s">
        <v>2041</v>
      </c>
      <c r="G2408" s="3" t="s">
        <v>321</v>
      </c>
      <c r="H2408" s="4" t="s">
        <v>4198</v>
      </c>
    </row>
    <row r="2409" ht="16.5" customHeight="1" spans="1:8">
      <c r="A2409" s="3">
        <v>2408</v>
      </c>
      <c r="B2409" s="3" t="s">
        <v>5981</v>
      </c>
      <c r="C2409" s="3" t="s">
        <v>2163</v>
      </c>
      <c r="D2409" s="4" t="s">
        <v>5982</v>
      </c>
      <c r="E2409" s="3" t="s">
        <v>2263</v>
      </c>
      <c r="F2409" s="3" t="s">
        <v>4154</v>
      </c>
      <c r="G2409" s="3"/>
      <c r="H2409" s="4" t="s">
        <v>4198</v>
      </c>
    </row>
    <row r="2410" ht="16.5" customHeight="1" spans="1:8">
      <c r="A2410" s="3">
        <v>2409</v>
      </c>
      <c r="B2410" s="3" t="s">
        <v>5983</v>
      </c>
      <c r="C2410" s="3" t="s">
        <v>2163</v>
      </c>
      <c r="D2410" s="4" t="s">
        <v>5984</v>
      </c>
      <c r="E2410" s="3" t="s">
        <v>1076</v>
      </c>
      <c r="F2410" s="3" t="s">
        <v>4154</v>
      </c>
      <c r="G2410" s="3"/>
      <c r="H2410" s="4" t="s">
        <v>4198</v>
      </c>
    </row>
    <row r="2411" ht="16.5" customHeight="1" spans="1:8">
      <c r="A2411" s="3">
        <v>2410</v>
      </c>
      <c r="B2411" s="3" t="s">
        <v>5985</v>
      </c>
      <c r="C2411" s="3" t="s">
        <v>1356</v>
      </c>
      <c r="D2411" s="4" t="s">
        <v>5986</v>
      </c>
      <c r="E2411" s="3" t="s">
        <v>1076</v>
      </c>
      <c r="F2411" s="3" t="s">
        <v>4668</v>
      </c>
      <c r="G2411" s="3"/>
      <c r="H2411" s="4" t="s">
        <v>1305</v>
      </c>
    </row>
    <row r="2412" ht="16.5" customHeight="1" spans="1:8">
      <c r="A2412" s="3">
        <v>2411</v>
      </c>
      <c r="B2412" s="3" t="s">
        <v>5987</v>
      </c>
      <c r="C2412" s="3" t="s">
        <v>1356</v>
      </c>
      <c r="D2412" s="4" t="s">
        <v>5988</v>
      </c>
      <c r="E2412" s="3" t="s">
        <v>1076</v>
      </c>
      <c r="F2412" s="3" t="s">
        <v>4668</v>
      </c>
      <c r="G2412" s="3"/>
      <c r="H2412" s="4" t="s">
        <v>1305</v>
      </c>
    </row>
    <row r="2413" ht="16.5" customHeight="1" spans="1:8">
      <c r="A2413" s="3">
        <v>2412</v>
      </c>
      <c r="B2413" s="3" t="s">
        <v>5989</v>
      </c>
      <c r="C2413" s="3" t="s">
        <v>1356</v>
      </c>
      <c r="D2413" s="4" t="s">
        <v>5990</v>
      </c>
      <c r="E2413" s="3" t="s">
        <v>1076</v>
      </c>
      <c r="F2413" s="3" t="s">
        <v>4668</v>
      </c>
      <c r="G2413" s="3"/>
      <c r="H2413" s="4" t="s">
        <v>1305</v>
      </c>
    </row>
    <row r="2414" ht="16.5" customHeight="1" spans="1:8">
      <c r="A2414" s="3">
        <v>2413</v>
      </c>
      <c r="B2414" s="3" t="s">
        <v>5991</v>
      </c>
      <c r="C2414" s="3" t="s">
        <v>1356</v>
      </c>
      <c r="D2414" s="4" t="s">
        <v>5992</v>
      </c>
      <c r="E2414" s="3" t="s">
        <v>1076</v>
      </c>
      <c r="F2414" s="3" t="s">
        <v>4668</v>
      </c>
      <c r="G2414" s="3"/>
      <c r="H2414" s="4" t="s">
        <v>1359</v>
      </c>
    </row>
    <row r="2415" ht="16.5" customHeight="1" spans="1:8">
      <c r="A2415" s="3">
        <v>2414</v>
      </c>
      <c r="B2415" s="3" t="s">
        <v>5993</v>
      </c>
      <c r="C2415" s="3" t="s">
        <v>2163</v>
      </c>
      <c r="D2415" s="4" t="s">
        <v>5994</v>
      </c>
      <c r="E2415" s="3" t="s">
        <v>1076</v>
      </c>
      <c r="F2415" s="3" t="s">
        <v>2041</v>
      </c>
      <c r="G2415" s="3" t="s">
        <v>321</v>
      </c>
      <c r="H2415" s="4" t="s">
        <v>4198</v>
      </c>
    </row>
    <row r="2416" ht="16.5" customHeight="1" spans="1:8">
      <c r="A2416" s="3">
        <v>2415</v>
      </c>
      <c r="B2416" s="3" t="s">
        <v>5995</v>
      </c>
      <c r="C2416" s="3" t="s">
        <v>2163</v>
      </c>
      <c r="D2416" s="4" t="s">
        <v>5996</v>
      </c>
      <c r="E2416" s="3" t="s">
        <v>1076</v>
      </c>
      <c r="F2416" s="3" t="s">
        <v>2041</v>
      </c>
      <c r="G2416" s="3" t="s">
        <v>321</v>
      </c>
      <c r="H2416" s="4" t="s">
        <v>4198</v>
      </c>
    </row>
    <row r="2417" ht="16.5" customHeight="1" spans="1:8">
      <c r="A2417" s="3">
        <v>2416</v>
      </c>
      <c r="B2417" s="3" t="s">
        <v>5997</v>
      </c>
      <c r="C2417" s="3" t="s">
        <v>2163</v>
      </c>
      <c r="D2417" s="4" t="s">
        <v>5998</v>
      </c>
      <c r="E2417" s="3" t="s">
        <v>1076</v>
      </c>
      <c r="F2417" s="3" t="s">
        <v>2041</v>
      </c>
      <c r="G2417" s="3" t="s">
        <v>321</v>
      </c>
      <c r="H2417" s="4" t="s">
        <v>4198</v>
      </c>
    </row>
    <row r="2418" ht="16.5" customHeight="1" spans="1:8">
      <c r="A2418" s="3">
        <v>2417</v>
      </c>
      <c r="B2418" s="3" t="s">
        <v>5999</v>
      </c>
      <c r="C2418" s="3" t="s">
        <v>2163</v>
      </c>
      <c r="D2418" s="4" t="s">
        <v>6000</v>
      </c>
      <c r="E2418" s="3" t="s">
        <v>1076</v>
      </c>
      <c r="F2418" s="3" t="s">
        <v>2041</v>
      </c>
      <c r="G2418" s="3" t="s">
        <v>321</v>
      </c>
      <c r="H2418" s="4" t="s">
        <v>4198</v>
      </c>
    </row>
    <row r="2419" ht="16.5" customHeight="1" spans="1:8">
      <c r="A2419" s="3">
        <v>2418</v>
      </c>
      <c r="B2419" s="3" t="s">
        <v>6001</v>
      </c>
      <c r="C2419" s="3" t="s">
        <v>2163</v>
      </c>
      <c r="D2419" s="4" t="s">
        <v>6002</v>
      </c>
      <c r="E2419" s="3" t="s">
        <v>1076</v>
      </c>
      <c r="F2419" s="3" t="s">
        <v>4154</v>
      </c>
      <c r="G2419" s="3"/>
      <c r="H2419" s="4" t="s">
        <v>4198</v>
      </c>
    </row>
    <row r="2420" ht="16.5" customHeight="1" spans="1:8">
      <c r="A2420" s="3">
        <v>2419</v>
      </c>
      <c r="B2420" s="3" t="s">
        <v>6003</v>
      </c>
      <c r="C2420" s="3" t="s">
        <v>2163</v>
      </c>
      <c r="D2420" s="4" t="s">
        <v>6004</v>
      </c>
      <c r="E2420" s="3" t="s">
        <v>1076</v>
      </c>
      <c r="F2420" s="3" t="s">
        <v>4154</v>
      </c>
      <c r="G2420" s="3"/>
      <c r="H2420" s="4" t="s">
        <v>4198</v>
      </c>
    </row>
    <row r="2421" ht="16.5" customHeight="1" spans="1:8">
      <c r="A2421" s="3">
        <v>2420</v>
      </c>
      <c r="B2421" s="3" t="s">
        <v>6005</v>
      </c>
      <c r="C2421" s="3" t="s">
        <v>2163</v>
      </c>
      <c r="D2421" s="4" t="s">
        <v>6006</v>
      </c>
      <c r="E2421" s="3" t="s">
        <v>1076</v>
      </c>
      <c r="F2421" s="3" t="s">
        <v>2041</v>
      </c>
      <c r="G2421" s="3" t="s">
        <v>321</v>
      </c>
      <c r="H2421" s="4" t="s">
        <v>1305</v>
      </c>
    </row>
    <row r="2422" ht="16.5" customHeight="1" spans="1:8">
      <c r="A2422" s="3">
        <v>2421</v>
      </c>
      <c r="B2422" s="3" t="s">
        <v>6007</v>
      </c>
      <c r="C2422" s="3" t="s">
        <v>2163</v>
      </c>
      <c r="D2422" s="4" t="s">
        <v>6008</v>
      </c>
      <c r="E2422" s="3" t="s">
        <v>1076</v>
      </c>
      <c r="F2422" s="3" t="s">
        <v>1358</v>
      </c>
      <c r="G2422" s="3"/>
      <c r="H2422" s="4" t="s">
        <v>1390</v>
      </c>
    </row>
    <row r="2423" ht="16.5" customHeight="1" spans="1:8">
      <c r="A2423" s="3">
        <v>2422</v>
      </c>
      <c r="B2423" s="3" t="s">
        <v>6009</v>
      </c>
      <c r="C2423" s="3" t="s">
        <v>2163</v>
      </c>
      <c r="D2423" s="4" t="s">
        <v>6010</v>
      </c>
      <c r="E2423" s="3" t="s">
        <v>1076</v>
      </c>
      <c r="F2423" s="3" t="s">
        <v>2041</v>
      </c>
      <c r="G2423" s="3" t="s">
        <v>321</v>
      </c>
      <c r="H2423" s="4" t="s">
        <v>5740</v>
      </c>
    </row>
    <row r="2424" ht="16.5" customHeight="1" spans="1:8">
      <c r="A2424" s="3">
        <v>2423</v>
      </c>
      <c r="B2424" s="3" t="s">
        <v>6011</v>
      </c>
      <c r="C2424" s="3" t="s">
        <v>2163</v>
      </c>
      <c r="D2424" s="4" t="s">
        <v>6012</v>
      </c>
      <c r="E2424" s="3" t="s">
        <v>1076</v>
      </c>
      <c r="F2424" s="3" t="s">
        <v>2041</v>
      </c>
      <c r="G2424" s="3" t="s">
        <v>321</v>
      </c>
      <c r="H2424" s="4" t="s">
        <v>5740</v>
      </c>
    </row>
    <row r="2425" ht="16.5" customHeight="1" spans="1:8">
      <c r="A2425" s="3">
        <v>2424</v>
      </c>
      <c r="B2425" s="3" t="s">
        <v>6013</v>
      </c>
      <c r="C2425" s="3" t="s">
        <v>2163</v>
      </c>
      <c r="D2425" s="4" t="s">
        <v>6014</v>
      </c>
      <c r="E2425" s="3" t="s">
        <v>1076</v>
      </c>
      <c r="F2425" s="3" t="s">
        <v>2041</v>
      </c>
      <c r="G2425" s="3" t="s">
        <v>321</v>
      </c>
      <c r="H2425" s="4" t="s">
        <v>5533</v>
      </c>
    </row>
    <row r="2426" ht="16.5" customHeight="1" spans="1:8">
      <c r="A2426" s="3">
        <v>2425</v>
      </c>
      <c r="B2426" s="3" t="s">
        <v>6015</v>
      </c>
      <c r="C2426" s="3" t="s">
        <v>2163</v>
      </c>
      <c r="D2426" s="4" t="s">
        <v>6016</v>
      </c>
      <c r="E2426" s="3" t="s">
        <v>1076</v>
      </c>
      <c r="F2426" s="3" t="s">
        <v>1358</v>
      </c>
      <c r="G2426" s="3" t="s">
        <v>321</v>
      </c>
      <c r="H2426" s="4" t="s">
        <v>4198</v>
      </c>
    </row>
    <row r="2427" ht="16.5" customHeight="1" spans="1:8">
      <c r="A2427" s="3">
        <v>2426</v>
      </c>
      <c r="B2427" s="3" t="s">
        <v>6017</v>
      </c>
      <c r="C2427" s="3" t="s">
        <v>2163</v>
      </c>
      <c r="D2427" s="4" t="s">
        <v>6018</v>
      </c>
      <c r="E2427" s="3" t="s">
        <v>1076</v>
      </c>
      <c r="F2427" s="3" t="s">
        <v>4154</v>
      </c>
      <c r="G2427" s="3"/>
      <c r="H2427" s="4" t="s">
        <v>4198</v>
      </c>
    </row>
    <row r="2428" ht="16.5" customHeight="1" spans="1:8">
      <c r="A2428" s="3">
        <v>2427</v>
      </c>
      <c r="B2428" s="3" t="s">
        <v>6019</v>
      </c>
      <c r="C2428" s="3" t="s">
        <v>2163</v>
      </c>
      <c r="D2428" s="4" t="s">
        <v>6020</v>
      </c>
      <c r="E2428" s="3" t="s">
        <v>1076</v>
      </c>
      <c r="F2428" s="3" t="s">
        <v>4154</v>
      </c>
      <c r="G2428" s="3"/>
      <c r="H2428" s="4" t="s">
        <v>4198</v>
      </c>
    </row>
    <row r="2429" ht="16.5" customHeight="1" spans="1:8">
      <c r="A2429" s="3">
        <v>2428</v>
      </c>
      <c r="B2429" s="3" t="s">
        <v>6021</v>
      </c>
      <c r="C2429" s="3" t="s">
        <v>2163</v>
      </c>
      <c r="D2429" s="4" t="s">
        <v>6022</v>
      </c>
      <c r="E2429" s="3" t="s">
        <v>1076</v>
      </c>
      <c r="F2429" s="3" t="s">
        <v>4154</v>
      </c>
      <c r="G2429" s="3"/>
      <c r="H2429" s="4" t="s">
        <v>4198</v>
      </c>
    </row>
    <row r="2430" ht="16.5" customHeight="1" spans="1:8">
      <c r="A2430" s="3">
        <v>2429</v>
      </c>
      <c r="B2430" s="3" t="s">
        <v>6023</v>
      </c>
      <c r="C2430" s="3" t="s">
        <v>2163</v>
      </c>
      <c r="D2430" s="4" t="s">
        <v>6024</v>
      </c>
      <c r="E2430" s="3" t="s">
        <v>1076</v>
      </c>
      <c r="F2430" s="3" t="s">
        <v>4154</v>
      </c>
      <c r="G2430" s="3"/>
      <c r="H2430" s="4" t="s">
        <v>4198</v>
      </c>
    </row>
    <row r="2431" ht="16.5" customHeight="1" spans="1:8">
      <c r="A2431" s="3">
        <v>2430</v>
      </c>
      <c r="B2431" s="3" t="s">
        <v>6025</v>
      </c>
      <c r="C2431" s="3" t="s">
        <v>2163</v>
      </c>
      <c r="D2431" s="4" t="s">
        <v>6026</v>
      </c>
      <c r="E2431" s="3" t="s">
        <v>1076</v>
      </c>
      <c r="F2431" s="3" t="s">
        <v>1358</v>
      </c>
      <c r="G2431" s="3" t="s">
        <v>321</v>
      </c>
      <c r="H2431" s="4" t="s">
        <v>1359</v>
      </c>
    </row>
    <row r="2432" ht="16.5" customHeight="1" spans="1:8">
      <c r="A2432" s="3">
        <v>2431</v>
      </c>
      <c r="B2432" s="3" t="s">
        <v>6027</v>
      </c>
      <c r="C2432" s="3" t="s">
        <v>2163</v>
      </c>
      <c r="D2432" s="4" t="s">
        <v>6028</v>
      </c>
      <c r="E2432" s="3" t="s">
        <v>1076</v>
      </c>
      <c r="F2432" s="3" t="s">
        <v>4331</v>
      </c>
      <c r="G2432" s="3"/>
      <c r="H2432" s="4" t="s">
        <v>1305</v>
      </c>
    </row>
    <row r="2433" ht="16.5" customHeight="1" spans="1:8">
      <c r="A2433" s="3">
        <v>2432</v>
      </c>
      <c r="B2433" s="3" t="s">
        <v>6029</v>
      </c>
      <c r="C2433" s="3" t="s">
        <v>2163</v>
      </c>
      <c r="D2433" s="4" t="s">
        <v>6030</v>
      </c>
      <c r="E2433" s="3" t="s">
        <v>1076</v>
      </c>
      <c r="F2433" s="3" t="s">
        <v>2041</v>
      </c>
      <c r="G2433" s="3" t="s">
        <v>321</v>
      </c>
      <c r="H2433" s="4" t="s">
        <v>5533</v>
      </c>
    </row>
    <row r="2434" ht="16.5" customHeight="1" spans="1:8">
      <c r="A2434" s="3">
        <v>2433</v>
      </c>
      <c r="B2434" s="3" t="s">
        <v>6031</v>
      </c>
      <c r="C2434" s="3" t="s">
        <v>2163</v>
      </c>
      <c r="D2434" s="4" t="s">
        <v>6032</v>
      </c>
      <c r="E2434" s="3" t="s">
        <v>1076</v>
      </c>
      <c r="F2434" s="3" t="s">
        <v>2041</v>
      </c>
      <c r="G2434" s="3"/>
      <c r="H2434" s="4" t="s">
        <v>5533</v>
      </c>
    </row>
    <row r="2435" ht="16.5" customHeight="1" spans="1:8">
      <c r="A2435" s="3">
        <v>2434</v>
      </c>
      <c r="B2435" s="3" t="s">
        <v>6033</v>
      </c>
      <c r="C2435" s="3" t="s">
        <v>2163</v>
      </c>
      <c r="D2435" s="4" t="s">
        <v>6034</v>
      </c>
      <c r="E2435" s="3" t="s">
        <v>1076</v>
      </c>
      <c r="F2435" s="3" t="s">
        <v>4154</v>
      </c>
      <c r="G2435" s="3"/>
      <c r="H2435" s="4" t="s">
        <v>4198</v>
      </c>
    </row>
    <row r="2436" ht="16.5" customHeight="1" spans="1:8">
      <c r="A2436" s="3">
        <v>2435</v>
      </c>
      <c r="B2436" s="3" t="s">
        <v>6035</v>
      </c>
      <c r="C2436" s="3" t="s">
        <v>2163</v>
      </c>
      <c r="D2436" s="4" t="s">
        <v>6036</v>
      </c>
      <c r="E2436" s="3" t="s">
        <v>1076</v>
      </c>
      <c r="F2436" s="3" t="s">
        <v>2041</v>
      </c>
      <c r="G2436" s="3" t="s">
        <v>321</v>
      </c>
      <c r="H2436" s="4" t="s">
        <v>5533</v>
      </c>
    </row>
    <row r="2437" ht="16.5" customHeight="1" spans="1:8">
      <c r="A2437" s="3">
        <v>2436</v>
      </c>
      <c r="B2437" s="3" t="s">
        <v>6037</v>
      </c>
      <c r="C2437" s="3" t="s">
        <v>2163</v>
      </c>
      <c r="D2437" s="4" t="s">
        <v>6038</v>
      </c>
      <c r="E2437" s="3" t="s">
        <v>1076</v>
      </c>
      <c r="F2437" s="3" t="s">
        <v>4154</v>
      </c>
      <c r="G2437" s="3"/>
      <c r="H2437" s="4" t="s">
        <v>4198</v>
      </c>
    </row>
    <row r="2438" ht="16.5" customHeight="1" spans="1:8">
      <c r="A2438" s="3">
        <v>2437</v>
      </c>
      <c r="B2438" s="3" t="s">
        <v>6039</v>
      </c>
      <c r="C2438" s="3" t="s">
        <v>2163</v>
      </c>
      <c r="D2438" s="4" t="s">
        <v>6040</v>
      </c>
      <c r="E2438" s="3" t="s">
        <v>1076</v>
      </c>
      <c r="F2438" s="3" t="s">
        <v>2105</v>
      </c>
      <c r="G2438" s="3" t="s">
        <v>321</v>
      </c>
      <c r="H2438" s="4" t="s">
        <v>1305</v>
      </c>
    </row>
    <row r="2439" ht="16.5" customHeight="1" spans="1:8">
      <c r="A2439" s="3">
        <v>2438</v>
      </c>
      <c r="B2439" s="3" t="s">
        <v>6041</v>
      </c>
      <c r="C2439" s="3" t="s">
        <v>2163</v>
      </c>
      <c r="D2439" s="4" t="s">
        <v>6042</v>
      </c>
      <c r="E2439" s="3" t="s">
        <v>1076</v>
      </c>
      <c r="F2439" s="3" t="s">
        <v>4154</v>
      </c>
      <c r="G2439" s="3"/>
      <c r="H2439" s="4" t="s">
        <v>4198</v>
      </c>
    </row>
    <row r="2440" ht="16.5" customHeight="1" spans="1:8">
      <c r="A2440" s="3">
        <v>2439</v>
      </c>
      <c r="B2440" s="3" t="s">
        <v>6043</v>
      </c>
      <c r="C2440" s="3" t="s">
        <v>2163</v>
      </c>
      <c r="D2440" s="4" t="s">
        <v>6044</v>
      </c>
      <c r="E2440" s="3" t="s">
        <v>1076</v>
      </c>
      <c r="F2440" s="3" t="s">
        <v>2105</v>
      </c>
      <c r="G2440" s="3" t="s">
        <v>321</v>
      </c>
      <c r="H2440" s="4" t="s">
        <v>1095</v>
      </c>
    </row>
    <row r="2441" ht="16.5" customHeight="1" spans="1:8">
      <c r="A2441" s="3">
        <v>2440</v>
      </c>
      <c r="B2441" s="3" t="s">
        <v>6045</v>
      </c>
      <c r="C2441" s="3" t="s">
        <v>2163</v>
      </c>
      <c r="D2441" s="4" t="s">
        <v>6046</v>
      </c>
      <c r="E2441" s="3" t="s">
        <v>1076</v>
      </c>
      <c r="F2441" s="3" t="s">
        <v>2105</v>
      </c>
      <c r="G2441" s="3" t="s">
        <v>321</v>
      </c>
      <c r="H2441" s="4" t="s">
        <v>1095</v>
      </c>
    </row>
    <row r="2442" ht="16.5" customHeight="1" spans="1:8">
      <c r="A2442" s="3">
        <v>2441</v>
      </c>
      <c r="B2442" s="3" t="s">
        <v>6047</v>
      </c>
      <c r="C2442" s="3" t="s">
        <v>2163</v>
      </c>
      <c r="D2442" s="4" t="s">
        <v>6048</v>
      </c>
      <c r="E2442" s="3" t="s">
        <v>1076</v>
      </c>
      <c r="F2442" s="3" t="s">
        <v>2105</v>
      </c>
      <c r="G2442" s="3" t="s">
        <v>321</v>
      </c>
      <c r="H2442" s="4" t="s">
        <v>1095</v>
      </c>
    </row>
    <row r="2443" ht="16.5" customHeight="1" spans="1:8">
      <c r="A2443" s="3">
        <v>2442</v>
      </c>
      <c r="B2443" s="3" t="s">
        <v>6049</v>
      </c>
      <c r="C2443" s="3" t="s">
        <v>2163</v>
      </c>
      <c r="D2443" s="4" t="s">
        <v>6050</v>
      </c>
      <c r="E2443" s="3" t="s">
        <v>1076</v>
      </c>
      <c r="F2443" s="3" t="s">
        <v>4154</v>
      </c>
      <c r="G2443" s="3"/>
      <c r="H2443" s="4" t="s">
        <v>4198</v>
      </c>
    </row>
    <row r="2444" ht="16.5" customHeight="1" spans="1:8">
      <c r="A2444" s="3">
        <v>2443</v>
      </c>
      <c r="B2444" s="3" t="s">
        <v>6051</v>
      </c>
      <c r="C2444" s="3" t="s">
        <v>2163</v>
      </c>
      <c r="D2444" s="4" t="s">
        <v>6052</v>
      </c>
      <c r="E2444" s="3" t="s">
        <v>1076</v>
      </c>
      <c r="F2444" s="3" t="s">
        <v>2105</v>
      </c>
      <c r="G2444" s="3" t="s">
        <v>321</v>
      </c>
      <c r="H2444" s="4" t="s">
        <v>1368</v>
      </c>
    </row>
    <row r="2445" ht="16.5" customHeight="1" spans="1:8">
      <c r="A2445" s="3">
        <v>2444</v>
      </c>
      <c r="B2445" s="3" t="s">
        <v>6053</v>
      </c>
      <c r="C2445" s="3" t="s">
        <v>2163</v>
      </c>
      <c r="D2445" s="4" t="s">
        <v>6054</v>
      </c>
      <c r="E2445" s="3" t="s">
        <v>1076</v>
      </c>
      <c r="F2445" s="3" t="s">
        <v>4154</v>
      </c>
      <c r="G2445" s="3"/>
      <c r="H2445" s="4" t="s">
        <v>4198</v>
      </c>
    </row>
    <row r="2446" ht="16.5" customHeight="1" spans="1:8">
      <c r="A2446" s="3">
        <v>2445</v>
      </c>
      <c r="B2446" s="3" t="s">
        <v>6055</v>
      </c>
      <c r="C2446" s="3" t="s">
        <v>2163</v>
      </c>
      <c r="D2446" s="4" t="s">
        <v>6056</v>
      </c>
      <c r="E2446" s="3" t="s">
        <v>1076</v>
      </c>
      <c r="F2446" s="3" t="s">
        <v>2041</v>
      </c>
      <c r="G2446" s="3" t="s">
        <v>321</v>
      </c>
      <c r="H2446" s="4" t="s">
        <v>1305</v>
      </c>
    </row>
    <row r="2447" ht="16.5" customHeight="1" spans="1:8">
      <c r="A2447" s="3">
        <v>2446</v>
      </c>
      <c r="B2447" s="3" t="s">
        <v>6057</v>
      </c>
      <c r="C2447" s="3" t="s">
        <v>1105</v>
      </c>
      <c r="D2447" s="4" t="s">
        <v>6058</v>
      </c>
      <c r="E2447" s="3" t="s">
        <v>1076</v>
      </c>
      <c r="F2447" s="3" t="s">
        <v>1358</v>
      </c>
      <c r="G2447" s="3" t="s">
        <v>321</v>
      </c>
      <c r="H2447" s="4" t="s">
        <v>6059</v>
      </c>
    </row>
    <row r="2448" ht="16.5" customHeight="1" spans="1:8">
      <c r="A2448" s="3">
        <v>2447</v>
      </c>
      <c r="B2448" s="3" t="s">
        <v>6060</v>
      </c>
      <c r="C2448" s="3" t="s">
        <v>1105</v>
      </c>
      <c r="D2448" s="4" t="s">
        <v>6061</v>
      </c>
      <c r="E2448" s="3" t="s">
        <v>1076</v>
      </c>
      <c r="F2448" s="3" t="s">
        <v>1358</v>
      </c>
      <c r="G2448" s="3" t="s">
        <v>321</v>
      </c>
      <c r="H2448" s="4" t="s">
        <v>6059</v>
      </c>
    </row>
    <row r="2449" ht="16.5" customHeight="1" spans="1:8">
      <c r="A2449" s="3">
        <v>2448</v>
      </c>
      <c r="B2449" s="3" t="s">
        <v>6062</v>
      </c>
      <c r="C2449" s="3" t="s">
        <v>1105</v>
      </c>
      <c r="D2449" s="4" t="s">
        <v>6063</v>
      </c>
      <c r="E2449" s="3" t="s">
        <v>1076</v>
      </c>
      <c r="F2449" s="3" t="s">
        <v>1358</v>
      </c>
      <c r="G2449" s="3" t="s">
        <v>321</v>
      </c>
      <c r="H2449" s="4" t="s">
        <v>6064</v>
      </c>
    </row>
    <row r="2450" ht="16.5" customHeight="1" spans="1:8">
      <c r="A2450" s="3">
        <v>2449</v>
      </c>
      <c r="B2450" s="3" t="s">
        <v>6065</v>
      </c>
      <c r="C2450" s="3" t="s">
        <v>1356</v>
      </c>
      <c r="D2450" s="4" t="s">
        <v>6066</v>
      </c>
      <c r="E2450" s="3" t="s">
        <v>1076</v>
      </c>
      <c r="F2450" s="3" t="s">
        <v>1358</v>
      </c>
      <c r="G2450" s="3" t="s">
        <v>321</v>
      </c>
      <c r="H2450" s="4" t="s">
        <v>1078</v>
      </c>
    </row>
    <row r="2451" ht="16.5" customHeight="1" spans="1:8">
      <c r="A2451" s="3">
        <v>2450</v>
      </c>
      <c r="B2451" s="3" t="s">
        <v>6067</v>
      </c>
      <c r="C2451" s="3" t="s">
        <v>1356</v>
      </c>
      <c r="D2451" s="4" t="s">
        <v>6068</v>
      </c>
      <c r="E2451" s="3" t="s">
        <v>1076</v>
      </c>
      <c r="F2451" s="3" t="s">
        <v>4668</v>
      </c>
      <c r="G2451" s="3"/>
      <c r="H2451" s="4" t="s">
        <v>1095</v>
      </c>
    </row>
    <row r="2452" ht="16.5" customHeight="1" spans="1:8">
      <c r="A2452" s="3">
        <v>2451</v>
      </c>
      <c r="B2452" s="3" t="s">
        <v>6069</v>
      </c>
      <c r="C2452" s="3" t="s">
        <v>1356</v>
      </c>
      <c r="D2452" s="4" t="s">
        <v>6070</v>
      </c>
      <c r="E2452" s="3" t="s">
        <v>1076</v>
      </c>
      <c r="F2452" s="3" t="s">
        <v>4668</v>
      </c>
      <c r="G2452" s="3"/>
      <c r="H2452" s="4" t="s">
        <v>1305</v>
      </c>
    </row>
    <row r="2453" ht="16.5" customHeight="1" spans="1:8">
      <c r="A2453" s="3">
        <v>2452</v>
      </c>
      <c r="B2453" s="3" t="s">
        <v>6071</v>
      </c>
      <c r="C2453" s="3" t="s">
        <v>2163</v>
      </c>
      <c r="D2453" s="4" t="s">
        <v>6072</v>
      </c>
      <c r="E2453" s="3" t="s">
        <v>1076</v>
      </c>
      <c r="F2453" s="3" t="s">
        <v>4668</v>
      </c>
      <c r="G2453" s="3"/>
      <c r="H2453" s="4" t="s">
        <v>1359</v>
      </c>
    </row>
    <row r="2454" ht="16.5" customHeight="1" spans="1:8">
      <c r="A2454" s="3">
        <v>2453</v>
      </c>
      <c r="B2454" s="3" t="s">
        <v>6073</v>
      </c>
      <c r="C2454" s="3" t="s">
        <v>2163</v>
      </c>
      <c r="D2454" s="4" t="s">
        <v>6074</v>
      </c>
      <c r="E2454" s="3" t="s">
        <v>1076</v>
      </c>
      <c r="F2454" s="3" t="s">
        <v>4668</v>
      </c>
      <c r="G2454" s="3"/>
      <c r="H2454" s="4" t="s">
        <v>4198</v>
      </c>
    </row>
    <row r="2455" ht="16.5" customHeight="1" spans="1:8">
      <c r="A2455" s="3">
        <v>2454</v>
      </c>
      <c r="B2455" s="3" t="s">
        <v>6075</v>
      </c>
      <c r="C2455" s="3" t="s">
        <v>2163</v>
      </c>
      <c r="D2455" s="4" t="s">
        <v>6076</v>
      </c>
      <c r="E2455" s="3" t="s">
        <v>1076</v>
      </c>
      <c r="F2455" s="3" t="s">
        <v>2041</v>
      </c>
      <c r="G2455" s="3" t="s">
        <v>321</v>
      </c>
      <c r="H2455" s="4" t="s">
        <v>1095</v>
      </c>
    </row>
    <row r="2456" ht="16.5" customHeight="1" spans="1:8">
      <c r="A2456" s="3">
        <v>2455</v>
      </c>
      <c r="B2456" s="3" t="s">
        <v>6077</v>
      </c>
      <c r="C2456" s="3" t="s">
        <v>2163</v>
      </c>
      <c r="D2456" s="4" t="s">
        <v>6078</v>
      </c>
      <c r="E2456" s="3" t="s">
        <v>1076</v>
      </c>
      <c r="F2456" s="3" t="s">
        <v>2105</v>
      </c>
      <c r="G2456" s="3" t="s">
        <v>321</v>
      </c>
      <c r="H2456" s="4" t="s">
        <v>1305</v>
      </c>
    </row>
    <row r="2457" ht="16.5" customHeight="1" spans="1:8">
      <c r="A2457" s="3">
        <v>2456</v>
      </c>
      <c r="B2457" s="3" t="s">
        <v>6079</v>
      </c>
      <c r="C2457" s="3" t="s">
        <v>2163</v>
      </c>
      <c r="D2457" s="4" t="s">
        <v>6080</v>
      </c>
      <c r="E2457" s="3" t="s">
        <v>2263</v>
      </c>
      <c r="F2457" s="3" t="s">
        <v>2105</v>
      </c>
      <c r="G2457" s="3" t="s">
        <v>321</v>
      </c>
      <c r="H2457" s="4" t="s">
        <v>1305</v>
      </c>
    </row>
    <row r="2458" ht="16.5" customHeight="1" spans="1:8">
      <c r="A2458" s="3">
        <v>2457</v>
      </c>
      <c r="B2458" s="3" t="s">
        <v>6081</v>
      </c>
      <c r="C2458" s="3" t="s">
        <v>1356</v>
      </c>
      <c r="D2458" s="4" t="s">
        <v>6082</v>
      </c>
      <c r="E2458" s="3" t="s">
        <v>1076</v>
      </c>
      <c r="F2458" s="3" t="s">
        <v>1358</v>
      </c>
      <c r="G2458" s="3"/>
      <c r="H2458" s="4" t="s">
        <v>1359</v>
      </c>
    </row>
    <row r="2459" ht="16.5" customHeight="1" spans="1:8">
      <c r="A2459" s="3">
        <v>2458</v>
      </c>
      <c r="B2459" s="3" t="s">
        <v>6083</v>
      </c>
      <c r="C2459" s="3" t="s">
        <v>1356</v>
      </c>
      <c r="D2459" s="4" t="s">
        <v>6084</v>
      </c>
      <c r="E2459" s="3" t="s">
        <v>1076</v>
      </c>
      <c r="F2459" s="3" t="s">
        <v>1358</v>
      </c>
      <c r="G2459" s="3" t="s">
        <v>321</v>
      </c>
      <c r="H2459" s="4" t="s">
        <v>4198</v>
      </c>
    </row>
    <row r="2460" ht="16.5" customHeight="1" spans="1:8">
      <c r="A2460" s="3">
        <v>2459</v>
      </c>
      <c r="B2460" s="3" t="s">
        <v>6085</v>
      </c>
      <c r="C2460" s="3" t="s">
        <v>1356</v>
      </c>
      <c r="D2460" s="4" t="s">
        <v>6086</v>
      </c>
      <c r="E2460" s="3" t="s">
        <v>1076</v>
      </c>
      <c r="F2460" s="3" t="s">
        <v>1358</v>
      </c>
      <c r="G2460" s="3" t="s">
        <v>321</v>
      </c>
      <c r="H2460" s="4" t="s">
        <v>1359</v>
      </c>
    </row>
    <row r="2461" ht="16.5" customHeight="1" spans="1:8">
      <c r="A2461" s="3">
        <v>2460</v>
      </c>
      <c r="B2461" s="3" t="s">
        <v>6087</v>
      </c>
      <c r="C2461" s="3" t="s">
        <v>1356</v>
      </c>
      <c r="D2461" s="4" t="s">
        <v>6082</v>
      </c>
      <c r="E2461" s="3" t="s">
        <v>1076</v>
      </c>
      <c r="F2461" s="3" t="s">
        <v>1358</v>
      </c>
      <c r="G2461" s="3" t="s">
        <v>321</v>
      </c>
      <c r="H2461" s="4" t="s">
        <v>1359</v>
      </c>
    </row>
    <row r="2462" ht="16.5" customHeight="1" spans="1:8">
      <c r="A2462" s="3">
        <v>2461</v>
      </c>
      <c r="B2462" s="3" t="s">
        <v>6088</v>
      </c>
      <c r="C2462" s="3" t="s">
        <v>1356</v>
      </c>
      <c r="D2462" s="4" t="s">
        <v>6089</v>
      </c>
      <c r="E2462" s="3" t="s">
        <v>1076</v>
      </c>
      <c r="F2462" s="3" t="s">
        <v>1358</v>
      </c>
      <c r="G2462" s="3" t="s">
        <v>321</v>
      </c>
      <c r="H2462" s="4" t="s">
        <v>4198</v>
      </c>
    </row>
    <row r="2463" ht="16.5" customHeight="1" spans="1:8">
      <c r="A2463" s="3">
        <v>2462</v>
      </c>
      <c r="B2463" s="3" t="s">
        <v>6090</v>
      </c>
      <c r="C2463" s="3" t="s">
        <v>1356</v>
      </c>
      <c r="D2463" s="4" t="s">
        <v>6091</v>
      </c>
      <c r="E2463" s="3" t="s">
        <v>1076</v>
      </c>
      <c r="F2463" s="3" t="s">
        <v>1358</v>
      </c>
      <c r="G2463" s="3" t="s">
        <v>321</v>
      </c>
      <c r="H2463" s="4" t="s">
        <v>1359</v>
      </c>
    </row>
    <row r="2464" ht="16.5" customHeight="1" spans="1:8">
      <c r="A2464" s="3">
        <v>2463</v>
      </c>
      <c r="B2464" s="3" t="s">
        <v>6092</v>
      </c>
      <c r="C2464" s="3" t="s">
        <v>1356</v>
      </c>
      <c r="D2464" s="4" t="s">
        <v>6093</v>
      </c>
      <c r="E2464" s="3" t="s">
        <v>1076</v>
      </c>
      <c r="F2464" s="3" t="s">
        <v>4668</v>
      </c>
      <c r="G2464" s="3"/>
      <c r="H2464" s="4" t="s">
        <v>4198</v>
      </c>
    </row>
    <row r="2465" ht="16.5" customHeight="1" spans="1:8">
      <c r="A2465" s="3">
        <v>2464</v>
      </c>
      <c r="B2465" s="3" t="s">
        <v>6094</v>
      </c>
      <c r="C2465" s="3" t="s">
        <v>1356</v>
      </c>
      <c r="D2465" s="4" t="s">
        <v>6095</v>
      </c>
      <c r="E2465" s="3" t="s">
        <v>1076</v>
      </c>
      <c r="F2465" s="3" t="s">
        <v>4668</v>
      </c>
      <c r="G2465" s="3"/>
      <c r="H2465" s="4" t="s">
        <v>4198</v>
      </c>
    </row>
    <row r="2466" ht="16.5" customHeight="1" spans="1:8">
      <c r="A2466" s="3">
        <v>2465</v>
      </c>
      <c r="B2466" s="3" t="s">
        <v>6096</v>
      </c>
      <c r="C2466" s="3" t="s">
        <v>1356</v>
      </c>
      <c r="D2466" s="4" t="s">
        <v>6097</v>
      </c>
      <c r="E2466" s="3" t="s">
        <v>1218</v>
      </c>
      <c r="F2466" s="3" t="s">
        <v>4668</v>
      </c>
      <c r="G2466" s="3"/>
      <c r="H2466" s="4" t="s">
        <v>4117</v>
      </c>
    </row>
    <row r="2467" ht="16.5" customHeight="1" spans="1:8">
      <c r="A2467" s="3">
        <v>2466</v>
      </c>
      <c r="B2467" s="3" t="s">
        <v>6098</v>
      </c>
      <c r="C2467" s="3" t="s">
        <v>1356</v>
      </c>
      <c r="D2467" s="4" t="s">
        <v>6099</v>
      </c>
      <c r="E2467" s="3" t="s">
        <v>1076</v>
      </c>
      <c r="F2467" s="3" t="s">
        <v>4668</v>
      </c>
      <c r="G2467" s="3"/>
      <c r="H2467" s="4" t="s">
        <v>4117</v>
      </c>
    </row>
    <row r="2468" ht="16.5" customHeight="1" spans="1:8">
      <c r="A2468" s="3">
        <v>2467</v>
      </c>
      <c r="B2468" s="3" t="s">
        <v>6100</v>
      </c>
      <c r="C2468" s="3" t="s">
        <v>1356</v>
      </c>
      <c r="D2468" s="4" t="s">
        <v>6101</v>
      </c>
      <c r="E2468" s="3" t="s">
        <v>1076</v>
      </c>
      <c r="F2468" s="3" t="s">
        <v>4668</v>
      </c>
      <c r="G2468" s="3"/>
      <c r="H2468" s="4" t="s">
        <v>4117</v>
      </c>
    </row>
    <row r="2469" ht="16.5" customHeight="1" spans="1:8">
      <c r="A2469" s="3">
        <v>2468</v>
      </c>
      <c r="B2469" s="3" t="s">
        <v>6102</v>
      </c>
      <c r="C2469" s="3" t="s">
        <v>1356</v>
      </c>
      <c r="D2469" s="4" t="s">
        <v>6103</v>
      </c>
      <c r="E2469" s="3" t="s">
        <v>1076</v>
      </c>
      <c r="F2469" s="3" t="s">
        <v>4668</v>
      </c>
      <c r="G2469" s="3"/>
      <c r="H2469" s="4" t="s">
        <v>1305</v>
      </c>
    </row>
    <row r="2470" ht="16.5" customHeight="1" spans="1:8">
      <c r="A2470" s="3">
        <v>2469</v>
      </c>
      <c r="B2470" s="3" t="s">
        <v>6104</v>
      </c>
      <c r="C2470" s="3" t="s">
        <v>2163</v>
      </c>
      <c r="D2470" s="4" t="s">
        <v>6105</v>
      </c>
      <c r="E2470" s="3" t="s">
        <v>1076</v>
      </c>
      <c r="F2470" s="3" t="s">
        <v>4668</v>
      </c>
      <c r="G2470" s="3"/>
      <c r="H2470" s="4" t="s">
        <v>4198</v>
      </c>
    </row>
    <row r="2471" ht="16.5" customHeight="1" spans="1:8">
      <c r="A2471" s="3">
        <v>2470</v>
      </c>
      <c r="B2471" s="3" t="s">
        <v>6106</v>
      </c>
      <c r="C2471" s="3" t="s">
        <v>1356</v>
      </c>
      <c r="D2471" s="4" t="s">
        <v>6107</v>
      </c>
      <c r="E2471" s="3" t="s">
        <v>1076</v>
      </c>
      <c r="F2471" s="3" t="s">
        <v>4668</v>
      </c>
      <c r="G2471" s="3"/>
      <c r="H2471" s="4" t="s">
        <v>3463</v>
      </c>
    </row>
    <row r="2472" ht="16.5" customHeight="1" spans="1:8">
      <c r="A2472" s="3">
        <v>2471</v>
      </c>
      <c r="B2472" s="3" t="s">
        <v>6108</v>
      </c>
      <c r="C2472" s="3" t="s">
        <v>1074</v>
      </c>
      <c r="D2472" s="4" t="s">
        <v>6109</v>
      </c>
      <c r="E2472" s="3" t="s">
        <v>1076</v>
      </c>
      <c r="F2472" s="3" t="s">
        <v>4668</v>
      </c>
      <c r="G2472" s="3"/>
      <c r="H2472" s="4" t="s">
        <v>3463</v>
      </c>
    </row>
    <row r="2473" ht="16.5" customHeight="1" spans="1:8">
      <c r="A2473" s="3">
        <v>2472</v>
      </c>
      <c r="B2473" s="3" t="s">
        <v>6110</v>
      </c>
      <c r="C2473" s="3" t="s">
        <v>1356</v>
      </c>
      <c r="D2473" s="4" t="s">
        <v>6111</v>
      </c>
      <c r="E2473" s="3" t="s">
        <v>1076</v>
      </c>
      <c r="F2473" s="3" t="s">
        <v>4668</v>
      </c>
      <c r="G2473" s="3"/>
      <c r="H2473" s="4" t="s">
        <v>1305</v>
      </c>
    </row>
    <row r="2474" ht="16.5" customHeight="1" spans="1:8">
      <c r="A2474" s="3">
        <v>2473</v>
      </c>
      <c r="B2474" s="3" t="s">
        <v>6112</v>
      </c>
      <c r="C2474" s="3" t="s">
        <v>1074</v>
      </c>
      <c r="D2474" s="4" t="s">
        <v>6113</v>
      </c>
      <c r="E2474" s="3" t="s">
        <v>1076</v>
      </c>
      <c r="F2474" s="3" t="s">
        <v>4668</v>
      </c>
      <c r="G2474" s="3"/>
      <c r="H2474" s="4" t="s">
        <v>1305</v>
      </c>
    </row>
    <row r="2475" ht="16.5" customHeight="1" spans="1:8">
      <c r="A2475" s="3">
        <v>2474</v>
      </c>
      <c r="B2475" s="3" t="s">
        <v>6114</v>
      </c>
      <c r="C2475" s="3" t="s">
        <v>1356</v>
      </c>
      <c r="D2475" s="4" t="s">
        <v>6115</v>
      </c>
      <c r="E2475" s="3" t="s">
        <v>1076</v>
      </c>
      <c r="F2475" s="3" t="s">
        <v>4668</v>
      </c>
      <c r="G2475" s="3"/>
      <c r="H2475" s="4" t="s">
        <v>5533</v>
      </c>
    </row>
    <row r="2476" ht="16.5" customHeight="1" spans="1:8">
      <c r="A2476" s="3">
        <v>2475</v>
      </c>
      <c r="B2476" s="3" t="s">
        <v>6116</v>
      </c>
      <c r="C2476" s="3" t="s">
        <v>1356</v>
      </c>
      <c r="D2476" s="4" t="s">
        <v>6117</v>
      </c>
      <c r="E2476" s="3" t="s">
        <v>1076</v>
      </c>
      <c r="F2476" s="3" t="s">
        <v>4668</v>
      </c>
      <c r="G2476" s="3"/>
      <c r="H2476" s="4" t="s">
        <v>5533</v>
      </c>
    </row>
    <row r="2477" ht="16.5" customHeight="1" spans="1:8">
      <c r="A2477" s="3">
        <v>2476</v>
      </c>
      <c r="B2477" s="3" t="s">
        <v>6118</v>
      </c>
      <c r="C2477" s="3" t="s">
        <v>1356</v>
      </c>
      <c r="D2477" s="4" t="s">
        <v>6119</v>
      </c>
      <c r="E2477" s="3" t="s">
        <v>1076</v>
      </c>
      <c r="F2477" s="3" t="s">
        <v>4668</v>
      </c>
      <c r="G2477" s="3"/>
      <c r="H2477" s="4" t="s">
        <v>5533</v>
      </c>
    </row>
    <row r="2478" ht="16.5" customHeight="1" spans="1:8">
      <c r="A2478" s="3">
        <v>2477</v>
      </c>
      <c r="B2478" s="3" t="s">
        <v>6120</v>
      </c>
      <c r="C2478" s="3" t="s">
        <v>1074</v>
      </c>
      <c r="D2478" s="4" t="s">
        <v>6121</v>
      </c>
      <c r="E2478" s="3" t="s">
        <v>1076</v>
      </c>
      <c r="F2478" s="3" t="s">
        <v>4668</v>
      </c>
      <c r="G2478" s="3"/>
      <c r="H2478" s="4" t="s">
        <v>5533</v>
      </c>
    </row>
    <row r="2479" ht="16.5" customHeight="1" spans="1:8">
      <c r="A2479" s="3">
        <v>2478</v>
      </c>
      <c r="B2479" s="3" t="s">
        <v>6122</v>
      </c>
      <c r="C2479" s="3" t="s">
        <v>1356</v>
      </c>
      <c r="D2479" s="4" t="s">
        <v>6123</v>
      </c>
      <c r="E2479" s="3" t="s">
        <v>1076</v>
      </c>
      <c r="F2479" s="3" t="s">
        <v>4668</v>
      </c>
      <c r="G2479" s="3"/>
      <c r="H2479" s="4" t="s">
        <v>5533</v>
      </c>
    </row>
    <row r="2480" ht="16.5" customHeight="1" spans="1:8">
      <c r="A2480" s="3">
        <v>2479</v>
      </c>
      <c r="B2480" s="3" t="s">
        <v>6124</v>
      </c>
      <c r="C2480" s="3" t="s">
        <v>1356</v>
      </c>
      <c r="D2480" s="4" t="s">
        <v>6125</v>
      </c>
      <c r="E2480" s="3" t="s">
        <v>1076</v>
      </c>
      <c r="F2480" s="3" t="s">
        <v>4668</v>
      </c>
      <c r="G2480" s="3"/>
      <c r="H2480" s="4" t="s">
        <v>1305</v>
      </c>
    </row>
    <row r="2481" ht="16.5" customHeight="1" spans="1:8">
      <c r="A2481" s="3">
        <v>2480</v>
      </c>
      <c r="B2481" s="3" t="s">
        <v>6126</v>
      </c>
      <c r="C2481" s="3" t="s">
        <v>1356</v>
      </c>
      <c r="D2481" s="4" t="s">
        <v>6127</v>
      </c>
      <c r="E2481" s="3" t="s">
        <v>1076</v>
      </c>
      <c r="F2481" s="3" t="s">
        <v>4668</v>
      </c>
      <c r="G2481" s="3"/>
      <c r="H2481" s="4" t="s">
        <v>1305</v>
      </c>
    </row>
    <row r="2482" ht="16.5" customHeight="1" spans="1:8">
      <c r="A2482" s="3">
        <v>2481</v>
      </c>
      <c r="B2482" s="3" t="s">
        <v>6128</v>
      </c>
      <c r="C2482" s="3" t="s">
        <v>1356</v>
      </c>
      <c r="D2482" s="4" t="s">
        <v>6129</v>
      </c>
      <c r="E2482" s="3" t="s">
        <v>1076</v>
      </c>
      <c r="F2482" s="3" t="s">
        <v>4668</v>
      </c>
      <c r="G2482" s="3"/>
      <c r="H2482" s="4" t="s">
        <v>1095</v>
      </c>
    </row>
    <row r="2483" ht="16.5" customHeight="1" spans="1:8">
      <c r="A2483" s="3">
        <v>2482</v>
      </c>
      <c r="B2483" s="3" t="s">
        <v>6130</v>
      </c>
      <c r="C2483" s="3" t="s">
        <v>1356</v>
      </c>
      <c r="D2483" s="4" t="s">
        <v>6131</v>
      </c>
      <c r="E2483" s="3" t="s">
        <v>1218</v>
      </c>
      <c r="F2483" s="3" t="s">
        <v>4668</v>
      </c>
      <c r="G2483" s="3"/>
      <c r="H2483" s="4" t="s">
        <v>2050</v>
      </c>
    </row>
    <row r="2484" ht="16.5" customHeight="1" spans="1:8">
      <c r="A2484" s="3">
        <v>2483</v>
      </c>
      <c r="B2484" s="3" t="s">
        <v>6132</v>
      </c>
      <c r="C2484" s="3" t="s">
        <v>1356</v>
      </c>
      <c r="D2484" s="4" t="s">
        <v>6133</v>
      </c>
      <c r="E2484" s="3" t="s">
        <v>1218</v>
      </c>
      <c r="F2484" s="3" t="s">
        <v>4668</v>
      </c>
      <c r="G2484" s="3"/>
      <c r="H2484" s="4" t="s">
        <v>2050</v>
      </c>
    </row>
    <row r="2485" ht="16.5" customHeight="1" spans="1:8">
      <c r="A2485" s="3">
        <v>2484</v>
      </c>
      <c r="B2485" s="3" t="s">
        <v>6134</v>
      </c>
      <c r="C2485" s="3" t="s">
        <v>1356</v>
      </c>
      <c r="D2485" s="4" t="s">
        <v>6135</v>
      </c>
      <c r="E2485" s="3" t="s">
        <v>1218</v>
      </c>
      <c r="F2485" s="3" t="s">
        <v>4668</v>
      </c>
      <c r="G2485" s="3"/>
      <c r="H2485" s="4" t="s">
        <v>2050</v>
      </c>
    </row>
    <row r="2486" ht="16.5" customHeight="1" spans="1:8">
      <c r="A2486" s="3">
        <v>2485</v>
      </c>
      <c r="B2486" s="3" t="s">
        <v>6136</v>
      </c>
      <c r="C2486" s="3" t="s">
        <v>1356</v>
      </c>
      <c r="D2486" s="4" t="s">
        <v>6137</v>
      </c>
      <c r="E2486" s="3" t="s">
        <v>1218</v>
      </c>
      <c r="F2486" s="3" t="s">
        <v>4668</v>
      </c>
      <c r="G2486" s="3"/>
      <c r="H2486" s="4" t="s">
        <v>2050</v>
      </c>
    </row>
    <row r="2487" ht="16.5" customHeight="1" spans="1:8">
      <c r="A2487" s="3">
        <v>2486</v>
      </c>
      <c r="B2487" s="3" t="s">
        <v>6138</v>
      </c>
      <c r="C2487" s="3" t="s">
        <v>1356</v>
      </c>
      <c r="D2487" s="4" t="s">
        <v>6139</v>
      </c>
      <c r="E2487" s="3" t="s">
        <v>1164</v>
      </c>
      <c r="F2487" s="3" t="s">
        <v>4668</v>
      </c>
      <c r="G2487" s="3"/>
      <c r="H2487" s="4" t="s">
        <v>2050</v>
      </c>
    </row>
    <row r="2488" ht="16.5" customHeight="1" spans="1:8">
      <c r="A2488" s="3">
        <v>2487</v>
      </c>
      <c r="B2488" s="3" t="s">
        <v>6140</v>
      </c>
      <c r="C2488" s="3" t="s">
        <v>1074</v>
      </c>
      <c r="D2488" s="4" t="s">
        <v>6141</v>
      </c>
      <c r="E2488" s="3" t="s">
        <v>1164</v>
      </c>
      <c r="F2488" s="3" t="s">
        <v>4668</v>
      </c>
      <c r="G2488" s="3"/>
      <c r="H2488" s="4" t="s">
        <v>2050</v>
      </c>
    </row>
    <row r="2489" ht="16.5" customHeight="1" spans="1:8">
      <c r="A2489" s="3">
        <v>2488</v>
      </c>
      <c r="B2489" s="3" t="s">
        <v>6142</v>
      </c>
      <c r="C2489" s="3" t="s">
        <v>2163</v>
      </c>
      <c r="D2489" s="4" t="s">
        <v>6143</v>
      </c>
      <c r="E2489" s="3" t="s">
        <v>1076</v>
      </c>
      <c r="F2489" s="3" t="s">
        <v>2105</v>
      </c>
      <c r="G2489" s="3" t="s">
        <v>321</v>
      </c>
      <c r="H2489" s="4" t="s">
        <v>1305</v>
      </c>
    </row>
    <row r="2490" ht="16.5" customHeight="1" spans="1:8">
      <c r="A2490" s="3">
        <v>2489</v>
      </c>
      <c r="B2490" s="3" t="s">
        <v>6144</v>
      </c>
      <c r="C2490" s="3" t="s">
        <v>2163</v>
      </c>
      <c r="D2490" s="4" t="s">
        <v>6145</v>
      </c>
      <c r="E2490" s="3" t="s">
        <v>1076</v>
      </c>
      <c r="F2490" s="3" t="s">
        <v>2105</v>
      </c>
      <c r="G2490" s="3" t="s">
        <v>321</v>
      </c>
      <c r="H2490" s="4" t="s">
        <v>1305</v>
      </c>
    </row>
    <row r="2491" ht="16.5" customHeight="1" spans="1:8">
      <c r="A2491" s="3">
        <v>2490</v>
      </c>
      <c r="B2491" s="3" t="s">
        <v>6146</v>
      </c>
      <c r="C2491" s="3" t="s">
        <v>2163</v>
      </c>
      <c r="D2491" s="4" t="s">
        <v>6147</v>
      </c>
      <c r="E2491" s="3" t="s">
        <v>1076</v>
      </c>
      <c r="F2491" s="3" t="s">
        <v>2041</v>
      </c>
      <c r="G2491" s="3" t="s">
        <v>321</v>
      </c>
      <c r="H2491" s="4" t="s">
        <v>1305</v>
      </c>
    </row>
    <row r="2492" ht="16.5" customHeight="1" spans="1:8">
      <c r="A2492" s="3">
        <v>2491</v>
      </c>
      <c r="B2492" s="3" t="s">
        <v>6148</v>
      </c>
      <c r="C2492" s="3" t="s">
        <v>1356</v>
      </c>
      <c r="D2492" s="4" t="s">
        <v>6149</v>
      </c>
      <c r="E2492" s="3" t="s">
        <v>1218</v>
      </c>
      <c r="F2492" s="3" t="s">
        <v>4668</v>
      </c>
      <c r="G2492" s="3"/>
      <c r="H2492" s="4" t="s">
        <v>5396</v>
      </c>
    </row>
    <row r="2493" ht="16.5" customHeight="1" spans="1:8">
      <c r="A2493" s="3">
        <v>2492</v>
      </c>
      <c r="B2493" s="3" t="s">
        <v>6150</v>
      </c>
      <c r="C2493" s="3" t="s">
        <v>1356</v>
      </c>
      <c r="D2493" s="4" t="s">
        <v>6151</v>
      </c>
      <c r="E2493" s="3" t="s">
        <v>1218</v>
      </c>
      <c r="F2493" s="3" t="s">
        <v>4668</v>
      </c>
      <c r="G2493" s="3"/>
      <c r="H2493" s="4" t="s">
        <v>4117</v>
      </c>
    </row>
    <row r="2494" ht="16.5" customHeight="1" spans="1:8">
      <c r="A2494" s="3">
        <v>2493</v>
      </c>
      <c r="B2494" s="3" t="s">
        <v>6152</v>
      </c>
      <c r="C2494" s="3" t="s">
        <v>1356</v>
      </c>
      <c r="D2494" s="4" t="s">
        <v>6153</v>
      </c>
      <c r="E2494" s="3" t="s">
        <v>1076</v>
      </c>
      <c r="F2494" s="3" t="s">
        <v>1719</v>
      </c>
      <c r="G2494" s="3"/>
      <c r="H2494" s="4" t="s">
        <v>1359</v>
      </c>
    </row>
    <row r="2495" ht="16.5" customHeight="1" spans="1:8">
      <c r="A2495" s="3">
        <v>2494</v>
      </c>
      <c r="B2495" s="3" t="s">
        <v>6154</v>
      </c>
      <c r="C2495" s="3" t="s">
        <v>2163</v>
      </c>
      <c r="D2495" s="4" t="s">
        <v>6155</v>
      </c>
      <c r="E2495" s="3" t="s">
        <v>1076</v>
      </c>
      <c r="F2495" s="3" t="s">
        <v>4154</v>
      </c>
      <c r="G2495" s="3"/>
      <c r="H2495" s="4" t="s">
        <v>4198</v>
      </c>
    </row>
    <row r="2496" ht="16.5" customHeight="1" spans="1:8">
      <c r="A2496" s="3">
        <v>2495</v>
      </c>
      <c r="B2496" s="3" t="s">
        <v>6156</v>
      </c>
      <c r="C2496" s="3" t="s">
        <v>2163</v>
      </c>
      <c r="D2496" s="4" t="s">
        <v>6157</v>
      </c>
      <c r="E2496" s="3" t="s">
        <v>1076</v>
      </c>
      <c r="F2496" s="3" t="s">
        <v>4154</v>
      </c>
      <c r="G2496" s="3"/>
      <c r="H2496" s="4" t="s">
        <v>4198</v>
      </c>
    </row>
    <row r="2497" ht="16.5" customHeight="1" spans="1:8">
      <c r="A2497" s="3">
        <v>2496</v>
      </c>
      <c r="B2497" s="3" t="s">
        <v>6158</v>
      </c>
      <c r="C2497" s="3" t="s">
        <v>2163</v>
      </c>
      <c r="D2497" s="4" t="s">
        <v>6159</v>
      </c>
      <c r="E2497" s="3" t="s">
        <v>1076</v>
      </c>
      <c r="F2497" s="3" t="s">
        <v>4154</v>
      </c>
      <c r="G2497" s="3"/>
      <c r="H2497" s="4" t="s">
        <v>4198</v>
      </c>
    </row>
    <row r="2498" ht="16.5" customHeight="1" spans="1:8">
      <c r="A2498" s="3">
        <v>2497</v>
      </c>
      <c r="B2498" s="3" t="s">
        <v>6160</v>
      </c>
      <c r="C2498" s="3" t="s">
        <v>2163</v>
      </c>
      <c r="D2498" s="4" t="s">
        <v>6161</v>
      </c>
      <c r="E2498" s="3" t="s">
        <v>1076</v>
      </c>
      <c r="F2498" s="3" t="s">
        <v>4154</v>
      </c>
      <c r="G2498" s="3"/>
      <c r="H2498" s="4" t="s">
        <v>4198</v>
      </c>
    </row>
    <row r="2499" ht="16.5" customHeight="1" spans="1:8">
      <c r="A2499" s="3">
        <v>2498</v>
      </c>
      <c r="B2499" s="3" t="s">
        <v>6162</v>
      </c>
      <c r="C2499" s="3" t="s">
        <v>2163</v>
      </c>
      <c r="D2499" s="4" t="s">
        <v>6163</v>
      </c>
      <c r="E2499" s="3" t="s">
        <v>1076</v>
      </c>
      <c r="F2499" s="3" t="s">
        <v>2105</v>
      </c>
      <c r="G2499" s="3" t="s">
        <v>321</v>
      </c>
      <c r="H2499" s="4" t="s">
        <v>1095</v>
      </c>
    </row>
    <row r="2500" ht="16.5" customHeight="1" spans="1:8">
      <c r="A2500" s="3">
        <v>2499</v>
      </c>
      <c r="B2500" s="3" t="s">
        <v>6164</v>
      </c>
      <c r="C2500" s="3" t="s">
        <v>2163</v>
      </c>
      <c r="D2500" s="4" t="s">
        <v>6165</v>
      </c>
      <c r="E2500" s="3" t="s">
        <v>1076</v>
      </c>
      <c r="F2500" s="3" t="s">
        <v>2105</v>
      </c>
      <c r="G2500" s="3" t="s">
        <v>321</v>
      </c>
      <c r="H2500" s="4" t="s">
        <v>1095</v>
      </c>
    </row>
    <row r="2501" ht="16.5" customHeight="1" spans="1:8">
      <c r="A2501" s="3">
        <v>2500</v>
      </c>
      <c r="B2501" s="3" t="s">
        <v>6166</v>
      </c>
      <c r="C2501" s="3" t="s">
        <v>2163</v>
      </c>
      <c r="D2501" s="4" t="s">
        <v>6167</v>
      </c>
      <c r="E2501" s="3" t="s">
        <v>1076</v>
      </c>
      <c r="F2501" s="3" t="s">
        <v>2105</v>
      </c>
      <c r="G2501" s="3" t="s">
        <v>321</v>
      </c>
      <c r="H2501" s="4" t="s">
        <v>1095</v>
      </c>
    </row>
    <row r="2502" ht="16.5" customHeight="1" spans="1:8">
      <c r="A2502" s="3">
        <v>2501</v>
      </c>
      <c r="B2502" s="3" t="s">
        <v>6168</v>
      </c>
      <c r="C2502" s="3" t="s">
        <v>2163</v>
      </c>
      <c r="D2502" s="4" t="s">
        <v>6169</v>
      </c>
      <c r="E2502" s="3" t="s">
        <v>1076</v>
      </c>
      <c r="F2502" s="3" t="s">
        <v>2105</v>
      </c>
      <c r="G2502" s="3" t="s">
        <v>321</v>
      </c>
      <c r="H2502" s="4" t="s">
        <v>1368</v>
      </c>
    </row>
    <row r="2503" ht="16.5" customHeight="1" spans="1:8">
      <c r="A2503" s="3">
        <v>2502</v>
      </c>
      <c r="B2503" s="3" t="s">
        <v>6170</v>
      </c>
      <c r="C2503" s="3" t="s">
        <v>2163</v>
      </c>
      <c r="D2503" s="4" t="s">
        <v>6171</v>
      </c>
      <c r="E2503" s="3" t="s">
        <v>2726</v>
      </c>
      <c r="F2503" s="3" t="s">
        <v>2105</v>
      </c>
      <c r="G2503" s="3" t="s">
        <v>321</v>
      </c>
      <c r="H2503" s="4" t="s">
        <v>1095</v>
      </c>
    </row>
    <row r="2504" ht="16.5" customHeight="1" spans="1:8">
      <c r="A2504" s="3">
        <v>2503</v>
      </c>
      <c r="B2504" s="3" t="s">
        <v>6172</v>
      </c>
      <c r="C2504" s="3" t="s">
        <v>2163</v>
      </c>
      <c r="D2504" s="4" t="s">
        <v>6173</v>
      </c>
      <c r="E2504" s="3" t="s">
        <v>1076</v>
      </c>
      <c r="F2504" s="3" t="s">
        <v>1358</v>
      </c>
      <c r="G2504" s="3" t="s">
        <v>321</v>
      </c>
      <c r="H2504" s="4" t="s">
        <v>1305</v>
      </c>
    </row>
    <row r="2505" ht="16.5" customHeight="1" spans="1:8">
      <c r="A2505" s="3">
        <v>2504</v>
      </c>
      <c r="B2505" s="3" t="s">
        <v>6174</v>
      </c>
      <c r="C2505" s="3" t="s">
        <v>2163</v>
      </c>
      <c r="D2505" s="4" t="s">
        <v>6175</v>
      </c>
      <c r="E2505" s="3" t="s">
        <v>1076</v>
      </c>
      <c r="F2505" s="3" t="s">
        <v>2105</v>
      </c>
      <c r="G2505" s="3" t="s">
        <v>321</v>
      </c>
      <c r="H2505" s="4" t="s">
        <v>1305</v>
      </c>
    </row>
    <row r="2506" ht="16.5" customHeight="1" spans="1:8">
      <c r="A2506" s="3">
        <v>2505</v>
      </c>
      <c r="B2506" s="3" t="s">
        <v>6176</v>
      </c>
      <c r="C2506" s="3" t="s">
        <v>2163</v>
      </c>
      <c r="D2506" s="4" t="s">
        <v>6177</v>
      </c>
      <c r="E2506" s="3" t="s">
        <v>1076</v>
      </c>
      <c r="F2506" s="3" t="s">
        <v>2105</v>
      </c>
      <c r="G2506" s="3" t="s">
        <v>321</v>
      </c>
      <c r="H2506" s="4" t="s">
        <v>1305</v>
      </c>
    </row>
    <row r="2507" ht="16.5" customHeight="1" spans="1:8">
      <c r="A2507" s="3">
        <v>2506</v>
      </c>
      <c r="B2507" s="3" t="s">
        <v>6178</v>
      </c>
      <c r="C2507" s="3" t="s">
        <v>2163</v>
      </c>
      <c r="D2507" s="4" t="s">
        <v>6179</v>
      </c>
      <c r="E2507" s="3" t="s">
        <v>1076</v>
      </c>
      <c r="F2507" s="3" t="s">
        <v>4331</v>
      </c>
      <c r="G2507" s="3"/>
      <c r="H2507" s="4" t="s">
        <v>1095</v>
      </c>
    </row>
    <row r="2508" ht="16.5" customHeight="1" spans="1:8">
      <c r="A2508" s="3">
        <v>2507</v>
      </c>
      <c r="B2508" s="3" t="s">
        <v>6180</v>
      </c>
      <c r="C2508" s="3" t="s">
        <v>2163</v>
      </c>
      <c r="D2508" s="4" t="s">
        <v>6181</v>
      </c>
      <c r="E2508" s="3" t="s">
        <v>1076</v>
      </c>
      <c r="F2508" s="3" t="s">
        <v>4331</v>
      </c>
      <c r="G2508" s="3"/>
      <c r="H2508" s="4" t="s">
        <v>1305</v>
      </c>
    </row>
    <row r="2509" ht="16.5" customHeight="1" spans="1:8">
      <c r="A2509" s="3">
        <v>2508</v>
      </c>
      <c r="B2509" s="3" t="s">
        <v>6182</v>
      </c>
      <c r="C2509" s="3" t="s">
        <v>2163</v>
      </c>
      <c r="D2509" s="4" t="s">
        <v>6183</v>
      </c>
      <c r="E2509" s="3" t="s">
        <v>1076</v>
      </c>
      <c r="F2509" s="3" t="s">
        <v>2105</v>
      </c>
      <c r="G2509" s="3" t="s">
        <v>321</v>
      </c>
      <c r="H2509" s="4" t="s">
        <v>1095</v>
      </c>
    </row>
    <row r="2510" ht="16.5" customHeight="1" spans="1:8">
      <c r="A2510" s="3">
        <v>2509</v>
      </c>
      <c r="B2510" s="3" t="s">
        <v>6184</v>
      </c>
      <c r="C2510" s="3" t="s">
        <v>2163</v>
      </c>
      <c r="D2510" s="4" t="s">
        <v>6185</v>
      </c>
      <c r="E2510" s="3" t="s">
        <v>1076</v>
      </c>
      <c r="F2510" s="3" t="s">
        <v>2105</v>
      </c>
      <c r="G2510" s="3" t="s">
        <v>321</v>
      </c>
      <c r="H2510" s="4" t="s">
        <v>1095</v>
      </c>
    </row>
    <row r="2511" ht="16.5" customHeight="1" spans="1:8">
      <c r="A2511" s="3">
        <v>2510</v>
      </c>
      <c r="B2511" s="3" t="s">
        <v>6186</v>
      </c>
      <c r="C2511" s="3" t="s">
        <v>1356</v>
      </c>
      <c r="D2511" s="4" t="s">
        <v>6187</v>
      </c>
      <c r="E2511" s="3" t="s">
        <v>1076</v>
      </c>
      <c r="F2511" s="3" t="s">
        <v>1736</v>
      </c>
      <c r="G2511" s="3"/>
      <c r="H2511" s="4" t="s">
        <v>1095</v>
      </c>
    </row>
    <row r="2512" ht="16.5" customHeight="1" spans="1:8">
      <c r="A2512" s="3">
        <v>2511</v>
      </c>
      <c r="B2512" s="3" t="s">
        <v>6188</v>
      </c>
      <c r="C2512" s="3" t="s">
        <v>1356</v>
      </c>
      <c r="D2512" s="4" t="s">
        <v>6189</v>
      </c>
      <c r="E2512" s="3" t="s">
        <v>1076</v>
      </c>
      <c r="F2512" s="3" t="s">
        <v>1736</v>
      </c>
      <c r="G2512" s="3"/>
      <c r="H2512" s="4" t="s">
        <v>1095</v>
      </c>
    </row>
    <row r="2513" ht="16.5" customHeight="1" spans="1:8">
      <c r="A2513" s="3">
        <v>2512</v>
      </c>
      <c r="B2513" s="3" t="s">
        <v>6190</v>
      </c>
      <c r="C2513" s="3" t="s">
        <v>2163</v>
      </c>
      <c r="D2513" s="4" t="s">
        <v>6191</v>
      </c>
      <c r="E2513" s="3" t="s">
        <v>1076</v>
      </c>
      <c r="F2513" s="3" t="s">
        <v>4154</v>
      </c>
      <c r="G2513" s="3"/>
      <c r="H2513" s="4" t="s">
        <v>4198</v>
      </c>
    </row>
    <row r="2514" ht="16.5" customHeight="1" spans="1:8">
      <c r="A2514" s="3">
        <v>2513</v>
      </c>
      <c r="B2514" s="3" t="s">
        <v>6192</v>
      </c>
      <c r="C2514" s="3" t="s">
        <v>2163</v>
      </c>
      <c r="D2514" s="4" t="s">
        <v>6193</v>
      </c>
      <c r="E2514" s="3" t="s">
        <v>1076</v>
      </c>
      <c r="F2514" s="3" t="s">
        <v>2105</v>
      </c>
      <c r="G2514" s="3" t="s">
        <v>321</v>
      </c>
      <c r="H2514" s="4" t="s">
        <v>2181</v>
      </c>
    </row>
    <row r="2515" ht="16.5" customHeight="1" spans="1:8">
      <c r="A2515" s="3">
        <v>2514</v>
      </c>
      <c r="B2515" s="3" t="s">
        <v>6194</v>
      </c>
      <c r="C2515" s="3" t="s">
        <v>2163</v>
      </c>
      <c r="D2515" s="4" t="s">
        <v>6195</v>
      </c>
      <c r="E2515" s="3" t="s">
        <v>1076</v>
      </c>
      <c r="F2515" s="3" t="s">
        <v>2041</v>
      </c>
      <c r="G2515" s="3" t="s">
        <v>321</v>
      </c>
      <c r="H2515" s="4" t="s">
        <v>4005</v>
      </c>
    </row>
    <row r="2516" ht="16.5" customHeight="1" spans="1:8">
      <c r="A2516" s="3">
        <v>2515</v>
      </c>
      <c r="B2516" s="3" t="s">
        <v>6196</v>
      </c>
      <c r="C2516" s="3" t="s">
        <v>1356</v>
      </c>
      <c r="D2516" s="4" t="s">
        <v>6197</v>
      </c>
      <c r="E2516" s="3" t="s">
        <v>1076</v>
      </c>
      <c r="F2516" s="3" t="s">
        <v>4107</v>
      </c>
      <c r="G2516" s="3"/>
      <c r="H2516" s="4" t="s">
        <v>3351</v>
      </c>
    </row>
    <row r="2517" ht="16.5" customHeight="1" spans="1:8">
      <c r="A2517" s="3">
        <v>2516</v>
      </c>
      <c r="B2517" s="3" t="s">
        <v>6198</v>
      </c>
      <c r="C2517" s="3" t="s">
        <v>1356</v>
      </c>
      <c r="D2517" s="4" t="s">
        <v>6199</v>
      </c>
      <c r="E2517" s="3" t="s">
        <v>1218</v>
      </c>
      <c r="F2517" s="3" t="s">
        <v>4107</v>
      </c>
      <c r="G2517" s="3"/>
      <c r="H2517" s="4" t="s">
        <v>1359</v>
      </c>
    </row>
    <row r="2518" ht="16.5" customHeight="1" spans="1:8">
      <c r="A2518" s="3">
        <v>2517</v>
      </c>
      <c r="B2518" s="3" t="s">
        <v>6200</v>
      </c>
      <c r="C2518" s="3" t="s">
        <v>1074</v>
      </c>
      <c r="D2518" s="4" t="s">
        <v>6201</v>
      </c>
      <c r="E2518" s="3" t="s">
        <v>1164</v>
      </c>
      <c r="F2518" s="3" t="s">
        <v>6202</v>
      </c>
      <c r="G2518" s="3"/>
      <c r="H2518" s="4" t="s">
        <v>2050</v>
      </c>
    </row>
    <row r="2519" ht="16.5" customHeight="1" spans="1:8">
      <c r="A2519" s="3">
        <v>2518</v>
      </c>
      <c r="B2519" s="3" t="s">
        <v>6203</v>
      </c>
      <c r="C2519" s="3" t="s">
        <v>1105</v>
      </c>
      <c r="D2519" s="4" t="s">
        <v>6204</v>
      </c>
      <c r="E2519" s="3" t="s">
        <v>1076</v>
      </c>
      <c r="F2519" s="3" t="s">
        <v>6202</v>
      </c>
      <c r="G2519" s="3"/>
      <c r="H2519" s="4" t="s">
        <v>6205</v>
      </c>
    </row>
    <row r="2520" ht="16.5" customHeight="1" spans="1:8">
      <c r="A2520" s="3">
        <v>2519</v>
      </c>
      <c r="B2520" s="3" t="s">
        <v>6206</v>
      </c>
      <c r="C2520" s="3" t="s">
        <v>1105</v>
      </c>
      <c r="D2520" s="4" t="s">
        <v>6207</v>
      </c>
      <c r="E2520" s="3" t="s">
        <v>1076</v>
      </c>
      <c r="F2520" s="3" t="s">
        <v>6202</v>
      </c>
      <c r="G2520" s="3"/>
      <c r="H2520" s="4" t="s">
        <v>6205</v>
      </c>
    </row>
    <row r="2521" ht="16.5" customHeight="1" spans="1:8">
      <c r="A2521" s="3">
        <v>2520</v>
      </c>
      <c r="B2521" s="3" t="s">
        <v>6208</v>
      </c>
      <c r="C2521" s="3" t="s">
        <v>1105</v>
      </c>
      <c r="D2521" s="4" t="s">
        <v>6209</v>
      </c>
      <c r="E2521" s="3" t="s">
        <v>1076</v>
      </c>
      <c r="F2521" s="3" t="s">
        <v>6202</v>
      </c>
      <c r="G2521" s="3"/>
      <c r="H2521" s="4" t="s">
        <v>6205</v>
      </c>
    </row>
    <row r="2522" ht="16.5" customHeight="1" spans="1:8">
      <c r="A2522" s="3">
        <v>2521</v>
      </c>
      <c r="B2522" s="3" t="s">
        <v>6210</v>
      </c>
      <c r="C2522" s="3" t="s">
        <v>1105</v>
      </c>
      <c r="D2522" s="4" t="s">
        <v>6211</v>
      </c>
      <c r="E2522" s="3" t="s">
        <v>1076</v>
      </c>
      <c r="F2522" s="3" t="s">
        <v>6202</v>
      </c>
      <c r="G2522" s="3"/>
      <c r="H2522" s="4" t="s">
        <v>6205</v>
      </c>
    </row>
    <row r="2523" ht="16.5" customHeight="1" spans="1:8">
      <c r="A2523" s="3">
        <v>2522</v>
      </c>
      <c r="B2523" s="3" t="s">
        <v>6212</v>
      </c>
      <c r="C2523" s="3" t="s">
        <v>1105</v>
      </c>
      <c r="D2523" s="4" t="s">
        <v>6213</v>
      </c>
      <c r="E2523" s="3" t="s">
        <v>1076</v>
      </c>
      <c r="F2523" s="3" t="s">
        <v>6202</v>
      </c>
      <c r="G2523" s="3"/>
      <c r="H2523" s="4" t="s">
        <v>6205</v>
      </c>
    </row>
    <row r="2524" ht="16.5" customHeight="1" spans="1:8">
      <c r="A2524" s="3">
        <v>2523</v>
      </c>
      <c r="B2524" s="3" t="s">
        <v>6214</v>
      </c>
      <c r="C2524" s="3" t="s">
        <v>1105</v>
      </c>
      <c r="D2524" s="4" t="s">
        <v>6215</v>
      </c>
      <c r="E2524" s="3" t="s">
        <v>1076</v>
      </c>
      <c r="F2524" s="3" t="s">
        <v>6202</v>
      </c>
      <c r="G2524" s="3"/>
      <c r="H2524" s="4" t="s">
        <v>6205</v>
      </c>
    </row>
    <row r="2525" ht="16.5" customHeight="1" spans="1:8">
      <c r="A2525" s="3">
        <v>2524</v>
      </c>
      <c r="B2525" s="3" t="s">
        <v>6216</v>
      </c>
      <c r="C2525" s="3" t="s">
        <v>1105</v>
      </c>
      <c r="D2525" s="4" t="s">
        <v>6217</v>
      </c>
      <c r="E2525" s="3" t="s">
        <v>1076</v>
      </c>
      <c r="F2525" s="3" t="s">
        <v>6202</v>
      </c>
      <c r="G2525" s="3"/>
      <c r="H2525" s="4" t="s">
        <v>6205</v>
      </c>
    </row>
    <row r="2526" ht="16.5" customHeight="1" spans="1:8">
      <c r="A2526" s="3">
        <v>2525</v>
      </c>
      <c r="B2526" s="3" t="s">
        <v>6218</v>
      </c>
      <c r="C2526" s="3" t="s">
        <v>1105</v>
      </c>
      <c r="D2526" s="4" t="s">
        <v>6219</v>
      </c>
      <c r="E2526" s="3" t="s">
        <v>1076</v>
      </c>
      <c r="F2526" s="3" t="s">
        <v>6202</v>
      </c>
      <c r="G2526" s="3"/>
      <c r="H2526" s="4" t="s">
        <v>6205</v>
      </c>
    </row>
    <row r="2527" ht="16.5" customHeight="1" spans="1:8">
      <c r="A2527" s="3">
        <v>2526</v>
      </c>
      <c r="B2527" s="3" t="s">
        <v>6220</v>
      </c>
      <c r="C2527" s="3" t="s">
        <v>1105</v>
      </c>
      <c r="D2527" s="4" t="s">
        <v>6221</v>
      </c>
      <c r="E2527" s="3" t="s">
        <v>1076</v>
      </c>
      <c r="F2527" s="3" t="s">
        <v>6202</v>
      </c>
      <c r="G2527" s="3"/>
      <c r="H2527" s="4" t="s">
        <v>6205</v>
      </c>
    </row>
    <row r="2528" ht="16.5" customHeight="1" spans="1:8">
      <c r="A2528" s="3">
        <v>2527</v>
      </c>
      <c r="B2528" s="3" t="s">
        <v>6222</v>
      </c>
      <c r="C2528" s="3" t="s">
        <v>2163</v>
      </c>
      <c r="D2528" s="4" t="s">
        <v>6223</v>
      </c>
      <c r="E2528" s="3" t="s">
        <v>1076</v>
      </c>
      <c r="F2528" s="3" t="s">
        <v>1358</v>
      </c>
      <c r="G2528" s="3" t="s">
        <v>321</v>
      </c>
      <c r="H2528" s="4" t="s">
        <v>1843</v>
      </c>
    </row>
    <row r="2529" ht="16.5" customHeight="1" spans="1:8">
      <c r="A2529" s="3">
        <v>2528</v>
      </c>
      <c r="B2529" s="3" t="s">
        <v>6224</v>
      </c>
      <c r="C2529" s="3" t="s">
        <v>2163</v>
      </c>
      <c r="D2529" s="4" t="s">
        <v>6225</v>
      </c>
      <c r="E2529" s="3" t="s">
        <v>1076</v>
      </c>
      <c r="F2529" s="3" t="s">
        <v>2105</v>
      </c>
      <c r="G2529" s="3" t="s">
        <v>321</v>
      </c>
      <c r="H2529" s="4" t="s">
        <v>1308</v>
      </c>
    </row>
    <row r="2530" ht="16.5" customHeight="1" spans="1:8">
      <c r="A2530" s="3">
        <v>2529</v>
      </c>
      <c r="B2530" s="3" t="s">
        <v>6226</v>
      </c>
      <c r="C2530" s="3" t="s">
        <v>2163</v>
      </c>
      <c r="D2530" s="4" t="s">
        <v>6227</v>
      </c>
      <c r="E2530" s="3" t="s">
        <v>1076</v>
      </c>
      <c r="F2530" s="3" t="s">
        <v>2105</v>
      </c>
      <c r="G2530" s="3" t="s">
        <v>321</v>
      </c>
      <c r="H2530" s="4" t="s">
        <v>2181</v>
      </c>
    </row>
    <row r="2531" ht="16.5" customHeight="1" spans="1:8">
      <c r="A2531" s="3">
        <v>2530</v>
      </c>
      <c r="B2531" s="3" t="s">
        <v>6228</v>
      </c>
      <c r="C2531" s="3" t="s">
        <v>2163</v>
      </c>
      <c r="D2531" s="4" t="s">
        <v>6229</v>
      </c>
      <c r="E2531" s="3" t="s">
        <v>1076</v>
      </c>
      <c r="F2531" s="3" t="s">
        <v>2105</v>
      </c>
      <c r="G2531" s="3" t="s">
        <v>321</v>
      </c>
      <c r="H2531" s="4" t="s">
        <v>2181</v>
      </c>
    </row>
    <row r="2532" ht="16.5" customHeight="1" spans="1:8">
      <c r="A2532" s="3">
        <v>2531</v>
      </c>
      <c r="B2532" s="3" t="s">
        <v>6230</v>
      </c>
      <c r="C2532" s="3" t="s">
        <v>2163</v>
      </c>
      <c r="D2532" s="4" t="s">
        <v>6231</v>
      </c>
      <c r="E2532" s="3" t="s">
        <v>1076</v>
      </c>
      <c r="F2532" s="3" t="s">
        <v>2105</v>
      </c>
      <c r="G2532" s="3" t="s">
        <v>321</v>
      </c>
      <c r="H2532" s="4" t="s">
        <v>1305</v>
      </c>
    </row>
    <row r="2533" ht="16.5" customHeight="1" spans="1:8">
      <c r="A2533" s="3">
        <v>2532</v>
      </c>
      <c r="B2533" s="3" t="s">
        <v>6232</v>
      </c>
      <c r="C2533" s="3" t="s">
        <v>2163</v>
      </c>
      <c r="D2533" s="4" t="s">
        <v>6233</v>
      </c>
      <c r="E2533" s="3" t="s">
        <v>1076</v>
      </c>
      <c r="F2533" s="3" t="s">
        <v>2041</v>
      </c>
      <c r="G2533" s="3" t="s">
        <v>321</v>
      </c>
      <c r="H2533" s="4" t="s">
        <v>1095</v>
      </c>
    </row>
    <row r="2534" ht="16.5" customHeight="1" spans="1:8">
      <c r="A2534" s="3">
        <v>2533</v>
      </c>
      <c r="B2534" s="3" t="s">
        <v>6234</v>
      </c>
      <c r="C2534" s="3" t="s">
        <v>2163</v>
      </c>
      <c r="D2534" s="4" t="s">
        <v>6235</v>
      </c>
      <c r="E2534" s="3" t="s">
        <v>1076</v>
      </c>
      <c r="F2534" s="3" t="s">
        <v>2041</v>
      </c>
      <c r="G2534" s="3" t="s">
        <v>321</v>
      </c>
      <c r="H2534" s="4" t="s">
        <v>1843</v>
      </c>
    </row>
    <row r="2535" ht="16.5" customHeight="1" spans="1:8">
      <c r="A2535" s="3">
        <v>2534</v>
      </c>
      <c r="B2535" s="3" t="s">
        <v>6236</v>
      </c>
      <c r="C2535" s="3" t="s">
        <v>2163</v>
      </c>
      <c r="D2535" s="4" t="s">
        <v>6237</v>
      </c>
      <c r="E2535" s="3" t="s">
        <v>1076</v>
      </c>
      <c r="F2535" s="3" t="s">
        <v>2041</v>
      </c>
      <c r="G2535" s="3" t="s">
        <v>321</v>
      </c>
      <c r="H2535" s="4" t="s">
        <v>1095</v>
      </c>
    </row>
    <row r="2536" ht="16.5" customHeight="1" spans="1:8">
      <c r="A2536" s="3">
        <v>2535</v>
      </c>
      <c r="B2536" s="3" t="s">
        <v>6238</v>
      </c>
      <c r="C2536" s="3" t="s">
        <v>2163</v>
      </c>
      <c r="D2536" s="4" t="s">
        <v>6239</v>
      </c>
      <c r="E2536" s="3" t="s">
        <v>1076</v>
      </c>
      <c r="F2536" s="3" t="s">
        <v>2041</v>
      </c>
      <c r="G2536" s="3" t="s">
        <v>321</v>
      </c>
      <c r="H2536" s="4" t="s">
        <v>1095</v>
      </c>
    </row>
    <row r="2537" ht="16.5" customHeight="1" spans="1:8">
      <c r="A2537" s="3">
        <v>2536</v>
      </c>
      <c r="B2537" s="3" t="s">
        <v>6240</v>
      </c>
      <c r="C2537" s="3" t="s">
        <v>2163</v>
      </c>
      <c r="D2537" s="4" t="s">
        <v>6241</v>
      </c>
      <c r="E2537" s="3" t="s">
        <v>1076</v>
      </c>
      <c r="F2537" s="3" t="s">
        <v>2041</v>
      </c>
      <c r="G2537" s="3" t="s">
        <v>321</v>
      </c>
      <c r="H2537" s="4" t="s">
        <v>1095</v>
      </c>
    </row>
    <row r="2538" ht="16.5" customHeight="1" spans="1:8">
      <c r="A2538" s="3">
        <v>2537</v>
      </c>
      <c r="B2538" s="3" t="s">
        <v>6242</v>
      </c>
      <c r="C2538" s="3" t="s">
        <v>2163</v>
      </c>
      <c r="D2538" s="4" t="s">
        <v>6243</v>
      </c>
      <c r="E2538" s="3" t="s">
        <v>1076</v>
      </c>
      <c r="F2538" s="3" t="s">
        <v>2041</v>
      </c>
      <c r="G2538" s="3" t="s">
        <v>321</v>
      </c>
      <c r="H2538" s="4" t="s">
        <v>1095</v>
      </c>
    </row>
    <row r="2539" ht="16.5" customHeight="1" spans="1:8">
      <c r="A2539" s="3">
        <v>2538</v>
      </c>
      <c r="B2539" s="3" t="s">
        <v>6244</v>
      </c>
      <c r="C2539" s="3" t="s">
        <v>2163</v>
      </c>
      <c r="D2539" s="4" t="s">
        <v>6245</v>
      </c>
      <c r="E2539" s="3" t="s">
        <v>1076</v>
      </c>
      <c r="F2539" s="3" t="s">
        <v>2041</v>
      </c>
      <c r="G2539" s="3" t="s">
        <v>321</v>
      </c>
      <c r="H2539" s="4" t="s">
        <v>1095</v>
      </c>
    </row>
    <row r="2540" ht="16.5" customHeight="1" spans="1:8">
      <c r="A2540" s="3">
        <v>2539</v>
      </c>
      <c r="B2540" s="3" t="s">
        <v>6246</v>
      </c>
      <c r="C2540" s="3" t="s">
        <v>2163</v>
      </c>
      <c r="D2540" s="4" t="s">
        <v>6247</v>
      </c>
      <c r="E2540" s="3" t="s">
        <v>1076</v>
      </c>
      <c r="F2540" s="3" t="s">
        <v>2041</v>
      </c>
      <c r="G2540" s="3" t="s">
        <v>321</v>
      </c>
      <c r="H2540" s="4" t="s">
        <v>1368</v>
      </c>
    </row>
    <row r="2541" ht="16.5" customHeight="1" spans="1:8">
      <c r="A2541" s="3">
        <v>2540</v>
      </c>
      <c r="B2541" s="3" t="s">
        <v>6248</v>
      </c>
      <c r="C2541" s="3" t="s">
        <v>2163</v>
      </c>
      <c r="D2541" s="4" t="s">
        <v>6249</v>
      </c>
      <c r="E2541" s="3" t="s">
        <v>1076</v>
      </c>
      <c r="F2541" s="3" t="s">
        <v>4154</v>
      </c>
      <c r="G2541" s="3"/>
      <c r="H2541" s="4" t="s">
        <v>4198</v>
      </c>
    </row>
    <row r="2542" ht="16.5" customHeight="1" spans="1:8">
      <c r="A2542" s="3">
        <v>2541</v>
      </c>
      <c r="B2542" s="3" t="s">
        <v>6250</v>
      </c>
      <c r="C2542" s="3" t="s">
        <v>2163</v>
      </c>
      <c r="D2542" s="4" t="s">
        <v>6251</v>
      </c>
      <c r="E2542" s="3" t="s">
        <v>1076</v>
      </c>
      <c r="F2542" s="3" t="s">
        <v>2041</v>
      </c>
      <c r="G2542" s="3" t="s">
        <v>321</v>
      </c>
      <c r="H2542" s="4" t="s">
        <v>1368</v>
      </c>
    </row>
    <row r="2543" ht="16.5" customHeight="1" spans="1:8">
      <c r="A2543" s="3">
        <v>2542</v>
      </c>
      <c r="B2543" s="3" t="s">
        <v>6252</v>
      </c>
      <c r="C2543" s="3" t="s">
        <v>1356</v>
      </c>
      <c r="D2543" s="4" t="s">
        <v>6253</v>
      </c>
      <c r="E2543" s="3" t="s">
        <v>1076</v>
      </c>
      <c r="F2543" s="3" t="s">
        <v>1358</v>
      </c>
      <c r="G2543" s="3" t="s">
        <v>321</v>
      </c>
      <c r="H2543" s="4" t="s">
        <v>1095</v>
      </c>
    </row>
    <row r="2544" ht="16.5" customHeight="1" spans="1:8">
      <c r="A2544" s="3">
        <v>2543</v>
      </c>
      <c r="B2544" s="3" t="s">
        <v>6254</v>
      </c>
      <c r="C2544" s="3" t="s">
        <v>1356</v>
      </c>
      <c r="D2544" s="4" t="s">
        <v>6255</v>
      </c>
      <c r="E2544" s="3" t="s">
        <v>1076</v>
      </c>
      <c r="F2544" s="3" t="s">
        <v>1358</v>
      </c>
      <c r="G2544" s="3" t="s">
        <v>321</v>
      </c>
      <c r="H2544" s="4" t="s">
        <v>1095</v>
      </c>
    </row>
    <row r="2545" ht="16.5" customHeight="1" spans="1:8">
      <c r="A2545" s="3">
        <v>2544</v>
      </c>
      <c r="B2545" s="3" t="s">
        <v>6256</v>
      </c>
      <c r="C2545" s="3" t="s">
        <v>1356</v>
      </c>
      <c r="D2545" s="4" t="s">
        <v>6257</v>
      </c>
      <c r="E2545" s="3" t="s">
        <v>1076</v>
      </c>
      <c r="F2545" s="3" t="s">
        <v>1358</v>
      </c>
      <c r="G2545" s="3" t="s">
        <v>321</v>
      </c>
      <c r="H2545" s="4" t="s">
        <v>1095</v>
      </c>
    </row>
    <row r="2546" ht="16.5" customHeight="1" spans="1:8">
      <c r="A2546" s="3">
        <v>2545</v>
      </c>
      <c r="B2546" s="3" t="s">
        <v>6258</v>
      </c>
      <c r="C2546" s="3" t="s">
        <v>1356</v>
      </c>
      <c r="D2546" s="4" t="s">
        <v>6259</v>
      </c>
      <c r="E2546" s="3" t="s">
        <v>1076</v>
      </c>
      <c r="F2546" s="3" t="s">
        <v>1358</v>
      </c>
      <c r="G2546" s="3" t="s">
        <v>321</v>
      </c>
      <c r="H2546" s="4" t="s">
        <v>1095</v>
      </c>
    </row>
    <row r="2547" ht="16.5" customHeight="1" spans="1:8">
      <c r="A2547" s="3">
        <v>2546</v>
      </c>
      <c r="B2547" s="3" t="s">
        <v>6260</v>
      </c>
      <c r="C2547" s="3" t="s">
        <v>1356</v>
      </c>
      <c r="D2547" s="4" t="s">
        <v>6261</v>
      </c>
      <c r="E2547" s="3" t="s">
        <v>1076</v>
      </c>
      <c r="F2547" s="3" t="s">
        <v>1358</v>
      </c>
      <c r="G2547" s="3" t="s">
        <v>321</v>
      </c>
      <c r="H2547" s="4" t="s">
        <v>1095</v>
      </c>
    </row>
    <row r="2548" ht="16.5" customHeight="1" spans="1:8">
      <c r="A2548" s="3">
        <v>2547</v>
      </c>
      <c r="B2548" s="3" t="s">
        <v>6262</v>
      </c>
      <c r="C2548" s="3" t="s">
        <v>1356</v>
      </c>
      <c r="D2548" s="4" t="s">
        <v>6263</v>
      </c>
      <c r="E2548" s="3" t="s">
        <v>1076</v>
      </c>
      <c r="F2548" s="3" t="s">
        <v>1358</v>
      </c>
      <c r="G2548" s="3" t="s">
        <v>321</v>
      </c>
      <c r="H2548" s="4" t="s">
        <v>1095</v>
      </c>
    </row>
    <row r="2549" ht="16.5" customHeight="1" spans="1:8">
      <c r="A2549" s="3">
        <v>2548</v>
      </c>
      <c r="B2549" s="3" t="s">
        <v>6264</v>
      </c>
      <c r="C2549" s="3" t="s">
        <v>1356</v>
      </c>
      <c r="D2549" s="4" t="s">
        <v>6265</v>
      </c>
      <c r="E2549" s="3" t="s">
        <v>1076</v>
      </c>
      <c r="F2549" s="3" t="s">
        <v>1358</v>
      </c>
      <c r="G2549" s="3" t="s">
        <v>321</v>
      </c>
      <c r="H2549" s="4" t="s">
        <v>1095</v>
      </c>
    </row>
    <row r="2550" ht="16.5" customHeight="1" spans="1:8">
      <c r="A2550" s="3">
        <v>2549</v>
      </c>
      <c r="B2550" s="3" t="s">
        <v>6266</v>
      </c>
      <c r="C2550" s="3" t="s">
        <v>1356</v>
      </c>
      <c r="D2550" s="4" t="s">
        <v>6267</v>
      </c>
      <c r="E2550" s="3" t="s">
        <v>1076</v>
      </c>
      <c r="F2550" s="3" t="s">
        <v>1358</v>
      </c>
      <c r="G2550" s="3" t="s">
        <v>321</v>
      </c>
      <c r="H2550" s="4" t="s">
        <v>1095</v>
      </c>
    </row>
    <row r="2551" ht="16.5" customHeight="1" spans="1:8">
      <c r="A2551" s="3">
        <v>2550</v>
      </c>
      <c r="B2551" s="3" t="s">
        <v>6268</v>
      </c>
      <c r="C2551" s="3" t="s">
        <v>2163</v>
      </c>
      <c r="D2551" s="4" t="s">
        <v>6269</v>
      </c>
      <c r="E2551" s="3" t="s">
        <v>3093</v>
      </c>
      <c r="F2551" s="3" t="s">
        <v>4331</v>
      </c>
      <c r="G2551" s="3"/>
      <c r="H2551" s="4" t="s">
        <v>4313</v>
      </c>
    </row>
    <row r="2552" ht="16.5" customHeight="1" spans="1:8">
      <c r="A2552" s="3">
        <v>2551</v>
      </c>
      <c r="B2552" s="3" t="s">
        <v>6270</v>
      </c>
      <c r="C2552" s="3" t="s">
        <v>2163</v>
      </c>
      <c r="D2552" s="4" t="s">
        <v>6271</v>
      </c>
      <c r="E2552" s="3" t="s">
        <v>1076</v>
      </c>
      <c r="F2552" s="3" t="s">
        <v>4331</v>
      </c>
      <c r="G2552" s="3"/>
      <c r="H2552" s="4" t="s">
        <v>1359</v>
      </c>
    </row>
    <row r="2553" ht="16.5" customHeight="1" spans="1:8">
      <c r="A2553" s="3">
        <v>2552</v>
      </c>
      <c r="B2553" s="3" t="s">
        <v>6272</v>
      </c>
      <c r="C2553" s="3" t="s">
        <v>2163</v>
      </c>
      <c r="D2553" s="4" t="s">
        <v>6273</v>
      </c>
      <c r="E2553" s="3" t="s">
        <v>2263</v>
      </c>
      <c r="F2553" s="3" t="s">
        <v>4331</v>
      </c>
      <c r="G2553" s="3"/>
      <c r="H2553" s="4" t="s">
        <v>1359</v>
      </c>
    </row>
    <row r="2554" ht="16.5" customHeight="1" spans="1:8">
      <c r="A2554" s="3">
        <v>2553</v>
      </c>
      <c r="B2554" s="3" t="s">
        <v>6274</v>
      </c>
      <c r="C2554" s="3" t="s">
        <v>2163</v>
      </c>
      <c r="D2554" s="4" t="s">
        <v>6275</v>
      </c>
      <c r="E2554" s="3" t="s">
        <v>1076</v>
      </c>
      <c r="F2554" s="3" t="s">
        <v>4331</v>
      </c>
      <c r="G2554" s="3"/>
      <c r="H2554" s="4" t="s">
        <v>1359</v>
      </c>
    </row>
    <row r="2555" ht="16.5" customHeight="1" spans="1:8">
      <c r="A2555" s="3">
        <v>2554</v>
      </c>
      <c r="B2555" s="3" t="s">
        <v>6276</v>
      </c>
      <c r="C2555" s="3" t="s">
        <v>2163</v>
      </c>
      <c r="D2555" s="4" t="s">
        <v>6277</v>
      </c>
      <c r="E2555" s="3" t="s">
        <v>1076</v>
      </c>
      <c r="F2555" s="3" t="s">
        <v>4331</v>
      </c>
      <c r="G2555" s="3"/>
      <c r="H2555" s="4" t="s">
        <v>5396</v>
      </c>
    </row>
    <row r="2556" ht="16.5" customHeight="1" spans="1:8">
      <c r="A2556" s="3">
        <v>2555</v>
      </c>
      <c r="B2556" s="3" t="s">
        <v>6278</v>
      </c>
      <c r="C2556" s="3" t="s">
        <v>2163</v>
      </c>
      <c r="D2556" s="4" t="s">
        <v>6279</v>
      </c>
      <c r="E2556" s="3" t="s">
        <v>1076</v>
      </c>
      <c r="F2556" s="3" t="s">
        <v>4331</v>
      </c>
      <c r="G2556" s="3"/>
      <c r="H2556" s="4" t="s">
        <v>1359</v>
      </c>
    </row>
    <row r="2557" ht="16.5" customHeight="1" spans="1:8">
      <c r="A2557" s="3">
        <v>2556</v>
      </c>
      <c r="B2557" s="3" t="s">
        <v>6280</v>
      </c>
      <c r="C2557" s="3" t="s">
        <v>2163</v>
      </c>
      <c r="D2557" s="4" t="s">
        <v>6281</v>
      </c>
      <c r="E2557" s="3" t="s">
        <v>1076</v>
      </c>
      <c r="F2557" s="3" t="s">
        <v>4331</v>
      </c>
      <c r="G2557" s="3"/>
      <c r="H2557" s="4" t="s">
        <v>1359</v>
      </c>
    </row>
    <row r="2558" ht="16.5" customHeight="1" spans="1:8">
      <c r="A2558" s="3">
        <v>2557</v>
      </c>
      <c r="B2558" s="3" t="s">
        <v>6282</v>
      </c>
      <c r="C2558" s="3" t="s">
        <v>2163</v>
      </c>
      <c r="D2558" s="4" t="s">
        <v>6283</v>
      </c>
      <c r="E2558" s="3" t="s">
        <v>1076</v>
      </c>
      <c r="F2558" s="3" t="s">
        <v>4331</v>
      </c>
      <c r="G2558" s="3"/>
      <c r="H2558" s="4" t="s">
        <v>1359</v>
      </c>
    </row>
    <row r="2559" ht="16.5" customHeight="1" spans="1:8">
      <c r="A2559" s="3">
        <v>2558</v>
      </c>
      <c r="B2559" s="3" t="s">
        <v>6284</v>
      </c>
      <c r="C2559" s="3" t="s">
        <v>2163</v>
      </c>
      <c r="D2559" s="4" t="s">
        <v>6285</v>
      </c>
      <c r="E2559" s="3" t="s">
        <v>1076</v>
      </c>
      <c r="F2559" s="3" t="s">
        <v>4331</v>
      </c>
      <c r="G2559" s="3"/>
      <c r="H2559" s="4" t="s">
        <v>1368</v>
      </c>
    </row>
    <row r="2560" ht="16.5" customHeight="1" spans="1:8">
      <c r="A2560" s="3">
        <v>2559</v>
      </c>
      <c r="B2560" s="3" t="s">
        <v>6286</v>
      </c>
      <c r="C2560" s="3" t="s">
        <v>2163</v>
      </c>
      <c r="D2560" s="4" t="s">
        <v>6287</v>
      </c>
      <c r="E2560" s="3" t="s">
        <v>1076</v>
      </c>
      <c r="F2560" s="3" t="s">
        <v>4331</v>
      </c>
      <c r="G2560" s="3"/>
      <c r="H2560" s="4" t="s">
        <v>1095</v>
      </c>
    </row>
    <row r="2561" ht="16.5" customHeight="1" spans="1:8">
      <c r="A2561" s="3">
        <v>2560</v>
      </c>
      <c r="B2561" s="3" t="s">
        <v>6288</v>
      </c>
      <c r="C2561" s="3" t="s">
        <v>1356</v>
      </c>
      <c r="D2561" s="4" t="s">
        <v>6289</v>
      </c>
      <c r="E2561" s="3" t="s">
        <v>1076</v>
      </c>
      <c r="F2561" s="3" t="s">
        <v>1358</v>
      </c>
      <c r="G2561" s="3" t="s">
        <v>321</v>
      </c>
      <c r="H2561" s="4" t="s">
        <v>2050</v>
      </c>
    </row>
    <row r="2562" ht="16.5" customHeight="1" spans="1:8">
      <c r="A2562" s="3">
        <v>2561</v>
      </c>
      <c r="B2562" s="3" t="s">
        <v>6290</v>
      </c>
      <c r="C2562" s="3" t="s">
        <v>1356</v>
      </c>
      <c r="D2562" s="4" t="s">
        <v>6291</v>
      </c>
      <c r="E2562" s="3" t="s">
        <v>1076</v>
      </c>
      <c r="F2562" s="3" t="s">
        <v>4668</v>
      </c>
      <c r="G2562" s="3"/>
      <c r="H2562" s="4" t="s">
        <v>1305</v>
      </c>
    </row>
    <row r="2563" ht="16.5" customHeight="1" spans="1:8">
      <c r="A2563" s="3">
        <v>2562</v>
      </c>
      <c r="B2563" s="3" t="s">
        <v>6292</v>
      </c>
      <c r="C2563" s="3" t="s">
        <v>1356</v>
      </c>
      <c r="D2563" s="4" t="s">
        <v>6293</v>
      </c>
      <c r="E2563" s="3" t="s">
        <v>1076</v>
      </c>
      <c r="F2563" s="3" t="s">
        <v>1152</v>
      </c>
      <c r="G2563" s="3"/>
      <c r="H2563" s="4" t="s">
        <v>3351</v>
      </c>
    </row>
    <row r="2564" ht="16.5" customHeight="1" spans="1:8">
      <c r="A2564" s="3">
        <v>2563</v>
      </c>
      <c r="B2564" s="3" t="s">
        <v>6294</v>
      </c>
      <c r="C2564" s="3" t="s">
        <v>1356</v>
      </c>
      <c r="D2564" s="4" t="s">
        <v>6295</v>
      </c>
      <c r="E2564" s="3" t="s">
        <v>1076</v>
      </c>
      <c r="F2564" s="3" t="s">
        <v>4668</v>
      </c>
      <c r="G2564" s="3"/>
      <c r="H2564" s="4" t="s">
        <v>1305</v>
      </c>
    </row>
    <row r="2565" ht="16.5" customHeight="1" spans="1:8">
      <c r="A2565" s="3">
        <v>2564</v>
      </c>
      <c r="B2565" s="3" t="s">
        <v>6296</v>
      </c>
      <c r="C2565" s="3" t="s">
        <v>1356</v>
      </c>
      <c r="D2565" s="4" t="s">
        <v>6297</v>
      </c>
      <c r="E2565" s="3" t="s">
        <v>1076</v>
      </c>
      <c r="F2565" s="3" t="s">
        <v>1152</v>
      </c>
      <c r="G2565" s="3"/>
      <c r="H2565" s="4" t="s">
        <v>1359</v>
      </c>
    </row>
    <row r="2566" ht="16.5" customHeight="1" spans="1:8">
      <c r="A2566" s="3">
        <v>2565</v>
      </c>
      <c r="B2566" s="3" t="s">
        <v>6298</v>
      </c>
      <c r="C2566" s="3" t="s">
        <v>1356</v>
      </c>
      <c r="D2566" s="4" t="s">
        <v>6299</v>
      </c>
      <c r="E2566" s="3" t="s">
        <v>1076</v>
      </c>
      <c r="F2566" s="3" t="s">
        <v>1152</v>
      </c>
      <c r="G2566" s="3"/>
      <c r="H2566" s="4" t="s">
        <v>1359</v>
      </c>
    </row>
    <row r="2567" ht="16.5" customHeight="1" spans="1:8">
      <c r="A2567" s="3">
        <v>2566</v>
      </c>
      <c r="B2567" s="3" t="s">
        <v>6300</v>
      </c>
      <c r="C2567" s="3" t="s">
        <v>2163</v>
      </c>
      <c r="D2567" s="4" t="s">
        <v>6301</v>
      </c>
      <c r="E2567" s="3" t="s">
        <v>1076</v>
      </c>
      <c r="F2567" s="3" t="s">
        <v>2105</v>
      </c>
      <c r="G2567" s="3" t="s">
        <v>321</v>
      </c>
      <c r="H2567" s="4" t="s">
        <v>1359</v>
      </c>
    </row>
    <row r="2568" ht="16.5" customHeight="1" spans="1:8">
      <c r="A2568" s="3">
        <v>2567</v>
      </c>
      <c r="B2568" s="3" t="s">
        <v>6302</v>
      </c>
      <c r="C2568" s="3" t="s">
        <v>2163</v>
      </c>
      <c r="D2568" s="4" t="s">
        <v>6303</v>
      </c>
      <c r="E2568" s="3" t="s">
        <v>1076</v>
      </c>
      <c r="F2568" s="3" t="s">
        <v>2105</v>
      </c>
      <c r="G2568" s="3" t="s">
        <v>321</v>
      </c>
      <c r="H2568" s="4" t="s">
        <v>1359</v>
      </c>
    </row>
    <row r="2569" ht="16.5" customHeight="1" spans="1:8">
      <c r="A2569" s="3">
        <v>2568</v>
      </c>
      <c r="B2569" s="3" t="s">
        <v>6304</v>
      </c>
      <c r="C2569" s="3" t="s">
        <v>2163</v>
      </c>
      <c r="D2569" s="4" t="s">
        <v>6305</v>
      </c>
      <c r="E2569" s="3" t="s">
        <v>1076</v>
      </c>
      <c r="F2569" s="3" t="s">
        <v>2105</v>
      </c>
      <c r="G2569" s="3" t="s">
        <v>321</v>
      </c>
      <c r="H2569" s="4" t="s">
        <v>1359</v>
      </c>
    </row>
    <row r="2570" ht="16.5" customHeight="1" spans="1:8">
      <c r="A2570" s="3">
        <v>2569</v>
      </c>
      <c r="B2570" s="3" t="s">
        <v>6306</v>
      </c>
      <c r="C2570" s="3" t="s">
        <v>2163</v>
      </c>
      <c r="D2570" s="4" t="s">
        <v>6307</v>
      </c>
      <c r="E2570" s="3" t="s">
        <v>1076</v>
      </c>
      <c r="F2570" s="3" t="s">
        <v>2105</v>
      </c>
      <c r="G2570" s="3" t="s">
        <v>321</v>
      </c>
      <c r="H2570" s="4" t="s">
        <v>1359</v>
      </c>
    </row>
    <row r="2571" ht="16.5" customHeight="1" spans="1:8">
      <c r="A2571" s="3">
        <v>2570</v>
      </c>
      <c r="B2571" s="3" t="s">
        <v>6308</v>
      </c>
      <c r="C2571" s="3" t="s">
        <v>2163</v>
      </c>
      <c r="D2571" s="4" t="s">
        <v>6309</v>
      </c>
      <c r="E2571" s="3" t="s">
        <v>1076</v>
      </c>
      <c r="F2571" s="3" t="s">
        <v>2105</v>
      </c>
      <c r="G2571" s="3" t="s">
        <v>321</v>
      </c>
      <c r="H2571" s="4" t="s">
        <v>1359</v>
      </c>
    </row>
    <row r="2572" ht="16.5" customHeight="1" spans="1:8">
      <c r="A2572" s="3">
        <v>2571</v>
      </c>
      <c r="B2572" s="3" t="s">
        <v>6310</v>
      </c>
      <c r="C2572" s="3" t="s">
        <v>1361</v>
      </c>
      <c r="D2572" s="4" t="s">
        <v>6311</v>
      </c>
      <c r="E2572" s="3" t="s">
        <v>1218</v>
      </c>
      <c r="F2572" s="3" t="s">
        <v>2041</v>
      </c>
      <c r="G2572" s="3" t="s">
        <v>321</v>
      </c>
      <c r="H2572" s="4"/>
    </row>
    <row r="2573" ht="16.5" customHeight="1" spans="1:8">
      <c r="A2573" s="3">
        <v>2572</v>
      </c>
      <c r="B2573" s="3" t="s">
        <v>6312</v>
      </c>
      <c r="C2573" s="3" t="s">
        <v>1361</v>
      </c>
      <c r="D2573" s="4" t="s">
        <v>6313</v>
      </c>
      <c r="E2573" s="3" t="s">
        <v>1218</v>
      </c>
      <c r="F2573" s="3" t="s">
        <v>2041</v>
      </c>
      <c r="G2573" s="3" t="s">
        <v>321</v>
      </c>
      <c r="H2573" s="4"/>
    </row>
    <row r="2574" ht="16.5" customHeight="1" spans="1:8">
      <c r="A2574" s="3">
        <v>2573</v>
      </c>
      <c r="B2574" s="3" t="s">
        <v>6314</v>
      </c>
      <c r="C2574" s="3" t="s">
        <v>1356</v>
      </c>
      <c r="D2574" s="4" t="s">
        <v>6315</v>
      </c>
      <c r="E2574" s="3" t="s">
        <v>2726</v>
      </c>
      <c r="F2574" s="3" t="s">
        <v>4107</v>
      </c>
      <c r="G2574" s="3"/>
      <c r="H2574" s="4" t="s">
        <v>1843</v>
      </c>
    </row>
    <row r="2575" ht="16.5" customHeight="1" spans="1:8">
      <c r="A2575" s="3">
        <v>2574</v>
      </c>
      <c r="B2575" s="3" t="s">
        <v>6316</v>
      </c>
      <c r="C2575" s="3" t="s">
        <v>2163</v>
      </c>
      <c r="D2575" s="4" t="s">
        <v>6317</v>
      </c>
      <c r="E2575" s="3" t="s">
        <v>1076</v>
      </c>
      <c r="F2575" s="3" t="s">
        <v>2041</v>
      </c>
      <c r="G2575" s="3" t="s">
        <v>321</v>
      </c>
      <c r="H2575" s="4" t="s">
        <v>1843</v>
      </c>
    </row>
    <row r="2576" ht="16.5" customHeight="1" spans="1:8">
      <c r="A2576" s="3">
        <v>2575</v>
      </c>
      <c r="B2576" s="3" t="s">
        <v>6318</v>
      </c>
      <c r="C2576" s="3" t="s">
        <v>2163</v>
      </c>
      <c r="D2576" s="4" t="s">
        <v>6319</v>
      </c>
      <c r="E2576" s="3" t="s">
        <v>1076</v>
      </c>
      <c r="F2576" s="3" t="s">
        <v>1358</v>
      </c>
      <c r="G2576" s="3"/>
      <c r="H2576" s="4" t="s">
        <v>1359</v>
      </c>
    </row>
    <row r="2577" ht="16.5" customHeight="1" spans="1:8">
      <c r="A2577" s="3">
        <v>2576</v>
      </c>
      <c r="B2577" s="3" t="s">
        <v>6320</v>
      </c>
      <c r="C2577" s="3" t="s">
        <v>1356</v>
      </c>
      <c r="D2577" s="4" t="s">
        <v>6321</v>
      </c>
      <c r="E2577" s="3" t="s">
        <v>1076</v>
      </c>
      <c r="F2577" s="3" t="s">
        <v>1358</v>
      </c>
      <c r="G2577" s="3" t="s">
        <v>321</v>
      </c>
      <c r="H2577" s="4" t="s">
        <v>4313</v>
      </c>
    </row>
    <row r="2578" ht="16.5" customHeight="1" spans="1:8">
      <c r="A2578" s="3">
        <v>2577</v>
      </c>
      <c r="B2578" s="3" t="s">
        <v>6322</v>
      </c>
      <c r="C2578" s="3" t="s">
        <v>2163</v>
      </c>
      <c r="D2578" s="4" t="s">
        <v>6323</v>
      </c>
      <c r="E2578" s="3" t="s">
        <v>1076</v>
      </c>
      <c r="F2578" s="3" t="s">
        <v>4668</v>
      </c>
      <c r="G2578" s="3"/>
      <c r="H2578" s="4" t="s">
        <v>1305</v>
      </c>
    </row>
    <row r="2579" ht="16.5" customHeight="1" spans="1:8">
      <c r="A2579" s="3">
        <v>2578</v>
      </c>
      <c r="B2579" s="3" t="s">
        <v>6324</v>
      </c>
      <c r="C2579" s="3" t="s">
        <v>2163</v>
      </c>
      <c r="D2579" s="4" t="s">
        <v>6325</v>
      </c>
      <c r="E2579" s="3" t="s">
        <v>1076</v>
      </c>
      <c r="F2579" s="3" t="s">
        <v>4668</v>
      </c>
      <c r="G2579" s="3"/>
      <c r="H2579" s="4" t="s">
        <v>1305</v>
      </c>
    </row>
    <row r="2580" ht="16.5" customHeight="1" spans="1:8">
      <c r="A2580" s="3">
        <v>2579</v>
      </c>
      <c r="B2580" s="3" t="s">
        <v>6326</v>
      </c>
      <c r="C2580" s="3" t="s">
        <v>2163</v>
      </c>
      <c r="D2580" s="4" t="s">
        <v>6327</v>
      </c>
      <c r="E2580" s="3" t="s">
        <v>1076</v>
      </c>
      <c r="F2580" s="3" t="s">
        <v>4668</v>
      </c>
      <c r="G2580" s="3"/>
      <c r="H2580" s="4" t="s">
        <v>1843</v>
      </c>
    </row>
    <row r="2581" ht="16.5" customHeight="1" spans="1:8">
      <c r="A2581" s="3">
        <v>2580</v>
      </c>
      <c r="B2581" s="3" t="s">
        <v>6328</v>
      </c>
      <c r="C2581" s="3" t="s">
        <v>2163</v>
      </c>
      <c r="D2581" s="4" t="s">
        <v>6329</v>
      </c>
      <c r="E2581" s="3" t="s">
        <v>1076</v>
      </c>
      <c r="F2581" s="3" t="s">
        <v>4668</v>
      </c>
      <c r="G2581" s="3"/>
      <c r="H2581" s="4" t="s">
        <v>1305</v>
      </c>
    </row>
    <row r="2582" ht="16.5" customHeight="1" spans="1:8">
      <c r="A2582" s="3">
        <v>2581</v>
      </c>
      <c r="B2582" s="3" t="s">
        <v>6330</v>
      </c>
      <c r="C2582" s="3" t="s">
        <v>2163</v>
      </c>
      <c r="D2582" s="4" t="s">
        <v>6331</v>
      </c>
      <c r="E2582" s="3" t="s">
        <v>1076</v>
      </c>
      <c r="F2582" s="3" t="s">
        <v>4668</v>
      </c>
      <c r="G2582" s="3"/>
      <c r="H2582" s="4" t="s">
        <v>1843</v>
      </c>
    </row>
    <row r="2583" ht="16.5" customHeight="1" spans="1:8">
      <c r="A2583" s="3">
        <v>2582</v>
      </c>
      <c r="B2583" s="3" t="s">
        <v>6332</v>
      </c>
      <c r="C2583" s="3" t="s">
        <v>1074</v>
      </c>
      <c r="D2583" s="4" t="s">
        <v>6333</v>
      </c>
      <c r="E2583" s="3" t="s">
        <v>1076</v>
      </c>
      <c r="F2583" s="3" t="s">
        <v>1719</v>
      </c>
      <c r="G2583" s="3"/>
      <c r="H2583" s="4"/>
    </row>
    <row r="2584" ht="16.5" customHeight="1" spans="1:8">
      <c r="A2584" s="3">
        <v>2583</v>
      </c>
      <c r="B2584" s="3" t="s">
        <v>6334</v>
      </c>
      <c r="C2584" s="3" t="s">
        <v>1356</v>
      </c>
      <c r="D2584" s="4" t="s">
        <v>6335</v>
      </c>
      <c r="E2584" s="3" t="s">
        <v>1076</v>
      </c>
      <c r="F2584" s="3" t="s">
        <v>4668</v>
      </c>
      <c r="G2584" s="3"/>
      <c r="H2584" s="4" t="s">
        <v>1368</v>
      </c>
    </row>
    <row r="2585" ht="16.5" customHeight="1" spans="1:8">
      <c r="A2585" s="3">
        <v>2584</v>
      </c>
      <c r="B2585" s="3" t="s">
        <v>6336</v>
      </c>
      <c r="C2585" s="3" t="s">
        <v>2163</v>
      </c>
      <c r="D2585" s="4" t="s">
        <v>6337</v>
      </c>
      <c r="E2585" s="3" t="s">
        <v>1076</v>
      </c>
      <c r="F2585" s="3" t="s">
        <v>1358</v>
      </c>
      <c r="G2585" s="3" t="s">
        <v>321</v>
      </c>
      <c r="H2585" s="4" t="s">
        <v>1359</v>
      </c>
    </row>
    <row r="2586" ht="16.5" customHeight="1" spans="1:8">
      <c r="A2586" s="3">
        <v>2585</v>
      </c>
      <c r="B2586" s="3" t="s">
        <v>6338</v>
      </c>
      <c r="C2586" s="3" t="s">
        <v>1074</v>
      </c>
      <c r="D2586" s="4" t="s">
        <v>6339</v>
      </c>
      <c r="E2586" s="3" t="s">
        <v>1076</v>
      </c>
      <c r="F2586" s="3" t="s">
        <v>1719</v>
      </c>
      <c r="G2586" s="3"/>
      <c r="H2586" s="4"/>
    </row>
    <row r="2587" ht="16.5" customHeight="1" spans="1:8">
      <c r="A2587" s="3">
        <v>2586</v>
      </c>
      <c r="B2587" s="3" t="s">
        <v>6340</v>
      </c>
      <c r="C2587" s="3" t="s">
        <v>2163</v>
      </c>
      <c r="D2587" s="4" t="s">
        <v>6341</v>
      </c>
      <c r="E2587" s="3" t="s">
        <v>1076</v>
      </c>
      <c r="F2587" s="3" t="s">
        <v>2041</v>
      </c>
      <c r="G2587" s="3" t="s">
        <v>321</v>
      </c>
      <c r="H2587" s="4" t="s">
        <v>1305</v>
      </c>
    </row>
    <row r="2588" ht="16.5" customHeight="1" spans="1:8">
      <c r="A2588" s="3">
        <v>2587</v>
      </c>
      <c r="B2588" s="3" t="s">
        <v>6342</v>
      </c>
      <c r="C2588" s="3" t="s">
        <v>2163</v>
      </c>
      <c r="D2588" s="4" t="s">
        <v>6343</v>
      </c>
      <c r="E2588" s="3" t="s">
        <v>1076</v>
      </c>
      <c r="F2588" s="3" t="s">
        <v>2041</v>
      </c>
      <c r="G2588" s="3" t="s">
        <v>321</v>
      </c>
      <c r="H2588" s="4" t="s">
        <v>1305</v>
      </c>
    </row>
    <row r="2589" ht="16.5" customHeight="1" spans="1:8">
      <c r="A2589" s="3">
        <v>2588</v>
      </c>
      <c r="B2589" s="3" t="s">
        <v>6344</v>
      </c>
      <c r="C2589" s="3" t="s">
        <v>2163</v>
      </c>
      <c r="D2589" s="4" t="s">
        <v>6345</v>
      </c>
      <c r="E2589" s="3" t="s">
        <v>3093</v>
      </c>
      <c r="F2589" s="3" t="s">
        <v>2041</v>
      </c>
      <c r="G2589" s="3" t="s">
        <v>321</v>
      </c>
      <c r="H2589" s="4" t="s">
        <v>1308</v>
      </c>
    </row>
    <row r="2590" ht="16.5" customHeight="1" spans="1:8">
      <c r="A2590" s="3">
        <v>2589</v>
      </c>
      <c r="B2590" s="3" t="s">
        <v>6346</v>
      </c>
      <c r="C2590" s="3" t="s">
        <v>2163</v>
      </c>
      <c r="D2590" s="4" t="s">
        <v>6347</v>
      </c>
      <c r="E2590" s="3" t="s">
        <v>1076</v>
      </c>
      <c r="F2590" s="3" t="s">
        <v>1358</v>
      </c>
      <c r="G2590" s="3" t="s">
        <v>321</v>
      </c>
      <c r="H2590" s="4" t="s">
        <v>5664</v>
      </c>
    </row>
    <row r="2591" ht="16.5" customHeight="1" spans="1:8">
      <c r="A2591" s="3">
        <v>2590</v>
      </c>
      <c r="B2591" s="3" t="s">
        <v>6348</v>
      </c>
      <c r="C2591" s="3" t="s">
        <v>2163</v>
      </c>
      <c r="D2591" s="4" t="s">
        <v>6349</v>
      </c>
      <c r="E2591" s="3" t="s">
        <v>1076</v>
      </c>
      <c r="F2591" s="3" t="s">
        <v>1358</v>
      </c>
      <c r="G2591" s="3" t="s">
        <v>98</v>
      </c>
      <c r="H2591" s="4" t="s">
        <v>1095</v>
      </c>
    </row>
    <row r="2592" ht="16.5" customHeight="1" spans="1:8">
      <c r="A2592" s="3">
        <v>2591</v>
      </c>
      <c r="B2592" s="3" t="s">
        <v>6350</v>
      </c>
      <c r="C2592" s="3" t="s">
        <v>2163</v>
      </c>
      <c r="D2592" s="4" t="s">
        <v>6351</v>
      </c>
      <c r="E2592" s="3" t="s">
        <v>1076</v>
      </c>
      <c r="F2592" s="3" t="s">
        <v>2041</v>
      </c>
      <c r="G2592" s="3" t="s">
        <v>321</v>
      </c>
      <c r="H2592" s="4" t="s">
        <v>5664</v>
      </c>
    </row>
    <row r="2593" ht="16.5" customHeight="1" spans="1:8">
      <c r="A2593" s="3">
        <v>2592</v>
      </c>
      <c r="B2593" s="3" t="s">
        <v>6352</v>
      </c>
      <c r="C2593" s="3" t="s">
        <v>2163</v>
      </c>
      <c r="D2593" s="4" t="s">
        <v>6353</v>
      </c>
      <c r="E2593" s="3" t="s">
        <v>1076</v>
      </c>
      <c r="F2593" s="3" t="s">
        <v>2041</v>
      </c>
      <c r="G2593" s="3" t="s">
        <v>321</v>
      </c>
      <c r="H2593" s="4" t="s">
        <v>1308</v>
      </c>
    </row>
    <row r="2594" ht="16.5" customHeight="1" spans="1:8">
      <c r="A2594" s="3">
        <v>2593</v>
      </c>
      <c r="B2594" s="3" t="s">
        <v>6354</v>
      </c>
      <c r="C2594" s="3" t="s">
        <v>2163</v>
      </c>
      <c r="D2594" s="4" t="s">
        <v>6355</v>
      </c>
      <c r="E2594" s="3" t="s">
        <v>1076</v>
      </c>
      <c r="F2594" s="3" t="s">
        <v>4668</v>
      </c>
      <c r="G2594" s="3"/>
      <c r="H2594" s="4" t="s">
        <v>1305</v>
      </c>
    </row>
    <row r="2595" ht="16.5" customHeight="1" spans="1:8">
      <c r="A2595" s="3">
        <v>2594</v>
      </c>
      <c r="B2595" s="3" t="s">
        <v>6356</v>
      </c>
      <c r="C2595" s="3" t="s">
        <v>2163</v>
      </c>
      <c r="D2595" s="4" t="s">
        <v>6357</v>
      </c>
      <c r="E2595" s="3" t="s">
        <v>1076</v>
      </c>
      <c r="F2595" s="3" t="s">
        <v>2041</v>
      </c>
      <c r="G2595" s="3" t="s">
        <v>321</v>
      </c>
      <c r="H2595" s="4" t="s">
        <v>1308</v>
      </c>
    </row>
    <row r="2596" ht="16.5" customHeight="1" spans="1:8">
      <c r="A2596" s="3">
        <v>2595</v>
      </c>
      <c r="B2596" s="3" t="s">
        <v>6358</v>
      </c>
      <c r="C2596" s="3" t="s">
        <v>2163</v>
      </c>
      <c r="D2596" s="4" t="s">
        <v>6359</v>
      </c>
      <c r="E2596" s="3" t="s">
        <v>1076</v>
      </c>
      <c r="F2596" s="3" t="s">
        <v>2041</v>
      </c>
      <c r="G2596" s="3" t="s">
        <v>321</v>
      </c>
      <c r="H2596" s="4" t="s">
        <v>1308</v>
      </c>
    </row>
    <row r="2597" ht="16.5" customHeight="1" spans="1:8">
      <c r="A2597" s="3">
        <v>2596</v>
      </c>
      <c r="B2597" s="3" t="s">
        <v>6360</v>
      </c>
      <c r="C2597" s="3" t="s">
        <v>1356</v>
      </c>
      <c r="D2597" s="4" t="s">
        <v>6361</v>
      </c>
      <c r="E2597" s="3" t="s">
        <v>1076</v>
      </c>
      <c r="F2597" s="3" t="s">
        <v>4668</v>
      </c>
      <c r="G2597" s="3"/>
      <c r="H2597" s="4" t="s">
        <v>4322</v>
      </c>
    </row>
    <row r="2598" ht="16.5" customHeight="1" spans="1:8">
      <c r="A2598" s="3">
        <v>2597</v>
      </c>
      <c r="B2598" s="3" t="s">
        <v>6362</v>
      </c>
      <c r="C2598" s="3" t="s">
        <v>2163</v>
      </c>
      <c r="D2598" s="4" t="s">
        <v>6363</v>
      </c>
      <c r="E2598" s="3" t="s">
        <v>1076</v>
      </c>
      <c r="F2598" s="3" t="s">
        <v>2041</v>
      </c>
      <c r="G2598" s="3" t="s">
        <v>321</v>
      </c>
      <c r="H2598" s="4" t="s">
        <v>1095</v>
      </c>
    </row>
    <row r="2599" ht="16.5" customHeight="1" spans="1:8">
      <c r="A2599" s="3">
        <v>2598</v>
      </c>
      <c r="B2599" s="3" t="s">
        <v>6364</v>
      </c>
      <c r="C2599" s="3" t="s">
        <v>1356</v>
      </c>
      <c r="D2599" s="4" t="s">
        <v>6365</v>
      </c>
      <c r="E2599" s="3" t="s">
        <v>1076</v>
      </c>
      <c r="F2599" s="3" t="s">
        <v>4668</v>
      </c>
      <c r="G2599" s="3"/>
      <c r="H2599" s="4" t="s">
        <v>4322</v>
      </c>
    </row>
    <row r="2600" ht="16.5" customHeight="1" spans="1:8">
      <c r="A2600" s="3">
        <v>2599</v>
      </c>
      <c r="B2600" s="3" t="s">
        <v>6366</v>
      </c>
      <c r="C2600" s="3" t="s">
        <v>1356</v>
      </c>
      <c r="D2600" s="4" t="s">
        <v>6367</v>
      </c>
      <c r="E2600" s="3" t="s">
        <v>1076</v>
      </c>
      <c r="F2600" s="3" t="s">
        <v>4668</v>
      </c>
      <c r="G2600" s="3"/>
      <c r="H2600" s="4" t="s">
        <v>1368</v>
      </c>
    </row>
    <row r="2601" ht="16.5" customHeight="1" spans="1:8">
      <c r="A2601" s="3">
        <v>2600</v>
      </c>
      <c r="B2601" s="3" t="s">
        <v>6368</v>
      </c>
      <c r="C2601" s="3" t="s">
        <v>1356</v>
      </c>
      <c r="D2601" s="4" t="s">
        <v>6369</v>
      </c>
      <c r="E2601" s="3" t="s">
        <v>1076</v>
      </c>
      <c r="F2601" s="3" t="s">
        <v>4668</v>
      </c>
      <c r="G2601" s="3"/>
      <c r="H2601" s="4" t="s">
        <v>1095</v>
      </c>
    </row>
    <row r="2602" ht="16.5" customHeight="1" spans="1:8">
      <c r="A2602" s="3">
        <v>2601</v>
      </c>
      <c r="B2602" s="3" t="s">
        <v>6370</v>
      </c>
      <c r="C2602" s="3" t="s">
        <v>2163</v>
      </c>
      <c r="D2602" s="4" t="s">
        <v>6371</v>
      </c>
      <c r="E2602" s="3" t="s">
        <v>1076</v>
      </c>
      <c r="F2602" s="3" t="s">
        <v>2041</v>
      </c>
      <c r="G2602" s="3" t="s">
        <v>321</v>
      </c>
      <c r="H2602" s="4" t="s">
        <v>1305</v>
      </c>
    </row>
    <row r="2603" ht="16.5" customHeight="1" spans="1:8">
      <c r="A2603" s="3">
        <v>2602</v>
      </c>
      <c r="B2603" s="3" t="s">
        <v>6372</v>
      </c>
      <c r="C2603" s="3" t="s">
        <v>2163</v>
      </c>
      <c r="D2603" s="4" t="s">
        <v>6373</v>
      </c>
      <c r="E2603" s="3" t="s">
        <v>1076</v>
      </c>
      <c r="F2603" s="3" t="s">
        <v>2041</v>
      </c>
      <c r="G2603" s="3" t="s">
        <v>321</v>
      </c>
      <c r="H2603" s="4" t="s">
        <v>1359</v>
      </c>
    </row>
    <row r="2604" ht="16.5" customHeight="1" spans="1:8">
      <c r="A2604" s="3">
        <v>2603</v>
      </c>
      <c r="B2604" s="3" t="s">
        <v>6374</v>
      </c>
      <c r="C2604" s="3" t="s">
        <v>2163</v>
      </c>
      <c r="D2604" s="4" t="s">
        <v>6375</v>
      </c>
      <c r="E2604" s="3" t="s">
        <v>1076</v>
      </c>
      <c r="F2604" s="3" t="s">
        <v>4668</v>
      </c>
      <c r="G2604" s="3"/>
      <c r="H2604" s="4" t="s">
        <v>1095</v>
      </c>
    </row>
    <row r="2605" ht="16.5" customHeight="1" spans="1:8">
      <c r="A2605" s="3">
        <v>2604</v>
      </c>
      <c r="B2605" s="3" t="s">
        <v>6376</v>
      </c>
      <c r="C2605" s="3" t="s">
        <v>6377</v>
      </c>
      <c r="D2605" s="4" t="s">
        <v>6378</v>
      </c>
      <c r="E2605" s="3" t="s">
        <v>1076</v>
      </c>
      <c r="F2605" s="3" t="s">
        <v>4668</v>
      </c>
      <c r="G2605" s="3"/>
      <c r="H2605" s="4" t="s">
        <v>1095</v>
      </c>
    </row>
    <row r="2606" ht="16.5" customHeight="1" spans="1:8">
      <c r="A2606" s="3">
        <v>2605</v>
      </c>
      <c r="B2606" s="3" t="s">
        <v>6379</v>
      </c>
      <c r="C2606" s="3" t="s">
        <v>1356</v>
      </c>
      <c r="D2606" s="4" t="s">
        <v>6380</v>
      </c>
      <c r="E2606" s="3" t="s">
        <v>1076</v>
      </c>
      <c r="F2606" s="3" t="s">
        <v>1358</v>
      </c>
      <c r="G2606" s="3" t="s">
        <v>321</v>
      </c>
      <c r="H2606" s="4" t="s">
        <v>1359</v>
      </c>
    </row>
    <row r="2607" ht="16.5" customHeight="1" spans="1:8">
      <c r="A2607" s="3">
        <v>2606</v>
      </c>
      <c r="B2607" s="3" t="s">
        <v>6381</v>
      </c>
      <c r="C2607" s="3" t="s">
        <v>1356</v>
      </c>
      <c r="D2607" s="4" t="s">
        <v>6382</v>
      </c>
      <c r="E2607" s="3" t="s">
        <v>1076</v>
      </c>
      <c r="F2607" s="3" t="s">
        <v>1358</v>
      </c>
      <c r="G2607" s="3"/>
      <c r="H2607" s="4" t="s">
        <v>5664</v>
      </c>
    </row>
    <row r="2608" ht="16.5" customHeight="1" spans="1:8">
      <c r="A2608" s="3">
        <v>2607</v>
      </c>
      <c r="B2608" s="3" t="s">
        <v>6383</v>
      </c>
      <c r="C2608" s="3" t="s">
        <v>1356</v>
      </c>
      <c r="D2608" s="4" t="s">
        <v>6384</v>
      </c>
      <c r="E2608" s="3" t="s">
        <v>1076</v>
      </c>
      <c r="F2608" s="3" t="s">
        <v>1358</v>
      </c>
      <c r="G2608" s="3" t="s">
        <v>321</v>
      </c>
      <c r="H2608" s="4" t="s">
        <v>1095</v>
      </c>
    </row>
    <row r="2609" ht="16.5" customHeight="1" spans="1:8">
      <c r="A2609" s="3">
        <v>2608</v>
      </c>
      <c r="B2609" s="3" t="s">
        <v>6385</v>
      </c>
      <c r="C2609" s="3" t="s">
        <v>1356</v>
      </c>
      <c r="D2609" s="4" t="s">
        <v>6386</v>
      </c>
      <c r="E2609" s="3" t="s">
        <v>1076</v>
      </c>
      <c r="F2609" s="3" t="s">
        <v>1358</v>
      </c>
      <c r="G2609" s="3" t="s">
        <v>321</v>
      </c>
      <c r="H2609" s="4" t="s">
        <v>1359</v>
      </c>
    </row>
    <row r="2610" ht="16.5" customHeight="1" spans="1:8">
      <c r="A2610" s="3">
        <v>2609</v>
      </c>
      <c r="B2610" s="3" t="s">
        <v>6387</v>
      </c>
      <c r="C2610" s="3" t="s">
        <v>1356</v>
      </c>
      <c r="D2610" s="4" t="s">
        <v>6388</v>
      </c>
      <c r="E2610" s="3" t="s">
        <v>1076</v>
      </c>
      <c r="F2610" s="3" t="s">
        <v>1358</v>
      </c>
      <c r="G2610" s="3" t="s">
        <v>98</v>
      </c>
      <c r="H2610" s="4" t="s">
        <v>5664</v>
      </c>
    </row>
    <row r="2611" ht="16.5" customHeight="1" spans="1:8">
      <c r="A2611" s="3">
        <v>2610</v>
      </c>
      <c r="B2611" s="3" t="s">
        <v>6389</v>
      </c>
      <c r="C2611" s="3" t="s">
        <v>1356</v>
      </c>
      <c r="D2611" s="4" t="s">
        <v>6390</v>
      </c>
      <c r="E2611" s="3" t="s">
        <v>1076</v>
      </c>
      <c r="F2611" s="3" t="s">
        <v>1358</v>
      </c>
      <c r="G2611" s="3" t="s">
        <v>98</v>
      </c>
      <c r="H2611" s="4" t="s">
        <v>1095</v>
      </c>
    </row>
    <row r="2612" ht="16.5" customHeight="1" spans="1:8">
      <c r="A2612" s="3">
        <v>2611</v>
      </c>
      <c r="B2612" s="3" t="s">
        <v>6391</v>
      </c>
      <c r="C2612" s="3" t="s">
        <v>1356</v>
      </c>
      <c r="D2612" s="4" t="s">
        <v>6392</v>
      </c>
      <c r="E2612" s="3" t="s">
        <v>1076</v>
      </c>
      <c r="F2612" s="3" t="s">
        <v>1358</v>
      </c>
      <c r="G2612" s="3" t="s">
        <v>98</v>
      </c>
      <c r="H2612" s="4" t="s">
        <v>1359</v>
      </c>
    </row>
    <row r="2613" ht="16.5" customHeight="1" spans="1:8">
      <c r="A2613" s="3">
        <v>2612</v>
      </c>
      <c r="B2613" s="3" t="s">
        <v>6393</v>
      </c>
      <c r="C2613" s="3" t="s">
        <v>2163</v>
      </c>
      <c r="D2613" s="4" t="s">
        <v>6394</v>
      </c>
      <c r="E2613" s="3" t="s">
        <v>1076</v>
      </c>
      <c r="F2613" s="3" t="s">
        <v>1719</v>
      </c>
      <c r="G2613" s="3"/>
      <c r="H2613" s="4" t="s">
        <v>1359</v>
      </c>
    </row>
    <row r="2614" ht="16.5" customHeight="1" spans="1:8">
      <c r="A2614" s="3">
        <v>2613</v>
      </c>
      <c r="B2614" s="3" t="s">
        <v>6395</v>
      </c>
      <c r="C2614" s="3" t="s">
        <v>1361</v>
      </c>
      <c r="D2614" s="4" t="s">
        <v>6396</v>
      </c>
      <c r="E2614" s="3" t="s">
        <v>1218</v>
      </c>
      <c r="F2614" s="3" t="s">
        <v>2041</v>
      </c>
      <c r="G2614" s="3" t="s">
        <v>321</v>
      </c>
      <c r="H2614" s="4" t="s">
        <v>1095</v>
      </c>
    </row>
    <row r="2615" ht="16.5" customHeight="1" spans="1:8">
      <c r="A2615" s="3">
        <v>2614</v>
      </c>
      <c r="B2615" s="3" t="s">
        <v>6397</v>
      </c>
      <c r="C2615" s="3" t="s">
        <v>1356</v>
      </c>
      <c r="D2615" s="4" t="s">
        <v>6398</v>
      </c>
      <c r="E2615" s="3" t="s">
        <v>1076</v>
      </c>
      <c r="F2615" s="3" t="s">
        <v>1719</v>
      </c>
      <c r="G2615" s="3"/>
      <c r="H2615" s="4" t="s">
        <v>3351</v>
      </c>
    </row>
    <row r="2616" ht="16.5" customHeight="1" spans="1:8">
      <c r="A2616" s="3">
        <v>2615</v>
      </c>
      <c r="B2616" s="3" t="s">
        <v>6399</v>
      </c>
      <c r="C2616" s="3" t="s">
        <v>1361</v>
      </c>
      <c r="D2616" s="4" t="s">
        <v>6400</v>
      </c>
      <c r="E2616" s="3" t="s">
        <v>1218</v>
      </c>
      <c r="F2616" s="3" t="s">
        <v>2041</v>
      </c>
      <c r="G2616" s="3" t="s">
        <v>321</v>
      </c>
      <c r="H2616" s="4" t="s">
        <v>1095</v>
      </c>
    </row>
    <row r="2617" ht="16.5" customHeight="1" spans="1:8">
      <c r="A2617" s="3">
        <v>2616</v>
      </c>
      <c r="B2617" s="3" t="s">
        <v>6401</v>
      </c>
      <c r="C2617" s="3" t="s">
        <v>1361</v>
      </c>
      <c r="D2617" s="4" t="s">
        <v>6402</v>
      </c>
      <c r="E2617" s="3" t="s">
        <v>1218</v>
      </c>
      <c r="F2617" s="3" t="s">
        <v>2041</v>
      </c>
      <c r="G2617" s="3" t="s">
        <v>321</v>
      </c>
      <c r="H2617" s="4"/>
    </row>
    <row r="2618" ht="16.5" customHeight="1" spans="1:8">
      <c r="A2618" s="3">
        <v>2617</v>
      </c>
      <c r="B2618" s="3" t="s">
        <v>6403</v>
      </c>
      <c r="C2618" s="3" t="s">
        <v>1361</v>
      </c>
      <c r="D2618" s="4" t="s">
        <v>6404</v>
      </c>
      <c r="E2618" s="3" t="s">
        <v>1218</v>
      </c>
      <c r="F2618" s="3" t="s">
        <v>2041</v>
      </c>
      <c r="G2618" s="3" t="s">
        <v>321</v>
      </c>
      <c r="H2618" s="4" t="s">
        <v>1095</v>
      </c>
    </row>
    <row r="2619" ht="16.5" customHeight="1" spans="1:8">
      <c r="A2619" s="3">
        <v>2618</v>
      </c>
      <c r="B2619" s="3" t="s">
        <v>6405</v>
      </c>
      <c r="C2619" s="3" t="s">
        <v>1361</v>
      </c>
      <c r="D2619" s="4" t="s">
        <v>6406</v>
      </c>
      <c r="E2619" s="3" t="s">
        <v>1218</v>
      </c>
      <c r="F2619" s="3" t="s">
        <v>2041</v>
      </c>
      <c r="G2619" s="3" t="s">
        <v>321</v>
      </c>
      <c r="H2619" s="4" t="s">
        <v>1095</v>
      </c>
    </row>
    <row r="2620" ht="16.5" customHeight="1" spans="1:8">
      <c r="A2620" s="3">
        <v>2619</v>
      </c>
      <c r="B2620" s="3" t="s">
        <v>6407</v>
      </c>
      <c r="C2620" s="3" t="s">
        <v>1361</v>
      </c>
      <c r="D2620" s="4" t="s">
        <v>6408</v>
      </c>
      <c r="E2620" s="3" t="s">
        <v>1218</v>
      </c>
      <c r="F2620" s="3" t="s">
        <v>2041</v>
      </c>
      <c r="G2620" s="3" t="s">
        <v>321</v>
      </c>
      <c r="H2620" s="4" t="s">
        <v>1095</v>
      </c>
    </row>
    <row r="2621" ht="16.5" customHeight="1" spans="1:8">
      <c r="A2621" s="3">
        <v>2620</v>
      </c>
      <c r="B2621" s="3" t="s">
        <v>6409</v>
      </c>
      <c r="C2621" s="3" t="s">
        <v>1356</v>
      </c>
      <c r="D2621" s="4" t="s">
        <v>6410</v>
      </c>
      <c r="E2621" s="3" t="s">
        <v>1076</v>
      </c>
      <c r="F2621" s="3" t="s">
        <v>4668</v>
      </c>
      <c r="G2621" s="3"/>
      <c r="H2621" s="4" t="s">
        <v>3351</v>
      </c>
    </row>
    <row r="2622" ht="16.5" customHeight="1" spans="1:8">
      <c r="A2622" s="3">
        <v>2621</v>
      </c>
      <c r="B2622" s="3" t="s">
        <v>6411</v>
      </c>
      <c r="C2622" s="3" t="s">
        <v>1074</v>
      </c>
      <c r="D2622" s="4" t="s">
        <v>6412</v>
      </c>
      <c r="E2622" s="3" t="s">
        <v>1076</v>
      </c>
      <c r="F2622" s="3" t="s">
        <v>1719</v>
      </c>
      <c r="G2622" s="3"/>
      <c r="H2622" s="4"/>
    </row>
    <row r="2623" ht="16.5" customHeight="1" spans="1:8">
      <c r="A2623" s="3">
        <v>2622</v>
      </c>
      <c r="B2623" s="3" t="s">
        <v>6413</v>
      </c>
      <c r="C2623" s="3" t="s">
        <v>1356</v>
      </c>
      <c r="D2623" s="4" t="s">
        <v>6414</v>
      </c>
      <c r="E2623" s="3" t="s">
        <v>1218</v>
      </c>
      <c r="F2623" s="3" t="s">
        <v>4668</v>
      </c>
      <c r="G2623" s="3"/>
      <c r="H2623" s="4" t="s">
        <v>3351</v>
      </c>
    </row>
    <row r="2624" ht="16.5" customHeight="1" spans="1:8">
      <c r="A2624" s="3">
        <v>2623</v>
      </c>
      <c r="B2624" s="3" t="s">
        <v>6415</v>
      </c>
      <c r="C2624" s="3" t="s">
        <v>1356</v>
      </c>
      <c r="D2624" s="4" t="s">
        <v>6416</v>
      </c>
      <c r="E2624" s="3" t="s">
        <v>1076</v>
      </c>
      <c r="F2624" s="3" t="s">
        <v>4668</v>
      </c>
      <c r="G2624" s="3"/>
      <c r="H2624" s="4" t="s">
        <v>1095</v>
      </c>
    </row>
    <row r="2625" ht="16.5" customHeight="1" spans="1:8">
      <c r="A2625" s="3">
        <v>2624</v>
      </c>
      <c r="B2625" s="3" t="s">
        <v>6417</v>
      </c>
      <c r="C2625" s="3" t="s">
        <v>1356</v>
      </c>
      <c r="D2625" s="4" t="s">
        <v>6418</v>
      </c>
      <c r="E2625" s="3" t="s">
        <v>1076</v>
      </c>
      <c r="F2625" s="3" t="s">
        <v>4668</v>
      </c>
      <c r="G2625" s="3"/>
      <c r="H2625" s="4" t="s">
        <v>4117</v>
      </c>
    </row>
    <row r="2626" ht="16.5" customHeight="1" spans="1:8">
      <c r="A2626" s="3">
        <v>2625</v>
      </c>
      <c r="B2626" s="3" t="s">
        <v>6419</v>
      </c>
      <c r="C2626" s="3" t="s">
        <v>1356</v>
      </c>
      <c r="D2626" s="4" t="s">
        <v>6420</v>
      </c>
      <c r="E2626" s="3" t="s">
        <v>1076</v>
      </c>
      <c r="F2626" s="3" t="s">
        <v>4668</v>
      </c>
      <c r="G2626" s="3"/>
      <c r="H2626" s="4" t="s">
        <v>1095</v>
      </c>
    </row>
    <row r="2627" ht="16.5" customHeight="1" spans="1:8">
      <c r="A2627" s="3">
        <v>2626</v>
      </c>
      <c r="B2627" s="3" t="s">
        <v>6421</v>
      </c>
      <c r="C2627" s="3" t="s">
        <v>1356</v>
      </c>
      <c r="D2627" s="4" t="s">
        <v>6422</v>
      </c>
      <c r="E2627" s="3" t="s">
        <v>1076</v>
      </c>
      <c r="F2627" s="3" t="s">
        <v>4668</v>
      </c>
      <c r="G2627" s="3"/>
      <c r="H2627" s="4" t="s">
        <v>4322</v>
      </c>
    </row>
    <row r="2628" ht="16.5" customHeight="1" spans="1:8">
      <c r="A2628" s="3">
        <v>2627</v>
      </c>
      <c r="B2628" s="3" t="s">
        <v>6423</v>
      </c>
      <c r="C2628" s="3" t="s">
        <v>1356</v>
      </c>
      <c r="D2628" s="4" t="s">
        <v>6424</v>
      </c>
      <c r="E2628" s="3" t="s">
        <v>1076</v>
      </c>
      <c r="F2628" s="3" t="s">
        <v>4668</v>
      </c>
      <c r="G2628" s="3"/>
      <c r="H2628" s="4" t="s">
        <v>4322</v>
      </c>
    </row>
    <row r="2629" ht="16.5" customHeight="1" spans="1:8">
      <c r="A2629" s="3">
        <v>2628</v>
      </c>
      <c r="B2629" s="3" t="s">
        <v>6425</v>
      </c>
      <c r="C2629" s="3" t="s">
        <v>1356</v>
      </c>
      <c r="D2629" s="4" t="s">
        <v>6426</v>
      </c>
      <c r="E2629" s="3" t="s">
        <v>1076</v>
      </c>
      <c r="F2629" s="3" t="s">
        <v>4668</v>
      </c>
      <c r="G2629" s="3"/>
      <c r="H2629" s="4" t="s">
        <v>1368</v>
      </c>
    </row>
    <row r="2630" ht="16.5" customHeight="1" spans="1:8">
      <c r="A2630" s="3">
        <v>2629</v>
      </c>
      <c r="B2630" s="3" t="s">
        <v>6427</v>
      </c>
      <c r="C2630" s="3" t="s">
        <v>1356</v>
      </c>
      <c r="D2630" s="4" t="s">
        <v>6428</v>
      </c>
      <c r="E2630" s="3" t="s">
        <v>1076</v>
      </c>
      <c r="F2630" s="3" t="s">
        <v>4668</v>
      </c>
      <c r="G2630" s="3"/>
      <c r="H2630" s="4" t="s">
        <v>1305</v>
      </c>
    </row>
    <row r="2631" ht="16.5" customHeight="1" spans="1:8">
      <c r="A2631" s="3">
        <v>2630</v>
      </c>
      <c r="B2631" s="3" t="s">
        <v>6429</v>
      </c>
      <c r="C2631" s="3" t="s">
        <v>1356</v>
      </c>
      <c r="D2631" s="4" t="s">
        <v>6430</v>
      </c>
      <c r="E2631" s="3" t="s">
        <v>1076</v>
      </c>
      <c r="F2631" s="3" t="s">
        <v>4668</v>
      </c>
      <c r="G2631" s="3"/>
      <c r="H2631" s="4" t="s">
        <v>4322</v>
      </c>
    </row>
    <row r="2632" ht="16.5" customHeight="1" spans="1:8">
      <c r="A2632" s="3">
        <v>2631</v>
      </c>
      <c r="B2632" s="3" t="s">
        <v>6431</v>
      </c>
      <c r="C2632" s="3" t="s">
        <v>1356</v>
      </c>
      <c r="D2632" s="4" t="s">
        <v>6432</v>
      </c>
      <c r="E2632" s="3" t="s">
        <v>1076</v>
      </c>
      <c r="F2632" s="3" t="s">
        <v>4668</v>
      </c>
      <c r="G2632" s="3"/>
      <c r="H2632" s="4" t="s">
        <v>1843</v>
      </c>
    </row>
    <row r="2633" ht="16.5" customHeight="1" spans="1:8">
      <c r="A2633" s="3">
        <v>2632</v>
      </c>
      <c r="B2633" s="3" t="s">
        <v>6433</v>
      </c>
      <c r="C2633" s="3" t="s">
        <v>1356</v>
      </c>
      <c r="D2633" s="4" t="s">
        <v>6434</v>
      </c>
      <c r="E2633" s="3" t="s">
        <v>1076</v>
      </c>
      <c r="F2633" s="3" t="s">
        <v>4668</v>
      </c>
      <c r="G2633" s="3"/>
      <c r="H2633" s="4" t="s">
        <v>1843</v>
      </c>
    </row>
    <row r="2634" ht="16.5" customHeight="1" spans="1:8">
      <c r="A2634" s="3">
        <v>2633</v>
      </c>
      <c r="B2634" s="3" t="s">
        <v>6435</v>
      </c>
      <c r="C2634" s="3" t="s">
        <v>1356</v>
      </c>
      <c r="D2634" s="4" t="s">
        <v>6436</v>
      </c>
      <c r="E2634" s="3" t="s">
        <v>1076</v>
      </c>
      <c r="F2634" s="3" t="s">
        <v>4668</v>
      </c>
      <c r="G2634" s="3"/>
      <c r="H2634" s="4" t="s">
        <v>1095</v>
      </c>
    </row>
    <row r="2635" ht="16.5" customHeight="1" spans="1:8">
      <c r="A2635" s="3">
        <v>2634</v>
      </c>
      <c r="B2635" s="3" t="s">
        <v>6437</v>
      </c>
      <c r="C2635" s="3" t="s">
        <v>1105</v>
      </c>
      <c r="D2635" s="4" t="s">
        <v>6438</v>
      </c>
      <c r="E2635" s="3" t="s">
        <v>1837</v>
      </c>
      <c r="F2635" s="3" t="s">
        <v>4668</v>
      </c>
      <c r="G2635" s="3"/>
      <c r="H2635" s="4" t="s">
        <v>4008</v>
      </c>
    </row>
    <row r="2636" ht="16.5" customHeight="1" spans="1:8">
      <c r="A2636" s="3">
        <v>2635</v>
      </c>
      <c r="B2636" s="3" t="s">
        <v>6439</v>
      </c>
      <c r="C2636" s="3" t="s">
        <v>1356</v>
      </c>
      <c r="D2636" s="4" t="s">
        <v>6440</v>
      </c>
      <c r="E2636" s="3" t="s">
        <v>1076</v>
      </c>
      <c r="F2636" s="3" t="s">
        <v>4668</v>
      </c>
      <c r="G2636" s="3"/>
      <c r="H2636" s="4" t="s">
        <v>1095</v>
      </c>
    </row>
    <row r="2637" ht="16.5" customHeight="1" spans="1:8">
      <c r="A2637" s="3">
        <v>2636</v>
      </c>
      <c r="B2637" s="3" t="s">
        <v>6441</v>
      </c>
      <c r="C2637" s="3" t="s">
        <v>1356</v>
      </c>
      <c r="D2637" s="4" t="s">
        <v>6442</v>
      </c>
      <c r="E2637" s="3" t="s">
        <v>1837</v>
      </c>
      <c r="F2637" s="3" t="s">
        <v>4668</v>
      </c>
      <c r="G2637" s="3"/>
      <c r="H2637" s="4" t="s">
        <v>1095</v>
      </c>
    </row>
    <row r="2638" ht="16.5" customHeight="1" spans="1:8">
      <c r="A2638" s="3">
        <v>2637</v>
      </c>
      <c r="B2638" s="3" t="s">
        <v>6443</v>
      </c>
      <c r="C2638" s="3" t="s">
        <v>1356</v>
      </c>
      <c r="D2638" s="4" t="s">
        <v>6444</v>
      </c>
      <c r="E2638" s="3" t="s">
        <v>1076</v>
      </c>
      <c r="F2638" s="3" t="s">
        <v>4668</v>
      </c>
      <c r="G2638" s="3"/>
      <c r="H2638" s="4" t="s">
        <v>1095</v>
      </c>
    </row>
    <row r="2639" ht="16.5" customHeight="1" spans="1:8">
      <c r="A2639" s="3">
        <v>2638</v>
      </c>
      <c r="B2639" s="3" t="s">
        <v>6445</v>
      </c>
      <c r="C2639" s="3" t="s">
        <v>1356</v>
      </c>
      <c r="D2639" s="4" t="s">
        <v>6446</v>
      </c>
      <c r="E2639" s="3" t="s">
        <v>1076</v>
      </c>
      <c r="F2639" s="3" t="s">
        <v>4668</v>
      </c>
      <c r="G2639" s="3"/>
      <c r="H2639" s="4" t="s">
        <v>1095</v>
      </c>
    </row>
    <row r="2640" ht="16.5" customHeight="1" spans="1:8">
      <c r="A2640" s="3">
        <v>2639</v>
      </c>
      <c r="B2640" s="3" t="s">
        <v>6447</v>
      </c>
      <c r="C2640" s="3" t="s">
        <v>1356</v>
      </c>
      <c r="D2640" s="4" t="s">
        <v>6448</v>
      </c>
      <c r="E2640" s="3" t="s">
        <v>1076</v>
      </c>
      <c r="F2640" s="3" t="s">
        <v>4668</v>
      </c>
      <c r="G2640" s="3"/>
      <c r="H2640" s="4" t="s">
        <v>1368</v>
      </c>
    </row>
    <row r="2641" ht="16.5" customHeight="1" spans="1:8">
      <c r="A2641" s="3">
        <v>2640</v>
      </c>
      <c r="B2641" s="3" t="s">
        <v>6449</v>
      </c>
      <c r="C2641" s="3" t="s">
        <v>1356</v>
      </c>
      <c r="D2641" s="4" t="s">
        <v>6450</v>
      </c>
      <c r="E2641" s="3" t="s">
        <v>1076</v>
      </c>
      <c r="F2641" s="3" t="s">
        <v>4668</v>
      </c>
      <c r="G2641" s="3"/>
      <c r="H2641" s="4" t="s">
        <v>4322</v>
      </c>
    </row>
    <row r="2642" ht="16.5" customHeight="1" spans="1:8">
      <c r="A2642" s="3">
        <v>2641</v>
      </c>
      <c r="B2642" s="3" t="s">
        <v>6451</v>
      </c>
      <c r="C2642" s="3" t="s">
        <v>1356</v>
      </c>
      <c r="D2642" s="4" t="s">
        <v>6452</v>
      </c>
      <c r="E2642" s="3" t="s">
        <v>1076</v>
      </c>
      <c r="F2642" s="3" t="s">
        <v>4668</v>
      </c>
      <c r="G2642" s="3"/>
      <c r="H2642" s="4" t="s">
        <v>1368</v>
      </c>
    </row>
    <row r="2643" ht="16.5" customHeight="1" spans="1:8">
      <c r="A2643" s="3">
        <v>2642</v>
      </c>
      <c r="B2643" s="3" t="s">
        <v>6453</v>
      </c>
      <c r="C2643" s="3" t="s">
        <v>1356</v>
      </c>
      <c r="D2643" s="4" t="s">
        <v>6454</v>
      </c>
      <c r="E2643" s="3" t="s">
        <v>1076</v>
      </c>
      <c r="F2643" s="3" t="s">
        <v>4668</v>
      </c>
      <c r="G2643" s="3"/>
      <c r="H2643" s="4" t="s">
        <v>1095</v>
      </c>
    </row>
    <row r="2644" ht="16.5" customHeight="1" spans="1:8">
      <c r="A2644" s="3">
        <v>2643</v>
      </c>
      <c r="B2644" s="3" t="s">
        <v>6455</v>
      </c>
      <c r="C2644" s="3" t="s">
        <v>1356</v>
      </c>
      <c r="D2644" s="4" t="s">
        <v>6456</v>
      </c>
      <c r="E2644" s="3" t="s">
        <v>1076</v>
      </c>
      <c r="F2644" s="3" t="s">
        <v>4668</v>
      </c>
      <c r="G2644" s="3"/>
      <c r="H2644" s="4" t="s">
        <v>4117</v>
      </c>
    </row>
    <row r="2645" ht="16.5" customHeight="1" spans="1:8">
      <c r="A2645" s="3">
        <v>2644</v>
      </c>
      <c r="B2645" s="3" t="s">
        <v>6457</v>
      </c>
      <c r="C2645" s="3" t="s">
        <v>1356</v>
      </c>
      <c r="D2645" s="4" t="s">
        <v>6458</v>
      </c>
      <c r="E2645" s="3" t="s">
        <v>1076</v>
      </c>
      <c r="F2645" s="3" t="s">
        <v>4668</v>
      </c>
      <c r="G2645" s="3"/>
      <c r="H2645" s="4" t="s">
        <v>1305</v>
      </c>
    </row>
    <row r="2646" ht="16.5" customHeight="1" spans="1:8">
      <c r="A2646" s="3">
        <v>2645</v>
      </c>
      <c r="B2646" s="3" t="s">
        <v>6459</v>
      </c>
      <c r="C2646" s="3" t="s">
        <v>1356</v>
      </c>
      <c r="D2646" s="4" t="s">
        <v>6460</v>
      </c>
      <c r="E2646" s="3" t="s">
        <v>1076</v>
      </c>
      <c r="F2646" s="3" t="s">
        <v>4668</v>
      </c>
      <c r="G2646" s="3"/>
      <c r="H2646" s="4" t="s">
        <v>4322</v>
      </c>
    </row>
    <row r="2647" ht="16.5" customHeight="1" spans="1:8">
      <c r="A2647" s="3">
        <v>2646</v>
      </c>
      <c r="B2647" s="3" t="s">
        <v>6461</v>
      </c>
      <c r="C2647" s="3" t="s">
        <v>1356</v>
      </c>
      <c r="D2647" s="4" t="s">
        <v>6462</v>
      </c>
      <c r="E2647" s="3" t="s">
        <v>1837</v>
      </c>
      <c r="F2647" s="3" t="s">
        <v>4668</v>
      </c>
      <c r="G2647" s="3"/>
      <c r="H2647" s="4" t="s">
        <v>1305</v>
      </c>
    </row>
    <row r="2648" ht="16.5" customHeight="1" spans="1:8">
      <c r="A2648" s="3">
        <v>2647</v>
      </c>
      <c r="B2648" s="3" t="s">
        <v>6463</v>
      </c>
      <c r="C2648" s="3" t="s">
        <v>1361</v>
      </c>
      <c r="D2648" s="4" t="s">
        <v>6464</v>
      </c>
      <c r="E2648" s="3" t="s">
        <v>1218</v>
      </c>
      <c r="F2648" s="3" t="s">
        <v>2041</v>
      </c>
      <c r="G2648" s="3" t="s">
        <v>321</v>
      </c>
      <c r="H2648" s="4" t="s">
        <v>1095</v>
      </c>
    </row>
    <row r="2649" ht="16.5" customHeight="1" spans="1:8">
      <c r="A2649" s="3">
        <v>2648</v>
      </c>
      <c r="B2649" s="3" t="s">
        <v>6465</v>
      </c>
      <c r="C2649" s="3" t="s">
        <v>1356</v>
      </c>
      <c r="D2649" s="4" t="s">
        <v>6466</v>
      </c>
      <c r="E2649" s="3" t="s">
        <v>1218</v>
      </c>
      <c r="F2649" s="3" t="s">
        <v>1719</v>
      </c>
      <c r="G2649" s="3"/>
      <c r="H2649" s="4" t="s">
        <v>2050</v>
      </c>
    </row>
    <row r="2650" ht="16.5" customHeight="1" spans="1:8">
      <c r="A2650" s="3">
        <v>2649</v>
      </c>
      <c r="B2650" s="3" t="s">
        <v>6467</v>
      </c>
      <c r="C2650" s="3" t="s">
        <v>1356</v>
      </c>
      <c r="D2650" s="4" t="s">
        <v>6468</v>
      </c>
      <c r="E2650" s="3" t="s">
        <v>1218</v>
      </c>
      <c r="F2650" s="3" t="s">
        <v>1719</v>
      </c>
      <c r="G2650" s="3"/>
      <c r="H2650" s="4" t="s">
        <v>2324</v>
      </c>
    </row>
    <row r="2651" ht="16.5" customHeight="1" spans="1:8">
      <c r="A2651" s="3">
        <v>2650</v>
      </c>
      <c r="B2651" s="3" t="s">
        <v>6469</v>
      </c>
      <c r="C2651" s="3" t="s">
        <v>1074</v>
      </c>
      <c r="D2651" s="4" t="s">
        <v>6470</v>
      </c>
      <c r="E2651" s="3" t="s">
        <v>1218</v>
      </c>
      <c r="F2651" s="3" t="s">
        <v>1719</v>
      </c>
      <c r="G2651" s="3"/>
      <c r="H2651" s="4" t="s">
        <v>1090</v>
      </c>
    </row>
    <row r="2652" ht="16.5" customHeight="1" spans="1:8">
      <c r="A2652" s="3">
        <v>2651</v>
      </c>
      <c r="B2652" s="3" t="s">
        <v>6471</v>
      </c>
      <c r="C2652" s="3" t="s">
        <v>1356</v>
      </c>
      <c r="D2652" s="4" t="s">
        <v>6472</v>
      </c>
      <c r="E2652" s="3" t="s">
        <v>1076</v>
      </c>
      <c r="F2652" s="3" t="s">
        <v>1719</v>
      </c>
      <c r="G2652" s="3"/>
      <c r="H2652" s="4" t="s">
        <v>5396</v>
      </c>
    </row>
    <row r="2653" ht="16.5" customHeight="1" spans="1:8">
      <c r="A2653" s="3">
        <v>2652</v>
      </c>
      <c r="B2653" s="3" t="s">
        <v>6473</v>
      </c>
      <c r="C2653" s="3" t="s">
        <v>1356</v>
      </c>
      <c r="D2653" s="4" t="s">
        <v>6474</v>
      </c>
      <c r="E2653" s="3" t="s">
        <v>1076</v>
      </c>
      <c r="F2653" s="3" t="s">
        <v>1736</v>
      </c>
      <c r="G2653" s="3"/>
      <c r="H2653" s="4" t="s">
        <v>4322</v>
      </c>
    </row>
    <row r="2654" ht="16.5" customHeight="1" spans="1:8">
      <c r="A2654" s="3">
        <v>2653</v>
      </c>
      <c r="B2654" s="3" t="s">
        <v>6475</v>
      </c>
      <c r="C2654" s="3" t="s">
        <v>1356</v>
      </c>
      <c r="D2654" s="4" t="s">
        <v>6476</v>
      </c>
      <c r="E2654" s="3" t="s">
        <v>1076</v>
      </c>
      <c r="F2654" s="3" t="s">
        <v>1736</v>
      </c>
      <c r="G2654" s="3"/>
      <c r="H2654" s="4" t="s">
        <v>4322</v>
      </c>
    </row>
    <row r="2655" ht="16.5" customHeight="1" spans="1:8">
      <c r="A2655" s="3">
        <v>2654</v>
      </c>
      <c r="B2655" s="3" t="s">
        <v>6477</v>
      </c>
      <c r="C2655" s="3" t="s">
        <v>1356</v>
      </c>
      <c r="D2655" s="4" t="s">
        <v>6478</v>
      </c>
      <c r="E2655" s="3" t="s">
        <v>1076</v>
      </c>
      <c r="F2655" s="3" t="s">
        <v>1736</v>
      </c>
      <c r="G2655" s="3"/>
      <c r="H2655" s="4" t="s">
        <v>4322</v>
      </c>
    </row>
    <row r="2656" ht="16.5" customHeight="1" spans="1:8">
      <c r="A2656" s="3">
        <v>2655</v>
      </c>
      <c r="B2656" s="3" t="s">
        <v>6479</v>
      </c>
      <c r="C2656" s="3" t="s">
        <v>1356</v>
      </c>
      <c r="D2656" s="4" t="s">
        <v>6480</v>
      </c>
      <c r="E2656" s="3" t="s">
        <v>1076</v>
      </c>
      <c r="F2656" s="3" t="s">
        <v>1736</v>
      </c>
      <c r="G2656" s="3"/>
      <c r="H2656" s="4" t="s">
        <v>4117</v>
      </c>
    </row>
    <row r="2657" ht="16.5" customHeight="1" spans="1:8">
      <c r="A2657" s="3">
        <v>2656</v>
      </c>
      <c r="B2657" s="3" t="s">
        <v>6481</v>
      </c>
      <c r="C2657" s="3" t="s">
        <v>1356</v>
      </c>
      <c r="D2657" s="4" t="s">
        <v>6482</v>
      </c>
      <c r="E2657" s="3" t="s">
        <v>5779</v>
      </c>
      <c r="F2657" s="3" t="s">
        <v>1736</v>
      </c>
      <c r="G2657" s="3"/>
      <c r="H2657" s="4" t="s">
        <v>4117</v>
      </c>
    </row>
    <row r="2658" ht="16.5" customHeight="1" spans="1:8">
      <c r="A2658" s="3">
        <v>2657</v>
      </c>
      <c r="B2658" s="3" t="s">
        <v>6483</v>
      </c>
      <c r="C2658" s="3" t="s">
        <v>1356</v>
      </c>
      <c r="D2658" s="4" t="s">
        <v>6484</v>
      </c>
      <c r="E2658" s="3" t="s">
        <v>1076</v>
      </c>
      <c r="F2658" s="3" t="s">
        <v>1736</v>
      </c>
      <c r="G2658" s="3"/>
      <c r="H2658" s="4" t="s">
        <v>4117</v>
      </c>
    </row>
    <row r="2659" ht="16.5" customHeight="1" spans="1:8">
      <c r="A2659" s="3">
        <v>2658</v>
      </c>
      <c r="B2659" s="3" t="s">
        <v>6485</v>
      </c>
      <c r="C2659" s="3" t="s">
        <v>1356</v>
      </c>
      <c r="D2659" s="4" t="s">
        <v>6486</v>
      </c>
      <c r="E2659" s="3" t="s">
        <v>1076</v>
      </c>
      <c r="F2659" s="3" t="s">
        <v>1736</v>
      </c>
      <c r="G2659" s="3"/>
      <c r="H2659" s="4" t="s">
        <v>5396</v>
      </c>
    </row>
    <row r="2660" ht="16.5" customHeight="1" spans="1:8">
      <c r="A2660" s="3">
        <v>2659</v>
      </c>
      <c r="B2660" s="3" t="s">
        <v>6487</v>
      </c>
      <c r="C2660" s="3" t="s">
        <v>1356</v>
      </c>
      <c r="D2660" s="4" t="s">
        <v>6488</v>
      </c>
      <c r="E2660" s="3" t="s">
        <v>1076</v>
      </c>
      <c r="F2660" s="3" t="s">
        <v>1736</v>
      </c>
      <c r="G2660" s="3"/>
      <c r="H2660" s="4" t="s">
        <v>4322</v>
      </c>
    </row>
    <row r="2661" ht="16.5" customHeight="1" spans="1:8">
      <c r="A2661" s="3">
        <v>2660</v>
      </c>
      <c r="B2661" s="3" t="s">
        <v>6489</v>
      </c>
      <c r="C2661" s="3" t="s">
        <v>1105</v>
      </c>
      <c r="D2661" s="4" t="s">
        <v>6490</v>
      </c>
      <c r="E2661" s="3" t="s">
        <v>1076</v>
      </c>
      <c r="F2661" s="3" t="s">
        <v>1736</v>
      </c>
      <c r="G2661" s="3"/>
      <c r="H2661" s="4" t="s">
        <v>6491</v>
      </c>
    </row>
    <row r="2662" ht="16.5" customHeight="1" spans="1:8">
      <c r="A2662" s="3">
        <v>2661</v>
      </c>
      <c r="B2662" s="3" t="s">
        <v>6492</v>
      </c>
      <c r="C2662" s="3" t="s">
        <v>1105</v>
      </c>
      <c r="D2662" s="4" t="s">
        <v>6493</v>
      </c>
      <c r="E2662" s="3" t="s">
        <v>1076</v>
      </c>
      <c r="F2662" s="3" t="s">
        <v>1736</v>
      </c>
      <c r="G2662" s="3"/>
      <c r="H2662" s="4" t="s">
        <v>6491</v>
      </c>
    </row>
    <row r="2663" ht="16.5" customHeight="1" spans="1:8">
      <c r="A2663" s="3">
        <v>2662</v>
      </c>
      <c r="B2663" s="3" t="s">
        <v>6494</v>
      </c>
      <c r="C2663" s="3" t="s">
        <v>1105</v>
      </c>
      <c r="D2663" s="4" t="s">
        <v>6495</v>
      </c>
      <c r="E2663" s="3" t="s">
        <v>1076</v>
      </c>
      <c r="F2663" s="3" t="s">
        <v>1736</v>
      </c>
      <c r="G2663" s="3"/>
      <c r="H2663" s="4" t="s">
        <v>6491</v>
      </c>
    </row>
    <row r="2664" ht="16.5" customHeight="1" spans="1:8">
      <c r="A2664" s="3">
        <v>2663</v>
      </c>
      <c r="B2664" s="3" t="s">
        <v>6496</v>
      </c>
      <c r="C2664" s="3" t="s">
        <v>1105</v>
      </c>
      <c r="D2664" s="4" t="s">
        <v>6497</v>
      </c>
      <c r="E2664" s="3" t="s">
        <v>1076</v>
      </c>
      <c r="F2664" s="3" t="s">
        <v>1736</v>
      </c>
      <c r="G2664" s="3"/>
      <c r="H2664" s="4" t="s">
        <v>6491</v>
      </c>
    </row>
    <row r="2665" ht="16.5" customHeight="1" spans="1:8">
      <c r="A2665" s="3">
        <v>2664</v>
      </c>
      <c r="B2665" s="3" t="s">
        <v>6498</v>
      </c>
      <c r="C2665" s="3" t="s">
        <v>1105</v>
      </c>
      <c r="D2665" s="4" t="s">
        <v>6499</v>
      </c>
      <c r="E2665" s="3" t="s">
        <v>1837</v>
      </c>
      <c r="F2665" s="3" t="s">
        <v>1736</v>
      </c>
      <c r="G2665" s="3"/>
      <c r="H2665" s="4" t="s">
        <v>6491</v>
      </c>
    </row>
    <row r="2666" ht="16.5" customHeight="1" spans="1:8">
      <c r="A2666" s="3">
        <v>2665</v>
      </c>
      <c r="B2666" s="3" t="s">
        <v>6500</v>
      </c>
      <c r="C2666" s="3" t="s">
        <v>1105</v>
      </c>
      <c r="D2666" s="4" t="s">
        <v>6501</v>
      </c>
      <c r="E2666" s="3" t="s">
        <v>1076</v>
      </c>
      <c r="F2666" s="3" t="s">
        <v>1736</v>
      </c>
      <c r="G2666" s="3"/>
      <c r="H2666" s="4" t="s">
        <v>6502</v>
      </c>
    </row>
    <row r="2667" ht="16.5" customHeight="1" spans="1:8">
      <c r="A2667" s="3">
        <v>2666</v>
      </c>
      <c r="B2667" s="3" t="s">
        <v>6503</v>
      </c>
      <c r="C2667" s="3" t="s">
        <v>1105</v>
      </c>
      <c r="D2667" s="4" t="s">
        <v>6504</v>
      </c>
      <c r="E2667" s="3" t="s">
        <v>1076</v>
      </c>
      <c r="F2667" s="3" t="s">
        <v>1736</v>
      </c>
      <c r="G2667" s="3"/>
      <c r="H2667" s="4" t="s">
        <v>6502</v>
      </c>
    </row>
    <row r="2668" ht="16.5" customHeight="1" spans="1:8">
      <c r="A2668" s="3">
        <v>2667</v>
      </c>
      <c r="B2668" s="3" t="s">
        <v>6505</v>
      </c>
      <c r="C2668" s="3" t="s">
        <v>1105</v>
      </c>
      <c r="D2668" s="4" t="s">
        <v>6506</v>
      </c>
      <c r="E2668" s="3" t="s">
        <v>1837</v>
      </c>
      <c r="F2668" s="3" t="s">
        <v>1736</v>
      </c>
      <c r="G2668" s="3"/>
      <c r="H2668" s="4" t="s">
        <v>6502</v>
      </c>
    </row>
    <row r="2669" ht="16.5" customHeight="1" spans="1:8">
      <c r="A2669" s="3">
        <v>2668</v>
      </c>
      <c r="B2669" s="3" t="s">
        <v>6507</v>
      </c>
      <c r="C2669" s="3" t="s">
        <v>1105</v>
      </c>
      <c r="D2669" s="4" t="s">
        <v>6508</v>
      </c>
      <c r="E2669" s="3" t="s">
        <v>1076</v>
      </c>
      <c r="F2669" s="3" t="s">
        <v>1736</v>
      </c>
      <c r="G2669" s="3"/>
      <c r="H2669" s="4" t="s">
        <v>6509</v>
      </c>
    </row>
    <row r="2670" ht="16.5" customHeight="1" spans="1:8">
      <c r="A2670" s="3">
        <v>2669</v>
      </c>
      <c r="B2670" s="3" t="s">
        <v>6510</v>
      </c>
      <c r="C2670" s="3" t="s">
        <v>1105</v>
      </c>
      <c r="D2670" s="4" t="s">
        <v>6511</v>
      </c>
      <c r="E2670" s="3" t="s">
        <v>1076</v>
      </c>
      <c r="F2670" s="3" t="s">
        <v>1736</v>
      </c>
      <c r="G2670" s="3"/>
      <c r="H2670" s="4" t="s">
        <v>6509</v>
      </c>
    </row>
    <row r="2671" ht="16.5" customHeight="1" spans="1:8">
      <c r="A2671" s="3">
        <v>2670</v>
      </c>
      <c r="B2671" s="3" t="s">
        <v>6512</v>
      </c>
      <c r="C2671" s="3" t="s">
        <v>1105</v>
      </c>
      <c r="D2671" s="4" t="s">
        <v>6513</v>
      </c>
      <c r="E2671" s="3" t="s">
        <v>1076</v>
      </c>
      <c r="F2671" s="3" t="s">
        <v>1736</v>
      </c>
      <c r="G2671" s="3"/>
      <c r="H2671" s="4" t="s">
        <v>6509</v>
      </c>
    </row>
    <row r="2672" ht="16.5" customHeight="1" spans="1:8">
      <c r="A2672" s="3">
        <v>2671</v>
      </c>
      <c r="B2672" s="3" t="s">
        <v>6514</v>
      </c>
      <c r="C2672" s="3" t="s">
        <v>1105</v>
      </c>
      <c r="D2672" s="4" t="s">
        <v>6515</v>
      </c>
      <c r="E2672" s="3" t="s">
        <v>1076</v>
      </c>
      <c r="F2672" s="3" t="s">
        <v>1736</v>
      </c>
      <c r="G2672" s="3"/>
      <c r="H2672" s="4" t="s">
        <v>6516</v>
      </c>
    </row>
    <row r="2673" ht="16.5" customHeight="1" spans="1:8">
      <c r="A2673" s="3">
        <v>2672</v>
      </c>
      <c r="B2673" s="3" t="s">
        <v>6517</v>
      </c>
      <c r="C2673" s="3" t="s">
        <v>1105</v>
      </c>
      <c r="D2673" s="4" t="s">
        <v>6518</v>
      </c>
      <c r="E2673" s="3" t="s">
        <v>1739</v>
      </c>
      <c r="F2673" s="3" t="s">
        <v>1736</v>
      </c>
      <c r="G2673" s="3"/>
      <c r="H2673" s="4" t="s">
        <v>6516</v>
      </c>
    </row>
    <row r="2674" ht="16.5" customHeight="1" spans="1:8">
      <c r="A2674" s="3">
        <v>2673</v>
      </c>
      <c r="B2674" s="3" t="s">
        <v>6519</v>
      </c>
      <c r="C2674" s="3" t="s">
        <v>1105</v>
      </c>
      <c r="D2674" s="4" t="s">
        <v>6520</v>
      </c>
      <c r="E2674" s="3" t="s">
        <v>1837</v>
      </c>
      <c r="F2674" s="3" t="s">
        <v>1736</v>
      </c>
      <c r="G2674" s="3"/>
      <c r="H2674" s="4" t="s">
        <v>6521</v>
      </c>
    </row>
    <row r="2675" ht="16.5" customHeight="1" spans="1:8">
      <c r="A2675" s="3">
        <v>2674</v>
      </c>
      <c r="B2675" s="3" t="s">
        <v>6522</v>
      </c>
      <c r="C2675" s="3" t="s">
        <v>1105</v>
      </c>
      <c r="D2675" s="4" t="s">
        <v>6523</v>
      </c>
      <c r="E2675" s="3" t="s">
        <v>1837</v>
      </c>
      <c r="F2675" s="3" t="s">
        <v>1736</v>
      </c>
      <c r="G2675" s="3"/>
      <c r="H2675" s="4" t="s">
        <v>6521</v>
      </c>
    </row>
    <row r="2676" ht="16.5" customHeight="1" spans="1:8">
      <c r="A2676" s="3">
        <v>2675</v>
      </c>
      <c r="B2676" s="3" t="s">
        <v>6524</v>
      </c>
      <c r="C2676" s="3" t="s">
        <v>1361</v>
      </c>
      <c r="D2676" s="4" t="s">
        <v>6525</v>
      </c>
      <c r="E2676" s="3" t="s">
        <v>1218</v>
      </c>
      <c r="F2676" s="3" t="s">
        <v>2041</v>
      </c>
      <c r="G2676" s="3" t="s">
        <v>321</v>
      </c>
      <c r="H2676" s="4" t="s">
        <v>1368</v>
      </c>
    </row>
    <row r="2677" ht="16.5" customHeight="1" spans="1:8">
      <c r="A2677" s="3">
        <v>2676</v>
      </c>
      <c r="B2677" s="3" t="s">
        <v>6526</v>
      </c>
      <c r="C2677" s="3" t="s">
        <v>1356</v>
      </c>
      <c r="D2677" s="4" t="s">
        <v>6527</v>
      </c>
      <c r="E2677" s="3" t="s">
        <v>1076</v>
      </c>
      <c r="F2677" s="3" t="s">
        <v>4107</v>
      </c>
      <c r="G2677" s="3"/>
      <c r="H2677" s="4" t="s">
        <v>4322</v>
      </c>
    </row>
    <row r="2678" ht="16.5" customHeight="1" spans="1:8">
      <c r="A2678" s="3">
        <v>2677</v>
      </c>
      <c r="B2678" s="3" t="s">
        <v>6528</v>
      </c>
      <c r="C2678" s="3" t="s">
        <v>1356</v>
      </c>
      <c r="D2678" s="4" t="s">
        <v>6529</v>
      </c>
      <c r="E2678" s="3" t="s">
        <v>1076</v>
      </c>
      <c r="F2678" s="3" t="s">
        <v>4107</v>
      </c>
      <c r="G2678" s="3"/>
      <c r="H2678" s="4" t="s">
        <v>1368</v>
      </c>
    </row>
    <row r="2679" ht="16.5" customHeight="1" spans="1:8">
      <c r="A2679" s="3">
        <v>2678</v>
      </c>
      <c r="B2679" s="3" t="s">
        <v>6530</v>
      </c>
      <c r="C2679" s="3" t="s">
        <v>1361</v>
      </c>
      <c r="D2679" s="4" t="s">
        <v>6531</v>
      </c>
      <c r="E2679" s="3" t="s">
        <v>1218</v>
      </c>
      <c r="F2679" s="3" t="s">
        <v>2041</v>
      </c>
      <c r="G2679" s="3" t="s">
        <v>321</v>
      </c>
      <c r="H2679" s="4" t="s">
        <v>1368</v>
      </c>
    </row>
    <row r="2680" ht="16.5" customHeight="1" spans="1:8">
      <c r="A2680" s="3">
        <v>2679</v>
      </c>
      <c r="B2680" s="3" t="s">
        <v>6532</v>
      </c>
      <c r="C2680" s="3" t="s">
        <v>1361</v>
      </c>
      <c r="D2680" s="4" t="s">
        <v>6533</v>
      </c>
      <c r="E2680" s="3" t="s">
        <v>1218</v>
      </c>
      <c r="F2680" s="3" t="s">
        <v>2041</v>
      </c>
      <c r="G2680" s="3" t="s">
        <v>321</v>
      </c>
      <c r="H2680" s="4" t="s">
        <v>1368</v>
      </c>
    </row>
    <row r="2681" ht="16.5" customHeight="1" spans="1:8">
      <c r="A2681" s="3">
        <v>2680</v>
      </c>
      <c r="B2681" s="3" t="s">
        <v>6534</v>
      </c>
      <c r="C2681" s="3" t="s">
        <v>1361</v>
      </c>
      <c r="D2681" s="4" t="s">
        <v>6535</v>
      </c>
      <c r="E2681" s="3" t="s">
        <v>1218</v>
      </c>
      <c r="F2681" s="3" t="s">
        <v>2041</v>
      </c>
      <c r="G2681" s="3" t="s">
        <v>321</v>
      </c>
      <c r="H2681" s="4" t="s">
        <v>1095</v>
      </c>
    </row>
    <row r="2682" ht="16.5" customHeight="1" spans="1:8">
      <c r="A2682" s="3">
        <v>2681</v>
      </c>
      <c r="B2682" s="3" t="s">
        <v>6536</v>
      </c>
      <c r="C2682" s="3" t="s">
        <v>1361</v>
      </c>
      <c r="D2682" s="4" t="s">
        <v>6537</v>
      </c>
      <c r="E2682" s="3" t="s">
        <v>1218</v>
      </c>
      <c r="F2682" s="3" t="s">
        <v>2041</v>
      </c>
      <c r="G2682" s="3" t="s">
        <v>321</v>
      </c>
      <c r="H2682" s="4"/>
    </row>
    <row r="2683" ht="16.5" customHeight="1" spans="1:8">
      <c r="A2683" s="3">
        <v>2682</v>
      </c>
      <c r="B2683" s="3" t="s">
        <v>6538</v>
      </c>
      <c r="C2683" s="3" t="s">
        <v>1361</v>
      </c>
      <c r="D2683" s="4" t="s">
        <v>6539</v>
      </c>
      <c r="E2683" s="3" t="s">
        <v>1218</v>
      </c>
      <c r="F2683" s="3" t="s">
        <v>2041</v>
      </c>
      <c r="G2683" s="3" t="s">
        <v>321</v>
      </c>
      <c r="H2683" s="4" t="s">
        <v>1095</v>
      </c>
    </row>
    <row r="2684" ht="16.5" customHeight="1" spans="1:8">
      <c r="A2684" s="3">
        <v>2683</v>
      </c>
      <c r="B2684" s="3" t="s">
        <v>6540</v>
      </c>
      <c r="C2684" s="3" t="s">
        <v>1361</v>
      </c>
      <c r="D2684" s="4" t="s">
        <v>6541</v>
      </c>
      <c r="E2684" s="3" t="s">
        <v>1218</v>
      </c>
      <c r="F2684" s="3" t="s">
        <v>1358</v>
      </c>
      <c r="G2684" s="3"/>
      <c r="H2684" s="4"/>
    </row>
    <row r="2685" ht="16.5" customHeight="1" spans="1:8">
      <c r="A2685" s="3">
        <v>2684</v>
      </c>
      <c r="B2685" s="3" t="s">
        <v>6542</v>
      </c>
      <c r="C2685" s="3" t="s">
        <v>1356</v>
      </c>
      <c r="D2685" s="4" t="s">
        <v>6543</v>
      </c>
      <c r="E2685" s="3" t="s">
        <v>1076</v>
      </c>
      <c r="F2685" s="3" t="s">
        <v>4107</v>
      </c>
      <c r="G2685" s="3"/>
      <c r="H2685" s="4" t="s">
        <v>1095</v>
      </c>
    </row>
    <row r="2686" ht="16.5" customHeight="1" spans="1:8">
      <c r="A2686" s="3">
        <v>2685</v>
      </c>
      <c r="B2686" s="3" t="s">
        <v>6544</v>
      </c>
      <c r="C2686" s="3" t="s">
        <v>1356</v>
      </c>
      <c r="D2686" s="4" t="s">
        <v>6545</v>
      </c>
      <c r="E2686" s="3" t="s">
        <v>1076</v>
      </c>
      <c r="F2686" s="3" t="s">
        <v>4107</v>
      </c>
      <c r="G2686" s="3"/>
      <c r="H2686" s="4" t="s">
        <v>2181</v>
      </c>
    </row>
    <row r="2687" ht="16.5" customHeight="1" spans="1:8">
      <c r="A2687" s="3">
        <v>2686</v>
      </c>
      <c r="B2687" s="3" t="s">
        <v>6546</v>
      </c>
      <c r="C2687" s="3" t="s">
        <v>1356</v>
      </c>
      <c r="D2687" s="4" t="s">
        <v>6547</v>
      </c>
      <c r="E2687" s="3" t="s">
        <v>1076</v>
      </c>
      <c r="F2687" s="3" t="s">
        <v>1719</v>
      </c>
      <c r="G2687" s="3"/>
      <c r="H2687" s="4" t="s">
        <v>1359</v>
      </c>
    </row>
    <row r="2688" ht="16.5" customHeight="1" spans="1:8">
      <c r="A2688" s="3">
        <v>2687</v>
      </c>
      <c r="B2688" s="3" t="s">
        <v>6548</v>
      </c>
      <c r="C2688" s="3" t="s">
        <v>2163</v>
      </c>
      <c r="D2688" s="4" t="s">
        <v>6549</v>
      </c>
      <c r="E2688" s="3" t="s">
        <v>1076</v>
      </c>
      <c r="F2688" s="3" t="s">
        <v>2041</v>
      </c>
      <c r="G2688" s="3" t="s">
        <v>321</v>
      </c>
      <c r="H2688" s="4" t="s">
        <v>1095</v>
      </c>
    </row>
    <row r="2689" ht="16.5" customHeight="1" spans="1:8">
      <c r="A2689" s="3">
        <v>2688</v>
      </c>
      <c r="B2689" s="3" t="s">
        <v>6550</v>
      </c>
      <c r="C2689" s="3" t="s">
        <v>2163</v>
      </c>
      <c r="D2689" s="4" t="s">
        <v>6551</v>
      </c>
      <c r="E2689" s="3" t="s">
        <v>1076</v>
      </c>
      <c r="F2689" s="3" t="s">
        <v>1719</v>
      </c>
      <c r="G2689" s="3"/>
      <c r="H2689" s="4" t="s">
        <v>3354</v>
      </c>
    </row>
    <row r="2690" ht="16.5" customHeight="1" spans="1:8">
      <c r="A2690" s="3">
        <v>2689</v>
      </c>
      <c r="B2690" s="3" t="s">
        <v>6552</v>
      </c>
      <c r="C2690" s="3" t="s">
        <v>2163</v>
      </c>
      <c r="D2690" s="4" t="s">
        <v>6553</v>
      </c>
      <c r="E2690" s="3" t="s">
        <v>1076</v>
      </c>
      <c r="F2690" s="3" t="s">
        <v>2041</v>
      </c>
      <c r="G2690" s="3" t="s">
        <v>321</v>
      </c>
      <c r="H2690" s="4" t="s">
        <v>1368</v>
      </c>
    </row>
    <row r="2691" ht="16.5" customHeight="1" spans="1:8">
      <c r="A2691" s="3">
        <v>2690</v>
      </c>
      <c r="B2691" s="3" t="s">
        <v>6554</v>
      </c>
      <c r="C2691" s="3" t="s">
        <v>2163</v>
      </c>
      <c r="D2691" s="4" t="s">
        <v>6555</v>
      </c>
      <c r="E2691" s="3" t="s">
        <v>1076</v>
      </c>
      <c r="F2691" s="3" t="s">
        <v>2041</v>
      </c>
      <c r="G2691" s="3" t="s">
        <v>321</v>
      </c>
      <c r="H2691" s="4" t="s">
        <v>1368</v>
      </c>
    </row>
    <row r="2692" ht="16.5" customHeight="1" spans="1:8">
      <c r="A2692" s="3">
        <v>2691</v>
      </c>
      <c r="B2692" s="3" t="s">
        <v>6556</v>
      </c>
      <c r="C2692" s="3" t="s">
        <v>2163</v>
      </c>
      <c r="D2692" s="4" t="s">
        <v>6557</v>
      </c>
      <c r="E2692" s="3" t="s">
        <v>1076</v>
      </c>
      <c r="F2692" s="3" t="s">
        <v>2041</v>
      </c>
      <c r="G2692" s="3" t="s">
        <v>321</v>
      </c>
      <c r="H2692" s="4" t="s">
        <v>1305</v>
      </c>
    </row>
    <row r="2693" ht="16.5" customHeight="1" spans="1:8">
      <c r="A2693" s="3">
        <v>2692</v>
      </c>
      <c r="B2693" s="3" t="s">
        <v>6558</v>
      </c>
      <c r="C2693" s="3" t="s">
        <v>1356</v>
      </c>
      <c r="D2693" s="4" t="s">
        <v>6559</v>
      </c>
      <c r="E2693" s="3" t="s">
        <v>1164</v>
      </c>
      <c r="F2693" s="3" t="s">
        <v>1736</v>
      </c>
      <c r="G2693" s="3"/>
      <c r="H2693" s="4" t="s">
        <v>6560</v>
      </c>
    </row>
    <row r="2694" ht="16.5" customHeight="1" spans="1:8">
      <c r="A2694" s="3">
        <v>2693</v>
      </c>
      <c r="B2694" s="3" t="s">
        <v>6561</v>
      </c>
      <c r="C2694" s="3" t="s">
        <v>1361</v>
      </c>
      <c r="D2694" s="4" t="s">
        <v>6562</v>
      </c>
      <c r="E2694" s="3" t="s">
        <v>1218</v>
      </c>
      <c r="F2694" s="3" t="s">
        <v>2041</v>
      </c>
      <c r="G2694" s="3" t="s">
        <v>321</v>
      </c>
      <c r="H2694" s="4" t="s">
        <v>1368</v>
      </c>
    </row>
    <row r="2695" ht="16.5" customHeight="1" spans="1:8">
      <c r="A2695" s="3">
        <v>2694</v>
      </c>
      <c r="B2695" s="3" t="s">
        <v>6563</v>
      </c>
      <c r="C2695" s="3" t="s">
        <v>1361</v>
      </c>
      <c r="D2695" s="4" t="s">
        <v>6564</v>
      </c>
      <c r="E2695" s="3" t="s">
        <v>1218</v>
      </c>
      <c r="F2695" s="3" t="s">
        <v>2041</v>
      </c>
      <c r="G2695" s="3" t="s">
        <v>321</v>
      </c>
      <c r="H2695" s="4" t="s">
        <v>1095</v>
      </c>
    </row>
    <row r="2696" ht="16.5" customHeight="1" spans="1:8">
      <c r="A2696" s="3">
        <v>2695</v>
      </c>
      <c r="B2696" s="3" t="s">
        <v>6565</v>
      </c>
      <c r="C2696" s="3" t="s">
        <v>2163</v>
      </c>
      <c r="D2696" s="4" t="s">
        <v>6566</v>
      </c>
      <c r="E2696" s="3" t="s">
        <v>1076</v>
      </c>
      <c r="F2696" s="3" t="s">
        <v>2041</v>
      </c>
      <c r="G2696" s="3" t="s">
        <v>321</v>
      </c>
      <c r="H2696" s="4" t="s">
        <v>4117</v>
      </c>
    </row>
    <row r="2697" ht="16.5" customHeight="1" spans="1:8">
      <c r="A2697" s="3">
        <v>2696</v>
      </c>
      <c r="B2697" s="3" t="s">
        <v>6567</v>
      </c>
      <c r="C2697" s="3" t="s">
        <v>2163</v>
      </c>
      <c r="D2697" s="4" t="s">
        <v>6568</v>
      </c>
      <c r="E2697" s="3" t="s">
        <v>1076</v>
      </c>
      <c r="F2697" s="3" t="s">
        <v>2041</v>
      </c>
      <c r="G2697" s="3" t="s">
        <v>321</v>
      </c>
      <c r="H2697" s="4" t="s">
        <v>4117</v>
      </c>
    </row>
    <row r="2698" ht="16.5" customHeight="1" spans="1:8">
      <c r="A2698" s="3">
        <v>2697</v>
      </c>
      <c r="B2698" s="3" t="s">
        <v>6569</v>
      </c>
      <c r="C2698" s="3" t="s">
        <v>1356</v>
      </c>
      <c r="D2698" s="4" t="s">
        <v>6570</v>
      </c>
      <c r="E2698" s="3" t="s">
        <v>1076</v>
      </c>
      <c r="F2698" s="3" t="s">
        <v>4107</v>
      </c>
      <c r="G2698" s="3"/>
      <c r="H2698" s="4" t="s">
        <v>1095</v>
      </c>
    </row>
    <row r="2699" ht="16.5" customHeight="1" spans="1:8">
      <c r="A2699" s="3">
        <v>2698</v>
      </c>
      <c r="B2699" s="3" t="s">
        <v>6571</v>
      </c>
      <c r="C2699" s="3" t="s">
        <v>1361</v>
      </c>
      <c r="D2699" s="4" t="s">
        <v>6572</v>
      </c>
      <c r="E2699" s="3" t="s">
        <v>1218</v>
      </c>
      <c r="F2699" s="3" t="s">
        <v>2041</v>
      </c>
      <c r="G2699" s="3" t="s">
        <v>321</v>
      </c>
      <c r="H2699" s="4" t="s">
        <v>1095</v>
      </c>
    </row>
    <row r="2700" ht="16.5" customHeight="1" spans="1:8">
      <c r="A2700" s="3">
        <v>2699</v>
      </c>
      <c r="B2700" s="3" t="s">
        <v>6573</v>
      </c>
      <c r="C2700" s="3" t="s">
        <v>1074</v>
      </c>
      <c r="D2700" s="4" t="s">
        <v>6574</v>
      </c>
      <c r="E2700" s="3" t="s">
        <v>1076</v>
      </c>
      <c r="F2700" s="3" t="s">
        <v>4668</v>
      </c>
      <c r="G2700" s="3"/>
      <c r="H2700" s="4" t="s">
        <v>2050</v>
      </c>
    </row>
    <row r="2701" ht="16.5" customHeight="1" spans="1:8">
      <c r="A2701" s="3">
        <v>2700</v>
      </c>
      <c r="B2701" s="3" t="s">
        <v>6575</v>
      </c>
      <c r="C2701" s="3" t="s">
        <v>2163</v>
      </c>
      <c r="D2701" s="4" t="s">
        <v>6576</v>
      </c>
      <c r="E2701" s="3" t="s">
        <v>1076</v>
      </c>
      <c r="F2701" s="3" t="s">
        <v>2105</v>
      </c>
      <c r="G2701" s="3" t="s">
        <v>321</v>
      </c>
      <c r="H2701" s="4" t="s">
        <v>1305</v>
      </c>
    </row>
    <row r="2702" ht="16.5" customHeight="1" spans="1:8">
      <c r="A2702" s="3">
        <v>2701</v>
      </c>
      <c r="B2702" s="3" t="s">
        <v>6577</v>
      </c>
      <c r="C2702" s="3" t="s">
        <v>1356</v>
      </c>
      <c r="D2702" s="4" t="s">
        <v>6578</v>
      </c>
      <c r="E2702" s="3" t="s">
        <v>1218</v>
      </c>
      <c r="F2702" s="3" t="s">
        <v>4107</v>
      </c>
      <c r="G2702" s="3"/>
      <c r="H2702" s="4" t="s">
        <v>1368</v>
      </c>
    </row>
    <row r="2703" ht="16.5" customHeight="1" spans="1:8">
      <c r="A2703" s="3">
        <v>2702</v>
      </c>
      <c r="B2703" s="3" t="s">
        <v>6579</v>
      </c>
      <c r="C2703" s="3" t="s">
        <v>2163</v>
      </c>
      <c r="D2703" s="4" t="s">
        <v>6580</v>
      </c>
      <c r="E2703" s="3" t="s">
        <v>1076</v>
      </c>
      <c r="F2703" s="3" t="s">
        <v>2041</v>
      </c>
      <c r="G2703" s="3" t="s">
        <v>321</v>
      </c>
      <c r="H2703" s="4" t="s">
        <v>1095</v>
      </c>
    </row>
    <row r="2704" ht="16.5" customHeight="1" spans="1:8">
      <c r="A2704" s="3">
        <v>2703</v>
      </c>
      <c r="B2704" s="3" t="s">
        <v>6581</v>
      </c>
      <c r="C2704" s="3" t="s">
        <v>1356</v>
      </c>
      <c r="D2704" s="4" t="s">
        <v>6582</v>
      </c>
      <c r="E2704" s="3" t="s">
        <v>1076</v>
      </c>
      <c r="F2704" s="3" t="s">
        <v>4107</v>
      </c>
      <c r="G2704" s="3"/>
      <c r="H2704" s="4" t="s">
        <v>1843</v>
      </c>
    </row>
    <row r="2705" ht="16.5" customHeight="1" spans="1:8">
      <c r="A2705" s="3">
        <v>2704</v>
      </c>
      <c r="B2705" s="3" t="s">
        <v>6583</v>
      </c>
      <c r="C2705" s="3" t="s">
        <v>1356</v>
      </c>
      <c r="D2705" s="4" t="s">
        <v>6584</v>
      </c>
      <c r="E2705" s="3" t="s">
        <v>1076</v>
      </c>
      <c r="F2705" s="3" t="s">
        <v>4668</v>
      </c>
      <c r="G2705" s="3"/>
      <c r="H2705" s="4" t="s">
        <v>4117</v>
      </c>
    </row>
    <row r="2706" ht="16.5" customHeight="1" spans="1:8">
      <c r="A2706" s="3">
        <v>2705</v>
      </c>
      <c r="B2706" s="3" t="s">
        <v>6585</v>
      </c>
      <c r="C2706" s="3" t="s">
        <v>2163</v>
      </c>
      <c r="D2706" s="4" t="s">
        <v>6586</v>
      </c>
      <c r="E2706" s="3" t="s">
        <v>1076</v>
      </c>
      <c r="F2706" s="3" t="s">
        <v>2041</v>
      </c>
      <c r="G2706" s="3" t="s">
        <v>321</v>
      </c>
      <c r="H2706" s="4" t="s">
        <v>1095</v>
      </c>
    </row>
    <row r="2707" ht="16.5" customHeight="1" spans="1:8">
      <c r="A2707" s="3">
        <v>2706</v>
      </c>
      <c r="B2707" s="3" t="s">
        <v>6587</v>
      </c>
      <c r="C2707" s="3" t="s">
        <v>2163</v>
      </c>
      <c r="D2707" s="4" t="s">
        <v>6588</v>
      </c>
      <c r="E2707" s="3" t="s">
        <v>1076</v>
      </c>
      <c r="F2707" s="3" t="s">
        <v>4107</v>
      </c>
      <c r="G2707" s="3"/>
      <c r="H2707" s="4" t="s">
        <v>1359</v>
      </c>
    </row>
    <row r="2708" ht="16.5" customHeight="1" spans="1:8">
      <c r="A2708" s="3">
        <v>2707</v>
      </c>
      <c r="B2708" s="3" t="s">
        <v>6589</v>
      </c>
      <c r="C2708" s="3" t="s">
        <v>2163</v>
      </c>
      <c r="D2708" s="4" t="s">
        <v>6590</v>
      </c>
      <c r="E2708" s="3" t="s">
        <v>1076</v>
      </c>
      <c r="F2708" s="3" t="s">
        <v>2105</v>
      </c>
      <c r="G2708" s="3" t="s">
        <v>321</v>
      </c>
      <c r="H2708" s="4" t="s">
        <v>5664</v>
      </c>
    </row>
    <row r="2709" ht="16.5" customHeight="1" spans="1:8">
      <c r="A2709" s="3">
        <v>2708</v>
      </c>
      <c r="B2709" s="3" t="s">
        <v>6591</v>
      </c>
      <c r="C2709" s="3" t="s">
        <v>1356</v>
      </c>
      <c r="D2709" s="4" t="s">
        <v>6592</v>
      </c>
      <c r="E2709" s="3" t="s">
        <v>1076</v>
      </c>
      <c r="F2709" s="3" t="s">
        <v>6593</v>
      </c>
      <c r="G2709" s="3"/>
      <c r="H2709" s="4" t="s">
        <v>1359</v>
      </c>
    </row>
    <row r="2710" ht="16.5" customHeight="1" spans="1:8">
      <c r="A2710" s="3">
        <v>2709</v>
      </c>
      <c r="B2710" s="3" t="s">
        <v>6594</v>
      </c>
      <c r="C2710" s="3" t="s">
        <v>2163</v>
      </c>
      <c r="D2710" s="4" t="s">
        <v>6595</v>
      </c>
      <c r="E2710" s="3" t="s">
        <v>1076</v>
      </c>
      <c r="F2710" s="3" t="s">
        <v>1358</v>
      </c>
      <c r="G2710" s="3" t="s">
        <v>98</v>
      </c>
      <c r="H2710" s="4" t="s">
        <v>1095</v>
      </c>
    </row>
    <row r="2711" ht="16.5" customHeight="1" spans="1:8">
      <c r="A2711" s="3">
        <v>2710</v>
      </c>
      <c r="B2711" s="3" t="s">
        <v>6596</v>
      </c>
      <c r="C2711" s="3" t="s">
        <v>1074</v>
      </c>
      <c r="D2711" s="4" t="s">
        <v>6597</v>
      </c>
      <c r="E2711" s="3" t="s">
        <v>1218</v>
      </c>
      <c r="F2711" s="3" t="s">
        <v>4107</v>
      </c>
      <c r="G2711" s="3"/>
      <c r="H2711" s="4" t="s">
        <v>1095</v>
      </c>
    </row>
    <row r="2712" ht="16.5" customHeight="1" spans="1:8">
      <c r="A2712" s="3">
        <v>2711</v>
      </c>
      <c r="B2712" s="3" t="s">
        <v>6598</v>
      </c>
      <c r="C2712" s="3" t="s">
        <v>1074</v>
      </c>
      <c r="D2712" s="4" t="s">
        <v>6599</v>
      </c>
      <c r="E2712" s="3" t="s">
        <v>1076</v>
      </c>
      <c r="F2712" s="3" t="s">
        <v>4107</v>
      </c>
      <c r="G2712" s="3"/>
      <c r="H2712" s="4"/>
    </row>
    <row r="2713" ht="16.5" customHeight="1" spans="1:8">
      <c r="A2713" s="3">
        <v>2712</v>
      </c>
      <c r="B2713" s="3" t="s">
        <v>6600</v>
      </c>
      <c r="C2713" s="3" t="s">
        <v>1356</v>
      </c>
      <c r="D2713" s="4" t="s">
        <v>6601</v>
      </c>
      <c r="E2713" s="3" t="s">
        <v>5779</v>
      </c>
      <c r="F2713" s="3" t="s">
        <v>4107</v>
      </c>
      <c r="G2713" s="3"/>
      <c r="H2713" s="4" t="s">
        <v>2181</v>
      </c>
    </row>
    <row r="2714" ht="16.5" customHeight="1" spans="1:8">
      <c r="A2714" s="3">
        <v>2713</v>
      </c>
      <c r="B2714" s="3" t="s">
        <v>6602</v>
      </c>
      <c r="C2714" s="3" t="s">
        <v>2163</v>
      </c>
      <c r="D2714" s="4" t="s">
        <v>6603</v>
      </c>
      <c r="E2714" s="3" t="s">
        <v>1076</v>
      </c>
      <c r="F2714" s="3" t="s">
        <v>1358</v>
      </c>
      <c r="G2714" s="3" t="s">
        <v>321</v>
      </c>
      <c r="H2714" s="4" t="s">
        <v>1359</v>
      </c>
    </row>
    <row r="2715" ht="16.5" customHeight="1" spans="1:8">
      <c r="A2715" s="3">
        <v>2714</v>
      </c>
      <c r="B2715" s="3" t="s">
        <v>6604</v>
      </c>
      <c r="C2715" s="3" t="s">
        <v>2163</v>
      </c>
      <c r="D2715" s="4" t="s">
        <v>6605</v>
      </c>
      <c r="E2715" s="3" t="s">
        <v>1076</v>
      </c>
      <c r="F2715" s="3" t="s">
        <v>1358</v>
      </c>
      <c r="G2715" s="3"/>
      <c r="H2715" s="4" t="s">
        <v>1359</v>
      </c>
    </row>
    <row r="2716" ht="16.5" customHeight="1" spans="1:8">
      <c r="A2716" s="3">
        <v>2715</v>
      </c>
      <c r="B2716" s="3" t="s">
        <v>6606</v>
      </c>
      <c r="C2716" s="3" t="s">
        <v>1356</v>
      </c>
      <c r="D2716" s="4" t="s">
        <v>6607</v>
      </c>
      <c r="E2716" s="3" t="s">
        <v>1076</v>
      </c>
      <c r="F2716" s="3" t="s">
        <v>1358</v>
      </c>
      <c r="G2716" s="3"/>
      <c r="H2716" s="4" t="s">
        <v>1359</v>
      </c>
    </row>
    <row r="2717" ht="16.5" customHeight="1" spans="1:8">
      <c r="A2717" s="3">
        <v>2716</v>
      </c>
      <c r="B2717" s="3" t="s">
        <v>6608</v>
      </c>
      <c r="C2717" s="3" t="s">
        <v>1356</v>
      </c>
      <c r="D2717" s="4" t="s">
        <v>6609</v>
      </c>
      <c r="E2717" s="3" t="s">
        <v>1076</v>
      </c>
      <c r="F2717" s="3" t="s">
        <v>1358</v>
      </c>
      <c r="G2717" s="3" t="s">
        <v>321</v>
      </c>
      <c r="H2717" s="4" t="s">
        <v>1359</v>
      </c>
    </row>
    <row r="2718" ht="16.5" customHeight="1" spans="1:8">
      <c r="A2718" s="3">
        <v>2717</v>
      </c>
      <c r="B2718" s="3" t="s">
        <v>6610</v>
      </c>
      <c r="C2718" s="3" t="s">
        <v>1356</v>
      </c>
      <c r="D2718" s="4" t="s">
        <v>6611</v>
      </c>
      <c r="E2718" s="3" t="s">
        <v>1076</v>
      </c>
      <c r="F2718" s="3" t="s">
        <v>4107</v>
      </c>
      <c r="G2718" s="3"/>
      <c r="H2718" s="4" t="s">
        <v>1095</v>
      </c>
    </row>
    <row r="2719" ht="16.5" customHeight="1" spans="1:8">
      <c r="A2719" s="3">
        <v>2718</v>
      </c>
      <c r="B2719" s="3" t="s">
        <v>6612</v>
      </c>
      <c r="C2719" s="3" t="s">
        <v>1356</v>
      </c>
      <c r="D2719" s="4" t="s">
        <v>6613</v>
      </c>
      <c r="E2719" s="3" t="s">
        <v>1076</v>
      </c>
      <c r="F2719" s="3" t="s">
        <v>4107</v>
      </c>
      <c r="G2719" s="3"/>
      <c r="H2719" s="4" t="s">
        <v>1843</v>
      </c>
    </row>
    <row r="2720" ht="16.5" customHeight="1" spans="1:8">
      <c r="A2720" s="3">
        <v>2719</v>
      </c>
      <c r="B2720" s="3" t="s">
        <v>6614</v>
      </c>
      <c r="C2720" s="3" t="s">
        <v>1356</v>
      </c>
      <c r="D2720" s="4" t="s">
        <v>6615</v>
      </c>
      <c r="E2720" s="3" t="s">
        <v>1076</v>
      </c>
      <c r="F2720" s="3" t="s">
        <v>4107</v>
      </c>
      <c r="G2720" s="3"/>
      <c r="H2720" s="4" t="s">
        <v>1843</v>
      </c>
    </row>
    <row r="2721" ht="16.5" customHeight="1" spans="1:8">
      <c r="A2721" s="3">
        <v>2720</v>
      </c>
      <c r="B2721" s="3" t="s">
        <v>6616</v>
      </c>
      <c r="C2721" s="3" t="s">
        <v>1356</v>
      </c>
      <c r="D2721" s="4" t="s">
        <v>6617</v>
      </c>
      <c r="E2721" s="3" t="s">
        <v>1076</v>
      </c>
      <c r="F2721" s="3" t="s">
        <v>4107</v>
      </c>
      <c r="G2721" s="3"/>
      <c r="H2721" s="4" t="s">
        <v>1095</v>
      </c>
    </row>
    <row r="2722" ht="16.5" customHeight="1" spans="1:8">
      <c r="A2722" s="3">
        <v>2721</v>
      </c>
      <c r="B2722" s="3" t="s">
        <v>6618</v>
      </c>
      <c r="C2722" s="3" t="s">
        <v>1356</v>
      </c>
      <c r="D2722" s="4" t="s">
        <v>6619</v>
      </c>
      <c r="E2722" s="3" t="s">
        <v>1076</v>
      </c>
      <c r="F2722" s="3" t="s">
        <v>4107</v>
      </c>
      <c r="G2722" s="3"/>
      <c r="H2722" s="4" t="s">
        <v>1095</v>
      </c>
    </row>
    <row r="2723" ht="16.5" customHeight="1" spans="1:8">
      <c r="A2723" s="3">
        <v>2722</v>
      </c>
      <c r="B2723" s="3" t="s">
        <v>6620</v>
      </c>
      <c r="C2723" s="3" t="s">
        <v>1356</v>
      </c>
      <c r="D2723" s="4" t="s">
        <v>6621</v>
      </c>
      <c r="E2723" s="3" t="s">
        <v>1076</v>
      </c>
      <c r="F2723" s="3" t="s">
        <v>4107</v>
      </c>
      <c r="G2723" s="3"/>
      <c r="H2723" s="4" t="s">
        <v>1095</v>
      </c>
    </row>
    <row r="2724" ht="16.5" customHeight="1" spans="1:8">
      <c r="A2724" s="3">
        <v>2723</v>
      </c>
      <c r="B2724" s="3" t="s">
        <v>6622</v>
      </c>
      <c r="C2724" s="3" t="s">
        <v>1356</v>
      </c>
      <c r="D2724" s="4" t="s">
        <v>6623</v>
      </c>
      <c r="E2724" s="3" t="s">
        <v>1076</v>
      </c>
      <c r="F2724" s="3" t="s">
        <v>4107</v>
      </c>
      <c r="G2724" s="3"/>
      <c r="H2724" s="4" t="s">
        <v>1095</v>
      </c>
    </row>
    <row r="2725" ht="16.5" customHeight="1" spans="1:8">
      <c r="A2725" s="3">
        <v>2724</v>
      </c>
      <c r="B2725" s="3" t="s">
        <v>6624</v>
      </c>
      <c r="C2725" s="3" t="s">
        <v>1356</v>
      </c>
      <c r="D2725" s="4" t="s">
        <v>6625</v>
      </c>
      <c r="E2725" s="3" t="s">
        <v>1076</v>
      </c>
      <c r="F2725" s="3" t="s">
        <v>4107</v>
      </c>
      <c r="G2725" s="3"/>
      <c r="H2725" s="4" t="s">
        <v>4322</v>
      </c>
    </row>
    <row r="2726" ht="16.5" customHeight="1" spans="1:8">
      <c r="A2726" s="3">
        <v>2725</v>
      </c>
      <c r="B2726" s="3" t="s">
        <v>6626</v>
      </c>
      <c r="C2726" s="3" t="s">
        <v>1356</v>
      </c>
      <c r="D2726" s="4" t="s">
        <v>6627</v>
      </c>
      <c r="E2726" s="3" t="s">
        <v>1076</v>
      </c>
      <c r="F2726" s="3" t="s">
        <v>4107</v>
      </c>
      <c r="G2726" s="3"/>
      <c r="H2726" s="4" t="s">
        <v>1095</v>
      </c>
    </row>
    <row r="2727" ht="16.5" customHeight="1" spans="1:8">
      <c r="A2727" s="3">
        <v>2726</v>
      </c>
      <c r="B2727" s="3" t="s">
        <v>6628</v>
      </c>
      <c r="C2727" s="3" t="s">
        <v>1356</v>
      </c>
      <c r="D2727" s="4" t="s">
        <v>6629</v>
      </c>
      <c r="E2727" s="3" t="s">
        <v>1076</v>
      </c>
      <c r="F2727" s="3" t="s">
        <v>4107</v>
      </c>
      <c r="G2727" s="3"/>
      <c r="H2727" s="4" t="s">
        <v>1095</v>
      </c>
    </row>
    <row r="2728" ht="16.5" customHeight="1" spans="1:8">
      <c r="A2728" s="3">
        <v>2727</v>
      </c>
      <c r="B2728" s="3" t="s">
        <v>6630</v>
      </c>
      <c r="C2728" s="3" t="s">
        <v>1356</v>
      </c>
      <c r="D2728" s="4" t="s">
        <v>6631</v>
      </c>
      <c r="E2728" s="3" t="s">
        <v>1076</v>
      </c>
      <c r="F2728" s="3" t="s">
        <v>4107</v>
      </c>
      <c r="G2728" s="3"/>
      <c r="H2728" s="4" t="s">
        <v>4322</v>
      </c>
    </row>
    <row r="2729" ht="16.5" customHeight="1" spans="1:8">
      <c r="A2729" s="3">
        <v>2728</v>
      </c>
      <c r="B2729" s="3" t="s">
        <v>6632</v>
      </c>
      <c r="C2729" s="3" t="s">
        <v>1356</v>
      </c>
      <c r="D2729" s="4" t="s">
        <v>6633</v>
      </c>
      <c r="E2729" s="3" t="s">
        <v>1076</v>
      </c>
      <c r="F2729" s="3" t="s">
        <v>4107</v>
      </c>
      <c r="G2729" s="3"/>
      <c r="H2729" s="4" t="s">
        <v>6634</v>
      </c>
    </row>
    <row r="2730" ht="16.5" customHeight="1" spans="1:8">
      <c r="A2730" s="3">
        <v>2729</v>
      </c>
      <c r="B2730" s="3" t="s">
        <v>6635</v>
      </c>
      <c r="C2730" s="3" t="s">
        <v>1074</v>
      </c>
      <c r="D2730" s="4" t="s">
        <v>6636</v>
      </c>
      <c r="E2730" s="3" t="s">
        <v>1076</v>
      </c>
      <c r="F2730" s="3" t="s">
        <v>4107</v>
      </c>
      <c r="G2730" s="3"/>
      <c r="H2730" s="4" t="s">
        <v>1843</v>
      </c>
    </row>
    <row r="2731" ht="16.5" customHeight="1" spans="1:8">
      <c r="A2731" s="3">
        <v>2730</v>
      </c>
      <c r="B2731" s="3" t="s">
        <v>6637</v>
      </c>
      <c r="C2731" s="3" t="s">
        <v>1356</v>
      </c>
      <c r="D2731" s="4" t="s">
        <v>6638</v>
      </c>
      <c r="E2731" s="3" t="s">
        <v>1076</v>
      </c>
      <c r="F2731" s="3" t="s">
        <v>4107</v>
      </c>
      <c r="G2731" s="3"/>
      <c r="H2731" s="4" t="s">
        <v>1305</v>
      </c>
    </row>
    <row r="2732" ht="16.5" customHeight="1" spans="1:8">
      <c r="A2732" s="3">
        <v>2731</v>
      </c>
      <c r="B2732" s="3" t="s">
        <v>6639</v>
      </c>
      <c r="C2732" s="3" t="s">
        <v>1356</v>
      </c>
      <c r="D2732" s="4" t="s">
        <v>6640</v>
      </c>
      <c r="E2732" s="3" t="s">
        <v>1076</v>
      </c>
      <c r="F2732" s="3" t="s">
        <v>4107</v>
      </c>
      <c r="G2732" s="3"/>
      <c r="H2732" s="4" t="s">
        <v>1305</v>
      </c>
    </row>
    <row r="2733" ht="16.5" customHeight="1" spans="1:8">
      <c r="A2733" s="3">
        <v>2732</v>
      </c>
      <c r="B2733" s="3" t="s">
        <v>6641</v>
      </c>
      <c r="C2733" s="3" t="s">
        <v>1356</v>
      </c>
      <c r="D2733" s="4" t="s">
        <v>6642</v>
      </c>
      <c r="E2733" s="3" t="s">
        <v>1076</v>
      </c>
      <c r="F2733" s="3" t="s">
        <v>4107</v>
      </c>
      <c r="G2733" s="3" t="s">
        <v>321</v>
      </c>
      <c r="H2733" s="4" t="s">
        <v>1843</v>
      </c>
    </row>
    <row r="2734" ht="16.5" customHeight="1" spans="1:8">
      <c r="A2734" s="3">
        <v>2733</v>
      </c>
      <c r="B2734" s="3" t="s">
        <v>6643</v>
      </c>
      <c r="C2734" s="3" t="s">
        <v>1356</v>
      </c>
      <c r="D2734" s="4" t="s">
        <v>6644</v>
      </c>
      <c r="E2734" s="3" t="s">
        <v>1076</v>
      </c>
      <c r="F2734" s="3" t="s">
        <v>4107</v>
      </c>
      <c r="G2734" s="3" t="s">
        <v>321</v>
      </c>
      <c r="H2734" s="4" t="s">
        <v>1095</v>
      </c>
    </row>
    <row r="2735" ht="16.5" customHeight="1" spans="1:8">
      <c r="A2735" s="3">
        <v>2734</v>
      </c>
      <c r="B2735" s="3" t="s">
        <v>6645</v>
      </c>
      <c r="C2735" s="3" t="s">
        <v>6377</v>
      </c>
      <c r="D2735" s="4" t="s">
        <v>6646</v>
      </c>
      <c r="E2735" s="3" t="s">
        <v>1218</v>
      </c>
      <c r="F2735" s="3" t="s">
        <v>4668</v>
      </c>
      <c r="G2735" s="3"/>
      <c r="H2735" s="4" t="s">
        <v>1305</v>
      </c>
    </row>
    <row r="2736" ht="16.5" customHeight="1" spans="1:8">
      <c r="A2736" s="3">
        <v>2735</v>
      </c>
      <c r="B2736" s="3" t="s">
        <v>6647</v>
      </c>
      <c r="C2736" s="3" t="s">
        <v>6377</v>
      </c>
      <c r="D2736" s="4" t="s">
        <v>6648</v>
      </c>
      <c r="E2736" s="3" t="s">
        <v>1218</v>
      </c>
      <c r="F2736" s="3" t="s">
        <v>4668</v>
      </c>
      <c r="G2736" s="3"/>
      <c r="H2736" s="4" t="s">
        <v>1305</v>
      </c>
    </row>
    <row r="2737" ht="16.5" customHeight="1" spans="1:8">
      <c r="A2737" s="3">
        <v>2736</v>
      </c>
      <c r="B2737" s="3" t="s">
        <v>6649</v>
      </c>
      <c r="C2737" s="3" t="s">
        <v>1356</v>
      </c>
      <c r="D2737" s="4" t="s">
        <v>6650</v>
      </c>
      <c r="E2737" s="3" t="s">
        <v>1076</v>
      </c>
      <c r="F2737" s="3" t="s">
        <v>1358</v>
      </c>
      <c r="G2737" s="3"/>
      <c r="H2737" s="4" t="s">
        <v>1368</v>
      </c>
    </row>
    <row r="2738" ht="16.5" customHeight="1" spans="1:8">
      <c r="A2738" s="3">
        <v>2737</v>
      </c>
      <c r="B2738" s="3" t="s">
        <v>6651</v>
      </c>
      <c r="C2738" s="3" t="s">
        <v>1356</v>
      </c>
      <c r="D2738" s="4" t="s">
        <v>6652</v>
      </c>
      <c r="E2738" s="3" t="s">
        <v>1076</v>
      </c>
      <c r="F2738" s="3" t="s">
        <v>1358</v>
      </c>
      <c r="G2738" s="3" t="s">
        <v>321</v>
      </c>
      <c r="H2738" s="4" t="s">
        <v>1359</v>
      </c>
    </row>
    <row r="2739" ht="16.5" customHeight="1" spans="1:8">
      <c r="A2739" s="3">
        <v>2738</v>
      </c>
      <c r="B2739" s="3" t="s">
        <v>6653</v>
      </c>
      <c r="C2739" s="3" t="s">
        <v>1356</v>
      </c>
      <c r="D2739" s="4" t="s">
        <v>6654</v>
      </c>
      <c r="E2739" s="3" t="s">
        <v>1076</v>
      </c>
      <c r="F2739" s="3" t="s">
        <v>1358</v>
      </c>
      <c r="G2739" s="3" t="s">
        <v>321</v>
      </c>
      <c r="H2739" s="4" t="s">
        <v>1359</v>
      </c>
    </row>
    <row r="2740" ht="16.5" customHeight="1" spans="1:8">
      <c r="A2740" s="3">
        <v>2739</v>
      </c>
      <c r="B2740" s="3" t="s">
        <v>6655</v>
      </c>
      <c r="C2740" s="3" t="s">
        <v>1356</v>
      </c>
      <c r="D2740" s="4" t="s">
        <v>6656</v>
      </c>
      <c r="E2740" s="3" t="s">
        <v>1076</v>
      </c>
      <c r="F2740" s="3" t="s">
        <v>1719</v>
      </c>
      <c r="G2740" s="3"/>
      <c r="H2740" s="4" t="s">
        <v>4322</v>
      </c>
    </row>
    <row r="2741" ht="16.5" customHeight="1" spans="1:8">
      <c r="A2741" s="3">
        <v>2740</v>
      </c>
      <c r="B2741" s="3" t="s">
        <v>6657</v>
      </c>
      <c r="C2741" s="3" t="s">
        <v>1356</v>
      </c>
      <c r="D2741" s="4" t="s">
        <v>6658</v>
      </c>
      <c r="E2741" s="3" t="s">
        <v>1076</v>
      </c>
      <c r="F2741" s="3" t="s">
        <v>1736</v>
      </c>
      <c r="G2741" s="3"/>
      <c r="H2741" s="4" t="s">
        <v>1359</v>
      </c>
    </row>
    <row r="2742" ht="16.5" customHeight="1" spans="1:8">
      <c r="A2742" s="3">
        <v>2741</v>
      </c>
      <c r="B2742" s="3" t="s">
        <v>6659</v>
      </c>
      <c r="C2742" s="3" t="s">
        <v>2163</v>
      </c>
      <c r="D2742" s="4" t="s">
        <v>6660</v>
      </c>
      <c r="E2742" s="3" t="s">
        <v>1076</v>
      </c>
      <c r="F2742" s="3" t="s">
        <v>1358</v>
      </c>
      <c r="G2742" s="3" t="s">
        <v>321</v>
      </c>
      <c r="H2742" s="4" t="s">
        <v>1095</v>
      </c>
    </row>
    <row r="2743" ht="16.5" customHeight="1" spans="1:8">
      <c r="A2743" s="3">
        <v>2742</v>
      </c>
      <c r="B2743" s="3" t="s">
        <v>6661</v>
      </c>
      <c r="C2743" s="3" t="s">
        <v>1105</v>
      </c>
      <c r="D2743" s="4" t="s">
        <v>6662</v>
      </c>
      <c r="E2743" s="3" t="s">
        <v>1076</v>
      </c>
      <c r="F2743" s="3" t="s">
        <v>1736</v>
      </c>
      <c r="G2743" s="3"/>
      <c r="H2743" s="4" t="s">
        <v>6663</v>
      </c>
    </row>
    <row r="2744" ht="16.5" customHeight="1" spans="1:8">
      <c r="A2744" s="3">
        <v>2743</v>
      </c>
      <c r="B2744" s="3" t="s">
        <v>6664</v>
      </c>
      <c r="C2744" s="3" t="s">
        <v>1105</v>
      </c>
      <c r="D2744" s="4" t="s">
        <v>6665</v>
      </c>
      <c r="E2744" s="3" t="s">
        <v>1076</v>
      </c>
      <c r="F2744" s="3" t="s">
        <v>1736</v>
      </c>
      <c r="G2744" s="3"/>
      <c r="H2744" s="4" t="s">
        <v>6663</v>
      </c>
    </row>
    <row r="2745" ht="16.5" customHeight="1" spans="1:8">
      <c r="A2745" s="3">
        <v>2744</v>
      </c>
      <c r="B2745" s="3" t="s">
        <v>6666</v>
      </c>
      <c r="C2745" s="3" t="s">
        <v>1356</v>
      </c>
      <c r="D2745" s="4" t="s">
        <v>6667</v>
      </c>
      <c r="E2745" s="3" t="s">
        <v>1076</v>
      </c>
      <c r="F2745" s="3" t="s">
        <v>4668</v>
      </c>
      <c r="G2745" s="3"/>
      <c r="H2745" s="4" t="s">
        <v>1305</v>
      </c>
    </row>
    <row r="2746" ht="16.5" customHeight="1" spans="1:8">
      <c r="A2746" s="3">
        <v>2745</v>
      </c>
      <c r="B2746" s="3" t="s">
        <v>6668</v>
      </c>
      <c r="C2746" s="3" t="s">
        <v>1356</v>
      </c>
      <c r="D2746" s="4" t="s">
        <v>6669</v>
      </c>
      <c r="E2746" s="3" t="s">
        <v>1076</v>
      </c>
      <c r="F2746" s="3" t="s">
        <v>4668</v>
      </c>
      <c r="G2746" s="3"/>
      <c r="H2746" s="4" t="s">
        <v>1305</v>
      </c>
    </row>
    <row r="2747" ht="16.5" customHeight="1" spans="1:8">
      <c r="A2747" s="3">
        <v>2746</v>
      </c>
      <c r="B2747" s="3" t="s">
        <v>6670</v>
      </c>
      <c r="C2747" s="3" t="s">
        <v>1356</v>
      </c>
      <c r="D2747" s="4" t="s">
        <v>6671</v>
      </c>
      <c r="E2747" s="3" t="s">
        <v>1076</v>
      </c>
      <c r="F2747" s="3" t="s">
        <v>4668</v>
      </c>
      <c r="G2747" s="3"/>
      <c r="H2747" s="4" t="s">
        <v>1305</v>
      </c>
    </row>
    <row r="2748" ht="16.5" customHeight="1" spans="1:8">
      <c r="A2748" s="3">
        <v>2747</v>
      </c>
      <c r="B2748" s="3" t="s">
        <v>6672</v>
      </c>
      <c r="C2748" s="3" t="s">
        <v>1356</v>
      </c>
      <c r="D2748" s="4" t="s">
        <v>6673</v>
      </c>
      <c r="E2748" s="3" t="s">
        <v>1076</v>
      </c>
      <c r="F2748" s="3" t="s">
        <v>4668</v>
      </c>
      <c r="G2748" s="3"/>
      <c r="H2748" s="4" t="s">
        <v>1305</v>
      </c>
    </row>
    <row r="2749" ht="16.5" customHeight="1" spans="1:8">
      <c r="A2749" s="3">
        <v>2748</v>
      </c>
      <c r="B2749" s="3" t="s">
        <v>6674</v>
      </c>
      <c r="C2749" s="3" t="s">
        <v>1356</v>
      </c>
      <c r="D2749" s="4" t="s">
        <v>6675</v>
      </c>
      <c r="E2749" s="3" t="s">
        <v>1076</v>
      </c>
      <c r="F2749" s="3" t="s">
        <v>4668</v>
      </c>
      <c r="G2749" s="3"/>
      <c r="H2749" s="4" t="s">
        <v>1305</v>
      </c>
    </row>
    <row r="2750" ht="16.5" customHeight="1" spans="1:8">
      <c r="A2750" s="3">
        <v>2749</v>
      </c>
      <c r="B2750" s="3" t="s">
        <v>6676</v>
      </c>
      <c r="C2750" s="3" t="s">
        <v>1356</v>
      </c>
      <c r="D2750" s="4" t="s">
        <v>6677</v>
      </c>
      <c r="E2750" s="3" t="s">
        <v>1076</v>
      </c>
      <c r="F2750" s="3" t="s">
        <v>4668</v>
      </c>
      <c r="G2750" s="3"/>
      <c r="H2750" s="4" t="s">
        <v>1305</v>
      </c>
    </row>
    <row r="2751" ht="16.5" customHeight="1" spans="1:8">
      <c r="A2751" s="3">
        <v>2750</v>
      </c>
      <c r="B2751" s="3" t="s">
        <v>6678</v>
      </c>
      <c r="C2751" s="3" t="s">
        <v>1356</v>
      </c>
      <c r="D2751" s="4" t="s">
        <v>6679</v>
      </c>
      <c r="E2751" s="3" t="s">
        <v>1076</v>
      </c>
      <c r="F2751" s="3" t="s">
        <v>4668</v>
      </c>
      <c r="G2751" s="3"/>
      <c r="H2751" s="4" t="s">
        <v>1305</v>
      </c>
    </row>
    <row r="2752" ht="16.5" customHeight="1" spans="1:8">
      <c r="A2752" s="3">
        <v>2751</v>
      </c>
      <c r="B2752" s="3" t="s">
        <v>6680</v>
      </c>
      <c r="C2752" s="3" t="s">
        <v>1356</v>
      </c>
      <c r="D2752" s="4" t="s">
        <v>6681</v>
      </c>
      <c r="E2752" s="3" t="s">
        <v>1076</v>
      </c>
      <c r="F2752" s="3" t="s">
        <v>4668</v>
      </c>
      <c r="G2752" s="3"/>
      <c r="H2752" s="4" t="s">
        <v>1305</v>
      </c>
    </row>
    <row r="2753" ht="16.5" customHeight="1" spans="1:8">
      <c r="A2753" s="3">
        <v>2752</v>
      </c>
      <c r="B2753" s="3" t="s">
        <v>6682</v>
      </c>
      <c r="C2753" s="3" t="s">
        <v>1356</v>
      </c>
      <c r="D2753" s="4" t="s">
        <v>6683</v>
      </c>
      <c r="E2753" s="3" t="s">
        <v>1076</v>
      </c>
      <c r="F2753" s="3" t="s">
        <v>4668</v>
      </c>
      <c r="G2753" s="3"/>
      <c r="H2753" s="4" t="s">
        <v>1305</v>
      </c>
    </row>
    <row r="2754" ht="16.5" customHeight="1" spans="1:8">
      <c r="A2754" s="3">
        <v>2753</v>
      </c>
      <c r="B2754" s="3" t="s">
        <v>6684</v>
      </c>
      <c r="C2754" s="3" t="s">
        <v>1356</v>
      </c>
      <c r="D2754" s="4" t="s">
        <v>6685</v>
      </c>
      <c r="E2754" s="3" t="s">
        <v>1076</v>
      </c>
      <c r="F2754" s="3" t="s">
        <v>4668</v>
      </c>
      <c r="G2754" s="3"/>
      <c r="H2754" s="4" t="s">
        <v>1305</v>
      </c>
    </row>
    <row r="2755" ht="16.5" customHeight="1" spans="1:8">
      <c r="A2755" s="3">
        <v>2754</v>
      </c>
      <c r="B2755" s="3" t="s">
        <v>6686</v>
      </c>
      <c r="C2755" s="3" t="s">
        <v>1356</v>
      </c>
      <c r="D2755" s="4" t="s">
        <v>6687</v>
      </c>
      <c r="E2755" s="3" t="s">
        <v>1076</v>
      </c>
      <c r="F2755" s="3" t="s">
        <v>4668</v>
      </c>
      <c r="G2755" s="3"/>
      <c r="H2755" s="4" t="s">
        <v>1305</v>
      </c>
    </row>
    <row r="2756" ht="16.5" customHeight="1" spans="1:8">
      <c r="A2756" s="3">
        <v>2755</v>
      </c>
      <c r="B2756" s="3" t="s">
        <v>6688</v>
      </c>
      <c r="C2756" s="3" t="s">
        <v>1356</v>
      </c>
      <c r="D2756" s="4" t="s">
        <v>6689</v>
      </c>
      <c r="E2756" s="3" t="s">
        <v>1076</v>
      </c>
      <c r="F2756" s="3" t="s">
        <v>4668</v>
      </c>
      <c r="G2756" s="3"/>
      <c r="H2756" s="4" t="s">
        <v>1305</v>
      </c>
    </row>
    <row r="2757" ht="16.5" customHeight="1" spans="1:8">
      <c r="A2757" s="3">
        <v>2756</v>
      </c>
      <c r="B2757" s="3" t="s">
        <v>435</v>
      </c>
      <c r="C2757" s="3" t="s">
        <v>1074</v>
      </c>
      <c r="D2757" s="4" t="s">
        <v>6690</v>
      </c>
      <c r="E2757" s="3" t="s">
        <v>1218</v>
      </c>
      <c r="F2757" s="3" t="s">
        <v>4668</v>
      </c>
      <c r="G2757" s="3"/>
      <c r="H2757" s="4" t="s">
        <v>1305</v>
      </c>
    </row>
    <row r="2758" ht="16.5" customHeight="1" spans="1:8">
      <c r="A2758" s="3">
        <v>2757</v>
      </c>
      <c r="B2758" s="3" t="s">
        <v>6691</v>
      </c>
      <c r="C2758" s="3" t="s">
        <v>1356</v>
      </c>
      <c r="D2758" s="4" t="s">
        <v>6692</v>
      </c>
      <c r="E2758" s="3" t="s">
        <v>1076</v>
      </c>
      <c r="F2758" s="3" t="s">
        <v>4668</v>
      </c>
      <c r="G2758" s="3"/>
      <c r="H2758" s="4" t="s">
        <v>1305</v>
      </c>
    </row>
    <row r="2759" ht="16.5" customHeight="1" spans="1:8">
      <c r="A2759" s="3">
        <v>2758</v>
      </c>
      <c r="B2759" s="3" t="s">
        <v>6693</v>
      </c>
      <c r="C2759" s="3" t="s">
        <v>2163</v>
      </c>
      <c r="D2759" s="4" t="s">
        <v>6694</v>
      </c>
      <c r="E2759" s="3" t="s">
        <v>1076</v>
      </c>
      <c r="F2759" s="3" t="s">
        <v>2041</v>
      </c>
      <c r="G2759" s="3" t="s">
        <v>321</v>
      </c>
      <c r="H2759" s="4" t="s">
        <v>1305</v>
      </c>
    </row>
    <row r="2760" ht="16.5" customHeight="1" spans="1:8">
      <c r="A2760" s="3">
        <v>2759</v>
      </c>
      <c r="B2760" s="3" t="s">
        <v>6695</v>
      </c>
      <c r="C2760" s="3" t="s">
        <v>2163</v>
      </c>
      <c r="D2760" s="4" t="s">
        <v>6696</v>
      </c>
      <c r="E2760" s="3" t="s">
        <v>1076</v>
      </c>
      <c r="F2760" s="3" t="s">
        <v>1358</v>
      </c>
      <c r="G2760" s="3" t="s">
        <v>321</v>
      </c>
      <c r="H2760" s="4" t="s">
        <v>1359</v>
      </c>
    </row>
    <row r="2761" ht="16.5" customHeight="1" spans="1:8">
      <c r="A2761" s="3">
        <v>2760</v>
      </c>
      <c r="B2761" s="3" t="s">
        <v>6697</v>
      </c>
      <c r="C2761" s="3" t="s">
        <v>1361</v>
      </c>
      <c r="D2761" s="4" t="s">
        <v>6698</v>
      </c>
      <c r="E2761" s="3" t="s">
        <v>1218</v>
      </c>
      <c r="F2761" s="3" t="s">
        <v>2041</v>
      </c>
      <c r="G2761" s="3" t="s">
        <v>321</v>
      </c>
      <c r="H2761" s="4" t="s">
        <v>1305</v>
      </c>
    </row>
    <row r="2762" ht="16.5" customHeight="1" spans="1:8">
      <c r="A2762" s="3">
        <v>2761</v>
      </c>
      <c r="B2762" s="3" t="s">
        <v>6699</v>
      </c>
      <c r="C2762" s="3" t="s">
        <v>1356</v>
      </c>
      <c r="D2762" s="4" t="s">
        <v>6700</v>
      </c>
      <c r="E2762" s="3" t="s">
        <v>1076</v>
      </c>
      <c r="F2762" s="3" t="s">
        <v>1719</v>
      </c>
      <c r="G2762" s="3"/>
      <c r="H2762" s="4" t="s">
        <v>4322</v>
      </c>
    </row>
    <row r="2763" ht="16.5" customHeight="1" spans="1:8">
      <c r="A2763" s="3">
        <v>2762</v>
      </c>
      <c r="B2763" s="3" t="s">
        <v>6701</v>
      </c>
      <c r="C2763" s="3" t="s">
        <v>2163</v>
      </c>
      <c r="D2763" s="4" t="s">
        <v>6702</v>
      </c>
      <c r="E2763" s="3" t="s">
        <v>1076</v>
      </c>
      <c r="F2763" s="3" t="s">
        <v>2041</v>
      </c>
      <c r="G2763" s="3" t="s">
        <v>321</v>
      </c>
      <c r="H2763" s="4" t="s">
        <v>1368</v>
      </c>
    </row>
    <row r="2764" ht="16.5" customHeight="1" spans="1:8">
      <c r="A2764" s="3">
        <v>2763</v>
      </c>
      <c r="B2764" s="3" t="s">
        <v>6703</v>
      </c>
      <c r="C2764" s="3" t="s">
        <v>1105</v>
      </c>
      <c r="D2764" s="4" t="s">
        <v>6704</v>
      </c>
      <c r="E2764" s="3" t="s">
        <v>1837</v>
      </c>
      <c r="F2764" s="3" t="s">
        <v>1719</v>
      </c>
      <c r="G2764" s="3"/>
      <c r="H2764" s="4" t="s">
        <v>6705</v>
      </c>
    </row>
    <row r="2765" ht="16.5" customHeight="1" spans="1:8">
      <c r="A2765" s="3">
        <v>2764</v>
      </c>
      <c r="B2765" s="3" t="s">
        <v>6706</v>
      </c>
      <c r="C2765" s="3" t="s">
        <v>1356</v>
      </c>
      <c r="D2765" s="4" t="s">
        <v>6707</v>
      </c>
      <c r="E2765" s="3" t="s">
        <v>1076</v>
      </c>
      <c r="F2765" s="3" t="s">
        <v>1719</v>
      </c>
      <c r="G2765" s="3"/>
      <c r="H2765" s="4" t="s">
        <v>1095</v>
      </c>
    </row>
    <row r="2766" ht="16.5" customHeight="1" spans="1:8">
      <c r="A2766" s="3">
        <v>2765</v>
      </c>
      <c r="B2766" s="3" t="s">
        <v>6708</v>
      </c>
      <c r="C2766" s="3" t="s">
        <v>1356</v>
      </c>
      <c r="D2766" s="4" t="s">
        <v>6709</v>
      </c>
      <c r="E2766" s="3" t="s">
        <v>1076</v>
      </c>
      <c r="F2766" s="3" t="s">
        <v>4668</v>
      </c>
      <c r="G2766" s="3"/>
      <c r="H2766" s="4" t="s">
        <v>4322</v>
      </c>
    </row>
    <row r="2767" ht="16.5" customHeight="1" spans="1:8">
      <c r="A2767" s="3">
        <v>2766</v>
      </c>
      <c r="B2767" s="3" t="s">
        <v>6710</v>
      </c>
      <c r="C2767" s="3" t="s">
        <v>1356</v>
      </c>
      <c r="D2767" s="4" t="s">
        <v>6711</v>
      </c>
      <c r="E2767" s="3" t="s">
        <v>1076</v>
      </c>
      <c r="F2767" s="3" t="s">
        <v>4668</v>
      </c>
      <c r="G2767" s="3"/>
      <c r="H2767" s="4" t="s">
        <v>4322</v>
      </c>
    </row>
    <row r="2768" ht="16.5" customHeight="1" spans="1:8">
      <c r="A2768" s="3">
        <v>2767</v>
      </c>
      <c r="B2768" s="3" t="s">
        <v>6712</v>
      </c>
      <c r="C2768" s="3" t="s">
        <v>1356</v>
      </c>
      <c r="D2768" s="4" t="s">
        <v>6713</v>
      </c>
      <c r="E2768" s="3" t="s">
        <v>1076</v>
      </c>
      <c r="F2768" s="3" t="s">
        <v>4668</v>
      </c>
      <c r="G2768" s="3"/>
      <c r="H2768" s="4" t="s">
        <v>4322</v>
      </c>
    </row>
    <row r="2769" ht="16.5" customHeight="1" spans="1:8">
      <c r="A2769" s="3">
        <v>2768</v>
      </c>
      <c r="B2769" s="3" t="s">
        <v>6714</v>
      </c>
      <c r="C2769" s="3" t="s">
        <v>1356</v>
      </c>
      <c r="D2769" s="4" t="s">
        <v>6715</v>
      </c>
      <c r="E2769" s="3" t="s">
        <v>1076</v>
      </c>
      <c r="F2769" s="3" t="s">
        <v>4668</v>
      </c>
      <c r="G2769" s="3"/>
      <c r="H2769" s="4" t="s">
        <v>1095</v>
      </c>
    </row>
    <row r="2770" ht="16.5" customHeight="1" spans="1:8">
      <c r="A2770" s="3">
        <v>2769</v>
      </c>
      <c r="B2770" s="3" t="s">
        <v>6716</v>
      </c>
      <c r="C2770" s="3" t="s">
        <v>1356</v>
      </c>
      <c r="D2770" s="4" t="s">
        <v>6717</v>
      </c>
      <c r="E2770" s="3" t="s">
        <v>1076</v>
      </c>
      <c r="F2770" s="3" t="s">
        <v>4668</v>
      </c>
      <c r="G2770" s="3"/>
      <c r="H2770" s="4" t="s">
        <v>1368</v>
      </c>
    </row>
    <row r="2771" ht="16.5" customHeight="1" spans="1:8">
      <c r="A2771" s="3">
        <v>2770</v>
      </c>
      <c r="B2771" s="3" t="s">
        <v>6718</v>
      </c>
      <c r="C2771" s="3" t="s">
        <v>1356</v>
      </c>
      <c r="D2771" s="4" t="s">
        <v>6719</v>
      </c>
      <c r="E2771" s="3" t="s">
        <v>1076</v>
      </c>
      <c r="F2771" s="3" t="s">
        <v>4107</v>
      </c>
      <c r="G2771" s="3"/>
      <c r="H2771" s="4" t="s">
        <v>1095</v>
      </c>
    </row>
    <row r="2772" ht="16.5" customHeight="1" spans="1:8">
      <c r="A2772" s="3">
        <v>2771</v>
      </c>
      <c r="B2772" s="3" t="s">
        <v>6720</v>
      </c>
      <c r="C2772" s="3" t="s">
        <v>1356</v>
      </c>
      <c r="D2772" s="4" t="s">
        <v>6721</v>
      </c>
      <c r="E2772" s="3" t="s">
        <v>1076</v>
      </c>
      <c r="F2772" s="3" t="s">
        <v>4107</v>
      </c>
      <c r="G2772" s="3"/>
      <c r="H2772" s="4" t="s">
        <v>1305</v>
      </c>
    </row>
    <row r="2773" ht="16.5" customHeight="1" spans="1:8">
      <c r="A2773" s="3">
        <v>2772</v>
      </c>
      <c r="B2773" s="3" t="s">
        <v>6722</v>
      </c>
      <c r="C2773" s="3" t="s">
        <v>1356</v>
      </c>
      <c r="D2773" s="4" t="s">
        <v>6723</v>
      </c>
      <c r="E2773" s="3" t="s">
        <v>1076</v>
      </c>
      <c r="F2773" s="3" t="s">
        <v>4107</v>
      </c>
      <c r="G2773" s="3"/>
      <c r="H2773" s="4" t="s">
        <v>3463</v>
      </c>
    </row>
    <row r="2774" ht="16.5" customHeight="1" spans="1:8">
      <c r="A2774" s="3">
        <v>2773</v>
      </c>
      <c r="B2774" s="3" t="s">
        <v>6724</v>
      </c>
      <c r="C2774" s="3" t="s">
        <v>1356</v>
      </c>
      <c r="D2774" s="4" t="s">
        <v>6725</v>
      </c>
      <c r="E2774" s="3" t="s">
        <v>1076</v>
      </c>
      <c r="F2774" s="3" t="s">
        <v>4107</v>
      </c>
      <c r="G2774" s="3"/>
      <c r="H2774" s="4" t="s">
        <v>3463</v>
      </c>
    </row>
    <row r="2775" ht="16.5" customHeight="1" spans="1:8">
      <c r="A2775" s="3">
        <v>2774</v>
      </c>
      <c r="B2775" s="3" t="s">
        <v>6726</v>
      </c>
      <c r="C2775" s="3" t="s">
        <v>1356</v>
      </c>
      <c r="D2775" s="4" t="s">
        <v>6727</v>
      </c>
      <c r="E2775" s="3" t="s">
        <v>1076</v>
      </c>
      <c r="F2775" s="3" t="s">
        <v>4107</v>
      </c>
      <c r="G2775" s="3"/>
      <c r="H2775" s="4" t="s">
        <v>3463</v>
      </c>
    </row>
    <row r="2776" ht="16.5" customHeight="1" spans="1:8">
      <c r="A2776" s="3">
        <v>2775</v>
      </c>
      <c r="B2776" s="3" t="s">
        <v>6728</v>
      </c>
      <c r="C2776" s="3" t="s">
        <v>1356</v>
      </c>
      <c r="D2776" s="4" t="s">
        <v>6729</v>
      </c>
      <c r="E2776" s="3" t="s">
        <v>1076</v>
      </c>
      <c r="F2776" s="3" t="s">
        <v>4107</v>
      </c>
      <c r="G2776" s="3"/>
      <c r="H2776" s="4" t="s">
        <v>3463</v>
      </c>
    </row>
    <row r="2777" ht="16.5" customHeight="1" spans="1:8">
      <c r="A2777" s="3">
        <v>2776</v>
      </c>
      <c r="B2777" s="3" t="s">
        <v>6730</v>
      </c>
      <c r="C2777" s="3" t="s">
        <v>2163</v>
      </c>
      <c r="D2777" s="4" t="s">
        <v>6731</v>
      </c>
      <c r="E2777" s="3" t="s">
        <v>1076</v>
      </c>
      <c r="F2777" s="3" t="s">
        <v>4107</v>
      </c>
      <c r="G2777" s="3"/>
      <c r="H2777" s="4" t="s">
        <v>3351</v>
      </c>
    </row>
    <row r="2778" ht="16.5" customHeight="1" spans="1:8">
      <c r="A2778" s="3">
        <v>2777</v>
      </c>
      <c r="B2778" s="3" t="s">
        <v>6732</v>
      </c>
      <c r="C2778" s="3" t="s">
        <v>1356</v>
      </c>
      <c r="D2778" s="4" t="s">
        <v>6733</v>
      </c>
      <c r="E2778" s="3" t="s">
        <v>1076</v>
      </c>
      <c r="F2778" s="3" t="s">
        <v>4107</v>
      </c>
      <c r="G2778" s="3"/>
      <c r="H2778" s="4" t="s">
        <v>4322</v>
      </c>
    </row>
    <row r="2779" ht="16.5" customHeight="1" spans="1:8">
      <c r="A2779" s="3">
        <v>2778</v>
      </c>
      <c r="B2779" s="3" t="s">
        <v>6734</v>
      </c>
      <c r="C2779" s="3" t="s">
        <v>2163</v>
      </c>
      <c r="D2779" s="4" t="s">
        <v>6735</v>
      </c>
      <c r="E2779" s="3" t="s">
        <v>1076</v>
      </c>
      <c r="F2779" s="3" t="s">
        <v>4107</v>
      </c>
      <c r="G2779" s="3"/>
      <c r="H2779" s="4" t="s">
        <v>1095</v>
      </c>
    </row>
    <row r="2780" ht="16.5" customHeight="1" spans="1:8">
      <c r="A2780" s="3">
        <v>2779</v>
      </c>
      <c r="B2780" s="3" t="s">
        <v>6736</v>
      </c>
      <c r="C2780" s="3" t="s">
        <v>1356</v>
      </c>
      <c r="D2780" s="4" t="s">
        <v>6737</v>
      </c>
      <c r="E2780" s="3" t="s">
        <v>1076</v>
      </c>
      <c r="F2780" s="3" t="s">
        <v>1719</v>
      </c>
      <c r="G2780" s="3"/>
      <c r="H2780" s="4" t="s">
        <v>4322</v>
      </c>
    </row>
    <row r="2781" ht="16.5" customHeight="1" spans="1:8">
      <c r="A2781" s="3">
        <v>2780</v>
      </c>
      <c r="B2781" s="3" t="s">
        <v>6738</v>
      </c>
      <c r="C2781" s="3" t="s">
        <v>2163</v>
      </c>
      <c r="D2781" s="4" t="s">
        <v>6739</v>
      </c>
      <c r="E2781" s="3" t="s">
        <v>1076</v>
      </c>
      <c r="F2781" s="3" t="s">
        <v>4107</v>
      </c>
      <c r="G2781" s="3"/>
      <c r="H2781" s="4" t="s">
        <v>6740</v>
      </c>
    </row>
    <row r="2782" ht="16.5" customHeight="1" spans="1:8">
      <c r="A2782" s="3">
        <v>2781</v>
      </c>
      <c r="B2782" s="3" t="s">
        <v>6741</v>
      </c>
      <c r="C2782" s="3" t="s">
        <v>1356</v>
      </c>
      <c r="D2782" s="4" t="s">
        <v>6742</v>
      </c>
      <c r="E2782" s="3" t="s">
        <v>1076</v>
      </c>
      <c r="F2782" s="3" t="s">
        <v>4107</v>
      </c>
      <c r="G2782" s="3"/>
      <c r="H2782" s="4" t="s">
        <v>3463</v>
      </c>
    </row>
    <row r="2783" ht="16.5" customHeight="1" spans="1:8">
      <c r="A2783" s="3">
        <v>2782</v>
      </c>
      <c r="B2783" s="3" t="s">
        <v>6743</v>
      </c>
      <c r="C2783" s="3" t="s">
        <v>1356</v>
      </c>
      <c r="D2783" s="4" t="s">
        <v>6744</v>
      </c>
      <c r="E2783" s="3" t="s">
        <v>1076</v>
      </c>
      <c r="F2783" s="3" t="s">
        <v>4107</v>
      </c>
      <c r="G2783" s="3"/>
      <c r="H2783" s="4" t="s">
        <v>5664</v>
      </c>
    </row>
    <row r="2784" ht="16.5" customHeight="1" spans="1:8">
      <c r="A2784" s="3">
        <v>2783</v>
      </c>
      <c r="B2784" s="3" t="s">
        <v>6745</v>
      </c>
      <c r="C2784" s="3" t="s">
        <v>1105</v>
      </c>
      <c r="D2784" s="4" t="s">
        <v>6746</v>
      </c>
      <c r="E2784" s="3" t="s">
        <v>1076</v>
      </c>
      <c r="F2784" s="3" t="s">
        <v>1736</v>
      </c>
      <c r="G2784" s="3"/>
      <c r="H2784" s="4" t="s">
        <v>6747</v>
      </c>
    </row>
    <row r="2785" ht="16.5" customHeight="1" spans="1:8">
      <c r="A2785" s="3">
        <v>2784</v>
      </c>
      <c r="B2785" s="3" t="s">
        <v>6748</v>
      </c>
      <c r="C2785" s="3" t="s">
        <v>1105</v>
      </c>
      <c r="D2785" s="4" t="s">
        <v>6749</v>
      </c>
      <c r="E2785" s="3" t="s">
        <v>1076</v>
      </c>
      <c r="F2785" s="3" t="s">
        <v>1736</v>
      </c>
      <c r="G2785" s="3"/>
      <c r="H2785" s="4" t="s">
        <v>6747</v>
      </c>
    </row>
    <row r="2786" ht="16.5" customHeight="1" spans="1:8">
      <c r="A2786" s="3">
        <v>2785</v>
      </c>
      <c r="B2786" s="3" t="s">
        <v>6750</v>
      </c>
      <c r="C2786" s="3" t="s">
        <v>1105</v>
      </c>
      <c r="D2786" s="4" t="s">
        <v>6751</v>
      </c>
      <c r="E2786" s="3" t="s">
        <v>1076</v>
      </c>
      <c r="F2786" s="3" t="s">
        <v>1736</v>
      </c>
      <c r="G2786" s="3"/>
      <c r="H2786" s="4" t="s">
        <v>6747</v>
      </c>
    </row>
    <row r="2787" ht="16.5" customHeight="1" spans="1:8">
      <c r="A2787" s="3">
        <v>2786</v>
      </c>
      <c r="B2787" s="3" t="s">
        <v>6752</v>
      </c>
      <c r="C2787" s="3" t="s">
        <v>1105</v>
      </c>
      <c r="D2787" s="4" t="s">
        <v>6753</v>
      </c>
      <c r="E2787" s="3" t="s">
        <v>1076</v>
      </c>
      <c r="F2787" s="3" t="s">
        <v>1736</v>
      </c>
      <c r="G2787" s="3"/>
      <c r="H2787" s="4" t="s">
        <v>6747</v>
      </c>
    </row>
    <row r="2788" ht="16.5" customHeight="1" spans="1:8">
      <c r="A2788" s="3">
        <v>2787</v>
      </c>
      <c r="B2788" s="3" t="s">
        <v>6754</v>
      </c>
      <c r="C2788" s="3" t="s">
        <v>1356</v>
      </c>
      <c r="D2788" s="4" t="s">
        <v>6755</v>
      </c>
      <c r="E2788" s="3" t="s">
        <v>1076</v>
      </c>
      <c r="F2788" s="3" t="s">
        <v>4668</v>
      </c>
      <c r="G2788" s="3"/>
      <c r="H2788" s="4" t="s">
        <v>4322</v>
      </c>
    </row>
    <row r="2789" ht="16.5" customHeight="1" spans="1:8">
      <c r="A2789" s="3">
        <v>2788</v>
      </c>
      <c r="B2789" s="3" t="s">
        <v>6756</v>
      </c>
      <c r="C2789" s="3" t="s">
        <v>1356</v>
      </c>
      <c r="D2789" s="4" t="s">
        <v>6757</v>
      </c>
      <c r="E2789" s="3" t="s">
        <v>1076</v>
      </c>
      <c r="F2789" s="3" t="s">
        <v>4668</v>
      </c>
      <c r="G2789" s="3"/>
      <c r="H2789" s="4" t="s">
        <v>4322</v>
      </c>
    </row>
    <row r="2790" ht="16.5" customHeight="1" spans="1:8">
      <c r="A2790" s="3">
        <v>2789</v>
      </c>
      <c r="B2790" s="3" t="s">
        <v>6758</v>
      </c>
      <c r="C2790" s="3" t="s">
        <v>2163</v>
      </c>
      <c r="D2790" s="4" t="s">
        <v>6759</v>
      </c>
      <c r="E2790" s="3" t="s">
        <v>1076</v>
      </c>
      <c r="F2790" s="3" t="s">
        <v>1358</v>
      </c>
      <c r="G2790" s="3" t="s">
        <v>321</v>
      </c>
      <c r="H2790" s="4" t="s">
        <v>1359</v>
      </c>
    </row>
    <row r="2791" ht="16.5" customHeight="1" spans="1:8">
      <c r="A2791" s="3">
        <v>2790</v>
      </c>
      <c r="B2791" s="3" t="s">
        <v>6760</v>
      </c>
      <c r="C2791" s="3" t="s">
        <v>1356</v>
      </c>
      <c r="D2791" s="4" t="s">
        <v>6761</v>
      </c>
      <c r="E2791" s="3" t="s">
        <v>1076</v>
      </c>
      <c r="F2791" s="3" t="s">
        <v>6762</v>
      </c>
      <c r="G2791" s="3"/>
      <c r="H2791" s="4" t="s">
        <v>1359</v>
      </c>
    </row>
    <row r="2792" ht="16.5" customHeight="1" spans="1:8">
      <c r="A2792" s="3">
        <v>2791</v>
      </c>
      <c r="B2792" s="3" t="s">
        <v>6763</v>
      </c>
      <c r="C2792" s="3" t="s">
        <v>1356</v>
      </c>
      <c r="D2792" s="4" t="s">
        <v>6764</v>
      </c>
      <c r="E2792" s="3" t="s">
        <v>1076</v>
      </c>
      <c r="F2792" s="3" t="s">
        <v>6762</v>
      </c>
      <c r="G2792" s="3"/>
      <c r="H2792" s="4" t="s">
        <v>4322</v>
      </c>
    </row>
    <row r="2793" ht="16.5" customHeight="1" spans="1:8">
      <c r="A2793" s="3">
        <v>2792</v>
      </c>
      <c r="B2793" s="3" t="s">
        <v>6765</v>
      </c>
      <c r="C2793" s="3" t="s">
        <v>1356</v>
      </c>
      <c r="D2793" s="4" t="s">
        <v>6766</v>
      </c>
      <c r="E2793" s="3" t="s">
        <v>1076</v>
      </c>
      <c r="F2793" s="3" t="s">
        <v>6762</v>
      </c>
      <c r="G2793" s="3"/>
      <c r="H2793" s="4" t="s">
        <v>1359</v>
      </c>
    </row>
    <row r="2794" ht="16.5" customHeight="1" spans="1:8">
      <c r="A2794" s="3">
        <v>2793</v>
      </c>
      <c r="B2794" s="3" t="s">
        <v>6767</v>
      </c>
      <c r="C2794" s="3" t="s">
        <v>1356</v>
      </c>
      <c r="D2794" s="4" t="s">
        <v>6768</v>
      </c>
      <c r="E2794" s="3" t="s">
        <v>1076</v>
      </c>
      <c r="F2794" s="3" t="s">
        <v>1156</v>
      </c>
      <c r="G2794" s="3"/>
      <c r="H2794" s="4" t="s">
        <v>4322</v>
      </c>
    </row>
    <row r="2795" ht="16.5" customHeight="1" spans="1:8">
      <c r="A2795" s="3">
        <v>2794</v>
      </c>
      <c r="B2795" s="3" t="s">
        <v>6769</v>
      </c>
      <c r="C2795" s="3" t="s">
        <v>1356</v>
      </c>
      <c r="D2795" s="4" t="s">
        <v>6770</v>
      </c>
      <c r="E2795" s="3" t="s">
        <v>1076</v>
      </c>
      <c r="F2795" s="3" t="s">
        <v>4668</v>
      </c>
      <c r="G2795" s="3"/>
      <c r="H2795" s="4" t="s">
        <v>4322</v>
      </c>
    </row>
    <row r="2796" ht="16.5" customHeight="1" spans="1:8">
      <c r="A2796" s="3">
        <v>2795</v>
      </c>
      <c r="B2796" s="3" t="s">
        <v>6771</v>
      </c>
      <c r="C2796" s="3" t="s">
        <v>1356</v>
      </c>
      <c r="D2796" s="4" t="s">
        <v>6772</v>
      </c>
      <c r="E2796" s="3" t="s">
        <v>1076</v>
      </c>
      <c r="F2796" s="3" t="s">
        <v>4107</v>
      </c>
      <c r="G2796" s="3"/>
      <c r="H2796" s="4" t="s">
        <v>1359</v>
      </c>
    </row>
    <row r="2797" ht="16.5" customHeight="1" spans="1:8">
      <c r="A2797" s="3">
        <v>2796</v>
      </c>
      <c r="B2797" s="3" t="s">
        <v>6773</v>
      </c>
      <c r="C2797" s="3" t="s">
        <v>2163</v>
      </c>
      <c r="D2797" s="4" t="s">
        <v>6774</v>
      </c>
      <c r="E2797" s="3" t="s">
        <v>3954</v>
      </c>
      <c r="F2797" s="3" t="s">
        <v>2041</v>
      </c>
      <c r="G2797" s="3" t="s">
        <v>321</v>
      </c>
      <c r="H2797" s="4" t="s">
        <v>1359</v>
      </c>
    </row>
    <row r="2798" ht="16.5" customHeight="1" spans="1:8">
      <c r="A2798" s="3">
        <v>2797</v>
      </c>
      <c r="B2798" s="3" t="s">
        <v>6775</v>
      </c>
      <c r="C2798" s="3" t="s">
        <v>2163</v>
      </c>
      <c r="D2798" s="4" t="s">
        <v>6776</v>
      </c>
      <c r="E2798" s="3" t="s">
        <v>1076</v>
      </c>
      <c r="F2798" s="3" t="s">
        <v>2041</v>
      </c>
      <c r="G2798" s="3" t="s">
        <v>321</v>
      </c>
      <c r="H2798" s="4" t="s">
        <v>1359</v>
      </c>
    </row>
    <row r="2799" ht="16.5" customHeight="1" spans="1:8">
      <c r="A2799" s="3">
        <v>2798</v>
      </c>
      <c r="B2799" s="3" t="s">
        <v>6777</v>
      </c>
      <c r="C2799" s="3" t="s">
        <v>2163</v>
      </c>
      <c r="D2799" s="4" t="s">
        <v>6778</v>
      </c>
      <c r="E2799" s="3" t="s">
        <v>1076</v>
      </c>
      <c r="F2799" s="3" t="s">
        <v>2041</v>
      </c>
      <c r="G2799" s="3" t="s">
        <v>321</v>
      </c>
      <c r="H2799" s="4" t="s">
        <v>1095</v>
      </c>
    </row>
    <row r="2800" ht="16.5" customHeight="1" spans="1:8">
      <c r="A2800" s="3">
        <v>2799</v>
      </c>
      <c r="B2800" s="3" t="s">
        <v>6779</v>
      </c>
      <c r="C2800" s="3" t="s">
        <v>2163</v>
      </c>
      <c r="D2800" s="4" t="s">
        <v>6780</v>
      </c>
      <c r="E2800" s="3" t="s">
        <v>1076</v>
      </c>
      <c r="F2800" s="3" t="s">
        <v>2041</v>
      </c>
      <c r="G2800" s="3" t="s">
        <v>321</v>
      </c>
      <c r="H2800" s="4" t="s">
        <v>1305</v>
      </c>
    </row>
    <row r="2801" ht="16.5" customHeight="1" spans="1:8">
      <c r="A2801" s="3">
        <v>2800</v>
      </c>
      <c r="B2801" s="3" t="s">
        <v>6781</v>
      </c>
      <c r="C2801" s="3" t="s">
        <v>2163</v>
      </c>
      <c r="D2801" s="4" t="s">
        <v>6782</v>
      </c>
      <c r="E2801" s="3" t="s">
        <v>1076</v>
      </c>
      <c r="F2801" s="3" t="s">
        <v>2041</v>
      </c>
      <c r="G2801" s="3" t="s">
        <v>321</v>
      </c>
      <c r="H2801" s="4" t="s">
        <v>1095</v>
      </c>
    </row>
    <row r="2802" ht="16.5" customHeight="1" spans="1:8">
      <c r="A2802" s="3">
        <v>2801</v>
      </c>
      <c r="B2802" s="3" t="s">
        <v>6783</v>
      </c>
      <c r="C2802" s="3" t="s">
        <v>1356</v>
      </c>
      <c r="D2802" s="4" t="s">
        <v>6784</v>
      </c>
      <c r="E2802" s="3" t="s">
        <v>1076</v>
      </c>
      <c r="F2802" s="3" t="s">
        <v>4668</v>
      </c>
      <c r="G2802" s="3"/>
      <c r="H2802" s="4" t="s">
        <v>1095</v>
      </c>
    </row>
    <row r="2803" ht="16.5" customHeight="1" spans="1:8">
      <c r="A2803" s="3">
        <v>2802</v>
      </c>
      <c r="B2803" s="3" t="s">
        <v>6785</v>
      </c>
      <c r="C2803" s="3" t="s">
        <v>1356</v>
      </c>
      <c r="D2803" s="4" t="s">
        <v>6786</v>
      </c>
      <c r="E2803" s="3" t="s">
        <v>1076</v>
      </c>
      <c r="F2803" s="3" t="s">
        <v>4107</v>
      </c>
      <c r="G2803" s="3"/>
      <c r="H2803" s="4" t="s">
        <v>1305</v>
      </c>
    </row>
    <row r="2804" ht="16.5" customHeight="1" spans="1:8">
      <c r="A2804" s="3">
        <v>2803</v>
      </c>
      <c r="B2804" s="3" t="s">
        <v>6787</v>
      </c>
      <c r="C2804" s="3" t="s">
        <v>1356</v>
      </c>
      <c r="D2804" s="4" t="s">
        <v>6788</v>
      </c>
      <c r="E2804" s="3" t="s">
        <v>1076</v>
      </c>
      <c r="F2804" s="3" t="s">
        <v>4107</v>
      </c>
      <c r="G2804" s="3"/>
      <c r="H2804" s="4" t="s">
        <v>1305</v>
      </c>
    </row>
    <row r="2805" ht="16.5" customHeight="1" spans="1:8">
      <c r="A2805" s="3">
        <v>2804</v>
      </c>
      <c r="B2805" s="3" t="s">
        <v>6789</v>
      </c>
      <c r="C2805" s="3" t="s">
        <v>1356</v>
      </c>
      <c r="D2805" s="4" t="s">
        <v>6790</v>
      </c>
      <c r="E2805" s="3" t="s">
        <v>1076</v>
      </c>
      <c r="F2805" s="3" t="s">
        <v>4107</v>
      </c>
      <c r="G2805" s="3"/>
      <c r="H2805" s="4" t="s">
        <v>1305</v>
      </c>
    </row>
    <row r="2806" ht="16.5" customHeight="1" spans="1:8">
      <c r="A2806" s="3">
        <v>2805</v>
      </c>
      <c r="B2806" s="3" t="s">
        <v>6791</v>
      </c>
      <c r="C2806" s="3" t="s">
        <v>1356</v>
      </c>
      <c r="D2806" s="4" t="s">
        <v>6792</v>
      </c>
      <c r="E2806" s="3" t="s">
        <v>1076</v>
      </c>
      <c r="F2806" s="3" t="s">
        <v>4107</v>
      </c>
      <c r="G2806" s="3"/>
      <c r="H2806" s="4" t="s">
        <v>1305</v>
      </c>
    </row>
    <row r="2807" ht="16.5" customHeight="1" spans="1:8">
      <c r="A2807" s="3">
        <v>2806</v>
      </c>
      <c r="B2807" s="3" t="s">
        <v>6793</v>
      </c>
      <c r="C2807" s="3" t="s">
        <v>2163</v>
      </c>
      <c r="D2807" s="4" t="s">
        <v>6794</v>
      </c>
      <c r="E2807" s="3" t="s">
        <v>1076</v>
      </c>
      <c r="F2807" s="3" t="s">
        <v>2041</v>
      </c>
      <c r="G2807" s="3" t="s">
        <v>321</v>
      </c>
      <c r="H2807" s="4" t="s">
        <v>1305</v>
      </c>
    </row>
    <row r="2808" ht="16.5" customHeight="1" spans="1:8">
      <c r="A2808" s="3">
        <v>2807</v>
      </c>
      <c r="B2808" s="3" t="s">
        <v>6795</v>
      </c>
      <c r="C2808" s="3" t="s">
        <v>2163</v>
      </c>
      <c r="D2808" s="4" t="s">
        <v>6796</v>
      </c>
      <c r="E2808" s="3" t="s">
        <v>1076</v>
      </c>
      <c r="F2808" s="3" t="s">
        <v>2041</v>
      </c>
      <c r="G2808" s="3" t="s">
        <v>321</v>
      </c>
      <c r="H2808" s="4" t="s">
        <v>1368</v>
      </c>
    </row>
    <row r="2809" ht="16.5" customHeight="1" spans="1:8">
      <c r="A2809" s="3">
        <v>2808</v>
      </c>
      <c r="B2809" s="3" t="s">
        <v>6797</v>
      </c>
      <c r="C2809" s="3" t="s">
        <v>2163</v>
      </c>
      <c r="D2809" s="4" t="s">
        <v>6798</v>
      </c>
      <c r="E2809" s="3" t="s">
        <v>1076</v>
      </c>
      <c r="F2809" s="3" t="s">
        <v>1358</v>
      </c>
      <c r="G2809" s="3" t="s">
        <v>321</v>
      </c>
      <c r="H2809" s="4" t="s">
        <v>1359</v>
      </c>
    </row>
    <row r="2810" ht="16.5" customHeight="1" spans="1:8">
      <c r="A2810" s="3">
        <v>2809</v>
      </c>
      <c r="B2810" s="3" t="s">
        <v>6799</v>
      </c>
      <c r="C2810" s="3" t="s">
        <v>2163</v>
      </c>
      <c r="D2810" s="4" t="s">
        <v>6800</v>
      </c>
      <c r="E2810" s="3" t="s">
        <v>1076</v>
      </c>
      <c r="F2810" s="3" t="s">
        <v>2041</v>
      </c>
      <c r="G2810" s="3" t="s">
        <v>321</v>
      </c>
      <c r="H2810" s="4" t="s">
        <v>1305</v>
      </c>
    </row>
    <row r="2811" ht="16.5" customHeight="1" spans="1:8">
      <c r="A2811" s="3">
        <v>2810</v>
      </c>
      <c r="B2811" s="3" t="s">
        <v>6801</v>
      </c>
      <c r="C2811" s="3" t="s">
        <v>1356</v>
      </c>
      <c r="D2811" s="4" t="s">
        <v>6802</v>
      </c>
      <c r="E2811" s="3" t="s">
        <v>1076</v>
      </c>
      <c r="F2811" s="3" t="s">
        <v>2041</v>
      </c>
      <c r="G2811" s="3"/>
      <c r="H2811" s="4" t="s">
        <v>3463</v>
      </c>
    </row>
    <row r="2812" ht="16.5" customHeight="1" spans="1:8">
      <c r="A2812" s="3">
        <v>2811</v>
      </c>
      <c r="B2812" s="3" t="s">
        <v>6803</v>
      </c>
      <c r="C2812" s="3" t="s">
        <v>1356</v>
      </c>
      <c r="D2812" s="4" t="s">
        <v>6804</v>
      </c>
      <c r="E2812" s="3" t="s">
        <v>1076</v>
      </c>
      <c r="F2812" s="3" t="s">
        <v>6762</v>
      </c>
      <c r="G2812" s="3"/>
      <c r="H2812" s="4" t="s">
        <v>1843</v>
      </c>
    </row>
    <row r="2813" ht="16.5" customHeight="1" spans="1:8">
      <c r="A2813" s="3">
        <v>2812</v>
      </c>
      <c r="B2813" s="3" t="s">
        <v>6805</v>
      </c>
      <c r="C2813" s="3" t="s">
        <v>2163</v>
      </c>
      <c r="D2813" s="4" t="s">
        <v>6806</v>
      </c>
      <c r="E2813" s="3" t="s">
        <v>1076</v>
      </c>
      <c r="F2813" s="3" t="s">
        <v>2041</v>
      </c>
      <c r="G2813" s="3" t="s">
        <v>321</v>
      </c>
      <c r="H2813" s="4" t="s">
        <v>5533</v>
      </c>
    </row>
    <row r="2814" ht="16.5" customHeight="1" spans="1:8">
      <c r="A2814" s="3">
        <v>2813</v>
      </c>
      <c r="B2814" s="3" t="s">
        <v>6807</v>
      </c>
      <c r="C2814" s="3" t="s">
        <v>1356</v>
      </c>
      <c r="D2814" s="4" t="s">
        <v>6808</v>
      </c>
      <c r="E2814" s="3" t="s">
        <v>1076</v>
      </c>
      <c r="F2814" s="3" t="s">
        <v>4107</v>
      </c>
      <c r="G2814" s="3"/>
      <c r="H2814" s="4" t="s">
        <v>4322</v>
      </c>
    </row>
    <row r="2815" ht="16.5" customHeight="1" spans="1:8">
      <c r="A2815" s="3">
        <v>2814</v>
      </c>
      <c r="B2815" s="3" t="s">
        <v>6809</v>
      </c>
      <c r="C2815" s="3" t="s">
        <v>1356</v>
      </c>
      <c r="D2815" s="4" t="s">
        <v>6810</v>
      </c>
      <c r="E2815" s="3" t="s">
        <v>1076</v>
      </c>
      <c r="F2815" s="3" t="s">
        <v>4107</v>
      </c>
      <c r="G2815" s="3"/>
      <c r="H2815" s="4" t="s">
        <v>4322</v>
      </c>
    </row>
    <row r="2816" ht="16.5" customHeight="1" spans="1:8">
      <c r="A2816" s="3">
        <v>2815</v>
      </c>
      <c r="B2816" s="3" t="s">
        <v>6811</v>
      </c>
      <c r="C2816" s="3" t="s">
        <v>1356</v>
      </c>
      <c r="D2816" s="4" t="s">
        <v>6812</v>
      </c>
      <c r="E2816" s="3" t="s">
        <v>1076</v>
      </c>
      <c r="F2816" s="3" t="s">
        <v>4107</v>
      </c>
      <c r="G2816" s="3"/>
      <c r="H2816" s="4" t="s">
        <v>4322</v>
      </c>
    </row>
    <row r="2817" ht="16.5" customHeight="1" spans="1:8">
      <c r="A2817" s="3">
        <v>2816</v>
      </c>
      <c r="B2817" s="3" t="s">
        <v>6813</v>
      </c>
      <c r="C2817" s="3" t="s">
        <v>1356</v>
      </c>
      <c r="D2817" s="4" t="s">
        <v>6814</v>
      </c>
      <c r="E2817" s="3" t="s">
        <v>1076</v>
      </c>
      <c r="F2817" s="3" t="s">
        <v>4107</v>
      </c>
      <c r="G2817" s="3"/>
      <c r="H2817" s="4" t="s">
        <v>4322</v>
      </c>
    </row>
    <row r="2818" ht="16.5" customHeight="1" spans="1:8">
      <c r="A2818" s="3">
        <v>2817</v>
      </c>
      <c r="B2818" s="3" t="s">
        <v>6815</v>
      </c>
      <c r="C2818" s="3" t="s">
        <v>1356</v>
      </c>
      <c r="D2818" s="4" t="s">
        <v>6816</v>
      </c>
      <c r="E2818" s="3" t="s">
        <v>1076</v>
      </c>
      <c r="F2818" s="3" t="s">
        <v>4107</v>
      </c>
      <c r="G2818" s="3"/>
      <c r="H2818" s="4" t="s">
        <v>4322</v>
      </c>
    </row>
    <row r="2819" ht="16.5" customHeight="1" spans="1:8">
      <c r="A2819" s="3">
        <v>2818</v>
      </c>
      <c r="B2819" s="3" t="s">
        <v>6817</v>
      </c>
      <c r="C2819" s="3" t="s">
        <v>1356</v>
      </c>
      <c r="D2819" s="4" t="s">
        <v>6818</v>
      </c>
      <c r="E2819" s="3" t="s">
        <v>1076</v>
      </c>
      <c r="F2819" s="3" t="s">
        <v>4107</v>
      </c>
      <c r="G2819" s="3"/>
      <c r="H2819" s="4" t="s">
        <v>1095</v>
      </c>
    </row>
    <row r="2820" ht="16.5" customHeight="1" spans="1:8">
      <c r="A2820" s="3">
        <v>2819</v>
      </c>
      <c r="B2820" s="3" t="s">
        <v>6819</v>
      </c>
      <c r="C2820" s="3" t="s">
        <v>1356</v>
      </c>
      <c r="D2820" s="4" t="s">
        <v>6820</v>
      </c>
      <c r="E2820" s="3" t="s">
        <v>1076</v>
      </c>
      <c r="F2820" s="3" t="s">
        <v>4107</v>
      </c>
      <c r="G2820" s="3"/>
      <c r="H2820" s="4" t="s">
        <v>1095</v>
      </c>
    </row>
    <row r="2821" ht="16.5" customHeight="1" spans="1:8">
      <c r="A2821" s="3">
        <v>2820</v>
      </c>
      <c r="B2821" s="3" t="s">
        <v>6821</v>
      </c>
      <c r="C2821" s="3" t="s">
        <v>1356</v>
      </c>
      <c r="D2821" s="4" t="s">
        <v>6822</v>
      </c>
      <c r="E2821" s="3" t="s">
        <v>1837</v>
      </c>
      <c r="F2821" s="3" t="s">
        <v>4107</v>
      </c>
      <c r="G2821" s="3"/>
      <c r="H2821" s="4" t="s">
        <v>1843</v>
      </c>
    </row>
    <row r="2822" ht="16.5" customHeight="1" spans="1:8">
      <c r="A2822" s="3">
        <v>2821</v>
      </c>
      <c r="B2822" s="3" t="s">
        <v>6823</v>
      </c>
      <c r="C2822" s="3" t="s">
        <v>1356</v>
      </c>
      <c r="D2822" s="4" t="s">
        <v>6824</v>
      </c>
      <c r="E2822" s="3" t="s">
        <v>1837</v>
      </c>
      <c r="F2822" s="3" t="s">
        <v>4107</v>
      </c>
      <c r="G2822" s="3"/>
      <c r="H2822" s="4" t="s">
        <v>4322</v>
      </c>
    </row>
    <row r="2823" ht="16.5" customHeight="1" spans="1:8">
      <c r="A2823" s="3">
        <v>2822</v>
      </c>
      <c r="B2823" s="3" t="s">
        <v>6825</v>
      </c>
      <c r="C2823" s="3" t="s">
        <v>2163</v>
      </c>
      <c r="D2823" s="4" t="s">
        <v>6826</v>
      </c>
      <c r="E2823" s="3" t="s">
        <v>1076</v>
      </c>
      <c r="F2823" s="3" t="s">
        <v>2041</v>
      </c>
      <c r="G2823" s="3" t="s">
        <v>321</v>
      </c>
      <c r="H2823" s="4" t="s">
        <v>1359</v>
      </c>
    </row>
    <row r="2824" ht="16.5" customHeight="1" spans="1:8">
      <c r="A2824" s="3">
        <v>2823</v>
      </c>
      <c r="B2824" s="3" t="s">
        <v>6827</v>
      </c>
      <c r="C2824" s="3" t="s">
        <v>2163</v>
      </c>
      <c r="D2824" s="4" t="s">
        <v>6828</v>
      </c>
      <c r="E2824" s="3" t="s">
        <v>1076</v>
      </c>
      <c r="F2824" s="3" t="s">
        <v>2041</v>
      </c>
      <c r="G2824" s="3" t="s">
        <v>321</v>
      </c>
      <c r="H2824" s="4" t="s">
        <v>1359</v>
      </c>
    </row>
    <row r="2825" ht="16.5" customHeight="1" spans="1:8">
      <c r="A2825" s="3">
        <v>2824</v>
      </c>
      <c r="B2825" s="3" t="s">
        <v>6829</v>
      </c>
      <c r="C2825" s="3" t="s">
        <v>2163</v>
      </c>
      <c r="D2825" s="4" t="s">
        <v>6830</v>
      </c>
      <c r="E2825" s="3" t="s">
        <v>1076</v>
      </c>
      <c r="F2825" s="3" t="s">
        <v>4331</v>
      </c>
      <c r="G2825" s="3"/>
      <c r="H2825" s="4" t="s">
        <v>1368</v>
      </c>
    </row>
    <row r="2826" ht="16.5" customHeight="1" spans="1:8">
      <c r="A2826" s="3">
        <v>2825</v>
      </c>
      <c r="B2826" s="3" t="s">
        <v>6831</v>
      </c>
      <c r="C2826" s="3" t="s">
        <v>2163</v>
      </c>
      <c r="D2826" s="4" t="s">
        <v>6832</v>
      </c>
      <c r="E2826" s="3" t="s">
        <v>1076</v>
      </c>
      <c r="F2826" s="3" t="s">
        <v>2041</v>
      </c>
      <c r="G2826" s="3" t="s">
        <v>321</v>
      </c>
      <c r="H2826" s="4" t="s">
        <v>1095</v>
      </c>
    </row>
    <row r="2827" ht="16.5" customHeight="1" spans="1:8">
      <c r="A2827" s="3">
        <v>2826</v>
      </c>
      <c r="B2827" s="3" t="s">
        <v>6833</v>
      </c>
      <c r="C2827" s="3" t="s">
        <v>1356</v>
      </c>
      <c r="D2827" s="4" t="s">
        <v>6834</v>
      </c>
      <c r="E2827" s="3" t="s">
        <v>1076</v>
      </c>
      <c r="F2827" s="3" t="s">
        <v>4668</v>
      </c>
      <c r="G2827" s="3"/>
      <c r="H2827" s="4" t="s">
        <v>4322</v>
      </c>
    </row>
    <row r="2828" ht="16.5" customHeight="1" spans="1:8">
      <c r="A2828" s="3">
        <v>2827</v>
      </c>
      <c r="B2828" s="3" t="s">
        <v>6835</v>
      </c>
      <c r="C2828" s="3" t="s">
        <v>2163</v>
      </c>
      <c r="D2828" s="4" t="s">
        <v>6836</v>
      </c>
      <c r="E2828" s="3" t="s">
        <v>1076</v>
      </c>
      <c r="F2828" s="3" t="s">
        <v>2041</v>
      </c>
      <c r="G2828" s="3" t="s">
        <v>98</v>
      </c>
      <c r="H2828" s="4" t="s">
        <v>1368</v>
      </c>
    </row>
    <row r="2829" ht="16.5" customHeight="1" spans="1:8">
      <c r="A2829" s="3">
        <v>2828</v>
      </c>
      <c r="B2829" s="3" t="s">
        <v>6837</v>
      </c>
      <c r="C2829" s="3" t="s">
        <v>2163</v>
      </c>
      <c r="D2829" s="4" t="s">
        <v>6838</v>
      </c>
      <c r="E2829" s="3" t="s">
        <v>1076</v>
      </c>
      <c r="F2829" s="3" t="s">
        <v>2041</v>
      </c>
      <c r="G2829" s="3" t="s">
        <v>321</v>
      </c>
      <c r="H2829" s="4" t="s">
        <v>1843</v>
      </c>
    </row>
    <row r="2830" ht="16.5" customHeight="1" spans="1:8">
      <c r="A2830" s="3">
        <v>2829</v>
      </c>
      <c r="B2830" s="3" t="s">
        <v>6839</v>
      </c>
      <c r="C2830" s="3" t="s">
        <v>2163</v>
      </c>
      <c r="D2830" s="4" t="s">
        <v>6840</v>
      </c>
      <c r="E2830" s="3" t="s">
        <v>1076</v>
      </c>
      <c r="F2830" s="3" t="s">
        <v>2041</v>
      </c>
      <c r="G2830" s="3" t="s">
        <v>321</v>
      </c>
      <c r="H2830" s="4" t="s">
        <v>1368</v>
      </c>
    </row>
    <row r="2831" ht="16.5" customHeight="1" spans="1:8">
      <c r="A2831" s="3">
        <v>2830</v>
      </c>
      <c r="B2831" s="3" t="s">
        <v>6841</v>
      </c>
      <c r="C2831" s="3" t="s">
        <v>2163</v>
      </c>
      <c r="D2831" s="4" t="s">
        <v>6842</v>
      </c>
      <c r="E2831" s="3" t="s">
        <v>1076</v>
      </c>
      <c r="F2831" s="3" t="s">
        <v>2041</v>
      </c>
      <c r="G2831" s="3" t="s">
        <v>321</v>
      </c>
      <c r="H2831" s="4" t="s">
        <v>5740</v>
      </c>
    </row>
    <row r="2832" ht="16.5" customHeight="1" spans="1:8">
      <c r="A2832" s="3">
        <v>2831</v>
      </c>
      <c r="B2832" s="3" t="s">
        <v>6843</v>
      </c>
      <c r="C2832" s="3" t="s">
        <v>1356</v>
      </c>
      <c r="D2832" s="4" t="s">
        <v>6844</v>
      </c>
      <c r="E2832" s="3" t="s">
        <v>1076</v>
      </c>
      <c r="F2832" s="3" t="s">
        <v>6762</v>
      </c>
      <c r="G2832" s="3"/>
      <c r="H2832" s="4" t="s">
        <v>1359</v>
      </c>
    </row>
    <row r="2833" ht="16.5" customHeight="1" spans="1:8">
      <c r="A2833" s="3">
        <v>2832</v>
      </c>
      <c r="B2833" s="3" t="s">
        <v>6845</v>
      </c>
      <c r="C2833" s="3" t="s">
        <v>1356</v>
      </c>
      <c r="D2833" s="4" t="s">
        <v>6846</v>
      </c>
      <c r="E2833" s="3" t="s">
        <v>1076</v>
      </c>
      <c r="F2833" s="3" t="s">
        <v>1358</v>
      </c>
      <c r="G2833" s="3"/>
      <c r="H2833" s="4" t="s">
        <v>5664</v>
      </c>
    </row>
    <row r="2834" ht="16.5" customHeight="1" spans="1:8">
      <c r="A2834" s="3">
        <v>2833</v>
      </c>
      <c r="B2834" s="3" t="s">
        <v>6847</v>
      </c>
      <c r="C2834" s="3" t="s">
        <v>1356</v>
      </c>
      <c r="D2834" s="4" t="s">
        <v>6848</v>
      </c>
      <c r="E2834" s="3" t="s">
        <v>1076</v>
      </c>
      <c r="F2834" s="3" t="s">
        <v>1358</v>
      </c>
      <c r="G2834" s="3"/>
      <c r="H2834" s="4" t="s">
        <v>5664</v>
      </c>
    </row>
    <row r="2835" ht="16.5" customHeight="1" spans="1:8">
      <c r="A2835" s="3">
        <v>2834</v>
      </c>
      <c r="B2835" s="3" t="s">
        <v>6849</v>
      </c>
      <c r="C2835" s="3" t="s">
        <v>1356</v>
      </c>
      <c r="D2835" s="4" t="s">
        <v>6850</v>
      </c>
      <c r="E2835" s="3" t="s">
        <v>1076</v>
      </c>
      <c r="F2835" s="3" t="s">
        <v>1358</v>
      </c>
      <c r="G2835" s="3"/>
      <c r="H2835" s="4" t="s">
        <v>5664</v>
      </c>
    </row>
    <row r="2836" ht="16.5" customHeight="1" spans="1:8">
      <c r="A2836" s="3">
        <v>2835</v>
      </c>
      <c r="B2836" s="3" t="s">
        <v>6851</v>
      </c>
      <c r="C2836" s="3" t="s">
        <v>1356</v>
      </c>
      <c r="D2836" s="4" t="s">
        <v>6852</v>
      </c>
      <c r="E2836" s="3" t="s">
        <v>1076</v>
      </c>
      <c r="F2836" s="3" t="s">
        <v>1358</v>
      </c>
      <c r="G2836" s="3"/>
      <c r="H2836" s="4" t="s">
        <v>5664</v>
      </c>
    </row>
    <row r="2837" ht="16.5" customHeight="1" spans="1:8">
      <c r="A2837" s="3">
        <v>2836</v>
      </c>
      <c r="B2837" s="3" t="s">
        <v>6853</v>
      </c>
      <c r="C2837" s="3" t="s">
        <v>1356</v>
      </c>
      <c r="D2837" s="4" t="s">
        <v>6854</v>
      </c>
      <c r="E2837" s="3" t="s">
        <v>1076</v>
      </c>
      <c r="F2837" s="3" t="s">
        <v>1358</v>
      </c>
      <c r="G2837" s="3"/>
      <c r="H2837" s="4" t="s">
        <v>5664</v>
      </c>
    </row>
    <row r="2838" ht="16.5" customHeight="1" spans="1:8">
      <c r="A2838" s="3">
        <v>2837</v>
      </c>
      <c r="B2838" s="3" t="s">
        <v>6855</v>
      </c>
      <c r="C2838" s="3" t="s">
        <v>1356</v>
      </c>
      <c r="D2838" s="4" t="s">
        <v>6856</v>
      </c>
      <c r="E2838" s="3" t="s">
        <v>1076</v>
      </c>
      <c r="F2838" s="3" t="s">
        <v>1358</v>
      </c>
      <c r="G2838" s="3" t="s">
        <v>321</v>
      </c>
      <c r="H2838" s="4" t="s">
        <v>5664</v>
      </c>
    </row>
    <row r="2839" ht="16.5" customHeight="1" spans="1:8">
      <c r="A2839" s="3">
        <v>2838</v>
      </c>
      <c r="B2839" s="3" t="s">
        <v>6857</v>
      </c>
      <c r="C2839" s="3" t="s">
        <v>2163</v>
      </c>
      <c r="D2839" s="4" t="s">
        <v>6858</v>
      </c>
      <c r="E2839" s="3" t="s">
        <v>1076</v>
      </c>
      <c r="F2839" s="3" t="s">
        <v>1358</v>
      </c>
      <c r="G2839" s="3" t="s">
        <v>321</v>
      </c>
      <c r="H2839" s="4" t="s">
        <v>1359</v>
      </c>
    </row>
    <row r="2840" ht="16.5" customHeight="1" spans="1:8">
      <c r="A2840" s="3">
        <v>2839</v>
      </c>
      <c r="B2840" s="3" t="s">
        <v>6859</v>
      </c>
      <c r="C2840" s="3" t="s">
        <v>2163</v>
      </c>
      <c r="D2840" s="4" t="s">
        <v>6860</v>
      </c>
      <c r="E2840" s="3" t="s">
        <v>1076</v>
      </c>
      <c r="F2840" s="3" t="s">
        <v>1358</v>
      </c>
      <c r="G2840" s="3"/>
      <c r="H2840" s="4" t="s">
        <v>1359</v>
      </c>
    </row>
    <row r="2841" ht="16.5" customHeight="1" spans="1:8">
      <c r="A2841" s="3">
        <v>2840</v>
      </c>
      <c r="B2841" s="3" t="s">
        <v>6861</v>
      </c>
      <c r="C2841" s="3" t="s">
        <v>2163</v>
      </c>
      <c r="D2841" s="4" t="s">
        <v>6862</v>
      </c>
      <c r="E2841" s="3" t="s">
        <v>1076</v>
      </c>
      <c r="F2841" s="3" t="s">
        <v>2041</v>
      </c>
      <c r="G2841" s="3" t="s">
        <v>321</v>
      </c>
      <c r="H2841" s="4" t="s">
        <v>4322</v>
      </c>
    </row>
    <row r="2842" ht="16.5" customHeight="1" spans="1:8">
      <c r="A2842" s="3">
        <v>2841</v>
      </c>
      <c r="B2842" s="3" t="s">
        <v>6863</v>
      </c>
      <c r="C2842" s="3" t="s">
        <v>2163</v>
      </c>
      <c r="D2842" s="4" t="s">
        <v>6864</v>
      </c>
      <c r="E2842" s="3" t="s">
        <v>1076</v>
      </c>
      <c r="F2842" s="3" t="s">
        <v>2041</v>
      </c>
      <c r="G2842" s="3" t="s">
        <v>321</v>
      </c>
      <c r="H2842" s="4" t="s">
        <v>1359</v>
      </c>
    </row>
    <row r="2843" ht="16.5" customHeight="1" spans="1:8">
      <c r="A2843" s="3">
        <v>2842</v>
      </c>
      <c r="B2843" s="3" t="s">
        <v>6865</v>
      </c>
      <c r="C2843" s="3" t="s">
        <v>2163</v>
      </c>
      <c r="D2843" s="4" t="s">
        <v>6866</v>
      </c>
      <c r="E2843" s="3" t="s">
        <v>1076</v>
      </c>
      <c r="F2843" s="3" t="s">
        <v>2041</v>
      </c>
      <c r="G2843" s="3" t="s">
        <v>321</v>
      </c>
      <c r="H2843" s="4" t="s">
        <v>4117</v>
      </c>
    </row>
    <row r="2844" ht="16.5" customHeight="1" spans="1:8">
      <c r="A2844" s="3">
        <v>2843</v>
      </c>
      <c r="B2844" s="3" t="s">
        <v>6867</v>
      </c>
      <c r="C2844" s="3" t="s">
        <v>2163</v>
      </c>
      <c r="D2844" s="4" t="s">
        <v>6868</v>
      </c>
      <c r="E2844" s="3" t="s">
        <v>1076</v>
      </c>
      <c r="F2844" s="3" t="s">
        <v>2041</v>
      </c>
      <c r="G2844" s="3" t="s">
        <v>321</v>
      </c>
      <c r="H2844" s="4" t="s">
        <v>1305</v>
      </c>
    </row>
    <row r="2845" ht="16.5" customHeight="1" spans="1:8">
      <c r="A2845" s="3">
        <v>2844</v>
      </c>
      <c r="B2845" s="3" t="s">
        <v>6869</v>
      </c>
      <c r="C2845" s="3" t="s">
        <v>1356</v>
      </c>
      <c r="D2845" s="4" t="s">
        <v>6870</v>
      </c>
      <c r="E2845" s="3" t="s">
        <v>1076</v>
      </c>
      <c r="F2845" s="3" t="s">
        <v>1719</v>
      </c>
      <c r="G2845" s="3"/>
      <c r="H2845" s="4" t="s">
        <v>1305</v>
      </c>
    </row>
    <row r="2846" ht="16.5" customHeight="1" spans="1:8">
      <c r="A2846" s="3">
        <v>2845</v>
      </c>
      <c r="B2846" s="3" t="s">
        <v>6871</v>
      </c>
      <c r="C2846" s="3" t="s">
        <v>1356</v>
      </c>
      <c r="D2846" s="4" t="s">
        <v>6872</v>
      </c>
      <c r="E2846" s="3" t="s">
        <v>1076</v>
      </c>
      <c r="F2846" s="3" t="s">
        <v>4107</v>
      </c>
      <c r="G2846" s="3"/>
      <c r="H2846" s="4" t="s">
        <v>1078</v>
      </c>
    </row>
    <row r="2847" ht="16.5" customHeight="1" spans="1:8">
      <c r="A2847" s="3">
        <v>2846</v>
      </c>
      <c r="B2847" s="3" t="s">
        <v>6873</v>
      </c>
      <c r="C2847" s="3" t="s">
        <v>1356</v>
      </c>
      <c r="D2847" s="4" t="s">
        <v>6874</v>
      </c>
      <c r="E2847" s="3" t="s">
        <v>2726</v>
      </c>
      <c r="F2847" s="3" t="s">
        <v>4107</v>
      </c>
      <c r="G2847" s="3"/>
      <c r="H2847" s="4" t="s">
        <v>1843</v>
      </c>
    </row>
    <row r="2848" ht="16.5" customHeight="1" spans="1:8">
      <c r="A2848" s="3">
        <v>2847</v>
      </c>
      <c r="B2848" s="3" t="s">
        <v>6875</v>
      </c>
      <c r="C2848" s="3" t="s">
        <v>2163</v>
      </c>
      <c r="D2848" s="4" t="s">
        <v>6876</v>
      </c>
      <c r="E2848" s="3" t="s">
        <v>1076</v>
      </c>
      <c r="F2848" s="3" t="s">
        <v>1358</v>
      </c>
      <c r="G2848" s="3"/>
      <c r="H2848" s="4" t="s">
        <v>6877</v>
      </c>
    </row>
    <row r="2849" ht="16.5" customHeight="1" spans="1:8">
      <c r="A2849" s="3">
        <v>2848</v>
      </c>
      <c r="B2849" s="3" t="s">
        <v>6878</v>
      </c>
      <c r="C2849" s="3" t="s">
        <v>2163</v>
      </c>
      <c r="D2849" s="4" t="s">
        <v>6879</v>
      </c>
      <c r="E2849" s="3" t="s">
        <v>1076</v>
      </c>
      <c r="F2849" s="3" t="s">
        <v>1358</v>
      </c>
      <c r="G2849" s="3" t="s">
        <v>321</v>
      </c>
      <c r="H2849" s="4" t="s">
        <v>2050</v>
      </c>
    </row>
    <row r="2850" ht="16.5" customHeight="1" spans="1:8">
      <c r="A2850" s="3">
        <v>2849</v>
      </c>
      <c r="B2850" s="3" t="s">
        <v>6880</v>
      </c>
      <c r="C2850" s="3" t="s">
        <v>1356</v>
      </c>
      <c r="D2850" s="4" t="s">
        <v>6881</v>
      </c>
      <c r="E2850" s="3" t="s">
        <v>1076</v>
      </c>
      <c r="F2850" s="3" t="s">
        <v>2041</v>
      </c>
      <c r="G2850" s="3" t="s">
        <v>321</v>
      </c>
      <c r="H2850" s="4" t="s">
        <v>4322</v>
      </c>
    </row>
    <row r="2851" ht="16.5" customHeight="1" spans="1:8">
      <c r="A2851" s="3">
        <v>2850</v>
      </c>
      <c r="B2851" s="3" t="s">
        <v>6882</v>
      </c>
      <c r="C2851" s="3" t="s">
        <v>2163</v>
      </c>
      <c r="D2851" s="4" t="s">
        <v>6883</v>
      </c>
      <c r="E2851" s="3" t="s">
        <v>1076</v>
      </c>
      <c r="F2851" s="3" t="s">
        <v>4107</v>
      </c>
      <c r="G2851" s="3"/>
      <c r="H2851" s="4" t="s">
        <v>1305</v>
      </c>
    </row>
    <row r="2852" ht="16.5" customHeight="1" spans="1:8">
      <c r="A2852" s="3">
        <v>2851</v>
      </c>
      <c r="B2852" s="3" t="s">
        <v>6884</v>
      </c>
      <c r="C2852" s="3" t="s">
        <v>1356</v>
      </c>
      <c r="D2852" s="4" t="s">
        <v>6885</v>
      </c>
      <c r="E2852" s="3" t="s">
        <v>1076</v>
      </c>
      <c r="F2852" s="3" t="s">
        <v>1719</v>
      </c>
      <c r="G2852" s="3"/>
      <c r="H2852" s="4" t="s">
        <v>1305</v>
      </c>
    </row>
    <row r="2853" ht="16.5" customHeight="1" spans="1:8">
      <c r="A2853" s="3">
        <v>2852</v>
      </c>
      <c r="B2853" s="3" t="s">
        <v>6886</v>
      </c>
      <c r="C2853" s="3" t="s">
        <v>1356</v>
      </c>
      <c r="D2853" s="4" t="s">
        <v>6887</v>
      </c>
      <c r="E2853" s="3" t="s">
        <v>1076</v>
      </c>
      <c r="F2853" s="3" t="s">
        <v>1719</v>
      </c>
      <c r="G2853" s="3"/>
      <c r="H2853" s="4" t="s">
        <v>1305</v>
      </c>
    </row>
    <row r="2854" ht="16.5" customHeight="1" spans="1:8">
      <c r="A2854" s="3">
        <v>2853</v>
      </c>
      <c r="B2854" s="3" t="s">
        <v>6888</v>
      </c>
      <c r="C2854" s="3" t="s">
        <v>1356</v>
      </c>
      <c r="D2854" s="4" t="s">
        <v>6889</v>
      </c>
      <c r="E2854" s="3" t="s">
        <v>1076</v>
      </c>
      <c r="F2854" s="3" t="s">
        <v>1719</v>
      </c>
      <c r="G2854" s="3"/>
      <c r="H2854" s="4" t="s">
        <v>1305</v>
      </c>
    </row>
    <row r="2855" ht="16.5" customHeight="1" spans="1:8">
      <c r="A2855" s="3">
        <v>2854</v>
      </c>
      <c r="B2855" s="3" t="s">
        <v>6890</v>
      </c>
      <c r="C2855" s="3" t="s">
        <v>1356</v>
      </c>
      <c r="D2855" s="4" t="s">
        <v>6891</v>
      </c>
      <c r="E2855" s="3" t="s">
        <v>1076</v>
      </c>
      <c r="F2855" s="3" t="s">
        <v>6762</v>
      </c>
      <c r="G2855" s="3"/>
      <c r="H2855" s="4" t="s">
        <v>3812</v>
      </c>
    </row>
    <row r="2856" ht="16.5" customHeight="1" spans="1:8">
      <c r="A2856" s="3">
        <v>2855</v>
      </c>
      <c r="B2856" s="3" t="s">
        <v>6892</v>
      </c>
      <c r="C2856" s="3" t="s">
        <v>1356</v>
      </c>
      <c r="D2856" s="4" t="s">
        <v>6893</v>
      </c>
      <c r="E2856" s="3" t="s">
        <v>1076</v>
      </c>
      <c r="F2856" s="3" t="s">
        <v>6762</v>
      </c>
      <c r="G2856" s="3"/>
      <c r="H2856" s="4" t="s">
        <v>3812</v>
      </c>
    </row>
    <row r="2857" ht="16.5" customHeight="1" spans="1:8">
      <c r="A2857" s="3">
        <v>2856</v>
      </c>
      <c r="B2857" s="3" t="s">
        <v>6894</v>
      </c>
      <c r="C2857" s="3" t="s">
        <v>1356</v>
      </c>
      <c r="D2857" s="4" t="s">
        <v>6895</v>
      </c>
      <c r="E2857" s="3" t="s">
        <v>1076</v>
      </c>
      <c r="F2857" s="3" t="s">
        <v>1719</v>
      </c>
      <c r="G2857" s="3"/>
      <c r="H2857" s="4" t="s">
        <v>3463</v>
      </c>
    </row>
    <row r="2858" ht="16.5" customHeight="1" spans="1:8">
      <c r="A2858" s="3">
        <v>2857</v>
      </c>
      <c r="B2858" s="3" t="s">
        <v>6896</v>
      </c>
      <c r="C2858" s="3" t="s">
        <v>2163</v>
      </c>
      <c r="D2858" s="4" t="s">
        <v>6897</v>
      </c>
      <c r="E2858" s="3" t="s">
        <v>1076</v>
      </c>
      <c r="F2858" s="3" t="s">
        <v>1719</v>
      </c>
      <c r="G2858" s="3"/>
      <c r="H2858" s="4" t="s">
        <v>1095</v>
      </c>
    </row>
    <row r="2859" ht="16.5" customHeight="1" spans="1:8">
      <c r="A2859" s="3">
        <v>2858</v>
      </c>
      <c r="B2859" s="3" t="s">
        <v>6898</v>
      </c>
      <c r="C2859" s="3" t="s">
        <v>1356</v>
      </c>
      <c r="D2859" s="4" t="s">
        <v>6899</v>
      </c>
      <c r="E2859" s="3" t="s">
        <v>1076</v>
      </c>
      <c r="F2859" s="3" t="s">
        <v>1358</v>
      </c>
      <c r="G2859" s="3" t="s">
        <v>321</v>
      </c>
      <c r="H2859" s="4" t="s">
        <v>1359</v>
      </c>
    </row>
    <row r="2860" ht="16.5" customHeight="1" spans="1:8">
      <c r="A2860" s="3">
        <v>2859</v>
      </c>
      <c r="B2860" s="3" t="s">
        <v>6900</v>
      </c>
      <c r="C2860" s="3" t="s">
        <v>1356</v>
      </c>
      <c r="D2860" s="4" t="s">
        <v>6901</v>
      </c>
      <c r="E2860" s="3" t="s">
        <v>1076</v>
      </c>
      <c r="F2860" s="3" t="s">
        <v>1358</v>
      </c>
      <c r="G2860" s="3" t="s">
        <v>321</v>
      </c>
      <c r="H2860" s="4" t="s">
        <v>1095</v>
      </c>
    </row>
    <row r="2861" ht="16.5" customHeight="1" spans="1:8">
      <c r="A2861" s="3">
        <v>2860</v>
      </c>
      <c r="B2861" s="3" t="s">
        <v>6902</v>
      </c>
      <c r="C2861" s="3" t="s">
        <v>1356</v>
      </c>
      <c r="D2861" s="4" t="s">
        <v>6903</v>
      </c>
      <c r="E2861" s="3" t="s">
        <v>1164</v>
      </c>
      <c r="F2861" s="3" t="s">
        <v>1358</v>
      </c>
      <c r="G2861" s="3" t="s">
        <v>321</v>
      </c>
      <c r="H2861" s="4" t="s">
        <v>1359</v>
      </c>
    </row>
    <row r="2862" ht="16.5" customHeight="1" spans="1:8">
      <c r="A2862" s="3">
        <v>2861</v>
      </c>
      <c r="B2862" s="3" t="s">
        <v>6904</v>
      </c>
      <c r="C2862" s="3" t="s">
        <v>1356</v>
      </c>
      <c r="D2862" s="4" t="s">
        <v>6905</v>
      </c>
      <c r="E2862" s="3" t="s">
        <v>1076</v>
      </c>
      <c r="F2862" s="3" t="s">
        <v>1358</v>
      </c>
      <c r="G2862" s="3"/>
      <c r="H2862" s="4" t="s">
        <v>1359</v>
      </c>
    </row>
    <row r="2863" ht="16.5" customHeight="1" spans="1:8">
      <c r="A2863" s="3">
        <v>2862</v>
      </c>
      <c r="B2863" s="3" t="s">
        <v>6906</v>
      </c>
      <c r="C2863" s="3" t="s">
        <v>1356</v>
      </c>
      <c r="D2863" s="4" t="s">
        <v>6907</v>
      </c>
      <c r="E2863" s="3" t="s">
        <v>1076</v>
      </c>
      <c r="F2863" s="3" t="s">
        <v>1358</v>
      </c>
      <c r="G2863" s="3"/>
      <c r="H2863" s="4" t="s">
        <v>1359</v>
      </c>
    </row>
    <row r="2864" ht="16.5" customHeight="1" spans="1:8">
      <c r="A2864" s="3">
        <v>2863</v>
      </c>
      <c r="B2864" s="3" t="s">
        <v>6908</v>
      </c>
      <c r="C2864" s="3" t="s">
        <v>2163</v>
      </c>
      <c r="D2864" s="4" t="s">
        <v>6909</v>
      </c>
      <c r="E2864" s="3" t="s">
        <v>1076</v>
      </c>
      <c r="F2864" s="3" t="s">
        <v>1358</v>
      </c>
      <c r="G2864" s="3" t="s">
        <v>321</v>
      </c>
      <c r="H2864" s="4" t="s">
        <v>1359</v>
      </c>
    </row>
    <row r="2865" ht="16.5" customHeight="1" spans="1:8">
      <c r="A2865" s="3">
        <v>2864</v>
      </c>
      <c r="B2865" s="3" t="s">
        <v>6910</v>
      </c>
      <c r="C2865" s="3" t="s">
        <v>2163</v>
      </c>
      <c r="D2865" s="4" t="s">
        <v>6911</v>
      </c>
      <c r="E2865" s="3" t="s">
        <v>1076</v>
      </c>
      <c r="F2865" s="3" t="s">
        <v>2041</v>
      </c>
      <c r="G2865" s="3" t="s">
        <v>321</v>
      </c>
      <c r="H2865" s="4" t="s">
        <v>1368</v>
      </c>
    </row>
    <row r="2866" ht="16.5" customHeight="1" spans="1:8">
      <c r="A2866" s="3">
        <v>2865</v>
      </c>
      <c r="B2866" s="3" t="s">
        <v>6912</v>
      </c>
      <c r="C2866" s="3" t="s">
        <v>2163</v>
      </c>
      <c r="D2866" s="4" t="s">
        <v>6913</v>
      </c>
      <c r="E2866" s="3" t="s">
        <v>1076</v>
      </c>
      <c r="F2866" s="3" t="s">
        <v>2041</v>
      </c>
      <c r="G2866" s="3" t="s">
        <v>321</v>
      </c>
      <c r="H2866" s="4" t="s">
        <v>1305</v>
      </c>
    </row>
    <row r="2867" ht="16.5" customHeight="1" spans="1:8">
      <c r="A2867" s="3">
        <v>2866</v>
      </c>
      <c r="B2867" s="3" t="s">
        <v>6914</v>
      </c>
      <c r="C2867" s="3" t="s">
        <v>1356</v>
      </c>
      <c r="D2867" s="4" t="s">
        <v>6915</v>
      </c>
      <c r="E2867" s="3" t="s">
        <v>1076</v>
      </c>
      <c r="F2867" s="3" t="s">
        <v>4668</v>
      </c>
      <c r="G2867" s="3"/>
      <c r="H2867" s="4" t="s">
        <v>1359</v>
      </c>
    </row>
    <row r="2868" ht="16.5" customHeight="1" spans="1:8">
      <c r="A2868" s="3">
        <v>2867</v>
      </c>
      <c r="B2868" s="3" t="s">
        <v>6916</v>
      </c>
      <c r="C2868" s="3" t="s">
        <v>1356</v>
      </c>
      <c r="D2868" s="4" t="s">
        <v>6917</v>
      </c>
      <c r="E2868" s="3" t="s">
        <v>1076</v>
      </c>
      <c r="F2868" s="3" t="s">
        <v>4668</v>
      </c>
      <c r="G2868" s="3"/>
      <c r="H2868" s="4" t="s">
        <v>3463</v>
      </c>
    </row>
    <row r="2869" ht="16.5" customHeight="1" spans="1:8">
      <c r="A2869" s="3">
        <v>2868</v>
      </c>
      <c r="B2869" s="3" t="s">
        <v>6918</v>
      </c>
      <c r="C2869" s="3" t="s">
        <v>1356</v>
      </c>
      <c r="D2869" s="4" t="s">
        <v>6919</v>
      </c>
      <c r="E2869" s="3" t="s">
        <v>1076</v>
      </c>
      <c r="F2869" s="3" t="s">
        <v>4668</v>
      </c>
      <c r="G2869" s="3"/>
      <c r="H2869" s="4" t="s">
        <v>3354</v>
      </c>
    </row>
    <row r="2870" ht="16.5" customHeight="1" spans="1:8">
      <c r="A2870" s="3">
        <v>2869</v>
      </c>
      <c r="B2870" s="3" t="s">
        <v>6920</v>
      </c>
      <c r="C2870" s="3" t="s">
        <v>1356</v>
      </c>
      <c r="D2870" s="4" t="s">
        <v>6921</v>
      </c>
      <c r="E2870" s="3" t="s">
        <v>1837</v>
      </c>
      <c r="F2870" s="3" t="s">
        <v>4668</v>
      </c>
      <c r="G2870" s="3"/>
      <c r="H2870" s="4" t="s">
        <v>3354</v>
      </c>
    </row>
    <row r="2871" ht="16.5" customHeight="1" spans="1:8">
      <c r="A2871" s="3">
        <v>2870</v>
      </c>
      <c r="B2871" s="3" t="s">
        <v>6922</v>
      </c>
      <c r="C2871" s="3" t="s">
        <v>1356</v>
      </c>
      <c r="D2871" s="4" t="s">
        <v>6923</v>
      </c>
      <c r="E2871" s="3" t="s">
        <v>1076</v>
      </c>
      <c r="F2871" s="3" t="s">
        <v>4668</v>
      </c>
      <c r="G2871" s="3"/>
      <c r="H2871" s="4" t="s">
        <v>1305</v>
      </c>
    </row>
    <row r="2872" ht="16.5" customHeight="1" spans="1:8">
      <c r="A2872" s="3">
        <v>2871</v>
      </c>
      <c r="B2872" s="3" t="s">
        <v>6924</v>
      </c>
      <c r="C2872" s="3" t="s">
        <v>1356</v>
      </c>
      <c r="D2872" s="4" t="s">
        <v>6925</v>
      </c>
      <c r="E2872" s="3" t="s">
        <v>1076</v>
      </c>
      <c r="F2872" s="3" t="s">
        <v>1719</v>
      </c>
      <c r="G2872" s="3"/>
      <c r="H2872" s="4" t="s">
        <v>4322</v>
      </c>
    </row>
    <row r="2873" ht="16.5" customHeight="1" spans="1:8">
      <c r="A2873" s="3">
        <v>2872</v>
      </c>
      <c r="B2873" s="3" t="s">
        <v>6926</v>
      </c>
      <c r="C2873" s="3" t="s">
        <v>1105</v>
      </c>
      <c r="D2873" s="4" t="s">
        <v>6927</v>
      </c>
      <c r="E2873" s="3" t="s">
        <v>1076</v>
      </c>
      <c r="F2873" s="3" t="s">
        <v>4668</v>
      </c>
      <c r="G2873" s="3"/>
      <c r="H2873" s="4" t="s">
        <v>4008</v>
      </c>
    </row>
    <row r="2874" ht="16.5" customHeight="1" spans="1:8">
      <c r="A2874" s="3">
        <v>2873</v>
      </c>
      <c r="B2874" s="3" t="s">
        <v>6928</v>
      </c>
      <c r="C2874" s="3" t="s">
        <v>1356</v>
      </c>
      <c r="D2874" s="4" t="s">
        <v>6929</v>
      </c>
      <c r="E2874" s="3" t="s">
        <v>1076</v>
      </c>
      <c r="F2874" s="3" t="s">
        <v>4668</v>
      </c>
      <c r="G2874" s="3"/>
      <c r="H2874" s="4" t="s">
        <v>1078</v>
      </c>
    </row>
    <row r="2875" ht="16.5" customHeight="1" spans="1:8">
      <c r="A2875" s="3">
        <v>2874</v>
      </c>
      <c r="B2875" s="3" t="s">
        <v>6930</v>
      </c>
      <c r="C2875" s="3" t="s">
        <v>1356</v>
      </c>
      <c r="D2875" s="4" t="s">
        <v>6931</v>
      </c>
      <c r="E2875" s="3" t="s">
        <v>1076</v>
      </c>
      <c r="F2875" s="3" t="s">
        <v>4668</v>
      </c>
      <c r="G2875" s="3"/>
      <c r="H2875" s="4" t="s">
        <v>3463</v>
      </c>
    </row>
    <row r="2876" ht="16.5" customHeight="1" spans="1:8">
      <c r="A2876" s="3">
        <v>2875</v>
      </c>
      <c r="B2876" s="3" t="s">
        <v>6932</v>
      </c>
      <c r="C2876" s="3" t="s">
        <v>2163</v>
      </c>
      <c r="D2876" s="4" t="s">
        <v>6933</v>
      </c>
      <c r="E2876" s="3" t="s">
        <v>1076</v>
      </c>
      <c r="F2876" s="3" t="s">
        <v>1358</v>
      </c>
      <c r="G2876" s="3"/>
      <c r="H2876" s="4" t="s">
        <v>1359</v>
      </c>
    </row>
    <row r="2877" ht="16.5" customHeight="1" spans="1:8">
      <c r="A2877" s="3">
        <v>2876</v>
      </c>
      <c r="B2877" s="3" t="s">
        <v>6934</v>
      </c>
      <c r="C2877" s="3" t="s">
        <v>1356</v>
      </c>
      <c r="D2877" s="4" t="s">
        <v>6935</v>
      </c>
      <c r="E2877" s="3" t="s">
        <v>1076</v>
      </c>
      <c r="F2877" s="3" t="s">
        <v>1719</v>
      </c>
      <c r="G2877" s="3"/>
      <c r="H2877" s="4" t="s">
        <v>3351</v>
      </c>
    </row>
    <row r="2878" ht="16.5" customHeight="1" spans="1:8">
      <c r="A2878" s="3">
        <v>2877</v>
      </c>
      <c r="B2878" s="3" t="s">
        <v>6936</v>
      </c>
      <c r="C2878" s="3" t="s">
        <v>2163</v>
      </c>
      <c r="D2878" s="4" t="s">
        <v>6937</v>
      </c>
      <c r="E2878" s="3" t="s">
        <v>1076</v>
      </c>
      <c r="F2878" s="3" t="s">
        <v>1358</v>
      </c>
      <c r="G2878" s="3" t="s">
        <v>321</v>
      </c>
      <c r="H2878" s="4" t="s">
        <v>1368</v>
      </c>
    </row>
    <row r="2879" ht="16.5" customHeight="1" spans="1:8">
      <c r="A2879" s="3">
        <v>2878</v>
      </c>
      <c r="B2879" s="3" t="s">
        <v>6938</v>
      </c>
      <c r="C2879" s="3" t="s">
        <v>2163</v>
      </c>
      <c r="D2879" s="4" t="s">
        <v>6939</v>
      </c>
      <c r="E2879" s="3" t="s">
        <v>2263</v>
      </c>
      <c r="F2879" s="3" t="s">
        <v>1358</v>
      </c>
      <c r="G2879" s="3" t="s">
        <v>321</v>
      </c>
      <c r="H2879" s="4" t="s">
        <v>6940</v>
      </c>
    </row>
    <row r="2880" ht="16.5" customHeight="1" spans="1:8">
      <c r="A2880" s="3">
        <v>2879</v>
      </c>
      <c r="B2880" s="3" t="s">
        <v>6941</v>
      </c>
      <c r="C2880" s="3" t="s">
        <v>2163</v>
      </c>
      <c r="D2880" s="4" t="s">
        <v>6942</v>
      </c>
      <c r="E2880" s="3" t="s">
        <v>1076</v>
      </c>
      <c r="F2880" s="3" t="s">
        <v>1358</v>
      </c>
      <c r="G2880" s="3" t="s">
        <v>321</v>
      </c>
      <c r="H2880" s="4" t="s">
        <v>1095</v>
      </c>
    </row>
    <row r="2881" ht="16.5" customHeight="1" spans="1:8">
      <c r="A2881" s="3">
        <v>2880</v>
      </c>
      <c r="B2881" s="3" t="s">
        <v>6943</v>
      </c>
      <c r="C2881" s="3" t="s">
        <v>2163</v>
      </c>
      <c r="D2881" s="4" t="s">
        <v>6944</v>
      </c>
      <c r="E2881" s="3" t="s">
        <v>1076</v>
      </c>
      <c r="F2881" s="3" t="s">
        <v>1358</v>
      </c>
      <c r="G2881" s="3"/>
      <c r="H2881" s="4" t="s">
        <v>1095</v>
      </c>
    </row>
    <row r="2882" ht="16.5" customHeight="1" spans="1:8">
      <c r="A2882" s="3">
        <v>2881</v>
      </c>
      <c r="B2882" s="3" t="s">
        <v>6945</v>
      </c>
      <c r="C2882" s="3" t="s">
        <v>2163</v>
      </c>
      <c r="D2882" s="4" t="s">
        <v>6946</v>
      </c>
      <c r="E2882" s="3" t="s">
        <v>1076</v>
      </c>
      <c r="F2882" s="3" t="s">
        <v>1358</v>
      </c>
      <c r="G2882" s="3" t="s">
        <v>321</v>
      </c>
      <c r="H2882" s="4" t="s">
        <v>1368</v>
      </c>
    </row>
    <row r="2883" ht="16.5" customHeight="1" spans="1:8">
      <c r="A2883" s="3">
        <v>2882</v>
      </c>
      <c r="B2883" s="3" t="s">
        <v>6947</v>
      </c>
      <c r="C2883" s="3" t="s">
        <v>2163</v>
      </c>
      <c r="D2883" s="4" t="s">
        <v>6948</v>
      </c>
      <c r="E2883" s="3" t="s">
        <v>1076</v>
      </c>
      <c r="F2883" s="3" t="s">
        <v>1358</v>
      </c>
      <c r="G2883" s="3"/>
      <c r="H2883" s="4" t="s">
        <v>1095</v>
      </c>
    </row>
    <row r="2884" ht="16.5" customHeight="1" spans="1:8">
      <c r="A2884" s="3">
        <v>2883</v>
      </c>
      <c r="B2884" s="3" t="s">
        <v>6949</v>
      </c>
      <c r="C2884" s="3" t="s">
        <v>2163</v>
      </c>
      <c r="D2884" s="4" t="s">
        <v>6950</v>
      </c>
      <c r="E2884" s="3" t="s">
        <v>1076</v>
      </c>
      <c r="F2884" s="3" t="s">
        <v>1358</v>
      </c>
      <c r="G2884" s="3" t="s">
        <v>321</v>
      </c>
      <c r="H2884" s="4" t="s">
        <v>1883</v>
      </c>
    </row>
    <row r="2885" ht="16.5" customHeight="1" spans="1:8">
      <c r="A2885" s="3">
        <v>2884</v>
      </c>
      <c r="B2885" s="3" t="s">
        <v>6951</v>
      </c>
      <c r="C2885" s="3" t="s">
        <v>1356</v>
      </c>
      <c r="D2885" s="4" t="s">
        <v>6952</v>
      </c>
      <c r="E2885" s="3" t="s">
        <v>1076</v>
      </c>
      <c r="F2885" s="3" t="s">
        <v>4668</v>
      </c>
      <c r="G2885" s="3"/>
      <c r="H2885" s="4" t="s">
        <v>4322</v>
      </c>
    </row>
    <row r="2886" ht="16.5" customHeight="1" spans="1:8">
      <c r="A2886" s="3">
        <v>2885</v>
      </c>
      <c r="B2886" s="3" t="s">
        <v>6953</v>
      </c>
      <c r="C2886" s="3" t="s">
        <v>1356</v>
      </c>
      <c r="D2886" s="4" t="s">
        <v>6954</v>
      </c>
      <c r="E2886" s="3" t="s">
        <v>1076</v>
      </c>
      <c r="F2886" s="3" t="s">
        <v>1358</v>
      </c>
      <c r="G2886" s="3"/>
      <c r="H2886" s="4" t="s">
        <v>1359</v>
      </c>
    </row>
    <row r="2887" ht="16.5" customHeight="1" spans="1:8">
      <c r="A2887" s="3">
        <v>2886</v>
      </c>
      <c r="B2887" s="3" t="s">
        <v>6955</v>
      </c>
      <c r="C2887" s="3" t="s">
        <v>1356</v>
      </c>
      <c r="D2887" s="4" t="s">
        <v>6956</v>
      </c>
      <c r="E2887" s="3" t="s">
        <v>1076</v>
      </c>
      <c r="F2887" s="3" t="s">
        <v>1358</v>
      </c>
      <c r="G2887" s="3"/>
      <c r="H2887" s="4" t="s">
        <v>1359</v>
      </c>
    </row>
    <row r="2888" ht="16.5" customHeight="1" spans="1:8">
      <c r="A2888" s="3">
        <v>2887</v>
      </c>
      <c r="B2888" s="3" t="s">
        <v>6957</v>
      </c>
      <c r="C2888" s="3" t="s">
        <v>1356</v>
      </c>
      <c r="D2888" s="4" t="s">
        <v>6958</v>
      </c>
      <c r="E2888" s="3" t="s">
        <v>1076</v>
      </c>
      <c r="F2888" s="3" t="s">
        <v>1719</v>
      </c>
      <c r="G2888" s="3"/>
      <c r="H2888" s="4" t="s">
        <v>1095</v>
      </c>
    </row>
    <row r="2889" ht="16.5" customHeight="1" spans="1:8">
      <c r="A2889" s="3">
        <v>2888</v>
      </c>
      <c r="B2889" s="3" t="s">
        <v>6959</v>
      </c>
      <c r="C2889" s="3" t="s">
        <v>1074</v>
      </c>
      <c r="D2889" s="4" t="s">
        <v>6960</v>
      </c>
      <c r="E2889" s="3" t="s">
        <v>1076</v>
      </c>
      <c r="F2889" s="3" t="s">
        <v>4668</v>
      </c>
      <c r="G2889" s="3"/>
      <c r="H2889" s="4" t="s">
        <v>6740</v>
      </c>
    </row>
    <row r="2890" ht="16.5" customHeight="1" spans="1:8">
      <c r="A2890" s="3">
        <v>2889</v>
      </c>
      <c r="B2890" s="3" t="s">
        <v>6961</v>
      </c>
      <c r="C2890" s="3" t="s">
        <v>1356</v>
      </c>
      <c r="D2890" s="4" t="s">
        <v>6962</v>
      </c>
      <c r="E2890" s="3" t="s">
        <v>1076</v>
      </c>
      <c r="F2890" s="3" t="s">
        <v>4668</v>
      </c>
      <c r="G2890" s="3"/>
      <c r="H2890" s="4" t="s">
        <v>1078</v>
      </c>
    </row>
    <row r="2891" ht="16.5" customHeight="1" spans="1:8">
      <c r="A2891" s="3">
        <v>2890</v>
      </c>
      <c r="B2891" s="3" t="s">
        <v>6963</v>
      </c>
      <c r="C2891" s="3" t="s">
        <v>6964</v>
      </c>
      <c r="D2891" s="4" t="s">
        <v>6965</v>
      </c>
      <c r="E2891" s="3" t="s">
        <v>1076</v>
      </c>
      <c r="F2891" s="3" t="s">
        <v>4668</v>
      </c>
      <c r="G2891" s="3"/>
      <c r="H2891" s="4" t="s">
        <v>6966</v>
      </c>
    </row>
    <row r="2892" ht="16.5" customHeight="1" spans="1:8">
      <c r="A2892" s="3">
        <v>2891</v>
      </c>
      <c r="B2892" s="3" t="s">
        <v>6967</v>
      </c>
      <c r="C2892" s="3" t="s">
        <v>6964</v>
      </c>
      <c r="D2892" s="4" t="s">
        <v>6968</v>
      </c>
      <c r="E2892" s="3" t="s">
        <v>1076</v>
      </c>
      <c r="F2892" s="3" t="s">
        <v>4668</v>
      </c>
      <c r="G2892" s="3"/>
      <c r="H2892" s="4" t="s">
        <v>6966</v>
      </c>
    </row>
    <row r="2893" ht="16.5" customHeight="1" spans="1:8">
      <c r="A2893" s="3">
        <v>2892</v>
      </c>
      <c r="B2893" s="3" t="s">
        <v>6969</v>
      </c>
      <c r="C2893" s="3" t="s">
        <v>2163</v>
      </c>
      <c r="D2893" s="4" t="s">
        <v>6970</v>
      </c>
      <c r="E2893" s="3" t="s">
        <v>2726</v>
      </c>
      <c r="F2893" s="3" t="s">
        <v>1358</v>
      </c>
      <c r="G2893" s="3" t="s">
        <v>321</v>
      </c>
      <c r="H2893" s="4" t="s">
        <v>1305</v>
      </c>
    </row>
    <row r="2894" ht="16.5" customHeight="1" spans="1:8">
      <c r="A2894" s="3">
        <v>2893</v>
      </c>
      <c r="B2894" s="3" t="s">
        <v>6971</v>
      </c>
      <c r="C2894" s="3" t="s">
        <v>1361</v>
      </c>
      <c r="D2894" s="4" t="s">
        <v>6972</v>
      </c>
      <c r="E2894" s="3" t="s">
        <v>1218</v>
      </c>
      <c r="F2894" s="3" t="s">
        <v>1358</v>
      </c>
      <c r="G2894" s="3"/>
      <c r="H2894" s="4"/>
    </row>
    <row r="2895" ht="16.5" customHeight="1" spans="1:8">
      <c r="A2895" s="3">
        <v>2894</v>
      </c>
      <c r="B2895" s="3" t="s">
        <v>6973</v>
      </c>
      <c r="C2895" s="3" t="s">
        <v>1356</v>
      </c>
      <c r="D2895" s="4" t="s">
        <v>6974</v>
      </c>
      <c r="E2895" s="3" t="s">
        <v>1076</v>
      </c>
      <c r="F2895" s="3" t="s">
        <v>1358</v>
      </c>
      <c r="G2895" s="3"/>
      <c r="H2895" s="4" t="s">
        <v>1359</v>
      </c>
    </row>
    <row r="2896" ht="16.5" customHeight="1" spans="1:8">
      <c r="A2896" s="3">
        <v>2895</v>
      </c>
      <c r="B2896" s="3" t="s">
        <v>6975</v>
      </c>
      <c r="C2896" s="3" t="s">
        <v>1356</v>
      </c>
      <c r="D2896" s="4" t="s">
        <v>6976</v>
      </c>
      <c r="E2896" s="3" t="s">
        <v>1076</v>
      </c>
      <c r="F2896" s="3" t="s">
        <v>1358</v>
      </c>
      <c r="G2896" s="3"/>
      <c r="H2896" s="4" t="s">
        <v>1095</v>
      </c>
    </row>
    <row r="2897" ht="16.5" customHeight="1" spans="1:8">
      <c r="A2897" s="3">
        <v>2896</v>
      </c>
      <c r="B2897" s="3" t="s">
        <v>6977</v>
      </c>
      <c r="C2897" s="3" t="s">
        <v>1356</v>
      </c>
      <c r="D2897" s="4" t="s">
        <v>6978</v>
      </c>
      <c r="E2897" s="3" t="s">
        <v>1076</v>
      </c>
      <c r="F2897" s="3" t="s">
        <v>1358</v>
      </c>
      <c r="G2897" s="3"/>
      <c r="H2897" s="4" t="s">
        <v>4322</v>
      </c>
    </row>
    <row r="2898" ht="16.5" customHeight="1" spans="1:8">
      <c r="A2898" s="3">
        <v>2897</v>
      </c>
      <c r="B2898" s="3" t="s">
        <v>6979</v>
      </c>
      <c r="C2898" s="3" t="s">
        <v>2163</v>
      </c>
      <c r="D2898" s="4" t="s">
        <v>6980</v>
      </c>
      <c r="E2898" s="3" t="s">
        <v>1076</v>
      </c>
      <c r="F2898" s="3" t="s">
        <v>1358</v>
      </c>
      <c r="G2898" s="3"/>
      <c r="H2898" s="4" t="s">
        <v>1883</v>
      </c>
    </row>
    <row r="2899" ht="16.5" customHeight="1" spans="1:8">
      <c r="A2899" s="3">
        <v>2898</v>
      </c>
      <c r="B2899" s="3" t="s">
        <v>6981</v>
      </c>
      <c r="C2899" s="3" t="s">
        <v>1105</v>
      </c>
      <c r="D2899" s="4" t="s">
        <v>6982</v>
      </c>
      <c r="E2899" s="3" t="s">
        <v>1076</v>
      </c>
      <c r="F2899" s="3" t="s">
        <v>4120</v>
      </c>
      <c r="G2899" s="3"/>
      <c r="H2899" s="4" t="s">
        <v>6983</v>
      </c>
    </row>
    <row r="2900" ht="16.5" customHeight="1" spans="1:8">
      <c r="A2900" s="3">
        <v>2899</v>
      </c>
      <c r="B2900" s="3" t="s">
        <v>6984</v>
      </c>
      <c r="C2900" s="3" t="s">
        <v>1356</v>
      </c>
      <c r="D2900" s="4" t="s">
        <v>6985</v>
      </c>
      <c r="E2900" s="3" t="s">
        <v>1076</v>
      </c>
      <c r="F2900" s="3" t="s">
        <v>1358</v>
      </c>
      <c r="G2900" s="3"/>
      <c r="H2900" s="4" t="s">
        <v>1359</v>
      </c>
    </row>
    <row r="2901" ht="16.5" customHeight="1" spans="1:8">
      <c r="A2901" s="3">
        <v>2900</v>
      </c>
      <c r="B2901" s="3" t="s">
        <v>6986</v>
      </c>
      <c r="C2901" s="3" t="s">
        <v>2163</v>
      </c>
      <c r="D2901" s="4" t="s">
        <v>6987</v>
      </c>
      <c r="E2901" s="3" t="s">
        <v>1076</v>
      </c>
      <c r="F2901" s="3" t="s">
        <v>1358</v>
      </c>
      <c r="G2901" s="3" t="s">
        <v>321</v>
      </c>
      <c r="H2901" s="4" t="s">
        <v>1095</v>
      </c>
    </row>
    <row r="2902" ht="16.5" customHeight="1" spans="1:8">
      <c r="A2902" s="3">
        <v>2901</v>
      </c>
      <c r="B2902" s="3" t="s">
        <v>6988</v>
      </c>
      <c r="C2902" s="3" t="s">
        <v>1356</v>
      </c>
      <c r="D2902" s="4" t="s">
        <v>6989</v>
      </c>
      <c r="E2902" s="3" t="s">
        <v>1076</v>
      </c>
      <c r="F2902" s="3" t="s">
        <v>4107</v>
      </c>
      <c r="G2902" s="3"/>
      <c r="H2902" s="4" t="s">
        <v>1305</v>
      </c>
    </row>
    <row r="2903" ht="16.5" customHeight="1" spans="1:8">
      <c r="A2903" s="3">
        <v>2902</v>
      </c>
      <c r="B2903" s="3" t="s">
        <v>6990</v>
      </c>
      <c r="C2903" s="3" t="s">
        <v>1356</v>
      </c>
      <c r="D2903" s="4" t="s">
        <v>6956</v>
      </c>
      <c r="E2903" s="3" t="s">
        <v>1076</v>
      </c>
      <c r="F2903" s="3" t="s">
        <v>1358</v>
      </c>
      <c r="G2903" s="3"/>
      <c r="H2903" s="4" t="s">
        <v>1359</v>
      </c>
    </row>
    <row r="2904" ht="16.5" customHeight="1" spans="1:8">
      <c r="A2904" s="3">
        <v>2903</v>
      </c>
      <c r="B2904" s="3" t="s">
        <v>6991</v>
      </c>
      <c r="C2904" s="3" t="s">
        <v>1356</v>
      </c>
      <c r="D2904" s="4" t="s">
        <v>5840</v>
      </c>
      <c r="E2904" s="3" t="s">
        <v>1076</v>
      </c>
      <c r="F2904" s="3" t="s">
        <v>1358</v>
      </c>
      <c r="G2904" s="3"/>
      <c r="H2904" s="4" t="s">
        <v>1359</v>
      </c>
    </row>
    <row r="2905" ht="16.5" customHeight="1" spans="1:8">
      <c r="A2905" s="3">
        <v>2904</v>
      </c>
      <c r="B2905" s="3" t="s">
        <v>6992</v>
      </c>
      <c r="C2905" s="3" t="s">
        <v>1361</v>
      </c>
      <c r="D2905" s="4" t="s">
        <v>6993</v>
      </c>
      <c r="E2905" s="3" t="s">
        <v>1218</v>
      </c>
      <c r="F2905" s="3" t="s">
        <v>6994</v>
      </c>
      <c r="G2905" s="3"/>
      <c r="H2905" s="4"/>
    </row>
    <row r="2906" ht="16.5" customHeight="1" spans="1:8">
      <c r="A2906" s="3">
        <v>2905</v>
      </c>
      <c r="B2906" s="3" t="s">
        <v>6995</v>
      </c>
      <c r="C2906" s="3" t="s">
        <v>6377</v>
      </c>
      <c r="D2906" s="4" t="s">
        <v>6996</v>
      </c>
      <c r="E2906" s="3" t="s">
        <v>1076</v>
      </c>
      <c r="F2906" s="3" t="s">
        <v>4668</v>
      </c>
      <c r="G2906" s="3"/>
      <c r="H2906" s="4" t="s">
        <v>4322</v>
      </c>
    </row>
    <row r="2907" ht="16.5" customHeight="1" spans="1:8">
      <c r="A2907" s="3">
        <v>2906</v>
      </c>
      <c r="B2907" s="3" t="s">
        <v>6997</v>
      </c>
      <c r="C2907" s="3" t="s">
        <v>2163</v>
      </c>
      <c r="D2907" s="4" t="s">
        <v>6998</v>
      </c>
      <c r="E2907" s="3" t="s">
        <v>1076</v>
      </c>
      <c r="F2907" s="3" t="s">
        <v>1358</v>
      </c>
      <c r="G2907" s="3"/>
      <c r="H2907" s="4" t="s">
        <v>1883</v>
      </c>
    </row>
    <row r="2908" ht="16.5" customHeight="1" spans="1:8">
      <c r="A2908" s="3">
        <v>2907</v>
      </c>
      <c r="B2908" s="3" t="s">
        <v>6999</v>
      </c>
      <c r="C2908" s="3" t="s">
        <v>2163</v>
      </c>
      <c r="D2908" s="4" t="s">
        <v>7000</v>
      </c>
      <c r="E2908" s="3" t="s">
        <v>1076</v>
      </c>
      <c r="F2908" s="3" t="s">
        <v>1358</v>
      </c>
      <c r="G2908" s="3" t="s">
        <v>321</v>
      </c>
      <c r="H2908" s="4" t="s">
        <v>1368</v>
      </c>
    </row>
    <row r="2909" ht="16.5" customHeight="1" spans="1:8">
      <c r="A2909" s="3">
        <v>2908</v>
      </c>
      <c r="B2909" s="3" t="s">
        <v>7001</v>
      </c>
      <c r="C2909" s="3" t="s">
        <v>6377</v>
      </c>
      <c r="D2909" s="4" t="s">
        <v>7002</v>
      </c>
      <c r="E2909" s="3" t="s">
        <v>1218</v>
      </c>
      <c r="F2909" s="3" t="s">
        <v>4668</v>
      </c>
      <c r="G2909" s="3"/>
      <c r="H2909" s="4" t="s">
        <v>1843</v>
      </c>
    </row>
    <row r="2910" ht="16.5" customHeight="1" spans="1:8">
      <c r="A2910" s="3">
        <v>2909</v>
      </c>
      <c r="B2910" s="3" t="s">
        <v>7003</v>
      </c>
      <c r="C2910" s="3" t="s">
        <v>2163</v>
      </c>
      <c r="D2910" s="4" t="s">
        <v>7004</v>
      </c>
      <c r="E2910" s="3" t="s">
        <v>1076</v>
      </c>
      <c r="F2910" s="3" t="s">
        <v>1358</v>
      </c>
      <c r="G2910" s="3" t="s">
        <v>321</v>
      </c>
      <c r="H2910" s="4" t="s">
        <v>1359</v>
      </c>
    </row>
    <row r="2911" ht="16.5" customHeight="1" spans="1:8">
      <c r="A2911" s="3">
        <v>2910</v>
      </c>
      <c r="B2911" s="3" t="s">
        <v>7005</v>
      </c>
      <c r="C2911" s="3" t="s">
        <v>2163</v>
      </c>
      <c r="D2911" s="4" t="s">
        <v>7006</v>
      </c>
      <c r="E2911" s="3" t="s">
        <v>7007</v>
      </c>
      <c r="F2911" s="3" t="s">
        <v>1358</v>
      </c>
      <c r="G2911" s="3" t="s">
        <v>321</v>
      </c>
      <c r="H2911" s="4" t="s">
        <v>1368</v>
      </c>
    </row>
    <row r="2912" ht="16.5" customHeight="1" spans="1:8">
      <c r="A2912" s="3">
        <v>2911</v>
      </c>
      <c r="B2912" s="3" t="s">
        <v>7008</v>
      </c>
      <c r="C2912" s="3" t="s">
        <v>2163</v>
      </c>
      <c r="D2912" s="4" t="s">
        <v>7009</v>
      </c>
      <c r="E2912" s="3" t="s">
        <v>1076</v>
      </c>
      <c r="F2912" s="3" t="s">
        <v>2041</v>
      </c>
      <c r="G2912" s="3" t="s">
        <v>321</v>
      </c>
      <c r="H2912" s="4" t="s">
        <v>1305</v>
      </c>
    </row>
    <row r="2913" ht="16.5" customHeight="1" spans="1:8">
      <c r="A2913" s="3">
        <v>2912</v>
      </c>
      <c r="B2913" s="3" t="s">
        <v>7010</v>
      </c>
      <c r="C2913" s="3" t="s">
        <v>1356</v>
      </c>
      <c r="D2913" s="4" t="s">
        <v>7011</v>
      </c>
      <c r="E2913" s="3" t="s">
        <v>1076</v>
      </c>
      <c r="F2913" s="3" t="s">
        <v>2321</v>
      </c>
      <c r="G2913" s="3" t="s">
        <v>321</v>
      </c>
      <c r="H2913" s="4" t="s">
        <v>1359</v>
      </c>
    </row>
    <row r="2914" ht="16.5" customHeight="1" spans="1:8">
      <c r="A2914" s="3">
        <v>2913</v>
      </c>
      <c r="B2914" s="3" t="s">
        <v>7012</v>
      </c>
      <c r="C2914" s="3" t="s">
        <v>1356</v>
      </c>
      <c r="D2914" s="4" t="s">
        <v>7013</v>
      </c>
      <c r="E2914" s="3" t="s">
        <v>1076</v>
      </c>
      <c r="F2914" s="3" t="s">
        <v>4668</v>
      </c>
      <c r="G2914" s="3"/>
      <c r="H2914" s="4" t="s">
        <v>1095</v>
      </c>
    </row>
    <row r="2915" ht="16.5" customHeight="1" spans="1:8">
      <c r="A2915" s="3">
        <v>2914</v>
      </c>
      <c r="B2915" s="3" t="s">
        <v>7014</v>
      </c>
      <c r="C2915" s="3" t="s">
        <v>2163</v>
      </c>
      <c r="D2915" s="4" t="s">
        <v>7015</v>
      </c>
      <c r="E2915" s="3" t="s">
        <v>1076</v>
      </c>
      <c r="F2915" s="3" t="s">
        <v>4668</v>
      </c>
      <c r="G2915" s="3"/>
      <c r="H2915" s="4" t="s">
        <v>3351</v>
      </c>
    </row>
    <row r="2916" ht="16.5" customHeight="1" spans="1:8">
      <c r="A2916" s="3">
        <v>2915</v>
      </c>
      <c r="B2916" s="3" t="s">
        <v>7016</v>
      </c>
      <c r="C2916" s="3" t="s">
        <v>1074</v>
      </c>
      <c r="D2916" s="4" t="s">
        <v>7017</v>
      </c>
      <c r="E2916" s="3" t="s">
        <v>1218</v>
      </c>
      <c r="F2916" s="3" t="s">
        <v>4668</v>
      </c>
      <c r="G2916" s="3"/>
      <c r="H2916" s="4" t="s">
        <v>5396</v>
      </c>
    </row>
    <row r="2917" ht="16.5" customHeight="1" spans="1:8">
      <c r="A2917" s="3">
        <v>2916</v>
      </c>
      <c r="B2917" s="3" t="s">
        <v>7018</v>
      </c>
      <c r="C2917" s="3" t="s">
        <v>1074</v>
      </c>
      <c r="D2917" s="4" t="s">
        <v>7019</v>
      </c>
      <c r="E2917" s="3" t="s">
        <v>1218</v>
      </c>
      <c r="F2917" s="3" t="s">
        <v>4668</v>
      </c>
      <c r="G2917" s="3"/>
      <c r="H2917" s="4" t="s">
        <v>7020</v>
      </c>
    </row>
    <row r="2918" ht="16.5" customHeight="1" spans="1:8">
      <c r="A2918" s="3">
        <v>2917</v>
      </c>
      <c r="B2918" s="3" t="s">
        <v>7021</v>
      </c>
      <c r="C2918" s="3" t="s">
        <v>1356</v>
      </c>
      <c r="D2918" s="4" t="s">
        <v>7022</v>
      </c>
      <c r="E2918" s="3" t="s">
        <v>1076</v>
      </c>
      <c r="F2918" s="3" t="s">
        <v>4668</v>
      </c>
      <c r="G2918" s="3"/>
      <c r="H2918" s="4" t="s">
        <v>1305</v>
      </c>
    </row>
    <row r="2919" ht="16.5" customHeight="1" spans="1:8">
      <c r="A2919" s="3">
        <v>2918</v>
      </c>
      <c r="B2919" s="3" t="s">
        <v>7023</v>
      </c>
      <c r="C2919" s="3" t="s">
        <v>1356</v>
      </c>
      <c r="D2919" s="4" t="s">
        <v>7024</v>
      </c>
      <c r="E2919" s="3" t="s">
        <v>1076</v>
      </c>
      <c r="F2919" s="3" t="s">
        <v>4668</v>
      </c>
      <c r="G2919" s="3"/>
      <c r="H2919" s="4" t="s">
        <v>3351</v>
      </c>
    </row>
    <row r="2920" ht="16.5" customHeight="1" spans="1:8">
      <c r="A2920" s="3">
        <v>2919</v>
      </c>
      <c r="B2920" s="3" t="s">
        <v>7025</v>
      </c>
      <c r="C2920" s="3" t="s">
        <v>1356</v>
      </c>
      <c r="D2920" s="4" t="s">
        <v>7026</v>
      </c>
      <c r="E2920" s="3" t="s">
        <v>1076</v>
      </c>
      <c r="F2920" s="3" t="s">
        <v>4668</v>
      </c>
      <c r="G2920" s="3"/>
      <c r="H2920" s="4" t="s">
        <v>1305</v>
      </c>
    </row>
    <row r="2921" ht="16.5" customHeight="1" spans="1:8">
      <c r="A2921" s="3">
        <v>2920</v>
      </c>
      <c r="B2921" s="3" t="s">
        <v>7027</v>
      </c>
      <c r="C2921" s="3" t="s">
        <v>1356</v>
      </c>
      <c r="D2921" s="4" t="s">
        <v>7028</v>
      </c>
      <c r="E2921" s="3" t="s">
        <v>1076</v>
      </c>
      <c r="F2921" s="3" t="s">
        <v>4668</v>
      </c>
      <c r="G2921" s="3"/>
      <c r="H2921" s="4" t="s">
        <v>1305</v>
      </c>
    </row>
    <row r="2922" ht="16.5" customHeight="1" spans="1:8">
      <c r="A2922" s="3">
        <v>2921</v>
      </c>
      <c r="B2922" s="3" t="s">
        <v>7029</v>
      </c>
      <c r="C2922" s="3" t="s">
        <v>1356</v>
      </c>
      <c r="D2922" s="4" t="s">
        <v>7030</v>
      </c>
      <c r="E2922" s="3" t="s">
        <v>1076</v>
      </c>
      <c r="F2922" s="3" t="s">
        <v>4668</v>
      </c>
      <c r="G2922" s="3"/>
      <c r="H2922" s="4" t="s">
        <v>1305</v>
      </c>
    </row>
    <row r="2923" ht="16.5" customHeight="1" spans="1:8">
      <c r="A2923" s="3">
        <v>2922</v>
      </c>
      <c r="B2923" s="3" t="s">
        <v>7031</v>
      </c>
      <c r="C2923" s="3" t="s">
        <v>1356</v>
      </c>
      <c r="D2923" s="4" t="s">
        <v>7032</v>
      </c>
      <c r="E2923" s="3" t="s">
        <v>1076</v>
      </c>
      <c r="F2923" s="3" t="s">
        <v>4668</v>
      </c>
      <c r="G2923" s="3"/>
      <c r="H2923" s="4" t="s">
        <v>1305</v>
      </c>
    </row>
    <row r="2924" ht="16.5" customHeight="1" spans="1:8">
      <c r="A2924" s="3">
        <v>2923</v>
      </c>
      <c r="B2924" s="3" t="s">
        <v>7033</v>
      </c>
      <c r="C2924" s="3" t="s">
        <v>1356</v>
      </c>
      <c r="D2924" s="4" t="s">
        <v>7034</v>
      </c>
      <c r="E2924" s="3" t="s">
        <v>1076</v>
      </c>
      <c r="F2924" s="3" t="s">
        <v>4668</v>
      </c>
      <c r="G2924" s="3"/>
      <c r="H2924" s="4" t="s">
        <v>1305</v>
      </c>
    </row>
    <row r="2925" ht="16.5" customHeight="1" spans="1:8">
      <c r="A2925" s="3">
        <v>2924</v>
      </c>
      <c r="B2925" s="3" t="s">
        <v>7035</v>
      </c>
      <c r="C2925" s="3" t="s">
        <v>1356</v>
      </c>
      <c r="D2925" s="4" t="s">
        <v>7036</v>
      </c>
      <c r="E2925" s="3" t="s">
        <v>1076</v>
      </c>
      <c r="F2925" s="3" t="s">
        <v>4668</v>
      </c>
      <c r="G2925" s="3"/>
      <c r="H2925" s="4" t="s">
        <v>1305</v>
      </c>
    </row>
    <row r="2926" ht="16.5" customHeight="1" spans="1:8">
      <c r="A2926" s="3">
        <v>2925</v>
      </c>
      <c r="B2926" s="3" t="s">
        <v>7037</v>
      </c>
      <c r="C2926" s="3" t="s">
        <v>1356</v>
      </c>
      <c r="D2926" s="4" t="s">
        <v>7038</v>
      </c>
      <c r="E2926" s="3" t="s">
        <v>2726</v>
      </c>
      <c r="F2926" s="3" t="s">
        <v>4668</v>
      </c>
      <c r="G2926" s="3"/>
      <c r="H2926" s="4" t="s">
        <v>3463</v>
      </c>
    </row>
    <row r="2927" ht="16.5" customHeight="1" spans="1:8">
      <c r="A2927" s="3">
        <v>2926</v>
      </c>
      <c r="B2927" s="3" t="s">
        <v>7039</v>
      </c>
      <c r="C2927" s="3" t="s">
        <v>2163</v>
      </c>
      <c r="D2927" s="4" t="s">
        <v>7040</v>
      </c>
      <c r="E2927" s="3" t="s">
        <v>1076</v>
      </c>
      <c r="F2927" s="3" t="s">
        <v>1358</v>
      </c>
      <c r="G2927" s="3"/>
      <c r="H2927" s="4" t="s">
        <v>1095</v>
      </c>
    </row>
    <row r="2928" ht="16.5" customHeight="1" spans="1:8">
      <c r="A2928" s="3">
        <v>2927</v>
      </c>
      <c r="B2928" s="3" t="s">
        <v>7041</v>
      </c>
      <c r="C2928" s="3" t="s">
        <v>1361</v>
      </c>
      <c r="D2928" s="4" t="s">
        <v>7042</v>
      </c>
      <c r="E2928" s="3" t="s">
        <v>1218</v>
      </c>
      <c r="F2928" s="3" t="s">
        <v>6994</v>
      </c>
      <c r="G2928" s="3"/>
      <c r="H2928" s="4"/>
    </row>
    <row r="2929" ht="16.5" customHeight="1" spans="1:8">
      <c r="A2929" s="3">
        <v>2928</v>
      </c>
      <c r="B2929" s="3" t="s">
        <v>7043</v>
      </c>
      <c r="C2929" s="3" t="s">
        <v>1361</v>
      </c>
      <c r="D2929" s="4" t="s">
        <v>7044</v>
      </c>
      <c r="E2929" s="3" t="s">
        <v>1218</v>
      </c>
      <c r="F2929" s="3" t="s">
        <v>6994</v>
      </c>
      <c r="G2929" s="3"/>
      <c r="H2929" s="4"/>
    </row>
    <row r="2930" ht="16.5" customHeight="1" spans="1:8">
      <c r="A2930" s="3">
        <v>2929</v>
      </c>
      <c r="B2930" s="3" t="s">
        <v>7045</v>
      </c>
      <c r="C2930" s="3" t="s">
        <v>1361</v>
      </c>
      <c r="D2930" s="4" t="s">
        <v>7046</v>
      </c>
      <c r="E2930" s="3" t="s">
        <v>1218</v>
      </c>
      <c r="F2930" s="3" t="s">
        <v>6994</v>
      </c>
      <c r="G2930" s="3"/>
      <c r="H2930" s="4"/>
    </row>
    <row r="2931" ht="16.5" customHeight="1" spans="1:8">
      <c r="A2931" s="3">
        <v>2930</v>
      </c>
      <c r="B2931" s="3" t="s">
        <v>7047</v>
      </c>
      <c r="C2931" s="3" t="s">
        <v>1361</v>
      </c>
      <c r="D2931" s="4" t="s">
        <v>7048</v>
      </c>
      <c r="E2931" s="3" t="s">
        <v>1218</v>
      </c>
      <c r="F2931" s="3" t="s">
        <v>6994</v>
      </c>
      <c r="G2931" s="3"/>
      <c r="H2931" s="4"/>
    </row>
    <row r="2932" ht="16.5" customHeight="1" spans="1:8">
      <c r="A2932" s="3">
        <v>2931</v>
      </c>
      <c r="B2932" s="3" t="s">
        <v>7049</v>
      </c>
      <c r="C2932" s="3" t="s">
        <v>1074</v>
      </c>
      <c r="D2932" s="4" t="s">
        <v>7050</v>
      </c>
      <c r="E2932" s="3" t="s">
        <v>1076</v>
      </c>
      <c r="F2932" s="3" t="s">
        <v>4668</v>
      </c>
      <c r="G2932" s="3"/>
      <c r="H2932" s="4" t="s">
        <v>5162</v>
      </c>
    </row>
    <row r="2933" ht="16.5" customHeight="1" spans="1:8">
      <c r="A2933" s="3">
        <v>2932</v>
      </c>
      <c r="B2933" s="3" t="s">
        <v>7051</v>
      </c>
      <c r="C2933" s="3" t="s">
        <v>2163</v>
      </c>
      <c r="D2933" s="4" t="s">
        <v>7052</v>
      </c>
      <c r="E2933" s="3" t="s">
        <v>1076</v>
      </c>
      <c r="F2933" s="3" t="s">
        <v>4668</v>
      </c>
      <c r="G2933" s="3"/>
      <c r="H2933" s="4" t="s">
        <v>1843</v>
      </c>
    </row>
    <row r="2934" ht="16.5" customHeight="1" spans="1:8">
      <c r="A2934" s="3">
        <v>2933</v>
      </c>
      <c r="B2934" s="3" t="s">
        <v>7053</v>
      </c>
      <c r="C2934" s="3" t="s">
        <v>1105</v>
      </c>
      <c r="D2934" s="4" t="s">
        <v>7054</v>
      </c>
      <c r="E2934" s="3" t="s">
        <v>1076</v>
      </c>
      <c r="F2934" s="3" t="s">
        <v>4668</v>
      </c>
      <c r="G2934" s="3"/>
      <c r="H2934" s="4" t="s">
        <v>1843</v>
      </c>
    </row>
    <row r="2935" ht="16.5" customHeight="1" spans="1:8">
      <c r="A2935" s="3">
        <v>2934</v>
      </c>
      <c r="B2935" s="3" t="s">
        <v>7055</v>
      </c>
      <c r="C2935" s="3" t="s">
        <v>1356</v>
      </c>
      <c r="D2935" s="4" t="s">
        <v>7056</v>
      </c>
      <c r="E2935" s="3" t="s">
        <v>1076</v>
      </c>
      <c r="F2935" s="3" t="s">
        <v>6762</v>
      </c>
      <c r="G2935" s="3"/>
      <c r="H2935" s="4" t="s">
        <v>4322</v>
      </c>
    </row>
    <row r="2936" ht="16.5" customHeight="1" spans="1:8">
      <c r="A2936" s="3">
        <v>2935</v>
      </c>
      <c r="B2936" s="3" t="s">
        <v>7057</v>
      </c>
      <c r="C2936" s="3" t="s">
        <v>1356</v>
      </c>
      <c r="D2936" s="4" t="s">
        <v>7058</v>
      </c>
      <c r="E2936" s="3" t="s">
        <v>1076</v>
      </c>
      <c r="F2936" s="3" t="s">
        <v>2041</v>
      </c>
      <c r="G2936" s="3" t="s">
        <v>321</v>
      </c>
      <c r="H2936" s="4" t="s">
        <v>1359</v>
      </c>
    </row>
    <row r="2937" ht="16.5" customHeight="1" spans="1:8">
      <c r="A2937" s="3">
        <v>2936</v>
      </c>
      <c r="B2937" s="3" t="s">
        <v>7059</v>
      </c>
      <c r="C2937" s="3" t="s">
        <v>1356</v>
      </c>
      <c r="D2937" s="4" t="s">
        <v>7060</v>
      </c>
      <c r="E2937" s="3" t="s">
        <v>1076</v>
      </c>
      <c r="F2937" s="3" t="s">
        <v>4668</v>
      </c>
      <c r="G2937" s="3"/>
      <c r="H2937" s="4" t="s">
        <v>1095</v>
      </c>
    </row>
    <row r="2938" ht="16.5" customHeight="1" spans="1:8">
      <c r="A2938" s="3">
        <v>2937</v>
      </c>
      <c r="B2938" s="3" t="s">
        <v>7061</v>
      </c>
      <c r="C2938" s="3" t="s">
        <v>1356</v>
      </c>
      <c r="D2938" s="4" t="s">
        <v>7062</v>
      </c>
      <c r="E2938" s="3" t="s">
        <v>1076</v>
      </c>
      <c r="F2938" s="3" t="s">
        <v>4668</v>
      </c>
      <c r="G2938" s="3"/>
      <c r="H2938" s="4" t="s">
        <v>1305</v>
      </c>
    </row>
    <row r="2939" ht="16.5" customHeight="1" spans="1:8">
      <c r="A2939" s="3">
        <v>2938</v>
      </c>
      <c r="B2939" s="3" t="s">
        <v>7063</v>
      </c>
      <c r="C2939" s="3" t="s">
        <v>1356</v>
      </c>
      <c r="D2939" s="4" t="s">
        <v>7064</v>
      </c>
      <c r="E2939" s="3" t="s">
        <v>1076</v>
      </c>
      <c r="F2939" s="3" t="s">
        <v>4668</v>
      </c>
      <c r="G2939" s="3"/>
      <c r="H2939" s="4" t="s">
        <v>1305</v>
      </c>
    </row>
    <row r="2940" ht="16.5" customHeight="1" spans="1:8">
      <c r="A2940" s="3">
        <v>2939</v>
      </c>
      <c r="B2940" s="3" t="s">
        <v>7065</v>
      </c>
      <c r="C2940" s="3" t="s">
        <v>1356</v>
      </c>
      <c r="D2940" s="4" t="s">
        <v>7066</v>
      </c>
      <c r="E2940" s="3" t="s">
        <v>1076</v>
      </c>
      <c r="F2940" s="3" t="s">
        <v>4668</v>
      </c>
      <c r="G2940" s="3"/>
      <c r="H2940" s="4" t="s">
        <v>1359</v>
      </c>
    </row>
    <row r="2941" ht="16.5" customHeight="1" spans="1:8">
      <c r="A2941" s="3">
        <v>2940</v>
      </c>
      <c r="B2941" s="3" t="s">
        <v>7067</v>
      </c>
      <c r="C2941" s="3" t="s">
        <v>1356</v>
      </c>
      <c r="D2941" s="4" t="s">
        <v>7068</v>
      </c>
      <c r="E2941" s="3" t="s">
        <v>1076</v>
      </c>
      <c r="F2941" s="3" t="s">
        <v>4668</v>
      </c>
      <c r="G2941" s="3"/>
      <c r="H2941" s="4" t="s">
        <v>1305</v>
      </c>
    </row>
    <row r="2942" ht="16.5" customHeight="1" spans="1:8">
      <c r="A2942" s="3">
        <v>2941</v>
      </c>
      <c r="B2942" s="3" t="s">
        <v>7069</v>
      </c>
      <c r="C2942" s="3" t="s">
        <v>1356</v>
      </c>
      <c r="D2942" s="4" t="s">
        <v>7070</v>
      </c>
      <c r="E2942" s="3" t="s">
        <v>1076</v>
      </c>
      <c r="F2942" s="3" t="s">
        <v>4668</v>
      </c>
      <c r="G2942" s="3"/>
      <c r="H2942" s="4" t="s">
        <v>5664</v>
      </c>
    </row>
    <row r="2943" ht="16.5" customHeight="1" spans="1:8">
      <c r="A2943" s="3">
        <v>2942</v>
      </c>
      <c r="B2943" s="3" t="s">
        <v>7071</v>
      </c>
      <c r="C2943" s="3" t="s">
        <v>1356</v>
      </c>
      <c r="D2943" s="4" t="s">
        <v>7072</v>
      </c>
      <c r="E2943" s="3" t="s">
        <v>1076</v>
      </c>
      <c r="F2943" s="3" t="s">
        <v>4668</v>
      </c>
      <c r="G2943" s="3"/>
      <c r="H2943" s="4" t="s">
        <v>1305</v>
      </c>
    </row>
    <row r="2944" ht="16.5" customHeight="1" spans="1:8">
      <c r="A2944" s="3">
        <v>2943</v>
      </c>
      <c r="B2944" s="3" t="s">
        <v>7073</v>
      </c>
      <c r="C2944" s="3" t="s">
        <v>2163</v>
      </c>
      <c r="D2944" s="4" t="s">
        <v>7074</v>
      </c>
      <c r="E2944" s="3" t="s">
        <v>1076</v>
      </c>
      <c r="F2944" s="3" t="s">
        <v>2041</v>
      </c>
      <c r="G2944" s="3" t="s">
        <v>321</v>
      </c>
      <c r="H2944" s="4" t="s">
        <v>1305</v>
      </c>
    </row>
    <row r="2945" ht="16.5" customHeight="1" spans="1:8">
      <c r="A2945" s="3">
        <v>2944</v>
      </c>
      <c r="B2945" s="3" t="s">
        <v>7075</v>
      </c>
      <c r="C2945" s="3" t="s">
        <v>1361</v>
      </c>
      <c r="D2945" s="4" t="s">
        <v>7076</v>
      </c>
      <c r="E2945" s="3" t="s">
        <v>1218</v>
      </c>
      <c r="F2945" s="3" t="s">
        <v>1358</v>
      </c>
      <c r="G2945" s="3" t="s">
        <v>321</v>
      </c>
      <c r="H2945" s="4" t="s">
        <v>1095</v>
      </c>
    </row>
    <row r="2946" ht="16.5" customHeight="1" spans="1:8">
      <c r="A2946" s="3">
        <v>2945</v>
      </c>
      <c r="B2946" s="3" t="s">
        <v>7077</v>
      </c>
      <c r="C2946" s="3" t="s">
        <v>2163</v>
      </c>
      <c r="D2946" s="4" t="s">
        <v>7078</v>
      </c>
      <c r="E2946" s="3" t="s">
        <v>1076</v>
      </c>
      <c r="F2946" s="3" t="s">
        <v>2041</v>
      </c>
      <c r="G2946" s="3" t="s">
        <v>321</v>
      </c>
      <c r="H2946" s="4" t="s">
        <v>1305</v>
      </c>
    </row>
    <row r="2947" ht="16.5" customHeight="1" spans="1:8">
      <c r="A2947" s="3">
        <v>2946</v>
      </c>
      <c r="B2947" s="3" t="s">
        <v>7079</v>
      </c>
      <c r="C2947" s="3" t="s">
        <v>2163</v>
      </c>
      <c r="D2947" s="4" t="s">
        <v>7080</v>
      </c>
      <c r="E2947" s="3" t="s">
        <v>1076</v>
      </c>
      <c r="F2947" s="3" t="s">
        <v>1358</v>
      </c>
      <c r="G2947" s="3" t="s">
        <v>321</v>
      </c>
      <c r="H2947" s="4" t="s">
        <v>2050</v>
      </c>
    </row>
    <row r="2948" ht="16.5" customHeight="1" spans="1:8">
      <c r="A2948" s="3">
        <v>2947</v>
      </c>
      <c r="B2948" s="3" t="s">
        <v>7081</v>
      </c>
      <c r="C2948" s="3" t="s">
        <v>1356</v>
      </c>
      <c r="D2948" s="4" t="s">
        <v>7082</v>
      </c>
      <c r="E2948" s="3" t="s">
        <v>1076</v>
      </c>
      <c r="F2948" s="3" t="s">
        <v>4668</v>
      </c>
      <c r="G2948" s="3"/>
      <c r="H2948" s="4" t="s">
        <v>2050</v>
      </c>
    </row>
    <row r="2949" ht="16.5" customHeight="1" spans="1:8">
      <c r="A2949" s="3">
        <v>2948</v>
      </c>
      <c r="B2949" s="3" t="s">
        <v>7083</v>
      </c>
      <c r="C2949" s="3" t="s">
        <v>2163</v>
      </c>
      <c r="D2949" s="4" t="s">
        <v>7084</v>
      </c>
      <c r="E2949" s="3" t="s">
        <v>1076</v>
      </c>
      <c r="F2949" s="3" t="s">
        <v>2041</v>
      </c>
      <c r="G2949" s="3" t="s">
        <v>321</v>
      </c>
      <c r="H2949" s="4" t="s">
        <v>1843</v>
      </c>
    </row>
    <row r="2950" ht="16.5" customHeight="1" spans="1:8">
      <c r="A2950" s="3">
        <v>2949</v>
      </c>
      <c r="B2950" s="3" t="s">
        <v>7085</v>
      </c>
      <c r="C2950" s="3" t="s">
        <v>1356</v>
      </c>
      <c r="D2950" s="4" t="s">
        <v>7086</v>
      </c>
      <c r="E2950" s="3" t="s">
        <v>1076</v>
      </c>
      <c r="F2950" s="3" t="s">
        <v>4668</v>
      </c>
      <c r="G2950" s="3"/>
      <c r="H2950" s="4" t="s">
        <v>1843</v>
      </c>
    </row>
    <row r="2951" ht="16.5" customHeight="1" spans="1:8">
      <c r="A2951" s="3">
        <v>2950</v>
      </c>
      <c r="B2951" s="3" t="s">
        <v>7087</v>
      </c>
      <c r="C2951" s="3" t="s">
        <v>1356</v>
      </c>
      <c r="D2951" s="4" t="s">
        <v>7088</v>
      </c>
      <c r="E2951" s="3" t="s">
        <v>1076</v>
      </c>
      <c r="F2951" s="3" t="s">
        <v>2041</v>
      </c>
      <c r="G2951" s="3" t="s">
        <v>321</v>
      </c>
      <c r="H2951" s="4" t="s">
        <v>2050</v>
      </c>
    </row>
    <row r="2952" ht="16.5" customHeight="1" spans="1:8">
      <c r="A2952" s="3">
        <v>2951</v>
      </c>
      <c r="B2952" s="3" t="s">
        <v>7089</v>
      </c>
      <c r="C2952" s="3" t="s">
        <v>2163</v>
      </c>
      <c r="D2952" s="4" t="s">
        <v>7090</v>
      </c>
      <c r="E2952" s="3" t="s">
        <v>1076</v>
      </c>
      <c r="F2952" s="3" t="s">
        <v>1358</v>
      </c>
      <c r="G2952" s="3" t="s">
        <v>321</v>
      </c>
      <c r="H2952" s="4" t="s">
        <v>1095</v>
      </c>
    </row>
    <row r="2953" ht="16.5" customHeight="1" spans="1:8">
      <c r="A2953" s="3">
        <v>2952</v>
      </c>
      <c r="B2953" s="3" t="s">
        <v>7091</v>
      </c>
      <c r="C2953" s="3" t="s">
        <v>1356</v>
      </c>
      <c r="D2953" s="4" t="s">
        <v>7092</v>
      </c>
      <c r="E2953" s="3" t="s">
        <v>1076</v>
      </c>
      <c r="F2953" s="3" t="s">
        <v>6762</v>
      </c>
      <c r="G2953" s="3"/>
      <c r="H2953" s="4" t="s">
        <v>1359</v>
      </c>
    </row>
    <row r="2954" ht="16.5" customHeight="1" spans="1:8">
      <c r="A2954" s="3">
        <v>2953</v>
      </c>
      <c r="B2954" s="3" t="s">
        <v>7093</v>
      </c>
      <c r="C2954" s="3" t="s">
        <v>1356</v>
      </c>
      <c r="D2954" s="4" t="s">
        <v>7094</v>
      </c>
      <c r="E2954" s="3" t="s">
        <v>1076</v>
      </c>
      <c r="F2954" s="3" t="s">
        <v>4668</v>
      </c>
      <c r="G2954" s="3"/>
      <c r="H2954" s="4" t="s">
        <v>1078</v>
      </c>
    </row>
    <row r="2955" ht="16.5" customHeight="1" spans="1:8">
      <c r="A2955" s="3">
        <v>2954</v>
      </c>
      <c r="B2955" s="3" t="s">
        <v>7095</v>
      </c>
      <c r="C2955" s="3" t="s">
        <v>1356</v>
      </c>
      <c r="D2955" s="4" t="s">
        <v>7096</v>
      </c>
      <c r="E2955" s="3" t="s">
        <v>1076</v>
      </c>
      <c r="F2955" s="3" t="s">
        <v>4668</v>
      </c>
      <c r="G2955" s="3"/>
      <c r="H2955" s="4" t="s">
        <v>1305</v>
      </c>
    </row>
    <row r="2956" ht="16.5" customHeight="1" spans="1:8">
      <c r="A2956" s="3">
        <v>2955</v>
      </c>
      <c r="B2956" s="3" t="s">
        <v>7097</v>
      </c>
      <c r="C2956" s="3" t="s">
        <v>1356</v>
      </c>
      <c r="D2956" s="4" t="s">
        <v>7098</v>
      </c>
      <c r="E2956" s="3" t="s">
        <v>1076</v>
      </c>
      <c r="F2956" s="3" t="s">
        <v>4668</v>
      </c>
      <c r="G2956" s="3"/>
      <c r="H2956" s="4" t="s">
        <v>1305</v>
      </c>
    </row>
    <row r="2957" ht="16.5" customHeight="1" spans="1:8">
      <c r="A2957" s="3">
        <v>2956</v>
      </c>
      <c r="B2957" s="3" t="s">
        <v>7099</v>
      </c>
      <c r="C2957" s="3" t="s">
        <v>1356</v>
      </c>
      <c r="D2957" s="4" t="s">
        <v>7100</v>
      </c>
      <c r="E2957" s="3" t="s">
        <v>1076</v>
      </c>
      <c r="F2957" s="3" t="s">
        <v>4668</v>
      </c>
      <c r="G2957" s="3"/>
      <c r="H2957" s="4" t="s">
        <v>1305</v>
      </c>
    </row>
    <row r="2958" ht="16.5" customHeight="1" spans="1:8">
      <c r="A2958" s="3">
        <v>2957</v>
      </c>
      <c r="B2958" s="3" t="s">
        <v>7101</v>
      </c>
      <c r="C2958" s="3" t="s">
        <v>1356</v>
      </c>
      <c r="D2958" s="4" t="s">
        <v>7102</v>
      </c>
      <c r="E2958" s="3" t="s">
        <v>1076</v>
      </c>
      <c r="F2958" s="3" t="s">
        <v>4668</v>
      </c>
      <c r="G2958" s="3"/>
      <c r="H2958" s="4" t="s">
        <v>4322</v>
      </c>
    </row>
    <row r="2959" ht="16.5" customHeight="1" spans="1:8">
      <c r="A2959" s="3">
        <v>2958</v>
      </c>
      <c r="B2959" s="3" t="s">
        <v>7103</v>
      </c>
      <c r="C2959" s="3" t="s">
        <v>1356</v>
      </c>
      <c r="D2959" s="4" t="s">
        <v>7104</v>
      </c>
      <c r="E2959" s="3" t="s">
        <v>1076</v>
      </c>
      <c r="F2959" s="3" t="s">
        <v>4668</v>
      </c>
      <c r="G2959" s="3"/>
      <c r="H2959" s="4" t="s">
        <v>1305</v>
      </c>
    </row>
    <row r="2960" ht="16.5" customHeight="1" spans="1:8">
      <c r="A2960" s="3">
        <v>2959</v>
      </c>
      <c r="B2960" s="3" t="s">
        <v>7105</v>
      </c>
      <c r="C2960" s="3" t="s">
        <v>1356</v>
      </c>
      <c r="D2960" s="4" t="s">
        <v>7106</v>
      </c>
      <c r="E2960" s="3" t="s">
        <v>1076</v>
      </c>
      <c r="F2960" s="3" t="s">
        <v>4668</v>
      </c>
      <c r="G2960" s="3"/>
      <c r="H2960" s="4" t="s">
        <v>1305</v>
      </c>
    </row>
    <row r="2961" ht="16.5" customHeight="1" spans="1:8">
      <c r="A2961" s="3">
        <v>2960</v>
      </c>
      <c r="B2961" s="3" t="s">
        <v>7107</v>
      </c>
      <c r="C2961" s="3" t="s">
        <v>1356</v>
      </c>
      <c r="D2961" s="4" t="s">
        <v>7108</v>
      </c>
      <c r="E2961" s="3" t="s">
        <v>1076</v>
      </c>
      <c r="F2961" s="3" t="s">
        <v>4668</v>
      </c>
      <c r="G2961" s="3"/>
      <c r="H2961" s="4" t="s">
        <v>1305</v>
      </c>
    </row>
    <row r="2962" ht="16.5" customHeight="1" spans="1:8">
      <c r="A2962" s="3">
        <v>2961</v>
      </c>
      <c r="B2962" s="3" t="s">
        <v>7109</v>
      </c>
      <c r="C2962" s="3" t="s">
        <v>1356</v>
      </c>
      <c r="D2962" s="4" t="s">
        <v>7110</v>
      </c>
      <c r="E2962" s="3" t="s">
        <v>2726</v>
      </c>
      <c r="F2962" s="3" t="s">
        <v>4668</v>
      </c>
      <c r="G2962" s="3"/>
      <c r="H2962" s="4" t="s">
        <v>4322</v>
      </c>
    </row>
    <row r="2963" ht="16.5" customHeight="1" spans="1:8">
      <c r="A2963" s="3">
        <v>2962</v>
      </c>
      <c r="B2963" s="3" t="s">
        <v>7111</v>
      </c>
      <c r="C2963" s="3" t="s">
        <v>1074</v>
      </c>
      <c r="D2963" s="4" t="s">
        <v>7112</v>
      </c>
      <c r="E2963" s="3" t="s">
        <v>1076</v>
      </c>
      <c r="F2963" s="3" t="s">
        <v>4668</v>
      </c>
      <c r="G2963" s="3"/>
      <c r="H2963" s="4" t="s">
        <v>5396</v>
      </c>
    </row>
    <row r="2964" ht="16.5" customHeight="1" spans="1:8">
      <c r="A2964" s="3">
        <v>2963</v>
      </c>
      <c r="B2964" s="3" t="s">
        <v>7113</v>
      </c>
      <c r="C2964" s="3" t="s">
        <v>1356</v>
      </c>
      <c r="D2964" s="4" t="s">
        <v>7114</v>
      </c>
      <c r="E2964" s="3" t="s">
        <v>1076</v>
      </c>
      <c r="F2964" s="3" t="s">
        <v>4668</v>
      </c>
      <c r="G2964" s="3"/>
      <c r="H2964" s="4" t="s">
        <v>4198</v>
      </c>
    </row>
    <row r="2965" ht="16.5" customHeight="1" spans="1:8">
      <c r="A2965" s="3">
        <v>2964</v>
      </c>
      <c r="B2965" s="3" t="s">
        <v>7115</v>
      </c>
      <c r="C2965" s="3" t="s">
        <v>1356</v>
      </c>
      <c r="D2965" s="4" t="s">
        <v>5854</v>
      </c>
      <c r="E2965" s="3" t="s">
        <v>1076</v>
      </c>
      <c r="F2965" s="3" t="s">
        <v>1358</v>
      </c>
      <c r="G2965" s="3" t="s">
        <v>321</v>
      </c>
      <c r="H2965" s="4" t="s">
        <v>1095</v>
      </c>
    </row>
    <row r="2966" ht="16.5" customHeight="1" spans="1:8">
      <c r="A2966" s="3">
        <v>2965</v>
      </c>
      <c r="B2966" s="3" t="s">
        <v>7116</v>
      </c>
      <c r="C2966" s="3" t="s">
        <v>1356</v>
      </c>
      <c r="D2966" s="4" t="s">
        <v>5854</v>
      </c>
      <c r="E2966" s="3" t="s">
        <v>1076</v>
      </c>
      <c r="F2966" s="3" t="s">
        <v>1358</v>
      </c>
      <c r="G2966" s="3"/>
      <c r="H2966" s="4" t="s">
        <v>1095</v>
      </c>
    </row>
    <row r="2967" ht="16.5" customHeight="1" spans="1:8">
      <c r="A2967" s="3">
        <v>2966</v>
      </c>
      <c r="B2967" s="3" t="s">
        <v>7117</v>
      </c>
      <c r="C2967" s="3" t="s">
        <v>1356</v>
      </c>
      <c r="D2967" s="4" t="s">
        <v>7118</v>
      </c>
      <c r="E2967" s="3" t="s">
        <v>1076</v>
      </c>
      <c r="F2967" s="3" t="s">
        <v>2041</v>
      </c>
      <c r="G2967" s="3"/>
      <c r="H2967" s="4" t="s">
        <v>1095</v>
      </c>
    </row>
    <row r="2968" ht="16.5" customHeight="1" spans="1:8">
      <c r="A2968" s="3">
        <v>2967</v>
      </c>
      <c r="B2968" s="3" t="s">
        <v>7119</v>
      </c>
      <c r="C2968" s="3" t="s">
        <v>2163</v>
      </c>
      <c r="D2968" s="4" t="s">
        <v>7120</v>
      </c>
      <c r="E2968" s="3" t="s">
        <v>1076</v>
      </c>
      <c r="F2968" s="3" t="s">
        <v>2041</v>
      </c>
      <c r="G2968" s="3" t="s">
        <v>321</v>
      </c>
      <c r="H2968" s="4" t="s">
        <v>1368</v>
      </c>
    </row>
    <row r="2969" ht="16.5" customHeight="1" spans="1:8">
      <c r="A2969" s="3">
        <v>2968</v>
      </c>
      <c r="B2969" s="3" t="s">
        <v>7121</v>
      </c>
      <c r="C2969" s="3" t="s">
        <v>1356</v>
      </c>
      <c r="D2969" s="4" t="s">
        <v>7122</v>
      </c>
      <c r="E2969" s="3" t="s">
        <v>1076</v>
      </c>
      <c r="F2969" s="3" t="s">
        <v>4668</v>
      </c>
      <c r="G2969" s="3"/>
      <c r="H2969" s="4" t="s">
        <v>4322</v>
      </c>
    </row>
    <row r="2970" ht="16.5" customHeight="1" spans="1:8">
      <c r="A2970" s="3">
        <v>2969</v>
      </c>
      <c r="B2970" s="3" t="s">
        <v>7123</v>
      </c>
      <c r="C2970" s="3" t="s">
        <v>1356</v>
      </c>
      <c r="D2970" s="4" t="s">
        <v>7124</v>
      </c>
      <c r="E2970" s="3" t="s">
        <v>1076</v>
      </c>
      <c r="F2970" s="3" t="s">
        <v>4668</v>
      </c>
      <c r="G2970" s="3"/>
      <c r="H2970" s="4" t="s">
        <v>1305</v>
      </c>
    </row>
    <row r="2971" ht="16.5" customHeight="1" spans="1:8">
      <c r="A2971" s="3">
        <v>2970</v>
      </c>
      <c r="B2971" s="3" t="s">
        <v>7125</v>
      </c>
      <c r="C2971" s="3" t="s">
        <v>1356</v>
      </c>
      <c r="D2971" s="4" t="s">
        <v>7126</v>
      </c>
      <c r="E2971" s="3" t="s">
        <v>1076</v>
      </c>
      <c r="F2971" s="3" t="s">
        <v>4668</v>
      </c>
      <c r="G2971" s="3"/>
      <c r="H2971" s="4" t="s">
        <v>1305</v>
      </c>
    </row>
    <row r="2972" ht="16.5" customHeight="1" spans="1:8">
      <c r="A2972" s="3">
        <v>2971</v>
      </c>
      <c r="B2972" s="3" t="s">
        <v>7127</v>
      </c>
      <c r="C2972" s="3" t="s">
        <v>1356</v>
      </c>
      <c r="D2972" s="4" t="s">
        <v>7128</v>
      </c>
      <c r="E2972" s="3" t="s">
        <v>1076</v>
      </c>
      <c r="F2972" s="3" t="s">
        <v>4668</v>
      </c>
      <c r="G2972" s="3"/>
      <c r="H2972" s="4" t="s">
        <v>1305</v>
      </c>
    </row>
    <row r="2973" ht="16.5" customHeight="1" spans="1:8">
      <c r="A2973" s="3">
        <v>2972</v>
      </c>
      <c r="B2973" s="3" t="s">
        <v>7129</v>
      </c>
      <c r="C2973" s="3" t="s">
        <v>1356</v>
      </c>
      <c r="D2973" s="4" t="s">
        <v>7130</v>
      </c>
      <c r="E2973" s="3" t="s">
        <v>1076</v>
      </c>
      <c r="F2973" s="3" t="s">
        <v>4668</v>
      </c>
      <c r="G2973" s="3"/>
      <c r="H2973" s="4" t="s">
        <v>1305</v>
      </c>
    </row>
    <row r="2974" ht="16.5" customHeight="1" spans="1:8">
      <c r="A2974" s="3">
        <v>2973</v>
      </c>
      <c r="B2974" s="3" t="s">
        <v>7131</v>
      </c>
      <c r="C2974" s="3" t="s">
        <v>2163</v>
      </c>
      <c r="D2974" s="4" t="s">
        <v>7132</v>
      </c>
      <c r="E2974" s="3" t="s">
        <v>1076</v>
      </c>
      <c r="F2974" s="3" t="s">
        <v>1358</v>
      </c>
      <c r="G2974" s="3" t="s">
        <v>321</v>
      </c>
      <c r="H2974" s="4" t="s">
        <v>1308</v>
      </c>
    </row>
    <row r="2975" ht="16.5" customHeight="1" spans="1:8">
      <c r="A2975" s="3">
        <v>2974</v>
      </c>
      <c r="B2975" s="3" t="s">
        <v>7133</v>
      </c>
      <c r="C2975" s="3" t="s">
        <v>1356</v>
      </c>
      <c r="D2975" s="4" t="s">
        <v>7134</v>
      </c>
      <c r="E2975" s="3" t="s">
        <v>1076</v>
      </c>
      <c r="F2975" s="3" t="s">
        <v>1736</v>
      </c>
      <c r="G2975" s="3"/>
      <c r="H2975" s="4" t="s">
        <v>1359</v>
      </c>
    </row>
    <row r="2976" ht="16.5" customHeight="1" spans="1:8">
      <c r="A2976" s="3">
        <v>2975</v>
      </c>
      <c r="B2976" s="3" t="s">
        <v>7135</v>
      </c>
      <c r="C2976" s="3" t="s">
        <v>1356</v>
      </c>
      <c r="D2976" s="4" t="s">
        <v>7136</v>
      </c>
      <c r="E2976" s="3" t="s">
        <v>1076</v>
      </c>
      <c r="F2976" s="3" t="s">
        <v>4668</v>
      </c>
      <c r="G2976" s="3"/>
      <c r="H2976" s="4" t="s">
        <v>6740</v>
      </c>
    </row>
    <row r="2977" ht="16.5" customHeight="1" spans="1:8">
      <c r="A2977" s="3">
        <v>2976</v>
      </c>
      <c r="B2977" s="3" t="s">
        <v>7137</v>
      </c>
      <c r="C2977" s="3" t="s">
        <v>2163</v>
      </c>
      <c r="D2977" s="4" t="s">
        <v>7138</v>
      </c>
      <c r="E2977" s="3" t="s">
        <v>1076</v>
      </c>
      <c r="F2977" s="3" t="s">
        <v>1358</v>
      </c>
      <c r="G2977" s="3"/>
      <c r="H2977" s="4" t="s">
        <v>1305</v>
      </c>
    </row>
    <row r="2978" ht="16.5" customHeight="1" spans="1:8">
      <c r="A2978" s="3">
        <v>2977</v>
      </c>
      <c r="B2978" s="3" t="s">
        <v>7139</v>
      </c>
      <c r="C2978" s="3" t="s">
        <v>2163</v>
      </c>
      <c r="D2978" s="4" t="s">
        <v>7140</v>
      </c>
      <c r="E2978" s="3" t="s">
        <v>1076</v>
      </c>
      <c r="F2978" s="3" t="s">
        <v>1358</v>
      </c>
      <c r="G2978" s="3" t="s">
        <v>321</v>
      </c>
      <c r="H2978" s="4" t="s">
        <v>1095</v>
      </c>
    </row>
    <row r="2979" ht="16.5" customHeight="1" spans="1:8">
      <c r="A2979" s="3">
        <v>2978</v>
      </c>
      <c r="B2979" s="3" t="s">
        <v>7141</v>
      </c>
      <c r="C2979" s="3" t="s">
        <v>1356</v>
      </c>
      <c r="D2979" s="4" t="s">
        <v>7142</v>
      </c>
      <c r="E2979" s="3" t="s">
        <v>1076</v>
      </c>
      <c r="F2979" s="3" t="s">
        <v>4668</v>
      </c>
      <c r="G2979" s="3"/>
      <c r="H2979" s="4" t="s">
        <v>4322</v>
      </c>
    </row>
    <row r="2980" ht="16.5" customHeight="1" spans="1:8">
      <c r="A2980" s="3">
        <v>2979</v>
      </c>
      <c r="B2980" s="3" t="s">
        <v>7143</v>
      </c>
      <c r="C2980" s="3" t="s">
        <v>2163</v>
      </c>
      <c r="D2980" s="4" t="s">
        <v>7144</v>
      </c>
      <c r="E2980" s="3" t="s">
        <v>1076</v>
      </c>
      <c r="F2980" s="3" t="s">
        <v>2041</v>
      </c>
      <c r="G2980" s="3" t="s">
        <v>321</v>
      </c>
      <c r="H2980" s="4" t="s">
        <v>1095</v>
      </c>
    </row>
    <row r="2981" ht="16.5" customHeight="1" spans="1:8">
      <c r="A2981" s="3">
        <v>2980</v>
      </c>
      <c r="B2981" s="3" t="s">
        <v>7145</v>
      </c>
      <c r="C2981" s="3" t="s">
        <v>2163</v>
      </c>
      <c r="D2981" s="4" t="s">
        <v>7146</v>
      </c>
      <c r="E2981" s="3" t="s">
        <v>1076</v>
      </c>
      <c r="F2981" s="3" t="s">
        <v>1358</v>
      </c>
      <c r="G2981" s="3"/>
      <c r="H2981" s="4" t="s">
        <v>3351</v>
      </c>
    </row>
    <row r="2982" ht="16.5" customHeight="1" spans="1:8">
      <c r="A2982" s="3">
        <v>2981</v>
      </c>
      <c r="B2982" s="3" t="s">
        <v>7147</v>
      </c>
      <c r="C2982" s="3" t="s">
        <v>2163</v>
      </c>
      <c r="D2982" s="4" t="s">
        <v>7148</v>
      </c>
      <c r="E2982" s="3" t="s">
        <v>1076</v>
      </c>
      <c r="F2982" s="3" t="s">
        <v>1358</v>
      </c>
      <c r="G2982" s="3"/>
      <c r="H2982" s="4" t="s">
        <v>3351</v>
      </c>
    </row>
    <row r="2983" ht="16.5" customHeight="1" spans="1:8">
      <c r="A2983" s="3">
        <v>2982</v>
      </c>
      <c r="B2983" s="3" t="s">
        <v>7149</v>
      </c>
      <c r="C2983" s="3" t="s">
        <v>2163</v>
      </c>
      <c r="D2983" s="4" t="s">
        <v>7150</v>
      </c>
      <c r="E2983" s="3" t="s">
        <v>2263</v>
      </c>
      <c r="F2983" s="3" t="s">
        <v>1358</v>
      </c>
      <c r="G2983" s="3"/>
      <c r="H2983" s="4" t="s">
        <v>3463</v>
      </c>
    </row>
    <row r="2984" ht="16.5" customHeight="1" spans="1:8">
      <c r="A2984" s="3">
        <v>2983</v>
      </c>
      <c r="B2984" s="3" t="s">
        <v>7151</v>
      </c>
      <c r="C2984" s="3" t="s">
        <v>2163</v>
      </c>
      <c r="D2984" s="4" t="s">
        <v>7152</v>
      </c>
      <c r="E2984" s="3" t="s">
        <v>1076</v>
      </c>
      <c r="F2984" s="3" t="s">
        <v>2041</v>
      </c>
      <c r="G2984" s="3" t="s">
        <v>321</v>
      </c>
      <c r="H2984" s="4" t="s">
        <v>1095</v>
      </c>
    </row>
    <row r="2985" ht="16.5" customHeight="1" spans="1:8">
      <c r="A2985" s="3">
        <v>2984</v>
      </c>
      <c r="B2985" s="3" t="s">
        <v>7153</v>
      </c>
      <c r="C2985" s="3" t="s">
        <v>2163</v>
      </c>
      <c r="D2985" s="4" t="s">
        <v>7154</v>
      </c>
      <c r="E2985" s="3" t="s">
        <v>1076</v>
      </c>
      <c r="F2985" s="3" t="s">
        <v>2041</v>
      </c>
      <c r="G2985" s="3" t="s">
        <v>321</v>
      </c>
      <c r="H2985" s="4" t="s">
        <v>1095</v>
      </c>
    </row>
    <row r="2986" ht="16.5" customHeight="1" spans="1:8">
      <c r="A2986" s="3">
        <v>2985</v>
      </c>
      <c r="B2986" s="3" t="s">
        <v>7155</v>
      </c>
      <c r="C2986" s="3" t="s">
        <v>2163</v>
      </c>
      <c r="D2986" s="4" t="s">
        <v>7156</v>
      </c>
      <c r="E2986" s="3" t="s">
        <v>1076</v>
      </c>
      <c r="F2986" s="3" t="s">
        <v>1358</v>
      </c>
      <c r="G2986" s="3"/>
      <c r="H2986" s="4" t="s">
        <v>3463</v>
      </c>
    </row>
    <row r="2987" ht="16.5" customHeight="1" spans="1:8">
      <c r="A2987" s="3">
        <v>2986</v>
      </c>
      <c r="B2987" s="3" t="s">
        <v>7157</v>
      </c>
      <c r="C2987" s="3" t="s">
        <v>2163</v>
      </c>
      <c r="D2987" s="4" t="s">
        <v>7158</v>
      </c>
      <c r="E2987" s="3" t="s">
        <v>1076</v>
      </c>
      <c r="F2987" s="3" t="s">
        <v>1358</v>
      </c>
      <c r="G2987" s="3"/>
      <c r="H2987" s="4" t="s">
        <v>1305</v>
      </c>
    </row>
    <row r="2988" ht="16.5" customHeight="1" spans="1:8">
      <c r="A2988" s="3">
        <v>2987</v>
      </c>
      <c r="B2988" s="3" t="s">
        <v>7159</v>
      </c>
      <c r="C2988" s="3" t="s">
        <v>1356</v>
      </c>
      <c r="D2988" s="4" t="s">
        <v>7160</v>
      </c>
      <c r="E2988" s="3" t="s">
        <v>1076</v>
      </c>
      <c r="F2988" s="3" t="s">
        <v>6762</v>
      </c>
      <c r="G2988" s="3" t="s">
        <v>98</v>
      </c>
      <c r="H2988" s="4" t="s">
        <v>7161</v>
      </c>
    </row>
    <row r="2989" ht="16.5" customHeight="1" spans="1:8">
      <c r="A2989" s="3">
        <v>2988</v>
      </c>
      <c r="B2989" s="3" t="s">
        <v>7162</v>
      </c>
      <c r="C2989" s="3" t="s">
        <v>1356</v>
      </c>
      <c r="D2989" s="4" t="s">
        <v>7163</v>
      </c>
      <c r="E2989" s="3" t="s">
        <v>1076</v>
      </c>
      <c r="F2989" s="3" t="s">
        <v>1736</v>
      </c>
      <c r="G2989" s="3" t="s">
        <v>98</v>
      </c>
      <c r="H2989" s="4" t="s">
        <v>7161</v>
      </c>
    </row>
    <row r="2990" ht="16.5" customHeight="1" spans="1:8">
      <c r="A2990" s="3">
        <v>2989</v>
      </c>
      <c r="B2990" s="3" t="s">
        <v>7164</v>
      </c>
      <c r="C2990" s="3" t="s">
        <v>1074</v>
      </c>
      <c r="D2990" s="4" t="s">
        <v>7165</v>
      </c>
      <c r="E2990" s="3" t="s">
        <v>1076</v>
      </c>
      <c r="F2990" s="3" t="s">
        <v>1736</v>
      </c>
      <c r="G2990" s="3" t="s">
        <v>98</v>
      </c>
      <c r="H2990" s="4" t="s">
        <v>5664</v>
      </c>
    </row>
    <row r="2991" ht="16.5" customHeight="1" spans="1:8">
      <c r="A2991" s="3">
        <v>2990</v>
      </c>
      <c r="B2991" s="3" t="s">
        <v>7166</v>
      </c>
      <c r="C2991" s="3" t="s">
        <v>1074</v>
      </c>
      <c r="D2991" s="4" t="s">
        <v>521</v>
      </c>
      <c r="E2991" s="3" t="s">
        <v>1076</v>
      </c>
      <c r="F2991" s="3" t="s">
        <v>1736</v>
      </c>
      <c r="G2991" s="3" t="s">
        <v>98</v>
      </c>
      <c r="H2991" s="4" t="s">
        <v>5664</v>
      </c>
    </row>
    <row r="2992" ht="16.5" customHeight="1" spans="1:8">
      <c r="A2992" s="3">
        <v>2991</v>
      </c>
      <c r="B2992" s="3" t="s">
        <v>7167</v>
      </c>
      <c r="C2992" s="3" t="s">
        <v>1074</v>
      </c>
      <c r="D2992" s="4" t="s">
        <v>7168</v>
      </c>
      <c r="E2992" s="3" t="s">
        <v>2726</v>
      </c>
      <c r="F2992" s="3" t="s">
        <v>1736</v>
      </c>
      <c r="G2992" s="3" t="s">
        <v>98</v>
      </c>
      <c r="H2992" s="4" t="s">
        <v>5664</v>
      </c>
    </row>
    <row r="2993" ht="16.5" customHeight="1" spans="1:8">
      <c r="A2993" s="3">
        <v>2992</v>
      </c>
      <c r="B2993" s="3" t="s">
        <v>7169</v>
      </c>
      <c r="C2993" s="3" t="s">
        <v>1105</v>
      </c>
      <c r="D2993" s="4" t="s">
        <v>7170</v>
      </c>
      <c r="E2993" s="3" t="s">
        <v>1076</v>
      </c>
      <c r="F2993" s="3" t="s">
        <v>1736</v>
      </c>
      <c r="G2993" s="3"/>
      <c r="H2993" s="4" t="s">
        <v>7171</v>
      </c>
    </row>
    <row r="2994" ht="16.5" customHeight="1" spans="1:8">
      <c r="A2994" s="3">
        <v>2993</v>
      </c>
      <c r="B2994" s="3" t="s">
        <v>7172</v>
      </c>
      <c r="C2994" s="3" t="s">
        <v>1105</v>
      </c>
      <c r="D2994" s="4" t="s">
        <v>7173</v>
      </c>
      <c r="E2994" s="3" t="s">
        <v>1076</v>
      </c>
      <c r="F2994" s="3" t="s">
        <v>1736</v>
      </c>
      <c r="G2994" s="3"/>
      <c r="H2994" s="4" t="s">
        <v>7171</v>
      </c>
    </row>
    <row r="2995" ht="16.5" customHeight="1" spans="1:8">
      <c r="A2995" s="3">
        <v>2994</v>
      </c>
      <c r="B2995" s="3" t="s">
        <v>7174</v>
      </c>
      <c r="C2995" s="3" t="s">
        <v>1105</v>
      </c>
      <c r="D2995" s="4" t="s">
        <v>7175</v>
      </c>
      <c r="E2995" s="3" t="s">
        <v>1076</v>
      </c>
      <c r="F2995" s="3" t="s">
        <v>1736</v>
      </c>
      <c r="G2995" s="3"/>
      <c r="H2995" s="4" t="s">
        <v>7171</v>
      </c>
    </row>
    <row r="2996" ht="16.5" customHeight="1" spans="1:8">
      <c r="A2996" s="3">
        <v>2995</v>
      </c>
      <c r="B2996" s="3" t="s">
        <v>7176</v>
      </c>
      <c r="C2996" s="3" t="s">
        <v>1105</v>
      </c>
      <c r="D2996" s="4" t="s">
        <v>7177</v>
      </c>
      <c r="E2996" s="3" t="s">
        <v>1076</v>
      </c>
      <c r="F2996" s="3" t="s">
        <v>1736</v>
      </c>
      <c r="G2996" s="3"/>
      <c r="H2996" s="4" t="s">
        <v>7171</v>
      </c>
    </row>
    <row r="2997" ht="16.5" customHeight="1" spans="1:8">
      <c r="A2997" s="3">
        <v>2996</v>
      </c>
      <c r="B2997" s="3" t="s">
        <v>7178</v>
      </c>
      <c r="C2997" s="3" t="s">
        <v>1105</v>
      </c>
      <c r="D2997" s="4" t="s">
        <v>7179</v>
      </c>
      <c r="E2997" s="3" t="s">
        <v>1739</v>
      </c>
      <c r="F2997" s="3" t="s">
        <v>4110</v>
      </c>
      <c r="G2997" s="3"/>
      <c r="H2997" s="4" t="s">
        <v>7171</v>
      </c>
    </row>
    <row r="2998" ht="16.5" customHeight="1" spans="1:8">
      <c r="A2998" s="3">
        <v>2997</v>
      </c>
      <c r="B2998" s="3" t="s">
        <v>7180</v>
      </c>
      <c r="C2998" s="3" t="s">
        <v>1105</v>
      </c>
      <c r="D2998" s="4" t="s">
        <v>7181</v>
      </c>
      <c r="E2998" s="3" t="s">
        <v>1076</v>
      </c>
      <c r="F2998" s="3" t="s">
        <v>4110</v>
      </c>
      <c r="G2998" s="3"/>
      <c r="H2998" s="4" t="s">
        <v>7171</v>
      </c>
    </row>
    <row r="2999" ht="16.5" customHeight="1" spans="1:8">
      <c r="A2999" s="3">
        <v>2998</v>
      </c>
      <c r="B2999" s="3" t="s">
        <v>7182</v>
      </c>
      <c r="C2999" s="3" t="s">
        <v>1105</v>
      </c>
      <c r="D2999" s="4" t="s">
        <v>7183</v>
      </c>
      <c r="E2999" s="3" t="s">
        <v>1739</v>
      </c>
      <c r="F2999" s="3" t="s">
        <v>4110</v>
      </c>
      <c r="G2999" s="3"/>
      <c r="H2999" s="4" t="s">
        <v>7171</v>
      </c>
    </row>
    <row r="3000" ht="16.5" customHeight="1" spans="1:8">
      <c r="A3000" s="3">
        <v>2999</v>
      </c>
      <c r="B3000" s="3" t="s">
        <v>7184</v>
      </c>
      <c r="C3000" s="3" t="s">
        <v>1105</v>
      </c>
      <c r="D3000" s="4" t="s">
        <v>7185</v>
      </c>
      <c r="E3000" s="3" t="s">
        <v>1837</v>
      </c>
      <c r="F3000" s="3" t="s">
        <v>4110</v>
      </c>
      <c r="G3000" s="3"/>
      <c r="H3000" s="4" t="s">
        <v>7171</v>
      </c>
    </row>
    <row r="3001" ht="16.5" customHeight="1" spans="1:8">
      <c r="A3001" s="3">
        <v>3000</v>
      </c>
      <c r="B3001" s="3" t="s">
        <v>7186</v>
      </c>
      <c r="C3001" s="3" t="s">
        <v>1105</v>
      </c>
      <c r="D3001" s="4" t="s">
        <v>7187</v>
      </c>
      <c r="E3001" s="3" t="s">
        <v>1837</v>
      </c>
      <c r="F3001" s="3" t="s">
        <v>1736</v>
      </c>
      <c r="G3001" s="3"/>
      <c r="H3001" s="4" t="s">
        <v>7171</v>
      </c>
    </row>
    <row r="3002" ht="16.5" customHeight="1" spans="1:8">
      <c r="A3002" s="3">
        <v>3001</v>
      </c>
      <c r="B3002" s="3" t="s">
        <v>7188</v>
      </c>
      <c r="C3002" s="3" t="s">
        <v>1105</v>
      </c>
      <c r="D3002" s="4" t="s">
        <v>7189</v>
      </c>
      <c r="E3002" s="3" t="s">
        <v>1076</v>
      </c>
      <c r="F3002" s="3" t="s">
        <v>1736</v>
      </c>
      <c r="G3002" s="3"/>
      <c r="H3002" s="4" t="s">
        <v>7171</v>
      </c>
    </row>
    <row r="3003" ht="16.5" customHeight="1" spans="1:8">
      <c r="A3003" s="3">
        <v>3002</v>
      </c>
      <c r="B3003" s="3" t="s">
        <v>7190</v>
      </c>
      <c r="C3003" s="3" t="s">
        <v>1105</v>
      </c>
      <c r="D3003" s="4" t="s">
        <v>7191</v>
      </c>
      <c r="E3003" s="3" t="s">
        <v>1076</v>
      </c>
      <c r="F3003" s="3" t="s">
        <v>1736</v>
      </c>
      <c r="G3003" s="3"/>
      <c r="H3003" s="4" t="s">
        <v>7171</v>
      </c>
    </row>
    <row r="3004" ht="16.5" customHeight="1" spans="1:8">
      <c r="A3004" s="3">
        <v>3003</v>
      </c>
      <c r="B3004" s="3" t="s">
        <v>7192</v>
      </c>
      <c r="C3004" s="3" t="s">
        <v>1105</v>
      </c>
      <c r="D3004" s="4" t="s">
        <v>7193</v>
      </c>
      <c r="E3004" s="3" t="s">
        <v>1076</v>
      </c>
      <c r="F3004" s="3" t="s">
        <v>1736</v>
      </c>
      <c r="G3004" s="3"/>
      <c r="H3004" s="4" t="s">
        <v>7171</v>
      </c>
    </row>
    <row r="3005" ht="16.5" customHeight="1" spans="1:8">
      <c r="A3005" s="3">
        <v>3004</v>
      </c>
      <c r="B3005" s="3" t="s">
        <v>7194</v>
      </c>
      <c r="C3005" s="3" t="s">
        <v>1105</v>
      </c>
      <c r="D3005" s="4" t="s">
        <v>7195</v>
      </c>
      <c r="E3005" s="3" t="s">
        <v>1837</v>
      </c>
      <c r="F3005" s="3" t="s">
        <v>1736</v>
      </c>
      <c r="G3005" s="3"/>
      <c r="H3005" s="4" t="s">
        <v>7171</v>
      </c>
    </row>
    <row r="3006" ht="16.5" customHeight="1" spans="1:8">
      <c r="A3006" s="3">
        <v>3005</v>
      </c>
      <c r="B3006" s="3" t="s">
        <v>7196</v>
      </c>
      <c r="C3006" s="3" t="s">
        <v>1105</v>
      </c>
      <c r="D3006" s="4" t="s">
        <v>7197</v>
      </c>
      <c r="E3006" s="3" t="s">
        <v>1076</v>
      </c>
      <c r="F3006" s="3" t="s">
        <v>1736</v>
      </c>
      <c r="G3006" s="3"/>
      <c r="H3006" s="4" t="s">
        <v>7171</v>
      </c>
    </row>
    <row r="3007" ht="16.5" customHeight="1" spans="1:8">
      <c r="A3007" s="3">
        <v>3006</v>
      </c>
      <c r="B3007" s="3" t="s">
        <v>7198</v>
      </c>
      <c r="C3007" s="3" t="s">
        <v>1105</v>
      </c>
      <c r="D3007" s="4" t="s">
        <v>7199</v>
      </c>
      <c r="E3007" s="3" t="s">
        <v>1076</v>
      </c>
      <c r="F3007" s="3" t="s">
        <v>1736</v>
      </c>
      <c r="G3007" s="3"/>
      <c r="H3007" s="4" t="s">
        <v>7171</v>
      </c>
    </row>
    <row r="3008" ht="16.5" customHeight="1" spans="1:8">
      <c r="A3008" s="3">
        <v>3007</v>
      </c>
      <c r="B3008" s="3" t="s">
        <v>7200</v>
      </c>
      <c r="C3008" s="3" t="s">
        <v>1105</v>
      </c>
      <c r="D3008" s="4" t="s">
        <v>7201</v>
      </c>
      <c r="E3008" s="3" t="s">
        <v>1076</v>
      </c>
      <c r="F3008" s="3" t="s">
        <v>1736</v>
      </c>
      <c r="G3008" s="3"/>
      <c r="H3008" s="4" t="s">
        <v>7171</v>
      </c>
    </row>
    <row r="3009" ht="16.5" customHeight="1" spans="1:8">
      <c r="A3009" s="3">
        <v>3008</v>
      </c>
      <c r="B3009" s="3" t="s">
        <v>7202</v>
      </c>
      <c r="C3009" s="3" t="s">
        <v>1105</v>
      </c>
      <c r="D3009" s="4" t="s">
        <v>7203</v>
      </c>
      <c r="E3009" s="3" t="s">
        <v>1076</v>
      </c>
      <c r="F3009" s="3" t="s">
        <v>1736</v>
      </c>
      <c r="G3009" s="3"/>
      <c r="H3009" s="4" t="s">
        <v>7171</v>
      </c>
    </row>
    <row r="3010" ht="16.5" customHeight="1" spans="1:8">
      <c r="A3010" s="3">
        <v>3009</v>
      </c>
      <c r="B3010" s="3" t="s">
        <v>7204</v>
      </c>
      <c r="C3010" s="3" t="s">
        <v>1105</v>
      </c>
      <c r="D3010" s="4" t="s">
        <v>7205</v>
      </c>
      <c r="E3010" s="3" t="s">
        <v>1076</v>
      </c>
      <c r="F3010" s="3" t="s">
        <v>1736</v>
      </c>
      <c r="G3010" s="3"/>
      <c r="H3010" s="4" t="s">
        <v>7206</v>
      </c>
    </row>
    <row r="3011" ht="16.5" customHeight="1" spans="1:8">
      <c r="A3011" s="3">
        <v>3010</v>
      </c>
      <c r="B3011" s="3" t="s">
        <v>7207</v>
      </c>
      <c r="C3011" s="3" t="s">
        <v>1105</v>
      </c>
      <c r="D3011" s="4" t="s">
        <v>7208</v>
      </c>
      <c r="E3011" s="3" t="s">
        <v>1076</v>
      </c>
      <c r="F3011" s="3" t="s">
        <v>1736</v>
      </c>
      <c r="G3011" s="3"/>
      <c r="H3011" s="4" t="s">
        <v>7206</v>
      </c>
    </row>
    <row r="3012" ht="16.5" customHeight="1" spans="1:8">
      <c r="A3012" s="3">
        <v>3011</v>
      </c>
      <c r="B3012" s="3" t="s">
        <v>7209</v>
      </c>
      <c r="C3012" s="3" t="s">
        <v>1105</v>
      </c>
      <c r="D3012" s="4" t="s">
        <v>7210</v>
      </c>
      <c r="E3012" s="3" t="s">
        <v>1076</v>
      </c>
      <c r="F3012" s="3" t="s">
        <v>1736</v>
      </c>
      <c r="G3012" s="3"/>
      <c r="H3012" s="4" t="s">
        <v>7206</v>
      </c>
    </row>
    <row r="3013" ht="16.5" customHeight="1" spans="1:8">
      <c r="A3013" s="3">
        <v>3012</v>
      </c>
      <c r="B3013" s="3" t="s">
        <v>7211</v>
      </c>
      <c r="C3013" s="3" t="s">
        <v>1105</v>
      </c>
      <c r="D3013" s="4" t="s">
        <v>7212</v>
      </c>
      <c r="E3013" s="3" t="s">
        <v>1076</v>
      </c>
      <c r="F3013" s="3" t="s">
        <v>1736</v>
      </c>
      <c r="G3013" s="3"/>
      <c r="H3013" s="4" t="s">
        <v>7206</v>
      </c>
    </row>
    <row r="3014" ht="16.5" customHeight="1" spans="1:8">
      <c r="A3014" s="3">
        <v>3013</v>
      </c>
      <c r="B3014" s="3" t="s">
        <v>7213</v>
      </c>
      <c r="C3014" s="3" t="s">
        <v>1105</v>
      </c>
      <c r="D3014" s="4" t="s">
        <v>7214</v>
      </c>
      <c r="E3014" s="3" t="s">
        <v>1837</v>
      </c>
      <c r="F3014" s="3" t="s">
        <v>1736</v>
      </c>
      <c r="G3014" s="3"/>
      <c r="H3014" s="4" t="s">
        <v>7215</v>
      </c>
    </row>
    <row r="3015" ht="16.5" customHeight="1" spans="1:8">
      <c r="A3015" s="3">
        <v>3014</v>
      </c>
      <c r="B3015" s="3" t="s">
        <v>7216</v>
      </c>
      <c r="C3015" s="3" t="s">
        <v>1105</v>
      </c>
      <c r="D3015" s="4" t="s">
        <v>7217</v>
      </c>
      <c r="E3015" s="3" t="s">
        <v>1076</v>
      </c>
      <c r="F3015" s="3" t="s">
        <v>1736</v>
      </c>
      <c r="G3015" s="3"/>
      <c r="H3015" s="4" t="s">
        <v>7215</v>
      </c>
    </row>
    <row r="3016" ht="16.5" customHeight="1" spans="1:8">
      <c r="A3016" s="3">
        <v>3015</v>
      </c>
      <c r="B3016" s="3" t="s">
        <v>7218</v>
      </c>
      <c r="C3016" s="3" t="s">
        <v>1356</v>
      </c>
      <c r="D3016" s="4" t="s">
        <v>7219</v>
      </c>
      <c r="E3016" s="3" t="s">
        <v>1076</v>
      </c>
      <c r="F3016" s="3" t="s">
        <v>1736</v>
      </c>
      <c r="G3016" s="3"/>
      <c r="H3016" s="4" t="s">
        <v>5664</v>
      </c>
    </row>
    <row r="3017" ht="16.5" customHeight="1" spans="1:8">
      <c r="A3017" s="3">
        <v>3016</v>
      </c>
      <c r="B3017" s="3" t="s">
        <v>7220</v>
      </c>
      <c r="C3017" s="3" t="s">
        <v>1356</v>
      </c>
      <c r="D3017" s="4" t="s">
        <v>7221</v>
      </c>
      <c r="E3017" s="3" t="s">
        <v>1076</v>
      </c>
      <c r="F3017" s="3" t="s">
        <v>1736</v>
      </c>
      <c r="G3017" s="3"/>
      <c r="H3017" s="4" t="s">
        <v>5664</v>
      </c>
    </row>
    <row r="3018" ht="16.5" customHeight="1" spans="1:8">
      <c r="A3018" s="3">
        <v>3017</v>
      </c>
      <c r="B3018" s="3" t="s">
        <v>7222</v>
      </c>
      <c r="C3018" s="3" t="s">
        <v>1074</v>
      </c>
      <c r="D3018" s="4" t="s">
        <v>7223</v>
      </c>
      <c r="E3018" s="3" t="s">
        <v>2726</v>
      </c>
      <c r="F3018" s="3" t="s">
        <v>1736</v>
      </c>
      <c r="G3018" s="3" t="s">
        <v>98</v>
      </c>
      <c r="H3018" s="4" t="s">
        <v>7224</v>
      </c>
    </row>
    <row r="3019" ht="16.5" customHeight="1" spans="1:8">
      <c r="A3019" s="3">
        <v>3018</v>
      </c>
      <c r="B3019" s="3" t="s">
        <v>7225</v>
      </c>
      <c r="C3019" s="3" t="s">
        <v>1074</v>
      </c>
      <c r="D3019" s="4" t="s">
        <v>7226</v>
      </c>
      <c r="E3019" s="3" t="s">
        <v>2726</v>
      </c>
      <c r="F3019" s="3" t="s">
        <v>1736</v>
      </c>
      <c r="G3019" s="3" t="s">
        <v>98</v>
      </c>
      <c r="H3019" s="4" t="s">
        <v>7224</v>
      </c>
    </row>
    <row r="3020" ht="16.5" customHeight="1" spans="1:8">
      <c r="A3020" s="3">
        <v>3019</v>
      </c>
      <c r="B3020" s="3" t="s">
        <v>7227</v>
      </c>
      <c r="C3020" s="3" t="s">
        <v>1074</v>
      </c>
      <c r="D3020" s="4" t="s">
        <v>7228</v>
      </c>
      <c r="E3020" s="3" t="s">
        <v>1076</v>
      </c>
      <c r="F3020" s="3" t="s">
        <v>1736</v>
      </c>
      <c r="G3020" s="3" t="s">
        <v>98</v>
      </c>
      <c r="H3020" s="4" t="s">
        <v>7229</v>
      </c>
    </row>
    <row r="3021" ht="16.5" customHeight="1" spans="1:8">
      <c r="A3021" s="3">
        <v>3020</v>
      </c>
      <c r="B3021" s="3" t="s">
        <v>7230</v>
      </c>
      <c r="C3021" s="3" t="s">
        <v>1074</v>
      </c>
      <c r="D3021" s="4" t="s">
        <v>7231</v>
      </c>
      <c r="E3021" s="3" t="s">
        <v>1076</v>
      </c>
      <c r="F3021" s="3" t="s">
        <v>4668</v>
      </c>
      <c r="G3021" s="3" t="s">
        <v>98</v>
      </c>
      <c r="H3021" s="4" t="s">
        <v>1883</v>
      </c>
    </row>
    <row r="3022" ht="16.5" customHeight="1" spans="1:8">
      <c r="A3022" s="3">
        <v>3021</v>
      </c>
      <c r="B3022" s="3" t="s">
        <v>7232</v>
      </c>
      <c r="C3022" s="3" t="s">
        <v>1074</v>
      </c>
      <c r="D3022" s="4" t="s">
        <v>7233</v>
      </c>
      <c r="E3022" s="3" t="s">
        <v>1076</v>
      </c>
      <c r="F3022" s="3" t="s">
        <v>4668</v>
      </c>
      <c r="G3022" s="3" t="s">
        <v>98</v>
      </c>
      <c r="H3022" s="4" t="s">
        <v>5533</v>
      </c>
    </row>
    <row r="3023" ht="16.5" customHeight="1" spans="1:8">
      <c r="A3023" s="3">
        <v>3022</v>
      </c>
      <c r="B3023" s="3" t="s">
        <v>7234</v>
      </c>
      <c r="C3023" s="3" t="s">
        <v>1074</v>
      </c>
      <c r="D3023" s="4" t="s">
        <v>7235</v>
      </c>
      <c r="E3023" s="3" t="s">
        <v>1076</v>
      </c>
      <c r="F3023" s="3" t="s">
        <v>1736</v>
      </c>
      <c r="G3023" s="3" t="s">
        <v>98</v>
      </c>
      <c r="H3023" s="4" t="s">
        <v>1883</v>
      </c>
    </row>
    <row r="3024" ht="16.5" customHeight="1" spans="1:8">
      <c r="A3024" s="3">
        <v>3023</v>
      </c>
      <c r="B3024" s="3" t="s">
        <v>7236</v>
      </c>
      <c r="C3024" s="3" t="s">
        <v>1074</v>
      </c>
      <c r="D3024" s="4" t="s">
        <v>7237</v>
      </c>
      <c r="E3024" s="3" t="s">
        <v>1076</v>
      </c>
      <c r="F3024" s="3" t="s">
        <v>1736</v>
      </c>
      <c r="G3024" s="3" t="s">
        <v>98</v>
      </c>
      <c r="H3024" s="4" t="s">
        <v>6877</v>
      </c>
    </row>
    <row r="3025" ht="16.5" customHeight="1" spans="1:8">
      <c r="A3025" s="3">
        <v>3024</v>
      </c>
      <c r="B3025" s="3" t="s">
        <v>7238</v>
      </c>
      <c r="C3025" s="3" t="s">
        <v>1074</v>
      </c>
      <c r="D3025" s="4" t="s">
        <v>7239</v>
      </c>
      <c r="E3025" s="3" t="s">
        <v>1164</v>
      </c>
      <c r="F3025" s="3" t="s">
        <v>1736</v>
      </c>
      <c r="G3025" s="3" t="s">
        <v>98</v>
      </c>
      <c r="H3025" s="4" t="s">
        <v>7240</v>
      </c>
    </row>
    <row r="3026" ht="16.5" customHeight="1" spans="1:8">
      <c r="A3026" s="3">
        <v>3025</v>
      </c>
      <c r="B3026" s="3" t="s">
        <v>7241</v>
      </c>
      <c r="C3026" s="3" t="s">
        <v>1074</v>
      </c>
      <c r="D3026" s="4" t="s">
        <v>7242</v>
      </c>
      <c r="E3026" s="3" t="s">
        <v>1076</v>
      </c>
      <c r="F3026" s="3" t="s">
        <v>4110</v>
      </c>
      <c r="G3026" s="3" t="s">
        <v>98</v>
      </c>
      <c r="H3026" s="4" t="s">
        <v>7243</v>
      </c>
    </row>
    <row r="3027" ht="16.5" customHeight="1" spans="1:8">
      <c r="A3027" s="3">
        <v>3026</v>
      </c>
      <c r="B3027" s="3" t="s">
        <v>7244</v>
      </c>
      <c r="C3027" s="3" t="s">
        <v>1074</v>
      </c>
      <c r="D3027" s="4" t="s">
        <v>7245</v>
      </c>
      <c r="E3027" s="3" t="s">
        <v>1076</v>
      </c>
      <c r="F3027" s="3" t="s">
        <v>4110</v>
      </c>
      <c r="G3027" s="3" t="s">
        <v>98</v>
      </c>
      <c r="H3027" s="4"/>
    </row>
    <row r="3028" ht="16.5" customHeight="1" spans="1:8">
      <c r="A3028" s="3">
        <v>3027</v>
      </c>
      <c r="B3028" s="3" t="s">
        <v>7246</v>
      </c>
      <c r="C3028" s="3" t="s">
        <v>1074</v>
      </c>
      <c r="D3028" s="4" t="s">
        <v>7247</v>
      </c>
      <c r="E3028" s="3" t="s">
        <v>1076</v>
      </c>
      <c r="F3028" s="3" t="s">
        <v>4110</v>
      </c>
      <c r="G3028" s="3" t="s">
        <v>98</v>
      </c>
      <c r="H3028" s="4"/>
    </row>
    <row r="3029" ht="16.5" customHeight="1" spans="1:8">
      <c r="A3029" s="3">
        <v>3028</v>
      </c>
      <c r="B3029" s="3" t="s">
        <v>7248</v>
      </c>
      <c r="C3029" s="3" t="s">
        <v>1074</v>
      </c>
      <c r="D3029" s="4" t="s">
        <v>7249</v>
      </c>
      <c r="E3029" s="3" t="s">
        <v>1218</v>
      </c>
      <c r="F3029" s="3" t="s">
        <v>1736</v>
      </c>
      <c r="G3029" s="3" t="s">
        <v>98</v>
      </c>
      <c r="H3029" s="4" t="s">
        <v>7240</v>
      </c>
    </row>
    <row r="3030" ht="16.5" customHeight="1" spans="1:8">
      <c r="A3030" s="3">
        <v>3029</v>
      </c>
      <c r="B3030" s="3" t="s">
        <v>7250</v>
      </c>
      <c r="C3030" s="3" t="s">
        <v>1105</v>
      </c>
      <c r="D3030" s="4" t="s">
        <v>7251</v>
      </c>
      <c r="E3030" s="3" t="s">
        <v>1076</v>
      </c>
      <c r="F3030" s="3" t="s">
        <v>1736</v>
      </c>
      <c r="G3030" s="3" t="s">
        <v>98</v>
      </c>
      <c r="H3030" s="4" t="s">
        <v>7252</v>
      </c>
    </row>
    <row r="3031" ht="16.5" customHeight="1" spans="1:8">
      <c r="A3031" s="3">
        <v>3030</v>
      </c>
      <c r="B3031" s="3" t="s">
        <v>7253</v>
      </c>
      <c r="C3031" s="3" t="s">
        <v>1105</v>
      </c>
      <c r="D3031" s="4" t="s">
        <v>7254</v>
      </c>
      <c r="E3031" s="3" t="s">
        <v>1076</v>
      </c>
      <c r="F3031" s="3" t="s">
        <v>1736</v>
      </c>
      <c r="G3031" s="3" t="s">
        <v>98</v>
      </c>
      <c r="H3031" s="4" t="s">
        <v>7252</v>
      </c>
    </row>
    <row r="3032" ht="16.5" customHeight="1" spans="1:8">
      <c r="A3032" s="3">
        <v>3031</v>
      </c>
      <c r="B3032" s="3" t="s">
        <v>7255</v>
      </c>
      <c r="C3032" s="3" t="s">
        <v>1105</v>
      </c>
      <c r="D3032" s="4" t="s">
        <v>7256</v>
      </c>
      <c r="E3032" s="3" t="s">
        <v>1739</v>
      </c>
      <c r="F3032" s="3" t="s">
        <v>1736</v>
      </c>
      <c r="G3032" s="3" t="s">
        <v>98</v>
      </c>
      <c r="H3032" s="4" t="s">
        <v>7257</v>
      </c>
    </row>
    <row r="3033" ht="16.5" customHeight="1" spans="1:8">
      <c r="A3033" s="3">
        <v>3032</v>
      </c>
      <c r="B3033" s="3" t="s">
        <v>7258</v>
      </c>
      <c r="C3033" s="3" t="s">
        <v>1105</v>
      </c>
      <c r="D3033" s="4" t="s">
        <v>7259</v>
      </c>
      <c r="E3033" s="3" t="s">
        <v>1076</v>
      </c>
      <c r="F3033" s="3" t="s">
        <v>1736</v>
      </c>
      <c r="G3033" s="3" t="s">
        <v>98</v>
      </c>
      <c r="H3033" s="4" t="s">
        <v>7257</v>
      </c>
    </row>
    <row r="3034" ht="16.5" customHeight="1" spans="1:8">
      <c r="A3034" s="3">
        <v>3033</v>
      </c>
      <c r="B3034" s="3" t="s">
        <v>7260</v>
      </c>
      <c r="C3034" s="3" t="s">
        <v>1105</v>
      </c>
      <c r="D3034" s="4" t="s">
        <v>7261</v>
      </c>
      <c r="E3034" s="3" t="s">
        <v>1076</v>
      </c>
      <c r="F3034" s="3" t="s">
        <v>4668</v>
      </c>
      <c r="G3034" s="3" t="s">
        <v>98</v>
      </c>
      <c r="H3034" s="4" t="s">
        <v>7262</v>
      </c>
    </row>
    <row r="3035" ht="16.5" customHeight="1" spans="1:8">
      <c r="A3035" s="3">
        <v>3034</v>
      </c>
      <c r="B3035" s="3" t="s">
        <v>7263</v>
      </c>
      <c r="C3035" s="3" t="s">
        <v>1105</v>
      </c>
      <c r="D3035" s="4" t="s">
        <v>7264</v>
      </c>
      <c r="E3035" s="3" t="s">
        <v>1076</v>
      </c>
      <c r="F3035" s="3" t="s">
        <v>4668</v>
      </c>
      <c r="G3035" s="3" t="s">
        <v>98</v>
      </c>
      <c r="H3035" s="4" t="s">
        <v>7262</v>
      </c>
    </row>
    <row r="3036" ht="16.5" customHeight="1" spans="1:8">
      <c r="A3036" s="3">
        <v>3035</v>
      </c>
      <c r="B3036" s="3" t="s">
        <v>7265</v>
      </c>
      <c r="C3036" s="3" t="s">
        <v>1105</v>
      </c>
      <c r="D3036" s="4" t="s">
        <v>7266</v>
      </c>
      <c r="E3036" s="3" t="s">
        <v>1076</v>
      </c>
      <c r="F3036" s="3" t="s">
        <v>4668</v>
      </c>
      <c r="G3036" s="3" t="s">
        <v>98</v>
      </c>
      <c r="H3036" s="4" t="s">
        <v>7262</v>
      </c>
    </row>
    <row r="3037" ht="16.5" customHeight="1" spans="1:8">
      <c r="A3037" s="3">
        <v>3036</v>
      </c>
      <c r="B3037" s="3" t="s">
        <v>7267</v>
      </c>
      <c r="C3037" s="3" t="s">
        <v>1105</v>
      </c>
      <c r="D3037" s="4" t="s">
        <v>7268</v>
      </c>
      <c r="E3037" s="3" t="s">
        <v>1076</v>
      </c>
      <c r="F3037" s="3" t="s">
        <v>4668</v>
      </c>
      <c r="G3037" s="3" t="s">
        <v>98</v>
      </c>
      <c r="H3037" s="4" t="s">
        <v>7262</v>
      </c>
    </row>
    <row r="3038" ht="16.5" customHeight="1" spans="1:8">
      <c r="A3038" s="3">
        <v>3037</v>
      </c>
      <c r="B3038" s="3" t="s">
        <v>7269</v>
      </c>
      <c r="C3038" s="3" t="s">
        <v>1105</v>
      </c>
      <c r="D3038" s="4" t="s">
        <v>7270</v>
      </c>
      <c r="E3038" s="3" t="s">
        <v>1076</v>
      </c>
      <c r="F3038" s="3" t="s">
        <v>4668</v>
      </c>
      <c r="G3038" s="3" t="s">
        <v>98</v>
      </c>
      <c r="H3038" s="4" t="s">
        <v>7262</v>
      </c>
    </row>
    <row r="3039" ht="16.5" customHeight="1" spans="1:8">
      <c r="A3039" s="3">
        <v>3038</v>
      </c>
      <c r="B3039" s="3" t="s">
        <v>7271</v>
      </c>
      <c r="C3039" s="3" t="s">
        <v>1105</v>
      </c>
      <c r="D3039" s="4" t="s">
        <v>7272</v>
      </c>
      <c r="E3039" s="3" t="s">
        <v>1076</v>
      </c>
      <c r="F3039" s="3" t="s">
        <v>4668</v>
      </c>
      <c r="G3039" s="3" t="s">
        <v>98</v>
      </c>
      <c r="H3039" s="4" t="s">
        <v>7262</v>
      </c>
    </row>
    <row r="3040" ht="16.5" customHeight="1" spans="1:8">
      <c r="A3040" s="3">
        <v>3039</v>
      </c>
      <c r="B3040" s="3" t="s">
        <v>7273</v>
      </c>
      <c r="C3040" s="3" t="s">
        <v>1105</v>
      </c>
      <c r="D3040" s="4" t="s">
        <v>7274</v>
      </c>
      <c r="E3040" s="3" t="s">
        <v>1076</v>
      </c>
      <c r="F3040" s="3" t="s">
        <v>1736</v>
      </c>
      <c r="G3040" s="3" t="s">
        <v>98</v>
      </c>
      <c r="H3040" s="4" t="s">
        <v>7275</v>
      </c>
    </row>
    <row r="3041" ht="16.5" customHeight="1" spans="1:8">
      <c r="A3041" s="3">
        <v>3040</v>
      </c>
      <c r="B3041" s="3" t="s">
        <v>7276</v>
      </c>
      <c r="C3041" s="3" t="s">
        <v>1105</v>
      </c>
      <c r="D3041" s="4" t="s">
        <v>7277</v>
      </c>
      <c r="E3041" s="3" t="s">
        <v>1076</v>
      </c>
      <c r="F3041" s="3" t="s">
        <v>1736</v>
      </c>
      <c r="G3041" s="3" t="s">
        <v>98</v>
      </c>
      <c r="H3041" s="4" t="s">
        <v>7275</v>
      </c>
    </row>
    <row r="3042" ht="16.5" customHeight="1" spans="1:8">
      <c r="A3042" s="3">
        <v>3041</v>
      </c>
      <c r="B3042" s="3" t="s">
        <v>7278</v>
      </c>
      <c r="C3042" s="3" t="s">
        <v>1105</v>
      </c>
      <c r="D3042" s="4" t="s">
        <v>7279</v>
      </c>
      <c r="E3042" s="3" t="s">
        <v>1076</v>
      </c>
      <c r="F3042" s="3" t="s">
        <v>1736</v>
      </c>
      <c r="G3042" s="3" t="s">
        <v>98</v>
      </c>
      <c r="H3042" s="4" t="s">
        <v>7275</v>
      </c>
    </row>
    <row r="3043" ht="16.5" customHeight="1" spans="1:8">
      <c r="A3043" s="3">
        <v>3042</v>
      </c>
      <c r="B3043" s="3" t="s">
        <v>7280</v>
      </c>
      <c r="C3043" s="3" t="s">
        <v>1105</v>
      </c>
      <c r="D3043" s="4" t="s">
        <v>7281</v>
      </c>
      <c r="E3043" s="3" t="s">
        <v>1076</v>
      </c>
      <c r="F3043" s="3" t="s">
        <v>1736</v>
      </c>
      <c r="G3043" s="3" t="s">
        <v>98</v>
      </c>
      <c r="H3043" s="4" t="s">
        <v>7275</v>
      </c>
    </row>
    <row r="3044" ht="16.5" customHeight="1" spans="1:8">
      <c r="A3044" s="3">
        <v>3043</v>
      </c>
      <c r="B3044" s="3" t="s">
        <v>7282</v>
      </c>
      <c r="C3044" s="3" t="s">
        <v>1105</v>
      </c>
      <c r="D3044" s="4" t="s">
        <v>7283</v>
      </c>
      <c r="E3044" s="3" t="s">
        <v>1076</v>
      </c>
      <c r="F3044" s="3" t="s">
        <v>1736</v>
      </c>
      <c r="G3044" s="3" t="s">
        <v>98</v>
      </c>
      <c r="H3044" s="4" t="s">
        <v>7275</v>
      </c>
    </row>
    <row r="3045" ht="16.5" customHeight="1" spans="1:8">
      <c r="A3045" s="3">
        <v>3044</v>
      </c>
      <c r="B3045" s="3" t="s">
        <v>7284</v>
      </c>
      <c r="C3045" s="3" t="s">
        <v>1105</v>
      </c>
      <c r="D3045" s="4" t="s">
        <v>7285</v>
      </c>
      <c r="E3045" s="3" t="s">
        <v>1076</v>
      </c>
      <c r="F3045" s="3" t="s">
        <v>1736</v>
      </c>
      <c r="G3045" s="3" t="s">
        <v>98</v>
      </c>
      <c r="H3045" s="4" t="s">
        <v>7286</v>
      </c>
    </row>
    <row r="3046" ht="16.5" customHeight="1" spans="1:8">
      <c r="A3046" s="3">
        <v>3045</v>
      </c>
      <c r="B3046" s="3" t="s">
        <v>7287</v>
      </c>
      <c r="C3046" s="3" t="s">
        <v>1105</v>
      </c>
      <c r="D3046" s="4" t="s">
        <v>7288</v>
      </c>
      <c r="E3046" s="3" t="s">
        <v>1076</v>
      </c>
      <c r="F3046" s="3" t="s">
        <v>1736</v>
      </c>
      <c r="G3046" s="3" t="s">
        <v>98</v>
      </c>
      <c r="H3046" s="4" t="s">
        <v>7286</v>
      </c>
    </row>
    <row r="3047" ht="16.5" customHeight="1" spans="1:8">
      <c r="A3047" s="3">
        <v>3046</v>
      </c>
      <c r="B3047" s="3" t="s">
        <v>7289</v>
      </c>
      <c r="C3047" s="3" t="s">
        <v>1105</v>
      </c>
      <c r="D3047" s="4" t="s">
        <v>7290</v>
      </c>
      <c r="E3047" s="3" t="s">
        <v>1076</v>
      </c>
      <c r="F3047" s="3" t="s">
        <v>3128</v>
      </c>
      <c r="G3047" s="3" t="s">
        <v>98</v>
      </c>
      <c r="H3047" s="4" t="s">
        <v>7286</v>
      </c>
    </row>
    <row r="3048" ht="16.5" customHeight="1" spans="1:8">
      <c r="A3048" s="3">
        <v>3047</v>
      </c>
      <c r="B3048" s="3" t="s">
        <v>7291</v>
      </c>
      <c r="C3048" s="3" t="s">
        <v>1105</v>
      </c>
      <c r="D3048" s="4" t="s">
        <v>7292</v>
      </c>
      <c r="E3048" s="3" t="s">
        <v>1076</v>
      </c>
      <c r="F3048" s="3" t="s">
        <v>4668</v>
      </c>
      <c r="G3048" s="3" t="s">
        <v>98</v>
      </c>
      <c r="H3048" s="4" t="s">
        <v>7293</v>
      </c>
    </row>
    <row r="3049" ht="16.5" customHeight="1" spans="1:8">
      <c r="A3049" s="3">
        <v>3048</v>
      </c>
      <c r="B3049" s="3" t="s">
        <v>7294</v>
      </c>
      <c r="C3049" s="3" t="s">
        <v>1105</v>
      </c>
      <c r="D3049" s="4" t="s">
        <v>7295</v>
      </c>
      <c r="E3049" s="3" t="s">
        <v>1076</v>
      </c>
      <c r="F3049" s="3" t="s">
        <v>4668</v>
      </c>
      <c r="G3049" s="3" t="s">
        <v>98</v>
      </c>
      <c r="H3049" s="4" t="s">
        <v>7293</v>
      </c>
    </row>
    <row r="3050" ht="16.5" customHeight="1" spans="1:8">
      <c r="A3050" s="3">
        <v>3049</v>
      </c>
      <c r="B3050" s="3" t="s">
        <v>7296</v>
      </c>
      <c r="C3050" s="3" t="s">
        <v>1105</v>
      </c>
      <c r="D3050" s="4" t="s">
        <v>7297</v>
      </c>
      <c r="E3050" s="3" t="s">
        <v>1076</v>
      </c>
      <c r="F3050" s="3" t="s">
        <v>4668</v>
      </c>
      <c r="G3050" s="3" t="s">
        <v>98</v>
      </c>
      <c r="H3050" s="4" t="s">
        <v>7293</v>
      </c>
    </row>
    <row r="3051" ht="16.5" customHeight="1" spans="1:8">
      <c r="A3051" s="3">
        <v>3050</v>
      </c>
      <c r="B3051" s="3" t="s">
        <v>7298</v>
      </c>
      <c r="C3051" s="3" t="s">
        <v>1105</v>
      </c>
      <c r="D3051" s="4" t="s">
        <v>7299</v>
      </c>
      <c r="E3051" s="3" t="s">
        <v>1076</v>
      </c>
      <c r="F3051" s="3" t="s">
        <v>4668</v>
      </c>
      <c r="G3051" s="3" t="s">
        <v>98</v>
      </c>
      <c r="H3051" s="4" t="s">
        <v>7293</v>
      </c>
    </row>
    <row r="3052" ht="16.5" customHeight="1" spans="1:8">
      <c r="A3052" s="3">
        <v>3051</v>
      </c>
      <c r="B3052" s="3" t="s">
        <v>7300</v>
      </c>
      <c r="C3052" s="3" t="s">
        <v>1105</v>
      </c>
      <c r="D3052" s="4" t="s">
        <v>7301</v>
      </c>
      <c r="E3052" s="3" t="s">
        <v>1076</v>
      </c>
      <c r="F3052" s="3" t="s">
        <v>4668</v>
      </c>
      <c r="G3052" s="3" t="s">
        <v>98</v>
      </c>
      <c r="H3052" s="4" t="s">
        <v>7293</v>
      </c>
    </row>
    <row r="3053" ht="16.5" customHeight="1" spans="1:8">
      <c r="A3053" s="3">
        <v>3052</v>
      </c>
      <c r="B3053" s="3" t="s">
        <v>7302</v>
      </c>
      <c r="C3053" s="3" t="s">
        <v>1105</v>
      </c>
      <c r="D3053" s="4" t="s">
        <v>7303</v>
      </c>
      <c r="E3053" s="3" t="s">
        <v>1076</v>
      </c>
      <c r="F3053" s="3" t="s">
        <v>1736</v>
      </c>
      <c r="G3053" s="3" t="s">
        <v>98</v>
      </c>
      <c r="H3053" s="4" t="s">
        <v>7304</v>
      </c>
    </row>
    <row r="3054" ht="16.5" customHeight="1" spans="1:8">
      <c r="A3054" s="3">
        <v>3053</v>
      </c>
      <c r="B3054" s="3" t="s">
        <v>7305</v>
      </c>
      <c r="C3054" s="3" t="s">
        <v>1105</v>
      </c>
      <c r="D3054" s="4" t="s">
        <v>7306</v>
      </c>
      <c r="E3054" s="3" t="s">
        <v>1076</v>
      </c>
      <c r="F3054" s="3" t="s">
        <v>1736</v>
      </c>
      <c r="G3054" s="3" t="s">
        <v>98</v>
      </c>
      <c r="H3054" s="4" t="s">
        <v>7304</v>
      </c>
    </row>
    <row r="3055" ht="16.5" customHeight="1" spans="1:8">
      <c r="A3055" s="3">
        <v>3054</v>
      </c>
      <c r="B3055" s="3" t="s">
        <v>7307</v>
      </c>
      <c r="C3055" s="3" t="s">
        <v>1105</v>
      </c>
      <c r="D3055" s="4" t="s">
        <v>7308</v>
      </c>
      <c r="E3055" s="3" t="s">
        <v>1076</v>
      </c>
      <c r="F3055" s="3" t="s">
        <v>1736</v>
      </c>
      <c r="G3055" s="3" t="s">
        <v>98</v>
      </c>
      <c r="H3055" s="4" t="s">
        <v>7304</v>
      </c>
    </row>
    <row r="3056" ht="16.5" customHeight="1" spans="1:8">
      <c r="A3056" s="3">
        <v>3055</v>
      </c>
      <c r="B3056" s="3" t="s">
        <v>7309</v>
      </c>
      <c r="C3056" s="3" t="s">
        <v>1105</v>
      </c>
      <c r="D3056" s="4" t="s">
        <v>7310</v>
      </c>
      <c r="E3056" s="3" t="s">
        <v>1837</v>
      </c>
      <c r="F3056" s="3" t="s">
        <v>1736</v>
      </c>
      <c r="G3056" s="3" t="s">
        <v>98</v>
      </c>
      <c r="H3056" s="4" t="s">
        <v>7304</v>
      </c>
    </row>
    <row r="3057" ht="16.5" customHeight="1" spans="1:8">
      <c r="A3057" s="3">
        <v>3056</v>
      </c>
      <c r="B3057" s="3" t="s">
        <v>7311</v>
      </c>
      <c r="C3057" s="3" t="s">
        <v>1105</v>
      </c>
      <c r="D3057" s="4" t="s">
        <v>7312</v>
      </c>
      <c r="E3057" s="3" t="s">
        <v>1076</v>
      </c>
      <c r="F3057" s="3" t="s">
        <v>1736</v>
      </c>
      <c r="G3057" s="3" t="s">
        <v>98</v>
      </c>
      <c r="H3057" s="4" t="s">
        <v>7304</v>
      </c>
    </row>
    <row r="3058" ht="16.5" customHeight="1" spans="1:8">
      <c r="A3058" s="3">
        <v>3057</v>
      </c>
      <c r="B3058" s="3" t="s">
        <v>7313</v>
      </c>
      <c r="C3058" s="3" t="s">
        <v>1105</v>
      </c>
      <c r="D3058" s="4" t="s">
        <v>7314</v>
      </c>
      <c r="E3058" s="3" t="s">
        <v>1739</v>
      </c>
      <c r="F3058" s="3" t="s">
        <v>1736</v>
      </c>
      <c r="G3058" s="3" t="s">
        <v>98</v>
      </c>
      <c r="H3058" s="4" t="s">
        <v>7315</v>
      </c>
    </row>
    <row r="3059" ht="16.5" customHeight="1" spans="1:8">
      <c r="A3059" s="3">
        <v>3058</v>
      </c>
      <c r="B3059" s="3" t="s">
        <v>7316</v>
      </c>
      <c r="C3059" s="3" t="s">
        <v>1105</v>
      </c>
      <c r="D3059" s="4" t="s">
        <v>7317</v>
      </c>
      <c r="E3059" s="3" t="s">
        <v>1739</v>
      </c>
      <c r="F3059" s="3" t="s">
        <v>1736</v>
      </c>
      <c r="G3059" s="3" t="s">
        <v>98</v>
      </c>
      <c r="H3059" s="4" t="s">
        <v>7315</v>
      </c>
    </row>
    <row r="3060" ht="16.5" customHeight="1" spans="1:8">
      <c r="A3060" s="3">
        <v>3059</v>
      </c>
      <c r="B3060" s="3" t="s">
        <v>7318</v>
      </c>
      <c r="C3060" s="3" t="s">
        <v>1105</v>
      </c>
      <c r="D3060" s="4" t="s">
        <v>7319</v>
      </c>
      <c r="E3060" s="3" t="s">
        <v>1739</v>
      </c>
      <c r="F3060" s="3" t="s">
        <v>1736</v>
      </c>
      <c r="G3060" s="3" t="s">
        <v>98</v>
      </c>
      <c r="H3060" s="4" t="s">
        <v>7315</v>
      </c>
    </row>
    <row r="3061" ht="16.5" customHeight="1" spans="1:8">
      <c r="A3061" s="3">
        <v>3060</v>
      </c>
      <c r="B3061" s="3" t="s">
        <v>7320</v>
      </c>
      <c r="C3061" s="3" t="s">
        <v>1105</v>
      </c>
      <c r="D3061" s="4" t="s">
        <v>7321</v>
      </c>
      <c r="E3061" s="3" t="s">
        <v>1739</v>
      </c>
      <c r="F3061" s="3" t="s">
        <v>1736</v>
      </c>
      <c r="G3061" s="3" t="s">
        <v>98</v>
      </c>
      <c r="H3061" s="4" t="s">
        <v>7315</v>
      </c>
    </row>
    <row r="3062" ht="16.5" customHeight="1" spans="1:8">
      <c r="A3062" s="3">
        <v>3061</v>
      </c>
      <c r="B3062" s="3" t="s">
        <v>7322</v>
      </c>
      <c r="C3062" s="3" t="s">
        <v>1105</v>
      </c>
      <c r="D3062" s="4" t="s">
        <v>7323</v>
      </c>
      <c r="E3062" s="3" t="s">
        <v>1739</v>
      </c>
      <c r="F3062" s="3" t="s">
        <v>1736</v>
      </c>
      <c r="G3062" s="3" t="s">
        <v>98</v>
      </c>
      <c r="H3062" s="4" t="s">
        <v>7315</v>
      </c>
    </row>
    <row r="3063" ht="16.5" customHeight="1" spans="1:8">
      <c r="A3063" s="3">
        <v>3062</v>
      </c>
      <c r="B3063" s="3" t="s">
        <v>7324</v>
      </c>
      <c r="C3063" s="3" t="s">
        <v>1105</v>
      </c>
      <c r="D3063" s="4" t="s">
        <v>7325</v>
      </c>
      <c r="E3063" s="3" t="s">
        <v>1739</v>
      </c>
      <c r="F3063" s="3" t="s">
        <v>1736</v>
      </c>
      <c r="G3063" s="3" t="s">
        <v>98</v>
      </c>
      <c r="H3063" s="4" t="s">
        <v>7315</v>
      </c>
    </row>
    <row r="3064" ht="16.5" customHeight="1" spans="1:8">
      <c r="A3064" s="3">
        <v>3063</v>
      </c>
      <c r="B3064" s="3" t="s">
        <v>7326</v>
      </c>
      <c r="C3064" s="3" t="s">
        <v>1105</v>
      </c>
      <c r="D3064" s="4" t="s">
        <v>7327</v>
      </c>
      <c r="E3064" s="3" t="s">
        <v>1739</v>
      </c>
      <c r="F3064" s="3" t="s">
        <v>1736</v>
      </c>
      <c r="G3064" s="3" t="s">
        <v>98</v>
      </c>
      <c r="H3064" s="4" t="s">
        <v>7315</v>
      </c>
    </row>
    <row r="3065" ht="16.5" customHeight="1" spans="1:8">
      <c r="A3065" s="3">
        <v>3064</v>
      </c>
      <c r="B3065" s="3" t="s">
        <v>7328</v>
      </c>
      <c r="C3065" s="3" t="s">
        <v>1105</v>
      </c>
      <c r="D3065" s="4" t="s">
        <v>7329</v>
      </c>
      <c r="E3065" s="3" t="s">
        <v>1739</v>
      </c>
      <c r="F3065" s="3" t="s">
        <v>1736</v>
      </c>
      <c r="G3065" s="3" t="s">
        <v>98</v>
      </c>
      <c r="H3065" s="4" t="s">
        <v>7315</v>
      </c>
    </row>
    <row r="3066" ht="16.5" customHeight="1" spans="1:8">
      <c r="A3066" s="3">
        <v>3065</v>
      </c>
      <c r="B3066" s="3" t="s">
        <v>7330</v>
      </c>
      <c r="C3066" s="3" t="s">
        <v>1105</v>
      </c>
      <c r="D3066" s="4" t="s">
        <v>7331</v>
      </c>
      <c r="E3066" s="3" t="s">
        <v>1739</v>
      </c>
      <c r="F3066" s="3" t="s">
        <v>1736</v>
      </c>
      <c r="G3066" s="3" t="s">
        <v>98</v>
      </c>
      <c r="H3066" s="4" t="s">
        <v>7315</v>
      </c>
    </row>
    <row r="3067" ht="16.5" customHeight="1" spans="1:8">
      <c r="A3067" s="3">
        <v>3066</v>
      </c>
      <c r="B3067" s="3" t="s">
        <v>7332</v>
      </c>
      <c r="C3067" s="3" t="s">
        <v>1105</v>
      </c>
      <c r="D3067" s="4" t="s">
        <v>7333</v>
      </c>
      <c r="E3067" s="3" t="s">
        <v>1739</v>
      </c>
      <c r="F3067" s="3" t="s">
        <v>1736</v>
      </c>
      <c r="G3067" s="3" t="s">
        <v>98</v>
      </c>
      <c r="H3067" s="4" t="s">
        <v>7315</v>
      </c>
    </row>
    <row r="3068" ht="16.5" customHeight="1" spans="1:8">
      <c r="A3068" s="3">
        <v>3067</v>
      </c>
      <c r="B3068" s="3" t="s">
        <v>7334</v>
      </c>
      <c r="C3068" s="3" t="s">
        <v>1105</v>
      </c>
      <c r="D3068" s="4" t="s">
        <v>7335</v>
      </c>
      <c r="E3068" s="3" t="s">
        <v>1739</v>
      </c>
      <c r="F3068" s="3" t="s">
        <v>4110</v>
      </c>
      <c r="G3068" s="3" t="s">
        <v>98</v>
      </c>
      <c r="H3068" s="4" t="s">
        <v>7336</v>
      </c>
    </row>
    <row r="3069" ht="16.5" customHeight="1" spans="1:8">
      <c r="A3069" s="3">
        <v>3068</v>
      </c>
      <c r="B3069" s="3" t="s">
        <v>7337</v>
      </c>
      <c r="C3069" s="3" t="s">
        <v>1105</v>
      </c>
      <c r="D3069" s="4" t="s">
        <v>7338</v>
      </c>
      <c r="E3069" s="3" t="s">
        <v>1739</v>
      </c>
      <c r="F3069" s="3" t="s">
        <v>4110</v>
      </c>
      <c r="G3069" s="3" t="s">
        <v>98</v>
      </c>
      <c r="H3069" s="4" t="s">
        <v>7336</v>
      </c>
    </row>
    <row r="3070" ht="16.5" customHeight="1" spans="1:8">
      <c r="A3070" s="3">
        <v>3069</v>
      </c>
      <c r="B3070" s="3" t="s">
        <v>7339</v>
      </c>
      <c r="C3070" s="3" t="s">
        <v>1105</v>
      </c>
      <c r="D3070" s="4" t="s">
        <v>7340</v>
      </c>
      <c r="E3070" s="3" t="s">
        <v>1164</v>
      </c>
      <c r="F3070" s="3" t="s">
        <v>4110</v>
      </c>
      <c r="G3070" s="3" t="s">
        <v>98</v>
      </c>
      <c r="H3070" s="4" t="s">
        <v>7336</v>
      </c>
    </row>
    <row r="3071" ht="16.5" customHeight="1" spans="1:8">
      <c r="A3071" s="3">
        <v>3070</v>
      </c>
      <c r="B3071" s="3" t="s">
        <v>7341</v>
      </c>
      <c r="C3071" s="3" t="s">
        <v>1105</v>
      </c>
      <c r="D3071" s="4" t="s">
        <v>7342</v>
      </c>
      <c r="E3071" s="3" t="s">
        <v>1739</v>
      </c>
      <c r="F3071" s="3" t="s">
        <v>4110</v>
      </c>
      <c r="G3071" s="3" t="s">
        <v>98</v>
      </c>
      <c r="H3071" s="4" t="s">
        <v>7336</v>
      </c>
    </row>
    <row r="3072" ht="16.5" customHeight="1" spans="1:8">
      <c r="A3072" s="3">
        <v>3071</v>
      </c>
      <c r="B3072" s="3" t="s">
        <v>7343</v>
      </c>
      <c r="C3072" s="3" t="s">
        <v>1105</v>
      </c>
      <c r="D3072" s="4" t="s">
        <v>7344</v>
      </c>
      <c r="E3072" s="3" t="s">
        <v>1739</v>
      </c>
      <c r="F3072" s="3" t="s">
        <v>1736</v>
      </c>
      <c r="G3072" s="3" t="s">
        <v>98</v>
      </c>
      <c r="H3072" s="4" t="s">
        <v>7336</v>
      </c>
    </row>
    <row r="3073" ht="16.5" customHeight="1" spans="1:8">
      <c r="A3073" s="3">
        <v>3072</v>
      </c>
      <c r="B3073" s="3" t="s">
        <v>7345</v>
      </c>
      <c r="C3073" s="3" t="s">
        <v>1105</v>
      </c>
      <c r="D3073" s="4" t="s">
        <v>7346</v>
      </c>
      <c r="E3073" s="3" t="s">
        <v>1739</v>
      </c>
      <c r="F3073" s="3" t="s">
        <v>1736</v>
      </c>
      <c r="G3073" s="3" t="s">
        <v>98</v>
      </c>
      <c r="H3073" s="4" t="s">
        <v>7336</v>
      </c>
    </row>
    <row r="3074" ht="16.5" customHeight="1" spans="1:8">
      <c r="A3074" s="3">
        <v>3073</v>
      </c>
      <c r="B3074" s="3" t="s">
        <v>7347</v>
      </c>
      <c r="C3074" s="3" t="s">
        <v>1105</v>
      </c>
      <c r="D3074" s="4" t="s">
        <v>7348</v>
      </c>
      <c r="E3074" s="3" t="s">
        <v>1739</v>
      </c>
      <c r="F3074" s="3" t="s">
        <v>1736</v>
      </c>
      <c r="G3074" s="3" t="s">
        <v>98</v>
      </c>
      <c r="H3074" s="4" t="s">
        <v>7336</v>
      </c>
    </row>
    <row r="3075" ht="16.5" customHeight="1" spans="1:8">
      <c r="A3075" s="3">
        <v>3074</v>
      </c>
      <c r="B3075" s="3" t="s">
        <v>7349</v>
      </c>
      <c r="C3075" s="3" t="s">
        <v>1105</v>
      </c>
      <c r="D3075" s="4" t="s">
        <v>7350</v>
      </c>
      <c r="E3075" s="3" t="s">
        <v>1837</v>
      </c>
      <c r="F3075" s="3" t="s">
        <v>1736</v>
      </c>
      <c r="G3075" s="3" t="s">
        <v>98</v>
      </c>
      <c r="H3075" s="4" t="s">
        <v>7336</v>
      </c>
    </row>
    <row r="3076" ht="16.5" customHeight="1" spans="1:8">
      <c r="A3076" s="3">
        <v>3075</v>
      </c>
      <c r="B3076" s="3" t="s">
        <v>7351</v>
      </c>
      <c r="C3076" s="3" t="s">
        <v>1105</v>
      </c>
      <c r="D3076" s="4" t="s">
        <v>7352</v>
      </c>
      <c r="E3076" s="3" t="s">
        <v>1837</v>
      </c>
      <c r="F3076" s="3" t="s">
        <v>1736</v>
      </c>
      <c r="G3076" s="3" t="s">
        <v>98</v>
      </c>
      <c r="H3076" s="4" t="s">
        <v>7336</v>
      </c>
    </row>
    <row r="3077" ht="16.5" customHeight="1" spans="1:8">
      <c r="A3077" s="3">
        <v>3076</v>
      </c>
      <c r="B3077" s="3" t="s">
        <v>7353</v>
      </c>
      <c r="C3077" s="3" t="s">
        <v>1105</v>
      </c>
      <c r="D3077" s="4" t="s">
        <v>7354</v>
      </c>
      <c r="E3077" s="3" t="s">
        <v>1076</v>
      </c>
      <c r="F3077" s="3" t="s">
        <v>1736</v>
      </c>
      <c r="G3077" s="3" t="s">
        <v>98</v>
      </c>
      <c r="H3077" s="4" t="s">
        <v>7336</v>
      </c>
    </row>
    <row r="3078" ht="16.5" customHeight="1" spans="1:8">
      <c r="A3078" s="3">
        <v>3077</v>
      </c>
      <c r="B3078" s="3" t="s">
        <v>7355</v>
      </c>
      <c r="C3078" s="3" t="s">
        <v>1105</v>
      </c>
      <c r="D3078" s="4" t="s">
        <v>7356</v>
      </c>
      <c r="E3078" s="3" t="s">
        <v>1076</v>
      </c>
      <c r="F3078" s="3" t="s">
        <v>1736</v>
      </c>
      <c r="G3078" s="3" t="s">
        <v>98</v>
      </c>
      <c r="H3078" s="4" t="s">
        <v>7336</v>
      </c>
    </row>
    <row r="3079" ht="16.5" customHeight="1" spans="1:8">
      <c r="A3079" s="3">
        <v>3078</v>
      </c>
      <c r="B3079" s="3" t="s">
        <v>7357</v>
      </c>
      <c r="C3079" s="3" t="s">
        <v>1105</v>
      </c>
      <c r="D3079" s="4" t="s">
        <v>7358</v>
      </c>
      <c r="E3079" s="3" t="s">
        <v>1739</v>
      </c>
      <c r="F3079" s="3" t="s">
        <v>1736</v>
      </c>
      <c r="G3079" s="3" t="s">
        <v>98</v>
      </c>
      <c r="H3079" s="4" t="s">
        <v>7336</v>
      </c>
    </row>
    <row r="3080" ht="16.5" customHeight="1" spans="1:8">
      <c r="A3080" s="3">
        <v>3079</v>
      </c>
      <c r="B3080" s="3" t="s">
        <v>7359</v>
      </c>
      <c r="C3080" s="3" t="s">
        <v>1105</v>
      </c>
      <c r="D3080" s="4" t="s">
        <v>7360</v>
      </c>
      <c r="E3080" s="3" t="s">
        <v>1076</v>
      </c>
      <c r="F3080" s="3" t="s">
        <v>1736</v>
      </c>
      <c r="G3080" s="3" t="s">
        <v>98</v>
      </c>
      <c r="H3080" s="4" t="s">
        <v>7336</v>
      </c>
    </row>
    <row r="3081" ht="16.5" customHeight="1" spans="1:8">
      <c r="A3081" s="3">
        <v>3080</v>
      </c>
      <c r="B3081" s="3" t="s">
        <v>7361</v>
      </c>
      <c r="C3081" s="3" t="s">
        <v>1105</v>
      </c>
      <c r="D3081" s="4" t="s">
        <v>7362</v>
      </c>
      <c r="E3081" s="3" t="s">
        <v>1076</v>
      </c>
      <c r="F3081" s="3" t="s">
        <v>1736</v>
      </c>
      <c r="G3081" s="3" t="s">
        <v>98</v>
      </c>
      <c r="H3081" s="4" t="s">
        <v>7336</v>
      </c>
    </row>
    <row r="3082" ht="16.5" customHeight="1" spans="1:8">
      <c r="A3082" s="3">
        <v>3081</v>
      </c>
      <c r="B3082" s="3" t="s">
        <v>7363</v>
      </c>
      <c r="C3082" s="3" t="s">
        <v>1105</v>
      </c>
      <c r="D3082" s="4" t="s">
        <v>7364</v>
      </c>
      <c r="E3082" s="3" t="s">
        <v>1076</v>
      </c>
      <c r="F3082" s="3" t="s">
        <v>1736</v>
      </c>
      <c r="G3082" s="3" t="s">
        <v>98</v>
      </c>
      <c r="H3082" s="4" t="s">
        <v>7336</v>
      </c>
    </row>
    <row r="3083" ht="16.5" customHeight="1" spans="1:8">
      <c r="A3083" s="3">
        <v>3082</v>
      </c>
      <c r="B3083" s="3" t="s">
        <v>7365</v>
      </c>
      <c r="C3083" s="3" t="s">
        <v>1105</v>
      </c>
      <c r="D3083" s="4" t="s">
        <v>7366</v>
      </c>
      <c r="E3083" s="3" t="s">
        <v>1739</v>
      </c>
      <c r="F3083" s="3" t="s">
        <v>1736</v>
      </c>
      <c r="G3083" s="3" t="s">
        <v>98</v>
      </c>
      <c r="H3083" s="4" t="s">
        <v>7336</v>
      </c>
    </row>
    <row r="3084" ht="16.5" customHeight="1" spans="1:8">
      <c r="A3084" s="3">
        <v>3083</v>
      </c>
      <c r="B3084" s="3" t="s">
        <v>7367</v>
      </c>
      <c r="C3084" s="3" t="s">
        <v>1105</v>
      </c>
      <c r="D3084" s="4" t="s">
        <v>7368</v>
      </c>
      <c r="E3084" s="3" t="s">
        <v>1076</v>
      </c>
      <c r="F3084" s="3" t="s">
        <v>1736</v>
      </c>
      <c r="G3084" s="3" t="s">
        <v>98</v>
      </c>
      <c r="H3084" s="4" t="s">
        <v>7336</v>
      </c>
    </row>
    <row r="3085" ht="16.5" customHeight="1" spans="1:8">
      <c r="A3085" s="3">
        <v>3084</v>
      </c>
      <c r="B3085" s="3" t="s">
        <v>7369</v>
      </c>
      <c r="C3085" s="3" t="s">
        <v>1105</v>
      </c>
      <c r="D3085" s="4" t="s">
        <v>7370</v>
      </c>
      <c r="E3085" s="3" t="s">
        <v>1837</v>
      </c>
      <c r="F3085" s="3" t="s">
        <v>1736</v>
      </c>
      <c r="G3085" s="3" t="s">
        <v>98</v>
      </c>
      <c r="H3085" s="4" t="s">
        <v>7336</v>
      </c>
    </row>
    <row r="3086" ht="16.5" customHeight="1" spans="1:8">
      <c r="A3086" s="3">
        <v>3085</v>
      </c>
      <c r="B3086" s="3" t="s">
        <v>7371</v>
      </c>
      <c r="C3086" s="3" t="s">
        <v>1105</v>
      </c>
      <c r="D3086" s="4" t="s">
        <v>7372</v>
      </c>
      <c r="E3086" s="3" t="s">
        <v>1837</v>
      </c>
      <c r="F3086" s="3" t="s">
        <v>1736</v>
      </c>
      <c r="G3086" s="3" t="s">
        <v>98</v>
      </c>
      <c r="H3086" s="4" t="s">
        <v>7336</v>
      </c>
    </row>
    <row r="3087" ht="16.5" customHeight="1" spans="1:8">
      <c r="A3087" s="3">
        <v>3086</v>
      </c>
      <c r="B3087" s="3" t="s">
        <v>7373</v>
      </c>
      <c r="C3087" s="3" t="s">
        <v>1356</v>
      </c>
      <c r="D3087" s="4" t="s">
        <v>7374</v>
      </c>
      <c r="E3087" s="3" t="s">
        <v>1076</v>
      </c>
      <c r="F3087" s="3" t="s">
        <v>1736</v>
      </c>
      <c r="G3087" s="3" t="s">
        <v>98</v>
      </c>
      <c r="H3087" s="4" t="s">
        <v>3812</v>
      </c>
    </row>
    <row r="3088" ht="16.5" customHeight="1" spans="1:8">
      <c r="A3088" s="3">
        <v>3087</v>
      </c>
      <c r="B3088" s="3" t="s">
        <v>7375</v>
      </c>
      <c r="C3088" s="3" t="s">
        <v>1356</v>
      </c>
      <c r="D3088" s="4" t="s">
        <v>7376</v>
      </c>
      <c r="E3088" s="3" t="s">
        <v>1076</v>
      </c>
      <c r="F3088" s="3" t="s">
        <v>1736</v>
      </c>
      <c r="G3088" s="3" t="s">
        <v>98</v>
      </c>
      <c r="H3088" s="4" t="s">
        <v>7224</v>
      </c>
    </row>
    <row r="3089" ht="16.5" customHeight="1" spans="1:8">
      <c r="A3089" s="3">
        <v>3088</v>
      </c>
      <c r="B3089" s="3" t="s">
        <v>7377</v>
      </c>
      <c r="C3089" s="3" t="s">
        <v>1356</v>
      </c>
      <c r="D3089" s="4" t="s">
        <v>7378</v>
      </c>
      <c r="E3089" s="3" t="s">
        <v>1076</v>
      </c>
      <c r="F3089" s="3" t="s">
        <v>1736</v>
      </c>
      <c r="G3089" s="3" t="s">
        <v>98</v>
      </c>
      <c r="H3089" s="4" t="s">
        <v>7224</v>
      </c>
    </row>
    <row r="3090" ht="16.5" customHeight="1" spans="1:8">
      <c r="A3090" s="3">
        <v>3089</v>
      </c>
      <c r="B3090" s="3" t="s">
        <v>7379</v>
      </c>
      <c r="C3090" s="3" t="s">
        <v>1356</v>
      </c>
      <c r="D3090" s="4" t="s">
        <v>7380</v>
      </c>
      <c r="E3090" s="3" t="s">
        <v>1076</v>
      </c>
      <c r="F3090" s="3" t="s">
        <v>1736</v>
      </c>
      <c r="G3090" s="3" t="s">
        <v>98</v>
      </c>
      <c r="H3090" s="4" t="s">
        <v>7224</v>
      </c>
    </row>
    <row r="3091" ht="16.5" customHeight="1" spans="1:8">
      <c r="A3091" s="3">
        <v>3090</v>
      </c>
      <c r="B3091" s="3" t="s">
        <v>7381</v>
      </c>
      <c r="C3091" s="3" t="s">
        <v>1356</v>
      </c>
      <c r="D3091" s="4" t="s">
        <v>7382</v>
      </c>
      <c r="E3091" s="3" t="s">
        <v>1076</v>
      </c>
      <c r="F3091" s="3" t="s">
        <v>6762</v>
      </c>
      <c r="G3091" s="3" t="s">
        <v>98</v>
      </c>
      <c r="H3091" s="4" t="s">
        <v>1359</v>
      </c>
    </row>
    <row r="3092" ht="16.5" customHeight="1" spans="1:8">
      <c r="A3092" s="3">
        <v>3091</v>
      </c>
      <c r="B3092" s="3" t="s">
        <v>7383</v>
      </c>
      <c r="C3092" s="3" t="s">
        <v>1356</v>
      </c>
      <c r="D3092" s="4" t="s">
        <v>7384</v>
      </c>
      <c r="E3092" s="3" t="s">
        <v>1076</v>
      </c>
      <c r="F3092" s="3" t="s">
        <v>6762</v>
      </c>
      <c r="G3092" s="3" t="s">
        <v>98</v>
      </c>
      <c r="H3092" s="4" t="s">
        <v>4322</v>
      </c>
    </row>
    <row r="3093" ht="16.5" customHeight="1" spans="1:8">
      <c r="A3093" s="3">
        <v>3092</v>
      </c>
      <c r="B3093" s="3" t="s">
        <v>7385</v>
      </c>
      <c r="C3093" s="3" t="s">
        <v>1356</v>
      </c>
      <c r="D3093" s="4" t="s">
        <v>7386</v>
      </c>
      <c r="E3093" s="3" t="s">
        <v>1076</v>
      </c>
      <c r="F3093" s="3" t="s">
        <v>4668</v>
      </c>
      <c r="G3093" s="3" t="s">
        <v>98</v>
      </c>
      <c r="H3093" s="4" t="s">
        <v>7224</v>
      </c>
    </row>
    <row r="3094" ht="16.5" customHeight="1" spans="1:8">
      <c r="A3094" s="3">
        <v>3093</v>
      </c>
      <c r="B3094" s="3" t="s">
        <v>7387</v>
      </c>
      <c r="C3094" s="3" t="s">
        <v>1356</v>
      </c>
      <c r="D3094" s="4" t="s">
        <v>7388</v>
      </c>
      <c r="E3094" s="3" t="s">
        <v>1076</v>
      </c>
      <c r="F3094" s="3" t="s">
        <v>4668</v>
      </c>
      <c r="G3094" s="3" t="s">
        <v>98</v>
      </c>
      <c r="H3094" s="4" t="s">
        <v>7224</v>
      </c>
    </row>
    <row r="3095" ht="16.5" customHeight="1" spans="1:8">
      <c r="A3095" s="3">
        <v>3094</v>
      </c>
      <c r="B3095" s="3" t="s">
        <v>7389</v>
      </c>
      <c r="C3095" s="3" t="s">
        <v>1356</v>
      </c>
      <c r="D3095" s="4" t="s">
        <v>7390</v>
      </c>
      <c r="E3095" s="3" t="s">
        <v>1076</v>
      </c>
      <c r="F3095" s="3" t="s">
        <v>1736</v>
      </c>
      <c r="G3095" s="3" t="s">
        <v>98</v>
      </c>
      <c r="H3095" s="4" t="s">
        <v>7224</v>
      </c>
    </row>
    <row r="3096" ht="16.5" customHeight="1" spans="1:8">
      <c r="A3096" s="3">
        <v>3095</v>
      </c>
      <c r="B3096" s="3" t="s">
        <v>7391</v>
      </c>
      <c r="C3096" s="3" t="s">
        <v>1356</v>
      </c>
      <c r="D3096" s="4" t="s">
        <v>7392</v>
      </c>
      <c r="E3096" s="3" t="s">
        <v>1076</v>
      </c>
      <c r="F3096" s="3" t="s">
        <v>1736</v>
      </c>
      <c r="G3096" s="3" t="s">
        <v>98</v>
      </c>
      <c r="H3096" s="4" t="s">
        <v>7393</v>
      </c>
    </row>
    <row r="3097" ht="16.5" customHeight="1" spans="1:8">
      <c r="A3097" s="3">
        <v>3096</v>
      </c>
      <c r="B3097" s="3" t="s">
        <v>7394</v>
      </c>
      <c r="C3097" s="3" t="s">
        <v>1356</v>
      </c>
      <c r="D3097" s="4" t="s">
        <v>7395</v>
      </c>
      <c r="E3097" s="3" t="s">
        <v>1076</v>
      </c>
      <c r="F3097" s="3" t="s">
        <v>6762</v>
      </c>
      <c r="G3097" s="3" t="s">
        <v>98</v>
      </c>
      <c r="H3097" s="4" t="s">
        <v>1359</v>
      </c>
    </row>
    <row r="3098" ht="16.5" customHeight="1" spans="1:8">
      <c r="A3098" s="3">
        <v>3097</v>
      </c>
      <c r="B3098" s="3" t="s">
        <v>7396</v>
      </c>
      <c r="C3098" s="3" t="s">
        <v>1356</v>
      </c>
      <c r="D3098" s="4" t="s">
        <v>7397</v>
      </c>
      <c r="E3098" s="3" t="s">
        <v>1076</v>
      </c>
      <c r="F3098" s="3" t="s">
        <v>6762</v>
      </c>
      <c r="G3098" s="3" t="s">
        <v>98</v>
      </c>
      <c r="H3098" s="4" t="s">
        <v>1359</v>
      </c>
    </row>
    <row r="3099" ht="16.5" customHeight="1" spans="1:8">
      <c r="A3099" s="3">
        <v>3098</v>
      </c>
      <c r="B3099" s="3" t="s">
        <v>7398</v>
      </c>
      <c r="C3099" s="3" t="s">
        <v>1356</v>
      </c>
      <c r="D3099" s="4" t="s">
        <v>7399</v>
      </c>
      <c r="E3099" s="3" t="s">
        <v>1076</v>
      </c>
      <c r="F3099" s="3" t="s">
        <v>6762</v>
      </c>
      <c r="G3099" s="3" t="s">
        <v>98</v>
      </c>
      <c r="H3099" s="4" t="s">
        <v>4322</v>
      </c>
    </row>
    <row r="3100" ht="16.5" customHeight="1" spans="1:8">
      <c r="A3100" s="3">
        <v>3099</v>
      </c>
      <c r="B3100" s="3" t="s">
        <v>7400</v>
      </c>
      <c r="C3100" s="3" t="s">
        <v>1356</v>
      </c>
      <c r="D3100" s="4" t="s">
        <v>7401</v>
      </c>
      <c r="E3100" s="3" t="s">
        <v>1076</v>
      </c>
      <c r="F3100" s="3" t="s">
        <v>4668</v>
      </c>
      <c r="G3100" s="3" t="s">
        <v>98</v>
      </c>
      <c r="H3100" s="4" t="s">
        <v>7224</v>
      </c>
    </row>
    <row r="3101" ht="16.5" customHeight="1" spans="1:8">
      <c r="A3101" s="3">
        <v>3100</v>
      </c>
      <c r="B3101" s="3" t="s">
        <v>7402</v>
      </c>
      <c r="C3101" s="3" t="s">
        <v>1356</v>
      </c>
      <c r="D3101" s="4" t="s">
        <v>7403</v>
      </c>
      <c r="E3101" s="3" t="s">
        <v>1076</v>
      </c>
      <c r="F3101" s="3" t="s">
        <v>6762</v>
      </c>
      <c r="G3101" s="3" t="s">
        <v>98</v>
      </c>
      <c r="H3101" s="4" t="s">
        <v>4322</v>
      </c>
    </row>
    <row r="3102" ht="16.5" customHeight="1" spans="1:8">
      <c r="A3102" s="3">
        <v>3101</v>
      </c>
      <c r="B3102" s="3" t="s">
        <v>7404</v>
      </c>
      <c r="C3102" s="3" t="s">
        <v>1356</v>
      </c>
      <c r="D3102" s="4" t="s">
        <v>7405</v>
      </c>
      <c r="E3102" s="3" t="s">
        <v>1076</v>
      </c>
      <c r="F3102" s="3" t="s">
        <v>6762</v>
      </c>
      <c r="G3102" s="3" t="s">
        <v>98</v>
      </c>
      <c r="H3102" s="4" t="s">
        <v>1359</v>
      </c>
    </row>
    <row r="3103" ht="16.5" customHeight="1" spans="1:8">
      <c r="A3103" s="3">
        <v>3102</v>
      </c>
      <c r="B3103" s="3" t="s">
        <v>7406</v>
      </c>
      <c r="C3103" s="3" t="s">
        <v>1356</v>
      </c>
      <c r="D3103" s="4" t="s">
        <v>7407</v>
      </c>
      <c r="E3103" s="3" t="s">
        <v>1076</v>
      </c>
      <c r="F3103" s="3" t="s">
        <v>4668</v>
      </c>
      <c r="G3103" s="3" t="s">
        <v>98</v>
      </c>
      <c r="H3103" s="4" t="s">
        <v>7224</v>
      </c>
    </row>
    <row r="3104" ht="16.5" customHeight="1" spans="1:8">
      <c r="A3104" s="3">
        <v>3103</v>
      </c>
      <c r="B3104" s="3" t="s">
        <v>7408</v>
      </c>
      <c r="C3104" s="3" t="s">
        <v>1356</v>
      </c>
      <c r="D3104" s="4" t="s">
        <v>7409</v>
      </c>
      <c r="E3104" s="3" t="s">
        <v>1076</v>
      </c>
      <c r="F3104" s="3" t="s">
        <v>4668</v>
      </c>
      <c r="G3104" s="3" t="s">
        <v>98</v>
      </c>
      <c r="H3104" s="4" t="s">
        <v>7224</v>
      </c>
    </row>
    <row r="3105" ht="16.5" customHeight="1" spans="1:8">
      <c r="A3105" s="3">
        <v>3104</v>
      </c>
      <c r="B3105" s="3" t="s">
        <v>7410</v>
      </c>
      <c r="C3105" s="3" t="s">
        <v>1356</v>
      </c>
      <c r="D3105" s="4" t="s">
        <v>7411</v>
      </c>
      <c r="E3105" s="3" t="s">
        <v>1076</v>
      </c>
      <c r="F3105" s="3" t="s">
        <v>4668</v>
      </c>
      <c r="G3105" s="3" t="s">
        <v>98</v>
      </c>
      <c r="H3105" s="4" t="s">
        <v>7224</v>
      </c>
    </row>
    <row r="3106" ht="16.5" customHeight="1" spans="1:8">
      <c r="A3106" s="3">
        <v>3105</v>
      </c>
      <c r="B3106" s="3" t="s">
        <v>7412</v>
      </c>
      <c r="C3106" s="3" t="s">
        <v>1356</v>
      </c>
      <c r="D3106" s="4" t="s">
        <v>7413</v>
      </c>
      <c r="E3106" s="3" t="s">
        <v>1076</v>
      </c>
      <c r="F3106" s="3" t="s">
        <v>4668</v>
      </c>
      <c r="G3106" s="3" t="s">
        <v>98</v>
      </c>
      <c r="H3106" s="4" t="s">
        <v>7224</v>
      </c>
    </row>
    <row r="3107" ht="16.5" customHeight="1" spans="1:8">
      <c r="A3107" s="3">
        <v>3106</v>
      </c>
      <c r="B3107" s="3" t="s">
        <v>7414</v>
      </c>
      <c r="C3107" s="3" t="s">
        <v>1356</v>
      </c>
      <c r="D3107" s="4" t="s">
        <v>7415</v>
      </c>
      <c r="E3107" s="3" t="s">
        <v>1076</v>
      </c>
      <c r="F3107" s="3" t="s">
        <v>6762</v>
      </c>
      <c r="G3107" s="3" t="s">
        <v>98</v>
      </c>
      <c r="H3107" s="4" t="s">
        <v>4322</v>
      </c>
    </row>
    <row r="3108" ht="16.5" customHeight="1" spans="1:8">
      <c r="A3108" s="3">
        <v>3107</v>
      </c>
      <c r="B3108" s="3" t="s">
        <v>7416</v>
      </c>
      <c r="C3108" s="3" t="s">
        <v>1356</v>
      </c>
      <c r="D3108" s="4" t="s">
        <v>7417</v>
      </c>
      <c r="E3108" s="3" t="s">
        <v>1076</v>
      </c>
      <c r="F3108" s="3" t="s">
        <v>6762</v>
      </c>
      <c r="G3108" s="3" t="s">
        <v>98</v>
      </c>
      <c r="H3108" s="4" t="s">
        <v>1359</v>
      </c>
    </row>
    <row r="3109" ht="16.5" customHeight="1" spans="1:8">
      <c r="A3109" s="3">
        <v>3108</v>
      </c>
      <c r="B3109" s="3" t="s">
        <v>7418</v>
      </c>
      <c r="C3109" s="3" t="s">
        <v>1356</v>
      </c>
      <c r="D3109" s="4" t="s">
        <v>7419</v>
      </c>
      <c r="E3109" s="3" t="s">
        <v>1076</v>
      </c>
      <c r="F3109" s="3" t="s">
        <v>4668</v>
      </c>
      <c r="G3109" s="3" t="s">
        <v>98</v>
      </c>
      <c r="H3109" s="4" t="s">
        <v>7224</v>
      </c>
    </row>
    <row r="3110" ht="16.5" customHeight="1" spans="1:8">
      <c r="A3110" s="3">
        <v>3109</v>
      </c>
      <c r="B3110" s="3" t="s">
        <v>7420</v>
      </c>
      <c r="C3110" s="3" t="s">
        <v>1356</v>
      </c>
      <c r="D3110" s="4" t="s">
        <v>7421</v>
      </c>
      <c r="E3110" s="3" t="s">
        <v>1076</v>
      </c>
      <c r="F3110" s="3" t="s">
        <v>1736</v>
      </c>
      <c r="G3110" s="3" t="s">
        <v>98</v>
      </c>
      <c r="H3110" s="4" t="s">
        <v>7224</v>
      </c>
    </row>
    <row r="3111" ht="16.5" customHeight="1" spans="1:8">
      <c r="A3111" s="3">
        <v>3110</v>
      </c>
      <c r="B3111" s="3" t="s">
        <v>7422</v>
      </c>
      <c r="C3111" s="3" t="s">
        <v>1356</v>
      </c>
      <c r="D3111" s="4" t="s">
        <v>7423</v>
      </c>
      <c r="E3111" s="3" t="s">
        <v>1076</v>
      </c>
      <c r="F3111" s="3" t="s">
        <v>1736</v>
      </c>
      <c r="G3111" s="3" t="s">
        <v>98</v>
      </c>
      <c r="H3111" s="4" t="s">
        <v>7224</v>
      </c>
    </row>
    <row r="3112" ht="16.5" customHeight="1" spans="1:8">
      <c r="A3112" s="3">
        <v>3111</v>
      </c>
      <c r="B3112" s="3" t="s">
        <v>7424</v>
      </c>
      <c r="C3112" s="3" t="s">
        <v>1356</v>
      </c>
      <c r="D3112" s="4" t="s">
        <v>7425</v>
      </c>
      <c r="E3112" s="3" t="s">
        <v>1076</v>
      </c>
      <c r="F3112" s="3" t="s">
        <v>1736</v>
      </c>
      <c r="G3112" s="3" t="s">
        <v>98</v>
      </c>
      <c r="H3112" s="4" t="s">
        <v>7224</v>
      </c>
    </row>
    <row r="3113" ht="16.5" customHeight="1" spans="1:8">
      <c r="A3113" s="3">
        <v>3112</v>
      </c>
      <c r="B3113" s="3" t="s">
        <v>7426</v>
      </c>
      <c r="C3113" s="3" t="s">
        <v>1356</v>
      </c>
      <c r="D3113" s="4" t="s">
        <v>7427</v>
      </c>
      <c r="E3113" s="3" t="s">
        <v>1076</v>
      </c>
      <c r="F3113" s="3" t="s">
        <v>2105</v>
      </c>
      <c r="G3113" s="3" t="s">
        <v>98</v>
      </c>
      <c r="H3113" s="4" t="s">
        <v>3812</v>
      </c>
    </row>
    <row r="3114" ht="16.5" customHeight="1" spans="1:8">
      <c r="A3114" s="3">
        <v>3113</v>
      </c>
      <c r="B3114" s="3" t="s">
        <v>7428</v>
      </c>
      <c r="C3114" s="3" t="s">
        <v>1356</v>
      </c>
      <c r="D3114" s="4" t="s">
        <v>7429</v>
      </c>
      <c r="E3114" s="3" t="s">
        <v>1076</v>
      </c>
      <c r="F3114" s="3" t="s">
        <v>2105</v>
      </c>
      <c r="G3114" s="3" t="s">
        <v>98</v>
      </c>
      <c r="H3114" s="4" t="s">
        <v>3812</v>
      </c>
    </row>
    <row r="3115" ht="16.5" customHeight="1" spans="1:8">
      <c r="A3115" s="3">
        <v>3114</v>
      </c>
      <c r="B3115" s="3" t="s">
        <v>7430</v>
      </c>
      <c r="C3115" s="3" t="s">
        <v>1356</v>
      </c>
      <c r="D3115" s="4" t="s">
        <v>7431</v>
      </c>
      <c r="E3115" s="3" t="s">
        <v>1076</v>
      </c>
      <c r="F3115" s="3" t="s">
        <v>2105</v>
      </c>
      <c r="G3115" s="3" t="s">
        <v>98</v>
      </c>
      <c r="H3115" s="4" t="s">
        <v>5664</v>
      </c>
    </row>
    <row r="3116" ht="16.5" customHeight="1" spans="1:8">
      <c r="A3116" s="3">
        <v>3115</v>
      </c>
      <c r="B3116" s="3" t="s">
        <v>7432</v>
      </c>
      <c r="C3116" s="3" t="s">
        <v>1356</v>
      </c>
      <c r="D3116" s="4" t="s">
        <v>7433</v>
      </c>
      <c r="E3116" s="3" t="s">
        <v>1076</v>
      </c>
      <c r="F3116" s="3" t="s">
        <v>2105</v>
      </c>
      <c r="G3116" s="3" t="s">
        <v>98</v>
      </c>
      <c r="H3116" s="4" t="s">
        <v>3812</v>
      </c>
    </row>
    <row r="3117" ht="16.5" customHeight="1" spans="1:8">
      <c r="A3117" s="3">
        <v>3116</v>
      </c>
      <c r="B3117" s="3" t="s">
        <v>7434</v>
      </c>
      <c r="C3117" s="3" t="s">
        <v>1356</v>
      </c>
      <c r="D3117" s="4" t="s">
        <v>7435</v>
      </c>
      <c r="E3117" s="3" t="s">
        <v>1076</v>
      </c>
      <c r="F3117" s="3" t="s">
        <v>2105</v>
      </c>
      <c r="G3117" s="3" t="s">
        <v>98</v>
      </c>
      <c r="H3117" s="4" t="s">
        <v>5664</v>
      </c>
    </row>
    <row r="3118" ht="16.5" customHeight="1" spans="1:8">
      <c r="A3118" s="3">
        <v>3117</v>
      </c>
      <c r="B3118" s="3" t="s">
        <v>7436</v>
      </c>
      <c r="C3118" s="3" t="s">
        <v>1356</v>
      </c>
      <c r="D3118" s="4" t="s">
        <v>7437</v>
      </c>
      <c r="E3118" s="3" t="s">
        <v>1076</v>
      </c>
      <c r="F3118" s="3" t="s">
        <v>2105</v>
      </c>
      <c r="G3118" s="3" t="s">
        <v>98</v>
      </c>
      <c r="H3118" s="4" t="s">
        <v>3812</v>
      </c>
    </row>
    <row r="3119" ht="16.5" customHeight="1" spans="1:8">
      <c r="A3119" s="3">
        <v>3118</v>
      </c>
      <c r="B3119" s="3" t="s">
        <v>7438</v>
      </c>
      <c r="C3119" s="3" t="s">
        <v>1356</v>
      </c>
      <c r="D3119" s="4" t="s">
        <v>7439</v>
      </c>
      <c r="E3119" s="3" t="s">
        <v>1076</v>
      </c>
      <c r="F3119" s="3" t="s">
        <v>2105</v>
      </c>
      <c r="G3119" s="3" t="s">
        <v>98</v>
      </c>
      <c r="H3119" s="4" t="s">
        <v>5664</v>
      </c>
    </row>
    <row r="3120" ht="16.5" customHeight="1" spans="1:8">
      <c r="A3120" s="3">
        <v>3119</v>
      </c>
      <c r="B3120" s="3" t="s">
        <v>7440</v>
      </c>
      <c r="C3120" s="3" t="s">
        <v>1356</v>
      </c>
      <c r="D3120" s="4" t="s">
        <v>7441</v>
      </c>
      <c r="E3120" s="3" t="s">
        <v>1076</v>
      </c>
      <c r="F3120" s="3" t="s">
        <v>2105</v>
      </c>
      <c r="G3120" s="3" t="s">
        <v>98</v>
      </c>
      <c r="H3120" s="4" t="s">
        <v>3812</v>
      </c>
    </row>
    <row r="3121" ht="16.5" customHeight="1" spans="1:8">
      <c r="A3121" s="3">
        <v>3120</v>
      </c>
      <c r="B3121" s="3" t="s">
        <v>7442</v>
      </c>
      <c r="C3121" s="3" t="s">
        <v>1356</v>
      </c>
      <c r="D3121" s="4" t="s">
        <v>7443</v>
      </c>
      <c r="E3121" s="3" t="s">
        <v>1076</v>
      </c>
      <c r="F3121" s="3" t="s">
        <v>2105</v>
      </c>
      <c r="G3121" s="3" t="s">
        <v>98</v>
      </c>
      <c r="H3121" s="4" t="s">
        <v>5664</v>
      </c>
    </row>
    <row r="3122" ht="16.5" customHeight="1" spans="1:8">
      <c r="A3122" s="3">
        <v>3121</v>
      </c>
      <c r="B3122" s="3" t="s">
        <v>7444</v>
      </c>
      <c r="C3122" s="3" t="s">
        <v>1356</v>
      </c>
      <c r="D3122" s="4" t="s">
        <v>7445</v>
      </c>
      <c r="E3122" s="3" t="s">
        <v>1076</v>
      </c>
      <c r="F3122" s="3" t="s">
        <v>2105</v>
      </c>
      <c r="G3122" s="3" t="s">
        <v>98</v>
      </c>
      <c r="H3122" s="4" t="s">
        <v>5664</v>
      </c>
    </row>
    <row r="3123" ht="16.5" customHeight="1" spans="1:8">
      <c r="A3123" s="3">
        <v>3122</v>
      </c>
      <c r="B3123" s="3" t="s">
        <v>7446</v>
      </c>
      <c r="C3123" s="3" t="s">
        <v>1356</v>
      </c>
      <c r="D3123" s="4" t="s">
        <v>7447</v>
      </c>
      <c r="E3123" s="3" t="s">
        <v>1076</v>
      </c>
      <c r="F3123" s="3" t="s">
        <v>1736</v>
      </c>
      <c r="G3123" s="3" t="s">
        <v>98</v>
      </c>
      <c r="H3123" s="4" t="s">
        <v>7224</v>
      </c>
    </row>
    <row r="3124" ht="16.5" customHeight="1" spans="1:8">
      <c r="A3124" s="3">
        <v>3123</v>
      </c>
      <c r="B3124" s="3" t="s">
        <v>7448</v>
      </c>
      <c r="C3124" s="3" t="s">
        <v>1356</v>
      </c>
      <c r="D3124" s="4" t="s">
        <v>7449</v>
      </c>
      <c r="E3124" s="3" t="s">
        <v>1076</v>
      </c>
      <c r="F3124" s="3" t="s">
        <v>1736</v>
      </c>
      <c r="G3124" s="3" t="s">
        <v>98</v>
      </c>
      <c r="H3124" s="4" t="s">
        <v>7224</v>
      </c>
    </row>
    <row r="3125" ht="16.5" customHeight="1" spans="1:8">
      <c r="A3125" s="3">
        <v>3124</v>
      </c>
      <c r="B3125" s="3" t="s">
        <v>7450</v>
      </c>
      <c r="C3125" s="3" t="s">
        <v>1356</v>
      </c>
      <c r="D3125" s="4" t="s">
        <v>7451</v>
      </c>
      <c r="E3125" s="3" t="s">
        <v>1076</v>
      </c>
      <c r="F3125" s="3" t="s">
        <v>4668</v>
      </c>
      <c r="G3125" s="3" t="s">
        <v>98</v>
      </c>
      <c r="H3125" s="4" t="s">
        <v>1359</v>
      </c>
    </row>
    <row r="3126" ht="16.5" customHeight="1" spans="1:8">
      <c r="A3126" s="3">
        <v>3125</v>
      </c>
      <c r="B3126" s="3" t="s">
        <v>7452</v>
      </c>
      <c r="C3126" s="3" t="s">
        <v>1356</v>
      </c>
      <c r="D3126" s="4" t="s">
        <v>7453</v>
      </c>
      <c r="E3126" s="3" t="s">
        <v>1076</v>
      </c>
      <c r="F3126" s="3" t="s">
        <v>4668</v>
      </c>
      <c r="G3126" s="3" t="s">
        <v>98</v>
      </c>
      <c r="H3126" s="4" t="s">
        <v>7240</v>
      </c>
    </row>
    <row r="3127" ht="16.5" customHeight="1" spans="1:8">
      <c r="A3127" s="3">
        <v>3126</v>
      </c>
      <c r="B3127" s="3" t="s">
        <v>7454</v>
      </c>
      <c r="C3127" s="3" t="s">
        <v>1356</v>
      </c>
      <c r="D3127" s="4" t="s">
        <v>7455</v>
      </c>
      <c r="E3127" s="3" t="s">
        <v>1076</v>
      </c>
      <c r="F3127" s="3" t="s">
        <v>2105</v>
      </c>
      <c r="G3127" s="3" t="s">
        <v>98</v>
      </c>
      <c r="H3127" s="4" t="s">
        <v>5664</v>
      </c>
    </row>
    <row r="3128" ht="16.5" customHeight="1" spans="1:8">
      <c r="A3128" s="3">
        <v>3127</v>
      </c>
      <c r="B3128" s="3" t="s">
        <v>7456</v>
      </c>
      <c r="C3128" s="3" t="s">
        <v>1356</v>
      </c>
      <c r="D3128" s="4" t="s">
        <v>7457</v>
      </c>
      <c r="E3128" s="3" t="s">
        <v>1076</v>
      </c>
      <c r="F3128" s="3" t="s">
        <v>2105</v>
      </c>
      <c r="G3128" s="3" t="s">
        <v>98</v>
      </c>
      <c r="H3128" s="4" t="s">
        <v>5664</v>
      </c>
    </row>
    <row r="3129" ht="16.5" customHeight="1" spans="1:8">
      <c r="A3129" s="3">
        <v>3128</v>
      </c>
      <c r="B3129" s="3" t="s">
        <v>7458</v>
      </c>
      <c r="C3129" s="3" t="s">
        <v>1356</v>
      </c>
      <c r="D3129" s="4" t="s">
        <v>7459</v>
      </c>
      <c r="E3129" s="3" t="s">
        <v>1076</v>
      </c>
      <c r="F3129" s="3" t="s">
        <v>2105</v>
      </c>
      <c r="G3129" s="3" t="s">
        <v>98</v>
      </c>
      <c r="H3129" s="4" t="s">
        <v>5664</v>
      </c>
    </row>
    <row r="3130" ht="16.5" customHeight="1" spans="1:8">
      <c r="A3130" s="3">
        <v>3129</v>
      </c>
      <c r="B3130" s="3" t="s">
        <v>7460</v>
      </c>
      <c r="C3130" s="3" t="s">
        <v>1356</v>
      </c>
      <c r="D3130" s="4" t="s">
        <v>7461</v>
      </c>
      <c r="E3130" s="3" t="s">
        <v>1076</v>
      </c>
      <c r="F3130" s="3" t="s">
        <v>2105</v>
      </c>
      <c r="G3130" s="3" t="s">
        <v>98</v>
      </c>
      <c r="H3130" s="4" t="s">
        <v>5664</v>
      </c>
    </row>
    <row r="3131" ht="16.5" customHeight="1" spans="1:8">
      <c r="A3131" s="3">
        <v>3130</v>
      </c>
      <c r="B3131" s="3" t="s">
        <v>7462</v>
      </c>
      <c r="C3131" s="3" t="s">
        <v>1356</v>
      </c>
      <c r="D3131" s="4" t="s">
        <v>7463</v>
      </c>
      <c r="E3131" s="3" t="s">
        <v>1076</v>
      </c>
      <c r="F3131" s="3" t="s">
        <v>2105</v>
      </c>
      <c r="G3131" s="3" t="s">
        <v>98</v>
      </c>
      <c r="H3131" s="4" t="s">
        <v>5664</v>
      </c>
    </row>
    <row r="3132" ht="16.5" customHeight="1" spans="1:8">
      <c r="A3132" s="3">
        <v>3131</v>
      </c>
      <c r="B3132" s="3" t="s">
        <v>7464</v>
      </c>
      <c r="C3132" s="3" t="s">
        <v>1356</v>
      </c>
      <c r="D3132" s="4" t="s">
        <v>7465</v>
      </c>
      <c r="E3132" s="3" t="s">
        <v>1076</v>
      </c>
      <c r="F3132" s="3" t="s">
        <v>1736</v>
      </c>
      <c r="G3132" s="3" t="s">
        <v>98</v>
      </c>
      <c r="H3132" s="4" t="s">
        <v>6940</v>
      </c>
    </row>
    <row r="3133" ht="16.5" customHeight="1" spans="1:8">
      <c r="A3133" s="3">
        <v>3132</v>
      </c>
      <c r="B3133" s="3" t="s">
        <v>7466</v>
      </c>
      <c r="C3133" s="3" t="s">
        <v>1356</v>
      </c>
      <c r="D3133" s="4" t="s">
        <v>7467</v>
      </c>
      <c r="E3133" s="3" t="s">
        <v>1076</v>
      </c>
      <c r="F3133" s="3" t="s">
        <v>1736</v>
      </c>
      <c r="G3133" s="3" t="s">
        <v>98</v>
      </c>
      <c r="H3133" s="4" t="s">
        <v>7468</v>
      </c>
    </row>
    <row r="3134" ht="16.5" customHeight="1" spans="1:8">
      <c r="A3134" s="3">
        <v>3133</v>
      </c>
      <c r="B3134" s="3" t="s">
        <v>7469</v>
      </c>
      <c r="C3134" s="3" t="s">
        <v>1356</v>
      </c>
      <c r="D3134" s="4" t="s">
        <v>7470</v>
      </c>
      <c r="E3134" s="3" t="s">
        <v>1076</v>
      </c>
      <c r="F3134" s="3" t="s">
        <v>1736</v>
      </c>
      <c r="G3134" s="3" t="s">
        <v>98</v>
      </c>
      <c r="H3134" s="4" t="s">
        <v>7240</v>
      </c>
    </row>
    <row r="3135" ht="16.5" customHeight="1" spans="1:8">
      <c r="A3135" s="3">
        <v>3134</v>
      </c>
      <c r="B3135" s="3" t="s">
        <v>7471</v>
      </c>
      <c r="C3135" s="3" t="s">
        <v>1356</v>
      </c>
      <c r="D3135" s="4" t="s">
        <v>7472</v>
      </c>
      <c r="E3135" s="3" t="s">
        <v>1076</v>
      </c>
      <c r="F3135" s="3" t="s">
        <v>1736</v>
      </c>
      <c r="G3135" s="3" t="s">
        <v>98</v>
      </c>
      <c r="H3135" s="4" t="s">
        <v>3812</v>
      </c>
    </row>
    <row r="3136" ht="16.5" customHeight="1" spans="1:8">
      <c r="A3136" s="3">
        <v>3135</v>
      </c>
      <c r="B3136" s="3" t="s">
        <v>7473</v>
      </c>
      <c r="C3136" s="3" t="s">
        <v>1356</v>
      </c>
      <c r="D3136" s="4" t="s">
        <v>7474</v>
      </c>
      <c r="E3136" s="3" t="s">
        <v>1076</v>
      </c>
      <c r="F3136" s="3" t="s">
        <v>1736</v>
      </c>
      <c r="G3136" s="3" t="s">
        <v>98</v>
      </c>
      <c r="H3136" s="4" t="s">
        <v>7229</v>
      </c>
    </row>
    <row r="3137" ht="16.5" customHeight="1" spans="1:8">
      <c r="A3137" s="3">
        <v>3136</v>
      </c>
      <c r="B3137" s="3" t="s">
        <v>7475</v>
      </c>
      <c r="C3137" s="3" t="s">
        <v>1356</v>
      </c>
      <c r="D3137" s="4" t="s">
        <v>7476</v>
      </c>
      <c r="E3137" s="3" t="s">
        <v>1076</v>
      </c>
      <c r="F3137" s="3" t="s">
        <v>1736</v>
      </c>
      <c r="G3137" s="3" t="s">
        <v>98</v>
      </c>
      <c r="H3137" s="4" t="s">
        <v>1359</v>
      </c>
    </row>
    <row r="3138" ht="16.5" customHeight="1" spans="1:8">
      <c r="A3138" s="3">
        <v>3137</v>
      </c>
      <c r="B3138" s="3" t="s">
        <v>7477</v>
      </c>
      <c r="C3138" s="3" t="s">
        <v>1356</v>
      </c>
      <c r="D3138" s="4" t="s">
        <v>7478</v>
      </c>
      <c r="E3138" s="3" t="s">
        <v>1076</v>
      </c>
      <c r="F3138" s="3" t="s">
        <v>6762</v>
      </c>
      <c r="G3138" s="3" t="s">
        <v>98</v>
      </c>
      <c r="H3138" s="4" t="s">
        <v>4322</v>
      </c>
    </row>
    <row r="3139" ht="16.5" customHeight="1" spans="1:8">
      <c r="A3139" s="3">
        <v>3138</v>
      </c>
      <c r="B3139" s="3" t="s">
        <v>7479</v>
      </c>
      <c r="C3139" s="3" t="s">
        <v>1356</v>
      </c>
      <c r="D3139" s="4" t="s">
        <v>7480</v>
      </c>
      <c r="E3139" s="3" t="s">
        <v>1076</v>
      </c>
      <c r="F3139" s="3" t="s">
        <v>1736</v>
      </c>
      <c r="G3139" s="3" t="s">
        <v>98</v>
      </c>
      <c r="H3139" s="4" t="s">
        <v>7229</v>
      </c>
    </row>
    <row r="3140" ht="16.5" customHeight="1" spans="1:8">
      <c r="A3140" s="3">
        <v>3139</v>
      </c>
      <c r="B3140" s="3" t="s">
        <v>7481</v>
      </c>
      <c r="C3140" s="3" t="s">
        <v>1356</v>
      </c>
      <c r="D3140" s="4" t="s">
        <v>7482</v>
      </c>
      <c r="E3140" s="3" t="s">
        <v>1076</v>
      </c>
      <c r="F3140" s="3" t="s">
        <v>6762</v>
      </c>
      <c r="G3140" s="3" t="s">
        <v>98</v>
      </c>
      <c r="H3140" s="4" t="s">
        <v>1359</v>
      </c>
    </row>
    <row r="3141" ht="16.5" customHeight="1" spans="1:8">
      <c r="A3141" s="3">
        <v>3140</v>
      </c>
      <c r="B3141" s="3" t="s">
        <v>7483</v>
      </c>
      <c r="C3141" s="3" t="s">
        <v>1356</v>
      </c>
      <c r="D3141" s="4" t="s">
        <v>7484</v>
      </c>
      <c r="E3141" s="3" t="s">
        <v>1076</v>
      </c>
      <c r="F3141" s="3" t="s">
        <v>6762</v>
      </c>
      <c r="G3141" s="3" t="s">
        <v>98</v>
      </c>
      <c r="H3141" s="4" t="s">
        <v>7485</v>
      </c>
    </row>
    <row r="3142" ht="16.5" customHeight="1" spans="1:8">
      <c r="A3142" s="3">
        <v>3141</v>
      </c>
      <c r="B3142" s="3" t="s">
        <v>7486</v>
      </c>
      <c r="C3142" s="3" t="s">
        <v>1356</v>
      </c>
      <c r="D3142" s="4" t="s">
        <v>7487</v>
      </c>
      <c r="E3142" s="3" t="s">
        <v>1076</v>
      </c>
      <c r="F3142" s="3" t="s">
        <v>6762</v>
      </c>
      <c r="G3142" s="3" t="s">
        <v>98</v>
      </c>
      <c r="H3142" s="4" t="s">
        <v>4322</v>
      </c>
    </row>
    <row r="3143" ht="16.5" customHeight="1" spans="1:8">
      <c r="A3143" s="3">
        <v>3142</v>
      </c>
      <c r="B3143" s="3" t="s">
        <v>7488</v>
      </c>
      <c r="C3143" s="3" t="s">
        <v>1356</v>
      </c>
      <c r="D3143" s="4" t="s">
        <v>7489</v>
      </c>
      <c r="E3143" s="3" t="s">
        <v>1076</v>
      </c>
      <c r="F3143" s="3" t="s">
        <v>6762</v>
      </c>
      <c r="G3143" s="3" t="s">
        <v>98</v>
      </c>
      <c r="H3143" s="4" t="s">
        <v>7240</v>
      </c>
    </row>
    <row r="3144" ht="16.5" customHeight="1" spans="1:8">
      <c r="A3144" s="3">
        <v>3143</v>
      </c>
      <c r="B3144" s="3" t="s">
        <v>7490</v>
      </c>
      <c r="C3144" s="3" t="s">
        <v>1356</v>
      </c>
      <c r="D3144" s="4" t="s">
        <v>7491</v>
      </c>
      <c r="E3144" s="3" t="s">
        <v>1076</v>
      </c>
      <c r="F3144" s="3" t="s">
        <v>1736</v>
      </c>
      <c r="G3144" s="3" t="s">
        <v>98</v>
      </c>
      <c r="H3144" s="4" t="s">
        <v>1359</v>
      </c>
    </row>
    <row r="3145" ht="16.5" customHeight="1" spans="1:8">
      <c r="A3145" s="3">
        <v>3144</v>
      </c>
      <c r="B3145" s="3" t="s">
        <v>7492</v>
      </c>
      <c r="C3145" s="3" t="s">
        <v>1356</v>
      </c>
      <c r="D3145" s="4" t="s">
        <v>7493</v>
      </c>
      <c r="E3145" s="3" t="s">
        <v>1076</v>
      </c>
      <c r="F3145" s="3" t="s">
        <v>1736</v>
      </c>
      <c r="G3145" s="3" t="s">
        <v>98</v>
      </c>
      <c r="H3145" s="4" t="s">
        <v>3812</v>
      </c>
    </row>
    <row r="3146" ht="16.5" customHeight="1" spans="1:8">
      <c r="A3146" s="3">
        <v>3145</v>
      </c>
      <c r="B3146" s="3" t="s">
        <v>7494</v>
      </c>
      <c r="C3146" s="3" t="s">
        <v>1356</v>
      </c>
      <c r="D3146" s="4" t="s">
        <v>7495</v>
      </c>
      <c r="E3146" s="3" t="s">
        <v>1076</v>
      </c>
      <c r="F3146" s="3" t="s">
        <v>1736</v>
      </c>
      <c r="G3146" s="3" t="s">
        <v>98</v>
      </c>
      <c r="H3146" s="4" t="s">
        <v>1359</v>
      </c>
    </row>
    <row r="3147" ht="16.5" customHeight="1" spans="1:8">
      <c r="A3147" s="3">
        <v>3146</v>
      </c>
      <c r="B3147" s="3" t="s">
        <v>7496</v>
      </c>
      <c r="C3147" s="3" t="s">
        <v>1356</v>
      </c>
      <c r="D3147" s="4" t="s">
        <v>7497</v>
      </c>
      <c r="E3147" s="3" t="s">
        <v>1076</v>
      </c>
      <c r="F3147" s="3" t="s">
        <v>1736</v>
      </c>
      <c r="G3147" s="3" t="s">
        <v>98</v>
      </c>
      <c r="H3147" s="4" t="s">
        <v>1359</v>
      </c>
    </row>
    <row r="3148" ht="16.5" customHeight="1" spans="1:8">
      <c r="A3148" s="3">
        <v>3147</v>
      </c>
      <c r="B3148" s="3" t="s">
        <v>7498</v>
      </c>
      <c r="C3148" s="3" t="s">
        <v>1356</v>
      </c>
      <c r="D3148" s="4" t="s">
        <v>7499</v>
      </c>
      <c r="E3148" s="3" t="s">
        <v>1076</v>
      </c>
      <c r="F3148" s="3" t="s">
        <v>4668</v>
      </c>
      <c r="G3148" s="3" t="s">
        <v>98</v>
      </c>
      <c r="H3148" s="4" t="s">
        <v>7240</v>
      </c>
    </row>
    <row r="3149" ht="16.5" customHeight="1" spans="1:8">
      <c r="A3149" s="3">
        <v>3148</v>
      </c>
      <c r="B3149" s="3" t="s">
        <v>7500</v>
      </c>
      <c r="C3149" s="3" t="s">
        <v>1356</v>
      </c>
      <c r="D3149" s="4" t="s">
        <v>7501</v>
      </c>
      <c r="E3149" s="3" t="s">
        <v>1076</v>
      </c>
      <c r="F3149" s="3" t="s">
        <v>6762</v>
      </c>
      <c r="G3149" s="3" t="s">
        <v>98</v>
      </c>
      <c r="H3149" s="4" t="s">
        <v>7502</v>
      </c>
    </row>
    <row r="3150" ht="16.5" customHeight="1" spans="1:8">
      <c r="A3150" s="3">
        <v>3149</v>
      </c>
      <c r="B3150" s="3" t="s">
        <v>7503</v>
      </c>
      <c r="C3150" s="3" t="s">
        <v>1356</v>
      </c>
      <c r="D3150" s="4" t="s">
        <v>7504</v>
      </c>
      <c r="E3150" s="3" t="s">
        <v>1076</v>
      </c>
      <c r="F3150" s="3" t="s">
        <v>6762</v>
      </c>
      <c r="G3150" s="3" t="s">
        <v>98</v>
      </c>
      <c r="H3150" s="4" t="s">
        <v>7240</v>
      </c>
    </row>
    <row r="3151" ht="16.5" customHeight="1" spans="1:8">
      <c r="A3151" s="3">
        <v>3150</v>
      </c>
      <c r="B3151" s="3" t="s">
        <v>7505</v>
      </c>
      <c r="C3151" s="3" t="s">
        <v>1356</v>
      </c>
      <c r="D3151" s="4" t="s">
        <v>7506</v>
      </c>
      <c r="E3151" s="3" t="s">
        <v>1076</v>
      </c>
      <c r="F3151" s="3" t="s">
        <v>6762</v>
      </c>
      <c r="G3151" s="3" t="s">
        <v>98</v>
      </c>
      <c r="H3151" s="4" t="s">
        <v>1359</v>
      </c>
    </row>
    <row r="3152" ht="16.5" customHeight="1" spans="1:8">
      <c r="A3152" s="3">
        <v>3151</v>
      </c>
      <c r="B3152" s="3" t="s">
        <v>7507</v>
      </c>
      <c r="C3152" s="3" t="s">
        <v>1356</v>
      </c>
      <c r="D3152" s="4" t="s">
        <v>7508</v>
      </c>
      <c r="E3152" s="3" t="s">
        <v>1076</v>
      </c>
      <c r="F3152" s="3" t="s">
        <v>1736</v>
      </c>
      <c r="G3152" s="3" t="s">
        <v>98</v>
      </c>
      <c r="H3152" s="4" t="s">
        <v>7224</v>
      </c>
    </row>
    <row r="3153" ht="16.5" customHeight="1" spans="1:8">
      <c r="A3153" s="3">
        <v>3152</v>
      </c>
      <c r="B3153" s="3" t="s">
        <v>7509</v>
      </c>
      <c r="C3153" s="3" t="s">
        <v>1356</v>
      </c>
      <c r="D3153" s="4" t="s">
        <v>7510</v>
      </c>
      <c r="E3153" s="3" t="s">
        <v>1076</v>
      </c>
      <c r="F3153" s="3" t="s">
        <v>6762</v>
      </c>
      <c r="G3153" s="3" t="s">
        <v>98</v>
      </c>
      <c r="H3153" s="4" t="s">
        <v>7240</v>
      </c>
    </row>
    <row r="3154" ht="16.5" customHeight="1" spans="1:8">
      <c r="A3154" s="3">
        <v>3153</v>
      </c>
      <c r="B3154" s="3" t="s">
        <v>7511</v>
      </c>
      <c r="C3154" s="3" t="s">
        <v>1356</v>
      </c>
      <c r="D3154" s="4" t="s">
        <v>7512</v>
      </c>
      <c r="E3154" s="3" t="s">
        <v>1076</v>
      </c>
      <c r="F3154" s="3" t="s">
        <v>1736</v>
      </c>
      <c r="G3154" s="3" t="s">
        <v>98</v>
      </c>
      <c r="H3154" s="4" t="s">
        <v>1359</v>
      </c>
    </row>
    <row r="3155" ht="16.5" customHeight="1" spans="1:8">
      <c r="A3155" s="3">
        <v>3154</v>
      </c>
      <c r="B3155" s="3" t="s">
        <v>7513</v>
      </c>
      <c r="C3155" s="3" t="s">
        <v>1356</v>
      </c>
      <c r="D3155" s="4" t="s">
        <v>7514</v>
      </c>
      <c r="E3155" s="3" t="s">
        <v>1076</v>
      </c>
      <c r="F3155" s="3" t="s">
        <v>6762</v>
      </c>
      <c r="G3155" s="3" t="s">
        <v>98</v>
      </c>
      <c r="H3155" s="4" t="s">
        <v>7229</v>
      </c>
    </row>
    <row r="3156" ht="16.5" customHeight="1" spans="1:8">
      <c r="A3156" s="3">
        <v>3155</v>
      </c>
      <c r="B3156" s="3" t="s">
        <v>7515</v>
      </c>
      <c r="C3156" s="3" t="s">
        <v>1356</v>
      </c>
      <c r="D3156" s="4" t="s">
        <v>7516</v>
      </c>
      <c r="E3156" s="3" t="s">
        <v>1076</v>
      </c>
      <c r="F3156" s="3" t="s">
        <v>6762</v>
      </c>
      <c r="G3156" s="3" t="s">
        <v>98</v>
      </c>
      <c r="H3156" s="4" t="s">
        <v>7229</v>
      </c>
    </row>
    <row r="3157" ht="16.5" customHeight="1" spans="1:8">
      <c r="A3157" s="3">
        <v>3156</v>
      </c>
      <c r="B3157" s="3" t="s">
        <v>7517</v>
      </c>
      <c r="C3157" s="3" t="s">
        <v>1356</v>
      </c>
      <c r="D3157" s="4" t="s">
        <v>7518</v>
      </c>
      <c r="E3157" s="3" t="s">
        <v>1076</v>
      </c>
      <c r="F3157" s="3" t="s">
        <v>1736</v>
      </c>
      <c r="G3157" s="3" t="s">
        <v>98</v>
      </c>
      <c r="H3157" s="4" t="s">
        <v>7224</v>
      </c>
    </row>
    <row r="3158" ht="16.5" customHeight="1" spans="1:8">
      <c r="A3158" s="3">
        <v>3157</v>
      </c>
      <c r="B3158" s="3" t="s">
        <v>7519</v>
      </c>
      <c r="C3158" s="3" t="s">
        <v>1356</v>
      </c>
      <c r="D3158" s="4" t="s">
        <v>7520</v>
      </c>
      <c r="E3158" s="3" t="s">
        <v>1076</v>
      </c>
      <c r="F3158" s="3" t="s">
        <v>1736</v>
      </c>
      <c r="G3158" s="3" t="s">
        <v>98</v>
      </c>
      <c r="H3158" s="4" t="s">
        <v>7224</v>
      </c>
    </row>
    <row r="3159" ht="16.5" customHeight="1" spans="1:8">
      <c r="A3159" s="3">
        <v>3158</v>
      </c>
      <c r="B3159" s="3" t="s">
        <v>7521</v>
      </c>
      <c r="C3159" s="3" t="s">
        <v>1356</v>
      </c>
      <c r="D3159" s="4" t="s">
        <v>7522</v>
      </c>
      <c r="E3159" s="3" t="s">
        <v>1076</v>
      </c>
      <c r="F3159" s="3" t="s">
        <v>1736</v>
      </c>
      <c r="G3159" s="3" t="s">
        <v>98</v>
      </c>
      <c r="H3159" s="4" t="s">
        <v>7224</v>
      </c>
    </row>
    <row r="3160" ht="16.5" customHeight="1" spans="1:8">
      <c r="A3160" s="3">
        <v>3159</v>
      </c>
      <c r="B3160" s="3" t="s">
        <v>7523</v>
      </c>
      <c r="C3160" s="3" t="s">
        <v>1356</v>
      </c>
      <c r="D3160" s="4" t="s">
        <v>7524</v>
      </c>
      <c r="E3160" s="3" t="s">
        <v>1076</v>
      </c>
      <c r="F3160" s="3" t="s">
        <v>6762</v>
      </c>
      <c r="G3160" s="3" t="s">
        <v>98</v>
      </c>
      <c r="H3160" s="4" t="s">
        <v>4322</v>
      </c>
    </row>
    <row r="3161" ht="16.5" customHeight="1" spans="1:8">
      <c r="A3161" s="3">
        <v>3160</v>
      </c>
      <c r="B3161" s="3" t="s">
        <v>7525</v>
      </c>
      <c r="C3161" s="3" t="s">
        <v>1356</v>
      </c>
      <c r="D3161" s="4" t="s">
        <v>7526</v>
      </c>
      <c r="E3161" s="3" t="s">
        <v>1076</v>
      </c>
      <c r="F3161" s="3" t="s">
        <v>6762</v>
      </c>
      <c r="G3161" s="3" t="s">
        <v>98</v>
      </c>
      <c r="H3161" s="4" t="s">
        <v>1359</v>
      </c>
    </row>
    <row r="3162" ht="16.5" customHeight="1" spans="1:8">
      <c r="A3162" s="3">
        <v>3161</v>
      </c>
      <c r="B3162" s="3" t="s">
        <v>7527</v>
      </c>
      <c r="C3162" s="3" t="s">
        <v>1356</v>
      </c>
      <c r="D3162" s="4" t="s">
        <v>7528</v>
      </c>
      <c r="E3162" s="3" t="s">
        <v>1076</v>
      </c>
      <c r="F3162" s="3" t="s">
        <v>1736</v>
      </c>
      <c r="G3162" s="3" t="s">
        <v>98</v>
      </c>
      <c r="H3162" s="4" t="s">
        <v>7224</v>
      </c>
    </row>
    <row r="3163" ht="16.5" customHeight="1" spans="1:8">
      <c r="A3163" s="3">
        <v>3162</v>
      </c>
      <c r="B3163" s="3" t="s">
        <v>7529</v>
      </c>
      <c r="C3163" s="3" t="s">
        <v>1356</v>
      </c>
      <c r="D3163" s="4" t="s">
        <v>7530</v>
      </c>
      <c r="E3163" s="3" t="s">
        <v>1076</v>
      </c>
      <c r="F3163" s="3" t="s">
        <v>1736</v>
      </c>
      <c r="G3163" s="3" t="s">
        <v>98</v>
      </c>
      <c r="H3163" s="4" t="s">
        <v>7224</v>
      </c>
    </row>
    <row r="3164" ht="16.5" customHeight="1" spans="1:8">
      <c r="A3164" s="3">
        <v>3163</v>
      </c>
      <c r="B3164" s="3" t="s">
        <v>7531</v>
      </c>
      <c r="C3164" s="3" t="s">
        <v>1356</v>
      </c>
      <c r="D3164" s="4" t="s">
        <v>7532</v>
      </c>
      <c r="E3164" s="3" t="s">
        <v>1076</v>
      </c>
      <c r="F3164" s="3" t="s">
        <v>1736</v>
      </c>
      <c r="G3164" s="3" t="s">
        <v>98</v>
      </c>
      <c r="H3164" s="4" t="s">
        <v>7224</v>
      </c>
    </row>
    <row r="3165" ht="16.5" customHeight="1" spans="1:8">
      <c r="A3165" s="3">
        <v>3164</v>
      </c>
      <c r="B3165" s="3" t="s">
        <v>7533</v>
      </c>
      <c r="C3165" s="3" t="s">
        <v>1356</v>
      </c>
      <c r="D3165" s="4" t="s">
        <v>7344</v>
      </c>
      <c r="E3165" s="3" t="s">
        <v>1076</v>
      </c>
      <c r="F3165" s="3" t="s">
        <v>1736</v>
      </c>
      <c r="G3165" s="3" t="s">
        <v>98</v>
      </c>
      <c r="H3165" s="4" t="s">
        <v>7224</v>
      </c>
    </row>
    <row r="3166" ht="16.5" customHeight="1" spans="1:8">
      <c r="A3166" s="3">
        <v>3165</v>
      </c>
      <c r="B3166" s="3" t="s">
        <v>7534</v>
      </c>
      <c r="C3166" s="3" t="s">
        <v>1356</v>
      </c>
      <c r="D3166" s="4" t="s">
        <v>7535</v>
      </c>
      <c r="E3166" s="3" t="s">
        <v>1076</v>
      </c>
      <c r="F3166" s="3" t="s">
        <v>6762</v>
      </c>
      <c r="G3166" s="3" t="s">
        <v>98</v>
      </c>
      <c r="H3166" s="4" t="s">
        <v>7243</v>
      </c>
    </row>
    <row r="3167" ht="16.5" customHeight="1" spans="1:8">
      <c r="A3167" s="3">
        <v>3166</v>
      </c>
      <c r="B3167" s="3" t="s">
        <v>7536</v>
      </c>
      <c r="C3167" s="3" t="s">
        <v>1356</v>
      </c>
      <c r="D3167" s="4" t="s">
        <v>7537</v>
      </c>
      <c r="E3167" s="3" t="s">
        <v>1076</v>
      </c>
      <c r="F3167" s="3" t="s">
        <v>6762</v>
      </c>
      <c r="G3167" s="3" t="s">
        <v>98</v>
      </c>
      <c r="H3167" s="4" t="s">
        <v>4322</v>
      </c>
    </row>
    <row r="3168" ht="16.5" customHeight="1" spans="1:8">
      <c r="A3168" s="3">
        <v>3167</v>
      </c>
      <c r="B3168" s="3" t="s">
        <v>7538</v>
      </c>
      <c r="C3168" s="3" t="s">
        <v>1356</v>
      </c>
      <c r="D3168" s="4" t="s">
        <v>7539</v>
      </c>
      <c r="E3168" s="3" t="s">
        <v>1076</v>
      </c>
      <c r="F3168" s="3" t="s">
        <v>6762</v>
      </c>
      <c r="G3168" s="3" t="s">
        <v>98</v>
      </c>
      <c r="H3168" s="4" t="s">
        <v>4322</v>
      </c>
    </row>
    <row r="3169" ht="16.5" customHeight="1" spans="1:8">
      <c r="A3169" s="3">
        <v>3168</v>
      </c>
      <c r="B3169" s="3" t="s">
        <v>7540</v>
      </c>
      <c r="C3169" s="3" t="s">
        <v>1356</v>
      </c>
      <c r="D3169" s="4" t="s">
        <v>7541</v>
      </c>
      <c r="E3169" s="3" t="s">
        <v>1076</v>
      </c>
      <c r="F3169" s="3" t="s">
        <v>6762</v>
      </c>
      <c r="G3169" s="3" t="s">
        <v>98</v>
      </c>
      <c r="H3169" s="4" t="s">
        <v>1359</v>
      </c>
    </row>
    <row r="3170" ht="16.5" customHeight="1" spans="1:8">
      <c r="A3170" s="3">
        <v>3169</v>
      </c>
      <c r="B3170" s="3" t="s">
        <v>7542</v>
      </c>
      <c r="C3170" s="3" t="s">
        <v>1356</v>
      </c>
      <c r="D3170" s="4" t="s">
        <v>7543</v>
      </c>
      <c r="E3170" s="3" t="s">
        <v>1076</v>
      </c>
      <c r="F3170" s="3" t="s">
        <v>2105</v>
      </c>
      <c r="G3170" s="3" t="s">
        <v>98</v>
      </c>
      <c r="H3170" s="4" t="s">
        <v>5664</v>
      </c>
    </row>
    <row r="3171" ht="16.5" customHeight="1" spans="1:8">
      <c r="A3171" s="3">
        <v>3170</v>
      </c>
      <c r="B3171" s="3" t="s">
        <v>7544</v>
      </c>
      <c r="C3171" s="3" t="s">
        <v>1356</v>
      </c>
      <c r="D3171" s="4" t="s">
        <v>7545</v>
      </c>
      <c r="E3171" s="3" t="s">
        <v>1076</v>
      </c>
      <c r="F3171" s="3" t="s">
        <v>6762</v>
      </c>
      <c r="G3171" s="3" t="s">
        <v>98</v>
      </c>
      <c r="H3171" s="4" t="s">
        <v>7161</v>
      </c>
    </row>
    <row r="3172" ht="16.5" customHeight="1" spans="1:8">
      <c r="A3172" s="3">
        <v>3171</v>
      </c>
      <c r="B3172" s="3" t="s">
        <v>7546</v>
      </c>
      <c r="C3172" s="3" t="s">
        <v>1356</v>
      </c>
      <c r="D3172" s="4" t="s">
        <v>7547</v>
      </c>
      <c r="E3172" s="3" t="s">
        <v>1076</v>
      </c>
      <c r="F3172" s="3" t="s">
        <v>6762</v>
      </c>
      <c r="G3172" s="3" t="s">
        <v>98</v>
      </c>
      <c r="H3172" s="4" t="s">
        <v>1359</v>
      </c>
    </row>
    <row r="3173" ht="16.5" customHeight="1" spans="1:8">
      <c r="A3173" s="3">
        <v>3172</v>
      </c>
      <c r="B3173" s="3" t="s">
        <v>7548</v>
      </c>
      <c r="C3173" s="3" t="s">
        <v>1356</v>
      </c>
      <c r="D3173" s="4" t="s">
        <v>7549</v>
      </c>
      <c r="E3173" s="3" t="s">
        <v>1076</v>
      </c>
      <c r="F3173" s="3" t="s">
        <v>1736</v>
      </c>
      <c r="G3173" s="3" t="s">
        <v>98</v>
      </c>
      <c r="H3173" s="4" t="s">
        <v>7229</v>
      </c>
    </row>
    <row r="3174" ht="16.5" customHeight="1" spans="1:8">
      <c r="A3174" s="3">
        <v>3173</v>
      </c>
      <c r="B3174" s="3" t="s">
        <v>7550</v>
      </c>
      <c r="C3174" s="3" t="s">
        <v>1356</v>
      </c>
      <c r="D3174" s="4" t="s">
        <v>7551</v>
      </c>
      <c r="E3174" s="3" t="s">
        <v>1076</v>
      </c>
      <c r="F3174" s="3" t="s">
        <v>2105</v>
      </c>
      <c r="G3174" s="3" t="s">
        <v>98</v>
      </c>
      <c r="H3174" s="4" t="s">
        <v>5664</v>
      </c>
    </row>
    <row r="3175" ht="16.5" customHeight="1" spans="1:8">
      <c r="A3175" s="3">
        <v>3174</v>
      </c>
      <c r="B3175" s="3" t="s">
        <v>7552</v>
      </c>
      <c r="C3175" s="3" t="s">
        <v>1356</v>
      </c>
      <c r="D3175" s="4" t="s">
        <v>7553</v>
      </c>
      <c r="E3175" s="3" t="s">
        <v>1076</v>
      </c>
      <c r="F3175" s="3" t="s">
        <v>1736</v>
      </c>
      <c r="G3175" s="3" t="s">
        <v>98</v>
      </c>
      <c r="H3175" s="4" t="s">
        <v>7502</v>
      </c>
    </row>
    <row r="3176" ht="16.5" customHeight="1" spans="1:8">
      <c r="A3176" s="3">
        <v>3175</v>
      </c>
      <c r="B3176" s="3" t="s">
        <v>7554</v>
      </c>
      <c r="C3176" s="3" t="s">
        <v>1356</v>
      </c>
      <c r="D3176" s="4" t="s">
        <v>7555</v>
      </c>
      <c r="E3176" s="3" t="s">
        <v>1076</v>
      </c>
      <c r="F3176" s="3" t="s">
        <v>2105</v>
      </c>
      <c r="G3176" s="3" t="s">
        <v>98</v>
      </c>
      <c r="H3176" s="4" t="s">
        <v>5664</v>
      </c>
    </row>
    <row r="3177" ht="16.5" customHeight="1" spans="1:8">
      <c r="A3177" s="3">
        <v>3176</v>
      </c>
      <c r="B3177" s="3" t="s">
        <v>7556</v>
      </c>
      <c r="C3177" s="3" t="s">
        <v>1356</v>
      </c>
      <c r="D3177" s="4" t="s">
        <v>7557</v>
      </c>
      <c r="E3177" s="3" t="s">
        <v>1076</v>
      </c>
      <c r="F3177" s="3" t="s">
        <v>2105</v>
      </c>
      <c r="G3177" s="3" t="s">
        <v>98</v>
      </c>
      <c r="H3177" s="4" t="s">
        <v>5664</v>
      </c>
    </row>
    <row r="3178" ht="16.5" customHeight="1" spans="1:8">
      <c r="A3178" s="3">
        <v>3177</v>
      </c>
      <c r="B3178" s="3" t="s">
        <v>7558</v>
      </c>
      <c r="C3178" s="3" t="s">
        <v>1356</v>
      </c>
      <c r="D3178" s="4" t="s">
        <v>7559</v>
      </c>
      <c r="E3178" s="3" t="s">
        <v>1076</v>
      </c>
      <c r="F3178" s="3" t="s">
        <v>2105</v>
      </c>
      <c r="G3178" s="3" t="s">
        <v>98</v>
      </c>
      <c r="H3178" s="4" t="s">
        <v>5664</v>
      </c>
    </row>
    <row r="3179" ht="16.5" customHeight="1" spans="1:8">
      <c r="A3179" s="3">
        <v>3178</v>
      </c>
      <c r="B3179" s="3" t="s">
        <v>7560</v>
      </c>
      <c r="C3179" s="3" t="s">
        <v>1356</v>
      </c>
      <c r="D3179" s="4" t="s">
        <v>7561</v>
      </c>
      <c r="E3179" s="3" t="s">
        <v>1076</v>
      </c>
      <c r="F3179" s="3" t="s">
        <v>2105</v>
      </c>
      <c r="G3179" s="3" t="s">
        <v>98</v>
      </c>
      <c r="H3179" s="4" t="s">
        <v>5664</v>
      </c>
    </row>
    <row r="3180" ht="16.5" customHeight="1" spans="1:8">
      <c r="A3180" s="3">
        <v>3179</v>
      </c>
      <c r="B3180" s="3" t="s">
        <v>7562</v>
      </c>
      <c r="C3180" s="3" t="s">
        <v>1105</v>
      </c>
      <c r="D3180" s="4" t="s">
        <v>7563</v>
      </c>
      <c r="E3180" s="3" t="s">
        <v>1076</v>
      </c>
      <c r="F3180" s="3" t="s">
        <v>1736</v>
      </c>
      <c r="G3180" s="3" t="s">
        <v>98</v>
      </c>
      <c r="H3180" s="4" t="s">
        <v>7564</v>
      </c>
    </row>
    <row r="3181" ht="16.5" customHeight="1" spans="1:8">
      <c r="A3181" s="3">
        <v>3180</v>
      </c>
      <c r="B3181" s="3" t="s">
        <v>7565</v>
      </c>
      <c r="C3181" s="3" t="s">
        <v>1105</v>
      </c>
      <c r="D3181" s="4" t="s">
        <v>7566</v>
      </c>
      <c r="E3181" s="3" t="s">
        <v>1076</v>
      </c>
      <c r="F3181" s="3" t="s">
        <v>1736</v>
      </c>
      <c r="G3181" s="3" t="s">
        <v>98</v>
      </c>
      <c r="H3181" s="4" t="s">
        <v>7564</v>
      </c>
    </row>
    <row r="3182" ht="16.5" customHeight="1" spans="1:8">
      <c r="A3182" s="3">
        <v>3181</v>
      </c>
      <c r="B3182" s="3" t="s">
        <v>7567</v>
      </c>
      <c r="C3182" s="3" t="s">
        <v>1105</v>
      </c>
      <c r="D3182" s="4" t="s">
        <v>7568</v>
      </c>
      <c r="E3182" s="3" t="s">
        <v>1076</v>
      </c>
      <c r="F3182" s="3" t="s">
        <v>1736</v>
      </c>
      <c r="G3182" s="3" t="s">
        <v>98</v>
      </c>
      <c r="H3182" s="4" t="s">
        <v>7564</v>
      </c>
    </row>
    <row r="3183" ht="16.5" customHeight="1" spans="1:8">
      <c r="A3183" s="3">
        <v>3182</v>
      </c>
      <c r="B3183" s="3" t="s">
        <v>7569</v>
      </c>
      <c r="C3183" s="3" t="s">
        <v>1105</v>
      </c>
      <c r="D3183" s="4" t="s">
        <v>7570</v>
      </c>
      <c r="E3183" s="3" t="s">
        <v>1076</v>
      </c>
      <c r="F3183" s="3" t="s">
        <v>1736</v>
      </c>
      <c r="G3183" s="3" t="s">
        <v>98</v>
      </c>
      <c r="H3183" s="4" t="s">
        <v>7571</v>
      </c>
    </row>
    <row r="3184" ht="16.5" customHeight="1" spans="1:8">
      <c r="A3184" s="3">
        <v>3183</v>
      </c>
      <c r="B3184" s="3" t="s">
        <v>7572</v>
      </c>
      <c r="C3184" s="3" t="s">
        <v>1105</v>
      </c>
      <c r="D3184" s="4" t="s">
        <v>7573</v>
      </c>
      <c r="E3184" s="3" t="s">
        <v>1076</v>
      </c>
      <c r="F3184" s="3" t="s">
        <v>1736</v>
      </c>
      <c r="G3184" s="3" t="s">
        <v>98</v>
      </c>
      <c r="H3184" s="4" t="s">
        <v>7571</v>
      </c>
    </row>
    <row r="3185" ht="16.5" customHeight="1" spans="1:8">
      <c r="A3185" s="3">
        <v>3184</v>
      </c>
      <c r="B3185" s="3" t="s">
        <v>7574</v>
      </c>
      <c r="C3185" s="3" t="s">
        <v>1105</v>
      </c>
      <c r="D3185" s="4" t="s">
        <v>3139</v>
      </c>
      <c r="E3185" s="3" t="s">
        <v>1076</v>
      </c>
      <c r="F3185" s="3" t="s">
        <v>3128</v>
      </c>
      <c r="G3185" s="3" t="s">
        <v>98</v>
      </c>
      <c r="H3185" s="4" t="s">
        <v>7571</v>
      </c>
    </row>
    <row r="3186" ht="16.5" customHeight="1" spans="1:8">
      <c r="A3186" s="3">
        <v>3185</v>
      </c>
      <c r="B3186" s="3" t="s">
        <v>7575</v>
      </c>
      <c r="C3186" s="3" t="s">
        <v>1105</v>
      </c>
      <c r="D3186" s="4" t="s">
        <v>7195</v>
      </c>
      <c r="E3186" s="3" t="s">
        <v>1076</v>
      </c>
      <c r="F3186" s="3" t="s">
        <v>3128</v>
      </c>
      <c r="G3186" s="3" t="s">
        <v>98</v>
      </c>
      <c r="H3186" s="4" t="s">
        <v>7571</v>
      </c>
    </row>
    <row r="3187" ht="16.5" customHeight="1" spans="1:8">
      <c r="A3187" s="3">
        <v>3186</v>
      </c>
      <c r="B3187" s="3" t="s">
        <v>7576</v>
      </c>
      <c r="C3187" s="3" t="s">
        <v>1105</v>
      </c>
      <c r="D3187" s="4" t="s">
        <v>7577</v>
      </c>
      <c r="E3187" s="3" t="s">
        <v>1076</v>
      </c>
      <c r="F3187" s="3" t="s">
        <v>1736</v>
      </c>
      <c r="G3187" s="3" t="s">
        <v>98</v>
      </c>
      <c r="H3187" s="4" t="s">
        <v>7578</v>
      </c>
    </row>
    <row r="3188" ht="16.5" customHeight="1" spans="1:8">
      <c r="A3188" s="3">
        <v>3187</v>
      </c>
      <c r="B3188" s="3" t="s">
        <v>7579</v>
      </c>
      <c r="C3188" s="3" t="s">
        <v>1105</v>
      </c>
      <c r="D3188" s="4" t="s">
        <v>7580</v>
      </c>
      <c r="E3188" s="3" t="s">
        <v>1076</v>
      </c>
      <c r="F3188" s="3" t="s">
        <v>1736</v>
      </c>
      <c r="G3188" s="3" t="s">
        <v>98</v>
      </c>
      <c r="H3188" s="4" t="s">
        <v>7578</v>
      </c>
    </row>
    <row r="3189" ht="16.5" customHeight="1" spans="1:8">
      <c r="A3189" s="3">
        <v>3188</v>
      </c>
      <c r="B3189" s="3" t="s">
        <v>7581</v>
      </c>
      <c r="C3189" s="3" t="s">
        <v>1105</v>
      </c>
      <c r="D3189" s="4" t="s">
        <v>7582</v>
      </c>
      <c r="E3189" s="3" t="s">
        <v>1076</v>
      </c>
      <c r="F3189" s="3" t="s">
        <v>1736</v>
      </c>
      <c r="G3189" s="3" t="s">
        <v>98</v>
      </c>
      <c r="H3189" s="4" t="s">
        <v>7578</v>
      </c>
    </row>
    <row r="3190" ht="16.5" customHeight="1" spans="1:8">
      <c r="A3190" s="3">
        <v>3189</v>
      </c>
      <c r="B3190" s="3" t="s">
        <v>7583</v>
      </c>
      <c r="C3190" s="3" t="s">
        <v>1105</v>
      </c>
      <c r="D3190" s="4" t="s">
        <v>7584</v>
      </c>
      <c r="E3190" s="3" t="s">
        <v>1076</v>
      </c>
      <c r="F3190" s="3" t="s">
        <v>1736</v>
      </c>
      <c r="G3190" s="3" t="s">
        <v>98</v>
      </c>
      <c r="H3190" s="4" t="s">
        <v>7578</v>
      </c>
    </row>
    <row r="3191" ht="16.5" customHeight="1" spans="1:8">
      <c r="A3191" s="3">
        <v>3190</v>
      </c>
      <c r="B3191" s="3" t="s">
        <v>7585</v>
      </c>
      <c r="C3191" s="3" t="s">
        <v>1105</v>
      </c>
      <c r="D3191" s="4" t="s">
        <v>7586</v>
      </c>
      <c r="E3191" s="3" t="s">
        <v>1739</v>
      </c>
      <c r="F3191" s="3" t="s">
        <v>1736</v>
      </c>
      <c r="G3191" s="3" t="s">
        <v>98</v>
      </c>
      <c r="H3191" s="4" t="s">
        <v>7578</v>
      </c>
    </row>
    <row r="3192" ht="16.5" customHeight="1" spans="1:8">
      <c r="A3192" s="3">
        <v>3191</v>
      </c>
      <c r="B3192" s="3" t="s">
        <v>7587</v>
      </c>
      <c r="C3192" s="3" t="s">
        <v>1105</v>
      </c>
      <c r="D3192" s="4" t="s">
        <v>7588</v>
      </c>
      <c r="E3192" s="3" t="s">
        <v>1739</v>
      </c>
      <c r="F3192" s="3" t="s">
        <v>1736</v>
      </c>
      <c r="G3192" s="3" t="s">
        <v>98</v>
      </c>
      <c r="H3192" s="4" t="s">
        <v>7578</v>
      </c>
    </row>
    <row r="3193" ht="16.5" customHeight="1" spans="1:8">
      <c r="A3193" s="3">
        <v>3192</v>
      </c>
      <c r="B3193" s="3" t="s">
        <v>7589</v>
      </c>
      <c r="C3193" s="3" t="s">
        <v>1105</v>
      </c>
      <c r="D3193" s="4" t="s">
        <v>7590</v>
      </c>
      <c r="E3193" s="3" t="s">
        <v>1076</v>
      </c>
      <c r="F3193" s="3" t="s">
        <v>1736</v>
      </c>
      <c r="G3193" s="3" t="s">
        <v>98</v>
      </c>
      <c r="H3193" s="4" t="s">
        <v>7578</v>
      </c>
    </row>
    <row r="3194" ht="16.5" customHeight="1" spans="1:8">
      <c r="A3194" s="3">
        <v>3193</v>
      </c>
      <c r="B3194" s="3" t="s">
        <v>7591</v>
      </c>
      <c r="C3194" s="3" t="s">
        <v>1105</v>
      </c>
      <c r="D3194" s="4" t="s">
        <v>7592</v>
      </c>
      <c r="E3194" s="3" t="s">
        <v>1076</v>
      </c>
      <c r="F3194" s="3" t="s">
        <v>1736</v>
      </c>
      <c r="G3194" s="3" t="s">
        <v>98</v>
      </c>
      <c r="H3194" s="4" t="s">
        <v>7578</v>
      </c>
    </row>
    <row r="3195" ht="16.5" customHeight="1" spans="1:8">
      <c r="A3195" s="3">
        <v>3194</v>
      </c>
      <c r="B3195" s="3" t="s">
        <v>7593</v>
      </c>
      <c r="C3195" s="3" t="s">
        <v>1105</v>
      </c>
      <c r="D3195" s="4" t="s">
        <v>7594</v>
      </c>
      <c r="E3195" s="3" t="s">
        <v>1076</v>
      </c>
      <c r="F3195" s="3" t="s">
        <v>1736</v>
      </c>
      <c r="G3195" s="3" t="s">
        <v>98</v>
      </c>
      <c r="H3195" s="4" t="s">
        <v>7578</v>
      </c>
    </row>
    <row r="3196" ht="16.5" customHeight="1" spans="1:8">
      <c r="A3196" s="3">
        <v>3195</v>
      </c>
      <c r="B3196" s="3" t="s">
        <v>7595</v>
      </c>
      <c r="C3196" s="3" t="s">
        <v>1105</v>
      </c>
      <c r="D3196" s="4" t="s">
        <v>7596</v>
      </c>
      <c r="E3196" s="3" t="s">
        <v>1739</v>
      </c>
      <c r="F3196" s="3" t="s">
        <v>1736</v>
      </c>
      <c r="G3196" s="3" t="s">
        <v>98</v>
      </c>
      <c r="H3196" s="4" t="s">
        <v>7578</v>
      </c>
    </row>
    <row r="3197" ht="16.5" customHeight="1" spans="1:8">
      <c r="A3197" s="3">
        <v>3196</v>
      </c>
      <c r="B3197" s="3" t="s">
        <v>7597</v>
      </c>
      <c r="C3197" s="3" t="s">
        <v>1105</v>
      </c>
      <c r="D3197" s="4" t="s">
        <v>7598</v>
      </c>
      <c r="E3197" s="3" t="s">
        <v>1076</v>
      </c>
      <c r="F3197" s="3" t="s">
        <v>1736</v>
      </c>
      <c r="G3197" s="3" t="s">
        <v>98</v>
      </c>
      <c r="H3197" s="4" t="s">
        <v>7578</v>
      </c>
    </row>
    <row r="3198" ht="16.5" customHeight="1" spans="1:8">
      <c r="A3198" s="3">
        <v>3197</v>
      </c>
      <c r="B3198" s="3" t="s">
        <v>7599</v>
      </c>
      <c r="C3198" s="3" t="s">
        <v>1105</v>
      </c>
      <c r="D3198" s="4" t="s">
        <v>7600</v>
      </c>
      <c r="E3198" s="3" t="s">
        <v>1076</v>
      </c>
      <c r="F3198" s="3" t="s">
        <v>1736</v>
      </c>
      <c r="G3198" s="3" t="s">
        <v>98</v>
      </c>
      <c r="H3198" s="4" t="s">
        <v>7578</v>
      </c>
    </row>
    <row r="3199" ht="16.5" customHeight="1" spans="1:8">
      <c r="A3199" s="3">
        <v>3198</v>
      </c>
      <c r="B3199" s="3" t="s">
        <v>7601</v>
      </c>
      <c r="C3199" s="3" t="s">
        <v>1105</v>
      </c>
      <c r="D3199" s="4" t="s">
        <v>7602</v>
      </c>
      <c r="E3199" s="3" t="s">
        <v>1076</v>
      </c>
      <c r="F3199" s="3" t="s">
        <v>1736</v>
      </c>
      <c r="G3199" s="3" t="s">
        <v>98</v>
      </c>
      <c r="H3199" s="4" t="s">
        <v>7603</v>
      </c>
    </row>
    <row r="3200" ht="16.5" customHeight="1" spans="1:8">
      <c r="A3200" s="3">
        <v>3199</v>
      </c>
      <c r="B3200" s="3" t="s">
        <v>7604</v>
      </c>
      <c r="C3200" s="3" t="s">
        <v>1105</v>
      </c>
      <c r="D3200" s="4" t="s">
        <v>7605</v>
      </c>
      <c r="E3200" s="3" t="s">
        <v>1076</v>
      </c>
      <c r="F3200" s="3" t="s">
        <v>1736</v>
      </c>
      <c r="G3200" s="3" t="s">
        <v>98</v>
      </c>
      <c r="H3200" s="4" t="s">
        <v>7603</v>
      </c>
    </row>
    <row r="3201" ht="16.5" customHeight="1" spans="1:8">
      <c r="A3201" s="3">
        <v>3200</v>
      </c>
      <c r="B3201" s="3" t="s">
        <v>7606</v>
      </c>
      <c r="C3201" s="3" t="s">
        <v>1105</v>
      </c>
      <c r="D3201" s="4" t="s">
        <v>7607</v>
      </c>
      <c r="E3201" s="3" t="s">
        <v>1076</v>
      </c>
      <c r="F3201" s="3" t="s">
        <v>1736</v>
      </c>
      <c r="G3201" s="3" t="s">
        <v>98</v>
      </c>
      <c r="H3201" s="4" t="s">
        <v>7608</v>
      </c>
    </row>
    <row r="3202" ht="16.5" customHeight="1" spans="1:8">
      <c r="A3202" s="3">
        <v>3201</v>
      </c>
      <c r="B3202" s="3" t="s">
        <v>7609</v>
      </c>
      <c r="C3202" s="3" t="s">
        <v>1105</v>
      </c>
      <c r="D3202" s="4" t="s">
        <v>7610</v>
      </c>
      <c r="E3202" s="3" t="s">
        <v>1076</v>
      </c>
      <c r="F3202" s="3" t="s">
        <v>1736</v>
      </c>
      <c r="G3202" s="3" t="s">
        <v>98</v>
      </c>
      <c r="H3202" s="4" t="s">
        <v>7608</v>
      </c>
    </row>
    <row r="3203" ht="16.5" customHeight="1" spans="1:8">
      <c r="A3203" s="3">
        <v>3202</v>
      </c>
      <c r="B3203" s="3" t="s">
        <v>7611</v>
      </c>
      <c r="C3203" s="3" t="s">
        <v>1105</v>
      </c>
      <c r="D3203" s="4" t="s">
        <v>7612</v>
      </c>
      <c r="E3203" s="3" t="s">
        <v>1076</v>
      </c>
      <c r="F3203" s="3" t="s">
        <v>6762</v>
      </c>
      <c r="G3203" s="3" t="s">
        <v>98</v>
      </c>
      <c r="H3203" s="4" t="s">
        <v>7613</v>
      </c>
    </row>
    <row r="3204" ht="16.5" customHeight="1" spans="1:8">
      <c r="A3204" s="3">
        <v>3203</v>
      </c>
      <c r="B3204" s="3" t="s">
        <v>7614</v>
      </c>
      <c r="C3204" s="3" t="s">
        <v>1105</v>
      </c>
      <c r="D3204" s="4" t="s">
        <v>7615</v>
      </c>
      <c r="E3204" s="3" t="s">
        <v>1076</v>
      </c>
      <c r="F3204" s="3" t="s">
        <v>6762</v>
      </c>
      <c r="G3204" s="3" t="s">
        <v>98</v>
      </c>
      <c r="H3204" s="4" t="s">
        <v>7613</v>
      </c>
    </row>
    <row r="3205" ht="16.5" customHeight="1" spans="1:8">
      <c r="A3205" s="3">
        <v>3204</v>
      </c>
      <c r="B3205" s="3" t="s">
        <v>7616</v>
      </c>
      <c r="C3205" s="3" t="s">
        <v>1105</v>
      </c>
      <c r="D3205" s="4" t="s">
        <v>7617</v>
      </c>
      <c r="E3205" s="3" t="s">
        <v>1076</v>
      </c>
      <c r="F3205" s="3" t="s">
        <v>6762</v>
      </c>
      <c r="G3205" s="3" t="s">
        <v>98</v>
      </c>
      <c r="H3205" s="4" t="s">
        <v>7613</v>
      </c>
    </row>
    <row r="3206" ht="16.5" customHeight="1" spans="1:8">
      <c r="A3206" s="3">
        <v>3205</v>
      </c>
      <c r="B3206" s="3" t="s">
        <v>7618</v>
      </c>
      <c r="C3206" s="3" t="s">
        <v>1105</v>
      </c>
      <c r="D3206" s="4" t="s">
        <v>7619</v>
      </c>
      <c r="E3206" s="3" t="s">
        <v>1076</v>
      </c>
      <c r="F3206" s="3" t="s">
        <v>6762</v>
      </c>
      <c r="G3206" s="3" t="s">
        <v>98</v>
      </c>
      <c r="H3206" s="4" t="s">
        <v>7613</v>
      </c>
    </row>
    <row r="3207" ht="16.5" customHeight="1" spans="1:8">
      <c r="A3207" s="3">
        <v>3206</v>
      </c>
      <c r="B3207" s="3" t="s">
        <v>7620</v>
      </c>
      <c r="C3207" s="3" t="s">
        <v>1105</v>
      </c>
      <c r="D3207" s="4" t="s">
        <v>7621</v>
      </c>
      <c r="E3207" s="3" t="s">
        <v>1076</v>
      </c>
      <c r="F3207" s="3" t="s">
        <v>6762</v>
      </c>
      <c r="G3207" s="3" t="s">
        <v>98</v>
      </c>
      <c r="H3207" s="4" t="s">
        <v>7613</v>
      </c>
    </row>
    <row r="3208" ht="16.5" customHeight="1" spans="1:8">
      <c r="A3208" s="3">
        <v>3207</v>
      </c>
      <c r="B3208" s="3" t="s">
        <v>7622</v>
      </c>
      <c r="C3208" s="3" t="s">
        <v>1105</v>
      </c>
      <c r="D3208" s="4" t="s">
        <v>7623</v>
      </c>
      <c r="E3208" s="3" t="s">
        <v>1076</v>
      </c>
      <c r="F3208" s="3" t="s">
        <v>1736</v>
      </c>
      <c r="G3208" s="3" t="s">
        <v>98</v>
      </c>
      <c r="H3208" s="4" t="s">
        <v>7624</v>
      </c>
    </row>
    <row r="3209" ht="16.5" customHeight="1" spans="1:8">
      <c r="A3209" s="3">
        <v>3208</v>
      </c>
      <c r="B3209" s="3" t="s">
        <v>7625</v>
      </c>
      <c r="C3209" s="3" t="s">
        <v>1105</v>
      </c>
      <c r="D3209" s="4" t="s">
        <v>7626</v>
      </c>
      <c r="E3209" s="3" t="s">
        <v>1076</v>
      </c>
      <c r="F3209" s="3" t="s">
        <v>1736</v>
      </c>
      <c r="G3209" s="3" t="s">
        <v>98</v>
      </c>
      <c r="H3209" s="4" t="s">
        <v>7624</v>
      </c>
    </row>
    <row r="3210" ht="16.5" customHeight="1" spans="1:8">
      <c r="A3210" s="3">
        <v>3209</v>
      </c>
      <c r="B3210" s="3" t="s">
        <v>7627</v>
      </c>
      <c r="C3210" s="3" t="s">
        <v>1105</v>
      </c>
      <c r="D3210" s="4" t="s">
        <v>7628</v>
      </c>
      <c r="E3210" s="3" t="s">
        <v>1076</v>
      </c>
      <c r="F3210" s="3" t="s">
        <v>3128</v>
      </c>
      <c r="G3210" s="3" t="s">
        <v>98</v>
      </c>
      <c r="H3210" s="4" t="s">
        <v>7624</v>
      </c>
    </row>
    <row r="3211" ht="16.5" customHeight="1" spans="1:8">
      <c r="A3211" s="3">
        <v>3210</v>
      </c>
      <c r="B3211" s="3" t="s">
        <v>7629</v>
      </c>
      <c r="C3211" s="3" t="s">
        <v>1105</v>
      </c>
      <c r="D3211" s="4" t="s">
        <v>7630</v>
      </c>
      <c r="E3211" s="3" t="s">
        <v>1076</v>
      </c>
      <c r="F3211" s="3" t="s">
        <v>3128</v>
      </c>
      <c r="G3211" s="3" t="s">
        <v>98</v>
      </c>
      <c r="H3211" s="4" t="s">
        <v>7624</v>
      </c>
    </row>
    <row r="3212" ht="16.5" customHeight="1" spans="1:8">
      <c r="A3212" s="3">
        <v>3211</v>
      </c>
      <c r="B3212" s="3" t="s">
        <v>7631</v>
      </c>
      <c r="C3212" s="3" t="s">
        <v>1105</v>
      </c>
      <c r="D3212" s="4" t="s">
        <v>7632</v>
      </c>
      <c r="E3212" s="3" t="s">
        <v>1076</v>
      </c>
      <c r="F3212" s="3" t="s">
        <v>3128</v>
      </c>
      <c r="G3212" s="3" t="s">
        <v>98</v>
      </c>
      <c r="H3212" s="4" t="s">
        <v>7624</v>
      </c>
    </row>
    <row r="3213" ht="16.5" customHeight="1" spans="1:8">
      <c r="A3213" s="3">
        <v>3212</v>
      </c>
      <c r="B3213" s="3" t="s">
        <v>7633</v>
      </c>
      <c r="C3213" s="3" t="s">
        <v>1105</v>
      </c>
      <c r="D3213" s="4" t="s">
        <v>7634</v>
      </c>
      <c r="E3213" s="3" t="s">
        <v>1076</v>
      </c>
      <c r="F3213" s="3" t="s">
        <v>1736</v>
      </c>
      <c r="G3213" s="3" t="s">
        <v>98</v>
      </c>
      <c r="H3213" s="4" t="s">
        <v>7635</v>
      </c>
    </row>
    <row r="3214" ht="16.5" customHeight="1" spans="1:8">
      <c r="A3214" s="3">
        <v>3213</v>
      </c>
      <c r="B3214" s="3" t="s">
        <v>7636</v>
      </c>
      <c r="C3214" s="3" t="s">
        <v>1105</v>
      </c>
      <c r="D3214" s="4" t="s">
        <v>7637</v>
      </c>
      <c r="E3214" s="3" t="s">
        <v>1076</v>
      </c>
      <c r="F3214" s="3" t="s">
        <v>1736</v>
      </c>
      <c r="G3214" s="3" t="s">
        <v>98</v>
      </c>
      <c r="H3214" s="4" t="s">
        <v>7635</v>
      </c>
    </row>
    <row r="3215" ht="16.5" customHeight="1" spans="1:8">
      <c r="A3215" s="3">
        <v>3214</v>
      </c>
      <c r="B3215" s="3" t="s">
        <v>7638</v>
      </c>
      <c r="C3215" s="3" t="s">
        <v>1105</v>
      </c>
      <c r="D3215" s="4" t="s">
        <v>7639</v>
      </c>
      <c r="E3215" s="3" t="s">
        <v>1076</v>
      </c>
      <c r="F3215" s="3" t="s">
        <v>1736</v>
      </c>
      <c r="G3215" s="3" t="s">
        <v>98</v>
      </c>
      <c r="H3215" s="4" t="s">
        <v>7635</v>
      </c>
    </row>
    <row r="3216" ht="16.5" customHeight="1" spans="1:8">
      <c r="A3216" s="3">
        <v>3215</v>
      </c>
      <c r="B3216" s="3" t="s">
        <v>7640</v>
      </c>
      <c r="C3216" s="3" t="s">
        <v>1105</v>
      </c>
      <c r="D3216" s="4" t="s">
        <v>7641</v>
      </c>
      <c r="E3216" s="3" t="s">
        <v>1076</v>
      </c>
      <c r="F3216" s="3" t="s">
        <v>1736</v>
      </c>
      <c r="G3216" s="3" t="s">
        <v>98</v>
      </c>
      <c r="H3216" s="4" t="s">
        <v>7642</v>
      </c>
    </row>
    <row r="3217" ht="16.5" customHeight="1" spans="1:8">
      <c r="A3217" s="3">
        <v>3216</v>
      </c>
      <c r="B3217" s="3" t="s">
        <v>7643</v>
      </c>
      <c r="C3217" s="3" t="s">
        <v>1105</v>
      </c>
      <c r="D3217" s="4" t="s">
        <v>7644</v>
      </c>
      <c r="E3217" s="3" t="s">
        <v>1076</v>
      </c>
      <c r="F3217" s="3" t="s">
        <v>1736</v>
      </c>
      <c r="G3217" s="3" t="s">
        <v>98</v>
      </c>
      <c r="H3217" s="4" t="s">
        <v>7642</v>
      </c>
    </row>
    <row r="3218" ht="16.5" customHeight="1" spans="1:8">
      <c r="A3218" s="3">
        <v>3217</v>
      </c>
      <c r="B3218" s="3" t="s">
        <v>7645</v>
      </c>
      <c r="C3218" s="3" t="s">
        <v>1105</v>
      </c>
      <c r="D3218" s="4" t="s">
        <v>7646</v>
      </c>
      <c r="E3218" s="3" t="s">
        <v>1076</v>
      </c>
      <c r="F3218" s="3" t="s">
        <v>1736</v>
      </c>
      <c r="G3218" s="3" t="s">
        <v>98</v>
      </c>
      <c r="H3218" s="4" t="s">
        <v>7642</v>
      </c>
    </row>
    <row r="3219" ht="16.5" customHeight="1" spans="1:8">
      <c r="A3219" s="3">
        <v>3218</v>
      </c>
      <c r="B3219" s="3" t="s">
        <v>7647</v>
      </c>
      <c r="C3219" s="3" t="s">
        <v>1105</v>
      </c>
      <c r="D3219" s="4" t="s">
        <v>7648</v>
      </c>
      <c r="E3219" s="3" t="s">
        <v>1076</v>
      </c>
      <c r="F3219" s="3" t="s">
        <v>1736</v>
      </c>
      <c r="G3219" s="3" t="s">
        <v>98</v>
      </c>
      <c r="H3219" s="4" t="s">
        <v>7642</v>
      </c>
    </row>
    <row r="3220" ht="16.5" customHeight="1" spans="1:8">
      <c r="A3220" s="3">
        <v>3219</v>
      </c>
      <c r="B3220" s="3" t="s">
        <v>7649</v>
      </c>
      <c r="C3220" s="3" t="s">
        <v>1105</v>
      </c>
      <c r="D3220" s="4" t="s">
        <v>7650</v>
      </c>
      <c r="E3220" s="3" t="s">
        <v>1076</v>
      </c>
      <c r="F3220" s="3" t="s">
        <v>1736</v>
      </c>
      <c r="G3220" s="3" t="s">
        <v>98</v>
      </c>
      <c r="H3220" s="4" t="s">
        <v>7642</v>
      </c>
    </row>
    <row r="3221" ht="16.5" customHeight="1" spans="1:8">
      <c r="A3221" s="3">
        <v>3220</v>
      </c>
      <c r="B3221" s="3" t="s">
        <v>7651</v>
      </c>
      <c r="C3221" s="3" t="s">
        <v>1105</v>
      </c>
      <c r="D3221" s="4" t="s">
        <v>7652</v>
      </c>
      <c r="E3221" s="3" t="s">
        <v>1076</v>
      </c>
      <c r="F3221" s="3" t="s">
        <v>1736</v>
      </c>
      <c r="G3221" s="3" t="s">
        <v>98</v>
      </c>
      <c r="H3221" s="4" t="s">
        <v>7642</v>
      </c>
    </row>
    <row r="3222" ht="16.5" customHeight="1" spans="1:8">
      <c r="A3222" s="3">
        <v>3221</v>
      </c>
      <c r="B3222" s="3" t="s">
        <v>7653</v>
      </c>
      <c r="C3222" s="3" t="s">
        <v>1105</v>
      </c>
      <c r="D3222" s="4" t="s">
        <v>7654</v>
      </c>
      <c r="E3222" s="3" t="s">
        <v>1076</v>
      </c>
      <c r="F3222" s="3" t="s">
        <v>1736</v>
      </c>
      <c r="G3222" s="3" t="s">
        <v>98</v>
      </c>
      <c r="H3222" s="4" t="s">
        <v>7642</v>
      </c>
    </row>
    <row r="3223" ht="16.5" customHeight="1" spans="1:8">
      <c r="A3223" s="3">
        <v>3222</v>
      </c>
      <c r="B3223" s="3" t="s">
        <v>7655</v>
      </c>
      <c r="C3223" s="3" t="s">
        <v>1105</v>
      </c>
      <c r="D3223" s="4" t="s">
        <v>7656</v>
      </c>
      <c r="E3223" s="3" t="s">
        <v>1076</v>
      </c>
      <c r="F3223" s="3" t="s">
        <v>1736</v>
      </c>
      <c r="G3223" s="3" t="s">
        <v>98</v>
      </c>
      <c r="H3223" s="4" t="s">
        <v>7642</v>
      </c>
    </row>
    <row r="3224" ht="16.5" customHeight="1" spans="1:8">
      <c r="A3224" s="3">
        <v>3223</v>
      </c>
      <c r="B3224" s="3" t="s">
        <v>7657</v>
      </c>
      <c r="C3224" s="3" t="s">
        <v>1105</v>
      </c>
      <c r="D3224" s="4" t="s">
        <v>7658</v>
      </c>
      <c r="E3224" s="3" t="s">
        <v>1076</v>
      </c>
      <c r="F3224" s="3" t="s">
        <v>1736</v>
      </c>
      <c r="G3224" s="3" t="s">
        <v>98</v>
      </c>
      <c r="H3224" s="4" t="s">
        <v>7642</v>
      </c>
    </row>
    <row r="3225" ht="16.5" customHeight="1" spans="1:8">
      <c r="A3225" s="3">
        <v>3224</v>
      </c>
      <c r="B3225" s="3" t="s">
        <v>7659</v>
      </c>
      <c r="C3225" s="3" t="s">
        <v>1105</v>
      </c>
      <c r="D3225" s="4" t="s">
        <v>7660</v>
      </c>
      <c r="E3225" s="3" t="s">
        <v>1076</v>
      </c>
      <c r="F3225" s="3" t="s">
        <v>1736</v>
      </c>
      <c r="G3225" s="3" t="s">
        <v>98</v>
      </c>
      <c r="H3225" s="4" t="s">
        <v>7661</v>
      </c>
    </row>
    <row r="3226" ht="16.5" customHeight="1" spans="1:8">
      <c r="A3226" s="3">
        <v>3225</v>
      </c>
      <c r="B3226" s="3" t="s">
        <v>7662</v>
      </c>
      <c r="C3226" s="3" t="s">
        <v>1105</v>
      </c>
      <c r="D3226" s="4" t="s">
        <v>7663</v>
      </c>
      <c r="E3226" s="3" t="s">
        <v>1076</v>
      </c>
      <c r="F3226" s="3" t="s">
        <v>1736</v>
      </c>
      <c r="G3226" s="3" t="s">
        <v>98</v>
      </c>
      <c r="H3226" s="4" t="s">
        <v>7661</v>
      </c>
    </row>
    <row r="3227" ht="16.5" customHeight="1" spans="1:8">
      <c r="A3227" s="3">
        <v>3226</v>
      </c>
      <c r="B3227" s="3" t="s">
        <v>7664</v>
      </c>
      <c r="C3227" s="3" t="s">
        <v>4373</v>
      </c>
      <c r="D3227" s="4" t="s">
        <v>7665</v>
      </c>
      <c r="E3227" s="3" t="s">
        <v>1238</v>
      </c>
      <c r="F3227" s="3" t="s">
        <v>4668</v>
      </c>
      <c r="G3227" s="3"/>
      <c r="H3227" s="4" t="s">
        <v>7578</v>
      </c>
    </row>
    <row r="3228" ht="16.5" customHeight="1" spans="1:8">
      <c r="A3228" s="3">
        <v>3227</v>
      </c>
      <c r="B3228" s="3" t="s">
        <v>7666</v>
      </c>
      <c r="C3228" s="3" t="s">
        <v>2163</v>
      </c>
      <c r="D3228" s="4" t="s">
        <v>7667</v>
      </c>
      <c r="E3228" s="3" t="s">
        <v>1076</v>
      </c>
      <c r="F3228" s="3" t="s">
        <v>2105</v>
      </c>
      <c r="G3228" s="3"/>
      <c r="H3228" s="4" t="s">
        <v>5664</v>
      </c>
    </row>
    <row r="3229" ht="16.5" customHeight="1" spans="1:8">
      <c r="A3229" s="3">
        <v>3228</v>
      </c>
      <c r="B3229" s="3" t="s">
        <v>7668</v>
      </c>
      <c r="C3229" s="3" t="s">
        <v>2163</v>
      </c>
      <c r="D3229" s="4" t="s">
        <v>7669</v>
      </c>
      <c r="E3229" s="3" t="s">
        <v>1076</v>
      </c>
      <c r="F3229" s="3" t="s">
        <v>2105</v>
      </c>
      <c r="G3229" s="3"/>
      <c r="H3229" s="4" t="s">
        <v>5664</v>
      </c>
    </row>
    <row r="3230" ht="16.5" customHeight="1" spans="1:8">
      <c r="A3230" s="3">
        <v>3229</v>
      </c>
      <c r="B3230" s="3" t="s">
        <v>7670</v>
      </c>
      <c r="C3230" s="3" t="s">
        <v>2163</v>
      </c>
      <c r="D3230" s="4" t="s">
        <v>7671</v>
      </c>
      <c r="E3230" s="3" t="s">
        <v>1076</v>
      </c>
      <c r="F3230" s="3" t="s">
        <v>2105</v>
      </c>
      <c r="G3230" s="3"/>
      <c r="H3230" s="4" t="s">
        <v>5664</v>
      </c>
    </row>
    <row r="3231" ht="16.5" customHeight="1" spans="1:8">
      <c r="A3231" s="3">
        <v>3230</v>
      </c>
      <c r="B3231" s="3" t="s">
        <v>7672</v>
      </c>
      <c r="C3231" s="3" t="s">
        <v>2163</v>
      </c>
      <c r="D3231" s="4" t="s">
        <v>7673</v>
      </c>
      <c r="E3231" s="3" t="s">
        <v>1076</v>
      </c>
      <c r="F3231" s="3" t="s">
        <v>2105</v>
      </c>
      <c r="G3231" s="3"/>
      <c r="H3231" s="4" t="s">
        <v>5664</v>
      </c>
    </row>
    <row r="3232" ht="16.5" customHeight="1" spans="1:8">
      <c r="A3232" s="3">
        <v>3231</v>
      </c>
      <c r="B3232" s="3" t="s">
        <v>7674</v>
      </c>
      <c r="C3232" s="3" t="s">
        <v>2163</v>
      </c>
      <c r="D3232" s="4" t="s">
        <v>7675</v>
      </c>
      <c r="E3232" s="3" t="s">
        <v>1076</v>
      </c>
      <c r="F3232" s="3" t="s">
        <v>2105</v>
      </c>
      <c r="G3232" s="3"/>
      <c r="H3232" s="4" t="s">
        <v>3812</v>
      </c>
    </row>
    <row r="3233" ht="16.5" customHeight="1" spans="1:8">
      <c r="A3233" s="3">
        <v>3232</v>
      </c>
      <c r="B3233" s="3" t="s">
        <v>7676</v>
      </c>
      <c r="C3233" s="3" t="s">
        <v>2163</v>
      </c>
      <c r="D3233" s="4" t="s">
        <v>7677</v>
      </c>
      <c r="E3233" s="3" t="s">
        <v>1076</v>
      </c>
      <c r="F3233" s="3" t="s">
        <v>2105</v>
      </c>
      <c r="G3233" s="3"/>
      <c r="H3233" s="4" t="s">
        <v>5664</v>
      </c>
    </row>
    <row r="3234" ht="16.5" customHeight="1" spans="1:8">
      <c r="A3234" s="3">
        <v>3233</v>
      </c>
      <c r="B3234" s="3" t="s">
        <v>7678</v>
      </c>
      <c r="C3234" s="3" t="s">
        <v>2163</v>
      </c>
      <c r="D3234" s="4" t="s">
        <v>7679</v>
      </c>
      <c r="E3234" s="3" t="s">
        <v>1076</v>
      </c>
      <c r="F3234" s="3" t="s">
        <v>2105</v>
      </c>
      <c r="G3234" s="3"/>
      <c r="H3234" s="4" t="s">
        <v>3812</v>
      </c>
    </row>
    <row r="3235" ht="16.5" customHeight="1" spans="1:8">
      <c r="A3235" s="3">
        <v>3234</v>
      </c>
      <c r="B3235" s="3" t="s">
        <v>7680</v>
      </c>
      <c r="C3235" s="3" t="s">
        <v>2163</v>
      </c>
      <c r="D3235" s="4" t="s">
        <v>7681</v>
      </c>
      <c r="E3235" s="3" t="s">
        <v>1076</v>
      </c>
      <c r="F3235" s="3" t="s">
        <v>2105</v>
      </c>
      <c r="G3235" s="3"/>
      <c r="H3235" s="4" t="s">
        <v>7240</v>
      </c>
    </row>
    <row r="3236" ht="16.5" customHeight="1" spans="1:8">
      <c r="A3236" s="3">
        <v>3235</v>
      </c>
      <c r="B3236" s="3" t="s">
        <v>7682</v>
      </c>
      <c r="C3236" s="3" t="s">
        <v>2163</v>
      </c>
      <c r="D3236" s="4" t="s">
        <v>7683</v>
      </c>
      <c r="E3236" s="3" t="s">
        <v>1076</v>
      </c>
      <c r="F3236" s="3" t="s">
        <v>2105</v>
      </c>
      <c r="G3236" s="3"/>
      <c r="H3236" s="4" t="s">
        <v>3812</v>
      </c>
    </row>
    <row r="3237" ht="16.5" customHeight="1" spans="1:8">
      <c r="A3237" s="3">
        <v>3236</v>
      </c>
      <c r="B3237" s="3" t="s">
        <v>7684</v>
      </c>
      <c r="C3237" s="3" t="s">
        <v>2163</v>
      </c>
      <c r="D3237" s="4" t="s">
        <v>7685</v>
      </c>
      <c r="E3237" s="3" t="s">
        <v>2726</v>
      </c>
      <c r="F3237" s="3" t="s">
        <v>2105</v>
      </c>
      <c r="G3237" s="3"/>
      <c r="H3237" s="4" t="s">
        <v>3812</v>
      </c>
    </row>
    <row r="3238" ht="16.5" customHeight="1" spans="1:8">
      <c r="A3238" s="3">
        <v>3237</v>
      </c>
      <c r="B3238" s="3" t="s">
        <v>7686</v>
      </c>
      <c r="C3238" s="3" t="s">
        <v>2163</v>
      </c>
      <c r="D3238" s="4" t="s">
        <v>7687</v>
      </c>
      <c r="E3238" s="3" t="s">
        <v>1076</v>
      </c>
      <c r="F3238" s="3" t="s">
        <v>2105</v>
      </c>
      <c r="G3238" s="3"/>
      <c r="H3238" s="4" t="s">
        <v>1390</v>
      </c>
    </row>
    <row r="3239" ht="16.5" customHeight="1" spans="1:8">
      <c r="A3239" s="3">
        <v>3238</v>
      </c>
      <c r="B3239" s="3" t="s">
        <v>7688</v>
      </c>
      <c r="C3239" s="3" t="s">
        <v>2163</v>
      </c>
      <c r="D3239" s="4" t="s">
        <v>7689</v>
      </c>
      <c r="E3239" s="3" t="s">
        <v>1076</v>
      </c>
      <c r="F3239" s="3" t="s">
        <v>2105</v>
      </c>
      <c r="G3239" s="3"/>
      <c r="H3239" s="4" t="s">
        <v>5664</v>
      </c>
    </row>
    <row r="3240" ht="16.5" customHeight="1" spans="1:8">
      <c r="A3240" s="3">
        <v>3239</v>
      </c>
      <c r="B3240" s="3" t="s">
        <v>7690</v>
      </c>
      <c r="C3240" s="3" t="s">
        <v>2163</v>
      </c>
      <c r="D3240" s="4" t="s">
        <v>7691</v>
      </c>
      <c r="E3240" s="3" t="s">
        <v>1076</v>
      </c>
      <c r="F3240" s="3" t="s">
        <v>2105</v>
      </c>
      <c r="G3240" s="3"/>
      <c r="H3240" s="4" t="s">
        <v>5533</v>
      </c>
    </row>
    <row r="3241" ht="16.5" customHeight="1" spans="1:8">
      <c r="A3241" s="3">
        <v>3240</v>
      </c>
      <c r="B3241" s="3" t="s">
        <v>7692</v>
      </c>
      <c r="C3241" s="3" t="s">
        <v>2163</v>
      </c>
      <c r="D3241" s="4" t="s">
        <v>7693</v>
      </c>
      <c r="E3241" s="3" t="s">
        <v>1076</v>
      </c>
      <c r="F3241" s="3" t="s">
        <v>2105</v>
      </c>
      <c r="G3241" s="3"/>
      <c r="H3241" s="4" t="s">
        <v>5664</v>
      </c>
    </row>
    <row r="3242" ht="16.5" customHeight="1" spans="1:8">
      <c r="A3242" s="3">
        <v>3241</v>
      </c>
      <c r="B3242" s="3" t="s">
        <v>7694</v>
      </c>
      <c r="C3242" s="3" t="s">
        <v>2163</v>
      </c>
      <c r="D3242" s="4" t="s">
        <v>7695</v>
      </c>
      <c r="E3242" s="3" t="s">
        <v>1076</v>
      </c>
      <c r="F3242" s="3" t="s">
        <v>2105</v>
      </c>
      <c r="G3242" s="3"/>
      <c r="H3242" s="4" t="s">
        <v>1883</v>
      </c>
    </row>
    <row r="3243" ht="16.5" customHeight="1" spans="1:8">
      <c r="A3243" s="3">
        <v>3242</v>
      </c>
      <c r="B3243" s="3" t="s">
        <v>7696</v>
      </c>
      <c r="C3243" s="3" t="s">
        <v>2163</v>
      </c>
      <c r="D3243" s="4" t="s">
        <v>7697</v>
      </c>
      <c r="E3243" s="3" t="s">
        <v>1076</v>
      </c>
      <c r="F3243" s="3" t="s">
        <v>2105</v>
      </c>
      <c r="G3243" s="3"/>
      <c r="H3243" s="4" t="s">
        <v>3812</v>
      </c>
    </row>
    <row r="3244" ht="16.5" customHeight="1" spans="1:8">
      <c r="A3244" s="3">
        <v>3243</v>
      </c>
      <c r="B3244" s="3" t="s">
        <v>7698</v>
      </c>
      <c r="C3244" s="3" t="s">
        <v>2163</v>
      </c>
      <c r="D3244" s="4" t="s">
        <v>7699</v>
      </c>
      <c r="E3244" s="3" t="s">
        <v>1076</v>
      </c>
      <c r="F3244" s="3" t="s">
        <v>2105</v>
      </c>
      <c r="G3244" s="3"/>
      <c r="H3244" s="4" t="s">
        <v>5664</v>
      </c>
    </row>
    <row r="3245" ht="16.5" customHeight="1" spans="1:8">
      <c r="A3245" s="3">
        <v>3244</v>
      </c>
      <c r="B3245" s="3" t="s">
        <v>7700</v>
      </c>
      <c r="C3245" s="3" t="s">
        <v>2163</v>
      </c>
      <c r="D3245" s="4" t="s">
        <v>7701</v>
      </c>
      <c r="E3245" s="3" t="s">
        <v>1076</v>
      </c>
      <c r="F3245" s="3" t="s">
        <v>2105</v>
      </c>
      <c r="G3245" s="3"/>
      <c r="H3245" s="4" t="s">
        <v>5664</v>
      </c>
    </row>
    <row r="3246" ht="16.5" customHeight="1" spans="1:8">
      <c r="A3246" s="3">
        <v>3245</v>
      </c>
      <c r="B3246" s="3" t="s">
        <v>7702</v>
      </c>
      <c r="C3246" s="3" t="s">
        <v>2163</v>
      </c>
      <c r="D3246" s="4" t="s">
        <v>7703</v>
      </c>
      <c r="E3246" s="3" t="s">
        <v>2263</v>
      </c>
      <c r="F3246" s="3" t="s">
        <v>2105</v>
      </c>
      <c r="G3246" s="3"/>
      <c r="H3246" s="4" t="s">
        <v>1390</v>
      </c>
    </row>
    <row r="3247" ht="16.5" customHeight="1" spans="1:8">
      <c r="A3247" s="3">
        <v>3246</v>
      </c>
      <c r="B3247" s="3" t="s">
        <v>7704</v>
      </c>
      <c r="C3247" s="3" t="s">
        <v>2163</v>
      </c>
      <c r="D3247" s="4" t="s">
        <v>7705</v>
      </c>
      <c r="E3247" s="3" t="s">
        <v>1076</v>
      </c>
      <c r="F3247" s="3" t="s">
        <v>2105</v>
      </c>
      <c r="G3247" s="3"/>
      <c r="H3247" s="4" t="s">
        <v>7240</v>
      </c>
    </row>
    <row r="3248" ht="16.5" customHeight="1" spans="1:8">
      <c r="A3248" s="3">
        <v>3247</v>
      </c>
      <c r="B3248" s="3" t="s">
        <v>7706</v>
      </c>
      <c r="C3248" s="3" t="s">
        <v>2163</v>
      </c>
      <c r="D3248" s="4" t="s">
        <v>7707</v>
      </c>
      <c r="E3248" s="3" t="s">
        <v>1076</v>
      </c>
      <c r="F3248" s="3" t="s">
        <v>2105</v>
      </c>
      <c r="G3248" s="3"/>
      <c r="H3248" s="4" t="s">
        <v>1390</v>
      </c>
    </row>
    <row r="3249" ht="16.5" customHeight="1" spans="1:8">
      <c r="A3249" s="3">
        <v>3248</v>
      </c>
      <c r="B3249" s="3" t="s">
        <v>7708</v>
      </c>
      <c r="C3249" s="3" t="s">
        <v>2163</v>
      </c>
      <c r="D3249" s="4" t="s">
        <v>7709</v>
      </c>
      <c r="E3249" s="3" t="s">
        <v>2726</v>
      </c>
      <c r="F3249" s="3" t="s">
        <v>2105</v>
      </c>
      <c r="G3249" s="3"/>
      <c r="H3249" s="4" t="s">
        <v>5664</v>
      </c>
    </row>
    <row r="3250" ht="16.5" customHeight="1" spans="1:8">
      <c r="A3250" s="3">
        <v>3249</v>
      </c>
      <c r="B3250" s="3" t="s">
        <v>7710</v>
      </c>
      <c r="C3250" s="3" t="s">
        <v>2163</v>
      </c>
      <c r="D3250" s="4" t="s">
        <v>7711</v>
      </c>
      <c r="E3250" s="3" t="s">
        <v>1076</v>
      </c>
      <c r="F3250" s="3" t="s">
        <v>2105</v>
      </c>
      <c r="G3250" s="3"/>
      <c r="H3250" s="4" t="s">
        <v>5664</v>
      </c>
    </row>
    <row r="3251" ht="16.5" customHeight="1" spans="1:8">
      <c r="A3251" s="3">
        <v>3250</v>
      </c>
      <c r="B3251" s="3" t="s">
        <v>7712</v>
      </c>
      <c r="C3251" s="3" t="s">
        <v>2163</v>
      </c>
      <c r="D3251" s="4" t="s">
        <v>7713</v>
      </c>
      <c r="E3251" s="3" t="s">
        <v>1076</v>
      </c>
      <c r="F3251" s="3" t="s">
        <v>2105</v>
      </c>
      <c r="G3251" s="3"/>
      <c r="H3251" s="4" t="s">
        <v>5664</v>
      </c>
    </row>
    <row r="3252" ht="16.5" customHeight="1" spans="1:8">
      <c r="A3252" s="3">
        <v>3251</v>
      </c>
      <c r="B3252" s="3" t="s">
        <v>7714</v>
      </c>
      <c r="C3252" s="3" t="s">
        <v>2163</v>
      </c>
      <c r="D3252" s="4" t="s">
        <v>7715</v>
      </c>
      <c r="E3252" s="3" t="s">
        <v>1076</v>
      </c>
      <c r="F3252" s="3" t="s">
        <v>2105</v>
      </c>
      <c r="G3252" s="3"/>
      <c r="H3252" s="4" t="s">
        <v>1390</v>
      </c>
    </row>
    <row r="3253" ht="16.5" customHeight="1" spans="1:8">
      <c r="A3253" s="3">
        <v>3252</v>
      </c>
      <c r="B3253" s="3" t="s">
        <v>7716</v>
      </c>
      <c r="C3253" s="3" t="s">
        <v>2163</v>
      </c>
      <c r="D3253" s="4" t="s">
        <v>7717</v>
      </c>
      <c r="E3253" s="3" t="s">
        <v>1076</v>
      </c>
      <c r="F3253" s="3" t="s">
        <v>2105</v>
      </c>
      <c r="G3253" s="3"/>
      <c r="H3253" s="4" t="s">
        <v>5664</v>
      </c>
    </row>
    <row r="3254" ht="16.5" customHeight="1" spans="1:8">
      <c r="A3254" s="3">
        <v>3253</v>
      </c>
      <c r="B3254" s="3" t="s">
        <v>7718</v>
      </c>
      <c r="C3254" s="3" t="s">
        <v>2163</v>
      </c>
      <c r="D3254" s="4" t="s">
        <v>7719</v>
      </c>
      <c r="E3254" s="3" t="s">
        <v>1076</v>
      </c>
      <c r="F3254" s="3" t="s">
        <v>2105</v>
      </c>
      <c r="G3254" s="3"/>
      <c r="H3254" s="4" t="s">
        <v>5664</v>
      </c>
    </row>
    <row r="3255" ht="16.5" customHeight="1" spans="1:8">
      <c r="A3255" s="3">
        <v>3254</v>
      </c>
      <c r="B3255" s="3" t="s">
        <v>7720</v>
      </c>
      <c r="C3255" s="3" t="s">
        <v>2163</v>
      </c>
      <c r="D3255" s="4" t="s">
        <v>7721</v>
      </c>
      <c r="E3255" s="3" t="s">
        <v>1076</v>
      </c>
      <c r="F3255" s="3" t="s">
        <v>2105</v>
      </c>
      <c r="G3255" s="3"/>
      <c r="H3255" s="4" t="s">
        <v>5664</v>
      </c>
    </row>
    <row r="3256" ht="16.5" customHeight="1" spans="1:8">
      <c r="A3256" s="3">
        <v>3255</v>
      </c>
      <c r="B3256" s="3" t="s">
        <v>7722</v>
      </c>
      <c r="C3256" s="3" t="s">
        <v>2163</v>
      </c>
      <c r="D3256" s="4" t="s">
        <v>7723</v>
      </c>
      <c r="E3256" s="3" t="s">
        <v>1076</v>
      </c>
      <c r="F3256" s="3" t="s">
        <v>2105</v>
      </c>
      <c r="G3256" s="3"/>
      <c r="H3256" s="4" t="s">
        <v>5664</v>
      </c>
    </row>
    <row r="3257" ht="16.5" customHeight="1" spans="1:8">
      <c r="A3257" s="3">
        <v>3256</v>
      </c>
      <c r="B3257" s="3" t="s">
        <v>7724</v>
      </c>
      <c r="C3257" s="3" t="s">
        <v>2163</v>
      </c>
      <c r="D3257" s="4" t="s">
        <v>7725</v>
      </c>
      <c r="E3257" s="3" t="s">
        <v>1076</v>
      </c>
      <c r="F3257" s="3" t="s">
        <v>2105</v>
      </c>
      <c r="G3257" s="3"/>
      <c r="H3257" s="4" t="s">
        <v>5664</v>
      </c>
    </row>
    <row r="3258" ht="16.5" customHeight="1" spans="1:8">
      <c r="A3258" s="3">
        <v>3257</v>
      </c>
      <c r="B3258" s="3" t="s">
        <v>7726</v>
      </c>
      <c r="C3258" s="3" t="s">
        <v>2163</v>
      </c>
      <c r="D3258" s="4" t="s">
        <v>7727</v>
      </c>
      <c r="E3258" s="3" t="s">
        <v>1076</v>
      </c>
      <c r="F3258" s="3" t="s">
        <v>2105</v>
      </c>
      <c r="G3258" s="3"/>
      <c r="H3258" s="4" t="s">
        <v>5533</v>
      </c>
    </row>
    <row r="3259" ht="16.5" customHeight="1" spans="1:8">
      <c r="A3259" s="3">
        <v>3258</v>
      </c>
      <c r="B3259" s="3" t="s">
        <v>7728</v>
      </c>
      <c r="C3259" s="3" t="s">
        <v>2163</v>
      </c>
      <c r="D3259" s="4" t="s">
        <v>7729</v>
      </c>
      <c r="E3259" s="3" t="s">
        <v>1076</v>
      </c>
      <c r="F3259" s="3" t="s">
        <v>2105</v>
      </c>
      <c r="G3259" s="3"/>
      <c r="H3259" s="4" t="s">
        <v>5664</v>
      </c>
    </row>
    <row r="3260" ht="16.5" customHeight="1" spans="1:8">
      <c r="A3260" s="3">
        <v>3259</v>
      </c>
      <c r="B3260" s="3" t="s">
        <v>7730</v>
      </c>
      <c r="C3260" s="3" t="s">
        <v>2163</v>
      </c>
      <c r="D3260" s="4" t="s">
        <v>7731</v>
      </c>
      <c r="E3260" s="3" t="s">
        <v>1076</v>
      </c>
      <c r="F3260" s="3" t="s">
        <v>2105</v>
      </c>
      <c r="G3260" s="3"/>
      <c r="H3260" s="4" t="s">
        <v>5664</v>
      </c>
    </row>
    <row r="3261" ht="16.5" customHeight="1" spans="1:8">
      <c r="A3261" s="3">
        <v>3260</v>
      </c>
      <c r="B3261" s="3" t="s">
        <v>7732</v>
      </c>
      <c r="C3261" s="3" t="s">
        <v>2163</v>
      </c>
      <c r="D3261" s="4" t="s">
        <v>7733</v>
      </c>
      <c r="E3261" s="3" t="s">
        <v>1076</v>
      </c>
      <c r="F3261" s="3" t="s">
        <v>2105</v>
      </c>
      <c r="G3261" s="3"/>
      <c r="H3261" s="4" t="s">
        <v>1883</v>
      </c>
    </row>
    <row r="3262" ht="16.5" customHeight="1" spans="1:8">
      <c r="A3262" s="3">
        <v>3261</v>
      </c>
      <c r="B3262" s="3" t="s">
        <v>7734</v>
      </c>
      <c r="C3262" s="3" t="s">
        <v>2163</v>
      </c>
      <c r="D3262" s="4" t="s">
        <v>7735</v>
      </c>
      <c r="E3262" s="3" t="s">
        <v>1076</v>
      </c>
      <c r="F3262" s="3" t="s">
        <v>2105</v>
      </c>
      <c r="G3262" s="3"/>
      <c r="H3262" s="4" t="s">
        <v>5664</v>
      </c>
    </row>
    <row r="3263" ht="16.5" customHeight="1" spans="1:8">
      <c r="A3263" s="3">
        <v>3262</v>
      </c>
      <c r="B3263" s="3" t="s">
        <v>7736</v>
      </c>
      <c r="C3263" s="3" t="s">
        <v>2163</v>
      </c>
      <c r="D3263" s="4" t="s">
        <v>7737</v>
      </c>
      <c r="E3263" s="3" t="s">
        <v>1076</v>
      </c>
      <c r="F3263" s="3" t="s">
        <v>2105</v>
      </c>
      <c r="G3263" s="3"/>
      <c r="H3263" s="4" t="s">
        <v>5664</v>
      </c>
    </row>
    <row r="3264" ht="16.5" customHeight="1" spans="1:8">
      <c r="A3264" s="3">
        <v>3263</v>
      </c>
      <c r="B3264" s="3" t="s">
        <v>7738</v>
      </c>
      <c r="C3264" s="3" t="s">
        <v>2163</v>
      </c>
      <c r="D3264" s="4" t="s">
        <v>7739</v>
      </c>
      <c r="E3264" s="3" t="s">
        <v>1076</v>
      </c>
      <c r="F3264" s="3" t="s">
        <v>2105</v>
      </c>
      <c r="G3264" s="3"/>
      <c r="H3264" s="4" t="s">
        <v>5664</v>
      </c>
    </row>
    <row r="3265" ht="16.5" customHeight="1" spans="1:8">
      <c r="A3265" s="3">
        <v>3264</v>
      </c>
      <c r="B3265" s="3" t="s">
        <v>7740</v>
      </c>
      <c r="C3265" s="3" t="s">
        <v>2163</v>
      </c>
      <c r="D3265" s="4" t="s">
        <v>7741</v>
      </c>
      <c r="E3265" s="3" t="s">
        <v>1076</v>
      </c>
      <c r="F3265" s="3" t="s">
        <v>2105</v>
      </c>
      <c r="G3265" s="3"/>
      <c r="H3265" s="4" t="s">
        <v>5664</v>
      </c>
    </row>
    <row r="3266" ht="16.5" customHeight="1" spans="1:8">
      <c r="A3266" s="3">
        <v>3265</v>
      </c>
      <c r="B3266" s="3" t="s">
        <v>7742</v>
      </c>
      <c r="C3266" s="3" t="s">
        <v>2163</v>
      </c>
      <c r="D3266" s="4" t="s">
        <v>7743</v>
      </c>
      <c r="E3266" s="3" t="s">
        <v>1076</v>
      </c>
      <c r="F3266" s="3" t="s">
        <v>2105</v>
      </c>
      <c r="G3266" s="3"/>
      <c r="H3266" s="4" t="s">
        <v>3463</v>
      </c>
    </row>
    <row r="3267" ht="16.5" customHeight="1" spans="1:8">
      <c r="A3267" s="3">
        <v>3266</v>
      </c>
      <c r="B3267" s="3" t="s">
        <v>7744</v>
      </c>
      <c r="C3267" s="3" t="s">
        <v>2163</v>
      </c>
      <c r="D3267" s="4" t="s">
        <v>7745</v>
      </c>
      <c r="E3267" s="3" t="s">
        <v>1076</v>
      </c>
      <c r="F3267" s="3" t="s">
        <v>2105</v>
      </c>
      <c r="G3267" s="3"/>
      <c r="H3267" s="4" t="s">
        <v>1308</v>
      </c>
    </row>
    <row r="3268" ht="16.5" customHeight="1" spans="1:8">
      <c r="A3268" s="3">
        <v>3267</v>
      </c>
      <c r="B3268" s="3" t="s">
        <v>7746</v>
      </c>
      <c r="C3268" s="3" t="s">
        <v>2163</v>
      </c>
      <c r="D3268" s="4" t="s">
        <v>7747</v>
      </c>
      <c r="E3268" s="3" t="s">
        <v>1076</v>
      </c>
      <c r="F3268" s="3" t="s">
        <v>2105</v>
      </c>
      <c r="G3268" s="3"/>
      <c r="H3268" s="4" t="s">
        <v>5664</v>
      </c>
    </row>
    <row r="3269" ht="16.5" customHeight="1" spans="1:8">
      <c r="A3269" s="3">
        <v>3268</v>
      </c>
      <c r="B3269" s="3" t="s">
        <v>7748</v>
      </c>
      <c r="C3269" s="3" t="s">
        <v>2163</v>
      </c>
      <c r="D3269" s="4" t="s">
        <v>7749</v>
      </c>
      <c r="E3269" s="3" t="s">
        <v>1076</v>
      </c>
      <c r="F3269" s="3" t="s">
        <v>2105</v>
      </c>
      <c r="G3269" s="3"/>
      <c r="H3269" s="4" t="s">
        <v>3354</v>
      </c>
    </row>
    <row r="3270" ht="16.5" customHeight="1" spans="1:8">
      <c r="A3270" s="3">
        <v>3269</v>
      </c>
      <c r="B3270" s="3" t="s">
        <v>7750</v>
      </c>
      <c r="C3270" s="3" t="s">
        <v>2163</v>
      </c>
      <c r="D3270" s="4" t="s">
        <v>7751</v>
      </c>
      <c r="E3270" s="3" t="s">
        <v>2726</v>
      </c>
      <c r="F3270" s="3" t="s">
        <v>2105</v>
      </c>
      <c r="G3270" s="3"/>
      <c r="H3270" s="4" t="s">
        <v>3812</v>
      </c>
    </row>
    <row r="3271" ht="16.5" customHeight="1" spans="1:8">
      <c r="A3271" s="3">
        <v>3270</v>
      </c>
      <c r="B3271" s="3" t="s">
        <v>7752</v>
      </c>
      <c r="C3271" s="3" t="s">
        <v>2163</v>
      </c>
      <c r="D3271" s="4" t="s">
        <v>7753</v>
      </c>
      <c r="E3271" s="3" t="s">
        <v>1076</v>
      </c>
      <c r="F3271" s="3" t="s">
        <v>2105</v>
      </c>
      <c r="G3271" s="3"/>
      <c r="H3271" s="4" t="s">
        <v>5664</v>
      </c>
    </row>
    <row r="3272" ht="16.5" customHeight="1" spans="1:8">
      <c r="A3272" s="3">
        <v>3271</v>
      </c>
      <c r="B3272" s="3" t="s">
        <v>7754</v>
      </c>
      <c r="C3272" s="3" t="s">
        <v>2163</v>
      </c>
      <c r="D3272" s="4" t="s">
        <v>7755</v>
      </c>
      <c r="E3272" s="3" t="s">
        <v>1076</v>
      </c>
      <c r="F3272" s="3" t="s">
        <v>2105</v>
      </c>
      <c r="G3272" s="3"/>
      <c r="H3272" s="4" t="s">
        <v>5664</v>
      </c>
    </row>
    <row r="3273" ht="16.5" customHeight="1" spans="1:8">
      <c r="A3273" s="3">
        <v>3272</v>
      </c>
      <c r="B3273" s="3" t="s">
        <v>7756</v>
      </c>
      <c r="C3273" s="3" t="s">
        <v>2163</v>
      </c>
      <c r="D3273" s="4" t="s">
        <v>7757</v>
      </c>
      <c r="E3273" s="3" t="s">
        <v>1076</v>
      </c>
      <c r="F3273" s="3" t="s">
        <v>2105</v>
      </c>
      <c r="G3273" s="3"/>
      <c r="H3273" s="4" t="s">
        <v>5533</v>
      </c>
    </row>
    <row r="3274" ht="16.5" customHeight="1" spans="1:8">
      <c r="A3274" s="3">
        <v>3273</v>
      </c>
      <c r="B3274" s="3" t="s">
        <v>7758</v>
      </c>
      <c r="C3274" s="3" t="s">
        <v>2163</v>
      </c>
      <c r="D3274" s="4" t="s">
        <v>7759</v>
      </c>
      <c r="E3274" s="3" t="s">
        <v>1076</v>
      </c>
      <c r="F3274" s="3" t="s">
        <v>2105</v>
      </c>
      <c r="G3274" s="3"/>
      <c r="H3274" s="4" t="s">
        <v>5533</v>
      </c>
    </row>
    <row r="3275" ht="16.5" customHeight="1" spans="1:8">
      <c r="A3275" s="3">
        <v>3274</v>
      </c>
      <c r="B3275" s="3" t="s">
        <v>7760</v>
      </c>
      <c r="C3275" s="3" t="s">
        <v>2163</v>
      </c>
      <c r="D3275" s="4" t="s">
        <v>7761</v>
      </c>
      <c r="E3275" s="3" t="s">
        <v>1076</v>
      </c>
      <c r="F3275" s="3" t="s">
        <v>2105</v>
      </c>
      <c r="G3275" s="3"/>
      <c r="H3275" s="4" t="s">
        <v>5533</v>
      </c>
    </row>
    <row r="3276" ht="16.5" customHeight="1" spans="1:8">
      <c r="A3276" s="3">
        <v>3275</v>
      </c>
      <c r="B3276" s="3" t="s">
        <v>7762</v>
      </c>
      <c r="C3276" s="3" t="s">
        <v>2163</v>
      </c>
      <c r="D3276" s="4" t="s">
        <v>7763</v>
      </c>
      <c r="E3276" s="3" t="s">
        <v>1076</v>
      </c>
      <c r="F3276" s="3" t="s">
        <v>2105</v>
      </c>
      <c r="G3276" s="3"/>
      <c r="H3276" s="4" t="s">
        <v>5533</v>
      </c>
    </row>
    <row r="3277" ht="16.5" customHeight="1" spans="1:8">
      <c r="A3277" s="3">
        <v>3276</v>
      </c>
      <c r="B3277" s="3" t="s">
        <v>7764</v>
      </c>
      <c r="C3277" s="3" t="s">
        <v>2163</v>
      </c>
      <c r="D3277" s="4" t="s">
        <v>7765</v>
      </c>
      <c r="E3277" s="3" t="s">
        <v>1076</v>
      </c>
      <c r="F3277" s="3" t="s">
        <v>2105</v>
      </c>
      <c r="G3277" s="3"/>
      <c r="H3277" s="4" t="s">
        <v>5664</v>
      </c>
    </row>
    <row r="3278" ht="16.5" customHeight="1" spans="1:8">
      <c r="A3278" s="3">
        <v>3277</v>
      </c>
      <c r="B3278" s="3" t="s">
        <v>7766</v>
      </c>
      <c r="C3278" s="3" t="s">
        <v>2163</v>
      </c>
      <c r="D3278" s="4" t="s">
        <v>7767</v>
      </c>
      <c r="E3278" s="3" t="s">
        <v>1076</v>
      </c>
      <c r="F3278" s="3" t="s">
        <v>2105</v>
      </c>
      <c r="G3278" s="3"/>
      <c r="H3278" s="4" t="s">
        <v>5664</v>
      </c>
    </row>
    <row r="3279" ht="16.5" customHeight="1" spans="1:8">
      <c r="A3279" s="3">
        <v>3278</v>
      </c>
      <c r="B3279" s="3" t="s">
        <v>7768</v>
      </c>
      <c r="C3279" s="3" t="s">
        <v>2163</v>
      </c>
      <c r="D3279" s="4" t="s">
        <v>7769</v>
      </c>
      <c r="E3279" s="3" t="s">
        <v>1076</v>
      </c>
      <c r="F3279" s="3" t="s">
        <v>2105</v>
      </c>
      <c r="G3279" s="3"/>
      <c r="H3279" s="4" t="s">
        <v>5664</v>
      </c>
    </row>
    <row r="3280" ht="16.5" customHeight="1" spans="1:8">
      <c r="A3280" s="3">
        <v>3279</v>
      </c>
      <c r="B3280" s="3" t="s">
        <v>7770</v>
      </c>
      <c r="C3280" s="3" t="s">
        <v>2163</v>
      </c>
      <c r="D3280" s="4" t="s">
        <v>7771</v>
      </c>
      <c r="E3280" s="3" t="s">
        <v>1076</v>
      </c>
      <c r="F3280" s="3" t="s">
        <v>2105</v>
      </c>
      <c r="G3280" s="3"/>
      <c r="H3280" s="4" t="s">
        <v>5664</v>
      </c>
    </row>
    <row r="3281" ht="16.5" customHeight="1" spans="1:8">
      <c r="A3281" s="3">
        <v>3280</v>
      </c>
      <c r="B3281" s="3" t="s">
        <v>7772</v>
      </c>
      <c r="C3281" s="3" t="s">
        <v>2163</v>
      </c>
      <c r="D3281" s="4" t="s">
        <v>7773</v>
      </c>
      <c r="E3281" s="3" t="s">
        <v>1076</v>
      </c>
      <c r="F3281" s="3" t="s">
        <v>2105</v>
      </c>
      <c r="G3281" s="3"/>
      <c r="H3281" s="4" t="s">
        <v>5664</v>
      </c>
    </row>
    <row r="3282" ht="16.5" customHeight="1" spans="1:8">
      <c r="A3282" s="3">
        <v>3281</v>
      </c>
      <c r="B3282" s="3" t="s">
        <v>7774</v>
      </c>
      <c r="C3282" s="3" t="s">
        <v>2163</v>
      </c>
      <c r="D3282" s="4" t="s">
        <v>7775</v>
      </c>
      <c r="E3282" s="3" t="s">
        <v>1076</v>
      </c>
      <c r="F3282" s="3" t="s">
        <v>2105</v>
      </c>
      <c r="G3282" s="3"/>
      <c r="H3282" s="4" t="s">
        <v>5664</v>
      </c>
    </row>
    <row r="3283" ht="16.5" customHeight="1" spans="1:8">
      <c r="A3283" s="3">
        <v>3282</v>
      </c>
      <c r="B3283" s="3" t="s">
        <v>7776</v>
      </c>
      <c r="C3283" s="3" t="s">
        <v>2163</v>
      </c>
      <c r="D3283" s="4" t="s">
        <v>7777</v>
      </c>
      <c r="E3283" s="3" t="s">
        <v>1076</v>
      </c>
      <c r="F3283" s="3" t="s">
        <v>2105</v>
      </c>
      <c r="G3283" s="3"/>
      <c r="H3283" s="4" t="s">
        <v>5533</v>
      </c>
    </row>
    <row r="3284" ht="16.5" customHeight="1" spans="1:8">
      <c r="A3284" s="3">
        <v>3283</v>
      </c>
      <c r="B3284" s="3" t="s">
        <v>7778</v>
      </c>
      <c r="C3284" s="3" t="s">
        <v>2163</v>
      </c>
      <c r="D3284" s="4" t="s">
        <v>7779</v>
      </c>
      <c r="E3284" s="3" t="s">
        <v>1076</v>
      </c>
      <c r="F3284" s="3" t="s">
        <v>2105</v>
      </c>
      <c r="G3284" s="3"/>
      <c r="H3284" s="4" t="s">
        <v>5664</v>
      </c>
    </row>
    <row r="3285" ht="16.5" customHeight="1" spans="1:8">
      <c r="A3285" s="3">
        <v>3284</v>
      </c>
      <c r="B3285" s="3" t="s">
        <v>7780</v>
      </c>
      <c r="C3285" s="3" t="s">
        <v>2163</v>
      </c>
      <c r="D3285" s="4" t="s">
        <v>7781</v>
      </c>
      <c r="E3285" s="3" t="s">
        <v>1076</v>
      </c>
      <c r="F3285" s="3" t="s">
        <v>2105</v>
      </c>
      <c r="G3285" s="3"/>
      <c r="H3285" s="4" t="s">
        <v>5664</v>
      </c>
    </row>
    <row r="3286" ht="16.5" customHeight="1" spans="1:8">
      <c r="A3286" s="3">
        <v>3285</v>
      </c>
      <c r="B3286" s="3" t="s">
        <v>7782</v>
      </c>
      <c r="C3286" s="3" t="s">
        <v>2163</v>
      </c>
      <c r="D3286" s="4" t="s">
        <v>7783</v>
      </c>
      <c r="E3286" s="3" t="s">
        <v>1076</v>
      </c>
      <c r="F3286" s="3" t="s">
        <v>2105</v>
      </c>
      <c r="G3286" s="3"/>
      <c r="H3286" s="4" t="s">
        <v>1390</v>
      </c>
    </row>
    <row r="3287" ht="16.5" customHeight="1" spans="1:8">
      <c r="A3287" s="3">
        <v>3286</v>
      </c>
      <c r="B3287" s="3" t="s">
        <v>7784</v>
      </c>
      <c r="C3287" s="3" t="s">
        <v>2163</v>
      </c>
      <c r="D3287" s="4" t="s">
        <v>7785</v>
      </c>
      <c r="E3287" s="3" t="s">
        <v>1076</v>
      </c>
      <c r="F3287" s="3" t="s">
        <v>2105</v>
      </c>
      <c r="G3287" s="3"/>
      <c r="H3287" s="4" t="s">
        <v>5664</v>
      </c>
    </row>
    <row r="3288" ht="16.5" customHeight="1" spans="1:8">
      <c r="A3288" s="3">
        <v>3287</v>
      </c>
      <c r="B3288" s="3" t="s">
        <v>7786</v>
      </c>
      <c r="C3288" s="3" t="s">
        <v>2163</v>
      </c>
      <c r="D3288" s="4" t="s">
        <v>7787</v>
      </c>
      <c r="E3288" s="3" t="s">
        <v>1076</v>
      </c>
      <c r="F3288" s="3" t="s">
        <v>2105</v>
      </c>
      <c r="G3288" s="3"/>
      <c r="H3288" s="4" t="s">
        <v>5664</v>
      </c>
    </row>
    <row r="3289" ht="16.5" customHeight="1" spans="1:8">
      <c r="A3289" s="3">
        <v>3288</v>
      </c>
      <c r="B3289" s="3" t="s">
        <v>7788</v>
      </c>
      <c r="C3289" s="3" t="s">
        <v>2163</v>
      </c>
      <c r="D3289" s="4" t="s">
        <v>7789</v>
      </c>
      <c r="E3289" s="3" t="s">
        <v>1076</v>
      </c>
      <c r="F3289" s="3" t="s">
        <v>2105</v>
      </c>
      <c r="G3289" s="3"/>
      <c r="H3289" s="4" t="s">
        <v>5664</v>
      </c>
    </row>
    <row r="3290" ht="16.5" customHeight="1" spans="1:8">
      <c r="A3290" s="3">
        <v>3289</v>
      </c>
      <c r="B3290" s="3" t="s">
        <v>7790</v>
      </c>
      <c r="C3290" s="3" t="s">
        <v>2163</v>
      </c>
      <c r="D3290" s="4" t="s">
        <v>7791</v>
      </c>
      <c r="E3290" s="3" t="s">
        <v>3954</v>
      </c>
      <c r="F3290" s="3" t="s">
        <v>2105</v>
      </c>
      <c r="G3290" s="3"/>
      <c r="H3290" s="4" t="s">
        <v>5664</v>
      </c>
    </row>
    <row r="3291" ht="16.5" customHeight="1" spans="1:8">
      <c r="A3291" s="3">
        <v>3290</v>
      </c>
      <c r="B3291" s="3" t="s">
        <v>7792</v>
      </c>
      <c r="C3291" s="3" t="s">
        <v>2163</v>
      </c>
      <c r="D3291" s="4" t="s">
        <v>7793</v>
      </c>
      <c r="E3291" s="3" t="s">
        <v>1076</v>
      </c>
      <c r="F3291" s="3" t="s">
        <v>2105</v>
      </c>
      <c r="G3291" s="3"/>
      <c r="H3291" s="4" t="s">
        <v>5664</v>
      </c>
    </row>
    <row r="3292" ht="16.5" customHeight="1" spans="1:8">
      <c r="A3292" s="3">
        <v>3291</v>
      </c>
      <c r="B3292" s="3" t="s">
        <v>7794</v>
      </c>
      <c r="C3292" s="3" t="s">
        <v>2163</v>
      </c>
      <c r="D3292" s="4" t="s">
        <v>7795</v>
      </c>
      <c r="E3292" s="3" t="s">
        <v>1076</v>
      </c>
      <c r="F3292" s="3" t="s">
        <v>2105</v>
      </c>
      <c r="G3292" s="3"/>
      <c r="H3292" s="4" t="s">
        <v>5664</v>
      </c>
    </row>
    <row r="3293" ht="16.5" customHeight="1" spans="1:8">
      <c r="A3293" s="3">
        <v>3292</v>
      </c>
      <c r="B3293" s="3" t="s">
        <v>7796</v>
      </c>
      <c r="C3293" s="3" t="s">
        <v>2163</v>
      </c>
      <c r="D3293" s="4" t="s">
        <v>7797</v>
      </c>
      <c r="E3293" s="3" t="s">
        <v>1076</v>
      </c>
      <c r="F3293" s="3" t="s">
        <v>2105</v>
      </c>
      <c r="G3293" s="3"/>
      <c r="H3293" s="4" t="s">
        <v>5664</v>
      </c>
    </row>
    <row r="3294" ht="16.5" customHeight="1" spans="1:8">
      <c r="A3294" s="3">
        <v>3293</v>
      </c>
      <c r="B3294" s="3" t="s">
        <v>7798</v>
      </c>
      <c r="C3294" s="3" t="s">
        <v>2163</v>
      </c>
      <c r="D3294" s="4" t="s">
        <v>7799</v>
      </c>
      <c r="E3294" s="3" t="s">
        <v>1076</v>
      </c>
      <c r="F3294" s="3" t="s">
        <v>2105</v>
      </c>
      <c r="G3294" s="3"/>
      <c r="H3294" s="4" t="s">
        <v>5664</v>
      </c>
    </row>
    <row r="3295" ht="16.5" customHeight="1" spans="1:8">
      <c r="A3295" s="3">
        <v>3294</v>
      </c>
      <c r="B3295" s="3" t="s">
        <v>7800</v>
      </c>
      <c r="C3295" s="3" t="s">
        <v>2163</v>
      </c>
      <c r="D3295" s="4" t="s">
        <v>7801</v>
      </c>
      <c r="E3295" s="3" t="s">
        <v>1076</v>
      </c>
      <c r="F3295" s="3" t="s">
        <v>2105</v>
      </c>
      <c r="G3295" s="3"/>
      <c r="H3295" s="4" t="s">
        <v>5664</v>
      </c>
    </row>
    <row r="3296" ht="16.5" customHeight="1" spans="1:8">
      <c r="A3296" s="3">
        <v>3295</v>
      </c>
      <c r="B3296" s="3" t="s">
        <v>7802</v>
      </c>
      <c r="C3296" s="3" t="s">
        <v>2163</v>
      </c>
      <c r="D3296" s="4" t="s">
        <v>7803</v>
      </c>
      <c r="E3296" s="3" t="s">
        <v>1076</v>
      </c>
      <c r="F3296" s="3" t="s">
        <v>2105</v>
      </c>
      <c r="G3296" s="3"/>
      <c r="H3296" s="4" t="s">
        <v>5664</v>
      </c>
    </row>
    <row r="3297" ht="16.5" customHeight="1" spans="1:8">
      <c r="A3297" s="3">
        <v>3296</v>
      </c>
      <c r="B3297" s="3" t="s">
        <v>7804</v>
      </c>
      <c r="C3297" s="3" t="s">
        <v>2163</v>
      </c>
      <c r="D3297" s="4" t="s">
        <v>7805</v>
      </c>
      <c r="E3297" s="3" t="s">
        <v>1076</v>
      </c>
      <c r="F3297" s="3" t="s">
        <v>2105</v>
      </c>
      <c r="G3297" s="3"/>
      <c r="H3297" s="4" t="s">
        <v>3354</v>
      </c>
    </row>
    <row r="3298" ht="16.5" customHeight="1" spans="1:8">
      <c r="A3298" s="3">
        <v>3297</v>
      </c>
      <c r="B3298" s="3" t="s">
        <v>7806</v>
      </c>
      <c r="C3298" s="3" t="s">
        <v>2163</v>
      </c>
      <c r="D3298" s="4" t="s">
        <v>7807</v>
      </c>
      <c r="E3298" s="3" t="s">
        <v>1076</v>
      </c>
      <c r="F3298" s="3" t="s">
        <v>2105</v>
      </c>
      <c r="G3298" s="3"/>
      <c r="H3298" s="4" t="s">
        <v>3354</v>
      </c>
    </row>
    <row r="3299" ht="16.5" customHeight="1" spans="1:8">
      <c r="A3299" s="3">
        <v>3298</v>
      </c>
      <c r="B3299" s="3" t="s">
        <v>7808</v>
      </c>
      <c r="C3299" s="3" t="s">
        <v>2163</v>
      </c>
      <c r="D3299" s="4" t="s">
        <v>7809</v>
      </c>
      <c r="E3299" s="3" t="s">
        <v>1076</v>
      </c>
      <c r="F3299" s="3" t="s">
        <v>2105</v>
      </c>
      <c r="G3299" s="3"/>
      <c r="H3299" s="4" t="s">
        <v>5664</v>
      </c>
    </row>
    <row r="3300" ht="16.5" customHeight="1" spans="1:8">
      <c r="A3300" s="3">
        <v>3299</v>
      </c>
      <c r="B3300" s="3" t="s">
        <v>7810</v>
      </c>
      <c r="C3300" s="3" t="s">
        <v>2163</v>
      </c>
      <c r="D3300" s="4" t="s">
        <v>7811</v>
      </c>
      <c r="E3300" s="3" t="s">
        <v>1076</v>
      </c>
      <c r="F3300" s="3" t="s">
        <v>2105</v>
      </c>
      <c r="G3300" s="3"/>
      <c r="H3300" s="4" t="s">
        <v>1390</v>
      </c>
    </row>
    <row r="3301" ht="16.5" customHeight="1" spans="1:8">
      <c r="A3301" s="3">
        <v>3300</v>
      </c>
      <c r="B3301" s="3" t="s">
        <v>7812</v>
      </c>
      <c r="C3301" s="3" t="s">
        <v>2163</v>
      </c>
      <c r="D3301" s="4" t="s">
        <v>7813</v>
      </c>
      <c r="E3301" s="3" t="s">
        <v>1076</v>
      </c>
      <c r="F3301" s="3" t="s">
        <v>2105</v>
      </c>
      <c r="G3301" s="3"/>
      <c r="H3301" s="4" t="s">
        <v>1390</v>
      </c>
    </row>
    <row r="3302" ht="16.5" customHeight="1" spans="1:8">
      <c r="A3302" s="3">
        <v>3301</v>
      </c>
      <c r="B3302" s="3" t="s">
        <v>7814</v>
      </c>
      <c r="C3302" s="3" t="s">
        <v>2163</v>
      </c>
      <c r="D3302" s="4" t="s">
        <v>7815</v>
      </c>
      <c r="E3302" s="3" t="s">
        <v>1076</v>
      </c>
      <c r="F3302" s="3" t="s">
        <v>2105</v>
      </c>
      <c r="G3302" s="3"/>
      <c r="H3302" s="4" t="s">
        <v>1390</v>
      </c>
    </row>
    <row r="3303" ht="16.5" customHeight="1" spans="1:8">
      <c r="A3303" s="3">
        <v>3302</v>
      </c>
      <c r="B3303" s="3" t="s">
        <v>7816</v>
      </c>
      <c r="C3303" s="3" t="s">
        <v>2163</v>
      </c>
      <c r="D3303" s="4" t="s">
        <v>7817</v>
      </c>
      <c r="E3303" s="3" t="s">
        <v>1076</v>
      </c>
      <c r="F3303" s="3" t="s">
        <v>2105</v>
      </c>
      <c r="G3303" s="3"/>
      <c r="H3303" s="4" t="s">
        <v>5664</v>
      </c>
    </row>
    <row r="3304" ht="16.5" customHeight="1" spans="1:8">
      <c r="A3304" s="3">
        <v>3303</v>
      </c>
      <c r="B3304" s="3" t="s">
        <v>7818</v>
      </c>
      <c r="C3304" s="3" t="s">
        <v>2163</v>
      </c>
      <c r="D3304" s="4" t="s">
        <v>7819</v>
      </c>
      <c r="E3304" s="3" t="s">
        <v>1076</v>
      </c>
      <c r="F3304" s="3" t="s">
        <v>2105</v>
      </c>
      <c r="G3304" s="3"/>
      <c r="H3304" s="4" t="s">
        <v>5664</v>
      </c>
    </row>
    <row r="3305" ht="16.5" customHeight="1" spans="1:8">
      <c r="A3305" s="3">
        <v>3304</v>
      </c>
      <c r="B3305" s="3" t="s">
        <v>7820</v>
      </c>
      <c r="C3305" s="3" t="s">
        <v>2163</v>
      </c>
      <c r="D3305" s="4" t="s">
        <v>7821</v>
      </c>
      <c r="E3305" s="3" t="s">
        <v>1076</v>
      </c>
      <c r="F3305" s="3" t="s">
        <v>2105</v>
      </c>
      <c r="G3305" s="3"/>
      <c r="H3305" s="4" t="s">
        <v>5664</v>
      </c>
    </row>
    <row r="3306" ht="16.5" customHeight="1" spans="1:8">
      <c r="A3306" s="3">
        <v>3305</v>
      </c>
      <c r="B3306" s="3" t="s">
        <v>7822</v>
      </c>
      <c r="C3306" s="3" t="s">
        <v>2163</v>
      </c>
      <c r="D3306" s="4" t="s">
        <v>7823</v>
      </c>
      <c r="E3306" s="3" t="s">
        <v>1076</v>
      </c>
      <c r="F3306" s="3" t="s">
        <v>2105</v>
      </c>
      <c r="G3306" s="3"/>
      <c r="H3306" s="4" t="s">
        <v>5664</v>
      </c>
    </row>
    <row r="3307" ht="16.5" customHeight="1" spans="1:8">
      <c r="A3307" s="3">
        <v>3306</v>
      </c>
      <c r="B3307" s="3" t="s">
        <v>7824</v>
      </c>
      <c r="C3307" s="3" t="s">
        <v>2163</v>
      </c>
      <c r="D3307" s="4" t="s">
        <v>7825</v>
      </c>
      <c r="E3307" s="3" t="s">
        <v>1076</v>
      </c>
      <c r="F3307" s="3" t="s">
        <v>2105</v>
      </c>
      <c r="G3307" s="3"/>
      <c r="H3307" s="4" t="s">
        <v>1390</v>
      </c>
    </row>
    <row r="3308" ht="16.5" customHeight="1" spans="1:8">
      <c r="A3308" s="3">
        <v>3307</v>
      </c>
      <c r="B3308" s="3" t="s">
        <v>7826</v>
      </c>
      <c r="C3308" s="3" t="s">
        <v>2163</v>
      </c>
      <c r="D3308" s="4" t="s">
        <v>7827</v>
      </c>
      <c r="E3308" s="3" t="s">
        <v>1076</v>
      </c>
      <c r="F3308" s="3" t="s">
        <v>2105</v>
      </c>
      <c r="G3308" s="3"/>
      <c r="H3308" s="4" t="s">
        <v>1390</v>
      </c>
    </row>
    <row r="3309" ht="16.5" customHeight="1" spans="1:8">
      <c r="A3309" s="3">
        <v>3308</v>
      </c>
      <c r="B3309" s="3" t="s">
        <v>7828</v>
      </c>
      <c r="C3309" s="3" t="s">
        <v>2163</v>
      </c>
      <c r="D3309" s="4" t="s">
        <v>7829</v>
      </c>
      <c r="E3309" s="3" t="s">
        <v>1076</v>
      </c>
      <c r="F3309" s="3" t="s">
        <v>2105</v>
      </c>
      <c r="G3309" s="3"/>
      <c r="H3309" s="4" t="s">
        <v>1390</v>
      </c>
    </row>
    <row r="3310" ht="16.5" customHeight="1" spans="1:8">
      <c r="A3310" s="3">
        <v>3309</v>
      </c>
      <c r="B3310" s="3" t="s">
        <v>7830</v>
      </c>
      <c r="C3310" s="3" t="s">
        <v>2163</v>
      </c>
      <c r="D3310" s="4" t="s">
        <v>7831</v>
      </c>
      <c r="E3310" s="3" t="s">
        <v>1076</v>
      </c>
      <c r="F3310" s="3" t="s">
        <v>2105</v>
      </c>
      <c r="G3310" s="3"/>
      <c r="H3310" s="4" t="s">
        <v>1390</v>
      </c>
    </row>
    <row r="3311" ht="16.5" customHeight="1" spans="1:8">
      <c r="A3311" s="3">
        <v>3310</v>
      </c>
      <c r="B3311" s="3" t="s">
        <v>7832</v>
      </c>
      <c r="C3311" s="3" t="s">
        <v>2163</v>
      </c>
      <c r="D3311" s="4" t="s">
        <v>7833</v>
      </c>
      <c r="E3311" s="3" t="s">
        <v>1076</v>
      </c>
      <c r="F3311" s="3" t="s">
        <v>2105</v>
      </c>
      <c r="G3311" s="3"/>
      <c r="H3311" s="4" t="s">
        <v>1390</v>
      </c>
    </row>
    <row r="3312" ht="16.5" customHeight="1" spans="1:8">
      <c r="A3312" s="3">
        <v>3311</v>
      </c>
      <c r="B3312" s="3" t="s">
        <v>7834</v>
      </c>
      <c r="C3312" s="3" t="s">
        <v>2163</v>
      </c>
      <c r="D3312" s="4" t="s">
        <v>7835</v>
      </c>
      <c r="E3312" s="3" t="s">
        <v>1076</v>
      </c>
      <c r="F3312" s="3" t="s">
        <v>2105</v>
      </c>
      <c r="G3312" s="3"/>
      <c r="H3312" s="4" t="s">
        <v>1390</v>
      </c>
    </row>
    <row r="3313" ht="16.5" customHeight="1" spans="1:8">
      <c r="A3313" s="3">
        <v>3312</v>
      </c>
      <c r="B3313" s="3" t="s">
        <v>7836</v>
      </c>
      <c r="C3313" s="3" t="s">
        <v>2163</v>
      </c>
      <c r="D3313" s="4" t="s">
        <v>7837</v>
      </c>
      <c r="E3313" s="3" t="s">
        <v>1076</v>
      </c>
      <c r="F3313" s="3" t="s">
        <v>2105</v>
      </c>
      <c r="G3313" s="3"/>
      <c r="H3313" s="4" t="s">
        <v>5664</v>
      </c>
    </row>
    <row r="3314" ht="16.5" customHeight="1" spans="1:8">
      <c r="A3314" s="3">
        <v>3313</v>
      </c>
      <c r="B3314" s="3" t="s">
        <v>7838</v>
      </c>
      <c r="C3314" s="3" t="s">
        <v>2163</v>
      </c>
      <c r="D3314" s="4" t="s">
        <v>7839</v>
      </c>
      <c r="E3314" s="3" t="s">
        <v>1076</v>
      </c>
      <c r="F3314" s="3" t="s">
        <v>2105</v>
      </c>
      <c r="G3314" s="3"/>
      <c r="H3314" s="4" t="s">
        <v>1390</v>
      </c>
    </row>
    <row r="3315" ht="16.5" customHeight="1" spans="1:8">
      <c r="A3315" s="3">
        <v>3314</v>
      </c>
      <c r="B3315" s="3" t="s">
        <v>7840</v>
      </c>
      <c r="C3315" s="3" t="s">
        <v>2163</v>
      </c>
      <c r="D3315" s="4" t="s">
        <v>7841</v>
      </c>
      <c r="E3315" s="3" t="s">
        <v>1076</v>
      </c>
      <c r="F3315" s="3" t="s">
        <v>2105</v>
      </c>
      <c r="G3315" s="3"/>
      <c r="H3315" s="4" t="s">
        <v>1390</v>
      </c>
    </row>
    <row r="3316" ht="16.5" customHeight="1" spans="1:8">
      <c r="A3316" s="3">
        <v>3315</v>
      </c>
      <c r="B3316" s="3" t="s">
        <v>7842</v>
      </c>
      <c r="C3316" s="3" t="s">
        <v>2163</v>
      </c>
      <c r="D3316" s="4" t="s">
        <v>7843</v>
      </c>
      <c r="E3316" s="3" t="s">
        <v>1076</v>
      </c>
      <c r="F3316" s="3" t="s">
        <v>2105</v>
      </c>
      <c r="G3316" s="3"/>
      <c r="H3316" s="4" t="s">
        <v>1390</v>
      </c>
    </row>
    <row r="3317" ht="16.5" customHeight="1" spans="1:8">
      <c r="A3317" s="3">
        <v>3316</v>
      </c>
      <c r="B3317" s="3" t="s">
        <v>7844</v>
      </c>
      <c r="C3317" s="3" t="s">
        <v>2163</v>
      </c>
      <c r="D3317" s="4" t="s">
        <v>7845</v>
      </c>
      <c r="E3317" s="3" t="s">
        <v>1076</v>
      </c>
      <c r="F3317" s="3" t="s">
        <v>2105</v>
      </c>
      <c r="G3317" s="3"/>
      <c r="H3317" s="4" t="s">
        <v>1390</v>
      </c>
    </row>
    <row r="3318" ht="16.5" customHeight="1" spans="1:8">
      <c r="A3318" s="3">
        <v>3317</v>
      </c>
      <c r="B3318" s="3" t="s">
        <v>7846</v>
      </c>
      <c r="C3318" s="3" t="s">
        <v>2163</v>
      </c>
      <c r="D3318" s="4" t="s">
        <v>7847</v>
      </c>
      <c r="E3318" s="3" t="s">
        <v>1076</v>
      </c>
      <c r="F3318" s="3" t="s">
        <v>2105</v>
      </c>
      <c r="G3318" s="3"/>
      <c r="H3318" s="4" t="s">
        <v>5664</v>
      </c>
    </row>
    <row r="3319" ht="16.5" customHeight="1" spans="1:8">
      <c r="A3319" s="3">
        <v>3318</v>
      </c>
      <c r="B3319" s="3" t="s">
        <v>7848</v>
      </c>
      <c r="C3319" s="3" t="s">
        <v>2163</v>
      </c>
      <c r="D3319" s="4" t="s">
        <v>7849</v>
      </c>
      <c r="E3319" s="3" t="s">
        <v>1076</v>
      </c>
      <c r="F3319" s="3" t="s">
        <v>2105</v>
      </c>
      <c r="G3319" s="3"/>
      <c r="H3319" s="4" t="s">
        <v>1390</v>
      </c>
    </row>
    <row r="3320" ht="16.5" customHeight="1" spans="1:8">
      <c r="A3320" s="3">
        <v>3319</v>
      </c>
      <c r="B3320" s="3" t="s">
        <v>7850</v>
      </c>
      <c r="C3320" s="3" t="s">
        <v>2163</v>
      </c>
      <c r="D3320" s="4" t="s">
        <v>7851</v>
      </c>
      <c r="E3320" s="3" t="s">
        <v>1076</v>
      </c>
      <c r="F3320" s="3" t="s">
        <v>2105</v>
      </c>
      <c r="G3320" s="3"/>
      <c r="H3320" s="4" t="s">
        <v>5664</v>
      </c>
    </row>
    <row r="3321" ht="16.5" customHeight="1" spans="1:8">
      <c r="A3321" s="3">
        <v>3320</v>
      </c>
      <c r="B3321" s="3" t="s">
        <v>7852</v>
      </c>
      <c r="C3321" s="3" t="s">
        <v>2163</v>
      </c>
      <c r="D3321" s="4" t="s">
        <v>7853</v>
      </c>
      <c r="E3321" s="3" t="s">
        <v>1076</v>
      </c>
      <c r="F3321" s="3" t="s">
        <v>2105</v>
      </c>
      <c r="G3321" s="3"/>
      <c r="H3321" s="4" t="s">
        <v>5664</v>
      </c>
    </row>
    <row r="3322" ht="16.5" customHeight="1" spans="1:8">
      <c r="A3322" s="3">
        <v>3321</v>
      </c>
      <c r="B3322" s="3" t="s">
        <v>7854</v>
      </c>
      <c r="C3322" s="3" t="s">
        <v>2163</v>
      </c>
      <c r="D3322" s="4" t="s">
        <v>7855</v>
      </c>
      <c r="E3322" s="3" t="s">
        <v>1076</v>
      </c>
      <c r="F3322" s="3" t="s">
        <v>2105</v>
      </c>
      <c r="G3322" s="3"/>
      <c r="H3322" s="4" t="s">
        <v>5664</v>
      </c>
    </row>
    <row r="3323" ht="16.5" customHeight="1" spans="1:8">
      <c r="A3323" s="3">
        <v>3322</v>
      </c>
      <c r="B3323" s="3" t="s">
        <v>7856</v>
      </c>
      <c r="C3323" s="3" t="s">
        <v>2163</v>
      </c>
      <c r="D3323" s="4" t="s">
        <v>7857</v>
      </c>
      <c r="E3323" s="3" t="s">
        <v>1076</v>
      </c>
      <c r="F3323" s="3" t="s">
        <v>2105</v>
      </c>
      <c r="G3323" s="3"/>
      <c r="H3323" s="4" t="s">
        <v>5664</v>
      </c>
    </row>
    <row r="3324" ht="16.5" customHeight="1" spans="1:8">
      <c r="A3324" s="3">
        <v>3323</v>
      </c>
      <c r="B3324" s="3" t="s">
        <v>7858</v>
      </c>
      <c r="C3324" s="3" t="s">
        <v>2163</v>
      </c>
      <c r="D3324" s="4" t="s">
        <v>7859</v>
      </c>
      <c r="E3324" s="3" t="s">
        <v>7007</v>
      </c>
      <c r="F3324" s="3" t="s">
        <v>2105</v>
      </c>
      <c r="G3324" s="3"/>
      <c r="H3324" s="4" t="s">
        <v>3812</v>
      </c>
    </row>
    <row r="3325" ht="16.5" customHeight="1" spans="1:8">
      <c r="A3325" s="3">
        <v>3324</v>
      </c>
      <c r="B3325" s="3" t="s">
        <v>7860</v>
      </c>
      <c r="C3325" s="3" t="s">
        <v>2163</v>
      </c>
      <c r="D3325" s="4" t="s">
        <v>7861</v>
      </c>
      <c r="E3325" s="3" t="s">
        <v>2726</v>
      </c>
      <c r="F3325" s="3" t="s">
        <v>2105</v>
      </c>
      <c r="G3325" s="3"/>
      <c r="H3325" s="4" t="s">
        <v>3812</v>
      </c>
    </row>
    <row r="3326" ht="16.5" customHeight="1" spans="1:8">
      <c r="A3326" s="3">
        <v>3325</v>
      </c>
      <c r="B3326" s="3" t="s">
        <v>7862</v>
      </c>
      <c r="C3326" s="3" t="s">
        <v>2163</v>
      </c>
      <c r="D3326" s="4" t="s">
        <v>7863</v>
      </c>
      <c r="E3326" s="3" t="s">
        <v>1076</v>
      </c>
      <c r="F3326" s="3" t="s">
        <v>2105</v>
      </c>
      <c r="G3326" s="3"/>
      <c r="H3326" s="4" t="s">
        <v>5664</v>
      </c>
    </row>
    <row r="3327" ht="16.5" customHeight="1" spans="1:8">
      <c r="A3327" s="3">
        <v>3326</v>
      </c>
      <c r="B3327" s="3" t="s">
        <v>7864</v>
      </c>
      <c r="C3327" s="3" t="s">
        <v>2163</v>
      </c>
      <c r="D3327" s="4" t="s">
        <v>7865</v>
      </c>
      <c r="E3327" s="3" t="s">
        <v>1076</v>
      </c>
      <c r="F3327" s="3" t="s">
        <v>2105</v>
      </c>
      <c r="G3327" s="3"/>
      <c r="H3327" s="4" t="s">
        <v>1390</v>
      </c>
    </row>
    <row r="3328" ht="16.5" customHeight="1" spans="1:8">
      <c r="A3328" s="3">
        <v>3327</v>
      </c>
      <c r="B3328" s="3" t="s">
        <v>7866</v>
      </c>
      <c r="C3328" s="3" t="s">
        <v>2163</v>
      </c>
      <c r="D3328" s="4" t="s">
        <v>7867</v>
      </c>
      <c r="E3328" s="3" t="s">
        <v>2726</v>
      </c>
      <c r="F3328" s="3" t="s">
        <v>2105</v>
      </c>
      <c r="G3328" s="3"/>
      <c r="H3328" s="4" t="s">
        <v>3812</v>
      </c>
    </row>
    <row r="3329" ht="16.5" customHeight="1" spans="1:8">
      <c r="A3329" s="3">
        <v>3328</v>
      </c>
      <c r="B3329" s="3" t="s">
        <v>7868</v>
      </c>
      <c r="C3329" s="3" t="s">
        <v>2163</v>
      </c>
      <c r="D3329" s="4" t="s">
        <v>7869</v>
      </c>
      <c r="E3329" s="3" t="s">
        <v>1076</v>
      </c>
      <c r="F3329" s="3" t="s">
        <v>2105</v>
      </c>
      <c r="G3329" s="3"/>
      <c r="H3329" s="4" t="s">
        <v>5664</v>
      </c>
    </row>
    <row r="3330" ht="16.5" customHeight="1" spans="1:8">
      <c r="A3330" s="3">
        <v>3329</v>
      </c>
      <c r="B3330" s="3" t="s">
        <v>7870</v>
      </c>
      <c r="C3330" s="3" t="s">
        <v>2163</v>
      </c>
      <c r="D3330" s="4" t="s">
        <v>7871</v>
      </c>
      <c r="E3330" s="3" t="s">
        <v>1076</v>
      </c>
      <c r="F3330" s="3" t="s">
        <v>2105</v>
      </c>
      <c r="G3330" s="3"/>
      <c r="H3330" s="4" t="s">
        <v>5664</v>
      </c>
    </row>
    <row r="3331" ht="16.5" customHeight="1" spans="1:8">
      <c r="A3331" s="3">
        <v>3330</v>
      </c>
      <c r="B3331" s="3" t="s">
        <v>7872</v>
      </c>
      <c r="C3331" s="3" t="s">
        <v>2163</v>
      </c>
      <c r="D3331" s="4" t="s">
        <v>7873</v>
      </c>
      <c r="E3331" s="3" t="s">
        <v>1076</v>
      </c>
      <c r="F3331" s="3" t="s">
        <v>2105</v>
      </c>
      <c r="G3331" s="3"/>
      <c r="H3331" s="4" t="s">
        <v>1390</v>
      </c>
    </row>
    <row r="3332" ht="16.5" customHeight="1" spans="1:8">
      <c r="A3332" s="3">
        <v>3331</v>
      </c>
      <c r="B3332" s="3" t="s">
        <v>7874</v>
      </c>
      <c r="C3332" s="3" t="s">
        <v>2163</v>
      </c>
      <c r="D3332" s="4" t="s">
        <v>7875</v>
      </c>
      <c r="E3332" s="3" t="s">
        <v>1076</v>
      </c>
      <c r="F3332" s="3" t="s">
        <v>2105</v>
      </c>
      <c r="G3332" s="3"/>
      <c r="H3332" s="4" t="s">
        <v>5664</v>
      </c>
    </row>
    <row r="3333" ht="16.5" customHeight="1" spans="1:8">
      <c r="A3333" s="3">
        <v>3332</v>
      </c>
      <c r="B3333" s="3" t="s">
        <v>7876</v>
      </c>
      <c r="C3333" s="3" t="s">
        <v>2163</v>
      </c>
      <c r="D3333" s="4" t="s">
        <v>7877</v>
      </c>
      <c r="E3333" s="3" t="s">
        <v>1076</v>
      </c>
      <c r="F3333" s="3" t="s">
        <v>2105</v>
      </c>
      <c r="G3333" s="3"/>
      <c r="H3333" s="4" t="s">
        <v>1390</v>
      </c>
    </row>
    <row r="3334" ht="16.5" customHeight="1" spans="1:8">
      <c r="A3334" s="3">
        <v>3333</v>
      </c>
      <c r="B3334" s="3" t="s">
        <v>7878</v>
      </c>
      <c r="C3334" s="3" t="s">
        <v>2163</v>
      </c>
      <c r="D3334" s="4" t="s">
        <v>7879</v>
      </c>
      <c r="E3334" s="3" t="s">
        <v>1076</v>
      </c>
      <c r="F3334" s="3" t="s">
        <v>2105</v>
      </c>
      <c r="G3334" s="3"/>
      <c r="H3334" s="4" t="s">
        <v>5664</v>
      </c>
    </row>
    <row r="3335" ht="16.5" customHeight="1" spans="1:8">
      <c r="A3335" s="3">
        <v>3334</v>
      </c>
      <c r="B3335" s="3" t="s">
        <v>7880</v>
      </c>
      <c r="C3335" s="3" t="s">
        <v>1361</v>
      </c>
      <c r="D3335" s="4" t="s">
        <v>7881</v>
      </c>
      <c r="E3335" s="3" t="s">
        <v>1218</v>
      </c>
      <c r="F3335" s="3" t="s">
        <v>2105</v>
      </c>
      <c r="G3335" s="3"/>
      <c r="H3335" s="4"/>
    </row>
    <row r="3336" ht="16.5" customHeight="1" spans="1:8">
      <c r="A3336" s="3">
        <v>3335</v>
      </c>
      <c r="B3336" s="3" t="s">
        <v>7882</v>
      </c>
      <c r="C3336" s="3" t="s">
        <v>1361</v>
      </c>
      <c r="D3336" s="4" t="s">
        <v>7883</v>
      </c>
      <c r="E3336" s="3" t="s">
        <v>1218</v>
      </c>
      <c r="F3336" s="3" t="s">
        <v>2105</v>
      </c>
      <c r="G3336" s="3"/>
      <c r="H3336" s="4"/>
    </row>
    <row r="3337" ht="16.5" customHeight="1" spans="1:8">
      <c r="A3337" s="3">
        <v>3336</v>
      </c>
      <c r="B3337" s="3" t="s">
        <v>7884</v>
      </c>
      <c r="C3337" s="3" t="s">
        <v>1361</v>
      </c>
      <c r="D3337" s="4" t="s">
        <v>7885</v>
      </c>
      <c r="E3337" s="3" t="s">
        <v>1218</v>
      </c>
      <c r="F3337" s="3" t="s">
        <v>2105</v>
      </c>
      <c r="G3337" s="3"/>
      <c r="H3337" s="4"/>
    </row>
    <row r="3338" ht="16.5" customHeight="1" spans="1:8">
      <c r="A3338" s="3">
        <v>3337</v>
      </c>
      <c r="B3338" s="3" t="s">
        <v>7886</v>
      </c>
      <c r="C3338" s="3" t="s">
        <v>1361</v>
      </c>
      <c r="D3338" s="4" t="s">
        <v>7887</v>
      </c>
      <c r="E3338" s="3" t="s">
        <v>1218</v>
      </c>
      <c r="F3338" s="3" t="s">
        <v>2105</v>
      </c>
      <c r="G3338" s="3"/>
      <c r="H3338" s="4"/>
    </row>
    <row r="3339" ht="16.5" customHeight="1" spans="1:8">
      <c r="A3339" s="3">
        <v>3338</v>
      </c>
      <c r="B3339" s="3" t="s">
        <v>7888</v>
      </c>
      <c r="C3339" s="3" t="s">
        <v>1361</v>
      </c>
      <c r="D3339" s="4" t="s">
        <v>7889</v>
      </c>
      <c r="E3339" s="3" t="s">
        <v>1218</v>
      </c>
      <c r="F3339" s="3" t="s">
        <v>2105</v>
      </c>
      <c r="G3339" s="3"/>
      <c r="H3339" s="4"/>
    </row>
    <row r="3340" ht="16.5" customHeight="1" spans="1:8">
      <c r="A3340" s="3">
        <v>3339</v>
      </c>
      <c r="B3340" s="3" t="s">
        <v>7890</v>
      </c>
      <c r="C3340" s="3" t="s">
        <v>1361</v>
      </c>
      <c r="D3340" s="4" t="s">
        <v>7891</v>
      </c>
      <c r="E3340" s="3" t="s">
        <v>1218</v>
      </c>
      <c r="F3340" s="3" t="s">
        <v>2105</v>
      </c>
      <c r="G3340" s="3"/>
      <c r="H3340" s="4"/>
    </row>
    <row r="3341" ht="16.5" customHeight="1" spans="1:8">
      <c r="A3341" s="3">
        <v>3340</v>
      </c>
      <c r="B3341" s="3" t="s">
        <v>7892</v>
      </c>
      <c r="C3341" s="3" t="s">
        <v>1361</v>
      </c>
      <c r="D3341" s="4" t="s">
        <v>7893</v>
      </c>
      <c r="E3341" s="3" t="s">
        <v>1218</v>
      </c>
      <c r="F3341" s="3" t="s">
        <v>2105</v>
      </c>
      <c r="G3341" s="3"/>
      <c r="H3341" s="4"/>
    </row>
    <row r="3342" ht="16.5" customHeight="1" spans="1:8">
      <c r="A3342" s="3">
        <v>3341</v>
      </c>
      <c r="B3342" s="3" t="s">
        <v>7894</v>
      </c>
      <c r="C3342" s="3" t="s">
        <v>1361</v>
      </c>
      <c r="D3342" s="4" t="s">
        <v>7895</v>
      </c>
      <c r="E3342" s="3" t="s">
        <v>1218</v>
      </c>
      <c r="F3342" s="3" t="s">
        <v>2105</v>
      </c>
      <c r="G3342" s="3"/>
      <c r="H3342" s="4"/>
    </row>
    <row r="3343" ht="16.5" customHeight="1" spans="1:8">
      <c r="A3343" s="3">
        <v>3342</v>
      </c>
      <c r="B3343" s="3" t="s">
        <v>7896</v>
      </c>
      <c r="C3343" s="3" t="s">
        <v>1361</v>
      </c>
      <c r="D3343" s="4" t="s">
        <v>7897</v>
      </c>
      <c r="E3343" s="3" t="s">
        <v>1218</v>
      </c>
      <c r="F3343" s="3" t="s">
        <v>2105</v>
      </c>
      <c r="G3343" s="3"/>
      <c r="H3343" s="4"/>
    </row>
    <row r="3344" ht="16.5" customHeight="1" spans="1:8">
      <c r="A3344" s="3">
        <v>3343</v>
      </c>
      <c r="B3344" s="3" t="s">
        <v>7898</v>
      </c>
      <c r="C3344" s="3" t="s">
        <v>1361</v>
      </c>
      <c r="D3344" s="4" t="s">
        <v>7899</v>
      </c>
      <c r="E3344" s="3" t="s">
        <v>1218</v>
      </c>
      <c r="F3344" s="3" t="s">
        <v>2105</v>
      </c>
      <c r="G3344" s="3"/>
      <c r="H3344" s="4"/>
    </row>
    <row r="3345" ht="16.5" customHeight="1" spans="1:8">
      <c r="A3345" s="3">
        <v>3344</v>
      </c>
      <c r="B3345" s="3" t="s">
        <v>7900</v>
      </c>
      <c r="C3345" s="3" t="s">
        <v>1361</v>
      </c>
      <c r="D3345" s="4" t="s">
        <v>7901</v>
      </c>
      <c r="E3345" s="3" t="s">
        <v>1218</v>
      </c>
      <c r="F3345" s="3" t="s">
        <v>2105</v>
      </c>
      <c r="G3345" s="3"/>
      <c r="H3345" s="4"/>
    </row>
    <row r="3346" ht="16.5" customHeight="1" spans="1:8">
      <c r="A3346" s="3">
        <v>3345</v>
      </c>
      <c r="B3346" s="3" t="s">
        <v>7902</v>
      </c>
      <c r="C3346" s="3" t="s">
        <v>1361</v>
      </c>
      <c r="D3346" s="4" t="s">
        <v>7903</v>
      </c>
      <c r="E3346" s="3" t="s">
        <v>1218</v>
      </c>
      <c r="F3346" s="3" t="s">
        <v>2105</v>
      </c>
      <c r="G3346" s="3"/>
      <c r="H3346" s="4"/>
    </row>
    <row r="3347" ht="16.5" customHeight="1" spans="1:8">
      <c r="A3347" s="3">
        <v>3346</v>
      </c>
      <c r="B3347" s="3" t="s">
        <v>7904</v>
      </c>
      <c r="C3347" s="3" t="s">
        <v>1361</v>
      </c>
      <c r="D3347" s="4" t="s">
        <v>7905</v>
      </c>
      <c r="E3347" s="3" t="s">
        <v>1218</v>
      </c>
      <c r="F3347" s="3" t="s">
        <v>2105</v>
      </c>
      <c r="G3347" s="3"/>
      <c r="H3347" s="4"/>
    </row>
    <row r="3348" ht="16.5" customHeight="1" spans="1:8">
      <c r="A3348" s="3">
        <v>3347</v>
      </c>
      <c r="B3348" s="3" t="s">
        <v>7906</v>
      </c>
      <c r="C3348" s="3" t="s">
        <v>1361</v>
      </c>
      <c r="D3348" s="4" t="s">
        <v>7907</v>
      </c>
      <c r="E3348" s="3" t="s">
        <v>1218</v>
      </c>
      <c r="F3348" s="3" t="s">
        <v>2105</v>
      </c>
      <c r="G3348" s="3"/>
      <c r="H3348" s="4"/>
    </row>
    <row r="3349" ht="16.5" customHeight="1" spans="1:8">
      <c r="A3349" s="3">
        <v>3348</v>
      </c>
      <c r="B3349" s="3" t="s">
        <v>7908</v>
      </c>
      <c r="C3349" s="3" t="s">
        <v>1361</v>
      </c>
      <c r="D3349" s="4" t="s">
        <v>7909</v>
      </c>
      <c r="E3349" s="3" t="s">
        <v>1218</v>
      </c>
      <c r="F3349" s="3" t="s">
        <v>2105</v>
      </c>
      <c r="G3349" s="3"/>
      <c r="H3349" s="4"/>
    </row>
    <row r="3350" ht="16.5" customHeight="1" spans="1:8">
      <c r="A3350" s="3">
        <v>3349</v>
      </c>
      <c r="B3350" s="3" t="s">
        <v>7910</v>
      </c>
      <c r="C3350" s="3" t="s">
        <v>1361</v>
      </c>
      <c r="D3350" s="4" t="s">
        <v>7911</v>
      </c>
      <c r="E3350" s="3" t="s">
        <v>1218</v>
      </c>
      <c r="F3350" s="3" t="s">
        <v>2105</v>
      </c>
      <c r="G3350" s="3"/>
      <c r="H3350" s="4"/>
    </row>
    <row r="3351" ht="16.5" customHeight="1" spans="1:8">
      <c r="A3351" s="3">
        <v>3350</v>
      </c>
      <c r="B3351" s="3" t="s">
        <v>7912</v>
      </c>
      <c r="C3351" s="3" t="s">
        <v>1361</v>
      </c>
      <c r="D3351" s="4" t="s">
        <v>7913</v>
      </c>
      <c r="E3351" s="3" t="s">
        <v>1218</v>
      </c>
      <c r="F3351" s="3" t="s">
        <v>2105</v>
      </c>
      <c r="G3351" s="3"/>
      <c r="H3351" s="4"/>
    </row>
    <row r="3352" ht="16.5" customHeight="1" spans="1:8">
      <c r="A3352" s="3">
        <v>3351</v>
      </c>
      <c r="B3352" s="3" t="s">
        <v>7914</v>
      </c>
      <c r="C3352" s="3" t="s">
        <v>1361</v>
      </c>
      <c r="D3352" s="4" t="s">
        <v>7915</v>
      </c>
      <c r="E3352" s="3" t="s">
        <v>2053</v>
      </c>
      <c r="F3352" s="3" t="s">
        <v>2105</v>
      </c>
      <c r="G3352" s="3"/>
      <c r="H3352" s="4"/>
    </row>
    <row r="3353" ht="16.5" customHeight="1" spans="1:8">
      <c r="A3353" s="3">
        <v>3352</v>
      </c>
      <c r="B3353" s="3" t="s">
        <v>7916</v>
      </c>
      <c r="C3353" s="3" t="s">
        <v>1361</v>
      </c>
      <c r="D3353" s="4" t="s">
        <v>7917</v>
      </c>
      <c r="E3353" s="3" t="s">
        <v>1218</v>
      </c>
      <c r="F3353" s="3" t="s">
        <v>2105</v>
      </c>
      <c r="G3353" s="3"/>
      <c r="H3353" s="4"/>
    </row>
    <row r="3354" ht="16.5" customHeight="1" spans="1:8">
      <c r="A3354" s="3">
        <v>3353</v>
      </c>
      <c r="B3354" s="3" t="s">
        <v>7918</v>
      </c>
      <c r="C3354" s="3" t="s">
        <v>1361</v>
      </c>
      <c r="D3354" s="4" t="s">
        <v>7919</v>
      </c>
      <c r="E3354" s="3" t="s">
        <v>1218</v>
      </c>
      <c r="F3354" s="3" t="s">
        <v>2105</v>
      </c>
      <c r="G3354" s="3"/>
      <c r="H3354" s="4"/>
    </row>
    <row r="3355" ht="16.5" customHeight="1" spans="1:8">
      <c r="A3355" s="3">
        <v>3354</v>
      </c>
      <c r="B3355" s="3" t="s">
        <v>7920</v>
      </c>
      <c r="C3355" s="3" t="s">
        <v>1361</v>
      </c>
      <c r="D3355" s="4" t="s">
        <v>7921</v>
      </c>
      <c r="E3355" s="3" t="s">
        <v>1218</v>
      </c>
      <c r="F3355" s="3" t="s">
        <v>2105</v>
      </c>
      <c r="G3355" s="3"/>
      <c r="H3355" s="4"/>
    </row>
    <row r="3356" ht="16.5" customHeight="1" spans="1:8">
      <c r="A3356" s="3">
        <v>3355</v>
      </c>
      <c r="B3356" s="3" t="s">
        <v>7922</v>
      </c>
      <c r="C3356" s="3" t="s">
        <v>1361</v>
      </c>
      <c r="D3356" s="4" t="s">
        <v>7923</v>
      </c>
      <c r="E3356" s="3" t="s">
        <v>1218</v>
      </c>
      <c r="F3356" s="3" t="s">
        <v>2105</v>
      </c>
      <c r="G3356" s="3"/>
      <c r="H3356" s="4"/>
    </row>
    <row r="3357" ht="16.5" customHeight="1" spans="1:8">
      <c r="A3357" s="3">
        <v>3356</v>
      </c>
      <c r="B3357" s="3" t="s">
        <v>7924</v>
      </c>
      <c r="C3357" s="3" t="s">
        <v>1361</v>
      </c>
      <c r="D3357" s="4" t="s">
        <v>7925</v>
      </c>
      <c r="E3357" s="3" t="s">
        <v>1218</v>
      </c>
      <c r="F3357" s="3" t="s">
        <v>2105</v>
      </c>
      <c r="G3357" s="3"/>
      <c r="H3357" s="4"/>
    </row>
    <row r="3358" ht="16.5" customHeight="1" spans="1:8">
      <c r="A3358" s="3">
        <v>3357</v>
      </c>
      <c r="B3358" s="3" t="s">
        <v>7926</v>
      </c>
      <c r="C3358" s="3" t="s">
        <v>1361</v>
      </c>
      <c r="D3358" s="4" t="s">
        <v>7927</v>
      </c>
      <c r="E3358" s="3" t="s">
        <v>1218</v>
      </c>
      <c r="F3358" s="3" t="s">
        <v>2105</v>
      </c>
      <c r="G3358" s="3"/>
      <c r="H3358" s="4" t="s">
        <v>1390</v>
      </c>
    </row>
    <row r="3359" ht="16.5" customHeight="1" spans="1:8">
      <c r="A3359" s="3">
        <v>3358</v>
      </c>
      <c r="B3359" s="3" t="s">
        <v>7928</v>
      </c>
      <c r="C3359" s="3" t="s">
        <v>1361</v>
      </c>
      <c r="D3359" s="4" t="s">
        <v>7929</v>
      </c>
      <c r="E3359" s="3" t="s">
        <v>1218</v>
      </c>
      <c r="F3359" s="3" t="s">
        <v>2105</v>
      </c>
      <c r="G3359" s="3"/>
      <c r="H3359" s="4" t="s">
        <v>1390</v>
      </c>
    </row>
    <row r="3360" ht="16.5" customHeight="1" spans="1:8">
      <c r="A3360" s="3">
        <v>3359</v>
      </c>
      <c r="B3360" s="3" t="s">
        <v>7930</v>
      </c>
      <c r="C3360" s="3" t="s">
        <v>1361</v>
      </c>
      <c r="D3360" s="4" t="s">
        <v>7931</v>
      </c>
      <c r="E3360" s="3" t="s">
        <v>1218</v>
      </c>
      <c r="F3360" s="3" t="s">
        <v>2105</v>
      </c>
      <c r="G3360" s="3"/>
      <c r="H3360" s="4" t="s">
        <v>1390</v>
      </c>
    </row>
    <row r="3361" ht="16.5" customHeight="1" spans="1:8">
      <c r="A3361" s="3">
        <v>3360</v>
      </c>
      <c r="B3361" s="3" t="s">
        <v>7932</v>
      </c>
      <c r="C3361" s="3" t="s">
        <v>1361</v>
      </c>
      <c r="D3361" s="4" t="s">
        <v>7933</v>
      </c>
      <c r="E3361" s="3" t="s">
        <v>1218</v>
      </c>
      <c r="F3361" s="3" t="s">
        <v>2105</v>
      </c>
      <c r="G3361" s="3"/>
      <c r="H3361" s="4" t="s">
        <v>1390</v>
      </c>
    </row>
    <row r="3362" ht="16.5" customHeight="1" spans="1:8">
      <c r="A3362" s="3">
        <v>3361</v>
      </c>
      <c r="B3362" s="3" t="s">
        <v>7934</v>
      </c>
      <c r="C3362" s="3" t="s">
        <v>1361</v>
      </c>
      <c r="D3362" s="4" t="s">
        <v>7935</v>
      </c>
      <c r="E3362" s="3" t="s">
        <v>1218</v>
      </c>
      <c r="F3362" s="3" t="s">
        <v>2105</v>
      </c>
      <c r="G3362" s="3"/>
      <c r="H3362" s="4" t="s">
        <v>1390</v>
      </c>
    </row>
    <row r="3363" ht="16.5" customHeight="1" spans="1:8">
      <c r="A3363" s="3">
        <v>3362</v>
      </c>
      <c r="B3363" s="3" t="s">
        <v>7936</v>
      </c>
      <c r="C3363" s="3" t="s">
        <v>1361</v>
      </c>
      <c r="D3363" s="4" t="s">
        <v>7937</v>
      </c>
      <c r="E3363" s="3" t="s">
        <v>1218</v>
      </c>
      <c r="F3363" s="3" t="s">
        <v>2105</v>
      </c>
      <c r="G3363" s="3"/>
      <c r="H3363" s="4" t="s">
        <v>1390</v>
      </c>
    </row>
    <row r="3364" ht="16.5" customHeight="1" spans="1:8">
      <c r="A3364" s="3">
        <v>3363</v>
      </c>
      <c r="B3364" s="3" t="s">
        <v>7938</v>
      </c>
      <c r="C3364" s="3" t="s">
        <v>1361</v>
      </c>
      <c r="D3364" s="4" t="s">
        <v>7939</v>
      </c>
      <c r="E3364" s="3" t="s">
        <v>1218</v>
      </c>
      <c r="F3364" s="3" t="s">
        <v>2105</v>
      </c>
      <c r="G3364" s="3"/>
      <c r="H3364" s="4" t="s">
        <v>1390</v>
      </c>
    </row>
    <row r="3365" ht="16.5" customHeight="1" spans="1:8">
      <c r="A3365" s="3">
        <v>3364</v>
      </c>
      <c r="B3365" s="3" t="s">
        <v>7940</v>
      </c>
      <c r="C3365" s="3" t="s">
        <v>1361</v>
      </c>
      <c r="D3365" s="4" t="s">
        <v>7941</v>
      </c>
      <c r="E3365" s="3" t="s">
        <v>1218</v>
      </c>
      <c r="F3365" s="3" t="s">
        <v>2105</v>
      </c>
      <c r="G3365" s="3"/>
      <c r="H3365" s="4" t="s">
        <v>1390</v>
      </c>
    </row>
    <row r="3366" ht="16.5" customHeight="1" spans="1:8">
      <c r="A3366" s="3">
        <v>3365</v>
      </c>
      <c r="B3366" s="3" t="s">
        <v>7942</v>
      </c>
      <c r="C3366" s="3" t="s">
        <v>1361</v>
      </c>
      <c r="D3366" s="4" t="s">
        <v>7943</v>
      </c>
      <c r="E3366" s="3" t="s">
        <v>1218</v>
      </c>
      <c r="F3366" s="3" t="s">
        <v>2105</v>
      </c>
      <c r="G3366" s="3"/>
      <c r="H3366" s="4" t="s">
        <v>1390</v>
      </c>
    </row>
    <row r="3367" ht="16.5" customHeight="1" spans="1:8">
      <c r="A3367" s="3">
        <v>3366</v>
      </c>
      <c r="B3367" s="3" t="s">
        <v>7944</v>
      </c>
      <c r="C3367" s="3" t="s">
        <v>1361</v>
      </c>
      <c r="D3367" s="4" t="s">
        <v>7945</v>
      </c>
      <c r="E3367" s="3" t="s">
        <v>1218</v>
      </c>
      <c r="F3367" s="3" t="s">
        <v>2105</v>
      </c>
      <c r="G3367" s="3"/>
      <c r="H3367" s="4" t="s">
        <v>1390</v>
      </c>
    </row>
    <row r="3368" ht="16.5" customHeight="1" spans="1:8">
      <c r="A3368" s="3">
        <v>3367</v>
      </c>
      <c r="B3368" s="3" t="s">
        <v>7946</v>
      </c>
      <c r="C3368" s="3" t="s">
        <v>1361</v>
      </c>
      <c r="D3368" s="4" t="s">
        <v>7947</v>
      </c>
      <c r="E3368" s="3" t="s">
        <v>1218</v>
      </c>
      <c r="F3368" s="3" t="s">
        <v>2105</v>
      </c>
      <c r="G3368" s="3"/>
      <c r="H3368" s="4" t="s">
        <v>1390</v>
      </c>
    </row>
    <row r="3369" ht="16.5" customHeight="1" spans="1:8">
      <c r="A3369" s="3">
        <v>3368</v>
      </c>
      <c r="B3369" s="3" t="s">
        <v>7948</v>
      </c>
      <c r="C3369" s="3" t="s">
        <v>1361</v>
      </c>
      <c r="D3369" s="4" t="s">
        <v>7949</v>
      </c>
      <c r="E3369" s="3" t="s">
        <v>1218</v>
      </c>
      <c r="F3369" s="3" t="s">
        <v>2105</v>
      </c>
      <c r="G3369" s="3"/>
      <c r="H3369" s="4"/>
    </row>
    <row r="3370" ht="16.5" customHeight="1" spans="1:8">
      <c r="A3370" s="3">
        <v>3369</v>
      </c>
      <c r="B3370" s="3" t="s">
        <v>7950</v>
      </c>
      <c r="C3370" s="3" t="s">
        <v>1361</v>
      </c>
      <c r="D3370" s="4" t="s">
        <v>7951</v>
      </c>
      <c r="E3370" s="3" t="s">
        <v>1218</v>
      </c>
      <c r="F3370" s="3" t="s">
        <v>2105</v>
      </c>
      <c r="G3370" s="3"/>
      <c r="H3370" s="4"/>
    </row>
    <row r="3371" ht="16.5" customHeight="1" spans="1:8">
      <c r="A3371" s="3">
        <v>3370</v>
      </c>
      <c r="B3371" s="3" t="s">
        <v>7952</v>
      </c>
      <c r="C3371" s="3" t="s">
        <v>1361</v>
      </c>
      <c r="D3371" s="4" t="s">
        <v>7953</v>
      </c>
      <c r="E3371" s="3" t="s">
        <v>1218</v>
      </c>
      <c r="F3371" s="3" t="s">
        <v>2105</v>
      </c>
      <c r="G3371" s="3"/>
      <c r="H3371" s="4"/>
    </row>
    <row r="3372" ht="16.5" customHeight="1" spans="1:8">
      <c r="A3372" s="3">
        <v>3371</v>
      </c>
      <c r="B3372" s="3" t="s">
        <v>7954</v>
      </c>
      <c r="C3372" s="3" t="s">
        <v>1361</v>
      </c>
      <c r="D3372" s="4" t="s">
        <v>7955</v>
      </c>
      <c r="E3372" s="3" t="s">
        <v>1218</v>
      </c>
      <c r="F3372" s="3" t="s">
        <v>2105</v>
      </c>
      <c r="G3372" s="3"/>
      <c r="H3372" s="4"/>
    </row>
    <row r="3373" ht="16.5" customHeight="1" spans="1:8">
      <c r="A3373" s="3">
        <v>3372</v>
      </c>
      <c r="B3373" s="3" t="s">
        <v>7956</v>
      </c>
      <c r="C3373" s="3" t="s">
        <v>1361</v>
      </c>
      <c r="D3373" s="4" t="s">
        <v>7957</v>
      </c>
      <c r="E3373" s="3" t="s">
        <v>1218</v>
      </c>
      <c r="F3373" s="3" t="s">
        <v>2105</v>
      </c>
      <c r="G3373" s="3"/>
      <c r="H3373" s="4"/>
    </row>
    <row r="3374" ht="16.5" customHeight="1" spans="1:8">
      <c r="A3374" s="3">
        <v>3373</v>
      </c>
      <c r="B3374" s="3" t="s">
        <v>7958</v>
      </c>
      <c r="C3374" s="3" t="s">
        <v>1361</v>
      </c>
      <c r="D3374" s="4" t="s">
        <v>7959</v>
      </c>
      <c r="E3374" s="3" t="s">
        <v>1218</v>
      </c>
      <c r="F3374" s="3" t="s">
        <v>2105</v>
      </c>
      <c r="G3374" s="3"/>
      <c r="H3374" s="4"/>
    </row>
    <row r="3375" ht="16.5" customHeight="1" spans="1:8">
      <c r="A3375" s="3">
        <v>3374</v>
      </c>
      <c r="B3375" s="3" t="s">
        <v>7960</v>
      </c>
      <c r="C3375" s="3" t="s">
        <v>1361</v>
      </c>
      <c r="D3375" s="4" t="s">
        <v>7961</v>
      </c>
      <c r="E3375" s="3" t="s">
        <v>1218</v>
      </c>
      <c r="F3375" s="3" t="s">
        <v>2105</v>
      </c>
      <c r="G3375" s="3"/>
      <c r="H3375" s="4"/>
    </row>
    <row r="3376" ht="16.5" customHeight="1" spans="1:8">
      <c r="A3376" s="3">
        <v>3375</v>
      </c>
      <c r="B3376" s="3" t="s">
        <v>7962</v>
      </c>
      <c r="C3376" s="3" t="s">
        <v>1361</v>
      </c>
      <c r="D3376" s="4" t="s">
        <v>7963</v>
      </c>
      <c r="E3376" s="3" t="s">
        <v>1218</v>
      </c>
      <c r="F3376" s="3" t="s">
        <v>2105</v>
      </c>
      <c r="G3376" s="3"/>
      <c r="H3376" s="4"/>
    </row>
    <row r="3377" ht="16.5" customHeight="1" spans="1:8">
      <c r="A3377" s="3">
        <v>3376</v>
      </c>
      <c r="B3377" s="3" t="s">
        <v>7964</v>
      </c>
      <c r="C3377" s="3" t="s">
        <v>1361</v>
      </c>
      <c r="D3377" s="4" t="s">
        <v>7965</v>
      </c>
      <c r="E3377" s="3" t="s">
        <v>1218</v>
      </c>
      <c r="F3377" s="3" t="s">
        <v>2105</v>
      </c>
      <c r="G3377" s="3"/>
      <c r="H3377" s="4"/>
    </row>
    <row r="3378" ht="16.5" customHeight="1" spans="1:8">
      <c r="A3378" s="3">
        <v>3377</v>
      </c>
      <c r="B3378" s="3" t="s">
        <v>7966</v>
      </c>
      <c r="C3378" s="3" t="s">
        <v>1361</v>
      </c>
      <c r="D3378" s="4" t="s">
        <v>7967</v>
      </c>
      <c r="E3378" s="3" t="s">
        <v>1218</v>
      </c>
      <c r="F3378" s="3" t="s">
        <v>2105</v>
      </c>
      <c r="G3378" s="3"/>
      <c r="H3378" s="4"/>
    </row>
    <row r="3379" ht="16.5" customHeight="1" spans="1:8">
      <c r="A3379" s="3">
        <v>3378</v>
      </c>
      <c r="B3379" s="3" t="s">
        <v>7968</v>
      </c>
      <c r="C3379" s="3" t="s">
        <v>1361</v>
      </c>
      <c r="D3379" s="4" t="s">
        <v>7969</v>
      </c>
      <c r="E3379" s="3" t="s">
        <v>1218</v>
      </c>
      <c r="F3379" s="3" t="s">
        <v>2105</v>
      </c>
      <c r="G3379" s="3"/>
      <c r="H3379" s="4"/>
    </row>
    <row r="3380" ht="16.5" customHeight="1" spans="1:8">
      <c r="A3380" s="3">
        <v>3379</v>
      </c>
      <c r="B3380" s="3" t="s">
        <v>7970</v>
      </c>
      <c r="C3380" s="3" t="s">
        <v>1361</v>
      </c>
      <c r="D3380" s="4" t="s">
        <v>7971</v>
      </c>
      <c r="E3380" s="3" t="s">
        <v>1218</v>
      </c>
      <c r="F3380" s="3" t="s">
        <v>2105</v>
      </c>
      <c r="G3380" s="3"/>
      <c r="H3380" s="4"/>
    </row>
    <row r="3381" ht="16.5" customHeight="1" spans="1:8">
      <c r="A3381" s="3">
        <v>3380</v>
      </c>
      <c r="B3381" s="3" t="s">
        <v>7972</v>
      </c>
      <c r="C3381" s="3" t="s">
        <v>1361</v>
      </c>
      <c r="D3381" s="4" t="s">
        <v>7973</v>
      </c>
      <c r="E3381" s="3" t="s">
        <v>1218</v>
      </c>
      <c r="F3381" s="3" t="s">
        <v>2105</v>
      </c>
      <c r="G3381" s="3"/>
      <c r="H3381" s="4"/>
    </row>
    <row r="3382" ht="16.5" customHeight="1" spans="1:8">
      <c r="A3382" s="3">
        <v>3381</v>
      </c>
      <c r="B3382" s="3" t="s">
        <v>7974</v>
      </c>
      <c r="C3382" s="3" t="s">
        <v>1361</v>
      </c>
      <c r="D3382" s="4" t="s">
        <v>7975</v>
      </c>
      <c r="E3382" s="3" t="s">
        <v>1218</v>
      </c>
      <c r="F3382" s="3" t="s">
        <v>2105</v>
      </c>
      <c r="G3382" s="3"/>
      <c r="H3382" s="4"/>
    </row>
    <row r="3383" ht="16.5" customHeight="1" spans="1:8">
      <c r="A3383" s="3">
        <v>3382</v>
      </c>
      <c r="B3383" s="3" t="s">
        <v>7976</v>
      </c>
      <c r="C3383" s="3" t="s">
        <v>1361</v>
      </c>
      <c r="D3383" s="4" t="s">
        <v>7977</v>
      </c>
      <c r="E3383" s="3" t="s">
        <v>1218</v>
      </c>
      <c r="F3383" s="3" t="s">
        <v>2105</v>
      </c>
      <c r="G3383" s="3"/>
      <c r="H3383" s="4"/>
    </row>
    <row r="3384" ht="16.5" customHeight="1" spans="1:8">
      <c r="A3384" s="3">
        <v>3383</v>
      </c>
      <c r="B3384" s="3" t="s">
        <v>7978</v>
      </c>
      <c r="C3384" s="3" t="s">
        <v>1361</v>
      </c>
      <c r="D3384" s="4" t="s">
        <v>7979</v>
      </c>
      <c r="E3384" s="3" t="s">
        <v>1218</v>
      </c>
      <c r="F3384" s="3" t="s">
        <v>2105</v>
      </c>
      <c r="G3384" s="3"/>
      <c r="H3384" s="4"/>
    </row>
    <row r="3385" ht="16.5" customHeight="1" spans="1:8">
      <c r="A3385" s="3">
        <v>3384</v>
      </c>
      <c r="B3385" s="3" t="s">
        <v>7980</v>
      </c>
      <c r="C3385" s="3" t="s">
        <v>1361</v>
      </c>
      <c r="D3385" s="4" t="s">
        <v>7981</v>
      </c>
      <c r="E3385" s="3" t="s">
        <v>1218</v>
      </c>
      <c r="F3385" s="3" t="s">
        <v>2105</v>
      </c>
      <c r="G3385" s="3"/>
      <c r="H3385" s="4"/>
    </row>
    <row r="3386" ht="16.5" customHeight="1" spans="1:8">
      <c r="A3386" s="3">
        <v>3385</v>
      </c>
      <c r="B3386" s="3" t="s">
        <v>7982</v>
      </c>
      <c r="C3386" s="3" t="s">
        <v>1361</v>
      </c>
      <c r="D3386" s="4" t="s">
        <v>7983</v>
      </c>
      <c r="E3386" s="3" t="s">
        <v>1218</v>
      </c>
      <c r="F3386" s="3" t="s">
        <v>2105</v>
      </c>
      <c r="G3386" s="3"/>
      <c r="H3386" s="4"/>
    </row>
    <row r="3387" ht="16.5" customHeight="1" spans="1:8">
      <c r="A3387" s="3">
        <v>3386</v>
      </c>
      <c r="B3387" s="3" t="s">
        <v>7984</v>
      </c>
      <c r="C3387" s="3" t="s">
        <v>1361</v>
      </c>
      <c r="D3387" s="4" t="s">
        <v>7985</v>
      </c>
      <c r="E3387" s="3" t="s">
        <v>1218</v>
      </c>
      <c r="F3387" s="3" t="s">
        <v>2105</v>
      </c>
      <c r="G3387" s="3"/>
      <c r="H3387" s="4"/>
    </row>
    <row r="3388" ht="16.5" customHeight="1" spans="1:8">
      <c r="A3388" s="3">
        <v>3387</v>
      </c>
      <c r="B3388" s="3" t="s">
        <v>7986</v>
      </c>
      <c r="C3388" s="3" t="s">
        <v>1361</v>
      </c>
      <c r="D3388" s="4" t="s">
        <v>7987</v>
      </c>
      <c r="E3388" s="3" t="s">
        <v>1218</v>
      </c>
      <c r="F3388" s="3" t="s">
        <v>2105</v>
      </c>
      <c r="G3388" s="3"/>
      <c r="H3388" s="4"/>
    </row>
    <row r="3389" ht="16.5" customHeight="1" spans="1:8">
      <c r="A3389" s="3">
        <v>3388</v>
      </c>
      <c r="B3389" s="3" t="s">
        <v>7988</v>
      </c>
      <c r="C3389" s="3" t="s">
        <v>1361</v>
      </c>
      <c r="D3389" s="4" t="s">
        <v>7989</v>
      </c>
      <c r="E3389" s="3" t="s">
        <v>1218</v>
      </c>
      <c r="F3389" s="3" t="s">
        <v>2105</v>
      </c>
      <c r="G3389" s="3"/>
      <c r="H3389" s="4"/>
    </row>
    <row r="3390" ht="16.5" customHeight="1" spans="1:8">
      <c r="A3390" s="3">
        <v>3389</v>
      </c>
      <c r="B3390" s="3" t="s">
        <v>7990</v>
      </c>
      <c r="C3390" s="3" t="s">
        <v>1361</v>
      </c>
      <c r="D3390" s="4" t="s">
        <v>7991</v>
      </c>
      <c r="E3390" s="3" t="s">
        <v>1218</v>
      </c>
      <c r="F3390" s="3" t="s">
        <v>2105</v>
      </c>
      <c r="G3390" s="3"/>
      <c r="H3390" s="4"/>
    </row>
    <row r="3391" ht="16.5" customHeight="1" spans="1:8">
      <c r="A3391" s="3">
        <v>3390</v>
      </c>
      <c r="B3391" s="3" t="s">
        <v>7992</v>
      </c>
      <c r="C3391" s="3" t="s">
        <v>1361</v>
      </c>
      <c r="D3391" s="4" t="s">
        <v>7993</v>
      </c>
      <c r="E3391" s="3" t="s">
        <v>1218</v>
      </c>
      <c r="F3391" s="3" t="s">
        <v>2105</v>
      </c>
      <c r="G3391" s="3"/>
      <c r="H3391" s="4"/>
    </row>
    <row r="3392" ht="16.5" customHeight="1" spans="1:8">
      <c r="A3392" s="3">
        <v>3391</v>
      </c>
      <c r="B3392" s="3" t="s">
        <v>7994</v>
      </c>
      <c r="C3392" s="3" t="s">
        <v>1361</v>
      </c>
      <c r="D3392" s="4" t="s">
        <v>7995</v>
      </c>
      <c r="E3392" s="3" t="s">
        <v>1218</v>
      </c>
      <c r="F3392" s="3" t="s">
        <v>2105</v>
      </c>
      <c r="G3392" s="3"/>
      <c r="H3392" s="4"/>
    </row>
    <row r="3393" ht="16.5" customHeight="1" spans="1:8">
      <c r="A3393" s="3">
        <v>3392</v>
      </c>
      <c r="B3393" s="3" t="s">
        <v>7996</v>
      </c>
      <c r="C3393" s="3" t="s">
        <v>1361</v>
      </c>
      <c r="D3393" s="4" t="s">
        <v>7997</v>
      </c>
      <c r="E3393" s="3" t="s">
        <v>1218</v>
      </c>
      <c r="F3393" s="3" t="s">
        <v>2105</v>
      </c>
      <c r="G3393" s="3"/>
      <c r="H3393" s="4"/>
    </row>
    <row r="3394" ht="16.5" customHeight="1" spans="1:8">
      <c r="A3394" s="3">
        <v>3393</v>
      </c>
      <c r="B3394" s="3" t="s">
        <v>7998</v>
      </c>
      <c r="C3394" s="3" t="s">
        <v>1361</v>
      </c>
      <c r="D3394" s="4" t="s">
        <v>7999</v>
      </c>
      <c r="E3394" s="3" t="s">
        <v>1218</v>
      </c>
      <c r="F3394" s="3" t="s">
        <v>2105</v>
      </c>
      <c r="G3394" s="3"/>
      <c r="H3394" s="4"/>
    </row>
    <row r="3395" ht="16.5" customHeight="1" spans="1:8">
      <c r="A3395" s="3">
        <v>3394</v>
      </c>
      <c r="B3395" s="3" t="s">
        <v>8000</v>
      </c>
      <c r="C3395" s="3" t="s">
        <v>1361</v>
      </c>
      <c r="D3395" s="4" t="s">
        <v>8001</v>
      </c>
      <c r="E3395" s="3" t="s">
        <v>1218</v>
      </c>
      <c r="F3395" s="3" t="s">
        <v>2105</v>
      </c>
      <c r="G3395" s="3"/>
      <c r="H3395" s="4"/>
    </row>
    <row r="3396" ht="16.5" customHeight="1" spans="1:8">
      <c r="A3396" s="3">
        <v>3395</v>
      </c>
      <c r="B3396" s="3" t="s">
        <v>8002</v>
      </c>
      <c r="C3396" s="3" t="s">
        <v>1361</v>
      </c>
      <c r="D3396" s="4" t="s">
        <v>8003</v>
      </c>
      <c r="E3396" s="3" t="s">
        <v>1218</v>
      </c>
      <c r="F3396" s="3" t="s">
        <v>2105</v>
      </c>
      <c r="G3396" s="3"/>
      <c r="H3396" s="4"/>
    </row>
    <row r="3397" ht="16.5" customHeight="1" spans="1:8">
      <c r="A3397" s="3">
        <v>3396</v>
      </c>
      <c r="B3397" s="3" t="s">
        <v>8004</v>
      </c>
      <c r="C3397" s="3" t="s">
        <v>1361</v>
      </c>
      <c r="D3397" s="4" t="s">
        <v>8005</v>
      </c>
      <c r="E3397" s="3" t="s">
        <v>1218</v>
      </c>
      <c r="F3397" s="3" t="s">
        <v>2105</v>
      </c>
      <c r="G3397" s="3"/>
      <c r="H3397" s="4"/>
    </row>
    <row r="3398" ht="16.5" customHeight="1" spans="1:8">
      <c r="A3398" s="3">
        <v>3397</v>
      </c>
      <c r="B3398" s="3" t="s">
        <v>8006</v>
      </c>
      <c r="C3398" s="3" t="s">
        <v>1361</v>
      </c>
      <c r="D3398" s="4" t="s">
        <v>8007</v>
      </c>
      <c r="E3398" s="3" t="s">
        <v>1218</v>
      </c>
      <c r="F3398" s="3" t="s">
        <v>2105</v>
      </c>
      <c r="G3398" s="3"/>
      <c r="H3398" s="4"/>
    </row>
    <row r="3399" ht="16.5" customHeight="1" spans="1:8">
      <c r="A3399" s="3">
        <v>3398</v>
      </c>
      <c r="B3399" s="3" t="s">
        <v>8008</v>
      </c>
      <c r="C3399" s="3" t="s">
        <v>1361</v>
      </c>
      <c r="D3399" s="4" t="s">
        <v>8009</v>
      </c>
      <c r="E3399" s="3" t="s">
        <v>1218</v>
      </c>
      <c r="F3399" s="3" t="s">
        <v>2105</v>
      </c>
      <c r="G3399" s="3"/>
      <c r="H3399" s="4"/>
    </row>
    <row r="3400" ht="16.5" customHeight="1" spans="1:8">
      <c r="A3400" s="3">
        <v>3399</v>
      </c>
      <c r="B3400" s="3" t="s">
        <v>8010</v>
      </c>
      <c r="C3400" s="3" t="s">
        <v>1361</v>
      </c>
      <c r="D3400" s="4" t="s">
        <v>8011</v>
      </c>
      <c r="E3400" s="3" t="s">
        <v>1218</v>
      </c>
      <c r="F3400" s="3" t="s">
        <v>2105</v>
      </c>
      <c r="G3400" s="3"/>
      <c r="H3400" s="4"/>
    </row>
    <row r="3401" ht="16.5" customHeight="1" spans="1:8">
      <c r="A3401" s="3">
        <v>3400</v>
      </c>
      <c r="B3401" s="3" t="s">
        <v>8012</v>
      </c>
      <c r="C3401" s="3" t="s">
        <v>1361</v>
      </c>
      <c r="D3401" s="4" t="s">
        <v>8013</v>
      </c>
      <c r="E3401" s="3" t="s">
        <v>1218</v>
      </c>
      <c r="F3401" s="3" t="s">
        <v>2105</v>
      </c>
      <c r="G3401" s="3"/>
      <c r="H3401" s="4"/>
    </row>
    <row r="3402" ht="16.5" customHeight="1" spans="1:8">
      <c r="A3402" s="3">
        <v>3401</v>
      </c>
      <c r="B3402" s="3" t="s">
        <v>8014</v>
      </c>
      <c r="C3402" s="3" t="s">
        <v>1361</v>
      </c>
      <c r="D3402" s="4" t="s">
        <v>8015</v>
      </c>
      <c r="E3402" s="3" t="s">
        <v>1218</v>
      </c>
      <c r="F3402" s="3" t="s">
        <v>2105</v>
      </c>
      <c r="G3402" s="3"/>
      <c r="H3402" s="4"/>
    </row>
    <row r="3403" ht="16.5" customHeight="1" spans="1:8">
      <c r="A3403" s="3">
        <v>3402</v>
      </c>
      <c r="B3403" s="3" t="s">
        <v>8016</v>
      </c>
      <c r="C3403" s="3" t="s">
        <v>1361</v>
      </c>
      <c r="D3403" s="4" t="s">
        <v>8017</v>
      </c>
      <c r="E3403" s="3" t="s">
        <v>1218</v>
      </c>
      <c r="F3403" s="3" t="s">
        <v>2105</v>
      </c>
      <c r="G3403" s="3"/>
      <c r="H3403" s="4" t="s">
        <v>1390</v>
      </c>
    </row>
    <row r="3404" ht="16.5" customHeight="1" spans="1:8">
      <c r="A3404" s="3">
        <v>3403</v>
      </c>
      <c r="B3404" s="3" t="s">
        <v>8018</v>
      </c>
      <c r="C3404" s="3" t="s">
        <v>1361</v>
      </c>
      <c r="D3404" s="4" t="s">
        <v>8019</v>
      </c>
      <c r="E3404" s="3" t="s">
        <v>1218</v>
      </c>
      <c r="F3404" s="3" t="s">
        <v>2105</v>
      </c>
      <c r="G3404" s="3"/>
      <c r="H3404" s="4" t="s">
        <v>1390</v>
      </c>
    </row>
    <row r="3405" ht="16.5" customHeight="1" spans="1:8">
      <c r="A3405" s="3">
        <v>3404</v>
      </c>
      <c r="B3405" s="3" t="s">
        <v>8020</v>
      </c>
      <c r="C3405" s="3" t="s">
        <v>1361</v>
      </c>
      <c r="D3405" s="4" t="s">
        <v>8021</v>
      </c>
      <c r="E3405" s="3" t="s">
        <v>1218</v>
      </c>
      <c r="F3405" s="3" t="s">
        <v>2105</v>
      </c>
      <c r="G3405" s="3"/>
      <c r="H3405" s="4" t="s">
        <v>1390</v>
      </c>
    </row>
    <row r="3406" ht="16.5" customHeight="1" spans="1:8">
      <c r="A3406" s="3">
        <v>3405</v>
      </c>
      <c r="B3406" s="3" t="s">
        <v>8022</v>
      </c>
      <c r="C3406" s="3" t="s">
        <v>1361</v>
      </c>
      <c r="D3406" s="4" t="s">
        <v>8023</v>
      </c>
      <c r="E3406" s="3" t="s">
        <v>1218</v>
      </c>
      <c r="F3406" s="3" t="s">
        <v>2105</v>
      </c>
      <c r="G3406" s="3"/>
      <c r="H3406" s="4"/>
    </row>
    <row r="3407" ht="16.5" customHeight="1" spans="1:8">
      <c r="A3407" s="3">
        <v>3406</v>
      </c>
      <c r="B3407" s="3" t="s">
        <v>8024</v>
      </c>
      <c r="C3407" s="3" t="s">
        <v>1361</v>
      </c>
      <c r="D3407" s="4" t="s">
        <v>8025</v>
      </c>
      <c r="E3407" s="3" t="s">
        <v>1218</v>
      </c>
      <c r="F3407" s="3" t="s">
        <v>2105</v>
      </c>
      <c r="G3407" s="3"/>
      <c r="H3407" s="4"/>
    </row>
    <row r="3408" ht="16.5" customHeight="1" spans="1:8">
      <c r="A3408" s="3">
        <v>3407</v>
      </c>
      <c r="B3408" s="3" t="s">
        <v>8026</v>
      </c>
      <c r="C3408" s="3" t="s">
        <v>1361</v>
      </c>
      <c r="D3408" s="4" t="s">
        <v>8027</v>
      </c>
      <c r="E3408" s="3" t="s">
        <v>1218</v>
      </c>
      <c r="F3408" s="3" t="s">
        <v>2105</v>
      </c>
      <c r="G3408" s="3"/>
      <c r="H3408" s="4"/>
    </row>
    <row r="3409" ht="16.5" customHeight="1" spans="1:8">
      <c r="A3409" s="3">
        <v>3408</v>
      </c>
      <c r="B3409" s="3" t="s">
        <v>8028</v>
      </c>
      <c r="C3409" s="3" t="s">
        <v>1361</v>
      </c>
      <c r="D3409" s="4" t="s">
        <v>8029</v>
      </c>
      <c r="E3409" s="3" t="s">
        <v>1218</v>
      </c>
      <c r="F3409" s="3" t="s">
        <v>2105</v>
      </c>
      <c r="G3409" s="3"/>
      <c r="H3409" s="4"/>
    </row>
    <row r="3410" ht="16.5" customHeight="1" spans="1:8">
      <c r="A3410" s="3">
        <v>3409</v>
      </c>
      <c r="B3410" s="3" t="s">
        <v>8030</v>
      </c>
      <c r="C3410" s="3" t="s">
        <v>1361</v>
      </c>
      <c r="D3410" s="4" t="s">
        <v>8031</v>
      </c>
      <c r="E3410" s="3" t="s">
        <v>1218</v>
      </c>
      <c r="F3410" s="3" t="s">
        <v>2105</v>
      </c>
      <c r="G3410" s="3"/>
      <c r="H3410" s="4"/>
    </row>
    <row r="3411" ht="16.5" customHeight="1" spans="1:8">
      <c r="A3411" s="3">
        <v>3410</v>
      </c>
      <c r="B3411" s="3" t="s">
        <v>8032</v>
      </c>
      <c r="C3411" s="3" t="s">
        <v>1361</v>
      </c>
      <c r="D3411" s="4" t="s">
        <v>8033</v>
      </c>
      <c r="E3411" s="3" t="s">
        <v>1218</v>
      </c>
      <c r="F3411" s="3" t="s">
        <v>2105</v>
      </c>
      <c r="G3411" s="3"/>
      <c r="H3411" s="4"/>
    </row>
    <row r="3412" ht="16.5" customHeight="1" spans="1:8">
      <c r="A3412" s="3">
        <v>3411</v>
      </c>
      <c r="B3412" s="3" t="s">
        <v>8034</v>
      </c>
      <c r="C3412" s="3" t="s">
        <v>1361</v>
      </c>
      <c r="D3412" s="4" t="s">
        <v>8035</v>
      </c>
      <c r="E3412" s="3" t="s">
        <v>1218</v>
      </c>
      <c r="F3412" s="3" t="s">
        <v>2105</v>
      </c>
      <c r="G3412" s="3"/>
      <c r="H3412" s="4"/>
    </row>
    <row r="3413" ht="16.5" customHeight="1" spans="1:8">
      <c r="A3413" s="3">
        <v>3412</v>
      </c>
      <c r="B3413" s="3" t="s">
        <v>8036</v>
      </c>
      <c r="C3413" s="3" t="s">
        <v>1361</v>
      </c>
      <c r="D3413" s="4" t="s">
        <v>8037</v>
      </c>
      <c r="E3413" s="3" t="s">
        <v>1218</v>
      </c>
      <c r="F3413" s="3" t="s">
        <v>2105</v>
      </c>
      <c r="G3413" s="3"/>
      <c r="H3413" s="4"/>
    </row>
    <row r="3414" ht="16.5" customHeight="1" spans="1:8">
      <c r="A3414" s="3">
        <v>3413</v>
      </c>
      <c r="B3414" s="3" t="s">
        <v>8038</v>
      </c>
      <c r="C3414" s="3" t="s">
        <v>1361</v>
      </c>
      <c r="D3414" s="4" t="s">
        <v>8039</v>
      </c>
      <c r="E3414" s="3" t="s">
        <v>1218</v>
      </c>
      <c r="F3414" s="3" t="s">
        <v>2105</v>
      </c>
      <c r="G3414" s="3"/>
      <c r="H3414" s="4"/>
    </row>
    <row r="3415" ht="16.5" customHeight="1" spans="1:8">
      <c r="A3415" s="3">
        <v>3414</v>
      </c>
      <c r="B3415" s="3" t="s">
        <v>8040</v>
      </c>
      <c r="C3415" s="3" t="s">
        <v>1361</v>
      </c>
      <c r="D3415" s="4" t="s">
        <v>8041</v>
      </c>
      <c r="E3415" s="3" t="s">
        <v>1218</v>
      </c>
      <c r="F3415" s="3" t="s">
        <v>2105</v>
      </c>
      <c r="G3415" s="3"/>
      <c r="H3415" s="4"/>
    </row>
    <row r="3416" ht="16.5" customHeight="1" spans="1:8">
      <c r="A3416" s="3">
        <v>3415</v>
      </c>
      <c r="B3416" s="3" t="s">
        <v>8042</v>
      </c>
      <c r="C3416" s="3" t="s">
        <v>1361</v>
      </c>
      <c r="D3416" s="4" t="s">
        <v>8043</v>
      </c>
      <c r="E3416" s="3" t="s">
        <v>1218</v>
      </c>
      <c r="F3416" s="3" t="s">
        <v>2105</v>
      </c>
      <c r="G3416" s="3"/>
      <c r="H3416" s="4"/>
    </row>
    <row r="3417" ht="16.5" customHeight="1" spans="1:8">
      <c r="A3417" s="3">
        <v>3416</v>
      </c>
      <c r="B3417" s="3" t="s">
        <v>8044</v>
      </c>
      <c r="C3417" s="3" t="s">
        <v>1361</v>
      </c>
      <c r="D3417" s="4" t="s">
        <v>8045</v>
      </c>
      <c r="E3417" s="3" t="s">
        <v>1218</v>
      </c>
      <c r="F3417" s="3" t="s">
        <v>2105</v>
      </c>
      <c r="G3417" s="3"/>
      <c r="H3417" s="4"/>
    </row>
    <row r="3418" ht="16.5" customHeight="1" spans="1:8">
      <c r="A3418" s="3">
        <v>3417</v>
      </c>
      <c r="B3418" s="3" t="s">
        <v>8046</v>
      </c>
      <c r="C3418" s="3" t="s">
        <v>1361</v>
      </c>
      <c r="D3418" s="4" t="s">
        <v>8047</v>
      </c>
      <c r="E3418" s="3" t="s">
        <v>1218</v>
      </c>
      <c r="F3418" s="3" t="s">
        <v>2105</v>
      </c>
      <c r="G3418" s="3"/>
      <c r="H3418" s="4"/>
    </row>
    <row r="3419" ht="16.5" customHeight="1" spans="1:8">
      <c r="A3419" s="3">
        <v>3418</v>
      </c>
      <c r="B3419" s="3" t="s">
        <v>8048</v>
      </c>
      <c r="C3419" s="3" t="s">
        <v>1361</v>
      </c>
      <c r="D3419" s="4" t="s">
        <v>8049</v>
      </c>
      <c r="E3419" s="3" t="s">
        <v>1218</v>
      </c>
      <c r="F3419" s="3" t="s">
        <v>2105</v>
      </c>
      <c r="G3419" s="3"/>
      <c r="H3419" s="4"/>
    </row>
    <row r="3420" ht="16.5" customHeight="1" spans="1:8">
      <c r="A3420" s="3">
        <v>3419</v>
      </c>
      <c r="B3420" s="3" t="s">
        <v>8050</v>
      </c>
      <c r="C3420" s="3" t="s">
        <v>1361</v>
      </c>
      <c r="D3420" s="4" t="s">
        <v>8051</v>
      </c>
      <c r="E3420" s="3" t="s">
        <v>1218</v>
      </c>
      <c r="F3420" s="3" t="s">
        <v>2105</v>
      </c>
      <c r="G3420" s="3"/>
      <c r="H3420" s="4"/>
    </row>
    <row r="3421" ht="16.5" customHeight="1" spans="1:8">
      <c r="A3421" s="3">
        <v>3420</v>
      </c>
      <c r="B3421" s="3" t="s">
        <v>8052</v>
      </c>
      <c r="C3421" s="3" t="s">
        <v>1361</v>
      </c>
      <c r="D3421" s="4" t="s">
        <v>8053</v>
      </c>
      <c r="E3421" s="3" t="s">
        <v>1218</v>
      </c>
      <c r="F3421" s="3" t="s">
        <v>2105</v>
      </c>
      <c r="G3421" s="3"/>
      <c r="H3421" s="4"/>
    </row>
    <row r="3422" ht="16.5" customHeight="1" spans="1:8">
      <c r="A3422" s="3">
        <v>3421</v>
      </c>
      <c r="B3422" s="3" t="s">
        <v>8054</v>
      </c>
      <c r="C3422" s="3" t="s">
        <v>1361</v>
      </c>
      <c r="D3422" s="4" t="s">
        <v>8055</v>
      </c>
      <c r="E3422" s="3" t="s">
        <v>1218</v>
      </c>
      <c r="F3422" s="3" t="s">
        <v>2105</v>
      </c>
      <c r="G3422" s="3"/>
      <c r="H3422" s="4"/>
    </row>
    <row r="3423" ht="16.5" customHeight="1" spans="1:8">
      <c r="A3423" s="3">
        <v>3422</v>
      </c>
      <c r="B3423" s="3" t="s">
        <v>8056</v>
      </c>
      <c r="C3423" s="3" t="s">
        <v>1361</v>
      </c>
      <c r="D3423" s="4" t="s">
        <v>8057</v>
      </c>
      <c r="E3423" s="3" t="s">
        <v>1218</v>
      </c>
      <c r="F3423" s="3" t="s">
        <v>2105</v>
      </c>
      <c r="G3423" s="3"/>
      <c r="H3423" s="4"/>
    </row>
    <row r="3424" ht="16.5" customHeight="1" spans="1:8">
      <c r="A3424" s="3">
        <v>3423</v>
      </c>
      <c r="B3424" s="3" t="s">
        <v>8058</v>
      </c>
      <c r="C3424" s="3" t="s">
        <v>1361</v>
      </c>
      <c r="D3424" s="4" t="s">
        <v>8059</v>
      </c>
      <c r="E3424" s="3" t="s">
        <v>1218</v>
      </c>
      <c r="F3424" s="3" t="s">
        <v>2105</v>
      </c>
      <c r="G3424" s="3"/>
      <c r="H3424" s="4"/>
    </row>
    <row r="3425" ht="16.5" customHeight="1" spans="1:8">
      <c r="A3425" s="3">
        <v>3424</v>
      </c>
      <c r="B3425" s="3" t="s">
        <v>8060</v>
      </c>
      <c r="C3425" s="3" t="s">
        <v>1361</v>
      </c>
      <c r="D3425" s="4" t="s">
        <v>8061</v>
      </c>
      <c r="E3425" s="3" t="s">
        <v>1218</v>
      </c>
      <c r="F3425" s="3" t="s">
        <v>2105</v>
      </c>
      <c r="G3425" s="3"/>
      <c r="H3425" s="4"/>
    </row>
    <row r="3426" ht="16.5" customHeight="1" spans="1:8">
      <c r="A3426" s="3">
        <v>3425</v>
      </c>
      <c r="B3426" s="3" t="s">
        <v>8062</v>
      </c>
      <c r="C3426" s="3" t="s">
        <v>1361</v>
      </c>
      <c r="D3426" s="4" t="s">
        <v>8063</v>
      </c>
      <c r="E3426" s="3" t="s">
        <v>1218</v>
      </c>
      <c r="F3426" s="3" t="s">
        <v>2105</v>
      </c>
      <c r="G3426" s="3"/>
      <c r="H3426" s="4"/>
    </row>
    <row r="3427" ht="16.5" customHeight="1" spans="1:8">
      <c r="A3427" s="3">
        <v>3426</v>
      </c>
      <c r="B3427" s="3" t="s">
        <v>8064</v>
      </c>
      <c r="C3427" s="3" t="s">
        <v>1361</v>
      </c>
      <c r="D3427" s="4" t="s">
        <v>8065</v>
      </c>
      <c r="E3427" s="3" t="s">
        <v>1218</v>
      </c>
      <c r="F3427" s="3" t="s">
        <v>2105</v>
      </c>
      <c r="G3427" s="3"/>
      <c r="H3427" s="4"/>
    </row>
    <row r="3428" ht="16.5" customHeight="1" spans="1:8">
      <c r="A3428" s="3">
        <v>3427</v>
      </c>
      <c r="B3428" s="3" t="s">
        <v>8066</v>
      </c>
      <c r="C3428" s="3" t="s">
        <v>1361</v>
      </c>
      <c r="D3428" s="4" t="s">
        <v>8067</v>
      </c>
      <c r="E3428" s="3" t="s">
        <v>1218</v>
      </c>
      <c r="F3428" s="3" t="s">
        <v>2105</v>
      </c>
      <c r="G3428" s="3"/>
      <c r="H3428" s="4"/>
    </row>
    <row r="3429" ht="16.5" customHeight="1" spans="1:8">
      <c r="A3429" s="3">
        <v>3428</v>
      </c>
      <c r="B3429" s="3" t="s">
        <v>8068</v>
      </c>
      <c r="C3429" s="3" t="s">
        <v>1361</v>
      </c>
      <c r="D3429" s="4" t="s">
        <v>8069</v>
      </c>
      <c r="E3429" s="3" t="s">
        <v>1218</v>
      </c>
      <c r="F3429" s="3" t="s">
        <v>2105</v>
      </c>
      <c r="G3429" s="3"/>
      <c r="H3429" s="4"/>
    </row>
    <row r="3430" ht="16.5" customHeight="1" spans="1:8">
      <c r="A3430" s="3">
        <v>3429</v>
      </c>
      <c r="B3430" s="3" t="s">
        <v>8070</v>
      </c>
      <c r="C3430" s="3" t="s">
        <v>1361</v>
      </c>
      <c r="D3430" s="4" t="s">
        <v>8071</v>
      </c>
      <c r="E3430" s="3" t="s">
        <v>1218</v>
      </c>
      <c r="F3430" s="3" t="s">
        <v>2105</v>
      </c>
      <c r="G3430" s="3"/>
      <c r="H3430" s="4"/>
    </row>
    <row r="3431" ht="16.5" customHeight="1" spans="1:8">
      <c r="A3431" s="3">
        <v>3430</v>
      </c>
      <c r="B3431" s="3" t="s">
        <v>8072</v>
      </c>
      <c r="C3431" s="3" t="s">
        <v>1361</v>
      </c>
      <c r="D3431" s="4" t="s">
        <v>8073</v>
      </c>
      <c r="E3431" s="3" t="s">
        <v>1218</v>
      </c>
      <c r="F3431" s="3" t="s">
        <v>2105</v>
      </c>
      <c r="G3431" s="3"/>
      <c r="H3431" s="4"/>
    </row>
    <row r="3432" ht="16.5" customHeight="1" spans="1:8">
      <c r="A3432" s="3">
        <v>3431</v>
      </c>
      <c r="B3432" s="3" t="s">
        <v>8074</v>
      </c>
      <c r="C3432" s="3" t="s">
        <v>1361</v>
      </c>
      <c r="D3432" s="4" t="s">
        <v>8075</v>
      </c>
      <c r="E3432" s="3" t="s">
        <v>1218</v>
      </c>
      <c r="F3432" s="3" t="s">
        <v>2105</v>
      </c>
      <c r="G3432" s="3"/>
      <c r="H3432" s="4"/>
    </row>
    <row r="3433" ht="16.5" customHeight="1" spans="1:8">
      <c r="A3433" s="3">
        <v>3432</v>
      </c>
      <c r="B3433" s="3" t="s">
        <v>8076</v>
      </c>
      <c r="C3433" s="3" t="s">
        <v>1361</v>
      </c>
      <c r="D3433" s="4" t="s">
        <v>8077</v>
      </c>
      <c r="E3433" s="3" t="s">
        <v>1218</v>
      </c>
      <c r="F3433" s="3" t="s">
        <v>2105</v>
      </c>
      <c r="G3433" s="3"/>
      <c r="H3433" s="4"/>
    </row>
    <row r="3434" ht="16.5" customHeight="1" spans="1:8">
      <c r="A3434" s="3">
        <v>3433</v>
      </c>
      <c r="B3434" s="3" t="s">
        <v>8078</v>
      </c>
      <c r="C3434" s="3" t="s">
        <v>1361</v>
      </c>
      <c r="D3434" s="4" t="s">
        <v>8079</v>
      </c>
      <c r="E3434" s="3" t="s">
        <v>1218</v>
      </c>
      <c r="F3434" s="3" t="s">
        <v>2105</v>
      </c>
      <c r="G3434" s="3"/>
      <c r="H3434" s="4"/>
    </row>
    <row r="3435" ht="16.5" customHeight="1" spans="1:8">
      <c r="A3435" s="3">
        <v>3434</v>
      </c>
      <c r="B3435" s="3" t="s">
        <v>8080</v>
      </c>
      <c r="C3435" s="3" t="s">
        <v>1361</v>
      </c>
      <c r="D3435" s="4" t="s">
        <v>8081</v>
      </c>
      <c r="E3435" s="3" t="s">
        <v>1218</v>
      </c>
      <c r="F3435" s="3" t="s">
        <v>2105</v>
      </c>
      <c r="G3435" s="3"/>
      <c r="H3435" s="4"/>
    </row>
    <row r="3436" ht="16.5" customHeight="1" spans="1:8">
      <c r="A3436" s="3">
        <v>3435</v>
      </c>
      <c r="B3436" s="3" t="s">
        <v>8082</v>
      </c>
      <c r="C3436" s="3" t="s">
        <v>1361</v>
      </c>
      <c r="D3436" s="4" t="s">
        <v>8083</v>
      </c>
      <c r="E3436" s="3" t="s">
        <v>1218</v>
      </c>
      <c r="F3436" s="3" t="s">
        <v>2105</v>
      </c>
      <c r="G3436" s="3"/>
      <c r="H3436" s="4"/>
    </row>
    <row r="3437" ht="16.5" customHeight="1" spans="1:8">
      <c r="A3437" s="3">
        <v>3436</v>
      </c>
      <c r="B3437" s="3" t="s">
        <v>8084</v>
      </c>
      <c r="C3437" s="3" t="s">
        <v>1361</v>
      </c>
      <c r="D3437" s="4" t="s">
        <v>8085</v>
      </c>
      <c r="E3437" s="3" t="s">
        <v>1218</v>
      </c>
      <c r="F3437" s="3" t="s">
        <v>2105</v>
      </c>
      <c r="G3437" s="3"/>
      <c r="H3437" s="4"/>
    </row>
    <row r="3438" ht="16.5" customHeight="1" spans="1:8">
      <c r="A3438" s="3">
        <v>3437</v>
      </c>
      <c r="B3438" s="3" t="s">
        <v>8086</v>
      </c>
      <c r="C3438" s="3" t="s">
        <v>1361</v>
      </c>
      <c r="D3438" s="4" t="s">
        <v>8087</v>
      </c>
      <c r="E3438" s="3" t="s">
        <v>1218</v>
      </c>
      <c r="F3438" s="3" t="s">
        <v>2105</v>
      </c>
      <c r="G3438" s="3"/>
      <c r="H3438" s="4"/>
    </row>
    <row r="3439" ht="16.5" customHeight="1" spans="1:8">
      <c r="A3439" s="3">
        <v>3438</v>
      </c>
      <c r="B3439" s="3" t="s">
        <v>8088</v>
      </c>
      <c r="C3439" s="3" t="s">
        <v>1361</v>
      </c>
      <c r="D3439" s="4" t="s">
        <v>8089</v>
      </c>
      <c r="E3439" s="3" t="s">
        <v>1218</v>
      </c>
      <c r="F3439" s="3" t="s">
        <v>2105</v>
      </c>
      <c r="G3439" s="3"/>
      <c r="H3439" s="4"/>
    </row>
    <row r="3440" ht="16.5" customHeight="1" spans="1:8">
      <c r="A3440" s="3">
        <v>3439</v>
      </c>
      <c r="B3440" s="3" t="s">
        <v>8090</v>
      </c>
      <c r="C3440" s="3" t="s">
        <v>1361</v>
      </c>
      <c r="D3440" s="4" t="s">
        <v>8091</v>
      </c>
      <c r="E3440" s="3" t="s">
        <v>1218</v>
      </c>
      <c r="F3440" s="3" t="s">
        <v>2105</v>
      </c>
      <c r="G3440" s="3"/>
      <c r="H3440" s="4"/>
    </row>
    <row r="3441" ht="16.5" customHeight="1" spans="1:8">
      <c r="A3441" s="3">
        <v>3440</v>
      </c>
      <c r="B3441" s="3" t="s">
        <v>8092</v>
      </c>
      <c r="C3441" s="3" t="s">
        <v>1361</v>
      </c>
      <c r="D3441" s="4" t="s">
        <v>8093</v>
      </c>
      <c r="E3441" s="3" t="s">
        <v>1218</v>
      </c>
      <c r="F3441" s="3" t="s">
        <v>2105</v>
      </c>
      <c r="G3441" s="3"/>
      <c r="H3441" s="4"/>
    </row>
    <row r="3442" ht="16.5" customHeight="1" spans="1:8">
      <c r="A3442" s="3">
        <v>3441</v>
      </c>
      <c r="B3442" s="3" t="s">
        <v>8094</v>
      </c>
      <c r="C3442" s="3" t="s">
        <v>1361</v>
      </c>
      <c r="D3442" s="4" t="s">
        <v>8095</v>
      </c>
      <c r="E3442" s="3" t="s">
        <v>1218</v>
      </c>
      <c r="F3442" s="3" t="s">
        <v>2105</v>
      </c>
      <c r="G3442" s="3"/>
      <c r="H3442" s="4"/>
    </row>
    <row r="3443" ht="16.5" customHeight="1" spans="1:8">
      <c r="A3443" s="3">
        <v>3442</v>
      </c>
      <c r="B3443" s="3" t="s">
        <v>8096</v>
      </c>
      <c r="C3443" s="3" t="s">
        <v>1361</v>
      </c>
      <c r="D3443" s="4" t="s">
        <v>8097</v>
      </c>
      <c r="E3443" s="3" t="s">
        <v>1218</v>
      </c>
      <c r="F3443" s="3" t="s">
        <v>2105</v>
      </c>
      <c r="G3443" s="3"/>
      <c r="H3443" s="4"/>
    </row>
    <row r="3444" ht="16.5" customHeight="1" spans="1:8">
      <c r="A3444" s="3">
        <v>3443</v>
      </c>
      <c r="B3444" s="3" t="s">
        <v>8098</v>
      </c>
      <c r="C3444" s="3" t="s">
        <v>1361</v>
      </c>
      <c r="D3444" s="4" t="s">
        <v>8099</v>
      </c>
      <c r="E3444" s="3" t="s">
        <v>1218</v>
      </c>
      <c r="F3444" s="3" t="s">
        <v>2105</v>
      </c>
      <c r="G3444" s="3"/>
      <c r="H3444" s="4"/>
    </row>
    <row r="3445" ht="16.5" customHeight="1" spans="1:8">
      <c r="A3445" s="3">
        <v>3444</v>
      </c>
      <c r="B3445" s="3" t="s">
        <v>8100</v>
      </c>
      <c r="C3445" s="3" t="s">
        <v>1361</v>
      </c>
      <c r="D3445" s="4" t="s">
        <v>8101</v>
      </c>
      <c r="E3445" s="3" t="s">
        <v>1218</v>
      </c>
      <c r="F3445" s="3" t="s">
        <v>2105</v>
      </c>
      <c r="G3445" s="3"/>
      <c r="H3445" s="4"/>
    </row>
    <row r="3446" ht="16.5" customHeight="1" spans="1:8">
      <c r="A3446" s="3">
        <v>3445</v>
      </c>
      <c r="B3446" s="3" t="s">
        <v>8102</v>
      </c>
      <c r="C3446" s="3" t="s">
        <v>1361</v>
      </c>
      <c r="D3446" s="4" t="s">
        <v>8103</v>
      </c>
      <c r="E3446" s="3" t="s">
        <v>1218</v>
      </c>
      <c r="F3446" s="3" t="s">
        <v>2105</v>
      </c>
      <c r="G3446" s="3"/>
      <c r="H3446" s="4"/>
    </row>
    <row r="3447" ht="16.5" customHeight="1" spans="1:8">
      <c r="A3447" s="3">
        <v>3446</v>
      </c>
      <c r="B3447" s="3" t="s">
        <v>8104</v>
      </c>
      <c r="C3447" s="3" t="s">
        <v>1361</v>
      </c>
      <c r="D3447" s="4" t="s">
        <v>8105</v>
      </c>
      <c r="E3447" s="3" t="s">
        <v>1218</v>
      </c>
      <c r="F3447" s="3" t="s">
        <v>2105</v>
      </c>
      <c r="G3447" s="3"/>
      <c r="H3447" s="4"/>
    </row>
    <row r="3448" ht="16.5" customHeight="1" spans="1:8">
      <c r="A3448" s="3">
        <v>3447</v>
      </c>
      <c r="B3448" s="3" t="s">
        <v>8106</v>
      </c>
      <c r="C3448" s="3" t="s">
        <v>1361</v>
      </c>
      <c r="D3448" s="4" t="s">
        <v>8107</v>
      </c>
      <c r="E3448" s="3" t="s">
        <v>1218</v>
      </c>
      <c r="F3448" s="3" t="s">
        <v>2105</v>
      </c>
      <c r="G3448" s="3"/>
      <c r="H3448" s="4"/>
    </row>
    <row r="3449" ht="16.5" customHeight="1" spans="1:8">
      <c r="A3449" s="3">
        <v>3448</v>
      </c>
      <c r="B3449" s="3" t="s">
        <v>8108</v>
      </c>
      <c r="C3449" s="3" t="s">
        <v>1361</v>
      </c>
      <c r="D3449" s="4" t="s">
        <v>8109</v>
      </c>
      <c r="E3449" s="3" t="s">
        <v>1218</v>
      </c>
      <c r="F3449" s="3" t="s">
        <v>2105</v>
      </c>
      <c r="G3449" s="3"/>
      <c r="H3449" s="4"/>
    </row>
    <row r="3450" ht="16.5" customHeight="1" spans="1:8">
      <c r="A3450" s="3">
        <v>3449</v>
      </c>
      <c r="B3450" s="3" t="s">
        <v>8110</v>
      </c>
      <c r="C3450" s="3" t="s">
        <v>1361</v>
      </c>
      <c r="D3450" s="4" t="s">
        <v>8111</v>
      </c>
      <c r="E3450" s="3" t="s">
        <v>1218</v>
      </c>
      <c r="F3450" s="3" t="s">
        <v>2105</v>
      </c>
      <c r="G3450" s="3"/>
      <c r="H3450" s="4"/>
    </row>
    <row r="3451" ht="16.5" customHeight="1" spans="1:8">
      <c r="A3451" s="3">
        <v>3450</v>
      </c>
      <c r="B3451" s="3" t="s">
        <v>8112</v>
      </c>
      <c r="C3451" s="3" t="s">
        <v>1361</v>
      </c>
      <c r="D3451" s="4" t="s">
        <v>8113</v>
      </c>
      <c r="E3451" s="3" t="s">
        <v>1218</v>
      </c>
      <c r="F3451" s="3" t="s">
        <v>2105</v>
      </c>
      <c r="G3451" s="3"/>
      <c r="H3451" s="4"/>
    </row>
    <row r="3452" ht="16.5" customHeight="1" spans="1:8">
      <c r="A3452" s="3">
        <v>3451</v>
      </c>
      <c r="B3452" s="3" t="s">
        <v>8114</v>
      </c>
      <c r="C3452" s="3" t="s">
        <v>1361</v>
      </c>
      <c r="D3452" s="4" t="s">
        <v>8115</v>
      </c>
      <c r="E3452" s="3" t="s">
        <v>1218</v>
      </c>
      <c r="F3452" s="3" t="s">
        <v>2105</v>
      </c>
      <c r="G3452" s="3"/>
      <c r="H3452" s="4"/>
    </row>
    <row r="3453" ht="16.5" customHeight="1" spans="1:8">
      <c r="A3453" s="3">
        <v>3452</v>
      </c>
      <c r="B3453" s="3" t="s">
        <v>8116</v>
      </c>
      <c r="C3453" s="3" t="s">
        <v>1361</v>
      </c>
      <c r="D3453" s="4" t="s">
        <v>8117</v>
      </c>
      <c r="E3453" s="3" t="s">
        <v>1218</v>
      </c>
      <c r="F3453" s="3" t="s">
        <v>2105</v>
      </c>
      <c r="G3453" s="3"/>
      <c r="H3453" s="4"/>
    </row>
    <row r="3454" ht="16.5" customHeight="1" spans="1:8">
      <c r="A3454" s="3">
        <v>3453</v>
      </c>
      <c r="B3454" s="3" t="s">
        <v>8118</v>
      </c>
      <c r="C3454" s="3" t="s">
        <v>1361</v>
      </c>
      <c r="D3454" s="4" t="s">
        <v>8119</v>
      </c>
      <c r="E3454" s="3" t="s">
        <v>1218</v>
      </c>
      <c r="F3454" s="3" t="s">
        <v>2105</v>
      </c>
      <c r="G3454" s="3"/>
      <c r="H3454" s="4" t="s">
        <v>1390</v>
      </c>
    </row>
    <row r="3455" ht="16.5" customHeight="1" spans="1:8">
      <c r="A3455" s="3">
        <v>3454</v>
      </c>
      <c r="B3455" s="3" t="s">
        <v>8120</v>
      </c>
      <c r="C3455" s="3" t="s">
        <v>1361</v>
      </c>
      <c r="D3455" s="4" t="s">
        <v>8121</v>
      </c>
      <c r="E3455" s="3" t="s">
        <v>1218</v>
      </c>
      <c r="F3455" s="3" t="s">
        <v>2105</v>
      </c>
      <c r="G3455" s="3"/>
      <c r="H3455" s="4"/>
    </row>
    <row r="3456" ht="16.5" customHeight="1" spans="1:8">
      <c r="A3456" s="3">
        <v>3455</v>
      </c>
      <c r="B3456" s="3" t="s">
        <v>8122</v>
      </c>
      <c r="C3456" s="3" t="s">
        <v>1361</v>
      </c>
      <c r="D3456" s="4" t="s">
        <v>8123</v>
      </c>
      <c r="E3456" s="3" t="s">
        <v>1218</v>
      </c>
      <c r="F3456" s="3" t="s">
        <v>2105</v>
      </c>
      <c r="G3456" s="3"/>
      <c r="H3456" s="4"/>
    </row>
    <row r="3457" ht="16.5" customHeight="1" spans="1:8">
      <c r="A3457" s="3">
        <v>3456</v>
      </c>
      <c r="B3457" s="3" t="s">
        <v>8124</v>
      </c>
      <c r="C3457" s="3" t="s">
        <v>1361</v>
      </c>
      <c r="D3457" s="4" t="s">
        <v>8125</v>
      </c>
      <c r="E3457" s="3" t="s">
        <v>1218</v>
      </c>
      <c r="F3457" s="3" t="s">
        <v>2105</v>
      </c>
      <c r="G3457" s="3"/>
      <c r="H3457" s="4"/>
    </row>
    <row r="3458" ht="16.5" customHeight="1" spans="1:8">
      <c r="A3458" s="3">
        <v>3457</v>
      </c>
      <c r="B3458" s="3" t="s">
        <v>8126</v>
      </c>
      <c r="C3458" s="3" t="s">
        <v>1361</v>
      </c>
      <c r="D3458" s="4" t="s">
        <v>8127</v>
      </c>
      <c r="E3458" s="3" t="s">
        <v>1218</v>
      </c>
      <c r="F3458" s="3" t="s">
        <v>2105</v>
      </c>
      <c r="G3458" s="3"/>
      <c r="H3458" s="4"/>
    </row>
    <row r="3459" ht="16.5" customHeight="1" spans="1:8">
      <c r="A3459" s="3">
        <v>3458</v>
      </c>
      <c r="B3459" s="3" t="s">
        <v>8128</v>
      </c>
      <c r="C3459" s="3" t="s">
        <v>1361</v>
      </c>
      <c r="D3459" s="4" t="s">
        <v>8129</v>
      </c>
      <c r="E3459" s="3" t="s">
        <v>1218</v>
      </c>
      <c r="F3459" s="3" t="s">
        <v>2105</v>
      </c>
      <c r="G3459" s="3"/>
      <c r="H3459" s="4"/>
    </row>
    <row r="3460" ht="16.5" customHeight="1" spans="1:8">
      <c r="A3460" s="3">
        <v>3459</v>
      </c>
      <c r="B3460" s="3" t="s">
        <v>8130</v>
      </c>
      <c r="C3460" s="3" t="s">
        <v>1361</v>
      </c>
      <c r="D3460" s="4" t="s">
        <v>8131</v>
      </c>
      <c r="E3460" s="3" t="s">
        <v>1218</v>
      </c>
      <c r="F3460" s="3" t="s">
        <v>2105</v>
      </c>
      <c r="G3460" s="3"/>
      <c r="H3460" s="4"/>
    </row>
    <row r="3461" ht="16.5" customHeight="1" spans="1:8">
      <c r="A3461" s="3">
        <v>3460</v>
      </c>
      <c r="B3461" s="3" t="s">
        <v>8132</v>
      </c>
      <c r="C3461" s="3" t="s">
        <v>1361</v>
      </c>
      <c r="D3461" s="4" t="s">
        <v>8133</v>
      </c>
      <c r="E3461" s="3" t="s">
        <v>1218</v>
      </c>
      <c r="F3461" s="3" t="s">
        <v>2105</v>
      </c>
      <c r="G3461" s="3"/>
      <c r="H3461" s="4"/>
    </row>
    <row r="3462" ht="16.5" customHeight="1" spans="1:8">
      <c r="A3462" s="3">
        <v>3461</v>
      </c>
      <c r="B3462" s="3" t="s">
        <v>8134</v>
      </c>
      <c r="C3462" s="3" t="s">
        <v>1361</v>
      </c>
      <c r="D3462" s="4" t="s">
        <v>8135</v>
      </c>
      <c r="E3462" s="3" t="s">
        <v>1218</v>
      </c>
      <c r="F3462" s="3" t="s">
        <v>2105</v>
      </c>
      <c r="G3462" s="3"/>
      <c r="H3462" s="4"/>
    </row>
    <row r="3463" ht="16.5" customHeight="1" spans="1:8">
      <c r="A3463" s="3">
        <v>3462</v>
      </c>
      <c r="B3463" s="3" t="s">
        <v>8136</v>
      </c>
      <c r="C3463" s="3" t="s">
        <v>1361</v>
      </c>
      <c r="D3463" s="4" t="s">
        <v>8137</v>
      </c>
      <c r="E3463" s="3" t="s">
        <v>1218</v>
      </c>
      <c r="F3463" s="3" t="s">
        <v>2105</v>
      </c>
      <c r="G3463" s="3"/>
      <c r="H3463" s="4"/>
    </row>
    <row r="3464" ht="16.5" customHeight="1" spans="1:8">
      <c r="A3464" s="3">
        <v>3463</v>
      </c>
      <c r="B3464" s="3" t="s">
        <v>8138</v>
      </c>
      <c r="C3464" s="3" t="s">
        <v>1361</v>
      </c>
      <c r="D3464" s="4" t="s">
        <v>8139</v>
      </c>
      <c r="E3464" s="3" t="s">
        <v>1218</v>
      </c>
      <c r="F3464" s="3" t="s">
        <v>2105</v>
      </c>
      <c r="G3464" s="3"/>
      <c r="H3464" s="4"/>
    </row>
    <row r="3465" ht="16.5" customHeight="1" spans="1:8">
      <c r="A3465" s="3">
        <v>3464</v>
      </c>
      <c r="B3465" s="3" t="s">
        <v>8140</v>
      </c>
      <c r="C3465" s="3" t="s">
        <v>1361</v>
      </c>
      <c r="D3465" s="4" t="s">
        <v>8141</v>
      </c>
      <c r="E3465" s="3" t="s">
        <v>1218</v>
      </c>
      <c r="F3465" s="3" t="s">
        <v>2105</v>
      </c>
      <c r="G3465" s="3"/>
      <c r="H3465" s="4"/>
    </row>
    <row r="3466" ht="16.5" customHeight="1" spans="1:8">
      <c r="A3466" s="3">
        <v>3465</v>
      </c>
      <c r="B3466" s="3" t="s">
        <v>8142</v>
      </c>
      <c r="C3466" s="3" t="s">
        <v>1361</v>
      </c>
      <c r="D3466" s="4" t="s">
        <v>8143</v>
      </c>
      <c r="E3466" s="3" t="s">
        <v>1218</v>
      </c>
      <c r="F3466" s="3" t="s">
        <v>2105</v>
      </c>
      <c r="G3466" s="3"/>
      <c r="H3466" s="4" t="s">
        <v>1390</v>
      </c>
    </row>
    <row r="3467" ht="16.5" customHeight="1" spans="1:8">
      <c r="A3467" s="3">
        <v>3466</v>
      </c>
      <c r="B3467" s="3" t="s">
        <v>8144</v>
      </c>
      <c r="C3467" s="3" t="s">
        <v>1361</v>
      </c>
      <c r="D3467" s="4" t="s">
        <v>8145</v>
      </c>
      <c r="E3467" s="3" t="s">
        <v>1218</v>
      </c>
      <c r="F3467" s="3" t="s">
        <v>2105</v>
      </c>
      <c r="G3467" s="3"/>
      <c r="H3467" s="4" t="s">
        <v>1390</v>
      </c>
    </row>
    <row r="3468" ht="16.5" customHeight="1" spans="1:8">
      <c r="A3468" s="3">
        <v>3467</v>
      </c>
      <c r="B3468" s="3" t="s">
        <v>8146</v>
      </c>
      <c r="C3468" s="3" t="s">
        <v>1361</v>
      </c>
      <c r="D3468" s="4" t="s">
        <v>8147</v>
      </c>
      <c r="E3468" s="3" t="s">
        <v>1218</v>
      </c>
      <c r="F3468" s="3" t="s">
        <v>2105</v>
      </c>
      <c r="G3468" s="3"/>
      <c r="H3468" s="4" t="s">
        <v>1390</v>
      </c>
    </row>
    <row r="3469" ht="16.5" customHeight="1" spans="1:8">
      <c r="A3469" s="3">
        <v>3468</v>
      </c>
      <c r="B3469" s="3" t="s">
        <v>8148</v>
      </c>
      <c r="C3469" s="3" t="s">
        <v>1361</v>
      </c>
      <c r="D3469" s="4" t="s">
        <v>8149</v>
      </c>
      <c r="E3469" s="3" t="s">
        <v>1218</v>
      </c>
      <c r="F3469" s="3" t="s">
        <v>2105</v>
      </c>
      <c r="G3469" s="3"/>
      <c r="H3469" s="4"/>
    </row>
    <row r="3470" ht="16.5" customHeight="1" spans="1:8">
      <c r="A3470" s="3">
        <v>3469</v>
      </c>
      <c r="B3470" s="3" t="s">
        <v>8150</v>
      </c>
      <c r="C3470" s="3" t="s">
        <v>1361</v>
      </c>
      <c r="D3470" s="4" t="s">
        <v>8151</v>
      </c>
      <c r="E3470" s="3" t="s">
        <v>1218</v>
      </c>
      <c r="F3470" s="3" t="s">
        <v>2105</v>
      </c>
      <c r="G3470" s="3"/>
      <c r="H3470" s="4"/>
    </row>
    <row r="3471" ht="16.5" customHeight="1" spans="1:8">
      <c r="A3471" s="3">
        <v>3470</v>
      </c>
      <c r="B3471" s="3" t="s">
        <v>8152</v>
      </c>
      <c r="C3471" s="3" t="s">
        <v>1356</v>
      </c>
      <c r="D3471" s="4" t="s">
        <v>5854</v>
      </c>
      <c r="E3471" s="3" t="s">
        <v>1076</v>
      </c>
      <c r="F3471" s="3" t="s">
        <v>1358</v>
      </c>
      <c r="G3471" s="3"/>
      <c r="H3471" s="4" t="s">
        <v>1095</v>
      </c>
    </row>
    <row r="3472" ht="16.5" customHeight="1" spans="1:8">
      <c r="A3472" s="3">
        <v>3471</v>
      </c>
      <c r="B3472" s="3" t="s">
        <v>8153</v>
      </c>
      <c r="C3472" s="3" t="s">
        <v>1356</v>
      </c>
      <c r="D3472" s="4" t="s">
        <v>6907</v>
      </c>
      <c r="E3472" s="3" t="s">
        <v>1076</v>
      </c>
      <c r="F3472" s="3" t="s">
        <v>1358</v>
      </c>
      <c r="G3472" s="3"/>
      <c r="H3472" s="4" t="s">
        <v>1095</v>
      </c>
    </row>
    <row r="3473" ht="16.5" customHeight="1" spans="1:8">
      <c r="A3473" s="3">
        <v>3472</v>
      </c>
      <c r="B3473" s="3" t="s">
        <v>8154</v>
      </c>
      <c r="C3473" s="3" t="s">
        <v>1356</v>
      </c>
      <c r="D3473" s="4" t="s">
        <v>8155</v>
      </c>
      <c r="E3473" s="3" t="s">
        <v>1076</v>
      </c>
      <c r="F3473" s="3" t="s">
        <v>1358</v>
      </c>
      <c r="G3473" s="3"/>
      <c r="H3473" s="4" t="s">
        <v>1095</v>
      </c>
    </row>
    <row r="3474" ht="16.5" customHeight="1" spans="1:8">
      <c r="A3474" s="3">
        <v>3473</v>
      </c>
      <c r="B3474" s="3" t="s">
        <v>8156</v>
      </c>
      <c r="C3474" s="3" t="s">
        <v>2163</v>
      </c>
      <c r="D3474" s="4" t="s">
        <v>8157</v>
      </c>
      <c r="E3474" s="3" t="s">
        <v>1076</v>
      </c>
      <c r="F3474" s="3" t="s">
        <v>2041</v>
      </c>
      <c r="G3474" s="3" t="s">
        <v>321</v>
      </c>
      <c r="H3474" s="4" t="s">
        <v>1359</v>
      </c>
    </row>
    <row r="3475" ht="16.5" customHeight="1" spans="1:8">
      <c r="A3475" s="3">
        <v>3474</v>
      </c>
      <c r="B3475" s="3" t="s">
        <v>8158</v>
      </c>
      <c r="C3475" s="3" t="s">
        <v>1356</v>
      </c>
      <c r="D3475" s="4" t="s">
        <v>5854</v>
      </c>
      <c r="E3475" s="3" t="s">
        <v>1076</v>
      </c>
      <c r="F3475" s="3" t="s">
        <v>1358</v>
      </c>
      <c r="G3475" s="3" t="s">
        <v>321</v>
      </c>
      <c r="H3475" s="4" t="s">
        <v>1095</v>
      </c>
    </row>
    <row r="3476" ht="16.5" customHeight="1" spans="1:8">
      <c r="A3476" s="3">
        <v>3475</v>
      </c>
      <c r="B3476" s="3" t="s">
        <v>8159</v>
      </c>
      <c r="C3476" s="3" t="s">
        <v>1356</v>
      </c>
      <c r="D3476" s="4" t="s">
        <v>8160</v>
      </c>
      <c r="E3476" s="3" t="s">
        <v>1076</v>
      </c>
      <c r="F3476" s="3" t="s">
        <v>1358</v>
      </c>
      <c r="G3476" s="3" t="s">
        <v>321</v>
      </c>
      <c r="H3476" s="4" t="s">
        <v>1095</v>
      </c>
    </row>
    <row r="3477" ht="16.5" customHeight="1" spans="1:8">
      <c r="A3477" s="3">
        <v>3476</v>
      </c>
      <c r="B3477" s="3" t="s">
        <v>8161</v>
      </c>
      <c r="C3477" s="3" t="s">
        <v>1356</v>
      </c>
      <c r="D3477" s="4" t="s">
        <v>8162</v>
      </c>
      <c r="E3477" s="3" t="s">
        <v>1076</v>
      </c>
      <c r="F3477" s="3" t="s">
        <v>1358</v>
      </c>
      <c r="G3477" s="3" t="s">
        <v>321</v>
      </c>
      <c r="H3477" s="4" t="s">
        <v>1095</v>
      </c>
    </row>
    <row r="3478" ht="16.5" customHeight="1" spans="1:8">
      <c r="A3478" s="3">
        <v>3477</v>
      </c>
      <c r="B3478" s="3" t="s">
        <v>8163</v>
      </c>
      <c r="C3478" s="3" t="s">
        <v>2163</v>
      </c>
      <c r="D3478" s="4" t="s">
        <v>8164</v>
      </c>
      <c r="E3478" s="3" t="s">
        <v>1076</v>
      </c>
      <c r="F3478" s="3" t="s">
        <v>2105</v>
      </c>
      <c r="G3478" s="3"/>
      <c r="H3478" s="4" t="s">
        <v>5533</v>
      </c>
    </row>
    <row r="3479" ht="16.5" customHeight="1" spans="1:8">
      <c r="A3479" s="3">
        <v>3478</v>
      </c>
      <c r="B3479" s="3" t="s">
        <v>8165</v>
      </c>
      <c r="C3479" s="3" t="s">
        <v>2163</v>
      </c>
      <c r="D3479" s="4" t="s">
        <v>8166</v>
      </c>
      <c r="E3479" s="3" t="s">
        <v>1076</v>
      </c>
      <c r="F3479" s="3" t="s">
        <v>1358</v>
      </c>
      <c r="G3479" s="3" t="s">
        <v>321</v>
      </c>
      <c r="H3479" s="4" t="s">
        <v>1883</v>
      </c>
    </row>
    <row r="3480" ht="16.5" customHeight="1" spans="1:8">
      <c r="A3480" s="3">
        <v>3479</v>
      </c>
      <c r="B3480" s="3" t="s">
        <v>8167</v>
      </c>
      <c r="C3480" s="3" t="s">
        <v>2163</v>
      </c>
      <c r="D3480" s="4" t="s">
        <v>8168</v>
      </c>
      <c r="E3480" s="3" t="s">
        <v>1076</v>
      </c>
      <c r="F3480" s="3" t="s">
        <v>1358</v>
      </c>
      <c r="G3480" s="3" t="s">
        <v>321</v>
      </c>
      <c r="H3480" s="4" t="s">
        <v>3354</v>
      </c>
    </row>
    <row r="3481" ht="16.5" customHeight="1" spans="1:8">
      <c r="A3481" s="3">
        <v>3480</v>
      </c>
      <c r="B3481" s="3" t="s">
        <v>8169</v>
      </c>
      <c r="C3481" s="3" t="s">
        <v>2163</v>
      </c>
      <c r="D3481" s="4" t="s">
        <v>8170</v>
      </c>
      <c r="E3481" s="3" t="s">
        <v>3954</v>
      </c>
      <c r="F3481" s="3" t="s">
        <v>1358</v>
      </c>
      <c r="G3481" s="3" t="s">
        <v>321</v>
      </c>
      <c r="H3481" s="4" t="s">
        <v>5396</v>
      </c>
    </row>
    <row r="3482" ht="16.5" customHeight="1" spans="1:8">
      <c r="A3482" s="3">
        <v>3481</v>
      </c>
      <c r="B3482" s="3" t="s">
        <v>8171</v>
      </c>
      <c r="C3482" s="3" t="s">
        <v>1356</v>
      </c>
      <c r="D3482" s="4" t="s">
        <v>8172</v>
      </c>
      <c r="E3482" s="3" t="s">
        <v>1076</v>
      </c>
      <c r="F3482" s="3" t="s">
        <v>4668</v>
      </c>
      <c r="G3482" s="3"/>
      <c r="H3482" s="4" t="s">
        <v>1305</v>
      </c>
    </row>
    <row r="3483" ht="16.5" customHeight="1" spans="1:8">
      <c r="A3483" s="3">
        <v>3482</v>
      </c>
      <c r="B3483" s="3" t="s">
        <v>8173</v>
      </c>
      <c r="C3483" s="3" t="s">
        <v>1356</v>
      </c>
      <c r="D3483" s="4" t="s">
        <v>8174</v>
      </c>
      <c r="E3483" s="3" t="s">
        <v>1076</v>
      </c>
      <c r="F3483" s="3" t="s">
        <v>8175</v>
      </c>
      <c r="G3483" s="3"/>
      <c r="H3483" s="4" t="s">
        <v>1359</v>
      </c>
    </row>
    <row r="3484" ht="16.5" customHeight="1" spans="1:8">
      <c r="A3484" s="3">
        <v>3483</v>
      </c>
      <c r="B3484" s="3" t="s">
        <v>8176</v>
      </c>
      <c r="C3484" s="3" t="s">
        <v>1356</v>
      </c>
      <c r="D3484" s="4" t="s">
        <v>8177</v>
      </c>
      <c r="E3484" s="3" t="s">
        <v>2726</v>
      </c>
      <c r="F3484" s="3" t="s">
        <v>4668</v>
      </c>
      <c r="G3484" s="3"/>
      <c r="H3484" s="4" t="s">
        <v>4322</v>
      </c>
    </row>
    <row r="3485" ht="16.5" customHeight="1" spans="1:8">
      <c r="A3485" s="3">
        <v>3484</v>
      </c>
      <c r="B3485" s="3" t="s">
        <v>8178</v>
      </c>
      <c r="C3485" s="3" t="s">
        <v>1356</v>
      </c>
      <c r="D3485" s="4" t="s">
        <v>8179</v>
      </c>
      <c r="E3485" s="3" t="s">
        <v>1076</v>
      </c>
      <c r="F3485" s="3" t="s">
        <v>4668</v>
      </c>
      <c r="G3485" s="3"/>
      <c r="H3485" s="4" t="s">
        <v>1095</v>
      </c>
    </row>
    <row r="3486" ht="16.5" customHeight="1" spans="1:8">
      <c r="A3486" s="3">
        <v>3485</v>
      </c>
      <c r="B3486" s="3" t="s">
        <v>8180</v>
      </c>
      <c r="C3486" s="3" t="s">
        <v>1361</v>
      </c>
      <c r="D3486" s="4" t="s">
        <v>8181</v>
      </c>
      <c r="E3486" s="3" t="s">
        <v>1218</v>
      </c>
      <c r="F3486" s="3" t="s">
        <v>1358</v>
      </c>
      <c r="G3486" s="3" t="s">
        <v>321</v>
      </c>
      <c r="H3486" s="4"/>
    </row>
    <row r="3487" ht="16.5" customHeight="1" spans="1:8">
      <c r="A3487" s="3">
        <v>3486</v>
      </c>
      <c r="B3487" s="3" t="s">
        <v>8182</v>
      </c>
      <c r="C3487" s="3" t="s">
        <v>2163</v>
      </c>
      <c r="D3487" s="4" t="s">
        <v>8183</v>
      </c>
      <c r="E3487" s="3" t="s">
        <v>1076</v>
      </c>
      <c r="F3487" s="3" t="s">
        <v>4668</v>
      </c>
      <c r="G3487" s="3"/>
      <c r="H3487" s="4" t="s">
        <v>4322</v>
      </c>
    </row>
    <row r="3488" ht="16.5" customHeight="1" spans="1:8">
      <c r="A3488" s="3">
        <v>3487</v>
      </c>
      <c r="B3488" s="3" t="s">
        <v>8184</v>
      </c>
      <c r="C3488" s="3" t="s">
        <v>2163</v>
      </c>
      <c r="D3488" s="4" t="s">
        <v>8185</v>
      </c>
      <c r="E3488" s="3" t="s">
        <v>2726</v>
      </c>
      <c r="F3488" s="3" t="s">
        <v>2105</v>
      </c>
      <c r="G3488" s="3" t="s">
        <v>321</v>
      </c>
      <c r="H3488" s="4" t="s">
        <v>3812</v>
      </c>
    </row>
    <row r="3489" ht="16.5" customHeight="1" spans="1:8">
      <c r="A3489" s="3">
        <v>3488</v>
      </c>
      <c r="B3489" s="3" t="s">
        <v>8186</v>
      </c>
      <c r="C3489" s="3" t="s">
        <v>1356</v>
      </c>
      <c r="D3489" s="4" t="s">
        <v>8187</v>
      </c>
      <c r="E3489" s="3" t="s">
        <v>1076</v>
      </c>
      <c r="F3489" s="3" t="s">
        <v>4668</v>
      </c>
      <c r="G3489" s="3"/>
      <c r="H3489" s="4" t="s">
        <v>4322</v>
      </c>
    </row>
    <row r="3490" ht="16.5" customHeight="1" spans="1:8">
      <c r="A3490" s="3">
        <v>3489</v>
      </c>
      <c r="B3490" s="3" t="s">
        <v>8188</v>
      </c>
      <c r="C3490" s="3" t="s">
        <v>1356</v>
      </c>
      <c r="D3490" s="4" t="s">
        <v>8189</v>
      </c>
      <c r="E3490" s="3" t="s">
        <v>1076</v>
      </c>
      <c r="F3490" s="3" t="s">
        <v>4668</v>
      </c>
      <c r="G3490" s="3"/>
      <c r="H3490" s="4" t="s">
        <v>1305</v>
      </c>
    </row>
    <row r="3491" ht="16.5" customHeight="1" spans="1:8">
      <c r="A3491" s="3">
        <v>3490</v>
      </c>
      <c r="B3491" s="3" t="s">
        <v>8190</v>
      </c>
      <c r="C3491" s="3" t="s">
        <v>1356</v>
      </c>
      <c r="D3491" s="4" t="s">
        <v>8191</v>
      </c>
      <c r="E3491" s="3" t="s">
        <v>1076</v>
      </c>
      <c r="F3491" s="3" t="s">
        <v>4668</v>
      </c>
      <c r="G3491" s="3"/>
      <c r="H3491" s="4" t="s">
        <v>1095</v>
      </c>
    </row>
    <row r="3492" ht="16.5" customHeight="1" spans="1:8">
      <c r="A3492" s="3">
        <v>3491</v>
      </c>
      <c r="B3492" s="3" t="s">
        <v>8192</v>
      </c>
      <c r="C3492" s="3" t="s">
        <v>1361</v>
      </c>
      <c r="D3492" s="4" t="s">
        <v>8193</v>
      </c>
      <c r="E3492" s="3" t="s">
        <v>1218</v>
      </c>
      <c r="F3492" s="3" t="s">
        <v>2105</v>
      </c>
      <c r="G3492" s="3"/>
      <c r="H3492" s="4"/>
    </row>
    <row r="3493" ht="16.5" customHeight="1" spans="1:8">
      <c r="A3493" s="3">
        <v>3492</v>
      </c>
      <c r="B3493" s="3" t="s">
        <v>8194</v>
      </c>
      <c r="C3493" s="3" t="s">
        <v>1361</v>
      </c>
      <c r="D3493" s="4" t="s">
        <v>8195</v>
      </c>
      <c r="E3493" s="3" t="s">
        <v>1218</v>
      </c>
      <c r="F3493" s="3" t="s">
        <v>2105</v>
      </c>
      <c r="G3493" s="3" t="s">
        <v>5126</v>
      </c>
      <c r="H3493" s="4"/>
    </row>
    <row r="3494" ht="16.5" customHeight="1" spans="1:8">
      <c r="A3494" s="3">
        <v>3493</v>
      </c>
      <c r="B3494" s="3" t="s">
        <v>8196</v>
      </c>
      <c r="C3494" s="3" t="s">
        <v>1361</v>
      </c>
      <c r="D3494" s="4" t="s">
        <v>8197</v>
      </c>
      <c r="E3494" s="3" t="s">
        <v>1218</v>
      </c>
      <c r="F3494" s="3" t="s">
        <v>2105</v>
      </c>
      <c r="G3494" s="3" t="s">
        <v>5126</v>
      </c>
      <c r="H3494" s="4"/>
    </row>
    <row r="3495" ht="16.5" customHeight="1" spans="1:8">
      <c r="A3495" s="3">
        <v>3494</v>
      </c>
      <c r="B3495" s="3" t="s">
        <v>8198</v>
      </c>
      <c r="C3495" s="3" t="s">
        <v>2163</v>
      </c>
      <c r="D3495" s="4" t="s">
        <v>8199</v>
      </c>
      <c r="E3495" s="3" t="s">
        <v>1076</v>
      </c>
      <c r="F3495" s="3" t="s">
        <v>4668</v>
      </c>
      <c r="G3495" s="3"/>
      <c r="H3495" s="4" t="s">
        <v>2181</v>
      </c>
    </row>
    <row r="3496" ht="16.5" customHeight="1" spans="1:8">
      <c r="A3496" s="3">
        <v>3495</v>
      </c>
      <c r="B3496" s="3" t="s">
        <v>8200</v>
      </c>
      <c r="C3496" s="3" t="s">
        <v>2163</v>
      </c>
      <c r="D3496" s="4" t="s">
        <v>8201</v>
      </c>
      <c r="E3496" s="3" t="s">
        <v>1076</v>
      </c>
      <c r="F3496" s="3" t="s">
        <v>2105</v>
      </c>
      <c r="G3496" s="3"/>
      <c r="H3496" s="4" t="s">
        <v>5533</v>
      </c>
    </row>
    <row r="3497" ht="16.5" customHeight="1" spans="1:8">
      <c r="A3497" s="3">
        <v>3496</v>
      </c>
      <c r="B3497" s="3" t="s">
        <v>8202</v>
      </c>
      <c r="C3497" s="3" t="s">
        <v>2163</v>
      </c>
      <c r="D3497" s="4" t="s">
        <v>8203</v>
      </c>
      <c r="E3497" s="3" t="s">
        <v>1076</v>
      </c>
      <c r="F3497" s="3" t="s">
        <v>2105</v>
      </c>
      <c r="G3497" s="3"/>
      <c r="H3497" s="4" t="s">
        <v>5533</v>
      </c>
    </row>
    <row r="3498" ht="16.5" customHeight="1" spans="1:8">
      <c r="A3498" s="3">
        <v>3497</v>
      </c>
      <c r="B3498" s="3" t="s">
        <v>8204</v>
      </c>
      <c r="C3498" s="3" t="s">
        <v>2163</v>
      </c>
      <c r="D3498" s="4" t="s">
        <v>8205</v>
      </c>
      <c r="E3498" s="3" t="s">
        <v>2726</v>
      </c>
      <c r="F3498" s="3" t="s">
        <v>2105</v>
      </c>
      <c r="G3498" s="3"/>
      <c r="H3498" s="4" t="s">
        <v>3812</v>
      </c>
    </row>
    <row r="3499" ht="16.5" customHeight="1" spans="1:8">
      <c r="A3499" s="3">
        <v>3498</v>
      </c>
      <c r="B3499" s="3" t="s">
        <v>8206</v>
      </c>
      <c r="C3499" s="3" t="s">
        <v>1074</v>
      </c>
      <c r="D3499" s="4" t="s">
        <v>8207</v>
      </c>
      <c r="E3499" s="3" t="s">
        <v>1076</v>
      </c>
      <c r="F3499" s="3" t="s">
        <v>4668</v>
      </c>
      <c r="G3499" s="3"/>
      <c r="H3499" s="4" t="s">
        <v>4322</v>
      </c>
    </row>
    <row r="3500" ht="16.5" customHeight="1" spans="1:8">
      <c r="A3500" s="3">
        <v>3499</v>
      </c>
      <c r="B3500" s="3" t="s">
        <v>8208</v>
      </c>
      <c r="C3500" s="3" t="s">
        <v>1105</v>
      </c>
      <c r="D3500" s="4" t="s">
        <v>8209</v>
      </c>
      <c r="E3500" s="3" t="s">
        <v>1837</v>
      </c>
      <c r="F3500" s="3" t="s">
        <v>4668</v>
      </c>
      <c r="G3500" s="3"/>
      <c r="H3500" s="4" t="s">
        <v>8210</v>
      </c>
    </row>
    <row r="3501" ht="16.5" customHeight="1" spans="1:8">
      <c r="A3501" s="3">
        <v>3500</v>
      </c>
      <c r="B3501" s="3" t="s">
        <v>8211</v>
      </c>
      <c r="C3501" s="3" t="s">
        <v>1105</v>
      </c>
      <c r="D3501" s="4" t="s">
        <v>8212</v>
      </c>
      <c r="E3501" s="3" t="s">
        <v>1837</v>
      </c>
      <c r="F3501" s="3" t="s">
        <v>4668</v>
      </c>
      <c r="G3501" s="3"/>
      <c r="H3501" s="4" t="s">
        <v>8210</v>
      </c>
    </row>
    <row r="3502" ht="16.5" customHeight="1" spans="1:8">
      <c r="A3502" s="3">
        <v>3501</v>
      </c>
      <c r="B3502" s="3" t="s">
        <v>8213</v>
      </c>
      <c r="C3502" s="3" t="s">
        <v>1105</v>
      </c>
      <c r="D3502" s="4" t="s">
        <v>8214</v>
      </c>
      <c r="E3502" s="3" t="s">
        <v>1837</v>
      </c>
      <c r="F3502" s="3" t="s">
        <v>4668</v>
      </c>
      <c r="G3502" s="3"/>
      <c r="H3502" s="4" t="s">
        <v>8210</v>
      </c>
    </row>
    <row r="3503" ht="16.5" customHeight="1" spans="1:8">
      <c r="A3503" s="3">
        <v>3502</v>
      </c>
      <c r="B3503" s="3" t="s">
        <v>8215</v>
      </c>
      <c r="C3503" s="3" t="s">
        <v>1105</v>
      </c>
      <c r="D3503" s="4" t="s">
        <v>8216</v>
      </c>
      <c r="E3503" s="3" t="s">
        <v>1837</v>
      </c>
      <c r="F3503" s="3" t="s">
        <v>4668</v>
      </c>
      <c r="G3503" s="3"/>
      <c r="H3503" s="4" t="s">
        <v>8210</v>
      </c>
    </row>
    <row r="3504" ht="16.5" customHeight="1" spans="1:8">
      <c r="A3504" s="3">
        <v>3503</v>
      </c>
      <c r="B3504" s="3" t="s">
        <v>8217</v>
      </c>
      <c r="C3504" s="3" t="s">
        <v>1105</v>
      </c>
      <c r="D3504" s="4" t="s">
        <v>8218</v>
      </c>
      <c r="E3504" s="3" t="s">
        <v>1837</v>
      </c>
      <c r="F3504" s="3" t="s">
        <v>4668</v>
      </c>
      <c r="G3504" s="3"/>
      <c r="H3504" s="4" t="s">
        <v>8210</v>
      </c>
    </row>
    <row r="3505" ht="16.5" customHeight="1" spans="1:8">
      <c r="A3505" s="3">
        <v>3504</v>
      </c>
      <c r="B3505" s="3" t="s">
        <v>8219</v>
      </c>
      <c r="C3505" s="3" t="s">
        <v>2163</v>
      </c>
      <c r="D3505" s="4" t="s">
        <v>8220</v>
      </c>
      <c r="E3505" s="3" t="s">
        <v>2263</v>
      </c>
      <c r="F3505" s="3" t="s">
        <v>2105</v>
      </c>
      <c r="G3505" s="3"/>
      <c r="H3505" s="4" t="s">
        <v>3812</v>
      </c>
    </row>
    <row r="3506" ht="16.5" customHeight="1" spans="1:8">
      <c r="A3506" s="3">
        <v>3505</v>
      </c>
      <c r="B3506" s="3" t="s">
        <v>8221</v>
      </c>
      <c r="C3506" s="3" t="s">
        <v>1356</v>
      </c>
      <c r="D3506" s="4" t="s">
        <v>8222</v>
      </c>
      <c r="E3506" s="3" t="s">
        <v>1076</v>
      </c>
      <c r="F3506" s="3" t="s">
        <v>4668</v>
      </c>
      <c r="G3506" s="3"/>
      <c r="H3506" s="4" t="s">
        <v>4117</v>
      </c>
    </row>
    <row r="3507" ht="16.5" customHeight="1" spans="1:8">
      <c r="A3507" s="3">
        <v>3506</v>
      </c>
      <c r="B3507" s="3" t="s">
        <v>8223</v>
      </c>
      <c r="C3507" s="3" t="s">
        <v>1356</v>
      </c>
      <c r="D3507" s="4" t="s">
        <v>8224</v>
      </c>
      <c r="E3507" s="3" t="s">
        <v>1076</v>
      </c>
      <c r="F3507" s="3" t="s">
        <v>4668</v>
      </c>
      <c r="G3507" s="3"/>
      <c r="H3507" s="4" t="s">
        <v>4117</v>
      </c>
    </row>
    <row r="3508" ht="16.5" customHeight="1" spans="1:8">
      <c r="A3508" s="3">
        <v>3507</v>
      </c>
      <c r="B3508" s="3" t="s">
        <v>8225</v>
      </c>
      <c r="C3508" s="3" t="s">
        <v>2163</v>
      </c>
      <c r="D3508" s="4" t="s">
        <v>8226</v>
      </c>
      <c r="E3508" s="3" t="s">
        <v>1076</v>
      </c>
      <c r="F3508" s="3" t="s">
        <v>1358</v>
      </c>
      <c r="G3508" s="3"/>
      <c r="H3508" s="4" t="s">
        <v>1390</v>
      </c>
    </row>
    <row r="3509" ht="16.5" customHeight="1" spans="1:8">
      <c r="A3509" s="3">
        <v>3508</v>
      </c>
      <c r="B3509" s="3" t="s">
        <v>8227</v>
      </c>
      <c r="C3509" s="3" t="s">
        <v>1356</v>
      </c>
      <c r="D3509" s="4" t="s">
        <v>8228</v>
      </c>
      <c r="E3509" s="3" t="s">
        <v>1076</v>
      </c>
      <c r="F3509" s="3" t="s">
        <v>4668</v>
      </c>
      <c r="G3509" s="3"/>
      <c r="H3509" s="4" t="s">
        <v>1095</v>
      </c>
    </row>
    <row r="3510" ht="16.5" customHeight="1" spans="1:8">
      <c r="A3510" s="3">
        <v>3509</v>
      </c>
      <c r="B3510" s="3" t="s">
        <v>8229</v>
      </c>
      <c r="C3510" s="3" t="s">
        <v>1356</v>
      </c>
      <c r="D3510" s="4" t="s">
        <v>8230</v>
      </c>
      <c r="E3510" s="3" t="s">
        <v>2726</v>
      </c>
      <c r="F3510" s="3" t="s">
        <v>8175</v>
      </c>
      <c r="G3510" s="3"/>
      <c r="H3510" s="4" t="s">
        <v>4322</v>
      </c>
    </row>
    <row r="3511" ht="16.5" customHeight="1" spans="1:8">
      <c r="A3511" s="3">
        <v>3510</v>
      </c>
      <c r="B3511" s="3" t="s">
        <v>8231</v>
      </c>
      <c r="C3511" s="3" t="s">
        <v>2163</v>
      </c>
      <c r="D3511" s="4" t="s">
        <v>8232</v>
      </c>
      <c r="E3511" s="3" t="s">
        <v>1076</v>
      </c>
      <c r="F3511" s="3" t="s">
        <v>4668</v>
      </c>
      <c r="G3511" s="3"/>
      <c r="H3511" s="4" t="s">
        <v>1359</v>
      </c>
    </row>
    <row r="3512" ht="16.5" customHeight="1" spans="1:8">
      <c r="A3512" s="3">
        <v>3511</v>
      </c>
      <c r="B3512" s="3" t="s">
        <v>8233</v>
      </c>
      <c r="C3512" s="3" t="s">
        <v>1356</v>
      </c>
      <c r="D3512" s="4" t="s">
        <v>8234</v>
      </c>
      <c r="E3512" s="3" t="s">
        <v>1076</v>
      </c>
      <c r="F3512" s="3" t="s">
        <v>1358</v>
      </c>
      <c r="G3512" s="3"/>
      <c r="H3512" s="4"/>
    </row>
    <row r="3513" ht="16.5" customHeight="1" spans="1:8">
      <c r="A3513" s="3">
        <v>3512</v>
      </c>
      <c r="B3513" s="3" t="s">
        <v>8235</v>
      </c>
      <c r="C3513" s="3" t="s">
        <v>1356</v>
      </c>
      <c r="D3513" s="4" t="s">
        <v>8236</v>
      </c>
      <c r="E3513" s="3" t="s">
        <v>1076</v>
      </c>
      <c r="F3513" s="3" t="s">
        <v>1358</v>
      </c>
      <c r="G3513" s="3"/>
      <c r="H3513" s="4" t="s">
        <v>6740</v>
      </c>
    </row>
    <row r="3514" ht="16.5" customHeight="1" spans="1:8">
      <c r="A3514" s="3">
        <v>3513</v>
      </c>
      <c r="B3514" s="3" t="s">
        <v>8237</v>
      </c>
      <c r="C3514" s="3" t="s">
        <v>1356</v>
      </c>
      <c r="D3514" s="4" t="s">
        <v>8238</v>
      </c>
      <c r="E3514" s="3" t="s">
        <v>1076</v>
      </c>
      <c r="F3514" s="3" t="s">
        <v>1358</v>
      </c>
      <c r="G3514" s="3"/>
      <c r="H3514" s="4" t="s">
        <v>4322</v>
      </c>
    </row>
    <row r="3515" ht="16.5" customHeight="1" spans="1:8">
      <c r="A3515" s="3">
        <v>3514</v>
      </c>
      <c r="B3515" s="3" t="s">
        <v>8239</v>
      </c>
      <c r="C3515" s="3" t="s">
        <v>1356</v>
      </c>
      <c r="D3515" s="4" t="s">
        <v>8240</v>
      </c>
      <c r="E3515" s="3" t="s">
        <v>1076</v>
      </c>
      <c r="F3515" s="3" t="s">
        <v>1358</v>
      </c>
      <c r="G3515" s="3"/>
      <c r="H3515" s="4"/>
    </row>
    <row r="3516" ht="16.5" customHeight="1" spans="1:8">
      <c r="A3516" s="3">
        <v>3515</v>
      </c>
      <c r="B3516" s="3" t="s">
        <v>8241</v>
      </c>
      <c r="C3516" s="3" t="s">
        <v>1356</v>
      </c>
      <c r="D3516" s="4" t="s">
        <v>8242</v>
      </c>
      <c r="E3516" s="3" t="s">
        <v>1076</v>
      </c>
      <c r="F3516" s="3" t="s">
        <v>1358</v>
      </c>
      <c r="G3516" s="3"/>
      <c r="H3516" s="4" t="s">
        <v>6740</v>
      </c>
    </row>
    <row r="3517" ht="16.5" customHeight="1" spans="1:8">
      <c r="A3517" s="3">
        <v>3516</v>
      </c>
      <c r="B3517" s="3" t="s">
        <v>8243</v>
      </c>
      <c r="C3517" s="3" t="s">
        <v>1356</v>
      </c>
      <c r="D3517" s="4" t="s">
        <v>8244</v>
      </c>
      <c r="E3517" s="3" t="s">
        <v>1076</v>
      </c>
      <c r="F3517" s="3" t="s">
        <v>1719</v>
      </c>
      <c r="G3517" s="3"/>
      <c r="H3517" s="4" t="s">
        <v>3812</v>
      </c>
    </row>
    <row r="3518" ht="16.5" customHeight="1" spans="1:8">
      <c r="A3518" s="3">
        <v>3517</v>
      </c>
      <c r="B3518" s="3" t="s">
        <v>8245</v>
      </c>
      <c r="C3518" s="3" t="s">
        <v>1356</v>
      </c>
      <c r="D3518" s="4" t="s">
        <v>5854</v>
      </c>
      <c r="E3518" s="3" t="s">
        <v>1076</v>
      </c>
      <c r="F3518" s="3" t="s">
        <v>1358</v>
      </c>
      <c r="G3518" s="3"/>
      <c r="H3518" s="4"/>
    </row>
    <row r="3519" ht="16.5" customHeight="1" spans="1:8">
      <c r="A3519" s="3">
        <v>3518</v>
      </c>
      <c r="B3519" s="3" t="s">
        <v>8246</v>
      </c>
      <c r="C3519" s="3" t="s">
        <v>1356</v>
      </c>
      <c r="D3519" s="4" t="s">
        <v>8247</v>
      </c>
      <c r="E3519" s="3" t="s">
        <v>1076</v>
      </c>
      <c r="F3519" s="3" t="s">
        <v>1358</v>
      </c>
      <c r="G3519" s="3"/>
      <c r="H3519" s="4" t="s">
        <v>4322</v>
      </c>
    </row>
    <row r="3520" ht="16.5" customHeight="1" spans="1:8">
      <c r="A3520" s="3">
        <v>3519</v>
      </c>
      <c r="B3520" s="3" t="s">
        <v>8248</v>
      </c>
      <c r="C3520" s="3" t="s">
        <v>2163</v>
      </c>
      <c r="D3520" s="4" t="s">
        <v>8249</v>
      </c>
      <c r="E3520" s="3" t="s">
        <v>1076</v>
      </c>
      <c r="F3520" s="3" t="s">
        <v>1358</v>
      </c>
      <c r="G3520" s="3"/>
      <c r="H3520" s="4" t="s">
        <v>1095</v>
      </c>
    </row>
    <row r="3521" ht="16.5" customHeight="1" spans="1:8">
      <c r="A3521" s="3">
        <v>3520</v>
      </c>
      <c r="B3521" s="3" t="s">
        <v>8250</v>
      </c>
      <c r="C3521" s="3" t="s">
        <v>2163</v>
      </c>
      <c r="D3521" s="4" t="s">
        <v>8251</v>
      </c>
      <c r="E3521" s="3" t="s">
        <v>1076</v>
      </c>
      <c r="F3521" s="3" t="s">
        <v>4668</v>
      </c>
      <c r="G3521" s="3"/>
      <c r="H3521" s="4" t="s">
        <v>3354</v>
      </c>
    </row>
    <row r="3522" ht="16.5" customHeight="1" spans="1:8">
      <c r="A3522" s="3">
        <v>3521</v>
      </c>
      <c r="B3522" s="3" t="s">
        <v>8252</v>
      </c>
      <c r="C3522" s="3" t="s">
        <v>1356</v>
      </c>
      <c r="D3522" s="4" t="s">
        <v>8253</v>
      </c>
      <c r="E3522" s="3" t="s">
        <v>1076</v>
      </c>
      <c r="F3522" s="3" t="s">
        <v>2041</v>
      </c>
      <c r="G3522" s="3" t="s">
        <v>321</v>
      </c>
      <c r="H3522" s="4" t="s">
        <v>4322</v>
      </c>
    </row>
    <row r="3523" ht="16.5" customHeight="1" spans="1:8">
      <c r="A3523" s="3">
        <v>3522</v>
      </c>
      <c r="B3523" s="3" t="s">
        <v>8254</v>
      </c>
      <c r="C3523" s="3" t="s">
        <v>2163</v>
      </c>
      <c r="D3523" s="4" t="s">
        <v>8255</v>
      </c>
      <c r="E3523" s="3" t="s">
        <v>1076</v>
      </c>
      <c r="F3523" s="3" t="s">
        <v>4668</v>
      </c>
      <c r="G3523" s="3"/>
      <c r="H3523" s="4" t="s">
        <v>3354</v>
      </c>
    </row>
    <row r="3524" ht="16.5" customHeight="1" spans="1:8">
      <c r="A3524" s="3">
        <v>3523</v>
      </c>
      <c r="B3524" s="3" t="s">
        <v>8256</v>
      </c>
      <c r="C3524" s="3" t="s">
        <v>2163</v>
      </c>
      <c r="D3524" s="4" t="s">
        <v>8257</v>
      </c>
      <c r="E3524" s="3" t="s">
        <v>1076</v>
      </c>
      <c r="F3524" s="3" t="s">
        <v>4668</v>
      </c>
      <c r="G3524" s="3"/>
      <c r="H3524" s="4" t="s">
        <v>3812</v>
      </c>
    </row>
    <row r="3525" ht="16.5" customHeight="1" spans="1:8">
      <c r="A3525" s="3">
        <v>3524</v>
      </c>
      <c r="B3525" s="3" t="s">
        <v>8258</v>
      </c>
      <c r="C3525" s="3" t="s">
        <v>2163</v>
      </c>
      <c r="D3525" s="4" t="s">
        <v>8259</v>
      </c>
      <c r="E3525" s="3" t="s">
        <v>2726</v>
      </c>
      <c r="F3525" s="3" t="s">
        <v>1358</v>
      </c>
      <c r="G3525" s="3"/>
      <c r="H3525" s="4" t="s">
        <v>1095</v>
      </c>
    </row>
    <row r="3526" ht="16.5" customHeight="1" spans="1:8">
      <c r="A3526" s="3">
        <v>3525</v>
      </c>
      <c r="B3526" s="3" t="s">
        <v>8260</v>
      </c>
      <c r="C3526" s="3" t="s">
        <v>2163</v>
      </c>
      <c r="D3526" s="4" t="s">
        <v>8261</v>
      </c>
      <c r="E3526" s="3" t="s">
        <v>1076</v>
      </c>
      <c r="F3526" s="3" t="s">
        <v>1358</v>
      </c>
      <c r="G3526" s="3"/>
      <c r="H3526" s="4" t="s">
        <v>4322</v>
      </c>
    </row>
    <row r="3527" ht="16.5" customHeight="1" spans="1:8">
      <c r="A3527" s="3">
        <v>3526</v>
      </c>
      <c r="B3527" s="3" t="s">
        <v>8262</v>
      </c>
      <c r="C3527" s="3" t="s">
        <v>1356</v>
      </c>
      <c r="D3527" s="4" t="s">
        <v>8263</v>
      </c>
      <c r="E3527" s="3" t="s">
        <v>1076</v>
      </c>
      <c r="F3527" s="3" t="s">
        <v>4668</v>
      </c>
      <c r="G3527" s="3"/>
      <c r="H3527" s="4" t="s">
        <v>6740</v>
      </c>
    </row>
    <row r="3528" ht="16.5" customHeight="1" spans="1:8">
      <c r="A3528" s="3">
        <v>3527</v>
      </c>
      <c r="B3528" s="3" t="s">
        <v>8264</v>
      </c>
      <c r="C3528" s="3" t="s">
        <v>1356</v>
      </c>
      <c r="D3528" s="4" t="s">
        <v>8265</v>
      </c>
      <c r="E3528" s="3" t="s">
        <v>1076</v>
      </c>
      <c r="F3528" s="3" t="s">
        <v>4668</v>
      </c>
      <c r="G3528" s="3"/>
      <c r="H3528" s="4" t="s">
        <v>1359</v>
      </c>
    </row>
    <row r="3529" ht="16.5" customHeight="1" spans="1:8">
      <c r="A3529" s="3">
        <v>3528</v>
      </c>
      <c r="B3529" s="3" t="s">
        <v>8266</v>
      </c>
      <c r="C3529" s="3" t="s">
        <v>1361</v>
      </c>
      <c r="D3529" s="4" t="s">
        <v>8267</v>
      </c>
      <c r="E3529" s="3" t="s">
        <v>1218</v>
      </c>
      <c r="F3529" s="3" t="s">
        <v>2041</v>
      </c>
      <c r="G3529" s="3" t="s">
        <v>321</v>
      </c>
      <c r="H3529" s="4" t="s">
        <v>1095</v>
      </c>
    </row>
    <row r="3530" ht="16.5" customHeight="1" spans="1:8">
      <c r="A3530" s="3">
        <v>3529</v>
      </c>
      <c r="B3530" s="3" t="s">
        <v>8268</v>
      </c>
      <c r="C3530" s="3" t="s">
        <v>1361</v>
      </c>
      <c r="D3530" s="4" t="s">
        <v>8269</v>
      </c>
      <c r="E3530" s="3" t="s">
        <v>1218</v>
      </c>
      <c r="F3530" s="3" t="s">
        <v>2041</v>
      </c>
      <c r="G3530" s="3"/>
      <c r="H3530" s="4"/>
    </row>
    <row r="3531" ht="16.5" customHeight="1" spans="1:8">
      <c r="A3531" s="3">
        <v>3530</v>
      </c>
      <c r="B3531" s="3" t="s">
        <v>8270</v>
      </c>
      <c r="C3531" s="3" t="s">
        <v>1361</v>
      </c>
      <c r="D3531" s="4" t="s">
        <v>8271</v>
      </c>
      <c r="E3531" s="3" t="s">
        <v>1218</v>
      </c>
      <c r="F3531" s="3" t="s">
        <v>2041</v>
      </c>
      <c r="G3531" s="3"/>
      <c r="H3531" s="4"/>
    </row>
    <row r="3532" ht="16.5" customHeight="1" spans="1:8">
      <c r="A3532" s="3">
        <v>3531</v>
      </c>
      <c r="B3532" s="3" t="s">
        <v>8272</v>
      </c>
      <c r="C3532" s="3" t="s">
        <v>2163</v>
      </c>
      <c r="D3532" s="4" t="s">
        <v>8273</v>
      </c>
      <c r="E3532" s="3" t="s">
        <v>1076</v>
      </c>
      <c r="F3532" s="3" t="s">
        <v>2105</v>
      </c>
      <c r="G3532" s="3" t="s">
        <v>321</v>
      </c>
      <c r="H3532" s="4" t="s">
        <v>1095</v>
      </c>
    </row>
    <row r="3533" ht="16.5" customHeight="1" spans="1:8">
      <c r="A3533" s="3">
        <v>3532</v>
      </c>
      <c r="B3533" s="3" t="s">
        <v>8274</v>
      </c>
      <c r="C3533" s="3" t="s">
        <v>1356</v>
      </c>
      <c r="D3533" s="4" t="s">
        <v>8275</v>
      </c>
      <c r="E3533" s="3" t="s">
        <v>1076</v>
      </c>
      <c r="F3533" s="3" t="s">
        <v>1358</v>
      </c>
      <c r="G3533" s="3" t="s">
        <v>321</v>
      </c>
      <c r="H3533" s="4" t="s">
        <v>1095</v>
      </c>
    </row>
    <row r="3534" ht="16.5" customHeight="1" spans="1:8">
      <c r="A3534" s="3">
        <v>3533</v>
      </c>
      <c r="B3534" s="3" t="s">
        <v>8276</v>
      </c>
      <c r="C3534" s="3" t="s">
        <v>2163</v>
      </c>
      <c r="D3534" s="4" t="s">
        <v>8277</v>
      </c>
      <c r="E3534" s="3" t="s">
        <v>1076</v>
      </c>
      <c r="F3534" s="3" t="s">
        <v>2105</v>
      </c>
      <c r="G3534" s="3" t="s">
        <v>321</v>
      </c>
      <c r="H3534" s="4" t="s">
        <v>1095</v>
      </c>
    </row>
    <row r="3535" ht="16.5" customHeight="1" spans="1:8">
      <c r="A3535" s="3">
        <v>3534</v>
      </c>
      <c r="B3535" s="3" t="s">
        <v>8278</v>
      </c>
      <c r="C3535" s="3" t="s">
        <v>2163</v>
      </c>
      <c r="D3535" s="4" t="s">
        <v>8279</v>
      </c>
      <c r="E3535" s="3" t="s">
        <v>1076</v>
      </c>
      <c r="F3535" s="3" t="s">
        <v>2105</v>
      </c>
      <c r="G3535" s="3" t="s">
        <v>321</v>
      </c>
      <c r="H3535" s="4" t="s">
        <v>1095</v>
      </c>
    </row>
    <row r="3536" ht="16.5" customHeight="1" spans="1:8">
      <c r="A3536" s="3">
        <v>3535</v>
      </c>
      <c r="B3536" s="3" t="s">
        <v>8280</v>
      </c>
      <c r="C3536" s="3" t="s">
        <v>2163</v>
      </c>
      <c r="D3536" s="4" t="s">
        <v>8281</v>
      </c>
      <c r="E3536" s="3" t="s">
        <v>1076</v>
      </c>
      <c r="F3536" s="3" t="s">
        <v>2105</v>
      </c>
      <c r="G3536" s="3" t="s">
        <v>321</v>
      </c>
      <c r="H3536" s="4" t="s">
        <v>1843</v>
      </c>
    </row>
    <row r="3537" ht="16.5" customHeight="1" spans="1:8">
      <c r="A3537" s="3">
        <v>3536</v>
      </c>
      <c r="B3537" s="3" t="s">
        <v>8282</v>
      </c>
      <c r="C3537" s="3" t="s">
        <v>2163</v>
      </c>
      <c r="D3537" s="4" t="s">
        <v>8283</v>
      </c>
      <c r="E3537" s="3" t="s">
        <v>1076</v>
      </c>
      <c r="F3537" s="3" t="s">
        <v>1358</v>
      </c>
      <c r="G3537" s="3" t="s">
        <v>321</v>
      </c>
      <c r="H3537" s="4" t="s">
        <v>4322</v>
      </c>
    </row>
    <row r="3538" ht="16.5" customHeight="1" spans="1:8">
      <c r="A3538" s="3">
        <v>3537</v>
      </c>
      <c r="B3538" s="3" t="s">
        <v>8284</v>
      </c>
      <c r="C3538" s="3" t="s">
        <v>1356</v>
      </c>
      <c r="D3538" s="4" t="s">
        <v>8285</v>
      </c>
      <c r="E3538" s="3" t="s">
        <v>1076</v>
      </c>
      <c r="F3538" s="3" t="s">
        <v>4668</v>
      </c>
      <c r="G3538" s="3"/>
      <c r="H3538" s="4" t="s">
        <v>1359</v>
      </c>
    </row>
    <row r="3539" ht="16.5" customHeight="1" spans="1:8">
      <c r="A3539" s="3">
        <v>3538</v>
      </c>
      <c r="B3539" s="3" t="s">
        <v>8286</v>
      </c>
      <c r="C3539" s="3" t="s">
        <v>1356</v>
      </c>
      <c r="D3539" s="4" t="s">
        <v>8287</v>
      </c>
      <c r="E3539" s="3" t="s">
        <v>1076</v>
      </c>
      <c r="F3539" s="3" t="s">
        <v>4668</v>
      </c>
      <c r="G3539" s="3"/>
      <c r="H3539" s="4" t="s">
        <v>1359</v>
      </c>
    </row>
    <row r="3540" ht="16.5" customHeight="1" spans="1:8">
      <c r="A3540" s="3">
        <v>3539</v>
      </c>
      <c r="B3540" s="3" t="s">
        <v>8288</v>
      </c>
      <c r="C3540" s="3" t="s">
        <v>1356</v>
      </c>
      <c r="D3540" s="4" t="s">
        <v>8289</v>
      </c>
      <c r="E3540" s="3" t="s">
        <v>1076</v>
      </c>
      <c r="F3540" s="3" t="s">
        <v>4668</v>
      </c>
      <c r="G3540" s="3"/>
      <c r="H3540" s="4" t="s">
        <v>1359</v>
      </c>
    </row>
    <row r="3541" ht="16.5" customHeight="1" spans="1:8">
      <c r="A3541" s="3">
        <v>3540</v>
      </c>
      <c r="B3541" s="3" t="s">
        <v>8290</v>
      </c>
      <c r="C3541" s="3" t="s">
        <v>2163</v>
      </c>
      <c r="D3541" s="4" t="s">
        <v>8291</v>
      </c>
      <c r="E3541" s="3" t="s">
        <v>1076</v>
      </c>
      <c r="F3541" s="3" t="s">
        <v>2105</v>
      </c>
      <c r="G3541" s="3" t="s">
        <v>321</v>
      </c>
      <c r="H3541" s="4" t="s">
        <v>1368</v>
      </c>
    </row>
    <row r="3542" ht="16.5" customHeight="1" spans="1:8">
      <c r="A3542" s="3">
        <v>3541</v>
      </c>
      <c r="B3542" s="3" t="s">
        <v>8292</v>
      </c>
      <c r="C3542" s="3" t="s">
        <v>2163</v>
      </c>
      <c r="D3542" s="4" t="s">
        <v>8293</v>
      </c>
      <c r="E3542" s="3" t="s">
        <v>1076</v>
      </c>
      <c r="F3542" s="3" t="s">
        <v>1358</v>
      </c>
      <c r="G3542" s="3" t="s">
        <v>321</v>
      </c>
      <c r="H3542" s="4" t="s">
        <v>1095</v>
      </c>
    </row>
    <row r="3543" ht="16.5" customHeight="1" spans="1:8">
      <c r="A3543" s="3">
        <v>3542</v>
      </c>
      <c r="B3543" s="3" t="s">
        <v>8294</v>
      </c>
      <c r="C3543" s="3" t="s">
        <v>1356</v>
      </c>
      <c r="D3543" s="4" t="s">
        <v>8295</v>
      </c>
      <c r="E3543" s="3" t="s">
        <v>1076</v>
      </c>
      <c r="F3543" s="3" t="s">
        <v>1358</v>
      </c>
      <c r="G3543" s="3"/>
      <c r="H3543" s="4" t="s">
        <v>1359</v>
      </c>
    </row>
    <row r="3544" ht="16.5" customHeight="1" spans="1:8">
      <c r="A3544" s="3">
        <v>3543</v>
      </c>
      <c r="B3544" s="3" t="s">
        <v>8296</v>
      </c>
      <c r="C3544" s="3" t="s">
        <v>1356</v>
      </c>
      <c r="D3544" s="4" t="s">
        <v>8297</v>
      </c>
      <c r="E3544" s="3" t="s">
        <v>1076</v>
      </c>
      <c r="F3544" s="3" t="s">
        <v>4668</v>
      </c>
      <c r="G3544" s="3"/>
      <c r="H3544" s="4" t="s">
        <v>1359</v>
      </c>
    </row>
    <row r="3545" ht="16.5" customHeight="1" spans="1:8">
      <c r="A3545" s="3">
        <v>3544</v>
      </c>
      <c r="B3545" s="3" t="s">
        <v>8298</v>
      </c>
      <c r="C3545" s="3" t="s">
        <v>2163</v>
      </c>
      <c r="D3545" s="4" t="s">
        <v>8299</v>
      </c>
      <c r="E3545" s="3" t="s">
        <v>1076</v>
      </c>
      <c r="F3545" s="3" t="s">
        <v>1358</v>
      </c>
      <c r="G3545" s="3" t="s">
        <v>321</v>
      </c>
      <c r="H3545" s="4" t="s">
        <v>1359</v>
      </c>
    </row>
    <row r="3546" ht="16.5" customHeight="1" spans="1:8">
      <c r="A3546" s="3">
        <v>3545</v>
      </c>
      <c r="B3546" s="3" t="s">
        <v>8300</v>
      </c>
      <c r="C3546" s="3" t="s">
        <v>1105</v>
      </c>
      <c r="D3546" s="4" t="s">
        <v>8301</v>
      </c>
      <c r="E3546" s="3" t="s">
        <v>1837</v>
      </c>
      <c r="F3546" s="3" t="s">
        <v>1719</v>
      </c>
      <c r="G3546" s="3"/>
      <c r="H3546" s="4" t="s">
        <v>8210</v>
      </c>
    </row>
    <row r="3547" ht="16.5" customHeight="1" spans="1:8">
      <c r="A3547" s="3">
        <v>3546</v>
      </c>
      <c r="B3547" s="3" t="s">
        <v>8302</v>
      </c>
      <c r="C3547" s="3" t="s">
        <v>1105</v>
      </c>
      <c r="D3547" s="4" t="s">
        <v>8303</v>
      </c>
      <c r="E3547" s="3" t="s">
        <v>1837</v>
      </c>
      <c r="F3547" s="3" t="s">
        <v>1719</v>
      </c>
      <c r="G3547" s="3"/>
      <c r="H3547" s="4" t="s">
        <v>6983</v>
      </c>
    </row>
    <row r="3548" ht="16.5" customHeight="1" spans="1:8">
      <c r="A3548" s="3">
        <v>3547</v>
      </c>
      <c r="B3548" s="3" t="s">
        <v>8304</v>
      </c>
      <c r="C3548" s="3" t="s">
        <v>1356</v>
      </c>
      <c r="D3548" s="4" t="s">
        <v>8305</v>
      </c>
      <c r="E3548" s="3" t="s">
        <v>1076</v>
      </c>
      <c r="F3548" s="3" t="s">
        <v>4668</v>
      </c>
      <c r="G3548" s="3"/>
      <c r="H3548" s="4" t="s">
        <v>1095</v>
      </c>
    </row>
    <row r="3549" ht="16.5" customHeight="1" spans="1:8">
      <c r="A3549" s="3">
        <v>3548</v>
      </c>
      <c r="B3549" s="3" t="s">
        <v>8306</v>
      </c>
      <c r="C3549" s="3" t="s">
        <v>2163</v>
      </c>
      <c r="D3549" s="4" t="s">
        <v>8307</v>
      </c>
      <c r="E3549" s="3" t="s">
        <v>1076</v>
      </c>
      <c r="F3549" s="3" t="s">
        <v>1358</v>
      </c>
      <c r="G3549" s="3" t="s">
        <v>321</v>
      </c>
      <c r="H3549" s="4" t="s">
        <v>1095</v>
      </c>
    </row>
    <row r="3550" ht="16.5" customHeight="1" spans="1:8">
      <c r="A3550" s="3">
        <v>3549</v>
      </c>
      <c r="B3550" s="3" t="s">
        <v>8308</v>
      </c>
      <c r="C3550" s="3" t="s">
        <v>2163</v>
      </c>
      <c r="D3550" s="4" t="s">
        <v>8309</v>
      </c>
      <c r="E3550" s="3" t="s">
        <v>1076</v>
      </c>
      <c r="F3550" s="3" t="s">
        <v>1358</v>
      </c>
      <c r="G3550" s="3" t="s">
        <v>321</v>
      </c>
      <c r="H3550" s="4" t="s">
        <v>1095</v>
      </c>
    </row>
    <row r="3551" ht="16.5" customHeight="1" spans="1:8">
      <c r="A3551" s="3">
        <v>3550</v>
      </c>
      <c r="B3551" s="3" t="s">
        <v>8310</v>
      </c>
      <c r="C3551" s="3" t="s">
        <v>1074</v>
      </c>
      <c r="D3551" s="4" t="s">
        <v>8311</v>
      </c>
      <c r="E3551" s="3" t="s">
        <v>1076</v>
      </c>
      <c r="F3551" s="3" t="s">
        <v>4668</v>
      </c>
      <c r="G3551" s="3"/>
      <c r="H3551" s="4" t="s">
        <v>3812</v>
      </c>
    </row>
    <row r="3552" ht="16.5" customHeight="1" spans="1:8">
      <c r="A3552" s="3">
        <v>3551</v>
      </c>
      <c r="B3552" s="3" t="s">
        <v>8312</v>
      </c>
      <c r="C3552" s="3" t="s">
        <v>1074</v>
      </c>
      <c r="D3552" s="4" t="s">
        <v>8313</v>
      </c>
      <c r="E3552" s="3" t="s">
        <v>1164</v>
      </c>
      <c r="F3552" s="3" t="s">
        <v>4668</v>
      </c>
      <c r="G3552" s="3"/>
      <c r="H3552" s="4" t="s">
        <v>3812</v>
      </c>
    </row>
    <row r="3553" ht="16.5" customHeight="1" spans="1:8">
      <c r="A3553" s="3">
        <v>3552</v>
      </c>
      <c r="B3553" s="3" t="s">
        <v>8314</v>
      </c>
      <c r="C3553" s="3" t="s">
        <v>1074</v>
      </c>
      <c r="D3553" s="4" t="s">
        <v>8315</v>
      </c>
      <c r="E3553" s="3" t="s">
        <v>1076</v>
      </c>
      <c r="F3553" s="3" t="s">
        <v>4668</v>
      </c>
      <c r="G3553" s="3"/>
      <c r="H3553" s="4" t="s">
        <v>3812</v>
      </c>
    </row>
    <row r="3554" ht="16.5" customHeight="1" spans="1:8">
      <c r="A3554" s="3">
        <v>3553</v>
      </c>
      <c r="B3554" s="3" t="s">
        <v>8316</v>
      </c>
      <c r="C3554" s="3" t="s">
        <v>1074</v>
      </c>
      <c r="D3554" s="4" t="s">
        <v>8317</v>
      </c>
      <c r="E3554" s="3" t="s">
        <v>1076</v>
      </c>
      <c r="F3554" s="3" t="s">
        <v>4668</v>
      </c>
      <c r="G3554" s="3"/>
      <c r="H3554" s="4" t="s">
        <v>3812</v>
      </c>
    </row>
    <row r="3555" ht="16.5" customHeight="1" spans="1:8">
      <c r="A3555" s="3">
        <v>3554</v>
      </c>
      <c r="B3555" s="3" t="s">
        <v>8318</v>
      </c>
      <c r="C3555" s="3" t="s">
        <v>1074</v>
      </c>
      <c r="D3555" s="4" t="s">
        <v>8319</v>
      </c>
      <c r="E3555" s="3" t="s">
        <v>1076</v>
      </c>
      <c r="F3555" s="3" t="s">
        <v>4668</v>
      </c>
      <c r="G3555" s="3"/>
      <c r="H3555" s="4" t="s">
        <v>3812</v>
      </c>
    </row>
    <row r="3556" ht="16.5" customHeight="1" spans="1:8">
      <c r="A3556" s="3">
        <v>3555</v>
      </c>
      <c r="B3556" s="3" t="s">
        <v>8320</v>
      </c>
      <c r="C3556" s="3" t="s">
        <v>1074</v>
      </c>
      <c r="D3556" s="4" t="s">
        <v>8321</v>
      </c>
      <c r="E3556" s="3" t="s">
        <v>1076</v>
      </c>
      <c r="F3556" s="3" t="s">
        <v>4668</v>
      </c>
      <c r="G3556" s="3"/>
      <c r="H3556" s="4" t="s">
        <v>3812</v>
      </c>
    </row>
    <row r="3557" ht="16.5" customHeight="1" spans="1:8">
      <c r="A3557" s="3">
        <v>3556</v>
      </c>
      <c r="B3557" s="3" t="s">
        <v>8322</v>
      </c>
      <c r="C3557" s="3" t="s">
        <v>1074</v>
      </c>
      <c r="D3557" s="4" t="s">
        <v>8323</v>
      </c>
      <c r="E3557" s="3" t="s">
        <v>1218</v>
      </c>
      <c r="F3557" s="3" t="s">
        <v>4668</v>
      </c>
      <c r="G3557" s="3"/>
      <c r="H3557" s="4" t="s">
        <v>3812</v>
      </c>
    </row>
    <row r="3558" ht="16.5" customHeight="1" spans="1:8">
      <c r="A3558" s="3">
        <v>3557</v>
      </c>
      <c r="B3558" s="3" t="s">
        <v>8324</v>
      </c>
      <c r="C3558" s="3" t="s">
        <v>1074</v>
      </c>
      <c r="D3558" s="4" t="s">
        <v>8325</v>
      </c>
      <c r="E3558" s="3" t="s">
        <v>1076</v>
      </c>
      <c r="F3558" s="3" t="s">
        <v>4668</v>
      </c>
      <c r="G3558" s="3"/>
      <c r="H3558" s="4" t="s">
        <v>3812</v>
      </c>
    </row>
    <row r="3559" ht="16.5" customHeight="1" spans="1:8">
      <c r="A3559" s="3">
        <v>3558</v>
      </c>
      <c r="B3559" s="3" t="s">
        <v>8326</v>
      </c>
      <c r="C3559" s="3" t="s">
        <v>1105</v>
      </c>
      <c r="D3559" s="4" t="s">
        <v>8327</v>
      </c>
      <c r="E3559" s="3" t="s">
        <v>1076</v>
      </c>
      <c r="F3559" s="3" t="s">
        <v>4668</v>
      </c>
      <c r="G3559" s="3"/>
      <c r="H3559" s="4" t="s">
        <v>8328</v>
      </c>
    </row>
    <row r="3560" ht="16.5" customHeight="1" spans="1:8">
      <c r="A3560" s="3">
        <v>3559</v>
      </c>
      <c r="B3560" s="3" t="s">
        <v>8329</v>
      </c>
      <c r="C3560" s="3" t="s">
        <v>1105</v>
      </c>
      <c r="D3560" s="4" t="s">
        <v>8330</v>
      </c>
      <c r="E3560" s="3" t="s">
        <v>1739</v>
      </c>
      <c r="F3560" s="3" t="s">
        <v>4668</v>
      </c>
      <c r="G3560" s="3"/>
      <c r="H3560" s="4" t="s">
        <v>8331</v>
      </c>
    </row>
    <row r="3561" ht="16.5" customHeight="1" spans="1:8">
      <c r="A3561" s="3">
        <v>3560</v>
      </c>
      <c r="B3561" s="3" t="s">
        <v>8332</v>
      </c>
      <c r="C3561" s="3" t="s">
        <v>1105</v>
      </c>
      <c r="D3561" s="4" t="s">
        <v>8333</v>
      </c>
      <c r="E3561" s="3" t="s">
        <v>1739</v>
      </c>
      <c r="F3561" s="3" t="s">
        <v>4668</v>
      </c>
      <c r="G3561" s="3"/>
      <c r="H3561" s="4" t="s">
        <v>8331</v>
      </c>
    </row>
    <row r="3562" ht="16.5" customHeight="1" spans="1:8">
      <c r="A3562" s="3">
        <v>3561</v>
      </c>
      <c r="B3562" s="3" t="s">
        <v>8334</v>
      </c>
      <c r="C3562" s="3" t="s">
        <v>1105</v>
      </c>
      <c r="D3562" s="4" t="s">
        <v>8335</v>
      </c>
      <c r="E3562" s="3" t="s">
        <v>1739</v>
      </c>
      <c r="F3562" s="3" t="s">
        <v>4668</v>
      </c>
      <c r="G3562" s="3"/>
      <c r="H3562" s="4" t="s">
        <v>8331</v>
      </c>
    </row>
    <row r="3563" ht="16.5" customHeight="1" spans="1:8">
      <c r="A3563" s="3">
        <v>3562</v>
      </c>
      <c r="B3563" s="3" t="s">
        <v>8336</v>
      </c>
      <c r="C3563" s="3" t="s">
        <v>1105</v>
      </c>
      <c r="D3563" s="4" t="s">
        <v>8337</v>
      </c>
      <c r="E3563" s="3" t="s">
        <v>1739</v>
      </c>
      <c r="F3563" s="3" t="s">
        <v>4668</v>
      </c>
      <c r="G3563" s="3"/>
      <c r="H3563" s="4" t="s">
        <v>8338</v>
      </c>
    </row>
    <row r="3564" ht="16.5" customHeight="1" spans="1:8">
      <c r="A3564" s="3">
        <v>3563</v>
      </c>
      <c r="B3564" s="3" t="s">
        <v>8339</v>
      </c>
      <c r="C3564" s="3" t="s">
        <v>1105</v>
      </c>
      <c r="D3564" s="4" t="s">
        <v>8340</v>
      </c>
      <c r="E3564" s="3" t="s">
        <v>1076</v>
      </c>
      <c r="F3564" s="3" t="s">
        <v>4668</v>
      </c>
      <c r="G3564" s="3"/>
      <c r="H3564" s="4" t="s">
        <v>8341</v>
      </c>
    </row>
    <row r="3565" ht="16.5" customHeight="1" spans="1:8">
      <c r="A3565" s="3">
        <v>3564</v>
      </c>
      <c r="B3565" s="3" t="s">
        <v>8342</v>
      </c>
      <c r="C3565" s="3" t="s">
        <v>1105</v>
      </c>
      <c r="D3565" s="4" t="s">
        <v>8343</v>
      </c>
      <c r="E3565" s="3" t="s">
        <v>1837</v>
      </c>
      <c r="F3565" s="3" t="s">
        <v>4668</v>
      </c>
      <c r="G3565" s="3"/>
      <c r="H3565" s="4" t="s">
        <v>8344</v>
      </c>
    </row>
    <row r="3566" ht="16.5" customHeight="1" spans="1:8">
      <c r="A3566" s="3">
        <v>3565</v>
      </c>
      <c r="B3566" s="3" t="s">
        <v>8345</v>
      </c>
      <c r="C3566" s="3" t="s">
        <v>1105</v>
      </c>
      <c r="D3566" s="4" t="s">
        <v>8346</v>
      </c>
      <c r="E3566" s="3" t="s">
        <v>1218</v>
      </c>
      <c r="F3566" s="3" t="s">
        <v>4668</v>
      </c>
      <c r="G3566" s="3"/>
      <c r="H3566" s="4" t="s">
        <v>8347</v>
      </c>
    </row>
    <row r="3567" ht="16.5" customHeight="1" spans="1:8">
      <c r="A3567" s="3">
        <v>3566</v>
      </c>
      <c r="B3567" s="3" t="s">
        <v>8348</v>
      </c>
      <c r="C3567" s="3" t="s">
        <v>1105</v>
      </c>
      <c r="D3567" s="4" t="s">
        <v>8349</v>
      </c>
      <c r="E3567" s="3" t="s">
        <v>1076</v>
      </c>
      <c r="F3567" s="3" t="s">
        <v>4668</v>
      </c>
      <c r="G3567" s="3"/>
      <c r="H3567" s="4" t="s">
        <v>8350</v>
      </c>
    </row>
    <row r="3568" ht="16.5" customHeight="1" spans="1:8">
      <c r="A3568" s="3">
        <v>3567</v>
      </c>
      <c r="B3568" s="3" t="s">
        <v>8351</v>
      </c>
      <c r="C3568" s="3" t="s">
        <v>1105</v>
      </c>
      <c r="D3568" s="4" t="s">
        <v>8352</v>
      </c>
      <c r="E3568" s="3" t="s">
        <v>1076</v>
      </c>
      <c r="F3568" s="3" t="s">
        <v>4668</v>
      </c>
      <c r="G3568" s="3"/>
      <c r="H3568" s="4" t="s">
        <v>8350</v>
      </c>
    </row>
    <row r="3569" ht="16.5" customHeight="1" spans="1:8">
      <c r="A3569" s="3">
        <v>3568</v>
      </c>
      <c r="B3569" s="3" t="s">
        <v>8353</v>
      </c>
      <c r="C3569" s="3" t="s">
        <v>2163</v>
      </c>
      <c r="D3569" s="4" t="s">
        <v>8354</v>
      </c>
      <c r="E3569" s="3" t="s">
        <v>1076</v>
      </c>
      <c r="F3569" s="3" t="s">
        <v>1358</v>
      </c>
      <c r="G3569" s="3"/>
      <c r="H3569" s="4" t="s">
        <v>4322</v>
      </c>
    </row>
    <row r="3570" ht="16.5" customHeight="1" spans="1:8">
      <c r="A3570" s="3">
        <v>3569</v>
      </c>
      <c r="B3570" s="3" t="s">
        <v>8355</v>
      </c>
      <c r="C3570" s="3" t="s">
        <v>1356</v>
      </c>
      <c r="D3570" s="4" t="s">
        <v>8356</v>
      </c>
      <c r="E3570" s="3" t="s">
        <v>1076</v>
      </c>
      <c r="F3570" s="3" t="s">
        <v>4668</v>
      </c>
      <c r="G3570" s="3"/>
      <c r="H3570" s="4" t="s">
        <v>4322</v>
      </c>
    </row>
    <row r="3571" ht="16.5" customHeight="1" spans="1:8">
      <c r="A3571" s="3">
        <v>3570</v>
      </c>
      <c r="B3571" s="3" t="s">
        <v>8357</v>
      </c>
      <c r="C3571" s="3" t="s">
        <v>1361</v>
      </c>
      <c r="D3571" s="4" t="s">
        <v>8358</v>
      </c>
      <c r="E3571" s="3" t="s">
        <v>1218</v>
      </c>
      <c r="F3571" s="3" t="s">
        <v>2041</v>
      </c>
      <c r="G3571" s="3" t="s">
        <v>321</v>
      </c>
      <c r="H3571" s="4" t="s">
        <v>1095</v>
      </c>
    </row>
    <row r="3572" ht="16.5" customHeight="1" spans="1:8">
      <c r="A3572" s="3">
        <v>3571</v>
      </c>
      <c r="B3572" s="3" t="s">
        <v>8359</v>
      </c>
      <c r="C3572" s="3" t="s">
        <v>1361</v>
      </c>
      <c r="D3572" s="4" t="s">
        <v>8360</v>
      </c>
      <c r="E3572" s="3" t="s">
        <v>1218</v>
      </c>
      <c r="F3572" s="3" t="s">
        <v>2041</v>
      </c>
      <c r="G3572" s="3" t="s">
        <v>321</v>
      </c>
      <c r="H3572" s="4" t="s">
        <v>1095</v>
      </c>
    </row>
    <row r="3573" ht="16.5" customHeight="1" spans="1:8">
      <c r="A3573" s="3">
        <v>3572</v>
      </c>
      <c r="B3573" s="3" t="s">
        <v>8361</v>
      </c>
      <c r="C3573" s="3" t="s">
        <v>1361</v>
      </c>
      <c r="D3573" s="4" t="s">
        <v>8362</v>
      </c>
      <c r="E3573" s="3" t="s">
        <v>1218</v>
      </c>
      <c r="F3573" s="3" t="s">
        <v>2041</v>
      </c>
      <c r="G3573" s="3" t="s">
        <v>321</v>
      </c>
      <c r="H3573" s="4" t="s">
        <v>1095</v>
      </c>
    </row>
    <row r="3574" ht="16.5" customHeight="1" spans="1:8">
      <c r="A3574" s="3">
        <v>3573</v>
      </c>
      <c r="B3574" s="3" t="s">
        <v>8363</v>
      </c>
      <c r="C3574" s="3" t="s">
        <v>1361</v>
      </c>
      <c r="D3574" s="4" t="s">
        <v>8364</v>
      </c>
      <c r="E3574" s="3" t="s">
        <v>1218</v>
      </c>
      <c r="F3574" s="3" t="s">
        <v>2041</v>
      </c>
      <c r="G3574" s="3" t="s">
        <v>321</v>
      </c>
      <c r="H3574" s="4" t="s">
        <v>1095</v>
      </c>
    </row>
    <row r="3575" ht="16.5" customHeight="1" spans="1:8">
      <c r="A3575" s="3">
        <v>3574</v>
      </c>
      <c r="B3575" s="3" t="s">
        <v>8365</v>
      </c>
      <c r="C3575" s="3" t="s">
        <v>1361</v>
      </c>
      <c r="D3575" s="4" t="s">
        <v>8366</v>
      </c>
      <c r="E3575" s="3" t="s">
        <v>1218</v>
      </c>
      <c r="F3575" s="3" t="s">
        <v>2041</v>
      </c>
      <c r="G3575" s="3" t="s">
        <v>321</v>
      </c>
      <c r="H3575" s="4" t="s">
        <v>1095</v>
      </c>
    </row>
    <row r="3576" ht="16.5" customHeight="1" spans="1:8">
      <c r="A3576" s="3">
        <v>3575</v>
      </c>
      <c r="B3576" s="3" t="s">
        <v>8367</v>
      </c>
      <c r="C3576" s="3" t="s">
        <v>1361</v>
      </c>
      <c r="D3576" s="4" t="s">
        <v>8368</v>
      </c>
      <c r="E3576" s="3" t="s">
        <v>1218</v>
      </c>
      <c r="F3576" s="3" t="s">
        <v>2041</v>
      </c>
      <c r="G3576" s="3" t="s">
        <v>321</v>
      </c>
      <c r="H3576" s="4" t="s">
        <v>1095</v>
      </c>
    </row>
    <row r="3577" ht="16.5" customHeight="1" spans="1:8">
      <c r="A3577" s="3">
        <v>3576</v>
      </c>
      <c r="B3577" s="3" t="s">
        <v>8369</v>
      </c>
      <c r="C3577" s="3" t="s">
        <v>1361</v>
      </c>
      <c r="D3577" s="4" t="s">
        <v>8370</v>
      </c>
      <c r="E3577" s="3" t="s">
        <v>1218</v>
      </c>
      <c r="F3577" s="3" t="s">
        <v>2041</v>
      </c>
      <c r="G3577" s="3" t="s">
        <v>321</v>
      </c>
      <c r="H3577" s="4" t="s">
        <v>1095</v>
      </c>
    </row>
    <row r="3578" ht="16.5" customHeight="1" spans="1:8">
      <c r="A3578" s="3">
        <v>3577</v>
      </c>
      <c r="B3578" s="3" t="s">
        <v>8371</v>
      </c>
      <c r="C3578" s="3" t="s">
        <v>1361</v>
      </c>
      <c r="D3578" s="4" t="s">
        <v>8372</v>
      </c>
      <c r="E3578" s="3" t="s">
        <v>1218</v>
      </c>
      <c r="F3578" s="3" t="s">
        <v>2041</v>
      </c>
      <c r="G3578" s="3" t="s">
        <v>321</v>
      </c>
      <c r="H3578" s="4" t="s">
        <v>1095</v>
      </c>
    </row>
    <row r="3579" ht="16.5" customHeight="1" spans="1:8">
      <c r="A3579" s="3">
        <v>3578</v>
      </c>
      <c r="B3579" s="3" t="s">
        <v>8373</v>
      </c>
      <c r="C3579" s="3" t="s">
        <v>1361</v>
      </c>
      <c r="D3579" s="4" t="s">
        <v>8374</v>
      </c>
      <c r="E3579" s="3" t="s">
        <v>1218</v>
      </c>
      <c r="F3579" s="3" t="s">
        <v>2041</v>
      </c>
      <c r="G3579" s="3" t="s">
        <v>321</v>
      </c>
      <c r="H3579" s="4" t="s">
        <v>1095</v>
      </c>
    </row>
    <row r="3580" ht="16.5" customHeight="1" spans="1:8">
      <c r="A3580" s="3">
        <v>3579</v>
      </c>
      <c r="B3580" s="3" t="s">
        <v>8375</v>
      </c>
      <c r="C3580" s="3" t="s">
        <v>2163</v>
      </c>
      <c r="D3580" s="4" t="s">
        <v>8376</v>
      </c>
      <c r="E3580" s="3" t="s">
        <v>2726</v>
      </c>
      <c r="F3580" s="3" t="s">
        <v>1358</v>
      </c>
      <c r="G3580" s="3"/>
      <c r="H3580" s="4" t="s">
        <v>1843</v>
      </c>
    </row>
    <row r="3581" ht="16.5" customHeight="1" spans="1:8">
      <c r="A3581" s="3">
        <v>3580</v>
      </c>
      <c r="B3581" s="3" t="s">
        <v>8377</v>
      </c>
      <c r="C3581" s="3" t="s">
        <v>1356</v>
      </c>
      <c r="D3581" s="4" t="s">
        <v>8378</v>
      </c>
      <c r="E3581" s="3" t="s">
        <v>2726</v>
      </c>
      <c r="F3581" s="3" t="s">
        <v>4668</v>
      </c>
      <c r="G3581" s="3"/>
      <c r="H3581" s="4" t="s">
        <v>1359</v>
      </c>
    </row>
    <row r="3582" ht="16.5" customHeight="1" spans="1:8">
      <c r="A3582" s="3">
        <v>3581</v>
      </c>
      <c r="B3582" s="3" t="s">
        <v>8379</v>
      </c>
      <c r="C3582" s="3" t="s">
        <v>1356</v>
      </c>
      <c r="D3582" s="4" t="s">
        <v>8380</v>
      </c>
      <c r="E3582" s="3" t="s">
        <v>1076</v>
      </c>
      <c r="F3582" s="3" t="s">
        <v>4668</v>
      </c>
      <c r="G3582" s="3"/>
      <c r="H3582" s="4" t="s">
        <v>1359</v>
      </c>
    </row>
    <row r="3583" ht="16.5" customHeight="1" spans="1:8">
      <c r="A3583" s="3">
        <v>3582</v>
      </c>
      <c r="B3583" s="3" t="s">
        <v>8381</v>
      </c>
      <c r="C3583" s="3" t="s">
        <v>1361</v>
      </c>
      <c r="D3583" s="4" t="s">
        <v>8382</v>
      </c>
      <c r="E3583" s="3" t="s">
        <v>1218</v>
      </c>
      <c r="F3583" s="3" t="s">
        <v>2105</v>
      </c>
      <c r="G3583" s="3"/>
      <c r="H3583" s="4"/>
    </row>
    <row r="3584" ht="16.5" customHeight="1" spans="1:8">
      <c r="A3584" s="3">
        <v>3583</v>
      </c>
      <c r="B3584" s="3" t="s">
        <v>8383</v>
      </c>
      <c r="C3584" s="3" t="s">
        <v>1105</v>
      </c>
      <c r="D3584" s="4" t="s">
        <v>8384</v>
      </c>
      <c r="E3584" s="3" t="s">
        <v>1837</v>
      </c>
      <c r="F3584" s="3" t="s">
        <v>1719</v>
      </c>
      <c r="G3584" s="3"/>
      <c r="H3584" s="4" t="s">
        <v>8210</v>
      </c>
    </row>
    <row r="3585" ht="16.5" customHeight="1" spans="1:8">
      <c r="A3585" s="3">
        <v>3584</v>
      </c>
      <c r="B3585" s="3" t="s">
        <v>8385</v>
      </c>
      <c r="C3585" s="3" t="s">
        <v>1099</v>
      </c>
      <c r="D3585" s="4" t="s">
        <v>8386</v>
      </c>
      <c r="E3585" s="3" t="s">
        <v>1218</v>
      </c>
      <c r="F3585" s="3" t="s">
        <v>4668</v>
      </c>
      <c r="G3585" s="3"/>
      <c r="H3585" s="4"/>
    </row>
    <row r="3586" ht="16.5" customHeight="1" spans="1:8">
      <c r="A3586" s="3">
        <v>3585</v>
      </c>
      <c r="B3586" s="3" t="s">
        <v>8387</v>
      </c>
      <c r="C3586" s="3" t="s">
        <v>1074</v>
      </c>
      <c r="D3586" s="4" t="s">
        <v>8388</v>
      </c>
      <c r="E3586" s="3" t="s">
        <v>1076</v>
      </c>
      <c r="F3586" s="3" t="s">
        <v>4668</v>
      </c>
      <c r="G3586" s="3"/>
      <c r="H3586" s="4" t="s">
        <v>6560</v>
      </c>
    </row>
    <row r="3587" ht="16.5" customHeight="1" spans="1:8">
      <c r="A3587" s="3">
        <v>3586</v>
      </c>
      <c r="B3587" s="3" t="s">
        <v>8389</v>
      </c>
      <c r="C3587" s="3" t="s">
        <v>1105</v>
      </c>
      <c r="D3587" s="4" t="s">
        <v>8390</v>
      </c>
      <c r="E3587" s="3" t="s">
        <v>1164</v>
      </c>
      <c r="F3587" s="3" t="s">
        <v>4668</v>
      </c>
      <c r="G3587" s="3"/>
      <c r="H3587" s="4" t="s">
        <v>8391</v>
      </c>
    </row>
    <row r="3588" ht="16.5" customHeight="1" spans="1:8">
      <c r="A3588" s="3">
        <v>3587</v>
      </c>
      <c r="B3588" s="3" t="s">
        <v>8392</v>
      </c>
      <c r="C3588" s="3" t="s">
        <v>1074</v>
      </c>
      <c r="D3588" s="4" t="s">
        <v>8393</v>
      </c>
      <c r="E3588" s="3" t="s">
        <v>1076</v>
      </c>
      <c r="F3588" s="3" t="s">
        <v>4668</v>
      </c>
      <c r="G3588" s="3"/>
      <c r="H3588" s="4" t="s">
        <v>6560</v>
      </c>
    </row>
    <row r="3589" ht="16.5" customHeight="1" spans="1:8">
      <c r="A3589" s="3">
        <v>3588</v>
      </c>
      <c r="B3589" s="3" t="s">
        <v>8394</v>
      </c>
      <c r="C3589" s="3" t="s">
        <v>1105</v>
      </c>
      <c r="D3589" s="4" t="s">
        <v>8395</v>
      </c>
      <c r="E3589" s="3" t="s">
        <v>1076</v>
      </c>
      <c r="F3589" s="3" t="s">
        <v>4668</v>
      </c>
      <c r="G3589" s="3"/>
      <c r="H3589" s="4" t="s">
        <v>8396</v>
      </c>
    </row>
    <row r="3590" ht="16.5" customHeight="1" spans="1:8">
      <c r="A3590" s="3">
        <v>3589</v>
      </c>
      <c r="B3590" s="3" t="s">
        <v>8397</v>
      </c>
      <c r="C3590" s="3" t="s">
        <v>1074</v>
      </c>
      <c r="D3590" s="4" t="s">
        <v>8398</v>
      </c>
      <c r="E3590" s="3" t="s">
        <v>1076</v>
      </c>
      <c r="F3590" s="3" t="s">
        <v>4668</v>
      </c>
      <c r="G3590" s="3"/>
      <c r="H3590" s="4" t="s">
        <v>6560</v>
      </c>
    </row>
    <row r="3591" ht="16.5" customHeight="1" spans="1:8">
      <c r="A3591" s="3">
        <v>3590</v>
      </c>
      <c r="B3591" s="3" t="s">
        <v>8399</v>
      </c>
      <c r="C3591" s="3" t="s">
        <v>1074</v>
      </c>
      <c r="D3591" s="4" t="s">
        <v>8400</v>
      </c>
      <c r="E3591" s="3" t="s">
        <v>8401</v>
      </c>
      <c r="F3591" s="3" t="s">
        <v>4668</v>
      </c>
      <c r="G3591" s="3"/>
      <c r="H3591" s="4" t="s">
        <v>8402</v>
      </c>
    </row>
    <row r="3592" ht="16.5" customHeight="1" spans="1:8">
      <c r="A3592" s="3">
        <v>3591</v>
      </c>
      <c r="B3592" s="3" t="s">
        <v>8403</v>
      </c>
      <c r="C3592" s="3" t="s">
        <v>1074</v>
      </c>
      <c r="D3592" s="4" t="s">
        <v>8404</v>
      </c>
      <c r="E3592" s="3" t="s">
        <v>1076</v>
      </c>
      <c r="F3592" s="3" t="s">
        <v>4668</v>
      </c>
      <c r="G3592" s="3"/>
      <c r="H3592" s="4" t="s">
        <v>6560</v>
      </c>
    </row>
    <row r="3593" ht="16.5" customHeight="1" spans="1:8">
      <c r="A3593" s="3">
        <v>3592</v>
      </c>
      <c r="B3593" s="3" t="s">
        <v>8405</v>
      </c>
      <c r="C3593" s="3" t="s">
        <v>1105</v>
      </c>
      <c r="D3593" s="4" t="s">
        <v>8406</v>
      </c>
      <c r="E3593" s="3" t="s">
        <v>1076</v>
      </c>
      <c r="F3593" s="3" t="s">
        <v>4668</v>
      </c>
      <c r="G3593" s="3"/>
      <c r="H3593" s="4" t="s">
        <v>8407</v>
      </c>
    </row>
    <row r="3594" ht="16.5" customHeight="1" spans="1:8">
      <c r="A3594" s="3">
        <v>3593</v>
      </c>
      <c r="B3594" s="3" t="s">
        <v>8408</v>
      </c>
      <c r="C3594" s="3" t="s">
        <v>1105</v>
      </c>
      <c r="D3594" s="4" t="s">
        <v>8409</v>
      </c>
      <c r="E3594" s="3" t="s">
        <v>1076</v>
      </c>
      <c r="F3594" s="3" t="s">
        <v>4668</v>
      </c>
      <c r="G3594" s="3"/>
      <c r="H3594" s="4" t="s">
        <v>8407</v>
      </c>
    </row>
    <row r="3595" ht="16.5" customHeight="1" spans="1:8">
      <c r="A3595" s="3">
        <v>3594</v>
      </c>
      <c r="B3595" s="3" t="s">
        <v>8410</v>
      </c>
      <c r="C3595" s="3" t="s">
        <v>1105</v>
      </c>
      <c r="D3595" s="4" t="s">
        <v>8411</v>
      </c>
      <c r="E3595" s="3" t="s">
        <v>1837</v>
      </c>
      <c r="F3595" s="3" t="s">
        <v>4668</v>
      </c>
      <c r="G3595" s="3"/>
      <c r="H3595" s="4" t="s">
        <v>8412</v>
      </c>
    </row>
    <row r="3596" ht="16.5" customHeight="1" spans="1:8">
      <c r="A3596" s="3">
        <v>3595</v>
      </c>
      <c r="B3596" s="3" t="s">
        <v>8413</v>
      </c>
      <c r="C3596" s="3" t="s">
        <v>1105</v>
      </c>
      <c r="D3596" s="4" t="s">
        <v>8414</v>
      </c>
      <c r="E3596" s="3" t="s">
        <v>1164</v>
      </c>
      <c r="F3596" s="3" t="s">
        <v>4668</v>
      </c>
      <c r="G3596" s="3"/>
      <c r="H3596" s="4" t="s">
        <v>8412</v>
      </c>
    </row>
    <row r="3597" ht="16.5" customHeight="1" spans="1:8">
      <c r="A3597" s="3">
        <v>3596</v>
      </c>
      <c r="B3597" s="3" t="s">
        <v>8415</v>
      </c>
      <c r="C3597" s="3" t="s">
        <v>1105</v>
      </c>
      <c r="D3597" s="4" t="s">
        <v>8416</v>
      </c>
      <c r="E3597" s="3" t="s">
        <v>1837</v>
      </c>
      <c r="F3597" s="3" t="s">
        <v>4668</v>
      </c>
      <c r="G3597" s="3"/>
      <c r="H3597" s="4" t="s">
        <v>8412</v>
      </c>
    </row>
    <row r="3598" ht="16.5" customHeight="1" spans="1:8">
      <c r="A3598" s="3">
        <v>3597</v>
      </c>
      <c r="B3598" s="3" t="s">
        <v>8417</v>
      </c>
      <c r="C3598" s="3" t="s">
        <v>1105</v>
      </c>
      <c r="D3598" s="4" t="s">
        <v>8418</v>
      </c>
      <c r="E3598" s="3" t="s">
        <v>1076</v>
      </c>
      <c r="F3598" s="3" t="s">
        <v>4668</v>
      </c>
      <c r="G3598" s="3"/>
      <c r="H3598" s="4" t="s">
        <v>8419</v>
      </c>
    </row>
    <row r="3599" ht="16.5" customHeight="1" spans="1:8">
      <c r="A3599" s="3">
        <v>3598</v>
      </c>
      <c r="B3599" s="3" t="s">
        <v>8420</v>
      </c>
      <c r="C3599" s="3" t="s">
        <v>1105</v>
      </c>
      <c r="D3599" s="4" t="s">
        <v>8421</v>
      </c>
      <c r="E3599" s="3" t="s">
        <v>1076</v>
      </c>
      <c r="F3599" s="3" t="s">
        <v>4668</v>
      </c>
      <c r="G3599" s="3"/>
      <c r="H3599" s="4" t="s">
        <v>8419</v>
      </c>
    </row>
    <row r="3600" ht="16.5" customHeight="1" spans="1:8">
      <c r="A3600" s="3">
        <v>3599</v>
      </c>
      <c r="B3600" s="3" t="s">
        <v>8422</v>
      </c>
      <c r="C3600" s="3" t="s">
        <v>1356</v>
      </c>
      <c r="D3600" s="4" t="s">
        <v>8423</v>
      </c>
      <c r="E3600" s="3" t="s">
        <v>1076</v>
      </c>
      <c r="F3600" s="3" t="s">
        <v>4668</v>
      </c>
      <c r="G3600" s="3"/>
      <c r="H3600" s="4" t="s">
        <v>6560</v>
      </c>
    </row>
    <row r="3601" ht="16.5" customHeight="1" spans="1:8">
      <c r="A3601" s="3">
        <v>3600</v>
      </c>
      <c r="B3601" s="3" t="s">
        <v>8424</v>
      </c>
      <c r="C3601" s="3" t="s">
        <v>1074</v>
      </c>
      <c r="D3601" s="4" t="s">
        <v>8425</v>
      </c>
      <c r="E3601" s="3" t="s">
        <v>1076</v>
      </c>
      <c r="F3601" s="3" t="s">
        <v>8175</v>
      </c>
      <c r="G3601" s="3"/>
      <c r="H3601" s="4" t="s">
        <v>4322</v>
      </c>
    </row>
    <row r="3602" ht="16.5" customHeight="1" spans="1:8">
      <c r="A3602" s="3">
        <v>3601</v>
      </c>
      <c r="B3602" s="3" t="s">
        <v>8426</v>
      </c>
      <c r="C3602" s="3" t="s">
        <v>1074</v>
      </c>
      <c r="D3602" s="4" t="s">
        <v>8427</v>
      </c>
      <c r="E3602" s="3" t="s">
        <v>1076</v>
      </c>
      <c r="F3602" s="3" t="s">
        <v>8175</v>
      </c>
      <c r="G3602" s="3"/>
      <c r="H3602" s="4" t="s">
        <v>4322</v>
      </c>
    </row>
    <row r="3603" ht="16.5" customHeight="1" spans="1:8">
      <c r="A3603" s="3">
        <v>3602</v>
      </c>
      <c r="B3603" s="3" t="s">
        <v>8428</v>
      </c>
      <c r="C3603" s="3" t="s">
        <v>1074</v>
      </c>
      <c r="D3603" s="4" t="s">
        <v>8429</v>
      </c>
      <c r="E3603" s="3" t="s">
        <v>1076</v>
      </c>
      <c r="F3603" s="3" t="s">
        <v>8175</v>
      </c>
      <c r="G3603" s="3"/>
      <c r="H3603" s="4" t="s">
        <v>4322</v>
      </c>
    </row>
    <row r="3604" ht="16.5" customHeight="1" spans="1:8">
      <c r="A3604" s="3">
        <v>3603</v>
      </c>
      <c r="B3604" s="3" t="s">
        <v>8430</v>
      </c>
      <c r="C3604" s="3" t="s">
        <v>1074</v>
      </c>
      <c r="D3604" s="4" t="s">
        <v>8431</v>
      </c>
      <c r="E3604" s="3" t="s">
        <v>1076</v>
      </c>
      <c r="F3604" s="3" t="s">
        <v>8175</v>
      </c>
      <c r="G3604" s="3"/>
      <c r="H3604" s="4" t="s">
        <v>4322</v>
      </c>
    </row>
    <row r="3605" ht="16.5" customHeight="1" spans="1:8">
      <c r="A3605" s="3">
        <v>3604</v>
      </c>
      <c r="B3605" s="3" t="s">
        <v>8432</v>
      </c>
      <c r="C3605" s="3" t="s">
        <v>1074</v>
      </c>
      <c r="D3605" s="4" t="s">
        <v>8433</v>
      </c>
      <c r="E3605" s="3" t="s">
        <v>1218</v>
      </c>
      <c r="F3605" s="3" t="s">
        <v>8175</v>
      </c>
      <c r="G3605" s="3"/>
      <c r="H3605" s="4" t="s">
        <v>4322</v>
      </c>
    </row>
    <row r="3606" ht="16.5" customHeight="1" spans="1:8">
      <c r="A3606" s="3">
        <v>3605</v>
      </c>
      <c r="B3606" s="3" t="s">
        <v>8434</v>
      </c>
      <c r="C3606" s="3" t="s">
        <v>1074</v>
      </c>
      <c r="D3606" s="4" t="s">
        <v>8435</v>
      </c>
      <c r="E3606" s="3" t="s">
        <v>1076</v>
      </c>
      <c r="F3606" s="3" t="s">
        <v>8175</v>
      </c>
      <c r="G3606" s="3"/>
      <c r="H3606" s="4" t="s">
        <v>4322</v>
      </c>
    </row>
    <row r="3607" ht="16.5" customHeight="1" spans="1:8">
      <c r="A3607" s="3">
        <v>3606</v>
      </c>
      <c r="B3607" s="3" t="s">
        <v>8436</v>
      </c>
      <c r="C3607" s="3" t="s">
        <v>1074</v>
      </c>
      <c r="D3607" s="4" t="s">
        <v>8437</v>
      </c>
      <c r="E3607" s="3" t="s">
        <v>1076</v>
      </c>
      <c r="F3607" s="3" t="s">
        <v>8175</v>
      </c>
      <c r="G3607" s="3"/>
      <c r="H3607" s="4" t="s">
        <v>4322</v>
      </c>
    </row>
    <row r="3608" ht="16.5" customHeight="1" spans="1:8">
      <c r="A3608" s="3">
        <v>3607</v>
      </c>
      <c r="B3608" s="3" t="s">
        <v>8438</v>
      </c>
      <c r="C3608" s="3" t="s">
        <v>1105</v>
      </c>
      <c r="D3608" s="4" t="s">
        <v>8439</v>
      </c>
      <c r="E3608" s="3" t="s">
        <v>1739</v>
      </c>
      <c r="F3608" s="3" t="s">
        <v>8175</v>
      </c>
      <c r="G3608" s="3"/>
      <c r="H3608" s="4" t="s">
        <v>8440</v>
      </c>
    </row>
    <row r="3609" ht="16.5" customHeight="1" spans="1:8">
      <c r="A3609" s="3">
        <v>3608</v>
      </c>
      <c r="B3609" s="3" t="s">
        <v>8441</v>
      </c>
      <c r="C3609" s="3" t="s">
        <v>1105</v>
      </c>
      <c r="D3609" s="4" t="s">
        <v>8442</v>
      </c>
      <c r="E3609" s="3" t="s">
        <v>1739</v>
      </c>
      <c r="F3609" s="3" t="s">
        <v>8175</v>
      </c>
      <c r="G3609" s="3"/>
      <c r="H3609" s="4" t="s">
        <v>8440</v>
      </c>
    </row>
    <row r="3610" ht="16.5" customHeight="1" spans="1:8">
      <c r="A3610" s="3">
        <v>3609</v>
      </c>
      <c r="B3610" s="3" t="s">
        <v>8443</v>
      </c>
      <c r="C3610" s="3" t="s">
        <v>1105</v>
      </c>
      <c r="D3610" s="4" t="s">
        <v>8444</v>
      </c>
      <c r="E3610" s="3" t="s">
        <v>1739</v>
      </c>
      <c r="F3610" s="3" t="s">
        <v>8175</v>
      </c>
      <c r="G3610" s="3"/>
      <c r="H3610" s="4" t="s">
        <v>8440</v>
      </c>
    </row>
    <row r="3611" ht="16.5" customHeight="1" spans="1:8">
      <c r="A3611" s="3">
        <v>3610</v>
      </c>
      <c r="B3611" s="3" t="s">
        <v>8445</v>
      </c>
      <c r="C3611" s="3" t="s">
        <v>1105</v>
      </c>
      <c r="D3611" s="4" t="s">
        <v>8446</v>
      </c>
      <c r="E3611" s="3" t="s">
        <v>1739</v>
      </c>
      <c r="F3611" s="3" t="s">
        <v>8175</v>
      </c>
      <c r="G3611" s="3"/>
      <c r="H3611" s="4" t="s">
        <v>8440</v>
      </c>
    </row>
    <row r="3612" ht="16.5" customHeight="1" spans="1:8">
      <c r="A3612" s="3">
        <v>3611</v>
      </c>
      <c r="B3612" s="3" t="s">
        <v>8447</v>
      </c>
      <c r="C3612" s="3" t="s">
        <v>1105</v>
      </c>
      <c r="D3612" s="4" t="s">
        <v>8448</v>
      </c>
      <c r="E3612" s="3" t="s">
        <v>1739</v>
      </c>
      <c r="F3612" s="3" t="s">
        <v>8175</v>
      </c>
      <c r="G3612" s="3"/>
      <c r="H3612" s="4" t="s">
        <v>8440</v>
      </c>
    </row>
    <row r="3613" ht="16.5" customHeight="1" spans="1:8">
      <c r="A3613" s="3">
        <v>3612</v>
      </c>
      <c r="B3613" s="3" t="s">
        <v>8449</v>
      </c>
      <c r="C3613" s="3" t="s">
        <v>1105</v>
      </c>
      <c r="D3613" s="4" t="s">
        <v>8450</v>
      </c>
      <c r="E3613" s="3" t="s">
        <v>1739</v>
      </c>
      <c r="F3613" s="3" t="s">
        <v>8175</v>
      </c>
      <c r="G3613" s="3"/>
      <c r="H3613" s="4" t="s">
        <v>8451</v>
      </c>
    </row>
    <row r="3614" ht="16.5" customHeight="1" spans="1:8">
      <c r="A3614" s="3">
        <v>3613</v>
      </c>
      <c r="B3614" s="3" t="s">
        <v>8452</v>
      </c>
      <c r="C3614" s="3" t="s">
        <v>1105</v>
      </c>
      <c r="D3614" s="4" t="s">
        <v>8453</v>
      </c>
      <c r="E3614" s="3" t="s">
        <v>1739</v>
      </c>
      <c r="F3614" s="3" t="s">
        <v>8175</v>
      </c>
      <c r="G3614" s="3"/>
      <c r="H3614" s="4" t="s">
        <v>8451</v>
      </c>
    </row>
    <row r="3615" ht="16.5" customHeight="1" spans="1:8">
      <c r="A3615" s="3">
        <v>3614</v>
      </c>
      <c r="B3615" s="3" t="s">
        <v>8454</v>
      </c>
      <c r="C3615" s="3" t="s">
        <v>1105</v>
      </c>
      <c r="D3615" s="4" t="s">
        <v>8455</v>
      </c>
      <c r="E3615" s="3" t="s">
        <v>1739</v>
      </c>
      <c r="F3615" s="3" t="s">
        <v>8175</v>
      </c>
      <c r="G3615" s="3"/>
      <c r="H3615" s="4" t="s">
        <v>8451</v>
      </c>
    </row>
    <row r="3616" ht="16.5" customHeight="1" spans="1:8">
      <c r="A3616" s="3">
        <v>3615</v>
      </c>
      <c r="B3616" s="3" t="s">
        <v>8456</v>
      </c>
      <c r="C3616" s="3" t="s">
        <v>1105</v>
      </c>
      <c r="D3616" s="4" t="s">
        <v>8457</v>
      </c>
      <c r="E3616" s="3" t="s">
        <v>1739</v>
      </c>
      <c r="F3616" s="3" t="s">
        <v>8175</v>
      </c>
      <c r="G3616" s="3"/>
      <c r="H3616" s="4" t="s">
        <v>8451</v>
      </c>
    </row>
    <row r="3617" ht="16.5" customHeight="1" spans="1:8">
      <c r="A3617" s="3">
        <v>3616</v>
      </c>
      <c r="B3617" s="3" t="s">
        <v>8458</v>
      </c>
      <c r="C3617" s="3" t="s">
        <v>1105</v>
      </c>
      <c r="D3617" s="4" t="s">
        <v>8459</v>
      </c>
      <c r="E3617" s="3" t="s">
        <v>1739</v>
      </c>
      <c r="F3617" s="3" t="s">
        <v>8175</v>
      </c>
      <c r="G3617" s="3"/>
      <c r="H3617" s="4" t="s">
        <v>8451</v>
      </c>
    </row>
    <row r="3618" ht="16.5" customHeight="1" spans="1:8">
      <c r="A3618" s="3">
        <v>3617</v>
      </c>
      <c r="B3618" s="3" t="s">
        <v>8460</v>
      </c>
      <c r="C3618" s="3" t="s">
        <v>1105</v>
      </c>
      <c r="D3618" s="4" t="s">
        <v>8461</v>
      </c>
      <c r="E3618" s="3" t="s">
        <v>1739</v>
      </c>
      <c r="F3618" s="3" t="s">
        <v>8175</v>
      </c>
      <c r="G3618" s="3"/>
      <c r="H3618" s="4" t="s">
        <v>8451</v>
      </c>
    </row>
    <row r="3619" ht="16.5" customHeight="1" spans="1:8">
      <c r="A3619" s="3">
        <v>3618</v>
      </c>
      <c r="B3619" s="3" t="s">
        <v>8462</v>
      </c>
      <c r="C3619" s="3" t="s">
        <v>1105</v>
      </c>
      <c r="D3619" s="4" t="s">
        <v>8463</v>
      </c>
      <c r="E3619" s="3" t="s">
        <v>1739</v>
      </c>
      <c r="F3619" s="3" t="s">
        <v>8175</v>
      </c>
      <c r="G3619" s="3"/>
      <c r="H3619" s="4" t="s">
        <v>8464</v>
      </c>
    </row>
    <row r="3620" ht="16.5" customHeight="1" spans="1:8">
      <c r="A3620" s="3">
        <v>3619</v>
      </c>
      <c r="B3620" s="3" t="s">
        <v>8465</v>
      </c>
      <c r="C3620" s="3" t="s">
        <v>1105</v>
      </c>
      <c r="D3620" s="4" t="s">
        <v>8466</v>
      </c>
      <c r="E3620" s="3" t="s">
        <v>1739</v>
      </c>
      <c r="F3620" s="3" t="s">
        <v>8175</v>
      </c>
      <c r="G3620" s="3"/>
      <c r="H3620" s="4" t="s">
        <v>8464</v>
      </c>
    </row>
    <row r="3621" ht="16.5" customHeight="1" spans="1:8">
      <c r="A3621" s="3">
        <v>3620</v>
      </c>
      <c r="B3621" s="3" t="s">
        <v>8467</v>
      </c>
      <c r="C3621" s="3" t="s">
        <v>1105</v>
      </c>
      <c r="D3621" s="4" t="s">
        <v>8468</v>
      </c>
      <c r="E3621" s="3" t="s">
        <v>1739</v>
      </c>
      <c r="F3621" s="3" t="s">
        <v>8175</v>
      </c>
      <c r="G3621" s="3"/>
      <c r="H3621" s="4" t="s">
        <v>8464</v>
      </c>
    </row>
    <row r="3622" ht="16.5" customHeight="1" spans="1:8">
      <c r="A3622" s="3">
        <v>3621</v>
      </c>
      <c r="B3622" s="3" t="s">
        <v>8469</v>
      </c>
      <c r="C3622" s="3" t="s">
        <v>1105</v>
      </c>
      <c r="D3622" s="4" t="s">
        <v>8470</v>
      </c>
      <c r="E3622" s="3" t="s">
        <v>1739</v>
      </c>
      <c r="F3622" s="3" t="s">
        <v>8175</v>
      </c>
      <c r="G3622" s="3"/>
      <c r="H3622" s="4" t="s">
        <v>8464</v>
      </c>
    </row>
    <row r="3623" ht="16.5" customHeight="1" spans="1:8">
      <c r="A3623" s="3">
        <v>3622</v>
      </c>
      <c r="B3623" s="3" t="s">
        <v>8471</v>
      </c>
      <c r="C3623" s="3" t="s">
        <v>1105</v>
      </c>
      <c r="D3623" s="4" t="s">
        <v>8472</v>
      </c>
      <c r="E3623" s="3" t="s">
        <v>1739</v>
      </c>
      <c r="F3623" s="3" t="s">
        <v>8175</v>
      </c>
      <c r="G3623" s="3"/>
      <c r="H3623" s="4" t="s">
        <v>8464</v>
      </c>
    </row>
    <row r="3624" ht="16.5" customHeight="1" spans="1:8">
      <c r="A3624" s="3">
        <v>3623</v>
      </c>
      <c r="B3624" s="3" t="s">
        <v>8473</v>
      </c>
      <c r="C3624" s="3" t="s">
        <v>1105</v>
      </c>
      <c r="D3624" s="4" t="s">
        <v>8474</v>
      </c>
      <c r="E3624" s="3" t="s">
        <v>1739</v>
      </c>
      <c r="F3624" s="3" t="s">
        <v>8175</v>
      </c>
      <c r="G3624" s="3"/>
      <c r="H3624" s="4" t="s">
        <v>8464</v>
      </c>
    </row>
    <row r="3625" ht="16.5" customHeight="1" spans="1:8">
      <c r="A3625" s="3">
        <v>3624</v>
      </c>
      <c r="B3625" s="3" t="s">
        <v>8475</v>
      </c>
      <c r="C3625" s="3" t="s">
        <v>1105</v>
      </c>
      <c r="D3625" s="4" t="s">
        <v>8476</v>
      </c>
      <c r="E3625" s="3" t="s">
        <v>1076</v>
      </c>
      <c r="F3625" s="3" t="s">
        <v>8175</v>
      </c>
      <c r="G3625" s="3"/>
      <c r="H3625" s="4" t="s">
        <v>8477</v>
      </c>
    </row>
    <row r="3626" ht="16.5" customHeight="1" spans="1:8">
      <c r="A3626" s="3">
        <v>3625</v>
      </c>
      <c r="B3626" s="3" t="s">
        <v>8478</v>
      </c>
      <c r="C3626" s="3" t="s">
        <v>1105</v>
      </c>
      <c r="D3626" s="4" t="s">
        <v>8479</v>
      </c>
      <c r="E3626" s="3" t="s">
        <v>1076</v>
      </c>
      <c r="F3626" s="3" t="s">
        <v>8175</v>
      </c>
      <c r="G3626" s="3"/>
      <c r="H3626" s="4" t="s">
        <v>8477</v>
      </c>
    </row>
    <row r="3627" ht="16.5" customHeight="1" spans="1:8">
      <c r="A3627" s="3">
        <v>3626</v>
      </c>
      <c r="B3627" s="3" t="s">
        <v>8480</v>
      </c>
      <c r="C3627" s="3" t="s">
        <v>1105</v>
      </c>
      <c r="D3627" s="4" t="s">
        <v>8481</v>
      </c>
      <c r="E3627" s="3" t="s">
        <v>1218</v>
      </c>
      <c r="F3627" s="3" t="s">
        <v>8175</v>
      </c>
      <c r="G3627" s="3"/>
      <c r="H3627" s="4" t="s">
        <v>8482</v>
      </c>
    </row>
    <row r="3628" ht="16.5" customHeight="1" spans="1:8">
      <c r="A3628" s="3">
        <v>3627</v>
      </c>
      <c r="B3628" s="3" t="s">
        <v>8483</v>
      </c>
      <c r="C3628" s="3" t="s">
        <v>1105</v>
      </c>
      <c r="D3628" s="4" t="s">
        <v>8484</v>
      </c>
      <c r="E3628" s="3" t="s">
        <v>1739</v>
      </c>
      <c r="F3628" s="3" t="s">
        <v>8175</v>
      </c>
      <c r="G3628" s="3"/>
      <c r="H3628" s="4" t="s">
        <v>8485</v>
      </c>
    </row>
    <row r="3629" ht="16.5" customHeight="1" spans="1:8">
      <c r="A3629" s="3">
        <v>3628</v>
      </c>
      <c r="B3629" s="3" t="s">
        <v>8486</v>
      </c>
      <c r="C3629" s="3" t="s">
        <v>1105</v>
      </c>
      <c r="D3629" s="4" t="s">
        <v>8487</v>
      </c>
      <c r="E3629" s="3" t="s">
        <v>1739</v>
      </c>
      <c r="F3629" s="3" t="s">
        <v>8175</v>
      </c>
      <c r="G3629" s="3"/>
      <c r="H3629" s="4" t="s">
        <v>8485</v>
      </c>
    </row>
    <row r="3630" ht="16.5" customHeight="1" spans="1:8">
      <c r="A3630" s="3">
        <v>3629</v>
      </c>
      <c r="B3630" s="3" t="s">
        <v>8488</v>
      </c>
      <c r="C3630" s="3" t="s">
        <v>1105</v>
      </c>
      <c r="D3630" s="4" t="s">
        <v>8489</v>
      </c>
      <c r="E3630" s="3" t="s">
        <v>1739</v>
      </c>
      <c r="F3630" s="3" t="s">
        <v>8175</v>
      </c>
      <c r="G3630" s="3"/>
      <c r="H3630" s="4" t="s">
        <v>8485</v>
      </c>
    </row>
    <row r="3631" ht="16.5" customHeight="1" spans="1:8">
      <c r="A3631" s="3">
        <v>3630</v>
      </c>
      <c r="B3631" s="3" t="s">
        <v>8490</v>
      </c>
      <c r="C3631" s="3" t="s">
        <v>1105</v>
      </c>
      <c r="D3631" s="4" t="s">
        <v>8491</v>
      </c>
      <c r="E3631" s="3" t="s">
        <v>1739</v>
      </c>
      <c r="F3631" s="3" t="s">
        <v>8175</v>
      </c>
      <c r="G3631" s="3"/>
      <c r="H3631" s="4" t="s">
        <v>8485</v>
      </c>
    </row>
    <row r="3632" ht="16.5" customHeight="1" spans="1:8">
      <c r="A3632" s="3">
        <v>3631</v>
      </c>
      <c r="B3632" s="3" t="s">
        <v>8492</v>
      </c>
      <c r="C3632" s="3" t="s">
        <v>1105</v>
      </c>
      <c r="D3632" s="4" t="s">
        <v>8493</v>
      </c>
      <c r="E3632" s="3" t="s">
        <v>1739</v>
      </c>
      <c r="F3632" s="3" t="s">
        <v>8175</v>
      </c>
      <c r="G3632" s="3"/>
      <c r="H3632" s="4" t="s">
        <v>8485</v>
      </c>
    </row>
    <row r="3633" ht="16.5" customHeight="1" spans="1:8">
      <c r="A3633" s="3">
        <v>3632</v>
      </c>
      <c r="B3633" s="3" t="s">
        <v>8494</v>
      </c>
      <c r="C3633" s="3" t="s">
        <v>1105</v>
      </c>
      <c r="D3633" s="4" t="s">
        <v>8495</v>
      </c>
      <c r="E3633" s="3" t="s">
        <v>1076</v>
      </c>
      <c r="F3633" s="3" t="s">
        <v>8175</v>
      </c>
      <c r="G3633" s="3"/>
      <c r="H3633" s="4" t="s">
        <v>8496</v>
      </c>
    </row>
    <row r="3634" ht="16.5" customHeight="1" spans="1:8">
      <c r="A3634" s="3">
        <v>3633</v>
      </c>
      <c r="B3634" s="3" t="s">
        <v>8497</v>
      </c>
      <c r="C3634" s="3" t="s">
        <v>1105</v>
      </c>
      <c r="D3634" s="4" t="s">
        <v>8498</v>
      </c>
      <c r="E3634" s="3" t="s">
        <v>1076</v>
      </c>
      <c r="F3634" s="3" t="s">
        <v>8175</v>
      </c>
      <c r="G3634" s="3"/>
      <c r="H3634" s="4" t="s">
        <v>8496</v>
      </c>
    </row>
    <row r="3635" ht="16.5" customHeight="1" spans="1:8">
      <c r="A3635" s="3">
        <v>3634</v>
      </c>
      <c r="B3635" s="3" t="s">
        <v>8499</v>
      </c>
      <c r="C3635" s="3" t="s">
        <v>1105</v>
      </c>
      <c r="D3635" s="4" t="s">
        <v>8500</v>
      </c>
      <c r="E3635" s="3" t="s">
        <v>1076</v>
      </c>
      <c r="F3635" s="3" t="s">
        <v>8175</v>
      </c>
      <c r="G3635" s="3"/>
      <c r="H3635" s="4" t="s">
        <v>8496</v>
      </c>
    </row>
    <row r="3636" ht="16.5" customHeight="1" spans="1:8">
      <c r="A3636" s="3">
        <v>3635</v>
      </c>
      <c r="B3636" s="3" t="s">
        <v>8501</v>
      </c>
      <c r="C3636" s="3" t="s">
        <v>1105</v>
      </c>
      <c r="D3636" s="4" t="s">
        <v>8502</v>
      </c>
      <c r="E3636" s="3" t="s">
        <v>1076</v>
      </c>
      <c r="F3636" s="3" t="s">
        <v>8175</v>
      </c>
      <c r="G3636" s="3"/>
      <c r="H3636" s="4" t="s">
        <v>8496</v>
      </c>
    </row>
    <row r="3637" ht="16.5" customHeight="1" spans="1:8">
      <c r="A3637" s="3">
        <v>3636</v>
      </c>
      <c r="B3637" s="3" t="s">
        <v>8503</v>
      </c>
      <c r="C3637" s="3" t="s">
        <v>1361</v>
      </c>
      <c r="D3637" s="4" t="s">
        <v>8504</v>
      </c>
      <c r="E3637" s="3" t="s">
        <v>1218</v>
      </c>
      <c r="F3637" s="3" t="s">
        <v>2041</v>
      </c>
      <c r="G3637" s="3" t="s">
        <v>321</v>
      </c>
      <c r="H3637" s="4" t="s">
        <v>1095</v>
      </c>
    </row>
    <row r="3638" ht="16.5" customHeight="1" spans="1:8">
      <c r="A3638" s="3">
        <v>3637</v>
      </c>
      <c r="B3638" s="3" t="s">
        <v>8505</v>
      </c>
      <c r="C3638" s="3" t="s">
        <v>2163</v>
      </c>
      <c r="D3638" s="4" t="s">
        <v>8506</v>
      </c>
      <c r="E3638" s="3" t="s">
        <v>5779</v>
      </c>
      <c r="F3638" s="3" t="s">
        <v>1358</v>
      </c>
      <c r="G3638" s="3" t="s">
        <v>321</v>
      </c>
      <c r="H3638" s="4" t="s">
        <v>1308</v>
      </c>
    </row>
    <row r="3639" ht="16.5" customHeight="1" spans="1:8">
      <c r="A3639" s="3">
        <v>3638</v>
      </c>
      <c r="B3639" s="3" t="s">
        <v>8507</v>
      </c>
      <c r="C3639" s="3" t="s">
        <v>2163</v>
      </c>
      <c r="D3639" s="4" t="s">
        <v>8508</v>
      </c>
      <c r="E3639" s="3" t="s">
        <v>1076</v>
      </c>
      <c r="F3639" s="3" t="s">
        <v>2105</v>
      </c>
      <c r="G3639" s="3" t="s">
        <v>321</v>
      </c>
      <c r="H3639" s="4" t="s">
        <v>3354</v>
      </c>
    </row>
    <row r="3640" ht="16.5" customHeight="1" spans="1:8">
      <c r="A3640" s="3">
        <v>3639</v>
      </c>
      <c r="B3640" s="3" t="s">
        <v>8509</v>
      </c>
      <c r="C3640" s="3" t="s">
        <v>2163</v>
      </c>
      <c r="D3640" s="4" t="s">
        <v>8510</v>
      </c>
      <c r="E3640" s="3" t="s">
        <v>1076</v>
      </c>
      <c r="F3640" s="3" t="s">
        <v>1358</v>
      </c>
      <c r="G3640" s="3" t="s">
        <v>321</v>
      </c>
      <c r="H3640" s="4" t="s">
        <v>4322</v>
      </c>
    </row>
    <row r="3641" ht="16.5" customHeight="1" spans="1:8">
      <c r="A3641" s="3">
        <v>3640</v>
      </c>
      <c r="B3641" s="3" t="s">
        <v>8511</v>
      </c>
      <c r="C3641" s="3" t="s">
        <v>2163</v>
      </c>
      <c r="D3641" s="4" t="s">
        <v>8512</v>
      </c>
      <c r="E3641" s="3" t="s">
        <v>1076</v>
      </c>
      <c r="F3641" s="3" t="s">
        <v>1358</v>
      </c>
      <c r="G3641" s="3"/>
      <c r="H3641" s="4" t="s">
        <v>4322</v>
      </c>
    </row>
    <row r="3642" ht="16.5" customHeight="1" spans="1:8">
      <c r="A3642" s="3">
        <v>3641</v>
      </c>
      <c r="B3642" s="3" t="s">
        <v>8513</v>
      </c>
      <c r="C3642" s="3" t="s">
        <v>2163</v>
      </c>
      <c r="D3642" s="4" t="s">
        <v>8514</v>
      </c>
      <c r="E3642" s="3" t="s">
        <v>1076</v>
      </c>
      <c r="F3642" s="3" t="s">
        <v>2105</v>
      </c>
      <c r="G3642" s="3" t="s">
        <v>321</v>
      </c>
      <c r="H3642" s="4" t="s">
        <v>4322</v>
      </c>
    </row>
    <row r="3643" ht="16.5" customHeight="1" spans="1:8">
      <c r="A3643" s="3">
        <v>3642</v>
      </c>
      <c r="B3643" s="3" t="s">
        <v>8515</v>
      </c>
      <c r="C3643" s="3" t="s">
        <v>2163</v>
      </c>
      <c r="D3643" s="4" t="s">
        <v>8516</v>
      </c>
      <c r="E3643" s="3" t="s">
        <v>2263</v>
      </c>
      <c r="F3643" s="3" t="s">
        <v>2105</v>
      </c>
      <c r="G3643" s="3" t="s">
        <v>321</v>
      </c>
      <c r="H3643" s="4" t="s">
        <v>4322</v>
      </c>
    </row>
    <row r="3644" ht="16.5" customHeight="1" spans="1:8">
      <c r="A3644" s="3">
        <v>3643</v>
      </c>
      <c r="B3644" s="3" t="s">
        <v>8517</v>
      </c>
      <c r="C3644" s="3" t="s">
        <v>1361</v>
      </c>
      <c r="D3644" s="4" t="s">
        <v>8518</v>
      </c>
      <c r="E3644" s="3" t="s">
        <v>1218</v>
      </c>
      <c r="F3644" s="3" t="s">
        <v>2041</v>
      </c>
      <c r="G3644" s="3" t="s">
        <v>321</v>
      </c>
      <c r="H3644" s="4" t="s">
        <v>1095</v>
      </c>
    </row>
    <row r="3645" ht="16.5" customHeight="1" spans="1:8">
      <c r="A3645" s="3">
        <v>3644</v>
      </c>
      <c r="B3645" s="3" t="s">
        <v>8519</v>
      </c>
      <c r="C3645" s="3" t="s">
        <v>1361</v>
      </c>
      <c r="D3645" s="4" t="s">
        <v>8520</v>
      </c>
      <c r="E3645" s="3" t="s">
        <v>1218</v>
      </c>
      <c r="F3645" s="3" t="s">
        <v>2041</v>
      </c>
      <c r="G3645" s="3" t="s">
        <v>321</v>
      </c>
      <c r="H3645" s="4" t="s">
        <v>1095</v>
      </c>
    </row>
    <row r="3646" ht="16.5" customHeight="1" spans="1:8">
      <c r="A3646" s="3">
        <v>3645</v>
      </c>
      <c r="B3646" s="3" t="s">
        <v>8521</v>
      </c>
      <c r="C3646" s="3" t="s">
        <v>1356</v>
      </c>
      <c r="D3646" s="4" t="s">
        <v>5854</v>
      </c>
      <c r="E3646" s="3" t="s">
        <v>1076</v>
      </c>
      <c r="F3646" s="3" t="s">
        <v>1358</v>
      </c>
      <c r="G3646" s="3"/>
      <c r="H3646" s="4"/>
    </row>
    <row r="3647" ht="16.5" customHeight="1" spans="1:8">
      <c r="A3647" s="3">
        <v>3646</v>
      </c>
      <c r="B3647" s="3" t="s">
        <v>8522</v>
      </c>
      <c r="C3647" s="3" t="s">
        <v>1356</v>
      </c>
      <c r="D3647" s="4" t="s">
        <v>8523</v>
      </c>
      <c r="E3647" s="3" t="s">
        <v>1076</v>
      </c>
      <c r="F3647" s="3" t="s">
        <v>4668</v>
      </c>
      <c r="G3647" s="3"/>
      <c r="H3647" s="4" t="s">
        <v>6740</v>
      </c>
    </row>
    <row r="3648" ht="16.5" customHeight="1" spans="1:8">
      <c r="A3648" s="3">
        <v>3647</v>
      </c>
      <c r="B3648" s="3" t="s">
        <v>8524</v>
      </c>
      <c r="C3648" s="3" t="s">
        <v>1356</v>
      </c>
      <c r="D3648" s="4" t="s">
        <v>8525</v>
      </c>
      <c r="E3648" s="3" t="s">
        <v>1076</v>
      </c>
      <c r="F3648" s="3" t="s">
        <v>4668</v>
      </c>
      <c r="G3648" s="3"/>
      <c r="H3648" s="4" t="s">
        <v>6740</v>
      </c>
    </row>
    <row r="3649" ht="16.5" customHeight="1" spans="1:8">
      <c r="A3649" s="3">
        <v>3648</v>
      </c>
      <c r="B3649" s="3" t="s">
        <v>8526</v>
      </c>
      <c r="C3649" s="3" t="s">
        <v>1356</v>
      </c>
      <c r="D3649" s="4" t="s">
        <v>8527</v>
      </c>
      <c r="E3649" s="3" t="s">
        <v>1076</v>
      </c>
      <c r="F3649" s="3" t="s">
        <v>4668</v>
      </c>
      <c r="G3649" s="3"/>
      <c r="H3649" s="4" t="s">
        <v>6740</v>
      </c>
    </row>
    <row r="3650" ht="16.5" customHeight="1" spans="1:8">
      <c r="A3650" s="3">
        <v>3649</v>
      </c>
      <c r="B3650" s="3" t="s">
        <v>8528</v>
      </c>
      <c r="C3650" s="3" t="s">
        <v>1356</v>
      </c>
      <c r="D3650" s="4" t="s">
        <v>8529</v>
      </c>
      <c r="E3650" s="3" t="s">
        <v>1076</v>
      </c>
      <c r="F3650" s="3" t="s">
        <v>4668</v>
      </c>
      <c r="G3650" s="3"/>
      <c r="H3650" s="4" t="s">
        <v>4322</v>
      </c>
    </row>
    <row r="3651" ht="16.5" customHeight="1" spans="1:8">
      <c r="A3651" s="3">
        <v>3650</v>
      </c>
      <c r="B3651" s="3" t="s">
        <v>8530</v>
      </c>
      <c r="C3651" s="3" t="s">
        <v>1356</v>
      </c>
      <c r="D3651" s="4" t="s">
        <v>8531</v>
      </c>
      <c r="E3651" s="3" t="s">
        <v>1076</v>
      </c>
      <c r="F3651" s="3" t="s">
        <v>4668</v>
      </c>
      <c r="G3651" s="3"/>
      <c r="H3651" s="4" t="s">
        <v>4322</v>
      </c>
    </row>
    <row r="3652" ht="16.5" customHeight="1" spans="1:8">
      <c r="A3652" s="3">
        <v>3651</v>
      </c>
      <c r="B3652" s="3" t="s">
        <v>8532</v>
      </c>
      <c r="C3652" s="3" t="s">
        <v>1356</v>
      </c>
      <c r="D3652" s="4" t="s">
        <v>8533</v>
      </c>
      <c r="E3652" s="3" t="s">
        <v>1076</v>
      </c>
      <c r="F3652" s="3" t="s">
        <v>4668</v>
      </c>
      <c r="G3652" s="3"/>
      <c r="H3652" s="4" t="s">
        <v>6740</v>
      </c>
    </row>
    <row r="3653" ht="16.5" customHeight="1" spans="1:8">
      <c r="A3653" s="3">
        <v>3652</v>
      </c>
      <c r="B3653" s="3" t="s">
        <v>8534</v>
      </c>
      <c r="C3653" s="3" t="s">
        <v>1361</v>
      </c>
      <c r="D3653" s="4" t="s">
        <v>8535</v>
      </c>
      <c r="E3653" s="3" t="s">
        <v>1218</v>
      </c>
      <c r="F3653" s="3" t="s">
        <v>2105</v>
      </c>
      <c r="G3653" s="3"/>
      <c r="H3653" s="4"/>
    </row>
    <row r="3654" ht="16.5" customHeight="1" spans="1:8">
      <c r="A3654" s="3">
        <v>3653</v>
      </c>
      <c r="B3654" s="3" t="s">
        <v>8536</v>
      </c>
      <c r="C3654" s="3" t="s">
        <v>1361</v>
      </c>
      <c r="D3654" s="4" t="s">
        <v>8537</v>
      </c>
      <c r="E3654" s="3" t="s">
        <v>1218</v>
      </c>
      <c r="F3654" s="3" t="s">
        <v>2105</v>
      </c>
      <c r="G3654" s="3"/>
      <c r="H3654" s="4" t="s">
        <v>6560</v>
      </c>
    </row>
    <row r="3655" ht="16.5" customHeight="1" spans="1:8">
      <c r="A3655" s="3">
        <v>3654</v>
      </c>
      <c r="B3655" s="3" t="s">
        <v>8538</v>
      </c>
      <c r="C3655" s="3" t="s">
        <v>1361</v>
      </c>
      <c r="D3655" s="4" t="s">
        <v>8539</v>
      </c>
      <c r="E3655" s="3" t="s">
        <v>1218</v>
      </c>
      <c r="F3655" s="3" t="s">
        <v>2105</v>
      </c>
      <c r="G3655" s="3"/>
      <c r="H3655" s="4" t="s">
        <v>6560</v>
      </c>
    </row>
    <row r="3656" ht="16.5" customHeight="1" spans="1:8">
      <c r="A3656" s="3">
        <v>3655</v>
      </c>
      <c r="B3656" s="3" t="s">
        <v>8540</v>
      </c>
      <c r="C3656" s="3" t="s">
        <v>1361</v>
      </c>
      <c r="D3656" s="4" t="s">
        <v>8541</v>
      </c>
      <c r="E3656" s="3" t="s">
        <v>1218</v>
      </c>
      <c r="F3656" s="3" t="s">
        <v>2105</v>
      </c>
      <c r="G3656" s="3"/>
      <c r="H3656" s="4" t="s">
        <v>6560</v>
      </c>
    </row>
    <row r="3657" ht="16.5" customHeight="1" spans="1:8">
      <c r="A3657" s="3">
        <v>3656</v>
      </c>
      <c r="B3657" s="3" t="s">
        <v>8542</v>
      </c>
      <c r="C3657" s="3" t="s">
        <v>1361</v>
      </c>
      <c r="D3657" s="4" t="s">
        <v>8543</v>
      </c>
      <c r="E3657" s="3" t="s">
        <v>1218</v>
      </c>
      <c r="F3657" s="3" t="s">
        <v>2105</v>
      </c>
      <c r="G3657" s="3"/>
      <c r="H3657" s="4" t="s">
        <v>6560</v>
      </c>
    </row>
    <row r="3658" ht="16.5" customHeight="1" spans="1:8">
      <c r="A3658" s="3">
        <v>3657</v>
      </c>
      <c r="B3658" s="3" t="s">
        <v>8544</v>
      </c>
      <c r="C3658" s="3" t="s">
        <v>1361</v>
      </c>
      <c r="D3658" s="4" t="s">
        <v>8545</v>
      </c>
      <c r="E3658" s="3" t="s">
        <v>1218</v>
      </c>
      <c r="F3658" s="3" t="s">
        <v>2105</v>
      </c>
      <c r="G3658" s="3"/>
      <c r="H3658" s="4" t="s">
        <v>6560</v>
      </c>
    </row>
    <row r="3659" ht="16.5" customHeight="1" spans="1:8">
      <c r="A3659" s="3">
        <v>3658</v>
      </c>
      <c r="B3659" s="3" t="s">
        <v>8546</v>
      </c>
      <c r="C3659" s="3" t="s">
        <v>1361</v>
      </c>
      <c r="D3659" s="4" t="s">
        <v>8547</v>
      </c>
      <c r="E3659" s="3" t="s">
        <v>1218</v>
      </c>
      <c r="F3659" s="3" t="s">
        <v>2105</v>
      </c>
      <c r="G3659" s="3"/>
      <c r="H3659" s="4" t="s">
        <v>6560</v>
      </c>
    </row>
    <row r="3660" ht="16.5" customHeight="1" spans="1:8">
      <c r="A3660" s="3">
        <v>3659</v>
      </c>
      <c r="B3660" s="3" t="s">
        <v>8548</v>
      </c>
      <c r="C3660" s="3" t="s">
        <v>1361</v>
      </c>
      <c r="D3660" s="4" t="s">
        <v>8549</v>
      </c>
      <c r="E3660" s="3" t="s">
        <v>1218</v>
      </c>
      <c r="F3660" s="3" t="s">
        <v>2105</v>
      </c>
      <c r="G3660" s="3"/>
      <c r="H3660" s="4" t="s">
        <v>6560</v>
      </c>
    </row>
    <row r="3661" ht="16.5" customHeight="1" spans="1:8">
      <c r="A3661" s="3">
        <v>3660</v>
      </c>
      <c r="B3661" s="3" t="s">
        <v>8550</v>
      </c>
      <c r="C3661" s="3" t="s">
        <v>1361</v>
      </c>
      <c r="D3661" s="4" t="s">
        <v>8551</v>
      </c>
      <c r="E3661" s="3" t="s">
        <v>1218</v>
      </c>
      <c r="F3661" s="3" t="s">
        <v>2105</v>
      </c>
      <c r="G3661" s="3"/>
      <c r="H3661" s="4" t="s">
        <v>6560</v>
      </c>
    </row>
    <row r="3662" ht="16.5" customHeight="1" spans="1:8">
      <c r="A3662" s="3">
        <v>3661</v>
      </c>
      <c r="B3662" s="3" t="s">
        <v>8552</v>
      </c>
      <c r="C3662" s="3" t="s">
        <v>1361</v>
      </c>
      <c r="D3662" s="4" t="s">
        <v>8553</v>
      </c>
      <c r="E3662" s="3" t="s">
        <v>1218</v>
      </c>
      <c r="F3662" s="3" t="s">
        <v>2105</v>
      </c>
      <c r="G3662" s="3"/>
      <c r="H3662" s="4" t="s">
        <v>6560</v>
      </c>
    </row>
    <row r="3663" ht="16.5" customHeight="1" spans="1:8">
      <c r="A3663" s="3">
        <v>3662</v>
      </c>
      <c r="B3663" s="3" t="s">
        <v>8554</v>
      </c>
      <c r="C3663" s="3" t="s">
        <v>1361</v>
      </c>
      <c r="D3663" s="4" t="s">
        <v>8555</v>
      </c>
      <c r="E3663" s="3" t="s">
        <v>1218</v>
      </c>
      <c r="F3663" s="3" t="s">
        <v>2105</v>
      </c>
      <c r="G3663" s="3"/>
      <c r="H3663" s="4" t="s">
        <v>6560</v>
      </c>
    </row>
    <row r="3664" ht="16.5" customHeight="1" spans="1:8">
      <c r="A3664" s="3">
        <v>3663</v>
      </c>
      <c r="B3664" s="3" t="s">
        <v>8556</v>
      </c>
      <c r="C3664" s="3" t="s">
        <v>1361</v>
      </c>
      <c r="D3664" s="4" t="s">
        <v>8557</v>
      </c>
      <c r="E3664" s="3" t="s">
        <v>1218</v>
      </c>
      <c r="F3664" s="3" t="s">
        <v>2105</v>
      </c>
      <c r="G3664" s="3"/>
      <c r="H3664" s="4" t="s">
        <v>6560</v>
      </c>
    </row>
    <row r="3665" ht="16.5" customHeight="1" spans="1:8">
      <c r="A3665" s="3">
        <v>3664</v>
      </c>
      <c r="B3665" s="3" t="s">
        <v>8558</v>
      </c>
      <c r="C3665" s="3" t="s">
        <v>1361</v>
      </c>
      <c r="D3665" s="4" t="s">
        <v>8559</v>
      </c>
      <c r="E3665" s="3" t="s">
        <v>1218</v>
      </c>
      <c r="F3665" s="3" t="s">
        <v>2105</v>
      </c>
      <c r="G3665" s="3"/>
      <c r="H3665" s="4" t="s">
        <v>6560</v>
      </c>
    </row>
    <row r="3666" ht="16.5" customHeight="1" spans="1:8">
      <c r="A3666" s="3">
        <v>3665</v>
      </c>
      <c r="B3666" s="3" t="s">
        <v>8560</v>
      </c>
      <c r="C3666" s="3" t="s">
        <v>1361</v>
      </c>
      <c r="D3666" s="4" t="s">
        <v>8561</v>
      </c>
      <c r="E3666" s="3" t="s">
        <v>1218</v>
      </c>
      <c r="F3666" s="3" t="s">
        <v>2105</v>
      </c>
      <c r="G3666" s="3"/>
      <c r="H3666" s="4" t="s">
        <v>6560</v>
      </c>
    </row>
    <row r="3667" ht="16.5" customHeight="1" spans="1:8">
      <c r="A3667" s="3">
        <v>3666</v>
      </c>
      <c r="B3667" s="3" t="s">
        <v>8562</v>
      </c>
      <c r="C3667" s="3" t="s">
        <v>1361</v>
      </c>
      <c r="D3667" s="4" t="s">
        <v>8563</v>
      </c>
      <c r="E3667" s="3" t="s">
        <v>1218</v>
      </c>
      <c r="F3667" s="3" t="s">
        <v>2105</v>
      </c>
      <c r="G3667" s="3"/>
      <c r="H3667" s="4" t="s">
        <v>6560</v>
      </c>
    </row>
    <row r="3668" ht="16.5" customHeight="1" spans="1:8">
      <c r="A3668" s="3">
        <v>3667</v>
      </c>
      <c r="B3668" s="3" t="s">
        <v>8564</v>
      </c>
      <c r="C3668" s="3" t="s">
        <v>1361</v>
      </c>
      <c r="D3668" s="4" t="s">
        <v>8565</v>
      </c>
      <c r="E3668" s="3" t="s">
        <v>1218</v>
      </c>
      <c r="F3668" s="3" t="s">
        <v>2105</v>
      </c>
      <c r="G3668" s="3"/>
      <c r="H3668" s="4" t="s">
        <v>6560</v>
      </c>
    </row>
    <row r="3669" ht="16.5" customHeight="1" spans="1:8">
      <c r="A3669" s="3">
        <v>3668</v>
      </c>
      <c r="B3669" s="3" t="s">
        <v>8566</v>
      </c>
      <c r="C3669" s="3" t="s">
        <v>1361</v>
      </c>
      <c r="D3669" s="4" t="s">
        <v>8567</v>
      </c>
      <c r="E3669" s="3" t="s">
        <v>1218</v>
      </c>
      <c r="F3669" s="3" t="s">
        <v>2105</v>
      </c>
      <c r="G3669" s="3"/>
      <c r="H3669" s="4" t="s">
        <v>6560</v>
      </c>
    </row>
    <row r="3670" ht="16.5" customHeight="1" spans="1:8">
      <c r="A3670" s="3">
        <v>3669</v>
      </c>
      <c r="B3670" s="3" t="s">
        <v>8568</v>
      </c>
      <c r="C3670" s="3" t="s">
        <v>1361</v>
      </c>
      <c r="D3670" s="4" t="s">
        <v>8569</v>
      </c>
      <c r="E3670" s="3" t="s">
        <v>1218</v>
      </c>
      <c r="F3670" s="3" t="s">
        <v>2105</v>
      </c>
      <c r="G3670" s="3"/>
      <c r="H3670" s="4" t="s">
        <v>6560</v>
      </c>
    </row>
    <row r="3671" ht="16.5" customHeight="1" spans="1:8">
      <c r="A3671" s="3">
        <v>3670</v>
      </c>
      <c r="B3671" s="3" t="s">
        <v>8570</v>
      </c>
      <c r="C3671" s="3" t="s">
        <v>1361</v>
      </c>
      <c r="D3671" s="4" t="s">
        <v>8571</v>
      </c>
      <c r="E3671" s="3" t="s">
        <v>1218</v>
      </c>
      <c r="F3671" s="3" t="s">
        <v>2105</v>
      </c>
      <c r="G3671" s="3"/>
      <c r="H3671" s="4" t="s">
        <v>6560</v>
      </c>
    </row>
    <row r="3672" ht="16.5" customHeight="1" spans="1:8">
      <c r="A3672" s="3">
        <v>3671</v>
      </c>
      <c r="B3672" s="3" t="s">
        <v>8572</v>
      </c>
      <c r="C3672" s="3" t="s">
        <v>1361</v>
      </c>
      <c r="D3672" s="4" t="s">
        <v>8573</v>
      </c>
      <c r="E3672" s="3" t="s">
        <v>1218</v>
      </c>
      <c r="F3672" s="3" t="s">
        <v>2105</v>
      </c>
      <c r="G3672" s="3"/>
      <c r="H3672" s="4" t="s">
        <v>6560</v>
      </c>
    </row>
    <row r="3673" ht="16.5" customHeight="1" spans="1:8">
      <c r="A3673" s="3">
        <v>3672</v>
      </c>
      <c r="B3673" s="3" t="s">
        <v>8574</v>
      </c>
      <c r="C3673" s="3" t="s">
        <v>1361</v>
      </c>
      <c r="D3673" s="4" t="s">
        <v>8575</v>
      </c>
      <c r="E3673" s="3" t="s">
        <v>1218</v>
      </c>
      <c r="F3673" s="3" t="s">
        <v>2105</v>
      </c>
      <c r="G3673" s="3"/>
      <c r="H3673" s="4" t="s">
        <v>6560</v>
      </c>
    </row>
    <row r="3674" ht="16.5" customHeight="1" spans="1:8">
      <c r="A3674" s="3">
        <v>3673</v>
      </c>
      <c r="B3674" s="3" t="s">
        <v>8576</v>
      </c>
      <c r="C3674" s="3" t="s">
        <v>1361</v>
      </c>
      <c r="D3674" s="4" t="s">
        <v>8577</v>
      </c>
      <c r="E3674" s="3" t="s">
        <v>1218</v>
      </c>
      <c r="F3674" s="3" t="s">
        <v>2105</v>
      </c>
      <c r="G3674" s="3"/>
      <c r="H3674" s="4" t="s">
        <v>6560</v>
      </c>
    </row>
    <row r="3675" ht="16.5" customHeight="1" spans="1:8">
      <c r="A3675" s="3">
        <v>3674</v>
      </c>
      <c r="B3675" s="3" t="s">
        <v>8578</v>
      </c>
      <c r="C3675" s="3" t="s">
        <v>1361</v>
      </c>
      <c r="D3675" s="4" t="s">
        <v>8579</v>
      </c>
      <c r="E3675" s="3" t="s">
        <v>1218</v>
      </c>
      <c r="F3675" s="3" t="s">
        <v>2105</v>
      </c>
      <c r="G3675" s="3"/>
      <c r="H3675" s="4" t="s">
        <v>6560</v>
      </c>
    </row>
    <row r="3676" ht="16.5" customHeight="1" spans="1:8">
      <c r="A3676" s="3">
        <v>3675</v>
      </c>
      <c r="B3676" s="3" t="s">
        <v>8580</v>
      </c>
      <c r="C3676" s="3" t="s">
        <v>1361</v>
      </c>
      <c r="D3676" s="4" t="s">
        <v>8581</v>
      </c>
      <c r="E3676" s="3" t="s">
        <v>1218</v>
      </c>
      <c r="F3676" s="3" t="s">
        <v>2105</v>
      </c>
      <c r="G3676" s="3"/>
      <c r="H3676" s="4" t="s">
        <v>6560</v>
      </c>
    </row>
    <row r="3677" ht="16.5" customHeight="1" spans="1:8">
      <c r="A3677" s="3">
        <v>3676</v>
      </c>
      <c r="B3677" s="3" t="s">
        <v>8582</v>
      </c>
      <c r="C3677" s="3" t="s">
        <v>1361</v>
      </c>
      <c r="D3677" s="4" t="s">
        <v>8583</v>
      </c>
      <c r="E3677" s="3" t="s">
        <v>1218</v>
      </c>
      <c r="F3677" s="3" t="s">
        <v>2105</v>
      </c>
      <c r="G3677" s="3"/>
      <c r="H3677" s="4" t="s">
        <v>6560</v>
      </c>
    </row>
    <row r="3678" ht="16.5" customHeight="1" spans="1:8">
      <c r="A3678" s="3">
        <v>3677</v>
      </c>
      <c r="B3678" s="3" t="s">
        <v>8584</v>
      </c>
      <c r="C3678" s="3" t="s">
        <v>1361</v>
      </c>
      <c r="D3678" s="4" t="s">
        <v>8585</v>
      </c>
      <c r="E3678" s="3" t="s">
        <v>1218</v>
      </c>
      <c r="F3678" s="3" t="s">
        <v>2105</v>
      </c>
      <c r="G3678" s="3"/>
      <c r="H3678" s="4" t="s">
        <v>6560</v>
      </c>
    </row>
    <row r="3679" ht="16.5" customHeight="1" spans="1:8">
      <c r="A3679" s="3">
        <v>3678</v>
      </c>
      <c r="B3679" s="3" t="s">
        <v>8586</v>
      </c>
      <c r="C3679" s="3" t="s">
        <v>1361</v>
      </c>
      <c r="D3679" s="4" t="s">
        <v>8587</v>
      </c>
      <c r="E3679" s="3" t="s">
        <v>1218</v>
      </c>
      <c r="F3679" s="3" t="s">
        <v>2105</v>
      </c>
      <c r="G3679" s="3"/>
      <c r="H3679" s="4" t="s">
        <v>6560</v>
      </c>
    </row>
    <row r="3680" ht="16.5" customHeight="1" spans="1:8">
      <c r="A3680" s="3">
        <v>3679</v>
      </c>
      <c r="B3680" s="3" t="s">
        <v>8588</v>
      </c>
      <c r="C3680" s="3" t="s">
        <v>1361</v>
      </c>
      <c r="D3680" s="4" t="s">
        <v>8589</v>
      </c>
      <c r="E3680" s="3" t="s">
        <v>1218</v>
      </c>
      <c r="F3680" s="3" t="s">
        <v>2105</v>
      </c>
      <c r="G3680" s="3"/>
      <c r="H3680" s="4" t="s">
        <v>6560</v>
      </c>
    </row>
    <row r="3681" ht="16.5" customHeight="1" spans="1:8">
      <c r="A3681" s="3">
        <v>3680</v>
      </c>
      <c r="B3681" s="3" t="s">
        <v>8590</v>
      </c>
      <c r="C3681" s="3" t="s">
        <v>1361</v>
      </c>
      <c r="D3681" s="4" t="s">
        <v>8591</v>
      </c>
      <c r="E3681" s="3" t="s">
        <v>1218</v>
      </c>
      <c r="F3681" s="3" t="s">
        <v>2105</v>
      </c>
      <c r="G3681" s="3"/>
      <c r="H3681" s="4" t="s">
        <v>6560</v>
      </c>
    </row>
    <row r="3682" ht="16.5" customHeight="1" spans="1:8">
      <c r="A3682" s="3">
        <v>3681</v>
      </c>
      <c r="B3682" s="3" t="s">
        <v>8592</v>
      </c>
      <c r="C3682" s="3" t="s">
        <v>1361</v>
      </c>
      <c r="D3682" s="4" t="s">
        <v>8593</v>
      </c>
      <c r="E3682" s="3" t="s">
        <v>1218</v>
      </c>
      <c r="F3682" s="3" t="s">
        <v>2105</v>
      </c>
      <c r="G3682" s="3"/>
      <c r="H3682" s="4" t="s">
        <v>6560</v>
      </c>
    </row>
    <row r="3683" ht="16.5" customHeight="1" spans="1:8">
      <c r="A3683" s="3">
        <v>3682</v>
      </c>
      <c r="B3683" s="3" t="s">
        <v>8594</v>
      </c>
      <c r="C3683" s="3" t="s">
        <v>1361</v>
      </c>
      <c r="D3683" s="4" t="s">
        <v>8595</v>
      </c>
      <c r="E3683" s="3" t="s">
        <v>1218</v>
      </c>
      <c r="F3683" s="3" t="s">
        <v>2105</v>
      </c>
      <c r="G3683" s="3"/>
      <c r="H3683" s="4" t="s">
        <v>6560</v>
      </c>
    </row>
    <row r="3684" ht="16.5" customHeight="1" spans="1:8">
      <c r="A3684" s="3">
        <v>3683</v>
      </c>
      <c r="B3684" s="3" t="s">
        <v>8596</v>
      </c>
      <c r="C3684" s="3" t="s">
        <v>1361</v>
      </c>
      <c r="D3684" s="4" t="s">
        <v>8597</v>
      </c>
      <c r="E3684" s="3" t="s">
        <v>1218</v>
      </c>
      <c r="F3684" s="3" t="s">
        <v>2105</v>
      </c>
      <c r="G3684" s="3"/>
      <c r="H3684" s="4" t="s">
        <v>6560</v>
      </c>
    </row>
    <row r="3685" ht="16.5" customHeight="1" spans="1:8">
      <c r="A3685" s="3">
        <v>3684</v>
      </c>
      <c r="B3685" s="3" t="s">
        <v>8598</v>
      </c>
      <c r="C3685" s="3" t="s">
        <v>1356</v>
      </c>
      <c r="D3685" s="4" t="s">
        <v>8599</v>
      </c>
      <c r="E3685" s="3" t="s">
        <v>1076</v>
      </c>
      <c r="F3685" s="3" t="s">
        <v>4668</v>
      </c>
      <c r="G3685" s="3"/>
      <c r="H3685" s="4" t="s">
        <v>1359</v>
      </c>
    </row>
    <row r="3686" ht="16.5" customHeight="1" spans="1:8">
      <c r="A3686" s="3">
        <v>3685</v>
      </c>
      <c r="B3686" s="3" t="s">
        <v>8600</v>
      </c>
      <c r="C3686" s="3" t="s">
        <v>2163</v>
      </c>
      <c r="D3686" s="4" t="s">
        <v>8601</v>
      </c>
      <c r="E3686" s="3" t="s">
        <v>1076</v>
      </c>
      <c r="F3686" s="3" t="s">
        <v>2105</v>
      </c>
      <c r="G3686" s="3"/>
      <c r="H3686" s="4" t="s">
        <v>1095</v>
      </c>
    </row>
    <row r="3687" ht="16.5" customHeight="1" spans="1:8">
      <c r="A3687" s="3">
        <v>3686</v>
      </c>
      <c r="B3687" s="3" t="s">
        <v>8602</v>
      </c>
      <c r="C3687" s="3" t="s">
        <v>1356</v>
      </c>
      <c r="D3687" s="4" t="s">
        <v>8603</v>
      </c>
      <c r="E3687" s="3" t="s">
        <v>1076</v>
      </c>
      <c r="F3687" s="3" t="s">
        <v>4668</v>
      </c>
      <c r="G3687" s="3"/>
      <c r="H3687" s="4" t="s">
        <v>1095</v>
      </c>
    </row>
    <row r="3688" ht="16.5" customHeight="1" spans="1:8">
      <c r="A3688" s="3">
        <v>3687</v>
      </c>
      <c r="B3688" s="3" t="s">
        <v>8604</v>
      </c>
      <c r="C3688" s="3" t="s">
        <v>1356</v>
      </c>
      <c r="D3688" s="4" t="s">
        <v>8605</v>
      </c>
      <c r="E3688" s="3" t="s">
        <v>1218</v>
      </c>
      <c r="F3688" s="3" t="s">
        <v>4668</v>
      </c>
      <c r="G3688" s="3"/>
      <c r="H3688" s="4" t="s">
        <v>1078</v>
      </c>
    </row>
    <row r="3689" ht="16.5" customHeight="1" spans="1:8">
      <c r="A3689" s="3">
        <v>3688</v>
      </c>
      <c r="B3689" s="3" t="s">
        <v>8606</v>
      </c>
      <c r="C3689" s="3" t="s">
        <v>2163</v>
      </c>
      <c r="D3689" s="4" t="s">
        <v>8607</v>
      </c>
      <c r="E3689" s="3" t="s">
        <v>2726</v>
      </c>
      <c r="F3689" s="3" t="s">
        <v>4668</v>
      </c>
      <c r="G3689" s="3"/>
      <c r="H3689" s="4" t="s">
        <v>1359</v>
      </c>
    </row>
    <row r="3690" ht="16.5" customHeight="1" spans="1:8">
      <c r="A3690" s="3">
        <v>3689</v>
      </c>
      <c r="B3690" s="3" t="s">
        <v>8608</v>
      </c>
      <c r="C3690" s="3" t="s">
        <v>2163</v>
      </c>
      <c r="D3690" s="4" t="s">
        <v>8609</v>
      </c>
      <c r="E3690" s="3" t="s">
        <v>1076</v>
      </c>
      <c r="F3690" s="3" t="s">
        <v>1358</v>
      </c>
      <c r="G3690" s="3"/>
      <c r="H3690" s="4" t="s">
        <v>6740</v>
      </c>
    </row>
    <row r="3691" ht="16.5" customHeight="1" spans="1:8">
      <c r="A3691" s="3">
        <v>3690</v>
      </c>
      <c r="B3691" s="3" t="s">
        <v>8610</v>
      </c>
      <c r="C3691" s="3" t="s">
        <v>2163</v>
      </c>
      <c r="D3691" s="4" t="s">
        <v>8611</v>
      </c>
      <c r="E3691" s="3" t="s">
        <v>3093</v>
      </c>
      <c r="F3691" s="3" t="s">
        <v>8612</v>
      </c>
      <c r="G3691" s="3" t="s">
        <v>321</v>
      </c>
      <c r="H3691" s="4" t="s">
        <v>4005</v>
      </c>
    </row>
    <row r="3692" ht="16.5" customHeight="1" spans="1:8">
      <c r="A3692" s="3">
        <v>3691</v>
      </c>
      <c r="B3692" s="3" t="s">
        <v>8613</v>
      </c>
      <c r="C3692" s="3" t="s">
        <v>2163</v>
      </c>
      <c r="D3692" s="4" t="s">
        <v>8614</v>
      </c>
      <c r="E3692" s="3" t="s">
        <v>1076</v>
      </c>
      <c r="F3692" s="3" t="s">
        <v>4668</v>
      </c>
      <c r="G3692" s="3"/>
      <c r="H3692" s="4" t="s">
        <v>1359</v>
      </c>
    </row>
    <row r="3693" ht="16.5" customHeight="1" spans="1:8">
      <c r="A3693" s="3">
        <v>3692</v>
      </c>
      <c r="B3693" s="3" t="s">
        <v>8615</v>
      </c>
      <c r="C3693" s="3" t="s">
        <v>2163</v>
      </c>
      <c r="D3693" s="4" t="s">
        <v>8616</v>
      </c>
      <c r="E3693" s="3" t="s">
        <v>1076</v>
      </c>
      <c r="F3693" s="3" t="s">
        <v>4668</v>
      </c>
      <c r="G3693" s="3"/>
      <c r="H3693" s="4" t="s">
        <v>1095</v>
      </c>
    </row>
    <row r="3694" ht="16.5" customHeight="1" spans="1:8">
      <c r="A3694" s="3">
        <v>3693</v>
      </c>
      <c r="B3694" s="3" t="s">
        <v>8617</v>
      </c>
      <c r="C3694" s="3" t="s">
        <v>1356</v>
      </c>
      <c r="D3694" s="4" t="s">
        <v>5840</v>
      </c>
      <c r="E3694" s="3" t="s">
        <v>1076</v>
      </c>
      <c r="F3694" s="3" t="s">
        <v>1358</v>
      </c>
      <c r="G3694" s="3"/>
      <c r="H3694" s="4"/>
    </row>
    <row r="3695" ht="16.5" customHeight="1" spans="1:8">
      <c r="A3695" s="3">
        <v>3694</v>
      </c>
      <c r="B3695" s="3" t="s">
        <v>8618</v>
      </c>
      <c r="C3695" s="3" t="s">
        <v>1356</v>
      </c>
      <c r="D3695" s="4" t="s">
        <v>8619</v>
      </c>
      <c r="E3695" s="3" t="s">
        <v>1076</v>
      </c>
      <c r="F3695" s="3" t="s">
        <v>1358</v>
      </c>
      <c r="G3695" s="3"/>
      <c r="H3695" s="4"/>
    </row>
    <row r="3696" ht="16.5" customHeight="1" spans="1:8">
      <c r="A3696" s="3">
        <v>3695</v>
      </c>
      <c r="B3696" s="3" t="s">
        <v>8620</v>
      </c>
      <c r="C3696" s="3" t="s">
        <v>1356</v>
      </c>
      <c r="D3696" s="4" t="s">
        <v>8621</v>
      </c>
      <c r="E3696" s="3" t="s">
        <v>1076</v>
      </c>
      <c r="F3696" s="3" t="s">
        <v>4668</v>
      </c>
      <c r="G3696" s="3"/>
      <c r="H3696" s="4" t="s">
        <v>1095</v>
      </c>
    </row>
    <row r="3697" ht="16.5" customHeight="1" spans="1:8">
      <c r="A3697" s="3">
        <v>3696</v>
      </c>
      <c r="B3697" s="3" t="s">
        <v>8622</v>
      </c>
      <c r="C3697" s="3" t="s">
        <v>1356</v>
      </c>
      <c r="D3697" s="4" t="s">
        <v>8623</v>
      </c>
      <c r="E3697" s="3" t="s">
        <v>1076</v>
      </c>
      <c r="F3697" s="3" t="s">
        <v>4668</v>
      </c>
      <c r="G3697" s="3"/>
      <c r="H3697" s="4" t="s">
        <v>1359</v>
      </c>
    </row>
    <row r="3698" ht="16.5" customHeight="1" spans="1:8">
      <c r="A3698" s="3">
        <v>3697</v>
      </c>
      <c r="B3698" s="3" t="s">
        <v>8624</v>
      </c>
      <c r="C3698" s="3" t="s">
        <v>1361</v>
      </c>
      <c r="D3698" s="4" t="s">
        <v>8625</v>
      </c>
      <c r="E3698" s="3" t="s">
        <v>1218</v>
      </c>
      <c r="F3698" s="3" t="s">
        <v>2105</v>
      </c>
      <c r="G3698" s="3"/>
      <c r="H3698" s="4" t="s">
        <v>3812</v>
      </c>
    </row>
    <row r="3699" ht="16.5" customHeight="1" spans="1:8">
      <c r="A3699" s="3">
        <v>3698</v>
      </c>
      <c r="B3699" s="3" t="s">
        <v>8626</v>
      </c>
      <c r="C3699" s="3" t="s">
        <v>1361</v>
      </c>
      <c r="D3699" s="4" t="s">
        <v>8627</v>
      </c>
      <c r="E3699" s="3" t="s">
        <v>1218</v>
      </c>
      <c r="F3699" s="3" t="s">
        <v>2105</v>
      </c>
      <c r="G3699" s="3"/>
      <c r="H3699" s="4" t="s">
        <v>3812</v>
      </c>
    </row>
    <row r="3700" ht="16.5" customHeight="1" spans="1:8">
      <c r="A3700" s="3">
        <v>3699</v>
      </c>
      <c r="B3700" s="3" t="s">
        <v>8628</v>
      </c>
      <c r="C3700" s="3" t="s">
        <v>1361</v>
      </c>
      <c r="D3700" s="4" t="s">
        <v>8629</v>
      </c>
      <c r="E3700" s="3" t="s">
        <v>1218</v>
      </c>
      <c r="F3700" s="3" t="s">
        <v>2105</v>
      </c>
      <c r="G3700" s="3"/>
      <c r="H3700" s="4" t="s">
        <v>3812</v>
      </c>
    </row>
    <row r="3701" ht="16.5" customHeight="1" spans="1:8">
      <c r="A3701" s="3">
        <v>3700</v>
      </c>
      <c r="B3701" s="3" t="s">
        <v>8630</v>
      </c>
      <c r="C3701" s="3" t="s">
        <v>1361</v>
      </c>
      <c r="D3701" s="4" t="s">
        <v>8631</v>
      </c>
      <c r="E3701" s="3" t="s">
        <v>1218</v>
      </c>
      <c r="F3701" s="3" t="s">
        <v>2105</v>
      </c>
      <c r="G3701" s="3"/>
      <c r="H3701" s="4" t="s">
        <v>3812</v>
      </c>
    </row>
    <row r="3702" ht="16.5" customHeight="1" spans="1:8">
      <c r="A3702" s="3">
        <v>3701</v>
      </c>
      <c r="B3702" s="3" t="s">
        <v>8632</v>
      </c>
      <c r="C3702" s="3" t="s">
        <v>1361</v>
      </c>
      <c r="D3702" s="4" t="s">
        <v>8633</v>
      </c>
      <c r="E3702" s="3" t="s">
        <v>1218</v>
      </c>
      <c r="F3702" s="3" t="s">
        <v>2105</v>
      </c>
      <c r="G3702" s="3"/>
      <c r="H3702" s="4" t="s">
        <v>3812</v>
      </c>
    </row>
    <row r="3703" ht="16.5" customHeight="1" spans="1:8">
      <c r="A3703" s="3">
        <v>3702</v>
      </c>
      <c r="B3703" s="3" t="s">
        <v>8634</v>
      </c>
      <c r="C3703" s="3" t="s">
        <v>1361</v>
      </c>
      <c r="D3703" s="4" t="s">
        <v>8635</v>
      </c>
      <c r="E3703" s="3" t="s">
        <v>1218</v>
      </c>
      <c r="F3703" s="3" t="s">
        <v>2105</v>
      </c>
      <c r="G3703" s="3"/>
      <c r="H3703" s="4" t="s">
        <v>3812</v>
      </c>
    </row>
    <row r="3704" ht="16.5" customHeight="1" spans="1:8">
      <c r="A3704" s="3">
        <v>3703</v>
      </c>
      <c r="B3704" s="3" t="s">
        <v>8636</v>
      </c>
      <c r="C3704" s="3" t="s">
        <v>1361</v>
      </c>
      <c r="D3704" s="4" t="s">
        <v>8637</v>
      </c>
      <c r="E3704" s="3" t="s">
        <v>1218</v>
      </c>
      <c r="F3704" s="3" t="s">
        <v>2105</v>
      </c>
      <c r="G3704" s="3"/>
      <c r="H3704" s="4" t="s">
        <v>3812</v>
      </c>
    </row>
    <row r="3705" ht="16.5" customHeight="1" spans="1:8">
      <c r="A3705" s="3">
        <v>3704</v>
      </c>
      <c r="B3705" s="3" t="s">
        <v>8638</v>
      </c>
      <c r="C3705" s="3" t="s">
        <v>1361</v>
      </c>
      <c r="D3705" s="4" t="s">
        <v>8639</v>
      </c>
      <c r="E3705" s="3" t="s">
        <v>1218</v>
      </c>
      <c r="F3705" s="3" t="s">
        <v>2105</v>
      </c>
      <c r="G3705" s="3"/>
      <c r="H3705" s="4" t="s">
        <v>3812</v>
      </c>
    </row>
    <row r="3706" ht="16.5" customHeight="1" spans="1:8">
      <c r="A3706" s="3">
        <v>3705</v>
      </c>
      <c r="B3706" s="3" t="s">
        <v>8640</v>
      </c>
      <c r="C3706" s="3" t="s">
        <v>1361</v>
      </c>
      <c r="D3706" s="4" t="s">
        <v>8641</v>
      </c>
      <c r="E3706" s="3" t="s">
        <v>1218</v>
      </c>
      <c r="F3706" s="3" t="s">
        <v>2105</v>
      </c>
      <c r="G3706" s="3"/>
      <c r="H3706" s="4" t="s">
        <v>3812</v>
      </c>
    </row>
    <row r="3707" ht="16.5" customHeight="1" spans="1:8">
      <c r="A3707" s="3">
        <v>3706</v>
      </c>
      <c r="B3707" s="3" t="s">
        <v>8642</v>
      </c>
      <c r="C3707" s="3" t="s">
        <v>1361</v>
      </c>
      <c r="D3707" s="4" t="s">
        <v>8643</v>
      </c>
      <c r="E3707" s="3" t="s">
        <v>1218</v>
      </c>
      <c r="F3707" s="3" t="s">
        <v>2105</v>
      </c>
      <c r="G3707" s="3"/>
      <c r="H3707" s="4" t="s">
        <v>3812</v>
      </c>
    </row>
    <row r="3708" ht="16.5" customHeight="1" spans="1:8">
      <c r="A3708" s="3">
        <v>3707</v>
      </c>
      <c r="B3708" s="3" t="s">
        <v>8644</v>
      </c>
      <c r="C3708" s="3" t="s">
        <v>1361</v>
      </c>
      <c r="D3708" s="4" t="s">
        <v>8645</v>
      </c>
      <c r="E3708" s="3" t="s">
        <v>1218</v>
      </c>
      <c r="F3708" s="3" t="s">
        <v>2105</v>
      </c>
      <c r="G3708" s="3"/>
      <c r="H3708" s="4" t="s">
        <v>3812</v>
      </c>
    </row>
    <row r="3709" ht="16.5" customHeight="1" spans="1:8">
      <c r="A3709" s="3">
        <v>3708</v>
      </c>
      <c r="B3709" s="3" t="s">
        <v>8646</v>
      </c>
      <c r="C3709" s="3" t="s">
        <v>1361</v>
      </c>
      <c r="D3709" s="4" t="s">
        <v>8647</v>
      </c>
      <c r="E3709" s="3" t="s">
        <v>1218</v>
      </c>
      <c r="F3709" s="3" t="s">
        <v>2105</v>
      </c>
      <c r="G3709" s="3"/>
      <c r="H3709" s="4" t="s">
        <v>3812</v>
      </c>
    </row>
    <row r="3710" ht="16.5" customHeight="1" spans="1:8">
      <c r="A3710" s="3">
        <v>3709</v>
      </c>
      <c r="B3710" s="3" t="s">
        <v>8648</v>
      </c>
      <c r="C3710" s="3" t="s">
        <v>1361</v>
      </c>
      <c r="D3710" s="4" t="s">
        <v>8649</v>
      </c>
      <c r="E3710" s="3" t="s">
        <v>1218</v>
      </c>
      <c r="F3710" s="3" t="s">
        <v>2105</v>
      </c>
      <c r="G3710" s="3"/>
      <c r="H3710" s="4" t="s">
        <v>3812</v>
      </c>
    </row>
    <row r="3711" ht="16.5" customHeight="1" spans="1:8">
      <c r="A3711" s="3">
        <v>3710</v>
      </c>
      <c r="B3711" s="3" t="s">
        <v>8650</v>
      </c>
      <c r="C3711" s="3" t="s">
        <v>1361</v>
      </c>
      <c r="D3711" s="4" t="s">
        <v>8651</v>
      </c>
      <c r="E3711" s="3" t="s">
        <v>1218</v>
      </c>
      <c r="F3711" s="3" t="s">
        <v>2105</v>
      </c>
      <c r="G3711" s="3"/>
      <c r="H3711" s="4" t="s">
        <v>3812</v>
      </c>
    </row>
    <row r="3712" ht="16.5" customHeight="1" spans="1:8">
      <c r="A3712" s="3">
        <v>3711</v>
      </c>
      <c r="B3712" s="3" t="s">
        <v>8652</v>
      </c>
      <c r="C3712" s="3" t="s">
        <v>1361</v>
      </c>
      <c r="D3712" s="4" t="s">
        <v>8653</v>
      </c>
      <c r="E3712" s="3" t="s">
        <v>1218</v>
      </c>
      <c r="F3712" s="3" t="s">
        <v>2105</v>
      </c>
      <c r="G3712" s="3"/>
      <c r="H3712" s="4" t="s">
        <v>3812</v>
      </c>
    </row>
    <row r="3713" ht="16.5" customHeight="1" spans="1:8">
      <c r="A3713" s="3">
        <v>3712</v>
      </c>
      <c r="B3713" s="3" t="s">
        <v>8654</v>
      </c>
      <c r="C3713" s="3" t="s">
        <v>1361</v>
      </c>
      <c r="D3713" s="4" t="s">
        <v>8655</v>
      </c>
      <c r="E3713" s="3" t="s">
        <v>1218</v>
      </c>
      <c r="F3713" s="3" t="s">
        <v>2105</v>
      </c>
      <c r="G3713" s="3"/>
      <c r="H3713" s="4" t="s">
        <v>3812</v>
      </c>
    </row>
    <row r="3714" ht="16.5" customHeight="1" spans="1:8">
      <c r="A3714" s="3">
        <v>3713</v>
      </c>
      <c r="B3714" s="3" t="s">
        <v>8656</v>
      </c>
      <c r="C3714" s="3" t="s">
        <v>1361</v>
      </c>
      <c r="D3714" s="4" t="s">
        <v>8657</v>
      </c>
      <c r="E3714" s="3" t="s">
        <v>1218</v>
      </c>
      <c r="F3714" s="3" t="s">
        <v>2105</v>
      </c>
      <c r="G3714" s="3"/>
      <c r="H3714" s="4" t="s">
        <v>3812</v>
      </c>
    </row>
    <row r="3715" ht="16.5" customHeight="1" spans="1:8">
      <c r="A3715" s="3">
        <v>3714</v>
      </c>
      <c r="B3715" s="3" t="s">
        <v>8658</v>
      </c>
      <c r="C3715" s="3" t="s">
        <v>1361</v>
      </c>
      <c r="D3715" s="4" t="s">
        <v>8659</v>
      </c>
      <c r="E3715" s="3" t="s">
        <v>1218</v>
      </c>
      <c r="F3715" s="3" t="s">
        <v>2105</v>
      </c>
      <c r="G3715" s="3"/>
      <c r="H3715" s="4" t="s">
        <v>3812</v>
      </c>
    </row>
    <row r="3716" ht="16.5" customHeight="1" spans="1:8">
      <c r="A3716" s="3">
        <v>3715</v>
      </c>
      <c r="B3716" s="3" t="s">
        <v>8660</v>
      </c>
      <c r="C3716" s="3" t="s">
        <v>1361</v>
      </c>
      <c r="D3716" s="4" t="s">
        <v>8661</v>
      </c>
      <c r="E3716" s="3" t="s">
        <v>1218</v>
      </c>
      <c r="F3716" s="3" t="s">
        <v>2105</v>
      </c>
      <c r="G3716" s="3"/>
      <c r="H3716" s="4" t="s">
        <v>3812</v>
      </c>
    </row>
    <row r="3717" ht="16.5" customHeight="1" spans="1:8">
      <c r="A3717" s="3">
        <v>3716</v>
      </c>
      <c r="B3717" s="3" t="s">
        <v>8662</v>
      </c>
      <c r="C3717" s="3" t="s">
        <v>1361</v>
      </c>
      <c r="D3717" s="4" t="s">
        <v>8663</v>
      </c>
      <c r="E3717" s="3" t="s">
        <v>1218</v>
      </c>
      <c r="F3717" s="3" t="s">
        <v>2105</v>
      </c>
      <c r="G3717" s="3"/>
      <c r="H3717" s="4" t="s">
        <v>3812</v>
      </c>
    </row>
    <row r="3718" ht="16.5" customHeight="1" spans="1:8">
      <c r="A3718" s="3">
        <v>3717</v>
      </c>
      <c r="B3718" s="3" t="s">
        <v>8664</v>
      </c>
      <c r="C3718" s="3" t="s">
        <v>1361</v>
      </c>
      <c r="D3718" s="4" t="s">
        <v>8665</v>
      </c>
      <c r="E3718" s="3" t="s">
        <v>1218</v>
      </c>
      <c r="F3718" s="3" t="s">
        <v>2105</v>
      </c>
      <c r="G3718" s="3"/>
      <c r="H3718" s="4" t="s">
        <v>3812</v>
      </c>
    </row>
    <row r="3719" ht="16.5" customHeight="1" spans="1:8">
      <c r="A3719" s="3">
        <v>3718</v>
      </c>
      <c r="B3719" s="3" t="s">
        <v>8666</v>
      </c>
      <c r="C3719" s="3" t="s">
        <v>1361</v>
      </c>
      <c r="D3719" s="4" t="s">
        <v>8667</v>
      </c>
      <c r="E3719" s="3" t="s">
        <v>1218</v>
      </c>
      <c r="F3719" s="3" t="s">
        <v>2105</v>
      </c>
      <c r="G3719" s="3"/>
      <c r="H3719" s="4" t="s">
        <v>3812</v>
      </c>
    </row>
    <row r="3720" ht="16.5" customHeight="1" spans="1:8">
      <c r="A3720" s="3">
        <v>3719</v>
      </c>
      <c r="B3720" s="3" t="s">
        <v>8668</v>
      </c>
      <c r="C3720" s="3" t="s">
        <v>1361</v>
      </c>
      <c r="D3720" s="4" t="s">
        <v>8669</v>
      </c>
      <c r="E3720" s="3" t="s">
        <v>1218</v>
      </c>
      <c r="F3720" s="3" t="s">
        <v>2105</v>
      </c>
      <c r="G3720" s="3"/>
      <c r="H3720" s="4" t="s">
        <v>3812</v>
      </c>
    </row>
    <row r="3721" ht="16.5" customHeight="1" spans="1:8">
      <c r="A3721" s="3">
        <v>3720</v>
      </c>
      <c r="B3721" s="3" t="s">
        <v>8670</v>
      </c>
      <c r="C3721" s="3" t="s">
        <v>1361</v>
      </c>
      <c r="D3721" s="4" t="s">
        <v>8671</v>
      </c>
      <c r="E3721" s="3" t="s">
        <v>1218</v>
      </c>
      <c r="F3721" s="3" t="s">
        <v>2105</v>
      </c>
      <c r="G3721" s="3"/>
      <c r="H3721" s="4" t="s">
        <v>3812</v>
      </c>
    </row>
    <row r="3722" ht="16.5" customHeight="1" spans="1:8">
      <c r="A3722" s="3">
        <v>3721</v>
      </c>
      <c r="B3722" s="3" t="s">
        <v>8672</v>
      </c>
      <c r="C3722" s="3" t="s">
        <v>1356</v>
      </c>
      <c r="D3722" s="4" t="s">
        <v>8673</v>
      </c>
      <c r="E3722" s="3" t="s">
        <v>1076</v>
      </c>
      <c r="F3722" s="3" t="s">
        <v>4668</v>
      </c>
      <c r="G3722" s="3"/>
      <c r="H3722" s="4" t="s">
        <v>1359</v>
      </c>
    </row>
    <row r="3723" ht="16.5" customHeight="1" spans="1:8">
      <c r="A3723" s="3">
        <v>3722</v>
      </c>
      <c r="B3723" s="3" t="s">
        <v>8674</v>
      </c>
      <c r="C3723" s="3" t="s">
        <v>1356</v>
      </c>
      <c r="D3723" s="4" t="s">
        <v>8675</v>
      </c>
      <c r="E3723" s="3" t="s">
        <v>1076</v>
      </c>
      <c r="F3723" s="3" t="s">
        <v>4668</v>
      </c>
      <c r="G3723" s="3"/>
      <c r="H3723" s="4" t="s">
        <v>1359</v>
      </c>
    </row>
    <row r="3724" ht="16.5" customHeight="1" spans="1:8">
      <c r="A3724" s="3">
        <v>3723</v>
      </c>
      <c r="B3724" s="3" t="s">
        <v>8676</v>
      </c>
      <c r="C3724" s="3" t="s">
        <v>2163</v>
      </c>
      <c r="D3724" s="4" t="s">
        <v>8677</v>
      </c>
      <c r="E3724" s="3" t="s">
        <v>1076</v>
      </c>
      <c r="F3724" s="3" t="s">
        <v>2105</v>
      </c>
      <c r="G3724" s="3"/>
      <c r="H3724" s="4" t="s">
        <v>4322</v>
      </c>
    </row>
    <row r="3725" ht="16.5" customHeight="1" spans="1:8">
      <c r="A3725" s="3">
        <v>3724</v>
      </c>
      <c r="B3725" s="3" t="s">
        <v>8678</v>
      </c>
      <c r="C3725" s="3" t="s">
        <v>2163</v>
      </c>
      <c r="D3725" s="4" t="s">
        <v>8679</v>
      </c>
      <c r="E3725" s="3" t="s">
        <v>1076</v>
      </c>
      <c r="F3725" s="3" t="s">
        <v>2105</v>
      </c>
      <c r="G3725" s="3"/>
      <c r="H3725" s="4" t="s">
        <v>4322</v>
      </c>
    </row>
    <row r="3726" ht="16.5" customHeight="1" spans="1:8">
      <c r="A3726" s="3">
        <v>3725</v>
      </c>
      <c r="B3726" s="3" t="s">
        <v>8680</v>
      </c>
      <c r="C3726" s="3" t="s">
        <v>2163</v>
      </c>
      <c r="D3726" s="4" t="s">
        <v>8681</v>
      </c>
      <c r="E3726" s="3" t="s">
        <v>1076</v>
      </c>
      <c r="F3726" s="3" t="s">
        <v>2105</v>
      </c>
      <c r="G3726" s="3"/>
      <c r="H3726" s="4" t="s">
        <v>4322</v>
      </c>
    </row>
    <row r="3727" ht="16.5" customHeight="1" spans="1:8">
      <c r="A3727" s="3">
        <v>3726</v>
      </c>
      <c r="B3727" s="3" t="s">
        <v>8682</v>
      </c>
      <c r="C3727" s="3" t="s">
        <v>2163</v>
      </c>
      <c r="D3727" s="4" t="s">
        <v>8683</v>
      </c>
      <c r="E3727" s="3" t="s">
        <v>2263</v>
      </c>
      <c r="F3727" s="3" t="s">
        <v>2105</v>
      </c>
      <c r="G3727" s="3"/>
      <c r="H3727" s="4" t="s">
        <v>4322</v>
      </c>
    </row>
    <row r="3728" ht="16.5" customHeight="1" spans="1:8">
      <c r="A3728" s="3">
        <v>3727</v>
      </c>
      <c r="B3728" s="3" t="s">
        <v>8684</v>
      </c>
      <c r="C3728" s="3" t="s">
        <v>2163</v>
      </c>
      <c r="D3728" s="4" t="s">
        <v>8685</v>
      </c>
      <c r="E3728" s="3" t="s">
        <v>1076</v>
      </c>
      <c r="F3728" s="3" t="s">
        <v>2105</v>
      </c>
      <c r="G3728" s="3"/>
      <c r="H3728" s="4" t="s">
        <v>1095</v>
      </c>
    </row>
    <row r="3729" ht="16.5" customHeight="1" spans="1:8">
      <c r="A3729" s="3">
        <v>3728</v>
      </c>
      <c r="B3729" s="3" t="s">
        <v>8686</v>
      </c>
      <c r="C3729" s="3" t="s">
        <v>2163</v>
      </c>
      <c r="D3729" s="4" t="s">
        <v>8687</v>
      </c>
      <c r="E3729" s="3" t="s">
        <v>1076</v>
      </c>
      <c r="F3729" s="3" t="s">
        <v>2041</v>
      </c>
      <c r="G3729" s="3"/>
      <c r="H3729" s="4" t="s">
        <v>4322</v>
      </c>
    </row>
    <row r="3730" ht="16.5" customHeight="1" spans="1:8">
      <c r="A3730" s="3">
        <v>3729</v>
      </c>
      <c r="B3730" s="3" t="s">
        <v>8688</v>
      </c>
      <c r="C3730" s="3" t="s">
        <v>1074</v>
      </c>
      <c r="D3730" s="4" t="s">
        <v>8689</v>
      </c>
      <c r="E3730" s="3" t="s">
        <v>1076</v>
      </c>
      <c r="F3730" s="3" t="s">
        <v>4668</v>
      </c>
      <c r="G3730" s="3"/>
      <c r="H3730" s="4" t="s">
        <v>4322</v>
      </c>
    </row>
    <row r="3731" ht="16.5" customHeight="1" spans="1:8">
      <c r="A3731" s="3">
        <v>3730</v>
      </c>
      <c r="B3731" s="3" t="s">
        <v>8690</v>
      </c>
      <c r="C3731" s="3" t="s">
        <v>1074</v>
      </c>
      <c r="D3731" s="4" t="s">
        <v>8691</v>
      </c>
      <c r="E3731" s="3" t="s">
        <v>1076</v>
      </c>
      <c r="F3731" s="3" t="s">
        <v>4668</v>
      </c>
      <c r="G3731" s="3"/>
      <c r="H3731" s="4" t="s">
        <v>4322</v>
      </c>
    </row>
    <row r="3732" ht="16.5" customHeight="1" spans="1:8">
      <c r="A3732" s="3">
        <v>3731</v>
      </c>
      <c r="B3732" s="3" t="s">
        <v>8692</v>
      </c>
      <c r="C3732" s="3" t="s">
        <v>1074</v>
      </c>
      <c r="D3732" s="4" t="s">
        <v>8693</v>
      </c>
      <c r="E3732" s="3" t="s">
        <v>1076</v>
      </c>
      <c r="F3732" s="3" t="s">
        <v>4668</v>
      </c>
      <c r="G3732" s="3"/>
      <c r="H3732" s="4" t="s">
        <v>8402</v>
      </c>
    </row>
    <row r="3733" ht="16.5" customHeight="1" spans="1:8">
      <c r="A3733" s="3">
        <v>3732</v>
      </c>
      <c r="B3733" s="3" t="s">
        <v>8694</v>
      </c>
      <c r="C3733" s="3" t="s">
        <v>1074</v>
      </c>
      <c r="D3733" s="4" t="s">
        <v>8695</v>
      </c>
      <c r="E3733" s="3" t="s">
        <v>1164</v>
      </c>
      <c r="F3733" s="3" t="s">
        <v>4668</v>
      </c>
      <c r="G3733" s="3"/>
      <c r="H3733" s="4" t="s">
        <v>1095</v>
      </c>
    </row>
    <row r="3734" ht="16.5" customHeight="1" spans="1:8">
      <c r="A3734" s="3">
        <v>3733</v>
      </c>
      <c r="B3734" s="3" t="s">
        <v>8696</v>
      </c>
      <c r="C3734" s="3" t="s">
        <v>2163</v>
      </c>
      <c r="D3734" s="4" t="s">
        <v>8697</v>
      </c>
      <c r="E3734" s="3" t="s">
        <v>1076</v>
      </c>
      <c r="F3734" s="3" t="s">
        <v>2041</v>
      </c>
      <c r="G3734" s="3"/>
      <c r="H3734" s="4" t="s">
        <v>1095</v>
      </c>
    </row>
    <row r="3735" ht="16.5" customHeight="1" spans="1:8">
      <c r="A3735" s="3">
        <v>3734</v>
      </c>
      <c r="B3735" s="3" t="s">
        <v>8698</v>
      </c>
      <c r="C3735" s="3" t="s">
        <v>2163</v>
      </c>
      <c r="D3735" s="4" t="s">
        <v>8699</v>
      </c>
      <c r="E3735" s="3" t="s">
        <v>5779</v>
      </c>
      <c r="F3735" s="3" t="s">
        <v>2105</v>
      </c>
      <c r="G3735" s="3"/>
      <c r="H3735" s="4" t="s">
        <v>4322</v>
      </c>
    </row>
    <row r="3736" ht="16.5" customHeight="1" spans="1:8">
      <c r="A3736" s="3">
        <v>3735</v>
      </c>
      <c r="B3736" s="3" t="s">
        <v>8700</v>
      </c>
      <c r="C3736" s="3" t="s">
        <v>2163</v>
      </c>
      <c r="D3736" s="4" t="s">
        <v>8701</v>
      </c>
      <c r="E3736" s="3" t="s">
        <v>2263</v>
      </c>
      <c r="F3736" s="3" t="s">
        <v>2105</v>
      </c>
      <c r="G3736" s="3" t="s">
        <v>98</v>
      </c>
      <c r="H3736" s="4" t="s">
        <v>4322</v>
      </c>
    </row>
    <row r="3737" ht="16.5" customHeight="1" spans="1:8">
      <c r="A3737" s="3">
        <v>3736</v>
      </c>
      <c r="B3737" s="3" t="s">
        <v>8702</v>
      </c>
      <c r="C3737" s="3" t="s">
        <v>2163</v>
      </c>
      <c r="D3737" s="4" t="s">
        <v>8703</v>
      </c>
      <c r="E3737" s="3" t="s">
        <v>1076</v>
      </c>
      <c r="F3737" s="3" t="s">
        <v>2105</v>
      </c>
      <c r="G3737" s="3" t="s">
        <v>98</v>
      </c>
      <c r="H3737" s="4" t="s">
        <v>1095</v>
      </c>
    </row>
    <row r="3738" ht="16.5" customHeight="1" spans="1:8">
      <c r="A3738" s="3">
        <v>3737</v>
      </c>
      <c r="B3738" s="3" t="s">
        <v>8704</v>
      </c>
      <c r="C3738" s="3" t="s">
        <v>1074</v>
      </c>
      <c r="D3738" s="4" t="s">
        <v>8705</v>
      </c>
      <c r="E3738" s="3" t="s">
        <v>1076</v>
      </c>
      <c r="F3738" s="3" t="s">
        <v>4668</v>
      </c>
      <c r="G3738" s="3"/>
      <c r="H3738" s="4" t="s">
        <v>5533</v>
      </c>
    </row>
    <row r="3739" ht="16.5" customHeight="1" spans="1:8">
      <c r="A3739" s="3">
        <v>3738</v>
      </c>
      <c r="B3739" s="3" t="s">
        <v>8706</v>
      </c>
      <c r="C3739" s="3" t="s">
        <v>1074</v>
      </c>
      <c r="D3739" s="4" t="s">
        <v>8707</v>
      </c>
      <c r="E3739" s="3" t="s">
        <v>1076</v>
      </c>
      <c r="F3739" s="3" t="s">
        <v>4668</v>
      </c>
      <c r="G3739" s="3"/>
      <c r="H3739" s="4" t="s">
        <v>5533</v>
      </c>
    </row>
    <row r="3740" ht="16.5" customHeight="1" spans="1:8">
      <c r="A3740" s="3">
        <v>3739</v>
      </c>
      <c r="B3740" s="3" t="s">
        <v>8708</v>
      </c>
      <c r="C3740" s="3" t="s">
        <v>1074</v>
      </c>
      <c r="D3740" s="4" t="s">
        <v>8709</v>
      </c>
      <c r="E3740" s="3" t="s">
        <v>1218</v>
      </c>
      <c r="F3740" s="3" t="s">
        <v>4668</v>
      </c>
      <c r="G3740" s="3"/>
      <c r="H3740" s="4" t="s">
        <v>5533</v>
      </c>
    </row>
    <row r="3741" ht="16.5" customHeight="1" spans="1:8">
      <c r="A3741" s="3">
        <v>3740</v>
      </c>
      <c r="B3741" s="3" t="s">
        <v>8710</v>
      </c>
      <c r="C3741" s="3" t="s">
        <v>1074</v>
      </c>
      <c r="D3741" s="4" t="s">
        <v>8711</v>
      </c>
      <c r="E3741" s="3" t="s">
        <v>1076</v>
      </c>
      <c r="F3741" s="3" t="s">
        <v>4668</v>
      </c>
      <c r="G3741" s="3"/>
      <c r="H3741" s="4" t="s">
        <v>6877</v>
      </c>
    </row>
    <row r="3742" ht="16.5" customHeight="1" spans="1:8">
      <c r="A3742" s="3">
        <v>3741</v>
      </c>
      <c r="B3742" s="3" t="s">
        <v>8712</v>
      </c>
      <c r="C3742" s="3" t="s">
        <v>1074</v>
      </c>
      <c r="D3742" s="4" t="s">
        <v>8713</v>
      </c>
      <c r="E3742" s="3" t="s">
        <v>1076</v>
      </c>
      <c r="F3742" s="3" t="s">
        <v>4668</v>
      </c>
      <c r="G3742" s="3"/>
      <c r="H3742" s="4" t="s">
        <v>5533</v>
      </c>
    </row>
    <row r="3743" ht="16.5" customHeight="1" spans="1:8">
      <c r="A3743" s="3">
        <v>3742</v>
      </c>
      <c r="B3743" s="3" t="s">
        <v>8714</v>
      </c>
      <c r="C3743" s="3" t="s">
        <v>1356</v>
      </c>
      <c r="D3743" s="4" t="s">
        <v>8715</v>
      </c>
      <c r="E3743" s="3" t="s">
        <v>1218</v>
      </c>
      <c r="F3743" s="3" t="s">
        <v>4668</v>
      </c>
      <c r="G3743" s="3"/>
      <c r="H3743" s="4" t="s">
        <v>4636</v>
      </c>
    </row>
    <row r="3744" ht="16.5" customHeight="1" spans="1:8">
      <c r="A3744" s="3">
        <v>3743</v>
      </c>
      <c r="B3744" s="3" t="s">
        <v>8716</v>
      </c>
      <c r="C3744" s="3" t="s">
        <v>1356</v>
      </c>
      <c r="D3744" s="4" t="s">
        <v>8717</v>
      </c>
      <c r="E3744" s="3" t="s">
        <v>1076</v>
      </c>
      <c r="F3744" s="3" t="s">
        <v>4668</v>
      </c>
      <c r="G3744" s="3"/>
      <c r="H3744" s="4" t="s">
        <v>4322</v>
      </c>
    </row>
    <row r="3745" ht="16.5" customHeight="1" spans="1:8">
      <c r="A3745" s="3">
        <v>3744</v>
      </c>
      <c r="B3745" s="3" t="s">
        <v>8718</v>
      </c>
      <c r="C3745" s="3" t="s">
        <v>1356</v>
      </c>
      <c r="D3745" s="4" t="s">
        <v>8719</v>
      </c>
      <c r="E3745" s="3" t="s">
        <v>1218</v>
      </c>
      <c r="F3745" s="3" t="s">
        <v>4668</v>
      </c>
      <c r="G3745" s="3"/>
      <c r="H3745" s="4" t="s">
        <v>1078</v>
      </c>
    </row>
    <row r="3746" ht="16.5" customHeight="1" spans="1:8">
      <c r="A3746" s="3">
        <v>3745</v>
      </c>
      <c r="B3746" s="3" t="s">
        <v>8720</v>
      </c>
      <c r="C3746" s="3" t="s">
        <v>1356</v>
      </c>
      <c r="D3746" s="4" t="s">
        <v>8721</v>
      </c>
      <c r="E3746" s="3" t="s">
        <v>1218</v>
      </c>
      <c r="F3746" s="3" t="s">
        <v>4668</v>
      </c>
      <c r="G3746" s="3"/>
      <c r="H3746" s="4" t="s">
        <v>1095</v>
      </c>
    </row>
    <row r="3747" ht="16.5" customHeight="1" spans="1:8">
      <c r="A3747" s="3">
        <v>3746</v>
      </c>
      <c r="B3747" s="3" t="s">
        <v>8722</v>
      </c>
      <c r="C3747" s="3" t="s">
        <v>1356</v>
      </c>
      <c r="D3747" s="4" t="s">
        <v>8723</v>
      </c>
      <c r="E3747" s="3" t="s">
        <v>1076</v>
      </c>
      <c r="F3747" s="3" t="s">
        <v>4668</v>
      </c>
      <c r="G3747" s="3"/>
      <c r="H3747" s="4" t="s">
        <v>4322</v>
      </c>
    </row>
    <row r="3748" ht="16.5" customHeight="1" spans="1:8">
      <c r="A3748" s="3">
        <v>3747</v>
      </c>
      <c r="B3748" s="3" t="s">
        <v>8724</v>
      </c>
      <c r="C3748" s="3" t="s">
        <v>1356</v>
      </c>
      <c r="D3748" s="4" t="s">
        <v>8725</v>
      </c>
      <c r="E3748" s="3" t="s">
        <v>2726</v>
      </c>
      <c r="F3748" s="3" t="s">
        <v>4668</v>
      </c>
      <c r="G3748" s="3"/>
      <c r="H3748" s="4" t="s">
        <v>4322</v>
      </c>
    </row>
    <row r="3749" ht="16.5" customHeight="1" spans="1:8">
      <c r="A3749" s="3">
        <v>3748</v>
      </c>
      <c r="B3749" s="3" t="s">
        <v>8726</v>
      </c>
      <c r="C3749" s="3" t="s">
        <v>1356</v>
      </c>
      <c r="D3749" s="4" t="s">
        <v>8727</v>
      </c>
      <c r="E3749" s="3" t="s">
        <v>1218</v>
      </c>
      <c r="F3749" s="3" t="s">
        <v>4668</v>
      </c>
      <c r="G3749" s="3"/>
      <c r="H3749" s="4" t="s">
        <v>4117</v>
      </c>
    </row>
    <row r="3750" ht="16.5" customHeight="1" spans="1:8">
      <c r="A3750" s="3">
        <v>3749</v>
      </c>
      <c r="B3750" s="3" t="s">
        <v>8728</v>
      </c>
      <c r="C3750" s="3" t="s">
        <v>1356</v>
      </c>
      <c r="D3750" s="4" t="s">
        <v>8729</v>
      </c>
      <c r="E3750" s="3" t="s">
        <v>2726</v>
      </c>
      <c r="F3750" s="3" t="s">
        <v>4668</v>
      </c>
      <c r="G3750" s="3"/>
      <c r="H3750" s="4" t="s">
        <v>3812</v>
      </c>
    </row>
    <row r="3751" ht="16.5" customHeight="1" spans="1:8">
      <c r="A3751" s="3">
        <v>3750</v>
      </c>
      <c r="B3751" s="3" t="s">
        <v>8730</v>
      </c>
      <c r="C3751" s="3" t="s">
        <v>1361</v>
      </c>
      <c r="D3751" s="4" t="s">
        <v>8731</v>
      </c>
      <c r="E3751" s="3" t="s">
        <v>2056</v>
      </c>
      <c r="F3751" s="3" t="s">
        <v>2105</v>
      </c>
      <c r="G3751" s="3"/>
      <c r="H3751" s="4" t="s">
        <v>5533</v>
      </c>
    </row>
    <row r="3752" ht="16.5" customHeight="1" spans="1:8">
      <c r="A3752" s="3">
        <v>3751</v>
      </c>
      <c r="B3752" s="3" t="s">
        <v>8732</v>
      </c>
      <c r="C3752" s="3" t="s">
        <v>1361</v>
      </c>
      <c r="D3752" s="4" t="s">
        <v>8733</v>
      </c>
      <c r="E3752" s="3" t="s">
        <v>2056</v>
      </c>
      <c r="F3752" s="3" t="s">
        <v>2105</v>
      </c>
      <c r="G3752" s="3"/>
      <c r="H3752" s="4" t="s">
        <v>5533</v>
      </c>
    </row>
    <row r="3753" ht="16.5" customHeight="1" spans="1:8">
      <c r="A3753" s="3">
        <v>3752</v>
      </c>
      <c r="B3753" s="3" t="s">
        <v>8734</v>
      </c>
      <c r="C3753" s="3" t="s">
        <v>1361</v>
      </c>
      <c r="D3753" s="4" t="s">
        <v>8735</v>
      </c>
      <c r="E3753" s="3" t="s">
        <v>2056</v>
      </c>
      <c r="F3753" s="3" t="s">
        <v>2105</v>
      </c>
      <c r="G3753" s="3"/>
      <c r="H3753" s="4" t="s">
        <v>5533</v>
      </c>
    </row>
    <row r="3754" ht="16.5" customHeight="1" spans="1:8">
      <c r="A3754" s="3">
        <v>3753</v>
      </c>
      <c r="B3754" s="3" t="s">
        <v>8736</v>
      </c>
      <c r="C3754" s="3" t="s">
        <v>1361</v>
      </c>
      <c r="D3754" s="4" t="s">
        <v>8737</v>
      </c>
      <c r="E3754" s="3" t="s">
        <v>2056</v>
      </c>
      <c r="F3754" s="3" t="s">
        <v>2105</v>
      </c>
      <c r="G3754" s="3"/>
      <c r="H3754" s="4" t="s">
        <v>5533</v>
      </c>
    </row>
    <row r="3755" ht="16.5" customHeight="1" spans="1:8">
      <c r="A3755" s="3">
        <v>3754</v>
      </c>
      <c r="B3755" s="3" t="s">
        <v>8738</v>
      </c>
      <c r="C3755" s="3" t="s">
        <v>1361</v>
      </c>
      <c r="D3755" s="4" t="s">
        <v>8739</v>
      </c>
      <c r="E3755" s="3" t="s">
        <v>2056</v>
      </c>
      <c r="F3755" s="3" t="s">
        <v>2105</v>
      </c>
      <c r="G3755" s="3"/>
      <c r="H3755" s="4" t="s">
        <v>5533</v>
      </c>
    </row>
    <row r="3756" ht="16.5" customHeight="1" spans="1:8">
      <c r="A3756" s="3">
        <v>3755</v>
      </c>
      <c r="B3756" s="3" t="s">
        <v>8740</v>
      </c>
      <c r="C3756" s="3" t="s">
        <v>1361</v>
      </c>
      <c r="D3756" s="4" t="s">
        <v>8741</v>
      </c>
      <c r="E3756" s="3" t="s">
        <v>2056</v>
      </c>
      <c r="F3756" s="3" t="s">
        <v>2105</v>
      </c>
      <c r="G3756" s="3"/>
      <c r="H3756" s="4" t="s">
        <v>5533</v>
      </c>
    </row>
    <row r="3757" ht="16.5" customHeight="1" spans="1:8">
      <c r="A3757" s="3">
        <v>3756</v>
      </c>
      <c r="B3757" s="3" t="s">
        <v>8742</v>
      </c>
      <c r="C3757" s="3" t="s">
        <v>1361</v>
      </c>
      <c r="D3757" s="4" t="s">
        <v>8743</v>
      </c>
      <c r="E3757" s="3" t="s">
        <v>2056</v>
      </c>
      <c r="F3757" s="3" t="s">
        <v>2105</v>
      </c>
      <c r="G3757" s="3"/>
      <c r="H3757" s="4" t="s">
        <v>5533</v>
      </c>
    </row>
    <row r="3758" ht="16.5" customHeight="1" spans="1:8">
      <c r="A3758" s="3">
        <v>3757</v>
      </c>
      <c r="B3758" s="3" t="s">
        <v>8744</v>
      </c>
      <c r="C3758" s="3" t="s">
        <v>1361</v>
      </c>
      <c r="D3758" s="4" t="s">
        <v>8745</v>
      </c>
      <c r="E3758" s="3" t="s">
        <v>2056</v>
      </c>
      <c r="F3758" s="3" t="s">
        <v>2105</v>
      </c>
      <c r="G3758" s="3"/>
      <c r="H3758" s="4" t="s">
        <v>5533</v>
      </c>
    </row>
    <row r="3759" ht="16.5" customHeight="1" spans="1:8">
      <c r="A3759" s="3">
        <v>3758</v>
      </c>
      <c r="B3759" s="3" t="s">
        <v>8746</v>
      </c>
      <c r="C3759" s="3" t="s">
        <v>1361</v>
      </c>
      <c r="D3759" s="4" t="s">
        <v>8747</v>
      </c>
      <c r="E3759" s="3" t="s">
        <v>2056</v>
      </c>
      <c r="F3759" s="3" t="s">
        <v>2105</v>
      </c>
      <c r="G3759" s="3"/>
      <c r="H3759" s="4" t="s">
        <v>5533</v>
      </c>
    </row>
    <row r="3760" ht="16.5" customHeight="1" spans="1:8">
      <c r="A3760" s="3">
        <v>3759</v>
      </c>
      <c r="B3760" s="3" t="s">
        <v>8748</v>
      </c>
      <c r="C3760" s="3" t="s">
        <v>1361</v>
      </c>
      <c r="D3760" s="4" t="s">
        <v>8749</v>
      </c>
      <c r="E3760" s="3" t="s">
        <v>2056</v>
      </c>
      <c r="F3760" s="3" t="s">
        <v>2105</v>
      </c>
      <c r="G3760" s="3"/>
      <c r="H3760" s="4" t="s">
        <v>5533</v>
      </c>
    </row>
    <row r="3761" ht="16.5" customHeight="1" spans="1:8">
      <c r="A3761" s="3">
        <v>3760</v>
      </c>
      <c r="B3761" s="3" t="s">
        <v>8750</v>
      </c>
      <c r="C3761" s="3" t="s">
        <v>1361</v>
      </c>
      <c r="D3761" s="4" t="s">
        <v>8751</v>
      </c>
      <c r="E3761" s="3" t="s">
        <v>2056</v>
      </c>
      <c r="F3761" s="3" t="s">
        <v>2105</v>
      </c>
      <c r="G3761" s="3"/>
      <c r="H3761" s="4" t="s">
        <v>5533</v>
      </c>
    </row>
    <row r="3762" ht="16.5" customHeight="1" spans="1:8">
      <c r="A3762" s="3">
        <v>3761</v>
      </c>
      <c r="B3762" s="3" t="s">
        <v>8752</v>
      </c>
      <c r="C3762" s="3" t="s">
        <v>1074</v>
      </c>
      <c r="D3762" s="4" t="s">
        <v>8753</v>
      </c>
      <c r="E3762" s="3" t="s">
        <v>8754</v>
      </c>
      <c r="F3762" s="3" t="s">
        <v>8175</v>
      </c>
      <c r="G3762" s="3"/>
      <c r="H3762" s="4" t="s">
        <v>1095</v>
      </c>
    </row>
    <row r="3763" ht="16.5" customHeight="1" spans="1:8">
      <c r="A3763" s="3">
        <v>3762</v>
      </c>
      <c r="B3763" s="3" t="s">
        <v>8755</v>
      </c>
      <c r="C3763" s="3" t="s">
        <v>1356</v>
      </c>
      <c r="D3763" s="4" t="s">
        <v>8756</v>
      </c>
      <c r="E3763" s="3" t="s">
        <v>1076</v>
      </c>
      <c r="F3763" s="3" t="s">
        <v>4668</v>
      </c>
      <c r="G3763" s="3"/>
      <c r="H3763" s="4" t="s">
        <v>4322</v>
      </c>
    </row>
    <row r="3764" ht="16.5" customHeight="1" spans="1:8">
      <c r="A3764" s="3">
        <v>3763</v>
      </c>
      <c r="B3764" s="3" t="s">
        <v>8757</v>
      </c>
      <c r="C3764" s="3" t="s">
        <v>2163</v>
      </c>
      <c r="D3764" s="4" t="s">
        <v>8758</v>
      </c>
      <c r="E3764" s="3" t="s">
        <v>1076</v>
      </c>
      <c r="F3764" s="3" t="s">
        <v>2041</v>
      </c>
      <c r="G3764" s="3" t="s">
        <v>321</v>
      </c>
      <c r="H3764" s="4" t="s">
        <v>1095</v>
      </c>
    </row>
    <row r="3765" ht="16.5" customHeight="1" spans="1:8">
      <c r="A3765" s="3">
        <v>3764</v>
      </c>
      <c r="B3765" s="3" t="s">
        <v>8759</v>
      </c>
      <c r="C3765" s="3" t="s">
        <v>2163</v>
      </c>
      <c r="D3765" s="4" t="s">
        <v>8760</v>
      </c>
      <c r="E3765" s="3" t="s">
        <v>1076</v>
      </c>
      <c r="F3765" s="3" t="s">
        <v>1358</v>
      </c>
      <c r="G3765" s="3" t="s">
        <v>321</v>
      </c>
      <c r="H3765" s="4" t="s">
        <v>1359</v>
      </c>
    </row>
    <row r="3766" ht="16.5" customHeight="1" spans="1:8">
      <c r="A3766" s="3">
        <v>3765</v>
      </c>
      <c r="B3766" s="3" t="s">
        <v>8761</v>
      </c>
      <c r="C3766" s="3" t="s">
        <v>2163</v>
      </c>
      <c r="D3766" s="4" t="s">
        <v>8762</v>
      </c>
      <c r="E3766" s="3" t="s">
        <v>2726</v>
      </c>
      <c r="F3766" s="3" t="s">
        <v>2041</v>
      </c>
      <c r="G3766" s="3" t="s">
        <v>321</v>
      </c>
      <c r="H3766" s="4" t="s">
        <v>1359</v>
      </c>
    </row>
    <row r="3767" ht="16.5" customHeight="1" spans="1:8">
      <c r="A3767" s="3">
        <v>3766</v>
      </c>
      <c r="B3767" s="3" t="s">
        <v>8763</v>
      </c>
      <c r="C3767" s="3" t="s">
        <v>1099</v>
      </c>
      <c r="D3767" s="4" t="s">
        <v>8764</v>
      </c>
      <c r="E3767" s="3" t="s">
        <v>1218</v>
      </c>
      <c r="F3767" s="3" t="s">
        <v>4668</v>
      </c>
      <c r="G3767" s="3"/>
      <c r="H3767" s="4"/>
    </row>
    <row r="3768" ht="16.5" customHeight="1" spans="1:8">
      <c r="A3768" s="3">
        <v>3767</v>
      </c>
      <c r="B3768" s="3" t="s">
        <v>8765</v>
      </c>
      <c r="C3768" s="3" t="s">
        <v>1356</v>
      </c>
      <c r="D3768" s="4" t="s">
        <v>8766</v>
      </c>
      <c r="E3768" s="3" t="s">
        <v>1076</v>
      </c>
      <c r="F3768" s="3" t="s">
        <v>4668</v>
      </c>
      <c r="G3768" s="3"/>
      <c r="H3768" s="4" t="s">
        <v>6740</v>
      </c>
    </row>
    <row r="3769" ht="16.5" customHeight="1" spans="1:8">
      <c r="A3769" s="3">
        <v>3768</v>
      </c>
      <c r="B3769" s="3" t="s">
        <v>8767</v>
      </c>
      <c r="C3769" s="3" t="s">
        <v>1356</v>
      </c>
      <c r="D3769" s="4" t="s">
        <v>8768</v>
      </c>
      <c r="E3769" s="3" t="s">
        <v>1076</v>
      </c>
      <c r="F3769" s="3" t="s">
        <v>4668</v>
      </c>
      <c r="G3769" s="3"/>
      <c r="H3769" s="4" t="s">
        <v>8769</v>
      </c>
    </row>
    <row r="3770" ht="16.5" customHeight="1" spans="1:8">
      <c r="A3770" s="3">
        <v>3769</v>
      </c>
      <c r="B3770" s="3" t="s">
        <v>8770</v>
      </c>
      <c r="C3770" s="3" t="s">
        <v>1356</v>
      </c>
      <c r="D3770" s="4" t="s">
        <v>8771</v>
      </c>
      <c r="E3770" s="3" t="s">
        <v>1076</v>
      </c>
      <c r="F3770" s="3" t="s">
        <v>4668</v>
      </c>
      <c r="G3770" s="3"/>
      <c r="H3770" s="4" t="s">
        <v>8769</v>
      </c>
    </row>
    <row r="3771" ht="16.5" customHeight="1" spans="1:8">
      <c r="A3771" s="3">
        <v>3770</v>
      </c>
      <c r="B3771" s="3" t="s">
        <v>8772</v>
      </c>
      <c r="C3771" s="3" t="s">
        <v>1356</v>
      </c>
      <c r="D3771" s="4" t="s">
        <v>8773</v>
      </c>
      <c r="E3771" s="3" t="s">
        <v>1076</v>
      </c>
      <c r="F3771" s="3" t="s">
        <v>4668</v>
      </c>
      <c r="G3771" s="3"/>
      <c r="H3771" s="4" t="s">
        <v>8769</v>
      </c>
    </row>
    <row r="3772" ht="16.5" customHeight="1" spans="1:8">
      <c r="A3772" s="3">
        <v>3771</v>
      </c>
      <c r="B3772" s="3" t="s">
        <v>8774</v>
      </c>
      <c r="C3772" s="3" t="s">
        <v>1356</v>
      </c>
      <c r="D3772" s="4" t="s">
        <v>8775</v>
      </c>
      <c r="E3772" s="3" t="s">
        <v>1076</v>
      </c>
      <c r="F3772" s="3" t="s">
        <v>4668</v>
      </c>
      <c r="G3772" s="3"/>
      <c r="H3772" s="4" t="s">
        <v>8769</v>
      </c>
    </row>
    <row r="3773" ht="16.5" customHeight="1" spans="1:8">
      <c r="A3773" s="3">
        <v>3772</v>
      </c>
      <c r="B3773" s="3" t="s">
        <v>8776</v>
      </c>
      <c r="C3773" s="3" t="s">
        <v>1356</v>
      </c>
      <c r="D3773" s="4" t="s">
        <v>8777</v>
      </c>
      <c r="E3773" s="3" t="s">
        <v>1076</v>
      </c>
      <c r="F3773" s="3" t="s">
        <v>4668</v>
      </c>
      <c r="G3773" s="3"/>
      <c r="H3773" s="4" t="s">
        <v>8769</v>
      </c>
    </row>
    <row r="3774" ht="16.5" customHeight="1" spans="1:8">
      <c r="A3774" s="3">
        <v>3773</v>
      </c>
      <c r="B3774" s="3" t="s">
        <v>8778</v>
      </c>
      <c r="C3774" s="3" t="s">
        <v>1356</v>
      </c>
      <c r="D3774" s="4" t="s">
        <v>8779</v>
      </c>
      <c r="E3774" s="3" t="s">
        <v>1076</v>
      </c>
      <c r="F3774" s="3" t="s">
        <v>4668</v>
      </c>
      <c r="G3774" s="3"/>
      <c r="H3774" s="4" t="s">
        <v>8769</v>
      </c>
    </row>
    <row r="3775" ht="16.5" customHeight="1" spans="1:8">
      <c r="A3775" s="3">
        <v>3774</v>
      </c>
      <c r="B3775" s="3" t="s">
        <v>8780</v>
      </c>
      <c r="C3775" s="3" t="s">
        <v>1356</v>
      </c>
      <c r="D3775" s="4" t="s">
        <v>8781</v>
      </c>
      <c r="E3775" s="3" t="s">
        <v>1076</v>
      </c>
      <c r="F3775" s="3" t="s">
        <v>4668</v>
      </c>
      <c r="G3775" s="3"/>
      <c r="H3775" s="4" t="s">
        <v>8769</v>
      </c>
    </row>
    <row r="3776" ht="16.5" customHeight="1" spans="1:8">
      <c r="A3776" s="3">
        <v>3775</v>
      </c>
      <c r="B3776" s="3" t="s">
        <v>8782</v>
      </c>
      <c r="C3776" s="3" t="s">
        <v>1356</v>
      </c>
      <c r="D3776" s="4" t="s">
        <v>8783</v>
      </c>
      <c r="E3776" s="3" t="s">
        <v>1218</v>
      </c>
      <c r="F3776" s="3" t="s">
        <v>4668</v>
      </c>
      <c r="G3776" s="3"/>
      <c r="H3776" s="4" t="s">
        <v>1305</v>
      </c>
    </row>
    <row r="3777" ht="16.5" customHeight="1" spans="1:8">
      <c r="A3777" s="3">
        <v>3776</v>
      </c>
      <c r="B3777" s="3" t="s">
        <v>8784</v>
      </c>
      <c r="C3777" s="3" t="s">
        <v>1356</v>
      </c>
      <c r="D3777" s="4" t="s">
        <v>8785</v>
      </c>
      <c r="E3777" s="3" t="s">
        <v>1076</v>
      </c>
      <c r="F3777" s="3" t="s">
        <v>1358</v>
      </c>
      <c r="G3777" s="3"/>
      <c r="H3777" s="4"/>
    </row>
    <row r="3778" ht="16.5" customHeight="1" spans="1:8">
      <c r="A3778" s="3">
        <v>3777</v>
      </c>
      <c r="B3778" s="3" t="s">
        <v>8786</v>
      </c>
      <c r="C3778" s="3" t="s">
        <v>1356</v>
      </c>
      <c r="D3778" s="4" t="s">
        <v>6956</v>
      </c>
      <c r="E3778" s="3" t="s">
        <v>1076</v>
      </c>
      <c r="F3778" s="3" t="s">
        <v>1358</v>
      </c>
      <c r="G3778" s="3"/>
      <c r="H3778" s="4"/>
    </row>
    <row r="3779" ht="16.5" customHeight="1" spans="1:8">
      <c r="A3779" s="3">
        <v>3778</v>
      </c>
      <c r="B3779" s="3" t="s">
        <v>8787</v>
      </c>
      <c r="C3779" s="3" t="s">
        <v>1356</v>
      </c>
      <c r="D3779" s="4" t="s">
        <v>8788</v>
      </c>
      <c r="E3779" s="3" t="s">
        <v>1076</v>
      </c>
      <c r="F3779" s="3" t="s">
        <v>1358</v>
      </c>
      <c r="G3779" s="3"/>
      <c r="H3779" s="4"/>
    </row>
    <row r="3780" ht="16.5" customHeight="1" spans="1:8">
      <c r="A3780" s="3">
        <v>3779</v>
      </c>
      <c r="B3780" s="3" t="s">
        <v>8789</v>
      </c>
      <c r="C3780" s="3" t="s">
        <v>1356</v>
      </c>
      <c r="D3780" s="4" t="s">
        <v>8790</v>
      </c>
      <c r="E3780" s="3" t="s">
        <v>1076</v>
      </c>
      <c r="F3780" s="3" t="s">
        <v>1358</v>
      </c>
      <c r="G3780" s="3"/>
      <c r="H3780" s="4"/>
    </row>
    <row r="3781" ht="16.5" customHeight="1" spans="1:8">
      <c r="A3781" s="3">
        <v>3780</v>
      </c>
      <c r="B3781" s="3" t="s">
        <v>8791</v>
      </c>
      <c r="C3781" s="3" t="s">
        <v>1356</v>
      </c>
      <c r="D3781" s="4" t="s">
        <v>8792</v>
      </c>
      <c r="E3781" s="3" t="s">
        <v>1076</v>
      </c>
      <c r="F3781" s="3" t="s">
        <v>4668</v>
      </c>
      <c r="G3781" s="3"/>
      <c r="H3781" s="4" t="s">
        <v>1359</v>
      </c>
    </row>
    <row r="3782" ht="16.5" customHeight="1" spans="1:8">
      <c r="A3782" s="3">
        <v>3781</v>
      </c>
      <c r="B3782" s="3" t="s">
        <v>8793</v>
      </c>
      <c r="C3782" s="3" t="s">
        <v>1356</v>
      </c>
      <c r="D3782" s="4" t="s">
        <v>8794</v>
      </c>
      <c r="E3782" s="3" t="s">
        <v>1218</v>
      </c>
      <c r="F3782" s="3" t="s">
        <v>1736</v>
      </c>
      <c r="G3782" s="3"/>
      <c r="H3782" s="4" t="s">
        <v>6560</v>
      </c>
    </row>
    <row r="3783" ht="16.5" customHeight="1" spans="1:8">
      <c r="A3783" s="3">
        <v>3782</v>
      </c>
      <c r="B3783" s="3" t="s">
        <v>8795</v>
      </c>
      <c r="C3783" s="3" t="s">
        <v>1356</v>
      </c>
      <c r="D3783" s="4" t="s">
        <v>8796</v>
      </c>
      <c r="E3783" s="3" t="s">
        <v>1218</v>
      </c>
      <c r="F3783" s="3" t="s">
        <v>1736</v>
      </c>
      <c r="G3783" s="3"/>
      <c r="H3783" s="4" t="s">
        <v>6560</v>
      </c>
    </row>
    <row r="3784" ht="16.5" customHeight="1" spans="1:8">
      <c r="A3784" s="3">
        <v>3783</v>
      </c>
      <c r="B3784" s="3" t="s">
        <v>8797</v>
      </c>
      <c r="C3784" s="3" t="s">
        <v>2163</v>
      </c>
      <c r="D3784" s="4" t="s">
        <v>8798</v>
      </c>
      <c r="E3784" s="3" t="s">
        <v>1076</v>
      </c>
      <c r="F3784" s="3" t="s">
        <v>2105</v>
      </c>
      <c r="G3784" s="3"/>
      <c r="H3784" s="4" t="s">
        <v>3812</v>
      </c>
    </row>
    <row r="3785" ht="16.5" customHeight="1" spans="1:8">
      <c r="A3785" s="3">
        <v>3784</v>
      </c>
      <c r="B3785" s="3" t="s">
        <v>8799</v>
      </c>
      <c r="C3785" s="3" t="s">
        <v>2163</v>
      </c>
      <c r="D3785" s="4" t="s">
        <v>8800</v>
      </c>
      <c r="E3785" s="3" t="s">
        <v>1076</v>
      </c>
      <c r="F3785" s="3" t="s">
        <v>2105</v>
      </c>
      <c r="G3785" s="3"/>
      <c r="H3785" s="4" t="s">
        <v>3812</v>
      </c>
    </row>
    <row r="3786" ht="16.5" customHeight="1" spans="1:8">
      <c r="A3786" s="3">
        <v>3785</v>
      </c>
      <c r="B3786" s="3" t="s">
        <v>8801</v>
      </c>
      <c r="C3786" s="3" t="s">
        <v>1074</v>
      </c>
      <c r="D3786" s="4" t="s">
        <v>8802</v>
      </c>
      <c r="E3786" s="3" t="s">
        <v>1076</v>
      </c>
      <c r="F3786" s="3" t="s">
        <v>8175</v>
      </c>
      <c r="G3786" s="3"/>
      <c r="H3786" s="4" t="s">
        <v>3812</v>
      </c>
    </row>
    <row r="3787" ht="16.5" customHeight="1" spans="1:8">
      <c r="A3787" s="3">
        <v>3786</v>
      </c>
      <c r="B3787" s="3" t="s">
        <v>8803</v>
      </c>
      <c r="C3787" s="3" t="s">
        <v>1105</v>
      </c>
      <c r="D3787" s="4" t="s">
        <v>8804</v>
      </c>
      <c r="E3787" s="3" t="s">
        <v>1076</v>
      </c>
      <c r="F3787" s="3" t="s">
        <v>8175</v>
      </c>
      <c r="G3787" s="3"/>
      <c r="H3787" s="4" t="s">
        <v>8805</v>
      </c>
    </row>
    <row r="3788" ht="16.5" customHeight="1" spans="1:8">
      <c r="A3788" s="3">
        <v>3787</v>
      </c>
      <c r="B3788" s="3" t="s">
        <v>8806</v>
      </c>
      <c r="C3788" s="3" t="s">
        <v>1105</v>
      </c>
      <c r="D3788" s="4" t="s">
        <v>8807</v>
      </c>
      <c r="E3788" s="3" t="s">
        <v>1076</v>
      </c>
      <c r="F3788" s="3" t="s">
        <v>8175</v>
      </c>
      <c r="G3788" s="3"/>
      <c r="H3788" s="4" t="s">
        <v>8805</v>
      </c>
    </row>
    <row r="3789" ht="16.5" customHeight="1" spans="1:8">
      <c r="A3789" s="3">
        <v>3788</v>
      </c>
      <c r="B3789" s="3" t="s">
        <v>8808</v>
      </c>
      <c r="C3789" s="3" t="s">
        <v>1105</v>
      </c>
      <c r="D3789" s="4" t="s">
        <v>8809</v>
      </c>
      <c r="E3789" s="3" t="s">
        <v>1076</v>
      </c>
      <c r="F3789" s="3" t="s">
        <v>8175</v>
      </c>
      <c r="G3789" s="3"/>
      <c r="H3789" s="4" t="s">
        <v>8805</v>
      </c>
    </row>
    <row r="3790" ht="16.5" customHeight="1" spans="1:8">
      <c r="A3790" s="3">
        <v>3789</v>
      </c>
      <c r="B3790" s="3" t="s">
        <v>8810</v>
      </c>
      <c r="C3790" s="3" t="s">
        <v>1105</v>
      </c>
      <c r="D3790" s="4" t="s">
        <v>8811</v>
      </c>
      <c r="E3790" s="3" t="s">
        <v>1076</v>
      </c>
      <c r="F3790" s="3" t="s">
        <v>8175</v>
      </c>
      <c r="G3790" s="3"/>
      <c r="H3790" s="4" t="s">
        <v>8805</v>
      </c>
    </row>
    <row r="3791" ht="16.5" customHeight="1" spans="1:8">
      <c r="A3791" s="3">
        <v>3790</v>
      </c>
      <c r="B3791" s="3" t="s">
        <v>8812</v>
      </c>
      <c r="C3791" s="3" t="s">
        <v>1074</v>
      </c>
      <c r="D3791" s="4" t="s">
        <v>8813</v>
      </c>
      <c r="E3791" s="3" t="s">
        <v>1076</v>
      </c>
      <c r="F3791" s="3" t="s">
        <v>8175</v>
      </c>
      <c r="G3791" s="3"/>
      <c r="H3791" s="4" t="s">
        <v>5533</v>
      </c>
    </row>
    <row r="3792" ht="16.5" customHeight="1" spans="1:8">
      <c r="A3792" s="3">
        <v>3791</v>
      </c>
      <c r="B3792" s="3" t="s">
        <v>8814</v>
      </c>
      <c r="C3792" s="3" t="s">
        <v>1105</v>
      </c>
      <c r="D3792" s="4" t="s">
        <v>8815</v>
      </c>
      <c r="E3792" s="3" t="s">
        <v>1076</v>
      </c>
      <c r="F3792" s="3" t="s">
        <v>8175</v>
      </c>
      <c r="G3792" s="3"/>
      <c r="H3792" s="4" t="s">
        <v>8816</v>
      </c>
    </row>
    <row r="3793" ht="16.5" customHeight="1" spans="1:8">
      <c r="A3793" s="3">
        <v>3792</v>
      </c>
      <c r="B3793" s="3" t="s">
        <v>8817</v>
      </c>
      <c r="C3793" s="3" t="s">
        <v>1105</v>
      </c>
      <c r="D3793" s="4" t="s">
        <v>8818</v>
      </c>
      <c r="E3793" s="3" t="s">
        <v>1076</v>
      </c>
      <c r="F3793" s="3" t="s">
        <v>8175</v>
      </c>
      <c r="G3793" s="3"/>
      <c r="H3793" s="4" t="s">
        <v>8816</v>
      </c>
    </row>
    <row r="3794" ht="16.5" customHeight="1" spans="1:8">
      <c r="A3794" s="3">
        <v>3793</v>
      </c>
      <c r="B3794" s="3" t="s">
        <v>8819</v>
      </c>
      <c r="C3794" s="3" t="s">
        <v>1105</v>
      </c>
      <c r="D3794" s="4" t="s">
        <v>8820</v>
      </c>
      <c r="E3794" s="3" t="s">
        <v>1076</v>
      </c>
      <c r="F3794" s="3" t="s">
        <v>8175</v>
      </c>
      <c r="G3794" s="3"/>
      <c r="H3794" s="4" t="s">
        <v>8816</v>
      </c>
    </row>
    <row r="3795" ht="16.5" customHeight="1" spans="1:8">
      <c r="A3795" s="3">
        <v>3794</v>
      </c>
      <c r="B3795" s="3" t="s">
        <v>8821</v>
      </c>
      <c r="C3795" s="3" t="s">
        <v>1105</v>
      </c>
      <c r="D3795" s="4" t="s">
        <v>8822</v>
      </c>
      <c r="E3795" s="3" t="s">
        <v>1076</v>
      </c>
      <c r="F3795" s="3" t="s">
        <v>8175</v>
      </c>
      <c r="G3795" s="3"/>
      <c r="H3795" s="4" t="s">
        <v>8816</v>
      </c>
    </row>
    <row r="3796" ht="16.5" customHeight="1" spans="1:8">
      <c r="A3796" s="3">
        <v>3795</v>
      </c>
      <c r="B3796" s="3" t="s">
        <v>8823</v>
      </c>
      <c r="C3796" s="3" t="s">
        <v>1105</v>
      </c>
      <c r="D3796" s="4" t="s">
        <v>8824</v>
      </c>
      <c r="E3796" s="3" t="s">
        <v>1076</v>
      </c>
      <c r="F3796" s="3" t="s">
        <v>8175</v>
      </c>
      <c r="G3796" s="3"/>
      <c r="H3796" s="4" t="s">
        <v>8816</v>
      </c>
    </row>
    <row r="3797" ht="16.5" customHeight="1" spans="1:8">
      <c r="A3797" s="3">
        <v>3796</v>
      </c>
      <c r="B3797" s="3" t="s">
        <v>8825</v>
      </c>
      <c r="C3797" s="3" t="s">
        <v>1105</v>
      </c>
      <c r="D3797" s="4" t="s">
        <v>8826</v>
      </c>
      <c r="E3797" s="3" t="s">
        <v>1076</v>
      </c>
      <c r="F3797" s="3" t="s">
        <v>8175</v>
      </c>
      <c r="G3797" s="3"/>
      <c r="H3797" s="4" t="s">
        <v>8816</v>
      </c>
    </row>
    <row r="3798" ht="16.5" customHeight="1" spans="1:8">
      <c r="A3798" s="3">
        <v>3797</v>
      </c>
      <c r="B3798" s="3" t="s">
        <v>8827</v>
      </c>
      <c r="C3798" s="3" t="s">
        <v>1105</v>
      </c>
      <c r="D3798" s="4" t="s">
        <v>8828</v>
      </c>
      <c r="E3798" s="3" t="s">
        <v>1076</v>
      </c>
      <c r="F3798" s="3" t="s">
        <v>8175</v>
      </c>
      <c r="G3798" s="3"/>
      <c r="H3798" s="4" t="s">
        <v>8816</v>
      </c>
    </row>
    <row r="3799" ht="16.5" customHeight="1" spans="1:8">
      <c r="A3799" s="3">
        <v>3798</v>
      </c>
      <c r="B3799" s="3" t="s">
        <v>8829</v>
      </c>
      <c r="C3799" s="3" t="s">
        <v>1105</v>
      </c>
      <c r="D3799" s="4" t="s">
        <v>8830</v>
      </c>
      <c r="E3799" s="3" t="s">
        <v>1076</v>
      </c>
      <c r="F3799" s="3" t="s">
        <v>8175</v>
      </c>
      <c r="G3799" s="3"/>
      <c r="H3799" s="4" t="s">
        <v>8816</v>
      </c>
    </row>
    <row r="3800" ht="16.5" customHeight="1" spans="1:8">
      <c r="A3800" s="3">
        <v>3799</v>
      </c>
      <c r="B3800" s="3" t="s">
        <v>8831</v>
      </c>
      <c r="C3800" s="3" t="s">
        <v>1105</v>
      </c>
      <c r="D3800" s="4" t="s">
        <v>8832</v>
      </c>
      <c r="E3800" s="3" t="s">
        <v>1076</v>
      </c>
      <c r="F3800" s="3" t="s">
        <v>8175</v>
      </c>
      <c r="G3800" s="3"/>
      <c r="H3800" s="4" t="s">
        <v>8816</v>
      </c>
    </row>
    <row r="3801" ht="16.5" customHeight="1" spans="1:8">
      <c r="A3801" s="3">
        <v>3800</v>
      </c>
      <c r="B3801" s="3" t="s">
        <v>8833</v>
      </c>
      <c r="C3801" s="3" t="s">
        <v>1105</v>
      </c>
      <c r="D3801" s="4" t="s">
        <v>8834</v>
      </c>
      <c r="E3801" s="3" t="s">
        <v>1076</v>
      </c>
      <c r="F3801" s="3" t="s">
        <v>8175</v>
      </c>
      <c r="G3801" s="3"/>
      <c r="H3801" s="4" t="s">
        <v>8816</v>
      </c>
    </row>
    <row r="3802" ht="16.5" customHeight="1" spans="1:8">
      <c r="A3802" s="3">
        <v>3801</v>
      </c>
      <c r="B3802" s="3" t="s">
        <v>8835</v>
      </c>
      <c r="C3802" s="3" t="s">
        <v>1105</v>
      </c>
      <c r="D3802" s="4" t="s">
        <v>8836</v>
      </c>
      <c r="E3802" s="3" t="s">
        <v>1076</v>
      </c>
      <c r="F3802" s="3" t="s">
        <v>8175</v>
      </c>
      <c r="G3802" s="3"/>
      <c r="H3802" s="4" t="s">
        <v>8816</v>
      </c>
    </row>
    <row r="3803" ht="16.5" customHeight="1" spans="1:8">
      <c r="A3803" s="3">
        <v>3802</v>
      </c>
      <c r="B3803" s="3" t="s">
        <v>8837</v>
      </c>
      <c r="C3803" s="3" t="s">
        <v>1105</v>
      </c>
      <c r="D3803" s="4" t="s">
        <v>8838</v>
      </c>
      <c r="E3803" s="3" t="s">
        <v>1076</v>
      </c>
      <c r="F3803" s="3" t="s">
        <v>8175</v>
      </c>
      <c r="G3803" s="3"/>
      <c r="H3803" s="4" t="s">
        <v>8816</v>
      </c>
    </row>
    <row r="3804" ht="16.5" customHeight="1" spans="1:8">
      <c r="A3804" s="3">
        <v>3803</v>
      </c>
      <c r="B3804" s="3" t="s">
        <v>8839</v>
      </c>
      <c r="C3804" s="3" t="s">
        <v>1105</v>
      </c>
      <c r="D3804" s="4" t="s">
        <v>8840</v>
      </c>
      <c r="E3804" s="3" t="s">
        <v>1076</v>
      </c>
      <c r="F3804" s="3" t="s">
        <v>8175</v>
      </c>
      <c r="G3804" s="3"/>
      <c r="H3804" s="4" t="s">
        <v>8816</v>
      </c>
    </row>
    <row r="3805" ht="16.5" customHeight="1" spans="1:8">
      <c r="A3805" s="3">
        <v>3804</v>
      </c>
      <c r="B3805" s="3" t="s">
        <v>8841</v>
      </c>
      <c r="C3805" s="3" t="s">
        <v>1105</v>
      </c>
      <c r="D3805" s="4" t="s">
        <v>8842</v>
      </c>
      <c r="E3805" s="3" t="s">
        <v>1076</v>
      </c>
      <c r="F3805" s="3" t="s">
        <v>8175</v>
      </c>
      <c r="G3805" s="3"/>
      <c r="H3805" s="4" t="s">
        <v>8816</v>
      </c>
    </row>
    <row r="3806" ht="16.5" customHeight="1" spans="1:8">
      <c r="A3806" s="3">
        <v>3805</v>
      </c>
      <c r="B3806" s="3" t="s">
        <v>8843</v>
      </c>
      <c r="C3806" s="3" t="s">
        <v>2163</v>
      </c>
      <c r="D3806" s="4" t="s">
        <v>8844</v>
      </c>
      <c r="E3806" s="3" t="s">
        <v>1076</v>
      </c>
      <c r="F3806" s="3" t="s">
        <v>2041</v>
      </c>
      <c r="G3806" s="3" t="s">
        <v>321</v>
      </c>
      <c r="H3806" s="4" t="s">
        <v>1095</v>
      </c>
    </row>
    <row r="3807" ht="16.5" customHeight="1" spans="1:8">
      <c r="A3807" s="3">
        <v>3806</v>
      </c>
      <c r="B3807" s="3" t="s">
        <v>8845</v>
      </c>
      <c r="C3807" s="3" t="s">
        <v>1356</v>
      </c>
      <c r="D3807" s="4" t="s">
        <v>8846</v>
      </c>
      <c r="E3807" s="3" t="s">
        <v>1218</v>
      </c>
      <c r="F3807" s="3" t="s">
        <v>1358</v>
      </c>
      <c r="G3807" s="3"/>
      <c r="H3807" s="4" t="s">
        <v>1359</v>
      </c>
    </row>
    <row r="3808" ht="16.5" customHeight="1" spans="1:8">
      <c r="A3808" s="3">
        <v>3807</v>
      </c>
      <c r="B3808" s="3" t="s">
        <v>8847</v>
      </c>
      <c r="C3808" s="3" t="s">
        <v>2163</v>
      </c>
      <c r="D3808" s="4" t="s">
        <v>8848</v>
      </c>
      <c r="E3808" s="3" t="s">
        <v>1076</v>
      </c>
      <c r="F3808" s="3" t="s">
        <v>2105</v>
      </c>
      <c r="G3808" s="3"/>
      <c r="H3808" s="4" t="s">
        <v>3812</v>
      </c>
    </row>
    <row r="3809" ht="16.5" customHeight="1" spans="1:8">
      <c r="A3809" s="3">
        <v>3808</v>
      </c>
      <c r="B3809" s="3" t="s">
        <v>8849</v>
      </c>
      <c r="C3809" s="3" t="s">
        <v>2163</v>
      </c>
      <c r="D3809" s="4" t="s">
        <v>8850</v>
      </c>
      <c r="E3809" s="3" t="s">
        <v>1076</v>
      </c>
      <c r="F3809" s="3" t="s">
        <v>2105</v>
      </c>
      <c r="G3809" s="3" t="s">
        <v>321</v>
      </c>
      <c r="H3809" s="4" t="s">
        <v>3812</v>
      </c>
    </row>
    <row r="3810" ht="16.5" customHeight="1" spans="1:8">
      <c r="A3810" s="3">
        <v>3809</v>
      </c>
      <c r="B3810" s="3" t="s">
        <v>8851</v>
      </c>
      <c r="C3810" s="3" t="s">
        <v>2163</v>
      </c>
      <c r="D3810" s="4" t="s">
        <v>8852</v>
      </c>
      <c r="E3810" s="3" t="s">
        <v>1076</v>
      </c>
      <c r="F3810" s="3" t="s">
        <v>2105</v>
      </c>
      <c r="G3810" s="3"/>
      <c r="H3810" s="4" t="s">
        <v>3812</v>
      </c>
    </row>
    <row r="3811" ht="16.5" customHeight="1" spans="1:8">
      <c r="A3811" s="3">
        <v>3810</v>
      </c>
      <c r="B3811" s="3" t="s">
        <v>8853</v>
      </c>
      <c r="C3811" s="3" t="s">
        <v>2163</v>
      </c>
      <c r="D3811" s="4" t="s">
        <v>8854</v>
      </c>
      <c r="E3811" s="3" t="s">
        <v>1076</v>
      </c>
      <c r="F3811" s="3" t="s">
        <v>2105</v>
      </c>
      <c r="G3811" s="3"/>
      <c r="H3811" s="4" t="s">
        <v>4322</v>
      </c>
    </row>
    <row r="3812" ht="16.5" customHeight="1" spans="1:8">
      <c r="A3812" s="3">
        <v>3811</v>
      </c>
      <c r="B3812" s="3" t="s">
        <v>8855</v>
      </c>
      <c r="C3812" s="3" t="s">
        <v>2163</v>
      </c>
      <c r="D3812" s="4" t="s">
        <v>8856</v>
      </c>
      <c r="E3812" s="3" t="s">
        <v>1076</v>
      </c>
      <c r="F3812" s="3" t="s">
        <v>2105</v>
      </c>
      <c r="G3812" s="3"/>
      <c r="H3812" s="4" t="s">
        <v>5533</v>
      </c>
    </row>
    <row r="3813" ht="16.5" customHeight="1" spans="1:8">
      <c r="A3813" s="3">
        <v>3812</v>
      </c>
      <c r="B3813" s="3" t="s">
        <v>8857</v>
      </c>
      <c r="C3813" s="3" t="s">
        <v>1074</v>
      </c>
      <c r="D3813" s="4" t="s">
        <v>8858</v>
      </c>
      <c r="E3813" s="3" t="s">
        <v>1076</v>
      </c>
      <c r="F3813" s="3" t="s">
        <v>4668</v>
      </c>
      <c r="G3813" s="3"/>
      <c r="H3813" s="4" t="s">
        <v>4322</v>
      </c>
    </row>
    <row r="3814" ht="16.5" customHeight="1" spans="1:8">
      <c r="A3814" s="3">
        <v>3813</v>
      </c>
      <c r="B3814" s="3" t="s">
        <v>8859</v>
      </c>
      <c r="C3814" s="3" t="s">
        <v>2163</v>
      </c>
      <c r="D3814" s="4" t="s">
        <v>8860</v>
      </c>
      <c r="E3814" s="3" t="s">
        <v>1076</v>
      </c>
      <c r="F3814" s="3" t="s">
        <v>2041</v>
      </c>
      <c r="G3814" s="3" t="s">
        <v>321</v>
      </c>
      <c r="H3814" s="4" t="s">
        <v>3351</v>
      </c>
    </row>
    <row r="3815" ht="16.5" customHeight="1" spans="1:8">
      <c r="A3815" s="3">
        <v>3814</v>
      </c>
      <c r="B3815" s="3" t="s">
        <v>8861</v>
      </c>
      <c r="C3815" s="3" t="s">
        <v>1356</v>
      </c>
      <c r="D3815" s="4" t="s">
        <v>8862</v>
      </c>
      <c r="E3815" s="3" t="s">
        <v>1076</v>
      </c>
      <c r="F3815" s="3" t="s">
        <v>4668</v>
      </c>
      <c r="G3815" s="3"/>
      <c r="H3815" s="4" t="s">
        <v>3812</v>
      </c>
    </row>
    <row r="3816" ht="16.5" customHeight="1" spans="1:8">
      <c r="A3816" s="3">
        <v>3815</v>
      </c>
      <c r="B3816" s="3" t="s">
        <v>8863</v>
      </c>
      <c r="C3816" s="3" t="s">
        <v>1356</v>
      </c>
      <c r="D3816" s="4" t="s">
        <v>8864</v>
      </c>
      <c r="E3816" s="3" t="s">
        <v>1076</v>
      </c>
      <c r="F3816" s="3" t="s">
        <v>1358</v>
      </c>
      <c r="G3816" s="3" t="s">
        <v>321</v>
      </c>
      <c r="H3816" s="4" t="s">
        <v>4117</v>
      </c>
    </row>
    <row r="3817" ht="16.5" customHeight="1" spans="1:8">
      <c r="A3817" s="3">
        <v>3816</v>
      </c>
      <c r="B3817" s="3" t="s">
        <v>8865</v>
      </c>
      <c r="C3817" s="3" t="s">
        <v>2163</v>
      </c>
      <c r="D3817" s="4" t="s">
        <v>8866</v>
      </c>
      <c r="E3817" s="3" t="s">
        <v>1076</v>
      </c>
      <c r="F3817" s="3" t="s">
        <v>2105</v>
      </c>
      <c r="G3817" s="3"/>
      <c r="H3817" s="4" t="s">
        <v>5533</v>
      </c>
    </row>
    <row r="3818" ht="16.5" customHeight="1" spans="1:8">
      <c r="A3818" s="3">
        <v>3817</v>
      </c>
      <c r="B3818" s="3" t="s">
        <v>8867</v>
      </c>
      <c r="C3818" s="3" t="s">
        <v>2163</v>
      </c>
      <c r="D3818" s="4" t="s">
        <v>8868</v>
      </c>
      <c r="E3818" s="3" t="s">
        <v>1076</v>
      </c>
      <c r="F3818" s="3" t="s">
        <v>2105</v>
      </c>
      <c r="G3818" s="3"/>
      <c r="H3818" s="4" t="s">
        <v>5533</v>
      </c>
    </row>
    <row r="3819" ht="16.5" customHeight="1" spans="1:8">
      <c r="A3819" s="3">
        <v>3818</v>
      </c>
      <c r="B3819" s="3" t="s">
        <v>8869</v>
      </c>
      <c r="C3819" s="3" t="s">
        <v>2163</v>
      </c>
      <c r="D3819" s="4" t="s">
        <v>8870</v>
      </c>
      <c r="E3819" s="3" t="s">
        <v>8871</v>
      </c>
      <c r="F3819" s="3" t="s">
        <v>2105</v>
      </c>
      <c r="G3819" s="3"/>
      <c r="H3819" s="4" t="s">
        <v>5533</v>
      </c>
    </row>
    <row r="3820" ht="16.5" customHeight="1" spans="1:8">
      <c r="A3820" s="3">
        <v>3819</v>
      </c>
      <c r="B3820" s="3" t="s">
        <v>8872</v>
      </c>
      <c r="C3820" s="3" t="s">
        <v>2163</v>
      </c>
      <c r="D3820" s="4" t="s">
        <v>8873</v>
      </c>
      <c r="E3820" s="3" t="s">
        <v>5779</v>
      </c>
      <c r="F3820" s="3" t="s">
        <v>2105</v>
      </c>
      <c r="G3820" s="3"/>
      <c r="H3820" s="4" t="s">
        <v>5533</v>
      </c>
    </row>
    <row r="3821" ht="16.5" customHeight="1" spans="1:8">
      <c r="A3821" s="3">
        <v>3820</v>
      </c>
      <c r="B3821" s="3" t="s">
        <v>8874</v>
      </c>
      <c r="C3821" s="3" t="s">
        <v>2163</v>
      </c>
      <c r="D3821" s="4" t="s">
        <v>8875</v>
      </c>
      <c r="E3821" s="3" t="s">
        <v>1076</v>
      </c>
      <c r="F3821" s="3" t="s">
        <v>2105</v>
      </c>
      <c r="G3821" s="3"/>
      <c r="H3821" s="4" t="s">
        <v>5533</v>
      </c>
    </row>
    <row r="3822" ht="16.5" customHeight="1" spans="1:8">
      <c r="A3822" s="3">
        <v>3821</v>
      </c>
      <c r="B3822" s="3" t="s">
        <v>8876</v>
      </c>
      <c r="C3822" s="3" t="s">
        <v>2163</v>
      </c>
      <c r="D3822" s="4" t="s">
        <v>8877</v>
      </c>
      <c r="E3822" s="3" t="s">
        <v>1076</v>
      </c>
      <c r="F3822" s="3" t="s">
        <v>2105</v>
      </c>
      <c r="G3822" s="3"/>
      <c r="H3822" s="4" t="s">
        <v>5533</v>
      </c>
    </row>
    <row r="3823" ht="16.5" customHeight="1" spans="1:8">
      <c r="A3823" s="3">
        <v>3822</v>
      </c>
      <c r="B3823" s="3" t="s">
        <v>8878</v>
      </c>
      <c r="C3823" s="3" t="s">
        <v>2163</v>
      </c>
      <c r="D3823" s="4" t="s">
        <v>8879</v>
      </c>
      <c r="E3823" s="3" t="s">
        <v>1076</v>
      </c>
      <c r="F3823" s="3" t="s">
        <v>2105</v>
      </c>
      <c r="G3823" s="3"/>
      <c r="H3823" s="4" t="s">
        <v>6877</v>
      </c>
    </row>
    <row r="3824" ht="16.5" customHeight="1" spans="1:8">
      <c r="A3824" s="3">
        <v>3823</v>
      </c>
      <c r="B3824" s="3" t="s">
        <v>8880</v>
      </c>
      <c r="C3824" s="3" t="s">
        <v>2163</v>
      </c>
      <c r="D3824" s="4" t="s">
        <v>8881</v>
      </c>
      <c r="E3824" s="3" t="s">
        <v>1076</v>
      </c>
      <c r="F3824" s="3" t="s">
        <v>2041</v>
      </c>
      <c r="G3824" s="3" t="s">
        <v>321</v>
      </c>
      <c r="H3824" s="4" t="s">
        <v>1359</v>
      </c>
    </row>
    <row r="3825" ht="16.5" customHeight="1" spans="1:8">
      <c r="A3825" s="3">
        <v>3824</v>
      </c>
      <c r="B3825" s="3" t="s">
        <v>8882</v>
      </c>
      <c r="C3825" s="3" t="s">
        <v>1074</v>
      </c>
      <c r="D3825" s="4" t="s">
        <v>8883</v>
      </c>
      <c r="E3825" s="3" t="s">
        <v>1076</v>
      </c>
      <c r="F3825" s="3" t="s">
        <v>8175</v>
      </c>
      <c r="G3825" s="3"/>
      <c r="H3825" s="4" t="s">
        <v>8402</v>
      </c>
    </row>
    <row r="3826" ht="16.5" customHeight="1" spans="1:8">
      <c r="A3826" s="3">
        <v>3825</v>
      </c>
      <c r="B3826" s="3" t="s">
        <v>8884</v>
      </c>
      <c r="C3826" s="3" t="s">
        <v>1074</v>
      </c>
      <c r="D3826" s="4" t="s">
        <v>8885</v>
      </c>
      <c r="E3826" s="3" t="s">
        <v>1076</v>
      </c>
      <c r="F3826" s="3" t="s">
        <v>8175</v>
      </c>
      <c r="G3826" s="3"/>
      <c r="H3826" s="4" t="s">
        <v>6877</v>
      </c>
    </row>
    <row r="3827" ht="16.5" customHeight="1" spans="1:8">
      <c r="A3827" s="3">
        <v>3826</v>
      </c>
      <c r="B3827" s="3" t="s">
        <v>8886</v>
      </c>
      <c r="C3827" s="3" t="s">
        <v>1074</v>
      </c>
      <c r="D3827" s="4" t="s">
        <v>8887</v>
      </c>
      <c r="E3827" s="3" t="s">
        <v>1076</v>
      </c>
      <c r="F3827" s="3" t="s">
        <v>8175</v>
      </c>
      <c r="G3827" s="3"/>
      <c r="H3827" s="4" t="s">
        <v>6877</v>
      </c>
    </row>
    <row r="3828" ht="16.5" customHeight="1" spans="1:8">
      <c r="A3828" s="3">
        <v>3827</v>
      </c>
      <c r="B3828" s="3" t="s">
        <v>8888</v>
      </c>
      <c r="C3828" s="3" t="s">
        <v>1074</v>
      </c>
      <c r="D3828" s="4" t="s">
        <v>8889</v>
      </c>
      <c r="E3828" s="3" t="s">
        <v>1076</v>
      </c>
      <c r="F3828" s="3" t="s">
        <v>8175</v>
      </c>
      <c r="G3828" s="3"/>
      <c r="H3828" s="4" t="s">
        <v>6877</v>
      </c>
    </row>
    <row r="3829" ht="16.5" customHeight="1" spans="1:8">
      <c r="A3829" s="3">
        <v>3828</v>
      </c>
      <c r="B3829" s="3" t="s">
        <v>8890</v>
      </c>
      <c r="C3829" s="3" t="s">
        <v>1074</v>
      </c>
      <c r="D3829" s="4" t="s">
        <v>8891</v>
      </c>
      <c r="E3829" s="3" t="s">
        <v>1076</v>
      </c>
      <c r="F3829" s="3" t="s">
        <v>8175</v>
      </c>
      <c r="G3829" s="3"/>
      <c r="H3829" s="4" t="s">
        <v>8402</v>
      </c>
    </row>
    <row r="3830" ht="16.5" customHeight="1" spans="1:8">
      <c r="A3830" s="3">
        <v>3829</v>
      </c>
      <c r="B3830" s="3" t="s">
        <v>8892</v>
      </c>
      <c r="C3830" s="3" t="s">
        <v>1074</v>
      </c>
      <c r="D3830" s="4" t="s">
        <v>8893</v>
      </c>
      <c r="E3830" s="3" t="s">
        <v>1076</v>
      </c>
      <c r="F3830" s="3" t="s">
        <v>8175</v>
      </c>
      <c r="G3830" s="3"/>
      <c r="H3830" s="4" t="s">
        <v>6877</v>
      </c>
    </row>
    <row r="3831" ht="16.5" customHeight="1" spans="1:8">
      <c r="A3831" s="3">
        <v>3830</v>
      </c>
      <c r="B3831" s="3" t="s">
        <v>8894</v>
      </c>
      <c r="C3831" s="3" t="s">
        <v>1074</v>
      </c>
      <c r="D3831" s="4" t="s">
        <v>8895</v>
      </c>
      <c r="E3831" s="3" t="s">
        <v>1076</v>
      </c>
      <c r="F3831" s="3" t="s">
        <v>8175</v>
      </c>
      <c r="G3831" s="3"/>
      <c r="H3831" s="4" t="s">
        <v>6877</v>
      </c>
    </row>
    <row r="3832" ht="16.5" customHeight="1" spans="1:8">
      <c r="A3832" s="3">
        <v>3831</v>
      </c>
      <c r="B3832" s="3" t="s">
        <v>8896</v>
      </c>
      <c r="C3832" s="3" t="s">
        <v>2163</v>
      </c>
      <c r="D3832" s="4" t="s">
        <v>8897</v>
      </c>
      <c r="E3832" s="3" t="s">
        <v>1076</v>
      </c>
      <c r="F3832" s="3" t="s">
        <v>2041</v>
      </c>
      <c r="G3832" s="3" t="s">
        <v>321</v>
      </c>
      <c r="H3832" s="4" t="s">
        <v>1359</v>
      </c>
    </row>
    <row r="3833" ht="16.5" customHeight="1" spans="1:8">
      <c r="A3833" s="3">
        <v>3832</v>
      </c>
      <c r="B3833" s="3" t="s">
        <v>8898</v>
      </c>
      <c r="C3833" s="3" t="s">
        <v>2163</v>
      </c>
      <c r="D3833" s="4" t="s">
        <v>8899</v>
      </c>
      <c r="E3833" s="3" t="s">
        <v>1076</v>
      </c>
      <c r="F3833" s="3" t="s">
        <v>2041</v>
      </c>
      <c r="G3833" s="3" t="s">
        <v>321</v>
      </c>
      <c r="H3833" s="4" t="s">
        <v>3354</v>
      </c>
    </row>
    <row r="3834" ht="16.5" customHeight="1" spans="1:8">
      <c r="A3834" s="3">
        <v>3833</v>
      </c>
      <c r="B3834" s="3" t="s">
        <v>8900</v>
      </c>
      <c r="C3834" s="3" t="s">
        <v>2163</v>
      </c>
      <c r="D3834" s="4" t="s">
        <v>8901</v>
      </c>
      <c r="E3834" s="3" t="s">
        <v>1076</v>
      </c>
      <c r="F3834" s="3" t="s">
        <v>2041</v>
      </c>
      <c r="G3834" s="3" t="s">
        <v>321</v>
      </c>
      <c r="H3834" s="4" t="s">
        <v>3354</v>
      </c>
    </row>
    <row r="3835" ht="16.5" customHeight="1" spans="1:8">
      <c r="A3835" s="3">
        <v>3834</v>
      </c>
      <c r="B3835" s="3" t="s">
        <v>8902</v>
      </c>
      <c r="C3835" s="3" t="s">
        <v>1361</v>
      </c>
      <c r="D3835" s="4" t="s">
        <v>8903</v>
      </c>
      <c r="E3835" s="3" t="s">
        <v>1218</v>
      </c>
      <c r="F3835" s="3" t="s">
        <v>2105</v>
      </c>
      <c r="G3835" s="3"/>
      <c r="H3835" s="4" t="s">
        <v>6560</v>
      </c>
    </row>
    <row r="3836" ht="16.5" customHeight="1" spans="1:8">
      <c r="A3836" s="3">
        <v>3835</v>
      </c>
      <c r="B3836" s="3" t="s">
        <v>8904</v>
      </c>
      <c r="C3836" s="3" t="s">
        <v>1361</v>
      </c>
      <c r="D3836" s="4" t="s">
        <v>8905</v>
      </c>
      <c r="E3836" s="3" t="s">
        <v>1218</v>
      </c>
      <c r="F3836" s="3" t="s">
        <v>2105</v>
      </c>
      <c r="G3836" s="3"/>
      <c r="H3836" s="4" t="s">
        <v>6560</v>
      </c>
    </row>
    <row r="3837" ht="16.5" customHeight="1" spans="1:8">
      <c r="A3837" s="3">
        <v>3836</v>
      </c>
      <c r="B3837" s="3" t="s">
        <v>8906</v>
      </c>
      <c r="C3837" s="3" t="s">
        <v>1361</v>
      </c>
      <c r="D3837" s="4" t="s">
        <v>8907</v>
      </c>
      <c r="E3837" s="3" t="s">
        <v>1218</v>
      </c>
      <c r="F3837" s="3" t="s">
        <v>2105</v>
      </c>
      <c r="G3837" s="3"/>
      <c r="H3837" s="4" t="s">
        <v>6560</v>
      </c>
    </row>
    <row r="3838" ht="16.5" customHeight="1" spans="1:8">
      <c r="A3838" s="3">
        <v>3837</v>
      </c>
      <c r="B3838" s="3" t="s">
        <v>8908</v>
      </c>
      <c r="C3838" s="3" t="s">
        <v>1361</v>
      </c>
      <c r="D3838" s="4" t="s">
        <v>8909</v>
      </c>
      <c r="E3838" s="3" t="s">
        <v>1218</v>
      </c>
      <c r="F3838" s="3" t="s">
        <v>2105</v>
      </c>
      <c r="G3838" s="3"/>
      <c r="H3838" s="4" t="s">
        <v>6560</v>
      </c>
    </row>
    <row r="3839" ht="16.5" customHeight="1" spans="1:8">
      <c r="A3839" s="3">
        <v>3838</v>
      </c>
      <c r="B3839" s="3" t="s">
        <v>8910</v>
      </c>
      <c r="C3839" s="3" t="s">
        <v>1361</v>
      </c>
      <c r="D3839" s="4" t="s">
        <v>8911</v>
      </c>
      <c r="E3839" s="3" t="s">
        <v>1218</v>
      </c>
      <c r="F3839" s="3" t="s">
        <v>2105</v>
      </c>
      <c r="G3839" s="3"/>
      <c r="H3839" s="4" t="s">
        <v>6560</v>
      </c>
    </row>
    <row r="3840" ht="16.5" customHeight="1" spans="1:8">
      <c r="A3840" s="3">
        <v>3839</v>
      </c>
      <c r="B3840" s="3" t="s">
        <v>8912</v>
      </c>
      <c r="C3840" s="3" t="s">
        <v>1361</v>
      </c>
      <c r="D3840" s="4" t="s">
        <v>8913</v>
      </c>
      <c r="E3840" s="3" t="s">
        <v>1218</v>
      </c>
      <c r="F3840" s="3" t="s">
        <v>2105</v>
      </c>
      <c r="G3840" s="3"/>
      <c r="H3840" s="4" t="s">
        <v>6560</v>
      </c>
    </row>
    <row r="3841" ht="16.5" customHeight="1" spans="1:8">
      <c r="A3841" s="3">
        <v>3840</v>
      </c>
      <c r="B3841" s="3" t="s">
        <v>8914</v>
      </c>
      <c r="C3841" s="3" t="s">
        <v>1361</v>
      </c>
      <c r="D3841" s="4" t="s">
        <v>8915</v>
      </c>
      <c r="E3841" s="3" t="s">
        <v>1218</v>
      </c>
      <c r="F3841" s="3" t="s">
        <v>2105</v>
      </c>
      <c r="G3841" s="3"/>
      <c r="H3841" s="4" t="s">
        <v>6560</v>
      </c>
    </row>
    <row r="3842" ht="16.5" customHeight="1" spans="1:8">
      <c r="A3842" s="3">
        <v>3841</v>
      </c>
      <c r="B3842" s="3" t="s">
        <v>8916</v>
      </c>
      <c r="C3842" s="3" t="s">
        <v>1361</v>
      </c>
      <c r="D3842" s="4" t="s">
        <v>8917</v>
      </c>
      <c r="E3842" s="3" t="s">
        <v>1218</v>
      </c>
      <c r="F3842" s="3" t="s">
        <v>2105</v>
      </c>
      <c r="G3842" s="3"/>
      <c r="H3842" s="4" t="s">
        <v>6560</v>
      </c>
    </row>
    <row r="3843" ht="16.5" customHeight="1" spans="1:8">
      <c r="A3843" s="3">
        <v>3842</v>
      </c>
      <c r="B3843" s="3" t="s">
        <v>8918</v>
      </c>
      <c r="C3843" s="3" t="s">
        <v>1361</v>
      </c>
      <c r="D3843" s="4" t="s">
        <v>8919</v>
      </c>
      <c r="E3843" s="3" t="s">
        <v>1218</v>
      </c>
      <c r="F3843" s="3" t="s">
        <v>2105</v>
      </c>
      <c r="G3843" s="3"/>
      <c r="H3843" s="4" t="s">
        <v>6560</v>
      </c>
    </row>
    <row r="3844" ht="16.5" customHeight="1" spans="1:8">
      <c r="A3844" s="3">
        <v>3843</v>
      </c>
      <c r="B3844" s="3" t="s">
        <v>8920</v>
      </c>
      <c r="C3844" s="3" t="s">
        <v>1361</v>
      </c>
      <c r="D3844" s="4" t="s">
        <v>8921</v>
      </c>
      <c r="E3844" s="3" t="s">
        <v>1218</v>
      </c>
      <c r="F3844" s="3" t="s">
        <v>2105</v>
      </c>
      <c r="G3844" s="3"/>
      <c r="H3844" s="4" t="s">
        <v>6560</v>
      </c>
    </row>
    <row r="3845" ht="16.5" customHeight="1" spans="1:8">
      <c r="A3845" s="3">
        <v>3844</v>
      </c>
      <c r="B3845" s="3" t="s">
        <v>8922</v>
      </c>
      <c r="C3845" s="3" t="s">
        <v>1361</v>
      </c>
      <c r="D3845" s="4" t="s">
        <v>8923</v>
      </c>
      <c r="E3845" s="3" t="s">
        <v>1218</v>
      </c>
      <c r="F3845" s="3" t="s">
        <v>2105</v>
      </c>
      <c r="G3845" s="3"/>
      <c r="H3845" s="4" t="s">
        <v>6560</v>
      </c>
    </row>
    <row r="3846" ht="16.5" customHeight="1" spans="1:8">
      <c r="A3846" s="3">
        <v>3845</v>
      </c>
      <c r="B3846" s="3" t="s">
        <v>8924</v>
      </c>
      <c r="C3846" s="3" t="s">
        <v>1361</v>
      </c>
      <c r="D3846" s="4" t="s">
        <v>8925</v>
      </c>
      <c r="E3846" s="3" t="s">
        <v>1218</v>
      </c>
      <c r="F3846" s="3" t="s">
        <v>2105</v>
      </c>
      <c r="G3846" s="3"/>
      <c r="H3846" s="4" t="s">
        <v>6560</v>
      </c>
    </row>
    <row r="3847" ht="16.5" customHeight="1" spans="1:8">
      <c r="A3847" s="3">
        <v>3846</v>
      </c>
      <c r="B3847" s="3" t="s">
        <v>8926</v>
      </c>
      <c r="C3847" s="3" t="s">
        <v>1361</v>
      </c>
      <c r="D3847" s="4" t="s">
        <v>8927</v>
      </c>
      <c r="E3847" s="3" t="s">
        <v>1218</v>
      </c>
      <c r="F3847" s="3" t="s">
        <v>2105</v>
      </c>
      <c r="G3847" s="3"/>
      <c r="H3847" s="4" t="s">
        <v>6560</v>
      </c>
    </row>
    <row r="3848" ht="16.5" customHeight="1" spans="1:8">
      <c r="A3848" s="3">
        <v>3847</v>
      </c>
      <c r="B3848" s="3" t="s">
        <v>8928</v>
      </c>
      <c r="C3848" s="3" t="s">
        <v>1361</v>
      </c>
      <c r="D3848" s="4" t="s">
        <v>8929</v>
      </c>
      <c r="E3848" s="3" t="s">
        <v>1218</v>
      </c>
      <c r="F3848" s="3" t="s">
        <v>2105</v>
      </c>
      <c r="G3848" s="3"/>
      <c r="H3848" s="4" t="s">
        <v>6560</v>
      </c>
    </row>
    <row r="3849" ht="16.5" customHeight="1" spans="1:8">
      <c r="A3849" s="3">
        <v>3848</v>
      </c>
      <c r="B3849" s="3" t="s">
        <v>8930</v>
      </c>
      <c r="C3849" s="3" t="s">
        <v>1361</v>
      </c>
      <c r="D3849" s="4" t="s">
        <v>8931</v>
      </c>
      <c r="E3849" s="3" t="s">
        <v>1218</v>
      </c>
      <c r="F3849" s="3" t="s">
        <v>2105</v>
      </c>
      <c r="G3849" s="3"/>
      <c r="H3849" s="4" t="s">
        <v>6560</v>
      </c>
    </row>
    <row r="3850" ht="16.5" customHeight="1" spans="1:8">
      <c r="A3850" s="3">
        <v>3849</v>
      </c>
      <c r="B3850" s="3" t="s">
        <v>8932</v>
      </c>
      <c r="C3850" s="3" t="s">
        <v>1361</v>
      </c>
      <c r="D3850" s="4" t="s">
        <v>8933</v>
      </c>
      <c r="E3850" s="3" t="s">
        <v>1218</v>
      </c>
      <c r="F3850" s="3" t="s">
        <v>2105</v>
      </c>
      <c r="G3850" s="3"/>
      <c r="H3850" s="4" t="s">
        <v>6560</v>
      </c>
    </row>
    <row r="3851" ht="16.5" customHeight="1" spans="1:8">
      <c r="A3851" s="3">
        <v>3850</v>
      </c>
      <c r="B3851" s="3" t="s">
        <v>8934</v>
      </c>
      <c r="C3851" s="3" t="s">
        <v>1361</v>
      </c>
      <c r="D3851" s="4" t="s">
        <v>8935</v>
      </c>
      <c r="E3851" s="3" t="s">
        <v>1218</v>
      </c>
      <c r="F3851" s="3" t="s">
        <v>2105</v>
      </c>
      <c r="G3851" s="3"/>
      <c r="H3851" s="4" t="s">
        <v>6560</v>
      </c>
    </row>
    <row r="3852" ht="16.5" customHeight="1" spans="1:8">
      <c r="A3852" s="3">
        <v>3851</v>
      </c>
      <c r="B3852" s="3" t="s">
        <v>8936</v>
      </c>
      <c r="C3852" s="3" t="s">
        <v>1361</v>
      </c>
      <c r="D3852" s="4" t="s">
        <v>8937</v>
      </c>
      <c r="E3852" s="3" t="s">
        <v>1218</v>
      </c>
      <c r="F3852" s="3" t="s">
        <v>2105</v>
      </c>
      <c r="G3852" s="3"/>
      <c r="H3852" s="4" t="s">
        <v>6560</v>
      </c>
    </row>
    <row r="3853" ht="16.5" customHeight="1" spans="1:8">
      <c r="A3853" s="3">
        <v>3852</v>
      </c>
      <c r="B3853" s="3" t="s">
        <v>8938</v>
      </c>
      <c r="C3853" s="3" t="s">
        <v>1361</v>
      </c>
      <c r="D3853" s="4" t="s">
        <v>8939</v>
      </c>
      <c r="E3853" s="3" t="s">
        <v>1218</v>
      </c>
      <c r="F3853" s="3" t="s">
        <v>2105</v>
      </c>
      <c r="G3853" s="3"/>
      <c r="H3853" s="4" t="s">
        <v>6560</v>
      </c>
    </row>
    <row r="3854" ht="16.5" customHeight="1" spans="1:8">
      <c r="A3854" s="3">
        <v>3853</v>
      </c>
      <c r="B3854" s="3" t="s">
        <v>8940</v>
      </c>
      <c r="C3854" s="3" t="s">
        <v>1361</v>
      </c>
      <c r="D3854" s="4" t="s">
        <v>8941</v>
      </c>
      <c r="E3854" s="3" t="s">
        <v>1218</v>
      </c>
      <c r="F3854" s="3" t="s">
        <v>2105</v>
      </c>
      <c r="G3854" s="3"/>
      <c r="H3854" s="4" t="s">
        <v>6560</v>
      </c>
    </row>
    <row r="3855" ht="16.5" customHeight="1" spans="1:8">
      <c r="A3855" s="3">
        <v>3854</v>
      </c>
      <c r="B3855" s="3" t="s">
        <v>8942</v>
      </c>
      <c r="C3855" s="3" t="s">
        <v>1361</v>
      </c>
      <c r="D3855" s="4" t="s">
        <v>8943</v>
      </c>
      <c r="E3855" s="3" t="s">
        <v>1218</v>
      </c>
      <c r="F3855" s="3" t="s">
        <v>2105</v>
      </c>
      <c r="G3855" s="3"/>
      <c r="H3855" s="4" t="s">
        <v>6560</v>
      </c>
    </row>
    <row r="3856" ht="16.5" customHeight="1" spans="1:8">
      <c r="A3856" s="3">
        <v>3855</v>
      </c>
      <c r="B3856" s="3" t="s">
        <v>8944</v>
      </c>
      <c r="C3856" s="3" t="s">
        <v>1361</v>
      </c>
      <c r="D3856" s="4" t="s">
        <v>8945</v>
      </c>
      <c r="E3856" s="3" t="s">
        <v>1218</v>
      </c>
      <c r="F3856" s="3" t="s">
        <v>2105</v>
      </c>
      <c r="G3856" s="3"/>
      <c r="H3856" s="4" t="s">
        <v>6560</v>
      </c>
    </row>
    <row r="3857" ht="16.5" customHeight="1" spans="1:8">
      <c r="A3857" s="3">
        <v>3856</v>
      </c>
      <c r="B3857" s="3" t="s">
        <v>8946</v>
      </c>
      <c r="C3857" s="3" t="s">
        <v>1361</v>
      </c>
      <c r="D3857" s="4" t="s">
        <v>8947</v>
      </c>
      <c r="E3857" s="3" t="s">
        <v>1218</v>
      </c>
      <c r="F3857" s="3" t="s">
        <v>2105</v>
      </c>
      <c r="G3857" s="3"/>
      <c r="H3857" s="4" t="s">
        <v>6560</v>
      </c>
    </row>
    <row r="3858" ht="16.5" customHeight="1" spans="1:8">
      <c r="A3858" s="3">
        <v>3857</v>
      </c>
      <c r="B3858" s="3" t="s">
        <v>8948</v>
      </c>
      <c r="C3858" s="3" t="s">
        <v>1361</v>
      </c>
      <c r="D3858" s="4" t="s">
        <v>8949</v>
      </c>
      <c r="E3858" s="3" t="s">
        <v>1218</v>
      </c>
      <c r="F3858" s="3" t="s">
        <v>2105</v>
      </c>
      <c r="G3858" s="3"/>
      <c r="H3858" s="4" t="s">
        <v>6560</v>
      </c>
    </row>
    <row r="3859" ht="16.5" customHeight="1" spans="1:8">
      <c r="A3859" s="3">
        <v>3858</v>
      </c>
      <c r="B3859" s="3" t="s">
        <v>8950</v>
      </c>
      <c r="C3859" s="3" t="s">
        <v>1361</v>
      </c>
      <c r="D3859" s="4" t="s">
        <v>8951</v>
      </c>
      <c r="E3859" s="3" t="s">
        <v>1218</v>
      </c>
      <c r="F3859" s="3" t="s">
        <v>2105</v>
      </c>
      <c r="G3859" s="3"/>
      <c r="H3859" s="4" t="s">
        <v>6560</v>
      </c>
    </row>
    <row r="3860" ht="16.5" customHeight="1" spans="1:8">
      <c r="A3860" s="3">
        <v>3859</v>
      </c>
      <c r="B3860" s="3" t="s">
        <v>8952</v>
      </c>
      <c r="C3860" s="3" t="s">
        <v>1361</v>
      </c>
      <c r="D3860" s="4" t="s">
        <v>8953</v>
      </c>
      <c r="E3860" s="3" t="s">
        <v>1218</v>
      </c>
      <c r="F3860" s="3" t="s">
        <v>2105</v>
      </c>
      <c r="G3860" s="3"/>
      <c r="H3860" s="4" t="s">
        <v>6560</v>
      </c>
    </row>
    <row r="3861" ht="16.5" customHeight="1" spans="1:8">
      <c r="A3861" s="3">
        <v>3860</v>
      </c>
      <c r="B3861" s="3" t="s">
        <v>8954</v>
      </c>
      <c r="C3861" s="3" t="s">
        <v>1361</v>
      </c>
      <c r="D3861" s="4" t="s">
        <v>8955</v>
      </c>
      <c r="E3861" s="3" t="s">
        <v>1218</v>
      </c>
      <c r="F3861" s="3" t="s">
        <v>2105</v>
      </c>
      <c r="G3861" s="3"/>
      <c r="H3861" s="4" t="s">
        <v>6560</v>
      </c>
    </row>
    <row r="3862" ht="16.5" customHeight="1" spans="1:8">
      <c r="A3862" s="3">
        <v>3861</v>
      </c>
      <c r="B3862" s="3" t="s">
        <v>8956</v>
      </c>
      <c r="C3862" s="3" t="s">
        <v>1361</v>
      </c>
      <c r="D3862" s="4" t="s">
        <v>8957</v>
      </c>
      <c r="E3862" s="3" t="s">
        <v>1218</v>
      </c>
      <c r="F3862" s="3" t="s">
        <v>2105</v>
      </c>
      <c r="G3862" s="3"/>
      <c r="H3862" s="4" t="s">
        <v>6560</v>
      </c>
    </row>
    <row r="3863" ht="16.5" customHeight="1" spans="1:8">
      <c r="A3863" s="3">
        <v>3862</v>
      </c>
      <c r="B3863" s="3" t="s">
        <v>8958</v>
      </c>
      <c r="C3863" s="3" t="s">
        <v>1361</v>
      </c>
      <c r="D3863" s="4" t="s">
        <v>8959</v>
      </c>
      <c r="E3863" s="3" t="s">
        <v>1218</v>
      </c>
      <c r="F3863" s="3" t="s">
        <v>2105</v>
      </c>
      <c r="G3863" s="3"/>
      <c r="H3863" s="4" t="s">
        <v>6560</v>
      </c>
    </row>
    <row r="3864" ht="16.5" customHeight="1" spans="1:8">
      <c r="A3864" s="3">
        <v>3863</v>
      </c>
      <c r="B3864" s="3" t="s">
        <v>8960</v>
      </c>
      <c r="C3864" s="3" t="s">
        <v>1361</v>
      </c>
      <c r="D3864" s="4" t="s">
        <v>8961</v>
      </c>
      <c r="E3864" s="3" t="s">
        <v>1218</v>
      </c>
      <c r="F3864" s="3" t="s">
        <v>2105</v>
      </c>
      <c r="G3864" s="3"/>
      <c r="H3864" s="4" t="s">
        <v>6560</v>
      </c>
    </row>
    <row r="3865" ht="16.5" customHeight="1" spans="1:8">
      <c r="A3865" s="3">
        <v>3864</v>
      </c>
      <c r="B3865" s="3" t="s">
        <v>8962</v>
      </c>
      <c r="C3865" s="3" t="s">
        <v>2163</v>
      </c>
      <c r="D3865" s="4" t="s">
        <v>8963</v>
      </c>
      <c r="E3865" s="3" t="s">
        <v>1076</v>
      </c>
      <c r="F3865" s="3" t="s">
        <v>2041</v>
      </c>
      <c r="G3865" s="3" t="s">
        <v>321</v>
      </c>
      <c r="H3865" s="4" t="s">
        <v>3812</v>
      </c>
    </row>
    <row r="3866" ht="16.5" customHeight="1" spans="1:8">
      <c r="A3866" s="3">
        <v>3865</v>
      </c>
      <c r="B3866" s="3" t="s">
        <v>8964</v>
      </c>
      <c r="C3866" s="3" t="s">
        <v>2163</v>
      </c>
      <c r="D3866" s="4" t="s">
        <v>8965</v>
      </c>
      <c r="E3866" s="3" t="s">
        <v>1076</v>
      </c>
      <c r="F3866" s="3" t="s">
        <v>2105</v>
      </c>
      <c r="G3866" s="3"/>
      <c r="H3866" s="4" t="s">
        <v>3812</v>
      </c>
    </row>
    <row r="3867" ht="16.5" customHeight="1" spans="1:8">
      <c r="A3867" s="3">
        <v>3866</v>
      </c>
      <c r="B3867" s="3" t="s">
        <v>8966</v>
      </c>
      <c r="C3867" s="3" t="s">
        <v>2163</v>
      </c>
      <c r="D3867" s="4" t="s">
        <v>8967</v>
      </c>
      <c r="E3867" s="3" t="s">
        <v>3093</v>
      </c>
      <c r="F3867" s="3" t="s">
        <v>2105</v>
      </c>
      <c r="G3867" s="3"/>
      <c r="H3867" s="4" t="s">
        <v>3812</v>
      </c>
    </row>
    <row r="3868" ht="16.5" customHeight="1" spans="1:8">
      <c r="A3868" s="3">
        <v>3867</v>
      </c>
      <c r="B3868" s="3" t="s">
        <v>8968</v>
      </c>
      <c r="C3868" s="3" t="s">
        <v>2163</v>
      </c>
      <c r="D3868" s="4" t="s">
        <v>8969</v>
      </c>
      <c r="E3868" s="3" t="s">
        <v>1076</v>
      </c>
      <c r="F3868" s="3" t="s">
        <v>2105</v>
      </c>
      <c r="G3868" s="3"/>
      <c r="H3868" s="4" t="s">
        <v>3812</v>
      </c>
    </row>
    <row r="3869" ht="16.5" customHeight="1" spans="1:8">
      <c r="A3869" s="3">
        <v>3868</v>
      </c>
      <c r="B3869" s="3" t="s">
        <v>8970</v>
      </c>
      <c r="C3869" s="3" t="s">
        <v>2163</v>
      </c>
      <c r="D3869" s="4" t="s">
        <v>8971</v>
      </c>
      <c r="E3869" s="3" t="s">
        <v>1076</v>
      </c>
      <c r="F3869" s="3" t="s">
        <v>2105</v>
      </c>
      <c r="G3869" s="3" t="s">
        <v>321</v>
      </c>
      <c r="H3869" s="4" t="s">
        <v>3812</v>
      </c>
    </row>
    <row r="3870" ht="16.5" customHeight="1" spans="1:8">
      <c r="A3870" s="3">
        <v>3869</v>
      </c>
      <c r="B3870" s="3" t="s">
        <v>8972</v>
      </c>
      <c r="C3870" s="3" t="s">
        <v>1074</v>
      </c>
      <c r="D3870" s="4" t="s">
        <v>8973</v>
      </c>
      <c r="E3870" s="3" t="s">
        <v>1076</v>
      </c>
      <c r="F3870" s="3" t="s">
        <v>8175</v>
      </c>
      <c r="G3870" s="3"/>
      <c r="H3870" s="4" t="s">
        <v>3812</v>
      </c>
    </row>
    <row r="3871" ht="16.5" customHeight="1" spans="1:8">
      <c r="A3871" s="3">
        <v>3870</v>
      </c>
      <c r="B3871" s="3" t="s">
        <v>8974</v>
      </c>
      <c r="C3871" s="3" t="s">
        <v>1074</v>
      </c>
      <c r="D3871" s="4" t="s">
        <v>8975</v>
      </c>
      <c r="E3871" s="3" t="s">
        <v>1076</v>
      </c>
      <c r="F3871" s="3" t="s">
        <v>8175</v>
      </c>
      <c r="G3871" s="3"/>
      <c r="H3871" s="4" t="s">
        <v>3812</v>
      </c>
    </row>
    <row r="3872" ht="16.5" customHeight="1" spans="1:8">
      <c r="A3872" s="3">
        <v>3871</v>
      </c>
      <c r="B3872" s="3" t="s">
        <v>8976</v>
      </c>
      <c r="C3872" s="3" t="s">
        <v>1074</v>
      </c>
      <c r="D3872" s="4" t="s">
        <v>8977</v>
      </c>
      <c r="E3872" s="3" t="s">
        <v>1076</v>
      </c>
      <c r="F3872" s="3" t="s">
        <v>8175</v>
      </c>
      <c r="G3872" s="3"/>
      <c r="H3872" s="4" t="s">
        <v>3812</v>
      </c>
    </row>
    <row r="3873" ht="16.5" customHeight="1" spans="1:8">
      <c r="A3873" s="3">
        <v>3872</v>
      </c>
      <c r="B3873" s="3" t="s">
        <v>8978</v>
      </c>
      <c r="C3873" s="3" t="s">
        <v>1074</v>
      </c>
      <c r="D3873" s="4" t="s">
        <v>8979</v>
      </c>
      <c r="E3873" s="3" t="s">
        <v>1076</v>
      </c>
      <c r="F3873" s="3" t="s">
        <v>8175</v>
      </c>
      <c r="G3873" s="3"/>
      <c r="H3873" s="4" t="s">
        <v>3812</v>
      </c>
    </row>
    <row r="3874" ht="16.5" customHeight="1" spans="1:8">
      <c r="A3874" s="3">
        <v>3873</v>
      </c>
      <c r="B3874" s="3" t="s">
        <v>8980</v>
      </c>
      <c r="C3874" s="3" t="s">
        <v>1074</v>
      </c>
      <c r="D3874" s="4" t="s">
        <v>8981</v>
      </c>
      <c r="E3874" s="3" t="s">
        <v>1076</v>
      </c>
      <c r="F3874" s="3" t="s">
        <v>8175</v>
      </c>
      <c r="G3874" s="3"/>
      <c r="H3874" s="4" t="s">
        <v>3812</v>
      </c>
    </row>
    <row r="3875" ht="16.5" customHeight="1" spans="1:8">
      <c r="A3875" s="3">
        <v>3874</v>
      </c>
      <c r="B3875" s="3" t="s">
        <v>8982</v>
      </c>
      <c r="C3875" s="3" t="s">
        <v>2163</v>
      </c>
      <c r="D3875" s="4" t="s">
        <v>8983</v>
      </c>
      <c r="E3875" s="3" t="s">
        <v>1076</v>
      </c>
      <c r="F3875" s="3" t="s">
        <v>2105</v>
      </c>
      <c r="G3875" s="3"/>
      <c r="H3875" s="4" t="s">
        <v>5533</v>
      </c>
    </row>
    <row r="3876" ht="16.5" customHeight="1" spans="1:8">
      <c r="A3876" s="3">
        <v>3875</v>
      </c>
      <c r="B3876" s="3" t="s">
        <v>8984</v>
      </c>
      <c r="C3876" s="3" t="s">
        <v>1356</v>
      </c>
      <c r="D3876" s="4" t="s">
        <v>8985</v>
      </c>
      <c r="E3876" s="3" t="s">
        <v>1076</v>
      </c>
      <c r="F3876" s="3" t="s">
        <v>4668</v>
      </c>
      <c r="G3876" s="3"/>
      <c r="H3876" s="4" t="s">
        <v>1305</v>
      </c>
    </row>
    <row r="3877" ht="16.5" customHeight="1" spans="1:8">
      <c r="A3877" s="3">
        <v>3876</v>
      </c>
      <c r="B3877" s="3" t="s">
        <v>8986</v>
      </c>
      <c r="C3877" s="3" t="s">
        <v>1356</v>
      </c>
      <c r="D3877" s="4" t="s">
        <v>8987</v>
      </c>
      <c r="E3877" s="3" t="s">
        <v>1076</v>
      </c>
      <c r="F3877" s="3" t="s">
        <v>4668</v>
      </c>
      <c r="G3877" s="3"/>
      <c r="H3877" s="4" t="s">
        <v>8769</v>
      </c>
    </row>
    <row r="3878" ht="16.5" customHeight="1" spans="1:8">
      <c r="A3878" s="3">
        <v>3877</v>
      </c>
      <c r="B3878" s="3" t="s">
        <v>8988</v>
      </c>
      <c r="C3878" s="3" t="s">
        <v>1356</v>
      </c>
      <c r="D3878" s="4" t="s">
        <v>8989</v>
      </c>
      <c r="E3878" s="3" t="s">
        <v>1076</v>
      </c>
      <c r="F3878" s="3" t="s">
        <v>4668</v>
      </c>
      <c r="G3878" s="3"/>
      <c r="H3878" s="4" t="s">
        <v>8769</v>
      </c>
    </row>
    <row r="3879" ht="16.5" customHeight="1" spans="1:8">
      <c r="A3879" s="3">
        <v>3878</v>
      </c>
      <c r="B3879" s="3" t="s">
        <v>8990</v>
      </c>
      <c r="C3879" s="3" t="s">
        <v>1356</v>
      </c>
      <c r="D3879" s="4" t="s">
        <v>8991</v>
      </c>
      <c r="E3879" s="3" t="s">
        <v>1076</v>
      </c>
      <c r="F3879" s="3" t="s">
        <v>4668</v>
      </c>
      <c r="G3879" s="3"/>
      <c r="H3879" s="4" t="s">
        <v>8769</v>
      </c>
    </row>
    <row r="3880" ht="16.5" customHeight="1" spans="1:8">
      <c r="A3880" s="3">
        <v>3879</v>
      </c>
      <c r="B3880" s="3" t="s">
        <v>8992</v>
      </c>
      <c r="C3880" s="3" t="s">
        <v>1356</v>
      </c>
      <c r="D3880" s="4" t="s">
        <v>8993</v>
      </c>
      <c r="E3880" s="3" t="s">
        <v>1076</v>
      </c>
      <c r="F3880" s="3" t="s">
        <v>4668</v>
      </c>
      <c r="G3880" s="3"/>
      <c r="H3880" s="4" t="s">
        <v>8769</v>
      </c>
    </row>
    <row r="3881" ht="16.5" customHeight="1" spans="1:8">
      <c r="A3881" s="3">
        <v>3880</v>
      </c>
      <c r="B3881" s="3" t="s">
        <v>8994</v>
      </c>
      <c r="C3881" s="3" t="s">
        <v>1356</v>
      </c>
      <c r="D3881" s="4" t="s">
        <v>8995</v>
      </c>
      <c r="E3881" s="3" t="s">
        <v>1076</v>
      </c>
      <c r="F3881" s="3" t="s">
        <v>4668</v>
      </c>
      <c r="G3881" s="3"/>
      <c r="H3881" s="4" t="s">
        <v>8769</v>
      </c>
    </row>
    <row r="3882" ht="16.5" customHeight="1" spans="1:8">
      <c r="A3882" s="3">
        <v>3881</v>
      </c>
      <c r="B3882" s="3" t="s">
        <v>8996</v>
      </c>
      <c r="C3882" s="3" t="s">
        <v>1356</v>
      </c>
      <c r="D3882" s="4" t="s">
        <v>8997</v>
      </c>
      <c r="E3882" s="3" t="s">
        <v>1076</v>
      </c>
      <c r="F3882" s="3" t="s">
        <v>4668</v>
      </c>
      <c r="G3882" s="3"/>
      <c r="H3882" s="4" t="s">
        <v>8769</v>
      </c>
    </row>
    <row r="3883" ht="16.5" customHeight="1" spans="1:8">
      <c r="A3883" s="3">
        <v>3882</v>
      </c>
      <c r="B3883" s="3" t="s">
        <v>8998</v>
      </c>
      <c r="C3883" s="3" t="s">
        <v>1356</v>
      </c>
      <c r="D3883" s="4" t="s">
        <v>8999</v>
      </c>
      <c r="E3883" s="3" t="s">
        <v>1076</v>
      </c>
      <c r="F3883" s="3" t="s">
        <v>4668</v>
      </c>
      <c r="G3883" s="3"/>
      <c r="H3883" s="4" t="s">
        <v>8769</v>
      </c>
    </row>
    <row r="3884" ht="16.5" customHeight="1" spans="1:8">
      <c r="A3884" s="3">
        <v>3883</v>
      </c>
      <c r="B3884" s="3" t="s">
        <v>9000</v>
      </c>
      <c r="C3884" s="3" t="s">
        <v>1356</v>
      </c>
      <c r="D3884" s="4" t="s">
        <v>9001</v>
      </c>
      <c r="E3884" s="3" t="s">
        <v>1076</v>
      </c>
      <c r="F3884" s="3" t="s">
        <v>4668</v>
      </c>
      <c r="G3884" s="3"/>
      <c r="H3884" s="4" t="s">
        <v>1305</v>
      </c>
    </row>
    <row r="3885" ht="16.5" customHeight="1" spans="1:8">
      <c r="A3885" s="3">
        <v>3884</v>
      </c>
      <c r="B3885" s="3" t="s">
        <v>9002</v>
      </c>
      <c r="C3885" s="3" t="s">
        <v>1356</v>
      </c>
      <c r="D3885" s="4" t="s">
        <v>9003</v>
      </c>
      <c r="E3885" s="3" t="s">
        <v>2726</v>
      </c>
      <c r="F3885" s="3" t="s">
        <v>4668</v>
      </c>
      <c r="G3885" s="3"/>
      <c r="H3885" s="4" t="s">
        <v>5664</v>
      </c>
    </row>
    <row r="3886" ht="16.5" customHeight="1" spans="1:8">
      <c r="A3886" s="3">
        <v>3885</v>
      </c>
      <c r="B3886" s="3" t="s">
        <v>9004</v>
      </c>
      <c r="C3886" s="3" t="s">
        <v>1356</v>
      </c>
      <c r="D3886" s="4" t="s">
        <v>9005</v>
      </c>
      <c r="E3886" s="3" t="s">
        <v>1076</v>
      </c>
      <c r="F3886" s="3" t="s">
        <v>4668</v>
      </c>
      <c r="G3886" s="3"/>
      <c r="H3886" s="4" t="s">
        <v>4322</v>
      </c>
    </row>
    <row r="3887" ht="16.5" customHeight="1" spans="1:8">
      <c r="A3887" s="3">
        <v>3886</v>
      </c>
      <c r="B3887" s="3" t="s">
        <v>9006</v>
      </c>
      <c r="C3887" s="3" t="s">
        <v>2163</v>
      </c>
      <c r="D3887" s="4" t="s">
        <v>9007</v>
      </c>
      <c r="E3887" s="3" t="s">
        <v>1076</v>
      </c>
      <c r="F3887" s="3" t="s">
        <v>2041</v>
      </c>
      <c r="G3887" s="3"/>
      <c r="H3887" s="4" t="s">
        <v>4322</v>
      </c>
    </row>
    <row r="3888" ht="16.5" customHeight="1" spans="1:8">
      <c r="A3888" s="3">
        <v>3887</v>
      </c>
      <c r="B3888" s="3" t="s">
        <v>9008</v>
      </c>
      <c r="C3888" s="3" t="s">
        <v>2163</v>
      </c>
      <c r="D3888" s="4" t="s">
        <v>9009</v>
      </c>
      <c r="E3888" s="3" t="s">
        <v>1076</v>
      </c>
      <c r="F3888" s="3" t="s">
        <v>2041</v>
      </c>
      <c r="G3888" s="3"/>
      <c r="H3888" s="4" t="s">
        <v>4322</v>
      </c>
    </row>
    <row r="3889" ht="16.5" customHeight="1" spans="1:8">
      <c r="A3889" s="3">
        <v>3888</v>
      </c>
      <c r="B3889" s="3" t="s">
        <v>9010</v>
      </c>
      <c r="C3889" s="3" t="s">
        <v>2163</v>
      </c>
      <c r="D3889" s="4" t="s">
        <v>9011</v>
      </c>
      <c r="E3889" s="3" t="s">
        <v>2726</v>
      </c>
      <c r="F3889" s="3" t="s">
        <v>2041</v>
      </c>
      <c r="G3889" s="3" t="s">
        <v>321</v>
      </c>
      <c r="H3889" s="4" t="s">
        <v>4322</v>
      </c>
    </row>
    <row r="3890" ht="16.5" customHeight="1" spans="1:8">
      <c r="A3890" s="3">
        <v>3889</v>
      </c>
      <c r="B3890" s="3" t="s">
        <v>9012</v>
      </c>
      <c r="C3890" s="3" t="s">
        <v>1099</v>
      </c>
      <c r="D3890" s="4" t="s">
        <v>9013</v>
      </c>
      <c r="E3890" s="3" t="s">
        <v>1218</v>
      </c>
      <c r="F3890" s="3" t="s">
        <v>4668</v>
      </c>
      <c r="G3890" s="3"/>
      <c r="H3890" s="4"/>
    </row>
    <row r="3891" ht="16.5" customHeight="1" spans="1:8">
      <c r="A3891" s="3">
        <v>3890</v>
      </c>
      <c r="B3891" s="3" t="s">
        <v>9014</v>
      </c>
      <c r="C3891" s="3" t="s">
        <v>2163</v>
      </c>
      <c r="D3891" s="4" t="s">
        <v>9015</v>
      </c>
      <c r="E3891" s="3" t="s">
        <v>1076</v>
      </c>
      <c r="F3891" s="3" t="s">
        <v>4668</v>
      </c>
      <c r="G3891" s="3"/>
      <c r="H3891" s="4" t="s">
        <v>9016</v>
      </c>
    </row>
    <row r="3892" ht="16.5" customHeight="1" spans="1:8">
      <c r="A3892" s="3">
        <v>3891</v>
      </c>
      <c r="B3892" s="3" t="s">
        <v>9017</v>
      </c>
      <c r="C3892" s="3" t="s">
        <v>2163</v>
      </c>
      <c r="D3892" s="4" t="s">
        <v>9018</v>
      </c>
      <c r="E3892" s="3" t="s">
        <v>1076</v>
      </c>
      <c r="F3892" s="3" t="s">
        <v>4668</v>
      </c>
      <c r="G3892" s="3"/>
      <c r="H3892" s="4" t="s">
        <v>9016</v>
      </c>
    </row>
    <row r="3893" ht="16.5" customHeight="1" spans="1:8">
      <c r="A3893" s="3">
        <v>3892</v>
      </c>
      <c r="B3893" s="3" t="s">
        <v>9019</v>
      </c>
      <c r="C3893" s="3" t="s">
        <v>2163</v>
      </c>
      <c r="D3893" s="4" t="s">
        <v>9020</v>
      </c>
      <c r="E3893" s="3" t="s">
        <v>2263</v>
      </c>
      <c r="F3893" s="3" t="s">
        <v>4668</v>
      </c>
      <c r="G3893" s="3"/>
      <c r="H3893" s="4" t="s">
        <v>9016</v>
      </c>
    </row>
    <row r="3894" ht="16.5" customHeight="1" spans="1:8">
      <c r="A3894" s="3">
        <v>3893</v>
      </c>
      <c r="B3894" s="3" t="s">
        <v>9021</v>
      </c>
      <c r="C3894" s="3" t="s">
        <v>2163</v>
      </c>
      <c r="D3894" s="4" t="s">
        <v>9022</v>
      </c>
      <c r="E3894" s="3" t="s">
        <v>1076</v>
      </c>
      <c r="F3894" s="3" t="s">
        <v>4668</v>
      </c>
      <c r="G3894" s="3"/>
      <c r="H3894" s="4" t="s">
        <v>9016</v>
      </c>
    </row>
    <row r="3895" ht="16.5" customHeight="1" spans="1:8">
      <c r="A3895" s="3">
        <v>3894</v>
      </c>
      <c r="B3895" s="3" t="s">
        <v>9023</v>
      </c>
      <c r="C3895" s="3" t="s">
        <v>2163</v>
      </c>
      <c r="D3895" s="4" t="s">
        <v>9024</v>
      </c>
      <c r="E3895" s="3" t="s">
        <v>1076</v>
      </c>
      <c r="F3895" s="3" t="s">
        <v>4668</v>
      </c>
      <c r="G3895" s="3"/>
      <c r="H3895" s="4" t="s">
        <v>9016</v>
      </c>
    </row>
    <row r="3896" ht="16.5" customHeight="1" spans="1:8">
      <c r="A3896" s="3">
        <v>3895</v>
      </c>
      <c r="B3896" s="3" t="s">
        <v>9025</v>
      </c>
      <c r="C3896" s="3" t="s">
        <v>2163</v>
      </c>
      <c r="D3896" s="4" t="s">
        <v>9026</v>
      </c>
      <c r="E3896" s="3" t="s">
        <v>1076</v>
      </c>
      <c r="F3896" s="3" t="s">
        <v>4668</v>
      </c>
      <c r="G3896" s="3"/>
      <c r="H3896" s="4" t="s">
        <v>9016</v>
      </c>
    </row>
    <row r="3897" ht="16.5" customHeight="1" spans="1:8">
      <c r="A3897" s="3">
        <v>3896</v>
      </c>
      <c r="B3897" s="3" t="s">
        <v>9027</v>
      </c>
      <c r="C3897" s="3" t="s">
        <v>2163</v>
      </c>
      <c r="D3897" s="4" t="s">
        <v>9028</v>
      </c>
      <c r="E3897" s="3" t="s">
        <v>2726</v>
      </c>
      <c r="F3897" s="3" t="s">
        <v>2105</v>
      </c>
      <c r="G3897" s="3"/>
      <c r="H3897" s="4" t="s">
        <v>3812</v>
      </c>
    </row>
    <row r="3898" ht="16.5" customHeight="1" spans="1:8">
      <c r="A3898" s="3">
        <v>3897</v>
      </c>
      <c r="B3898" s="3" t="s">
        <v>9029</v>
      </c>
      <c r="C3898" s="3" t="s">
        <v>2163</v>
      </c>
      <c r="D3898" s="4" t="s">
        <v>9030</v>
      </c>
      <c r="E3898" s="3" t="s">
        <v>1076</v>
      </c>
      <c r="F3898" s="3" t="s">
        <v>1358</v>
      </c>
      <c r="G3898" s="3" t="s">
        <v>321</v>
      </c>
      <c r="H3898" s="4" t="s">
        <v>2324</v>
      </c>
    </row>
    <row r="3899" ht="16.5" customHeight="1" spans="1:8">
      <c r="A3899" s="3">
        <v>3898</v>
      </c>
      <c r="B3899" s="3" t="s">
        <v>9031</v>
      </c>
      <c r="C3899" s="3" t="s">
        <v>2163</v>
      </c>
      <c r="D3899" s="4" t="s">
        <v>9032</v>
      </c>
      <c r="E3899" s="3" t="s">
        <v>1076</v>
      </c>
      <c r="F3899" s="3" t="s">
        <v>2105</v>
      </c>
      <c r="G3899" s="3"/>
      <c r="H3899" s="4" t="s">
        <v>3812</v>
      </c>
    </row>
    <row r="3900" ht="16.5" customHeight="1" spans="1:8">
      <c r="A3900" s="3">
        <v>3899</v>
      </c>
      <c r="B3900" s="3" t="s">
        <v>9033</v>
      </c>
      <c r="C3900" s="3" t="s">
        <v>2163</v>
      </c>
      <c r="D3900" s="4" t="s">
        <v>9034</v>
      </c>
      <c r="E3900" s="3" t="s">
        <v>2726</v>
      </c>
      <c r="F3900" s="3" t="s">
        <v>2105</v>
      </c>
      <c r="G3900" s="3"/>
      <c r="H3900" s="4" t="s">
        <v>5664</v>
      </c>
    </row>
    <row r="3901" ht="16.5" customHeight="1" spans="1:8">
      <c r="A3901" s="3">
        <v>3900</v>
      </c>
      <c r="B3901" s="3" t="s">
        <v>9035</v>
      </c>
      <c r="C3901" s="3" t="s">
        <v>1356</v>
      </c>
      <c r="D3901" s="4" t="s">
        <v>9036</v>
      </c>
      <c r="E3901" s="3" t="s">
        <v>1076</v>
      </c>
      <c r="F3901" s="3" t="s">
        <v>1358</v>
      </c>
      <c r="G3901" s="3" t="s">
        <v>321</v>
      </c>
      <c r="H3901" s="4" t="s">
        <v>6940</v>
      </c>
    </row>
    <row r="3902" ht="16.5" customHeight="1" spans="1:8">
      <c r="A3902" s="3">
        <v>3901</v>
      </c>
      <c r="B3902" s="3" t="s">
        <v>9037</v>
      </c>
      <c r="C3902" s="3" t="s">
        <v>2163</v>
      </c>
      <c r="D3902" s="4" t="s">
        <v>9038</v>
      </c>
      <c r="E3902" s="3" t="s">
        <v>1076</v>
      </c>
      <c r="F3902" s="3" t="s">
        <v>2105</v>
      </c>
      <c r="G3902" s="3"/>
      <c r="H3902" s="4" t="s">
        <v>4322</v>
      </c>
    </row>
    <row r="3903" ht="16.5" customHeight="1" spans="1:8">
      <c r="A3903" s="3">
        <v>3902</v>
      </c>
      <c r="B3903" s="3" t="s">
        <v>9039</v>
      </c>
      <c r="C3903" s="3" t="s">
        <v>2163</v>
      </c>
      <c r="D3903" s="4" t="s">
        <v>9040</v>
      </c>
      <c r="E3903" s="3" t="s">
        <v>3093</v>
      </c>
      <c r="F3903" s="3" t="s">
        <v>2105</v>
      </c>
      <c r="G3903" s="3"/>
      <c r="H3903" s="4" t="s">
        <v>4322</v>
      </c>
    </row>
    <row r="3904" ht="16.5" customHeight="1" spans="1:8">
      <c r="A3904" s="3">
        <v>3903</v>
      </c>
      <c r="B3904" s="3" t="s">
        <v>9041</v>
      </c>
      <c r="C3904" s="3" t="s">
        <v>1356</v>
      </c>
      <c r="D3904" s="4" t="s">
        <v>9042</v>
      </c>
      <c r="E3904" s="3" t="s">
        <v>1076</v>
      </c>
      <c r="F3904" s="3" t="s">
        <v>4668</v>
      </c>
      <c r="G3904" s="3"/>
      <c r="H3904" s="4" t="s">
        <v>1305</v>
      </c>
    </row>
    <row r="3905" ht="16.5" customHeight="1" spans="1:8">
      <c r="A3905" s="3">
        <v>3904</v>
      </c>
      <c r="B3905" s="3" t="s">
        <v>9043</v>
      </c>
      <c r="C3905" s="3" t="s">
        <v>2163</v>
      </c>
      <c r="D3905" s="4" t="s">
        <v>9044</v>
      </c>
      <c r="E3905" s="3" t="s">
        <v>1076</v>
      </c>
      <c r="F3905" s="3" t="s">
        <v>2041</v>
      </c>
      <c r="G3905" s="3" t="s">
        <v>321</v>
      </c>
      <c r="H3905" s="4" t="s">
        <v>5533</v>
      </c>
    </row>
    <row r="3906" ht="16.5" customHeight="1" spans="1:8">
      <c r="A3906" s="3">
        <v>3905</v>
      </c>
      <c r="B3906" s="3" t="s">
        <v>9045</v>
      </c>
      <c r="C3906" s="3" t="s">
        <v>2163</v>
      </c>
      <c r="D3906" s="4" t="s">
        <v>9046</v>
      </c>
      <c r="E3906" s="3" t="s">
        <v>1076</v>
      </c>
      <c r="F3906" s="3" t="s">
        <v>2105</v>
      </c>
      <c r="G3906" s="3"/>
      <c r="H3906" s="4" t="s">
        <v>5664</v>
      </c>
    </row>
    <row r="3907" ht="16.5" customHeight="1" spans="1:8">
      <c r="A3907" s="3">
        <v>3906</v>
      </c>
      <c r="B3907" s="3" t="s">
        <v>9047</v>
      </c>
      <c r="C3907" s="3" t="s">
        <v>1074</v>
      </c>
      <c r="D3907" s="4" t="s">
        <v>9048</v>
      </c>
      <c r="E3907" s="3" t="s">
        <v>1076</v>
      </c>
      <c r="F3907" s="3" t="s">
        <v>8175</v>
      </c>
      <c r="G3907" s="3"/>
      <c r="H3907" s="4" t="s">
        <v>6877</v>
      </c>
    </row>
    <row r="3908" ht="16.5" customHeight="1" spans="1:8">
      <c r="A3908" s="3">
        <v>3907</v>
      </c>
      <c r="B3908" s="3" t="s">
        <v>9049</v>
      </c>
      <c r="C3908" s="3" t="s">
        <v>2163</v>
      </c>
      <c r="D3908" s="4" t="s">
        <v>9050</v>
      </c>
      <c r="E3908" s="3" t="s">
        <v>1076</v>
      </c>
      <c r="F3908" s="3" t="s">
        <v>2105</v>
      </c>
      <c r="G3908" s="3"/>
      <c r="H3908" s="4" t="s">
        <v>6877</v>
      </c>
    </row>
    <row r="3909" ht="16.5" customHeight="1" spans="1:8">
      <c r="A3909" s="3">
        <v>3908</v>
      </c>
      <c r="B3909" s="3" t="s">
        <v>9051</v>
      </c>
      <c r="C3909" s="3" t="s">
        <v>1361</v>
      </c>
      <c r="D3909" s="4" t="s">
        <v>9052</v>
      </c>
      <c r="E3909" s="3" t="s">
        <v>1218</v>
      </c>
      <c r="F3909" s="3" t="s">
        <v>1358</v>
      </c>
      <c r="G3909" s="3" t="s">
        <v>321</v>
      </c>
      <c r="H3909" s="4"/>
    </row>
    <row r="3910" ht="16.5" customHeight="1" spans="1:8">
      <c r="A3910" s="3">
        <v>3909</v>
      </c>
      <c r="B3910" s="3" t="s">
        <v>9053</v>
      </c>
      <c r="C3910" s="3" t="s">
        <v>1361</v>
      </c>
      <c r="D3910" s="4" t="s">
        <v>9054</v>
      </c>
      <c r="E3910" s="3" t="s">
        <v>1218</v>
      </c>
      <c r="F3910" s="3" t="s">
        <v>1358</v>
      </c>
      <c r="G3910" s="3" t="s">
        <v>321</v>
      </c>
      <c r="H3910" s="4"/>
    </row>
    <row r="3911" ht="16.5" customHeight="1" spans="1:8">
      <c r="A3911" s="3">
        <v>3910</v>
      </c>
      <c r="B3911" s="3" t="s">
        <v>9055</v>
      </c>
      <c r="C3911" s="3" t="s">
        <v>1361</v>
      </c>
      <c r="D3911" s="4" t="s">
        <v>9056</v>
      </c>
      <c r="E3911" s="3" t="s">
        <v>1218</v>
      </c>
      <c r="F3911" s="3" t="s">
        <v>1358</v>
      </c>
      <c r="G3911" s="3" t="s">
        <v>321</v>
      </c>
      <c r="H3911" s="4"/>
    </row>
    <row r="3912" ht="16.5" customHeight="1" spans="1:8">
      <c r="A3912" s="3">
        <v>3911</v>
      </c>
      <c r="B3912" s="3" t="s">
        <v>9057</v>
      </c>
      <c r="C3912" s="3" t="s">
        <v>1361</v>
      </c>
      <c r="D3912" s="4" t="s">
        <v>9058</v>
      </c>
      <c r="E3912" s="3" t="s">
        <v>1218</v>
      </c>
      <c r="F3912" s="3" t="s">
        <v>1358</v>
      </c>
      <c r="G3912" s="3" t="s">
        <v>321</v>
      </c>
      <c r="H3912" s="4"/>
    </row>
    <row r="3913" ht="16.5" customHeight="1" spans="1:8">
      <c r="A3913" s="3">
        <v>3912</v>
      </c>
      <c r="B3913" s="3" t="s">
        <v>9059</v>
      </c>
      <c r="C3913" s="3" t="s">
        <v>1361</v>
      </c>
      <c r="D3913" s="4" t="s">
        <v>9060</v>
      </c>
      <c r="E3913" s="3" t="s">
        <v>1218</v>
      </c>
      <c r="F3913" s="3" t="s">
        <v>1358</v>
      </c>
      <c r="G3913" s="3" t="s">
        <v>321</v>
      </c>
      <c r="H3913" s="4"/>
    </row>
    <row r="3914" ht="16.5" customHeight="1" spans="1:8">
      <c r="A3914" s="3">
        <v>3913</v>
      </c>
      <c r="B3914" s="3" t="s">
        <v>9061</v>
      </c>
      <c r="C3914" s="3" t="s">
        <v>2163</v>
      </c>
      <c r="D3914" s="4" t="s">
        <v>9062</v>
      </c>
      <c r="E3914" s="3" t="s">
        <v>1076</v>
      </c>
      <c r="F3914" s="3" t="s">
        <v>4154</v>
      </c>
      <c r="G3914" s="3"/>
      <c r="H3914" s="4" t="s">
        <v>6877</v>
      </c>
    </row>
    <row r="3915" ht="16.5" customHeight="1" spans="1:8">
      <c r="A3915" s="3">
        <v>3914</v>
      </c>
      <c r="B3915" s="3" t="s">
        <v>9063</v>
      </c>
      <c r="C3915" s="3" t="s">
        <v>2163</v>
      </c>
      <c r="D3915" s="4" t="s">
        <v>9062</v>
      </c>
      <c r="E3915" s="3" t="s">
        <v>1076</v>
      </c>
      <c r="F3915" s="3" t="s">
        <v>4154</v>
      </c>
      <c r="G3915" s="3"/>
      <c r="H3915" s="4" t="s">
        <v>5533</v>
      </c>
    </row>
    <row r="3916" ht="16.5" customHeight="1" spans="1:8">
      <c r="A3916" s="3">
        <v>3915</v>
      </c>
      <c r="B3916" s="3" t="s">
        <v>9064</v>
      </c>
      <c r="C3916" s="3" t="s">
        <v>2163</v>
      </c>
      <c r="D3916" s="4" t="s">
        <v>9065</v>
      </c>
      <c r="E3916" s="3" t="s">
        <v>1076</v>
      </c>
      <c r="F3916" s="3" t="s">
        <v>4154</v>
      </c>
      <c r="G3916" s="3"/>
      <c r="H3916" s="4" t="s">
        <v>5664</v>
      </c>
    </row>
    <row r="3917" ht="16.5" customHeight="1" spans="1:8">
      <c r="A3917" s="3">
        <v>3916</v>
      </c>
      <c r="B3917" s="3" t="s">
        <v>9066</v>
      </c>
      <c r="C3917" s="3" t="s">
        <v>1074</v>
      </c>
      <c r="D3917" s="4" t="s">
        <v>9067</v>
      </c>
      <c r="E3917" s="3" t="s">
        <v>1076</v>
      </c>
      <c r="F3917" s="3" t="s">
        <v>8175</v>
      </c>
      <c r="G3917" s="3"/>
      <c r="H3917" s="4" t="s">
        <v>6877</v>
      </c>
    </row>
    <row r="3918" ht="16.5" customHeight="1" spans="1:8">
      <c r="A3918" s="3">
        <v>3917</v>
      </c>
      <c r="B3918" s="3" t="s">
        <v>9068</v>
      </c>
      <c r="C3918" s="3" t="s">
        <v>2163</v>
      </c>
      <c r="D3918" s="4" t="s">
        <v>9069</v>
      </c>
      <c r="E3918" s="3" t="s">
        <v>1076</v>
      </c>
      <c r="F3918" s="3" t="s">
        <v>4154</v>
      </c>
      <c r="G3918" s="3"/>
      <c r="H3918" s="4" t="s">
        <v>9016</v>
      </c>
    </row>
    <row r="3919" ht="16.5" customHeight="1" spans="1:8">
      <c r="A3919" s="3">
        <v>3918</v>
      </c>
      <c r="B3919" s="3" t="s">
        <v>9070</v>
      </c>
      <c r="C3919" s="3" t="s">
        <v>2163</v>
      </c>
      <c r="D3919" s="4" t="s">
        <v>9071</v>
      </c>
      <c r="E3919" s="3" t="s">
        <v>9072</v>
      </c>
      <c r="F3919" s="3" t="s">
        <v>1358</v>
      </c>
      <c r="G3919" s="3"/>
      <c r="H3919" s="4" t="s">
        <v>1359</v>
      </c>
    </row>
    <row r="3920" ht="16.5" customHeight="1" spans="1:8">
      <c r="A3920" s="3">
        <v>3919</v>
      </c>
      <c r="B3920" s="3" t="s">
        <v>9073</v>
      </c>
      <c r="C3920" s="3" t="s">
        <v>2163</v>
      </c>
      <c r="D3920" s="4" t="s">
        <v>9074</v>
      </c>
      <c r="E3920" s="3" t="s">
        <v>1076</v>
      </c>
      <c r="F3920" s="3" t="s">
        <v>4154</v>
      </c>
      <c r="G3920" s="3"/>
      <c r="H3920" s="4" t="s">
        <v>5533</v>
      </c>
    </row>
    <row r="3921" ht="16.5" customHeight="1" spans="1:8">
      <c r="A3921" s="3">
        <v>3920</v>
      </c>
      <c r="B3921" s="3" t="s">
        <v>9075</v>
      </c>
      <c r="C3921" s="3" t="s">
        <v>2163</v>
      </c>
      <c r="D3921" s="4" t="s">
        <v>9076</v>
      </c>
      <c r="E3921" s="3" t="s">
        <v>1076</v>
      </c>
      <c r="F3921" s="3" t="s">
        <v>4154</v>
      </c>
      <c r="G3921" s="3"/>
      <c r="H3921" s="4" t="s">
        <v>3812</v>
      </c>
    </row>
    <row r="3922" ht="16.5" customHeight="1" spans="1:8">
      <c r="A3922" s="3">
        <v>3921</v>
      </c>
      <c r="B3922" s="3" t="s">
        <v>9077</v>
      </c>
      <c r="C3922" s="3" t="s">
        <v>2163</v>
      </c>
      <c r="D3922" s="4" t="s">
        <v>9078</v>
      </c>
      <c r="E3922" s="3" t="s">
        <v>2263</v>
      </c>
      <c r="F3922" s="3" t="s">
        <v>1358</v>
      </c>
      <c r="G3922" s="3" t="s">
        <v>321</v>
      </c>
      <c r="H3922" s="4" t="s">
        <v>1095</v>
      </c>
    </row>
    <row r="3923" ht="16.5" customHeight="1" spans="1:8">
      <c r="A3923" s="3">
        <v>3922</v>
      </c>
      <c r="B3923" s="3" t="s">
        <v>9079</v>
      </c>
      <c r="C3923" s="3" t="s">
        <v>2163</v>
      </c>
      <c r="D3923" s="4" t="s">
        <v>9080</v>
      </c>
      <c r="E3923" s="3" t="s">
        <v>3093</v>
      </c>
      <c r="F3923" s="3" t="s">
        <v>2105</v>
      </c>
      <c r="G3923" s="3"/>
      <c r="H3923" s="4" t="s">
        <v>3812</v>
      </c>
    </row>
    <row r="3924" ht="16.5" customHeight="1" spans="1:8">
      <c r="A3924" s="3">
        <v>3923</v>
      </c>
      <c r="B3924" s="3" t="s">
        <v>9081</v>
      </c>
      <c r="C3924" s="3" t="s">
        <v>2163</v>
      </c>
      <c r="D3924" s="4" t="s">
        <v>9082</v>
      </c>
      <c r="E3924" s="3" t="s">
        <v>2263</v>
      </c>
      <c r="F3924" s="3" t="s">
        <v>4154</v>
      </c>
      <c r="G3924" s="3"/>
      <c r="H3924" s="4" t="s">
        <v>9016</v>
      </c>
    </row>
    <row r="3925" ht="16.5" customHeight="1" spans="1:8">
      <c r="A3925" s="3">
        <v>3924</v>
      </c>
      <c r="B3925" s="3" t="s">
        <v>9083</v>
      </c>
      <c r="C3925" s="3" t="s">
        <v>2163</v>
      </c>
      <c r="D3925" s="4" t="s">
        <v>9084</v>
      </c>
      <c r="E3925" s="3" t="s">
        <v>1076</v>
      </c>
      <c r="F3925" s="3" t="s">
        <v>4154</v>
      </c>
      <c r="G3925" s="3"/>
      <c r="H3925" s="4" t="s">
        <v>9016</v>
      </c>
    </row>
    <row r="3926" ht="16.5" customHeight="1" spans="1:8">
      <c r="A3926" s="3">
        <v>3925</v>
      </c>
      <c r="B3926" s="3" t="s">
        <v>9085</v>
      </c>
      <c r="C3926" s="3" t="s">
        <v>2163</v>
      </c>
      <c r="D3926" s="4" t="s">
        <v>9086</v>
      </c>
      <c r="E3926" s="3" t="s">
        <v>2726</v>
      </c>
      <c r="F3926" s="3" t="s">
        <v>4154</v>
      </c>
      <c r="G3926" s="3"/>
      <c r="H3926" s="4" t="s">
        <v>4322</v>
      </c>
    </row>
    <row r="3927" ht="16.5" customHeight="1" spans="1:8">
      <c r="A3927" s="3">
        <v>3926</v>
      </c>
      <c r="B3927" s="3" t="s">
        <v>9087</v>
      </c>
      <c r="C3927" s="3" t="s">
        <v>2163</v>
      </c>
      <c r="D3927" s="4" t="s">
        <v>9088</v>
      </c>
      <c r="E3927" s="3" t="s">
        <v>2726</v>
      </c>
      <c r="F3927" s="3" t="s">
        <v>2105</v>
      </c>
      <c r="G3927" s="3"/>
      <c r="H3927" s="4" t="s">
        <v>3812</v>
      </c>
    </row>
    <row r="3928" ht="16.5" customHeight="1" spans="1:8">
      <c r="A3928" s="3">
        <v>3927</v>
      </c>
      <c r="B3928" s="3" t="s">
        <v>9089</v>
      </c>
      <c r="C3928" s="3" t="s">
        <v>1356</v>
      </c>
      <c r="D3928" s="4" t="s">
        <v>9090</v>
      </c>
      <c r="E3928" s="3" t="s">
        <v>1076</v>
      </c>
      <c r="F3928" s="3" t="s">
        <v>1358</v>
      </c>
      <c r="G3928" s="3" t="s">
        <v>321</v>
      </c>
      <c r="H3928" s="4"/>
    </row>
    <row r="3929" ht="16.5" customHeight="1" spans="1:8">
      <c r="A3929" s="3">
        <v>3928</v>
      </c>
      <c r="B3929" s="3" t="s">
        <v>9091</v>
      </c>
      <c r="C3929" s="3" t="s">
        <v>1356</v>
      </c>
      <c r="D3929" s="4" t="s">
        <v>9092</v>
      </c>
      <c r="E3929" s="3" t="s">
        <v>1076</v>
      </c>
      <c r="F3929" s="3" t="s">
        <v>1358</v>
      </c>
      <c r="G3929" s="3" t="s">
        <v>321</v>
      </c>
      <c r="H3929" s="4"/>
    </row>
    <row r="3930" ht="16.5" customHeight="1" spans="1:8">
      <c r="A3930" s="3">
        <v>3929</v>
      </c>
      <c r="B3930" s="3" t="s">
        <v>9093</v>
      </c>
      <c r="C3930" s="3" t="s">
        <v>1356</v>
      </c>
      <c r="D3930" s="4" t="s">
        <v>9094</v>
      </c>
      <c r="E3930" s="3" t="s">
        <v>1076</v>
      </c>
      <c r="F3930" s="3" t="s">
        <v>1358</v>
      </c>
      <c r="G3930" s="3" t="s">
        <v>321</v>
      </c>
      <c r="H3930" s="4"/>
    </row>
    <row r="3931" ht="16.5" customHeight="1" spans="1:8">
      <c r="A3931" s="3">
        <v>3930</v>
      </c>
      <c r="B3931" s="3" t="s">
        <v>9095</v>
      </c>
      <c r="C3931" s="3" t="s">
        <v>2163</v>
      </c>
      <c r="D3931" s="4" t="s">
        <v>9096</v>
      </c>
      <c r="E3931" s="3" t="s">
        <v>1076</v>
      </c>
      <c r="F3931" s="3" t="s">
        <v>2105</v>
      </c>
      <c r="G3931" s="3"/>
      <c r="H3931" s="4" t="s">
        <v>6877</v>
      </c>
    </row>
    <row r="3932" ht="16.5" customHeight="1" spans="1:8">
      <c r="A3932" s="3">
        <v>3931</v>
      </c>
      <c r="B3932" s="3" t="s">
        <v>9097</v>
      </c>
      <c r="C3932" s="3" t="s">
        <v>2163</v>
      </c>
      <c r="D3932" s="4" t="s">
        <v>9098</v>
      </c>
      <c r="E3932" s="3" t="s">
        <v>1076</v>
      </c>
      <c r="F3932" s="3" t="s">
        <v>2105</v>
      </c>
      <c r="G3932" s="3"/>
      <c r="H3932" s="4" t="s">
        <v>6877</v>
      </c>
    </row>
    <row r="3933" ht="16.5" customHeight="1" spans="1:8">
      <c r="A3933" s="3">
        <v>3932</v>
      </c>
      <c r="B3933" s="3" t="s">
        <v>9099</v>
      </c>
      <c r="C3933" s="3" t="s">
        <v>2163</v>
      </c>
      <c r="D3933" s="4" t="s">
        <v>9100</v>
      </c>
      <c r="E3933" s="3" t="s">
        <v>1076</v>
      </c>
      <c r="F3933" s="3" t="s">
        <v>2105</v>
      </c>
      <c r="G3933" s="3"/>
      <c r="H3933" s="4" t="s">
        <v>6877</v>
      </c>
    </row>
    <row r="3934" ht="16.5" customHeight="1" spans="1:8">
      <c r="A3934" s="3">
        <v>3933</v>
      </c>
      <c r="B3934" s="3" t="s">
        <v>9101</v>
      </c>
      <c r="C3934" s="3" t="s">
        <v>2163</v>
      </c>
      <c r="D3934" s="4" t="s">
        <v>9102</v>
      </c>
      <c r="E3934" s="3" t="s">
        <v>1076</v>
      </c>
      <c r="F3934" s="3" t="s">
        <v>9103</v>
      </c>
      <c r="G3934" s="3" t="s">
        <v>321</v>
      </c>
      <c r="H3934" s="4" t="s">
        <v>1359</v>
      </c>
    </row>
    <row r="3935" ht="16.5" customHeight="1" spans="1:8">
      <c r="A3935" s="3">
        <v>3934</v>
      </c>
      <c r="B3935" s="3" t="s">
        <v>9104</v>
      </c>
      <c r="C3935" s="3" t="s">
        <v>2163</v>
      </c>
      <c r="D3935" s="4" t="s">
        <v>9105</v>
      </c>
      <c r="E3935" s="3" t="s">
        <v>1076</v>
      </c>
      <c r="F3935" s="3" t="s">
        <v>1358</v>
      </c>
      <c r="G3935" s="3" t="s">
        <v>321</v>
      </c>
      <c r="H3935" s="4" t="s">
        <v>1095</v>
      </c>
    </row>
    <row r="3936" ht="16.5" customHeight="1" spans="1:8">
      <c r="A3936" s="3">
        <v>3935</v>
      </c>
      <c r="B3936" s="3" t="s">
        <v>9106</v>
      </c>
      <c r="C3936" s="3" t="s">
        <v>2163</v>
      </c>
      <c r="D3936" s="4" t="s">
        <v>9107</v>
      </c>
      <c r="E3936" s="3" t="s">
        <v>1076</v>
      </c>
      <c r="F3936" s="3" t="s">
        <v>4154</v>
      </c>
      <c r="G3936" s="3"/>
      <c r="H3936" s="4" t="s">
        <v>9108</v>
      </c>
    </row>
    <row r="3937" ht="16.5" customHeight="1" spans="1:8">
      <c r="A3937" s="3">
        <v>3936</v>
      </c>
      <c r="B3937" s="3" t="s">
        <v>9109</v>
      </c>
      <c r="C3937" s="3" t="s">
        <v>2163</v>
      </c>
      <c r="D3937" s="4" t="s">
        <v>9110</v>
      </c>
      <c r="E3937" s="3" t="s">
        <v>1076</v>
      </c>
      <c r="F3937" s="3" t="s">
        <v>4154</v>
      </c>
      <c r="G3937" s="3"/>
      <c r="H3937" s="4" t="s">
        <v>3812</v>
      </c>
    </row>
    <row r="3938" ht="16.5" customHeight="1" spans="1:8">
      <c r="A3938" s="3">
        <v>3937</v>
      </c>
      <c r="B3938" s="3" t="s">
        <v>9111</v>
      </c>
      <c r="C3938" s="3" t="s">
        <v>2163</v>
      </c>
      <c r="D3938" s="4" t="s">
        <v>9112</v>
      </c>
      <c r="E3938" s="3" t="s">
        <v>1076</v>
      </c>
      <c r="F3938" s="3" t="s">
        <v>4154</v>
      </c>
      <c r="G3938" s="3"/>
      <c r="H3938" s="4" t="s">
        <v>5533</v>
      </c>
    </row>
    <row r="3939" ht="16.5" customHeight="1" spans="1:8">
      <c r="A3939" s="3">
        <v>3938</v>
      </c>
      <c r="B3939" s="3" t="s">
        <v>9113</v>
      </c>
      <c r="C3939" s="3" t="s">
        <v>2163</v>
      </c>
      <c r="D3939" s="4" t="s">
        <v>9114</v>
      </c>
      <c r="E3939" s="3" t="s">
        <v>1076</v>
      </c>
      <c r="F3939" s="3" t="s">
        <v>4154</v>
      </c>
      <c r="G3939" s="3"/>
      <c r="H3939" s="4" t="s">
        <v>3812</v>
      </c>
    </row>
    <row r="3940" ht="16.5" customHeight="1" spans="1:8">
      <c r="A3940" s="3">
        <v>3939</v>
      </c>
      <c r="B3940" s="3" t="s">
        <v>9115</v>
      </c>
      <c r="C3940" s="3" t="s">
        <v>2163</v>
      </c>
      <c r="D3940" s="4" t="s">
        <v>9116</v>
      </c>
      <c r="E3940" s="3" t="s">
        <v>1076</v>
      </c>
      <c r="F3940" s="3" t="s">
        <v>4154</v>
      </c>
      <c r="G3940" s="3"/>
      <c r="H3940" s="4" t="s">
        <v>5664</v>
      </c>
    </row>
    <row r="3941" ht="16.5" customHeight="1" spans="1:8">
      <c r="A3941" s="3">
        <v>3940</v>
      </c>
      <c r="B3941" s="3" t="s">
        <v>9117</v>
      </c>
      <c r="C3941" s="3" t="s">
        <v>2163</v>
      </c>
      <c r="D3941" s="4" t="s">
        <v>9118</v>
      </c>
      <c r="E3941" s="3" t="s">
        <v>2726</v>
      </c>
      <c r="F3941" s="3" t="s">
        <v>2105</v>
      </c>
      <c r="G3941" s="3"/>
      <c r="H3941" s="4" t="s">
        <v>6877</v>
      </c>
    </row>
    <row r="3942" ht="16.5" customHeight="1" spans="1:8">
      <c r="A3942" s="3">
        <v>3941</v>
      </c>
      <c r="B3942" s="3" t="s">
        <v>9119</v>
      </c>
      <c r="C3942" s="3" t="s">
        <v>2163</v>
      </c>
      <c r="D3942" s="4" t="s">
        <v>9120</v>
      </c>
      <c r="E3942" s="3" t="s">
        <v>1076</v>
      </c>
      <c r="F3942" s="3" t="s">
        <v>2105</v>
      </c>
      <c r="G3942" s="3"/>
      <c r="H3942" s="4" t="s">
        <v>6877</v>
      </c>
    </row>
    <row r="3943" ht="16.5" customHeight="1" spans="1:8">
      <c r="A3943" s="3">
        <v>3942</v>
      </c>
      <c r="B3943" s="3" t="s">
        <v>9121</v>
      </c>
      <c r="C3943" s="3" t="s">
        <v>1074</v>
      </c>
      <c r="D3943" s="4" t="s">
        <v>9122</v>
      </c>
      <c r="E3943" s="3" t="s">
        <v>1218</v>
      </c>
      <c r="F3943" s="3" t="s">
        <v>8175</v>
      </c>
      <c r="G3943" s="3"/>
      <c r="H3943" s="4" t="s">
        <v>1305</v>
      </c>
    </row>
    <row r="3944" ht="16.5" customHeight="1" spans="1:8">
      <c r="A3944" s="3">
        <v>3943</v>
      </c>
      <c r="B3944" s="3" t="s">
        <v>9123</v>
      </c>
      <c r="C3944" s="3" t="s">
        <v>2163</v>
      </c>
      <c r="D3944" s="4" t="s">
        <v>9124</v>
      </c>
      <c r="E3944" s="3" t="s">
        <v>1076</v>
      </c>
      <c r="F3944" s="3" t="s">
        <v>4668</v>
      </c>
      <c r="G3944" s="3"/>
      <c r="H3944" s="4" t="s">
        <v>9108</v>
      </c>
    </row>
    <row r="3945" ht="16.5" customHeight="1" spans="1:8">
      <c r="A3945" s="3">
        <v>3944</v>
      </c>
      <c r="B3945" s="3" t="s">
        <v>9125</v>
      </c>
      <c r="C3945" s="3" t="s">
        <v>2163</v>
      </c>
      <c r="D3945" s="4" t="s">
        <v>9126</v>
      </c>
      <c r="E3945" s="3" t="s">
        <v>1076</v>
      </c>
      <c r="F3945" s="3" t="s">
        <v>4668</v>
      </c>
      <c r="G3945" s="3"/>
      <c r="H3945" s="4" t="s">
        <v>9016</v>
      </c>
    </row>
    <row r="3946" ht="16.5" customHeight="1" spans="1:8">
      <c r="A3946" s="3">
        <v>3945</v>
      </c>
      <c r="B3946" s="3" t="s">
        <v>9127</v>
      </c>
      <c r="C3946" s="3" t="s">
        <v>2163</v>
      </c>
      <c r="D3946" s="4" t="s">
        <v>9110</v>
      </c>
      <c r="E3946" s="3" t="s">
        <v>1076</v>
      </c>
      <c r="F3946" s="3" t="s">
        <v>4668</v>
      </c>
      <c r="G3946" s="3"/>
      <c r="H3946" s="4" t="s">
        <v>3812</v>
      </c>
    </row>
    <row r="3947" ht="16.5" customHeight="1" spans="1:8">
      <c r="A3947" s="3">
        <v>3946</v>
      </c>
      <c r="B3947" s="3" t="s">
        <v>9128</v>
      </c>
      <c r="C3947" s="3" t="s">
        <v>2163</v>
      </c>
      <c r="D3947" s="4" t="s">
        <v>9112</v>
      </c>
      <c r="E3947" s="3" t="s">
        <v>2263</v>
      </c>
      <c r="F3947" s="3" t="s">
        <v>4668</v>
      </c>
      <c r="G3947" s="3"/>
      <c r="H3947" s="4" t="s">
        <v>9016</v>
      </c>
    </row>
    <row r="3948" ht="16.5" customHeight="1" spans="1:8">
      <c r="A3948" s="3">
        <v>3947</v>
      </c>
      <c r="B3948" s="3" t="s">
        <v>9129</v>
      </c>
      <c r="C3948" s="3" t="s">
        <v>2163</v>
      </c>
      <c r="D3948" s="4" t="s">
        <v>9130</v>
      </c>
      <c r="E3948" s="3" t="s">
        <v>2263</v>
      </c>
      <c r="F3948" s="3" t="s">
        <v>4668</v>
      </c>
      <c r="G3948" s="3"/>
      <c r="H3948" s="4" t="s">
        <v>9016</v>
      </c>
    </row>
    <row r="3949" ht="16.5" customHeight="1" spans="1:8">
      <c r="A3949" s="3">
        <v>3948</v>
      </c>
      <c r="B3949" s="3" t="s">
        <v>9131</v>
      </c>
      <c r="C3949" s="3" t="s">
        <v>2163</v>
      </c>
      <c r="D3949" s="4" t="s">
        <v>9132</v>
      </c>
      <c r="E3949" s="3" t="s">
        <v>1076</v>
      </c>
      <c r="F3949" s="3" t="s">
        <v>4668</v>
      </c>
      <c r="G3949" s="3"/>
      <c r="H3949" s="4" t="s">
        <v>9016</v>
      </c>
    </row>
    <row r="3950" ht="16.5" customHeight="1" spans="1:8">
      <c r="A3950" s="3">
        <v>3949</v>
      </c>
      <c r="B3950" s="3" t="s">
        <v>9133</v>
      </c>
      <c r="C3950" s="3" t="s">
        <v>2163</v>
      </c>
      <c r="D3950" s="4" t="s">
        <v>9134</v>
      </c>
      <c r="E3950" s="3" t="s">
        <v>5779</v>
      </c>
      <c r="F3950" s="3" t="s">
        <v>4668</v>
      </c>
      <c r="G3950" s="3"/>
      <c r="H3950" s="4" t="s">
        <v>5664</v>
      </c>
    </row>
    <row r="3951" ht="16.5" customHeight="1" spans="1:8">
      <c r="A3951" s="3">
        <v>3950</v>
      </c>
      <c r="B3951" s="3" t="s">
        <v>9135</v>
      </c>
      <c r="C3951" s="3" t="s">
        <v>2163</v>
      </c>
      <c r="D3951" s="4" t="s">
        <v>9136</v>
      </c>
      <c r="E3951" s="3" t="s">
        <v>1076</v>
      </c>
      <c r="F3951" s="3" t="s">
        <v>4668</v>
      </c>
      <c r="G3951" s="3"/>
      <c r="H3951" s="4" t="s">
        <v>9016</v>
      </c>
    </row>
    <row r="3952" ht="16.5" customHeight="1" spans="1:8">
      <c r="A3952" s="3">
        <v>3951</v>
      </c>
      <c r="B3952" s="3" t="s">
        <v>9137</v>
      </c>
      <c r="C3952" s="3" t="s">
        <v>2163</v>
      </c>
      <c r="D3952" s="4" t="s">
        <v>9138</v>
      </c>
      <c r="E3952" s="3" t="s">
        <v>1076</v>
      </c>
      <c r="F3952" s="3" t="s">
        <v>4668</v>
      </c>
      <c r="G3952" s="3"/>
      <c r="H3952" s="4" t="s">
        <v>5664</v>
      </c>
    </row>
    <row r="3953" ht="16.5" customHeight="1" spans="1:8">
      <c r="A3953" s="3">
        <v>3952</v>
      </c>
      <c r="B3953" s="3" t="s">
        <v>9139</v>
      </c>
      <c r="C3953" s="3" t="s">
        <v>2163</v>
      </c>
      <c r="D3953" s="4" t="s">
        <v>9140</v>
      </c>
      <c r="E3953" s="3" t="s">
        <v>8871</v>
      </c>
      <c r="F3953" s="3" t="s">
        <v>4668</v>
      </c>
      <c r="G3953" s="3"/>
      <c r="H3953" s="4" t="s">
        <v>5664</v>
      </c>
    </row>
    <row r="3954" ht="16.5" customHeight="1" spans="1:8">
      <c r="A3954" s="3">
        <v>3953</v>
      </c>
      <c r="B3954" s="3" t="s">
        <v>9141</v>
      </c>
      <c r="C3954" s="3" t="s">
        <v>2163</v>
      </c>
      <c r="D3954" s="4" t="s">
        <v>9142</v>
      </c>
      <c r="E3954" s="3" t="s">
        <v>1076</v>
      </c>
      <c r="F3954" s="3" t="s">
        <v>4668</v>
      </c>
      <c r="G3954" s="3"/>
      <c r="H3954" s="4" t="s">
        <v>9016</v>
      </c>
    </row>
    <row r="3955" ht="16.5" customHeight="1" spans="1:8">
      <c r="A3955" s="3">
        <v>3954</v>
      </c>
      <c r="B3955" s="3" t="s">
        <v>9143</v>
      </c>
      <c r="C3955" s="3" t="s">
        <v>2163</v>
      </c>
      <c r="D3955" s="4" t="s">
        <v>9144</v>
      </c>
      <c r="E3955" s="3" t="s">
        <v>1076</v>
      </c>
      <c r="F3955" s="3" t="s">
        <v>4668</v>
      </c>
      <c r="G3955" s="3"/>
      <c r="H3955" s="4" t="s">
        <v>5664</v>
      </c>
    </row>
    <row r="3956" ht="16.5" customHeight="1" spans="1:8">
      <c r="A3956" s="3">
        <v>3955</v>
      </c>
      <c r="B3956" s="3" t="s">
        <v>9145</v>
      </c>
      <c r="C3956" s="3" t="s">
        <v>2163</v>
      </c>
      <c r="D3956" s="4" t="s">
        <v>9146</v>
      </c>
      <c r="E3956" s="3" t="s">
        <v>1076</v>
      </c>
      <c r="F3956" s="3" t="s">
        <v>4668</v>
      </c>
      <c r="G3956" s="3"/>
      <c r="H3956" s="4" t="s">
        <v>9016</v>
      </c>
    </row>
    <row r="3957" ht="16.5" customHeight="1" spans="1:8">
      <c r="A3957" s="3">
        <v>3956</v>
      </c>
      <c r="B3957" s="3" t="s">
        <v>9147</v>
      </c>
      <c r="C3957" s="3" t="s">
        <v>2163</v>
      </c>
      <c r="D3957" s="4" t="s">
        <v>9148</v>
      </c>
      <c r="E3957" s="3" t="s">
        <v>1076</v>
      </c>
      <c r="F3957" s="3" t="s">
        <v>4668</v>
      </c>
      <c r="G3957" s="3"/>
      <c r="H3957" s="4" t="s">
        <v>4322</v>
      </c>
    </row>
    <row r="3958" ht="16.5" customHeight="1" spans="1:8">
      <c r="A3958" s="3">
        <v>3957</v>
      </c>
      <c r="B3958" s="3" t="s">
        <v>9149</v>
      </c>
      <c r="C3958" s="3" t="s">
        <v>2163</v>
      </c>
      <c r="D3958" s="4" t="s">
        <v>9150</v>
      </c>
      <c r="E3958" s="3" t="s">
        <v>2263</v>
      </c>
      <c r="F3958" s="3" t="s">
        <v>4668</v>
      </c>
      <c r="G3958" s="3"/>
      <c r="H3958" s="4" t="s">
        <v>9016</v>
      </c>
    </row>
    <row r="3959" ht="16.5" customHeight="1" spans="1:8">
      <c r="A3959" s="3">
        <v>3958</v>
      </c>
      <c r="B3959" s="3" t="s">
        <v>9151</v>
      </c>
      <c r="C3959" s="3" t="s">
        <v>2163</v>
      </c>
      <c r="D3959" s="4" t="s">
        <v>9152</v>
      </c>
      <c r="E3959" s="3" t="s">
        <v>1076</v>
      </c>
      <c r="F3959" s="3" t="s">
        <v>4668</v>
      </c>
      <c r="G3959" s="3"/>
      <c r="H3959" s="4" t="s">
        <v>3812</v>
      </c>
    </row>
    <row r="3960" ht="16.5" customHeight="1" spans="1:8">
      <c r="A3960" s="3">
        <v>3959</v>
      </c>
      <c r="B3960" s="3" t="s">
        <v>9153</v>
      </c>
      <c r="C3960" s="3" t="s">
        <v>2163</v>
      </c>
      <c r="D3960" s="4" t="s">
        <v>9154</v>
      </c>
      <c r="E3960" s="3" t="s">
        <v>1076</v>
      </c>
      <c r="F3960" s="3" t="s">
        <v>4668</v>
      </c>
      <c r="G3960" s="3"/>
      <c r="H3960" s="4" t="s">
        <v>3812</v>
      </c>
    </row>
    <row r="3961" ht="16.5" customHeight="1" spans="1:8">
      <c r="A3961" s="3">
        <v>3960</v>
      </c>
      <c r="B3961" s="3" t="s">
        <v>9155</v>
      </c>
      <c r="C3961" s="3" t="s">
        <v>2163</v>
      </c>
      <c r="D3961" s="4" t="s">
        <v>9156</v>
      </c>
      <c r="E3961" s="3" t="s">
        <v>1076</v>
      </c>
      <c r="F3961" s="3" t="s">
        <v>4668</v>
      </c>
      <c r="G3961" s="3"/>
      <c r="H3961" s="4" t="s">
        <v>9016</v>
      </c>
    </row>
    <row r="3962" ht="16.5" customHeight="1" spans="1:8">
      <c r="A3962" s="3">
        <v>3961</v>
      </c>
      <c r="B3962" s="3" t="s">
        <v>9157</v>
      </c>
      <c r="C3962" s="3" t="s">
        <v>2163</v>
      </c>
      <c r="D3962" s="4" t="s">
        <v>9158</v>
      </c>
      <c r="E3962" s="3" t="s">
        <v>1076</v>
      </c>
      <c r="F3962" s="3" t="s">
        <v>4668</v>
      </c>
      <c r="G3962" s="3"/>
      <c r="H3962" s="4" t="s">
        <v>5533</v>
      </c>
    </row>
    <row r="3963" ht="16.5" customHeight="1" spans="1:8">
      <c r="A3963" s="3">
        <v>3962</v>
      </c>
      <c r="B3963" s="3" t="s">
        <v>9159</v>
      </c>
      <c r="C3963" s="3" t="s">
        <v>1074</v>
      </c>
      <c r="D3963" s="4" t="s">
        <v>9160</v>
      </c>
      <c r="E3963" s="3" t="s">
        <v>1218</v>
      </c>
      <c r="F3963" s="3" t="s">
        <v>4668</v>
      </c>
      <c r="G3963" s="3"/>
      <c r="H3963" s="4" t="s">
        <v>5533</v>
      </c>
    </row>
    <row r="3964" ht="16.5" customHeight="1" spans="1:8">
      <c r="A3964" s="3">
        <v>3963</v>
      </c>
      <c r="B3964" s="3" t="s">
        <v>9161</v>
      </c>
      <c r="C3964" s="3" t="s">
        <v>2163</v>
      </c>
      <c r="D3964" s="4" t="s">
        <v>9162</v>
      </c>
      <c r="E3964" s="3" t="s">
        <v>1076</v>
      </c>
      <c r="F3964" s="3" t="s">
        <v>4668</v>
      </c>
      <c r="G3964" s="3"/>
      <c r="H3964" s="4" t="s">
        <v>3812</v>
      </c>
    </row>
    <row r="3965" ht="16.5" customHeight="1" spans="1:8">
      <c r="A3965" s="3">
        <v>3964</v>
      </c>
      <c r="B3965" s="3" t="s">
        <v>9163</v>
      </c>
      <c r="C3965" s="3" t="s">
        <v>1074</v>
      </c>
      <c r="D3965" s="4" t="s">
        <v>9164</v>
      </c>
      <c r="E3965" s="3" t="s">
        <v>5779</v>
      </c>
      <c r="F3965" s="3" t="s">
        <v>8175</v>
      </c>
      <c r="G3965" s="3"/>
      <c r="H3965" s="4" t="s">
        <v>5533</v>
      </c>
    </row>
    <row r="3966" ht="16.5" customHeight="1" spans="1:8">
      <c r="A3966" s="3">
        <v>3965</v>
      </c>
      <c r="B3966" s="3" t="s">
        <v>9165</v>
      </c>
      <c r="C3966" s="3" t="s">
        <v>2163</v>
      </c>
      <c r="D3966" s="4" t="s">
        <v>9166</v>
      </c>
      <c r="E3966" s="3" t="s">
        <v>1076</v>
      </c>
      <c r="F3966" s="3" t="s">
        <v>2105</v>
      </c>
      <c r="G3966" s="3"/>
      <c r="H3966" s="4" t="s">
        <v>6877</v>
      </c>
    </row>
    <row r="3967" ht="16.5" customHeight="1" spans="1:8">
      <c r="A3967" s="3">
        <v>3966</v>
      </c>
      <c r="B3967" s="3" t="s">
        <v>9167</v>
      </c>
      <c r="C3967" s="3" t="s">
        <v>1105</v>
      </c>
      <c r="D3967" s="4" t="s">
        <v>9168</v>
      </c>
      <c r="E3967" s="3" t="s">
        <v>1076</v>
      </c>
      <c r="F3967" s="3" t="s">
        <v>4668</v>
      </c>
      <c r="G3967" s="3"/>
      <c r="H3967" s="4" t="s">
        <v>9169</v>
      </c>
    </row>
    <row r="3968" ht="16.5" customHeight="1" spans="1:8">
      <c r="A3968" s="3">
        <v>3967</v>
      </c>
      <c r="B3968" s="3" t="s">
        <v>9170</v>
      </c>
      <c r="C3968" s="3" t="s">
        <v>1105</v>
      </c>
      <c r="D3968" s="4" t="s">
        <v>9171</v>
      </c>
      <c r="E3968" s="3" t="s">
        <v>1076</v>
      </c>
      <c r="F3968" s="3" t="s">
        <v>4668</v>
      </c>
      <c r="G3968" s="3"/>
      <c r="H3968" s="4" t="s">
        <v>9169</v>
      </c>
    </row>
    <row r="3969" ht="16.5" customHeight="1" spans="1:8">
      <c r="A3969" s="3">
        <v>3968</v>
      </c>
      <c r="B3969" s="3" t="s">
        <v>9172</v>
      </c>
      <c r="C3969" s="3" t="s">
        <v>1105</v>
      </c>
      <c r="D3969" s="4" t="s">
        <v>9173</v>
      </c>
      <c r="E3969" s="3" t="s">
        <v>1076</v>
      </c>
      <c r="F3969" s="3" t="s">
        <v>4668</v>
      </c>
      <c r="G3969" s="3"/>
      <c r="H3969" s="4" t="s">
        <v>9169</v>
      </c>
    </row>
    <row r="3970" ht="16.5" customHeight="1" spans="1:8">
      <c r="A3970" s="3">
        <v>3969</v>
      </c>
      <c r="B3970" s="3" t="s">
        <v>9174</v>
      </c>
      <c r="C3970" s="3" t="s">
        <v>1105</v>
      </c>
      <c r="D3970" s="4" t="s">
        <v>9175</v>
      </c>
      <c r="E3970" s="3" t="s">
        <v>1076</v>
      </c>
      <c r="F3970" s="3" t="s">
        <v>4668</v>
      </c>
      <c r="G3970" s="3"/>
      <c r="H3970" s="4" t="s">
        <v>9169</v>
      </c>
    </row>
    <row r="3971" ht="16.5" customHeight="1" spans="1:8">
      <c r="A3971" s="3">
        <v>3970</v>
      </c>
      <c r="B3971" s="3" t="s">
        <v>9176</v>
      </c>
      <c r="C3971" s="3" t="s">
        <v>1361</v>
      </c>
      <c r="D3971" s="4" t="s">
        <v>9177</v>
      </c>
      <c r="E3971" s="3" t="s">
        <v>1218</v>
      </c>
      <c r="F3971" s="3" t="s">
        <v>1358</v>
      </c>
      <c r="G3971" s="3"/>
      <c r="H3971" s="4"/>
    </row>
    <row r="3972" ht="16.5" customHeight="1" spans="1:8">
      <c r="A3972" s="3">
        <v>3971</v>
      </c>
      <c r="B3972" s="3" t="s">
        <v>9178</v>
      </c>
      <c r="C3972" s="3" t="s">
        <v>1105</v>
      </c>
      <c r="D3972" s="4" t="s">
        <v>9179</v>
      </c>
      <c r="E3972" s="3" t="s">
        <v>1076</v>
      </c>
      <c r="F3972" s="3" t="s">
        <v>4668</v>
      </c>
      <c r="G3972" s="3"/>
      <c r="H3972" s="4" t="s">
        <v>9169</v>
      </c>
    </row>
    <row r="3973" ht="16.5" customHeight="1" spans="1:8">
      <c r="A3973" s="3">
        <v>3972</v>
      </c>
      <c r="B3973" s="3" t="s">
        <v>9180</v>
      </c>
      <c r="C3973" s="3" t="s">
        <v>1105</v>
      </c>
      <c r="D3973" s="4" t="s">
        <v>9181</v>
      </c>
      <c r="E3973" s="3" t="s">
        <v>1076</v>
      </c>
      <c r="F3973" s="3" t="s">
        <v>4668</v>
      </c>
      <c r="G3973" s="3"/>
      <c r="H3973" s="4" t="s">
        <v>9169</v>
      </c>
    </row>
    <row r="3974" ht="16.5" customHeight="1" spans="1:8">
      <c r="A3974" s="3">
        <v>3973</v>
      </c>
      <c r="B3974" s="3" t="s">
        <v>9182</v>
      </c>
      <c r="C3974" s="3" t="s">
        <v>1105</v>
      </c>
      <c r="D3974" s="4" t="s">
        <v>9183</v>
      </c>
      <c r="E3974" s="3" t="s">
        <v>1076</v>
      </c>
      <c r="F3974" s="3" t="s">
        <v>4668</v>
      </c>
      <c r="G3974" s="3"/>
      <c r="H3974" s="4" t="s">
        <v>9169</v>
      </c>
    </row>
    <row r="3975" ht="16.5" customHeight="1" spans="1:8">
      <c r="A3975" s="3">
        <v>3974</v>
      </c>
      <c r="B3975" s="3" t="s">
        <v>9184</v>
      </c>
      <c r="C3975" s="3" t="s">
        <v>1361</v>
      </c>
      <c r="D3975" s="4" t="s">
        <v>9185</v>
      </c>
      <c r="E3975" s="3" t="s">
        <v>1218</v>
      </c>
      <c r="F3975" s="3" t="s">
        <v>1358</v>
      </c>
      <c r="G3975" s="3"/>
      <c r="H3975" s="4"/>
    </row>
    <row r="3976" ht="16.5" customHeight="1" spans="1:8">
      <c r="A3976" s="3">
        <v>3975</v>
      </c>
      <c r="B3976" s="3" t="s">
        <v>9186</v>
      </c>
      <c r="C3976" s="3" t="s">
        <v>1361</v>
      </c>
      <c r="D3976" s="4" t="s">
        <v>9187</v>
      </c>
      <c r="E3976" s="3" t="s">
        <v>1218</v>
      </c>
      <c r="F3976" s="3" t="s">
        <v>2041</v>
      </c>
      <c r="G3976" s="3"/>
      <c r="H3976" s="4"/>
    </row>
    <row r="3977" ht="16.5" customHeight="1" spans="1:8">
      <c r="A3977" s="3">
        <v>3976</v>
      </c>
      <c r="B3977" s="3" t="s">
        <v>9188</v>
      </c>
      <c r="C3977" s="3" t="s">
        <v>1361</v>
      </c>
      <c r="D3977" s="4" t="s">
        <v>9189</v>
      </c>
      <c r="E3977" s="3" t="s">
        <v>1218</v>
      </c>
      <c r="F3977" s="3" t="s">
        <v>2041</v>
      </c>
      <c r="G3977" s="3"/>
      <c r="H3977" s="4"/>
    </row>
    <row r="3978" ht="16.5" customHeight="1" spans="1:8">
      <c r="A3978" s="3">
        <v>3977</v>
      </c>
      <c r="B3978" s="3" t="s">
        <v>9190</v>
      </c>
      <c r="C3978" s="3" t="s">
        <v>1361</v>
      </c>
      <c r="D3978" s="4" t="s">
        <v>9191</v>
      </c>
      <c r="E3978" s="3" t="s">
        <v>1218</v>
      </c>
      <c r="F3978" s="3" t="s">
        <v>2041</v>
      </c>
      <c r="G3978" s="3"/>
      <c r="H3978" s="4"/>
    </row>
    <row r="3979" ht="16.5" customHeight="1" spans="1:8">
      <c r="A3979" s="3">
        <v>3978</v>
      </c>
      <c r="B3979" s="3" t="s">
        <v>9192</v>
      </c>
      <c r="C3979" s="3" t="s">
        <v>1361</v>
      </c>
      <c r="D3979" s="4" t="s">
        <v>9193</v>
      </c>
      <c r="E3979" s="3" t="s">
        <v>1218</v>
      </c>
      <c r="F3979" s="3" t="s">
        <v>2041</v>
      </c>
      <c r="G3979" s="3"/>
      <c r="H3979" s="4"/>
    </row>
    <row r="3980" ht="16.5" customHeight="1" spans="1:8">
      <c r="A3980" s="3">
        <v>3979</v>
      </c>
      <c r="B3980" s="3" t="s">
        <v>9194</v>
      </c>
      <c r="C3980" s="3" t="s">
        <v>1361</v>
      </c>
      <c r="D3980" s="4" t="s">
        <v>9195</v>
      </c>
      <c r="E3980" s="3" t="s">
        <v>1218</v>
      </c>
      <c r="F3980" s="3" t="s">
        <v>2041</v>
      </c>
      <c r="G3980" s="3"/>
      <c r="H3980" s="4"/>
    </row>
    <row r="3981" ht="16.5" customHeight="1" spans="1:8">
      <c r="A3981" s="3">
        <v>3980</v>
      </c>
      <c r="B3981" s="3" t="s">
        <v>9196</v>
      </c>
      <c r="C3981" s="3" t="s">
        <v>1361</v>
      </c>
      <c r="D3981" s="4" t="s">
        <v>9197</v>
      </c>
      <c r="E3981" s="3" t="s">
        <v>1218</v>
      </c>
      <c r="F3981" s="3" t="s">
        <v>2041</v>
      </c>
      <c r="G3981" s="3"/>
      <c r="H3981" s="4"/>
    </row>
    <row r="3982" ht="16.5" customHeight="1" spans="1:8">
      <c r="A3982" s="3">
        <v>3981</v>
      </c>
      <c r="B3982" s="3" t="s">
        <v>9198</v>
      </c>
      <c r="C3982" s="3" t="s">
        <v>1361</v>
      </c>
      <c r="D3982" s="4" t="s">
        <v>9199</v>
      </c>
      <c r="E3982" s="3" t="s">
        <v>1218</v>
      </c>
      <c r="F3982" s="3" t="s">
        <v>2041</v>
      </c>
      <c r="G3982" s="3"/>
      <c r="H3982" s="4"/>
    </row>
    <row r="3983" ht="16.5" customHeight="1" spans="1:8">
      <c r="A3983" s="3">
        <v>3982</v>
      </c>
      <c r="B3983" s="3" t="s">
        <v>9200</v>
      </c>
      <c r="C3983" s="3" t="s">
        <v>1361</v>
      </c>
      <c r="D3983" s="4" t="s">
        <v>9201</v>
      </c>
      <c r="E3983" s="3" t="s">
        <v>1218</v>
      </c>
      <c r="F3983" s="3" t="s">
        <v>2041</v>
      </c>
      <c r="G3983" s="3"/>
      <c r="H3983" s="4"/>
    </row>
    <row r="3984" ht="16.5" customHeight="1" spans="1:8">
      <c r="A3984" s="3">
        <v>3983</v>
      </c>
      <c r="B3984" s="3" t="s">
        <v>9202</v>
      </c>
      <c r="C3984" s="3" t="s">
        <v>1361</v>
      </c>
      <c r="D3984" s="4" t="s">
        <v>9203</v>
      </c>
      <c r="E3984" s="3" t="s">
        <v>1218</v>
      </c>
      <c r="F3984" s="3" t="s">
        <v>2041</v>
      </c>
      <c r="G3984" s="3"/>
      <c r="H3984" s="4"/>
    </row>
    <row r="3985" ht="16.5" customHeight="1" spans="1:8">
      <c r="A3985" s="3">
        <v>3984</v>
      </c>
      <c r="B3985" s="3" t="s">
        <v>9204</v>
      </c>
      <c r="C3985" s="3" t="s">
        <v>1361</v>
      </c>
      <c r="D3985" s="4" t="s">
        <v>9205</v>
      </c>
      <c r="E3985" s="3" t="s">
        <v>1218</v>
      </c>
      <c r="F3985" s="3" t="s">
        <v>2041</v>
      </c>
      <c r="G3985" s="3"/>
      <c r="H3985" s="4"/>
    </row>
    <row r="3986" ht="16.5" customHeight="1" spans="1:8">
      <c r="A3986" s="3">
        <v>3985</v>
      </c>
      <c r="B3986" s="3" t="s">
        <v>9206</v>
      </c>
      <c r="C3986" s="3" t="s">
        <v>1361</v>
      </c>
      <c r="D3986" s="4" t="s">
        <v>9207</v>
      </c>
      <c r="E3986" s="3" t="s">
        <v>1218</v>
      </c>
      <c r="F3986" s="3" t="s">
        <v>2041</v>
      </c>
      <c r="G3986" s="3"/>
      <c r="H3986" s="4"/>
    </row>
    <row r="3987" ht="16.5" customHeight="1" spans="1:8">
      <c r="A3987" s="3">
        <v>3986</v>
      </c>
      <c r="B3987" s="3" t="s">
        <v>9208</v>
      </c>
      <c r="C3987" s="3" t="s">
        <v>1361</v>
      </c>
      <c r="D3987" s="4" t="s">
        <v>9209</v>
      </c>
      <c r="E3987" s="3" t="s">
        <v>1218</v>
      </c>
      <c r="F3987" s="3" t="s">
        <v>2041</v>
      </c>
      <c r="G3987" s="3"/>
      <c r="H3987" s="4"/>
    </row>
    <row r="3988" ht="16.5" customHeight="1" spans="1:8">
      <c r="A3988" s="3">
        <v>3987</v>
      </c>
      <c r="B3988" s="3" t="s">
        <v>9210</v>
      </c>
      <c r="C3988" s="3" t="s">
        <v>1361</v>
      </c>
      <c r="D3988" s="4" t="s">
        <v>9211</v>
      </c>
      <c r="E3988" s="3" t="s">
        <v>1218</v>
      </c>
      <c r="F3988" s="3" t="s">
        <v>1358</v>
      </c>
      <c r="G3988" s="3"/>
      <c r="H3988" s="4"/>
    </row>
    <row r="3989" ht="16.5" customHeight="1" spans="1:8">
      <c r="A3989" s="3">
        <v>3988</v>
      </c>
      <c r="B3989" s="3" t="s">
        <v>9212</v>
      </c>
      <c r="C3989" s="3" t="s">
        <v>2163</v>
      </c>
      <c r="D3989" s="4" t="s">
        <v>9213</v>
      </c>
      <c r="E3989" s="3" t="s">
        <v>2263</v>
      </c>
      <c r="F3989" s="3" t="s">
        <v>2105</v>
      </c>
      <c r="G3989" s="3"/>
      <c r="H3989" s="4" t="s">
        <v>3812</v>
      </c>
    </row>
    <row r="3990" ht="16.5" customHeight="1" spans="1:8">
      <c r="A3990" s="3">
        <v>3989</v>
      </c>
      <c r="B3990" s="3" t="s">
        <v>9214</v>
      </c>
      <c r="C3990" s="3" t="s">
        <v>2163</v>
      </c>
      <c r="D3990" s="4" t="s">
        <v>9215</v>
      </c>
      <c r="E3990" s="3" t="s">
        <v>1076</v>
      </c>
      <c r="F3990" s="3" t="s">
        <v>2105</v>
      </c>
      <c r="G3990" s="3"/>
      <c r="H3990" s="4" t="s">
        <v>3812</v>
      </c>
    </row>
    <row r="3991" ht="16.5" customHeight="1" spans="1:8">
      <c r="A3991" s="3">
        <v>3990</v>
      </c>
      <c r="B3991" s="3" t="s">
        <v>9216</v>
      </c>
      <c r="C3991" s="3" t="s">
        <v>2163</v>
      </c>
      <c r="D3991" s="4" t="s">
        <v>9217</v>
      </c>
      <c r="E3991" s="3" t="s">
        <v>1076</v>
      </c>
      <c r="F3991" s="3" t="s">
        <v>2105</v>
      </c>
      <c r="G3991" s="3"/>
      <c r="H3991" s="4" t="s">
        <v>3812</v>
      </c>
    </row>
    <row r="3992" ht="16.5" customHeight="1" spans="1:8">
      <c r="A3992" s="3">
        <v>3991</v>
      </c>
      <c r="B3992" s="3" t="s">
        <v>9218</v>
      </c>
      <c r="C3992" s="3" t="s">
        <v>2163</v>
      </c>
      <c r="D3992" s="4" t="s">
        <v>9219</v>
      </c>
      <c r="E3992" s="3" t="s">
        <v>1076</v>
      </c>
      <c r="F3992" s="3" t="s">
        <v>2105</v>
      </c>
      <c r="G3992" s="3"/>
      <c r="H3992" s="4" t="s">
        <v>3812</v>
      </c>
    </row>
    <row r="3993" ht="16.5" customHeight="1" spans="1:8">
      <c r="A3993" s="3">
        <v>3992</v>
      </c>
      <c r="B3993" s="3" t="s">
        <v>9220</v>
      </c>
      <c r="C3993" s="3" t="s">
        <v>2163</v>
      </c>
      <c r="D3993" s="4" t="s">
        <v>9221</v>
      </c>
      <c r="E3993" s="3" t="s">
        <v>1076</v>
      </c>
      <c r="F3993" s="3" t="s">
        <v>2105</v>
      </c>
      <c r="G3993" s="3"/>
      <c r="H3993" s="4" t="s">
        <v>3812</v>
      </c>
    </row>
    <row r="3994" ht="16.5" customHeight="1" spans="1:8">
      <c r="A3994" s="3">
        <v>3993</v>
      </c>
      <c r="B3994" s="3" t="s">
        <v>9222</v>
      </c>
      <c r="C3994" s="3" t="s">
        <v>2163</v>
      </c>
      <c r="D3994" s="4" t="s">
        <v>9223</v>
      </c>
      <c r="E3994" s="3" t="s">
        <v>1076</v>
      </c>
      <c r="F3994" s="3" t="s">
        <v>2105</v>
      </c>
      <c r="G3994" s="3"/>
      <c r="H3994" s="4" t="s">
        <v>3812</v>
      </c>
    </row>
    <row r="3995" ht="16.5" customHeight="1" spans="1:8">
      <c r="A3995" s="3">
        <v>3994</v>
      </c>
      <c r="B3995" s="3" t="s">
        <v>9224</v>
      </c>
      <c r="C3995" s="3" t="s">
        <v>2163</v>
      </c>
      <c r="D3995" s="4" t="s">
        <v>9225</v>
      </c>
      <c r="E3995" s="3" t="s">
        <v>1076</v>
      </c>
      <c r="F3995" s="3" t="s">
        <v>2105</v>
      </c>
      <c r="G3995" s="3"/>
      <c r="H3995" s="4" t="s">
        <v>3812</v>
      </c>
    </row>
    <row r="3996" ht="16.5" customHeight="1" spans="1:8">
      <c r="A3996" s="3">
        <v>3995</v>
      </c>
      <c r="B3996" s="3" t="s">
        <v>9226</v>
      </c>
      <c r="C3996" s="3" t="s">
        <v>2163</v>
      </c>
      <c r="D3996" s="4" t="s">
        <v>9227</v>
      </c>
      <c r="E3996" s="3" t="s">
        <v>1076</v>
      </c>
      <c r="F3996" s="3" t="s">
        <v>2105</v>
      </c>
      <c r="G3996" s="3"/>
      <c r="H3996" s="4" t="s">
        <v>3812</v>
      </c>
    </row>
    <row r="3997" ht="16.5" customHeight="1" spans="1:8">
      <c r="A3997" s="3">
        <v>3996</v>
      </c>
      <c r="B3997" s="3" t="s">
        <v>9228</v>
      </c>
      <c r="C3997" s="3" t="s">
        <v>2163</v>
      </c>
      <c r="D3997" s="4" t="s">
        <v>9229</v>
      </c>
      <c r="E3997" s="3" t="s">
        <v>1076</v>
      </c>
      <c r="F3997" s="3" t="s">
        <v>2105</v>
      </c>
      <c r="G3997" s="3"/>
      <c r="H3997" s="4" t="s">
        <v>3812</v>
      </c>
    </row>
    <row r="3998" ht="16.5" customHeight="1" spans="1:8">
      <c r="A3998" s="3">
        <v>3997</v>
      </c>
      <c r="B3998" s="3" t="s">
        <v>9230</v>
      </c>
      <c r="C3998" s="3" t="s">
        <v>2163</v>
      </c>
      <c r="D3998" s="4" t="s">
        <v>9231</v>
      </c>
      <c r="E3998" s="3" t="s">
        <v>1076</v>
      </c>
      <c r="F3998" s="3" t="s">
        <v>1358</v>
      </c>
      <c r="G3998" s="3" t="s">
        <v>321</v>
      </c>
      <c r="H3998" s="4" t="s">
        <v>4117</v>
      </c>
    </row>
    <row r="3999" ht="16.5" customHeight="1" spans="1:8">
      <c r="A3999" s="3">
        <v>3998</v>
      </c>
      <c r="B3999" s="3" t="s">
        <v>9232</v>
      </c>
      <c r="C3999" s="3" t="s">
        <v>2163</v>
      </c>
      <c r="D3999" s="4" t="s">
        <v>9233</v>
      </c>
      <c r="E3999" s="3" t="s">
        <v>1076</v>
      </c>
      <c r="F3999" s="3" t="s">
        <v>1358</v>
      </c>
      <c r="G3999" s="3" t="s">
        <v>321</v>
      </c>
      <c r="H3999" s="4" t="s">
        <v>3354</v>
      </c>
    </row>
    <row r="4000" ht="16.5" customHeight="1" spans="1:8">
      <c r="A4000" s="3">
        <v>3999</v>
      </c>
      <c r="B4000" s="3" t="s">
        <v>9234</v>
      </c>
      <c r="C4000" s="3" t="s">
        <v>2163</v>
      </c>
      <c r="D4000" s="4" t="s">
        <v>9235</v>
      </c>
      <c r="E4000" s="3" t="s">
        <v>1076</v>
      </c>
      <c r="F4000" s="3" t="s">
        <v>1358</v>
      </c>
      <c r="G4000" s="3" t="s">
        <v>321</v>
      </c>
      <c r="H4000" s="4" t="s">
        <v>3351</v>
      </c>
    </row>
    <row r="4001" ht="16.5" customHeight="1" spans="1:8">
      <c r="A4001" s="3">
        <v>4000</v>
      </c>
      <c r="B4001" s="3" t="s">
        <v>9236</v>
      </c>
      <c r="C4001" s="3" t="s">
        <v>2163</v>
      </c>
      <c r="D4001" s="4" t="s">
        <v>9237</v>
      </c>
      <c r="E4001" s="3" t="s">
        <v>1076</v>
      </c>
      <c r="F4001" s="3" t="s">
        <v>2041</v>
      </c>
      <c r="G4001" s="3" t="s">
        <v>321</v>
      </c>
      <c r="H4001" s="4" t="s">
        <v>3354</v>
      </c>
    </row>
    <row r="4002" ht="16.5" customHeight="1" spans="1:8">
      <c r="A4002" s="3">
        <v>4001</v>
      </c>
      <c r="B4002" s="3" t="s">
        <v>9238</v>
      </c>
      <c r="C4002" s="3" t="s">
        <v>2163</v>
      </c>
      <c r="D4002" s="4" t="s">
        <v>9239</v>
      </c>
      <c r="E4002" s="3" t="s">
        <v>1076</v>
      </c>
      <c r="F4002" s="3" t="s">
        <v>2041</v>
      </c>
      <c r="G4002" s="3" t="s">
        <v>321</v>
      </c>
      <c r="H4002" s="4" t="s">
        <v>3354</v>
      </c>
    </row>
    <row r="4003" ht="16.5" customHeight="1" spans="1:8">
      <c r="A4003" s="3">
        <v>4002</v>
      </c>
      <c r="B4003" s="3" t="s">
        <v>9240</v>
      </c>
      <c r="C4003" s="3" t="s">
        <v>1361</v>
      </c>
      <c r="D4003" s="4" t="s">
        <v>9241</v>
      </c>
      <c r="E4003" s="3" t="s">
        <v>1218</v>
      </c>
      <c r="F4003" s="3" t="s">
        <v>2105</v>
      </c>
      <c r="G4003" s="3"/>
      <c r="H4003" s="4"/>
    </row>
    <row r="4004" ht="16.5" customHeight="1" spans="1:8">
      <c r="A4004" s="3">
        <v>4003</v>
      </c>
      <c r="B4004" s="3" t="s">
        <v>9242</v>
      </c>
      <c r="C4004" s="3" t="s">
        <v>1361</v>
      </c>
      <c r="D4004" s="4" t="s">
        <v>9243</v>
      </c>
      <c r="E4004" s="3" t="s">
        <v>1218</v>
      </c>
      <c r="F4004" s="3" t="s">
        <v>2105</v>
      </c>
      <c r="G4004" s="3"/>
      <c r="H4004" s="4"/>
    </row>
    <row r="4005" ht="16.5" customHeight="1" spans="1:8">
      <c r="A4005" s="3">
        <v>4004</v>
      </c>
      <c r="B4005" s="3" t="s">
        <v>9244</v>
      </c>
      <c r="C4005" s="3" t="s">
        <v>1361</v>
      </c>
      <c r="D4005" s="4" t="s">
        <v>9245</v>
      </c>
      <c r="E4005" s="3" t="s">
        <v>1218</v>
      </c>
      <c r="F4005" s="3" t="s">
        <v>2105</v>
      </c>
      <c r="G4005" s="3"/>
      <c r="H4005" s="4"/>
    </row>
    <row r="4006" ht="16.5" customHeight="1" spans="1:8">
      <c r="A4006" s="3">
        <v>4005</v>
      </c>
      <c r="B4006" s="3" t="s">
        <v>9246</v>
      </c>
      <c r="C4006" s="3" t="s">
        <v>1361</v>
      </c>
      <c r="D4006" s="4" t="s">
        <v>9247</v>
      </c>
      <c r="E4006" s="3" t="s">
        <v>1218</v>
      </c>
      <c r="F4006" s="3" t="s">
        <v>2105</v>
      </c>
      <c r="G4006" s="3"/>
      <c r="H4006" s="4"/>
    </row>
    <row r="4007" ht="16.5" customHeight="1" spans="1:8">
      <c r="A4007" s="3">
        <v>4006</v>
      </c>
      <c r="B4007" s="3" t="s">
        <v>9248</v>
      </c>
      <c r="C4007" s="3" t="s">
        <v>1361</v>
      </c>
      <c r="D4007" s="4" t="s">
        <v>9249</v>
      </c>
      <c r="E4007" s="3" t="s">
        <v>1218</v>
      </c>
      <c r="F4007" s="3" t="s">
        <v>2105</v>
      </c>
      <c r="G4007" s="3"/>
      <c r="H4007" s="4"/>
    </row>
    <row r="4008" ht="16.5" customHeight="1" spans="1:8">
      <c r="A4008" s="3">
        <v>4007</v>
      </c>
      <c r="B4008" s="3" t="s">
        <v>9250</v>
      </c>
      <c r="C4008" s="3" t="s">
        <v>1361</v>
      </c>
      <c r="D4008" s="4" t="s">
        <v>9251</v>
      </c>
      <c r="E4008" s="3" t="s">
        <v>1218</v>
      </c>
      <c r="F4008" s="3" t="s">
        <v>2105</v>
      </c>
      <c r="G4008" s="3"/>
      <c r="H4008" s="4"/>
    </row>
    <row r="4009" ht="16.5" customHeight="1" spans="1:8">
      <c r="A4009" s="3">
        <v>4008</v>
      </c>
      <c r="B4009" s="3" t="s">
        <v>9252</v>
      </c>
      <c r="C4009" s="3" t="s">
        <v>1361</v>
      </c>
      <c r="D4009" s="4" t="s">
        <v>9253</v>
      </c>
      <c r="E4009" s="3" t="s">
        <v>1218</v>
      </c>
      <c r="F4009" s="3" t="s">
        <v>2105</v>
      </c>
      <c r="G4009" s="3"/>
      <c r="H4009" s="4"/>
    </row>
    <row r="4010" ht="16.5" customHeight="1" spans="1:8">
      <c r="A4010" s="3">
        <v>4009</v>
      </c>
      <c r="B4010" s="3" t="s">
        <v>9254</v>
      </c>
      <c r="C4010" s="3" t="s">
        <v>1361</v>
      </c>
      <c r="D4010" s="4" t="s">
        <v>9255</v>
      </c>
      <c r="E4010" s="3" t="s">
        <v>1218</v>
      </c>
      <c r="F4010" s="3" t="s">
        <v>2105</v>
      </c>
      <c r="G4010" s="3"/>
      <c r="H4010" s="4"/>
    </row>
    <row r="4011" ht="16.5" customHeight="1" spans="1:8">
      <c r="A4011" s="3">
        <v>4010</v>
      </c>
      <c r="B4011" s="3" t="s">
        <v>9256</v>
      </c>
      <c r="C4011" s="3" t="s">
        <v>1361</v>
      </c>
      <c r="D4011" s="4" t="s">
        <v>9257</v>
      </c>
      <c r="E4011" s="3" t="s">
        <v>1218</v>
      </c>
      <c r="F4011" s="3" t="s">
        <v>2105</v>
      </c>
      <c r="G4011" s="3"/>
      <c r="H4011" s="4"/>
    </row>
    <row r="4012" ht="16.5" customHeight="1" spans="1:8">
      <c r="A4012" s="3">
        <v>4011</v>
      </c>
      <c r="B4012" s="3" t="s">
        <v>9258</v>
      </c>
      <c r="C4012" s="3" t="s">
        <v>1361</v>
      </c>
      <c r="D4012" s="4" t="s">
        <v>9259</v>
      </c>
      <c r="E4012" s="3" t="s">
        <v>1218</v>
      </c>
      <c r="F4012" s="3" t="s">
        <v>2105</v>
      </c>
      <c r="G4012" s="3"/>
      <c r="H4012" s="4"/>
    </row>
    <row r="4013" ht="16.5" customHeight="1" spans="1:8">
      <c r="A4013" s="3">
        <v>4012</v>
      </c>
      <c r="B4013" s="3" t="s">
        <v>9260</v>
      </c>
      <c r="C4013" s="3" t="s">
        <v>1361</v>
      </c>
      <c r="D4013" s="4" t="s">
        <v>9261</v>
      </c>
      <c r="E4013" s="3" t="s">
        <v>1218</v>
      </c>
      <c r="F4013" s="3" t="s">
        <v>2105</v>
      </c>
      <c r="G4013" s="3"/>
      <c r="H4013" s="4"/>
    </row>
    <row r="4014" ht="16.5" customHeight="1" spans="1:8">
      <c r="A4014" s="3">
        <v>4013</v>
      </c>
      <c r="B4014" s="3" t="s">
        <v>9262</v>
      </c>
      <c r="C4014" s="3" t="s">
        <v>1361</v>
      </c>
      <c r="D4014" s="4" t="s">
        <v>9263</v>
      </c>
      <c r="E4014" s="3" t="s">
        <v>1218</v>
      </c>
      <c r="F4014" s="3" t="s">
        <v>2105</v>
      </c>
      <c r="G4014" s="3"/>
      <c r="H4014" s="4"/>
    </row>
    <row r="4015" ht="16.5" customHeight="1" spans="1:8">
      <c r="A4015" s="3">
        <v>4014</v>
      </c>
      <c r="B4015" s="3" t="s">
        <v>9264</v>
      </c>
      <c r="C4015" s="3" t="s">
        <v>1361</v>
      </c>
      <c r="D4015" s="4" t="s">
        <v>9265</v>
      </c>
      <c r="E4015" s="3" t="s">
        <v>1218</v>
      </c>
      <c r="F4015" s="3" t="s">
        <v>2105</v>
      </c>
      <c r="G4015" s="3"/>
      <c r="H4015" s="4"/>
    </row>
    <row r="4016" ht="16.5" customHeight="1" spans="1:8">
      <c r="A4016" s="3">
        <v>4015</v>
      </c>
      <c r="B4016" s="3" t="s">
        <v>9266</v>
      </c>
      <c r="C4016" s="3" t="s">
        <v>1361</v>
      </c>
      <c r="D4016" s="4" t="s">
        <v>9267</v>
      </c>
      <c r="E4016" s="3" t="s">
        <v>1218</v>
      </c>
      <c r="F4016" s="3" t="s">
        <v>2105</v>
      </c>
      <c r="G4016" s="3"/>
      <c r="H4016" s="4"/>
    </row>
    <row r="4017" ht="16.5" customHeight="1" spans="1:8">
      <c r="A4017" s="3">
        <v>4016</v>
      </c>
      <c r="B4017" s="3" t="s">
        <v>9268</v>
      </c>
      <c r="C4017" s="3" t="s">
        <v>1361</v>
      </c>
      <c r="D4017" s="4" t="s">
        <v>9269</v>
      </c>
      <c r="E4017" s="3" t="s">
        <v>1218</v>
      </c>
      <c r="F4017" s="3" t="s">
        <v>2105</v>
      </c>
      <c r="G4017" s="3"/>
      <c r="H4017" s="4"/>
    </row>
    <row r="4018" ht="16.5" customHeight="1" spans="1:8">
      <c r="A4018" s="3">
        <v>4017</v>
      </c>
      <c r="B4018" s="3" t="s">
        <v>9270</v>
      </c>
      <c r="C4018" s="3" t="s">
        <v>2163</v>
      </c>
      <c r="D4018" s="4" t="s">
        <v>9271</v>
      </c>
      <c r="E4018" s="3" t="s">
        <v>7007</v>
      </c>
      <c r="F4018" s="3" t="s">
        <v>2105</v>
      </c>
      <c r="G4018" s="3"/>
      <c r="H4018" s="4" t="s">
        <v>3812</v>
      </c>
    </row>
    <row r="4019" ht="16.5" customHeight="1" spans="1:8">
      <c r="A4019" s="3">
        <v>4018</v>
      </c>
      <c r="B4019" s="3" t="s">
        <v>9272</v>
      </c>
      <c r="C4019" s="3" t="s">
        <v>2163</v>
      </c>
      <c r="D4019" s="4" t="s">
        <v>9273</v>
      </c>
      <c r="E4019" s="3" t="s">
        <v>1076</v>
      </c>
      <c r="F4019" s="3" t="s">
        <v>2105</v>
      </c>
      <c r="G4019" s="3"/>
      <c r="H4019" s="4" t="s">
        <v>5664</v>
      </c>
    </row>
    <row r="4020" ht="16.5" customHeight="1" spans="1:8">
      <c r="A4020" s="3">
        <v>4019</v>
      </c>
      <c r="B4020" s="3" t="s">
        <v>9274</v>
      </c>
      <c r="C4020" s="3" t="s">
        <v>2163</v>
      </c>
      <c r="D4020" s="4" t="s">
        <v>9275</v>
      </c>
      <c r="E4020" s="3" t="s">
        <v>3093</v>
      </c>
      <c r="F4020" s="3" t="s">
        <v>2105</v>
      </c>
      <c r="G4020" s="3"/>
      <c r="H4020" s="4" t="s">
        <v>9108</v>
      </c>
    </row>
    <row r="4021" ht="16.5" customHeight="1" spans="1:8">
      <c r="A4021" s="3">
        <v>4020</v>
      </c>
      <c r="B4021" s="3" t="s">
        <v>9276</v>
      </c>
      <c r="C4021" s="3" t="s">
        <v>1074</v>
      </c>
      <c r="D4021" s="4" t="s">
        <v>9277</v>
      </c>
      <c r="E4021" s="3" t="s">
        <v>1076</v>
      </c>
      <c r="F4021" s="3" t="s">
        <v>2105</v>
      </c>
      <c r="G4021" s="3"/>
      <c r="H4021" s="4" t="s">
        <v>9108</v>
      </c>
    </row>
    <row r="4022" ht="16.5" customHeight="1" spans="1:8">
      <c r="A4022" s="3">
        <v>4021</v>
      </c>
      <c r="B4022" s="3" t="s">
        <v>9278</v>
      </c>
      <c r="C4022" s="3" t="s">
        <v>2163</v>
      </c>
      <c r="D4022" s="4" t="s">
        <v>9279</v>
      </c>
      <c r="E4022" s="3" t="s">
        <v>2726</v>
      </c>
      <c r="F4022" s="3" t="s">
        <v>2105</v>
      </c>
      <c r="G4022" s="3"/>
      <c r="H4022" s="4" t="s">
        <v>9108</v>
      </c>
    </row>
    <row r="4023" ht="16.5" customHeight="1" spans="1:8">
      <c r="A4023" s="3">
        <v>4022</v>
      </c>
      <c r="B4023" s="3" t="s">
        <v>9280</v>
      </c>
      <c r="C4023" s="3" t="s">
        <v>2163</v>
      </c>
      <c r="D4023" s="4" t="s">
        <v>9281</v>
      </c>
      <c r="E4023" s="3" t="s">
        <v>8871</v>
      </c>
      <c r="F4023" s="3" t="s">
        <v>2105</v>
      </c>
      <c r="G4023" s="3"/>
      <c r="H4023" s="4" t="s">
        <v>9108</v>
      </c>
    </row>
    <row r="4024" ht="16.5" customHeight="1" spans="1:8">
      <c r="A4024" s="3">
        <v>4023</v>
      </c>
      <c r="B4024" s="3" t="s">
        <v>9282</v>
      </c>
      <c r="C4024" s="3" t="s">
        <v>2163</v>
      </c>
      <c r="D4024" s="4" t="s">
        <v>9283</v>
      </c>
      <c r="E4024" s="3" t="s">
        <v>1076</v>
      </c>
      <c r="F4024" s="3" t="s">
        <v>2105</v>
      </c>
      <c r="G4024" s="3"/>
      <c r="H4024" s="4" t="s">
        <v>5664</v>
      </c>
    </row>
    <row r="4025" ht="16.5" customHeight="1" spans="1:8">
      <c r="A4025" s="3">
        <v>4024</v>
      </c>
      <c r="B4025" s="3" t="s">
        <v>9284</v>
      </c>
      <c r="C4025" s="3" t="s">
        <v>2163</v>
      </c>
      <c r="D4025" s="4" t="s">
        <v>9285</v>
      </c>
      <c r="E4025" s="3" t="s">
        <v>1076</v>
      </c>
      <c r="F4025" s="3" t="s">
        <v>2105</v>
      </c>
      <c r="G4025" s="3"/>
      <c r="H4025" s="4" t="s">
        <v>9108</v>
      </c>
    </row>
    <row r="4026" ht="16.5" customHeight="1" spans="1:8">
      <c r="A4026" s="3">
        <v>4025</v>
      </c>
      <c r="B4026" s="3" t="s">
        <v>9286</v>
      </c>
      <c r="C4026" s="3" t="s">
        <v>1356</v>
      </c>
      <c r="D4026" s="4" t="s">
        <v>9287</v>
      </c>
      <c r="E4026" s="3" t="s">
        <v>1076</v>
      </c>
      <c r="F4026" s="3" t="s">
        <v>1358</v>
      </c>
      <c r="G4026" s="3" t="s">
        <v>321</v>
      </c>
      <c r="H4026" s="4"/>
    </row>
    <row r="4027" ht="16.5" customHeight="1" spans="1:8">
      <c r="A4027" s="3">
        <v>4026</v>
      </c>
      <c r="B4027" s="3" t="s">
        <v>9288</v>
      </c>
      <c r="C4027" s="3" t="s">
        <v>1356</v>
      </c>
      <c r="D4027" s="4" t="s">
        <v>9289</v>
      </c>
      <c r="E4027" s="3" t="s">
        <v>1076</v>
      </c>
      <c r="F4027" s="3" t="s">
        <v>1358</v>
      </c>
      <c r="G4027" s="3" t="s">
        <v>321</v>
      </c>
      <c r="H4027" s="4"/>
    </row>
    <row r="4028" ht="16.5" customHeight="1" spans="1:8">
      <c r="A4028" s="3">
        <v>4027</v>
      </c>
      <c r="B4028" s="3" t="s">
        <v>9290</v>
      </c>
      <c r="C4028" s="3" t="s">
        <v>1356</v>
      </c>
      <c r="D4028" s="4" t="s">
        <v>9291</v>
      </c>
      <c r="E4028" s="3" t="s">
        <v>1076</v>
      </c>
      <c r="F4028" s="3" t="s">
        <v>1358</v>
      </c>
      <c r="G4028" s="3" t="s">
        <v>321</v>
      </c>
      <c r="H4028" s="4" t="s">
        <v>9016</v>
      </c>
    </row>
    <row r="4029" ht="16.5" customHeight="1" spans="1:8">
      <c r="A4029" s="3">
        <v>4028</v>
      </c>
      <c r="B4029" s="3" t="s">
        <v>9292</v>
      </c>
      <c r="C4029" s="3" t="s">
        <v>1356</v>
      </c>
      <c r="D4029" s="4" t="s">
        <v>9293</v>
      </c>
      <c r="E4029" s="3" t="s">
        <v>1076</v>
      </c>
      <c r="F4029" s="3" t="s">
        <v>1358</v>
      </c>
      <c r="G4029" s="3"/>
      <c r="H4029" s="4"/>
    </row>
    <row r="4030" ht="16.5" customHeight="1" spans="1:8">
      <c r="A4030" s="3">
        <v>4029</v>
      </c>
      <c r="B4030" s="3" t="s">
        <v>9294</v>
      </c>
      <c r="C4030" s="3" t="s">
        <v>2163</v>
      </c>
      <c r="D4030" s="4" t="s">
        <v>9295</v>
      </c>
      <c r="E4030" s="3" t="s">
        <v>2726</v>
      </c>
      <c r="F4030" s="3" t="s">
        <v>1358</v>
      </c>
      <c r="G4030" s="3" t="s">
        <v>321</v>
      </c>
      <c r="H4030" s="4" t="s">
        <v>4322</v>
      </c>
    </row>
    <row r="4031" ht="16.5" customHeight="1" spans="1:8">
      <c r="A4031" s="3">
        <v>4030</v>
      </c>
      <c r="B4031" s="3" t="s">
        <v>9296</v>
      </c>
      <c r="C4031" s="3" t="s">
        <v>2163</v>
      </c>
      <c r="D4031" s="4" t="s">
        <v>9297</v>
      </c>
      <c r="E4031" s="3" t="s">
        <v>2263</v>
      </c>
      <c r="F4031" s="3" t="s">
        <v>2105</v>
      </c>
      <c r="G4031" s="3"/>
      <c r="H4031" s="4" t="s">
        <v>5664</v>
      </c>
    </row>
    <row r="4032" ht="16.5" customHeight="1" spans="1:8">
      <c r="A4032" s="3">
        <v>4031</v>
      </c>
      <c r="B4032" s="3" t="s">
        <v>9298</v>
      </c>
      <c r="C4032" s="3" t="s">
        <v>2163</v>
      </c>
      <c r="D4032" s="4" t="s">
        <v>9299</v>
      </c>
      <c r="E4032" s="3" t="s">
        <v>2263</v>
      </c>
      <c r="F4032" s="3" t="s">
        <v>1358</v>
      </c>
      <c r="G4032" s="3" t="s">
        <v>321</v>
      </c>
      <c r="H4032" s="4" t="s">
        <v>1095</v>
      </c>
    </row>
    <row r="4033" ht="16.5" customHeight="1" spans="1:8">
      <c r="A4033" s="3">
        <v>4032</v>
      </c>
      <c r="B4033" s="3" t="s">
        <v>9300</v>
      </c>
      <c r="C4033" s="3" t="s">
        <v>1361</v>
      </c>
      <c r="D4033" s="4" t="s">
        <v>9301</v>
      </c>
      <c r="E4033" s="3" t="s">
        <v>1218</v>
      </c>
      <c r="F4033" s="3" t="s">
        <v>2105</v>
      </c>
      <c r="G4033" s="3"/>
      <c r="H4033" s="4" t="s">
        <v>9302</v>
      </c>
    </row>
    <row r="4034" ht="16.5" customHeight="1" spans="1:8">
      <c r="A4034" s="3">
        <v>4033</v>
      </c>
      <c r="B4034" s="3" t="s">
        <v>9303</v>
      </c>
      <c r="C4034" s="3" t="s">
        <v>1361</v>
      </c>
      <c r="D4034" s="4" t="s">
        <v>9304</v>
      </c>
      <c r="E4034" s="3" t="s">
        <v>1218</v>
      </c>
      <c r="F4034" s="3" t="s">
        <v>2105</v>
      </c>
      <c r="G4034" s="3"/>
      <c r="H4034" s="4" t="s">
        <v>9302</v>
      </c>
    </row>
    <row r="4035" ht="16.5" customHeight="1" spans="1:8">
      <c r="A4035" s="3">
        <v>4034</v>
      </c>
      <c r="B4035" s="3" t="s">
        <v>9305</v>
      </c>
      <c r="C4035" s="3" t="s">
        <v>1361</v>
      </c>
      <c r="D4035" s="4" t="s">
        <v>9306</v>
      </c>
      <c r="E4035" s="3" t="s">
        <v>1218</v>
      </c>
      <c r="F4035" s="3" t="s">
        <v>2105</v>
      </c>
      <c r="G4035" s="3"/>
      <c r="H4035" s="4" t="s">
        <v>9302</v>
      </c>
    </row>
    <row r="4036" ht="16.5" customHeight="1" spans="1:8">
      <c r="A4036" s="3">
        <v>4035</v>
      </c>
      <c r="B4036" s="3" t="s">
        <v>9307</v>
      </c>
      <c r="C4036" s="3" t="s">
        <v>1361</v>
      </c>
      <c r="D4036" s="4" t="s">
        <v>9308</v>
      </c>
      <c r="E4036" s="3" t="s">
        <v>1218</v>
      </c>
      <c r="F4036" s="3" t="s">
        <v>2105</v>
      </c>
      <c r="G4036" s="3"/>
      <c r="H4036" s="4" t="s">
        <v>9302</v>
      </c>
    </row>
    <row r="4037" ht="16.5" customHeight="1" spans="1:8">
      <c r="A4037" s="3">
        <v>4036</v>
      </c>
      <c r="B4037" s="3" t="s">
        <v>9309</v>
      </c>
      <c r="C4037" s="3" t="s">
        <v>1361</v>
      </c>
      <c r="D4037" s="4" t="s">
        <v>9310</v>
      </c>
      <c r="E4037" s="3" t="s">
        <v>1218</v>
      </c>
      <c r="F4037" s="3" t="s">
        <v>2105</v>
      </c>
      <c r="G4037" s="3"/>
      <c r="H4037" s="4" t="s">
        <v>9302</v>
      </c>
    </row>
    <row r="4038" ht="16.5" customHeight="1" spans="1:8">
      <c r="A4038" s="3">
        <v>4037</v>
      </c>
      <c r="B4038" s="3" t="s">
        <v>9311</v>
      </c>
      <c r="C4038" s="3" t="s">
        <v>1361</v>
      </c>
      <c r="D4038" s="4" t="s">
        <v>9312</v>
      </c>
      <c r="E4038" s="3" t="s">
        <v>1218</v>
      </c>
      <c r="F4038" s="3" t="s">
        <v>2105</v>
      </c>
      <c r="G4038" s="3"/>
      <c r="H4038" s="4" t="s">
        <v>9302</v>
      </c>
    </row>
    <row r="4039" ht="16.5" customHeight="1" spans="1:8">
      <c r="A4039" s="3">
        <v>4038</v>
      </c>
      <c r="B4039" s="3" t="s">
        <v>9313</v>
      </c>
      <c r="C4039" s="3" t="s">
        <v>1361</v>
      </c>
      <c r="D4039" s="4" t="s">
        <v>9314</v>
      </c>
      <c r="E4039" s="3" t="s">
        <v>1218</v>
      </c>
      <c r="F4039" s="3" t="s">
        <v>2105</v>
      </c>
      <c r="G4039" s="3"/>
      <c r="H4039" s="4" t="s">
        <v>9302</v>
      </c>
    </row>
    <row r="4040" ht="16.5" customHeight="1" spans="1:8">
      <c r="A4040" s="3">
        <v>4039</v>
      </c>
      <c r="B4040" s="3" t="s">
        <v>9315</v>
      </c>
      <c r="C4040" s="3" t="s">
        <v>1361</v>
      </c>
      <c r="D4040" s="4" t="s">
        <v>9316</v>
      </c>
      <c r="E4040" s="3" t="s">
        <v>1218</v>
      </c>
      <c r="F4040" s="3" t="s">
        <v>2105</v>
      </c>
      <c r="G4040" s="3"/>
      <c r="H4040" s="4" t="s">
        <v>9302</v>
      </c>
    </row>
    <row r="4041" ht="16.5" customHeight="1" spans="1:8">
      <c r="A4041" s="3">
        <v>4040</v>
      </c>
      <c r="B4041" s="3" t="s">
        <v>9317</v>
      </c>
      <c r="C4041" s="3" t="s">
        <v>1361</v>
      </c>
      <c r="D4041" s="4" t="s">
        <v>9318</v>
      </c>
      <c r="E4041" s="3" t="s">
        <v>1218</v>
      </c>
      <c r="F4041" s="3" t="s">
        <v>2105</v>
      </c>
      <c r="G4041" s="3"/>
      <c r="H4041" s="4" t="s">
        <v>9302</v>
      </c>
    </row>
    <row r="4042" ht="16.5" customHeight="1" spans="1:8">
      <c r="A4042" s="3">
        <v>4041</v>
      </c>
      <c r="B4042" s="3" t="s">
        <v>9319</v>
      </c>
      <c r="C4042" s="3" t="s">
        <v>1361</v>
      </c>
      <c r="D4042" s="4" t="s">
        <v>9320</v>
      </c>
      <c r="E4042" s="3" t="s">
        <v>1218</v>
      </c>
      <c r="F4042" s="3" t="s">
        <v>2105</v>
      </c>
      <c r="G4042" s="3"/>
      <c r="H4042" s="4" t="s">
        <v>9302</v>
      </c>
    </row>
    <row r="4043" ht="16.5" customHeight="1" spans="1:8">
      <c r="A4043" s="3">
        <v>4042</v>
      </c>
      <c r="B4043" s="3" t="s">
        <v>9321</v>
      </c>
      <c r="C4043" s="3" t="s">
        <v>1361</v>
      </c>
      <c r="D4043" s="4" t="s">
        <v>9322</v>
      </c>
      <c r="E4043" s="3" t="s">
        <v>1218</v>
      </c>
      <c r="F4043" s="3" t="s">
        <v>2105</v>
      </c>
      <c r="G4043" s="3"/>
      <c r="H4043" s="4" t="s">
        <v>9302</v>
      </c>
    </row>
    <row r="4044" ht="16.5" customHeight="1" spans="1:8">
      <c r="A4044" s="3">
        <v>4043</v>
      </c>
      <c r="B4044" s="3" t="s">
        <v>9323</v>
      </c>
      <c r="C4044" s="3" t="s">
        <v>1361</v>
      </c>
      <c r="D4044" s="4" t="s">
        <v>9324</v>
      </c>
      <c r="E4044" s="3" t="s">
        <v>1218</v>
      </c>
      <c r="F4044" s="3" t="s">
        <v>2105</v>
      </c>
      <c r="G4044" s="3"/>
      <c r="H4044" s="4" t="s">
        <v>9302</v>
      </c>
    </row>
    <row r="4045" ht="16.5" customHeight="1" spans="1:8">
      <c r="A4045" s="3">
        <v>4044</v>
      </c>
      <c r="B4045" s="3" t="s">
        <v>9325</v>
      </c>
      <c r="C4045" s="3" t="s">
        <v>1361</v>
      </c>
      <c r="D4045" s="4" t="s">
        <v>9326</v>
      </c>
      <c r="E4045" s="3" t="s">
        <v>1218</v>
      </c>
      <c r="F4045" s="3" t="s">
        <v>2105</v>
      </c>
      <c r="G4045" s="3"/>
      <c r="H4045" s="4" t="s">
        <v>9302</v>
      </c>
    </row>
    <row r="4046" ht="16.5" customHeight="1" spans="1:8">
      <c r="A4046" s="3">
        <v>4045</v>
      </c>
      <c r="B4046" s="3" t="s">
        <v>9327</v>
      </c>
      <c r="C4046" s="3" t="s">
        <v>1361</v>
      </c>
      <c r="D4046" s="4" t="s">
        <v>9328</v>
      </c>
      <c r="E4046" s="3" t="s">
        <v>1218</v>
      </c>
      <c r="F4046" s="3" t="s">
        <v>2105</v>
      </c>
      <c r="G4046" s="3"/>
      <c r="H4046" s="4" t="s">
        <v>9302</v>
      </c>
    </row>
    <row r="4047" ht="16.5" customHeight="1" spans="1:8">
      <c r="A4047" s="3">
        <v>4046</v>
      </c>
      <c r="B4047" s="3" t="s">
        <v>9329</v>
      </c>
      <c r="C4047" s="3" t="s">
        <v>1361</v>
      </c>
      <c r="D4047" s="4" t="s">
        <v>9330</v>
      </c>
      <c r="E4047" s="3" t="s">
        <v>1218</v>
      </c>
      <c r="F4047" s="3" t="s">
        <v>2105</v>
      </c>
      <c r="G4047" s="3"/>
      <c r="H4047" s="4" t="s">
        <v>9302</v>
      </c>
    </row>
    <row r="4048" ht="16.5" customHeight="1" spans="1:8">
      <c r="A4048" s="3">
        <v>4047</v>
      </c>
      <c r="B4048" s="3" t="s">
        <v>9331</v>
      </c>
      <c r="C4048" s="3" t="s">
        <v>1361</v>
      </c>
      <c r="D4048" s="4" t="s">
        <v>9332</v>
      </c>
      <c r="E4048" s="3" t="s">
        <v>1218</v>
      </c>
      <c r="F4048" s="3" t="s">
        <v>2105</v>
      </c>
      <c r="G4048" s="3"/>
      <c r="H4048" s="4" t="s">
        <v>9302</v>
      </c>
    </row>
    <row r="4049" ht="16.5" customHeight="1" spans="1:8">
      <c r="A4049" s="3">
        <v>4048</v>
      </c>
      <c r="B4049" s="3" t="s">
        <v>9333</v>
      </c>
      <c r="C4049" s="3" t="s">
        <v>1361</v>
      </c>
      <c r="D4049" s="4" t="s">
        <v>9334</v>
      </c>
      <c r="E4049" s="3" t="s">
        <v>1218</v>
      </c>
      <c r="F4049" s="3" t="s">
        <v>2105</v>
      </c>
      <c r="G4049" s="3"/>
      <c r="H4049" s="4" t="s">
        <v>9302</v>
      </c>
    </row>
    <row r="4050" ht="16.5" customHeight="1" spans="1:8">
      <c r="A4050" s="3">
        <v>4049</v>
      </c>
      <c r="B4050" s="3" t="s">
        <v>9335</v>
      </c>
      <c r="C4050" s="3" t="s">
        <v>1361</v>
      </c>
      <c r="D4050" s="4" t="s">
        <v>9336</v>
      </c>
      <c r="E4050" s="3" t="s">
        <v>1218</v>
      </c>
      <c r="F4050" s="3" t="s">
        <v>2105</v>
      </c>
      <c r="G4050" s="3"/>
      <c r="H4050" s="4" t="s">
        <v>9302</v>
      </c>
    </row>
    <row r="4051" ht="16.5" customHeight="1" spans="1:8">
      <c r="A4051" s="3">
        <v>4050</v>
      </c>
      <c r="B4051" s="3" t="s">
        <v>9337</v>
      </c>
      <c r="C4051" s="3" t="s">
        <v>1361</v>
      </c>
      <c r="D4051" s="4" t="s">
        <v>9338</v>
      </c>
      <c r="E4051" s="3" t="s">
        <v>1218</v>
      </c>
      <c r="F4051" s="3" t="s">
        <v>2105</v>
      </c>
      <c r="G4051" s="3"/>
      <c r="H4051" s="4" t="s">
        <v>9302</v>
      </c>
    </row>
    <row r="4052" ht="16.5" customHeight="1" spans="1:8">
      <c r="A4052" s="3">
        <v>4051</v>
      </c>
      <c r="B4052" s="3" t="s">
        <v>9339</v>
      </c>
      <c r="C4052" s="3" t="s">
        <v>1361</v>
      </c>
      <c r="D4052" s="4" t="s">
        <v>9340</v>
      </c>
      <c r="E4052" s="3" t="s">
        <v>1218</v>
      </c>
      <c r="F4052" s="3" t="s">
        <v>2105</v>
      </c>
      <c r="G4052" s="3"/>
      <c r="H4052" s="4" t="s">
        <v>9302</v>
      </c>
    </row>
    <row r="4053" ht="16.5" customHeight="1" spans="1:8">
      <c r="A4053" s="3">
        <v>4052</v>
      </c>
      <c r="B4053" s="3" t="s">
        <v>9341</v>
      </c>
      <c r="C4053" s="3" t="s">
        <v>1361</v>
      </c>
      <c r="D4053" s="4" t="s">
        <v>9342</v>
      </c>
      <c r="E4053" s="3" t="s">
        <v>1218</v>
      </c>
      <c r="F4053" s="3" t="s">
        <v>2105</v>
      </c>
      <c r="G4053" s="3"/>
      <c r="H4053" s="4" t="s">
        <v>9302</v>
      </c>
    </row>
    <row r="4054" ht="16.5" customHeight="1" spans="1:8">
      <c r="A4054" s="3">
        <v>4053</v>
      </c>
      <c r="B4054" s="3" t="s">
        <v>9343</v>
      </c>
      <c r="C4054" s="3" t="s">
        <v>1361</v>
      </c>
      <c r="D4054" s="4" t="s">
        <v>9344</v>
      </c>
      <c r="E4054" s="3" t="s">
        <v>1218</v>
      </c>
      <c r="F4054" s="3" t="s">
        <v>2105</v>
      </c>
      <c r="G4054" s="3"/>
      <c r="H4054" s="4" t="s">
        <v>9302</v>
      </c>
    </row>
    <row r="4055" ht="16.5" customHeight="1" spans="1:8">
      <c r="A4055" s="3">
        <v>4054</v>
      </c>
      <c r="B4055" s="3" t="s">
        <v>9345</v>
      </c>
      <c r="C4055" s="3" t="s">
        <v>1361</v>
      </c>
      <c r="D4055" s="4" t="s">
        <v>9346</v>
      </c>
      <c r="E4055" s="3" t="s">
        <v>1218</v>
      </c>
      <c r="F4055" s="3" t="s">
        <v>2105</v>
      </c>
      <c r="G4055" s="3"/>
      <c r="H4055" s="4" t="s">
        <v>9302</v>
      </c>
    </row>
    <row r="4056" ht="16.5" customHeight="1" spans="1:8">
      <c r="A4056" s="3">
        <v>4055</v>
      </c>
      <c r="B4056" s="3" t="s">
        <v>9347</v>
      </c>
      <c r="C4056" s="3" t="s">
        <v>1361</v>
      </c>
      <c r="D4056" s="4" t="s">
        <v>9348</v>
      </c>
      <c r="E4056" s="3" t="s">
        <v>1218</v>
      </c>
      <c r="F4056" s="3" t="s">
        <v>2105</v>
      </c>
      <c r="G4056" s="3"/>
      <c r="H4056" s="4" t="s">
        <v>9302</v>
      </c>
    </row>
    <row r="4057" ht="16.5" customHeight="1" spans="1:8">
      <c r="A4057" s="3">
        <v>4056</v>
      </c>
      <c r="B4057" s="3" t="s">
        <v>9349</v>
      </c>
      <c r="C4057" s="3" t="s">
        <v>1361</v>
      </c>
      <c r="D4057" s="4" t="s">
        <v>9350</v>
      </c>
      <c r="E4057" s="3" t="s">
        <v>1218</v>
      </c>
      <c r="F4057" s="3" t="s">
        <v>2105</v>
      </c>
      <c r="G4057" s="3"/>
      <c r="H4057" s="4" t="s">
        <v>9302</v>
      </c>
    </row>
    <row r="4058" ht="16.5" customHeight="1" spans="1:8">
      <c r="A4058" s="3">
        <v>4057</v>
      </c>
      <c r="B4058" s="3" t="s">
        <v>9351</v>
      </c>
      <c r="C4058" s="3" t="s">
        <v>1361</v>
      </c>
      <c r="D4058" s="4" t="s">
        <v>9352</v>
      </c>
      <c r="E4058" s="3" t="s">
        <v>1218</v>
      </c>
      <c r="F4058" s="3" t="s">
        <v>2105</v>
      </c>
      <c r="G4058" s="3"/>
      <c r="H4058" s="4" t="s">
        <v>9302</v>
      </c>
    </row>
    <row r="4059" ht="16.5" customHeight="1" spans="1:8">
      <c r="A4059" s="3">
        <v>4058</v>
      </c>
      <c r="B4059" s="3" t="s">
        <v>9353</v>
      </c>
      <c r="C4059" s="3" t="s">
        <v>1361</v>
      </c>
      <c r="D4059" s="4" t="s">
        <v>9354</v>
      </c>
      <c r="E4059" s="3" t="s">
        <v>1218</v>
      </c>
      <c r="F4059" s="3" t="s">
        <v>2105</v>
      </c>
      <c r="G4059" s="3"/>
      <c r="H4059" s="4" t="s">
        <v>9302</v>
      </c>
    </row>
    <row r="4060" ht="16.5" customHeight="1" spans="1:8">
      <c r="A4060" s="3">
        <v>4059</v>
      </c>
      <c r="B4060" s="3" t="s">
        <v>9355</v>
      </c>
      <c r="C4060" s="3" t="s">
        <v>1361</v>
      </c>
      <c r="D4060" s="4" t="s">
        <v>9356</v>
      </c>
      <c r="E4060" s="3" t="s">
        <v>1218</v>
      </c>
      <c r="F4060" s="3" t="s">
        <v>2105</v>
      </c>
      <c r="G4060" s="3"/>
      <c r="H4060" s="4" t="s">
        <v>9302</v>
      </c>
    </row>
    <row r="4061" ht="16.5" customHeight="1" spans="1:8">
      <c r="A4061" s="3">
        <v>4060</v>
      </c>
      <c r="B4061" s="3" t="s">
        <v>9357</v>
      </c>
      <c r="C4061" s="3" t="s">
        <v>1361</v>
      </c>
      <c r="D4061" s="4" t="s">
        <v>9358</v>
      </c>
      <c r="E4061" s="3" t="s">
        <v>1218</v>
      </c>
      <c r="F4061" s="3" t="s">
        <v>2105</v>
      </c>
      <c r="G4061" s="3"/>
      <c r="H4061" s="4" t="s">
        <v>9302</v>
      </c>
    </row>
    <row r="4062" ht="16.5" customHeight="1" spans="1:8">
      <c r="A4062" s="3">
        <v>4061</v>
      </c>
      <c r="B4062" s="3" t="s">
        <v>9359</v>
      </c>
      <c r="C4062" s="3" t="s">
        <v>1361</v>
      </c>
      <c r="D4062" s="4" t="s">
        <v>9360</v>
      </c>
      <c r="E4062" s="3" t="s">
        <v>1218</v>
      </c>
      <c r="F4062" s="3" t="s">
        <v>2105</v>
      </c>
      <c r="G4062" s="3"/>
      <c r="H4062" s="4" t="s">
        <v>9302</v>
      </c>
    </row>
    <row r="4063" ht="16.5" customHeight="1" spans="1:8">
      <c r="A4063" s="3">
        <v>4062</v>
      </c>
      <c r="B4063" s="3" t="s">
        <v>9361</v>
      </c>
      <c r="C4063" s="3" t="s">
        <v>1361</v>
      </c>
      <c r="D4063" s="4" t="s">
        <v>9362</v>
      </c>
      <c r="E4063" s="3" t="s">
        <v>1218</v>
      </c>
      <c r="F4063" s="3" t="s">
        <v>2105</v>
      </c>
      <c r="G4063" s="3"/>
      <c r="H4063" s="4" t="s">
        <v>9302</v>
      </c>
    </row>
    <row r="4064" ht="16.5" customHeight="1" spans="1:8">
      <c r="A4064" s="3">
        <v>4063</v>
      </c>
      <c r="B4064" s="3" t="s">
        <v>9363</v>
      </c>
      <c r="C4064" s="3" t="s">
        <v>1361</v>
      </c>
      <c r="D4064" s="4" t="s">
        <v>9364</v>
      </c>
      <c r="E4064" s="3" t="s">
        <v>1218</v>
      </c>
      <c r="F4064" s="3" t="s">
        <v>2105</v>
      </c>
      <c r="G4064" s="3"/>
      <c r="H4064" s="4" t="s">
        <v>9302</v>
      </c>
    </row>
    <row r="4065" ht="16.5" customHeight="1" spans="1:8">
      <c r="A4065" s="3">
        <v>4064</v>
      </c>
      <c r="B4065" s="3" t="s">
        <v>9365</v>
      </c>
      <c r="C4065" s="3" t="s">
        <v>1361</v>
      </c>
      <c r="D4065" s="4" t="s">
        <v>9366</v>
      </c>
      <c r="E4065" s="3" t="s">
        <v>1218</v>
      </c>
      <c r="F4065" s="3" t="s">
        <v>2105</v>
      </c>
      <c r="G4065" s="3"/>
      <c r="H4065" s="4" t="s">
        <v>9302</v>
      </c>
    </row>
    <row r="4066" ht="16.5" customHeight="1" spans="1:8">
      <c r="A4066" s="3">
        <v>4065</v>
      </c>
      <c r="B4066" s="3" t="s">
        <v>9367</v>
      </c>
      <c r="C4066" s="3" t="s">
        <v>1361</v>
      </c>
      <c r="D4066" s="4" t="s">
        <v>9368</v>
      </c>
      <c r="E4066" s="3" t="s">
        <v>1218</v>
      </c>
      <c r="F4066" s="3" t="s">
        <v>2105</v>
      </c>
      <c r="G4066" s="3"/>
      <c r="H4066" s="4" t="s">
        <v>9302</v>
      </c>
    </row>
    <row r="4067" ht="16.5" customHeight="1" spans="1:8">
      <c r="A4067" s="3">
        <v>4066</v>
      </c>
      <c r="B4067" s="3" t="s">
        <v>9369</v>
      </c>
      <c r="C4067" s="3" t="s">
        <v>1361</v>
      </c>
      <c r="D4067" s="4" t="s">
        <v>9370</v>
      </c>
      <c r="E4067" s="3" t="s">
        <v>1218</v>
      </c>
      <c r="F4067" s="3" t="s">
        <v>2105</v>
      </c>
      <c r="G4067" s="3"/>
      <c r="H4067" s="4" t="s">
        <v>9302</v>
      </c>
    </row>
    <row r="4068" ht="16.5" customHeight="1" spans="1:8">
      <c r="A4068" s="3">
        <v>4067</v>
      </c>
      <c r="B4068" s="3" t="s">
        <v>9371</v>
      </c>
      <c r="C4068" s="3" t="s">
        <v>1361</v>
      </c>
      <c r="D4068" s="4" t="s">
        <v>9372</v>
      </c>
      <c r="E4068" s="3" t="s">
        <v>1218</v>
      </c>
      <c r="F4068" s="3" t="s">
        <v>2105</v>
      </c>
      <c r="G4068" s="3"/>
      <c r="H4068" s="4" t="s">
        <v>9302</v>
      </c>
    </row>
    <row r="4069" ht="16.5" customHeight="1" spans="1:8">
      <c r="A4069" s="3">
        <v>4068</v>
      </c>
      <c r="B4069" s="3" t="s">
        <v>9373</v>
      </c>
      <c r="C4069" s="3" t="s">
        <v>1361</v>
      </c>
      <c r="D4069" s="4" t="s">
        <v>9374</v>
      </c>
      <c r="E4069" s="3" t="s">
        <v>1218</v>
      </c>
      <c r="F4069" s="3" t="s">
        <v>2105</v>
      </c>
      <c r="G4069" s="3"/>
      <c r="H4069" s="4" t="s">
        <v>9302</v>
      </c>
    </row>
    <row r="4070" ht="16.5" customHeight="1" spans="1:8">
      <c r="A4070" s="3">
        <v>4069</v>
      </c>
      <c r="B4070" s="3" t="s">
        <v>9375</v>
      </c>
      <c r="C4070" s="3" t="s">
        <v>1361</v>
      </c>
      <c r="D4070" s="4" t="s">
        <v>9376</v>
      </c>
      <c r="E4070" s="3" t="s">
        <v>1218</v>
      </c>
      <c r="F4070" s="3" t="s">
        <v>2105</v>
      </c>
      <c r="G4070" s="3"/>
      <c r="H4070" s="4" t="s">
        <v>9302</v>
      </c>
    </row>
    <row r="4071" ht="16.5" customHeight="1" spans="1:8">
      <c r="A4071" s="3">
        <v>4070</v>
      </c>
      <c r="B4071" s="3" t="s">
        <v>9377</v>
      </c>
      <c r="C4071" s="3" t="s">
        <v>1361</v>
      </c>
      <c r="D4071" s="4" t="s">
        <v>9378</v>
      </c>
      <c r="E4071" s="3" t="s">
        <v>1218</v>
      </c>
      <c r="F4071" s="3" t="s">
        <v>2105</v>
      </c>
      <c r="G4071" s="3"/>
      <c r="H4071" s="4" t="s">
        <v>9302</v>
      </c>
    </row>
    <row r="4072" ht="16.5" customHeight="1" spans="1:8">
      <c r="A4072" s="3">
        <v>4071</v>
      </c>
      <c r="B4072" s="3" t="s">
        <v>9379</v>
      </c>
      <c r="C4072" s="3" t="s">
        <v>1361</v>
      </c>
      <c r="D4072" s="4" t="s">
        <v>9380</v>
      </c>
      <c r="E4072" s="3" t="s">
        <v>1218</v>
      </c>
      <c r="F4072" s="3" t="s">
        <v>2105</v>
      </c>
      <c r="G4072" s="3"/>
      <c r="H4072" s="4" t="s">
        <v>9302</v>
      </c>
    </row>
    <row r="4073" ht="16.5" customHeight="1" spans="1:8">
      <c r="A4073" s="3">
        <v>4072</v>
      </c>
      <c r="B4073" s="3" t="s">
        <v>9381</v>
      </c>
      <c r="C4073" s="3" t="s">
        <v>1361</v>
      </c>
      <c r="D4073" s="4" t="s">
        <v>9382</v>
      </c>
      <c r="E4073" s="3" t="s">
        <v>1218</v>
      </c>
      <c r="F4073" s="3" t="s">
        <v>2105</v>
      </c>
      <c r="G4073" s="3"/>
      <c r="H4073" s="4" t="s">
        <v>9302</v>
      </c>
    </row>
    <row r="4074" ht="16.5" customHeight="1" spans="1:8">
      <c r="A4074" s="3">
        <v>4073</v>
      </c>
      <c r="B4074" s="3" t="s">
        <v>9383</v>
      </c>
      <c r="C4074" s="3" t="s">
        <v>1361</v>
      </c>
      <c r="D4074" s="4" t="s">
        <v>9384</v>
      </c>
      <c r="E4074" s="3" t="s">
        <v>1218</v>
      </c>
      <c r="F4074" s="3" t="s">
        <v>2105</v>
      </c>
      <c r="G4074" s="3"/>
      <c r="H4074" s="4" t="s">
        <v>9302</v>
      </c>
    </row>
    <row r="4075" ht="16.5" customHeight="1" spans="1:8">
      <c r="A4075" s="3">
        <v>4074</v>
      </c>
      <c r="B4075" s="3" t="s">
        <v>9385</v>
      </c>
      <c r="C4075" s="3" t="s">
        <v>1361</v>
      </c>
      <c r="D4075" s="4" t="s">
        <v>9386</v>
      </c>
      <c r="E4075" s="3" t="s">
        <v>1218</v>
      </c>
      <c r="F4075" s="3" t="s">
        <v>2105</v>
      </c>
      <c r="G4075" s="3"/>
      <c r="H4075" s="4" t="s">
        <v>9302</v>
      </c>
    </row>
    <row r="4076" ht="16.5" customHeight="1" spans="1:8">
      <c r="A4076" s="3">
        <v>4075</v>
      </c>
      <c r="B4076" s="3" t="s">
        <v>9387</v>
      </c>
      <c r="C4076" s="3" t="s">
        <v>1361</v>
      </c>
      <c r="D4076" s="4" t="s">
        <v>9388</v>
      </c>
      <c r="E4076" s="3" t="s">
        <v>1218</v>
      </c>
      <c r="F4076" s="3" t="s">
        <v>2105</v>
      </c>
      <c r="G4076" s="3"/>
      <c r="H4076" s="4" t="s">
        <v>9302</v>
      </c>
    </row>
    <row r="4077" ht="16.5" customHeight="1" spans="1:8">
      <c r="A4077" s="3">
        <v>4076</v>
      </c>
      <c r="B4077" s="3" t="s">
        <v>9389</v>
      </c>
      <c r="C4077" s="3" t="s">
        <v>1361</v>
      </c>
      <c r="D4077" s="4" t="s">
        <v>9390</v>
      </c>
      <c r="E4077" s="3" t="s">
        <v>1218</v>
      </c>
      <c r="F4077" s="3" t="s">
        <v>2105</v>
      </c>
      <c r="G4077" s="3"/>
      <c r="H4077" s="4" t="s">
        <v>9302</v>
      </c>
    </row>
    <row r="4078" ht="16.5" customHeight="1" spans="1:8">
      <c r="A4078" s="3">
        <v>4077</v>
      </c>
      <c r="B4078" s="3" t="s">
        <v>9391</v>
      </c>
      <c r="C4078" s="3" t="s">
        <v>1361</v>
      </c>
      <c r="D4078" s="4" t="s">
        <v>9392</v>
      </c>
      <c r="E4078" s="3" t="s">
        <v>1218</v>
      </c>
      <c r="F4078" s="3" t="s">
        <v>2105</v>
      </c>
      <c r="G4078" s="3"/>
      <c r="H4078" s="4" t="s">
        <v>9302</v>
      </c>
    </row>
    <row r="4079" ht="16.5" customHeight="1" spans="1:8">
      <c r="A4079" s="3">
        <v>4078</v>
      </c>
      <c r="B4079" s="3" t="s">
        <v>9393</v>
      </c>
      <c r="C4079" s="3" t="s">
        <v>1361</v>
      </c>
      <c r="D4079" s="4" t="s">
        <v>9394</v>
      </c>
      <c r="E4079" s="3" t="s">
        <v>1218</v>
      </c>
      <c r="F4079" s="3" t="s">
        <v>2105</v>
      </c>
      <c r="G4079" s="3"/>
      <c r="H4079" s="4" t="s">
        <v>9302</v>
      </c>
    </row>
    <row r="4080" ht="16.5" customHeight="1" spans="1:8">
      <c r="A4080" s="3">
        <v>4079</v>
      </c>
      <c r="B4080" s="3" t="s">
        <v>9395</v>
      </c>
      <c r="C4080" s="3" t="s">
        <v>1361</v>
      </c>
      <c r="D4080" s="4" t="s">
        <v>9396</v>
      </c>
      <c r="E4080" s="3" t="s">
        <v>1218</v>
      </c>
      <c r="F4080" s="3" t="s">
        <v>2105</v>
      </c>
      <c r="G4080" s="3"/>
      <c r="H4080" s="4" t="s">
        <v>9302</v>
      </c>
    </row>
    <row r="4081" ht="16.5" customHeight="1" spans="1:8">
      <c r="A4081" s="3">
        <v>4080</v>
      </c>
      <c r="B4081" s="3" t="s">
        <v>9397</v>
      </c>
      <c r="C4081" s="3" t="s">
        <v>1361</v>
      </c>
      <c r="D4081" s="4" t="s">
        <v>9398</v>
      </c>
      <c r="E4081" s="3" t="s">
        <v>1218</v>
      </c>
      <c r="F4081" s="3" t="s">
        <v>2105</v>
      </c>
      <c r="G4081" s="3"/>
      <c r="H4081" s="4" t="s">
        <v>9302</v>
      </c>
    </row>
    <row r="4082" ht="16.5" customHeight="1" spans="1:8">
      <c r="A4082" s="3">
        <v>4081</v>
      </c>
      <c r="B4082" s="3" t="s">
        <v>9399</v>
      </c>
      <c r="C4082" s="3" t="s">
        <v>1361</v>
      </c>
      <c r="D4082" s="4" t="s">
        <v>9400</v>
      </c>
      <c r="E4082" s="3" t="s">
        <v>1218</v>
      </c>
      <c r="F4082" s="3" t="s">
        <v>2105</v>
      </c>
      <c r="G4082" s="3"/>
      <c r="H4082" s="4" t="s">
        <v>9302</v>
      </c>
    </row>
    <row r="4083" ht="16.5" customHeight="1" spans="1:8">
      <c r="A4083" s="3">
        <v>4082</v>
      </c>
      <c r="B4083" s="3" t="s">
        <v>9401</v>
      </c>
      <c r="C4083" s="3" t="s">
        <v>1361</v>
      </c>
      <c r="D4083" s="4" t="s">
        <v>9402</v>
      </c>
      <c r="E4083" s="3" t="s">
        <v>1218</v>
      </c>
      <c r="F4083" s="3" t="s">
        <v>2105</v>
      </c>
      <c r="G4083" s="3"/>
      <c r="H4083" s="4" t="s">
        <v>9302</v>
      </c>
    </row>
    <row r="4084" ht="16.5" customHeight="1" spans="1:8">
      <c r="A4084" s="3">
        <v>4083</v>
      </c>
      <c r="B4084" s="3" t="s">
        <v>9403</v>
      </c>
      <c r="C4084" s="3" t="s">
        <v>1361</v>
      </c>
      <c r="D4084" s="4" t="s">
        <v>9404</v>
      </c>
      <c r="E4084" s="3" t="s">
        <v>1218</v>
      </c>
      <c r="F4084" s="3" t="s">
        <v>2105</v>
      </c>
      <c r="G4084" s="3"/>
      <c r="H4084" s="4" t="s">
        <v>9302</v>
      </c>
    </row>
    <row r="4085" ht="16.5" customHeight="1" spans="1:8">
      <c r="A4085" s="3">
        <v>4084</v>
      </c>
      <c r="B4085" s="3" t="s">
        <v>9405</v>
      </c>
      <c r="C4085" s="3" t="s">
        <v>1361</v>
      </c>
      <c r="D4085" s="4" t="s">
        <v>9406</v>
      </c>
      <c r="E4085" s="3" t="s">
        <v>1218</v>
      </c>
      <c r="F4085" s="3" t="s">
        <v>2105</v>
      </c>
      <c r="G4085" s="3"/>
      <c r="H4085" s="4" t="s">
        <v>9302</v>
      </c>
    </row>
    <row r="4086" ht="16.5" customHeight="1" spans="1:8">
      <c r="A4086" s="3">
        <v>4085</v>
      </c>
      <c r="B4086" s="3" t="s">
        <v>9407</v>
      </c>
      <c r="C4086" s="3" t="s">
        <v>1361</v>
      </c>
      <c r="D4086" s="4" t="s">
        <v>9408</v>
      </c>
      <c r="E4086" s="3" t="s">
        <v>1218</v>
      </c>
      <c r="F4086" s="3" t="s">
        <v>2105</v>
      </c>
      <c r="G4086" s="3"/>
      <c r="H4086" s="4" t="s">
        <v>9302</v>
      </c>
    </row>
    <row r="4087" ht="16.5" customHeight="1" spans="1:8">
      <c r="A4087" s="3">
        <v>4086</v>
      </c>
      <c r="B4087" s="3" t="s">
        <v>9409</v>
      </c>
      <c r="C4087" s="3" t="s">
        <v>1361</v>
      </c>
      <c r="D4087" s="4" t="s">
        <v>9410</v>
      </c>
      <c r="E4087" s="3" t="s">
        <v>1218</v>
      </c>
      <c r="F4087" s="3" t="s">
        <v>2105</v>
      </c>
      <c r="G4087" s="3"/>
      <c r="H4087" s="4" t="s">
        <v>9302</v>
      </c>
    </row>
    <row r="4088" ht="16.5" customHeight="1" spans="1:8">
      <c r="A4088" s="3">
        <v>4087</v>
      </c>
      <c r="B4088" s="3" t="s">
        <v>9411</v>
      </c>
      <c r="C4088" s="3" t="s">
        <v>1361</v>
      </c>
      <c r="D4088" s="4" t="s">
        <v>9412</v>
      </c>
      <c r="E4088" s="3" t="s">
        <v>1218</v>
      </c>
      <c r="F4088" s="3" t="s">
        <v>2105</v>
      </c>
      <c r="G4088" s="3"/>
      <c r="H4088" s="4" t="s">
        <v>9302</v>
      </c>
    </row>
    <row r="4089" ht="16.5" customHeight="1" spans="1:8">
      <c r="A4089" s="3">
        <v>4088</v>
      </c>
      <c r="B4089" s="3" t="s">
        <v>9413</v>
      </c>
      <c r="C4089" s="3" t="s">
        <v>1361</v>
      </c>
      <c r="D4089" s="4" t="s">
        <v>9414</v>
      </c>
      <c r="E4089" s="3" t="s">
        <v>1218</v>
      </c>
      <c r="F4089" s="3" t="s">
        <v>2105</v>
      </c>
      <c r="G4089" s="3"/>
      <c r="H4089" s="4" t="s">
        <v>9302</v>
      </c>
    </row>
    <row r="4090" ht="16.5" customHeight="1" spans="1:8">
      <c r="A4090" s="3">
        <v>4089</v>
      </c>
      <c r="B4090" s="3" t="s">
        <v>9415</v>
      </c>
      <c r="C4090" s="3" t="s">
        <v>1361</v>
      </c>
      <c r="D4090" s="4" t="s">
        <v>9416</v>
      </c>
      <c r="E4090" s="3" t="s">
        <v>1218</v>
      </c>
      <c r="F4090" s="3" t="s">
        <v>2105</v>
      </c>
      <c r="G4090" s="3"/>
      <c r="H4090" s="4" t="s">
        <v>9302</v>
      </c>
    </row>
    <row r="4091" ht="16.5" customHeight="1" spans="1:8">
      <c r="A4091" s="3">
        <v>4090</v>
      </c>
      <c r="B4091" s="3" t="s">
        <v>9417</v>
      </c>
      <c r="C4091" s="3" t="s">
        <v>1361</v>
      </c>
      <c r="D4091" s="4" t="s">
        <v>9418</v>
      </c>
      <c r="E4091" s="3" t="s">
        <v>1218</v>
      </c>
      <c r="F4091" s="3" t="s">
        <v>2105</v>
      </c>
      <c r="G4091" s="3"/>
      <c r="H4091" s="4" t="s">
        <v>9302</v>
      </c>
    </row>
    <row r="4092" ht="16.5" customHeight="1" spans="1:8">
      <c r="A4092" s="3">
        <v>4091</v>
      </c>
      <c r="B4092" s="3" t="s">
        <v>9419</v>
      </c>
      <c r="C4092" s="3" t="s">
        <v>1361</v>
      </c>
      <c r="D4092" s="4" t="s">
        <v>9420</v>
      </c>
      <c r="E4092" s="3" t="s">
        <v>1218</v>
      </c>
      <c r="F4092" s="3" t="s">
        <v>2105</v>
      </c>
      <c r="G4092" s="3"/>
      <c r="H4092" s="4" t="s">
        <v>9302</v>
      </c>
    </row>
    <row r="4093" ht="16.5" customHeight="1" spans="1:8">
      <c r="A4093" s="3">
        <v>4092</v>
      </c>
      <c r="B4093" s="3" t="s">
        <v>9421</v>
      </c>
      <c r="C4093" s="3" t="s">
        <v>1361</v>
      </c>
      <c r="D4093" s="4" t="s">
        <v>9422</v>
      </c>
      <c r="E4093" s="3" t="s">
        <v>1218</v>
      </c>
      <c r="F4093" s="3" t="s">
        <v>2105</v>
      </c>
      <c r="G4093" s="3"/>
      <c r="H4093" s="4" t="s">
        <v>9302</v>
      </c>
    </row>
    <row r="4094" ht="16.5" customHeight="1" spans="1:8">
      <c r="A4094" s="3">
        <v>4093</v>
      </c>
      <c r="B4094" s="3" t="s">
        <v>9423</v>
      </c>
      <c r="C4094" s="3" t="s">
        <v>1361</v>
      </c>
      <c r="D4094" s="4" t="s">
        <v>9424</v>
      </c>
      <c r="E4094" s="3" t="s">
        <v>1218</v>
      </c>
      <c r="F4094" s="3" t="s">
        <v>2105</v>
      </c>
      <c r="G4094" s="3"/>
      <c r="H4094" s="4" t="s">
        <v>9302</v>
      </c>
    </row>
    <row r="4095" ht="16.5" customHeight="1" spans="1:8">
      <c r="A4095" s="3">
        <v>4094</v>
      </c>
      <c r="B4095" s="3" t="s">
        <v>9425</v>
      </c>
      <c r="C4095" s="3" t="s">
        <v>1361</v>
      </c>
      <c r="D4095" s="4" t="s">
        <v>9426</v>
      </c>
      <c r="E4095" s="3" t="s">
        <v>1218</v>
      </c>
      <c r="F4095" s="3" t="s">
        <v>2105</v>
      </c>
      <c r="G4095" s="3"/>
      <c r="H4095" s="4" t="s">
        <v>9302</v>
      </c>
    </row>
    <row r="4096" ht="16.5" customHeight="1" spans="1:8">
      <c r="A4096" s="3">
        <v>4095</v>
      </c>
      <c r="B4096" s="3" t="s">
        <v>9427</v>
      </c>
      <c r="C4096" s="3" t="s">
        <v>1361</v>
      </c>
      <c r="D4096" s="4" t="s">
        <v>9428</v>
      </c>
      <c r="E4096" s="3" t="s">
        <v>1218</v>
      </c>
      <c r="F4096" s="3" t="s">
        <v>2105</v>
      </c>
      <c r="G4096" s="3"/>
      <c r="H4096" s="4" t="s">
        <v>9302</v>
      </c>
    </row>
    <row r="4097" ht="16.5" customHeight="1" spans="1:8">
      <c r="A4097" s="3">
        <v>4096</v>
      </c>
      <c r="B4097" s="3" t="s">
        <v>9429</v>
      </c>
      <c r="C4097" s="3" t="s">
        <v>1361</v>
      </c>
      <c r="D4097" s="4" t="s">
        <v>9430</v>
      </c>
      <c r="E4097" s="3" t="s">
        <v>1218</v>
      </c>
      <c r="F4097" s="3" t="s">
        <v>2105</v>
      </c>
      <c r="G4097" s="3"/>
      <c r="H4097" s="4" t="s">
        <v>9302</v>
      </c>
    </row>
    <row r="4098" ht="16.5" customHeight="1" spans="1:8">
      <c r="A4098" s="3">
        <v>4097</v>
      </c>
      <c r="B4098" s="3" t="s">
        <v>9431</v>
      </c>
      <c r="C4098" s="3" t="s">
        <v>1361</v>
      </c>
      <c r="D4098" s="4" t="s">
        <v>9432</v>
      </c>
      <c r="E4098" s="3" t="s">
        <v>1218</v>
      </c>
      <c r="F4098" s="3" t="s">
        <v>2105</v>
      </c>
      <c r="G4098" s="3"/>
      <c r="H4098" s="4" t="s">
        <v>9302</v>
      </c>
    </row>
    <row r="4099" ht="16.5" customHeight="1" spans="1:8">
      <c r="A4099" s="3">
        <v>4098</v>
      </c>
      <c r="B4099" s="3" t="s">
        <v>9433</v>
      </c>
      <c r="C4099" s="3" t="s">
        <v>1361</v>
      </c>
      <c r="D4099" s="4" t="s">
        <v>9434</v>
      </c>
      <c r="E4099" s="3" t="s">
        <v>1218</v>
      </c>
      <c r="F4099" s="3" t="s">
        <v>2105</v>
      </c>
      <c r="G4099" s="3"/>
      <c r="H4099" s="4" t="s">
        <v>9302</v>
      </c>
    </row>
    <row r="4100" ht="16.5" customHeight="1" spans="1:8">
      <c r="A4100" s="3">
        <v>4099</v>
      </c>
      <c r="B4100" s="3" t="s">
        <v>9435</v>
      </c>
      <c r="C4100" s="3" t="s">
        <v>1361</v>
      </c>
      <c r="D4100" s="4" t="s">
        <v>9436</v>
      </c>
      <c r="E4100" s="3" t="s">
        <v>1218</v>
      </c>
      <c r="F4100" s="3" t="s">
        <v>2105</v>
      </c>
      <c r="G4100" s="3"/>
      <c r="H4100" s="4" t="s">
        <v>9302</v>
      </c>
    </row>
    <row r="4101" ht="16.5" customHeight="1" spans="1:8">
      <c r="A4101" s="3">
        <v>4100</v>
      </c>
      <c r="B4101" s="3" t="s">
        <v>9437</v>
      </c>
      <c r="C4101" s="3" t="s">
        <v>1361</v>
      </c>
      <c r="D4101" s="4" t="s">
        <v>9438</v>
      </c>
      <c r="E4101" s="3" t="s">
        <v>1218</v>
      </c>
      <c r="F4101" s="3" t="s">
        <v>2105</v>
      </c>
      <c r="G4101" s="3"/>
      <c r="H4101" s="4" t="s">
        <v>9302</v>
      </c>
    </row>
    <row r="4102" ht="16.5" customHeight="1" spans="1:8">
      <c r="A4102" s="3">
        <v>4101</v>
      </c>
      <c r="B4102" s="3" t="s">
        <v>9439</v>
      </c>
      <c r="C4102" s="3" t="s">
        <v>1361</v>
      </c>
      <c r="D4102" s="4" t="s">
        <v>9440</v>
      </c>
      <c r="E4102" s="3" t="s">
        <v>1218</v>
      </c>
      <c r="F4102" s="3" t="s">
        <v>2105</v>
      </c>
      <c r="G4102" s="3"/>
      <c r="H4102" s="4" t="s">
        <v>9302</v>
      </c>
    </row>
    <row r="4103" ht="16.5" customHeight="1" spans="1:8">
      <c r="A4103" s="3">
        <v>4102</v>
      </c>
      <c r="B4103" s="3" t="s">
        <v>9441</v>
      </c>
      <c r="C4103" s="3" t="s">
        <v>1361</v>
      </c>
      <c r="D4103" s="4" t="s">
        <v>9442</v>
      </c>
      <c r="E4103" s="3" t="s">
        <v>1218</v>
      </c>
      <c r="F4103" s="3" t="s">
        <v>2105</v>
      </c>
      <c r="G4103" s="3"/>
      <c r="H4103" s="4" t="s">
        <v>9302</v>
      </c>
    </row>
    <row r="4104" ht="16.5" customHeight="1" spans="1:8">
      <c r="A4104" s="3">
        <v>4103</v>
      </c>
      <c r="B4104" s="3" t="s">
        <v>9443</v>
      </c>
      <c r="C4104" s="3" t="s">
        <v>1361</v>
      </c>
      <c r="D4104" s="4" t="s">
        <v>9444</v>
      </c>
      <c r="E4104" s="3" t="s">
        <v>1218</v>
      </c>
      <c r="F4104" s="3" t="s">
        <v>2105</v>
      </c>
      <c r="G4104" s="3"/>
      <c r="H4104" s="4" t="s">
        <v>9302</v>
      </c>
    </row>
    <row r="4105" ht="16.5" customHeight="1" spans="1:8">
      <c r="A4105" s="3">
        <v>4104</v>
      </c>
      <c r="B4105" s="3" t="s">
        <v>9445</v>
      </c>
      <c r="C4105" s="3" t="s">
        <v>1361</v>
      </c>
      <c r="D4105" s="4" t="s">
        <v>9446</v>
      </c>
      <c r="E4105" s="3" t="s">
        <v>1218</v>
      </c>
      <c r="F4105" s="3" t="s">
        <v>2105</v>
      </c>
      <c r="G4105" s="3"/>
      <c r="H4105" s="4" t="s">
        <v>9302</v>
      </c>
    </row>
    <row r="4106" ht="16.5" customHeight="1" spans="1:8">
      <c r="A4106" s="3">
        <v>4105</v>
      </c>
      <c r="B4106" s="3" t="s">
        <v>9447</v>
      </c>
      <c r="C4106" s="3" t="s">
        <v>1361</v>
      </c>
      <c r="D4106" s="4" t="s">
        <v>9448</v>
      </c>
      <c r="E4106" s="3" t="s">
        <v>1218</v>
      </c>
      <c r="F4106" s="3" t="s">
        <v>2105</v>
      </c>
      <c r="G4106" s="3"/>
      <c r="H4106" s="4" t="s">
        <v>9302</v>
      </c>
    </row>
    <row r="4107" ht="16.5" customHeight="1" spans="1:8">
      <c r="A4107" s="3">
        <v>4106</v>
      </c>
      <c r="B4107" s="3" t="s">
        <v>9449</v>
      </c>
      <c r="C4107" s="3" t="s">
        <v>1361</v>
      </c>
      <c r="D4107" s="4" t="s">
        <v>9450</v>
      </c>
      <c r="E4107" s="3" t="s">
        <v>1218</v>
      </c>
      <c r="F4107" s="3" t="s">
        <v>2105</v>
      </c>
      <c r="G4107" s="3"/>
      <c r="H4107" s="4" t="s">
        <v>9302</v>
      </c>
    </row>
    <row r="4108" ht="16.5" customHeight="1" spans="1:8">
      <c r="A4108" s="3">
        <v>4107</v>
      </c>
      <c r="B4108" s="3" t="s">
        <v>9451</v>
      </c>
      <c r="C4108" s="3" t="s">
        <v>1361</v>
      </c>
      <c r="D4108" s="4" t="s">
        <v>9452</v>
      </c>
      <c r="E4108" s="3" t="s">
        <v>1218</v>
      </c>
      <c r="F4108" s="3" t="s">
        <v>2105</v>
      </c>
      <c r="G4108" s="3"/>
      <c r="H4108" s="4" t="s">
        <v>9302</v>
      </c>
    </row>
    <row r="4109" ht="16.5" customHeight="1" spans="1:8">
      <c r="A4109" s="3">
        <v>4108</v>
      </c>
      <c r="B4109" s="3" t="s">
        <v>9453</v>
      </c>
      <c r="C4109" s="3" t="s">
        <v>1361</v>
      </c>
      <c r="D4109" s="4" t="s">
        <v>9454</v>
      </c>
      <c r="E4109" s="3" t="s">
        <v>1218</v>
      </c>
      <c r="F4109" s="3" t="s">
        <v>2105</v>
      </c>
      <c r="G4109" s="3"/>
      <c r="H4109" s="4" t="s">
        <v>9302</v>
      </c>
    </row>
    <row r="4110" ht="16.5" customHeight="1" spans="1:8">
      <c r="A4110" s="3">
        <v>4109</v>
      </c>
      <c r="B4110" s="3" t="s">
        <v>9455</v>
      </c>
      <c r="C4110" s="3" t="s">
        <v>1361</v>
      </c>
      <c r="D4110" s="4" t="s">
        <v>9456</v>
      </c>
      <c r="E4110" s="3" t="s">
        <v>1218</v>
      </c>
      <c r="F4110" s="3" t="s">
        <v>2105</v>
      </c>
      <c r="G4110" s="3"/>
      <c r="H4110" s="4" t="s">
        <v>9302</v>
      </c>
    </row>
    <row r="4111" ht="16.5" customHeight="1" spans="1:8">
      <c r="A4111" s="3">
        <v>4110</v>
      </c>
      <c r="B4111" s="3" t="s">
        <v>9457</v>
      </c>
      <c r="C4111" s="3" t="s">
        <v>2163</v>
      </c>
      <c r="D4111" s="4" t="s">
        <v>9458</v>
      </c>
      <c r="E4111" s="3" t="s">
        <v>2726</v>
      </c>
      <c r="F4111" s="3" t="s">
        <v>1358</v>
      </c>
      <c r="G4111" s="3" t="s">
        <v>321</v>
      </c>
      <c r="H4111" s="4" t="s">
        <v>4322</v>
      </c>
    </row>
    <row r="4112" ht="16.5" customHeight="1" spans="1:8">
      <c r="A4112" s="3">
        <v>4111</v>
      </c>
      <c r="B4112" s="3" t="s">
        <v>9459</v>
      </c>
      <c r="C4112" s="3" t="s">
        <v>2163</v>
      </c>
      <c r="D4112" s="4" t="s">
        <v>9460</v>
      </c>
      <c r="E4112" s="3" t="s">
        <v>1076</v>
      </c>
      <c r="F4112" s="3" t="s">
        <v>1358</v>
      </c>
      <c r="G4112" s="3" t="s">
        <v>321</v>
      </c>
      <c r="H4112" s="4" t="s">
        <v>5664</v>
      </c>
    </row>
    <row r="4113" ht="16.5" customHeight="1" spans="1:8">
      <c r="A4113" s="3">
        <v>4112</v>
      </c>
      <c r="B4113" s="3" t="s">
        <v>9461</v>
      </c>
      <c r="C4113" s="3" t="s">
        <v>2163</v>
      </c>
      <c r="D4113" s="4" t="s">
        <v>9462</v>
      </c>
      <c r="E4113" s="3" t="s">
        <v>1076</v>
      </c>
      <c r="F4113" s="3" t="s">
        <v>1358</v>
      </c>
      <c r="G4113" s="3" t="s">
        <v>321</v>
      </c>
      <c r="H4113" s="4" t="s">
        <v>1078</v>
      </c>
    </row>
    <row r="4114" ht="16.5" customHeight="1" spans="1:8">
      <c r="A4114" s="3">
        <v>4113</v>
      </c>
      <c r="B4114" s="3" t="s">
        <v>9463</v>
      </c>
      <c r="C4114" s="3" t="s">
        <v>2163</v>
      </c>
      <c r="D4114" s="4" t="s">
        <v>9464</v>
      </c>
      <c r="E4114" s="3" t="s">
        <v>2726</v>
      </c>
      <c r="F4114" s="3" t="s">
        <v>1358</v>
      </c>
      <c r="G4114" s="3"/>
      <c r="H4114" s="4" t="s">
        <v>1095</v>
      </c>
    </row>
    <row r="4115" ht="16.5" customHeight="1" spans="1:8">
      <c r="A4115" s="3">
        <v>4114</v>
      </c>
      <c r="B4115" s="3" t="s">
        <v>9465</v>
      </c>
      <c r="C4115" s="3" t="s">
        <v>2163</v>
      </c>
      <c r="D4115" s="4" t="s">
        <v>9466</v>
      </c>
      <c r="E4115" s="3" t="s">
        <v>7007</v>
      </c>
      <c r="F4115" s="3" t="s">
        <v>2105</v>
      </c>
      <c r="G4115" s="3"/>
      <c r="H4115" s="4" t="s">
        <v>3812</v>
      </c>
    </row>
    <row r="4116" ht="16.5" customHeight="1" spans="1:8">
      <c r="A4116" s="3">
        <v>4115</v>
      </c>
      <c r="B4116" s="3" t="s">
        <v>9467</v>
      </c>
      <c r="C4116" s="3" t="s">
        <v>2163</v>
      </c>
      <c r="D4116" s="4" t="s">
        <v>9468</v>
      </c>
      <c r="E4116" s="3" t="s">
        <v>1076</v>
      </c>
      <c r="F4116" s="3" t="s">
        <v>2041</v>
      </c>
      <c r="G4116" s="3" t="s">
        <v>321</v>
      </c>
      <c r="H4116" s="4" t="s">
        <v>1305</v>
      </c>
    </row>
    <row r="4117" ht="16.5" customHeight="1" spans="1:8">
      <c r="A4117" s="3">
        <v>4116</v>
      </c>
      <c r="B4117" s="3" t="s">
        <v>9469</v>
      </c>
      <c r="C4117" s="3" t="s">
        <v>2163</v>
      </c>
      <c r="D4117" s="4" t="s">
        <v>9470</v>
      </c>
      <c r="E4117" s="3" t="s">
        <v>1076</v>
      </c>
      <c r="F4117" s="3" t="s">
        <v>2041</v>
      </c>
      <c r="G4117" s="3" t="s">
        <v>321</v>
      </c>
      <c r="H4117" s="4" t="s">
        <v>4322</v>
      </c>
    </row>
    <row r="4118" ht="16.5" customHeight="1" spans="1:8">
      <c r="A4118" s="3">
        <v>4117</v>
      </c>
      <c r="B4118" s="3" t="s">
        <v>9471</v>
      </c>
      <c r="C4118" s="3" t="s">
        <v>1099</v>
      </c>
      <c r="D4118" s="4" t="s">
        <v>9472</v>
      </c>
      <c r="E4118" s="3" t="s">
        <v>1218</v>
      </c>
      <c r="F4118" s="3" t="s">
        <v>8175</v>
      </c>
      <c r="G4118" s="3"/>
      <c r="H4118" s="4"/>
    </row>
    <row r="4119" ht="16.5" customHeight="1" spans="1:8">
      <c r="A4119" s="3">
        <v>4118</v>
      </c>
      <c r="B4119" s="3" t="s">
        <v>9473</v>
      </c>
      <c r="C4119" s="3" t="s">
        <v>1074</v>
      </c>
      <c r="D4119" s="4" t="s">
        <v>9474</v>
      </c>
      <c r="E4119" s="3" t="s">
        <v>1076</v>
      </c>
      <c r="F4119" s="3" t="s">
        <v>8175</v>
      </c>
      <c r="G4119" s="3"/>
      <c r="H4119" s="4" t="s">
        <v>9475</v>
      </c>
    </row>
    <row r="4120" ht="16.5" customHeight="1" spans="1:8">
      <c r="A4120" s="3">
        <v>4119</v>
      </c>
      <c r="B4120" s="3" t="s">
        <v>9476</v>
      </c>
      <c r="C4120" s="3" t="s">
        <v>1361</v>
      </c>
      <c r="D4120" s="4" t="s">
        <v>9477</v>
      </c>
      <c r="E4120" s="3" t="s">
        <v>1218</v>
      </c>
      <c r="F4120" s="3" t="s">
        <v>1358</v>
      </c>
      <c r="G4120" s="3" t="s">
        <v>321</v>
      </c>
      <c r="H4120" s="4"/>
    </row>
    <row r="4121" ht="16.5" customHeight="1" spans="1:8">
      <c r="A4121" s="3">
        <v>4120</v>
      </c>
      <c r="B4121" s="3" t="s">
        <v>9478</v>
      </c>
      <c r="C4121" s="3" t="s">
        <v>1361</v>
      </c>
      <c r="D4121" s="4" t="s">
        <v>9479</v>
      </c>
      <c r="E4121" s="3" t="s">
        <v>1218</v>
      </c>
      <c r="F4121" s="3" t="s">
        <v>1358</v>
      </c>
      <c r="G4121" s="3" t="s">
        <v>321</v>
      </c>
      <c r="H4121" s="4"/>
    </row>
    <row r="4122" ht="16.5" customHeight="1" spans="1:8">
      <c r="A4122" s="3">
        <v>4121</v>
      </c>
      <c r="B4122" s="3" t="s">
        <v>9480</v>
      </c>
      <c r="C4122" s="3" t="s">
        <v>2163</v>
      </c>
      <c r="D4122" s="4" t="s">
        <v>9481</v>
      </c>
      <c r="E4122" s="3" t="s">
        <v>1076</v>
      </c>
      <c r="F4122" s="3" t="s">
        <v>2041</v>
      </c>
      <c r="G4122" s="3" t="s">
        <v>321</v>
      </c>
      <c r="H4122" s="4" t="s">
        <v>4322</v>
      </c>
    </row>
    <row r="4123" ht="16.5" customHeight="1" spans="1:8">
      <c r="A4123" s="3">
        <v>4122</v>
      </c>
      <c r="B4123" s="3" t="s">
        <v>9482</v>
      </c>
      <c r="C4123" s="3" t="s">
        <v>2163</v>
      </c>
      <c r="D4123" s="4" t="s">
        <v>9483</v>
      </c>
      <c r="E4123" s="3" t="s">
        <v>1076</v>
      </c>
      <c r="F4123" s="3" t="s">
        <v>2041</v>
      </c>
      <c r="G4123" s="3" t="s">
        <v>321</v>
      </c>
      <c r="H4123" s="4" t="s">
        <v>1095</v>
      </c>
    </row>
    <row r="4124" ht="16.5" customHeight="1" spans="1:8">
      <c r="A4124" s="3">
        <v>4123</v>
      </c>
      <c r="B4124" s="3" t="s">
        <v>9484</v>
      </c>
      <c r="C4124" s="3" t="s">
        <v>2163</v>
      </c>
      <c r="D4124" s="4" t="s">
        <v>9485</v>
      </c>
      <c r="E4124" s="3" t="s">
        <v>2263</v>
      </c>
      <c r="F4124" s="3" t="s">
        <v>2105</v>
      </c>
      <c r="G4124" s="3"/>
      <c r="H4124" s="4" t="s">
        <v>4322</v>
      </c>
    </row>
    <row r="4125" ht="16.5" customHeight="1" spans="1:8">
      <c r="A4125" s="3">
        <v>4124</v>
      </c>
      <c r="B4125" s="3" t="s">
        <v>9486</v>
      </c>
      <c r="C4125" s="3" t="s">
        <v>2163</v>
      </c>
      <c r="D4125" s="4" t="s">
        <v>9487</v>
      </c>
      <c r="E4125" s="3" t="s">
        <v>1076</v>
      </c>
      <c r="F4125" s="3" t="s">
        <v>2105</v>
      </c>
      <c r="G4125" s="3"/>
      <c r="H4125" s="4" t="s">
        <v>3812</v>
      </c>
    </row>
    <row r="4126" ht="16.5" customHeight="1" spans="1:8">
      <c r="A4126" s="3">
        <v>4125</v>
      </c>
      <c r="B4126" s="3" t="s">
        <v>9488</v>
      </c>
      <c r="C4126" s="3" t="s">
        <v>2163</v>
      </c>
      <c r="D4126" s="4" t="s">
        <v>9489</v>
      </c>
      <c r="E4126" s="3" t="s">
        <v>2726</v>
      </c>
      <c r="F4126" s="3" t="s">
        <v>4668</v>
      </c>
      <c r="G4126" s="3"/>
      <c r="H4126" s="4" t="s">
        <v>5664</v>
      </c>
    </row>
    <row r="4127" ht="16.5" customHeight="1" spans="1:8">
      <c r="A4127" s="3">
        <v>4126</v>
      </c>
      <c r="B4127" s="3" t="s">
        <v>9490</v>
      </c>
      <c r="C4127" s="3" t="s">
        <v>2163</v>
      </c>
      <c r="D4127" s="4" t="s">
        <v>9491</v>
      </c>
      <c r="E4127" s="3" t="s">
        <v>1076</v>
      </c>
      <c r="F4127" s="3" t="s">
        <v>4668</v>
      </c>
      <c r="G4127" s="3"/>
      <c r="H4127" s="4" t="s">
        <v>9016</v>
      </c>
    </row>
    <row r="4128" ht="16.5" customHeight="1" spans="1:8">
      <c r="A4128" s="3">
        <v>4127</v>
      </c>
      <c r="B4128" s="3" t="s">
        <v>9492</v>
      </c>
      <c r="C4128" s="3" t="s">
        <v>2163</v>
      </c>
      <c r="D4128" s="4" t="s">
        <v>9493</v>
      </c>
      <c r="E4128" s="3" t="s">
        <v>1076</v>
      </c>
      <c r="F4128" s="3" t="s">
        <v>4668</v>
      </c>
      <c r="G4128" s="3"/>
      <c r="H4128" s="4" t="s">
        <v>3812</v>
      </c>
    </row>
    <row r="4129" ht="16.5" customHeight="1" spans="1:8">
      <c r="A4129" s="3">
        <v>4128</v>
      </c>
      <c r="B4129" s="3" t="s">
        <v>9494</v>
      </c>
      <c r="C4129" s="3" t="s">
        <v>2163</v>
      </c>
      <c r="D4129" s="4" t="s">
        <v>9495</v>
      </c>
      <c r="E4129" s="3" t="s">
        <v>2263</v>
      </c>
      <c r="F4129" s="3" t="s">
        <v>4668</v>
      </c>
      <c r="G4129" s="3"/>
      <c r="H4129" s="4" t="s">
        <v>9016</v>
      </c>
    </row>
    <row r="4130" ht="16.5" customHeight="1" spans="1:8">
      <c r="A4130" s="3">
        <v>4129</v>
      </c>
      <c r="B4130" s="3" t="s">
        <v>9496</v>
      </c>
      <c r="C4130" s="3" t="s">
        <v>2163</v>
      </c>
      <c r="D4130" s="4" t="s">
        <v>9497</v>
      </c>
      <c r="E4130" s="3" t="s">
        <v>1076</v>
      </c>
      <c r="F4130" s="3" t="s">
        <v>4668</v>
      </c>
      <c r="G4130" s="3"/>
      <c r="H4130" s="4" t="s">
        <v>5664</v>
      </c>
    </row>
    <row r="4131" ht="16.5" customHeight="1" spans="1:8">
      <c r="A4131" s="3">
        <v>4130</v>
      </c>
      <c r="B4131" s="3" t="s">
        <v>9498</v>
      </c>
      <c r="C4131" s="3" t="s">
        <v>2163</v>
      </c>
      <c r="D4131" s="4" t="s">
        <v>9499</v>
      </c>
      <c r="E4131" s="3" t="s">
        <v>2726</v>
      </c>
      <c r="F4131" s="3" t="s">
        <v>4668</v>
      </c>
      <c r="G4131" s="3"/>
      <c r="H4131" s="4" t="s">
        <v>6877</v>
      </c>
    </row>
    <row r="4132" ht="16.5" customHeight="1" spans="1:8">
      <c r="A4132" s="3">
        <v>4131</v>
      </c>
      <c r="B4132" s="3" t="s">
        <v>9500</v>
      </c>
      <c r="C4132" s="3" t="s">
        <v>2163</v>
      </c>
      <c r="D4132" s="4" t="s">
        <v>9501</v>
      </c>
      <c r="E4132" s="3" t="s">
        <v>1076</v>
      </c>
      <c r="F4132" s="3" t="s">
        <v>4668</v>
      </c>
      <c r="G4132" s="3"/>
      <c r="H4132" s="4" t="s">
        <v>6877</v>
      </c>
    </row>
    <row r="4133" ht="16.5" customHeight="1" spans="1:8">
      <c r="A4133" s="3">
        <v>4132</v>
      </c>
      <c r="B4133" s="3" t="s">
        <v>9502</v>
      </c>
      <c r="C4133" s="3" t="s">
        <v>1356</v>
      </c>
      <c r="D4133" s="4" t="s">
        <v>9503</v>
      </c>
      <c r="E4133" s="3" t="s">
        <v>1076</v>
      </c>
      <c r="F4133" s="3" t="s">
        <v>4668</v>
      </c>
      <c r="G4133" s="3"/>
      <c r="H4133" s="4" t="s">
        <v>9016</v>
      </c>
    </row>
    <row r="4134" ht="16.5" customHeight="1" spans="1:8">
      <c r="A4134" s="3">
        <v>4133</v>
      </c>
      <c r="B4134" s="3" t="s">
        <v>9504</v>
      </c>
      <c r="C4134" s="3" t="s">
        <v>2163</v>
      </c>
      <c r="D4134" s="4" t="s">
        <v>9505</v>
      </c>
      <c r="E4134" s="3" t="s">
        <v>2726</v>
      </c>
      <c r="F4134" s="3" t="s">
        <v>4668</v>
      </c>
      <c r="G4134" s="3"/>
      <c r="H4134" s="4" t="s">
        <v>6560</v>
      </c>
    </row>
    <row r="4135" ht="16.5" customHeight="1" spans="1:8">
      <c r="A4135" s="3">
        <v>4134</v>
      </c>
      <c r="B4135" s="3" t="s">
        <v>9506</v>
      </c>
      <c r="C4135" s="3" t="s">
        <v>2163</v>
      </c>
      <c r="D4135" s="4" t="s">
        <v>9507</v>
      </c>
      <c r="E4135" s="3" t="s">
        <v>1076</v>
      </c>
      <c r="F4135" s="3" t="s">
        <v>4668</v>
      </c>
      <c r="G4135" s="3"/>
      <c r="H4135" s="4" t="s">
        <v>3812</v>
      </c>
    </row>
    <row r="4136" ht="16.5" customHeight="1" spans="1:8">
      <c r="A4136" s="3">
        <v>4135</v>
      </c>
      <c r="B4136" s="3" t="s">
        <v>9508</v>
      </c>
      <c r="C4136" s="3" t="s">
        <v>1356</v>
      </c>
      <c r="D4136" s="4" t="s">
        <v>9509</v>
      </c>
      <c r="E4136" s="3" t="s">
        <v>1218</v>
      </c>
      <c r="F4136" s="3" t="s">
        <v>4668</v>
      </c>
      <c r="G4136" s="3"/>
      <c r="H4136" s="4" t="s">
        <v>6560</v>
      </c>
    </row>
    <row r="4137" ht="16.5" customHeight="1" spans="1:8">
      <c r="A4137" s="3">
        <v>4136</v>
      </c>
      <c r="B4137" s="3" t="s">
        <v>9510</v>
      </c>
      <c r="C4137" s="3" t="s">
        <v>2163</v>
      </c>
      <c r="D4137" s="4" t="s">
        <v>9511</v>
      </c>
      <c r="E4137" s="3" t="s">
        <v>1076</v>
      </c>
      <c r="F4137" s="3" t="s">
        <v>4668</v>
      </c>
      <c r="G4137" s="3"/>
      <c r="H4137" s="4" t="s">
        <v>9016</v>
      </c>
    </row>
    <row r="4138" ht="16.5" customHeight="1" spans="1:8">
      <c r="A4138" s="3">
        <v>4137</v>
      </c>
      <c r="B4138" s="3" t="s">
        <v>9512</v>
      </c>
      <c r="C4138" s="3" t="s">
        <v>2163</v>
      </c>
      <c r="D4138" s="4" t="s">
        <v>9513</v>
      </c>
      <c r="E4138" s="3" t="s">
        <v>1076</v>
      </c>
      <c r="F4138" s="3" t="s">
        <v>4668</v>
      </c>
      <c r="G4138" s="3"/>
      <c r="H4138" s="4" t="s">
        <v>6877</v>
      </c>
    </row>
    <row r="4139" ht="16.5" customHeight="1" spans="1:8">
      <c r="A4139" s="3">
        <v>4138</v>
      </c>
      <c r="B4139" s="3" t="s">
        <v>9514</v>
      </c>
      <c r="C4139" s="3" t="s">
        <v>2163</v>
      </c>
      <c r="D4139" s="4" t="s">
        <v>9515</v>
      </c>
      <c r="E4139" s="3" t="s">
        <v>1076</v>
      </c>
      <c r="F4139" s="3" t="s">
        <v>4668</v>
      </c>
      <c r="G4139" s="3"/>
      <c r="H4139" s="4" t="s">
        <v>4322</v>
      </c>
    </row>
    <row r="4140" ht="16.5" customHeight="1" spans="1:8">
      <c r="A4140" s="3">
        <v>4139</v>
      </c>
      <c r="B4140" s="3" t="s">
        <v>9516</v>
      </c>
      <c r="C4140" s="3" t="s">
        <v>1074</v>
      </c>
      <c r="D4140" s="4" t="s">
        <v>9517</v>
      </c>
      <c r="E4140" s="3" t="s">
        <v>1076</v>
      </c>
      <c r="F4140" s="3" t="s">
        <v>8175</v>
      </c>
      <c r="G4140" s="3"/>
      <c r="H4140" s="4" t="s">
        <v>9475</v>
      </c>
    </row>
    <row r="4141" ht="16.5" customHeight="1" spans="1:8">
      <c r="A4141" s="3">
        <v>4140</v>
      </c>
      <c r="B4141" s="3" t="s">
        <v>9518</v>
      </c>
      <c r="C4141" s="3" t="s">
        <v>2163</v>
      </c>
      <c r="D4141" s="4" t="s">
        <v>9519</v>
      </c>
      <c r="E4141" s="3" t="s">
        <v>1076</v>
      </c>
      <c r="F4141" s="3" t="s">
        <v>2041</v>
      </c>
      <c r="G4141" s="3"/>
      <c r="H4141" s="4" t="s">
        <v>4322</v>
      </c>
    </row>
    <row r="4142" ht="16.5" customHeight="1" spans="1:8">
      <c r="A4142" s="3">
        <v>4141</v>
      </c>
      <c r="B4142" s="3" t="s">
        <v>9520</v>
      </c>
      <c r="C4142" s="3" t="s">
        <v>1356</v>
      </c>
      <c r="D4142" s="4" t="s">
        <v>9521</v>
      </c>
      <c r="E4142" s="3" t="s">
        <v>1076</v>
      </c>
      <c r="F4142" s="3" t="s">
        <v>2041</v>
      </c>
      <c r="G4142" s="3" t="s">
        <v>321</v>
      </c>
      <c r="H4142" s="4" t="s">
        <v>4322</v>
      </c>
    </row>
    <row r="4143" ht="16.5" customHeight="1" spans="1:8">
      <c r="A4143" s="3">
        <v>4142</v>
      </c>
      <c r="B4143" s="3" t="s">
        <v>9522</v>
      </c>
      <c r="C4143" s="3" t="s">
        <v>1356</v>
      </c>
      <c r="D4143" s="4" t="s">
        <v>9523</v>
      </c>
      <c r="E4143" s="3" t="s">
        <v>1076</v>
      </c>
      <c r="F4143" s="3" t="s">
        <v>1358</v>
      </c>
      <c r="G4143" s="3" t="s">
        <v>321</v>
      </c>
      <c r="H4143" s="4"/>
    </row>
    <row r="4144" ht="16.5" customHeight="1" spans="1:8">
      <c r="A4144" s="3">
        <v>4143</v>
      </c>
      <c r="B4144" s="3" t="s">
        <v>9524</v>
      </c>
      <c r="C4144" s="3" t="s">
        <v>1356</v>
      </c>
      <c r="D4144" s="4" t="s">
        <v>9525</v>
      </c>
      <c r="E4144" s="3" t="s">
        <v>1076</v>
      </c>
      <c r="F4144" s="3" t="s">
        <v>1358</v>
      </c>
      <c r="G4144" s="3" t="s">
        <v>321</v>
      </c>
      <c r="H4144" s="4"/>
    </row>
    <row r="4145" ht="16.5" customHeight="1" spans="1:8">
      <c r="A4145" s="3">
        <v>4144</v>
      </c>
      <c r="B4145" s="3" t="s">
        <v>9526</v>
      </c>
      <c r="C4145" s="3" t="s">
        <v>1356</v>
      </c>
      <c r="D4145" s="4" t="s">
        <v>9527</v>
      </c>
      <c r="E4145" s="3" t="s">
        <v>1076</v>
      </c>
      <c r="F4145" s="3" t="s">
        <v>8175</v>
      </c>
      <c r="G4145" s="3"/>
      <c r="H4145" s="4" t="s">
        <v>3812</v>
      </c>
    </row>
    <row r="4146" ht="16.5" customHeight="1" spans="1:8">
      <c r="A4146" s="3">
        <v>4145</v>
      </c>
      <c r="B4146" s="3" t="s">
        <v>9528</v>
      </c>
      <c r="C4146" s="3" t="s">
        <v>1074</v>
      </c>
      <c r="D4146" s="4" t="s">
        <v>9529</v>
      </c>
      <c r="E4146" s="3" t="s">
        <v>1218</v>
      </c>
      <c r="F4146" s="3" t="s">
        <v>8175</v>
      </c>
      <c r="G4146" s="3"/>
      <c r="H4146" s="4" t="s">
        <v>4322</v>
      </c>
    </row>
    <row r="4147" ht="16.5" customHeight="1" spans="1:8">
      <c r="A4147" s="3">
        <v>4146</v>
      </c>
      <c r="B4147" s="3" t="s">
        <v>9530</v>
      </c>
      <c r="C4147" s="3" t="s">
        <v>1074</v>
      </c>
      <c r="D4147" s="4" t="s">
        <v>9531</v>
      </c>
      <c r="E4147" s="3" t="s">
        <v>1218</v>
      </c>
      <c r="F4147" s="3" t="s">
        <v>8175</v>
      </c>
      <c r="G4147" s="3"/>
      <c r="H4147" s="4" t="s">
        <v>4322</v>
      </c>
    </row>
    <row r="4148" ht="16.5" customHeight="1" spans="1:8">
      <c r="A4148" s="3">
        <v>4147</v>
      </c>
      <c r="B4148" s="3" t="s">
        <v>9532</v>
      </c>
      <c r="C4148" s="3" t="s">
        <v>1074</v>
      </c>
      <c r="D4148" s="4" t="s">
        <v>9533</v>
      </c>
      <c r="E4148" s="3" t="s">
        <v>1218</v>
      </c>
      <c r="F4148" s="3" t="s">
        <v>8175</v>
      </c>
      <c r="G4148" s="3"/>
      <c r="H4148" s="4" t="s">
        <v>4322</v>
      </c>
    </row>
    <row r="4149" ht="16.5" customHeight="1" spans="1:8">
      <c r="A4149" s="3">
        <v>4148</v>
      </c>
      <c r="B4149" s="3" t="s">
        <v>9534</v>
      </c>
      <c r="C4149" s="3" t="s">
        <v>1074</v>
      </c>
      <c r="D4149" s="4" t="s">
        <v>9535</v>
      </c>
      <c r="E4149" s="3" t="s">
        <v>1218</v>
      </c>
      <c r="F4149" s="3" t="s">
        <v>8175</v>
      </c>
      <c r="G4149" s="3"/>
      <c r="H4149" s="4" t="s">
        <v>2181</v>
      </c>
    </row>
    <row r="4150" ht="16.5" customHeight="1" spans="1:8">
      <c r="A4150" s="3">
        <v>4149</v>
      </c>
      <c r="B4150" s="3" t="s">
        <v>9536</v>
      </c>
      <c r="C4150" s="3" t="s">
        <v>1074</v>
      </c>
      <c r="D4150" s="4" t="s">
        <v>9537</v>
      </c>
      <c r="E4150" s="3" t="s">
        <v>1218</v>
      </c>
      <c r="F4150" s="3" t="s">
        <v>8175</v>
      </c>
      <c r="G4150" s="3"/>
      <c r="H4150" s="4" t="s">
        <v>2181</v>
      </c>
    </row>
    <row r="4151" ht="16.5" customHeight="1" spans="1:8">
      <c r="A4151" s="3">
        <v>4150</v>
      </c>
      <c r="B4151" s="3" t="s">
        <v>9538</v>
      </c>
      <c r="C4151" s="3" t="s">
        <v>1074</v>
      </c>
      <c r="D4151" s="4" t="s">
        <v>500</v>
      </c>
      <c r="E4151" s="3" t="s">
        <v>1218</v>
      </c>
      <c r="F4151" s="3" t="s">
        <v>8175</v>
      </c>
      <c r="G4151" s="3"/>
      <c r="H4151" s="4" t="s">
        <v>2181</v>
      </c>
    </row>
    <row r="4152" ht="16.5" customHeight="1" spans="1:8">
      <c r="A4152" s="3">
        <v>4151</v>
      </c>
      <c r="B4152" s="3" t="s">
        <v>9539</v>
      </c>
      <c r="C4152" s="3" t="s">
        <v>1074</v>
      </c>
      <c r="D4152" s="4" t="s">
        <v>9540</v>
      </c>
      <c r="E4152" s="3" t="s">
        <v>1218</v>
      </c>
      <c r="F4152" s="3" t="s">
        <v>8175</v>
      </c>
      <c r="G4152" s="3"/>
      <c r="H4152" s="4" t="s">
        <v>1359</v>
      </c>
    </row>
    <row r="4153" ht="16.5" customHeight="1" spans="1:8">
      <c r="A4153" s="3">
        <v>4152</v>
      </c>
      <c r="B4153" s="3" t="s">
        <v>9541</v>
      </c>
      <c r="C4153" s="3" t="s">
        <v>1074</v>
      </c>
      <c r="D4153" s="4" t="s">
        <v>8709</v>
      </c>
      <c r="E4153" s="3" t="s">
        <v>1218</v>
      </c>
      <c r="F4153" s="3" t="s">
        <v>8175</v>
      </c>
      <c r="G4153" s="3"/>
      <c r="H4153" s="4" t="s">
        <v>5533</v>
      </c>
    </row>
    <row r="4154" ht="16.5" customHeight="1" spans="1:8">
      <c r="A4154" s="3">
        <v>4153</v>
      </c>
      <c r="B4154" s="3" t="s">
        <v>9542</v>
      </c>
      <c r="C4154" s="3" t="s">
        <v>1074</v>
      </c>
      <c r="D4154" s="4" t="s">
        <v>9543</v>
      </c>
      <c r="E4154" s="3" t="s">
        <v>1218</v>
      </c>
      <c r="F4154" s="3" t="s">
        <v>8175</v>
      </c>
      <c r="G4154" s="3"/>
      <c r="H4154" s="4" t="s">
        <v>3812</v>
      </c>
    </row>
    <row r="4155" ht="16.5" customHeight="1" spans="1:8">
      <c r="A4155" s="3">
        <v>4154</v>
      </c>
      <c r="B4155" s="3" t="s">
        <v>9544</v>
      </c>
      <c r="C4155" s="3" t="s">
        <v>1074</v>
      </c>
      <c r="D4155" s="4" t="s">
        <v>9545</v>
      </c>
      <c r="E4155" s="3" t="s">
        <v>1218</v>
      </c>
      <c r="F4155" s="3" t="s">
        <v>8175</v>
      </c>
      <c r="G4155" s="3"/>
      <c r="H4155" s="4" t="s">
        <v>6877</v>
      </c>
    </row>
    <row r="4156" ht="16.5" customHeight="1" spans="1:8">
      <c r="A4156" s="3">
        <v>4155</v>
      </c>
      <c r="B4156" s="3" t="s">
        <v>9546</v>
      </c>
      <c r="C4156" s="3" t="s">
        <v>2163</v>
      </c>
      <c r="D4156" s="4" t="s">
        <v>9547</v>
      </c>
      <c r="E4156" s="3" t="s">
        <v>1076</v>
      </c>
      <c r="F4156" s="3" t="s">
        <v>1358</v>
      </c>
      <c r="G4156" s="3" t="s">
        <v>321</v>
      </c>
      <c r="H4156" s="4" t="s">
        <v>1359</v>
      </c>
    </row>
    <row r="4157" ht="16.5" customHeight="1" spans="1:8">
      <c r="A4157" s="3">
        <v>4156</v>
      </c>
      <c r="B4157" s="3" t="s">
        <v>9548</v>
      </c>
      <c r="C4157" s="3" t="s">
        <v>1361</v>
      </c>
      <c r="D4157" s="4" t="s">
        <v>9549</v>
      </c>
      <c r="E4157" s="3" t="s">
        <v>1218</v>
      </c>
      <c r="F4157" s="3" t="s">
        <v>1358</v>
      </c>
      <c r="G4157" s="3" t="s">
        <v>321</v>
      </c>
      <c r="H4157" s="4"/>
    </row>
    <row r="4158" ht="16.5" customHeight="1" spans="1:8">
      <c r="A4158" s="3">
        <v>4157</v>
      </c>
      <c r="B4158" s="3" t="s">
        <v>9550</v>
      </c>
      <c r="C4158" s="3" t="s">
        <v>1361</v>
      </c>
      <c r="D4158" s="4" t="s">
        <v>9551</v>
      </c>
      <c r="E4158" s="3" t="s">
        <v>1218</v>
      </c>
      <c r="F4158" s="3" t="s">
        <v>1358</v>
      </c>
      <c r="G4158" s="3" t="s">
        <v>321</v>
      </c>
      <c r="H4158" s="4"/>
    </row>
    <row r="4159" ht="16.5" customHeight="1" spans="1:8">
      <c r="A4159" s="3">
        <v>4158</v>
      </c>
      <c r="B4159" s="3" t="s">
        <v>9552</v>
      </c>
      <c r="C4159" s="3" t="s">
        <v>1361</v>
      </c>
      <c r="D4159" s="4" t="s">
        <v>9553</v>
      </c>
      <c r="E4159" s="3" t="s">
        <v>1218</v>
      </c>
      <c r="F4159" s="3" t="s">
        <v>1358</v>
      </c>
      <c r="G4159" s="3" t="s">
        <v>321</v>
      </c>
      <c r="H4159" s="4"/>
    </row>
    <row r="4160" ht="16.5" customHeight="1" spans="1:8">
      <c r="A4160" s="3">
        <v>4159</v>
      </c>
      <c r="B4160" s="3" t="s">
        <v>9554</v>
      </c>
      <c r="C4160" s="3" t="s">
        <v>1361</v>
      </c>
      <c r="D4160" s="4" t="s">
        <v>9555</v>
      </c>
      <c r="E4160" s="3" t="s">
        <v>1218</v>
      </c>
      <c r="F4160" s="3" t="s">
        <v>1358</v>
      </c>
      <c r="G4160" s="3" t="s">
        <v>321</v>
      </c>
      <c r="H4160" s="4" t="s">
        <v>1095</v>
      </c>
    </row>
    <row r="4161" ht="16.5" customHeight="1" spans="1:8">
      <c r="A4161" s="3">
        <v>4160</v>
      </c>
      <c r="B4161" s="3" t="s">
        <v>9556</v>
      </c>
      <c r="C4161" s="3" t="s">
        <v>1361</v>
      </c>
      <c r="D4161" s="4" t="s">
        <v>9557</v>
      </c>
      <c r="E4161" s="3" t="s">
        <v>1218</v>
      </c>
      <c r="F4161" s="3" t="s">
        <v>1358</v>
      </c>
      <c r="G4161" s="3" t="s">
        <v>321</v>
      </c>
      <c r="H4161" s="4" t="s">
        <v>1095</v>
      </c>
    </row>
    <row r="4162" ht="16.5" customHeight="1" spans="1:8">
      <c r="A4162" s="3">
        <v>4161</v>
      </c>
      <c r="B4162" s="3" t="s">
        <v>9558</v>
      </c>
      <c r="C4162" s="3" t="s">
        <v>1361</v>
      </c>
      <c r="D4162" s="4" t="s">
        <v>9559</v>
      </c>
      <c r="E4162" s="3" t="s">
        <v>1218</v>
      </c>
      <c r="F4162" s="3" t="s">
        <v>1358</v>
      </c>
      <c r="G4162" s="3" t="s">
        <v>321</v>
      </c>
      <c r="H4162" s="4"/>
    </row>
    <row r="4163" ht="16.5" customHeight="1" spans="1:8">
      <c r="A4163" s="3">
        <v>4162</v>
      </c>
      <c r="B4163" s="3" t="s">
        <v>9560</v>
      </c>
      <c r="C4163" s="3" t="s">
        <v>1361</v>
      </c>
      <c r="D4163" s="4" t="s">
        <v>9561</v>
      </c>
      <c r="E4163" s="3" t="s">
        <v>1218</v>
      </c>
      <c r="F4163" s="3" t="s">
        <v>1358</v>
      </c>
      <c r="G4163" s="3" t="s">
        <v>321</v>
      </c>
      <c r="H4163" s="4"/>
    </row>
    <row r="4164" ht="16.5" customHeight="1" spans="1:8">
      <c r="A4164" s="3">
        <v>4163</v>
      </c>
      <c r="B4164" s="3" t="s">
        <v>9562</v>
      </c>
      <c r="C4164" s="3" t="s">
        <v>1361</v>
      </c>
      <c r="D4164" s="4" t="s">
        <v>9563</v>
      </c>
      <c r="E4164" s="3" t="s">
        <v>1218</v>
      </c>
      <c r="F4164" s="3" t="s">
        <v>1358</v>
      </c>
      <c r="G4164" s="3" t="s">
        <v>321</v>
      </c>
      <c r="H4164" s="4"/>
    </row>
    <row r="4165" ht="16.5" customHeight="1" spans="1:8">
      <c r="A4165" s="3">
        <v>4164</v>
      </c>
      <c r="B4165" s="3" t="s">
        <v>9564</v>
      </c>
      <c r="C4165" s="3" t="s">
        <v>1361</v>
      </c>
      <c r="D4165" s="4" t="s">
        <v>9565</v>
      </c>
      <c r="E4165" s="3" t="s">
        <v>1218</v>
      </c>
      <c r="F4165" s="3" t="s">
        <v>1358</v>
      </c>
      <c r="G4165" s="3" t="s">
        <v>321</v>
      </c>
      <c r="H4165" s="4"/>
    </row>
    <row r="4166" ht="16.5" customHeight="1" spans="1:8">
      <c r="A4166" s="3">
        <v>4165</v>
      </c>
      <c r="B4166" s="3" t="s">
        <v>9566</v>
      </c>
      <c r="C4166" s="3" t="s">
        <v>1361</v>
      </c>
      <c r="D4166" s="4" t="s">
        <v>9567</v>
      </c>
      <c r="E4166" s="3" t="s">
        <v>1218</v>
      </c>
      <c r="F4166" s="3" t="s">
        <v>1358</v>
      </c>
      <c r="G4166" s="3" t="s">
        <v>321</v>
      </c>
      <c r="H4166" s="4"/>
    </row>
    <row r="4167" ht="16.5" customHeight="1" spans="1:8">
      <c r="A4167" s="3">
        <v>4166</v>
      </c>
      <c r="B4167" s="3" t="s">
        <v>9568</v>
      </c>
      <c r="C4167" s="3" t="s">
        <v>2163</v>
      </c>
      <c r="D4167" s="4" t="s">
        <v>9569</v>
      </c>
      <c r="E4167" s="3" t="s">
        <v>1076</v>
      </c>
      <c r="F4167" s="3" t="s">
        <v>2105</v>
      </c>
      <c r="G4167" s="3" t="s">
        <v>98</v>
      </c>
      <c r="H4167" s="4" t="s">
        <v>4322</v>
      </c>
    </row>
    <row r="4168" ht="16.5" customHeight="1" spans="1:8">
      <c r="A4168" s="3">
        <v>4167</v>
      </c>
      <c r="B4168" s="3" t="s">
        <v>9570</v>
      </c>
      <c r="C4168" s="3" t="s">
        <v>2163</v>
      </c>
      <c r="D4168" s="4" t="s">
        <v>9571</v>
      </c>
      <c r="E4168" s="3" t="s">
        <v>1076</v>
      </c>
      <c r="F4168" s="3" t="s">
        <v>2105</v>
      </c>
      <c r="G4168" s="3"/>
      <c r="H4168" s="4" t="s">
        <v>6877</v>
      </c>
    </row>
    <row r="4169" ht="16.5" customHeight="1" spans="1:8">
      <c r="A4169" s="3">
        <v>4168</v>
      </c>
      <c r="B4169" s="3" t="s">
        <v>9572</v>
      </c>
      <c r="C4169" s="3" t="s">
        <v>1361</v>
      </c>
      <c r="D4169" s="4" t="s">
        <v>9573</v>
      </c>
      <c r="E4169" s="3" t="s">
        <v>1218</v>
      </c>
      <c r="F4169" s="3" t="s">
        <v>1358</v>
      </c>
      <c r="G4169" s="3" t="s">
        <v>321</v>
      </c>
      <c r="H4169" s="4"/>
    </row>
    <row r="4170" ht="16.5" customHeight="1" spans="1:8">
      <c r="A4170" s="3">
        <v>4169</v>
      </c>
      <c r="B4170" s="3" t="s">
        <v>9574</v>
      </c>
      <c r="C4170" s="3" t="s">
        <v>1361</v>
      </c>
      <c r="D4170" s="4" t="s">
        <v>9575</v>
      </c>
      <c r="E4170" s="3" t="s">
        <v>1218</v>
      </c>
      <c r="F4170" s="3" t="s">
        <v>1358</v>
      </c>
      <c r="G4170" s="3" t="s">
        <v>321</v>
      </c>
      <c r="H4170" s="4"/>
    </row>
    <row r="4171" ht="16.5" customHeight="1" spans="1:8">
      <c r="A4171" s="3">
        <v>4170</v>
      </c>
      <c r="B4171" s="3" t="s">
        <v>9576</v>
      </c>
      <c r="C4171" s="3" t="s">
        <v>1361</v>
      </c>
      <c r="D4171" s="4" t="s">
        <v>9577</v>
      </c>
      <c r="E4171" s="3" t="s">
        <v>1218</v>
      </c>
      <c r="F4171" s="3" t="s">
        <v>1358</v>
      </c>
      <c r="G4171" s="3" t="s">
        <v>321</v>
      </c>
      <c r="H4171" s="4"/>
    </row>
    <row r="4172" ht="16.5" customHeight="1" spans="1:8">
      <c r="A4172" s="3">
        <v>4171</v>
      </c>
      <c r="B4172" s="3" t="s">
        <v>9578</v>
      </c>
      <c r="C4172" s="3" t="s">
        <v>1361</v>
      </c>
      <c r="D4172" s="4" t="s">
        <v>9579</v>
      </c>
      <c r="E4172" s="3" t="s">
        <v>1218</v>
      </c>
      <c r="F4172" s="3" t="s">
        <v>1358</v>
      </c>
      <c r="G4172" s="3"/>
      <c r="H4172" s="4"/>
    </row>
    <row r="4173" ht="16.5" customHeight="1" spans="1:8">
      <c r="A4173" s="3">
        <v>4172</v>
      </c>
      <c r="B4173" s="3" t="s">
        <v>9580</v>
      </c>
      <c r="C4173" s="3" t="s">
        <v>1361</v>
      </c>
      <c r="D4173" s="4" t="s">
        <v>9581</v>
      </c>
      <c r="E4173" s="3" t="s">
        <v>1218</v>
      </c>
      <c r="F4173" s="3" t="s">
        <v>1358</v>
      </c>
      <c r="G4173" s="3" t="s">
        <v>321</v>
      </c>
      <c r="H4173" s="4"/>
    </row>
    <row r="4174" ht="16.5" customHeight="1" spans="1:8">
      <c r="A4174" s="3">
        <v>4173</v>
      </c>
      <c r="B4174" s="3" t="s">
        <v>9582</v>
      </c>
      <c r="C4174" s="3" t="s">
        <v>1361</v>
      </c>
      <c r="D4174" s="4" t="s">
        <v>9583</v>
      </c>
      <c r="E4174" s="3" t="s">
        <v>1218</v>
      </c>
      <c r="F4174" s="3" t="s">
        <v>1358</v>
      </c>
      <c r="G4174" s="3" t="s">
        <v>321</v>
      </c>
      <c r="H4174" s="4"/>
    </row>
    <row r="4175" ht="16.5" customHeight="1" spans="1:8">
      <c r="A4175" s="3">
        <v>4174</v>
      </c>
      <c r="B4175" s="3" t="s">
        <v>9584</v>
      </c>
      <c r="C4175" s="3" t="s">
        <v>1361</v>
      </c>
      <c r="D4175" s="4" t="s">
        <v>9585</v>
      </c>
      <c r="E4175" s="3" t="s">
        <v>1218</v>
      </c>
      <c r="F4175" s="3" t="s">
        <v>2041</v>
      </c>
      <c r="G4175" s="3" t="s">
        <v>321</v>
      </c>
      <c r="H4175" s="4"/>
    </row>
    <row r="4176" ht="16.5" customHeight="1" spans="1:8">
      <c r="A4176" s="3">
        <v>4175</v>
      </c>
      <c r="B4176" s="3" t="s">
        <v>9586</v>
      </c>
      <c r="C4176" s="3" t="s">
        <v>1361</v>
      </c>
      <c r="D4176" s="4" t="s">
        <v>9587</v>
      </c>
      <c r="E4176" s="3" t="s">
        <v>1218</v>
      </c>
      <c r="F4176" s="3" t="s">
        <v>2041</v>
      </c>
      <c r="G4176" s="3" t="s">
        <v>321</v>
      </c>
      <c r="H4176" s="4"/>
    </row>
    <row r="4177" ht="16.5" customHeight="1" spans="1:8">
      <c r="A4177" s="3">
        <v>4176</v>
      </c>
      <c r="B4177" s="3" t="s">
        <v>9588</v>
      </c>
      <c r="C4177" s="3" t="s">
        <v>1361</v>
      </c>
      <c r="D4177" s="4" t="s">
        <v>9589</v>
      </c>
      <c r="E4177" s="3" t="s">
        <v>1218</v>
      </c>
      <c r="F4177" s="3" t="s">
        <v>2041</v>
      </c>
      <c r="G4177" s="3" t="s">
        <v>321</v>
      </c>
      <c r="H4177" s="4"/>
    </row>
    <row r="4178" ht="16.5" customHeight="1" spans="1:8">
      <c r="A4178" s="3">
        <v>4177</v>
      </c>
      <c r="B4178" s="3" t="s">
        <v>9590</v>
      </c>
      <c r="C4178" s="3" t="s">
        <v>1361</v>
      </c>
      <c r="D4178" s="4" t="s">
        <v>9591</v>
      </c>
      <c r="E4178" s="3" t="s">
        <v>1218</v>
      </c>
      <c r="F4178" s="3" t="s">
        <v>2041</v>
      </c>
      <c r="G4178" s="3" t="s">
        <v>321</v>
      </c>
      <c r="H4178" s="4"/>
    </row>
    <row r="4179" ht="16.5" customHeight="1" spans="1:8">
      <c r="A4179" s="3">
        <v>4178</v>
      </c>
      <c r="B4179" s="3" t="s">
        <v>9592</v>
      </c>
      <c r="C4179" s="3" t="s">
        <v>1361</v>
      </c>
      <c r="D4179" s="4" t="s">
        <v>9593</v>
      </c>
      <c r="E4179" s="3" t="s">
        <v>1218</v>
      </c>
      <c r="F4179" s="3" t="s">
        <v>2041</v>
      </c>
      <c r="G4179" s="3" t="s">
        <v>321</v>
      </c>
      <c r="H4179" s="4"/>
    </row>
    <row r="4180" ht="16.5" customHeight="1" spans="1:8">
      <c r="A4180" s="3">
        <v>4179</v>
      </c>
      <c r="B4180" s="3" t="s">
        <v>9594</v>
      </c>
      <c r="C4180" s="3" t="s">
        <v>1361</v>
      </c>
      <c r="D4180" s="4" t="s">
        <v>9595</v>
      </c>
      <c r="E4180" s="3" t="s">
        <v>1218</v>
      </c>
      <c r="F4180" s="3" t="s">
        <v>2041</v>
      </c>
      <c r="G4180" s="3" t="s">
        <v>321</v>
      </c>
      <c r="H4180" s="4"/>
    </row>
    <row r="4181" ht="16.5" customHeight="1" spans="1:8">
      <c r="A4181" s="3">
        <v>4180</v>
      </c>
      <c r="B4181" s="3" t="s">
        <v>9596</v>
      </c>
      <c r="C4181" s="3" t="s">
        <v>2163</v>
      </c>
      <c r="D4181" s="4" t="s">
        <v>9597</v>
      </c>
      <c r="E4181" s="3" t="s">
        <v>1076</v>
      </c>
      <c r="F4181" s="3" t="s">
        <v>2041</v>
      </c>
      <c r="G4181" s="3" t="s">
        <v>321</v>
      </c>
      <c r="H4181" s="4" t="s">
        <v>3354</v>
      </c>
    </row>
    <row r="4182" ht="16.5" customHeight="1" spans="1:8">
      <c r="A4182" s="3">
        <v>4181</v>
      </c>
      <c r="B4182" s="3" t="s">
        <v>9598</v>
      </c>
      <c r="C4182" s="3" t="s">
        <v>2163</v>
      </c>
      <c r="D4182" s="4" t="s">
        <v>9599</v>
      </c>
      <c r="E4182" s="3" t="s">
        <v>1076</v>
      </c>
      <c r="F4182" s="3" t="s">
        <v>2105</v>
      </c>
      <c r="G4182" s="3"/>
      <c r="H4182" s="4" t="s">
        <v>3812</v>
      </c>
    </row>
    <row r="4183" ht="16.5" customHeight="1" spans="1:8">
      <c r="A4183" s="3">
        <v>4182</v>
      </c>
      <c r="B4183" s="3" t="s">
        <v>9600</v>
      </c>
      <c r="C4183" s="3" t="s">
        <v>1361</v>
      </c>
      <c r="D4183" s="4" t="s">
        <v>9601</v>
      </c>
      <c r="E4183" s="3" t="s">
        <v>1218</v>
      </c>
      <c r="F4183" s="3" t="s">
        <v>2105</v>
      </c>
      <c r="G4183" s="3"/>
      <c r="H4183" s="4"/>
    </row>
    <row r="4184" ht="16.5" customHeight="1" spans="1:8">
      <c r="A4184" s="3">
        <v>4183</v>
      </c>
      <c r="B4184" s="3" t="s">
        <v>9602</v>
      </c>
      <c r="C4184" s="3" t="s">
        <v>1361</v>
      </c>
      <c r="D4184" s="4" t="s">
        <v>9603</v>
      </c>
      <c r="E4184" s="3" t="s">
        <v>1218</v>
      </c>
      <c r="F4184" s="3" t="s">
        <v>2105</v>
      </c>
      <c r="G4184" s="3"/>
      <c r="H4184" s="4"/>
    </row>
    <row r="4185" ht="16.5" customHeight="1" spans="1:8">
      <c r="A4185" s="3">
        <v>4184</v>
      </c>
      <c r="B4185" s="3" t="s">
        <v>9604</v>
      </c>
      <c r="C4185" s="3" t="s">
        <v>1361</v>
      </c>
      <c r="D4185" s="4" t="s">
        <v>9605</v>
      </c>
      <c r="E4185" s="3" t="s">
        <v>1218</v>
      </c>
      <c r="F4185" s="3" t="s">
        <v>2105</v>
      </c>
      <c r="G4185" s="3"/>
      <c r="H4185" s="4"/>
    </row>
    <row r="4186" ht="16.5" customHeight="1" spans="1:8">
      <c r="A4186" s="3">
        <v>4185</v>
      </c>
      <c r="B4186" s="3" t="s">
        <v>9606</v>
      </c>
      <c r="C4186" s="3" t="s">
        <v>1361</v>
      </c>
      <c r="D4186" s="4" t="s">
        <v>9607</v>
      </c>
      <c r="E4186" s="3" t="s">
        <v>1218</v>
      </c>
      <c r="F4186" s="3" t="s">
        <v>2105</v>
      </c>
      <c r="G4186" s="3"/>
      <c r="H4186" s="4"/>
    </row>
    <row r="4187" ht="16.5" customHeight="1" spans="1:8">
      <c r="A4187" s="3">
        <v>4186</v>
      </c>
      <c r="B4187" s="3" t="s">
        <v>9608</v>
      </c>
      <c r="C4187" s="3" t="s">
        <v>1361</v>
      </c>
      <c r="D4187" s="4" t="s">
        <v>9609</v>
      </c>
      <c r="E4187" s="3" t="s">
        <v>1218</v>
      </c>
      <c r="F4187" s="3" t="s">
        <v>2105</v>
      </c>
      <c r="G4187" s="3"/>
      <c r="H4187" s="4"/>
    </row>
    <row r="4188" ht="16.5" customHeight="1" spans="1:8">
      <c r="A4188" s="3">
        <v>4187</v>
      </c>
      <c r="B4188" s="3" t="s">
        <v>9610</v>
      </c>
      <c r="C4188" s="3" t="s">
        <v>1361</v>
      </c>
      <c r="D4188" s="4" t="s">
        <v>9611</v>
      </c>
      <c r="E4188" s="3" t="s">
        <v>1218</v>
      </c>
      <c r="F4188" s="3" t="s">
        <v>2105</v>
      </c>
      <c r="G4188" s="3"/>
      <c r="H4188" s="4"/>
    </row>
    <row r="4189" ht="16.5" customHeight="1" spans="1:8">
      <c r="A4189" s="3">
        <v>4188</v>
      </c>
      <c r="B4189" s="3" t="s">
        <v>9612</v>
      </c>
      <c r="C4189" s="3" t="s">
        <v>1361</v>
      </c>
      <c r="D4189" s="4" t="s">
        <v>9613</v>
      </c>
      <c r="E4189" s="3" t="s">
        <v>1218</v>
      </c>
      <c r="F4189" s="3" t="s">
        <v>2105</v>
      </c>
      <c r="G4189" s="3"/>
      <c r="H4189" s="4"/>
    </row>
    <row r="4190" ht="16.5" customHeight="1" spans="1:8">
      <c r="A4190" s="3">
        <v>4189</v>
      </c>
      <c r="B4190" s="3" t="s">
        <v>9614</v>
      </c>
      <c r="C4190" s="3" t="s">
        <v>1361</v>
      </c>
      <c r="D4190" s="4" t="s">
        <v>9615</v>
      </c>
      <c r="E4190" s="3" t="s">
        <v>1218</v>
      </c>
      <c r="F4190" s="3" t="s">
        <v>2105</v>
      </c>
      <c r="G4190" s="3"/>
      <c r="H4190" s="4"/>
    </row>
    <row r="4191" ht="16.5" customHeight="1" spans="1:8">
      <c r="A4191" s="3">
        <v>4190</v>
      </c>
      <c r="B4191" s="3" t="s">
        <v>9616</v>
      </c>
      <c r="C4191" s="3" t="s">
        <v>1361</v>
      </c>
      <c r="D4191" s="4" t="s">
        <v>9617</v>
      </c>
      <c r="E4191" s="3" t="s">
        <v>1218</v>
      </c>
      <c r="F4191" s="3" t="s">
        <v>2105</v>
      </c>
      <c r="G4191" s="3"/>
      <c r="H4191" s="4"/>
    </row>
    <row r="4192" ht="16.5" customHeight="1" spans="1:8">
      <c r="A4192" s="3">
        <v>4191</v>
      </c>
      <c r="B4192" s="3" t="s">
        <v>9618</v>
      </c>
      <c r="C4192" s="3" t="s">
        <v>1361</v>
      </c>
      <c r="D4192" s="4" t="s">
        <v>9619</v>
      </c>
      <c r="E4192" s="3" t="s">
        <v>1218</v>
      </c>
      <c r="F4192" s="3" t="s">
        <v>2105</v>
      </c>
      <c r="G4192" s="3"/>
      <c r="H4192" s="4"/>
    </row>
    <row r="4193" ht="16.5" customHeight="1" spans="1:8">
      <c r="A4193" s="3">
        <v>4192</v>
      </c>
      <c r="B4193" s="3" t="s">
        <v>9620</v>
      </c>
      <c r="C4193" s="3" t="s">
        <v>1361</v>
      </c>
      <c r="D4193" s="4" t="s">
        <v>9621</v>
      </c>
      <c r="E4193" s="3" t="s">
        <v>1218</v>
      </c>
      <c r="F4193" s="3" t="s">
        <v>2105</v>
      </c>
      <c r="G4193" s="3"/>
      <c r="H4193" s="4"/>
    </row>
    <row r="4194" ht="16.5" customHeight="1" spans="1:8">
      <c r="A4194" s="3">
        <v>4193</v>
      </c>
      <c r="B4194" s="3" t="s">
        <v>9622</v>
      </c>
      <c r="C4194" s="3" t="s">
        <v>1361</v>
      </c>
      <c r="D4194" s="4" t="s">
        <v>9623</v>
      </c>
      <c r="E4194" s="3" t="s">
        <v>1218</v>
      </c>
      <c r="F4194" s="3" t="s">
        <v>2105</v>
      </c>
      <c r="G4194" s="3"/>
      <c r="H4194" s="4"/>
    </row>
    <row r="4195" ht="16.5" customHeight="1" spans="1:8">
      <c r="A4195" s="3">
        <v>4194</v>
      </c>
      <c r="B4195" s="3" t="s">
        <v>9624</v>
      </c>
      <c r="C4195" s="3" t="s">
        <v>1361</v>
      </c>
      <c r="D4195" s="4" t="s">
        <v>9625</v>
      </c>
      <c r="E4195" s="3" t="s">
        <v>1218</v>
      </c>
      <c r="F4195" s="3" t="s">
        <v>2105</v>
      </c>
      <c r="G4195" s="3"/>
      <c r="H4195" s="4"/>
    </row>
    <row r="4196" ht="16.5" customHeight="1" spans="1:8">
      <c r="A4196" s="3">
        <v>4195</v>
      </c>
      <c r="B4196" s="3" t="s">
        <v>9626</v>
      </c>
      <c r="C4196" s="3" t="s">
        <v>1361</v>
      </c>
      <c r="D4196" s="4" t="s">
        <v>9627</v>
      </c>
      <c r="E4196" s="3" t="s">
        <v>1218</v>
      </c>
      <c r="F4196" s="3" t="s">
        <v>2105</v>
      </c>
      <c r="G4196" s="3"/>
      <c r="H4196" s="4"/>
    </row>
    <row r="4197" ht="16.5" customHeight="1" spans="1:8">
      <c r="A4197" s="3">
        <v>4196</v>
      </c>
      <c r="B4197" s="3" t="s">
        <v>9628</v>
      </c>
      <c r="C4197" s="3" t="s">
        <v>1361</v>
      </c>
      <c r="D4197" s="4" t="s">
        <v>9629</v>
      </c>
      <c r="E4197" s="3" t="s">
        <v>1218</v>
      </c>
      <c r="F4197" s="3" t="s">
        <v>2105</v>
      </c>
      <c r="G4197" s="3"/>
      <c r="H4197" s="4"/>
    </row>
    <row r="4198" ht="16.5" customHeight="1" spans="1:8">
      <c r="A4198" s="3">
        <v>4197</v>
      </c>
      <c r="B4198" s="3" t="s">
        <v>9630</v>
      </c>
      <c r="C4198" s="3" t="s">
        <v>1361</v>
      </c>
      <c r="D4198" s="4" t="s">
        <v>9631</v>
      </c>
      <c r="E4198" s="3" t="s">
        <v>1218</v>
      </c>
      <c r="F4198" s="3" t="s">
        <v>2105</v>
      </c>
      <c r="G4198" s="3"/>
      <c r="H4198" s="4"/>
    </row>
    <row r="4199" ht="16.5" customHeight="1" spans="1:8">
      <c r="A4199" s="3">
        <v>4198</v>
      </c>
      <c r="B4199" s="3" t="s">
        <v>9632</v>
      </c>
      <c r="C4199" s="3" t="s">
        <v>1361</v>
      </c>
      <c r="D4199" s="4" t="s">
        <v>9633</v>
      </c>
      <c r="E4199" s="3" t="s">
        <v>1218</v>
      </c>
      <c r="F4199" s="3" t="s">
        <v>2105</v>
      </c>
      <c r="G4199" s="3"/>
      <c r="H4199" s="4"/>
    </row>
    <row r="4200" ht="16.5" customHeight="1" spans="1:8">
      <c r="A4200" s="3">
        <v>4199</v>
      </c>
      <c r="B4200" s="3" t="s">
        <v>9634</v>
      </c>
      <c r="C4200" s="3" t="s">
        <v>1361</v>
      </c>
      <c r="D4200" s="4" t="s">
        <v>9635</v>
      </c>
      <c r="E4200" s="3" t="s">
        <v>1218</v>
      </c>
      <c r="F4200" s="3" t="s">
        <v>2105</v>
      </c>
      <c r="G4200" s="3"/>
      <c r="H4200" s="4"/>
    </row>
    <row r="4201" ht="16.5" customHeight="1" spans="1:8">
      <c r="A4201" s="3">
        <v>4200</v>
      </c>
      <c r="B4201" s="3" t="s">
        <v>9636</v>
      </c>
      <c r="C4201" s="3" t="s">
        <v>1361</v>
      </c>
      <c r="D4201" s="4" t="s">
        <v>9637</v>
      </c>
      <c r="E4201" s="3" t="s">
        <v>1218</v>
      </c>
      <c r="F4201" s="3" t="s">
        <v>2105</v>
      </c>
      <c r="G4201" s="3"/>
      <c r="H4201" s="4"/>
    </row>
    <row r="4202" ht="16.5" customHeight="1" spans="1:8">
      <c r="A4202" s="3">
        <v>4201</v>
      </c>
      <c r="B4202" s="3" t="s">
        <v>9638</v>
      </c>
      <c r="C4202" s="3" t="s">
        <v>1361</v>
      </c>
      <c r="D4202" s="4" t="s">
        <v>9639</v>
      </c>
      <c r="E4202" s="3" t="s">
        <v>1218</v>
      </c>
      <c r="F4202" s="3" t="s">
        <v>2105</v>
      </c>
      <c r="G4202" s="3"/>
      <c r="H4202" s="4"/>
    </row>
    <row r="4203" ht="16.5" customHeight="1" spans="1:8">
      <c r="A4203" s="3">
        <v>4202</v>
      </c>
      <c r="B4203" s="3" t="s">
        <v>9640</v>
      </c>
      <c r="C4203" s="3" t="s">
        <v>1361</v>
      </c>
      <c r="D4203" s="4" t="s">
        <v>9641</v>
      </c>
      <c r="E4203" s="3" t="s">
        <v>1218</v>
      </c>
      <c r="F4203" s="3" t="s">
        <v>2105</v>
      </c>
      <c r="G4203" s="3"/>
      <c r="H4203" s="4"/>
    </row>
    <row r="4204" ht="16.5" customHeight="1" spans="1:8">
      <c r="A4204" s="3">
        <v>4203</v>
      </c>
      <c r="B4204" s="3" t="s">
        <v>9642</v>
      </c>
      <c r="C4204" s="3" t="s">
        <v>1361</v>
      </c>
      <c r="D4204" s="4" t="s">
        <v>9643</v>
      </c>
      <c r="E4204" s="3" t="s">
        <v>1218</v>
      </c>
      <c r="F4204" s="3" t="s">
        <v>2105</v>
      </c>
      <c r="G4204" s="3"/>
      <c r="H4204" s="4"/>
    </row>
    <row r="4205" ht="16.5" customHeight="1" spans="1:8">
      <c r="A4205" s="3">
        <v>4204</v>
      </c>
      <c r="B4205" s="3" t="s">
        <v>9644</v>
      </c>
      <c r="C4205" s="3" t="s">
        <v>1361</v>
      </c>
      <c r="D4205" s="4" t="s">
        <v>9645</v>
      </c>
      <c r="E4205" s="3" t="s">
        <v>1218</v>
      </c>
      <c r="F4205" s="3" t="s">
        <v>2105</v>
      </c>
      <c r="G4205" s="3"/>
      <c r="H4205" s="4"/>
    </row>
    <row r="4206" ht="16.5" customHeight="1" spans="1:8">
      <c r="A4206" s="3">
        <v>4205</v>
      </c>
      <c r="B4206" s="3" t="s">
        <v>9646</v>
      </c>
      <c r="C4206" s="3" t="s">
        <v>1361</v>
      </c>
      <c r="D4206" s="4" t="s">
        <v>9647</v>
      </c>
      <c r="E4206" s="3" t="s">
        <v>1218</v>
      </c>
      <c r="F4206" s="3" t="s">
        <v>2105</v>
      </c>
      <c r="G4206" s="3"/>
      <c r="H4206" s="4"/>
    </row>
    <row r="4207" ht="16.5" customHeight="1" spans="1:8">
      <c r="A4207" s="3">
        <v>4206</v>
      </c>
      <c r="B4207" s="3" t="s">
        <v>9648</v>
      </c>
      <c r="C4207" s="3" t="s">
        <v>1361</v>
      </c>
      <c r="D4207" s="4" t="s">
        <v>9649</v>
      </c>
      <c r="E4207" s="3" t="s">
        <v>1218</v>
      </c>
      <c r="F4207" s="3" t="s">
        <v>2105</v>
      </c>
      <c r="G4207" s="3"/>
      <c r="H4207" s="4"/>
    </row>
    <row r="4208" ht="16.5" customHeight="1" spans="1:8">
      <c r="A4208" s="3">
        <v>4207</v>
      </c>
      <c r="B4208" s="3" t="s">
        <v>9650</v>
      </c>
      <c r="C4208" s="3" t="s">
        <v>1361</v>
      </c>
      <c r="D4208" s="4" t="s">
        <v>9651</v>
      </c>
      <c r="E4208" s="3" t="s">
        <v>1218</v>
      </c>
      <c r="F4208" s="3" t="s">
        <v>2105</v>
      </c>
      <c r="G4208" s="3"/>
      <c r="H4208" s="4"/>
    </row>
    <row r="4209" ht="16.5" customHeight="1" spans="1:8">
      <c r="A4209" s="3">
        <v>4208</v>
      </c>
      <c r="B4209" s="3" t="s">
        <v>9652</v>
      </c>
      <c r="C4209" s="3" t="s">
        <v>1361</v>
      </c>
      <c r="D4209" s="4" t="s">
        <v>9653</v>
      </c>
      <c r="E4209" s="3" t="s">
        <v>1218</v>
      </c>
      <c r="F4209" s="3" t="s">
        <v>2105</v>
      </c>
      <c r="G4209" s="3"/>
      <c r="H4209" s="4"/>
    </row>
    <row r="4210" ht="16.5" customHeight="1" spans="1:8">
      <c r="A4210" s="3">
        <v>4209</v>
      </c>
      <c r="B4210" s="3" t="s">
        <v>9654</v>
      </c>
      <c r="C4210" s="3" t="s">
        <v>1361</v>
      </c>
      <c r="D4210" s="4" t="s">
        <v>9655</v>
      </c>
      <c r="E4210" s="3" t="s">
        <v>1218</v>
      </c>
      <c r="F4210" s="3" t="s">
        <v>2105</v>
      </c>
      <c r="G4210" s="3"/>
      <c r="H4210" s="4"/>
    </row>
    <row r="4211" ht="16.5" customHeight="1" spans="1:8">
      <c r="A4211" s="3">
        <v>4210</v>
      </c>
      <c r="B4211" s="3" t="s">
        <v>9656</v>
      </c>
      <c r="C4211" s="3" t="s">
        <v>1361</v>
      </c>
      <c r="D4211" s="4" t="s">
        <v>9657</v>
      </c>
      <c r="E4211" s="3" t="s">
        <v>1218</v>
      </c>
      <c r="F4211" s="3" t="s">
        <v>2105</v>
      </c>
      <c r="G4211" s="3"/>
      <c r="H4211" s="4"/>
    </row>
    <row r="4212" ht="16.5" customHeight="1" spans="1:8">
      <c r="A4212" s="3">
        <v>4211</v>
      </c>
      <c r="B4212" s="3" t="s">
        <v>9658</v>
      </c>
      <c r="C4212" s="3" t="s">
        <v>1361</v>
      </c>
      <c r="D4212" s="4" t="s">
        <v>9659</v>
      </c>
      <c r="E4212" s="3" t="s">
        <v>1218</v>
      </c>
      <c r="F4212" s="3" t="s">
        <v>2105</v>
      </c>
      <c r="G4212" s="3"/>
      <c r="H4212" s="4"/>
    </row>
    <row r="4213" ht="16.5" customHeight="1" spans="1:8">
      <c r="A4213" s="3">
        <v>4212</v>
      </c>
      <c r="B4213" s="3" t="s">
        <v>9660</v>
      </c>
      <c r="C4213" s="3" t="s">
        <v>1361</v>
      </c>
      <c r="D4213" s="4" t="s">
        <v>9661</v>
      </c>
      <c r="E4213" s="3" t="s">
        <v>1218</v>
      </c>
      <c r="F4213" s="3" t="s">
        <v>2105</v>
      </c>
      <c r="G4213" s="3"/>
      <c r="H4213" s="4"/>
    </row>
    <row r="4214" ht="16.5" customHeight="1" spans="1:8">
      <c r="A4214" s="3">
        <v>4213</v>
      </c>
      <c r="B4214" s="3" t="s">
        <v>9662</v>
      </c>
      <c r="C4214" s="3" t="s">
        <v>1361</v>
      </c>
      <c r="D4214" s="4" t="s">
        <v>9663</v>
      </c>
      <c r="E4214" s="3" t="s">
        <v>1218</v>
      </c>
      <c r="F4214" s="3" t="s">
        <v>2105</v>
      </c>
      <c r="G4214" s="3"/>
      <c r="H4214" s="4"/>
    </row>
    <row r="4215" ht="16.5" customHeight="1" spans="1:8">
      <c r="A4215" s="3">
        <v>4214</v>
      </c>
      <c r="B4215" s="3" t="s">
        <v>9664</v>
      </c>
      <c r="C4215" s="3" t="s">
        <v>1361</v>
      </c>
      <c r="D4215" s="4" t="s">
        <v>9665</v>
      </c>
      <c r="E4215" s="3" t="s">
        <v>1218</v>
      </c>
      <c r="F4215" s="3" t="s">
        <v>2105</v>
      </c>
      <c r="G4215" s="3"/>
      <c r="H4215" s="4"/>
    </row>
    <row r="4216" ht="16.5" customHeight="1" spans="1:8">
      <c r="A4216" s="3">
        <v>4215</v>
      </c>
      <c r="B4216" s="3" t="s">
        <v>9666</v>
      </c>
      <c r="C4216" s="3" t="s">
        <v>1361</v>
      </c>
      <c r="D4216" s="4" t="s">
        <v>9667</v>
      </c>
      <c r="E4216" s="3" t="s">
        <v>1218</v>
      </c>
      <c r="F4216" s="3" t="s">
        <v>2105</v>
      </c>
      <c r="G4216" s="3"/>
      <c r="H4216" s="4"/>
    </row>
    <row r="4217" ht="16.5" customHeight="1" spans="1:8">
      <c r="A4217" s="3">
        <v>4216</v>
      </c>
      <c r="B4217" s="3" t="s">
        <v>9668</v>
      </c>
      <c r="C4217" s="3" t="s">
        <v>1361</v>
      </c>
      <c r="D4217" s="4" t="s">
        <v>9669</v>
      </c>
      <c r="E4217" s="3" t="s">
        <v>1218</v>
      </c>
      <c r="F4217" s="3" t="s">
        <v>2105</v>
      </c>
      <c r="G4217" s="3"/>
      <c r="H4217" s="4"/>
    </row>
    <row r="4218" ht="16.5" customHeight="1" spans="1:8">
      <c r="A4218" s="3">
        <v>4217</v>
      </c>
      <c r="B4218" s="3" t="s">
        <v>9670</v>
      </c>
      <c r="C4218" s="3" t="s">
        <v>1361</v>
      </c>
      <c r="D4218" s="4" t="s">
        <v>9671</v>
      </c>
      <c r="E4218" s="3" t="s">
        <v>1218</v>
      </c>
      <c r="F4218" s="3" t="s">
        <v>2105</v>
      </c>
      <c r="G4218" s="3"/>
      <c r="H4218" s="4"/>
    </row>
    <row r="4219" ht="16.5" customHeight="1" spans="1:8">
      <c r="A4219" s="3">
        <v>4218</v>
      </c>
      <c r="B4219" s="3" t="s">
        <v>9672</v>
      </c>
      <c r="C4219" s="3" t="s">
        <v>1361</v>
      </c>
      <c r="D4219" s="4" t="s">
        <v>9673</v>
      </c>
      <c r="E4219" s="3" t="s">
        <v>1218</v>
      </c>
      <c r="F4219" s="3" t="s">
        <v>2105</v>
      </c>
      <c r="G4219" s="3"/>
      <c r="H4219" s="4"/>
    </row>
    <row r="4220" ht="16.5" customHeight="1" spans="1:8">
      <c r="A4220" s="3">
        <v>4219</v>
      </c>
      <c r="B4220" s="3" t="s">
        <v>9674</v>
      </c>
      <c r="C4220" s="3" t="s">
        <v>1361</v>
      </c>
      <c r="D4220" s="4" t="s">
        <v>9675</v>
      </c>
      <c r="E4220" s="3" t="s">
        <v>1218</v>
      </c>
      <c r="F4220" s="3" t="s">
        <v>2105</v>
      </c>
      <c r="G4220" s="3"/>
      <c r="H4220" s="4"/>
    </row>
    <row r="4221" ht="16.5" customHeight="1" spans="1:8">
      <c r="A4221" s="3">
        <v>4220</v>
      </c>
      <c r="B4221" s="3" t="s">
        <v>9676</v>
      </c>
      <c r="C4221" s="3" t="s">
        <v>1361</v>
      </c>
      <c r="D4221" s="4" t="s">
        <v>9677</v>
      </c>
      <c r="E4221" s="3" t="s">
        <v>1218</v>
      </c>
      <c r="F4221" s="3" t="s">
        <v>2105</v>
      </c>
      <c r="G4221" s="3"/>
      <c r="H4221" s="4"/>
    </row>
    <row r="4222" ht="16.5" customHeight="1" spans="1:8">
      <c r="A4222" s="3">
        <v>4221</v>
      </c>
      <c r="B4222" s="3" t="s">
        <v>9678</v>
      </c>
      <c r="C4222" s="3" t="s">
        <v>1361</v>
      </c>
      <c r="D4222" s="4" t="s">
        <v>9679</v>
      </c>
      <c r="E4222" s="3" t="s">
        <v>1218</v>
      </c>
      <c r="F4222" s="3" t="s">
        <v>2105</v>
      </c>
      <c r="G4222" s="3"/>
      <c r="H4222" s="4"/>
    </row>
    <row r="4223" ht="16.5" customHeight="1" spans="1:8">
      <c r="A4223" s="3">
        <v>4222</v>
      </c>
      <c r="B4223" s="3" t="s">
        <v>9680</v>
      </c>
      <c r="C4223" s="3" t="s">
        <v>1361</v>
      </c>
      <c r="D4223" s="4" t="s">
        <v>9681</v>
      </c>
      <c r="E4223" s="3" t="s">
        <v>1218</v>
      </c>
      <c r="F4223" s="3" t="s">
        <v>2105</v>
      </c>
      <c r="G4223" s="3"/>
      <c r="H4223" s="4"/>
    </row>
    <row r="4224" ht="16.5" customHeight="1" spans="1:8">
      <c r="A4224" s="3">
        <v>4223</v>
      </c>
      <c r="B4224" s="3" t="s">
        <v>9682</v>
      </c>
      <c r="C4224" s="3" t="s">
        <v>1361</v>
      </c>
      <c r="D4224" s="4" t="s">
        <v>9683</v>
      </c>
      <c r="E4224" s="3" t="s">
        <v>1218</v>
      </c>
      <c r="F4224" s="3" t="s">
        <v>2105</v>
      </c>
      <c r="G4224" s="3"/>
      <c r="H4224" s="4"/>
    </row>
    <row r="4225" ht="16.5" customHeight="1" spans="1:8">
      <c r="A4225" s="3">
        <v>4224</v>
      </c>
      <c r="B4225" s="3" t="s">
        <v>9684</v>
      </c>
      <c r="C4225" s="3" t="s">
        <v>1361</v>
      </c>
      <c r="D4225" s="4" t="s">
        <v>9685</v>
      </c>
      <c r="E4225" s="3" t="s">
        <v>1218</v>
      </c>
      <c r="F4225" s="3" t="s">
        <v>2105</v>
      </c>
      <c r="G4225" s="3"/>
      <c r="H4225" s="4"/>
    </row>
    <row r="4226" ht="16.5" customHeight="1" spans="1:8">
      <c r="A4226" s="3">
        <v>4225</v>
      </c>
      <c r="B4226" s="3" t="s">
        <v>9686</v>
      </c>
      <c r="C4226" s="3" t="s">
        <v>2163</v>
      </c>
      <c r="D4226" s="4" t="s">
        <v>9687</v>
      </c>
      <c r="E4226" s="3" t="s">
        <v>1076</v>
      </c>
      <c r="F4226" s="3" t="s">
        <v>2105</v>
      </c>
      <c r="G4226" s="3"/>
      <c r="H4226" s="4" t="s">
        <v>6877</v>
      </c>
    </row>
    <row r="4227" ht="16.5" customHeight="1" spans="1:8">
      <c r="A4227" s="3">
        <v>4226</v>
      </c>
      <c r="B4227" s="3" t="s">
        <v>9688</v>
      </c>
      <c r="C4227" s="3" t="s">
        <v>2163</v>
      </c>
      <c r="D4227" s="4" t="s">
        <v>9689</v>
      </c>
      <c r="E4227" s="3" t="s">
        <v>1076</v>
      </c>
      <c r="F4227" s="3" t="s">
        <v>2105</v>
      </c>
      <c r="G4227" s="3" t="s">
        <v>98</v>
      </c>
      <c r="H4227" s="4" t="s">
        <v>6877</v>
      </c>
    </row>
    <row r="4228" ht="16.5" customHeight="1" spans="1:8">
      <c r="A4228" s="3">
        <v>4227</v>
      </c>
      <c r="B4228" s="3" t="s">
        <v>9690</v>
      </c>
      <c r="C4228" s="3" t="s">
        <v>2163</v>
      </c>
      <c r="D4228" s="4" t="s">
        <v>9691</v>
      </c>
      <c r="E4228" s="3" t="s">
        <v>1076</v>
      </c>
      <c r="F4228" s="3" t="s">
        <v>2105</v>
      </c>
      <c r="G4228" s="3"/>
      <c r="H4228" s="4" t="s">
        <v>6877</v>
      </c>
    </row>
    <row r="4229" ht="16.5" customHeight="1" spans="1:8">
      <c r="A4229" s="3">
        <v>4228</v>
      </c>
      <c r="B4229" s="3" t="s">
        <v>9692</v>
      </c>
      <c r="C4229" s="3" t="s">
        <v>2163</v>
      </c>
      <c r="D4229" s="4" t="s">
        <v>9693</v>
      </c>
      <c r="E4229" s="3" t="s">
        <v>1076</v>
      </c>
      <c r="F4229" s="3" t="s">
        <v>2105</v>
      </c>
      <c r="G4229" s="3" t="s">
        <v>321</v>
      </c>
      <c r="H4229" s="4" t="s">
        <v>6877</v>
      </c>
    </row>
    <row r="4230" ht="16.5" customHeight="1" spans="1:8">
      <c r="A4230" s="3">
        <v>4229</v>
      </c>
      <c r="B4230" s="3" t="s">
        <v>9694</v>
      </c>
      <c r="C4230" s="3" t="s">
        <v>2163</v>
      </c>
      <c r="D4230" s="4" t="s">
        <v>9695</v>
      </c>
      <c r="E4230" s="3" t="s">
        <v>2263</v>
      </c>
      <c r="F4230" s="3" t="s">
        <v>2105</v>
      </c>
      <c r="G4230" s="3"/>
      <c r="H4230" s="4" t="s">
        <v>6877</v>
      </c>
    </row>
    <row r="4231" ht="16.5" customHeight="1" spans="1:8">
      <c r="A4231" s="3">
        <v>4230</v>
      </c>
      <c r="B4231" s="3" t="s">
        <v>9696</v>
      </c>
      <c r="C4231" s="3" t="s">
        <v>2163</v>
      </c>
      <c r="D4231" s="4" t="s">
        <v>9697</v>
      </c>
      <c r="E4231" s="3" t="s">
        <v>1076</v>
      </c>
      <c r="F4231" s="3" t="s">
        <v>2105</v>
      </c>
      <c r="G4231" s="3"/>
      <c r="H4231" s="4" t="s">
        <v>6877</v>
      </c>
    </row>
    <row r="4232" ht="16.5" customHeight="1" spans="1:8">
      <c r="A4232" s="3">
        <v>4231</v>
      </c>
      <c r="B4232" s="3" t="s">
        <v>9698</v>
      </c>
      <c r="C4232" s="3" t="s">
        <v>2163</v>
      </c>
      <c r="D4232" s="4" t="s">
        <v>9699</v>
      </c>
      <c r="E4232" s="3" t="s">
        <v>1076</v>
      </c>
      <c r="F4232" s="3" t="s">
        <v>2105</v>
      </c>
      <c r="G4232" s="3"/>
      <c r="H4232" s="4" t="s">
        <v>6877</v>
      </c>
    </row>
    <row r="4233" ht="16.5" customHeight="1" spans="1:8">
      <c r="A4233" s="3">
        <v>4232</v>
      </c>
      <c r="B4233" s="3" t="s">
        <v>9700</v>
      </c>
      <c r="C4233" s="3" t="s">
        <v>2163</v>
      </c>
      <c r="D4233" s="4" t="s">
        <v>9701</v>
      </c>
      <c r="E4233" s="3" t="s">
        <v>1076</v>
      </c>
      <c r="F4233" s="3" t="s">
        <v>2105</v>
      </c>
      <c r="G4233" s="3"/>
      <c r="H4233" s="4" t="s">
        <v>6877</v>
      </c>
    </row>
    <row r="4234" ht="16.5" customHeight="1" spans="1:8">
      <c r="A4234" s="3">
        <v>4233</v>
      </c>
      <c r="B4234" s="3" t="s">
        <v>9702</v>
      </c>
      <c r="C4234" s="3" t="s">
        <v>2163</v>
      </c>
      <c r="D4234" s="4" t="s">
        <v>9703</v>
      </c>
      <c r="E4234" s="3" t="s">
        <v>1076</v>
      </c>
      <c r="F4234" s="3" t="s">
        <v>2105</v>
      </c>
      <c r="G4234" s="3"/>
      <c r="H4234" s="4" t="s">
        <v>6877</v>
      </c>
    </row>
    <row r="4235" ht="16.5" customHeight="1" spans="1:8">
      <c r="A4235" s="3">
        <v>4234</v>
      </c>
      <c r="B4235" s="3" t="s">
        <v>9704</v>
      </c>
      <c r="C4235" s="3" t="s">
        <v>2163</v>
      </c>
      <c r="D4235" s="4" t="s">
        <v>9705</v>
      </c>
      <c r="E4235" s="3" t="s">
        <v>1076</v>
      </c>
      <c r="F4235" s="3" t="s">
        <v>2105</v>
      </c>
      <c r="G4235" s="3"/>
      <c r="H4235" s="4" t="s">
        <v>6877</v>
      </c>
    </row>
    <row r="4236" ht="16.5" customHeight="1" spans="1:8">
      <c r="A4236" s="3">
        <v>4235</v>
      </c>
      <c r="B4236" s="3" t="s">
        <v>9706</v>
      </c>
      <c r="C4236" s="3" t="s">
        <v>1361</v>
      </c>
      <c r="D4236" s="4" t="s">
        <v>9707</v>
      </c>
      <c r="E4236" s="3" t="s">
        <v>9708</v>
      </c>
      <c r="F4236" s="3" t="s">
        <v>2105</v>
      </c>
      <c r="G4236" s="3"/>
      <c r="H4236" s="4"/>
    </row>
    <row r="4237" ht="16.5" customHeight="1" spans="1:8">
      <c r="A4237" s="3">
        <v>4236</v>
      </c>
      <c r="B4237" s="3" t="s">
        <v>9709</v>
      </c>
      <c r="C4237" s="3" t="s">
        <v>2163</v>
      </c>
      <c r="D4237" s="4" t="s">
        <v>9710</v>
      </c>
      <c r="E4237" s="3" t="s">
        <v>1076</v>
      </c>
      <c r="F4237" s="3" t="s">
        <v>2105</v>
      </c>
      <c r="G4237" s="3"/>
      <c r="H4237" s="4" t="s">
        <v>6877</v>
      </c>
    </row>
    <row r="4238" ht="16.5" customHeight="1" spans="1:8">
      <c r="A4238" s="3">
        <v>4237</v>
      </c>
      <c r="B4238" s="3" t="s">
        <v>9711</v>
      </c>
      <c r="C4238" s="3" t="s">
        <v>2163</v>
      </c>
      <c r="D4238" s="4" t="s">
        <v>9712</v>
      </c>
      <c r="E4238" s="3" t="s">
        <v>1076</v>
      </c>
      <c r="F4238" s="3" t="s">
        <v>2105</v>
      </c>
      <c r="G4238" s="3"/>
      <c r="H4238" s="4" t="s">
        <v>6877</v>
      </c>
    </row>
    <row r="4239" ht="16.5" customHeight="1" spans="1:8">
      <c r="A4239" s="3">
        <v>4238</v>
      </c>
      <c r="B4239" s="3" t="s">
        <v>9713</v>
      </c>
      <c r="C4239" s="3" t="s">
        <v>2163</v>
      </c>
      <c r="D4239" s="4" t="s">
        <v>9714</v>
      </c>
      <c r="E4239" s="3" t="s">
        <v>1076</v>
      </c>
      <c r="F4239" s="3" t="s">
        <v>2105</v>
      </c>
      <c r="G4239" s="3"/>
      <c r="H4239" s="4" t="s">
        <v>6877</v>
      </c>
    </row>
    <row r="4240" ht="16.5" customHeight="1" spans="1:8">
      <c r="A4240" s="3">
        <v>4239</v>
      </c>
      <c r="B4240" s="3" t="s">
        <v>9715</v>
      </c>
      <c r="C4240" s="3" t="s">
        <v>2163</v>
      </c>
      <c r="D4240" s="4" t="s">
        <v>9716</v>
      </c>
      <c r="E4240" s="3" t="s">
        <v>1076</v>
      </c>
      <c r="F4240" s="3" t="s">
        <v>2105</v>
      </c>
      <c r="G4240" s="3"/>
      <c r="H4240" s="4" t="s">
        <v>6877</v>
      </c>
    </row>
    <row r="4241" ht="16.5" customHeight="1" spans="1:8">
      <c r="A4241" s="3">
        <v>4240</v>
      </c>
      <c r="B4241" s="3" t="s">
        <v>9717</v>
      </c>
      <c r="C4241" s="3" t="s">
        <v>2163</v>
      </c>
      <c r="D4241" s="4" t="s">
        <v>9718</v>
      </c>
      <c r="E4241" s="3" t="s">
        <v>1076</v>
      </c>
      <c r="F4241" s="3" t="s">
        <v>2105</v>
      </c>
      <c r="G4241" s="3"/>
      <c r="H4241" s="4" t="s">
        <v>6877</v>
      </c>
    </row>
    <row r="4242" ht="16.5" customHeight="1" spans="1:8">
      <c r="A4242" s="3">
        <v>4241</v>
      </c>
      <c r="B4242" s="3" t="s">
        <v>9719</v>
      </c>
      <c r="C4242" s="3" t="s">
        <v>2163</v>
      </c>
      <c r="D4242" s="4" t="s">
        <v>9720</v>
      </c>
      <c r="E4242" s="3" t="s">
        <v>1076</v>
      </c>
      <c r="F4242" s="3" t="s">
        <v>2105</v>
      </c>
      <c r="G4242" s="3"/>
      <c r="H4242" s="4" t="s">
        <v>6877</v>
      </c>
    </row>
    <row r="4243" ht="16.5" customHeight="1" spans="1:8">
      <c r="A4243" s="3">
        <v>4242</v>
      </c>
      <c r="B4243" s="3" t="s">
        <v>9721</v>
      </c>
      <c r="C4243" s="3" t="s">
        <v>2163</v>
      </c>
      <c r="D4243" s="4" t="s">
        <v>9722</v>
      </c>
      <c r="E4243" s="3" t="s">
        <v>1076</v>
      </c>
      <c r="F4243" s="3" t="s">
        <v>2105</v>
      </c>
      <c r="G4243" s="3"/>
      <c r="H4243" s="4" t="s">
        <v>6877</v>
      </c>
    </row>
    <row r="4244" ht="16.5" customHeight="1" spans="1:8">
      <c r="A4244" s="3">
        <v>4243</v>
      </c>
      <c r="B4244" s="3" t="s">
        <v>9723</v>
      </c>
      <c r="C4244" s="3" t="s">
        <v>2163</v>
      </c>
      <c r="D4244" s="4" t="s">
        <v>9724</v>
      </c>
      <c r="E4244" s="3" t="s">
        <v>1076</v>
      </c>
      <c r="F4244" s="3" t="s">
        <v>2041</v>
      </c>
      <c r="G4244" s="3" t="s">
        <v>321</v>
      </c>
      <c r="H4244" s="4" t="s">
        <v>3354</v>
      </c>
    </row>
    <row r="4245" ht="16.5" customHeight="1" spans="1:8">
      <c r="A4245" s="3">
        <v>4244</v>
      </c>
      <c r="B4245" s="3" t="s">
        <v>9725</v>
      </c>
      <c r="C4245" s="3" t="s">
        <v>2163</v>
      </c>
      <c r="D4245" s="4" t="s">
        <v>9726</v>
      </c>
      <c r="E4245" s="3" t="s">
        <v>1076</v>
      </c>
      <c r="F4245" s="3" t="s">
        <v>2041</v>
      </c>
      <c r="G4245" s="3" t="s">
        <v>321</v>
      </c>
      <c r="H4245" s="4" t="s">
        <v>3354</v>
      </c>
    </row>
    <row r="4246" ht="16.5" customHeight="1" spans="1:8">
      <c r="A4246" s="3">
        <v>4245</v>
      </c>
      <c r="B4246" s="3" t="s">
        <v>9727</v>
      </c>
      <c r="C4246" s="3" t="s">
        <v>2163</v>
      </c>
      <c r="D4246" s="4" t="s">
        <v>9728</v>
      </c>
      <c r="E4246" s="3" t="s">
        <v>1076</v>
      </c>
      <c r="F4246" s="3" t="s">
        <v>2105</v>
      </c>
      <c r="G4246" s="3"/>
      <c r="H4246" s="4" t="s">
        <v>6877</v>
      </c>
    </row>
    <row r="4247" ht="16.5" customHeight="1" spans="1:8">
      <c r="A4247" s="3">
        <v>4246</v>
      </c>
      <c r="B4247" s="3" t="s">
        <v>9729</v>
      </c>
      <c r="C4247" s="3" t="s">
        <v>1361</v>
      </c>
      <c r="D4247" s="4" t="s">
        <v>9730</v>
      </c>
      <c r="E4247" s="3" t="s">
        <v>1218</v>
      </c>
      <c r="F4247" s="3" t="s">
        <v>1358</v>
      </c>
      <c r="G4247" s="3" t="s">
        <v>321</v>
      </c>
      <c r="H4247" s="4"/>
    </row>
    <row r="4248" ht="16.5" customHeight="1" spans="1:8">
      <c r="A4248" s="3">
        <v>4247</v>
      </c>
      <c r="B4248" s="3" t="s">
        <v>9731</v>
      </c>
      <c r="C4248" s="3" t="s">
        <v>2163</v>
      </c>
      <c r="D4248" s="4" t="s">
        <v>9732</v>
      </c>
      <c r="E4248" s="3" t="s">
        <v>1076</v>
      </c>
      <c r="F4248" s="3" t="s">
        <v>2105</v>
      </c>
      <c r="G4248" s="3"/>
      <c r="H4248" s="4" t="s">
        <v>6877</v>
      </c>
    </row>
    <row r="4249" ht="16.5" customHeight="1" spans="1:8">
      <c r="A4249" s="3">
        <v>4248</v>
      </c>
      <c r="B4249" s="3" t="s">
        <v>9733</v>
      </c>
      <c r="C4249" s="3" t="s">
        <v>2163</v>
      </c>
      <c r="D4249" s="4" t="s">
        <v>9734</v>
      </c>
      <c r="E4249" s="3" t="s">
        <v>1076</v>
      </c>
      <c r="F4249" s="3" t="s">
        <v>2105</v>
      </c>
      <c r="G4249" s="3"/>
      <c r="H4249" s="4" t="s">
        <v>6877</v>
      </c>
    </row>
    <row r="4250" ht="16.5" customHeight="1" spans="1:8">
      <c r="A4250" s="3">
        <v>4249</v>
      </c>
      <c r="B4250" s="3" t="s">
        <v>9735</v>
      </c>
      <c r="C4250" s="3" t="s">
        <v>2163</v>
      </c>
      <c r="D4250" s="4" t="s">
        <v>9736</v>
      </c>
      <c r="E4250" s="3" t="s">
        <v>1076</v>
      </c>
      <c r="F4250" s="3" t="s">
        <v>2105</v>
      </c>
      <c r="G4250" s="3"/>
      <c r="H4250" s="4" t="s">
        <v>6877</v>
      </c>
    </row>
    <row r="4251" ht="16.5" customHeight="1" spans="1:8">
      <c r="A4251" s="3">
        <v>4250</v>
      </c>
      <c r="B4251" s="3" t="s">
        <v>9737</v>
      </c>
      <c r="C4251" s="3" t="s">
        <v>2163</v>
      </c>
      <c r="D4251" s="4" t="s">
        <v>9738</v>
      </c>
      <c r="E4251" s="3" t="s">
        <v>1076</v>
      </c>
      <c r="F4251" s="3" t="s">
        <v>2041</v>
      </c>
      <c r="G4251" s="3" t="s">
        <v>321</v>
      </c>
      <c r="H4251" s="4" t="s">
        <v>3354</v>
      </c>
    </row>
    <row r="4252" ht="16.5" customHeight="1" spans="1:8">
      <c r="A4252" s="3">
        <v>4251</v>
      </c>
      <c r="B4252" s="3" t="s">
        <v>9739</v>
      </c>
      <c r="C4252" s="3" t="s">
        <v>2163</v>
      </c>
      <c r="D4252" s="4" t="s">
        <v>9740</v>
      </c>
      <c r="E4252" s="3" t="s">
        <v>1076</v>
      </c>
      <c r="F4252" s="3" t="s">
        <v>2105</v>
      </c>
      <c r="G4252" s="3"/>
      <c r="H4252" s="4" t="s">
        <v>6877</v>
      </c>
    </row>
    <row r="4253" ht="16.5" customHeight="1" spans="1:8">
      <c r="A4253" s="3">
        <v>4252</v>
      </c>
      <c r="B4253" s="3" t="s">
        <v>9741</v>
      </c>
      <c r="C4253" s="3" t="s">
        <v>2163</v>
      </c>
      <c r="D4253" s="4" t="s">
        <v>9742</v>
      </c>
      <c r="E4253" s="3" t="s">
        <v>1076</v>
      </c>
      <c r="F4253" s="3" t="s">
        <v>2105</v>
      </c>
      <c r="G4253" s="3"/>
      <c r="H4253" s="4" t="s">
        <v>6877</v>
      </c>
    </row>
    <row r="4254" ht="16.5" customHeight="1" spans="1:8">
      <c r="A4254" s="3">
        <v>4253</v>
      </c>
      <c r="B4254" s="3" t="s">
        <v>9743</v>
      </c>
      <c r="C4254" s="3" t="s">
        <v>2163</v>
      </c>
      <c r="D4254" s="4" t="s">
        <v>9744</v>
      </c>
      <c r="E4254" s="3" t="s">
        <v>1076</v>
      </c>
      <c r="F4254" s="3" t="s">
        <v>2105</v>
      </c>
      <c r="G4254" s="3"/>
      <c r="H4254" s="4" t="s">
        <v>6877</v>
      </c>
    </row>
    <row r="4255" ht="16.5" customHeight="1" spans="1:8">
      <c r="A4255" s="3">
        <v>4254</v>
      </c>
      <c r="B4255" s="3" t="s">
        <v>9745</v>
      </c>
      <c r="C4255" s="3" t="s">
        <v>2163</v>
      </c>
      <c r="D4255" s="4" t="s">
        <v>9746</v>
      </c>
      <c r="E4255" s="3" t="s">
        <v>1076</v>
      </c>
      <c r="F4255" s="3" t="s">
        <v>2105</v>
      </c>
      <c r="G4255" s="3"/>
      <c r="H4255" s="4" t="s">
        <v>6877</v>
      </c>
    </row>
    <row r="4256" ht="16.5" customHeight="1" spans="1:8">
      <c r="A4256" s="3">
        <v>4255</v>
      </c>
      <c r="B4256" s="3" t="s">
        <v>9747</v>
      </c>
      <c r="C4256" s="3" t="s">
        <v>2163</v>
      </c>
      <c r="D4256" s="4" t="s">
        <v>9748</v>
      </c>
      <c r="E4256" s="3" t="s">
        <v>1076</v>
      </c>
      <c r="F4256" s="3" t="s">
        <v>2105</v>
      </c>
      <c r="G4256" s="3"/>
      <c r="H4256" s="4" t="s">
        <v>6877</v>
      </c>
    </row>
    <row r="4257" ht="16.5" customHeight="1" spans="1:8">
      <c r="A4257" s="3">
        <v>4256</v>
      </c>
      <c r="B4257" s="3" t="s">
        <v>9749</v>
      </c>
      <c r="C4257" s="3" t="s">
        <v>2163</v>
      </c>
      <c r="D4257" s="4" t="s">
        <v>9750</v>
      </c>
      <c r="E4257" s="3" t="s">
        <v>1076</v>
      </c>
      <c r="F4257" s="3" t="s">
        <v>2105</v>
      </c>
      <c r="G4257" s="3"/>
      <c r="H4257" s="4" t="s">
        <v>6877</v>
      </c>
    </row>
    <row r="4258" ht="16.5" customHeight="1" spans="1:8">
      <c r="A4258" s="3">
        <v>4257</v>
      </c>
      <c r="B4258" s="3" t="s">
        <v>9751</v>
      </c>
      <c r="C4258" s="3" t="s">
        <v>2163</v>
      </c>
      <c r="D4258" s="4" t="s">
        <v>9752</v>
      </c>
      <c r="E4258" s="3" t="s">
        <v>1076</v>
      </c>
      <c r="F4258" s="3" t="s">
        <v>2105</v>
      </c>
      <c r="G4258" s="3"/>
      <c r="H4258" s="4" t="s">
        <v>6877</v>
      </c>
    </row>
    <row r="4259" ht="16.5" customHeight="1" spans="1:8">
      <c r="A4259" s="3">
        <v>4258</v>
      </c>
      <c r="B4259" s="3" t="s">
        <v>9753</v>
      </c>
      <c r="C4259" s="3" t="s">
        <v>2163</v>
      </c>
      <c r="D4259" s="4" t="s">
        <v>9754</v>
      </c>
      <c r="E4259" s="3" t="s">
        <v>1076</v>
      </c>
      <c r="F4259" s="3" t="s">
        <v>2105</v>
      </c>
      <c r="G4259" s="3"/>
      <c r="H4259" s="4" t="s">
        <v>6877</v>
      </c>
    </row>
    <row r="4260" ht="16.5" customHeight="1" spans="1:8">
      <c r="A4260" s="3">
        <v>4259</v>
      </c>
      <c r="B4260" s="3" t="s">
        <v>9755</v>
      </c>
      <c r="C4260" s="3" t="s">
        <v>2163</v>
      </c>
      <c r="D4260" s="4" t="s">
        <v>9756</v>
      </c>
      <c r="E4260" s="3" t="s">
        <v>1076</v>
      </c>
      <c r="F4260" s="3" t="s">
        <v>2105</v>
      </c>
      <c r="G4260" s="3"/>
      <c r="H4260" s="4" t="s">
        <v>6877</v>
      </c>
    </row>
    <row r="4261" ht="16.5" customHeight="1" spans="1:8">
      <c r="A4261" s="3">
        <v>4260</v>
      </c>
      <c r="B4261" s="3" t="s">
        <v>9757</v>
      </c>
      <c r="C4261" s="3" t="s">
        <v>2163</v>
      </c>
      <c r="D4261" s="4" t="s">
        <v>9758</v>
      </c>
      <c r="E4261" s="3" t="s">
        <v>1076</v>
      </c>
      <c r="F4261" s="3" t="s">
        <v>2105</v>
      </c>
      <c r="G4261" s="3"/>
      <c r="H4261" s="4" t="s">
        <v>6877</v>
      </c>
    </row>
    <row r="4262" ht="16.5" customHeight="1" spans="1:8">
      <c r="A4262" s="3">
        <v>4261</v>
      </c>
      <c r="B4262" s="3" t="s">
        <v>9759</v>
      </c>
      <c r="C4262" s="3" t="s">
        <v>2163</v>
      </c>
      <c r="D4262" s="4" t="s">
        <v>9760</v>
      </c>
      <c r="E4262" s="3" t="s">
        <v>1076</v>
      </c>
      <c r="F4262" s="3" t="s">
        <v>2105</v>
      </c>
      <c r="G4262" s="3"/>
      <c r="H4262" s="4" t="s">
        <v>6877</v>
      </c>
    </row>
    <row r="4263" ht="16.5" customHeight="1" spans="1:8">
      <c r="A4263" s="3">
        <v>4262</v>
      </c>
      <c r="B4263" s="3" t="s">
        <v>9761</v>
      </c>
      <c r="C4263" s="3" t="s">
        <v>2163</v>
      </c>
      <c r="D4263" s="4" t="s">
        <v>9762</v>
      </c>
      <c r="E4263" s="3" t="s">
        <v>1076</v>
      </c>
      <c r="F4263" s="3" t="s">
        <v>2105</v>
      </c>
      <c r="G4263" s="3"/>
      <c r="H4263" s="4" t="s">
        <v>6877</v>
      </c>
    </row>
    <row r="4264" ht="16.5" customHeight="1" spans="1:8">
      <c r="A4264" s="3">
        <v>4263</v>
      </c>
      <c r="B4264" s="3" t="s">
        <v>9763</v>
      </c>
      <c r="C4264" s="3" t="s">
        <v>2163</v>
      </c>
      <c r="D4264" s="4" t="s">
        <v>9764</v>
      </c>
      <c r="E4264" s="3" t="s">
        <v>1076</v>
      </c>
      <c r="F4264" s="3" t="s">
        <v>2105</v>
      </c>
      <c r="G4264" s="3"/>
      <c r="H4264" s="4" t="s">
        <v>6877</v>
      </c>
    </row>
    <row r="4265" ht="16.5" customHeight="1" spans="1:8">
      <c r="A4265" s="3">
        <v>4264</v>
      </c>
      <c r="B4265" s="3" t="s">
        <v>9765</v>
      </c>
      <c r="C4265" s="3" t="s">
        <v>2163</v>
      </c>
      <c r="D4265" s="4" t="s">
        <v>9766</v>
      </c>
      <c r="E4265" s="3" t="s">
        <v>1076</v>
      </c>
      <c r="F4265" s="3" t="s">
        <v>2105</v>
      </c>
      <c r="G4265" s="3"/>
      <c r="H4265" s="4" t="s">
        <v>6877</v>
      </c>
    </row>
    <row r="4266" ht="16.5" customHeight="1" spans="1:8">
      <c r="A4266" s="3">
        <v>4265</v>
      </c>
      <c r="B4266" s="3" t="s">
        <v>9767</v>
      </c>
      <c r="C4266" s="3" t="s">
        <v>2163</v>
      </c>
      <c r="D4266" s="4" t="s">
        <v>9768</v>
      </c>
      <c r="E4266" s="3" t="s">
        <v>1076</v>
      </c>
      <c r="F4266" s="3" t="s">
        <v>2105</v>
      </c>
      <c r="G4266" s="3"/>
      <c r="H4266" s="4" t="s">
        <v>6877</v>
      </c>
    </row>
    <row r="4267" ht="16.5" customHeight="1" spans="1:8">
      <c r="A4267" s="3">
        <v>4266</v>
      </c>
      <c r="B4267" s="3" t="s">
        <v>9769</v>
      </c>
      <c r="C4267" s="3" t="s">
        <v>1105</v>
      </c>
      <c r="D4267" s="4" t="s">
        <v>9770</v>
      </c>
      <c r="E4267" s="3" t="s">
        <v>1739</v>
      </c>
      <c r="F4267" s="3" t="s">
        <v>4668</v>
      </c>
      <c r="G4267" s="3"/>
      <c r="H4267" s="4" t="s">
        <v>9771</v>
      </c>
    </row>
    <row r="4268" ht="16.5" customHeight="1" spans="1:8">
      <c r="A4268" s="3">
        <v>4267</v>
      </c>
      <c r="B4268" s="3" t="s">
        <v>9772</v>
      </c>
      <c r="C4268" s="3" t="s">
        <v>1105</v>
      </c>
      <c r="D4268" s="4" t="s">
        <v>9773</v>
      </c>
      <c r="E4268" s="3" t="s">
        <v>1076</v>
      </c>
      <c r="F4268" s="3" t="s">
        <v>4668</v>
      </c>
      <c r="G4268" s="3"/>
      <c r="H4268" s="4" t="s">
        <v>9771</v>
      </c>
    </row>
    <row r="4269" ht="16.5" customHeight="1" spans="1:8">
      <c r="A4269" s="3">
        <v>4268</v>
      </c>
      <c r="B4269" s="3" t="s">
        <v>9774</v>
      </c>
      <c r="C4269" s="3" t="s">
        <v>1105</v>
      </c>
      <c r="D4269" s="4" t="s">
        <v>9775</v>
      </c>
      <c r="E4269" s="3" t="s">
        <v>1739</v>
      </c>
      <c r="F4269" s="3" t="s">
        <v>4668</v>
      </c>
      <c r="G4269" s="3"/>
      <c r="H4269" s="4" t="s">
        <v>9771</v>
      </c>
    </row>
    <row r="4270" ht="16.5" customHeight="1" spans="1:8">
      <c r="A4270" s="3">
        <v>4269</v>
      </c>
      <c r="B4270" s="3" t="s">
        <v>9776</v>
      </c>
      <c r="C4270" s="3" t="s">
        <v>1105</v>
      </c>
      <c r="D4270" s="4" t="s">
        <v>9777</v>
      </c>
      <c r="E4270" s="3" t="s">
        <v>1739</v>
      </c>
      <c r="F4270" s="3" t="s">
        <v>4668</v>
      </c>
      <c r="G4270" s="3"/>
      <c r="H4270" s="4" t="s">
        <v>9771</v>
      </c>
    </row>
    <row r="4271" ht="16.5" customHeight="1" spans="1:8">
      <c r="A4271" s="3">
        <v>4270</v>
      </c>
      <c r="B4271" s="3" t="s">
        <v>9778</v>
      </c>
      <c r="C4271" s="3" t="s">
        <v>1105</v>
      </c>
      <c r="D4271" s="4" t="s">
        <v>9779</v>
      </c>
      <c r="E4271" s="3" t="s">
        <v>1739</v>
      </c>
      <c r="F4271" s="3" t="s">
        <v>4668</v>
      </c>
      <c r="G4271" s="3"/>
      <c r="H4271" s="4" t="s">
        <v>9771</v>
      </c>
    </row>
    <row r="4272" ht="16.5" customHeight="1" spans="1:8">
      <c r="A4272" s="3">
        <v>4271</v>
      </c>
      <c r="B4272" s="3" t="s">
        <v>9780</v>
      </c>
      <c r="C4272" s="3" t="s">
        <v>1105</v>
      </c>
      <c r="D4272" s="4" t="s">
        <v>9781</v>
      </c>
      <c r="E4272" s="3" t="s">
        <v>1076</v>
      </c>
      <c r="F4272" s="3" t="s">
        <v>4668</v>
      </c>
      <c r="G4272" s="3"/>
      <c r="H4272" s="4" t="s">
        <v>9771</v>
      </c>
    </row>
    <row r="4273" ht="16.5" customHeight="1" spans="1:8">
      <c r="A4273" s="3">
        <v>4272</v>
      </c>
      <c r="B4273" s="3" t="s">
        <v>9782</v>
      </c>
      <c r="C4273" s="3" t="s">
        <v>1105</v>
      </c>
      <c r="D4273" s="4" t="s">
        <v>9783</v>
      </c>
      <c r="E4273" s="3" t="s">
        <v>1739</v>
      </c>
      <c r="F4273" s="3" t="s">
        <v>4668</v>
      </c>
      <c r="G4273" s="3"/>
      <c r="H4273" s="4" t="s">
        <v>9771</v>
      </c>
    </row>
    <row r="4274" ht="16.5" customHeight="1" spans="1:8">
      <c r="A4274" s="3">
        <v>4273</v>
      </c>
      <c r="B4274" s="3" t="s">
        <v>9784</v>
      </c>
      <c r="C4274" s="3" t="s">
        <v>1105</v>
      </c>
      <c r="D4274" s="4" t="s">
        <v>9785</v>
      </c>
      <c r="E4274" s="3" t="s">
        <v>1739</v>
      </c>
      <c r="F4274" s="3" t="s">
        <v>4668</v>
      </c>
      <c r="G4274" s="3"/>
      <c r="H4274" s="4" t="s">
        <v>9771</v>
      </c>
    </row>
    <row r="4275" ht="16.5" customHeight="1" spans="1:8">
      <c r="A4275" s="3">
        <v>4274</v>
      </c>
      <c r="B4275" s="3" t="s">
        <v>9786</v>
      </c>
      <c r="C4275" s="3" t="s">
        <v>1105</v>
      </c>
      <c r="D4275" s="4" t="s">
        <v>9787</v>
      </c>
      <c r="E4275" s="3" t="s">
        <v>1739</v>
      </c>
      <c r="F4275" s="3" t="s">
        <v>4668</v>
      </c>
      <c r="G4275" s="3"/>
      <c r="H4275" s="4" t="s">
        <v>9771</v>
      </c>
    </row>
    <row r="4276" ht="16.5" customHeight="1" spans="1:8">
      <c r="A4276" s="3">
        <v>4275</v>
      </c>
      <c r="B4276" s="3" t="s">
        <v>9788</v>
      </c>
      <c r="C4276" s="3" t="s">
        <v>1105</v>
      </c>
      <c r="D4276" s="4" t="s">
        <v>9789</v>
      </c>
      <c r="E4276" s="3" t="s">
        <v>1739</v>
      </c>
      <c r="F4276" s="3" t="s">
        <v>4668</v>
      </c>
      <c r="G4276" s="3"/>
      <c r="H4276" s="4" t="s">
        <v>9771</v>
      </c>
    </row>
    <row r="4277" ht="16.5" customHeight="1" spans="1:8">
      <c r="A4277" s="3">
        <v>4276</v>
      </c>
      <c r="B4277" s="3" t="s">
        <v>9790</v>
      </c>
      <c r="C4277" s="3" t="s">
        <v>1105</v>
      </c>
      <c r="D4277" s="4" t="s">
        <v>9791</v>
      </c>
      <c r="E4277" s="3" t="s">
        <v>1076</v>
      </c>
      <c r="F4277" s="3" t="s">
        <v>4668</v>
      </c>
      <c r="G4277" s="3"/>
      <c r="H4277" s="4" t="s">
        <v>9771</v>
      </c>
    </row>
    <row r="4278" ht="16.5" customHeight="1" spans="1:8">
      <c r="A4278" s="3">
        <v>4277</v>
      </c>
      <c r="B4278" s="3" t="s">
        <v>9792</v>
      </c>
      <c r="C4278" s="3" t="s">
        <v>1105</v>
      </c>
      <c r="D4278" s="4" t="s">
        <v>9793</v>
      </c>
      <c r="E4278" s="3" t="s">
        <v>1739</v>
      </c>
      <c r="F4278" s="3" t="s">
        <v>4668</v>
      </c>
      <c r="G4278" s="3"/>
      <c r="H4278" s="4" t="s">
        <v>9771</v>
      </c>
    </row>
    <row r="4279" ht="16.5" customHeight="1" spans="1:8">
      <c r="A4279" s="3">
        <v>4278</v>
      </c>
      <c r="B4279" s="3" t="s">
        <v>9794</v>
      </c>
      <c r="C4279" s="3" t="s">
        <v>1105</v>
      </c>
      <c r="D4279" s="4" t="s">
        <v>9795</v>
      </c>
      <c r="E4279" s="3" t="s">
        <v>1076</v>
      </c>
      <c r="F4279" s="3" t="s">
        <v>4668</v>
      </c>
      <c r="G4279" s="3"/>
      <c r="H4279" s="4" t="s">
        <v>9771</v>
      </c>
    </row>
    <row r="4280" ht="16.5" customHeight="1" spans="1:8">
      <c r="A4280" s="3">
        <v>4279</v>
      </c>
      <c r="B4280" s="3" t="s">
        <v>9796</v>
      </c>
      <c r="C4280" s="3" t="s">
        <v>1105</v>
      </c>
      <c r="D4280" s="4" t="s">
        <v>9797</v>
      </c>
      <c r="E4280" s="3" t="s">
        <v>1739</v>
      </c>
      <c r="F4280" s="3" t="s">
        <v>4668</v>
      </c>
      <c r="G4280" s="3"/>
      <c r="H4280" s="4" t="s">
        <v>9771</v>
      </c>
    </row>
    <row r="4281" ht="16.5" customHeight="1" spans="1:8">
      <c r="A4281" s="3">
        <v>4280</v>
      </c>
      <c r="B4281" s="3" t="s">
        <v>9798</v>
      </c>
      <c r="C4281" s="3" t="s">
        <v>1105</v>
      </c>
      <c r="D4281" s="4" t="s">
        <v>9799</v>
      </c>
      <c r="E4281" s="3" t="s">
        <v>1739</v>
      </c>
      <c r="F4281" s="3" t="s">
        <v>4668</v>
      </c>
      <c r="G4281" s="3"/>
      <c r="H4281" s="4" t="s">
        <v>9771</v>
      </c>
    </row>
    <row r="4282" ht="16.5" customHeight="1" spans="1:8">
      <c r="A4282" s="3">
        <v>4281</v>
      </c>
      <c r="B4282" s="3" t="s">
        <v>9800</v>
      </c>
      <c r="C4282" s="3" t="s">
        <v>1105</v>
      </c>
      <c r="D4282" s="4" t="s">
        <v>9801</v>
      </c>
      <c r="E4282" s="3" t="s">
        <v>1739</v>
      </c>
      <c r="F4282" s="3" t="s">
        <v>4668</v>
      </c>
      <c r="G4282" s="3"/>
      <c r="H4282" s="4" t="s">
        <v>9771</v>
      </c>
    </row>
    <row r="4283" ht="16.5" customHeight="1" spans="1:8">
      <c r="A4283" s="3">
        <v>4282</v>
      </c>
      <c r="B4283" s="3" t="s">
        <v>9802</v>
      </c>
      <c r="C4283" s="3" t="s">
        <v>1105</v>
      </c>
      <c r="D4283" s="4" t="s">
        <v>9803</v>
      </c>
      <c r="E4283" s="3" t="s">
        <v>1739</v>
      </c>
      <c r="F4283" s="3" t="s">
        <v>4668</v>
      </c>
      <c r="G4283" s="3"/>
      <c r="H4283" s="4" t="s">
        <v>9771</v>
      </c>
    </row>
    <row r="4284" ht="16.5" customHeight="1" spans="1:8">
      <c r="A4284" s="3">
        <v>4283</v>
      </c>
      <c r="B4284" s="3" t="s">
        <v>9804</v>
      </c>
      <c r="C4284" s="3" t="s">
        <v>2163</v>
      </c>
      <c r="D4284" s="4" t="s">
        <v>9805</v>
      </c>
      <c r="E4284" s="3" t="s">
        <v>1076</v>
      </c>
      <c r="F4284" s="3" t="s">
        <v>4668</v>
      </c>
      <c r="G4284" s="3"/>
      <c r="H4284" s="4" t="s">
        <v>8769</v>
      </c>
    </row>
    <row r="4285" ht="16.5" customHeight="1" spans="1:8">
      <c r="A4285" s="3">
        <v>4284</v>
      </c>
      <c r="B4285" s="3" t="s">
        <v>9806</v>
      </c>
      <c r="C4285" s="3" t="s">
        <v>2163</v>
      </c>
      <c r="D4285" s="4" t="s">
        <v>9807</v>
      </c>
      <c r="E4285" s="3" t="s">
        <v>1076</v>
      </c>
      <c r="F4285" s="3" t="s">
        <v>1358</v>
      </c>
      <c r="G4285" s="3" t="s">
        <v>321</v>
      </c>
      <c r="H4285" s="4" t="s">
        <v>1308</v>
      </c>
    </row>
    <row r="4286" ht="16.5" customHeight="1" spans="1:8">
      <c r="A4286" s="3">
        <v>4285</v>
      </c>
      <c r="B4286" s="3" t="s">
        <v>9808</v>
      </c>
      <c r="C4286" s="3" t="s">
        <v>2163</v>
      </c>
      <c r="D4286" s="4" t="s">
        <v>9809</v>
      </c>
      <c r="E4286" s="3" t="s">
        <v>1076</v>
      </c>
      <c r="F4286" s="3" t="s">
        <v>2041</v>
      </c>
      <c r="G4286" s="3"/>
      <c r="H4286" s="4" t="s">
        <v>3354</v>
      </c>
    </row>
    <row r="4287" ht="16.5" customHeight="1" spans="1:8">
      <c r="A4287" s="3">
        <v>4286</v>
      </c>
      <c r="B4287" s="3" t="s">
        <v>9810</v>
      </c>
      <c r="C4287" s="3" t="s">
        <v>2163</v>
      </c>
      <c r="D4287" s="4" t="s">
        <v>9811</v>
      </c>
      <c r="E4287" s="3" t="s">
        <v>2263</v>
      </c>
      <c r="F4287" s="3" t="s">
        <v>2105</v>
      </c>
      <c r="G4287" s="3"/>
      <c r="H4287" s="4" t="s">
        <v>6877</v>
      </c>
    </row>
    <row r="4288" ht="16.5" customHeight="1" spans="1:8">
      <c r="A4288" s="3">
        <v>4287</v>
      </c>
      <c r="B4288" s="3" t="s">
        <v>9812</v>
      </c>
      <c r="C4288" s="3" t="s">
        <v>2163</v>
      </c>
      <c r="D4288" s="4" t="s">
        <v>9813</v>
      </c>
      <c r="E4288" s="3" t="s">
        <v>1076</v>
      </c>
      <c r="F4288" s="3" t="s">
        <v>1358</v>
      </c>
      <c r="G4288" s="3" t="s">
        <v>321</v>
      </c>
      <c r="H4288" s="4" t="s">
        <v>3812</v>
      </c>
    </row>
    <row r="4289" ht="16.5" customHeight="1" spans="1:8">
      <c r="A4289" s="3">
        <v>4288</v>
      </c>
      <c r="B4289" s="3" t="s">
        <v>9814</v>
      </c>
      <c r="C4289" s="3" t="s">
        <v>2163</v>
      </c>
      <c r="D4289" s="4" t="s">
        <v>9815</v>
      </c>
      <c r="E4289" s="3" t="s">
        <v>1076</v>
      </c>
      <c r="F4289" s="3" t="s">
        <v>2105</v>
      </c>
      <c r="G4289" s="3"/>
      <c r="H4289" s="4" t="s">
        <v>6877</v>
      </c>
    </row>
    <row r="4290" ht="16.5" customHeight="1" spans="1:8">
      <c r="A4290" s="3">
        <v>4289</v>
      </c>
      <c r="B4290" s="3" t="s">
        <v>9816</v>
      </c>
      <c r="C4290" s="3" t="s">
        <v>2163</v>
      </c>
      <c r="D4290" s="4" t="s">
        <v>9817</v>
      </c>
      <c r="E4290" s="3" t="s">
        <v>1076</v>
      </c>
      <c r="F4290" s="3" t="s">
        <v>2105</v>
      </c>
      <c r="G4290" s="3"/>
      <c r="H4290" s="4" t="s">
        <v>6877</v>
      </c>
    </row>
    <row r="4291" ht="16.5" customHeight="1" spans="1:8">
      <c r="A4291" s="3">
        <v>4290</v>
      </c>
      <c r="B4291" s="3" t="s">
        <v>9818</v>
      </c>
      <c r="C4291" s="3" t="s">
        <v>2163</v>
      </c>
      <c r="D4291" s="4" t="s">
        <v>9819</v>
      </c>
      <c r="E4291" s="3" t="s">
        <v>1076</v>
      </c>
      <c r="F4291" s="3" t="s">
        <v>2041</v>
      </c>
      <c r="G4291" s="3" t="s">
        <v>321</v>
      </c>
      <c r="H4291" s="4" t="s">
        <v>3354</v>
      </c>
    </row>
    <row r="4292" ht="16.5" customHeight="1" spans="1:8">
      <c r="A4292" s="3">
        <v>4291</v>
      </c>
      <c r="B4292" s="3" t="s">
        <v>9820</v>
      </c>
      <c r="C4292" s="3" t="s">
        <v>2163</v>
      </c>
      <c r="D4292" s="4" t="s">
        <v>9821</v>
      </c>
      <c r="E4292" s="3" t="s">
        <v>1076</v>
      </c>
      <c r="F4292" s="3" t="s">
        <v>2105</v>
      </c>
      <c r="G4292" s="3"/>
      <c r="H4292" s="4" t="s">
        <v>6877</v>
      </c>
    </row>
    <row r="4293" ht="16.5" customHeight="1" spans="1:8">
      <c r="A4293" s="3">
        <v>4292</v>
      </c>
      <c r="B4293" s="3" t="s">
        <v>9822</v>
      </c>
      <c r="C4293" s="3" t="s">
        <v>2163</v>
      </c>
      <c r="D4293" s="4" t="s">
        <v>9823</v>
      </c>
      <c r="E4293" s="3" t="s">
        <v>1076</v>
      </c>
      <c r="F4293" s="3" t="s">
        <v>2105</v>
      </c>
      <c r="G4293" s="3"/>
      <c r="H4293" s="4" t="s">
        <v>6877</v>
      </c>
    </row>
    <row r="4294" ht="16.5" customHeight="1" spans="1:8">
      <c r="A4294" s="3">
        <v>4293</v>
      </c>
      <c r="B4294" s="3" t="s">
        <v>9824</v>
      </c>
      <c r="C4294" s="3" t="s">
        <v>2163</v>
      </c>
      <c r="D4294" s="4" t="s">
        <v>9825</v>
      </c>
      <c r="E4294" s="3" t="s">
        <v>1076</v>
      </c>
      <c r="F4294" s="3" t="s">
        <v>1358</v>
      </c>
      <c r="G4294" s="3" t="s">
        <v>321</v>
      </c>
      <c r="H4294" s="4" t="s">
        <v>3354</v>
      </c>
    </row>
    <row r="4295" ht="16.5" customHeight="1" spans="1:8">
      <c r="A4295" s="3">
        <v>4294</v>
      </c>
      <c r="B4295" s="3" t="s">
        <v>9826</v>
      </c>
      <c r="C4295" s="3" t="s">
        <v>2163</v>
      </c>
      <c r="D4295" s="4" t="s">
        <v>9827</v>
      </c>
      <c r="E4295" s="3" t="s">
        <v>2263</v>
      </c>
      <c r="F4295" s="3" t="s">
        <v>2105</v>
      </c>
      <c r="G4295" s="3"/>
      <c r="H4295" s="4" t="s">
        <v>6877</v>
      </c>
    </row>
    <row r="4296" ht="16.5" customHeight="1" spans="1:8">
      <c r="A4296" s="3">
        <v>4295</v>
      </c>
      <c r="B4296" s="3" t="s">
        <v>9828</v>
      </c>
      <c r="C4296" s="3" t="s">
        <v>2163</v>
      </c>
      <c r="D4296" s="4" t="s">
        <v>9829</v>
      </c>
      <c r="E4296" s="3" t="s">
        <v>1076</v>
      </c>
      <c r="F4296" s="3" t="s">
        <v>2105</v>
      </c>
      <c r="G4296" s="3" t="s">
        <v>321</v>
      </c>
      <c r="H4296" s="4" t="s">
        <v>6877</v>
      </c>
    </row>
    <row r="4297" ht="16.5" customHeight="1" spans="1:8">
      <c r="A4297" s="3">
        <v>4296</v>
      </c>
      <c r="B4297" s="3" t="s">
        <v>9830</v>
      </c>
      <c r="C4297" s="3" t="s">
        <v>1074</v>
      </c>
      <c r="D4297" s="4" t="s">
        <v>9831</v>
      </c>
      <c r="E4297" s="3" t="s">
        <v>1076</v>
      </c>
      <c r="F4297" s="3" t="s">
        <v>4668</v>
      </c>
      <c r="G4297" s="3"/>
      <c r="H4297" s="4" t="s">
        <v>1305</v>
      </c>
    </row>
    <row r="4298" ht="16.5" customHeight="1" spans="1:8">
      <c r="A4298" s="3">
        <v>4297</v>
      </c>
      <c r="B4298" s="3" t="s">
        <v>9832</v>
      </c>
      <c r="C4298" s="3" t="s">
        <v>1356</v>
      </c>
      <c r="D4298" s="4" t="s">
        <v>9833</v>
      </c>
      <c r="E4298" s="3" t="s">
        <v>1076</v>
      </c>
      <c r="F4298" s="3" t="s">
        <v>4668</v>
      </c>
      <c r="G4298" s="3"/>
      <c r="H4298" s="4" t="s">
        <v>1305</v>
      </c>
    </row>
    <row r="4299" ht="16.5" customHeight="1" spans="1:8">
      <c r="A4299" s="3">
        <v>4298</v>
      </c>
      <c r="B4299" s="3" t="s">
        <v>9834</v>
      </c>
      <c r="C4299" s="3" t="s">
        <v>1074</v>
      </c>
      <c r="D4299" s="4" t="s">
        <v>9835</v>
      </c>
      <c r="E4299" s="3" t="s">
        <v>8754</v>
      </c>
      <c r="F4299" s="3" t="s">
        <v>4668</v>
      </c>
      <c r="G4299" s="3"/>
      <c r="H4299" s="4" t="s">
        <v>7243</v>
      </c>
    </row>
    <row r="4300" ht="16.5" customHeight="1" spans="1:8">
      <c r="A4300" s="3">
        <v>4299</v>
      </c>
      <c r="B4300" s="3" t="s">
        <v>9836</v>
      </c>
      <c r="C4300" s="3" t="s">
        <v>1356</v>
      </c>
      <c r="D4300" s="4" t="s">
        <v>9837</v>
      </c>
      <c r="E4300" s="3" t="s">
        <v>1164</v>
      </c>
      <c r="F4300" s="3" t="s">
        <v>4668</v>
      </c>
      <c r="G4300" s="3"/>
      <c r="H4300" s="4" t="s">
        <v>7243</v>
      </c>
    </row>
    <row r="4301" ht="16.5" customHeight="1" spans="1:8">
      <c r="A4301" s="3">
        <v>4300</v>
      </c>
      <c r="B4301" s="3" t="s">
        <v>9838</v>
      </c>
      <c r="C4301" s="3" t="s">
        <v>1074</v>
      </c>
      <c r="D4301" s="4" t="s">
        <v>9839</v>
      </c>
      <c r="E4301" s="3" t="s">
        <v>1076</v>
      </c>
      <c r="F4301" s="3" t="s">
        <v>4668</v>
      </c>
      <c r="G4301" s="3"/>
      <c r="H4301" s="4" t="s">
        <v>7243</v>
      </c>
    </row>
    <row r="4302" ht="16.5" customHeight="1" spans="1:8">
      <c r="A4302" s="3">
        <v>4301</v>
      </c>
      <c r="B4302" s="3" t="s">
        <v>9840</v>
      </c>
      <c r="C4302" s="3" t="s">
        <v>1356</v>
      </c>
      <c r="D4302" s="4" t="s">
        <v>9841</v>
      </c>
      <c r="E4302" s="3" t="s">
        <v>1076</v>
      </c>
      <c r="F4302" s="3" t="s">
        <v>4668</v>
      </c>
      <c r="G4302" s="3"/>
      <c r="H4302" s="4" t="s">
        <v>1078</v>
      </c>
    </row>
    <row r="4303" ht="16.5" customHeight="1" spans="1:8">
      <c r="A4303" s="3">
        <v>4302</v>
      </c>
      <c r="B4303" s="3" t="s">
        <v>9842</v>
      </c>
      <c r="C4303" s="3" t="s">
        <v>1356</v>
      </c>
      <c r="D4303" s="4" t="s">
        <v>9843</v>
      </c>
      <c r="E4303" s="3" t="s">
        <v>1076</v>
      </c>
      <c r="F4303" s="3" t="s">
        <v>4668</v>
      </c>
      <c r="G4303" s="3"/>
      <c r="H4303" s="4" t="s">
        <v>1078</v>
      </c>
    </row>
    <row r="4304" ht="16.5" customHeight="1" spans="1:8">
      <c r="A4304" s="3">
        <v>4303</v>
      </c>
      <c r="B4304" s="3" t="s">
        <v>9844</v>
      </c>
      <c r="C4304" s="3" t="s">
        <v>1356</v>
      </c>
      <c r="D4304" s="4" t="s">
        <v>9845</v>
      </c>
      <c r="E4304" s="3" t="s">
        <v>1076</v>
      </c>
      <c r="F4304" s="3" t="s">
        <v>4668</v>
      </c>
      <c r="G4304" s="3"/>
      <c r="H4304" s="4" t="s">
        <v>1359</v>
      </c>
    </row>
    <row r="4305" ht="16.5" customHeight="1" spans="1:8">
      <c r="A4305" s="3">
        <v>4304</v>
      </c>
      <c r="B4305" s="3" t="s">
        <v>9846</v>
      </c>
      <c r="C4305" s="3" t="s">
        <v>2163</v>
      </c>
      <c r="D4305" s="4" t="s">
        <v>9847</v>
      </c>
      <c r="E4305" s="3" t="s">
        <v>1076</v>
      </c>
      <c r="F4305" s="3" t="s">
        <v>2105</v>
      </c>
      <c r="G4305" s="3"/>
      <c r="H4305" s="4" t="s">
        <v>6877</v>
      </c>
    </row>
    <row r="4306" ht="16.5" customHeight="1" spans="1:8">
      <c r="A4306" s="3">
        <v>4305</v>
      </c>
      <c r="B4306" s="3" t="s">
        <v>9848</v>
      </c>
      <c r="C4306" s="3" t="s">
        <v>2163</v>
      </c>
      <c r="D4306" s="4" t="s">
        <v>9849</v>
      </c>
      <c r="E4306" s="3" t="s">
        <v>1076</v>
      </c>
      <c r="F4306" s="3" t="s">
        <v>2105</v>
      </c>
      <c r="G4306" s="3"/>
      <c r="H4306" s="4" t="s">
        <v>6877</v>
      </c>
    </row>
    <row r="4307" ht="16.5" customHeight="1" spans="1:8">
      <c r="A4307" s="3">
        <v>4306</v>
      </c>
      <c r="B4307" s="3" t="s">
        <v>9850</v>
      </c>
      <c r="C4307" s="3" t="s">
        <v>2163</v>
      </c>
      <c r="D4307" s="4" t="s">
        <v>9851</v>
      </c>
      <c r="E4307" s="3" t="s">
        <v>1076</v>
      </c>
      <c r="F4307" s="3" t="s">
        <v>2105</v>
      </c>
      <c r="G4307" s="3"/>
      <c r="H4307" s="4" t="s">
        <v>6877</v>
      </c>
    </row>
    <row r="4308" ht="16.5" customHeight="1" spans="1:8">
      <c r="A4308" s="3">
        <v>4307</v>
      </c>
      <c r="B4308" s="3" t="s">
        <v>9852</v>
      </c>
      <c r="C4308" s="3" t="s">
        <v>2163</v>
      </c>
      <c r="D4308" s="4" t="s">
        <v>9853</v>
      </c>
      <c r="E4308" s="3" t="s">
        <v>1076</v>
      </c>
      <c r="F4308" s="3" t="s">
        <v>2105</v>
      </c>
      <c r="G4308" s="3"/>
      <c r="H4308" s="4" t="s">
        <v>6877</v>
      </c>
    </row>
    <row r="4309" ht="16.5" customHeight="1" spans="1:8">
      <c r="A4309" s="3">
        <v>4308</v>
      </c>
      <c r="B4309" s="3" t="s">
        <v>9854</v>
      </c>
      <c r="C4309" s="3" t="s">
        <v>2163</v>
      </c>
      <c r="D4309" s="4" t="s">
        <v>9855</v>
      </c>
      <c r="E4309" s="3" t="s">
        <v>1076</v>
      </c>
      <c r="F4309" s="3" t="s">
        <v>2105</v>
      </c>
      <c r="G4309" s="3"/>
      <c r="H4309" s="4" t="s">
        <v>6877</v>
      </c>
    </row>
    <row r="4310" ht="16.5" customHeight="1" spans="1:8">
      <c r="A4310" s="3">
        <v>4309</v>
      </c>
      <c r="B4310" s="3" t="s">
        <v>9856</v>
      </c>
      <c r="C4310" s="3" t="s">
        <v>2163</v>
      </c>
      <c r="D4310" s="4" t="s">
        <v>9857</v>
      </c>
      <c r="E4310" s="3" t="s">
        <v>1076</v>
      </c>
      <c r="F4310" s="3" t="s">
        <v>2105</v>
      </c>
      <c r="G4310" s="3"/>
      <c r="H4310" s="4" t="s">
        <v>5664</v>
      </c>
    </row>
    <row r="4311" ht="16.5" customHeight="1" spans="1:8">
      <c r="A4311" s="3">
        <v>4310</v>
      </c>
      <c r="B4311" s="3" t="s">
        <v>9858</v>
      </c>
      <c r="C4311" s="3" t="s">
        <v>2163</v>
      </c>
      <c r="D4311" s="4" t="s">
        <v>9859</v>
      </c>
      <c r="E4311" s="3" t="s">
        <v>1076</v>
      </c>
      <c r="F4311" s="3" t="s">
        <v>1358</v>
      </c>
      <c r="G4311" s="3"/>
      <c r="H4311" s="4" t="s">
        <v>3354</v>
      </c>
    </row>
    <row r="4312" ht="16.5" customHeight="1" spans="1:8">
      <c r="A4312" s="3">
        <v>4311</v>
      </c>
      <c r="B4312" s="3" t="s">
        <v>9860</v>
      </c>
      <c r="C4312" s="3" t="s">
        <v>1361</v>
      </c>
      <c r="D4312" s="4" t="s">
        <v>9861</v>
      </c>
      <c r="E4312" s="3" t="s">
        <v>2056</v>
      </c>
      <c r="F4312" s="3" t="s">
        <v>2105</v>
      </c>
      <c r="G4312" s="3"/>
      <c r="H4312" s="4"/>
    </row>
    <row r="4313" ht="16.5" customHeight="1" spans="1:8">
      <c r="A4313" s="3">
        <v>4312</v>
      </c>
      <c r="B4313" s="3" t="s">
        <v>9862</v>
      </c>
      <c r="C4313" s="3" t="s">
        <v>1361</v>
      </c>
      <c r="D4313" s="4" t="s">
        <v>9863</v>
      </c>
      <c r="E4313" s="3" t="s">
        <v>2056</v>
      </c>
      <c r="F4313" s="3" t="s">
        <v>2105</v>
      </c>
      <c r="G4313" s="3"/>
      <c r="H4313" s="4"/>
    </row>
    <row r="4314" ht="16.5" customHeight="1" spans="1:8">
      <c r="A4314" s="3">
        <v>4313</v>
      </c>
      <c r="B4314" s="3" t="s">
        <v>9864</v>
      </c>
      <c r="C4314" s="3" t="s">
        <v>1361</v>
      </c>
      <c r="D4314" s="4" t="s">
        <v>9865</v>
      </c>
      <c r="E4314" s="3" t="s">
        <v>2056</v>
      </c>
      <c r="F4314" s="3" t="s">
        <v>2105</v>
      </c>
      <c r="G4314" s="3"/>
      <c r="H4314" s="4"/>
    </row>
    <row r="4315" ht="16.5" customHeight="1" spans="1:8">
      <c r="A4315" s="3">
        <v>4314</v>
      </c>
      <c r="B4315" s="3" t="s">
        <v>9866</v>
      </c>
      <c r="C4315" s="3" t="s">
        <v>1361</v>
      </c>
      <c r="D4315" s="4" t="s">
        <v>9867</v>
      </c>
      <c r="E4315" s="3" t="s">
        <v>2056</v>
      </c>
      <c r="F4315" s="3" t="s">
        <v>2105</v>
      </c>
      <c r="G4315" s="3"/>
      <c r="H4315" s="4"/>
    </row>
    <row r="4316" ht="16.5" customHeight="1" spans="1:8">
      <c r="A4316" s="3">
        <v>4315</v>
      </c>
      <c r="B4316" s="3" t="s">
        <v>9868</v>
      </c>
      <c r="C4316" s="3" t="s">
        <v>1361</v>
      </c>
      <c r="D4316" s="4" t="s">
        <v>9869</v>
      </c>
      <c r="E4316" s="3" t="s">
        <v>2056</v>
      </c>
      <c r="F4316" s="3" t="s">
        <v>2105</v>
      </c>
      <c r="G4316" s="3"/>
      <c r="H4316" s="4"/>
    </row>
    <row r="4317" ht="16.5" customHeight="1" spans="1:8">
      <c r="A4317" s="3">
        <v>4316</v>
      </c>
      <c r="B4317" s="3" t="s">
        <v>9870</v>
      </c>
      <c r="C4317" s="3" t="s">
        <v>1361</v>
      </c>
      <c r="D4317" s="4" t="s">
        <v>9871</v>
      </c>
      <c r="E4317" s="3" t="s">
        <v>2056</v>
      </c>
      <c r="F4317" s="3" t="s">
        <v>2105</v>
      </c>
      <c r="G4317" s="3"/>
      <c r="H4317" s="4"/>
    </row>
    <row r="4318" ht="16.5" customHeight="1" spans="1:8">
      <c r="A4318" s="3">
        <v>4317</v>
      </c>
      <c r="B4318" s="3" t="s">
        <v>9872</v>
      </c>
      <c r="C4318" s="3" t="s">
        <v>1361</v>
      </c>
      <c r="D4318" s="4" t="s">
        <v>9873</v>
      </c>
      <c r="E4318" s="3" t="s">
        <v>1218</v>
      </c>
      <c r="F4318" s="3" t="s">
        <v>2105</v>
      </c>
      <c r="G4318" s="3"/>
      <c r="H4318" s="4"/>
    </row>
    <row r="4319" ht="16.5" customHeight="1" spans="1:8">
      <c r="A4319" s="3">
        <v>4318</v>
      </c>
      <c r="B4319" s="3" t="s">
        <v>9874</v>
      </c>
      <c r="C4319" s="3" t="s">
        <v>1361</v>
      </c>
      <c r="D4319" s="4" t="s">
        <v>9875</v>
      </c>
      <c r="E4319" s="3" t="s">
        <v>1218</v>
      </c>
      <c r="F4319" s="3" t="s">
        <v>2105</v>
      </c>
      <c r="G4319" s="3"/>
      <c r="H4319" s="4"/>
    </row>
    <row r="4320" ht="16.5" customHeight="1" spans="1:8">
      <c r="A4320" s="3">
        <v>4319</v>
      </c>
      <c r="B4320" s="3" t="s">
        <v>9876</v>
      </c>
      <c r="C4320" s="3" t="s">
        <v>1361</v>
      </c>
      <c r="D4320" s="4" t="s">
        <v>9877</v>
      </c>
      <c r="E4320" s="3" t="s">
        <v>1218</v>
      </c>
      <c r="F4320" s="3" t="s">
        <v>2105</v>
      </c>
      <c r="G4320" s="3"/>
      <c r="H4320" s="4"/>
    </row>
    <row r="4321" ht="16.5" customHeight="1" spans="1:8">
      <c r="A4321" s="3">
        <v>4320</v>
      </c>
      <c r="B4321" s="3" t="s">
        <v>9878</v>
      </c>
      <c r="C4321" s="3" t="s">
        <v>1361</v>
      </c>
      <c r="D4321" s="4" t="s">
        <v>9879</v>
      </c>
      <c r="E4321" s="3" t="s">
        <v>1218</v>
      </c>
      <c r="F4321" s="3" t="s">
        <v>2105</v>
      </c>
      <c r="G4321" s="3"/>
      <c r="H4321" s="4"/>
    </row>
    <row r="4322" ht="16.5" customHeight="1" spans="1:8">
      <c r="A4322" s="3">
        <v>4321</v>
      </c>
      <c r="B4322" s="3" t="s">
        <v>9880</v>
      </c>
      <c r="C4322" s="3" t="s">
        <v>1361</v>
      </c>
      <c r="D4322" s="4" t="s">
        <v>9881</v>
      </c>
      <c r="E4322" s="3" t="s">
        <v>1218</v>
      </c>
      <c r="F4322" s="3" t="s">
        <v>2105</v>
      </c>
      <c r="G4322" s="3"/>
      <c r="H4322" s="4"/>
    </row>
    <row r="4323" ht="16.5" customHeight="1" spans="1:8">
      <c r="A4323" s="3">
        <v>4322</v>
      </c>
      <c r="B4323" s="3" t="s">
        <v>9882</v>
      </c>
      <c r="C4323" s="3" t="s">
        <v>1361</v>
      </c>
      <c r="D4323" s="4" t="s">
        <v>9883</v>
      </c>
      <c r="E4323" s="3" t="s">
        <v>1218</v>
      </c>
      <c r="F4323" s="3" t="s">
        <v>2105</v>
      </c>
      <c r="G4323" s="3"/>
      <c r="H4323" s="4"/>
    </row>
    <row r="4324" ht="16.5" customHeight="1" spans="1:8">
      <c r="A4324" s="3">
        <v>4323</v>
      </c>
      <c r="B4324" s="3" t="s">
        <v>9884</v>
      </c>
      <c r="C4324" s="3" t="s">
        <v>1361</v>
      </c>
      <c r="D4324" s="4" t="s">
        <v>9885</v>
      </c>
      <c r="E4324" s="3" t="s">
        <v>1218</v>
      </c>
      <c r="F4324" s="3" t="s">
        <v>2105</v>
      </c>
      <c r="G4324" s="3"/>
      <c r="H4324" s="4"/>
    </row>
    <row r="4325" ht="16.5" customHeight="1" spans="1:8">
      <c r="A4325" s="3">
        <v>4324</v>
      </c>
      <c r="B4325" s="3" t="s">
        <v>9886</v>
      </c>
      <c r="C4325" s="3" t="s">
        <v>1361</v>
      </c>
      <c r="D4325" s="4" t="s">
        <v>9887</v>
      </c>
      <c r="E4325" s="3" t="s">
        <v>1218</v>
      </c>
      <c r="F4325" s="3" t="s">
        <v>2105</v>
      </c>
      <c r="G4325" s="3"/>
      <c r="H4325" s="4"/>
    </row>
    <row r="4326" ht="16.5" customHeight="1" spans="1:8">
      <c r="A4326" s="3">
        <v>4325</v>
      </c>
      <c r="B4326" s="3" t="s">
        <v>9888</v>
      </c>
      <c r="C4326" s="3" t="s">
        <v>1361</v>
      </c>
      <c r="D4326" s="4" t="s">
        <v>9889</v>
      </c>
      <c r="E4326" s="3" t="s">
        <v>1218</v>
      </c>
      <c r="F4326" s="3" t="s">
        <v>2105</v>
      </c>
      <c r="G4326" s="3"/>
      <c r="H4326" s="4"/>
    </row>
    <row r="4327" ht="16.5" customHeight="1" spans="1:8">
      <c r="A4327" s="3">
        <v>4326</v>
      </c>
      <c r="B4327" s="3" t="s">
        <v>9890</v>
      </c>
      <c r="C4327" s="3" t="s">
        <v>1361</v>
      </c>
      <c r="D4327" s="4" t="s">
        <v>9891</v>
      </c>
      <c r="E4327" s="3" t="s">
        <v>1218</v>
      </c>
      <c r="F4327" s="3" t="s">
        <v>2105</v>
      </c>
      <c r="G4327" s="3"/>
      <c r="H4327" s="4"/>
    </row>
    <row r="4328" ht="16.5" customHeight="1" spans="1:8">
      <c r="A4328" s="3">
        <v>4327</v>
      </c>
      <c r="B4328" s="3" t="s">
        <v>9892</v>
      </c>
      <c r="C4328" s="3" t="s">
        <v>1361</v>
      </c>
      <c r="D4328" s="4" t="s">
        <v>9893</v>
      </c>
      <c r="E4328" s="3" t="s">
        <v>1218</v>
      </c>
      <c r="F4328" s="3" t="s">
        <v>2105</v>
      </c>
      <c r="G4328" s="3"/>
      <c r="H4328" s="4"/>
    </row>
    <row r="4329" ht="16.5" customHeight="1" spans="1:8">
      <c r="A4329" s="3">
        <v>4328</v>
      </c>
      <c r="B4329" s="3" t="s">
        <v>9894</v>
      </c>
      <c r="C4329" s="3" t="s">
        <v>1361</v>
      </c>
      <c r="D4329" s="4" t="s">
        <v>9895</v>
      </c>
      <c r="E4329" s="3" t="s">
        <v>1218</v>
      </c>
      <c r="F4329" s="3" t="s">
        <v>2105</v>
      </c>
      <c r="G4329" s="3"/>
      <c r="H4329" s="4"/>
    </row>
    <row r="4330" ht="16.5" customHeight="1" spans="1:8">
      <c r="A4330" s="3">
        <v>4329</v>
      </c>
      <c r="B4330" s="3" t="s">
        <v>9896</v>
      </c>
      <c r="C4330" s="3" t="s">
        <v>1361</v>
      </c>
      <c r="D4330" s="4" t="s">
        <v>9897</v>
      </c>
      <c r="E4330" s="3" t="s">
        <v>1218</v>
      </c>
      <c r="F4330" s="3" t="s">
        <v>2105</v>
      </c>
      <c r="G4330" s="3"/>
      <c r="H4330" s="4"/>
    </row>
    <row r="4331" ht="16.5" customHeight="1" spans="1:8">
      <c r="A4331" s="3">
        <v>4330</v>
      </c>
      <c r="B4331" s="3" t="s">
        <v>9898</v>
      </c>
      <c r="C4331" s="3" t="s">
        <v>1361</v>
      </c>
      <c r="D4331" s="4" t="s">
        <v>9899</v>
      </c>
      <c r="E4331" s="3" t="s">
        <v>1218</v>
      </c>
      <c r="F4331" s="3" t="s">
        <v>2105</v>
      </c>
      <c r="G4331" s="3"/>
      <c r="H4331" s="4"/>
    </row>
    <row r="4332" ht="16.5" customHeight="1" spans="1:8">
      <c r="A4332" s="3">
        <v>4331</v>
      </c>
      <c r="B4332" s="3" t="s">
        <v>9900</v>
      </c>
      <c r="C4332" s="3" t="s">
        <v>1361</v>
      </c>
      <c r="D4332" s="4" t="s">
        <v>9901</v>
      </c>
      <c r="E4332" s="3" t="s">
        <v>1218</v>
      </c>
      <c r="F4332" s="3" t="s">
        <v>2105</v>
      </c>
      <c r="G4332" s="3"/>
      <c r="H4332" s="4"/>
    </row>
    <row r="4333" ht="16.5" customHeight="1" spans="1:8">
      <c r="A4333" s="3">
        <v>4332</v>
      </c>
      <c r="B4333" s="3" t="s">
        <v>9902</v>
      </c>
      <c r="C4333" s="3" t="s">
        <v>1361</v>
      </c>
      <c r="D4333" s="4" t="s">
        <v>9903</v>
      </c>
      <c r="E4333" s="3" t="s">
        <v>1218</v>
      </c>
      <c r="F4333" s="3" t="s">
        <v>2105</v>
      </c>
      <c r="G4333" s="3"/>
      <c r="H4333" s="4"/>
    </row>
    <row r="4334" ht="16.5" customHeight="1" spans="1:8">
      <c r="A4334" s="3">
        <v>4333</v>
      </c>
      <c r="B4334" s="3" t="s">
        <v>9904</v>
      </c>
      <c r="C4334" s="3" t="s">
        <v>1361</v>
      </c>
      <c r="D4334" s="4" t="s">
        <v>9905</v>
      </c>
      <c r="E4334" s="3" t="s">
        <v>1218</v>
      </c>
      <c r="F4334" s="3" t="s">
        <v>2105</v>
      </c>
      <c r="G4334" s="3"/>
      <c r="H4334" s="4"/>
    </row>
    <row r="4335" ht="16.5" customHeight="1" spans="1:8">
      <c r="A4335" s="3">
        <v>4334</v>
      </c>
      <c r="B4335" s="3" t="s">
        <v>9906</v>
      </c>
      <c r="C4335" s="3" t="s">
        <v>1361</v>
      </c>
      <c r="D4335" s="4" t="s">
        <v>9907</v>
      </c>
      <c r="E4335" s="3" t="s">
        <v>1218</v>
      </c>
      <c r="F4335" s="3" t="s">
        <v>2105</v>
      </c>
      <c r="G4335" s="3"/>
      <c r="H4335" s="4"/>
    </row>
    <row r="4336" ht="16.5" customHeight="1" spans="1:8">
      <c r="A4336" s="3">
        <v>4335</v>
      </c>
      <c r="B4336" s="3" t="s">
        <v>9908</v>
      </c>
      <c r="C4336" s="3" t="s">
        <v>1361</v>
      </c>
      <c r="D4336" s="4" t="s">
        <v>9909</v>
      </c>
      <c r="E4336" s="3" t="s">
        <v>1218</v>
      </c>
      <c r="F4336" s="3" t="s">
        <v>2105</v>
      </c>
      <c r="G4336" s="3"/>
      <c r="H4336" s="4"/>
    </row>
    <row r="4337" ht="16.5" customHeight="1" spans="1:8">
      <c r="A4337" s="3">
        <v>4336</v>
      </c>
      <c r="B4337" s="3" t="s">
        <v>9910</v>
      </c>
      <c r="C4337" s="3" t="s">
        <v>1361</v>
      </c>
      <c r="D4337" s="4" t="s">
        <v>9911</v>
      </c>
      <c r="E4337" s="3" t="s">
        <v>1218</v>
      </c>
      <c r="F4337" s="3" t="s">
        <v>2105</v>
      </c>
      <c r="G4337" s="3"/>
      <c r="H4337" s="4"/>
    </row>
    <row r="4338" ht="16.5" customHeight="1" spans="1:8">
      <c r="A4338" s="3">
        <v>4337</v>
      </c>
      <c r="B4338" s="3" t="s">
        <v>9912</v>
      </c>
      <c r="C4338" s="3" t="s">
        <v>1361</v>
      </c>
      <c r="D4338" s="4" t="s">
        <v>9913</v>
      </c>
      <c r="E4338" s="3" t="s">
        <v>1218</v>
      </c>
      <c r="F4338" s="3" t="s">
        <v>2105</v>
      </c>
      <c r="G4338" s="3"/>
      <c r="H4338" s="4"/>
    </row>
    <row r="4339" ht="16.5" customHeight="1" spans="1:8">
      <c r="A4339" s="3">
        <v>4338</v>
      </c>
      <c r="B4339" s="3" t="s">
        <v>9914</v>
      </c>
      <c r="C4339" s="3" t="s">
        <v>1361</v>
      </c>
      <c r="D4339" s="4" t="s">
        <v>9915</v>
      </c>
      <c r="E4339" s="3" t="s">
        <v>1218</v>
      </c>
      <c r="F4339" s="3" t="s">
        <v>2105</v>
      </c>
      <c r="G4339" s="3"/>
      <c r="H4339" s="4"/>
    </row>
    <row r="4340" ht="16.5" customHeight="1" spans="1:8">
      <c r="A4340" s="3">
        <v>4339</v>
      </c>
      <c r="B4340" s="3" t="s">
        <v>9916</v>
      </c>
      <c r="C4340" s="3" t="s">
        <v>1361</v>
      </c>
      <c r="D4340" s="4" t="s">
        <v>9917</v>
      </c>
      <c r="E4340" s="3" t="s">
        <v>1218</v>
      </c>
      <c r="F4340" s="3" t="s">
        <v>2105</v>
      </c>
      <c r="G4340" s="3"/>
      <c r="H4340" s="4"/>
    </row>
    <row r="4341" ht="16.5" customHeight="1" spans="1:8">
      <c r="A4341" s="3">
        <v>4340</v>
      </c>
      <c r="B4341" s="3" t="s">
        <v>9918</v>
      </c>
      <c r="C4341" s="3" t="s">
        <v>1361</v>
      </c>
      <c r="D4341" s="4" t="s">
        <v>9919</v>
      </c>
      <c r="E4341" s="3" t="s">
        <v>1218</v>
      </c>
      <c r="F4341" s="3" t="s">
        <v>2105</v>
      </c>
      <c r="G4341" s="3"/>
      <c r="H4341" s="4"/>
    </row>
    <row r="4342" ht="16.5" customHeight="1" spans="1:8">
      <c r="A4342" s="3">
        <v>4341</v>
      </c>
      <c r="B4342" s="3" t="s">
        <v>9920</v>
      </c>
      <c r="C4342" s="3" t="s">
        <v>1361</v>
      </c>
      <c r="D4342" s="4" t="s">
        <v>9921</v>
      </c>
      <c r="E4342" s="3" t="s">
        <v>1218</v>
      </c>
      <c r="F4342" s="3" t="s">
        <v>2105</v>
      </c>
      <c r="G4342" s="3"/>
      <c r="H4342" s="4"/>
    </row>
    <row r="4343" ht="16.5" customHeight="1" spans="1:8">
      <c r="A4343" s="3">
        <v>4342</v>
      </c>
      <c r="B4343" s="3" t="s">
        <v>9922</v>
      </c>
      <c r="C4343" s="3" t="s">
        <v>1361</v>
      </c>
      <c r="D4343" s="4" t="s">
        <v>9923</v>
      </c>
      <c r="E4343" s="3" t="s">
        <v>1218</v>
      </c>
      <c r="F4343" s="3" t="s">
        <v>2105</v>
      </c>
      <c r="G4343" s="3"/>
      <c r="H4343" s="4"/>
    </row>
    <row r="4344" ht="16.5" customHeight="1" spans="1:8">
      <c r="A4344" s="3">
        <v>4343</v>
      </c>
      <c r="B4344" s="3" t="s">
        <v>9924</v>
      </c>
      <c r="C4344" s="3" t="s">
        <v>1361</v>
      </c>
      <c r="D4344" s="4" t="s">
        <v>9925</v>
      </c>
      <c r="E4344" s="3" t="s">
        <v>1218</v>
      </c>
      <c r="F4344" s="3" t="s">
        <v>2105</v>
      </c>
      <c r="G4344" s="3"/>
      <c r="H4344" s="4"/>
    </row>
    <row r="4345" ht="16.5" customHeight="1" spans="1:8">
      <c r="A4345" s="3">
        <v>4344</v>
      </c>
      <c r="B4345" s="3" t="s">
        <v>9926</v>
      </c>
      <c r="C4345" s="3" t="s">
        <v>1361</v>
      </c>
      <c r="D4345" s="4" t="s">
        <v>9927</v>
      </c>
      <c r="E4345" s="3" t="s">
        <v>1218</v>
      </c>
      <c r="F4345" s="3" t="s">
        <v>2105</v>
      </c>
      <c r="G4345" s="3"/>
      <c r="H4345" s="4"/>
    </row>
    <row r="4346" ht="16.5" customHeight="1" spans="1:8">
      <c r="A4346" s="3">
        <v>4345</v>
      </c>
      <c r="B4346" s="3" t="s">
        <v>9928</v>
      </c>
      <c r="C4346" s="3" t="s">
        <v>1361</v>
      </c>
      <c r="D4346" s="4" t="s">
        <v>9929</v>
      </c>
      <c r="E4346" s="3" t="s">
        <v>1218</v>
      </c>
      <c r="F4346" s="3" t="s">
        <v>2105</v>
      </c>
      <c r="G4346" s="3"/>
      <c r="H4346" s="4"/>
    </row>
    <row r="4347" ht="16.5" customHeight="1" spans="1:8">
      <c r="A4347" s="3">
        <v>4346</v>
      </c>
      <c r="B4347" s="3" t="s">
        <v>9930</v>
      </c>
      <c r="C4347" s="3" t="s">
        <v>1361</v>
      </c>
      <c r="D4347" s="4" t="s">
        <v>9931</v>
      </c>
      <c r="E4347" s="3" t="s">
        <v>1218</v>
      </c>
      <c r="F4347" s="3" t="s">
        <v>2105</v>
      </c>
      <c r="G4347" s="3"/>
      <c r="H4347" s="4"/>
    </row>
    <row r="4348" ht="16.5" customHeight="1" spans="1:8">
      <c r="A4348" s="3">
        <v>4347</v>
      </c>
      <c r="B4348" s="3" t="s">
        <v>9932</v>
      </c>
      <c r="C4348" s="3" t="s">
        <v>1361</v>
      </c>
      <c r="D4348" s="4" t="s">
        <v>9933</v>
      </c>
      <c r="E4348" s="3" t="s">
        <v>1218</v>
      </c>
      <c r="F4348" s="3" t="s">
        <v>2105</v>
      </c>
      <c r="G4348" s="3"/>
      <c r="H4348" s="4"/>
    </row>
    <row r="4349" ht="16.5" customHeight="1" spans="1:8">
      <c r="A4349" s="3">
        <v>4348</v>
      </c>
      <c r="B4349" s="3" t="s">
        <v>9934</v>
      </c>
      <c r="C4349" s="3" t="s">
        <v>1361</v>
      </c>
      <c r="D4349" s="4" t="s">
        <v>9935</v>
      </c>
      <c r="E4349" s="3" t="s">
        <v>1218</v>
      </c>
      <c r="F4349" s="3" t="s">
        <v>2105</v>
      </c>
      <c r="G4349" s="3"/>
      <c r="H4349" s="4"/>
    </row>
    <row r="4350" ht="16.5" customHeight="1" spans="1:8">
      <c r="A4350" s="3">
        <v>4349</v>
      </c>
      <c r="B4350" s="3" t="s">
        <v>9936</v>
      </c>
      <c r="C4350" s="3" t="s">
        <v>1361</v>
      </c>
      <c r="D4350" s="4" t="s">
        <v>9937</v>
      </c>
      <c r="E4350" s="3" t="s">
        <v>1218</v>
      </c>
      <c r="F4350" s="3" t="s">
        <v>2105</v>
      </c>
      <c r="G4350" s="3"/>
      <c r="H4350" s="4"/>
    </row>
    <row r="4351" ht="16.5" customHeight="1" spans="1:8">
      <c r="A4351" s="3">
        <v>4350</v>
      </c>
      <c r="B4351" s="3" t="s">
        <v>9938</v>
      </c>
      <c r="C4351" s="3" t="s">
        <v>1361</v>
      </c>
      <c r="D4351" s="4" t="s">
        <v>9939</v>
      </c>
      <c r="E4351" s="3" t="s">
        <v>1218</v>
      </c>
      <c r="F4351" s="3" t="s">
        <v>2105</v>
      </c>
      <c r="G4351" s="3"/>
      <c r="H4351" s="4"/>
    </row>
    <row r="4352" ht="16.5" customHeight="1" spans="1:8">
      <c r="A4352" s="3">
        <v>4351</v>
      </c>
      <c r="B4352" s="3" t="s">
        <v>9940</v>
      </c>
      <c r="C4352" s="3" t="s">
        <v>1361</v>
      </c>
      <c r="D4352" s="4" t="s">
        <v>9941</v>
      </c>
      <c r="E4352" s="3" t="s">
        <v>1777</v>
      </c>
      <c r="F4352" s="3" t="s">
        <v>2105</v>
      </c>
      <c r="G4352" s="3"/>
      <c r="H4352" s="4"/>
    </row>
    <row r="4353" ht="16.5" customHeight="1" spans="1:8">
      <c r="A4353" s="3">
        <v>4352</v>
      </c>
      <c r="B4353" s="3" t="s">
        <v>9942</v>
      </c>
      <c r="C4353" s="3" t="s">
        <v>1361</v>
      </c>
      <c r="D4353" s="4" t="s">
        <v>9943</v>
      </c>
      <c r="E4353" s="3" t="s">
        <v>1218</v>
      </c>
      <c r="F4353" s="3" t="s">
        <v>2105</v>
      </c>
      <c r="G4353" s="3"/>
      <c r="H4353" s="4"/>
    </row>
    <row r="4354" ht="16.5" customHeight="1" spans="1:8">
      <c r="A4354" s="3">
        <v>4353</v>
      </c>
      <c r="B4354" s="3" t="s">
        <v>9944</v>
      </c>
      <c r="C4354" s="3" t="s">
        <v>1361</v>
      </c>
      <c r="D4354" s="4" t="s">
        <v>9945</v>
      </c>
      <c r="E4354" s="3" t="s">
        <v>1218</v>
      </c>
      <c r="F4354" s="3" t="s">
        <v>2105</v>
      </c>
      <c r="G4354" s="3"/>
      <c r="H4354" s="4"/>
    </row>
    <row r="4355" ht="16.5" customHeight="1" spans="1:8">
      <c r="A4355" s="3">
        <v>4354</v>
      </c>
      <c r="B4355" s="3" t="s">
        <v>9946</v>
      </c>
      <c r="C4355" s="3" t="s">
        <v>1361</v>
      </c>
      <c r="D4355" s="4" t="s">
        <v>9947</v>
      </c>
      <c r="E4355" s="3" t="s">
        <v>1218</v>
      </c>
      <c r="F4355" s="3" t="s">
        <v>2105</v>
      </c>
      <c r="G4355" s="3"/>
      <c r="H4355" s="4"/>
    </row>
    <row r="4356" ht="16.5" customHeight="1" spans="1:8">
      <c r="A4356" s="3">
        <v>4355</v>
      </c>
      <c r="B4356" s="3" t="s">
        <v>9948</v>
      </c>
      <c r="C4356" s="3" t="s">
        <v>1361</v>
      </c>
      <c r="D4356" s="4" t="s">
        <v>9949</v>
      </c>
      <c r="E4356" s="3" t="s">
        <v>1218</v>
      </c>
      <c r="F4356" s="3" t="s">
        <v>2105</v>
      </c>
      <c r="G4356" s="3"/>
      <c r="H4356" s="4"/>
    </row>
    <row r="4357" ht="16.5" customHeight="1" spans="1:8">
      <c r="A4357" s="3">
        <v>4356</v>
      </c>
      <c r="B4357" s="3" t="s">
        <v>9950</v>
      </c>
      <c r="C4357" s="3" t="s">
        <v>1361</v>
      </c>
      <c r="D4357" s="4" t="s">
        <v>9951</v>
      </c>
      <c r="E4357" s="3" t="s">
        <v>1218</v>
      </c>
      <c r="F4357" s="3" t="s">
        <v>2105</v>
      </c>
      <c r="G4357" s="3"/>
      <c r="H4357" s="4"/>
    </row>
    <row r="4358" ht="16.5" customHeight="1" spans="1:8">
      <c r="A4358" s="3">
        <v>4357</v>
      </c>
      <c r="B4358" s="3" t="s">
        <v>9952</v>
      </c>
      <c r="C4358" s="3" t="s">
        <v>1361</v>
      </c>
      <c r="D4358" s="4" t="s">
        <v>9953</v>
      </c>
      <c r="E4358" s="3" t="s">
        <v>1218</v>
      </c>
      <c r="F4358" s="3" t="s">
        <v>2105</v>
      </c>
      <c r="G4358" s="3"/>
      <c r="H4358" s="4"/>
    </row>
    <row r="4359" ht="16.5" customHeight="1" spans="1:8">
      <c r="A4359" s="3">
        <v>4358</v>
      </c>
      <c r="B4359" s="3" t="s">
        <v>9954</v>
      </c>
      <c r="C4359" s="3" t="s">
        <v>1361</v>
      </c>
      <c r="D4359" s="4" t="s">
        <v>9955</v>
      </c>
      <c r="E4359" s="3" t="s">
        <v>1218</v>
      </c>
      <c r="F4359" s="3" t="s">
        <v>2105</v>
      </c>
      <c r="G4359" s="3"/>
      <c r="H4359" s="4"/>
    </row>
    <row r="4360" ht="16.5" customHeight="1" spans="1:8">
      <c r="A4360" s="3">
        <v>4359</v>
      </c>
      <c r="B4360" s="3" t="s">
        <v>9956</v>
      </c>
      <c r="C4360" s="3" t="s">
        <v>1361</v>
      </c>
      <c r="D4360" s="4" t="s">
        <v>9957</v>
      </c>
      <c r="E4360" s="3" t="s">
        <v>1218</v>
      </c>
      <c r="F4360" s="3" t="s">
        <v>2105</v>
      </c>
      <c r="G4360" s="3"/>
      <c r="H4360" s="4"/>
    </row>
    <row r="4361" ht="16.5" customHeight="1" spans="1:8">
      <c r="A4361" s="3">
        <v>4360</v>
      </c>
      <c r="B4361" s="3" t="s">
        <v>9958</v>
      </c>
      <c r="C4361" s="3" t="s">
        <v>1361</v>
      </c>
      <c r="D4361" s="4" t="s">
        <v>9959</v>
      </c>
      <c r="E4361" s="3" t="s">
        <v>1218</v>
      </c>
      <c r="F4361" s="3" t="s">
        <v>2105</v>
      </c>
      <c r="G4361" s="3"/>
      <c r="H4361" s="4"/>
    </row>
    <row r="4362" ht="16.5" customHeight="1" spans="1:8">
      <c r="A4362" s="3">
        <v>4361</v>
      </c>
      <c r="B4362" s="3" t="s">
        <v>9960</v>
      </c>
      <c r="C4362" s="3" t="s">
        <v>1361</v>
      </c>
      <c r="D4362" s="4" t="s">
        <v>9961</v>
      </c>
      <c r="E4362" s="3" t="s">
        <v>1218</v>
      </c>
      <c r="F4362" s="3" t="s">
        <v>2105</v>
      </c>
      <c r="G4362" s="3"/>
      <c r="H4362" s="4"/>
    </row>
    <row r="4363" ht="16.5" customHeight="1" spans="1:8">
      <c r="A4363" s="3">
        <v>4362</v>
      </c>
      <c r="B4363" s="3" t="s">
        <v>9962</v>
      </c>
      <c r="C4363" s="3" t="s">
        <v>1361</v>
      </c>
      <c r="D4363" s="4" t="s">
        <v>9963</v>
      </c>
      <c r="E4363" s="3" t="s">
        <v>1218</v>
      </c>
      <c r="F4363" s="3" t="s">
        <v>2105</v>
      </c>
      <c r="G4363" s="3"/>
      <c r="H4363" s="4"/>
    </row>
    <row r="4364" ht="16.5" customHeight="1" spans="1:8">
      <c r="A4364" s="3">
        <v>4363</v>
      </c>
      <c r="B4364" s="3" t="s">
        <v>9964</v>
      </c>
      <c r="C4364" s="3" t="s">
        <v>1361</v>
      </c>
      <c r="D4364" s="4" t="s">
        <v>9965</v>
      </c>
      <c r="E4364" s="3" t="s">
        <v>1218</v>
      </c>
      <c r="F4364" s="3" t="s">
        <v>2105</v>
      </c>
      <c r="G4364" s="3"/>
      <c r="H4364" s="4"/>
    </row>
    <row r="4365" ht="16.5" customHeight="1" spans="1:8">
      <c r="A4365" s="3">
        <v>4364</v>
      </c>
      <c r="B4365" s="3" t="s">
        <v>9966</v>
      </c>
      <c r="C4365" s="3" t="s">
        <v>1361</v>
      </c>
      <c r="D4365" s="4" t="s">
        <v>9967</v>
      </c>
      <c r="E4365" s="3" t="s">
        <v>1218</v>
      </c>
      <c r="F4365" s="3" t="s">
        <v>2105</v>
      </c>
      <c r="G4365" s="3"/>
      <c r="H4365" s="4"/>
    </row>
    <row r="4366" ht="16.5" customHeight="1" spans="1:8">
      <c r="A4366" s="3">
        <v>4365</v>
      </c>
      <c r="B4366" s="3" t="s">
        <v>9968</v>
      </c>
      <c r="C4366" s="3" t="s">
        <v>1361</v>
      </c>
      <c r="D4366" s="4" t="s">
        <v>9969</v>
      </c>
      <c r="E4366" s="3" t="s">
        <v>1218</v>
      </c>
      <c r="F4366" s="3" t="s">
        <v>2105</v>
      </c>
      <c r="G4366" s="3"/>
      <c r="H4366" s="4"/>
    </row>
    <row r="4367" ht="16.5" customHeight="1" spans="1:8">
      <c r="A4367" s="3">
        <v>4366</v>
      </c>
      <c r="B4367" s="3" t="s">
        <v>9970</v>
      </c>
      <c r="C4367" s="3" t="s">
        <v>1361</v>
      </c>
      <c r="D4367" s="4" t="s">
        <v>9971</v>
      </c>
      <c r="E4367" s="3" t="s">
        <v>1218</v>
      </c>
      <c r="F4367" s="3" t="s">
        <v>2105</v>
      </c>
      <c r="G4367" s="3"/>
      <c r="H4367" s="4"/>
    </row>
    <row r="4368" ht="16.5" customHeight="1" spans="1:8">
      <c r="A4368" s="3">
        <v>4367</v>
      </c>
      <c r="B4368" s="3" t="s">
        <v>9972</v>
      </c>
      <c r="C4368" s="3" t="s">
        <v>1361</v>
      </c>
      <c r="D4368" s="4" t="s">
        <v>9973</v>
      </c>
      <c r="E4368" s="3" t="s">
        <v>1218</v>
      </c>
      <c r="F4368" s="3" t="s">
        <v>2105</v>
      </c>
      <c r="G4368" s="3"/>
      <c r="H4368" s="4"/>
    </row>
    <row r="4369" ht="16.5" customHeight="1" spans="1:8">
      <c r="A4369" s="3">
        <v>4368</v>
      </c>
      <c r="B4369" s="3" t="s">
        <v>9974</v>
      </c>
      <c r="C4369" s="3" t="s">
        <v>1361</v>
      </c>
      <c r="D4369" s="4" t="s">
        <v>9975</v>
      </c>
      <c r="E4369" s="3" t="s">
        <v>1218</v>
      </c>
      <c r="F4369" s="3" t="s">
        <v>2105</v>
      </c>
      <c r="G4369" s="3"/>
      <c r="H4369" s="4"/>
    </row>
    <row r="4370" ht="16.5" customHeight="1" spans="1:8">
      <c r="A4370" s="3">
        <v>4369</v>
      </c>
      <c r="B4370" s="3" t="s">
        <v>9976</v>
      </c>
      <c r="C4370" s="3" t="s">
        <v>1361</v>
      </c>
      <c r="D4370" s="4" t="s">
        <v>9977</v>
      </c>
      <c r="E4370" s="3" t="s">
        <v>1218</v>
      </c>
      <c r="F4370" s="3" t="s">
        <v>2105</v>
      </c>
      <c r="G4370" s="3"/>
      <c r="H4370" s="4"/>
    </row>
    <row r="4371" ht="16.5" customHeight="1" spans="1:8">
      <c r="A4371" s="3">
        <v>4370</v>
      </c>
      <c r="B4371" s="3" t="s">
        <v>9978</v>
      </c>
      <c r="C4371" s="3" t="s">
        <v>1361</v>
      </c>
      <c r="D4371" s="4" t="s">
        <v>9979</v>
      </c>
      <c r="E4371" s="3" t="s">
        <v>1218</v>
      </c>
      <c r="F4371" s="3" t="s">
        <v>2105</v>
      </c>
      <c r="G4371" s="3"/>
      <c r="H4371" s="4" t="s">
        <v>5664</v>
      </c>
    </row>
    <row r="4372" ht="16.5" customHeight="1" spans="1:8">
      <c r="A4372" s="3">
        <v>4371</v>
      </c>
      <c r="B4372" s="3" t="s">
        <v>9980</v>
      </c>
      <c r="C4372" s="3" t="s">
        <v>1361</v>
      </c>
      <c r="D4372" s="4" t="s">
        <v>9981</v>
      </c>
      <c r="E4372" s="3" t="s">
        <v>1218</v>
      </c>
      <c r="F4372" s="3" t="s">
        <v>2105</v>
      </c>
      <c r="G4372" s="3"/>
      <c r="H4372" s="4"/>
    </row>
    <row r="4373" ht="16.5" customHeight="1" spans="1:8">
      <c r="A4373" s="3">
        <v>4372</v>
      </c>
      <c r="B4373" s="3" t="s">
        <v>9982</v>
      </c>
      <c r="C4373" s="3" t="s">
        <v>1361</v>
      </c>
      <c r="D4373" s="4" t="s">
        <v>9983</v>
      </c>
      <c r="E4373" s="3" t="s">
        <v>1218</v>
      </c>
      <c r="F4373" s="3" t="s">
        <v>2105</v>
      </c>
      <c r="G4373" s="3"/>
      <c r="H4373" s="4"/>
    </row>
    <row r="4374" ht="16.5" customHeight="1" spans="1:8">
      <c r="A4374" s="3">
        <v>4373</v>
      </c>
      <c r="B4374" s="3" t="s">
        <v>9984</v>
      </c>
      <c r="C4374" s="3" t="s">
        <v>1361</v>
      </c>
      <c r="D4374" s="4" t="s">
        <v>9985</v>
      </c>
      <c r="E4374" s="3" t="s">
        <v>1218</v>
      </c>
      <c r="F4374" s="3" t="s">
        <v>2105</v>
      </c>
      <c r="G4374" s="3"/>
      <c r="H4374" s="4"/>
    </row>
    <row r="4375" ht="16.5" customHeight="1" spans="1:8">
      <c r="A4375" s="3">
        <v>4374</v>
      </c>
      <c r="B4375" s="3" t="s">
        <v>9986</v>
      </c>
      <c r="C4375" s="3" t="s">
        <v>1361</v>
      </c>
      <c r="D4375" s="4" t="s">
        <v>9987</v>
      </c>
      <c r="E4375" s="3" t="s">
        <v>1218</v>
      </c>
      <c r="F4375" s="3" t="s">
        <v>2105</v>
      </c>
      <c r="G4375" s="3"/>
      <c r="H4375" s="4"/>
    </row>
    <row r="4376" ht="16.5" customHeight="1" spans="1:8">
      <c r="A4376" s="3">
        <v>4375</v>
      </c>
      <c r="B4376" s="3" t="s">
        <v>9988</v>
      </c>
      <c r="C4376" s="3" t="s">
        <v>1361</v>
      </c>
      <c r="D4376" s="4" t="s">
        <v>9989</v>
      </c>
      <c r="E4376" s="3" t="s">
        <v>1218</v>
      </c>
      <c r="F4376" s="3" t="s">
        <v>2105</v>
      </c>
      <c r="G4376" s="3"/>
      <c r="H4376" s="4"/>
    </row>
    <row r="4377" ht="16.5" customHeight="1" spans="1:8">
      <c r="A4377" s="3">
        <v>4376</v>
      </c>
      <c r="B4377" s="3" t="s">
        <v>9990</v>
      </c>
      <c r="C4377" s="3" t="s">
        <v>1361</v>
      </c>
      <c r="D4377" s="4" t="s">
        <v>9991</v>
      </c>
      <c r="E4377" s="3" t="s">
        <v>1218</v>
      </c>
      <c r="F4377" s="3" t="s">
        <v>2105</v>
      </c>
      <c r="G4377" s="3"/>
      <c r="H4377" s="4"/>
    </row>
    <row r="4378" ht="16.5" customHeight="1" spans="1:8">
      <c r="A4378" s="3">
        <v>4377</v>
      </c>
      <c r="B4378" s="3" t="s">
        <v>9992</v>
      </c>
      <c r="C4378" s="3" t="s">
        <v>1361</v>
      </c>
      <c r="D4378" s="4" t="s">
        <v>9993</v>
      </c>
      <c r="E4378" s="3" t="s">
        <v>1218</v>
      </c>
      <c r="F4378" s="3" t="s">
        <v>2105</v>
      </c>
      <c r="G4378" s="3"/>
      <c r="H4378" s="4"/>
    </row>
    <row r="4379" ht="16.5" customHeight="1" spans="1:8">
      <c r="A4379" s="3">
        <v>4378</v>
      </c>
      <c r="B4379" s="3" t="s">
        <v>9994</v>
      </c>
      <c r="C4379" s="3" t="s">
        <v>1361</v>
      </c>
      <c r="D4379" s="4" t="s">
        <v>9995</v>
      </c>
      <c r="E4379" s="3" t="s">
        <v>1218</v>
      </c>
      <c r="F4379" s="3" t="s">
        <v>2105</v>
      </c>
      <c r="G4379" s="3"/>
      <c r="H4379" s="4"/>
    </row>
    <row r="4380" ht="16.5" customHeight="1" spans="1:8">
      <c r="A4380" s="3">
        <v>4379</v>
      </c>
      <c r="B4380" s="3" t="s">
        <v>9996</v>
      </c>
      <c r="C4380" s="3" t="s">
        <v>1361</v>
      </c>
      <c r="D4380" s="4" t="s">
        <v>9997</v>
      </c>
      <c r="E4380" s="3" t="s">
        <v>1218</v>
      </c>
      <c r="F4380" s="3" t="s">
        <v>2105</v>
      </c>
      <c r="G4380" s="3"/>
      <c r="H4380" s="4"/>
    </row>
    <row r="4381" ht="16.5" customHeight="1" spans="1:8">
      <c r="A4381" s="3">
        <v>4380</v>
      </c>
      <c r="B4381" s="3" t="s">
        <v>9998</v>
      </c>
      <c r="C4381" s="3" t="s">
        <v>1361</v>
      </c>
      <c r="D4381" s="4" t="s">
        <v>9999</v>
      </c>
      <c r="E4381" s="3" t="s">
        <v>1218</v>
      </c>
      <c r="F4381" s="3" t="s">
        <v>2105</v>
      </c>
      <c r="G4381" s="3"/>
      <c r="H4381" s="4"/>
    </row>
    <row r="4382" ht="16.5" customHeight="1" spans="1:8">
      <c r="A4382" s="3">
        <v>4381</v>
      </c>
      <c r="B4382" s="3" t="s">
        <v>10000</v>
      </c>
      <c r="C4382" s="3" t="s">
        <v>1361</v>
      </c>
      <c r="D4382" s="4" t="s">
        <v>10001</v>
      </c>
      <c r="E4382" s="3" t="s">
        <v>1218</v>
      </c>
      <c r="F4382" s="3" t="s">
        <v>2105</v>
      </c>
      <c r="G4382" s="3"/>
      <c r="H4382" s="4"/>
    </row>
    <row r="4383" ht="16.5" customHeight="1" spans="1:8">
      <c r="A4383" s="3">
        <v>4382</v>
      </c>
      <c r="B4383" s="3" t="s">
        <v>10002</v>
      </c>
      <c r="C4383" s="3" t="s">
        <v>1361</v>
      </c>
      <c r="D4383" s="4" t="s">
        <v>10003</v>
      </c>
      <c r="E4383" s="3" t="s">
        <v>1218</v>
      </c>
      <c r="F4383" s="3" t="s">
        <v>2105</v>
      </c>
      <c r="G4383" s="3"/>
      <c r="H4383" s="4"/>
    </row>
    <row r="4384" ht="16.5" customHeight="1" spans="1:8">
      <c r="A4384" s="3">
        <v>4383</v>
      </c>
      <c r="B4384" s="3" t="s">
        <v>10004</v>
      </c>
      <c r="C4384" s="3" t="s">
        <v>1361</v>
      </c>
      <c r="D4384" s="4" t="s">
        <v>10005</v>
      </c>
      <c r="E4384" s="3" t="s">
        <v>1218</v>
      </c>
      <c r="F4384" s="3" t="s">
        <v>2105</v>
      </c>
      <c r="G4384" s="3"/>
      <c r="H4384" s="4" t="s">
        <v>3812</v>
      </c>
    </row>
    <row r="4385" ht="16.5" customHeight="1" spans="1:8">
      <c r="A4385" s="3">
        <v>4384</v>
      </c>
      <c r="B4385" s="3" t="s">
        <v>10006</v>
      </c>
      <c r="C4385" s="3" t="s">
        <v>1361</v>
      </c>
      <c r="D4385" s="4" t="s">
        <v>10007</v>
      </c>
      <c r="E4385" s="3" t="s">
        <v>1218</v>
      </c>
      <c r="F4385" s="3" t="s">
        <v>2105</v>
      </c>
      <c r="G4385" s="3"/>
      <c r="H4385" s="4"/>
    </row>
    <row r="4386" ht="16.5" customHeight="1" spans="1:8">
      <c r="A4386" s="3">
        <v>4385</v>
      </c>
      <c r="B4386" s="3" t="s">
        <v>10008</v>
      </c>
      <c r="C4386" s="3" t="s">
        <v>1361</v>
      </c>
      <c r="D4386" s="4" t="s">
        <v>10009</v>
      </c>
      <c r="E4386" s="3" t="s">
        <v>1218</v>
      </c>
      <c r="F4386" s="3" t="s">
        <v>2105</v>
      </c>
      <c r="G4386" s="3"/>
      <c r="H4386" s="4"/>
    </row>
    <row r="4387" ht="16.5" customHeight="1" spans="1:8">
      <c r="A4387" s="3">
        <v>4386</v>
      </c>
      <c r="B4387" s="3" t="s">
        <v>10010</v>
      </c>
      <c r="C4387" s="3" t="s">
        <v>1361</v>
      </c>
      <c r="D4387" s="4" t="s">
        <v>10011</v>
      </c>
      <c r="E4387" s="3" t="s">
        <v>1218</v>
      </c>
      <c r="F4387" s="3" t="s">
        <v>2105</v>
      </c>
      <c r="G4387" s="3"/>
      <c r="H4387" s="4"/>
    </row>
    <row r="4388" ht="16.5" customHeight="1" spans="1:8">
      <c r="A4388" s="3">
        <v>4387</v>
      </c>
      <c r="B4388" s="3" t="s">
        <v>10012</v>
      </c>
      <c r="C4388" s="3" t="s">
        <v>1361</v>
      </c>
      <c r="D4388" s="4" t="s">
        <v>10013</v>
      </c>
      <c r="E4388" s="3" t="s">
        <v>1218</v>
      </c>
      <c r="F4388" s="3" t="s">
        <v>2105</v>
      </c>
      <c r="G4388" s="3"/>
      <c r="H4388" s="4"/>
    </row>
    <row r="4389" ht="16.5" customHeight="1" spans="1:8">
      <c r="A4389" s="3">
        <v>4388</v>
      </c>
      <c r="B4389" s="3" t="s">
        <v>10014</v>
      </c>
      <c r="C4389" s="3" t="s">
        <v>1361</v>
      </c>
      <c r="D4389" s="4" t="s">
        <v>10015</v>
      </c>
      <c r="E4389" s="3" t="s">
        <v>1218</v>
      </c>
      <c r="F4389" s="3" t="s">
        <v>2105</v>
      </c>
      <c r="G4389" s="3"/>
      <c r="H4389" s="4"/>
    </row>
    <row r="4390" ht="16.5" customHeight="1" spans="1:8">
      <c r="A4390" s="3">
        <v>4389</v>
      </c>
      <c r="B4390" s="3" t="s">
        <v>10016</v>
      </c>
      <c r="C4390" s="3" t="s">
        <v>1361</v>
      </c>
      <c r="D4390" s="4" t="s">
        <v>10017</v>
      </c>
      <c r="E4390" s="3" t="s">
        <v>1218</v>
      </c>
      <c r="F4390" s="3" t="s">
        <v>2105</v>
      </c>
      <c r="G4390" s="3"/>
      <c r="H4390" s="4"/>
    </row>
    <row r="4391" ht="16.5" customHeight="1" spans="1:8">
      <c r="A4391" s="3">
        <v>4390</v>
      </c>
      <c r="B4391" s="3" t="s">
        <v>10018</v>
      </c>
      <c r="C4391" s="3" t="s">
        <v>1361</v>
      </c>
      <c r="D4391" s="4" t="s">
        <v>10019</v>
      </c>
      <c r="E4391" s="3" t="s">
        <v>1218</v>
      </c>
      <c r="F4391" s="3" t="s">
        <v>2105</v>
      </c>
      <c r="G4391" s="3"/>
      <c r="H4391" s="4"/>
    </row>
    <row r="4392" ht="16.5" customHeight="1" spans="1:8">
      <c r="A4392" s="3">
        <v>4391</v>
      </c>
      <c r="B4392" s="3" t="s">
        <v>10020</v>
      </c>
      <c r="C4392" s="3" t="s">
        <v>1361</v>
      </c>
      <c r="D4392" s="4" t="s">
        <v>10021</v>
      </c>
      <c r="E4392" s="3" t="s">
        <v>1218</v>
      </c>
      <c r="F4392" s="3" t="s">
        <v>2105</v>
      </c>
      <c r="G4392" s="3"/>
      <c r="H4392" s="4"/>
    </row>
    <row r="4393" ht="16.5" customHeight="1" spans="1:8">
      <c r="A4393" s="3">
        <v>4392</v>
      </c>
      <c r="B4393" s="3" t="s">
        <v>10022</v>
      </c>
      <c r="C4393" s="3" t="s">
        <v>1361</v>
      </c>
      <c r="D4393" s="4" t="s">
        <v>10023</v>
      </c>
      <c r="E4393" s="3" t="s">
        <v>1218</v>
      </c>
      <c r="F4393" s="3" t="s">
        <v>2105</v>
      </c>
      <c r="G4393" s="3"/>
      <c r="H4393" s="4"/>
    </row>
    <row r="4394" ht="16.5" customHeight="1" spans="1:8">
      <c r="A4394" s="3">
        <v>4393</v>
      </c>
      <c r="B4394" s="3" t="s">
        <v>10024</v>
      </c>
      <c r="C4394" s="3" t="s">
        <v>1361</v>
      </c>
      <c r="D4394" s="4" t="s">
        <v>10025</v>
      </c>
      <c r="E4394" s="3" t="s">
        <v>1218</v>
      </c>
      <c r="F4394" s="3" t="s">
        <v>2105</v>
      </c>
      <c r="G4394" s="3"/>
      <c r="H4394" s="4"/>
    </row>
    <row r="4395" ht="16.5" customHeight="1" spans="1:8">
      <c r="A4395" s="3">
        <v>4394</v>
      </c>
      <c r="B4395" s="3" t="s">
        <v>10026</v>
      </c>
      <c r="C4395" s="3" t="s">
        <v>1361</v>
      </c>
      <c r="D4395" s="4" t="s">
        <v>10027</v>
      </c>
      <c r="E4395" s="3" t="s">
        <v>1218</v>
      </c>
      <c r="F4395" s="3" t="s">
        <v>2105</v>
      </c>
      <c r="G4395" s="3"/>
      <c r="H4395" s="4"/>
    </row>
    <row r="4396" ht="16.5" customHeight="1" spans="1:8">
      <c r="A4396" s="3">
        <v>4395</v>
      </c>
      <c r="B4396" s="3" t="s">
        <v>10028</v>
      </c>
      <c r="C4396" s="3" t="s">
        <v>1356</v>
      </c>
      <c r="D4396" s="4" t="s">
        <v>10029</v>
      </c>
      <c r="E4396" s="3" t="s">
        <v>1076</v>
      </c>
      <c r="F4396" s="3" t="s">
        <v>438</v>
      </c>
      <c r="G4396" s="3"/>
      <c r="H4396" s="4" t="s">
        <v>7240</v>
      </c>
    </row>
    <row r="4397" ht="16.5" customHeight="1" spans="1:8">
      <c r="A4397" s="3">
        <v>4396</v>
      </c>
      <c r="B4397" s="3" t="s">
        <v>10030</v>
      </c>
      <c r="C4397" s="3" t="s">
        <v>1356</v>
      </c>
      <c r="D4397" s="4" t="s">
        <v>10031</v>
      </c>
      <c r="E4397" s="3" t="s">
        <v>2726</v>
      </c>
      <c r="F4397" s="3" t="s">
        <v>438</v>
      </c>
      <c r="G4397" s="3"/>
      <c r="H4397" s="4" t="s">
        <v>9108</v>
      </c>
    </row>
    <row r="4398" ht="16.5" customHeight="1" spans="1:8">
      <c r="A4398" s="3">
        <v>4397</v>
      </c>
      <c r="B4398" s="3" t="s">
        <v>10032</v>
      </c>
      <c r="C4398" s="3" t="s">
        <v>1356</v>
      </c>
      <c r="D4398" s="4" t="s">
        <v>10033</v>
      </c>
      <c r="E4398" s="3" t="s">
        <v>1076</v>
      </c>
      <c r="F4398" s="3" t="s">
        <v>438</v>
      </c>
      <c r="G4398" s="3"/>
      <c r="H4398" s="4"/>
    </row>
    <row r="4399" ht="16.5" customHeight="1" spans="1:8">
      <c r="A4399" s="3">
        <v>4398</v>
      </c>
      <c r="B4399" s="3" t="s">
        <v>10034</v>
      </c>
      <c r="C4399" s="3" t="s">
        <v>1099</v>
      </c>
      <c r="D4399" s="4" t="s">
        <v>6658</v>
      </c>
      <c r="E4399" s="3" t="s">
        <v>1218</v>
      </c>
      <c r="F4399" s="3" t="s">
        <v>4668</v>
      </c>
      <c r="G4399" s="3"/>
      <c r="H4399" s="4"/>
    </row>
    <row r="4400" ht="16.5" customHeight="1" spans="1:8">
      <c r="A4400" s="3">
        <v>4399</v>
      </c>
      <c r="B4400" s="3" t="s">
        <v>10035</v>
      </c>
      <c r="C4400" s="3" t="s">
        <v>1356</v>
      </c>
      <c r="D4400" s="4" t="s">
        <v>10036</v>
      </c>
      <c r="E4400" s="3" t="s">
        <v>1076</v>
      </c>
      <c r="F4400" s="3" t="s">
        <v>1358</v>
      </c>
      <c r="G4400" s="3"/>
      <c r="H4400" s="4"/>
    </row>
    <row r="4401" ht="16.5" customHeight="1" spans="1:8">
      <c r="A4401" s="3">
        <v>4400</v>
      </c>
      <c r="B4401" s="3" t="s">
        <v>10037</v>
      </c>
      <c r="C4401" s="3" t="s">
        <v>1356</v>
      </c>
      <c r="D4401" s="4" t="s">
        <v>10038</v>
      </c>
      <c r="E4401" s="3" t="s">
        <v>1076</v>
      </c>
      <c r="F4401" s="3" t="s">
        <v>1358</v>
      </c>
      <c r="G4401" s="3"/>
      <c r="H4401" s="4"/>
    </row>
    <row r="4402" ht="16.5" customHeight="1" spans="1:8">
      <c r="A4402" s="3">
        <v>4401</v>
      </c>
      <c r="B4402" s="3" t="s">
        <v>10039</v>
      </c>
      <c r="C4402" s="3" t="s">
        <v>1356</v>
      </c>
      <c r="D4402" s="4" t="s">
        <v>6956</v>
      </c>
      <c r="E4402" s="3" t="s">
        <v>1076</v>
      </c>
      <c r="F4402" s="3" t="s">
        <v>1358</v>
      </c>
      <c r="G4402" s="3" t="s">
        <v>321</v>
      </c>
      <c r="H4402" s="4"/>
    </row>
    <row r="4403" ht="16.5" customHeight="1" spans="1:8">
      <c r="A4403" s="3">
        <v>4402</v>
      </c>
      <c r="B4403" s="3" t="s">
        <v>10040</v>
      </c>
      <c r="C4403" s="3" t="s">
        <v>1356</v>
      </c>
      <c r="D4403" s="4" t="s">
        <v>10041</v>
      </c>
      <c r="E4403" s="3" t="s">
        <v>1076</v>
      </c>
      <c r="F4403" s="3" t="s">
        <v>1358</v>
      </c>
      <c r="G4403" s="3" t="s">
        <v>321</v>
      </c>
      <c r="H4403" s="4"/>
    </row>
    <row r="4404" ht="16.5" customHeight="1" spans="1:8">
      <c r="A4404" s="3">
        <v>4403</v>
      </c>
      <c r="B4404" s="3" t="s">
        <v>10042</v>
      </c>
      <c r="C4404" s="3" t="s">
        <v>2163</v>
      </c>
      <c r="D4404" s="4" t="s">
        <v>10043</v>
      </c>
      <c r="E4404" s="3" t="s">
        <v>1076</v>
      </c>
      <c r="F4404" s="3" t="s">
        <v>4668</v>
      </c>
      <c r="G4404" s="3"/>
      <c r="H4404" s="4" t="s">
        <v>5533</v>
      </c>
    </row>
    <row r="4405" ht="16.5" customHeight="1" spans="1:8">
      <c r="A4405" s="3">
        <v>4404</v>
      </c>
      <c r="B4405" s="3" t="s">
        <v>10044</v>
      </c>
      <c r="C4405" s="3" t="s">
        <v>1356</v>
      </c>
      <c r="D4405" s="4" t="s">
        <v>10045</v>
      </c>
      <c r="E4405" s="3" t="s">
        <v>1076</v>
      </c>
      <c r="F4405" s="3" t="s">
        <v>1358</v>
      </c>
      <c r="G4405" s="3" t="s">
        <v>321</v>
      </c>
      <c r="H4405" s="4" t="s">
        <v>5664</v>
      </c>
    </row>
    <row r="4406" ht="16.5" customHeight="1" spans="1:8">
      <c r="A4406" s="3">
        <v>4405</v>
      </c>
      <c r="B4406" s="3" t="s">
        <v>10046</v>
      </c>
      <c r="C4406" s="3" t="s">
        <v>2163</v>
      </c>
      <c r="D4406" s="4" t="s">
        <v>10047</v>
      </c>
      <c r="E4406" s="3" t="s">
        <v>1076</v>
      </c>
      <c r="F4406" s="3" t="s">
        <v>2105</v>
      </c>
      <c r="G4406" s="3"/>
      <c r="H4406" s="4" t="s">
        <v>6877</v>
      </c>
    </row>
    <row r="4407" ht="16.5" customHeight="1" spans="1:8">
      <c r="A4407" s="3">
        <v>4406</v>
      </c>
      <c r="B4407" s="3" t="s">
        <v>10048</v>
      </c>
      <c r="C4407" s="3" t="s">
        <v>2163</v>
      </c>
      <c r="D4407" s="4" t="s">
        <v>10049</v>
      </c>
      <c r="E4407" s="3" t="s">
        <v>1076</v>
      </c>
      <c r="F4407" s="3" t="s">
        <v>2105</v>
      </c>
      <c r="G4407" s="3"/>
      <c r="H4407" s="4" t="s">
        <v>6877</v>
      </c>
    </row>
    <row r="4408" ht="16.5" customHeight="1" spans="1:8">
      <c r="A4408" s="3">
        <v>4407</v>
      </c>
      <c r="B4408" s="3" t="s">
        <v>10050</v>
      </c>
      <c r="C4408" s="3" t="s">
        <v>2163</v>
      </c>
      <c r="D4408" s="4" t="s">
        <v>10051</v>
      </c>
      <c r="E4408" s="3" t="s">
        <v>1076</v>
      </c>
      <c r="F4408" s="3" t="s">
        <v>2105</v>
      </c>
      <c r="G4408" s="3"/>
      <c r="H4408" s="4" t="s">
        <v>6877</v>
      </c>
    </row>
    <row r="4409" ht="16.5" customHeight="1" spans="1:8">
      <c r="A4409" s="3">
        <v>4408</v>
      </c>
      <c r="B4409" s="3" t="s">
        <v>10052</v>
      </c>
      <c r="C4409" s="3" t="s">
        <v>2163</v>
      </c>
      <c r="D4409" s="4" t="s">
        <v>10053</v>
      </c>
      <c r="E4409" s="3" t="s">
        <v>1076</v>
      </c>
      <c r="F4409" s="3" t="s">
        <v>2105</v>
      </c>
      <c r="G4409" s="3"/>
      <c r="H4409" s="4" t="s">
        <v>6877</v>
      </c>
    </row>
    <row r="4410" ht="16.5" customHeight="1" spans="1:8">
      <c r="A4410" s="3">
        <v>4409</v>
      </c>
      <c r="B4410" s="3" t="s">
        <v>10054</v>
      </c>
      <c r="C4410" s="3" t="s">
        <v>2163</v>
      </c>
      <c r="D4410" s="4" t="s">
        <v>10055</v>
      </c>
      <c r="E4410" s="3" t="s">
        <v>1076</v>
      </c>
      <c r="F4410" s="3" t="s">
        <v>4668</v>
      </c>
      <c r="G4410" s="3"/>
      <c r="H4410" s="4" t="s">
        <v>4322</v>
      </c>
    </row>
    <row r="4411" ht="16.5" customHeight="1" spans="1:8">
      <c r="A4411" s="3">
        <v>4410</v>
      </c>
      <c r="B4411" s="3" t="s">
        <v>10056</v>
      </c>
      <c r="C4411" s="3" t="s">
        <v>2163</v>
      </c>
      <c r="D4411" s="4" t="s">
        <v>10057</v>
      </c>
      <c r="E4411" s="3" t="s">
        <v>1076</v>
      </c>
      <c r="F4411" s="3" t="s">
        <v>4668</v>
      </c>
      <c r="G4411" s="3"/>
      <c r="H4411" s="4" t="s">
        <v>4322</v>
      </c>
    </row>
    <row r="4412" ht="16.5" customHeight="1" spans="1:8">
      <c r="A4412" s="3">
        <v>4411</v>
      </c>
      <c r="B4412" s="3" t="s">
        <v>10058</v>
      </c>
      <c r="C4412" s="3" t="s">
        <v>2163</v>
      </c>
      <c r="D4412" s="4" t="s">
        <v>10059</v>
      </c>
      <c r="E4412" s="3" t="s">
        <v>1076</v>
      </c>
      <c r="F4412" s="3" t="s">
        <v>4668</v>
      </c>
      <c r="G4412" s="3"/>
      <c r="H4412" s="4" t="s">
        <v>4322</v>
      </c>
    </row>
    <row r="4413" ht="16.5" customHeight="1" spans="1:8">
      <c r="A4413" s="3">
        <v>4412</v>
      </c>
      <c r="B4413" s="3" t="s">
        <v>10060</v>
      </c>
      <c r="C4413" s="3" t="s">
        <v>2163</v>
      </c>
      <c r="D4413" s="4" t="s">
        <v>10061</v>
      </c>
      <c r="E4413" s="3" t="s">
        <v>5779</v>
      </c>
      <c r="F4413" s="3" t="s">
        <v>4668</v>
      </c>
      <c r="G4413" s="3"/>
      <c r="H4413" s="4" t="s">
        <v>4322</v>
      </c>
    </row>
    <row r="4414" ht="16.5" customHeight="1" spans="1:8">
      <c r="A4414" s="3">
        <v>4413</v>
      </c>
      <c r="B4414" s="3" t="s">
        <v>10062</v>
      </c>
      <c r="C4414" s="3" t="s">
        <v>2163</v>
      </c>
      <c r="D4414" s="4" t="s">
        <v>10063</v>
      </c>
      <c r="E4414" s="3" t="s">
        <v>1076</v>
      </c>
      <c r="F4414" s="3" t="s">
        <v>4668</v>
      </c>
      <c r="G4414" s="3"/>
      <c r="H4414" s="4" t="s">
        <v>4322</v>
      </c>
    </row>
    <row r="4415" ht="16.5" customHeight="1" spans="1:8">
      <c r="A4415" s="3">
        <v>4414</v>
      </c>
      <c r="B4415" s="3" t="s">
        <v>10064</v>
      </c>
      <c r="C4415" s="3" t="s">
        <v>2163</v>
      </c>
      <c r="D4415" s="4" t="s">
        <v>10065</v>
      </c>
      <c r="E4415" s="3" t="s">
        <v>5779</v>
      </c>
      <c r="F4415" s="3" t="s">
        <v>4668</v>
      </c>
      <c r="G4415" s="3"/>
      <c r="H4415" s="4" t="s">
        <v>9475</v>
      </c>
    </row>
    <row r="4416" ht="16.5" customHeight="1" spans="1:8">
      <c r="A4416" s="3">
        <v>4415</v>
      </c>
      <c r="B4416" s="3" t="s">
        <v>10066</v>
      </c>
      <c r="C4416" s="3" t="s">
        <v>2163</v>
      </c>
      <c r="D4416" s="4" t="s">
        <v>10067</v>
      </c>
      <c r="E4416" s="3" t="s">
        <v>1076</v>
      </c>
      <c r="F4416" s="3" t="s">
        <v>4668</v>
      </c>
      <c r="G4416" s="3"/>
      <c r="H4416" s="4" t="s">
        <v>5533</v>
      </c>
    </row>
    <row r="4417" ht="16.5" customHeight="1" spans="1:8">
      <c r="A4417" s="3">
        <v>4416</v>
      </c>
      <c r="B4417" s="3" t="s">
        <v>10068</v>
      </c>
      <c r="C4417" s="3" t="s">
        <v>2163</v>
      </c>
      <c r="D4417" s="4" t="s">
        <v>10069</v>
      </c>
      <c r="E4417" s="3" t="s">
        <v>1076</v>
      </c>
      <c r="F4417" s="3" t="s">
        <v>4668</v>
      </c>
      <c r="G4417" s="3"/>
      <c r="H4417" s="4" t="s">
        <v>5533</v>
      </c>
    </row>
    <row r="4418" ht="16.5" customHeight="1" spans="1:8">
      <c r="A4418" s="3">
        <v>4417</v>
      </c>
      <c r="B4418" s="3" t="s">
        <v>10070</v>
      </c>
      <c r="C4418" s="3" t="s">
        <v>1356</v>
      </c>
      <c r="D4418" s="4" t="s">
        <v>10071</v>
      </c>
      <c r="E4418" s="3" t="s">
        <v>2726</v>
      </c>
      <c r="F4418" s="3" t="s">
        <v>4668</v>
      </c>
      <c r="G4418" s="3"/>
      <c r="H4418" s="4" t="s">
        <v>4322</v>
      </c>
    </row>
    <row r="4419" ht="16.5" customHeight="1" spans="1:8">
      <c r="A4419" s="3">
        <v>4418</v>
      </c>
      <c r="B4419" s="3" t="s">
        <v>10072</v>
      </c>
      <c r="C4419" s="3" t="s">
        <v>2163</v>
      </c>
      <c r="D4419" s="4" t="s">
        <v>10073</v>
      </c>
      <c r="E4419" s="3" t="s">
        <v>5779</v>
      </c>
      <c r="F4419" s="3" t="s">
        <v>4668</v>
      </c>
      <c r="G4419" s="3"/>
      <c r="H4419" s="4" t="s">
        <v>3812</v>
      </c>
    </row>
    <row r="4420" ht="16.5" customHeight="1" spans="1:8">
      <c r="A4420" s="3">
        <v>4419</v>
      </c>
      <c r="B4420" s="3" t="s">
        <v>10074</v>
      </c>
      <c r="C4420" s="3" t="s">
        <v>2163</v>
      </c>
      <c r="D4420" s="4" t="s">
        <v>10075</v>
      </c>
      <c r="E4420" s="3" t="s">
        <v>2726</v>
      </c>
      <c r="F4420" s="3" t="s">
        <v>4668</v>
      </c>
      <c r="G4420" s="3"/>
      <c r="H4420" s="4" t="s">
        <v>3812</v>
      </c>
    </row>
    <row r="4421" ht="16.5" customHeight="1" spans="1:8">
      <c r="A4421" s="3">
        <v>4420</v>
      </c>
      <c r="B4421" s="3" t="s">
        <v>10076</v>
      </c>
      <c r="C4421" s="3" t="s">
        <v>2163</v>
      </c>
      <c r="D4421" s="4" t="s">
        <v>10077</v>
      </c>
      <c r="E4421" s="3" t="s">
        <v>1076</v>
      </c>
      <c r="F4421" s="3" t="s">
        <v>4668</v>
      </c>
      <c r="G4421" s="3"/>
      <c r="H4421" s="4" t="s">
        <v>3812</v>
      </c>
    </row>
    <row r="4422" ht="16.5" customHeight="1" spans="1:8">
      <c r="A4422" s="3">
        <v>4421</v>
      </c>
      <c r="B4422" s="3" t="s">
        <v>10078</v>
      </c>
      <c r="C4422" s="3" t="s">
        <v>2163</v>
      </c>
      <c r="D4422" s="4" t="s">
        <v>10079</v>
      </c>
      <c r="E4422" s="3" t="s">
        <v>1076</v>
      </c>
      <c r="F4422" s="3" t="s">
        <v>4668</v>
      </c>
      <c r="G4422" s="3"/>
      <c r="H4422" s="4" t="s">
        <v>3812</v>
      </c>
    </row>
    <row r="4423" ht="16.5" customHeight="1" spans="1:8">
      <c r="A4423" s="3">
        <v>4422</v>
      </c>
      <c r="B4423" s="3" t="s">
        <v>10080</v>
      </c>
      <c r="C4423" s="3" t="s">
        <v>2163</v>
      </c>
      <c r="D4423" s="4" t="s">
        <v>10081</v>
      </c>
      <c r="E4423" s="3" t="s">
        <v>2263</v>
      </c>
      <c r="F4423" s="3" t="s">
        <v>4668</v>
      </c>
      <c r="G4423" s="3"/>
      <c r="H4423" s="4" t="s">
        <v>3812</v>
      </c>
    </row>
    <row r="4424" ht="16.5" customHeight="1" spans="1:8">
      <c r="A4424" s="3">
        <v>4423</v>
      </c>
      <c r="B4424" s="3" t="s">
        <v>10082</v>
      </c>
      <c r="C4424" s="3" t="s">
        <v>2163</v>
      </c>
      <c r="D4424" s="4" t="s">
        <v>10083</v>
      </c>
      <c r="E4424" s="3" t="s">
        <v>2726</v>
      </c>
      <c r="F4424" s="3" t="s">
        <v>4668</v>
      </c>
      <c r="G4424" s="3"/>
      <c r="H4424" s="4" t="s">
        <v>3812</v>
      </c>
    </row>
    <row r="4425" ht="16.5" customHeight="1" spans="1:8">
      <c r="A4425" s="3">
        <v>4424</v>
      </c>
      <c r="B4425" s="3" t="s">
        <v>10084</v>
      </c>
      <c r="C4425" s="3" t="s">
        <v>2163</v>
      </c>
      <c r="D4425" s="4" t="s">
        <v>10085</v>
      </c>
      <c r="E4425" s="3" t="s">
        <v>2263</v>
      </c>
      <c r="F4425" s="3" t="s">
        <v>4668</v>
      </c>
      <c r="G4425" s="3"/>
      <c r="H4425" s="4" t="s">
        <v>3812</v>
      </c>
    </row>
    <row r="4426" ht="16.5" customHeight="1" spans="1:8">
      <c r="A4426" s="3">
        <v>4425</v>
      </c>
      <c r="B4426" s="3" t="s">
        <v>10086</v>
      </c>
      <c r="C4426" s="3" t="s">
        <v>2163</v>
      </c>
      <c r="D4426" s="4" t="s">
        <v>10087</v>
      </c>
      <c r="E4426" s="3" t="s">
        <v>7007</v>
      </c>
      <c r="F4426" s="3" t="s">
        <v>4668</v>
      </c>
      <c r="G4426" s="3"/>
      <c r="H4426" s="4" t="s">
        <v>3812</v>
      </c>
    </row>
    <row r="4427" ht="16.5" customHeight="1" spans="1:8">
      <c r="A4427" s="3">
        <v>4426</v>
      </c>
      <c r="B4427" s="3" t="s">
        <v>10088</v>
      </c>
      <c r="C4427" s="3" t="s">
        <v>2163</v>
      </c>
      <c r="D4427" s="4" t="s">
        <v>10089</v>
      </c>
      <c r="E4427" s="3" t="s">
        <v>2726</v>
      </c>
      <c r="F4427" s="3" t="s">
        <v>4668</v>
      </c>
      <c r="G4427" s="3"/>
      <c r="H4427" s="4" t="s">
        <v>3812</v>
      </c>
    </row>
    <row r="4428" ht="16.5" customHeight="1" spans="1:8">
      <c r="A4428" s="3">
        <v>4427</v>
      </c>
      <c r="B4428" s="3" t="s">
        <v>10090</v>
      </c>
      <c r="C4428" s="3" t="s">
        <v>2163</v>
      </c>
      <c r="D4428" s="4" t="s">
        <v>10091</v>
      </c>
      <c r="E4428" s="3" t="s">
        <v>7007</v>
      </c>
      <c r="F4428" s="3" t="s">
        <v>4668</v>
      </c>
      <c r="G4428" s="3"/>
      <c r="H4428" s="4" t="s">
        <v>3812</v>
      </c>
    </row>
    <row r="4429" ht="16.5" customHeight="1" spans="1:8">
      <c r="A4429" s="3">
        <v>4428</v>
      </c>
      <c r="B4429" s="3" t="s">
        <v>10092</v>
      </c>
      <c r="C4429" s="3" t="s">
        <v>2163</v>
      </c>
      <c r="D4429" s="4" t="s">
        <v>10093</v>
      </c>
      <c r="E4429" s="3" t="s">
        <v>1076</v>
      </c>
      <c r="F4429" s="3" t="s">
        <v>2105</v>
      </c>
      <c r="G4429" s="3"/>
      <c r="H4429" s="4" t="s">
        <v>3812</v>
      </c>
    </row>
    <row r="4430" ht="16.5" customHeight="1" spans="1:8">
      <c r="A4430" s="3">
        <v>4429</v>
      </c>
      <c r="B4430" s="3" t="s">
        <v>10094</v>
      </c>
      <c r="C4430" s="3" t="s">
        <v>2163</v>
      </c>
      <c r="D4430" s="4" t="s">
        <v>10095</v>
      </c>
      <c r="E4430" s="3" t="s">
        <v>1076</v>
      </c>
      <c r="F4430" s="3" t="s">
        <v>2105</v>
      </c>
      <c r="G4430" s="3"/>
      <c r="H4430" s="4" t="s">
        <v>3812</v>
      </c>
    </row>
    <row r="4431" ht="16.5" customHeight="1" spans="1:8">
      <c r="A4431" s="3">
        <v>4430</v>
      </c>
      <c r="B4431" s="3" t="s">
        <v>10096</v>
      </c>
      <c r="C4431" s="3" t="s">
        <v>2163</v>
      </c>
      <c r="D4431" s="4" t="s">
        <v>10097</v>
      </c>
      <c r="E4431" s="3" t="s">
        <v>1076</v>
      </c>
      <c r="F4431" s="3" t="s">
        <v>2105</v>
      </c>
      <c r="G4431" s="3"/>
      <c r="H4431" s="4" t="s">
        <v>3812</v>
      </c>
    </row>
    <row r="4432" ht="16.5" customHeight="1" spans="1:8">
      <c r="A4432" s="3">
        <v>4431</v>
      </c>
      <c r="B4432" s="3" t="s">
        <v>10098</v>
      </c>
      <c r="C4432" s="3" t="s">
        <v>2163</v>
      </c>
      <c r="D4432" s="4" t="s">
        <v>10099</v>
      </c>
      <c r="E4432" s="3" t="s">
        <v>1076</v>
      </c>
      <c r="F4432" s="3" t="s">
        <v>2105</v>
      </c>
      <c r="G4432" s="3"/>
      <c r="H4432" s="4" t="s">
        <v>3812</v>
      </c>
    </row>
    <row r="4433" ht="16.5" customHeight="1" spans="1:8">
      <c r="A4433" s="3">
        <v>4432</v>
      </c>
      <c r="B4433" s="3" t="s">
        <v>10100</v>
      </c>
      <c r="C4433" s="3" t="s">
        <v>2163</v>
      </c>
      <c r="D4433" s="4" t="s">
        <v>10101</v>
      </c>
      <c r="E4433" s="3" t="s">
        <v>1076</v>
      </c>
      <c r="F4433" s="3" t="s">
        <v>2105</v>
      </c>
      <c r="G4433" s="3"/>
      <c r="H4433" s="4" t="s">
        <v>3812</v>
      </c>
    </row>
    <row r="4434" ht="16.5" customHeight="1" spans="1:8">
      <c r="A4434" s="3">
        <v>4433</v>
      </c>
      <c r="B4434" s="3" t="s">
        <v>10102</v>
      </c>
      <c r="C4434" s="3" t="s">
        <v>2163</v>
      </c>
      <c r="D4434" s="4" t="s">
        <v>10103</v>
      </c>
      <c r="E4434" s="3" t="s">
        <v>3093</v>
      </c>
      <c r="F4434" s="3" t="s">
        <v>2105</v>
      </c>
      <c r="G4434" s="3"/>
      <c r="H4434" s="4" t="s">
        <v>5664</v>
      </c>
    </row>
    <row r="4435" ht="16.5" customHeight="1" spans="1:8">
      <c r="A4435" s="3">
        <v>4434</v>
      </c>
      <c r="B4435" s="3" t="s">
        <v>10104</v>
      </c>
      <c r="C4435" s="3" t="s">
        <v>2163</v>
      </c>
      <c r="D4435" s="4" t="s">
        <v>10105</v>
      </c>
      <c r="E4435" s="3" t="s">
        <v>1076</v>
      </c>
      <c r="F4435" s="3" t="s">
        <v>2105</v>
      </c>
      <c r="G4435" s="3"/>
      <c r="H4435" s="4" t="s">
        <v>6877</v>
      </c>
    </row>
    <row r="4436" ht="16.5" customHeight="1" spans="1:8">
      <c r="A4436" s="3">
        <v>4435</v>
      </c>
      <c r="B4436" s="3" t="s">
        <v>10106</v>
      </c>
      <c r="C4436" s="3" t="s">
        <v>2163</v>
      </c>
      <c r="D4436" s="4" t="s">
        <v>10107</v>
      </c>
      <c r="E4436" s="3" t="s">
        <v>1076</v>
      </c>
      <c r="F4436" s="3" t="s">
        <v>2041</v>
      </c>
      <c r="G4436" s="3" t="s">
        <v>321</v>
      </c>
      <c r="H4436" s="4" t="s">
        <v>1305</v>
      </c>
    </row>
    <row r="4437" ht="16.5" customHeight="1" spans="1:8">
      <c r="A4437" s="3">
        <v>4436</v>
      </c>
      <c r="B4437" s="3" t="s">
        <v>10108</v>
      </c>
      <c r="C4437" s="3" t="s">
        <v>2163</v>
      </c>
      <c r="D4437" s="4" t="s">
        <v>10109</v>
      </c>
      <c r="E4437" s="3" t="s">
        <v>3093</v>
      </c>
      <c r="F4437" s="3" t="s">
        <v>2041</v>
      </c>
      <c r="G4437" s="3" t="s">
        <v>321</v>
      </c>
      <c r="H4437" s="4" t="s">
        <v>1305</v>
      </c>
    </row>
    <row r="4438" ht="16.5" customHeight="1" spans="1:8">
      <c r="A4438" s="3">
        <v>4437</v>
      </c>
      <c r="B4438" s="3" t="s">
        <v>10110</v>
      </c>
      <c r="C4438" s="3" t="s">
        <v>2163</v>
      </c>
      <c r="D4438" s="4" t="s">
        <v>10111</v>
      </c>
      <c r="E4438" s="3" t="s">
        <v>1076</v>
      </c>
      <c r="F4438" s="3" t="s">
        <v>2105</v>
      </c>
      <c r="G4438" s="3"/>
      <c r="H4438" s="4" t="s">
        <v>3812</v>
      </c>
    </row>
    <row r="4439" ht="16.5" customHeight="1" spans="1:8">
      <c r="A4439" s="3">
        <v>4438</v>
      </c>
      <c r="B4439" s="3" t="s">
        <v>10112</v>
      </c>
      <c r="C4439" s="3" t="s">
        <v>2163</v>
      </c>
      <c r="D4439" s="4" t="s">
        <v>10113</v>
      </c>
      <c r="E4439" s="3" t="s">
        <v>1076</v>
      </c>
      <c r="F4439" s="3" t="s">
        <v>2105</v>
      </c>
      <c r="G4439" s="3"/>
      <c r="H4439" s="4" t="s">
        <v>3812</v>
      </c>
    </row>
    <row r="4440" ht="16.5" customHeight="1" spans="1:8">
      <c r="A4440" s="3">
        <v>4439</v>
      </c>
      <c r="B4440" s="3" t="s">
        <v>10114</v>
      </c>
      <c r="C4440" s="3" t="s">
        <v>2163</v>
      </c>
      <c r="D4440" s="4" t="s">
        <v>10115</v>
      </c>
      <c r="E4440" s="3" t="s">
        <v>1076</v>
      </c>
      <c r="F4440" s="3" t="s">
        <v>2105</v>
      </c>
      <c r="G4440" s="3"/>
      <c r="H4440" s="4" t="s">
        <v>3812</v>
      </c>
    </row>
    <row r="4441" ht="16.5" customHeight="1" spans="1:8">
      <c r="A4441" s="3">
        <v>4440</v>
      </c>
      <c r="B4441" s="3" t="s">
        <v>10116</v>
      </c>
      <c r="C4441" s="3" t="s">
        <v>2163</v>
      </c>
      <c r="D4441" s="4" t="s">
        <v>10117</v>
      </c>
      <c r="E4441" s="3" t="s">
        <v>1076</v>
      </c>
      <c r="F4441" s="3" t="s">
        <v>2041</v>
      </c>
      <c r="G4441" s="3" t="s">
        <v>321</v>
      </c>
      <c r="H4441" s="4" t="s">
        <v>3812</v>
      </c>
    </row>
    <row r="4442" ht="16.5" customHeight="1" spans="1:8">
      <c r="A4442" s="3">
        <v>4441</v>
      </c>
      <c r="B4442" s="3" t="s">
        <v>10118</v>
      </c>
      <c r="C4442" s="3" t="s">
        <v>2163</v>
      </c>
      <c r="D4442" s="4" t="s">
        <v>10119</v>
      </c>
      <c r="E4442" s="3" t="s">
        <v>1076</v>
      </c>
      <c r="F4442" s="3" t="s">
        <v>2105</v>
      </c>
      <c r="G4442" s="3"/>
      <c r="H4442" s="4" t="s">
        <v>3812</v>
      </c>
    </row>
    <row r="4443" ht="16.5" customHeight="1" spans="1:8">
      <c r="A4443" s="3">
        <v>4442</v>
      </c>
      <c r="B4443" s="3" t="s">
        <v>10120</v>
      </c>
      <c r="C4443" s="3" t="s">
        <v>2163</v>
      </c>
      <c r="D4443" s="4" t="s">
        <v>10121</v>
      </c>
      <c r="E4443" s="3" t="s">
        <v>1076</v>
      </c>
      <c r="F4443" s="3" t="s">
        <v>2041</v>
      </c>
      <c r="G4443" s="3" t="s">
        <v>321</v>
      </c>
      <c r="H4443" s="4" t="s">
        <v>3812</v>
      </c>
    </row>
    <row r="4444" ht="16.5" customHeight="1" spans="1:8">
      <c r="A4444" s="3">
        <v>4443</v>
      </c>
      <c r="B4444" s="3" t="s">
        <v>10122</v>
      </c>
      <c r="C4444" s="3" t="s">
        <v>2163</v>
      </c>
      <c r="D4444" s="4" t="s">
        <v>10123</v>
      </c>
      <c r="E4444" s="3" t="s">
        <v>1076</v>
      </c>
      <c r="F4444" s="3" t="s">
        <v>2105</v>
      </c>
      <c r="G4444" s="3"/>
      <c r="H4444" s="4" t="s">
        <v>5664</v>
      </c>
    </row>
    <row r="4445" ht="16.5" customHeight="1" spans="1:8">
      <c r="A4445" s="3">
        <v>4444</v>
      </c>
      <c r="B4445" s="3" t="s">
        <v>10124</v>
      </c>
      <c r="C4445" s="3" t="s">
        <v>2163</v>
      </c>
      <c r="D4445" s="4" t="s">
        <v>10125</v>
      </c>
      <c r="E4445" s="3" t="s">
        <v>1076</v>
      </c>
      <c r="F4445" s="3" t="s">
        <v>6994</v>
      </c>
      <c r="G4445" s="3"/>
      <c r="H4445" s="4" t="s">
        <v>4322</v>
      </c>
    </row>
    <row r="4446" ht="16.5" customHeight="1" spans="1:8">
      <c r="A4446" s="3">
        <v>4445</v>
      </c>
      <c r="B4446" s="3" t="s">
        <v>10126</v>
      </c>
      <c r="C4446" s="3" t="s">
        <v>2163</v>
      </c>
      <c r="D4446" s="4" t="s">
        <v>10127</v>
      </c>
      <c r="E4446" s="3" t="s">
        <v>1076</v>
      </c>
      <c r="F4446" s="3" t="s">
        <v>2105</v>
      </c>
      <c r="G4446" s="3"/>
      <c r="H4446" s="4" t="s">
        <v>5664</v>
      </c>
    </row>
    <row r="4447" ht="16.5" customHeight="1" spans="1:8">
      <c r="A4447" s="3">
        <v>4446</v>
      </c>
      <c r="B4447" s="3" t="s">
        <v>10128</v>
      </c>
      <c r="C4447" s="3" t="s">
        <v>2163</v>
      </c>
      <c r="D4447" s="4" t="s">
        <v>10129</v>
      </c>
      <c r="E4447" s="3" t="s">
        <v>1076</v>
      </c>
      <c r="F4447" s="3" t="s">
        <v>2105</v>
      </c>
      <c r="G4447" s="3"/>
      <c r="H4447" s="4" t="s">
        <v>5664</v>
      </c>
    </row>
    <row r="4448" ht="16.5" customHeight="1" spans="1:8">
      <c r="A4448" s="3">
        <v>4447</v>
      </c>
      <c r="B4448" s="3" t="s">
        <v>10130</v>
      </c>
      <c r="C4448" s="3" t="s">
        <v>1074</v>
      </c>
      <c r="D4448" s="4" t="s">
        <v>10131</v>
      </c>
      <c r="E4448" s="3" t="s">
        <v>1218</v>
      </c>
      <c r="F4448" s="3" t="s">
        <v>8175</v>
      </c>
      <c r="G4448" s="3"/>
      <c r="H4448" s="4" t="s">
        <v>1305</v>
      </c>
    </row>
    <row r="4449" ht="16.5" customHeight="1" spans="1:8">
      <c r="A4449" s="3">
        <v>4448</v>
      </c>
      <c r="B4449" s="3" t="s">
        <v>10132</v>
      </c>
      <c r="C4449" s="3" t="s">
        <v>2163</v>
      </c>
      <c r="D4449" s="4" t="s">
        <v>10133</v>
      </c>
      <c r="E4449" s="3" t="s">
        <v>1076</v>
      </c>
      <c r="F4449" s="3" t="s">
        <v>2041</v>
      </c>
      <c r="G4449" s="3" t="s">
        <v>321</v>
      </c>
      <c r="H4449" s="4" t="s">
        <v>5664</v>
      </c>
    </row>
    <row r="4450" ht="16.5" customHeight="1" spans="1:8">
      <c r="A4450" s="3">
        <v>4449</v>
      </c>
      <c r="B4450" s="3" t="s">
        <v>10134</v>
      </c>
      <c r="C4450" s="3" t="s">
        <v>1074</v>
      </c>
      <c r="D4450" s="4" t="s">
        <v>10135</v>
      </c>
      <c r="E4450" s="3" t="s">
        <v>1218</v>
      </c>
      <c r="F4450" s="3" t="s">
        <v>8175</v>
      </c>
      <c r="G4450" s="3"/>
      <c r="H4450" s="4" t="s">
        <v>5396</v>
      </c>
    </row>
    <row r="4451" ht="16.5" customHeight="1" spans="1:8">
      <c r="A4451" s="3">
        <v>4450</v>
      </c>
      <c r="B4451" s="3" t="s">
        <v>10136</v>
      </c>
      <c r="C4451" s="3" t="s">
        <v>1074</v>
      </c>
      <c r="D4451" s="4" t="s">
        <v>10137</v>
      </c>
      <c r="E4451" s="3" t="s">
        <v>1218</v>
      </c>
      <c r="F4451" s="3" t="s">
        <v>8175</v>
      </c>
      <c r="G4451" s="3"/>
      <c r="H4451" s="4" t="s">
        <v>9108</v>
      </c>
    </row>
    <row r="4452" ht="16.5" customHeight="1" spans="1:8">
      <c r="A4452" s="3">
        <v>4451</v>
      </c>
      <c r="B4452" s="3" t="s">
        <v>10138</v>
      </c>
      <c r="C4452" s="3" t="s">
        <v>1074</v>
      </c>
      <c r="D4452" s="4" t="s">
        <v>10139</v>
      </c>
      <c r="E4452" s="3" t="s">
        <v>1218</v>
      </c>
      <c r="F4452" s="3" t="s">
        <v>8175</v>
      </c>
      <c r="G4452" s="3"/>
      <c r="H4452" s="4" t="s">
        <v>9108</v>
      </c>
    </row>
    <row r="4453" ht="16.5" customHeight="1" spans="1:8">
      <c r="A4453" s="3">
        <v>4452</v>
      </c>
      <c r="B4453" s="3" t="s">
        <v>10140</v>
      </c>
      <c r="C4453" s="3" t="s">
        <v>2163</v>
      </c>
      <c r="D4453" s="4" t="s">
        <v>10141</v>
      </c>
      <c r="E4453" s="3" t="s">
        <v>1076</v>
      </c>
      <c r="F4453" s="3" t="s">
        <v>2041</v>
      </c>
      <c r="G4453" s="3" t="s">
        <v>321</v>
      </c>
      <c r="H4453" s="4" t="s">
        <v>5664</v>
      </c>
    </row>
    <row r="4454" ht="16.5" customHeight="1" spans="1:8">
      <c r="A4454" s="3">
        <v>4453</v>
      </c>
      <c r="B4454" s="3" t="s">
        <v>10142</v>
      </c>
      <c r="C4454" s="3" t="s">
        <v>2163</v>
      </c>
      <c r="D4454" s="4" t="s">
        <v>10143</v>
      </c>
      <c r="E4454" s="3" t="s">
        <v>1076</v>
      </c>
      <c r="F4454" s="3" t="s">
        <v>2041</v>
      </c>
      <c r="G4454" s="3" t="s">
        <v>321</v>
      </c>
      <c r="H4454" s="4" t="s">
        <v>5664</v>
      </c>
    </row>
    <row r="4455" ht="16.5" customHeight="1" spans="1:8">
      <c r="A4455" s="3">
        <v>4454</v>
      </c>
      <c r="B4455" s="3" t="s">
        <v>10144</v>
      </c>
      <c r="C4455" s="3" t="s">
        <v>2163</v>
      </c>
      <c r="D4455" s="4" t="s">
        <v>10145</v>
      </c>
      <c r="E4455" s="3" t="s">
        <v>2263</v>
      </c>
      <c r="F4455" s="3" t="s">
        <v>2105</v>
      </c>
      <c r="G4455" s="3"/>
      <c r="H4455" s="4" t="s">
        <v>5664</v>
      </c>
    </row>
    <row r="4456" ht="16.5" customHeight="1" spans="1:8">
      <c r="A4456" s="3">
        <v>4455</v>
      </c>
      <c r="B4456" s="3" t="s">
        <v>10146</v>
      </c>
      <c r="C4456" s="3" t="s">
        <v>1356</v>
      </c>
      <c r="D4456" s="4" t="s">
        <v>10147</v>
      </c>
      <c r="E4456" s="3" t="s">
        <v>1076</v>
      </c>
      <c r="F4456" s="3" t="s">
        <v>8175</v>
      </c>
      <c r="G4456" s="3"/>
      <c r="H4456" s="4" t="s">
        <v>10148</v>
      </c>
    </row>
    <row r="4457" ht="16.5" customHeight="1" spans="1:8">
      <c r="A4457" s="3">
        <v>4456</v>
      </c>
      <c r="B4457" s="3" t="s">
        <v>10149</v>
      </c>
      <c r="C4457" s="3" t="s">
        <v>1356</v>
      </c>
      <c r="D4457" s="4" t="s">
        <v>10150</v>
      </c>
      <c r="E4457" s="3" t="s">
        <v>1076</v>
      </c>
      <c r="F4457" s="3" t="s">
        <v>8175</v>
      </c>
      <c r="G4457" s="3"/>
      <c r="H4457" s="4" t="s">
        <v>10148</v>
      </c>
    </row>
    <row r="4458" ht="16.5" customHeight="1" spans="1:8">
      <c r="A4458" s="3">
        <v>4457</v>
      </c>
      <c r="B4458" s="3" t="s">
        <v>10151</v>
      </c>
      <c r="C4458" s="3" t="s">
        <v>1356</v>
      </c>
      <c r="D4458" s="4" t="s">
        <v>10152</v>
      </c>
      <c r="E4458" s="3" t="s">
        <v>1076</v>
      </c>
      <c r="F4458" s="3" t="s">
        <v>8175</v>
      </c>
      <c r="G4458" s="3"/>
      <c r="H4458" s="4" t="s">
        <v>10148</v>
      </c>
    </row>
    <row r="4459" ht="16.5" customHeight="1" spans="1:8">
      <c r="A4459" s="3">
        <v>4458</v>
      </c>
      <c r="B4459" s="3" t="s">
        <v>10153</v>
      </c>
      <c r="C4459" s="3" t="s">
        <v>1356</v>
      </c>
      <c r="D4459" s="4" t="s">
        <v>10154</v>
      </c>
      <c r="E4459" s="3" t="s">
        <v>1076</v>
      </c>
      <c r="F4459" s="3" t="s">
        <v>8175</v>
      </c>
      <c r="G4459" s="3"/>
      <c r="H4459" s="4" t="s">
        <v>10148</v>
      </c>
    </row>
    <row r="4460" ht="16.5" customHeight="1" spans="1:8">
      <c r="A4460" s="3">
        <v>4459</v>
      </c>
      <c r="B4460" s="3" t="s">
        <v>10155</v>
      </c>
      <c r="C4460" s="3" t="s">
        <v>1356</v>
      </c>
      <c r="D4460" s="4" t="s">
        <v>10156</v>
      </c>
      <c r="E4460" s="3" t="s">
        <v>1076</v>
      </c>
      <c r="F4460" s="3" t="s">
        <v>8175</v>
      </c>
      <c r="G4460" s="3"/>
      <c r="H4460" s="4" t="s">
        <v>10148</v>
      </c>
    </row>
    <row r="4461" ht="16.5" customHeight="1" spans="1:8">
      <c r="A4461" s="3">
        <v>4460</v>
      </c>
      <c r="B4461" s="3" t="s">
        <v>10157</v>
      </c>
      <c r="C4461" s="3" t="s">
        <v>1356</v>
      </c>
      <c r="D4461" s="4" t="s">
        <v>10158</v>
      </c>
      <c r="E4461" s="3" t="s">
        <v>1076</v>
      </c>
      <c r="F4461" s="3" t="s">
        <v>8175</v>
      </c>
      <c r="G4461" s="3"/>
      <c r="H4461" s="4" t="s">
        <v>10148</v>
      </c>
    </row>
    <row r="4462" ht="16.5" customHeight="1" spans="1:8">
      <c r="A4462" s="3">
        <v>4461</v>
      </c>
      <c r="B4462" s="3" t="s">
        <v>10159</v>
      </c>
      <c r="C4462" s="3" t="s">
        <v>2163</v>
      </c>
      <c r="D4462" s="4" t="s">
        <v>10160</v>
      </c>
      <c r="E4462" s="3" t="s">
        <v>2263</v>
      </c>
      <c r="F4462" s="3" t="s">
        <v>6994</v>
      </c>
      <c r="G4462" s="3" t="s">
        <v>321</v>
      </c>
      <c r="H4462" s="4" t="s">
        <v>1308</v>
      </c>
    </row>
    <row r="4463" ht="16.5" customHeight="1" spans="1:8">
      <c r="A4463" s="3">
        <v>4462</v>
      </c>
      <c r="B4463" s="3" t="s">
        <v>10161</v>
      </c>
      <c r="C4463" s="3" t="s">
        <v>2163</v>
      </c>
      <c r="D4463" s="4" t="s">
        <v>10162</v>
      </c>
      <c r="E4463" s="3" t="s">
        <v>1076</v>
      </c>
      <c r="F4463" s="3" t="s">
        <v>1358</v>
      </c>
      <c r="G4463" s="3" t="s">
        <v>321</v>
      </c>
      <c r="H4463" s="4" t="s">
        <v>3812</v>
      </c>
    </row>
    <row r="4464" ht="16.5" customHeight="1" spans="1:8">
      <c r="A4464" s="3">
        <v>4463</v>
      </c>
      <c r="B4464" s="3" t="s">
        <v>10163</v>
      </c>
      <c r="C4464" s="3" t="s">
        <v>2163</v>
      </c>
      <c r="D4464" s="4" t="s">
        <v>10164</v>
      </c>
      <c r="E4464" s="3" t="s">
        <v>1076</v>
      </c>
      <c r="F4464" s="3" t="s">
        <v>1358</v>
      </c>
      <c r="G4464" s="3" t="s">
        <v>321</v>
      </c>
      <c r="H4464" s="4" t="s">
        <v>3812</v>
      </c>
    </row>
    <row r="4465" ht="16.5" customHeight="1" spans="1:8">
      <c r="A4465" s="3">
        <v>4464</v>
      </c>
      <c r="B4465" s="3" t="s">
        <v>10165</v>
      </c>
      <c r="C4465" s="3" t="s">
        <v>1105</v>
      </c>
      <c r="D4465" s="4" t="s">
        <v>10166</v>
      </c>
      <c r="E4465" s="3" t="s">
        <v>1076</v>
      </c>
      <c r="F4465" s="3" t="s">
        <v>4668</v>
      </c>
      <c r="G4465" s="3"/>
      <c r="H4465" s="4" t="s">
        <v>10167</v>
      </c>
    </row>
    <row r="4466" ht="16.5" customHeight="1" spans="1:8">
      <c r="A4466" s="3">
        <v>4465</v>
      </c>
      <c r="B4466" s="3" t="s">
        <v>10168</v>
      </c>
      <c r="C4466" s="3" t="s">
        <v>1105</v>
      </c>
      <c r="D4466" s="4" t="s">
        <v>10169</v>
      </c>
      <c r="E4466" s="3" t="s">
        <v>1076</v>
      </c>
      <c r="F4466" s="3" t="s">
        <v>4668</v>
      </c>
      <c r="G4466" s="3"/>
      <c r="H4466" s="4" t="s">
        <v>10167</v>
      </c>
    </row>
    <row r="4467" ht="16.5" customHeight="1" spans="1:8">
      <c r="A4467" s="3">
        <v>4466</v>
      </c>
      <c r="B4467" s="3" t="s">
        <v>10170</v>
      </c>
      <c r="C4467" s="3" t="s">
        <v>1105</v>
      </c>
      <c r="D4467" s="4" t="s">
        <v>10171</v>
      </c>
      <c r="E4467" s="3" t="s">
        <v>1076</v>
      </c>
      <c r="F4467" s="3" t="s">
        <v>4668</v>
      </c>
      <c r="G4467" s="3"/>
      <c r="H4467" s="4" t="s">
        <v>10167</v>
      </c>
    </row>
    <row r="4468" ht="16.5" customHeight="1" spans="1:8">
      <c r="A4468" s="3">
        <v>4467</v>
      </c>
      <c r="B4468" s="3" t="s">
        <v>10172</v>
      </c>
      <c r="C4468" s="3" t="s">
        <v>1105</v>
      </c>
      <c r="D4468" s="4" t="s">
        <v>10173</v>
      </c>
      <c r="E4468" s="3" t="s">
        <v>1076</v>
      </c>
      <c r="F4468" s="3" t="s">
        <v>4668</v>
      </c>
      <c r="G4468" s="3"/>
      <c r="H4468" s="4" t="s">
        <v>10167</v>
      </c>
    </row>
    <row r="4469" ht="16.5" customHeight="1" spans="1:8">
      <c r="A4469" s="3">
        <v>4468</v>
      </c>
      <c r="B4469" s="3" t="s">
        <v>10174</v>
      </c>
      <c r="C4469" s="3" t="s">
        <v>1105</v>
      </c>
      <c r="D4469" s="4" t="s">
        <v>10175</v>
      </c>
      <c r="E4469" s="3" t="s">
        <v>1076</v>
      </c>
      <c r="F4469" s="3" t="s">
        <v>4668</v>
      </c>
      <c r="G4469" s="3"/>
      <c r="H4469" s="4" t="s">
        <v>10167</v>
      </c>
    </row>
    <row r="4470" ht="16.5" customHeight="1" spans="1:8">
      <c r="A4470" s="3">
        <v>4469</v>
      </c>
      <c r="B4470" s="3" t="s">
        <v>10176</v>
      </c>
      <c r="C4470" s="3" t="s">
        <v>1105</v>
      </c>
      <c r="D4470" s="4" t="s">
        <v>10177</v>
      </c>
      <c r="E4470" s="3" t="s">
        <v>1076</v>
      </c>
      <c r="F4470" s="3" t="s">
        <v>4668</v>
      </c>
      <c r="G4470" s="3"/>
      <c r="H4470" s="4" t="s">
        <v>10167</v>
      </c>
    </row>
    <row r="4471" ht="16.5" customHeight="1" spans="1:8">
      <c r="A4471" s="3">
        <v>4470</v>
      </c>
      <c r="B4471" s="3" t="s">
        <v>10178</v>
      </c>
      <c r="C4471" s="3" t="s">
        <v>1105</v>
      </c>
      <c r="D4471" s="4" t="s">
        <v>10179</v>
      </c>
      <c r="E4471" s="3" t="s">
        <v>1076</v>
      </c>
      <c r="F4471" s="3" t="s">
        <v>4668</v>
      </c>
      <c r="G4471" s="3"/>
      <c r="H4471" s="4" t="s">
        <v>10167</v>
      </c>
    </row>
    <row r="4472" ht="16.5" customHeight="1" spans="1:8">
      <c r="A4472" s="3">
        <v>4471</v>
      </c>
      <c r="B4472" s="3" t="s">
        <v>10180</v>
      </c>
      <c r="C4472" s="3" t="s">
        <v>1105</v>
      </c>
      <c r="D4472" s="4" t="s">
        <v>10181</v>
      </c>
      <c r="E4472" s="3" t="s">
        <v>1076</v>
      </c>
      <c r="F4472" s="3" t="s">
        <v>4668</v>
      </c>
      <c r="G4472" s="3"/>
      <c r="H4472" s="4" t="s">
        <v>10167</v>
      </c>
    </row>
    <row r="4473" ht="16.5" customHeight="1" spans="1:8">
      <c r="A4473" s="3">
        <v>4472</v>
      </c>
      <c r="B4473" s="3" t="s">
        <v>10182</v>
      </c>
      <c r="C4473" s="3" t="s">
        <v>1105</v>
      </c>
      <c r="D4473" s="4" t="s">
        <v>10183</v>
      </c>
      <c r="E4473" s="3" t="s">
        <v>1076</v>
      </c>
      <c r="F4473" s="3" t="s">
        <v>4668</v>
      </c>
      <c r="G4473" s="3"/>
      <c r="H4473" s="4" t="s">
        <v>10167</v>
      </c>
    </row>
    <row r="4474" ht="16.5" customHeight="1" spans="1:8">
      <c r="A4474" s="3">
        <v>4473</v>
      </c>
      <c r="B4474" s="3" t="s">
        <v>10184</v>
      </c>
      <c r="C4474" s="3" t="s">
        <v>1105</v>
      </c>
      <c r="D4474" s="4" t="s">
        <v>10185</v>
      </c>
      <c r="E4474" s="3" t="s">
        <v>1076</v>
      </c>
      <c r="F4474" s="3" t="s">
        <v>4668</v>
      </c>
      <c r="G4474" s="3"/>
      <c r="H4474" s="4" t="s">
        <v>10186</v>
      </c>
    </row>
    <row r="4475" ht="16.5" customHeight="1" spans="1:8">
      <c r="A4475" s="3">
        <v>4474</v>
      </c>
      <c r="B4475" s="3" t="s">
        <v>10187</v>
      </c>
      <c r="C4475" s="3" t="s">
        <v>1105</v>
      </c>
      <c r="D4475" s="4" t="s">
        <v>10188</v>
      </c>
      <c r="E4475" s="3" t="s">
        <v>1076</v>
      </c>
      <c r="F4475" s="3" t="s">
        <v>4668</v>
      </c>
      <c r="G4475" s="3"/>
      <c r="H4475" s="4" t="s">
        <v>10186</v>
      </c>
    </row>
    <row r="4476" ht="16.5" customHeight="1" spans="1:8">
      <c r="A4476" s="3">
        <v>4475</v>
      </c>
      <c r="B4476" s="3" t="s">
        <v>10189</v>
      </c>
      <c r="C4476" s="3" t="s">
        <v>1105</v>
      </c>
      <c r="D4476" s="4" t="s">
        <v>10190</v>
      </c>
      <c r="E4476" s="3" t="s">
        <v>1076</v>
      </c>
      <c r="F4476" s="3" t="s">
        <v>4668</v>
      </c>
      <c r="G4476" s="3"/>
      <c r="H4476" s="4" t="s">
        <v>10186</v>
      </c>
    </row>
    <row r="4477" ht="16.5" customHeight="1" spans="1:8">
      <c r="A4477" s="3">
        <v>4476</v>
      </c>
      <c r="B4477" s="3" t="s">
        <v>10191</v>
      </c>
      <c r="C4477" s="3" t="s">
        <v>1074</v>
      </c>
      <c r="D4477" s="4" t="s">
        <v>10192</v>
      </c>
      <c r="E4477" s="3" t="s">
        <v>1076</v>
      </c>
      <c r="F4477" s="3" t="s">
        <v>4668</v>
      </c>
      <c r="G4477" s="3"/>
      <c r="H4477" s="4" t="s">
        <v>7243</v>
      </c>
    </row>
    <row r="4478" ht="16.5" customHeight="1" spans="1:8">
      <c r="A4478" s="3">
        <v>4477</v>
      </c>
      <c r="B4478" s="3" t="s">
        <v>10193</v>
      </c>
      <c r="C4478" s="3" t="s">
        <v>1105</v>
      </c>
      <c r="D4478" s="4" t="s">
        <v>10194</v>
      </c>
      <c r="E4478" s="3" t="s">
        <v>1739</v>
      </c>
      <c r="F4478" s="3" t="s">
        <v>4668</v>
      </c>
      <c r="G4478" s="3"/>
      <c r="H4478" s="4" t="s">
        <v>10195</v>
      </c>
    </row>
    <row r="4479" ht="16.5" customHeight="1" spans="1:8">
      <c r="A4479" s="3">
        <v>4478</v>
      </c>
      <c r="B4479" s="3" t="s">
        <v>10196</v>
      </c>
      <c r="C4479" s="3" t="s">
        <v>1105</v>
      </c>
      <c r="D4479" s="4" t="s">
        <v>10197</v>
      </c>
      <c r="E4479" s="3" t="s">
        <v>1837</v>
      </c>
      <c r="F4479" s="3" t="s">
        <v>4668</v>
      </c>
      <c r="G4479" s="3"/>
      <c r="H4479" s="4" t="s">
        <v>10195</v>
      </c>
    </row>
    <row r="4480" ht="16.5" customHeight="1" spans="1:8">
      <c r="A4480" s="3">
        <v>4479</v>
      </c>
      <c r="B4480" s="3" t="s">
        <v>10198</v>
      </c>
      <c r="C4480" s="3" t="s">
        <v>1105</v>
      </c>
      <c r="D4480" s="4" t="s">
        <v>10199</v>
      </c>
      <c r="E4480" s="3" t="s">
        <v>1739</v>
      </c>
      <c r="F4480" s="3" t="s">
        <v>4668</v>
      </c>
      <c r="G4480" s="3"/>
      <c r="H4480" s="4" t="s">
        <v>10195</v>
      </c>
    </row>
    <row r="4481" ht="16.5" customHeight="1" spans="1:8">
      <c r="A4481" s="3">
        <v>4480</v>
      </c>
      <c r="B4481" s="3" t="s">
        <v>10200</v>
      </c>
      <c r="C4481" s="3" t="s">
        <v>1105</v>
      </c>
      <c r="D4481" s="4" t="s">
        <v>10201</v>
      </c>
      <c r="E4481" s="3" t="s">
        <v>1739</v>
      </c>
      <c r="F4481" s="3" t="s">
        <v>4668</v>
      </c>
      <c r="G4481" s="3"/>
      <c r="H4481" s="4" t="s">
        <v>10195</v>
      </c>
    </row>
    <row r="4482" ht="16.5" customHeight="1" spans="1:8">
      <c r="A4482" s="3">
        <v>4481</v>
      </c>
      <c r="B4482" s="3" t="s">
        <v>10202</v>
      </c>
      <c r="C4482" s="3" t="s">
        <v>1105</v>
      </c>
      <c r="D4482" s="4" t="s">
        <v>10203</v>
      </c>
      <c r="E4482" s="3" t="s">
        <v>1739</v>
      </c>
      <c r="F4482" s="3" t="s">
        <v>4668</v>
      </c>
      <c r="G4482" s="3"/>
      <c r="H4482" s="4" t="s">
        <v>10195</v>
      </c>
    </row>
    <row r="4483" ht="16.5" customHeight="1" spans="1:8">
      <c r="A4483" s="3">
        <v>4482</v>
      </c>
      <c r="B4483" s="3" t="s">
        <v>10204</v>
      </c>
      <c r="C4483" s="3" t="s">
        <v>1105</v>
      </c>
      <c r="D4483" s="4" t="s">
        <v>10205</v>
      </c>
      <c r="E4483" s="3" t="s">
        <v>1837</v>
      </c>
      <c r="F4483" s="3" t="s">
        <v>4668</v>
      </c>
      <c r="G4483" s="3"/>
      <c r="H4483" s="4" t="s">
        <v>10195</v>
      </c>
    </row>
    <row r="4484" ht="16.5" customHeight="1" spans="1:8">
      <c r="A4484" s="3">
        <v>4483</v>
      </c>
      <c r="B4484" s="3" t="s">
        <v>10206</v>
      </c>
      <c r="C4484" s="3" t="s">
        <v>1105</v>
      </c>
      <c r="D4484" s="4" t="s">
        <v>10207</v>
      </c>
      <c r="E4484" s="3" t="s">
        <v>1739</v>
      </c>
      <c r="F4484" s="3" t="s">
        <v>4668</v>
      </c>
      <c r="G4484" s="3"/>
      <c r="H4484" s="4" t="s">
        <v>10195</v>
      </c>
    </row>
    <row r="4485" ht="16.5" customHeight="1" spans="1:8">
      <c r="A4485" s="3">
        <v>4484</v>
      </c>
      <c r="B4485" s="3" t="s">
        <v>10208</v>
      </c>
      <c r="C4485" s="3" t="s">
        <v>1105</v>
      </c>
      <c r="D4485" s="4" t="s">
        <v>10209</v>
      </c>
      <c r="E4485" s="3" t="s">
        <v>1076</v>
      </c>
      <c r="F4485" s="3" t="s">
        <v>4668</v>
      </c>
      <c r="G4485" s="3"/>
      <c r="H4485" s="4" t="s">
        <v>10195</v>
      </c>
    </row>
    <row r="4486" ht="16.5" customHeight="1" spans="1:8">
      <c r="A4486" s="3">
        <v>4485</v>
      </c>
      <c r="B4486" s="3" t="s">
        <v>10210</v>
      </c>
      <c r="C4486" s="3" t="s">
        <v>1105</v>
      </c>
      <c r="D4486" s="4" t="s">
        <v>10211</v>
      </c>
      <c r="E4486" s="3" t="s">
        <v>1739</v>
      </c>
      <c r="F4486" s="3" t="s">
        <v>4668</v>
      </c>
      <c r="G4486" s="3"/>
      <c r="H4486" s="4" t="s">
        <v>10195</v>
      </c>
    </row>
    <row r="4487" ht="16.5" customHeight="1" spans="1:8">
      <c r="A4487" s="3">
        <v>4486</v>
      </c>
      <c r="B4487" s="3" t="s">
        <v>10212</v>
      </c>
      <c r="C4487" s="3" t="s">
        <v>1105</v>
      </c>
      <c r="D4487" s="4" t="s">
        <v>10213</v>
      </c>
      <c r="E4487" s="3" t="s">
        <v>1739</v>
      </c>
      <c r="F4487" s="3" t="s">
        <v>4668</v>
      </c>
      <c r="G4487" s="3"/>
      <c r="H4487" s="4" t="s">
        <v>10195</v>
      </c>
    </row>
    <row r="4488" ht="16.5" customHeight="1" spans="1:8">
      <c r="A4488" s="3">
        <v>4487</v>
      </c>
      <c r="B4488" s="3" t="s">
        <v>10214</v>
      </c>
      <c r="C4488" s="3" t="s">
        <v>1105</v>
      </c>
      <c r="D4488" s="4" t="s">
        <v>10209</v>
      </c>
      <c r="E4488" s="3" t="s">
        <v>1076</v>
      </c>
      <c r="F4488" s="3" t="s">
        <v>4668</v>
      </c>
      <c r="G4488" s="3"/>
      <c r="H4488" s="4" t="s">
        <v>10195</v>
      </c>
    </row>
    <row r="4489" ht="16.5" customHeight="1" spans="1:8">
      <c r="A4489" s="3">
        <v>4488</v>
      </c>
      <c r="B4489" s="3" t="s">
        <v>10215</v>
      </c>
      <c r="C4489" s="3" t="s">
        <v>1105</v>
      </c>
      <c r="D4489" s="4" t="s">
        <v>10216</v>
      </c>
      <c r="E4489" s="3" t="s">
        <v>1739</v>
      </c>
      <c r="F4489" s="3" t="s">
        <v>4668</v>
      </c>
      <c r="G4489" s="3"/>
      <c r="H4489" s="4" t="s">
        <v>10195</v>
      </c>
    </row>
    <row r="4490" ht="16.5" customHeight="1" spans="1:8">
      <c r="A4490" s="3">
        <v>4489</v>
      </c>
      <c r="B4490" s="3" t="s">
        <v>10217</v>
      </c>
      <c r="C4490" s="3" t="s">
        <v>1105</v>
      </c>
      <c r="D4490" s="4" t="s">
        <v>10218</v>
      </c>
      <c r="E4490" s="3" t="s">
        <v>1739</v>
      </c>
      <c r="F4490" s="3" t="s">
        <v>4668</v>
      </c>
      <c r="G4490" s="3"/>
      <c r="H4490" s="4" t="s">
        <v>10195</v>
      </c>
    </row>
    <row r="4491" ht="16.5" customHeight="1" spans="1:8">
      <c r="A4491" s="3">
        <v>4490</v>
      </c>
      <c r="B4491" s="3" t="s">
        <v>10219</v>
      </c>
      <c r="C4491" s="3" t="s">
        <v>1105</v>
      </c>
      <c r="D4491" s="4" t="s">
        <v>10220</v>
      </c>
      <c r="E4491" s="3" t="s">
        <v>1076</v>
      </c>
      <c r="F4491" s="3" t="s">
        <v>4668</v>
      </c>
      <c r="G4491" s="3"/>
      <c r="H4491" s="4" t="s">
        <v>10195</v>
      </c>
    </row>
    <row r="4492" ht="16.5" customHeight="1" spans="1:8">
      <c r="A4492" s="3">
        <v>4491</v>
      </c>
      <c r="B4492" s="3" t="s">
        <v>10221</v>
      </c>
      <c r="C4492" s="3" t="s">
        <v>2163</v>
      </c>
      <c r="D4492" s="4" t="s">
        <v>10222</v>
      </c>
      <c r="E4492" s="3" t="s">
        <v>3093</v>
      </c>
      <c r="F4492" s="3" t="s">
        <v>1358</v>
      </c>
      <c r="G4492" s="3" t="s">
        <v>321</v>
      </c>
      <c r="H4492" s="4" t="s">
        <v>5664</v>
      </c>
    </row>
    <row r="4493" ht="16.5" customHeight="1" spans="1:8">
      <c r="A4493" s="3">
        <v>4492</v>
      </c>
      <c r="B4493" s="3" t="s">
        <v>10223</v>
      </c>
      <c r="C4493" s="3" t="s">
        <v>2163</v>
      </c>
      <c r="D4493" s="4" t="s">
        <v>10224</v>
      </c>
      <c r="E4493" s="3" t="s">
        <v>2726</v>
      </c>
      <c r="F4493" s="3" t="s">
        <v>1358</v>
      </c>
      <c r="G4493" s="3" t="s">
        <v>321</v>
      </c>
      <c r="H4493" s="4" t="s">
        <v>5664</v>
      </c>
    </row>
    <row r="4494" ht="16.5" customHeight="1" spans="1:8">
      <c r="A4494" s="3">
        <v>4493</v>
      </c>
      <c r="B4494" s="3" t="s">
        <v>10225</v>
      </c>
      <c r="C4494" s="3" t="s">
        <v>2163</v>
      </c>
      <c r="D4494" s="4" t="s">
        <v>10226</v>
      </c>
      <c r="E4494" s="3" t="s">
        <v>1076</v>
      </c>
      <c r="F4494" s="3" t="s">
        <v>2041</v>
      </c>
      <c r="G4494" s="3" t="s">
        <v>321</v>
      </c>
      <c r="H4494" s="4" t="s">
        <v>5664</v>
      </c>
    </row>
    <row r="4495" ht="16.5" customHeight="1" spans="1:8">
      <c r="A4495" s="3">
        <v>4494</v>
      </c>
      <c r="B4495" s="3" t="s">
        <v>10227</v>
      </c>
      <c r="C4495" s="3" t="s">
        <v>6377</v>
      </c>
      <c r="D4495" s="4" t="s">
        <v>10228</v>
      </c>
      <c r="E4495" s="3" t="s">
        <v>1218</v>
      </c>
      <c r="F4495" s="3" t="s">
        <v>1358</v>
      </c>
      <c r="G4495" s="3"/>
      <c r="H4495" s="4"/>
    </row>
    <row r="4496" ht="16.5" customHeight="1" spans="1:8">
      <c r="A4496" s="3">
        <v>4495</v>
      </c>
      <c r="B4496" s="3" t="s">
        <v>10229</v>
      </c>
      <c r="C4496" s="3" t="s">
        <v>2163</v>
      </c>
      <c r="D4496" s="4" t="s">
        <v>10230</v>
      </c>
      <c r="E4496" s="3" t="s">
        <v>1076</v>
      </c>
      <c r="F4496" s="3" t="s">
        <v>1358</v>
      </c>
      <c r="G4496" s="3" t="s">
        <v>321</v>
      </c>
      <c r="H4496" s="4" t="s">
        <v>3812</v>
      </c>
    </row>
    <row r="4497" ht="16.5" customHeight="1" spans="1:8">
      <c r="A4497" s="3">
        <v>4496</v>
      </c>
      <c r="B4497" s="3" t="s">
        <v>10231</v>
      </c>
      <c r="C4497" s="3" t="s">
        <v>2163</v>
      </c>
      <c r="D4497" s="4" t="s">
        <v>10232</v>
      </c>
      <c r="E4497" s="3" t="s">
        <v>1076</v>
      </c>
      <c r="F4497" s="3" t="s">
        <v>1358</v>
      </c>
      <c r="G4497" s="3" t="s">
        <v>321</v>
      </c>
      <c r="H4497" s="4" t="s">
        <v>3812</v>
      </c>
    </row>
    <row r="4498" ht="16.5" customHeight="1" spans="1:8">
      <c r="A4498" s="3">
        <v>4497</v>
      </c>
      <c r="B4498" s="3" t="s">
        <v>10233</v>
      </c>
      <c r="C4498" s="3" t="s">
        <v>2163</v>
      </c>
      <c r="D4498" s="4" t="s">
        <v>10234</v>
      </c>
      <c r="E4498" s="3" t="s">
        <v>1076</v>
      </c>
      <c r="F4498" s="3" t="s">
        <v>2105</v>
      </c>
      <c r="G4498" s="3"/>
      <c r="H4498" s="4" t="s">
        <v>9475</v>
      </c>
    </row>
    <row r="4499" ht="16.5" customHeight="1" spans="1:8">
      <c r="A4499" s="3">
        <v>4498</v>
      </c>
      <c r="B4499" s="3" t="s">
        <v>10235</v>
      </c>
      <c r="C4499" s="3" t="s">
        <v>1361</v>
      </c>
      <c r="D4499" s="4" t="s">
        <v>10236</v>
      </c>
      <c r="E4499" s="3" t="s">
        <v>1218</v>
      </c>
      <c r="F4499" s="3" t="s">
        <v>1358</v>
      </c>
      <c r="G4499" s="3" t="s">
        <v>321</v>
      </c>
      <c r="H4499" s="4"/>
    </row>
    <row r="4500" ht="16.5" customHeight="1" spans="1:8">
      <c r="A4500" s="3">
        <v>4499</v>
      </c>
      <c r="B4500" s="3" t="s">
        <v>10237</v>
      </c>
      <c r="C4500" s="3" t="s">
        <v>1361</v>
      </c>
      <c r="D4500" s="4" t="s">
        <v>10238</v>
      </c>
      <c r="E4500" s="3" t="s">
        <v>1218</v>
      </c>
      <c r="F4500" s="3" t="s">
        <v>1358</v>
      </c>
      <c r="G4500" s="3" t="s">
        <v>321</v>
      </c>
      <c r="H4500" s="4"/>
    </row>
    <row r="4501" ht="16.5" customHeight="1" spans="1:8">
      <c r="A4501" s="3">
        <v>4500</v>
      </c>
      <c r="B4501" s="3" t="s">
        <v>10239</v>
      </c>
      <c r="C4501" s="3" t="s">
        <v>1361</v>
      </c>
      <c r="D4501" s="4" t="s">
        <v>10240</v>
      </c>
      <c r="E4501" s="3" t="s">
        <v>1218</v>
      </c>
      <c r="F4501" s="3" t="s">
        <v>1358</v>
      </c>
      <c r="G4501" s="3" t="s">
        <v>321</v>
      </c>
      <c r="H4501" s="4"/>
    </row>
    <row r="4502" ht="16.5" customHeight="1" spans="1:8">
      <c r="A4502" s="3">
        <v>4501</v>
      </c>
      <c r="B4502" s="3" t="s">
        <v>10241</v>
      </c>
      <c r="C4502" s="3" t="s">
        <v>1361</v>
      </c>
      <c r="D4502" s="4" t="s">
        <v>10242</v>
      </c>
      <c r="E4502" s="3" t="s">
        <v>1218</v>
      </c>
      <c r="F4502" s="3" t="s">
        <v>1358</v>
      </c>
      <c r="G4502" s="3" t="s">
        <v>321</v>
      </c>
      <c r="H4502" s="4"/>
    </row>
    <row r="4503" ht="16.5" customHeight="1" spans="1:8">
      <c r="A4503" s="3">
        <v>4502</v>
      </c>
      <c r="B4503" s="3" t="s">
        <v>10243</v>
      </c>
      <c r="C4503" s="3" t="s">
        <v>1361</v>
      </c>
      <c r="D4503" s="4" t="s">
        <v>10244</v>
      </c>
      <c r="E4503" s="3" t="s">
        <v>1218</v>
      </c>
      <c r="F4503" s="3" t="s">
        <v>2041</v>
      </c>
      <c r="G4503" s="3"/>
      <c r="H4503" s="4"/>
    </row>
    <row r="4504" ht="16.5" customHeight="1" spans="1:8">
      <c r="A4504" s="3">
        <v>4503</v>
      </c>
      <c r="B4504" s="3" t="s">
        <v>10245</v>
      </c>
      <c r="C4504" s="3" t="s">
        <v>1361</v>
      </c>
      <c r="D4504" s="4" t="s">
        <v>10246</v>
      </c>
      <c r="E4504" s="3" t="s">
        <v>1218</v>
      </c>
      <c r="F4504" s="3" t="s">
        <v>2041</v>
      </c>
      <c r="G4504" s="3"/>
      <c r="H4504" s="4"/>
    </row>
    <row r="4505" ht="16.5" customHeight="1" spans="1:8">
      <c r="A4505" s="3">
        <v>4504</v>
      </c>
      <c r="B4505" s="3" t="s">
        <v>10247</v>
      </c>
      <c r="C4505" s="3" t="s">
        <v>1361</v>
      </c>
      <c r="D4505" s="4" t="s">
        <v>10248</v>
      </c>
      <c r="E4505" s="3" t="s">
        <v>1218</v>
      </c>
      <c r="F4505" s="3" t="s">
        <v>2041</v>
      </c>
      <c r="G4505" s="3"/>
      <c r="H4505" s="4"/>
    </row>
    <row r="4506" ht="16.5" customHeight="1" spans="1:8">
      <c r="A4506" s="3">
        <v>4505</v>
      </c>
      <c r="B4506" s="3" t="s">
        <v>10249</v>
      </c>
      <c r="C4506" s="3" t="s">
        <v>2163</v>
      </c>
      <c r="D4506" s="4" t="s">
        <v>10250</v>
      </c>
      <c r="E4506" s="3" t="s">
        <v>1076</v>
      </c>
      <c r="F4506" s="3" t="s">
        <v>2105</v>
      </c>
      <c r="G4506" s="3"/>
      <c r="H4506" s="4" t="s">
        <v>5664</v>
      </c>
    </row>
    <row r="4507" ht="16.5" customHeight="1" spans="1:8">
      <c r="A4507" s="3">
        <v>4506</v>
      </c>
      <c r="B4507" s="3" t="s">
        <v>10251</v>
      </c>
      <c r="C4507" s="3" t="s">
        <v>2163</v>
      </c>
      <c r="D4507" s="4" t="s">
        <v>10252</v>
      </c>
      <c r="E4507" s="3" t="s">
        <v>1076</v>
      </c>
      <c r="F4507" s="3" t="s">
        <v>2105</v>
      </c>
      <c r="G4507" s="3"/>
      <c r="H4507" s="4" t="s">
        <v>5664</v>
      </c>
    </row>
    <row r="4508" ht="16.5" customHeight="1" spans="1:8">
      <c r="A4508" s="3">
        <v>4507</v>
      </c>
      <c r="B4508" s="3" t="s">
        <v>10253</v>
      </c>
      <c r="C4508" s="3" t="s">
        <v>2163</v>
      </c>
      <c r="D4508" s="4" t="s">
        <v>10254</v>
      </c>
      <c r="E4508" s="3" t="s">
        <v>1076</v>
      </c>
      <c r="F4508" s="3" t="s">
        <v>2105</v>
      </c>
      <c r="G4508" s="3"/>
      <c r="H4508" s="4" t="s">
        <v>5664</v>
      </c>
    </row>
    <row r="4509" ht="16.5" customHeight="1" spans="1:8">
      <c r="A4509" s="3">
        <v>4508</v>
      </c>
      <c r="B4509" s="3" t="s">
        <v>10255</v>
      </c>
      <c r="C4509" s="3" t="s">
        <v>1074</v>
      </c>
      <c r="D4509" s="4" t="s">
        <v>10256</v>
      </c>
      <c r="E4509" s="3" t="s">
        <v>1218</v>
      </c>
      <c r="F4509" s="3" t="s">
        <v>8175</v>
      </c>
      <c r="G4509" s="3"/>
      <c r="H4509" s="4" t="s">
        <v>6877</v>
      </c>
    </row>
    <row r="4510" ht="16.5" customHeight="1" spans="1:8">
      <c r="A4510" s="3">
        <v>4509</v>
      </c>
      <c r="B4510" s="3" t="s">
        <v>10257</v>
      </c>
      <c r="C4510" s="3" t="s">
        <v>2163</v>
      </c>
      <c r="D4510" s="4" t="s">
        <v>10258</v>
      </c>
      <c r="E4510" s="3" t="s">
        <v>1076</v>
      </c>
      <c r="F4510" s="3" t="s">
        <v>10259</v>
      </c>
      <c r="G4510" s="3" t="s">
        <v>321</v>
      </c>
      <c r="H4510" s="4" t="s">
        <v>9016</v>
      </c>
    </row>
    <row r="4511" ht="16.5" customHeight="1" spans="1:8">
      <c r="A4511" s="3">
        <v>4510</v>
      </c>
      <c r="B4511" s="3" t="s">
        <v>10260</v>
      </c>
      <c r="C4511" s="3" t="s">
        <v>6964</v>
      </c>
      <c r="D4511" s="4" t="s">
        <v>10261</v>
      </c>
      <c r="E4511" s="3" t="s">
        <v>1837</v>
      </c>
      <c r="F4511" s="3" t="s">
        <v>10259</v>
      </c>
      <c r="G4511" s="3"/>
      <c r="H4511" s="4" t="s">
        <v>10262</v>
      </c>
    </row>
    <row r="4512" ht="16.5" customHeight="1" spans="1:8">
      <c r="A4512" s="3">
        <v>4511</v>
      </c>
      <c r="B4512" s="3" t="s">
        <v>10263</v>
      </c>
      <c r="C4512" s="3" t="s">
        <v>1074</v>
      </c>
      <c r="D4512" s="4" t="s">
        <v>10264</v>
      </c>
      <c r="E4512" s="3" t="s">
        <v>1218</v>
      </c>
      <c r="F4512" s="3" t="s">
        <v>8175</v>
      </c>
      <c r="G4512" s="3"/>
      <c r="H4512" s="4" t="s">
        <v>7243</v>
      </c>
    </row>
    <row r="4513" ht="16.5" customHeight="1" spans="1:8">
      <c r="A4513" s="3">
        <v>4512</v>
      </c>
      <c r="B4513" s="3" t="s">
        <v>10265</v>
      </c>
      <c r="C4513" s="3" t="s">
        <v>1074</v>
      </c>
      <c r="D4513" s="4" t="s">
        <v>10266</v>
      </c>
      <c r="E4513" s="3" t="s">
        <v>1076</v>
      </c>
      <c r="F4513" s="3" t="s">
        <v>4668</v>
      </c>
      <c r="G4513" s="3"/>
      <c r="H4513" s="4" t="s">
        <v>4198</v>
      </c>
    </row>
    <row r="4514" ht="16.5" customHeight="1" spans="1:8">
      <c r="A4514" s="3">
        <v>4513</v>
      </c>
      <c r="B4514" s="3" t="s">
        <v>10267</v>
      </c>
      <c r="C4514" s="3" t="s">
        <v>1105</v>
      </c>
      <c r="D4514" s="4" t="s">
        <v>10268</v>
      </c>
      <c r="E4514" s="3" t="s">
        <v>1076</v>
      </c>
      <c r="F4514" s="3" t="s">
        <v>4668</v>
      </c>
      <c r="G4514" s="3"/>
      <c r="H4514" s="4" t="s">
        <v>10269</v>
      </c>
    </row>
    <row r="4515" ht="16.5" customHeight="1" spans="1:8">
      <c r="A4515" s="3">
        <v>4514</v>
      </c>
      <c r="B4515" s="3" t="s">
        <v>10270</v>
      </c>
      <c r="C4515" s="3" t="s">
        <v>1105</v>
      </c>
      <c r="D4515" s="4" t="s">
        <v>10271</v>
      </c>
      <c r="E4515" s="3" t="s">
        <v>1076</v>
      </c>
      <c r="F4515" s="3" t="s">
        <v>4668</v>
      </c>
      <c r="G4515" s="3"/>
      <c r="H4515" s="4" t="s">
        <v>10269</v>
      </c>
    </row>
    <row r="4516" ht="16.5" customHeight="1" spans="1:8">
      <c r="A4516" s="3">
        <v>4515</v>
      </c>
      <c r="B4516" s="3" t="s">
        <v>10272</v>
      </c>
      <c r="C4516" s="3" t="s">
        <v>1105</v>
      </c>
      <c r="D4516" s="4" t="s">
        <v>10273</v>
      </c>
      <c r="E4516" s="3" t="s">
        <v>1837</v>
      </c>
      <c r="F4516" s="3" t="s">
        <v>4668</v>
      </c>
      <c r="G4516" s="3"/>
      <c r="H4516" s="4" t="s">
        <v>10269</v>
      </c>
    </row>
    <row r="4517" ht="16.5" customHeight="1" spans="1:8">
      <c r="A4517" s="3">
        <v>4516</v>
      </c>
      <c r="B4517" s="3" t="s">
        <v>10274</v>
      </c>
      <c r="C4517" s="3" t="s">
        <v>1105</v>
      </c>
      <c r="D4517" s="4" t="s">
        <v>10275</v>
      </c>
      <c r="E4517" s="3" t="s">
        <v>1837</v>
      </c>
      <c r="F4517" s="3" t="s">
        <v>4668</v>
      </c>
      <c r="G4517" s="3"/>
      <c r="H4517" s="4" t="s">
        <v>10269</v>
      </c>
    </row>
    <row r="4518" ht="16.5" customHeight="1" spans="1:8">
      <c r="A4518" s="3">
        <v>4517</v>
      </c>
      <c r="B4518" s="3" t="s">
        <v>10276</v>
      </c>
      <c r="C4518" s="3" t="s">
        <v>1105</v>
      </c>
      <c r="D4518" s="4" t="s">
        <v>10277</v>
      </c>
      <c r="E4518" s="3" t="s">
        <v>1837</v>
      </c>
      <c r="F4518" s="3" t="s">
        <v>4668</v>
      </c>
      <c r="G4518" s="3"/>
      <c r="H4518" s="4" t="s">
        <v>10269</v>
      </c>
    </row>
    <row r="4519" ht="16.5" customHeight="1" spans="1:8">
      <c r="A4519" s="3">
        <v>4518</v>
      </c>
      <c r="B4519" s="3" t="s">
        <v>10278</v>
      </c>
      <c r="C4519" s="3" t="s">
        <v>1105</v>
      </c>
      <c r="D4519" s="4" t="s">
        <v>10279</v>
      </c>
      <c r="E4519" s="3" t="s">
        <v>1837</v>
      </c>
      <c r="F4519" s="3" t="s">
        <v>4668</v>
      </c>
      <c r="G4519" s="3"/>
      <c r="H4519" s="4" t="s">
        <v>10269</v>
      </c>
    </row>
    <row r="4520" ht="16.5" customHeight="1" spans="1:8">
      <c r="A4520" s="3">
        <v>4519</v>
      </c>
      <c r="B4520" s="3" t="s">
        <v>10280</v>
      </c>
      <c r="C4520" s="3" t="s">
        <v>1105</v>
      </c>
      <c r="D4520" s="4" t="s">
        <v>10281</v>
      </c>
      <c r="E4520" s="3" t="s">
        <v>1837</v>
      </c>
      <c r="F4520" s="3" t="s">
        <v>4668</v>
      </c>
      <c r="G4520" s="3"/>
      <c r="H4520" s="4" t="s">
        <v>10269</v>
      </c>
    </row>
    <row r="4521" ht="16.5" customHeight="1" spans="1:8">
      <c r="A4521" s="3">
        <v>4520</v>
      </c>
      <c r="B4521" s="3" t="s">
        <v>10282</v>
      </c>
      <c r="C4521" s="3" t="s">
        <v>1105</v>
      </c>
      <c r="D4521" s="4" t="s">
        <v>10283</v>
      </c>
      <c r="E4521" s="3" t="s">
        <v>1837</v>
      </c>
      <c r="F4521" s="3" t="s">
        <v>4668</v>
      </c>
      <c r="G4521" s="3"/>
      <c r="H4521" s="4" t="s">
        <v>10269</v>
      </c>
    </row>
    <row r="4522" ht="16.5" customHeight="1" spans="1:8">
      <c r="A4522" s="3">
        <v>4521</v>
      </c>
      <c r="B4522" s="3" t="s">
        <v>10284</v>
      </c>
      <c r="C4522" s="3" t="s">
        <v>1105</v>
      </c>
      <c r="D4522" s="4" t="s">
        <v>10285</v>
      </c>
      <c r="E4522" s="3" t="s">
        <v>1837</v>
      </c>
      <c r="F4522" s="3" t="s">
        <v>4668</v>
      </c>
      <c r="G4522" s="3"/>
      <c r="H4522" s="4" t="s">
        <v>10195</v>
      </c>
    </row>
    <row r="4523" ht="16.5" customHeight="1" spans="1:8">
      <c r="A4523" s="3">
        <v>4522</v>
      </c>
      <c r="B4523" s="3" t="s">
        <v>10286</v>
      </c>
      <c r="C4523" s="3" t="s">
        <v>1356</v>
      </c>
      <c r="D4523" s="4" t="s">
        <v>10287</v>
      </c>
      <c r="E4523" s="3" t="s">
        <v>1076</v>
      </c>
      <c r="F4523" s="3" t="s">
        <v>4668</v>
      </c>
      <c r="G4523" s="3"/>
      <c r="H4523" s="4" t="s">
        <v>1305</v>
      </c>
    </row>
    <row r="4524" ht="16.5" customHeight="1" spans="1:8">
      <c r="A4524" s="3">
        <v>4523</v>
      </c>
      <c r="B4524" s="3" t="s">
        <v>10288</v>
      </c>
      <c r="C4524" s="3" t="s">
        <v>1356</v>
      </c>
      <c r="D4524" s="4" t="s">
        <v>10289</v>
      </c>
      <c r="E4524" s="3" t="s">
        <v>1076</v>
      </c>
      <c r="F4524" s="3" t="s">
        <v>4668</v>
      </c>
      <c r="G4524" s="3"/>
      <c r="H4524" s="4" t="s">
        <v>1305</v>
      </c>
    </row>
    <row r="4525" ht="16.5" customHeight="1" spans="1:8">
      <c r="A4525" s="3">
        <v>4524</v>
      </c>
      <c r="B4525" s="3" t="s">
        <v>10290</v>
      </c>
      <c r="C4525" s="3" t="s">
        <v>1356</v>
      </c>
      <c r="D4525" s="4" t="s">
        <v>10291</v>
      </c>
      <c r="E4525" s="3" t="s">
        <v>1076</v>
      </c>
      <c r="F4525" s="3" t="s">
        <v>4668</v>
      </c>
      <c r="G4525" s="3"/>
      <c r="H4525" s="4" t="s">
        <v>1305</v>
      </c>
    </row>
    <row r="4526" ht="16.5" customHeight="1" spans="1:8">
      <c r="A4526" s="3">
        <v>4525</v>
      </c>
      <c r="B4526" s="3" t="s">
        <v>10292</v>
      </c>
      <c r="C4526" s="3" t="s">
        <v>1356</v>
      </c>
      <c r="D4526" s="4" t="s">
        <v>10293</v>
      </c>
      <c r="E4526" s="3" t="s">
        <v>2726</v>
      </c>
      <c r="F4526" s="3" t="s">
        <v>4668</v>
      </c>
      <c r="G4526" s="3"/>
      <c r="H4526" s="4" t="s">
        <v>1305</v>
      </c>
    </row>
    <row r="4527" ht="16.5" customHeight="1" spans="1:8">
      <c r="A4527" s="3">
        <v>4526</v>
      </c>
      <c r="B4527" s="3" t="s">
        <v>10294</v>
      </c>
      <c r="C4527" s="3" t="s">
        <v>1356</v>
      </c>
      <c r="D4527" s="4" t="s">
        <v>10295</v>
      </c>
      <c r="E4527" s="3" t="s">
        <v>1076</v>
      </c>
      <c r="F4527" s="3" t="s">
        <v>4668</v>
      </c>
      <c r="G4527" s="3"/>
      <c r="H4527" s="4" t="s">
        <v>1305</v>
      </c>
    </row>
    <row r="4528" ht="16.5" customHeight="1" spans="1:8">
      <c r="A4528" s="3">
        <v>4527</v>
      </c>
      <c r="B4528" s="3" t="s">
        <v>10296</v>
      </c>
      <c r="C4528" s="3" t="s">
        <v>1356</v>
      </c>
      <c r="D4528" s="4" t="s">
        <v>10297</v>
      </c>
      <c r="E4528" s="3" t="s">
        <v>1076</v>
      </c>
      <c r="F4528" s="3" t="s">
        <v>4668</v>
      </c>
      <c r="G4528" s="3"/>
      <c r="H4528" s="4" t="s">
        <v>1305</v>
      </c>
    </row>
    <row r="4529" ht="16.5" customHeight="1" spans="1:8">
      <c r="A4529" s="3">
        <v>4528</v>
      </c>
      <c r="B4529" s="3" t="s">
        <v>10298</v>
      </c>
      <c r="C4529" s="3" t="s">
        <v>2163</v>
      </c>
      <c r="D4529" s="4" t="s">
        <v>10299</v>
      </c>
      <c r="E4529" s="3" t="s">
        <v>1076</v>
      </c>
      <c r="F4529" s="3" t="s">
        <v>2105</v>
      </c>
      <c r="G4529" s="3"/>
      <c r="H4529" s="4" t="s">
        <v>5533</v>
      </c>
    </row>
    <row r="4530" ht="16.5" customHeight="1" spans="1:8">
      <c r="A4530" s="3">
        <v>4529</v>
      </c>
      <c r="B4530" s="3" t="s">
        <v>10300</v>
      </c>
      <c r="C4530" s="3" t="s">
        <v>2163</v>
      </c>
      <c r="D4530" s="4" t="s">
        <v>10301</v>
      </c>
      <c r="E4530" s="3" t="s">
        <v>7007</v>
      </c>
      <c r="F4530" s="3" t="s">
        <v>2105</v>
      </c>
      <c r="G4530" s="3"/>
      <c r="H4530" s="4" t="s">
        <v>1305</v>
      </c>
    </row>
    <row r="4531" ht="16.5" customHeight="1" spans="1:8">
      <c r="A4531" s="3">
        <v>4530</v>
      </c>
      <c r="B4531" s="3" t="s">
        <v>10302</v>
      </c>
      <c r="C4531" s="3" t="s">
        <v>1361</v>
      </c>
      <c r="D4531" s="4" t="s">
        <v>10303</v>
      </c>
      <c r="E4531" s="3" t="s">
        <v>1218</v>
      </c>
      <c r="F4531" s="3" t="s">
        <v>2105</v>
      </c>
      <c r="G4531" s="3"/>
      <c r="H4531" s="4"/>
    </row>
    <row r="4532" ht="16.5" customHeight="1" spans="1:8">
      <c r="A4532" s="3">
        <v>4531</v>
      </c>
      <c r="B4532" s="3" t="s">
        <v>10304</v>
      </c>
      <c r="C4532" s="3" t="s">
        <v>1361</v>
      </c>
      <c r="D4532" s="4" t="s">
        <v>10305</v>
      </c>
      <c r="E4532" s="3" t="s">
        <v>1218</v>
      </c>
      <c r="F4532" s="3" t="s">
        <v>2105</v>
      </c>
      <c r="G4532" s="3"/>
      <c r="H4532" s="4"/>
    </row>
    <row r="4533" ht="16.5" customHeight="1" spans="1:8">
      <c r="A4533" s="3">
        <v>4532</v>
      </c>
      <c r="B4533" s="3" t="s">
        <v>10306</v>
      </c>
      <c r="C4533" s="3" t="s">
        <v>1361</v>
      </c>
      <c r="D4533" s="4" t="s">
        <v>10307</v>
      </c>
      <c r="E4533" s="3" t="s">
        <v>1218</v>
      </c>
      <c r="F4533" s="3" t="s">
        <v>2105</v>
      </c>
      <c r="G4533" s="3"/>
      <c r="H4533" s="4"/>
    </row>
    <row r="4534" ht="16.5" customHeight="1" spans="1:8">
      <c r="A4534" s="3">
        <v>4533</v>
      </c>
      <c r="B4534" s="3" t="s">
        <v>10308</v>
      </c>
      <c r="C4534" s="3" t="s">
        <v>1361</v>
      </c>
      <c r="D4534" s="4" t="s">
        <v>10309</v>
      </c>
      <c r="E4534" s="3" t="s">
        <v>1218</v>
      </c>
      <c r="F4534" s="3" t="s">
        <v>2105</v>
      </c>
      <c r="G4534" s="3"/>
      <c r="H4534" s="4"/>
    </row>
    <row r="4535" ht="16.5" customHeight="1" spans="1:8">
      <c r="A4535" s="3">
        <v>4534</v>
      </c>
      <c r="B4535" s="3" t="s">
        <v>10310</v>
      </c>
      <c r="C4535" s="3" t="s">
        <v>1361</v>
      </c>
      <c r="D4535" s="4" t="s">
        <v>10311</v>
      </c>
      <c r="E4535" s="3" t="s">
        <v>1218</v>
      </c>
      <c r="F4535" s="3" t="s">
        <v>2105</v>
      </c>
      <c r="G4535" s="3"/>
      <c r="H4535" s="4"/>
    </row>
    <row r="4536" ht="16.5" customHeight="1" spans="1:8">
      <c r="A4536" s="3">
        <v>4535</v>
      </c>
      <c r="B4536" s="3" t="s">
        <v>10312</v>
      </c>
      <c r="C4536" s="3" t="s">
        <v>1361</v>
      </c>
      <c r="D4536" s="4" t="s">
        <v>10313</v>
      </c>
      <c r="E4536" s="3" t="s">
        <v>1218</v>
      </c>
      <c r="F4536" s="3" t="s">
        <v>2105</v>
      </c>
      <c r="G4536" s="3"/>
      <c r="H4536" s="4"/>
    </row>
    <row r="4537" ht="16.5" customHeight="1" spans="1:8">
      <c r="A4537" s="3">
        <v>4536</v>
      </c>
      <c r="B4537" s="3" t="s">
        <v>10314</v>
      </c>
      <c r="C4537" s="3" t="s">
        <v>1361</v>
      </c>
      <c r="D4537" s="4" t="s">
        <v>10315</v>
      </c>
      <c r="E4537" s="3" t="s">
        <v>1218</v>
      </c>
      <c r="F4537" s="3" t="s">
        <v>2105</v>
      </c>
      <c r="G4537" s="3"/>
      <c r="H4537" s="4"/>
    </row>
    <row r="4538" ht="16.5" customHeight="1" spans="1:8">
      <c r="A4538" s="3">
        <v>4537</v>
      </c>
      <c r="B4538" s="3" t="s">
        <v>10316</v>
      </c>
      <c r="C4538" s="3" t="s">
        <v>1361</v>
      </c>
      <c r="D4538" s="4" t="s">
        <v>10317</v>
      </c>
      <c r="E4538" s="3" t="s">
        <v>1218</v>
      </c>
      <c r="F4538" s="3" t="s">
        <v>2105</v>
      </c>
      <c r="G4538" s="3"/>
      <c r="H4538" s="4"/>
    </row>
    <row r="4539" ht="16.5" customHeight="1" spans="1:8">
      <c r="A4539" s="3">
        <v>4538</v>
      </c>
      <c r="B4539" s="3" t="s">
        <v>10318</v>
      </c>
      <c r="C4539" s="3" t="s">
        <v>1361</v>
      </c>
      <c r="D4539" s="4" t="s">
        <v>10319</v>
      </c>
      <c r="E4539" s="3" t="s">
        <v>1218</v>
      </c>
      <c r="F4539" s="3" t="s">
        <v>2105</v>
      </c>
      <c r="G4539" s="3"/>
      <c r="H4539" s="4"/>
    </row>
    <row r="4540" ht="16.5" customHeight="1" spans="1:8">
      <c r="A4540" s="3">
        <v>4539</v>
      </c>
      <c r="B4540" s="3" t="s">
        <v>10320</v>
      </c>
      <c r="C4540" s="3" t="s">
        <v>1361</v>
      </c>
      <c r="D4540" s="4" t="s">
        <v>10321</v>
      </c>
      <c r="E4540" s="3" t="s">
        <v>1218</v>
      </c>
      <c r="F4540" s="3" t="s">
        <v>2105</v>
      </c>
      <c r="G4540" s="3"/>
      <c r="H4540" s="4"/>
    </row>
    <row r="4541" ht="16.5" customHeight="1" spans="1:8">
      <c r="A4541" s="3">
        <v>4540</v>
      </c>
      <c r="B4541" s="3" t="s">
        <v>10322</v>
      </c>
      <c r="C4541" s="3" t="s">
        <v>1361</v>
      </c>
      <c r="D4541" s="4" t="s">
        <v>10323</v>
      </c>
      <c r="E4541" s="3" t="s">
        <v>1218</v>
      </c>
      <c r="F4541" s="3" t="s">
        <v>2105</v>
      </c>
      <c r="G4541" s="3"/>
      <c r="H4541" s="4"/>
    </row>
    <row r="4542" ht="16.5" customHeight="1" spans="1:8">
      <c r="A4542" s="3">
        <v>4541</v>
      </c>
      <c r="B4542" s="3" t="s">
        <v>10324</v>
      </c>
      <c r="C4542" s="3" t="s">
        <v>1361</v>
      </c>
      <c r="D4542" s="4" t="s">
        <v>10325</v>
      </c>
      <c r="E4542" s="3" t="s">
        <v>1218</v>
      </c>
      <c r="F4542" s="3" t="s">
        <v>2105</v>
      </c>
      <c r="G4542" s="3"/>
      <c r="H4542" s="4"/>
    </row>
    <row r="4543" ht="16.5" customHeight="1" spans="1:8">
      <c r="A4543" s="3">
        <v>4542</v>
      </c>
      <c r="B4543" s="3" t="s">
        <v>10326</v>
      </c>
      <c r="C4543" s="3" t="s">
        <v>1361</v>
      </c>
      <c r="D4543" s="4" t="s">
        <v>10327</v>
      </c>
      <c r="E4543" s="3" t="s">
        <v>1218</v>
      </c>
      <c r="F4543" s="3" t="s">
        <v>2105</v>
      </c>
      <c r="G4543" s="3"/>
      <c r="H4543" s="4"/>
    </row>
    <row r="4544" ht="16.5" customHeight="1" spans="1:8">
      <c r="A4544" s="3">
        <v>4543</v>
      </c>
      <c r="B4544" s="3" t="s">
        <v>10328</v>
      </c>
      <c r="C4544" s="3" t="s">
        <v>1361</v>
      </c>
      <c r="D4544" s="4" t="s">
        <v>10329</v>
      </c>
      <c r="E4544" s="3" t="s">
        <v>1218</v>
      </c>
      <c r="F4544" s="3" t="s">
        <v>2105</v>
      </c>
      <c r="G4544" s="3"/>
      <c r="H4544" s="4"/>
    </row>
    <row r="4545" ht="16.5" customHeight="1" spans="1:8">
      <c r="A4545" s="3">
        <v>4544</v>
      </c>
      <c r="B4545" s="3" t="s">
        <v>10330</v>
      </c>
      <c r="C4545" s="3" t="s">
        <v>1361</v>
      </c>
      <c r="D4545" s="4" t="s">
        <v>10331</v>
      </c>
      <c r="E4545" s="3" t="s">
        <v>1218</v>
      </c>
      <c r="F4545" s="3" t="s">
        <v>2105</v>
      </c>
      <c r="G4545" s="3"/>
      <c r="H4545" s="4"/>
    </row>
    <row r="4546" ht="16.5" customHeight="1" spans="1:8">
      <c r="A4546" s="3">
        <v>4545</v>
      </c>
      <c r="B4546" s="3" t="s">
        <v>10332</v>
      </c>
      <c r="C4546" s="3" t="s">
        <v>1361</v>
      </c>
      <c r="D4546" s="4" t="s">
        <v>10333</v>
      </c>
      <c r="E4546" s="3" t="s">
        <v>1218</v>
      </c>
      <c r="F4546" s="3" t="s">
        <v>2105</v>
      </c>
      <c r="G4546" s="3"/>
      <c r="H4546" s="4"/>
    </row>
    <row r="4547" ht="16.5" customHeight="1" spans="1:8">
      <c r="A4547" s="3">
        <v>4546</v>
      </c>
      <c r="B4547" s="3" t="s">
        <v>10334</v>
      </c>
      <c r="C4547" s="3" t="s">
        <v>1361</v>
      </c>
      <c r="D4547" s="4" t="s">
        <v>10335</v>
      </c>
      <c r="E4547" s="3" t="s">
        <v>1218</v>
      </c>
      <c r="F4547" s="3" t="s">
        <v>2105</v>
      </c>
      <c r="G4547" s="3"/>
      <c r="H4547" s="4"/>
    </row>
    <row r="4548" ht="16.5" customHeight="1" spans="1:8">
      <c r="A4548" s="3">
        <v>4547</v>
      </c>
      <c r="B4548" s="3" t="s">
        <v>10336</v>
      </c>
      <c r="C4548" s="3" t="s">
        <v>1361</v>
      </c>
      <c r="D4548" s="4" t="s">
        <v>10337</v>
      </c>
      <c r="E4548" s="3" t="s">
        <v>1218</v>
      </c>
      <c r="F4548" s="3" t="s">
        <v>2105</v>
      </c>
      <c r="G4548" s="3"/>
      <c r="H4548" s="4"/>
    </row>
    <row r="4549" ht="16.5" customHeight="1" spans="1:8">
      <c r="A4549" s="3">
        <v>4548</v>
      </c>
      <c r="B4549" s="3" t="s">
        <v>10338</v>
      </c>
      <c r="C4549" s="3" t="s">
        <v>1361</v>
      </c>
      <c r="D4549" s="4" t="s">
        <v>10339</v>
      </c>
      <c r="E4549" s="3" t="s">
        <v>1218</v>
      </c>
      <c r="F4549" s="3" t="s">
        <v>2105</v>
      </c>
      <c r="G4549" s="3"/>
      <c r="H4549" s="4"/>
    </row>
    <row r="4550" ht="16.5" customHeight="1" spans="1:8">
      <c r="A4550" s="3">
        <v>4549</v>
      </c>
      <c r="B4550" s="3" t="s">
        <v>10340</v>
      </c>
      <c r="C4550" s="3" t="s">
        <v>1361</v>
      </c>
      <c r="D4550" s="4" t="s">
        <v>10341</v>
      </c>
      <c r="E4550" s="3" t="s">
        <v>1218</v>
      </c>
      <c r="F4550" s="3" t="s">
        <v>2105</v>
      </c>
      <c r="G4550" s="3"/>
      <c r="H4550" s="4"/>
    </row>
    <row r="4551" ht="16.5" customHeight="1" spans="1:8">
      <c r="A4551" s="3">
        <v>4550</v>
      </c>
      <c r="B4551" s="3" t="s">
        <v>10342</v>
      </c>
      <c r="C4551" s="3" t="s">
        <v>1361</v>
      </c>
      <c r="D4551" s="4" t="s">
        <v>10343</v>
      </c>
      <c r="E4551" s="3" t="s">
        <v>1218</v>
      </c>
      <c r="F4551" s="3" t="s">
        <v>2105</v>
      </c>
      <c r="G4551" s="3"/>
      <c r="H4551" s="4"/>
    </row>
    <row r="4552" ht="16.5" customHeight="1" spans="1:8">
      <c r="A4552" s="3">
        <v>4551</v>
      </c>
      <c r="B4552" s="3" t="s">
        <v>10344</v>
      </c>
      <c r="C4552" s="3" t="s">
        <v>1361</v>
      </c>
      <c r="D4552" s="4" t="s">
        <v>10345</v>
      </c>
      <c r="E4552" s="3" t="s">
        <v>1218</v>
      </c>
      <c r="F4552" s="3" t="s">
        <v>2105</v>
      </c>
      <c r="G4552" s="3"/>
      <c r="H4552" s="4"/>
    </row>
    <row r="4553" ht="16.5" customHeight="1" spans="1:8">
      <c r="A4553" s="3">
        <v>4552</v>
      </c>
      <c r="B4553" s="3" t="s">
        <v>10346</v>
      </c>
      <c r="C4553" s="3" t="s">
        <v>1361</v>
      </c>
      <c r="D4553" s="4" t="s">
        <v>10347</v>
      </c>
      <c r="E4553" s="3" t="s">
        <v>1218</v>
      </c>
      <c r="F4553" s="3" t="s">
        <v>2105</v>
      </c>
      <c r="G4553" s="3"/>
      <c r="H4553" s="4"/>
    </row>
    <row r="4554" ht="16.5" customHeight="1" spans="1:8">
      <c r="A4554" s="3">
        <v>4553</v>
      </c>
      <c r="B4554" s="3" t="s">
        <v>10348</v>
      </c>
      <c r="C4554" s="3" t="s">
        <v>1361</v>
      </c>
      <c r="D4554" s="4" t="s">
        <v>10349</v>
      </c>
      <c r="E4554" s="3" t="s">
        <v>1218</v>
      </c>
      <c r="F4554" s="3" t="s">
        <v>2105</v>
      </c>
      <c r="G4554" s="3"/>
      <c r="H4554" s="4"/>
    </row>
    <row r="4555" ht="16.5" customHeight="1" spans="1:8">
      <c r="A4555" s="3">
        <v>4554</v>
      </c>
      <c r="B4555" s="3" t="s">
        <v>10350</v>
      </c>
      <c r="C4555" s="3" t="s">
        <v>1361</v>
      </c>
      <c r="D4555" s="4" t="s">
        <v>10351</v>
      </c>
      <c r="E4555" s="3" t="s">
        <v>1218</v>
      </c>
      <c r="F4555" s="3" t="s">
        <v>2105</v>
      </c>
      <c r="G4555" s="3"/>
      <c r="H4555" s="4"/>
    </row>
    <row r="4556" ht="16.5" customHeight="1" spans="1:8">
      <c r="A4556" s="3">
        <v>4555</v>
      </c>
      <c r="B4556" s="3" t="s">
        <v>10352</v>
      </c>
      <c r="C4556" s="3" t="s">
        <v>1361</v>
      </c>
      <c r="D4556" s="4" t="s">
        <v>10353</v>
      </c>
      <c r="E4556" s="3" t="s">
        <v>1218</v>
      </c>
      <c r="F4556" s="3" t="s">
        <v>2105</v>
      </c>
      <c r="G4556" s="3"/>
      <c r="H4556" s="4"/>
    </row>
    <row r="4557" ht="16.5" customHeight="1" spans="1:8">
      <c r="A4557" s="3">
        <v>4556</v>
      </c>
      <c r="B4557" s="3" t="s">
        <v>10354</v>
      </c>
      <c r="C4557" s="3" t="s">
        <v>2163</v>
      </c>
      <c r="D4557" s="4" t="s">
        <v>10355</v>
      </c>
      <c r="E4557" s="3" t="s">
        <v>1076</v>
      </c>
      <c r="F4557" s="3" t="s">
        <v>2041</v>
      </c>
      <c r="G4557" s="3" t="s">
        <v>321</v>
      </c>
      <c r="H4557" s="4" t="s">
        <v>1305</v>
      </c>
    </row>
    <row r="4558" ht="16.5" customHeight="1" spans="1:8">
      <c r="A4558" s="3">
        <v>4557</v>
      </c>
      <c r="B4558" s="3" t="s">
        <v>10356</v>
      </c>
      <c r="C4558" s="3" t="s">
        <v>1361</v>
      </c>
      <c r="D4558" s="4" t="s">
        <v>10357</v>
      </c>
      <c r="E4558" s="3" t="s">
        <v>1218</v>
      </c>
      <c r="F4558" s="3" t="s">
        <v>1358</v>
      </c>
      <c r="G4558" s="3"/>
      <c r="H4558" s="4"/>
    </row>
    <row r="4559" ht="16.5" customHeight="1" spans="1:8">
      <c r="A4559" s="3">
        <v>4558</v>
      </c>
      <c r="B4559" s="3" t="s">
        <v>10358</v>
      </c>
      <c r="C4559" s="3" t="s">
        <v>1361</v>
      </c>
      <c r="D4559" s="4" t="s">
        <v>10359</v>
      </c>
      <c r="E4559" s="3" t="s">
        <v>1218</v>
      </c>
      <c r="F4559" s="3" t="s">
        <v>1358</v>
      </c>
      <c r="G4559" s="3" t="s">
        <v>321</v>
      </c>
      <c r="H4559" s="4"/>
    </row>
    <row r="4560" ht="16.5" customHeight="1" spans="1:8">
      <c r="A4560" s="3">
        <v>4559</v>
      </c>
      <c r="B4560" s="3" t="s">
        <v>10360</v>
      </c>
      <c r="C4560" s="3" t="s">
        <v>2163</v>
      </c>
      <c r="D4560" s="4" t="s">
        <v>10361</v>
      </c>
      <c r="E4560" s="3" t="s">
        <v>1076</v>
      </c>
      <c r="F4560" s="3" t="s">
        <v>8175</v>
      </c>
      <c r="G4560" s="3"/>
      <c r="H4560" s="4" t="s">
        <v>9016</v>
      </c>
    </row>
    <row r="4561" ht="16.5" customHeight="1" spans="1:8">
      <c r="A4561" s="3">
        <v>4560</v>
      </c>
      <c r="B4561" s="3" t="s">
        <v>10362</v>
      </c>
      <c r="C4561" s="3" t="s">
        <v>2163</v>
      </c>
      <c r="D4561" s="4" t="s">
        <v>10363</v>
      </c>
      <c r="E4561" s="3" t="s">
        <v>5779</v>
      </c>
      <c r="F4561" s="3" t="s">
        <v>8175</v>
      </c>
      <c r="G4561" s="3"/>
      <c r="H4561" s="4" t="s">
        <v>3354</v>
      </c>
    </row>
    <row r="4562" ht="16.5" customHeight="1" spans="1:8">
      <c r="A4562" s="3">
        <v>4561</v>
      </c>
      <c r="B4562" s="3" t="s">
        <v>10364</v>
      </c>
      <c r="C4562" s="3" t="s">
        <v>1361</v>
      </c>
      <c r="D4562" s="4" t="s">
        <v>10365</v>
      </c>
      <c r="E4562" s="3" t="s">
        <v>1218</v>
      </c>
      <c r="F4562" s="3" t="s">
        <v>2105</v>
      </c>
      <c r="G4562" s="3"/>
      <c r="H4562" s="4"/>
    </row>
    <row r="4563" ht="16.5" customHeight="1" spans="1:8">
      <c r="A4563" s="3">
        <v>4562</v>
      </c>
      <c r="B4563" s="3" t="s">
        <v>10366</v>
      </c>
      <c r="C4563" s="3" t="s">
        <v>1361</v>
      </c>
      <c r="D4563" s="4" t="s">
        <v>10367</v>
      </c>
      <c r="E4563" s="3" t="s">
        <v>1218</v>
      </c>
      <c r="F4563" s="3" t="s">
        <v>2105</v>
      </c>
      <c r="G4563" s="3"/>
      <c r="H4563" s="4"/>
    </row>
    <row r="4564" ht="16.5" customHeight="1" spans="1:8">
      <c r="A4564" s="3">
        <v>4563</v>
      </c>
      <c r="B4564" s="3" t="s">
        <v>10368</v>
      </c>
      <c r="C4564" s="3" t="s">
        <v>2163</v>
      </c>
      <c r="D4564" s="4" t="s">
        <v>10369</v>
      </c>
      <c r="E4564" s="3" t="s">
        <v>1076</v>
      </c>
      <c r="F4564" s="3" t="s">
        <v>2041</v>
      </c>
      <c r="G4564" s="3" t="s">
        <v>321</v>
      </c>
      <c r="H4564" s="4" t="s">
        <v>3354</v>
      </c>
    </row>
    <row r="4565" ht="16.5" customHeight="1" spans="1:8">
      <c r="A4565" s="3">
        <v>4564</v>
      </c>
      <c r="B4565" s="3" t="s">
        <v>10370</v>
      </c>
      <c r="C4565" s="3" t="s">
        <v>1361</v>
      </c>
      <c r="D4565" s="4" t="s">
        <v>10371</v>
      </c>
      <c r="E4565" s="3" t="s">
        <v>1218</v>
      </c>
      <c r="F4565" s="3" t="s">
        <v>2105</v>
      </c>
      <c r="G4565" s="3"/>
      <c r="H4565" s="4"/>
    </row>
    <row r="4566" ht="16.5" customHeight="1" spans="1:8">
      <c r="A4566" s="3">
        <v>4565</v>
      </c>
      <c r="B4566" s="3" t="s">
        <v>10372</v>
      </c>
      <c r="C4566" s="3" t="s">
        <v>1361</v>
      </c>
      <c r="D4566" s="4" t="s">
        <v>10373</v>
      </c>
      <c r="E4566" s="3" t="s">
        <v>1218</v>
      </c>
      <c r="F4566" s="3" t="s">
        <v>2105</v>
      </c>
      <c r="G4566" s="3"/>
      <c r="H4566" s="4"/>
    </row>
    <row r="4567" ht="16.5" customHeight="1" spans="1:8">
      <c r="A4567" s="3">
        <v>4566</v>
      </c>
      <c r="B4567" s="3" t="s">
        <v>10374</v>
      </c>
      <c r="C4567" s="3" t="s">
        <v>1361</v>
      </c>
      <c r="D4567" s="4" t="s">
        <v>10375</v>
      </c>
      <c r="E4567" s="3" t="s">
        <v>1218</v>
      </c>
      <c r="F4567" s="3" t="s">
        <v>2105</v>
      </c>
      <c r="G4567" s="3"/>
      <c r="H4567" s="4"/>
    </row>
    <row r="4568" ht="16.5" customHeight="1" spans="1:8">
      <c r="A4568" s="3">
        <v>4567</v>
      </c>
      <c r="B4568" s="3" t="s">
        <v>10376</v>
      </c>
      <c r="C4568" s="3" t="s">
        <v>1361</v>
      </c>
      <c r="D4568" s="4" t="s">
        <v>10377</v>
      </c>
      <c r="E4568" s="3" t="s">
        <v>1218</v>
      </c>
      <c r="F4568" s="3" t="s">
        <v>2105</v>
      </c>
      <c r="G4568" s="3"/>
      <c r="H4568" s="4"/>
    </row>
    <row r="4569" ht="16.5" customHeight="1" spans="1:8">
      <c r="A4569" s="3">
        <v>4568</v>
      </c>
      <c r="B4569" s="3" t="s">
        <v>10378</v>
      </c>
      <c r="C4569" s="3" t="s">
        <v>1361</v>
      </c>
      <c r="D4569" s="4" t="s">
        <v>10379</v>
      </c>
      <c r="E4569" s="3" t="s">
        <v>1218</v>
      </c>
      <c r="F4569" s="3" t="s">
        <v>2105</v>
      </c>
      <c r="G4569" s="3"/>
      <c r="H4569" s="4"/>
    </row>
    <row r="4570" ht="16.5" customHeight="1" spans="1:8">
      <c r="A4570" s="3">
        <v>4569</v>
      </c>
      <c r="B4570" s="3" t="s">
        <v>10380</v>
      </c>
      <c r="C4570" s="3" t="s">
        <v>1361</v>
      </c>
      <c r="D4570" s="4" t="s">
        <v>10381</v>
      </c>
      <c r="E4570" s="3" t="s">
        <v>1218</v>
      </c>
      <c r="F4570" s="3" t="s">
        <v>2105</v>
      </c>
      <c r="G4570" s="3"/>
      <c r="H4570" s="4"/>
    </row>
    <row r="4571" ht="16.5" customHeight="1" spans="1:8">
      <c r="A4571" s="3">
        <v>4570</v>
      </c>
      <c r="B4571" s="3" t="s">
        <v>10382</v>
      </c>
      <c r="C4571" s="3" t="s">
        <v>1361</v>
      </c>
      <c r="D4571" s="4" t="s">
        <v>10383</v>
      </c>
      <c r="E4571" s="3" t="s">
        <v>1218</v>
      </c>
      <c r="F4571" s="3" t="s">
        <v>2105</v>
      </c>
      <c r="G4571" s="3"/>
      <c r="H4571" s="4"/>
    </row>
    <row r="4572" ht="16.5" customHeight="1" spans="1:8">
      <c r="A4572" s="3">
        <v>4571</v>
      </c>
      <c r="B4572" s="3" t="s">
        <v>10384</v>
      </c>
      <c r="C4572" s="3" t="s">
        <v>1361</v>
      </c>
      <c r="D4572" s="4" t="s">
        <v>10385</v>
      </c>
      <c r="E4572" s="3" t="s">
        <v>1218</v>
      </c>
      <c r="F4572" s="3" t="s">
        <v>2105</v>
      </c>
      <c r="G4572" s="3"/>
      <c r="H4572" s="4"/>
    </row>
    <row r="4573" ht="16.5" customHeight="1" spans="1:8">
      <c r="A4573" s="3">
        <v>4572</v>
      </c>
      <c r="B4573" s="3" t="s">
        <v>10386</v>
      </c>
      <c r="C4573" s="3" t="s">
        <v>1361</v>
      </c>
      <c r="D4573" s="4" t="s">
        <v>10387</v>
      </c>
      <c r="E4573" s="3" t="s">
        <v>1218</v>
      </c>
      <c r="F4573" s="3" t="s">
        <v>2105</v>
      </c>
      <c r="G4573" s="3"/>
      <c r="H4573" s="4"/>
    </row>
    <row r="4574" ht="16.5" customHeight="1" spans="1:8">
      <c r="A4574" s="3">
        <v>4573</v>
      </c>
      <c r="B4574" s="3" t="s">
        <v>10388</v>
      </c>
      <c r="C4574" s="3" t="s">
        <v>1361</v>
      </c>
      <c r="D4574" s="4" t="s">
        <v>10389</v>
      </c>
      <c r="E4574" s="3" t="s">
        <v>1218</v>
      </c>
      <c r="F4574" s="3" t="s">
        <v>2105</v>
      </c>
      <c r="G4574" s="3"/>
      <c r="H4574" s="4"/>
    </row>
    <row r="4575" ht="16.5" customHeight="1" spans="1:8">
      <c r="A4575" s="3">
        <v>4574</v>
      </c>
      <c r="B4575" s="3" t="s">
        <v>10390</v>
      </c>
      <c r="C4575" s="3" t="s">
        <v>1361</v>
      </c>
      <c r="D4575" s="4" t="s">
        <v>10391</v>
      </c>
      <c r="E4575" s="3" t="s">
        <v>1218</v>
      </c>
      <c r="F4575" s="3" t="s">
        <v>2105</v>
      </c>
      <c r="G4575" s="3"/>
      <c r="H4575" s="4"/>
    </row>
    <row r="4576" ht="16.5" customHeight="1" spans="1:8">
      <c r="A4576" s="3">
        <v>4575</v>
      </c>
      <c r="B4576" s="3" t="s">
        <v>10392</v>
      </c>
      <c r="C4576" s="3" t="s">
        <v>1361</v>
      </c>
      <c r="D4576" s="4" t="s">
        <v>10393</v>
      </c>
      <c r="E4576" s="3" t="s">
        <v>1218</v>
      </c>
      <c r="F4576" s="3" t="s">
        <v>2105</v>
      </c>
      <c r="G4576" s="3"/>
      <c r="H4576" s="4"/>
    </row>
    <row r="4577" ht="16.5" customHeight="1" spans="1:8">
      <c r="A4577" s="3">
        <v>4576</v>
      </c>
      <c r="B4577" s="3" t="s">
        <v>10394</v>
      </c>
      <c r="C4577" s="3" t="s">
        <v>1361</v>
      </c>
      <c r="D4577" s="4" t="s">
        <v>10395</v>
      </c>
      <c r="E4577" s="3" t="s">
        <v>1218</v>
      </c>
      <c r="F4577" s="3" t="s">
        <v>2105</v>
      </c>
      <c r="G4577" s="3"/>
      <c r="H4577" s="4"/>
    </row>
    <row r="4578" ht="16.5" customHeight="1" spans="1:8">
      <c r="A4578" s="3">
        <v>4577</v>
      </c>
      <c r="B4578" s="3" t="s">
        <v>10396</v>
      </c>
      <c r="C4578" s="3" t="s">
        <v>1361</v>
      </c>
      <c r="D4578" s="4" t="s">
        <v>10397</v>
      </c>
      <c r="E4578" s="3" t="s">
        <v>1218</v>
      </c>
      <c r="F4578" s="3" t="s">
        <v>2105</v>
      </c>
      <c r="G4578" s="3"/>
      <c r="H4578" s="4"/>
    </row>
    <row r="4579" ht="16.5" customHeight="1" spans="1:8">
      <c r="A4579" s="3">
        <v>4578</v>
      </c>
      <c r="B4579" s="3" t="s">
        <v>10398</v>
      </c>
      <c r="C4579" s="3" t="s">
        <v>1361</v>
      </c>
      <c r="D4579" s="4" t="s">
        <v>10399</v>
      </c>
      <c r="E4579" s="3" t="s">
        <v>1218</v>
      </c>
      <c r="F4579" s="3" t="s">
        <v>2105</v>
      </c>
      <c r="G4579" s="3"/>
      <c r="H4579" s="4"/>
    </row>
    <row r="4580" ht="16.5" customHeight="1" spans="1:8">
      <c r="A4580" s="3">
        <v>4579</v>
      </c>
      <c r="B4580" s="3" t="s">
        <v>10400</v>
      </c>
      <c r="C4580" s="3" t="s">
        <v>1361</v>
      </c>
      <c r="D4580" s="4" t="s">
        <v>10401</v>
      </c>
      <c r="E4580" s="3" t="s">
        <v>1218</v>
      </c>
      <c r="F4580" s="3" t="s">
        <v>2105</v>
      </c>
      <c r="G4580" s="3"/>
      <c r="H4580" s="4"/>
    </row>
    <row r="4581" ht="16.5" customHeight="1" spans="1:8">
      <c r="A4581" s="3">
        <v>4580</v>
      </c>
      <c r="B4581" s="3" t="s">
        <v>10402</v>
      </c>
      <c r="C4581" s="3" t="s">
        <v>1361</v>
      </c>
      <c r="D4581" s="4" t="s">
        <v>10403</v>
      </c>
      <c r="E4581" s="3" t="s">
        <v>1218</v>
      </c>
      <c r="F4581" s="3" t="s">
        <v>2105</v>
      </c>
      <c r="G4581" s="3"/>
      <c r="H4581" s="4"/>
    </row>
    <row r="4582" ht="16.5" customHeight="1" spans="1:8">
      <c r="A4582" s="3">
        <v>4581</v>
      </c>
      <c r="B4582" s="3" t="s">
        <v>10404</v>
      </c>
      <c r="C4582" s="3" t="s">
        <v>1361</v>
      </c>
      <c r="D4582" s="4" t="s">
        <v>10405</v>
      </c>
      <c r="E4582" s="3" t="s">
        <v>1218</v>
      </c>
      <c r="F4582" s="3" t="s">
        <v>2105</v>
      </c>
      <c r="G4582" s="3"/>
      <c r="H4582" s="4"/>
    </row>
    <row r="4583" ht="16.5" customHeight="1" spans="1:8">
      <c r="A4583" s="3">
        <v>4582</v>
      </c>
      <c r="B4583" s="3" t="s">
        <v>10406</v>
      </c>
      <c r="C4583" s="3" t="s">
        <v>1361</v>
      </c>
      <c r="D4583" s="4" t="s">
        <v>10407</v>
      </c>
      <c r="E4583" s="3" t="s">
        <v>1218</v>
      </c>
      <c r="F4583" s="3" t="s">
        <v>2105</v>
      </c>
      <c r="G4583" s="3"/>
      <c r="H4583" s="4"/>
    </row>
    <row r="4584" ht="16.5" customHeight="1" spans="1:8">
      <c r="A4584" s="3">
        <v>4583</v>
      </c>
      <c r="B4584" s="3" t="s">
        <v>10408</v>
      </c>
      <c r="C4584" s="3" t="s">
        <v>1361</v>
      </c>
      <c r="D4584" s="4" t="s">
        <v>10409</v>
      </c>
      <c r="E4584" s="3" t="s">
        <v>1218</v>
      </c>
      <c r="F4584" s="3" t="s">
        <v>2105</v>
      </c>
      <c r="G4584" s="3"/>
      <c r="H4584" s="4"/>
    </row>
    <row r="4585" ht="16.5" customHeight="1" spans="1:8">
      <c r="A4585" s="3">
        <v>4584</v>
      </c>
      <c r="B4585" s="3" t="s">
        <v>10410</v>
      </c>
      <c r="C4585" s="3" t="s">
        <v>1361</v>
      </c>
      <c r="D4585" s="4" t="s">
        <v>10411</v>
      </c>
      <c r="E4585" s="3" t="s">
        <v>1218</v>
      </c>
      <c r="F4585" s="3" t="s">
        <v>2105</v>
      </c>
      <c r="G4585" s="3"/>
      <c r="H4585" s="4"/>
    </row>
    <row r="4586" ht="16.5" customHeight="1" spans="1:8">
      <c r="A4586" s="3">
        <v>4585</v>
      </c>
      <c r="B4586" s="3" t="s">
        <v>10412</v>
      </c>
      <c r="C4586" s="3" t="s">
        <v>1361</v>
      </c>
      <c r="D4586" s="4" t="s">
        <v>10413</v>
      </c>
      <c r="E4586" s="3" t="s">
        <v>1218</v>
      </c>
      <c r="F4586" s="3" t="s">
        <v>2105</v>
      </c>
      <c r="G4586" s="3"/>
      <c r="H4586" s="4"/>
    </row>
    <row r="4587" ht="16.5" customHeight="1" spans="1:8">
      <c r="A4587" s="3">
        <v>4586</v>
      </c>
      <c r="B4587" s="3" t="s">
        <v>10414</v>
      </c>
      <c r="C4587" s="3" t="s">
        <v>1361</v>
      </c>
      <c r="D4587" s="4" t="s">
        <v>10415</v>
      </c>
      <c r="E4587" s="3" t="s">
        <v>1218</v>
      </c>
      <c r="F4587" s="3" t="s">
        <v>2105</v>
      </c>
      <c r="G4587" s="3"/>
      <c r="H4587" s="4"/>
    </row>
    <row r="4588" ht="16.5" customHeight="1" spans="1:8">
      <c r="A4588" s="3">
        <v>4587</v>
      </c>
      <c r="B4588" s="3" t="s">
        <v>10416</v>
      </c>
      <c r="C4588" s="3" t="s">
        <v>1361</v>
      </c>
      <c r="D4588" s="4" t="s">
        <v>10417</v>
      </c>
      <c r="E4588" s="3" t="s">
        <v>1218</v>
      </c>
      <c r="F4588" s="3" t="s">
        <v>2105</v>
      </c>
      <c r="G4588" s="3"/>
      <c r="H4588" s="4"/>
    </row>
    <row r="4589" ht="16.5" customHeight="1" spans="1:8">
      <c r="A4589" s="3">
        <v>4588</v>
      </c>
      <c r="B4589" s="3" t="s">
        <v>10418</v>
      </c>
      <c r="C4589" s="3" t="s">
        <v>1361</v>
      </c>
      <c r="D4589" s="4" t="s">
        <v>10419</v>
      </c>
      <c r="E4589" s="3" t="s">
        <v>1218</v>
      </c>
      <c r="F4589" s="3" t="s">
        <v>2105</v>
      </c>
      <c r="G4589" s="3"/>
      <c r="H4589" s="4"/>
    </row>
    <row r="4590" ht="16.5" customHeight="1" spans="1:8">
      <c r="A4590" s="3">
        <v>4589</v>
      </c>
      <c r="B4590" s="3" t="s">
        <v>10420</v>
      </c>
      <c r="C4590" s="3" t="s">
        <v>1361</v>
      </c>
      <c r="D4590" s="4" t="s">
        <v>10421</v>
      </c>
      <c r="E4590" s="3" t="s">
        <v>1218</v>
      </c>
      <c r="F4590" s="3" t="s">
        <v>2105</v>
      </c>
      <c r="G4590" s="3"/>
      <c r="H4590" s="4"/>
    </row>
    <row r="4591" ht="16.5" customHeight="1" spans="1:8">
      <c r="A4591" s="3">
        <v>4590</v>
      </c>
      <c r="B4591" s="3" t="s">
        <v>10422</v>
      </c>
      <c r="C4591" s="3" t="s">
        <v>1361</v>
      </c>
      <c r="D4591" s="4" t="s">
        <v>10423</v>
      </c>
      <c r="E4591" s="3" t="s">
        <v>1218</v>
      </c>
      <c r="F4591" s="3" t="s">
        <v>2105</v>
      </c>
      <c r="G4591" s="3"/>
      <c r="H4591" s="4"/>
    </row>
    <row r="4592" ht="16.5" customHeight="1" spans="1:8">
      <c r="A4592" s="3">
        <v>4591</v>
      </c>
      <c r="B4592" s="3" t="s">
        <v>10424</v>
      </c>
      <c r="C4592" s="3" t="s">
        <v>1361</v>
      </c>
      <c r="D4592" s="4" t="s">
        <v>10425</v>
      </c>
      <c r="E4592" s="3" t="s">
        <v>1218</v>
      </c>
      <c r="F4592" s="3" t="s">
        <v>2105</v>
      </c>
      <c r="G4592" s="3"/>
      <c r="H4592" s="4"/>
    </row>
    <row r="4593" ht="16.5" customHeight="1" spans="1:8">
      <c r="A4593" s="3">
        <v>4592</v>
      </c>
      <c r="B4593" s="3" t="s">
        <v>10426</v>
      </c>
      <c r="C4593" s="3" t="s">
        <v>1361</v>
      </c>
      <c r="D4593" s="4" t="s">
        <v>10427</v>
      </c>
      <c r="E4593" s="3" t="s">
        <v>1218</v>
      </c>
      <c r="F4593" s="3" t="s">
        <v>2105</v>
      </c>
      <c r="G4593" s="3"/>
      <c r="H4593" s="4"/>
    </row>
    <row r="4594" ht="16.5" customHeight="1" spans="1:8">
      <c r="A4594" s="3">
        <v>4593</v>
      </c>
      <c r="B4594" s="3" t="s">
        <v>10428</v>
      </c>
      <c r="C4594" s="3" t="s">
        <v>1361</v>
      </c>
      <c r="D4594" s="4" t="s">
        <v>10429</v>
      </c>
      <c r="E4594" s="3" t="s">
        <v>1218</v>
      </c>
      <c r="F4594" s="3" t="s">
        <v>2105</v>
      </c>
      <c r="G4594" s="3"/>
      <c r="H4594" s="4"/>
    </row>
    <row r="4595" ht="16.5" customHeight="1" spans="1:8">
      <c r="A4595" s="3">
        <v>4594</v>
      </c>
      <c r="B4595" s="3" t="s">
        <v>10430</v>
      </c>
      <c r="C4595" s="3" t="s">
        <v>1361</v>
      </c>
      <c r="D4595" s="4" t="s">
        <v>10431</v>
      </c>
      <c r="E4595" s="3" t="s">
        <v>1218</v>
      </c>
      <c r="F4595" s="3" t="s">
        <v>2105</v>
      </c>
      <c r="G4595" s="3"/>
      <c r="H4595" s="4"/>
    </row>
    <row r="4596" ht="16.5" customHeight="1" spans="1:8">
      <c r="A4596" s="3">
        <v>4595</v>
      </c>
      <c r="B4596" s="3" t="s">
        <v>10432</v>
      </c>
      <c r="C4596" s="3" t="s">
        <v>1361</v>
      </c>
      <c r="D4596" s="4" t="s">
        <v>10433</v>
      </c>
      <c r="E4596" s="3" t="s">
        <v>1218</v>
      </c>
      <c r="F4596" s="3" t="s">
        <v>2105</v>
      </c>
      <c r="G4596" s="3"/>
      <c r="H4596" s="4"/>
    </row>
    <row r="4597" ht="16.5" customHeight="1" spans="1:8">
      <c r="A4597" s="3">
        <v>4596</v>
      </c>
      <c r="B4597" s="3" t="s">
        <v>10434</v>
      </c>
      <c r="C4597" s="3" t="s">
        <v>1361</v>
      </c>
      <c r="D4597" s="4" t="s">
        <v>10435</v>
      </c>
      <c r="E4597" s="3" t="s">
        <v>1218</v>
      </c>
      <c r="F4597" s="3" t="s">
        <v>2105</v>
      </c>
      <c r="G4597" s="3"/>
      <c r="H4597" s="4"/>
    </row>
    <row r="4598" ht="16.5" customHeight="1" spans="1:8">
      <c r="A4598" s="3">
        <v>4597</v>
      </c>
      <c r="B4598" s="3" t="s">
        <v>10436</v>
      </c>
      <c r="C4598" s="3" t="s">
        <v>1361</v>
      </c>
      <c r="D4598" s="4" t="s">
        <v>10437</v>
      </c>
      <c r="E4598" s="3" t="s">
        <v>1218</v>
      </c>
      <c r="F4598" s="3" t="s">
        <v>2105</v>
      </c>
      <c r="G4598" s="3"/>
      <c r="H4598" s="4"/>
    </row>
    <row r="4599" ht="16.5" customHeight="1" spans="1:8">
      <c r="A4599" s="3">
        <v>4598</v>
      </c>
      <c r="B4599" s="3" t="s">
        <v>10438</v>
      </c>
      <c r="C4599" s="3" t="s">
        <v>1361</v>
      </c>
      <c r="D4599" s="4" t="s">
        <v>10439</v>
      </c>
      <c r="E4599" s="3" t="s">
        <v>1218</v>
      </c>
      <c r="F4599" s="3" t="s">
        <v>2105</v>
      </c>
      <c r="G4599" s="3"/>
      <c r="H4599" s="4"/>
    </row>
    <row r="4600" ht="16.5" customHeight="1" spans="1:8">
      <c r="A4600" s="3">
        <v>4599</v>
      </c>
      <c r="B4600" s="3" t="s">
        <v>10440</v>
      </c>
      <c r="C4600" s="3" t="s">
        <v>1361</v>
      </c>
      <c r="D4600" s="4" t="s">
        <v>10441</v>
      </c>
      <c r="E4600" s="3" t="s">
        <v>1218</v>
      </c>
      <c r="F4600" s="3" t="s">
        <v>2105</v>
      </c>
      <c r="G4600" s="3"/>
      <c r="H4600" s="4"/>
    </row>
    <row r="4601" ht="16.5" customHeight="1" spans="1:8">
      <c r="A4601" s="3">
        <v>4600</v>
      </c>
      <c r="B4601" s="3" t="s">
        <v>10442</v>
      </c>
      <c r="C4601" s="3" t="s">
        <v>1361</v>
      </c>
      <c r="D4601" s="4" t="s">
        <v>10443</v>
      </c>
      <c r="E4601" s="3" t="s">
        <v>1218</v>
      </c>
      <c r="F4601" s="3" t="s">
        <v>2105</v>
      </c>
      <c r="G4601" s="3"/>
      <c r="H4601" s="4"/>
    </row>
    <row r="4602" ht="16.5" customHeight="1" spans="1:8">
      <c r="A4602" s="3">
        <v>4601</v>
      </c>
      <c r="B4602" s="3" t="s">
        <v>10444</v>
      </c>
      <c r="C4602" s="3" t="s">
        <v>1361</v>
      </c>
      <c r="D4602" s="4" t="s">
        <v>10445</v>
      </c>
      <c r="E4602" s="3" t="s">
        <v>1218</v>
      </c>
      <c r="F4602" s="3" t="s">
        <v>2105</v>
      </c>
      <c r="G4602" s="3"/>
      <c r="H4602" s="4"/>
    </row>
    <row r="4603" ht="16.5" customHeight="1" spans="1:8">
      <c r="A4603" s="3">
        <v>4602</v>
      </c>
      <c r="B4603" s="3" t="s">
        <v>10446</v>
      </c>
      <c r="C4603" s="3" t="s">
        <v>1361</v>
      </c>
      <c r="D4603" s="4" t="s">
        <v>10447</v>
      </c>
      <c r="E4603" s="3" t="s">
        <v>1218</v>
      </c>
      <c r="F4603" s="3" t="s">
        <v>2105</v>
      </c>
      <c r="G4603" s="3"/>
      <c r="H4603" s="4"/>
    </row>
    <row r="4604" ht="16.5" customHeight="1" spans="1:8">
      <c r="A4604" s="3">
        <v>4603</v>
      </c>
      <c r="B4604" s="3" t="s">
        <v>10448</v>
      </c>
      <c r="C4604" s="3" t="s">
        <v>1361</v>
      </c>
      <c r="D4604" s="4" t="s">
        <v>10449</v>
      </c>
      <c r="E4604" s="3" t="s">
        <v>1218</v>
      </c>
      <c r="F4604" s="3" t="s">
        <v>2105</v>
      </c>
      <c r="G4604" s="3"/>
      <c r="H4604" s="4"/>
    </row>
    <row r="4605" ht="16.5" customHeight="1" spans="1:8">
      <c r="A4605" s="3">
        <v>4604</v>
      </c>
      <c r="B4605" s="3" t="s">
        <v>10450</v>
      </c>
      <c r="C4605" s="3" t="s">
        <v>1361</v>
      </c>
      <c r="D4605" s="4" t="s">
        <v>10451</v>
      </c>
      <c r="E4605" s="3" t="s">
        <v>1218</v>
      </c>
      <c r="F4605" s="3" t="s">
        <v>2105</v>
      </c>
      <c r="G4605" s="3"/>
      <c r="H4605" s="4"/>
    </row>
    <row r="4606" ht="16.5" customHeight="1" spans="1:8">
      <c r="A4606" s="3">
        <v>4605</v>
      </c>
      <c r="B4606" s="3" t="s">
        <v>10452</v>
      </c>
      <c r="C4606" s="3" t="s">
        <v>1361</v>
      </c>
      <c r="D4606" s="4" t="s">
        <v>10453</v>
      </c>
      <c r="E4606" s="3" t="s">
        <v>1218</v>
      </c>
      <c r="F4606" s="3" t="s">
        <v>2105</v>
      </c>
      <c r="G4606" s="3"/>
      <c r="H4606" s="4"/>
    </row>
    <row r="4607" ht="16.5" customHeight="1" spans="1:8">
      <c r="A4607" s="3">
        <v>4606</v>
      </c>
      <c r="B4607" s="3" t="s">
        <v>10454</v>
      </c>
      <c r="C4607" s="3" t="s">
        <v>1361</v>
      </c>
      <c r="D4607" s="4" t="s">
        <v>10455</v>
      </c>
      <c r="E4607" s="3" t="s">
        <v>1218</v>
      </c>
      <c r="F4607" s="3" t="s">
        <v>2105</v>
      </c>
      <c r="G4607" s="3"/>
      <c r="H4607" s="4"/>
    </row>
    <row r="4608" ht="16.5" customHeight="1" spans="1:8">
      <c r="A4608" s="3">
        <v>4607</v>
      </c>
      <c r="B4608" s="3" t="s">
        <v>10456</v>
      </c>
      <c r="C4608" s="3" t="s">
        <v>1361</v>
      </c>
      <c r="D4608" s="4" t="s">
        <v>10457</v>
      </c>
      <c r="E4608" s="3" t="s">
        <v>1218</v>
      </c>
      <c r="F4608" s="3" t="s">
        <v>2105</v>
      </c>
      <c r="G4608" s="3"/>
      <c r="H4608" s="4"/>
    </row>
    <row r="4609" ht="16.5" customHeight="1" spans="1:8">
      <c r="A4609" s="3">
        <v>4608</v>
      </c>
      <c r="B4609" s="3" t="s">
        <v>10458</v>
      </c>
      <c r="C4609" s="3" t="s">
        <v>1361</v>
      </c>
      <c r="D4609" s="4" t="s">
        <v>10459</v>
      </c>
      <c r="E4609" s="3" t="s">
        <v>1218</v>
      </c>
      <c r="F4609" s="3" t="s">
        <v>2105</v>
      </c>
      <c r="G4609" s="3"/>
      <c r="H4609" s="4"/>
    </row>
    <row r="4610" ht="16.5" customHeight="1" spans="1:8">
      <c r="A4610" s="3">
        <v>4609</v>
      </c>
      <c r="B4610" s="3" t="s">
        <v>10460</v>
      </c>
      <c r="C4610" s="3" t="s">
        <v>1361</v>
      </c>
      <c r="D4610" s="4" t="s">
        <v>10461</v>
      </c>
      <c r="E4610" s="3" t="s">
        <v>1218</v>
      </c>
      <c r="F4610" s="3" t="s">
        <v>2105</v>
      </c>
      <c r="G4610" s="3"/>
      <c r="H4610" s="4"/>
    </row>
    <row r="4611" ht="16.5" customHeight="1" spans="1:8">
      <c r="A4611" s="3">
        <v>4610</v>
      </c>
      <c r="B4611" s="3" t="s">
        <v>10462</v>
      </c>
      <c r="C4611" s="3" t="s">
        <v>1361</v>
      </c>
      <c r="D4611" s="4" t="s">
        <v>10463</v>
      </c>
      <c r="E4611" s="3" t="s">
        <v>1218</v>
      </c>
      <c r="F4611" s="3" t="s">
        <v>2105</v>
      </c>
      <c r="G4611" s="3"/>
      <c r="H4611" s="4"/>
    </row>
    <row r="4612" ht="16.5" customHeight="1" spans="1:8">
      <c r="A4612" s="3">
        <v>4611</v>
      </c>
      <c r="B4612" s="3" t="s">
        <v>10464</v>
      </c>
      <c r="C4612" s="3" t="s">
        <v>1361</v>
      </c>
      <c r="D4612" s="4" t="s">
        <v>10465</v>
      </c>
      <c r="E4612" s="3" t="s">
        <v>1218</v>
      </c>
      <c r="F4612" s="3" t="s">
        <v>2105</v>
      </c>
      <c r="G4612" s="3"/>
      <c r="H4612" s="4"/>
    </row>
    <row r="4613" ht="16.5" customHeight="1" spans="1:8">
      <c r="A4613" s="3">
        <v>4612</v>
      </c>
      <c r="B4613" s="3" t="s">
        <v>10466</v>
      </c>
      <c r="C4613" s="3" t="s">
        <v>1361</v>
      </c>
      <c r="D4613" s="4" t="s">
        <v>10467</v>
      </c>
      <c r="E4613" s="3" t="s">
        <v>1218</v>
      </c>
      <c r="F4613" s="3" t="s">
        <v>2105</v>
      </c>
      <c r="G4613" s="3"/>
      <c r="H4613" s="4"/>
    </row>
    <row r="4614" ht="16.5" customHeight="1" spans="1:8">
      <c r="A4614" s="3">
        <v>4613</v>
      </c>
      <c r="B4614" s="3" t="s">
        <v>10468</v>
      </c>
      <c r="C4614" s="3" t="s">
        <v>1361</v>
      </c>
      <c r="D4614" s="4" t="s">
        <v>10469</v>
      </c>
      <c r="E4614" s="3" t="s">
        <v>1218</v>
      </c>
      <c r="F4614" s="3" t="s">
        <v>2105</v>
      </c>
      <c r="G4614" s="3"/>
      <c r="H4614" s="4"/>
    </row>
    <row r="4615" ht="16.5" customHeight="1" spans="1:8">
      <c r="A4615" s="3">
        <v>4614</v>
      </c>
      <c r="B4615" s="3" t="s">
        <v>10470</v>
      </c>
      <c r="C4615" s="3" t="s">
        <v>1361</v>
      </c>
      <c r="D4615" s="4" t="s">
        <v>10471</v>
      </c>
      <c r="E4615" s="3" t="s">
        <v>1218</v>
      </c>
      <c r="F4615" s="3" t="s">
        <v>2105</v>
      </c>
      <c r="G4615" s="3"/>
      <c r="H4615" s="4"/>
    </row>
    <row r="4616" ht="16.5" customHeight="1" spans="1:8">
      <c r="A4616" s="3">
        <v>4615</v>
      </c>
      <c r="B4616" s="3" t="s">
        <v>10472</v>
      </c>
      <c r="C4616" s="3" t="s">
        <v>1361</v>
      </c>
      <c r="D4616" s="4" t="s">
        <v>10473</v>
      </c>
      <c r="E4616" s="3" t="s">
        <v>1218</v>
      </c>
      <c r="F4616" s="3" t="s">
        <v>2105</v>
      </c>
      <c r="G4616" s="3"/>
      <c r="H4616" s="4"/>
    </row>
    <row r="4617" ht="16.5" customHeight="1" spans="1:8">
      <c r="A4617" s="3">
        <v>4616</v>
      </c>
      <c r="B4617" s="3" t="s">
        <v>10474</v>
      </c>
      <c r="C4617" s="3" t="s">
        <v>1361</v>
      </c>
      <c r="D4617" s="4" t="s">
        <v>10475</v>
      </c>
      <c r="E4617" s="3" t="s">
        <v>1218</v>
      </c>
      <c r="F4617" s="3" t="s">
        <v>2105</v>
      </c>
      <c r="G4617" s="3"/>
      <c r="H4617" s="4"/>
    </row>
    <row r="4618" ht="16.5" customHeight="1" spans="1:8">
      <c r="A4618" s="3">
        <v>4617</v>
      </c>
      <c r="B4618" s="3" t="s">
        <v>10476</v>
      </c>
      <c r="C4618" s="3" t="s">
        <v>1361</v>
      </c>
      <c r="D4618" s="4" t="s">
        <v>10477</v>
      </c>
      <c r="E4618" s="3" t="s">
        <v>1218</v>
      </c>
      <c r="F4618" s="3" t="s">
        <v>2105</v>
      </c>
      <c r="G4618" s="3"/>
      <c r="H4618" s="4"/>
    </row>
    <row r="4619" ht="16.5" customHeight="1" spans="1:8">
      <c r="A4619" s="3">
        <v>4618</v>
      </c>
      <c r="B4619" s="3" t="s">
        <v>10478</v>
      </c>
      <c r="C4619" s="3" t="s">
        <v>1361</v>
      </c>
      <c r="D4619" s="4" t="s">
        <v>10479</v>
      </c>
      <c r="E4619" s="3" t="s">
        <v>1218</v>
      </c>
      <c r="F4619" s="3" t="s">
        <v>2105</v>
      </c>
      <c r="G4619" s="3"/>
      <c r="H4619" s="4"/>
    </row>
    <row r="4620" ht="16.5" customHeight="1" spans="1:8">
      <c r="A4620" s="3">
        <v>4619</v>
      </c>
      <c r="B4620" s="3" t="s">
        <v>10480</v>
      </c>
      <c r="C4620" s="3" t="s">
        <v>1361</v>
      </c>
      <c r="D4620" s="4" t="s">
        <v>10481</v>
      </c>
      <c r="E4620" s="3" t="s">
        <v>1218</v>
      </c>
      <c r="F4620" s="3" t="s">
        <v>2105</v>
      </c>
      <c r="G4620" s="3"/>
      <c r="H4620" s="4"/>
    </row>
    <row r="4621" ht="16.5" customHeight="1" spans="1:8">
      <c r="A4621" s="3">
        <v>4620</v>
      </c>
      <c r="B4621" s="3" t="s">
        <v>10482</v>
      </c>
      <c r="C4621" s="3" t="s">
        <v>1361</v>
      </c>
      <c r="D4621" s="4" t="s">
        <v>10483</v>
      </c>
      <c r="E4621" s="3" t="s">
        <v>1218</v>
      </c>
      <c r="F4621" s="3" t="s">
        <v>2105</v>
      </c>
      <c r="G4621" s="3"/>
      <c r="H4621" s="4"/>
    </row>
    <row r="4622" ht="16.5" customHeight="1" spans="1:8">
      <c r="A4622" s="3">
        <v>4621</v>
      </c>
      <c r="B4622" s="3" t="s">
        <v>10484</v>
      </c>
      <c r="C4622" s="3" t="s">
        <v>1361</v>
      </c>
      <c r="D4622" s="4" t="s">
        <v>10485</v>
      </c>
      <c r="E4622" s="3" t="s">
        <v>1218</v>
      </c>
      <c r="F4622" s="3" t="s">
        <v>2105</v>
      </c>
      <c r="G4622" s="3"/>
      <c r="H4622" s="4"/>
    </row>
    <row r="4623" ht="16.5" customHeight="1" spans="1:8">
      <c r="A4623" s="3">
        <v>4622</v>
      </c>
      <c r="B4623" s="3" t="s">
        <v>10486</v>
      </c>
      <c r="C4623" s="3" t="s">
        <v>1361</v>
      </c>
      <c r="D4623" s="4" t="s">
        <v>10487</v>
      </c>
      <c r="E4623" s="3" t="s">
        <v>1218</v>
      </c>
      <c r="F4623" s="3" t="s">
        <v>2105</v>
      </c>
      <c r="G4623" s="3"/>
      <c r="H4623" s="4"/>
    </row>
    <row r="4624" ht="16.5" customHeight="1" spans="1:8">
      <c r="A4624" s="3">
        <v>4623</v>
      </c>
      <c r="B4624" s="3" t="s">
        <v>10488</v>
      </c>
      <c r="C4624" s="3" t="s">
        <v>1361</v>
      </c>
      <c r="D4624" s="4" t="s">
        <v>10489</v>
      </c>
      <c r="E4624" s="3" t="s">
        <v>1218</v>
      </c>
      <c r="F4624" s="3" t="s">
        <v>2105</v>
      </c>
      <c r="G4624" s="3"/>
      <c r="H4624" s="4"/>
    </row>
    <row r="4625" ht="16.5" customHeight="1" spans="1:8">
      <c r="A4625" s="3">
        <v>4624</v>
      </c>
      <c r="B4625" s="3" t="s">
        <v>10490</v>
      </c>
      <c r="C4625" s="3" t="s">
        <v>1361</v>
      </c>
      <c r="D4625" s="4" t="s">
        <v>10491</v>
      </c>
      <c r="E4625" s="3" t="s">
        <v>1218</v>
      </c>
      <c r="F4625" s="3" t="s">
        <v>2105</v>
      </c>
      <c r="G4625" s="3"/>
      <c r="H4625" s="4"/>
    </row>
    <row r="4626" ht="16.5" customHeight="1" spans="1:8">
      <c r="A4626" s="3">
        <v>4625</v>
      </c>
      <c r="B4626" s="3" t="s">
        <v>10492</v>
      </c>
      <c r="C4626" s="3" t="s">
        <v>1361</v>
      </c>
      <c r="D4626" s="4" t="s">
        <v>10493</v>
      </c>
      <c r="E4626" s="3" t="s">
        <v>1218</v>
      </c>
      <c r="F4626" s="3" t="s">
        <v>2105</v>
      </c>
      <c r="G4626" s="3"/>
      <c r="H4626" s="4"/>
    </row>
    <row r="4627" ht="16.5" customHeight="1" spans="1:8">
      <c r="A4627" s="3">
        <v>4626</v>
      </c>
      <c r="B4627" s="3" t="s">
        <v>10494</v>
      </c>
      <c r="C4627" s="3" t="s">
        <v>1361</v>
      </c>
      <c r="D4627" s="4" t="s">
        <v>10495</v>
      </c>
      <c r="E4627" s="3" t="s">
        <v>1218</v>
      </c>
      <c r="F4627" s="3" t="s">
        <v>2105</v>
      </c>
      <c r="G4627" s="3"/>
      <c r="H4627" s="4"/>
    </row>
    <row r="4628" ht="16.5" customHeight="1" spans="1:8">
      <c r="A4628" s="3">
        <v>4627</v>
      </c>
      <c r="B4628" s="3" t="s">
        <v>10496</v>
      </c>
      <c r="C4628" s="3" t="s">
        <v>1361</v>
      </c>
      <c r="D4628" s="4" t="s">
        <v>10497</v>
      </c>
      <c r="E4628" s="3" t="s">
        <v>1218</v>
      </c>
      <c r="F4628" s="3" t="s">
        <v>2105</v>
      </c>
      <c r="G4628" s="3"/>
      <c r="H4628" s="4"/>
    </row>
    <row r="4629" ht="16.5" customHeight="1" spans="1:8">
      <c r="A4629" s="3">
        <v>4628</v>
      </c>
      <c r="B4629" s="3" t="s">
        <v>10498</v>
      </c>
      <c r="C4629" s="3" t="s">
        <v>1361</v>
      </c>
      <c r="D4629" s="4" t="s">
        <v>10499</v>
      </c>
      <c r="E4629" s="3" t="s">
        <v>1218</v>
      </c>
      <c r="F4629" s="3" t="s">
        <v>2105</v>
      </c>
      <c r="G4629" s="3"/>
      <c r="H4629" s="4"/>
    </row>
    <row r="4630" ht="16.5" customHeight="1" spans="1:8">
      <c r="A4630" s="3">
        <v>4629</v>
      </c>
      <c r="B4630" s="3" t="s">
        <v>10500</v>
      </c>
      <c r="C4630" s="3" t="s">
        <v>1361</v>
      </c>
      <c r="D4630" s="4" t="s">
        <v>10501</v>
      </c>
      <c r="E4630" s="3" t="s">
        <v>1218</v>
      </c>
      <c r="F4630" s="3" t="s">
        <v>2105</v>
      </c>
      <c r="G4630" s="3"/>
      <c r="H4630" s="4"/>
    </row>
    <row r="4631" ht="16.5" customHeight="1" spans="1:8">
      <c r="A4631" s="3">
        <v>4630</v>
      </c>
      <c r="B4631" s="3" t="s">
        <v>10502</v>
      </c>
      <c r="C4631" s="3" t="s">
        <v>1361</v>
      </c>
      <c r="D4631" s="4" t="s">
        <v>10503</v>
      </c>
      <c r="E4631" s="3" t="s">
        <v>1218</v>
      </c>
      <c r="F4631" s="3" t="s">
        <v>2105</v>
      </c>
      <c r="G4631" s="3"/>
      <c r="H4631" s="4"/>
    </row>
    <row r="4632" ht="16.5" customHeight="1" spans="1:8">
      <c r="A4632" s="3">
        <v>4631</v>
      </c>
      <c r="B4632" s="3" t="s">
        <v>10504</v>
      </c>
      <c r="C4632" s="3" t="s">
        <v>1361</v>
      </c>
      <c r="D4632" s="4" t="s">
        <v>10505</v>
      </c>
      <c r="E4632" s="3" t="s">
        <v>1218</v>
      </c>
      <c r="F4632" s="3" t="s">
        <v>2105</v>
      </c>
      <c r="G4632" s="3"/>
      <c r="H4632" s="4"/>
    </row>
    <row r="4633" ht="16.5" customHeight="1" spans="1:8">
      <c r="A4633" s="3">
        <v>4632</v>
      </c>
      <c r="B4633" s="3" t="s">
        <v>10506</v>
      </c>
      <c r="C4633" s="3" t="s">
        <v>1361</v>
      </c>
      <c r="D4633" s="4" t="s">
        <v>10507</v>
      </c>
      <c r="E4633" s="3" t="s">
        <v>1218</v>
      </c>
      <c r="F4633" s="3" t="s">
        <v>2105</v>
      </c>
      <c r="G4633" s="3"/>
      <c r="H4633" s="4"/>
    </row>
    <row r="4634" ht="16.5" customHeight="1" spans="1:8">
      <c r="A4634" s="3">
        <v>4633</v>
      </c>
      <c r="B4634" s="3" t="s">
        <v>10508</v>
      </c>
      <c r="C4634" s="3" t="s">
        <v>1361</v>
      </c>
      <c r="D4634" s="4" t="s">
        <v>10509</v>
      </c>
      <c r="E4634" s="3" t="s">
        <v>1218</v>
      </c>
      <c r="F4634" s="3" t="s">
        <v>2105</v>
      </c>
      <c r="G4634" s="3"/>
      <c r="H4634" s="4"/>
    </row>
    <row r="4635" ht="16.5" customHeight="1" spans="1:8">
      <c r="A4635" s="3">
        <v>4634</v>
      </c>
      <c r="B4635" s="3" t="s">
        <v>10510</v>
      </c>
      <c r="C4635" s="3" t="s">
        <v>1361</v>
      </c>
      <c r="D4635" s="4" t="s">
        <v>10511</v>
      </c>
      <c r="E4635" s="3" t="s">
        <v>1218</v>
      </c>
      <c r="F4635" s="3" t="s">
        <v>2105</v>
      </c>
      <c r="G4635" s="3"/>
      <c r="H4635" s="4"/>
    </row>
    <row r="4636" ht="16.5" customHeight="1" spans="1:8">
      <c r="A4636" s="3">
        <v>4635</v>
      </c>
      <c r="B4636" s="3" t="s">
        <v>10512</v>
      </c>
      <c r="C4636" s="3" t="s">
        <v>1361</v>
      </c>
      <c r="D4636" s="4" t="s">
        <v>10513</v>
      </c>
      <c r="E4636" s="3" t="s">
        <v>1218</v>
      </c>
      <c r="F4636" s="3" t="s">
        <v>2105</v>
      </c>
      <c r="G4636" s="3"/>
      <c r="H4636" s="4"/>
    </row>
    <row r="4637" ht="16.5" customHeight="1" spans="1:8">
      <c r="A4637" s="3">
        <v>4636</v>
      </c>
      <c r="B4637" s="3" t="s">
        <v>10514</v>
      </c>
      <c r="C4637" s="3" t="s">
        <v>1361</v>
      </c>
      <c r="D4637" s="4" t="s">
        <v>10515</v>
      </c>
      <c r="E4637" s="3" t="s">
        <v>1218</v>
      </c>
      <c r="F4637" s="3" t="s">
        <v>2105</v>
      </c>
      <c r="G4637" s="3"/>
      <c r="H4637" s="4"/>
    </row>
    <row r="4638" ht="16.5" customHeight="1" spans="1:8">
      <c r="A4638" s="3">
        <v>4637</v>
      </c>
      <c r="B4638" s="3" t="s">
        <v>10516</v>
      </c>
      <c r="C4638" s="3" t="s">
        <v>1361</v>
      </c>
      <c r="D4638" s="4" t="s">
        <v>10517</v>
      </c>
      <c r="E4638" s="3" t="s">
        <v>1218</v>
      </c>
      <c r="F4638" s="3" t="s">
        <v>2105</v>
      </c>
      <c r="G4638" s="3"/>
      <c r="H4638" s="4"/>
    </row>
    <row r="4639" ht="16.5" customHeight="1" spans="1:8">
      <c r="A4639" s="3">
        <v>4638</v>
      </c>
      <c r="B4639" s="3" t="s">
        <v>10518</v>
      </c>
      <c r="C4639" s="3" t="s">
        <v>1361</v>
      </c>
      <c r="D4639" s="4" t="s">
        <v>10519</v>
      </c>
      <c r="E4639" s="3" t="s">
        <v>1218</v>
      </c>
      <c r="F4639" s="3" t="s">
        <v>2105</v>
      </c>
      <c r="G4639" s="3"/>
      <c r="H4639" s="4"/>
    </row>
    <row r="4640" ht="16.5" customHeight="1" spans="1:8">
      <c r="A4640" s="3">
        <v>4639</v>
      </c>
      <c r="B4640" s="3" t="s">
        <v>10520</v>
      </c>
      <c r="C4640" s="3" t="s">
        <v>1361</v>
      </c>
      <c r="D4640" s="4" t="s">
        <v>10521</v>
      </c>
      <c r="E4640" s="3" t="s">
        <v>1218</v>
      </c>
      <c r="F4640" s="3" t="s">
        <v>2105</v>
      </c>
      <c r="G4640" s="3"/>
      <c r="H4640" s="4"/>
    </row>
    <row r="4641" ht="16.5" customHeight="1" spans="1:8">
      <c r="A4641" s="3">
        <v>4640</v>
      </c>
      <c r="B4641" s="3" t="s">
        <v>10522</v>
      </c>
      <c r="C4641" s="3" t="s">
        <v>1361</v>
      </c>
      <c r="D4641" s="4" t="s">
        <v>10523</v>
      </c>
      <c r="E4641" s="3" t="s">
        <v>1218</v>
      </c>
      <c r="F4641" s="3" t="s">
        <v>2105</v>
      </c>
      <c r="G4641" s="3"/>
      <c r="H4641" s="4"/>
    </row>
    <row r="4642" ht="16.5" customHeight="1" spans="1:8">
      <c r="A4642" s="3">
        <v>4641</v>
      </c>
      <c r="B4642" s="3" t="s">
        <v>10524</v>
      </c>
      <c r="C4642" s="3" t="s">
        <v>1361</v>
      </c>
      <c r="D4642" s="4" t="s">
        <v>10525</v>
      </c>
      <c r="E4642" s="3" t="s">
        <v>1218</v>
      </c>
      <c r="F4642" s="3" t="s">
        <v>2105</v>
      </c>
      <c r="G4642" s="3"/>
      <c r="H4642" s="4" t="s">
        <v>7243</v>
      </c>
    </row>
    <row r="4643" ht="16.5" customHeight="1" spans="1:8">
      <c r="A4643" s="3">
        <v>4642</v>
      </c>
      <c r="B4643" s="3" t="s">
        <v>10526</v>
      </c>
      <c r="C4643" s="3" t="s">
        <v>1361</v>
      </c>
      <c r="D4643" s="4" t="s">
        <v>10527</v>
      </c>
      <c r="E4643" s="3" t="s">
        <v>1218</v>
      </c>
      <c r="F4643" s="3" t="s">
        <v>2105</v>
      </c>
      <c r="G4643" s="3"/>
      <c r="H4643" s="4"/>
    </row>
    <row r="4644" ht="16.5" customHeight="1" spans="1:8">
      <c r="A4644" s="3">
        <v>4643</v>
      </c>
      <c r="B4644" s="3" t="s">
        <v>10528</v>
      </c>
      <c r="C4644" s="3" t="s">
        <v>1361</v>
      </c>
      <c r="D4644" s="4" t="s">
        <v>10529</v>
      </c>
      <c r="E4644" s="3" t="s">
        <v>1218</v>
      </c>
      <c r="F4644" s="3" t="s">
        <v>2105</v>
      </c>
      <c r="G4644" s="3"/>
      <c r="H4644" s="4"/>
    </row>
    <row r="4645" ht="16.5" customHeight="1" spans="1:8">
      <c r="A4645" s="3">
        <v>4644</v>
      </c>
      <c r="B4645" s="3" t="s">
        <v>10530</v>
      </c>
      <c r="C4645" s="3" t="s">
        <v>1361</v>
      </c>
      <c r="D4645" s="4" t="s">
        <v>10531</v>
      </c>
      <c r="E4645" s="3" t="s">
        <v>1218</v>
      </c>
      <c r="F4645" s="3" t="s">
        <v>2105</v>
      </c>
      <c r="G4645" s="3"/>
      <c r="H4645" s="4"/>
    </row>
    <row r="4646" ht="16.5" customHeight="1" spans="1:8">
      <c r="A4646" s="3">
        <v>4645</v>
      </c>
      <c r="B4646" s="3" t="s">
        <v>10532</v>
      </c>
      <c r="C4646" s="3" t="s">
        <v>1361</v>
      </c>
      <c r="D4646" s="4" t="s">
        <v>10533</v>
      </c>
      <c r="E4646" s="3" t="s">
        <v>1218</v>
      </c>
      <c r="F4646" s="3" t="s">
        <v>2105</v>
      </c>
      <c r="G4646" s="3"/>
      <c r="H4646" s="4"/>
    </row>
    <row r="4647" ht="16.5" customHeight="1" spans="1:8">
      <c r="A4647" s="3">
        <v>4646</v>
      </c>
      <c r="B4647" s="3" t="s">
        <v>10534</v>
      </c>
      <c r="C4647" s="3" t="s">
        <v>1361</v>
      </c>
      <c r="D4647" s="4" t="s">
        <v>10535</v>
      </c>
      <c r="E4647" s="3" t="s">
        <v>1218</v>
      </c>
      <c r="F4647" s="3" t="s">
        <v>2105</v>
      </c>
      <c r="G4647" s="3"/>
      <c r="H4647" s="4"/>
    </row>
    <row r="4648" ht="16.5" customHeight="1" spans="1:8">
      <c r="A4648" s="3">
        <v>4647</v>
      </c>
      <c r="B4648" s="3" t="s">
        <v>10536</v>
      </c>
      <c r="C4648" s="3" t="s">
        <v>2163</v>
      </c>
      <c r="D4648" s="4" t="s">
        <v>10537</v>
      </c>
      <c r="E4648" s="3" t="s">
        <v>1076</v>
      </c>
      <c r="F4648" s="3" t="s">
        <v>2105</v>
      </c>
      <c r="G4648" s="3"/>
      <c r="H4648" s="4" t="s">
        <v>7243</v>
      </c>
    </row>
    <row r="4649" ht="16.5" customHeight="1" spans="1:8">
      <c r="A4649" s="3">
        <v>4648</v>
      </c>
      <c r="B4649" s="3" t="s">
        <v>10538</v>
      </c>
      <c r="C4649" s="3" t="s">
        <v>2163</v>
      </c>
      <c r="D4649" s="4" t="s">
        <v>10539</v>
      </c>
      <c r="E4649" s="3" t="s">
        <v>1076</v>
      </c>
      <c r="F4649" s="3" t="s">
        <v>2105</v>
      </c>
      <c r="G4649" s="3"/>
      <c r="H4649" s="4" t="s">
        <v>7243</v>
      </c>
    </row>
    <row r="4650" ht="16.5" customHeight="1" spans="1:8">
      <c r="A4650" s="3">
        <v>4649</v>
      </c>
      <c r="B4650" s="3" t="s">
        <v>10540</v>
      </c>
      <c r="C4650" s="3" t="s">
        <v>2163</v>
      </c>
      <c r="D4650" s="4" t="s">
        <v>10541</v>
      </c>
      <c r="E4650" s="3" t="s">
        <v>1076</v>
      </c>
      <c r="F4650" s="3" t="s">
        <v>2105</v>
      </c>
      <c r="G4650" s="3"/>
      <c r="H4650" s="4" t="s">
        <v>7243</v>
      </c>
    </row>
    <row r="4651" ht="16.5" customHeight="1" spans="1:8">
      <c r="A4651" s="3">
        <v>4650</v>
      </c>
      <c r="B4651" s="3" t="s">
        <v>10542</v>
      </c>
      <c r="C4651" s="3" t="s">
        <v>2163</v>
      </c>
      <c r="D4651" s="4" t="s">
        <v>10543</v>
      </c>
      <c r="E4651" s="3" t="s">
        <v>1076</v>
      </c>
      <c r="F4651" s="3" t="s">
        <v>2105</v>
      </c>
      <c r="G4651" s="3"/>
      <c r="H4651" s="4" t="s">
        <v>7243</v>
      </c>
    </row>
    <row r="4652" ht="16.5" customHeight="1" spans="1:8">
      <c r="A4652" s="3">
        <v>4651</v>
      </c>
      <c r="B4652" s="3" t="s">
        <v>10544</v>
      </c>
      <c r="C4652" s="3" t="s">
        <v>2163</v>
      </c>
      <c r="D4652" s="4" t="s">
        <v>10545</v>
      </c>
      <c r="E4652" s="3" t="s">
        <v>1076</v>
      </c>
      <c r="F4652" s="3" t="s">
        <v>2105</v>
      </c>
      <c r="G4652" s="3"/>
      <c r="H4652" s="4" t="s">
        <v>7243</v>
      </c>
    </row>
    <row r="4653" ht="16.5" customHeight="1" spans="1:8">
      <c r="A4653" s="3">
        <v>4652</v>
      </c>
      <c r="B4653" s="3" t="s">
        <v>10546</v>
      </c>
      <c r="C4653" s="3" t="s">
        <v>2163</v>
      </c>
      <c r="D4653" s="4" t="s">
        <v>10547</v>
      </c>
      <c r="E4653" s="3" t="s">
        <v>1076</v>
      </c>
      <c r="F4653" s="3" t="s">
        <v>2105</v>
      </c>
      <c r="G4653" s="3"/>
      <c r="H4653" s="4" t="s">
        <v>7243</v>
      </c>
    </row>
    <row r="4654" ht="16.5" customHeight="1" spans="1:8">
      <c r="A4654" s="3">
        <v>4653</v>
      </c>
      <c r="B4654" s="3" t="s">
        <v>10548</v>
      </c>
      <c r="C4654" s="3" t="s">
        <v>2163</v>
      </c>
      <c r="D4654" s="4" t="s">
        <v>10549</v>
      </c>
      <c r="E4654" s="3" t="s">
        <v>1076</v>
      </c>
      <c r="F4654" s="3" t="s">
        <v>2105</v>
      </c>
      <c r="G4654" s="3"/>
      <c r="H4654" s="4" t="s">
        <v>7243</v>
      </c>
    </row>
    <row r="4655" ht="16.5" customHeight="1" spans="1:8">
      <c r="A4655" s="3">
        <v>4654</v>
      </c>
      <c r="B4655" s="3" t="s">
        <v>10550</v>
      </c>
      <c r="C4655" s="3" t="s">
        <v>2163</v>
      </c>
      <c r="D4655" s="4" t="s">
        <v>10551</v>
      </c>
      <c r="E4655" s="3" t="s">
        <v>1076</v>
      </c>
      <c r="F4655" s="3" t="s">
        <v>2041</v>
      </c>
      <c r="G4655" s="3" t="s">
        <v>321</v>
      </c>
      <c r="H4655" s="4" t="s">
        <v>3351</v>
      </c>
    </row>
    <row r="4656" ht="16.5" customHeight="1" spans="1:8">
      <c r="A4656" s="3">
        <v>4655</v>
      </c>
      <c r="B4656" s="3" t="s">
        <v>10552</v>
      </c>
      <c r="C4656" s="3" t="s">
        <v>2163</v>
      </c>
      <c r="D4656" s="4" t="s">
        <v>10553</v>
      </c>
      <c r="E4656" s="3" t="s">
        <v>2263</v>
      </c>
      <c r="F4656" s="3" t="s">
        <v>1358</v>
      </c>
      <c r="G4656" s="3" t="s">
        <v>321</v>
      </c>
      <c r="H4656" s="4" t="s">
        <v>9475</v>
      </c>
    </row>
    <row r="4657" ht="16.5" customHeight="1" spans="1:8">
      <c r="A4657" s="3">
        <v>4656</v>
      </c>
      <c r="B4657" s="3" t="s">
        <v>10554</v>
      </c>
      <c r="C4657" s="3" t="s">
        <v>2163</v>
      </c>
      <c r="D4657" s="4" t="s">
        <v>10555</v>
      </c>
      <c r="E4657" s="3" t="s">
        <v>1076</v>
      </c>
      <c r="F4657" s="3" t="s">
        <v>2041</v>
      </c>
      <c r="G4657" s="3" t="s">
        <v>321</v>
      </c>
      <c r="H4657" s="4" t="s">
        <v>1305</v>
      </c>
    </row>
    <row r="4658" ht="16.5" customHeight="1" spans="1:8">
      <c r="A4658" s="3">
        <v>4657</v>
      </c>
      <c r="B4658" s="3" t="s">
        <v>10556</v>
      </c>
      <c r="C4658" s="3" t="s">
        <v>2163</v>
      </c>
      <c r="D4658" s="4" t="s">
        <v>10557</v>
      </c>
      <c r="E4658" s="3" t="s">
        <v>1076</v>
      </c>
      <c r="F4658" s="3" t="s">
        <v>2041</v>
      </c>
      <c r="G4658" s="3" t="s">
        <v>321</v>
      </c>
      <c r="H4658" s="4" t="s">
        <v>3354</v>
      </c>
    </row>
    <row r="4659" ht="16.5" customHeight="1" spans="1:8">
      <c r="A4659" s="3">
        <v>4658</v>
      </c>
      <c r="B4659" s="3" t="s">
        <v>10558</v>
      </c>
      <c r="C4659" s="3" t="s">
        <v>2163</v>
      </c>
      <c r="D4659" s="4" t="s">
        <v>10559</v>
      </c>
      <c r="E4659" s="3" t="s">
        <v>1076</v>
      </c>
      <c r="F4659" s="3" t="s">
        <v>2041</v>
      </c>
      <c r="G4659" s="3" t="s">
        <v>321</v>
      </c>
      <c r="H4659" s="4" t="s">
        <v>3354</v>
      </c>
    </row>
    <row r="4660" ht="16.5" customHeight="1" spans="1:8">
      <c r="A4660" s="3">
        <v>4659</v>
      </c>
      <c r="B4660" s="3" t="s">
        <v>10560</v>
      </c>
      <c r="C4660" s="3" t="s">
        <v>1074</v>
      </c>
      <c r="D4660" s="4" t="s">
        <v>10561</v>
      </c>
      <c r="E4660" s="3" t="s">
        <v>1218</v>
      </c>
      <c r="F4660" s="3" t="s">
        <v>8175</v>
      </c>
      <c r="G4660" s="3"/>
      <c r="H4660" s="4" t="s">
        <v>7243</v>
      </c>
    </row>
    <row r="4661" ht="16.5" customHeight="1" spans="1:8">
      <c r="A4661" s="3">
        <v>4660</v>
      </c>
      <c r="B4661" s="3" t="s">
        <v>10562</v>
      </c>
      <c r="C4661" s="3" t="s">
        <v>2163</v>
      </c>
      <c r="D4661" s="4" t="s">
        <v>10563</v>
      </c>
      <c r="E4661" s="3" t="s">
        <v>1076</v>
      </c>
      <c r="F4661" s="3" t="s">
        <v>2105</v>
      </c>
      <c r="G4661" s="3"/>
      <c r="H4661" s="4" t="s">
        <v>7243</v>
      </c>
    </row>
    <row r="4662" ht="16.5" customHeight="1" spans="1:8">
      <c r="A4662" s="3">
        <v>4661</v>
      </c>
      <c r="B4662" s="3" t="s">
        <v>10564</v>
      </c>
      <c r="C4662" s="3" t="s">
        <v>2163</v>
      </c>
      <c r="D4662" s="4" t="s">
        <v>10565</v>
      </c>
      <c r="E4662" s="3" t="s">
        <v>1076</v>
      </c>
      <c r="F4662" s="3" t="s">
        <v>2105</v>
      </c>
      <c r="G4662" s="3" t="s">
        <v>98</v>
      </c>
      <c r="H4662" s="4" t="s">
        <v>1078</v>
      </c>
    </row>
    <row r="4663" ht="16.5" customHeight="1" spans="1:8">
      <c r="A4663" s="3">
        <v>4662</v>
      </c>
      <c r="B4663" s="3" t="s">
        <v>10566</v>
      </c>
      <c r="C4663" s="3" t="s">
        <v>2163</v>
      </c>
      <c r="D4663" s="4" t="s">
        <v>10567</v>
      </c>
      <c r="E4663" s="3" t="s">
        <v>1076</v>
      </c>
      <c r="F4663" s="3" t="s">
        <v>2041</v>
      </c>
      <c r="G4663" s="3" t="s">
        <v>321</v>
      </c>
      <c r="H4663" s="4" t="s">
        <v>1095</v>
      </c>
    </row>
    <row r="4664" ht="16.5" customHeight="1" spans="1:8">
      <c r="A4664" s="3">
        <v>4663</v>
      </c>
      <c r="B4664" s="3" t="s">
        <v>10568</v>
      </c>
      <c r="C4664" s="3" t="s">
        <v>2163</v>
      </c>
      <c r="D4664" s="4" t="s">
        <v>10569</v>
      </c>
      <c r="E4664" s="3" t="s">
        <v>1076</v>
      </c>
      <c r="F4664" s="3" t="s">
        <v>2105</v>
      </c>
      <c r="G4664" s="3"/>
      <c r="H4664" s="4" t="s">
        <v>7243</v>
      </c>
    </row>
    <row r="4665" ht="16.5" customHeight="1" spans="1:8">
      <c r="A4665" s="3">
        <v>4664</v>
      </c>
      <c r="B4665" s="3" t="s">
        <v>10570</v>
      </c>
      <c r="C4665" s="3" t="s">
        <v>2163</v>
      </c>
      <c r="D4665" s="4" t="s">
        <v>10571</v>
      </c>
      <c r="E4665" s="3" t="s">
        <v>1076</v>
      </c>
      <c r="F4665" s="3" t="s">
        <v>2105</v>
      </c>
      <c r="G4665" s="3"/>
      <c r="H4665" s="4" t="s">
        <v>7243</v>
      </c>
    </row>
    <row r="4666" ht="16.5" customHeight="1" spans="1:8">
      <c r="A4666" s="3">
        <v>4665</v>
      </c>
      <c r="B4666" s="3" t="s">
        <v>10572</v>
      </c>
      <c r="C4666" s="3" t="s">
        <v>2163</v>
      </c>
      <c r="D4666" s="4" t="s">
        <v>10573</v>
      </c>
      <c r="E4666" s="3" t="s">
        <v>1076</v>
      </c>
      <c r="F4666" s="3" t="s">
        <v>2105</v>
      </c>
      <c r="G4666" s="3"/>
      <c r="H4666" s="4" t="s">
        <v>7243</v>
      </c>
    </row>
    <row r="4667" ht="16.5" customHeight="1" spans="1:8">
      <c r="A4667" s="3">
        <v>4666</v>
      </c>
      <c r="B4667" s="3" t="s">
        <v>10574</v>
      </c>
      <c r="C4667" s="3" t="s">
        <v>2163</v>
      </c>
      <c r="D4667" s="4" t="s">
        <v>10575</v>
      </c>
      <c r="E4667" s="3" t="s">
        <v>2263</v>
      </c>
      <c r="F4667" s="3" t="s">
        <v>2105</v>
      </c>
      <c r="G4667" s="3"/>
      <c r="H4667" s="4" t="s">
        <v>1078</v>
      </c>
    </row>
    <row r="4668" ht="16.5" customHeight="1" spans="1:8">
      <c r="A4668" s="3">
        <v>4667</v>
      </c>
      <c r="B4668" s="3" t="s">
        <v>10576</v>
      </c>
      <c r="C4668" s="3" t="s">
        <v>2163</v>
      </c>
      <c r="D4668" s="4" t="s">
        <v>10577</v>
      </c>
      <c r="E4668" s="3" t="s">
        <v>1076</v>
      </c>
      <c r="F4668" s="3" t="s">
        <v>2105</v>
      </c>
      <c r="G4668" s="3"/>
      <c r="H4668" s="4" t="s">
        <v>9475</v>
      </c>
    </row>
    <row r="4669" ht="16.5" customHeight="1" spans="1:8">
      <c r="A4669" s="3">
        <v>4668</v>
      </c>
      <c r="B4669" s="3" t="s">
        <v>10578</v>
      </c>
      <c r="C4669" s="3" t="s">
        <v>2163</v>
      </c>
      <c r="D4669" s="4" t="s">
        <v>10579</v>
      </c>
      <c r="E4669" s="3" t="s">
        <v>1076</v>
      </c>
      <c r="F4669" s="3" t="s">
        <v>2105</v>
      </c>
      <c r="G4669" s="3"/>
      <c r="H4669" s="4" t="s">
        <v>7243</v>
      </c>
    </row>
    <row r="4670" ht="16.5" customHeight="1" spans="1:8">
      <c r="A4670" s="3">
        <v>4669</v>
      </c>
      <c r="B4670" s="3" t="s">
        <v>10580</v>
      </c>
      <c r="C4670" s="3" t="s">
        <v>2163</v>
      </c>
      <c r="D4670" s="4" t="s">
        <v>10581</v>
      </c>
      <c r="E4670" s="3" t="s">
        <v>1076</v>
      </c>
      <c r="F4670" s="3" t="s">
        <v>2105</v>
      </c>
      <c r="G4670" s="3"/>
      <c r="H4670" s="4" t="s">
        <v>1078</v>
      </c>
    </row>
    <row r="4671" ht="16.5" customHeight="1" spans="1:8">
      <c r="A4671" s="3">
        <v>4670</v>
      </c>
      <c r="B4671" s="3" t="s">
        <v>10582</v>
      </c>
      <c r="C4671" s="3" t="s">
        <v>2163</v>
      </c>
      <c r="D4671" s="4" t="s">
        <v>10583</v>
      </c>
      <c r="E4671" s="3" t="s">
        <v>1076</v>
      </c>
      <c r="F4671" s="3" t="s">
        <v>2105</v>
      </c>
      <c r="G4671" s="3"/>
      <c r="H4671" s="4" t="s">
        <v>7243</v>
      </c>
    </row>
    <row r="4672" ht="16.5" customHeight="1" spans="1:8">
      <c r="A4672" s="3">
        <v>4671</v>
      </c>
      <c r="B4672" s="3" t="s">
        <v>10584</v>
      </c>
      <c r="C4672" s="3" t="s">
        <v>1105</v>
      </c>
      <c r="D4672" s="4" t="s">
        <v>10585</v>
      </c>
      <c r="E4672" s="3" t="s">
        <v>1837</v>
      </c>
      <c r="F4672" s="3" t="s">
        <v>4668</v>
      </c>
      <c r="G4672" s="3"/>
      <c r="H4672" s="4" t="s">
        <v>10269</v>
      </c>
    </row>
    <row r="4673" ht="16.5" customHeight="1" spans="1:8">
      <c r="A4673" s="3">
        <v>4672</v>
      </c>
      <c r="B4673" s="3" t="s">
        <v>10586</v>
      </c>
      <c r="C4673" s="3" t="s">
        <v>2163</v>
      </c>
      <c r="D4673" s="4" t="s">
        <v>10587</v>
      </c>
      <c r="E4673" s="3" t="s">
        <v>1076</v>
      </c>
      <c r="F4673" s="3" t="s">
        <v>2041</v>
      </c>
      <c r="G4673" s="3" t="s">
        <v>321</v>
      </c>
      <c r="H4673" s="4" t="s">
        <v>1359</v>
      </c>
    </row>
    <row r="4674" ht="16.5" customHeight="1" spans="1:8">
      <c r="A4674" s="3">
        <v>4673</v>
      </c>
      <c r="B4674" s="3" t="s">
        <v>10588</v>
      </c>
      <c r="C4674" s="3" t="s">
        <v>1074</v>
      </c>
      <c r="D4674" s="4" t="s">
        <v>10589</v>
      </c>
      <c r="E4674" s="3" t="s">
        <v>1218</v>
      </c>
      <c r="F4674" s="3" t="s">
        <v>8175</v>
      </c>
      <c r="G4674" s="3"/>
      <c r="H4674" s="4" t="s">
        <v>7243</v>
      </c>
    </row>
    <row r="4675" ht="16.5" customHeight="1" spans="1:8">
      <c r="A4675" s="3">
        <v>4674</v>
      </c>
      <c r="B4675" s="3" t="s">
        <v>10590</v>
      </c>
      <c r="C4675" s="3" t="s">
        <v>2163</v>
      </c>
      <c r="D4675" s="4" t="s">
        <v>10591</v>
      </c>
      <c r="E4675" s="3" t="s">
        <v>1076</v>
      </c>
      <c r="F4675" s="3" t="s">
        <v>2041</v>
      </c>
      <c r="G4675" s="3" t="s">
        <v>321</v>
      </c>
      <c r="H4675" s="4" t="s">
        <v>5740</v>
      </c>
    </row>
    <row r="4676" ht="16.5" customHeight="1" spans="1:8">
      <c r="A4676" s="3">
        <v>4675</v>
      </c>
      <c r="B4676" s="3" t="s">
        <v>10592</v>
      </c>
      <c r="C4676" s="3" t="s">
        <v>2163</v>
      </c>
      <c r="D4676" s="4" t="s">
        <v>10593</v>
      </c>
      <c r="E4676" s="3" t="s">
        <v>2726</v>
      </c>
      <c r="F4676" s="3" t="s">
        <v>2041</v>
      </c>
      <c r="G4676" s="3" t="s">
        <v>321</v>
      </c>
      <c r="H4676" s="4" t="s">
        <v>3351</v>
      </c>
    </row>
    <row r="4677" ht="16.5" customHeight="1" spans="1:8">
      <c r="A4677" s="3">
        <v>4676</v>
      </c>
      <c r="B4677" s="3" t="s">
        <v>10594</v>
      </c>
      <c r="C4677" s="3" t="s">
        <v>2163</v>
      </c>
      <c r="D4677" s="4" t="s">
        <v>10595</v>
      </c>
      <c r="E4677" s="3" t="s">
        <v>1076</v>
      </c>
      <c r="F4677" s="3" t="s">
        <v>2041</v>
      </c>
      <c r="G4677" s="3" t="s">
        <v>321</v>
      </c>
      <c r="H4677" s="4" t="s">
        <v>10596</v>
      </c>
    </row>
    <row r="4678" ht="16.5" customHeight="1" spans="1:8">
      <c r="A4678" s="3">
        <v>4677</v>
      </c>
      <c r="B4678" s="3" t="s">
        <v>10597</v>
      </c>
      <c r="C4678" s="3" t="s">
        <v>2163</v>
      </c>
      <c r="D4678" s="4" t="s">
        <v>10598</v>
      </c>
      <c r="E4678" s="3" t="s">
        <v>1076</v>
      </c>
      <c r="F4678" s="3" t="s">
        <v>2041</v>
      </c>
      <c r="G4678" s="3" t="s">
        <v>321</v>
      </c>
      <c r="H4678" s="4" t="s">
        <v>10596</v>
      </c>
    </row>
    <row r="4679" ht="16.5" customHeight="1" spans="1:8">
      <c r="A4679" s="3">
        <v>4678</v>
      </c>
      <c r="B4679" s="3" t="s">
        <v>10599</v>
      </c>
      <c r="C4679" s="3" t="s">
        <v>1105</v>
      </c>
      <c r="D4679" s="4" t="s">
        <v>10600</v>
      </c>
      <c r="E4679" s="3" t="s">
        <v>1076</v>
      </c>
      <c r="F4679" s="3" t="s">
        <v>4668</v>
      </c>
      <c r="G4679" s="3"/>
      <c r="H4679" s="4" t="s">
        <v>10269</v>
      </c>
    </row>
    <row r="4680" ht="16.5" customHeight="1" spans="1:8">
      <c r="A4680" s="3">
        <v>4679</v>
      </c>
      <c r="B4680" s="3" t="s">
        <v>10601</v>
      </c>
      <c r="C4680" s="3" t="s">
        <v>2163</v>
      </c>
      <c r="D4680" s="4" t="s">
        <v>10602</v>
      </c>
      <c r="E4680" s="3" t="s">
        <v>1076</v>
      </c>
      <c r="F4680" s="3" t="s">
        <v>2041</v>
      </c>
      <c r="G4680" s="3" t="s">
        <v>321</v>
      </c>
      <c r="H4680" s="4" t="s">
        <v>3351</v>
      </c>
    </row>
    <row r="4681" ht="16.5" customHeight="1" spans="1:8">
      <c r="A4681" s="3">
        <v>4680</v>
      </c>
      <c r="B4681" s="3" t="s">
        <v>10603</v>
      </c>
      <c r="C4681" s="3" t="s">
        <v>2163</v>
      </c>
      <c r="D4681" s="4" t="s">
        <v>10604</v>
      </c>
      <c r="E4681" s="3" t="s">
        <v>1076</v>
      </c>
      <c r="F4681" s="3" t="s">
        <v>4668</v>
      </c>
      <c r="G4681" s="3"/>
      <c r="H4681" s="4" t="s">
        <v>8769</v>
      </c>
    </row>
    <row r="4682" ht="16.5" customHeight="1" spans="1:8">
      <c r="A4682" s="3">
        <v>4681</v>
      </c>
      <c r="B4682" s="3" t="s">
        <v>10605</v>
      </c>
      <c r="C4682" s="3" t="s">
        <v>1105</v>
      </c>
      <c r="D4682" s="4" t="s">
        <v>10606</v>
      </c>
      <c r="E4682" s="3" t="s">
        <v>1076</v>
      </c>
      <c r="F4682" s="3" t="s">
        <v>4668</v>
      </c>
      <c r="G4682" s="3"/>
      <c r="H4682" s="4" t="s">
        <v>10269</v>
      </c>
    </row>
    <row r="4683" ht="16.5" customHeight="1" spans="1:8">
      <c r="A4683" s="3">
        <v>4682</v>
      </c>
      <c r="B4683" s="3" t="s">
        <v>10607</v>
      </c>
      <c r="C4683" s="3" t="s">
        <v>1105</v>
      </c>
      <c r="D4683" s="4" t="s">
        <v>10608</v>
      </c>
      <c r="E4683" s="3" t="s">
        <v>1076</v>
      </c>
      <c r="F4683" s="3" t="s">
        <v>1152</v>
      </c>
      <c r="G4683" s="3"/>
      <c r="H4683" s="4" t="s">
        <v>10609</v>
      </c>
    </row>
    <row r="4684" ht="16.5" customHeight="1" spans="1:8">
      <c r="A4684" s="3">
        <v>4683</v>
      </c>
      <c r="B4684" s="3" t="s">
        <v>10610</v>
      </c>
      <c r="C4684" s="3" t="s">
        <v>2163</v>
      </c>
      <c r="D4684" s="4" t="s">
        <v>10611</v>
      </c>
      <c r="E4684" s="3" t="s">
        <v>2263</v>
      </c>
      <c r="F4684" s="3" t="s">
        <v>2105</v>
      </c>
      <c r="G4684" s="3"/>
      <c r="H4684" s="4" t="s">
        <v>4322</v>
      </c>
    </row>
    <row r="4685" ht="16.5" customHeight="1" spans="1:8">
      <c r="A4685" s="3">
        <v>4684</v>
      </c>
      <c r="B4685" s="3" t="s">
        <v>10612</v>
      </c>
      <c r="C4685" s="3" t="s">
        <v>1074</v>
      </c>
      <c r="D4685" s="4" t="s">
        <v>10613</v>
      </c>
      <c r="E4685" s="3" t="s">
        <v>2726</v>
      </c>
      <c r="F4685" s="3" t="s">
        <v>8175</v>
      </c>
      <c r="G4685" s="3"/>
      <c r="H4685" s="4" t="s">
        <v>5664</v>
      </c>
    </row>
    <row r="4686" ht="16.5" customHeight="1" spans="1:8">
      <c r="A4686" s="3">
        <v>4685</v>
      </c>
      <c r="B4686" s="3" t="s">
        <v>10614</v>
      </c>
      <c r="C4686" s="3" t="s">
        <v>1074</v>
      </c>
      <c r="D4686" s="4" t="s">
        <v>10615</v>
      </c>
      <c r="E4686" s="3" t="s">
        <v>1076</v>
      </c>
      <c r="F4686" s="3" t="s">
        <v>8175</v>
      </c>
      <c r="G4686" s="3"/>
      <c r="H4686" s="4" t="s">
        <v>3812</v>
      </c>
    </row>
    <row r="4687" ht="16.5" customHeight="1" spans="1:8">
      <c r="A4687" s="3">
        <v>4686</v>
      </c>
      <c r="B4687" s="3" t="s">
        <v>10616</v>
      </c>
      <c r="C4687" s="3" t="s">
        <v>1074</v>
      </c>
      <c r="D4687" s="4" t="s">
        <v>10617</v>
      </c>
      <c r="E4687" s="3" t="s">
        <v>1076</v>
      </c>
      <c r="F4687" s="3" t="s">
        <v>8175</v>
      </c>
      <c r="G4687" s="3"/>
      <c r="H4687" s="4" t="s">
        <v>3812</v>
      </c>
    </row>
    <row r="4688" ht="16.5" customHeight="1" spans="1:8">
      <c r="A4688" s="3">
        <v>4687</v>
      </c>
      <c r="B4688" s="3" t="s">
        <v>10618</v>
      </c>
      <c r="C4688" s="3" t="s">
        <v>2163</v>
      </c>
      <c r="D4688" s="4" t="s">
        <v>10619</v>
      </c>
      <c r="E4688" s="3" t="s">
        <v>1076</v>
      </c>
      <c r="F4688" s="3" t="s">
        <v>2041</v>
      </c>
      <c r="G4688" s="3" t="s">
        <v>321</v>
      </c>
      <c r="H4688" s="4" t="s">
        <v>3354</v>
      </c>
    </row>
    <row r="4689" ht="16.5" customHeight="1" spans="1:8">
      <c r="A4689" s="3">
        <v>4688</v>
      </c>
      <c r="B4689" s="3" t="s">
        <v>10620</v>
      </c>
      <c r="C4689" s="3" t="s">
        <v>2163</v>
      </c>
      <c r="D4689" s="4" t="s">
        <v>10621</v>
      </c>
      <c r="E4689" s="3" t="s">
        <v>1076</v>
      </c>
      <c r="F4689" s="3" t="s">
        <v>2041</v>
      </c>
      <c r="G4689" s="3" t="s">
        <v>321</v>
      </c>
      <c r="H4689" s="4" t="s">
        <v>1843</v>
      </c>
    </row>
    <row r="4690" ht="16.5" customHeight="1" spans="1:8">
      <c r="A4690" s="3">
        <v>4689</v>
      </c>
      <c r="B4690" s="3" t="s">
        <v>10622</v>
      </c>
      <c r="C4690" s="3" t="s">
        <v>2163</v>
      </c>
      <c r="D4690" s="4" t="s">
        <v>10623</v>
      </c>
      <c r="E4690" s="3" t="s">
        <v>1076</v>
      </c>
      <c r="F4690" s="3" t="s">
        <v>2041</v>
      </c>
      <c r="G4690" s="3" t="s">
        <v>321</v>
      </c>
      <c r="H4690" s="4" t="s">
        <v>1843</v>
      </c>
    </row>
    <row r="4691" ht="16.5" customHeight="1" spans="1:8">
      <c r="A4691" s="3">
        <v>4690</v>
      </c>
      <c r="B4691" s="3" t="s">
        <v>10624</v>
      </c>
      <c r="C4691" s="3" t="s">
        <v>1356</v>
      </c>
      <c r="D4691" s="4" t="s">
        <v>10625</v>
      </c>
      <c r="E4691" s="3" t="s">
        <v>1076</v>
      </c>
      <c r="F4691" s="3" t="s">
        <v>8175</v>
      </c>
      <c r="G4691" s="3"/>
      <c r="H4691" s="4" t="s">
        <v>4322</v>
      </c>
    </row>
    <row r="4692" ht="16.5" customHeight="1" spans="1:8">
      <c r="A4692" s="3">
        <v>4691</v>
      </c>
      <c r="B4692" s="3" t="s">
        <v>10626</v>
      </c>
      <c r="C4692" s="3" t="s">
        <v>1356</v>
      </c>
      <c r="D4692" s="4" t="s">
        <v>10627</v>
      </c>
      <c r="E4692" s="3" t="s">
        <v>2726</v>
      </c>
      <c r="F4692" s="3" t="s">
        <v>8175</v>
      </c>
      <c r="G4692" s="3"/>
      <c r="H4692" s="4" t="s">
        <v>3812</v>
      </c>
    </row>
    <row r="4693" ht="16.5" customHeight="1" spans="1:8">
      <c r="A4693" s="3">
        <v>4692</v>
      </c>
      <c r="B4693" s="3" t="s">
        <v>10628</v>
      </c>
      <c r="C4693" s="3" t="s">
        <v>1356</v>
      </c>
      <c r="D4693" s="4" t="s">
        <v>10629</v>
      </c>
      <c r="E4693" s="3" t="s">
        <v>1076</v>
      </c>
      <c r="F4693" s="3" t="s">
        <v>8175</v>
      </c>
      <c r="G4693" s="3"/>
      <c r="H4693" s="4" t="s">
        <v>9016</v>
      </c>
    </row>
    <row r="4694" ht="16.5" customHeight="1" spans="1:8">
      <c r="A4694" s="3">
        <v>4693</v>
      </c>
      <c r="B4694" s="3" t="s">
        <v>10630</v>
      </c>
      <c r="C4694" s="3" t="s">
        <v>1356</v>
      </c>
      <c r="D4694" s="4" t="s">
        <v>10631</v>
      </c>
      <c r="E4694" s="3" t="s">
        <v>1076</v>
      </c>
      <c r="F4694" s="3" t="s">
        <v>8175</v>
      </c>
      <c r="G4694" s="3"/>
      <c r="H4694" s="4" t="s">
        <v>5664</v>
      </c>
    </row>
    <row r="4695" ht="16.5" customHeight="1" spans="1:8">
      <c r="A4695" s="3">
        <v>4694</v>
      </c>
      <c r="B4695" s="3" t="s">
        <v>10632</v>
      </c>
      <c r="C4695" s="3" t="s">
        <v>2163</v>
      </c>
      <c r="D4695" s="4" t="s">
        <v>10633</v>
      </c>
      <c r="E4695" s="3" t="s">
        <v>1076</v>
      </c>
      <c r="F4695" s="3" t="s">
        <v>2041</v>
      </c>
      <c r="G4695" s="3" t="s">
        <v>321</v>
      </c>
      <c r="H4695" s="4" t="s">
        <v>1843</v>
      </c>
    </row>
    <row r="4696" ht="16.5" customHeight="1" spans="1:8">
      <c r="A4696" s="3">
        <v>4695</v>
      </c>
      <c r="B4696" s="3" t="s">
        <v>10634</v>
      </c>
      <c r="C4696" s="3" t="s">
        <v>2163</v>
      </c>
      <c r="D4696" s="4" t="s">
        <v>10635</v>
      </c>
      <c r="E4696" s="3" t="s">
        <v>1076</v>
      </c>
      <c r="F4696" s="3" t="s">
        <v>2041</v>
      </c>
      <c r="G4696" s="3" t="s">
        <v>321</v>
      </c>
      <c r="H4696" s="4" t="s">
        <v>1843</v>
      </c>
    </row>
    <row r="4697" ht="16.5" customHeight="1" spans="1:8">
      <c r="A4697" s="3">
        <v>4696</v>
      </c>
      <c r="B4697" s="3" t="s">
        <v>10636</v>
      </c>
      <c r="C4697" s="3" t="s">
        <v>1361</v>
      </c>
      <c r="D4697" s="4" t="s">
        <v>10637</v>
      </c>
      <c r="E4697" s="3" t="s">
        <v>1218</v>
      </c>
      <c r="F4697" s="3" t="s">
        <v>2041</v>
      </c>
      <c r="G4697" s="3" t="s">
        <v>321</v>
      </c>
      <c r="H4697" s="4"/>
    </row>
    <row r="4698" ht="16.5" customHeight="1" spans="1:8">
      <c r="A4698" s="3">
        <v>4697</v>
      </c>
      <c r="B4698" s="3" t="s">
        <v>10638</v>
      </c>
      <c r="C4698" s="3" t="s">
        <v>1356</v>
      </c>
      <c r="D4698" s="4" t="s">
        <v>10639</v>
      </c>
      <c r="E4698" s="3" t="s">
        <v>1076</v>
      </c>
      <c r="F4698" s="3" t="s">
        <v>1358</v>
      </c>
      <c r="G4698" s="3"/>
      <c r="H4698" s="4"/>
    </row>
    <row r="4699" ht="16.5" customHeight="1" spans="1:8">
      <c r="A4699" s="3">
        <v>4698</v>
      </c>
      <c r="B4699" s="3" t="s">
        <v>10640</v>
      </c>
      <c r="C4699" s="3" t="s">
        <v>1361</v>
      </c>
      <c r="D4699" s="4" t="s">
        <v>10641</v>
      </c>
      <c r="E4699" s="3" t="s">
        <v>1218</v>
      </c>
      <c r="F4699" s="3" t="s">
        <v>2041</v>
      </c>
      <c r="G4699" s="3" t="s">
        <v>321</v>
      </c>
      <c r="H4699" s="4"/>
    </row>
    <row r="4700" ht="16.5" customHeight="1" spans="1:8">
      <c r="A4700" s="3">
        <v>4699</v>
      </c>
      <c r="B4700" s="3" t="s">
        <v>10642</v>
      </c>
      <c r="C4700" s="3" t="s">
        <v>1361</v>
      </c>
      <c r="D4700" s="4" t="s">
        <v>10643</v>
      </c>
      <c r="E4700" s="3" t="s">
        <v>1218</v>
      </c>
      <c r="F4700" s="3" t="s">
        <v>2041</v>
      </c>
      <c r="G4700" s="3" t="s">
        <v>321</v>
      </c>
      <c r="H4700" s="4"/>
    </row>
    <row r="4701" ht="16.5" customHeight="1" spans="1:8">
      <c r="A4701" s="3">
        <v>4700</v>
      </c>
      <c r="B4701" s="3" t="s">
        <v>10644</v>
      </c>
      <c r="C4701" s="3" t="s">
        <v>1356</v>
      </c>
      <c r="D4701" s="4" t="s">
        <v>10645</v>
      </c>
      <c r="E4701" s="3" t="s">
        <v>1076</v>
      </c>
      <c r="F4701" s="3" t="s">
        <v>1358</v>
      </c>
      <c r="G4701" s="3" t="s">
        <v>321</v>
      </c>
      <c r="H4701" s="4"/>
    </row>
    <row r="4702" ht="16.5" customHeight="1" spans="1:8">
      <c r="A4702" s="3">
        <v>4701</v>
      </c>
      <c r="B4702" s="3" t="s">
        <v>10646</v>
      </c>
      <c r="C4702" s="3" t="s">
        <v>1356</v>
      </c>
      <c r="D4702" s="4" t="s">
        <v>10647</v>
      </c>
      <c r="E4702" s="3" t="s">
        <v>1076</v>
      </c>
      <c r="F4702" s="3" t="s">
        <v>1358</v>
      </c>
      <c r="G4702" s="3" t="s">
        <v>321</v>
      </c>
      <c r="H4702" s="4"/>
    </row>
    <row r="4703" ht="16.5" customHeight="1" spans="1:8">
      <c r="A4703" s="3">
        <v>4702</v>
      </c>
      <c r="B4703" s="3" t="s">
        <v>10648</v>
      </c>
      <c r="C4703" s="3" t="s">
        <v>1361</v>
      </c>
      <c r="D4703" s="4" t="s">
        <v>10649</v>
      </c>
      <c r="E4703" s="3" t="s">
        <v>1218</v>
      </c>
      <c r="F4703" s="3" t="s">
        <v>2041</v>
      </c>
      <c r="G4703" s="3" t="s">
        <v>321</v>
      </c>
      <c r="H4703" s="4"/>
    </row>
    <row r="4704" ht="16.5" customHeight="1" spans="1:8">
      <c r="A4704" s="3">
        <v>4703</v>
      </c>
      <c r="B4704" s="3" t="s">
        <v>10650</v>
      </c>
      <c r="C4704" s="3" t="s">
        <v>1356</v>
      </c>
      <c r="D4704" s="4" t="s">
        <v>10651</v>
      </c>
      <c r="E4704" s="3" t="s">
        <v>2726</v>
      </c>
      <c r="F4704" s="3" t="s">
        <v>8175</v>
      </c>
      <c r="G4704" s="3"/>
      <c r="H4704" s="4" t="s">
        <v>9016</v>
      </c>
    </row>
    <row r="4705" ht="16.5" customHeight="1" spans="1:8">
      <c r="A4705" s="3">
        <v>4704</v>
      </c>
      <c r="B4705" s="3" t="s">
        <v>10652</v>
      </c>
      <c r="C4705" s="3" t="s">
        <v>1356</v>
      </c>
      <c r="D4705" s="4" t="s">
        <v>10653</v>
      </c>
      <c r="E4705" s="3" t="s">
        <v>1076</v>
      </c>
      <c r="F4705" s="3" t="s">
        <v>8175</v>
      </c>
      <c r="G4705" s="3"/>
      <c r="H4705" s="4" t="s">
        <v>9016</v>
      </c>
    </row>
    <row r="4706" ht="16.5" customHeight="1" spans="1:8">
      <c r="A4706" s="3">
        <v>4705</v>
      </c>
      <c r="B4706" s="3" t="s">
        <v>10654</v>
      </c>
      <c r="C4706" s="3" t="s">
        <v>1356</v>
      </c>
      <c r="D4706" s="4" t="s">
        <v>10653</v>
      </c>
      <c r="E4706" s="3" t="s">
        <v>1076</v>
      </c>
      <c r="F4706" s="3" t="s">
        <v>8175</v>
      </c>
      <c r="G4706" s="3"/>
      <c r="H4706" s="4" t="s">
        <v>5664</v>
      </c>
    </row>
    <row r="4707" ht="16.5" customHeight="1" spans="1:8">
      <c r="A4707" s="3">
        <v>4706</v>
      </c>
      <c r="B4707" s="3" t="s">
        <v>10655</v>
      </c>
      <c r="C4707" s="3" t="s">
        <v>1356</v>
      </c>
      <c r="D4707" s="4" t="s">
        <v>10653</v>
      </c>
      <c r="E4707" s="3" t="s">
        <v>2726</v>
      </c>
      <c r="F4707" s="3" t="s">
        <v>8175</v>
      </c>
      <c r="G4707" s="3"/>
      <c r="H4707" s="4" t="s">
        <v>9016</v>
      </c>
    </row>
    <row r="4708" ht="16.5" customHeight="1" spans="1:8">
      <c r="A4708" s="3">
        <v>4707</v>
      </c>
      <c r="B4708" s="3" t="s">
        <v>10656</v>
      </c>
      <c r="C4708" s="3" t="s">
        <v>1356</v>
      </c>
      <c r="D4708" s="4" t="s">
        <v>10657</v>
      </c>
      <c r="E4708" s="3" t="s">
        <v>1218</v>
      </c>
      <c r="F4708" s="3" t="s">
        <v>8175</v>
      </c>
      <c r="G4708" s="3"/>
      <c r="H4708" s="4" t="s">
        <v>5533</v>
      </c>
    </row>
    <row r="4709" ht="16.5" customHeight="1" spans="1:8">
      <c r="A4709" s="3">
        <v>4708</v>
      </c>
      <c r="B4709" s="3" t="s">
        <v>10658</v>
      </c>
      <c r="C4709" s="3" t="s">
        <v>1356</v>
      </c>
      <c r="D4709" s="4" t="s">
        <v>10659</v>
      </c>
      <c r="E4709" s="3" t="s">
        <v>2726</v>
      </c>
      <c r="F4709" s="3" t="s">
        <v>8175</v>
      </c>
      <c r="G4709" s="3"/>
      <c r="H4709" s="4" t="s">
        <v>9016</v>
      </c>
    </row>
    <row r="4710" ht="16.5" customHeight="1" spans="1:8">
      <c r="A4710" s="3">
        <v>4709</v>
      </c>
      <c r="B4710" s="3" t="s">
        <v>10660</v>
      </c>
      <c r="C4710" s="3" t="s">
        <v>1356</v>
      </c>
      <c r="D4710" s="4" t="s">
        <v>10661</v>
      </c>
      <c r="E4710" s="3" t="s">
        <v>2726</v>
      </c>
      <c r="F4710" s="3" t="s">
        <v>8175</v>
      </c>
      <c r="G4710" s="3"/>
      <c r="H4710" s="4" t="s">
        <v>9016</v>
      </c>
    </row>
    <row r="4711" ht="16.5" customHeight="1" spans="1:8">
      <c r="A4711" s="3">
        <v>4710</v>
      </c>
      <c r="B4711" s="3" t="s">
        <v>10662</v>
      </c>
      <c r="C4711" s="3" t="s">
        <v>2163</v>
      </c>
      <c r="D4711" s="4" t="s">
        <v>10663</v>
      </c>
      <c r="E4711" s="3" t="s">
        <v>1076</v>
      </c>
      <c r="F4711" s="3" t="s">
        <v>2041</v>
      </c>
      <c r="G4711" s="3" t="s">
        <v>321</v>
      </c>
      <c r="H4711" s="4" t="s">
        <v>1095</v>
      </c>
    </row>
    <row r="4712" ht="16.5" customHeight="1" spans="1:8">
      <c r="A4712" s="3">
        <v>4711</v>
      </c>
      <c r="B4712" s="3" t="s">
        <v>10664</v>
      </c>
      <c r="C4712" s="3" t="s">
        <v>2163</v>
      </c>
      <c r="D4712" s="4" t="s">
        <v>10665</v>
      </c>
      <c r="E4712" s="3" t="s">
        <v>5779</v>
      </c>
      <c r="F4712" s="3" t="s">
        <v>4154</v>
      </c>
      <c r="G4712" s="3"/>
      <c r="H4712" s="4" t="s">
        <v>9016</v>
      </c>
    </row>
    <row r="4713" ht="16.5" customHeight="1" spans="1:8">
      <c r="A4713" s="3">
        <v>4712</v>
      </c>
      <c r="B4713" s="3" t="s">
        <v>10666</v>
      </c>
      <c r="C4713" s="3" t="s">
        <v>1105</v>
      </c>
      <c r="D4713" s="4" t="s">
        <v>10667</v>
      </c>
      <c r="E4713" s="3" t="s">
        <v>1837</v>
      </c>
      <c r="F4713" s="3" t="s">
        <v>4668</v>
      </c>
      <c r="G4713" s="3"/>
      <c r="H4713" s="4" t="s">
        <v>10269</v>
      </c>
    </row>
    <row r="4714" ht="16.5" customHeight="1" spans="1:8">
      <c r="A4714" s="3">
        <v>4713</v>
      </c>
      <c r="B4714" s="3" t="s">
        <v>10668</v>
      </c>
      <c r="C4714" s="3" t="s">
        <v>1105</v>
      </c>
      <c r="D4714" s="4" t="s">
        <v>10669</v>
      </c>
      <c r="E4714" s="3" t="s">
        <v>1837</v>
      </c>
      <c r="F4714" s="3" t="s">
        <v>4668</v>
      </c>
      <c r="G4714" s="3"/>
      <c r="H4714" s="4" t="s">
        <v>10269</v>
      </c>
    </row>
    <row r="4715" ht="16.5" customHeight="1" spans="1:8">
      <c r="A4715" s="3">
        <v>4714</v>
      </c>
      <c r="B4715" s="3" t="s">
        <v>10670</v>
      </c>
      <c r="C4715" s="3" t="s">
        <v>1356</v>
      </c>
      <c r="D4715" s="4" t="s">
        <v>10671</v>
      </c>
      <c r="E4715" s="3" t="s">
        <v>1076</v>
      </c>
      <c r="F4715" s="3" t="s">
        <v>8175</v>
      </c>
      <c r="G4715" s="3"/>
      <c r="H4715" s="4" t="s">
        <v>9016</v>
      </c>
    </row>
    <row r="4716" ht="16.5" customHeight="1" spans="1:8">
      <c r="A4716" s="3">
        <v>4715</v>
      </c>
      <c r="B4716" s="3" t="s">
        <v>10672</v>
      </c>
      <c r="C4716" s="3" t="s">
        <v>1356</v>
      </c>
      <c r="D4716" s="4" t="s">
        <v>10673</v>
      </c>
      <c r="E4716" s="3" t="s">
        <v>1076</v>
      </c>
      <c r="F4716" s="3" t="s">
        <v>8175</v>
      </c>
      <c r="G4716" s="3"/>
      <c r="H4716" s="4" t="s">
        <v>9016</v>
      </c>
    </row>
    <row r="4717" ht="16.5" customHeight="1" spans="1:8">
      <c r="A4717" s="3">
        <v>4716</v>
      </c>
      <c r="B4717" s="3" t="s">
        <v>10674</v>
      </c>
      <c r="C4717" s="3" t="s">
        <v>1356</v>
      </c>
      <c r="D4717" s="4" t="s">
        <v>10675</v>
      </c>
      <c r="E4717" s="3" t="s">
        <v>2726</v>
      </c>
      <c r="F4717" s="3" t="s">
        <v>8175</v>
      </c>
      <c r="G4717" s="3"/>
      <c r="H4717" s="4" t="s">
        <v>9016</v>
      </c>
    </row>
    <row r="4718" ht="16.5" customHeight="1" spans="1:8">
      <c r="A4718" s="3">
        <v>4717</v>
      </c>
      <c r="B4718" s="3" t="s">
        <v>10676</v>
      </c>
      <c r="C4718" s="3" t="s">
        <v>1356</v>
      </c>
      <c r="D4718" s="4" t="s">
        <v>10677</v>
      </c>
      <c r="E4718" s="3" t="s">
        <v>2726</v>
      </c>
      <c r="F4718" s="3" t="s">
        <v>8175</v>
      </c>
      <c r="G4718" s="3"/>
      <c r="H4718" s="4" t="s">
        <v>6877</v>
      </c>
    </row>
    <row r="4719" ht="16.5" customHeight="1" spans="1:8">
      <c r="A4719" s="3">
        <v>4718</v>
      </c>
      <c r="B4719" s="3" t="s">
        <v>10678</v>
      </c>
      <c r="C4719" s="3" t="s">
        <v>2163</v>
      </c>
      <c r="D4719" s="4" t="s">
        <v>10679</v>
      </c>
      <c r="E4719" s="3" t="s">
        <v>1076</v>
      </c>
      <c r="F4719" s="3" t="s">
        <v>2041</v>
      </c>
      <c r="G4719" s="3" t="s">
        <v>321</v>
      </c>
      <c r="H4719" s="4" t="s">
        <v>3351</v>
      </c>
    </row>
    <row r="4720" ht="16.5" customHeight="1" spans="1:8">
      <c r="A4720" s="3">
        <v>4719</v>
      </c>
      <c r="B4720" s="3" t="s">
        <v>10680</v>
      </c>
      <c r="C4720" s="3" t="s">
        <v>1356</v>
      </c>
      <c r="D4720" s="4" t="s">
        <v>10681</v>
      </c>
      <c r="E4720" s="3" t="s">
        <v>1218</v>
      </c>
      <c r="F4720" s="3" t="s">
        <v>4668</v>
      </c>
      <c r="G4720" s="3"/>
      <c r="H4720" s="4" t="s">
        <v>1095</v>
      </c>
    </row>
    <row r="4721" ht="16.5" customHeight="1" spans="1:8">
      <c r="A4721" s="3">
        <v>4720</v>
      </c>
      <c r="B4721" s="3" t="s">
        <v>10682</v>
      </c>
      <c r="C4721" s="3" t="s">
        <v>2163</v>
      </c>
      <c r="D4721" s="4" t="s">
        <v>10683</v>
      </c>
      <c r="E4721" s="3" t="s">
        <v>1076</v>
      </c>
      <c r="F4721" s="3" t="s">
        <v>1358</v>
      </c>
      <c r="G4721" s="3" t="s">
        <v>321</v>
      </c>
      <c r="H4721" s="4" t="s">
        <v>1305</v>
      </c>
    </row>
    <row r="4722" ht="16.5" customHeight="1" spans="1:8">
      <c r="A4722" s="3">
        <v>4721</v>
      </c>
      <c r="B4722" s="3" t="s">
        <v>10684</v>
      </c>
      <c r="C4722" s="3" t="s">
        <v>1356</v>
      </c>
      <c r="D4722" s="4" t="s">
        <v>10685</v>
      </c>
      <c r="E4722" s="3" t="s">
        <v>1076</v>
      </c>
      <c r="F4722" s="3" t="s">
        <v>4154</v>
      </c>
      <c r="G4722" s="3"/>
      <c r="H4722" s="4" t="s">
        <v>9016</v>
      </c>
    </row>
    <row r="4723" ht="16.5" customHeight="1" spans="1:8">
      <c r="A4723" s="3">
        <v>4722</v>
      </c>
      <c r="B4723" s="3" t="s">
        <v>10686</v>
      </c>
      <c r="C4723" s="3" t="s">
        <v>2163</v>
      </c>
      <c r="D4723" s="4" t="s">
        <v>10687</v>
      </c>
      <c r="E4723" s="3" t="s">
        <v>5779</v>
      </c>
      <c r="F4723" s="3" t="s">
        <v>4154</v>
      </c>
      <c r="G4723" s="3"/>
      <c r="H4723" s="4" t="s">
        <v>9016</v>
      </c>
    </row>
    <row r="4724" ht="16.5" customHeight="1" spans="1:8">
      <c r="A4724" s="3">
        <v>4723</v>
      </c>
      <c r="B4724" s="3" t="s">
        <v>10688</v>
      </c>
      <c r="C4724" s="3" t="s">
        <v>1361</v>
      </c>
      <c r="D4724" s="4" t="s">
        <v>10689</v>
      </c>
      <c r="E4724" s="3" t="s">
        <v>1218</v>
      </c>
      <c r="F4724" s="3" t="s">
        <v>2041</v>
      </c>
      <c r="G4724" s="3" t="s">
        <v>321</v>
      </c>
      <c r="H4724" s="4"/>
    </row>
    <row r="4725" ht="16.5" customHeight="1" spans="1:8">
      <c r="A4725" s="3">
        <v>4724</v>
      </c>
      <c r="B4725" s="3" t="s">
        <v>10690</v>
      </c>
      <c r="C4725" s="3" t="s">
        <v>1361</v>
      </c>
      <c r="D4725" s="4" t="s">
        <v>10691</v>
      </c>
      <c r="E4725" s="3" t="s">
        <v>1218</v>
      </c>
      <c r="F4725" s="3" t="s">
        <v>2041</v>
      </c>
      <c r="G4725" s="3" t="s">
        <v>321</v>
      </c>
      <c r="H4725" s="4"/>
    </row>
    <row r="4726" ht="16.5" customHeight="1" spans="1:8">
      <c r="A4726" s="3">
        <v>4725</v>
      </c>
      <c r="B4726" s="3" t="s">
        <v>10692</v>
      </c>
      <c r="C4726" s="3" t="s">
        <v>1361</v>
      </c>
      <c r="D4726" s="4" t="s">
        <v>10693</v>
      </c>
      <c r="E4726" s="3" t="s">
        <v>1218</v>
      </c>
      <c r="F4726" s="3" t="s">
        <v>2041</v>
      </c>
      <c r="G4726" s="3" t="s">
        <v>321</v>
      </c>
      <c r="H4726" s="4"/>
    </row>
    <row r="4727" ht="16.5" customHeight="1" spans="1:8">
      <c r="A4727" s="3">
        <v>4726</v>
      </c>
      <c r="B4727" s="3" t="s">
        <v>10694</v>
      </c>
      <c r="C4727" s="3" t="s">
        <v>1361</v>
      </c>
      <c r="D4727" s="4" t="s">
        <v>10695</v>
      </c>
      <c r="E4727" s="3" t="s">
        <v>1218</v>
      </c>
      <c r="F4727" s="3" t="s">
        <v>2041</v>
      </c>
      <c r="G4727" s="3" t="s">
        <v>321</v>
      </c>
      <c r="H4727" s="4"/>
    </row>
    <row r="4728" ht="16.5" customHeight="1" spans="1:8">
      <c r="A4728" s="3">
        <v>4727</v>
      </c>
      <c r="B4728" s="3" t="s">
        <v>10696</v>
      </c>
      <c r="C4728" s="3" t="s">
        <v>1361</v>
      </c>
      <c r="D4728" s="4" t="s">
        <v>10697</v>
      </c>
      <c r="E4728" s="3" t="s">
        <v>1218</v>
      </c>
      <c r="F4728" s="3" t="s">
        <v>2041</v>
      </c>
      <c r="G4728" s="3"/>
      <c r="H4728" s="4"/>
    </row>
    <row r="4729" ht="16.5" customHeight="1" spans="1:8">
      <c r="A4729" s="3">
        <v>4728</v>
      </c>
      <c r="B4729" s="3" t="s">
        <v>10698</v>
      </c>
      <c r="C4729" s="3" t="s">
        <v>1361</v>
      </c>
      <c r="D4729" s="4" t="s">
        <v>10699</v>
      </c>
      <c r="E4729" s="3" t="s">
        <v>1218</v>
      </c>
      <c r="F4729" s="3" t="s">
        <v>2041</v>
      </c>
      <c r="G4729" s="3" t="s">
        <v>321</v>
      </c>
      <c r="H4729" s="4"/>
    </row>
    <row r="4730" ht="16.5" customHeight="1" spans="1:8">
      <c r="A4730" s="3">
        <v>4729</v>
      </c>
      <c r="B4730" s="3" t="s">
        <v>10700</v>
      </c>
      <c r="C4730" s="3" t="s">
        <v>1356</v>
      </c>
      <c r="D4730" s="4" t="s">
        <v>10701</v>
      </c>
      <c r="E4730" s="3" t="s">
        <v>1076</v>
      </c>
      <c r="F4730" s="3" t="s">
        <v>4154</v>
      </c>
      <c r="G4730" s="3"/>
      <c r="H4730" s="4" t="s">
        <v>9016</v>
      </c>
    </row>
    <row r="4731" ht="16.5" customHeight="1" spans="1:8">
      <c r="A4731" s="3">
        <v>4730</v>
      </c>
      <c r="B4731" s="3" t="s">
        <v>10702</v>
      </c>
      <c r="C4731" s="3" t="s">
        <v>2163</v>
      </c>
      <c r="D4731" s="4" t="s">
        <v>10703</v>
      </c>
      <c r="E4731" s="3" t="s">
        <v>5779</v>
      </c>
      <c r="F4731" s="3" t="s">
        <v>4668</v>
      </c>
      <c r="G4731" s="3"/>
      <c r="H4731" s="4" t="s">
        <v>9016</v>
      </c>
    </row>
    <row r="4732" ht="16.5" customHeight="1" spans="1:8">
      <c r="A4732" s="3">
        <v>4731</v>
      </c>
      <c r="B4732" s="3" t="s">
        <v>10704</v>
      </c>
      <c r="C4732" s="3" t="s">
        <v>1356</v>
      </c>
      <c r="D4732" s="4" t="s">
        <v>10705</v>
      </c>
      <c r="E4732" s="3" t="s">
        <v>1076</v>
      </c>
      <c r="F4732" s="3" t="s">
        <v>4154</v>
      </c>
      <c r="G4732" s="3"/>
      <c r="H4732" s="4" t="s">
        <v>9016</v>
      </c>
    </row>
    <row r="4733" ht="16.5" customHeight="1" spans="1:8">
      <c r="A4733" s="3">
        <v>4732</v>
      </c>
      <c r="B4733" s="3" t="s">
        <v>10706</v>
      </c>
      <c r="C4733" s="3" t="s">
        <v>1356</v>
      </c>
      <c r="D4733" s="4" t="s">
        <v>10707</v>
      </c>
      <c r="E4733" s="3" t="s">
        <v>1076</v>
      </c>
      <c r="F4733" s="3" t="s">
        <v>4154</v>
      </c>
      <c r="G4733" s="3"/>
      <c r="H4733" s="4" t="s">
        <v>9016</v>
      </c>
    </row>
    <row r="4734" ht="16.5" customHeight="1" spans="1:8">
      <c r="A4734" s="3">
        <v>4733</v>
      </c>
      <c r="B4734" s="3" t="s">
        <v>10708</v>
      </c>
      <c r="C4734" s="3" t="s">
        <v>2163</v>
      </c>
      <c r="D4734" s="4" t="s">
        <v>10709</v>
      </c>
      <c r="E4734" s="3" t="s">
        <v>5779</v>
      </c>
      <c r="F4734" s="3" t="s">
        <v>4668</v>
      </c>
      <c r="G4734" s="3"/>
      <c r="H4734" s="4" t="s">
        <v>9016</v>
      </c>
    </row>
    <row r="4735" ht="16.5" customHeight="1" spans="1:8">
      <c r="A4735" s="3">
        <v>4734</v>
      </c>
      <c r="B4735" s="3" t="s">
        <v>10710</v>
      </c>
      <c r="C4735" s="3" t="s">
        <v>2163</v>
      </c>
      <c r="D4735" s="4" t="s">
        <v>10711</v>
      </c>
      <c r="E4735" s="3" t="s">
        <v>2263</v>
      </c>
      <c r="F4735" s="3" t="s">
        <v>2105</v>
      </c>
      <c r="G4735" s="3"/>
      <c r="H4735" s="4" t="s">
        <v>5533</v>
      </c>
    </row>
    <row r="4736" ht="16.5" customHeight="1" spans="1:8">
      <c r="A4736" s="3">
        <v>4735</v>
      </c>
      <c r="B4736" s="3" t="s">
        <v>10712</v>
      </c>
      <c r="C4736" s="3" t="s">
        <v>2163</v>
      </c>
      <c r="D4736" s="4" t="s">
        <v>10713</v>
      </c>
      <c r="E4736" s="3" t="s">
        <v>1076</v>
      </c>
      <c r="F4736" s="3" t="s">
        <v>8175</v>
      </c>
      <c r="G4736" s="3"/>
      <c r="H4736" s="4" t="s">
        <v>9016</v>
      </c>
    </row>
    <row r="4737" ht="16.5" customHeight="1" spans="1:8">
      <c r="A4737" s="3">
        <v>4736</v>
      </c>
      <c r="B4737" s="3" t="s">
        <v>10714</v>
      </c>
      <c r="C4737" s="3" t="s">
        <v>1105</v>
      </c>
      <c r="D4737" s="4" t="s">
        <v>10715</v>
      </c>
      <c r="E4737" s="3" t="s">
        <v>1164</v>
      </c>
      <c r="F4737" s="3" t="s">
        <v>10259</v>
      </c>
      <c r="G4737" s="3"/>
      <c r="H4737" s="4" t="s">
        <v>10269</v>
      </c>
    </row>
    <row r="4738" ht="16.5" customHeight="1" spans="1:8">
      <c r="A4738" s="3">
        <v>4737</v>
      </c>
      <c r="B4738" s="3" t="s">
        <v>10716</v>
      </c>
      <c r="C4738" s="3" t="s">
        <v>2163</v>
      </c>
      <c r="D4738" s="4" t="s">
        <v>10717</v>
      </c>
      <c r="E4738" s="3" t="s">
        <v>1076</v>
      </c>
      <c r="F4738" s="3" t="s">
        <v>8175</v>
      </c>
      <c r="G4738" s="3"/>
      <c r="H4738" s="4" t="s">
        <v>9016</v>
      </c>
    </row>
    <row r="4739" ht="16.5" customHeight="1" spans="1:8">
      <c r="A4739" s="3">
        <v>4738</v>
      </c>
      <c r="B4739" s="3" t="s">
        <v>10718</v>
      </c>
      <c r="C4739" s="3" t="s">
        <v>2163</v>
      </c>
      <c r="D4739" s="4" t="s">
        <v>10719</v>
      </c>
      <c r="E4739" s="3" t="s">
        <v>1076</v>
      </c>
      <c r="F4739" s="3" t="s">
        <v>8175</v>
      </c>
      <c r="G4739" s="3"/>
      <c r="H4739" s="4" t="s">
        <v>9016</v>
      </c>
    </row>
    <row r="4740" ht="16.5" customHeight="1" spans="1:8">
      <c r="A4740" s="3">
        <v>4739</v>
      </c>
      <c r="B4740" s="3" t="s">
        <v>10720</v>
      </c>
      <c r="C4740" s="3" t="s">
        <v>1105</v>
      </c>
      <c r="D4740" s="4" t="s">
        <v>10721</v>
      </c>
      <c r="E4740" s="3" t="s">
        <v>1164</v>
      </c>
      <c r="F4740" s="3" t="s">
        <v>4668</v>
      </c>
      <c r="G4740" s="3"/>
      <c r="H4740" s="4" t="s">
        <v>10269</v>
      </c>
    </row>
    <row r="4741" ht="16.5" customHeight="1" spans="1:8">
      <c r="A4741" s="3">
        <v>4740</v>
      </c>
      <c r="B4741" s="3" t="s">
        <v>10722</v>
      </c>
      <c r="C4741" s="3" t="s">
        <v>2163</v>
      </c>
      <c r="D4741" s="4" t="s">
        <v>10723</v>
      </c>
      <c r="E4741" s="3" t="s">
        <v>1076</v>
      </c>
      <c r="F4741" s="3" t="s">
        <v>4154</v>
      </c>
      <c r="G4741" s="3"/>
      <c r="H4741" s="4" t="s">
        <v>10724</v>
      </c>
    </row>
    <row r="4742" ht="16.5" customHeight="1" spans="1:8">
      <c r="A4742" s="3">
        <v>4741</v>
      </c>
      <c r="B4742" s="3" t="s">
        <v>10725</v>
      </c>
      <c r="C4742" s="3" t="s">
        <v>1356</v>
      </c>
      <c r="D4742" s="4" t="s">
        <v>10726</v>
      </c>
      <c r="E4742" s="3" t="s">
        <v>1076</v>
      </c>
      <c r="F4742" s="3" t="s">
        <v>4154</v>
      </c>
      <c r="G4742" s="3"/>
      <c r="H4742" s="4" t="s">
        <v>3812</v>
      </c>
    </row>
    <row r="4743" ht="16.5" customHeight="1" spans="1:8">
      <c r="A4743" s="3">
        <v>4742</v>
      </c>
      <c r="B4743" s="3" t="s">
        <v>10727</v>
      </c>
      <c r="C4743" s="3" t="s">
        <v>1356</v>
      </c>
      <c r="D4743" s="4" t="s">
        <v>10728</v>
      </c>
      <c r="E4743" s="3" t="s">
        <v>1076</v>
      </c>
      <c r="F4743" s="3" t="s">
        <v>4154</v>
      </c>
      <c r="G4743" s="3"/>
      <c r="H4743" s="4" t="s">
        <v>3812</v>
      </c>
    </row>
    <row r="4744" ht="16.5" customHeight="1" spans="1:8">
      <c r="A4744" s="3">
        <v>4743</v>
      </c>
      <c r="B4744" s="3" t="s">
        <v>10729</v>
      </c>
      <c r="C4744" s="3" t="s">
        <v>2163</v>
      </c>
      <c r="D4744" s="4" t="s">
        <v>10730</v>
      </c>
      <c r="E4744" s="3" t="s">
        <v>1076</v>
      </c>
      <c r="F4744" s="3" t="s">
        <v>1358</v>
      </c>
      <c r="G4744" s="3"/>
      <c r="H4744" s="4" t="s">
        <v>1359</v>
      </c>
    </row>
    <row r="4745" ht="16.5" customHeight="1" spans="1:8">
      <c r="A4745" s="3">
        <v>4744</v>
      </c>
      <c r="B4745" s="3" t="s">
        <v>10731</v>
      </c>
      <c r="C4745" s="3" t="s">
        <v>2163</v>
      </c>
      <c r="D4745" s="4" t="s">
        <v>10732</v>
      </c>
      <c r="E4745" s="3" t="s">
        <v>1076</v>
      </c>
      <c r="F4745" s="3" t="s">
        <v>8175</v>
      </c>
      <c r="G4745" s="3"/>
      <c r="H4745" s="4" t="s">
        <v>9016</v>
      </c>
    </row>
    <row r="4746" ht="16.5" customHeight="1" spans="1:8">
      <c r="A4746" s="3">
        <v>4745</v>
      </c>
      <c r="B4746" s="3" t="s">
        <v>10733</v>
      </c>
      <c r="C4746" s="3" t="s">
        <v>2163</v>
      </c>
      <c r="D4746" s="4" t="s">
        <v>10734</v>
      </c>
      <c r="E4746" s="3" t="s">
        <v>1076</v>
      </c>
      <c r="F4746" s="3" t="s">
        <v>1358</v>
      </c>
      <c r="G4746" s="3" t="s">
        <v>321</v>
      </c>
      <c r="H4746" s="4" t="s">
        <v>1359</v>
      </c>
    </row>
    <row r="4747" ht="16.5" customHeight="1" spans="1:8">
      <c r="A4747" s="3">
        <v>4746</v>
      </c>
      <c r="B4747" s="3" t="s">
        <v>10735</v>
      </c>
      <c r="C4747" s="3" t="s">
        <v>2163</v>
      </c>
      <c r="D4747" s="4" t="s">
        <v>10736</v>
      </c>
      <c r="E4747" s="3" t="s">
        <v>1076</v>
      </c>
      <c r="F4747" s="3" t="s">
        <v>1358</v>
      </c>
      <c r="G4747" s="3" t="s">
        <v>321</v>
      </c>
      <c r="H4747" s="4" t="s">
        <v>7243</v>
      </c>
    </row>
    <row r="4748" ht="16.5" customHeight="1" spans="1:8">
      <c r="A4748" s="3">
        <v>4747</v>
      </c>
      <c r="B4748" s="3" t="s">
        <v>10737</v>
      </c>
      <c r="C4748" s="3" t="s">
        <v>1074</v>
      </c>
      <c r="D4748" s="4" t="s">
        <v>10738</v>
      </c>
      <c r="E4748" s="3" t="s">
        <v>1218</v>
      </c>
      <c r="F4748" s="3" t="s">
        <v>8175</v>
      </c>
      <c r="G4748" s="3"/>
      <c r="H4748" s="4" t="s">
        <v>3812</v>
      </c>
    </row>
    <row r="4749" ht="16.5" customHeight="1" spans="1:8">
      <c r="A4749" s="3">
        <v>4748</v>
      </c>
      <c r="B4749" s="3" t="s">
        <v>10739</v>
      </c>
      <c r="C4749" s="3" t="s">
        <v>2163</v>
      </c>
      <c r="D4749" s="4" t="s">
        <v>10740</v>
      </c>
      <c r="E4749" s="3" t="s">
        <v>1076</v>
      </c>
      <c r="F4749" s="3" t="s">
        <v>2105</v>
      </c>
      <c r="G4749" s="3"/>
      <c r="H4749" s="4" t="s">
        <v>9108</v>
      </c>
    </row>
    <row r="4750" ht="16.5" customHeight="1" spans="1:8">
      <c r="A4750" s="3">
        <v>4749</v>
      </c>
      <c r="B4750" s="3" t="s">
        <v>10741</v>
      </c>
      <c r="C4750" s="3" t="s">
        <v>1356</v>
      </c>
      <c r="D4750" s="4" t="s">
        <v>10742</v>
      </c>
      <c r="E4750" s="3" t="s">
        <v>2726</v>
      </c>
      <c r="F4750" s="3" t="s">
        <v>4154</v>
      </c>
      <c r="G4750" s="3"/>
      <c r="H4750" s="4" t="s">
        <v>10724</v>
      </c>
    </row>
    <row r="4751" ht="16.5" customHeight="1" spans="1:8">
      <c r="A4751" s="3">
        <v>4750</v>
      </c>
      <c r="B4751" s="3" t="s">
        <v>10743</v>
      </c>
      <c r="C4751" s="3" t="s">
        <v>1356</v>
      </c>
      <c r="D4751" s="4" t="s">
        <v>10744</v>
      </c>
      <c r="E4751" s="3" t="s">
        <v>2726</v>
      </c>
      <c r="F4751" s="3" t="s">
        <v>4154</v>
      </c>
      <c r="G4751" s="3"/>
      <c r="H4751" s="4" t="s">
        <v>9016</v>
      </c>
    </row>
    <row r="4752" ht="16.5" customHeight="1" spans="1:8">
      <c r="A4752" s="3">
        <v>4751</v>
      </c>
      <c r="B4752" s="3" t="s">
        <v>10745</v>
      </c>
      <c r="C4752" s="3" t="s">
        <v>1356</v>
      </c>
      <c r="D4752" s="4" t="s">
        <v>10746</v>
      </c>
      <c r="E4752" s="3" t="s">
        <v>2726</v>
      </c>
      <c r="F4752" s="3" t="s">
        <v>4154</v>
      </c>
      <c r="G4752" s="3"/>
      <c r="H4752" s="4" t="s">
        <v>9016</v>
      </c>
    </row>
    <row r="4753" ht="16.5" customHeight="1" spans="1:8">
      <c r="A4753" s="3">
        <v>4752</v>
      </c>
      <c r="B4753" s="3" t="s">
        <v>10747</v>
      </c>
      <c r="C4753" s="3" t="s">
        <v>2163</v>
      </c>
      <c r="D4753" s="4" t="s">
        <v>10748</v>
      </c>
      <c r="E4753" s="3" t="s">
        <v>1076</v>
      </c>
      <c r="F4753" s="3" t="s">
        <v>2105</v>
      </c>
      <c r="G4753" s="3"/>
      <c r="H4753" s="4" t="s">
        <v>3812</v>
      </c>
    </row>
    <row r="4754" ht="16.5" customHeight="1" spans="1:8">
      <c r="A4754" s="3">
        <v>4753</v>
      </c>
      <c r="B4754" s="3" t="s">
        <v>10749</v>
      </c>
      <c r="C4754" s="3" t="s">
        <v>1105</v>
      </c>
      <c r="D4754" s="4" t="s">
        <v>10750</v>
      </c>
      <c r="E4754" s="3" t="s">
        <v>1837</v>
      </c>
      <c r="F4754" s="3" t="s">
        <v>4668</v>
      </c>
      <c r="G4754" s="3"/>
      <c r="H4754" s="4" t="s">
        <v>10269</v>
      </c>
    </row>
    <row r="4755" ht="16.5" customHeight="1" spans="1:8">
      <c r="A4755" s="3">
        <v>4754</v>
      </c>
      <c r="B4755" s="3" t="s">
        <v>10751</v>
      </c>
      <c r="C4755" s="3" t="s">
        <v>2163</v>
      </c>
      <c r="D4755" s="4" t="s">
        <v>10728</v>
      </c>
      <c r="E4755" s="3" t="s">
        <v>2263</v>
      </c>
      <c r="F4755" s="3" t="s">
        <v>8175</v>
      </c>
      <c r="G4755" s="3"/>
      <c r="H4755" s="4" t="s">
        <v>9016</v>
      </c>
    </row>
    <row r="4756" ht="16.5" customHeight="1" spans="1:8">
      <c r="A4756" s="3">
        <v>4755</v>
      </c>
      <c r="B4756" s="3" t="s">
        <v>10752</v>
      </c>
      <c r="C4756" s="3" t="s">
        <v>2163</v>
      </c>
      <c r="D4756" s="4" t="s">
        <v>10753</v>
      </c>
      <c r="E4756" s="3" t="s">
        <v>1076</v>
      </c>
      <c r="F4756" s="3" t="s">
        <v>1358</v>
      </c>
      <c r="G4756" s="3" t="s">
        <v>321</v>
      </c>
      <c r="H4756" s="4" t="s">
        <v>3354</v>
      </c>
    </row>
    <row r="4757" ht="16.5" customHeight="1" spans="1:8">
      <c r="A4757" s="3">
        <v>4756</v>
      </c>
      <c r="B4757" s="3" t="s">
        <v>10754</v>
      </c>
      <c r="C4757" s="3" t="s">
        <v>2163</v>
      </c>
      <c r="D4757" s="4" t="s">
        <v>10755</v>
      </c>
      <c r="E4757" s="3" t="s">
        <v>5779</v>
      </c>
      <c r="F4757" s="3" t="s">
        <v>4154</v>
      </c>
      <c r="G4757" s="3"/>
      <c r="H4757" s="4" t="s">
        <v>9016</v>
      </c>
    </row>
    <row r="4758" ht="16.5" customHeight="1" spans="1:8">
      <c r="A4758" s="3">
        <v>4757</v>
      </c>
      <c r="B4758" s="3" t="s">
        <v>10756</v>
      </c>
      <c r="C4758" s="3" t="s">
        <v>1356</v>
      </c>
      <c r="D4758" s="4" t="s">
        <v>10757</v>
      </c>
      <c r="E4758" s="3" t="s">
        <v>2726</v>
      </c>
      <c r="F4758" s="3" t="s">
        <v>4154</v>
      </c>
      <c r="G4758" s="3"/>
      <c r="H4758" s="4" t="s">
        <v>9016</v>
      </c>
    </row>
    <row r="4759" ht="16.5" customHeight="1" spans="1:8">
      <c r="A4759" s="3">
        <v>4758</v>
      </c>
      <c r="B4759" s="3" t="s">
        <v>10758</v>
      </c>
      <c r="C4759" s="3" t="s">
        <v>2163</v>
      </c>
      <c r="D4759" s="4" t="s">
        <v>10759</v>
      </c>
      <c r="E4759" s="3" t="s">
        <v>1076</v>
      </c>
      <c r="F4759" s="3" t="s">
        <v>2041</v>
      </c>
      <c r="G4759" s="3" t="s">
        <v>321</v>
      </c>
      <c r="H4759" s="4" t="s">
        <v>3354</v>
      </c>
    </row>
    <row r="4760" ht="16.5" customHeight="1" spans="1:8">
      <c r="A4760" s="3">
        <v>4759</v>
      </c>
      <c r="B4760" s="3" t="s">
        <v>10760</v>
      </c>
      <c r="C4760" s="3" t="s">
        <v>2163</v>
      </c>
      <c r="D4760" s="4" t="s">
        <v>10761</v>
      </c>
      <c r="E4760" s="3" t="s">
        <v>1076</v>
      </c>
      <c r="F4760" s="3" t="s">
        <v>2105</v>
      </c>
      <c r="G4760" s="3"/>
      <c r="H4760" s="4" t="s">
        <v>3812</v>
      </c>
    </row>
    <row r="4761" ht="16.5" customHeight="1" spans="1:8">
      <c r="A4761" s="3">
        <v>4760</v>
      </c>
      <c r="B4761" s="3" t="s">
        <v>10762</v>
      </c>
      <c r="C4761" s="3" t="s">
        <v>2163</v>
      </c>
      <c r="D4761" s="4" t="s">
        <v>10763</v>
      </c>
      <c r="E4761" s="3" t="s">
        <v>1076</v>
      </c>
      <c r="F4761" s="3" t="s">
        <v>6994</v>
      </c>
      <c r="G4761" s="3" t="s">
        <v>321</v>
      </c>
      <c r="H4761" s="4" t="s">
        <v>3354</v>
      </c>
    </row>
    <row r="4762" ht="16.5" customHeight="1" spans="1:8">
      <c r="A4762" s="3">
        <v>4761</v>
      </c>
      <c r="B4762" s="3" t="s">
        <v>10764</v>
      </c>
      <c r="C4762" s="3" t="s">
        <v>2163</v>
      </c>
      <c r="D4762" s="4" t="s">
        <v>10765</v>
      </c>
      <c r="E4762" s="3" t="s">
        <v>1076</v>
      </c>
      <c r="F4762" s="3" t="s">
        <v>2041</v>
      </c>
      <c r="G4762" s="3" t="s">
        <v>321</v>
      </c>
      <c r="H4762" s="4" t="s">
        <v>1305</v>
      </c>
    </row>
    <row r="4763" ht="16.5" customHeight="1" spans="1:8">
      <c r="A4763" s="3">
        <v>4762</v>
      </c>
      <c r="B4763" s="3" t="s">
        <v>10766</v>
      </c>
      <c r="C4763" s="3" t="s">
        <v>2163</v>
      </c>
      <c r="D4763" s="4" t="s">
        <v>10767</v>
      </c>
      <c r="E4763" s="3" t="s">
        <v>5779</v>
      </c>
      <c r="F4763" s="3" t="s">
        <v>4668</v>
      </c>
      <c r="G4763" s="3"/>
      <c r="H4763" s="4" t="s">
        <v>9016</v>
      </c>
    </row>
    <row r="4764" ht="16.5" customHeight="1" spans="1:8">
      <c r="A4764" s="3">
        <v>4763</v>
      </c>
      <c r="B4764" s="3" t="s">
        <v>10768</v>
      </c>
      <c r="C4764" s="3" t="s">
        <v>1105</v>
      </c>
      <c r="D4764" s="4" t="s">
        <v>10769</v>
      </c>
      <c r="E4764" s="3" t="s">
        <v>1076</v>
      </c>
      <c r="F4764" s="3" t="s">
        <v>4668</v>
      </c>
      <c r="G4764" s="3"/>
      <c r="H4764" s="4" t="s">
        <v>10770</v>
      </c>
    </row>
    <row r="4765" ht="16.5" customHeight="1" spans="1:8">
      <c r="A4765" s="3">
        <v>4764</v>
      </c>
      <c r="B4765" s="3" t="s">
        <v>10771</v>
      </c>
      <c r="C4765" s="3" t="s">
        <v>1105</v>
      </c>
      <c r="D4765" s="4" t="s">
        <v>10772</v>
      </c>
      <c r="E4765" s="3" t="s">
        <v>1076</v>
      </c>
      <c r="F4765" s="3" t="s">
        <v>4668</v>
      </c>
      <c r="G4765" s="3"/>
      <c r="H4765" s="4" t="s">
        <v>10770</v>
      </c>
    </row>
    <row r="4766" ht="16.5" customHeight="1" spans="1:8">
      <c r="A4766" s="3">
        <v>4765</v>
      </c>
      <c r="B4766" s="3" t="s">
        <v>10773</v>
      </c>
      <c r="C4766" s="3" t="s">
        <v>1105</v>
      </c>
      <c r="D4766" s="4" t="s">
        <v>10774</v>
      </c>
      <c r="E4766" s="3" t="s">
        <v>1164</v>
      </c>
      <c r="F4766" s="3" t="s">
        <v>4668</v>
      </c>
      <c r="G4766" s="3"/>
      <c r="H4766" s="4" t="s">
        <v>10770</v>
      </c>
    </row>
    <row r="4767" ht="16.5" customHeight="1" spans="1:8">
      <c r="A4767" s="3">
        <v>4766</v>
      </c>
      <c r="B4767" s="3" t="s">
        <v>10775</v>
      </c>
      <c r="C4767" s="3" t="s">
        <v>1105</v>
      </c>
      <c r="D4767" s="4" t="s">
        <v>10776</v>
      </c>
      <c r="E4767" s="3" t="s">
        <v>1164</v>
      </c>
      <c r="F4767" s="3" t="s">
        <v>4668</v>
      </c>
      <c r="G4767" s="3"/>
      <c r="H4767" s="4" t="s">
        <v>10770</v>
      </c>
    </row>
    <row r="4768" ht="16.5" customHeight="1" spans="1:8">
      <c r="A4768" s="3">
        <v>4767</v>
      </c>
      <c r="B4768" s="3" t="s">
        <v>10777</v>
      </c>
      <c r="C4768" s="3" t="s">
        <v>1105</v>
      </c>
      <c r="D4768" s="4" t="s">
        <v>10778</v>
      </c>
      <c r="E4768" s="3" t="s">
        <v>1837</v>
      </c>
      <c r="F4768" s="3" t="s">
        <v>4668</v>
      </c>
      <c r="G4768" s="3"/>
      <c r="H4768" s="4" t="s">
        <v>10770</v>
      </c>
    </row>
    <row r="4769" ht="16.5" customHeight="1" spans="1:8">
      <c r="A4769" s="3">
        <v>4768</v>
      </c>
      <c r="B4769" s="3" t="s">
        <v>10779</v>
      </c>
      <c r="C4769" s="3" t="s">
        <v>1105</v>
      </c>
      <c r="D4769" s="4" t="s">
        <v>10780</v>
      </c>
      <c r="E4769" s="3" t="s">
        <v>1164</v>
      </c>
      <c r="F4769" s="3" t="s">
        <v>4668</v>
      </c>
      <c r="G4769" s="3"/>
      <c r="H4769" s="4" t="s">
        <v>10770</v>
      </c>
    </row>
    <row r="4770" ht="16.5" customHeight="1" spans="1:8">
      <c r="A4770" s="3">
        <v>4769</v>
      </c>
      <c r="B4770" s="3" t="s">
        <v>10781</v>
      </c>
      <c r="C4770" s="3" t="s">
        <v>1105</v>
      </c>
      <c r="D4770" s="4" t="s">
        <v>10782</v>
      </c>
      <c r="E4770" s="3" t="s">
        <v>1164</v>
      </c>
      <c r="F4770" s="3" t="s">
        <v>4668</v>
      </c>
      <c r="G4770" s="3"/>
      <c r="H4770" s="4" t="s">
        <v>10770</v>
      </c>
    </row>
    <row r="4771" ht="16.5" customHeight="1" spans="1:8">
      <c r="A4771" s="3">
        <v>4770</v>
      </c>
      <c r="B4771" s="3" t="s">
        <v>10783</v>
      </c>
      <c r="C4771" s="3" t="s">
        <v>1105</v>
      </c>
      <c r="D4771" s="4" t="s">
        <v>10784</v>
      </c>
      <c r="E4771" s="3" t="s">
        <v>1164</v>
      </c>
      <c r="F4771" s="3" t="s">
        <v>4668</v>
      </c>
      <c r="G4771" s="3"/>
      <c r="H4771" s="4" t="s">
        <v>10770</v>
      </c>
    </row>
    <row r="4772" ht="16.5" customHeight="1" spans="1:8">
      <c r="A4772" s="3">
        <v>4771</v>
      </c>
      <c r="B4772" s="3" t="s">
        <v>10785</v>
      </c>
      <c r="C4772" s="3" t="s">
        <v>1105</v>
      </c>
      <c r="D4772" s="4" t="s">
        <v>10786</v>
      </c>
      <c r="E4772" s="3" t="s">
        <v>1164</v>
      </c>
      <c r="F4772" s="3" t="s">
        <v>4668</v>
      </c>
      <c r="G4772" s="3"/>
      <c r="H4772" s="4" t="s">
        <v>10770</v>
      </c>
    </row>
    <row r="4773" ht="16.5" customHeight="1" spans="1:8">
      <c r="A4773" s="3">
        <v>4772</v>
      </c>
      <c r="B4773" s="3" t="s">
        <v>10787</v>
      </c>
      <c r="C4773" s="3" t="s">
        <v>1105</v>
      </c>
      <c r="D4773" s="4" t="s">
        <v>10788</v>
      </c>
      <c r="E4773" s="3" t="s">
        <v>1164</v>
      </c>
      <c r="F4773" s="3" t="s">
        <v>4668</v>
      </c>
      <c r="G4773" s="3"/>
      <c r="H4773" s="4" t="s">
        <v>10770</v>
      </c>
    </row>
    <row r="4774" ht="16.5" customHeight="1" spans="1:8">
      <c r="A4774" s="3">
        <v>4773</v>
      </c>
      <c r="B4774" s="3" t="s">
        <v>10789</v>
      </c>
      <c r="C4774" s="3" t="s">
        <v>1105</v>
      </c>
      <c r="D4774" s="4" t="s">
        <v>10790</v>
      </c>
      <c r="E4774" s="3" t="s">
        <v>1164</v>
      </c>
      <c r="F4774" s="3" t="s">
        <v>4668</v>
      </c>
      <c r="G4774" s="3"/>
      <c r="H4774" s="4" t="s">
        <v>10770</v>
      </c>
    </row>
    <row r="4775" ht="16.5" customHeight="1" spans="1:8">
      <c r="A4775" s="3">
        <v>4774</v>
      </c>
      <c r="B4775" s="3" t="s">
        <v>10791</v>
      </c>
      <c r="C4775" s="3" t="s">
        <v>1105</v>
      </c>
      <c r="D4775" s="4" t="s">
        <v>10792</v>
      </c>
      <c r="E4775" s="3" t="s">
        <v>1837</v>
      </c>
      <c r="F4775" s="3" t="s">
        <v>4668</v>
      </c>
      <c r="G4775" s="3"/>
      <c r="H4775" s="4" t="s">
        <v>10770</v>
      </c>
    </row>
    <row r="4776" ht="16.5" customHeight="1" spans="1:8">
      <c r="A4776" s="3">
        <v>4775</v>
      </c>
      <c r="B4776" s="3" t="s">
        <v>10793</v>
      </c>
      <c r="C4776" s="3" t="s">
        <v>1105</v>
      </c>
      <c r="D4776" s="4" t="s">
        <v>10794</v>
      </c>
      <c r="E4776" s="3" t="s">
        <v>1164</v>
      </c>
      <c r="F4776" s="3" t="s">
        <v>4668</v>
      </c>
      <c r="G4776" s="3"/>
      <c r="H4776" s="4" t="s">
        <v>10770</v>
      </c>
    </row>
    <row r="4777" ht="16.5" customHeight="1" spans="1:8">
      <c r="A4777" s="3">
        <v>4776</v>
      </c>
      <c r="B4777" s="3" t="s">
        <v>10795</v>
      </c>
      <c r="C4777" s="3" t="s">
        <v>1105</v>
      </c>
      <c r="D4777" s="4" t="s">
        <v>10796</v>
      </c>
      <c r="E4777" s="3" t="s">
        <v>1164</v>
      </c>
      <c r="F4777" s="3" t="s">
        <v>4668</v>
      </c>
      <c r="G4777" s="3"/>
      <c r="H4777" s="4" t="s">
        <v>10770</v>
      </c>
    </row>
    <row r="4778" ht="16.5" customHeight="1" spans="1:8">
      <c r="A4778" s="3">
        <v>4777</v>
      </c>
      <c r="B4778" s="3" t="s">
        <v>10797</v>
      </c>
      <c r="C4778" s="3" t="s">
        <v>1105</v>
      </c>
      <c r="D4778" s="4" t="s">
        <v>10798</v>
      </c>
      <c r="E4778" s="3" t="s">
        <v>1837</v>
      </c>
      <c r="F4778" s="3" t="s">
        <v>4668</v>
      </c>
      <c r="G4778" s="3"/>
      <c r="H4778" s="4" t="s">
        <v>10770</v>
      </c>
    </row>
    <row r="4779" ht="16.5" customHeight="1" spans="1:8">
      <c r="A4779" s="3">
        <v>4778</v>
      </c>
      <c r="B4779" s="3" t="s">
        <v>10799</v>
      </c>
      <c r="C4779" s="3" t="s">
        <v>1105</v>
      </c>
      <c r="D4779" s="4" t="s">
        <v>10800</v>
      </c>
      <c r="E4779" s="3" t="s">
        <v>1076</v>
      </c>
      <c r="F4779" s="3" t="s">
        <v>4668</v>
      </c>
      <c r="G4779" s="3"/>
      <c r="H4779" s="4" t="s">
        <v>10770</v>
      </c>
    </row>
    <row r="4780" ht="16.5" customHeight="1" spans="1:8">
      <c r="A4780" s="3">
        <v>4779</v>
      </c>
      <c r="B4780" s="3" t="s">
        <v>10801</v>
      </c>
      <c r="C4780" s="3" t="s">
        <v>1105</v>
      </c>
      <c r="D4780" s="4" t="s">
        <v>10802</v>
      </c>
      <c r="E4780" s="3" t="s">
        <v>1164</v>
      </c>
      <c r="F4780" s="3" t="s">
        <v>4668</v>
      </c>
      <c r="G4780" s="3"/>
      <c r="H4780" s="4" t="s">
        <v>10770</v>
      </c>
    </row>
    <row r="4781" ht="16.5" customHeight="1" spans="1:8">
      <c r="A4781" s="3">
        <v>4780</v>
      </c>
      <c r="B4781" s="3" t="s">
        <v>10803</v>
      </c>
      <c r="C4781" s="3" t="s">
        <v>1105</v>
      </c>
      <c r="D4781" s="4" t="s">
        <v>10804</v>
      </c>
      <c r="E4781" s="3" t="s">
        <v>1164</v>
      </c>
      <c r="F4781" s="3" t="s">
        <v>4668</v>
      </c>
      <c r="G4781" s="3"/>
      <c r="H4781" s="4" t="s">
        <v>10770</v>
      </c>
    </row>
    <row r="4782" ht="16.5" customHeight="1" spans="1:8">
      <c r="A4782" s="3">
        <v>4781</v>
      </c>
      <c r="B4782" s="3" t="s">
        <v>10805</v>
      </c>
      <c r="C4782" s="3" t="s">
        <v>1105</v>
      </c>
      <c r="D4782" s="4" t="s">
        <v>10806</v>
      </c>
      <c r="E4782" s="3" t="s">
        <v>1164</v>
      </c>
      <c r="F4782" s="3" t="s">
        <v>4668</v>
      </c>
      <c r="G4782" s="3"/>
      <c r="H4782" s="4" t="s">
        <v>10770</v>
      </c>
    </row>
    <row r="4783" ht="16.5" customHeight="1" spans="1:8">
      <c r="A4783" s="3">
        <v>4782</v>
      </c>
      <c r="B4783" s="3" t="s">
        <v>10807</v>
      </c>
      <c r="C4783" s="3" t="s">
        <v>1105</v>
      </c>
      <c r="D4783" s="4" t="s">
        <v>10808</v>
      </c>
      <c r="E4783" s="3" t="s">
        <v>1837</v>
      </c>
      <c r="F4783" s="3" t="s">
        <v>4668</v>
      </c>
      <c r="G4783" s="3"/>
      <c r="H4783" s="4" t="s">
        <v>10770</v>
      </c>
    </row>
    <row r="4784" ht="16.5" customHeight="1" spans="1:8">
      <c r="A4784" s="3">
        <v>4783</v>
      </c>
      <c r="B4784" s="3" t="s">
        <v>10809</v>
      </c>
      <c r="C4784" s="3" t="s">
        <v>1105</v>
      </c>
      <c r="D4784" s="4" t="s">
        <v>10810</v>
      </c>
      <c r="E4784" s="3" t="s">
        <v>1164</v>
      </c>
      <c r="F4784" s="3" t="s">
        <v>4668</v>
      </c>
      <c r="G4784" s="3"/>
      <c r="H4784" s="4" t="s">
        <v>10770</v>
      </c>
    </row>
    <row r="4785" ht="16.5" customHeight="1" spans="1:8">
      <c r="A4785" s="3">
        <v>4784</v>
      </c>
      <c r="B4785" s="3" t="s">
        <v>10811</v>
      </c>
      <c r="C4785" s="3" t="s">
        <v>1105</v>
      </c>
      <c r="D4785" s="4" t="s">
        <v>10812</v>
      </c>
      <c r="E4785" s="3" t="s">
        <v>1837</v>
      </c>
      <c r="F4785" s="3" t="s">
        <v>4668</v>
      </c>
      <c r="G4785" s="3"/>
      <c r="H4785" s="4" t="s">
        <v>10770</v>
      </c>
    </row>
    <row r="4786" ht="16.5" customHeight="1" spans="1:8">
      <c r="A4786" s="3">
        <v>4785</v>
      </c>
      <c r="B4786" s="3" t="s">
        <v>10813</v>
      </c>
      <c r="C4786" s="3" t="s">
        <v>1105</v>
      </c>
      <c r="D4786" s="4" t="s">
        <v>10812</v>
      </c>
      <c r="E4786" s="3" t="s">
        <v>1837</v>
      </c>
      <c r="F4786" s="3" t="s">
        <v>4668</v>
      </c>
      <c r="G4786" s="3"/>
      <c r="H4786" s="4" t="s">
        <v>10770</v>
      </c>
    </row>
    <row r="4787" ht="16.5" customHeight="1" spans="1:8">
      <c r="A4787" s="3">
        <v>4786</v>
      </c>
      <c r="B4787" s="3" t="s">
        <v>10814</v>
      </c>
      <c r="C4787" s="3" t="s">
        <v>1105</v>
      </c>
      <c r="D4787" s="4" t="s">
        <v>10815</v>
      </c>
      <c r="E4787" s="3" t="s">
        <v>1837</v>
      </c>
      <c r="F4787" s="3" t="s">
        <v>4668</v>
      </c>
      <c r="G4787" s="3"/>
      <c r="H4787" s="4" t="s">
        <v>10770</v>
      </c>
    </row>
    <row r="4788" ht="16.5" customHeight="1" spans="1:8">
      <c r="A4788" s="3">
        <v>4787</v>
      </c>
      <c r="B4788" s="3" t="s">
        <v>10816</v>
      </c>
      <c r="C4788" s="3" t="s">
        <v>1105</v>
      </c>
      <c r="D4788" s="4" t="s">
        <v>10817</v>
      </c>
      <c r="E4788" s="3" t="s">
        <v>1837</v>
      </c>
      <c r="F4788" s="3" t="s">
        <v>4668</v>
      </c>
      <c r="G4788" s="3"/>
      <c r="H4788" s="4" t="s">
        <v>10770</v>
      </c>
    </row>
    <row r="4789" ht="16.5" customHeight="1" spans="1:8">
      <c r="A4789" s="3">
        <v>4788</v>
      </c>
      <c r="B4789" s="3" t="s">
        <v>10818</v>
      </c>
      <c r="C4789" s="3" t="s">
        <v>1105</v>
      </c>
      <c r="D4789" s="4" t="s">
        <v>10819</v>
      </c>
      <c r="E4789" s="3" t="s">
        <v>1837</v>
      </c>
      <c r="F4789" s="3" t="s">
        <v>4668</v>
      </c>
      <c r="G4789" s="3"/>
      <c r="H4789" s="4" t="s">
        <v>10770</v>
      </c>
    </row>
    <row r="4790" ht="16.5" customHeight="1" spans="1:8">
      <c r="A4790" s="3">
        <v>4789</v>
      </c>
      <c r="B4790" s="3" t="s">
        <v>10820</v>
      </c>
      <c r="C4790" s="3" t="s">
        <v>1105</v>
      </c>
      <c r="D4790" s="4" t="s">
        <v>10821</v>
      </c>
      <c r="E4790" s="3" t="s">
        <v>1837</v>
      </c>
      <c r="F4790" s="3" t="s">
        <v>4668</v>
      </c>
      <c r="G4790" s="3"/>
      <c r="H4790" s="4" t="s">
        <v>10770</v>
      </c>
    </row>
    <row r="4791" ht="16.5" customHeight="1" spans="1:8">
      <c r="A4791" s="3">
        <v>4790</v>
      </c>
      <c r="B4791" s="3" t="s">
        <v>10822</v>
      </c>
      <c r="C4791" s="3" t="s">
        <v>1105</v>
      </c>
      <c r="D4791" s="4" t="s">
        <v>10823</v>
      </c>
      <c r="E4791" s="3" t="s">
        <v>1076</v>
      </c>
      <c r="F4791" s="3" t="s">
        <v>4668</v>
      </c>
      <c r="G4791" s="3"/>
      <c r="H4791" s="4" t="s">
        <v>10770</v>
      </c>
    </row>
    <row r="4792" ht="16.5" customHeight="1" spans="1:8">
      <c r="A4792" s="3">
        <v>4791</v>
      </c>
      <c r="B4792" s="3" t="s">
        <v>10824</v>
      </c>
      <c r="C4792" s="3" t="s">
        <v>2163</v>
      </c>
      <c r="D4792" s="4" t="s">
        <v>10825</v>
      </c>
      <c r="E4792" s="3" t="s">
        <v>1076</v>
      </c>
      <c r="F4792" s="3" t="s">
        <v>1358</v>
      </c>
      <c r="G4792" s="3" t="s">
        <v>321</v>
      </c>
      <c r="H4792" s="4" t="s">
        <v>3354</v>
      </c>
    </row>
    <row r="4793" ht="16.5" customHeight="1" spans="1:8">
      <c r="A4793" s="3">
        <v>4792</v>
      </c>
      <c r="B4793" s="3" t="s">
        <v>10826</v>
      </c>
      <c r="C4793" s="3" t="s">
        <v>2163</v>
      </c>
      <c r="D4793" s="4" t="s">
        <v>10827</v>
      </c>
      <c r="E4793" s="3" t="s">
        <v>1076</v>
      </c>
      <c r="F4793" s="3" t="s">
        <v>2105</v>
      </c>
      <c r="G4793" s="3"/>
      <c r="H4793" s="4" t="s">
        <v>3812</v>
      </c>
    </row>
    <row r="4794" ht="16.5" customHeight="1" spans="1:8">
      <c r="A4794" s="3">
        <v>4793</v>
      </c>
      <c r="B4794" s="3" t="s">
        <v>10828</v>
      </c>
      <c r="C4794" s="3" t="s">
        <v>2163</v>
      </c>
      <c r="D4794" s="4" t="s">
        <v>10829</v>
      </c>
      <c r="E4794" s="3" t="s">
        <v>1076</v>
      </c>
      <c r="F4794" s="3" t="s">
        <v>2041</v>
      </c>
      <c r="G4794" s="3" t="s">
        <v>321</v>
      </c>
      <c r="H4794" s="4" t="s">
        <v>1305</v>
      </c>
    </row>
    <row r="4795" ht="16.5" customHeight="1" spans="1:8">
      <c r="A4795" s="3">
        <v>4794</v>
      </c>
      <c r="B4795" s="3" t="s">
        <v>10830</v>
      </c>
      <c r="C4795" s="3" t="s">
        <v>2163</v>
      </c>
      <c r="D4795" s="4" t="s">
        <v>10831</v>
      </c>
      <c r="E4795" s="3" t="s">
        <v>1076</v>
      </c>
      <c r="F4795" s="3" t="s">
        <v>2041</v>
      </c>
      <c r="G4795" s="3" t="s">
        <v>321</v>
      </c>
      <c r="H4795" s="4" t="s">
        <v>1305</v>
      </c>
    </row>
    <row r="4796" ht="16.5" customHeight="1" spans="1:8">
      <c r="A4796" s="3">
        <v>4795</v>
      </c>
      <c r="B4796" s="3" t="s">
        <v>10832</v>
      </c>
      <c r="C4796" s="3" t="s">
        <v>2163</v>
      </c>
      <c r="D4796" s="4" t="s">
        <v>10833</v>
      </c>
      <c r="E4796" s="3" t="s">
        <v>1076</v>
      </c>
      <c r="F4796" s="3" t="s">
        <v>2041</v>
      </c>
      <c r="G4796" s="3" t="s">
        <v>321</v>
      </c>
      <c r="H4796" s="4" t="s">
        <v>1305</v>
      </c>
    </row>
    <row r="4797" ht="16.5" customHeight="1" spans="1:8">
      <c r="A4797" s="3">
        <v>4796</v>
      </c>
      <c r="B4797" s="3" t="s">
        <v>10834</v>
      </c>
      <c r="C4797" s="3" t="s">
        <v>2163</v>
      </c>
      <c r="D4797" s="4" t="s">
        <v>10835</v>
      </c>
      <c r="E4797" s="3" t="s">
        <v>1076</v>
      </c>
      <c r="F4797" s="3" t="s">
        <v>2105</v>
      </c>
      <c r="G4797" s="3"/>
      <c r="H4797" s="4" t="s">
        <v>9108</v>
      </c>
    </row>
    <row r="4798" ht="16.5" customHeight="1" spans="1:8">
      <c r="A4798" s="3">
        <v>4797</v>
      </c>
      <c r="B4798" s="3" t="s">
        <v>268</v>
      </c>
      <c r="C4798" s="3" t="s">
        <v>1074</v>
      </c>
      <c r="D4798" s="4" t="s">
        <v>10836</v>
      </c>
      <c r="E4798" s="3" t="s">
        <v>1076</v>
      </c>
      <c r="F4798" s="3" t="s">
        <v>8175</v>
      </c>
      <c r="G4798" s="3"/>
      <c r="H4798" s="4" t="s">
        <v>7240</v>
      </c>
    </row>
    <row r="4799" ht="16.5" customHeight="1" spans="1:8">
      <c r="A4799" s="3">
        <v>4798</v>
      </c>
      <c r="B4799" s="3" t="s">
        <v>10837</v>
      </c>
      <c r="C4799" s="3" t="s">
        <v>2163</v>
      </c>
      <c r="D4799" s="4" t="s">
        <v>10838</v>
      </c>
      <c r="E4799" s="3" t="s">
        <v>1076</v>
      </c>
      <c r="F4799" s="3" t="s">
        <v>2105</v>
      </c>
      <c r="G4799" s="3"/>
      <c r="H4799" s="4" t="s">
        <v>9108</v>
      </c>
    </row>
    <row r="4800" ht="16.5" customHeight="1" spans="1:8">
      <c r="A4800" s="3">
        <v>4799</v>
      </c>
      <c r="B4800" s="3" t="s">
        <v>10839</v>
      </c>
      <c r="C4800" s="3" t="s">
        <v>1074</v>
      </c>
      <c r="D4800" s="4" t="s">
        <v>10840</v>
      </c>
      <c r="E4800" s="3" t="s">
        <v>1076</v>
      </c>
      <c r="F4800" s="3" t="s">
        <v>8175</v>
      </c>
      <c r="G4800" s="3"/>
      <c r="H4800" s="4" t="s">
        <v>7243</v>
      </c>
    </row>
    <row r="4801" ht="16.5" customHeight="1" spans="1:8">
      <c r="A4801" s="3">
        <v>4800</v>
      </c>
      <c r="B4801" s="3" t="s">
        <v>10841</v>
      </c>
      <c r="C4801" s="3" t="s">
        <v>1356</v>
      </c>
      <c r="D4801" s="4" t="s">
        <v>10842</v>
      </c>
      <c r="E4801" s="3" t="s">
        <v>1076</v>
      </c>
      <c r="F4801" s="3" t="s">
        <v>1358</v>
      </c>
      <c r="G4801" s="3"/>
      <c r="H4801" s="4"/>
    </row>
    <row r="4802" ht="16.5" customHeight="1" spans="1:8">
      <c r="A4802" s="3">
        <v>4801</v>
      </c>
      <c r="B4802" s="3" t="s">
        <v>10843</v>
      </c>
      <c r="C4802" s="3" t="s">
        <v>1356</v>
      </c>
      <c r="D4802" s="4" t="s">
        <v>5854</v>
      </c>
      <c r="E4802" s="3" t="s">
        <v>1076</v>
      </c>
      <c r="F4802" s="3" t="s">
        <v>1358</v>
      </c>
      <c r="G4802" s="3"/>
      <c r="H4802" s="4"/>
    </row>
    <row r="4803" ht="16.5" customHeight="1" spans="1:8">
      <c r="A4803" s="3">
        <v>4802</v>
      </c>
      <c r="B4803" s="3" t="s">
        <v>10844</v>
      </c>
      <c r="C4803" s="3" t="s">
        <v>1356</v>
      </c>
      <c r="D4803" s="4" t="s">
        <v>10845</v>
      </c>
      <c r="E4803" s="3" t="s">
        <v>1076</v>
      </c>
      <c r="F4803" s="3" t="s">
        <v>1358</v>
      </c>
      <c r="G4803" s="3" t="s">
        <v>321</v>
      </c>
      <c r="H4803" s="4"/>
    </row>
    <row r="4804" ht="16.5" customHeight="1" spans="1:8">
      <c r="A4804" s="3">
        <v>4803</v>
      </c>
      <c r="B4804" s="3" t="s">
        <v>10846</v>
      </c>
      <c r="C4804" s="3" t="s">
        <v>1356</v>
      </c>
      <c r="D4804" s="4" t="s">
        <v>10847</v>
      </c>
      <c r="E4804" s="3" t="s">
        <v>1076</v>
      </c>
      <c r="F4804" s="3" t="s">
        <v>1358</v>
      </c>
      <c r="G4804" s="3"/>
      <c r="H4804" s="4"/>
    </row>
    <row r="4805" ht="16.5" customHeight="1" spans="1:8">
      <c r="A4805" s="3">
        <v>4804</v>
      </c>
      <c r="B4805" s="3" t="s">
        <v>10848</v>
      </c>
      <c r="C4805" s="3" t="s">
        <v>1356</v>
      </c>
      <c r="D4805" s="4" t="s">
        <v>10849</v>
      </c>
      <c r="E4805" s="3" t="s">
        <v>1076</v>
      </c>
      <c r="F4805" s="3" t="s">
        <v>1358</v>
      </c>
      <c r="G4805" s="3"/>
      <c r="H4805" s="4"/>
    </row>
    <row r="4806" ht="16.5" customHeight="1" spans="1:8">
      <c r="A4806" s="3">
        <v>4805</v>
      </c>
      <c r="B4806" s="3" t="s">
        <v>10850</v>
      </c>
      <c r="C4806" s="3" t="s">
        <v>1356</v>
      </c>
      <c r="D4806" s="4" t="s">
        <v>10851</v>
      </c>
      <c r="E4806" s="3" t="s">
        <v>1076</v>
      </c>
      <c r="F4806" s="3" t="s">
        <v>1358</v>
      </c>
      <c r="G4806" s="3"/>
      <c r="H4806" s="4"/>
    </row>
    <row r="4807" ht="16.5" customHeight="1" spans="1:8">
      <c r="A4807" s="3">
        <v>4806</v>
      </c>
      <c r="B4807" s="3" t="s">
        <v>10852</v>
      </c>
      <c r="C4807" s="3" t="s">
        <v>2163</v>
      </c>
      <c r="D4807" s="4" t="s">
        <v>10853</v>
      </c>
      <c r="E4807" s="3" t="s">
        <v>1076</v>
      </c>
      <c r="F4807" s="3" t="s">
        <v>4668</v>
      </c>
      <c r="G4807" s="3"/>
      <c r="H4807" s="4" t="s">
        <v>9016</v>
      </c>
    </row>
    <row r="4808" ht="16.5" customHeight="1" spans="1:8">
      <c r="A4808" s="3">
        <v>4807</v>
      </c>
      <c r="B4808" s="3" t="s">
        <v>10854</v>
      </c>
      <c r="C4808" s="3" t="s">
        <v>1356</v>
      </c>
      <c r="D4808" s="4" t="s">
        <v>10855</v>
      </c>
      <c r="E4808" s="3" t="s">
        <v>2726</v>
      </c>
      <c r="F4808" s="3" t="s">
        <v>4668</v>
      </c>
      <c r="G4808" s="3"/>
      <c r="H4808" s="4" t="s">
        <v>1359</v>
      </c>
    </row>
    <row r="4809" ht="16.5" customHeight="1" spans="1:8">
      <c r="A4809" s="3">
        <v>4808</v>
      </c>
      <c r="B4809" s="3" t="s">
        <v>10856</v>
      </c>
      <c r="C4809" s="3" t="s">
        <v>1356</v>
      </c>
      <c r="D4809" s="4" t="s">
        <v>10857</v>
      </c>
      <c r="E4809" s="3" t="s">
        <v>1076</v>
      </c>
      <c r="F4809" s="3" t="s">
        <v>4668</v>
      </c>
      <c r="G4809" s="3"/>
      <c r="H4809" s="4" t="s">
        <v>9016</v>
      </c>
    </row>
    <row r="4810" ht="16.5" customHeight="1" spans="1:8">
      <c r="A4810" s="3">
        <v>4809</v>
      </c>
      <c r="B4810" s="3" t="s">
        <v>10858</v>
      </c>
      <c r="C4810" s="3" t="s">
        <v>2163</v>
      </c>
      <c r="D4810" s="4" t="s">
        <v>10859</v>
      </c>
      <c r="E4810" s="3" t="s">
        <v>1076</v>
      </c>
      <c r="F4810" s="3" t="s">
        <v>4668</v>
      </c>
      <c r="G4810" s="3"/>
      <c r="H4810" s="4" t="s">
        <v>10724</v>
      </c>
    </row>
    <row r="4811" ht="16.5" customHeight="1" spans="1:8">
      <c r="A4811" s="3">
        <v>4810</v>
      </c>
      <c r="B4811" s="3" t="s">
        <v>10860</v>
      </c>
      <c r="C4811" s="3" t="s">
        <v>2163</v>
      </c>
      <c r="D4811" s="4" t="s">
        <v>10861</v>
      </c>
      <c r="E4811" s="3" t="s">
        <v>1076</v>
      </c>
      <c r="F4811" s="3" t="s">
        <v>2041</v>
      </c>
      <c r="G4811" s="3" t="s">
        <v>321</v>
      </c>
      <c r="H4811" s="4" t="s">
        <v>3354</v>
      </c>
    </row>
    <row r="4812" ht="16.5" customHeight="1" spans="1:8">
      <c r="A4812" s="3">
        <v>4811</v>
      </c>
      <c r="B4812" s="3" t="s">
        <v>10862</v>
      </c>
      <c r="C4812" s="3" t="s">
        <v>2163</v>
      </c>
      <c r="D4812" s="4" t="s">
        <v>10863</v>
      </c>
      <c r="E4812" s="3" t="s">
        <v>3093</v>
      </c>
      <c r="F4812" s="3" t="s">
        <v>2041</v>
      </c>
      <c r="G4812" s="3" t="s">
        <v>321</v>
      </c>
      <c r="H4812" s="4" t="s">
        <v>3351</v>
      </c>
    </row>
    <row r="4813" ht="16.5" customHeight="1" spans="1:8">
      <c r="A4813" s="3">
        <v>4812</v>
      </c>
      <c r="B4813" s="3" t="s">
        <v>10864</v>
      </c>
      <c r="C4813" s="3" t="s">
        <v>1099</v>
      </c>
      <c r="D4813" s="4" t="s">
        <v>10865</v>
      </c>
      <c r="E4813" s="3" t="s">
        <v>1164</v>
      </c>
      <c r="F4813" s="3" t="s">
        <v>10259</v>
      </c>
      <c r="G4813" s="3" t="s">
        <v>321</v>
      </c>
      <c r="H4813" s="4"/>
    </row>
    <row r="4814" ht="16.5" customHeight="1" spans="1:8">
      <c r="A4814" s="3">
        <v>4813</v>
      </c>
      <c r="B4814" s="3" t="s">
        <v>10866</v>
      </c>
      <c r="C4814" s="3" t="s">
        <v>2163</v>
      </c>
      <c r="D4814" s="4" t="s">
        <v>10867</v>
      </c>
      <c r="E4814" s="3" t="s">
        <v>3954</v>
      </c>
      <c r="F4814" s="3" t="s">
        <v>10259</v>
      </c>
      <c r="G4814" s="3"/>
      <c r="H4814" s="4" t="s">
        <v>10724</v>
      </c>
    </row>
    <row r="4815" ht="16.5" customHeight="1" spans="1:8">
      <c r="A4815" s="3">
        <v>4814</v>
      </c>
      <c r="B4815" s="3" t="s">
        <v>10868</v>
      </c>
      <c r="C4815" s="3" t="s">
        <v>1356</v>
      </c>
      <c r="D4815" s="4" t="s">
        <v>10869</v>
      </c>
      <c r="E4815" s="3" t="s">
        <v>1076</v>
      </c>
      <c r="F4815" s="3" t="s">
        <v>10259</v>
      </c>
      <c r="G4815" s="3"/>
      <c r="H4815" s="4" t="s">
        <v>10724</v>
      </c>
    </row>
    <row r="4816" ht="16.5" customHeight="1" spans="1:8">
      <c r="A4816" s="3">
        <v>4815</v>
      </c>
      <c r="B4816" s="3" t="s">
        <v>10870</v>
      </c>
      <c r="C4816" s="3" t="s">
        <v>1356</v>
      </c>
      <c r="D4816" s="4" t="s">
        <v>10871</v>
      </c>
      <c r="E4816" s="3" t="s">
        <v>1076</v>
      </c>
      <c r="F4816" s="3" t="s">
        <v>10259</v>
      </c>
      <c r="G4816" s="3"/>
      <c r="H4816" s="4" t="s">
        <v>10724</v>
      </c>
    </row>
    <row r="4817" ht="16.5" customHeight="1" spans="1:8">
      <c r="A4817" s="3">
        <v>4816</v>
      </c>
      <c r="B4817" s="3" t="s">
        <v>10872</v>
      </c>
      <c r="C4817" s="3" t="s">
        <v>2163</v>
      </c>
      <c r="D4817" s="4" t="s">
        <v>10873</v>
      </c>
      <c r="E4817" s="3" t="s">
        <v>1076</v>
      </c>
      <c r="F4817" s="3" t="s">
        <v>2041</v>
      </c>
      <c r="G4817" s="3" t="s">
        <v>321</v>
      </c>
      <c r="H4817" s="4" t="s">
        <v>3354</v>
      </c>
    </row>
    <row r="4818" ht="16.5" customHeight="1" spans="1:8">
      <c r="A4818" s="3">
        <v>4817</v>
      </c>
      <c r="B4818" s="3" t="s">
        <v>10874</v>
      </c>
      <c r="C4818" s="3" t="s">
        <v>6377</v>
      </c>
      <c r="D4818" s="4" t="s">
        <v>10875</v>
      </c>
      <c r="E4818" s="3" t="s">
        <v>1218</v>
      </c>
      <c r="F4818" s="3" t="s">
        <v>10259</v>
      </c>
      <c r="G4818" s="3"/>
      <c r="H4818" s="4" t="s">
        <v>1095</v>
      </c>
    </row>
    <row r="4819" ht="16.5" customHeight="1" spans="1:8">
      <c r="A4819" s="3">
        <v>4818</v>
      </c>
      <c r="B4819" s="3" t="s">
        <v>10876</v>
      </c>
      <c r="C4819" s="3" t="s">
        <v>6377</v>
      </c>
      <c r="D4819" s="4" t="s">
        <v>10877</v>
      </c>
      <c r="E4819" s="3" t="s">
        <v>1218</v>
      </c>
      <c r="F4819" s="3" t="s">
        <v>10259</v>
      </c>
      <c r="G4819" s="3"/>
      <c r="H4819" s="4" t="s">
        <v>1095</v>
      </c>
    </row>
    <row r="4820" ht="16.5" customHeight="1" spans="1:8">
      <c r="A4820" s="3">
        <v>4819</v>
      </c>
      <c r="B4820" s="3" t="s">
        <v>10878</v>
      </c>
      <c r="C4820" s="3" t="s">
        <v>2163</v>
      </c>
      <c r="D4820" s="4" t="s">
        <v>10879</v>
      </c>
      <c r="E4820" s="3" t="s">
        <v>2726</v>
      </c>
      <c r="F4820" s="3" t="s">
        <v>4668</v>
      </c>
      <c r="G4820" s="3"/>
      <c r="H4820" s="4" t="s">
        <v>1359</v>
      </c>
    </row>
    <row r="4821" ht="16.5" customHeight="1" spans="1:8">
      <c r="A4821" s="3">
        <v>4820</v>
      </c>
      <c r="B4821" s="3" t="s">
        <v>10880</v>
      </c>
      <c r="C4821" s="3" t="s">
        <v>2163</v>
      </c>
      <c r="D4821" s="4" t="s">
        <v>10881</v>
      </c>
      <c r="E4821" s="3" t="s">
        <v>1076</v>
      </c>
      <c r="F4821" s="3" t="s">
        <v>4668</v>
      </c>
      <c r="G4821" s="3"/>
      <c r="H4821" s="4" t="s">
        <v>10724</v>
      </c>
    </row>
    <row r="4822" ht="16.5" customHeight="1" spans="1:8">
      <c r="A4822" s="3">
        <v>4821</v>
      </c>
      <c r="B4822" s="3" t="s">
        <v>10882</v>
      </c>
      <c r="C4822" s="3" t="s">
        <v>1356</v>
      </c>
      <c r="D4822" s="4" t="s">
        <v>10883</v>
      </c>
      <c r="E4822" s="3" t="s">
        <v>2726</v>
      </c>
      <c r="F4822" s="3" t="s">
        <v>10259</v>
      </c>
      <c r="G4822" s="3"/>
      <c r="H4822" s="4" t="s">
        <v>3812</v>
      </c>
    </row>
    <row r="4823" ht="16.5" customHeight="1" spans="1:8">
      <c r="A4823" s="3">
        <v>4822</v>
      </c>
      <c r="B4823" s="3" t="s">
        <v>10884</v>
      </c>
      <c r="C4823" s="3" t="s">
        <v>2163</v>
      </c>
      <c r="D4823" s="4" t="s">
        <v>10885</v>
      </c>
      <c r="E4823" s="3" t="s">
        <v>8871</v>
      </c>
      <c r="F4823" s="3" t="s">
        <v>4668</v>
      </c>
      <c r="G4823" s="3"/>
      <c r="H4823" s="4" t="s">
        <v>1843</v>
      </c>
    </row>
    <row r="4824" ht="16.5" customHeight="1" spans="1:8">
      <c r="A4824" s="3">
        <v>4823</v>
      </c>
      <c r="B4824" s="3" t="s">
        <v>10886</v>
      </c>
      <c r="C4824" s="3" t="s">
        <v>2163</v>
      </c>
      <c r="D4824" s="4" t="s">
        <v>10887</v>
      </c>
      <c r="E4824" s="3" t="s">
        <v>1076</v>
      </c>
      <c r="F4824" s="3" t="s">
        <v>2105</v>
      </c>
      <c r="G4824" s="3"/>
      <c r="H4824" s="4" t="s">
        <v>5664</v>
      </c>
    </row>
    <row r="4825" ht="16.5" customHeight="1" spans="1:8">
      <c r="A4825" s="3">
        <v>4824</v>
      </c>
      <c r="B4825" s="3" t="s">
        <v>10888</v>
      </c>
      <c r="C4825" s="3" t="s">
        <v>1074</v>
      </c>
      <c r="D4825" s="4" t="s">
        <v>10889</v>
      </c>
      <c r="E4825" s="3" t="s">
        <v>1076</v>
      </c>
      <c r="F4825" s="3" t="s">
        <v>10259</v>
      </c>
      <c r="G4825" s="3"/>
      <c r="H4825" s="4" t="s">
        <v>1305</v>
      </c>
    </row>
    <row r="4826" ht="16.5" customHeight="1" spans="1:8">
      <c r="A4826" s="3">
        <v>4825</v>
      </c>
      <c r="B4826" s="3" t="s">
        <v>10890</v>
      </c>
      <c r="C4826" s="3" t="s">
        <v>2163</v>
      </c>
      <c r="D4826" s="4" t="s">
        <v>10891</v>
      </c>
      <c r="E4826" s="3" t="s">
        <v>1076</v>
      </c>
      <c r="F4826" s="3" t="s">
        <v>4668</v>
      </c>
      <c r="G4826" s="3"/>
      <c r="H4826" s="4"/>
    </row>
    <row r="4827" ht="16.5" customHeight="1" spans="1:8">
      <c r="A4827" s="3">
        <v>4826</v>
      </c>
      <c r="B4827" s="3" t="s">
        <v>10892</v>
      </c>
      <c r="C4827" s="3" t="s">
        <v>2163</v>
      </c>
      <c r="D4827" s="4" t="s">
        <v>10893</v>
      </c>
      <c r="E4827" s="3" t="s">
        <v>1076</v>
      </c>
      <c r="F4827" s="3" t="s">
        <v>4668</v>
      </c>
      <c r="G4827" s="3"/>
      <c r="H4827" s="4" t="s">
        <v>10724</v>
      </c>
    </row>
    <row r="4828" ht="16.5" customHeight="1" spans="1:8">
      <c r="A4828" s="3">
        <v>4827</v>
      </c>
      <c r="B4828" s="3" t="s">
        <v>10894</v>
      </c>
      <c r="C4828" s="3" t="s">
        <v>2163</v>
      </c>
      <c r="D4828" s="4" t="s">
        <v>10895</v>
      </c>
      <c r="E4828" s="3" t="s">
        <v>1076</v>
      </c>
      <c r="F4828" s="3" t="s">
        <v>4668</v>
      </c>
      <c r="G4828" s="3"/>
      <c r="H4828" s="4" t="s">
        <v>10724</v>
      </c>
    </row>
    <row r="4829" ht="16.5" customHeight="1" spans="1:8">
      <c r="A4829" s="3">
        <v>4828</v>
      </c>
      <c r="B4829" s="3" t="s">
        <v>10896</v>
      </c>
      <c r="C4829" s="3" t="s">
        <v>2163</v>
      </c>
      <c r="D4829" s="4" t="s">
        <v>10897</v>
      </c>
      <c r="E4829" s="3" t="s">
        <v>1076</v>
      </c>
      <c r="F4829" s="3" t="s">
        <v>4668</v>
      </c>
      <c r="G4829" s="3"/>
      <c r="H4829" s="4" t="s">
        <v>10724</v>
      </c>
    </row>
    <row r="4830" ht="16.5" customHeight="1" spans="1:8">
      <c r="A4830" s="3">
        <v>4829</v>
      </c>
      <c r="B4830" s="3" t="s">
        <v>10898</v>
      </c>
      <c r="C4830" s="3" t="s">
        <v>2163</v>
      </c>
      <c r="D4830" s="4" t="s">
        <v>10899</v>
      </c>
      <c r="E4830" s="3" t="s">
        <v>1076</v>
      </c>
      <c r="F4830" s="3" t="s">
        <v>4668</v>
      </c>
      <c r="G4830" s="3"/>
      <c r="H4830" s="4" t="s">
        <v>10724</v>
      </c>
    </row>
    <row r="4831" ht="16.5" customHeight="1" spans="1:8">
      <c r="A4831" s="3">
        <v>4830</v>
      </c>
      <c r="B4831" s="3" t="s">
        <v>10900</v>
      </c>
      <c r="C4831" s="3" t="s">
        <v>2163</v>
      </c>
      <c r="D4831" s="4" t="s">
        <v>10901</v>
      </c>
      <c r="E4831" s="3" t="s">
        <v>1076</v>
      </c>
      <c r="F4831" s="3" t="s">
        <v>4668</v>
      </c>
      <c r="G4831" s="3"/>
      <c r="H4831" s="4"/>
    </row>
    <row r="4832" ht="16.5" customHeight="1" spans="1:8">
      <c r="A4832" s="3">
        <v>4831</v>
      </c>
      <c r="B4832" s="3" t="s">
        <v>10902</v>
      </c>
      <c r="C4832" s="3" t="s">
        <v>2163</v>
      </c>
      <c r="D4832" s="4" t="s">
        <v>10903</v>
      </c>
      <c r="E4832" s="3" t="s">
        <v>1076</v>
      </c>
      <c r="F4832" s="3" t="s">
        <v>4668</v>
      </c>
      <c r="G4832" s="3"/>
      <c r="H4832" s="4" t="s">
        <v>10724</v>
      </c>
    </row>
    <row r="4833" ht="16.5" customHeight="1" spans="1:8">
      <c r="A4833" s="3">
        <v>4832</v>
      </c>
      <c r="B4833" s="3" t="s">
        <v>10904</v>
      </c>
      <c r="C4833" s="3" t="s">
        <v>2163</v>
      </c>
      <c r="D4833" s="4" t="s">
        <v>10905</v>
      </c>
      <c r="E4833" s="3" t="s">
        <v>1076</v>
      </c>
      <c r="F4833" s="3" t="s">
        <v>4668</v>
      </c>
      <c r="G4833" s="3"/>
      <c r="H4833" s="4" t="s">
        <v>10724</v>
      </c>
    </row>
    <row r="4834" ht="16.5" customHeight="1" spans="1:8">
      <c r="A4834" s="3">
        <v>4833</v>
      </c>
      <c r="B4834" s="3" t="s">
        <v>10906</v>
      </c>
      <c r="C4834" s="3" t="s">
        <v>2163</v>
      </c>
      <c r="D4834" s="4" t="s">
        <v>10907</v>
      </c>
      <c r="E4834" s="3" t="s">
        <v>1076</v>
      </c>
      <c r="F4834" s="3" t="s">
        <v>4668</v>
      </c>
      <c r="G4834" s="3"/>
      <c r="H4834" s="4" t="s">
        <v>10724</v>
      </c>
    </row>
    <row r="4835" ht="16.5" customHeight="1" spans="1:8">
      <c r="A4835" s="3">
        <v>4834</v>
      </c>
      <c r="B4835" s="3" t="s">
        <v>10908</v>
      </c>
      <c r="C4835" s="3" t="s">
        <v>2163</v>
      </c>
      <c r="D4835" s="4" t="s">
        <v>10909</v>
      </c>
      <c r="E4835" s="3" t="s">
        <v>1076</v>
      </c>
      <c r="F4835" s="3" t="s">
        <v>4668</v>
      </c>
      <c r="G4835" s="3"/>
      <c r="H4835" s="4" t="s">
        <v>3812</v>
      </c>
    </row>
    <row r="4836" ht="16.5" customHeight="1" spans="1:8">
      <c r="A4836" s="3">
        <v>4835</v>
      </c>
      <c r="B4836" s="3" t="s">
        <v>10910</v>
      </c>
      <c r="C4836" s="3" t="s">
        <v>2163</v>
      </c>
      <c r="D4836" s="4" t="s">
        <v>10911</v>
      </c>
      <c r="E4836" s="3" t="s">
        <v>1076</v>
      </c>
      <c r="F4836" s="3" t="s">
        <v>4668</v>
      </c>
      <c r="G4836" s="3"/>
      <c r="H4836" s="4" t="s">
        <v>3812</v>
      </c>
    </row>
    <row r="4837" ht="16.5" customHeight="1" spans="1:8">
      <c r="A4837" s="3">
        <v>4836</v>
      </c>
      <c r="B4837" s="3" t="s">
        <v>10912</v>
      </c>
      <c r="C4837" s="3" t="s">
        <v>2163</v>
      </c>
      <c r="D4837" s="4" t="s">
        <v>10913</v>
      </c>
      <c r="E4837" s="3" t="s">
        <v>1076</v>
      </c>
      <c r="F4837" s="3" t="s">
        <v>2105</v>
      </c>
      <c r="G4837" s="3"/>
      <c r="H4837" s="4" t="s">
        <v>5664</v>
      </c>
    </row>
    <row r="4838" ht="16.5" customHeight="1" spans="1:8">
      <c r="A4838" s="3">
        <v>4837</v>
      </c>
      <c r="B4838" s="3" t="s">
        <v>10914</v>
      </c>
      <c r="C4838" s="3" t="s">
        <v>2163</v>
      </c>
      <c r="D4838" s="4" t="s">
        <v>10915</v>
      </c>
      <c r="E4838" s="3" t="s">
        <v>1076</v>
      </c>
      <c r="F4838" s="3" t="s">
        <v>4668</v>
      </c>
      <c r="G4838" s="3"/>
      <c r="H4838" s="4" t="s">
        <v>3812</v>
      </c>
    </row>
    <row r="4839" ht="16.5" customHeight="1" spans="1:8">
      <c r="A4839" s="3">
        <v>4838</v>
      </c>
      <c r="B4839" s="3" t="s">
        <v>213</v>
      </c>
      <c r="C4839" s="3" t="s">
        <v>1074</v>
      </c>
      <c r="D4839" s="4" t="s">
        <v>10916</v>
      </c>
      <c r="E4839" s="3" t="s">
        <v>1076</v>
      </c>
      <c r="F4839" s="3" t="s">
        <v>8175</v>
      </c>
      <c r="G4839" s="3"/>
      <c r="H4839" s="4" t="s">
        <v>7161</v>
      </c>
    </row>
    <row r="4840" ht="16.5" customHeight="1" spans="1:8">
      <c r="A4840" s="3">
        <v>4839</v>
      </c>
      <c r="B4840" s="3" t="s">
        <v>10917</v>
      </c>
      <c r="C4840" s="3" t="s">
        <v>2163</v>
      </c>
      <c r="D4840" s="4" t="s">
        <v>10918</v>
      </c>
      <c r="E4840" s="3" t="s">
        <v>2263</v>
      </c>
      <c r="F4840" s="3" t="s">
        <v>4668</v>
      </c>
      <c r="G4840" s="3"/>
      <c r="H4840" s="4" t="s">
        <v>3812</v>
      </c>
    </row>
    <row r="4841" ht="16.5" customHeight="1" spans="1:8">
      <c r="A4841" s="3">
        <v>4840</v>
      </c>
      <c r="B4841" s="3" t="s">
        <v>10919</v>
      </c>
      <c r="C4841" s="3" t="s">
        <v>1074</v>
      </c>
      <c r="D4841" s="4" t="s">
        <v>10920</v>
      </c>
      <c r="E4841" s="3" t="s">
        <v>1218</v>
      </c>
      <c r="F4841" s="3" t="s">
        <v>10259</v>
      </c>
      <c r="G4841" s="3"/>
      <c r="H4841" s="4" t="s">
        <v>3812</v>
      </c>
    </row>
    <row r="4842" ht="16.5" customHeight="1" spans="1:8">
      <c r="A4842" s="3">
        <v>4841</v>
      </c>
      <c r="B4842" s="3" t="s">
        <v>10921</v>
      </c>
      <c r="C4842" s="3" t="s">
        <v>2163</v>
      </c>
      <c r="D4842" s="4" t="s">
        <v>10922</v>
      </c>
      <c r="E4842" s="3" t="s">
        <v>1076</v>
      </c>
      <c r="F4842" s="3" t="s">
        <v>2105</v>
      </c>
      <c r="G4842" s="3"/>
      <c r="H4842" s="4" t="s">
        <v>3812</v>
      </c>
    </row>
    <row r="4843" ht="16.5" customHeight="1" spans="1:8">
      <c r="A4843" s="3">
        <v>4842</v>
      </c>
      <c r="B4843" s="3" t="s">
        <v>10923</v>
      </c>
      <c r="C4843" s="3" t="s">
        <v>2163</v>
      </c>
      <c r="D4843" s="4" t="s">
        <v>10924</v>
      </c>
      <c r="E4843" s="3" t="s">
        <v>1076</v>
      </c>
      <c r="F4843" s="3" t="s">
        <v>2105</v>
      </c>
      <c r="G4843" s="3"/>
      <c r="H4843" s="4" t="s">
        <v>3812</v>
      </c>
    </row>
    <row r="4844" ht="16.5" customHeight="1" spans="1:8">
      <c r="A4844" s="3">
        <v>4843</v>
      </c>
      <c r="B4844" s="3" t="s">
        <v>10925</v>
      </c>
      <c r="C4844" s="3" t="s">
        <v>2163</v>
      </c>
      <c r="D4844" s="4" t="s">
        <v>10926</v>
      </c>
      <c r="E4844" s="3" t="s">
        <v>2263</v>
      </c>
      <c r="F4844" s="3" t="s">
        <v>4668</v>
      </c>
      <c r="G4844" s="3"/>
      <c r="H4844" s="4"/>
    </row>
    <row r="4845" ht="16.5" customHeight="1" spans="1:8">
      <c r="A4845" s="3">
        <v>4844</v>
      </c>
      <c r="B4845" s="3" t="s">
        <v>10927</v>
      </c>
      <c r="C4845" s="3" t="s">
        <v>6964</v>
      </c>
      <c r="D4845" s="4" t="s">
        <v>10928</v>
      </c>
      <c r="E4845" s="3" t="s">
        <v>1837</v>
      </c>
      <c r="F4845" s="3" t="s">
        <v>4668</v>
      </c>
      <c r="G4845" s="3"/>
      <c r="H4845" s="4" t="s">
        <v>10724</v>
      </c>
    </row>
    <row r="4846" ht="16.5" customHeight="1" spans="1:8">
      <c r="A4846" s="3">
        <v>4845</v>
      </c>
      <c r="B4846" s="3" t="s">
        <v>10929</v>
      </c>
      <c r="C4846" s="3" t="s">
        <v>1356</v>
      </c>
      <c r="D4846" s="4" t="s">
        <v>10930</v>
      </c>
      <c r="E4846" s="3" t="s">
        <v>1076</v>
      </c>
      <c r="F4846" s="3" t="s">
        <v>4668</v>
      </c>
      <c r="G4846" s="3"/>
      <c r="H4846" s="4"/>
    </row>
    <row r="4847" ht="16.5" customHeight="1" spans="1:8">
      <c r="A4847" s="3">
        <v>4846</v>
      </c>
      <c r="B4847" s="3" t="s">
        <v>10931</v>
      </c>
      <c r="C4847" s="3" t="s">
        <v>1074</v>
      </c>
      <c r="D4847" s="4" t="s">
        <v>10932</v>
      </c>
      <c r="E4847" s="3" t="s">
        <v>1076</v>
      </c>
      <c r="F4847" s="3" t="s">
        <v>10259</v>
      </c>
      <c r="G4847" s="3"/>
      <c r="H4847" s="4" t="s">
        <v>4198</v>
      </c>
    </row>
    <row r="4848" ht="16.5" customHeight="1" spans="1:8">
      <c r="A4848" s="3">
        <v>4847</v>
      </c>
      <c r="B4848" s="3" t="s">
        <v>10933</v>
      </c>
      <c r="C4848" s="3" t="s">
        <v>1361</v>
      </c>
      <c r="D4848" s="4" t="s">
        <v>10934</v>
      </c>
      <c r="E4848" s="3" t="s">
        <v>1218</v>
      </c>
      <c r="F4848" s="3" t="s">
        <v>2105</v>
      </c>
      <c r="G4848" s="3"/>
      <c r="H4848" s="4"/>
    </row>
    <row r="4849" ht="16.5" customHeight="1" spans="1:8">
      <c r="A4849" s="3">
        <v>4848</v>
      </c>
      <c r="B4849" s="3" t="s">
        <v>10935</v>
      </c>
      <c r="C4849" s="3" t="s">
        <v>1356</v>
      </c>
      <c r="D4849" s="4" t="s">
        <v>10936</v>
      </c>
      <c r="E4849" s="3" t="s">
        <v>1076</v>
      </c>
      <c r="F4849" s="3" t="s">
        <v>10259</v>
      </c>
      <c r="G4849" s="3"/>
      <c r="H4849" s="4" t="s">
        <v>3812</v>
      </c>
    </row>
    <row r="4850" ht="16.5" customHeight="1" spans="1:8">
      <c r="A4850" s="3">
        <v>4849</v>
      </c>
      <c r="B4850" s="3" t="s">
        <v>10937</v>
      </c>
      <c r="C4850" s="3" t="s">
        <v>2163</v>
      </c>
      <c r="D4850" s="4" t="s">
        <v>10938</v>
      </c>
      <c r="E4850" s="3" t="s">
        <v>3093</v>
      </c>
      <c r="F4850" s="3" t="s">
        <v>2041</v>
      </c>
      <c r="G4850" s="3" t="s">
        <v>321</v>
      </c>
      <c r="H4850" s="4" t="s">
        <v>3354</v>
      </c>
    </row>
    <row r="4851" ht="16.5" customHeight="1" spans="1:8">
      <c r="A4851" s="3">
        <v>4850</v>
      </c>
      <c r="B4851" s="3" t="s">
        <v>10939</v>
      </c>
      <c r="C4851" s="3" t="s">
        <v>2163</v>
      </c>
      <c r="D4851" s="4" t="s">
        <v>10940</v>
      </c>
      <c r="E4851" s="3" t="s">
        <v>1076</v>
      </c>
      <c r="F4851" s="3" t="s">
        <v>2105</v>
      </c>
      <c r="G4851" s="3"/>
      <c r="H4851" s="4" t="s">
        <v>5533</v>
      </c>
    </row>
    <row r="4852" ht="16.5" customHeight="1" spans="1:8">
      <c r="A4852" s="3">
        <v>4851</v>
      </c>
      <c r="B4852" s="3" t="s">
        <v>10941</v>
      </c>
      <c r="C4852" s="3" t="s">
        <v>2163</v>
      </c>
      <c r="D4852" s="4" t="s">
        <v>10942</v>
      </c>
      <c r="E4852" s="3" t="s">
        <v>1076</v>
      </c>
      <c r="F4852" s="3" t="s">
        <v>10943</v>
      </c>
      <c r="G4852" s="3"/>
      <c r="H4852" s="4" t="s">
        <v>1368</v>
      </c>
    </row>
    <row r="4853" ht="16.5" customHeight="1" spans="1:8">
      <c r="A4853" s="3">
        <v>4852</v>
      </c>
      <c r="B4853" s="3" t="s">
        <v>10944</v>
      </c>
      <c r="C4853" s="3" t="s">
        <v>2163</v>
      </c>
      <c r="D4853" s="4" t="s">
        <v>10945</v>
      </c>
      <c r="E4853" s="3" t="s">
        <v>8871</v>
      </c>
      <c r="F4853" s="3" t="s">
        <v>2105</v>
      </c>
      <c r="G4853" s="3"/>
      <c r="H4853" s="4" t="s">
        <v>5664</v>
      </c>
    </row>
    <row r="4854" ht="16.5" customHeight="1" spans="1:8">
      <c r="A4854" s="3">
        <v>4853</v>
      </c>
      <c r="B4854" s="3" t="s">
        <v>10946</v>
      </c>
      <c r="C4854" s="3" t="s">
        <v>2163</v>
      </c>
      <c r="D4854" s="4" t="s">
        <v>10947</v>
      </c>
      <c r="E4854" s="3" t="s">
        <v>1076</v>
      </c>
      <c r="F4854" s="3" t="s">
        <v>2105</v>
      </c>
      <c r="G4854" s="3"/>
      <c r="H4854" s="4" t="s">
        <v>3812</v>
      </c>
    </row>
    <row r="4855" ht="16.5" customHeight="1" spans="1:8">
      <c r="A4855" s="3">
        <v>4854</v>
      </c>
      <c r="B4855" s="3" t="s">
        <v>10948</v>
      </c>
      <c r="C4855" s="3" t="s">
        <v>2163</v>
      </c>
      <c r="D4855" s="4" t="s">
        <v>10949</v>
      </c>
      <c r="E4855" s="3" t="s">
        <v>2726</v>
      </c>
      <c r="F4855" s="3" t="s">
        <v>2105</v>
      </c>
      <c r="G4855" s="3"/>
      <c r="H4855" s="4" t="s">
        <v>3812</v>
      </c>
    </row>
    <row r="4856" ht="16.5" customHeight="1" spans="1:8">
      <c r="A4856" s="3">
        <v>4855</v>
      </c>
      <c r="B4856" s="3" t="s">
        <v>10950</v>
      </c>
      <c r="C4856" s="3" t="s">
        <v>1105</v>
      </c>
      <c r="D4856" s="4" t="s">
        <v>10951</v>
      </c>
      <c r="E4856" s="3" t="s">
        <v>1076</v>
      </c>
      <c r="F4856" s="3" t="s">
        <v>4668</v>
      </c>
      <c r="G4856" s="3"/>
      <c r="H4856" s="4" t="s">
        <v>10952</v>
      </c>
    </row>
    <row r="4857" ht="16.5" customHeight="1" spans="1:8">
      <c r="A4857" s="3">
        <v>4856</v>
      </c>
      <c r="B4857" s="3" t="s">
        <v>10953</v>
      </c>
      <c r="C4857" s="3" t="s">
        <v>1105</v>
      </c>
      <c r="D4857" s="4" t="s">
        <v>10954</v>
      </c>
      <c r="E4857" s="3" t="s">
        <v>1076</v>
      </c>
      <c r="F4857" s="3" t="s">
        <v>4668</v>
      </c>
      <c r="G4857" s="3"/>
      <c r="H4857" s="4" t="s">
        <v>10952</v>
      </c>
    </row>
    <row r="4858" ht="16.5" customHeight="1" spans="1:8">
      <c r="A4858" s="3">
        <v>4857</v>
      </c>
      <c r="B4858" s="3" t="s">
        <v>10955</v>
      </c>
      <c r="C4858" s="3" t="s">
        <v>1105</v>
      </c>
      <c r="D4858" s="4" t="s">
        <v>10956</v>
      </c>
      <c r="E4858" s="3" t="s">
        <v>1076</v>
      </c>
      <c r="F4858" s="3" t="s">
        <v>4668</v>
      </c>
      <c r="G4858" s="3"/>
      <c r="H4858" s="4" t="s">
        <v>10952</v>
      </c>
    </row>
    <row r="4859" ht="16.5" customHeight="1" spans="1:8">
      <c r="A4859" s="3">
        <v>4858</v>
      </c>
      <c r="B4859" s="3" t="s">
        <v>10957</v>
      </c>
      <c r="C4859" s="3" t="s">
        <v>1105</v>
      </c>
      <c r="D4859" s="4" t="s">
        <v>10958</v>
      </c>
      <c r="E4859" s="3" t="s">
        <v>1076</v>
      </c>
      <c r="F4859" s="3" t="s">
        <v>4668</v>
      </c>
      <c r="G4859" s="3"/>
      <c r="H4859" s="4" t="s">
        <v>10952</v>
      </c>
    </row>
    <row r="4860" ht="16.5" customHeight="1" spans="1:8">
      <c r="A4860" s="3">
        <v>4859</v>
      </c>
      <c r="B4860" s="3" t="s">
        <v>10959</v>
      </c>
      <c r="C4860" s="3" t="s">
        <v>1105</v>
      </c>
      <c r="D4860" s="4" t="s">
        <v>10960</v>
      </c>
      <c r="E4860" s="3" t="s">
        <v>1076</v>
      </c>
      <c r="F4860" s="3" t="s">
        <v>4668</v>
      </c>
      <c r="G4860" s="3"/>
      <c r="H4860" s="4" t="s">
        <v>10952</v>
      </c>
    </row>
    <row r="4861" ht="16.5" customHeight="1" spans="1:8">
      <c r="A4861" s="3">
        <v>4860</v>
      </c>
      <c r="B4861" s="3" t="s">
        <v>10961</v>
      </c>
      <c r="C4861" s="3" t="s">
        <v>1105</v>
      </c>
      <c r="D4861" s="4" t="s">
        <v>10962</v>
      </c>
      <c r="E4861" s="3" t="s">
        <v>1076</v>
      </c>
      <c r="F4861" s="3" t="s">
        <v>4668</v>
      </c>
      <c r="G4861" s="3"/>
      <c r="H4861" s="4" t="s">
        <v>10952</v>
      </c>
    </row>
    <row r="4862" ht="16.5" customHeight="1" spans="1:8">
      <c r="A4862" s="3">
        <v>4861</v>
      </c>
      <c r="B4862" s="3" t="s">
        <v>10963</v>
      </c>
      <c r="C4862" s="3" t="s">
        <v>1105</v>
      </c>
      <c r="D4862" s="4" t="s">
        <v>10964</v>
      </c>
      <c r="E4862" s="3" t="s">
        <v>1076</v>
      </c>
      <c r="F4862" s="3" t="s">
        <v>4668</v>
      </c>
      <c r="G4862" s="3"/>
      <c r="H4862" s="4" t="s">
        <v>10952</v>
      </c>
    </row>
    <row r="4863" ht="16.5" customHeight="1" spans="1:8">
      <c r="A4863" s="3">
        <v>4862</v>
      </c>
      <c r="B4863" s="3" t="s">
        <v>10965</v>
      </c>
      <c r="C4863" s="3" t="s">
        <v>1105</v>
      </c>
      <c r="D4863" s="4" t="s">
        <v>10966</v>
      </c>
      <c r="E4863" s="3" t="s">
        <v>1076</v>
      </c>
      <c r="F4863" s="3" t="s">
        <v>4668</v>
      </c>
      <c r="G4863" s="3"/>
      <c r="H4863" s="4" t="s">
        <v>10952</v>
      </c>
    </row>
    <row r="4864" ht="16.5" customHeight="1" spans="1:8">
      <c r="A4864" s="3">
        <v>4863</v>
      </c>
      <c r="B4864" s="3" t="s">
        <v>10967</v>
      </c>
      <c r="C4864" s="3" t="s">
        <v>1105</v>
      </c>
      <c r="D4864" s="4" t="s">
        <v>10968</v>
      </c>
      <c r="E4864" s="3" t="s">
        <v>1076</v>
      </c>
      <c r="F4864" s="3" t="s">
        <v>4668</v>
      </c>
      <c r="G4864" s="3"/>
      <c r="H4864" s="4" t="s">
        <v>10952</v>
      </c>
    </row>
    <row r="4865" ht="16.5" customHeight="1" spans="1:8">
      <c r="A4865" s="3">
        <v>4864</v>
      </c>
      <c r="B4865" s="3" t="s">
        <v>10969</v>
      </c>
      <c r="C4865" s="3" t="s">
        <v>1105</v>
      </c>
      <c r="D4865" s="4" t="s">
        <v>10970</v>
      </c>
      <c r="E4865" s="3" t="s">
        <v>1076</v>
      </c>
      <c r="F4865" s="3" t="s">
        <v>4668</v>
      </c>
      <c r="G4865" s="3"/>
      <c r="H4865" s="4" t="s">
        <v>10952</v>
      </c>
    </row>
    <row r="4866" ht="16.5" customHeight="1" spans="1:8">
      <c r="A4866" s="3">
        <v>4865</v>
      </c>
      <c r="B4866" s="3" t="s">
        <v>10971</v>
      </c>
      <c r="C4866" s="3" t="s">
        <v>2163</v>
      </c>
      <c r="D4866" s="4" t="s">
        <v>10972</v>
      </c>
      <c r="E4866" s="3" t="s">
        <v>1076</v>
      </c>
      <c r="F4866" s="3" t="s">
        <v>2041</v>
      </c>
      <c r="G4866" s="3" t="s">
        <v>321</v>
      </c>
      <c r="H4866" s="4" t="s">
        <v>1305</v>
      </c>
    </row>
    <row r="4867" ht="16.5" customHeight="1" spans="1:8">
      <c r="A4867" s="3">
        <v>4866</v>
      </c>
      <c r="B4867" s="3" t="s">
        <v>10973</v>
      </c>
      <c r="C4867" s="3" t="s">
        <v>2163</v>
      </c>
      <c r="D4867" s="4" t="s">
        <v>10974</v>
      </c>
      <c r="E4867" s="3" t="s">
        <v>1076</v>
      </c>
      <c r="F4867" s="3" t="s">
        <v>2105</v>
      </c>
      <c r="G4867" s="3"/>
      <c r="H4867" s="4" t="s">
        <v>5664</v>
      </c>
    </row>
    <row r="4868" ht="16.5" customHeight="1" spans="1:8">
      <c r="A4868" s="3">
        <v>4867</v>
      </c>
      <c r="B4868" s="3" t="s">
        <v>10975</v>
      </c>
      <c r="C4868" s="3" t="s">
        <v>2163</v>
      </c>
      <c r="D4868" s="4" t="s">
        <v>10976</v>
      </c>
      <c r="E4868" s="3" t="s">
        <v>1076</v>
      </c>
      <c r="F4868" s="3" t="s">
        <v>2105</v>
      </c>
      <c r="G4868" s="3"/>
      <c r="H4868" s="4" t="s">
        <v>6877</v>
      </c>
    </row>
    <row r="4869" ht="16.5" customHeight="1" spans="1:8">
      <c r="A4869" s="3">
        <v>4868</v>
      </c>
      <c r="B4869" s="3" t="s">
        <v>10977</v>
      </c>
      <c r="C4869" s="3" t="s">
        <v>2163</v>
      </c>
      <c r="D4869" s="4" t="s">
        <v>10978</v>
      </c>
      <c r="E4869" s="3" t="s">
        <v>1076</v>
      </c>
      <c r="F4869" s="3" t="s">
        <v>2105</v>
      </c>
      <c r="G4869" s="3"/>
      <c r="H4869" s="4" t="s">
        <v>7243</v>
      </c>
    </row>
    <row r="4870" ht="16.5" customHeight="1" spans="1:8">
      <c r="A4870" s="3">
        <v>4869</v>
      </c>
      <c r="B4870" s="3" t="s">
        <v>10979</v>
      </c>
      <c r="C4870" s="3" t="s">
        <v>1361</v>
      </c>
      <c r="D4870" s="4" t="s">
        <v>10980</v>
      </c>
      <c r="E4870" s="3" t="s">
        <v>1218</v>
      </c>
      <c r="F4870" s="3" t="s">
        <v>2105</v>
      </c>
      <c r="G4870" s="3"/>
      <c r="H4870" s="4" t="s">
        <v>3812</v>
      </c>
    </row>
    <row r="4871" ht="16.5" customHeight="1" spans="1:8">
      <c r="A4871" s="3">
        <v>4870</v>
      </c>
      <c r="B4871" s="3" t="s">
        <v>10981</v>
      </c>
      <c r="C4871" s="3" t="s">
        <v>1361</v>
      </c>
      <c r="D4871" s="4" t="s">
        <v>10982</v>
      </c>
      <c r="E4871" s="3" t="s">
        <v>1218</v>
      </c>
      <c r="F4871" s="3" t="s">
        <v>2105</v>
      </c>
      <c r="G4871" s="3"/>
      <c r="H4871" s="4" t="s">
        <v>3812</v>
      </c>
    </row>
    <row r="4872" ht="16.5" customHeight="1" spans="1:8">
      <c r="A4872" s="3">
        <v>4871</v>
      </c>
      <c r="B4872" s="3" t="s">
        <v>10983</v>
      </c>
      <c r="C4872" s="3" t="s">
        <v>1361</v>
      </c>
      <c r="D4872" s="4" t="s">
        <v>10984</v>
      </c>
      <c r="E4872" s="3" t="s">
        <v>1218</v>
      </c>
      <c r="F4872" s="3" t="s">
        <v>2105</v>
      </c>
      <c r="G4872" s="3"/>
      <c r="H4872" s="4" t="s">
        <v>3812</v>
      </c>
    </row>
    <row r="4873" ht="16.5" customHeight="1" spans="1:8">
      <c r="A4873" s="3">
        <v>4872</v>
      </c>
      <c r="B4873" s="3" t="s">
        <v>10985</v>
      </c>
      <c r="C4873" s="3" t="s">
        <v>1361</v>
      </c>
      <c r="D4873" s="4" t="s">
        <v>10986</v>
      </c>
      <c r="E4873" s="3" t="s">
        <v>1218</v>
      </c>
      <c r="F4873" s="3" t="s">
        <v>2105</v>
      </c>
      <c r="G4873" s="3"/>
      <c r="H4873" s="4" t="s">
        <v>3812</v>
      </c>
    </row>
    <row r="4874" ht="16.5" customHeight="1" spans="1:8">
      <c r="A4874" s="3">
        <v>4873</v>
      </c>
      <c r="B4874" s="3" t="s">
        <v>10987</v>
      </c>
      <c r="C4874" s="3" t="s">
        <v>1361</v>
      </c>
      <c r="D4874" s="4" t="s">
        <v>10988</v>
      </c>
      <c r="E4874" s="3" t="s">
        <v>1218</v>
      </c>
      <c r="F4874" s="3" t="s">
        <v>2105</v>
      </c>
      <c r="G4874" s="3"/>
      <c r="H4874" s="4" t="s">
        <v>3812</v>
      </c>
    </row>
    <row r="4875" ht="16.5" customHeight="1" spans="1:8">
      <c r="A4875" s="3">
        <v>4874</v>
      </c>
      <c r="B4875" s="3" t="s">
        <v>10989</v>
      </c>
      <c r="C4875" s="3" t="s">
        <v>1361</v>
      </c>
      <c r="D4875" s="4" t="s">
        <v>10990</v>
      </c>
      <c r="E4875" s="3" t="s">
        <v>1218</v>
      </c>
      <c r="F4875" s="3" t="s">
        <v>2105</v>
      </c>
      <c r="G4875" s="3"/>
      <c r="H4875" s="4" t="s">
        <v>3812</v>
      </c>
    </row>
    <row r="4876" ht="16.5" customHeight="1" spans="1:8">
      <c r="A4876" s="3">
        <v>4875</v>
      </c>
      <c r="B4876" s="3" t="s">
        <v>10991</v>
      </c>
      <c r="C4876" s="3" t="s">
        <v>1361</v>
      </c>
      <c r="D4876" s="4" t="s">
        <v>10992</v>
      </c>
      <c r="E4876" s="3" t="s">
        <v>1218</v>
      </c>
      <c r="F4876" s="3" t="s">
        <v>2105</v>
      </c>
      <c r="G4876" s="3"/>
      <c r="H4876" s="4" t="s">
        <v>3812</v>
      </c>
    </row>
    <row r="4877" ht="16.5" customHeight="1" spans="1:8">
      <c r="A4877" s="3">
        <v>4876</v>
      </c>
      <c r="B4877" s="3" t="s">
        <v>10993</v>
      </c>
      <c r="C4877" s="3" t="s">
        <v>1361</v>
      </c>
      <c r="D4877" s="4" t="s">
        <v>10994</v>
      </c>
      <c r="E4877" s="3" t="s">
        <v>1218</v>
      </c>
      <c r="F4877" s="3" t="s">
        <v>2105</v>
      </c>
      <c r="G4877" s="3"/>
      <c r="H4877" s="4" t="s">
        <v>3812</v>
      </c>
    </row>
    <row r="4878" ht="16.5" customHeight="1" spans="1:8">
      <c r="A4878" s="3">
        <v>4877</v>
      </c>
      <c r="B4878" s="3" t="s">
        <v>10995</v>
      </c>
      <c r="C4878" s="3" t="s">
        <v>1361</v>
      </c>
      <c r="D4878" s="4" t="s">
        <v>10996</v>
      </c>
      <c r="E4878" s="3" t="s">
        <v>1218</v>
      </c>
      <c r="F4878" s="3" t="s">
        <v>2105</v>
      </c>
      <c r="G4878" s="3"/>
      <c r="H4878" s="4" t="s">
        <v>3812</v>
      </c>
    </row>
    <row r="4879" ht="16.5" customHeight="1" spans="1:8">
      <c r="A4879" s="3">
        <v>4878</v>
      </c>
      <c r="B4879" s="3" t="s">
        <v>10997</v>
      </c>
      <c r="C4879" s="3" t="s">
        <v>1361</v>
      </c>
      <c r="D4879" s="4" t="s">
        <v>10998</v>
      </c>
      <c r="E4879" s="3" t="s">
        <v>1218</v>
      </c>
      <c r="F4879" s="3" t="s">
        <v>2105</v>
      </c>
      <c r="G4879" s="3"/>
      <c r="H4879" s="4" t="s">
        <v>3812</v>
      </c>
    </row>
    <row r="4880" ht="16.5" customHeight="1" spans="1:8">
      <c r="A4880" s="3">
        <v>4879</v>
      </c>
      <c r="B4880" s="3" t="s">
        <v>10999</v>
      </c>
      <c r="C4880" s="3" t="s">
        <v>1361</v>
      </c>
      <c r="D4880" s="4" t="s">
        <v>11000</v>
      </c>
      <c r="E4880" s="3" t="s">
        <v>1218</v>
      </c>
      <c r="F4880" s="3" t="s">
        <v>2105</v>
      </c>
      <c r="G4880" s="3"/>
      <c r="H4880" s="4" t="s">
        <v>3812</v>
      </c>
    </row>
    <row r="4881" ht="16.5" customHeight="1" spans="1:8">
      <c r="A4881" s="3">
        <v>4880</v>
      </c>
      <c r="B4881" s="3" t="s">
        <v>11001</v>
      </c>
      <c r="C4881" s="3" t="s">
        <v>1361</v>
      </c>
      <c r="D4881" s="4" t="s">
        <v>11002</v>
      </c>
      <c r="E4881" s="3" t="s">
        <v>1218</v>
      </c>
      <c r="F4881" s="3" t="s">
        <v>2105</v>
      </c>
      <c r="G4881" s="3"/>
      <c r="H4881" s="4" t="s">
        <v>3812</v>
      </c>
    </row>
    <row r="4882" ht="16.5" customHeight="1" spans="1:8">
      <c r="A4882" s="3">
        <v>4881</v>
      </c>
      <c r="B4882" s="3" t="s">
        <v>11003</v>
      </c>
      <c r="C4882" s="3" t="s">
        <v>1361</v>
      </c>
      <c r="D4882" s="4" t="s">
        <v>11004</v>
      </c>
      <c r="E4882" s="3" t="s">
        <v>1218</v>
      </c>
      <c r="F4882" s="3" t="s">
        <v>2105</v>
      </c>
      <c r="G4882" s="3"/>
      <c r="H4882" s="4" t="s">
        <v>3812</v>
      </c>
    </row>
    <row r="4883" ht="16.5" customHeight="1" spans="1:8">
      <c r="A4883" s="3">
        <v>4882</v>
      </c>
      <c r="B4883" s="3" t="s">
        <v>11005</v>
      </c>
      <c r="C4883" s="3" t="s">
        <v>1361</v>
      </c>
      <c r="D4883" s="4" t="s">
        <v>11006</v>
      </c>
      <c r="E4883" s="3" t="s">
        <v>1218</v>
      </c>
      <c r="F4883" s="3" t="s">
        <v>2105</v>
      </c>
      <c r="G4883" s="3"/>
      <c r="H4883" s="4" t="s">
        <v>3812</v>
      </c>
    </row>
    <row r="4884" ht="16.5" customHeight="1" spans="1:8">
      <c r="A4884" s="3">
        <v>4883</v>
      </c>
      <c r="B4884" s="3" t="s">
        <v>11007</v>
      </c>
      <c r="C4884" s="3" t="s">
        <v>1361</v>
      </c>
      <c r="D4884" s="4" t="s">
        <v>11008</v>
      </c>
      <c r="E4884" s="3" t="s">
        <v>1218</v>
      </c>
      <c r="F4884" s="3" t="s">
        <v>2105</v>
      </c>
      <c r="G4884" s="3"/>
      <c r="H4884" s="4" t="s">
        <v>3812</v>
      </c>
    </row>
    <row r="4885" ht="16.5" customHeight="1" spans="1:8">
      <c r="A4885" s="3">
        <v>4884</v>
      </c>
      <c r="B4885" s="3" t="s">
        <v>11009</v>
      </c>
      <c r="C4885" s="3" t="s">
        <v>1361</v>
      </c>
      <c r="D4885" s="4" t="s">
        <v>11010</v>
      </c>
      <c r="E4885" s="3" t="s">
        <v>1218</v>
      </c>
      <c r="F4885" s="3" t="s">
        <v>2105</v>
      </c>
      <c r="G4885" s="3"/>
      <c r="H4885" s="4" t="s">
        <v>3812</v>
      </c>
    </row>
    <row r="4886" ht="16.5" customHeight="1" spans="1:8">
      <c r="A4886" s="3">
        <v>4885</v>
      </c>
      <c r="B4886" s="3" t="s">
        <v>11011</v>
      </c>
      <c r="C4886" s="3" t="s">
        <v>1361</v>
      </c>
      <c r="D4886" s="4" t="s">
        <v>11012</v>
      </c>
      <c r="E4886" s="3" t="s">
        <v>1218</v>
      </c>
      <c r="F4886" s="3" t="s">
        <v>2105</v>
      </c>
      <c r="G4886" s="3"/>
      <c r="H4886" s="4" t="s">
        <v>3812</v>
      </c>
    </row>
    <row r="4887" ht="16.5" customHeight="1" spans="1:8">
      <c r="A4887" s="3">
        <v>4886</v>
      </c>
      <c r="B4887" s="3" t="s">
        <v>11013</v>
      </c>
      <c r="C4887" s="3" t="s">
        <v>1361</v>
      </c>
      <c r="D4887" s="4" t="s">
        <v>11014</v>
      </c>
      <c r="E4887" s="3" t="s">
        <v>1218</v>
      </c>
      <c r="F4887" s="3" t="s">
        <v>2105</v>
      </c>
      <c r="G4887" s="3"/>
      <c r="H4887" s="4" t="s">
        <v>3812</v>
      </c>
    </row>
    <row r="4888" ht="16.5" customHeight="1" spans="1:8">
      <c r="A4888" s="3">
        <v>4887</v>
      </c>
      <c r="B4888" s="3" t="s">
        <v>11015</v>
      </c>
      <c r="C4888" s="3" t="s">
        <v>1361</v>
      </c>
      <c r="D4888" s="4" t="s">
        <v>11016</v>
      </c>
      <c r="E4888" s="3" t="s">
        <v>1218</v>
      </c>
      <c r="F4888" s="3" t="s">
        <v>2105</v>
      </c>
      <c r="G4888" s="3"/>
      <c r="H4888" s="4" t="s">
        <v>3812</v>
      </c>
    </row>
    <row r="4889" ht="16.5" customHeight="1" spans="1:8">
      <c r="A4889" s="3">
        <v>4888</v>
      </c>
      <c r="B4889" s="3" t="s">
        <v>11017</v>
      </c>
      <c r="C4889" s="3" t="s">
        <v>1361</v>
      </c>
      <c r="D4889" s="4" t="s">
        <v>11018</v>
      </c>
      <c r="E4889" s="3" t="s">
        <v>1218</v>
      </c>
      <c r="F4889" s="3" t="s">
        <v>2105</v>
      </c>
      <c r="G4889" s="3"/>
      <c r="H4889" s="4" t="s">
        <v>3812</v>
      </c>
    </row>
    <row r="4890" ht="16.5" customHeight="1" spans="1:8">
      <c r="A4890" s="3">
        <v>4889</v>
      </c>
      <c r="B4890" s="3" t="s">
        <v>11019</v>
      </c>
      <c r="C4890" s="3" t="s">
        <v>1356</v>
      </c>
      <c r="D4890" s="4" t="s">
        <v>11020</v>
      </c>
      <c r="E4890" s="3" t="s">
        <v>1076</v>
      </c>
      <c r="F4890" s="3" t="s">
        <v>4668</v>
      </c>
      <c r="G4890" s="3"/>
      <c r="H4890" s="4" t="s">
        <v>9108</v>
      </c>
    </row>
    <row r="4891" ht="16.5" customHeight="1" spans="1:8">
      <c r="A4891" s="3">
        <v>4890</v>
      </c>
      <c r="B4891" s="3" t="s">
        <v>11021</v>
      </c>
      <c r="C4891" s="3" t="s">
        <v>1361</v>
      </c>
      <c r="D4891" s="4" t="s">
        <v>11022</v>
      </c>
      <c r="E4891" s="3" t="s">
        <v>1218</v>
      </c>
      <c r="F4891" s="3" t="s">
        <v>2105</v>
      </c>
      <c r="G4891" s="3"/>
      <c r="H4891" s="4" t="s">
        <v>7243</v>
      </c>
    </row>
    <row r="4892" ht="16.5" customHeight="1" spans="1:8">
      <c r="A4892" s="3">
        <v>4891</v>
      </c>
      <c r="B4892" s="3" t="s">
        <v>11023</v>
      </c>
      <c r="C4892" s="3" t="s">
        <v>1361</v>
      </c>
      <c r="D4892" s="4" t="s">
        <v>11024</v>
      </c>
      <c r="E4892" s="3" t="s">
        <v>1218</v>
      </c>
      <c r="F4892" s="3" t="s">
        <v>2105</v>
      </c>
      <c r="G4892" s="3"/>
      <c r="H4892" s="4" t="s">
        <v>7243</v>
      </c>
    </row>
    <row r="4893" ht="16.5" customHeight="1" spans="1:8">
      <c r="A4893" s="3">
        <v>4892</v>
      </c>
      <c r="B4893" s="3" t="s">
        <v>11025</v>
      </c>
      <c r="C4893" s="3" t="s">
        <v>1361</v>
      </c>
      <c r="D4893" s="4" t="s">
        <v>11026</v>
      </c>
      <c r="E4893" s="3" t="s">
        <v>1218</v>
      </c>
      <c r="F4893" s="3" t="s">
        <v>2105</v>
      </c>
      <c r="G4893" s="3"/>
      <c r="H4893" s="4" t="s">
        <v>7243</v>
      </c>
    </row>
    <row r="4894" ht="16.5" customHeight="1" spans="1:8">
      <c r="A4894" s="3">
        <v>4893</v>
      </c>
      <c r="B4894" s="3" t="s">
        <v>11027</v>
      </c>
      <c r="C4894" s="3" t="s">
        <v>1105</v>
      </c>
      <c r="D4894" s="4" t="s">
        <v>11028</v>
      </c>
      <c r="E4894" s="3" t="s">
        <v>1076</v>
      </c>
      <c r="F4894" s="3" t="s">
        <v>4668</v>
      </c>
      <c r="G4894" s="3"/>
      <c r="H4894" s="4" t="s">
        <v>11029</v>
      </c>
    </row>
    <row r="4895" ht="16.5" customHeight="1" spans="1:8">
      <c r="A4895" s="3">
        <v>4894</v>
      </c>
      <c r="B4895" s="3" t="s">
        <v>11030</v>
      </c>
      <c r="C4895" s="3" t="s">
        <v>1105</v>
      </c>
      <c r="D4895" s="4" t="s">
        <v>11031</v>
      </c>
      <c r="E4895" s="3" t="s">
        <v>1076</v>
      </c>
      <c r="F4895" s="3" t="s">
        <v>10259</v>
      </c>
      <c r="G4895" s="3"/>
      <c r="H4895" s="4" t="s">
        <v>11032</v>
      </c>
    </row>
    <row r="4896" ht="16.5" customHeight="1" spans="1:8">
      <c r="A4896" s="3">
        <v>4895</v>
      </c>
      <c r="B4896" s="3" t="s">
        <v>11033</v>
      </c>
      <c r="C4896" s="3" t="s">
        <v>1105</v>
      </c>
      <c r="D4896" s="4" t="s">
        <v>11034</v>
      </c>
      <c r="E4896" s="3" t="s">
        <v>1076</v>
      </c>
      <c r="F4896" s="3" t="s">
        <v>4668</v>
      </c>
      <c r="G4896" s="3"/>
      <c r="H4896" s="4" t="s">
        <v>11032</v>
      </c>
    </row>
    <row r="4897" ht="16.5" customHeight="1" spans="1:8">
      <c r="A4897" s="3">
        <v>4896</v>
      </c>
      <c r="B4897" s="3" t="s">
        <v>11035</v>
      </c>
      <c r="C4897" s="3" t="s">
        <v>1105</v>
      </c>
      <c r="D4897" s="4" t="s">
        <v>11036</v>
      </c>
      <c r="E4897" s="3" t="s">
        <v>1076</v>
      </c>
      <c r="F4897" s="3" t="s">
        <v>4668</v>
      </c>
      <c r="G4897" s="3"/>
      <c r="H4897" s="4" t="s">
        <v>11032</v>
      </c>
    </row>
    <row r="4898" ht="16.5" customHeight="1" spans="1:8">
      <c r="A4898" s="3">
        <v>4897</v>
      </c>
      <c r="B4898" s="3" t="s">
        <v>11037</v>
      </c>
      <c r="C4898" s="3" t="s">
        <v>1105</v>
      </c>
      <c r="D4898" s="4" t="s">
        <v>11038</v>
      </c>
      <c r="E4898" s="3" t="s">
        <v>1076</v>
      </c>
      <c r="F4898" s="3" t="s">
        <v>4668</v>
      </c>
      <c r="G4898" s="3"/>
      <c r="H4898" s="4" t="s">
        <v>11032</v>
      </c>
    </row>
    <row r="4899" ht="16.5" customHeight="1" spans="1:8">
      <c r="A4899" s="3">
        <v>4898</v>
      </c>
      <c r="B4899" s="3" t="s">
        <v>11039</v>
      </c>
      <c r="C4899" s="3" t="s">
        <v>1105</v>
      </c>
      <c r="D4899" s="4" t="s">
        <v>11040</v>
      </c>
      <c r="E4899" s="3" t="s">
        <v>1076</v>
      </c>
      <c r="F4899" s="3" t="s">
        <v>4668</v>
      </c>
      <c r="G4899" s="3"/>
      <c r="H4899" s="4" t="s">
        <v>11032</v>
      </c>
    </row>
    <row r="4900" ht="16.5" customHeight="1" spans="1:8">
      <c r="A4900" s="3">
        <v>4899</v>
      </c>
      <c r="B4900" s="3" t="s">
        <v>11041</v>
      </c>
      <c r="C4900" s="3" t="s">
        <v>1105</v>
      </c>
      <c r="D4900" s="4" t="s">
        <v>11042</v>
      </c>
      <c r="E4900" s="3" t="s">
        <v>1076</v>
      </c>
      <c r="F4900" s="3" t="s">
        <v>4668</v>
      </c>
      <c r="G4900" s="3"/>
      <c r="H4900" s="4" t="s">
        <v>11032</v>
      </c>
    </row>
    <row r="4901" ht="16.5" customHeight="1" spans="1:8">
      <c r="A4901" s="3">
        <v>4900</v>
      </c>
      <c r="B4901" s="3" t="s">
        <v>11043</v>
      </c>
      <c r="C4901" s="3" t="s">
        <v>1105</v>
      </c>
      <c r="D4901" s="4" t="s">
        <v>11044</v>
      </c>
      <c r="E4901" s="3" t="s">
        <v>1076</v>
      </c>
      <c r="F4901" s="3" t="s">
        <v>4668</v>
      </c>
      <c r="G4901" s="3"/>
      <c r="H4901" s="4" t="s">
        <v>11032</v>
      </c>
    </row>
    <row r="4902" ht="16.5" customHeight="1" spans="1:8">
      <c r="A4902" s="3">
        <v>4901</v>
      </c>
      <c r="B4902" s="3" t="s">
        <v>11045</v>
      </c>
      <c r="C4902" s="3" t="s">
        <v>1105</v>
      </c>
      <c r="D4902" s="4" t="s">
        <v>11046</v>
      </c>
      <c r="E4902" s="3" t="s">
        <v>1076</v>
      </c>
      <c r="F4902" s="3" t="s">
        <v>4668</v>
      </c>
      <c r="G4902" s="3"/>
      <c r="H4902" s="4" t="s">
        <v>11032</v>
      </c>
    </row>
    <row r="4903" ht="16.5" customHeight="1" spans="1:8">
      <c r="A4903" s="3">
        <v>4902</v>
      </c>
      <c r="B4903" s="3" t="s">
        <v>11047</v>
      </c>
      <c r="C4903" s="3" t="s">
        <v>1105</v>
      </c>
      <c r="D4903" s="4" t="s">
        <v>11048</v>
      </c>
      <c r="E4903" s="3" t="s">
        <v>1076</v>
      </c>
      <c r="F4903" s="3" t="s">
        <v>4668</v>
      </c>
      <c r="G4903" s="3"/>
      <c r="H4903" s="4" t="s">
        <v>11032</v>
      </c>
    </row>
    <row r="4904" ht="16.5" customHeight="1" spans="1:8">
      <c r="A4904" s="3">
        <v>4903</v>
      </c>
      <c r="B4904" s="3" t="s">
        <v>11049</v>
      </c>
      <c r="C4904" s="3" t="s">
        <v>1105</v>
      </c>
      <c r="D4904" s="4" t="s">
        <v>11050</v>
      </c>
      <c r="E4904" s="3" t="s">
        <v>1076</v>
      </c>
      <c r="F4904" s="3" t="s">
        <v>4668</v>
      </c>
      <c r="G4904" s="3"/>
      <c r="H4904" s="4" t="s">
        <v>11032</v>
      </c>
    </row>
    <row r="4905" ht="16.5" customHeight="1" spans="1:8">
      <c r="A4905" s="3">
        <v>4904</v>
      </c>
      <c r="B4905" s="3" t="s">
        <v>11051</v>
      </c>
      <c r="C4905" s="3" t="s">
        <v>1105</v>
      </c>
      <c r="D4905" s="4" t="s">
        <v>11052</v>
      </c>
      <c r="E4905" s="3" t="s">
        <v>1076</v>
      </c>
      <c r="F4905" s="3" t="s">
        <v>4668</v>
      </c>
      <c r="G4905" s="3"/>
      <c r="H4905" s="4" t="s">
        <v>11032</v>
      </c>
    </row>
    <row r="4906" ht="16.5" customHeight="1" spans="1:8">
      <c r="A4906" s="3">
        <v>4905</v>
      </c>
      <c r="B4906" s="3" t="s">
        <v>11053</v>
      </c>
      <c r="C4906" s="3" t="s">
        <v>2163</v>
      </c>
      <c r="D4906" s="4" t="s">
        <v>11054</v>
      </c>
      <c r="E4906" s="3" t="s">
        <v>1076</v>
      </c>
      <c r="F4906" s="3" t="s">
        <v>10259</v>
      </c>
      <c r="G4906" s="3"/>
      <c r="H4906" s="4" t="s">
        <v>3812</v>
      </c>
    </row>
    <row r="4907" ht="16.5" customHeight="1" spans="1:8">
      <c r="A4907" s="3">
        <v>4906</v>
      </c>
      <c r="B4907" s="3" t="s">
        <v>11055</v>
      </c>
      <c r="C4907" s="3" t="s">
        <v>2163</v>
      </c>
      <c r="D4907" s="4" t="s">
        <v>11056</v>
      </c>
      <c r="E4907" s="3" t="s">
        <v>1076</v>
      </c>
      <c r="F4907" s="3" t="s">
        <v>10259</v>
      </c>
      <c r="G4907" s="3"/>
      <c r="H4907" s="4" t="s">
        <v>3812</v>
      </c>
    </row>
    <row r="4908" ht="16.5" customHeight="1" spans="1:8">
      <c r="A4908" s="3">
        <v>4907</v>
      </c>
      <c r="B4908" s="3" t="s">
        <v>11057</v>
      </c>
      <c r="C4908" s="3" t="s">
        <v>2163</v>
      </c>
      <c r="D4908" s="4" t="s">
        <v>11058</v>
      </c>
      <c r="E4908" s="3" t="s">
        <v>1076</v>
      </c>
      <c r="F4908" s="3" t="s">
        <v>10259</v>
      </c>
      <c r="G4908" s="3"/>
      <c r="H4908" s="4" t="s">
        <v>3812</v>
      </c>
    </row>
    <row r="4909" ht="16.5" customHeight="1" spans="1:8">
      <c r="A4909" s="3">
        <v>4908</v>
      </c>
      <c r="B4909" s="3" t="s">
        <v>11059</v>
      </c>
      <c r="C4909" s="3" t="s">
        <v>2163</v>
      </c>
      <c r="D4909" s="4" t="s">
        <v>11060</v>
      </c>
      <c r="E4909" s="3" t="s">
        <v>1076</v>
      </c>
      <c r="F4909" s="3" t="s">
        <v>10259</v>
      </c>
      <c r="G4909" s="3"/>
      <c r="H4909" s="4" t="s">
        <v>3812</v>
      </c>
    </row>
    <row r="4910" ht="16.5" customHeight="1" spans="1:8">
      <c r="A4910" s="3">
        <v>4909</v>
      </c>
      <c r="B4910" s="3" t="s">
        <v>11061</v>
      </c>
      <c r="C4910" s="3" t="s">
        <v>1105</v>
      </c>
      <c r="D4910" s="4" t="s">
        <v>11062</v>
      </c>
      <c r="E4910" s="3" t="s">
        <v>1076</v>
      </c>
      <c r="F4910" s="3" t="s">
        <v>4668</v>
      </c>
      <c r="G4910" s="3"/>
      <c r="H4910" s="4" t="s">
        <v>11063</v>
      </c>
    </row>
    <row r="4911" ht="16.5" customHeight="1" spans="1:8">
      <c r="A4911" s="3">
        <v>4910</v>
      </c>
      <c r="B4911" s="3" t="s">
        <v>11064</v>
      </c>
      <c r="C4911" s="3" t="s">
        <v>1105</v>
      </c>
      <c r="D4911" s="4" t="s">
        <v>11065</v>
      </c>
      <c r="E4911" s="3" t="s">
        <v>1076</v>
      </c>
      <c r="F4911" s="3" t="s">
        <v>4668</v>
      </c>
      <c r="G4911" s="3"/>
      <c r="H4911" s="4" t="s">
        <v>11063</v>
      </c>
    </row>
    <row r="4912" ht="16.5" customHeight="1" spans="1:8">
      <c r="A4912" s="3">
        <v>4911</v>
      </c>
      <c r="B4912" s="3" t="s">
        <v>11066</v>
      </c>
      <c r="C4912" s="3" t="s">
        <v>1105</v>
      </c>
      <c r="D4912" s="4" t="s">
        <v>11067</v>
      </c>
      <c r="E4912" s="3" t="s">
        <v>1076</v>
      </c>
      <c r="F4912" s="3" t="s">
        <v>4668</v>
      </c>
      <c r="G4912" s="3"/>
      <c r="H4912" s="4" t="s">
        <v>11063</v>
      </c>
    </row>
    <row r="4913" ht="16.5" customHeight="1" spans="1:8">
      <c r="A4913" s="3">
        <v>4912</v>
      </c>
      <c r="B4913" s="3" t="s">
        <v>11068</v>
      </c>
      <c r="C4913" s="3" t="s">
        <v>1105</v>
      </c>
      <c r="D4913" s="4" t="s">
        <v>11069</v>
      </c>
      <c r="E4913" s="3" t="s">
        <v>1076</v>
      </c>
      <c r="F4913" s="3" t="s">
        <v>4668</v>
      </c>
      <c r="G4913" s="3"/>
      <c r="H4913" s="4" t="s">
        <v>11063</v>
      </c>
    </row>
    <row r="4914" ht="16.5" customHeight="1" spans="1:8">
      <c r="A4914" s="3">
        <v>4913</v>
      </c>
      <c r="B4914" s="3" t="s">
        <v>11070</v>
      </c>
      <c r="C4914" s="3" t="s">
        <v>1105</v>
      </c>
      <c r="D4914" s="4" t="s">
        <v>11071</v>
      </c>
      <c r="E4914" s="3" t="s">
        <v>1076</v>
      </c>
      <c r="F4914" s="3" t="s">
        <v>4668</v>
      </c>
      <c r="G4914" s="3"/>
      <c r="H4914" s="4" t="s">
        <v>11063</v>
      </c>
    </row>
    <row r="4915" ht="16.5" customHeight="1" spans="1:8">
      <c r="A4915" s="3">
        <v>4914</v>
      </c>
      <c r="B4915" s="3" t="s">
        <v>11072</v>
      </c>
      <c r="C4915" s="3" t="s">
        <v>1105</v>
      </c>
      <c r="D4915" s="4" t="s">
        <v>11073</v>
      </c>
      <c r="E4915" s="3" t="s">
        <v>1076</v>
      </c>
      <c r="F4915" s="3" t="s">
        <v>4668</v>
      </c>
      <c r="G4915" s="3"/>
      <c r="H4915" s="4" t="s">
        <v>11063</v>
      </c>
    </row>
    <row r="4916" ht="16.5" customHeight="1" spans="1:8">
      <c r="A4916" s="3">
        <v>4915</v>
      </c>
      <c r="B4916" s="3" t="s">
        <v>11074</v>
      </c>
      <c r="C4916" s="3" t="s">
        <v>1105</v>
      </c>
      <c r="D4916" s="4" t="s">
        <v>11075</v>
      </c>
      <c r="E4916" s="3" t="s">
        <v>1076</v>
      </c>
      <c r="F4916" s="3" t="s">
        <v>4668</v>
      </c>
      <c r="G4916" s="3"/>
      <c r="H4916" s="4" t="s">
        <v>11063</v>
      </c>
    </row>
    <row r="4917" ht="16.5" customHeight="1" spans="1:8">
      <c r="A4917" s="3">
        <v>4916</v>
      </c>
      <c r="B4917" s="3" t="s">
        <v>11076</v>
      </c>
      <c r="C4917" s="3" t="s">
        <v>1105</v>
      </c>
      <c r="D4917" s="4" t="s">
        <v>11077</v>
      </c>
      <c r="E4917" s="3" t="s">
        <v>1076</v>
      </c>
      <c r="F4917" s="3" t="s">
        <v>4668</v>
      </c>
      <c r="G4917" s="3"/>
      <c r="H4917" s="4" t="s">
        <v>11063</v>
      </c>
    </row>
    <row r="4918" ht="16.5" customHeight="1" spans="1:8">
      <c r="A4918" s="3">
        <v>4917</v>
      </c>
      <c r="B4918" s="3" t="s">
        <v>11078</v>
      </c>
      <c r="C4918" s="3" t="s">
        <v>1105</v>
      </c>
      <c r="D4918" s="4" t="s">
        <v>11079</v>
      </c>
      <c r="E4918" s="3" t="s">
        <v>1076</v>
      </c>
      <c r="F4918" s="3" t="s">
        <v>4668</v>
      </c>
      <c r="G4918" s="3"/>
      <c r="H4918" s="4" t="s">
        <v>11063</v>
      </c>
    </row>
    <row r="4919" ht="16.5" customHeight="1" spans="1:8">
      <c r="A4919" s="3">
        <v>4918</v>
      </c>
      <c r="B4919" s="3" t="s">
        <v>11080</v>
      </c>
      <c r="C4919" s="3" t="s">
        <v>1105</v>
      </c>
      <c r="D4919" s="4" t="s">
        <v>11081</v>
      </c>
      <c r="E4919" s="3" t="s">
        <v>1076</v>
      </c>
      <c r="F4919" s="3" t="s">
        <v>4668</v>
      </c>
      <c r="G4919" s="3"/>
      <c r="H4919" s="4" t="s">
        <v>11063</v>
      </c>
    </row>
    <row r="4920" ht="16.5" customHeight="1" spans="1:8">
      <c r="A4920" s="3">
        <v>4919</v>
      </c>
      <c r="B4920" s="3" t="s">
        <v>11082</v>
      </c>
      <c r="C4920" s="3" t="s">
        <v>1105</v>
      </c>
      <c r="D4920" s="4" t="s">
        <v>11083</v>
      </c>
      <c r="E4920" s="3" t="s">
        <v>1076</v>
      </c>
      <c r="F4920" s="3" t="s">
        <v>4668</v>
      </c>
      <c r="G4920" s="3"/>
      <c r="H4920" s="4" t="s">
        <v>11063</v>
      </c>
    </row>
    <row r="4921" ht="16.5" customHeight="1" spans="1:8">
      <c r="A4921" s="3">
        <v>4920</v>
      </c>
      <c r="B4921" s="3" t="s">
        <v>11084</v>
      </c>
      <c r="C4921" s="3" t="s">
        <v>1105</v>
      </c>
      <c r="D4921" s="4" t="s">
        <v>11085</v>
      </c>
      <c r="E4921" s="3" t="s">
        <v>1076</v>
      </c>
      <c r="F4921" s="3" t="s">
        <v>4668</v>
      </c>
      <c r="G4921" s="3"/>
      <c r="H4921" s="4" t="s">
        <v>11063</v>
      </c>
    </row>
    <row r="4922" ht="16.5" customHeight="1" spans="1:8">
      <c r="A4922" s="3">
        <v>4921</v>
      </c>
      <c r="B4922" s="3" t="s">
        <v>11086</v>
      </c>
      <c r="C4922" s="3" t="s">
        <v>1105</v>
      </c>
      <c r="D4922" s="4" t="s">
        <v>11087</v>
      </c>
      <c r="E4922" s="3" t="s">
        <v>1076</v>
      </c>
      <c r="F4922" s="3" t="s">
        <v>4668</v>
      </c>
      <c r="G4922" s="3"/>
      <c r="H4922" s="4" t="s">
        <v>11063</v>
      </c>
    </row>
    <row r="4923" ht="16.5" customHeight="1" spans="1:8">
      <c r="A4923" s="3">
        <v>4922</v>
      </c>
      <c r="B4923" s="3" t="s">
        <v>11088</v>
      </c>
      <c r="C4923" s="3" t="s">
        <v>1356</v>
      </c>
      <c r="D4923" s="4" t="s">
        <v>11089</v>
      </c>
      <c r="E4923" s="3" t="s">
        <v>1076</v>
      </c>
      <c r="F4923" s="3" t="s">
        <v>4668</v>
      </c>
      <c r="G4923" s="3"/>
      <c r="H4923" s="4" t="s">
        <v>4322</v>
      </c>
    </row>
    <row r="4924" ht="16.5" customHeight="1" spans="1:8">
      <c r="A4924" s="3">
        <v>4923</v>
      </c>
      <c r="B4924" s="3" t="s">
        <v>11090</v>
      </c>
      <c r="C4924" s="3" t="s">
        <v>1361</v>
      </c>
      <c r="D4924" s="4" t="s">
        <v>11091</v>
      </c>
      <c r="E4924" s="3" t="s">
        <v>1218</v>
      </c>
      <c r="F4924" s="3" t="s">
        <v>1358</v>
      </c>
      <c r="G4924" s="3" t="s">
        <v>321</v>
      </c>
      <c r="H4924" s="4"/>
    </row>
    <row r="4925" ht="16.5" customHeight="1" spans="1:8">
      <c r="A4925" s="3">
        <v>4924</v>
      </c>
      <c r="B4925" s="3" t="s">
        <v>11092</v>
      </c>
      <c r="C4925" s="3" t="s">
        <v>1361</v>
      </c>
      <c r="D4925" s="4" t="s">
        <v>11093</v>
      </c>
      <c r="E4925" s="3" t="s">
        <v>1218</v>
      </c>
      <c r="F4925" s="3" t="s">
        <v>1358</v>
      </c>
      <c r="G4925" s="3" t="s">
        <v>321</v>
      </c>
      <c r="H4925" s="4"/>
    </row>
    <row r="4926" ht="16.5" customHeight="1" spans="1:8">
      <c r="A4926" s="3">
        <v>4925</v>
      </c>
      <c r="B4926" s="3" t="s">
        <v>11094</v>
      </c>
      <c r="C4926" s="3" t="s">
        <v>1361</v>
      </c>
      <c r="D4926" s="4" t="s">
        <v>11095</v>
      </c>
      <c r="E4926" s="3" t="s">
        <v>1218</v>
      </c>
      <c r="F4926" s="3" t="s">
        <v>1358</v>
      </c>
      <c r="G4926" s="3"/>
      <c r="H4926" s="4"/>
    </row>
    <row r="4927" ht="16.5" customHeight="1" spans="1:8">
      <c r="A4927" s="3">
        <v>4926</v>
      </c>
      <c r="B4927" s="3" t="s">
        <v>11096</v>
      </c>
      <c r="C4927" s="3" t="s">
        <v>1361</v>
      </c>
      <c r="D4927" s="4" t="s">
        <v>11097</v>
      </c>
      <c r="E4927" s="3" t="s">
        <v>1218</v>
      </c>
      <c r="F4927" s="3" t="s">
        <v>1358</v>
      </c>
      <c r="G4927" s="3" t="s">
        <v>321</v>
      </c>
      <c r="H4927" s="4"/>
    </row>
    <row r="4928" ht="16.5" customHeight="1" spans="1:8">
      <c r="A4928" s="3">
        <v>4927</v>
      </c>
      <c r="B4928" s="3" t="s">
        <v>11098</v>
      </c>
      <c r="C4928" s="3" t="s">
        <v>1361</v>
      </c>
      <c r="D4928" s="4" t="s">
        <v>11099</v>
      </c>
      <c r="E4928" s="3" t="s">
        <v>1218</v>
      </c>
      <c r="F4928" s="3" t="s">
        <v>1358</v>
      </c>
      <c r="G4928" s="3" t="s">
        <v>321</v>
      </c>
      <c r="H4928" s="4"/>
    </row>
    <row r="4929" ht="16.5" customHeight="1" spans="1:8">
      <c r="A4929" s="3">
        <v>4928</v>
      </c>
      <c r="B4929" s="3" t="s">
        <v>11100</v>
      </c>
      <c r="C4929" s="3" t="s">
        <v>1105</v>
      </c>
      <c r="D4929" s="4" t="s">
        <v>11101</v>
      </c>
      <c r="E4929" s="3" t="s">
        <v>1076</v>
      </c>
      <c r="F4929" s="3" t="s">
        <v>1358</v>
      </c>
      <c r="G4929" s="3"/>
      <c r="H4929" s="4" t="s">
        <v>11032</v>
      </c>
    </row>
    <row r="4930" ht="16.5" customHeight="1" spans="1:8">
      <c r="A4930" s="3">
        <v>4929</v>
      </c>
      <c r="B4930" s="3" t="s">
        <v>11102</v>
      </c>
      <c r="C4930" s="3" t="s">
        <v>1105</v>
      </c>
      <c r="D4930" s="4" t="s">
        <v>11103</v>
      </c>
      <c r="E4930" s="3" t="s">
        <v>1076</v>
      </c>
      <c r="F4930" s="3" t="s">
        <v>1358</v>
      </c>
      <c r="G4930" s="3"/>
      <c r="H4930" s="4" t="s">
        <v>11032</v>
      </c>
    </row>
    <row r="4931" ht="16.5" customHeight="1" spans="1:8">
      <c r="A4931" s="3">
        <v>4930</v>
      </c>
      <c r="B4931" s="3" t="s">
        <v>11104</v>
      </c>
      <c r="C4931" s="3" t="s">
        <v>1361</v>
      </c>
      <c r="D4931" s="4" t="s">
        <v>11105</v>
      </c>
      <c r="E4931" s="3" t="s">
        <v>1218</v>
      </c>
      <c r="F4931" s="3" t="s">
        <v>2041</v>
      </c>
      <c r="G4931" s="3" t="s">
        <v>321</v>
      </c>
      <c r="H4931" s="4" t="s">
        <v>1305</v>
      </c>
    </row>
    <row r="4932" ht="16.5" customHeight="1" spans="1:8">
      <c r="A4932" s="3">
        <v>4931</v>
      </c>
      <c r="B4932" s="3" t="s">
        <v>11106</v>
      </c>
      <c r="C4932" s="3" t="s">
        <v>2163</v>
      </c>
      <c r="D4932" s="4" t="s">
        <v>11107</v>
      </c>
      <c r="E4932" s="3" t="s">
        <v>2726</v>
      </c>
      <c r="F4932" s="3" t="s">
        <v>8175</v>
      </c>
      <c r="G4932" s="3"/>
      <c r="H4932" s="4" t="s">
        <v>7240</v>
      </c>
    </row>
    <row r="4933" ht="16.5" customHeight="1" spans="1:8">
      <c r="A4933" s="3">
        <v>4932</v>
      </c>
      <c r="B4933" s="3" t="s">
        <v>11108</v>
      </c>
      <c r="C4933" s="3" t="s">
        <v>1361</v>
      </c>
      <c r="D4933" s="4" t="s">
        <v>11109</v>
      </c>
      <c r="E4933" s="3" t="s">
        <v>1218</v>
      </c>
      <c r="F4933" s="3" t="s">
        <v>2041</v>
      </c>
      <c r="G4933" s="3" t="s">
        <v>321</v>
      </c>
      <c r="H4933" s="4" t="s">
        <v>1305</v>
      </c>
    </row>
    <row r="4934" ht="16.5" customHeight="1" spans="1:8">
      <c r="A4934" s="3">
        <v>4933</v>
      </c>
      <c r="B4934" s="3" t="s">
        <v>11110</v>
      </c>
      <c r="C4934" s="3" t="s">
        <v>1361</v>
      </c>
      <c r="D4934" s="4" t="s">
        <v>11111</v>
      </c>
      <c r="E4934" s="3" t="s">
        <v>1218</v>
      </c>
      <c r="F4934" s="3" t="s">
        <v>1358</v>
      </c>
      <c r="G4934" s="3" t="s">
        <v>321</v>
      </c>
      <c r="H4934" s="4" t="s">
        <v>1078</v>
      </c>
    </row>
    <row r="4935" ht="16.5" customHeight="1" spans="1:8">
      <c r="A4935" s="3">
        <v>4934</v>
      </c>
      <c r="B4935" s="3" t="s">
        <v>11112</v>
      </c>
      <c r="C4935" s="3" t="s">
        <v>1361</v>
      </c>
      <c r="D4935" s="4" t="s">
        <v>11113</v>
      </c>
      <c r="E4935" s="3" t="s">
        <v>1218</v>
      </c>
      <c r="F4935" s="3" t="s">
        <v>2041</v>
      </c>
      <c r="G4935" s="3" t="s">
        <v>321</v>
      </c>
      <c r="H4935" s="4" t="s">
        <v>1305</v>
      </c>
    </row>
    <row r="4936" ht="16.5" customHeight="1" spans="1:8">
      <c r="A4936" s="3">
        <v>4935</v>
      </c>
      <c r="B4936" s="3" t="s">
        <v>11114</v>
      </c>
      <c r="C4936" s="3" t="s">
        <v>1361</v>
      </c>
      <c r="D4936" s="4" t="s">
        <v>11115</v>
      </c>
      <c r="E4936" s="3" t="s">
        <v>1218</v>
      </c>
      <c r="F4936" s="3" t="s">
        <v>1358</v>
      </c>
      <c r="G4936" s="3" t="s">
        <v>321</v>
      </c>
      <c r="H4936" s="4"/>
    </row>
    <row r="4937" ht="16.5" customHeight="1" spans="1:8">
      <c r="A4937" s="3">
        <v>4936</v>
      </c>
      <c r="B4937" s="3" t="s">
        <v>11116</v>
      </c>
      <c r="C4937" s="3" t="s">
        <v>1361</v>
      </c>
      <c r="D4937" s="4" t="s">
        <v>11117</v>
      </c>
      <c r="E4937" s="3" t="s">
        <v>1218</v>
      </c>
      <c r="F4937" s="3" t="s">
        <v>1358</v>
      </c>
      <c r="G4937" s="3" t="s">
        <v>321</v>
      </c>
      <c r="H4937" s="4"/>
    </row>
    <row r="4938" ht="16.5" customHeight="1" spans="1:8">
      <c r="A4938" s="3">
        <v>4937</v>
      </c>
      <c r="B4938" s="3" t="s">
        <v>11118</v>
      </c>
      <c r="C4938" s="3" t="s">
        <v>1361</v>
      </c>
      <c r="D4938" s="4" t="s">
        <v>11119</v>
      </c>
      <c r="E4938" s="3" t="s">
        <v>1218</v>
      </c>
      <c r="F4938" s="3" t="s">
        <v>1358</v>
      </c>
      <c r="G4938" s="3" t="s">
        <v>321</v>
      </c>
      <c r="H4938" s="4"/>
    </row>
    <row r="4939" ht="16.5" customHeight="1" spans="1:8">
      <c r="A4939" s="3">
        <v>4938</v>
      </c>
      <c r="B4939" s="3" t="s">
        <v>11120</v>
      </c>
      <c r="C4939" s="3" t="s">
        <v>1361</v>
      </c>
      <c r="D4939" s="4" t="s">
        <v>11121</v>
      </c>
      <c r="E4939" s="3" t="s">
        <v>1218</v>
      </c>
      <c r="F4939" s="3" t="s">
        <v>1358</v>
      </c>
      <c r="G4939" s="3"/>
      <c r="H4939" s="4"/>
    </row>
    <row r="4940" ht="16.5" customHeight="1" spans="1:8">
      <c r="A4940" s="3">
        <v>4939</v>
      </c>
      <c r="B4940" s="3" t="s">
        <v>11122</v>
      </c>
      <c r="C4940" s="3" t="s">
        <v>1361</v>
      </c>
      <c r="D4940" s="4" t="s">
        <v>11123</v>
      </c>
      <c r="E4940" s="3" t="s">
        <v>1218</v>
      </c>
      <c r="F4940" s="3" t="s">
        <v>2041</v>
      </c>
      <c r="G4940" s="3" t="s">
        <v>321</v>
      </c>
      <c r="H4940" s="4" t="s">
        <v>1305</v>
      </c>
    </row>
    <row r="4941" ht="16.5" customHeight="1" spans="1:8">
      <c r="A4941" s="3">
        <v>4940</v>
      </c>
      <c r="B4941" s="3" t="s">
        <v>11124</v>
      </c>
      <c r="C4941" s="3" t="s">
        <v>1361</v>
      </c>
      <c r="D4941" s="4" t="s">
        <v>11125</v>
      </c>
      <c r="E4941" s="3" t="s">
        <v>1218</v>
      </c>
      <c r="F4941" s="3" t="s">
        <v>1358</v>
      </c>
      <c r="G4941" s="3" t="s">
        <v>321</v>
      </c>
      <c r="H4941" s="4"/>
    </row>
    <row r="4942" ht="16.5" customHeight="1" spans="1:8">
      <c r="A4942" s="3">
        <v>4941</v>
      </c>
      <c r="B4942" s="3" t="s">
        <v>11126</v>
      </c>
      <c r="C4942" s="3" t="s">
        <v>1361</v>
      </c>
      <c r="D4942" s="4" t="s">
        <v>11127</v>
      </c>
      <c r="E4942" s="3" t="s">
        <v>1218</v>
      </c>
      <c r="F4942" s="3" t="s">
        <v>1358</v>
      </c>
      <c r="G4942" s="3" t="s">
        <v>321</v>
      </c>
      <c r="H4942" s="4"/>
    </row>
    <row r="4943" ht="16.5" customHeight="1" spans="1:8">
      <c r="A4943" s="3">
        <v>4942</v>
      </c>
      <c r="B4943" s="3" t="s">
        <v>11128</v>
      </c>
      <c r="C4943" s="3" t="s">
        <v>1361</v>
      </c>
      <c r="D4943" s="4" t="s">
        <v>11129</v>
      </c>
      <c r="E4943" s="3" t="s">
        <v>1218</v>
      </c>
      <c r="F4943" s="3" t="s">
        <v>1358</v>
      </c>
      <c r="G4943" s="3" t="s">
        <v>321</v>
      </c>
      <c r="H4943" s="4"/>
    </row>
    <row r="4944" ht="16.5" customHeight="1" spans="1:8">
      <c r="A4944" s="3">
        <v>4943</v>
      </c>
      <c r="B4944" s="3" t="s">
        <v>11130</v>
      </c>
      <c r="C4944" s="3" t="s">
        <v>1361</v>
      </c>
      <c r="D4944" s="4" t="s">
        <v>11131</v>
      </c>
      <c r="E4944" s="3" t="s">
        <v>1218</v>
      </c>
      <c r="F4944" s="3" t="s">
        <v>1358</v>
      </c>
      <c r="G4944" s="3" t="s">
        <v>321</v>
      </c>
      <c r="H4944" s="4"/>
    </row>
    <row r="4945" ht="16.5" customHeight="1" spans="1:8">
      <c r="A4945" s="3">
        <v>4944</v>
      </c>
      <c r="B4945" s="3" t="s">
        <v>11132</v>
      </c>
      <c r="C4945" s="3" t="s">
        <v>1361</v>
      </c>
      <c r="D4945" s="4" t="s">
        <v>11133</v>
      </c>
      <c r="E4945" s="3" t="s">
        <v>1218</v>
      </c>
      <c r="F4945" s="3" t="s">
        <v>1358</v>
      </c>
      <c r="G4945" s="3" t="s">
        <v>321</v>
      </c>
      <c r="H4945" s="4"/>
    </row>
    <row r="4946" ht="16.5" customHeight="1" spans="1:8">
      <c r="A4946" s="3">
        <v>4945</v>
      </c>
      <c r="B4946" s="3" t="s">
        <v>11134</v>
      </c>
      <c r="C4946" s="3" t="s">
        <v>1361</v>
      </c>
      <c r="D4946" s="4" t="s">
        <v>11135</v>
      </c>
      <c r="E4946" s="3" t="s">
        <v>1218</v>
      </c>
      <c r="F4946" s="3" t="s">
        <v>1358</v>
      </c>
      <c r="G4946" s="3" t="s">
        <v>321</v>
      </c>
      <c r="H4946" s="4"/>
    </row>
    <row r="4947" ht="16.5" customHeight="1" spans="1:8">
      <c r="A4947" s="3">
        <v>4946</v>
      </c>
      <c r="B4947" s="3" t="s">
        <v>11136</v>
      </c>
      <c r="C4947" s="3" t="s">
        <v>1361</v>
      </c>
      <c r="D4947" s="4" t="s">
        <v>11137</v>
      </c>
      <c r="E4947" s="3" t="s">
        <v>1218</v>
      </c>
      <c r="F4947" s="3" t="s">
        <v>2041</v>
      </c>
      <c r="G4947" s="3" t="s">
        <v>321</v>
      </c>
      <c r="H4947" s="4" t="s">
        <v>1305</v>
      </c>
    </row>
    <row r="4948" ht="16.5" customHeight="1" spans="1:8">
      <c r="A4948" s="3">
        <v>4947</v>
      </c>
      <c r="B4948" s="3" t="s">
        <v>11138</v>
      </c>
      <c r="C4948" s="3" t="s">
        <v>1356</v>
      </c>
      <c r="D4948" s="4" t="s">
        <v>11139</v>
      </c>
      <c r="E4948" s="3" t="s">
        <v>1076</v>
      </c>
      <c r="F4948" s="3" t="s">
        <v>10259</v>
      </c>
      <c r="G4948" s="3"/>
      <c r="H4948" s="4" t="s">
        <v>1359</v>
      </c>
    </row>
    <row r="4949" ht="16.5" customHeight="1" spans="1:8">
      <c r="A4949" s="3">
        <v>4948</v>
      </c>
      <c r="B4949" s="3" t="s">
        <v>11140</v>
      </c>
      <c r="C4949" s="3" t="s">
        <v>1356</v>
      </c>
      <c r="D4949" s="4" t="s">
        <v>11141</v>
      </c>
      <c r="E4949" s="3" t="s">
        <v>1076</v>
      </c>
      <c r="F4949" s="3" t="s">
        <v>10259</v>
      </c>
      <c r="G4949" s="3"/>
      <c r="H4949" s="4" t="s">
        <v>1359</v>
      </c>
    </row>
    <row r="4950" ht="16.5" customHeight="1" spans="1:8">
      <c r="A4950" s="3">
        <v>4949</v>
      </c>
      <c r="B4950" s="3" t="s">
        <v>11142</v>
      </c>
      <c r="C4950" s="3" t="s">
        <v>1361</v>
      </c>
      <c r="D4950" s="4" t="s">
        <v>11143</v>
      </c>
      <c r="E4950" s="3" t="s">
        <v>1218</v>
      </c>
      <c r="F4950" s="3" t="s">
        <v>2041</v>
      </c>
      <c r="G4950" s="3" t="s">
        <v>321</v>
      </c>
      <c r="H4950" s="4" t="s">
        <v>1305</v>
      </c>
    </row>
    <row r="4951" ht="16.5" customHeight="1" spans="1:8">
      <c r="A4951" s="3">
        <v>4950</v>
      </c>
      <c r="B4951" s="3" t="s">
        <v>11144</v>
      </c>
      <c r="C4951" s="3" t="s">
        <v>1356</v>
      </c>
      <c r="D4951" s="4" t="s">
        <v>11145</v>
      </c>
      <c r="E4951" s="3" t="s">
        <v>1076</v>
      </c>
      <c r="F4951" s="3" t="s">
        <v>10259</v>
      </c>
      <c r="G4951" s="3"/>
      <c r="H4951" s="4" t="s">
        <v>1359</v>
      </c>
    </row>
    <row r="4952" ht="16.5" customHeight="1" spans="1:8">
      <c r="A4952" s="3">
        <v>4951</v>
      </c>
      <c r="B4952" s="3" t="s">
        <v>11146</v>
      </c>
      <c r="C4952" s="3" t="s">
        <v>1361</v>
      </c>
      <c r="D4952" s="4" t="s">
        <v>11147</v>
      </c>
      <c r="E4952" s="3" t="s">
        <v>1218</v>
      </c>
      <c r="F4952" s="3" t="s">
        <v>2041</v>
      </c>
      <c r="G4952" s="3" t="s">
        <v>321</v>
      </c>
      <c r="H4952" s="4" t="s">
        <v>1305</v>
      </c>
    </row>
    <row r="4953" ht="16.5" customHeight="1" spans="1:8">
      <c r="A4953" s="3">
        <v>4952</v>
      </c>
      <c r="B4953" s="3" t="s">
        <v>11148</v>
      </c>
      <c r="C4953" s="3" t="s">
        <v>1105</v>
      </c>
      <c r="D4953" s="4" t="s">
        <v>11149</v>
      </c>
      <c r="E4953" s="3" t="s">
        <v>1076</v>
      </c>
      <c r="F4953" s="3" t="s">
        <v>4668</v>
      </c>
      <c r="G4953" s="3"/>
      <c r="H4953" s="4" t="s">
        <v>11150</v>
      </c>
    </row>
    <row r="4954" ht="16.5" customHeight="1" spans="1:8">
      <c r="A4954" s="3">
        <v>4953</v>
      </c>
      <c r="B4954" s="3" t="s">
        <v>11151</v>
      </c>
      <c r="C4954" s="3" t="s">
        <v>1105</v>
      </c>
      <c r="D4954" s="4" t="s">
        <v>11152</v>
      </c>
      <c r="E4954" s="3" t="s">
        <v>1076</v>
      </c>
      <c r="F4954" s="3" t="s">
        <v>4668</v>
      </c>
      <c r="G4954" s="3"/>
      <c r="H4954" s="4" t="s">
        <v>11150</v>
      </c>
    </row>
    <row r="4955" ht="16.5" customHeight="1" spans="1:8">
      <c r="A4955" s="3">
        <v>4954</v>
      </c>
      <c r="B4955" s="3" t="s">
        <v>11153</v>
      </c>
      <c r="C4955" s="3" t="s">
        <v>1105</v>
      </c>
      <c r="D4955" s="4" t="s">
        <v>11154</v>
      </c>
      <c r="E4955" s="3" t="s">
        <v>1076</v>
      </c>
      <c r="F4955" s="3" t="s">
        <v>4668</v>
      </c>
      <c r="G4955" s="3"/>
      <c r="H4955" s="4" t="s">
        <v>11150</v>
      </c>
    </row>
    <row r="4956" ht="16.5" customHeight="1" spans="1:8">
      <c r="A4956" s="3">
        <v>4955</v>
      </c>
      <c r="B4956" s="3" t="s">
        <v>11155</v>
      </c>
      <c r="C4956" s="3" t="s">
        <v>1105</v>
      </c>
      <c r="D4956" s="4" t="s">
        <v>11156</v>
      </c>
      <c r="E4956" s="3" t="s">
        <v>1076</v>
      </c>
      <c r="F4956" s="3" t="s">
        <v>4668</v>
      </c>
      <c r="G4956" s="3"/>
      <c r="H4956" s="4" t="s">
        <v>11150</v>
      </c>
    </row>
    <row r="4957" ht="16.5" customHeight="1" spans="1:8">
      <c r="A4957" s="3">
        <v>4956</v>
      </c>
      <c r="B4957" s="3" t="s">
        <v>11157</v>
      </c>
      <c r="C4957" s="3" t="s">
        <v>1105</v>
      </c>
      <c r="D4957" s="4" t="s">
        <v>11158</v>
      </c>
      <c r="E4957" s="3" t="s">
        <v>1076</v>
      </c>
      <c r="F4957" s="3" t="s">
        <v>4668</v>
      </c>
      <c r="G4957" s="3"/>
      <c r="H4957" s="4" t="s">
        <v>11150</v>
      </c>
    </row>
    <row r="4958" ht="16.5" customHeight="1" spans="1:8">
      <c r="A4958" s="3">
        <v>4957</v>
      </c>
      <c r="B4958" s="3" t="s">
        <v>11159</v>
      </c>
      <c r="C4958" s="3" t="s">
        <v>1105</v>
      </c>
      <c r="D4958" s="4" t="s">
        <v>11160</v>
      </c>
      <c r="E4958" s="3" t="s">
        <v>1076</v>
      </c>
      <c r="F4958" s="3" t="s">
        <v>4668</v>
      </c>
      <c r="G4958" s="3"/>
      <c r="H4958" s="4" t="s">
        <v>11150</v>
      </c>
    </row>
    <row r="4959" ht="16.5" customHeight="1" spans="1:8">
      <c r="A4959" s="3">
        <v>4958</v>
      </c>
      <c r="B4959" s="3" t="s">
        <v>11161</v>
      </c>
      <c r="C4959" s="3" t="s">
        <v>1105</v>
      </c>
      <c r="D4959" s="4" t="s">
        <v>11162</v>
      </c>
      <c r="E4959" s="3" t="s">
        <v>1076</v>
      </c>
      <c r="F4959" s="3" t="s">
        <v>4668</v>
      </c>
      <c r="G4959" s="3"/>
      <c r="H4959" s="4" t="s">
        <v>11150</v>
      </c>
    </row>
    <row r="4960" ht="16.5" customHeight="1" spans="1:8">
      <c r="A4960" s="3">
        <v>4959</v>
      </c>
      <c r="B4960" s="3" t="s">
        <v>11163</v>
      </c>
      <c r="C4960" s="3" t="s">
        <v>1105</v>
      </c>
      <c r="D4960" s="4" t="s">
        <v>11164</v>
      </c>
      <c r="E4960" s="3" t="s">
        <v>1076</v>
      </c>
      <c r="F4960" s="3" t="s">
        <v>4668</v>
      </c>
      <c r="G4960" s="3"/>
      <c r="H4960" s="4" t="s">
        <v>11150</v>
      </c>
    </row>
    <row r="4961" ht="16.5" customHeight="1" spans="1:8">
      <c r="A4961" s="3">
        <v>4960</v>
      </c>
      <c r="B4961" s="3" t="s">
        <v>11165</v>
      </c>
      <c r="C4961" s="3" t="s">
        <v>1105</v>
      </c>
      <c r="D4961" s="4" t="s">
        <v>11166</v>
      </c>
      <c r="E4961" s="3" t="s">
        <v>1076</v>
      </c>
      <c r="F4961" s="3" t="s">
        <v>4668</v>
      </c>
      <c r="G4961" s="3"/>
      <c r="H4961" s="4" t="s">
        <v>11150</v>
      </c>
    </row>
    <row r="4962" ht="16.5" customHeight="1" spans="1:8">
      <c r="A4962" s="3">
        <v>4961</v>
      </c>
      <c r="B4962" s="3" t="s">
        <v>11167</v>
      </c>
      <c r="C4962" s="3" t="s">
        <v>1105</v>
      </c>
      <c r="D4962" s="4" t="s">
        <v>11168</v>
      </c>
      <c r="E4962" s="3" t="s">
        <v>1076</v>
      </c>
      <c r="F4962" s="3" t="s">
        <v>4668</v>
      </c>
      <c r="G4962" s="3"/>
      <c r="H4962" s="4" t="s">
        <v>11150</v>
      </c>
    </row>
    <row r="4963" ht="16.5" customHeight="1" spans="1:8">
      <c r="A4963" s="3">
        <v>4962</v>
      </c>
      <c r="B4963" s="3" t="s">
        <v>11169</v>
      </c>
      <c r="C4963" s="3" t="s">
        <v>1105</v>
      </c>
      <c r="D4963" s="4" t="s">
        <v>11170</v>
      </c>
      <c r="E4963" s="3" t="s">
        <v>1076</v>
      </c>
      <c r="F4963" s="3" t="s">
        <v>4668</v>
      </c>
      <c r="G4963" s="3"/>
      <c r="H4963" s="4" t="s">
        <v>11150</v>
      </c>
    </row>
    <row r="4964" ht="16.5" customHeight="1" spans="1:8">
      <c r="A4964" s="3">
        <v>4963</v>
      </c>
      <c r="B4964" s="3" t="s">
        <v>11171</v>
      </c>
      <c r="C4964" s="3" t="s">
        <v>1361</v>
      </c>
      <c r="D4964" s="4" t="s">
        <v>11172</v>
      </c>
      <c r="E4964" s="3" t="s">
        <v>1218</v>
      </c>
      <c r="F4964" s="3" t="s">
        <v>2041</v>
      </c>
      <c r="G4964" s="3" t="s">
        <v>321</v>
      </c>
      <c r="H4964" s="4" t="s">
        <v>1305</v>
      </c>
    </row>
    <row r="4965" ht="16.5" customHeight="1" spans="1:8">
      <c r="A4965" s="3">
        <v>4964</v>
      </c>
      <c r="B4965" s="3" t="s">
        <v>11173</v>
      </c>
      <c r="C4965" s="3" t="s">
        <v>1361</v>
      </c>
      <c r="D4965" s="4" t="s">
        <v>11174</v>
      </c>
      <c r="E4965" s="3" t="s">
        <v>1218</v>
      </c>
      <c r="F4965" s="3" t="s">
        <v>2041</v>
      </c>
      <c r="G4965" s="3" t="s">
        <v>321</v>
      </c>
      <c r="H4965" s="4" t="s">
        <v>1305</v>
      </c>
    </row>
    <row r="4966" ht="16.5" customHeight="1" spans="1:8">
      <c r="A4966" s="3">
        <v>4965</v>
      </c>
      <c r="B4966" s="3" t="s">
        <v>11175</v>
      </c>
      <c r="C4966" s="3" t="s">
        <v>2163</v>
      </c>
      <c r="D4966" s="4" t="s">
        <v>11176</v>
      </c>
      <c r="E4966" s="3" t="s">
        <v>1076</v>
      </c>
      <c r="F4966" s="3" t="s">
        <v>1358</v>
      </c>
      <c r="G4966" s="3" t="s">
        <v>321</v>
      </c>
      <c r="H4966" s="4"/>
    </row>
    <row r="4967" ht="16.5" customHeight="1" spans="1:8">
      <c r="A4967" s="3">
        <v>4966</v>
      </c>
      <c r="B4967" s="3" t="s">
        <v>11177</v>
      </c>
      <c r="C4967" s="3" t="s">
        <v>2163</v>
      </c>
      <c r="D4967" s="4" t="s">
        <v>11178</v>
      </c>
      <c r="E4967" s="3" t="s">
        <v>1076</v>
      </c>
      <c r="F4967" s="3" t="s">
        <v>2041</v>
      </c>
      <c r="G4967" s="3" t="s">
        <v>321</v>
      </c>
      <c r="H4967" s="4" t="s">
        <v>1095</v>
      </c>
    </row>
    <row r="4968" ht="16.5" customHeight="1" spans="1:8">
      <c r="A4968" s="3">
        <v>4967</v>
      </c>
      <c r="B4968" s="3" t="s">
        <v>11179</v>
      </c>
      <c r="C4968" s="3" t="s">
        <v>2163</v>
      </c>
      <c r="D4968" s="4" t="s">
        <v>11180</v>
      </c>
      <c r="E4968" s="3" t="s">
        <v>1076</v>
      </c>
      <c r="F4968" s="3" t="s">
        <v>1358</v>
      </c>
      <c r="G4968" s="3" t="s">
        <v>321</v>
      </c>
      <c r="H4968" s="4" t="s">
        <v>1095</v>
      </c>
    </row>
    <row r="4969" ht="16.5" customHeight="1" spans="1:8">
      <c r="A4969" s="3">
        <v>4968</v>
      </c>
      <c r="B4969" s="3" t="s">
        <v>11181</v>
      </c>
      <c r="C4969" s="3" t="s">
        <v>1105</v>
      </c>
      <c r="D4969" s="4" t="s">
        <v>11182</v>
      </c>
      <c r="E4969" s="3" t="s">
        <v>1164</v>
      </c>
      <c r="F4969" s="3" t="s">
        <v>10259</v>
      </c>
      <c r="G4969" s="3"/>
      <c r="H4969" s="4" t="s">
        <v>8344</v>
      </c>
    </row>
    <row r="4970" ht="16.5" customHeight="1" spans="1:8">
      <c r="A4970" s="3">
        <v>4969</v>
      </c>
      <c r="B4970" s="3" t="s">
        <v>11183</v>
      </c>
      <c r="C4970" s="3" t="s">
        <v>2163</v>
      </c>
      <c r="D4970" s="4" t="s">
        <v>11184</v>
      </c>
      <c r="E4970" s="3" t="s">
        <v>1076</v>
      </c>
      <c r="F4970" s="3" t="s">
        <v>1358</v>
      </c>
      <c r="G4970" s="3" t="s">
        <v>321</v>
      </c>
      <c r="H4970" s="4" t="s">
        <v>1095</v>
      </c>
    </row>
    <row r="4971" ht="16.5" customHeight="1" spans="1:8">
      <c r="A4971" s="3">
        <v>4970</v>
      </c>
      <c r="B4971" s="3" t="s">
        <v>11185</v>
      </c>
      <c r="C4971" s="3" t="s">
        <v>2163</v>
      </c>
      <c r="D4971" s="4" t="s">
        <v>11186</v>
      </c>
      <c r="E4971" s="3" t="s">
        <v>1076</v>
      </c>
      <c r="F4971" s="3" t="s">
        <v>1358</v>
      </c>
      <c r="G4971" s="3" t="s">
        <v>321</v>
      </c>
      <c r="H4971" s="4" t="s">
        <v>1095</v>
      </c>
    </row>
    <row r="4972" ht="16.5" customHeight="1" spans="1:8">
      <c r="A4972" s="3">
        <v>4971</v>
      </c>
      <c r="B4972" s="3" t="s">
        <v>11187</v>
      </c>
      <c r="C4972" s="3" t="s">
        <v>1356</v>
      </c>
      <c r="D4972" s="4" t="s">
        <v>11188</v>
      </c>
      <c r="E4972" s="3" t="s">
        <v>1076</v>
      </c>
      <c r="F4972" s="3" t="s">
        <v>4668</v>
      </c>
      <c r="G4972" s="3"/>
      <c r="H4972" s="4" t="s">
        <v>1078</v>
      </c>
    </row>
    <row r="4973" ht="16.5" customHeight="1" spans="1:8">
      <c r="A4973" s="3">
        <v>4972</v>
      </c>
      <c r="B4973" s="3" t="s">
        <v>11189</v>
      </c>
      <c r="C4973" s="3" t="s">
        <v>2163</v>
      </c>
      <c r="D4973" s="4" t="s">
        <v>11190</v>
      </c>
      <c r="E4973" s="3" t="s">
        <v>1076</v>
      </c>
      <c r="F4973" s="3" t="s">
        <v>2041</v>
      </c>
      <c r="G4973" s="3" t="s">
        <v>321</v>
      </c>
      <c r="H4973" s="4" t="s">
        <v>1095</v>
      </c>
    </row>
    <row r="4974" ht="16.5" customHeight="1" spans="1:8">
      <c r="A4974" s="3">
        <v>4973</v>
      </c>
      <c r="B4974" s="3" t="s">
        <v>11191</v>
      </c>
      <c r="C4974" s="3" t="s">
        <v>2163</v>
      </c>
      <c r="D4974" s="4" t="s">
        <v>11192</v>
      </c>
      <c r="E4974" s="3" t="s">
        <v>1076</v>
      </c>
      <c r="F4974" s="3" t="s">
        <v>2041</v>
      </c>
      <c r="G4974" s="3" t="s">
        <v>321</v>
      </c>
      <c r="H4974" s="4" t="s">
        <v>1095</v>
      </c>
    </row>
    <row r="4975" ht="16.5" customHeight="1" spans="1:8">
      <c r="A4975" s="3">
        <v>4974</v>
      </c>
      <c r="B4975" s="3" t="s">
        <v>11193</v>
      </c>
      <c r="C4975" s="3" t="s">
        <v>2163</v>
      </c>
      <c r="D4975" s="4" t="s">
        <v>11194</v>
      </c>
      <c r="E4975" s="3" t="s">
        <v>1076</v>
      </c>
      <c r="F4975" s="3" t="s">
        <v>2041</v>
      </c>
      <c r="G4975" s="3" t="s">
        <v>321</v>
      </c>
      <c r="H4975" s="4" t="s">
        <v>1095</v>
      </c>
    </row>
    <row r="4976" ht="16.5" customHeight="1" spans="1:8">
      <c r="A4976" s="3">
        <v>4975</v>
      </c>
      <c r="B4976" s="3" t="s">
        <v>11195</v>
      </c>
      <c r="C4976" s="3" t="s">
        <v>2163</v>
      </c>
      <c r="D4976" s="4" t="s">
        <v>11196</v>
      </c>
      <c r="E4976" s="3" t="s">
        <v>1076</v>
      </c>
      <c r="F4976" s="3" t="s">
        <v>2041</v>
      </c>
      <c r="G4976" s="3" t="s">
        <v>321</v>
      </c>
      <c r="H4976" s="4" t="s">
        <v>1095</v>
      </c>
    </row>
    <row r="4977" ht="16.5" customHeight="1" spans="1:8">
      <c r="A4977" s="3">
        <v>4976</v>
      </c>
      <c r="B4977" s="3" t="s">
        <v>11197</v>
      </c>
      <c r="C4977" s="3" t="s">
        <v>2163</v>
      </c>
      <c r="D4977" s="4" t="s">
        <v>11198</v>
      </c>
      <c r="E4977" s="3" t="s">
        <v>2726</v>
      </c>
      <c r="F4977" s="3" t="s">
        <v>2105</v>
      </c>
      <c r="G4977" s="3"/>
      <c r="H4977" s="4" t="s">
        <v>9475</v>
      </c>
    </row>
    <row r="4978" ht="16.5" customHeight="1" spans="1:8">
      <c r="A4978" s="3">
        <v>4977</v>
      </c>
      <c r="B4978" s="3" t="s">
        <v>11199</v>
      </c>
      <c r="C4978" s="3" t="s">
        <v>2163</v>
      </c>
      <c r="D4978" s="4" t="s">
        <v>11200</v>
      </c>
      <c r="E4978" s="3" t="s">
        <v>1076</v>
      </c>
      <c r="F4978" s="3" t="s">
        <v>2105</v>
      </c>
      <c r="G4978" s="3"/>
      <c r="H4978" s="4" t="s">
        <v>7243</v>
      </c>
    </row>
    <row r="4979" ht="16.5" customHeight="1" spans="1:8">
      <c r="A4979" s="3">
        <v>4978</v>
      </c>
      <c r="B4979" s="3" t="s">
        <v>11201</v>
      </c>
      <c r="C4979" s="3" t="s">
        <v>2163</v>
      </c>
      <c r="D4979" s="4" t="s">
        <v>11202</v>
      </c>
      <c r="E4979" s="3" t="s">
        <v>1076</v>
      </c>
      <c r="F4979" s="3" t="s">
        <v>2105</v>
      </c>
      <c r="G4979" s="3"/>
      <c r="H4979" s="4" t="s">
        <v>7243</v>
      </c>
    </row>
    <row r="4980" ht="16.5" customHeight="1" spans="1:8">
      <c r="A4980" s="3">
        <v>4979</v>
      </c>
      <c r="B4980" s="3" t="s">
        <v>11203</v>
      </c>
      <c r="C4980" s="3" t="s">
        <v>2163</v>
      </c>
      <c r="D4980" s="4" t="s">
        <v>11204</v>
      </c>
      <c r="E4980" s="3" t="s">
        <v>1076</v>
      </c>
      <c r="F4980" s="3" t="s">
        <v>2105</v>
      </c>
      <c r="G4980" s="3"/>
      <c r="H4980" s="4" t="s">
        <v>7243</v>
      </c>
    </row>
    <row r="4981" ht="16.5" customHeight="1" spans="1:8">
      <c r="A4981" s="3">
        <v>4980</v>
      </c>
      <c r="B4981" s="3" t="s">
        <v>11205</v>
      </c>
      <c r="C4981" s="3" t="s">
        <v>2163</v>
      </c>
      <c r="D4981" s="4" t="s">
        <v>11206</v>
      </c>
      <c r="E4981" s="3" t="s">
        <v>1076</v>
      </c>
      <c r="F4981" s="3" t="s">
        <v>2105</v>
      </c>
      <c r="G4981" s="3"/>
      <c r="H4981" s="4" t="s">
        <v>7243</v>
      </c>
    </row>
    <row r="4982" ht="16.5" customHeight="1" spans="1:8">
      <c r="A4982" s="3">
        <v>4981</v>
      </c>
      <c r="B4982" s="3" t="s">
        <v>11207</v>
      </c>
      <c r="C4982" s="3" t="s">
        <v>1356</v>
      </c>
      <c r="D4982" s="4" t="s">
        <v>11208</v>
      </c>
      <c r="E4982" s="3" t="s">
        <v>1076</v>
      </c>
      <c r="F4982" s="3" t="s">
        <v>4668</v>
      </c>
      <c r="G4982" s="3"/>
      <c r="H4982" s="4" t="s">
        <v>1843</v>
      </c>
    </row>
    <row r="4983" ht="16.5" customHeight="1" spans="1:8">
      <c r="A4983" s="3">
        <v>4982</v>
      </c>
      <c r="B4983" s="3" t="s">
        <v>11209</v>
      </c>
      <c r="C4983" s="3" t="s">
        <v>2163</v>
      </c>
      <c r="D4983" s="4" t="s">
        <v>11210</v>
      </c>
      <c r="E4983" s="3" t="s">
        <v>1076</v>
      </c>
      <c r="F4983" s="3" t="s">
        <v>2105</v>
      </c>
      <c r="G4983" s="3"/>
      <c r="H4983" s="4" t="s">
        <v>7243</v>
      </c>
    </row>
    <row r="4984" ht="16.5" customHeight="1" spans="1:8">
      <c r="A4984" s="3">
        <v>4983</v>
      </c>
      <c r="B4984" s="3" t="s">
        <v>11211</v>
      </c>
      <c r="C4984" s="3" t="s">
        <v>2163</v>
      </c>
      <c r="D4984" s="4" t="s">
        <v>11212</v>
      </c>
      <c r="E4984" s="3" t="s">
        <v>1076</v>
      </c>
      <c r="F4984" s="3" t="s">
        <v>2105</v>
      </c>
      <c r="G4984" s="3"/>
      <c r="H4984" s="4" t="s">
        <v>7243</v>
      </c>
    </row>
    <row r="4985" ht="16.5" customHeight="1" spans="1:8">
      <c r="A4985" s="3">
        <v>4984</v>
      </c>
      <c r="B4985" s="3" t="s">
        <v>11213</v>
      </c>
      <c r="C4985" s="3" t="s">
        <v>2163</v>
      </c>
      <c r="D4985" s="4" t="s">
        <v>11214</v>
      </c>
      <c r="E4985" s="3" t="s">
        <v>1076</v>
      </c>
      <c r="F4985" s="3" t="s">
        <v>2105</v>
      </c>
      <c r="G4985" s="3"/>
      <c r="H4985" s="4" t="s">
        <v>7243</v>
      </c>
    </row>
    <row r="4986" ht="16.5" customHeight="1" spans="1:8">
      <c r="A4986" s="3">
        <v>4985</v>
      </c>
      <c r="B4986" s="3" t="s">
        <v>11215</v>
      </c>
      <c r="C4986" s="3" t="s">
        <v>2163</v>
      </c>
      <c r="D4986" s="4" t="s">
        <v>11216</v>
      </c>
      <c r="E4986" s="3" t="s">
        <v>1076</v>
      </c>
      <c r="F4986" s="3" t="s">
        <v>2105</v>
      </c>
      <c r="G4986" s="3" t="s">
        <v>321</v>
      </c>
      <c r="H4986" s="4" t="s">
        <v>7243</v>
      </c>
    </row>
    <row r="4987" ht="16.5" customHeight="1" spans="1:8">
      <c r="A4987" s="3">
        <v>4986</v>
      </c>
      <c r="B4987" s="3" t="s">
        <v>11217</v>
      </c>
      <c r="C4987" s="3" t="s">
        <v>1356</v>
      </c>
      <c r="D4987" s="4" t="s">
        <v>11218</v>
      </c>
      <c r="E4987" s="3" t="s">
        <v>1076</v>
      </c>
      <c r="F4987" s="3" t="s">
        <v>4668</v>
      </c>
      <c r="G4987" s="3"/>
      <c r="H4987" s="4" t="s">
        <v>4322</v>
      </c>
    </row>
    <row r="4988" ht="16.5" customHeight="1" spans="1:8">
      <c r="A4988" s="3">
        <v>4987</v>
      </c>
      <c r="B4988" s="3" t="s">
        <v>11219</v>
      </c>
      <c r="C4988" s="3" t="s">
        <v>1356</v>
      </c>
      <c r="D4988" s="4" t="s">
        <v>11220</v>
      </c>
      <c r="E4988" s="3" t="s">
        <v>1076</v>
      </c>
      <c r="F4988" s="3" t="s">
        <v>4668</v>
      </c>
      <c r="G4988" s="3"/>
      <c r="H4988" s="4" t="s">
        <v>4322</v>
      </c>
    </row>
    <row r="4989" ht="16.5" customHeight="1" spans="1:8">
      <c r="A4989" s="3">
        <v>4988</v>
      </c>
      <c r="B4989" s="3" t="s">
        <v>11221</v>
      </c>
      <c r="C4989" s="3" t="s">
        <v>2163</v>
      </c>
      <c r="D4989" s="4" t="s">
        <v>11222</v>
      </c>
      <c r="E4989" s="3" t="s">
        <v>1076</v>
      </c>
      <c r="F4989" s="3" t="s">
        <v>2105</v>
      </c>
      <c r="G4989" s="3"/>
      <c r="H4989" s="4" t="s">
        <v>3812</v>
      </c>
    </row>
    <row r="4990" ht="16.5" customHeight="1" spans="1:8">
      <c r="A4990" s="3">
        <v>4989</v>
      </c>
      <c r="B4990" s="3" t="s">
        <v>11223</v>
      </c>
      <c r="C4990" s="3" t="s">
        <v>1105</v>
      </c>
      <c r="D4990" s="4" t="s">
        <v>11224</v>
      </c>
      <c r="E4990" s="3" t="s">
        <v>1076</v>
      </c>
      <c r="F4990" s="3" t="s">
        <v>4668</v>
      </c>
      <c r="G4990" s="3"/>
      <c r="H4990" s="4" t="s">
        <v>11225</v>
      </c>
    </row>
    <row r="4991" ht="16.5" customHeight="1" spans="1:8">
      <c r="A4991" s="3">
        <v>4990</v>
      </c>
      <c r="B4991" s="3" t="s">
        <v>11226</v>
      </c>
      <c r="C4991" s="3" t="s">
        <v>1105</v>
      </c>
      <c r="D4991" s="4" t="s">
        <v>11227</v>
      </c>
      <c r="E4991" s="3" t="s">
        <v>1076</v>
      </c>
      <c r="F4991" s="3" t="s">
        <v>4668</v>
      </c>
      <c r="G4991" s="3"/>
      <c r="H4991" s="4" t="s">
        <v>11225</v>
      </c>
    </row>
    <row r="4992" ht="16.5" customHeight="1" spans="1:8">
      <c r="A4992" s="3">
        <v>4991</v>
      </c>
      <c r="B4992" s="3" t="s">
        <v>11228</v>
      </c>
      <c r="C4992" s="3" t="s">
        <v>1105</v>
      </c>
      <c r="D4992" s="4" t="s">
        <v>11229</v>
      </c>
      <c r="E4992" s="3" t="s">
        <v>1076</v>
      </c>
      <c r="F4992" s="3" t="s">
        <v>10259</v>
      </c>
      <c r="G4992" s="3"/>
      <c r="H4992" s="4" t="s">
        <v>7171</v>
      </c>
    </row>
    <row r="4993" ht="16.5" customHeight="1" spans="1:8">
      <c r="A4993" s="3">
        <v>4992</v>
      </c>
      <c r="B4993" s="3" t="s">
        <v>11230</v>
      </c>
      <c r="C4993" s="3" t="s">
        <v>2163</v>
      </c>
      <c r="D4993" s="4" t="s">
        <v>11231</v>
      </c>
      <c r="E4993" s="3" t="s">
        <v>1076</v>
      </c>
      <c r="F4993" s="3" t="s">
        <v>2105</v>
      </c>
      <c r="G4993" s="3"/>
      <c r="H4993" s="4" t="s">
        <v>7243</v>
      </c>
    </row>
    <row r="4994" ht="16.5" customHeight="1" spans="1:8">
      <c r="A4994" s="3">
        <v>4993</v>
      </c>
      <c r="B4994" s="3" t="s">
        <v>11232</v>
      </c>
      <c r="C4994" s="3" t="s">
        <v>2163</v>
      </c>
      <c r="D4994" s="4" t="s">
        <v>11233</v>
      </c>
      <c r="E4994" s="3" t="s">
        <v>1076</v>
      </c>
      <c r="F4994" s="3" t="s">
        <v>2105</v>
      </c>
      <c r="G4994" s="3"/>
      <c r="H4994" s="4" t="s">
        <v>7243</v>
      </c>
    </row>
    <row r="4995" ht="16.5" customHeight="1" spans="1:8">
      <c r="A4995" s="3">
        <v>4994</v>
      </c>
      <c r="B4995" s="3" t="s">
        <v>11234</v>
      </c>
      <c r="C4995" s="3" t="s">
        <v>2163</v>
      </c>
      <c r="D4995" s="4" t="s">
        <v>11235</v>
      </c>
      <c r="E4995" s="3" t="s">
        <v>1076</v>
      </c>
      <c r="F4995" s="3" t="s">
        <v>2105</v>
      </c>
      <c r="G4995" s="3"/>
      <c r="H4995" s="4" t="s">
        <v>7243</v>
      </c>
    </row>
    <row r="4996" ht="16.5" customHeight="1" spans="1:8">
      <c r="A4996" s="3">
        <v>4995</v>
      </c>
      <c r="B4996" s="3" t="s">
        <v>11236</v>
      </c>
      <c r="C4996" s="3" t="s">
        <v>2163</v>
      </c>
      <c r="D4996" s="4" t="s">
        <v>11237</v>
      </c>
      <c r="E4996" s="3" t="s">
        <v>1076</v>
      </c>
      <c r="F4996" s="3" t="s">
        <v>2105</v>
      </c>
      <c r="G4996" s="3"/>
      <c r="H4996" s="4" t="s">
        <v>7243</v>
      </c>
    </row>
    <row r="4997" ht="16.5" customHeight="1" spans="1:8">
      <c r="A4997" s="3">
        <v>4996</v>
      </c>
      <c r="B4997" s="3" t="s">
        <v>11238</v>
      </c>
      <c r="C4997" s="3" t="s">
        <v>2163</v>
      </c>
      <c r="D4997" s="4" t="s">
        <v>11239</v>
      </c>
      <c r="E4997" s="3" t="s">
        <v>1076</v>
      </c>
      <c r="F4997" s="3" t="s">
        <v>2105</v>
      </c>
      <c r="G4997" s="3"/>
      <c r="H4997" s="4" t="s">
        <v>7243</v>
      </c>
    </row>
    <row r="4998" ht="16.5" customHeight="1" spans="1:8">
      <c r="A4998" s="3">
        <v>4997</v>
      </c>
      <c r="B4998" s="3" t="s">
        <v>11240</v>
      </c>
      <c r="C4998" s="3" t="s">
        <v>2163</v>
      </c>
      <c r="D4998" s="4" t="s">
        <v>11241</v>
      </c>
      <c r="E4998" s="3" t="s">
        <v>1076</v>
      </c>
      <c r="F4998" s="3" t="s">
        <v>1719</v>
      </c>
      <c r="G4998" s="3"/>
      <c r="H4998" s="4" t="s">
        <v>9475</v>
      </c>
    </row>
    <row r="4999" ht="16.5" customHeight="1" spans="1:8">
      <c r="A4999" s="3">
        <v>4998</v>
      </c>
      <c r="B4999" s="3" t="s">
        <v>11242</v>
      </c>
      <c r="C4999" s="3" t="s">
        <v>2163</v>
      </c>
      <c r="D4999" s="4" t="s">
        <v>11243</v>
      </c>
      <c r="E4999" s="3" t="s">
        <v>1076</v>
      </c>
      <c r="F4999" s="3" t="s">
        <v>2105</v>
      </c>
      <c r="G4999" s="3"/>
      <c r="H4999" s="4" t="s">
        <v>7243</v>
      </c>
    </row>
    <row r="5000" ht="16.5" customHeight="1" spans="1:8">
      <c r="A5000" s="3">
        <v>4999</v>
      </c>
      <c r="B5000" s="3" t="s">
        <v>11244</v>
      </c>
      <c r="C5000" s="3" t="s">
        <v>2163</v>
      </c>
      <c r="D5000" s="4" t="s">
        <v>11245</v>
      </c>
      <c r="E5000" s="3" t="s">
        <v>1076</v>
      </c>
      <c r="F5000" s="3" t="s">
        <v>2105</v>
      </c>
      <c r="G5000" s="3"/>
      <c r="H5000" s="4" t="s">
        <v>7243</v>
      </c>
    </row>
    <row r="5001" ht="16.5" customHeight="1" spans="1:8">
      <c r="A5001" s="3">
        <v>5000</v>
      </c>
      <c r="B5001" s="3" t="s">
        <v>11246</v>
      </c>
      <c r="C5001" s="3" t="s">
        <v>2163</v>
      </c>
      <c r="D5001" s="4" t="s">
        <v>11247</v>
      </c>
      <c r="E5001" s="3" t="s">
        <v>8871</v>
      </c>
      <c r="F5001" s="3" t="s">
        <v>2105</v>
      </c>
      <c r="G5001" s="3"/>
      <c r="H5001" s="4" t="s">
        <v>7243</v>
      </c>
    </row>
    <row r="5002" ht="16.5" customHeight="1" spans="1:8">
      <c r="A5002" s="3">
        <v>5001</v>
      </c>
      <c r="B5002" s="3" t="s">
        <v>11248</v>
      </c>
      <c r="C5002" s="3" t="s">
        <v>2163</v>
      </c>
      <c r="D5002" s="4" t="s">
        <v>11249</v>
      </c>
      <c r="E5002" s="3" t="s">
        <v>1076</v>
      </c>
      <c r="F5002" s="3" t="s">
        <v>2105</v>
      </c>
      <c r="G5002" s="3"/>
      <c r="H5002" s="4" t="s">
        <v>7243</v>
      </c>
    </row>
    <row r="5003" ht="16.5" customHeight="1" spans="1:8">
      <c r="A5003" s="3">
        <v>5002</v>
      </c>
      <c r="B5003" s="3" t="s">
        <v>11250</v>
      </c>
      <c r="C5003" s="3" t="s">
        <v>2163</v>
      </c>
      <c r="D5003" s="4" t="s">
        <v>11251</v>
      </c>
      <c r="E5003" s="3" t="s">
        <v>1076</v>
      </c>
      <c r="F5003" s="3" t="s">
        <v>2105</v>
      </c>
      <c r="G5003" s="3"/>
      <c r="H5003" s="4" t="s">
        <v>7243</v>
      </c>
    </row>
    <row r="5004" ht="16.5" customHeight="1" spans="1:8">
      <c r="A5004" s="3">
        <v>5003</v>
      </c>
      <c r="B5004" s="3" t="s">
        <v>11252</v>
      </c>
      <c r="C5004" s="3" t="s">
        <v>2163</v>
      </c>
      <c r="D5004" s="4" t="s">
        <v>11253</v>
      </c>
      <c r="E5004" s="3" t="s">
        <v>1076</v>
      </c>
      <c r="F5004" s="3" t="s">
        <v>2041</v>
      </c>
      <c r="G5004" s="3" t="s">
        <v>321</v>
      </c>
      <c r="H5004" s="4"/>
    </row>
    <row r="5005" ht="16.5" customHeight="1" spans="1:8">
      <c r="A5005" s="3">
        <v>5004</v>
      </c>
      <c r="B5005" s="3" t="s">
        <v>11254</v>
      </c>
      <c r="C5005" s="3" t="s">
        <v>2163</v>
      </c>
      <c r="D5005" s="4" t="s">
        <v>11255</v>
      </c>
      <c r="E5005" s="3" t="s">
        <v>1076</v>
      </c>
      <c r="F5005" s="3" t="s">
        <v>2105</v>
      </c>
      <c r="G5005" s="3"/>
      <c r="H5005" s="4" t="s">
        <v>7243</v>
      </c>
    </row>
    <row r="5006" ht="16.5" customHeight="1" spans="1:8">
      <c r="A5006" s="3">
        <v>5005</v>
      </c>
      <c r="B5006" s="3" t="s">
        <v>11256</v>
      </c>
      <c r="C5006" s="3" t="s">
        <v>1074</v>
      </c>
      <c r="D5006" s="4" t="s">
        <v>11257</v>
      </c>
      <c r="E5006" s="3" t="s">
        <v>1076</v>
      </c>
      <c r="F5006" s="3" t="s">
        <v>10259</v>
      </c>
      <c r="G5006" s="3"/>
      <c r="H5006" s="4" t="s">
        <v>1078</v>
      </c>
    </row>
    <row r="5007" ht="16.5" customHeight="1" spans="1:8">
      <c r="A5007" s="3">
        <v>5006</v>
      </c>
      <c r="B5007" s="3" t="s">
        <v>11258</v>
      </c>
      <c r="C5007" s="3" t="s">
        <v>2163</v>
      </c>
      <c r="D5007" s="4" t="s">
        <v>11259</v>
      </c>
      <c r="E5007" s="3" t="s">
        <v>1076</v>
      </c>
      <c r="F5007" s="3" t="s">
        <v>2105</v>
      </c>
      <c r="G5007" s="3"/>
      <c r="H5007" s="4" t="s">
        <v>7243</v>
      </c>
    </row>
    <row r="5008" ht="16.5" customHeight="1" spans="1:8">
      <c r="A5008" s="3">
        <v>5007</v>
      </c>
      <c r="B5008" s="3" t="s">
        <v>11260</v>
      </c>
      <c r="C5008" s="3" t="s">
        <v>2163</v>
      </c>
      <c r="D5008" s="4" t="s">
        <v>11261</v>
      </c>
      <c r="E5008" s="3" t="s">
        <v>1076</v>
      </c>
      <c r="F5008" s="3" t="s">
        <v>2041</v>
      </c>
      <c r="G5008" s="3" t="s">
        <v>321</v>
      </c>
      <c r="H5008" s="4" t="s">
        <v>1843</v>
      </c>
    </row>
    <row r="5009" ht="16.5" customHeight="1" spans="1:8">
      <c r="A5009" s="3">
        <v>5008</v>
      </c>
      <c r="B5009" s="3" t="s">
        <v>11262</v>
      </c>
      <c r="C5009" s="3" t="s">
        <v>2163</v>
      </c>
      <c r="D5009" s="4" t="s">
        <v>11263</v>
      </c>
      <c r="E5009" s="3" t="s">
        <v>1076</v>
      </c>
      <c r="F5009" s="3" t="s">
        <v>2105</v>
      </c>
      <c r="G5009" s="3"/>
      <c r="H5009" s="4" t="s">
        <v>7243</v>
      </c>
    </row>
    <row r="5010" ht="16.5" customHeight="1" spans="1:8">
      <c r="A5010" s="3">
        <v>5009</v>
      </c>
      <c r="B5010" s="3" t="s">
        <v>11264</v>
      </c>
      <c r="C5010" s="3" t="s">
        <v>2163</v>
      </c>
      <c r="D5010" s="4" t="s">
        <v>11265</v>
      </c>
      <c r="E5010" s="3" t="s">
        <v>1076</v>
      </c>
      <c r="F5010" s="3" t="s">
        <v>1358</v>
      </c>
      <c r="G5010" s="3" t="s">
        <v>321</v>
      </c>
      <c r="H5010" s="4" t="s">
        <v>1843</v>
      </c>
    </row>
    <row r="5011" ht="16.5" customHeight="1" spans="1:8">
      <c r="A5011" s="3">
        <v>5010</v>
      </c>
      <c r="B5011" s="3" t="s">
        <v>11266</v>
      </c>
      <c r="C5011" s="3" t="s">
        <v>2163</v>
      </c>
      <c r="D5011" s="4" t="s">
        <v>11267</v>
      </c>
      <c r="E5011" s="3" t="s">
        <v>1076</v>
      </c>
      <c r="F5011" s="3" t="s">
        <v>2105</v>
      </c>
      <c r="G5011" s="3"/>
      <c r="H5011" s="4" t="s">
        <v>7243</v>
      </c>
    </row>
    <row r="5012" ht="16.5" customHeight="1" spans="1:8">
      <c r="A5012" s="3">
        <v>5011</v>
      </c>
      <c r="B5012" s="3" t="s">
        <v>11268</v>
      </c>
      <c r="C5012" s="3" t="s">
        <v>2163</v>
      </c>
      <c r="D5012" s="4" t="s">
        <v>11269</v>
      </c>
      <c r="E5012" s="3" t="s">
        <v>2263</v>
      </c>
      <c r="F5012" s="3" t="s">
        <v>2105</v>
      </c>
      <c r="G5012" s="3"/>
      <c r="H5012" s="4" t="s">
        <v>7243</v>
      </c>
    </row>
    <row r="5013" ht="16.5" customHeight="1" spans="1:8">
      <c r="A5013" s="3">
        <v>5012</v>
      </c>
      <c r="B5013" s="3" t="s">
        <v>11270</v>
      </c>
      <c r="C5013" s="3" t="s">
        <v>2163</v>
      </c>
      <c r="D5013" s="4" t="s">
        <v>11271</v>
      </c>
      <c r="E5013" s="3" t="s">
        <v>1076</v>
      </c>
      <c r="F5013" s="3" t="s">
        <v>2105</v>
      </c>
      <c r="G5013" s="3"/>
      <c r="H5013" s="4" t="s">
        <v>7243</v>
      </c>
    </row>
    <row r="5014" ht="16.5" customHeight="1" spans="1:8">
      <c r="A5014" s="3">
        <v>5013</v>
      </c>
      <c r="B5014" s="3" t="s">
        <v>11272</v>
      </c>
      <c r="C5014" s="3" t="s">
        <v>2163</v>
      </c>
      <c r="D5014" s="4" t="s">
        <v>11273</v>
      </c>
      <c r="E5014" s="3" t="s">
        <v>1076</v>
      </c>
      <c r="F5014" s="3" t="s">
        <v>2105</v>
      </c>
      <c r="G5014" s="3"/>
      <c r="H5014" s="4" t="s">
        <v>9475</v>
      </c>
    </row>
    <row r="5015" ht="16.5" customHeight="1" spans="1:8">
      <c r="A5015" s="3">
        <v>5014</v>
      </c>
      <c r="B5015" s="3" t="s">
        <v>11274</v>
      </c>
      <c r="C5015" s="3" t="s">
        <v>2163</v>
      </c>
      <c r="D5015" s="4" t="s">
        <v>11275</v>
      </c>
      <c r="E5015" s="3" t="s">
        <v>8871</v>
      </c>
      <c r="F5015" s="3" t="s">
        <v>2105</v>
      </c>
      <c r="G5015" s="3"/>
      <c r="H5015" s="4" t="s">
        <v>7243</v>
      </c>
    </row>
    <row r="5016" ht="16.5" customHeight="1" spans="1:8">
      <c r="A5016" s="3">
        <v>5015</v>
      </c>
      <c r="B5016" s="3" t="s">
        <v>11276</v>
      </c>
      <c r="C5016" s="3" t="s">
        <v>2163</v>
      </c>
      <c r="D5016" s="4" t="s">
        <v>11277</v>
      </c>
      <c r="E5016" s="3" t="s">
        <v>1076</v>
      </c>
      <c r="F5016" s="3" t="s">
        <v>2105</v>
      </c>
      <c r="G5016" s="3"/>
      <c r="H5016" s="4" t="s">
        <v>7243</v>
      </c>
    </row>
    <row r="5017" ht="16.5" customHeight="1" spans="1:8">
      <c r="A5017" s="3">
        <v>5016</v>
      </c>
      <c r="B5017" s="3" t="s">
        <v>11278</v>
      </c>
      <c r="C5017" s="3" t="s">
        <v>2163</v>
      </c>
      <c r="D5017" s="4" t="s">
        <v>11279</v>
      </c>
      <c r="E5017" s="3" t="s">
        <v>1076</v>
      </c>
      <c r="F5017" s="3" t="s">
        <v>1358</v>
      </c>
      <c r="G5017" s="3" t="s">
        <v>321</v>
      </c>
      <c r="H5017" s="4"/>
    </row>
    <row r="5018" ht="16.5" customHeight="1" spans="1:8">
      <c r="A5018" s="3">
        <v>5017</v>
      </c>
      <c r="B5018" s="3" t="s">
        <v>11280</v>
      </c>
      <c r="C5018" s="3" t="s">
        <v>1105</v>
      </c>
      <c r="D5018" s="4" t="s">
        <v>11281</v>
      </c>
      <c r="E5018" s="3" t="s">
        <v>1076</v>
      </c>
      <c r="F5018" s="3" t="s">
        <v>8175</v>
      </c>
      <c r="G5018" s="3"/>
      <c r="H5018" s="4" t="s">
        <v>11150</v>
      </c>
    </row>
    <row r="5019" ht="16.5" customHeight="1" spans="1:8">
      <c r="A5019" s="3">
        <v>5018</v>
      </c>
      <c r="B5019" s="3" t="s">
        <v>11282</v>
      </c>
      <c r="C5019" s="3" t="s">
        <v>2163</v>
      </c>
      <c r="D5019" s="4" t="s">
        <v>11283</v>
      </c>
      <c r="E5019" s="3" t="s">
        <v>5779</v>
      </c>
      <c r="F5019" s="3" t="s">
        <v>1358</v>
      </c>
      <c r="G5019" s="3" t="s">
        <v>321</v>
      </c>
      <c r="H5019" s="4"/>
    </row>
    <row r="5020" ht="16.5" customHeight="1" spans="1:8">
      <c r="A5020" s="3">
        <v>5019</v>
      </c>
      <c r="B5020" s="3" t="s">
        <v>11284</v>
      </c>
      <c r="C5020" s="3" t="s">
        <v>2163</v>
      </c>
      <c r="D5020" s="4" t="s">
        <v>11285</v>
      </c>
      <c r="E5020" s="3" t="s">
        <v>1076</v>
      </c>
      <c r="F5020" s="3" t="s">
        <v>1358</v>
      </c>
      <c r="G5020" s="3" t="s">
        <v>321</v>
      </c>
      <c r="H5020" s="4" t="s">
        <v>1095</v>
      </c>
    </row>
    <row r="5021" ht="16.5" customHeight="1" spans="1:8">
      <c r="A5021" s="3">
        <v>5020</v>
      </c>
      <c r="B5021" s="3" t="s">
        <v>11286</v>
      </c>
      <c r="C5021" s="3" t="s">
        <v>2163</v>
      </c>
      <c r="D5021" s="4" t="s">
        <v>11287</v>
      </c>
      <c r="E5021" s="3" t="s">
        <v>1076</v>
      </c>
      <c r="F5021" s="3" t="s">
        <v>2105</v>
      </c>
      <c r="G5021" s="3" t="s">
        <v>321</v>
      </c>
      <c r="H5021" s="4" t="s">
        <v>7243</v>
      </c>
    </row>
    <row r="5022" ht="16.5" customHeight="1" spans="1:8">
      <c r="A5022" s="3">
        <v>5021</v>
      </c>
      <c r="B5022" s="3" t="s">
        <v>11288</v>
      </c>
      <c r="C5022" s="3" t="s">
        <v>2163</v>
      </c>
      <c r="D5022" s="4" t="s">
        <v>11289</v>
      </c>
      <c r="E5022" s="3" t="s">
        <v>1076</v>
      </c>
      <c r="F5022" s="3" t="s">
        <v>2105</v>
      </c>
      <c r="G5022" s="3"/>
      <c r="H5022" s="4" t="s">
        <v>7243</v>
      </c>
    </row>
    <row r="5023" ht="16.5" customHeight="1" spans="1:8">
      <c r="A5023" s="3">
        <v>5022</v>
      </c>
      <c r="B5023" s="3" t="s">
        <v>11290</v>
      </c>
      <c r="C5023" s="3" t="s">
        <v>2163</v>
      </c>
      <c r="D5023" s="4" t="s">
        <v>11291</v>
      </c>
      <c r="E5023" s="3" t="s">
        <v>1076</v>
      </c>
      <c r="F5023" s="3" t="s">
        <v>2041</v>
      </c>
      <c r="G5023" s="3" t="s">
        <v>321</v>
      </c>
      <c r="H5023" s="4" t="s">
        <v>1390</v>
      </c>
    </row>
    <row r="5024" ht="16.5" customHeight="1" spans="1:8">
      <c r="A5024" s="3">
        <v>5023</v>
      </c>
      <c r="B5024" s="3" t="s">
        <v>11292</v>
      </c>
      <c r="C5024" s="3" t="s">
        <v>1361</v>
      </c>
      <c r="D5024" s="4" t="s">
        <v>11293</v>
      </c>
      <c r="E5024" s="3" t="s">
        <v>1218</v>
      </c>
      <c r="F5024" s="3" t="s">
        <v>2105</v>
      </c>
      <c r="G5024" s="3"/>
      <c r="H5024" s="4" t="s">
        <v>7243</v>
      </c>
    </row>
    <row r="5025" ht="16.5" customHeight="1" spans="1:8">
      <c r="A5025" s="3">
        <v>5024</v>
      </c>
      <c r="B5025" s="3" t="s">
        <v>11294</v>
      </c>
      <c r="C5025" s="3" t="s">
        <v>2163</v>
      </c>
      <c r="D5025" s="4" t="s">
        <v>11295</v>
      </c>
      <c r="E5025" s="3" t="s">
        <v>1076</v>
      </c>
      <c r="F5025" s="3" t="s">
        <v>4668</v>
      </c>
      <c r="G5025" s="3"/>
      <c r="H5025" s="4" t="s">
        <v>1305</v>
      </c>
    </row>
    <row r="5026" ht="16.5" customHeight="1" spans="1:8">
      <c r="A5026" s="3">
        <v>5025</v>
      </c>
      <c r="B5026" s="3" t="s">
        <v>11296</v>
      </c>
      <c r="C5026" s="3" t="s">
        <v>2163</v>
      </c>
      <c r="D5026" s="4" t="s">
        <v>11297</v>
      </c>
      <c r="E5026" s="3" t="s">
        <v>1076</v>
      </c>
      <c r="F5026" s="3" t="s">
        <v>4668</v>
      </c>
      <c r="G5026" s="3"/>
      <c r="H5026" s="4" t="s">
        <v>3354</v>
      </c>
    </row>
    <row r="5027" ht="16.5" customHeight="1" spans="1:8">
      <c r="A5027" s="3">
        <v>5026</v>
      </c>
      <c r="B5027" s="3" t="s">
        <v>11298</v>
      </c>
      <c r="C5027" s="3" t="s">
        <v>2163</v>
      </c>
      <c r="D5027" s="4" t="s">
        <v>11299</v>
      </c>
      <c r="E5027" s="3" t="s">
        <v>1076</v>
      </c>
      <c r="F5027" s="3" t="s">
        <v>4668</v>
      </c>
      <c r="G5027" s="3"/>
      <c r="H5027" s="4" t="s">
        <v>3354</v>
      </c>
    </row>
    <row r="5028" ht="16.5" customHeight="1" spans="1:8">
      <c r="A5028" s="3">
        <v>5027</v>
      </c>
      <c r="B5028" s="3" t="s">
        <v>11300</v>
      </c>
      <c r="C5028" s="3" t="s">
        <v>2163</v>
      </c>
      <c r="D5028" s="4" t="s">
        <v>11301</v>
      </c>
      <c r="E5028" s="3" t="s">
        <v>1076</v>
      </c>
      <c r="F5028" s="3" t="s">
        <v>4668</v>
      </c>
      <c r="G5028" s="3"/>
      <c r="H5028" s="4" t="s">
        <v>3354</v>
      </c>
    </row>
    <row r="5029" ht="16.5" customHeight="1" spans="1:8">
      <c r="A5029" s="3">
        <v>5028</v>
      </c>
      <c r="B5029" s="3" t="s">
        <v>11302</v>
      </c>
      <c r="C5029" s="3" t="s">
        <v>1356</v>
      </c>
      <c r="D5029" s="4" t="s">
        <v>11303</v>
      </c>
      <c r="E5029" s="3" t="s">
        <v>1076</v>
      </c>
      <c r="F5029" s="3" t="s">
        <v>4668</v>
      </c>
      <c r="G5029" s="3"/>
      <c r="H5029" s="4" t="s">
        <v>4198</v>
      </c>
    </row>
    <row r="5030" ht="16.5" customHeight="1" spans="1:8">
      <c r="A5030" s="3">
        <v>5029</v>
      </c>
      <c r="B5030" s="3" t="s">
        <v>11304</v>
      </c>
      <c r="C5030" s="3" t="s">
        <v>1356</v>
      </c>
      <c r="D5030" s="4" t="s">
        <v>11305</v>
      </c>
      <c r="E5030" s="3" t="s">
        <v>1076</v>
      </c>
      <c r="F5030" s="3" t="s">
        <v>4668</v>
      </c>
      <c r="G5030" s="3"/>
      <c r="H5030" s="4" t="s">
        <v>3354</v>
      </c>
    </row>
    <row r="5031" ht="16.5" customHeight="1" spans="1:8">
      <c r="A5031" s="3">
        <v>5030</v>
      </c>
      <c r="B5031" s="3" t="s">
        <v>11306</v>
      </c>
      <c r="C5031" s="3" t="s">
        <v>2163</v>
      </c>
      <c r="D5031" s="4" t="s">
        <v>11307</v>
      </c>
      <c r="E5031" s="3" t="s">
        <v>3093</v>
      </c>
      <c r="F5031" s="3" t="s">
        <v>4668</v>
      </c>
      <c r="G5031" s="3"/>
      <c r="H5031" s="4" t="s">
        <v>1305</v>
      </c>
    </row>
    <row r="5032" ht="16.5" customHeight="1" spans="1:8">
      <c r="A5032" s="3">
        <v>5031</v>
      </c>
      <c r="B5032" s="3" t="s">
        <v>11308</v>
      </c>
      <c r="C5032" s="3" t="s">
        <v>2163</v>
      </c>
      <c r="D5032" s="4" t="s">
        <v>11309</v>
      </c>
      <c r="E5032" s="3" t="s">
        <v>1076</v>
      </c>
      <c r="F5032" s="3" t="s">
        <v>4668</v>
      </c>
      <c r="G5032" s="3"/>
      <c r="H5032" s="4" t="s">
        <v>1305</v>
      </c>
    </row>
    <row r="5033" ht="16.5" customHeight="1" spans="1:8">
      <c r="A5033" s="3">
        <v>5032</v>
      </c>
      <c r="B5033" s="3" t="s">
        <v>11310</v>
      </c>
      <c r="C5033" s="3" t="s">
        <v>2163</v>
      </c>
      <c r="D5033" s="4" t="s">
        <v>11311</v>
      </c>
      <c r="E5033" s="3" t="s">
        <v>3093</v>
      </c>
      <c r="F5033" s="3" t="s">
        <v>4668</v>
      </c>
      <c r="G5033" s="3"/>
      <c r="H5033" s="4" t="s">
        <v>1305</v>
      </c>
    </row>
    <row r="5034" ht="16.5" customHeight="1" spans="1:8">
      <c r="A5034" s="3">
        <v>5033</v>
      </c>
      <c r="B5034" s="3" t="s">
        <v>11312</v>
      </c>
      <c r="C5034" s="3" t="s">
        <v>2163</v>
      </c>
      <c r="D5034" s="4" t="s">
        <v>11313</v>
      </c>
      <c r="E5034" s="3" t="s">
        <v>1076</v>
      </c>
      <c r="F5034" s="3" t="s">
        <v>4668</v>
      </c>
      <c r="G5034" s="3"/>
      <c r="H5034" s="4" t="s">
        <v>1305</v>
      </c>
    </row>
    <row r="5035" ht="16.5" customHeight="1" spans="1:8">
      <c r="A5035" s="3">
        <v>5034</v>
      </c>
      <c r="B5035" s="3" t="s">
        <v>11314</v>
      </c>
      <c r="C5035" s="3" t="s">
        <v>2163</v>
      </c>
      <c r="D5035" s="4" t="s">
        <v>11315</v>
      </c>
      <c r="E5035" s="3" t="s">
        <v>1076</v>
      </c>
      <c r="F5035" s="3" t="s">
        <v>4668</v>
      </c>
      <c r="G5035" s="3"/>
      <c r="H5035" s="4" t="s">
        <v>1305</v>
      </c>
    </row>
    <row r="5036" ht="16.5" customHeight="1" spans="1:8">
      <c r="A5036" s="3">
        <v>5035</v>
      </c>
      <c r="B5036" s="3" t="s">
        <v>11316</v>
      </c>
      <c r="C5036" s="3" t="s">
        <v>2163</v>
      </c>
      <c r="D5036" s="4" t="s">
        <v>11317</v>
      </c>
      <c r="E5036" s="3" t="s">
        <v>1076</v>
      </c>
      <c r="F5036" s="3" t="s">
        <v>4668</v>
      </c>
      <c r="G5036" s="3"/>
      <c r="H5036" s="4" t="s">
        <v>1305</v>
      </c>
    </row>
    <row r="5037" ht="16.5" customHeight="1" spans="1:8">
      <c r="A5037" s="3">
        <v>5036</v>
      </c>
      <c r="B5037" s="3" t="s">
        <v>11318</v>
      </c>
      <c r="C5037" s="3" t="s">
        <v>1361</v>
      </c>
      <c r="D5037" s="4" t="s">
        <v>11319</v>
      </c>
      <c r="E5037" s="3" t="s">
        <v>1218</v>
      </c>
      <c r="F5037" s="3" t="s">
        <v>2105</v>
      </c>
      <c r="G5037" s="3"/>
      <c r="H5037" s="4"/>
    </row>
    <row r="5038" ht="16.5" customHeight="1" spans="1:8">
      <c r="A5038" s="3">
        <v>5037</v>
      </c>
      <c r="B5038" s="3" t="s">
        <v>11320</v>
      </c>
      <c r="C5038" s="3" t="s">
        <v>1361</v>
      </c>
      <c r="D5038" s="4" t="s">
        <v>11321</v>
      </c>
      <c r="E5038" s="3" t="s">
        <v>1218</v>
      </c>
      <c r="F5038" s="3" t="s">
        <v>2105</v>
      </c>
      <c r="G5038" s="3"/>
      <c r="H5038" s="4"/>
    </row>
    <row r="5039" ht="16.5" customHeight="1" spans="1:8">
      <c r="A5039" s="3">
        <v>5038</v>
      </c>
      <c r="B5039" s="3" t="s">
        <v>11322</v>
      </c>
      <c r="C5039" s="3" t="s">
        <v>1361</v>
      </c>
      <c r="D5039" s="4" t="s">
        <v>11323</v>
      </c>
      <c r="E5039" s="3" t="s">
        <v>1218</v>
      </c>
      <c r="F5039" s="3" t="s">
        <v>2105</v>
      </c>
      <c r="G5039" s="3"/>
      <c r="H5039" s="4"/>
    </row>
    <row r="5040" ht="16.5" customHeight="1" spans="1:8">
      <c r="A5040" s="3">
        <v>5039</v>
      </c>
      <c r="B5040" s="3" t="s">
        <v>11324</v>
      </c>
      <c r="C5040" s="3" t="s">
        <v>1361</v>
      </c>
      <c r="D5040" s="4" t="s">
        <v>11325</v>
      </c>
      <c r="E5040" s="3" t="s">
        <v>1218</v>
      </c>
      <c r="F5040" s="3" t="s">
        <v>2105</v>
      </c>
      <c r="G5040" s="3"/>
      <c r="H5040" s="4"/>
    </row>
    <row r="5041" ht="16.5" customHeight="1" spans="1:8">
      <c r="A5041" s="3">
        <v>5040</v>
      </c>
      <c r="B5041" s="3" t="s">
        <v>11326</v>
      </c>
      <c r="C5041" s="3" t="s">
        <v>1361</v>
      </c>
      <c r="D5041" s="4" t="s">
        <v>11327</v>
      </c>
      <c r="E5041" s="3" t="s">
        <v>1218</v>
      </c>
      <c r="F5041" s="3" t="s">
        <v>2105</v>
      </c>
      <c r="G5041" s="3"/>
      <c r="H5041" s="4"/>
    </row>
    <row r="5042" ht="16.5" customHeight="1" spans="1:8">
      <c r="A5042" s="3">
        <v>5041</v>
      </c>
      <c r="B5042" s="3" t="s">
        <v>11328</v>
      </c>
      <c r="C5042" s="3" t="s">
        <v>1361</v>
      </c>
      <c r="D5042" s="4" t="s">
        <v>11329</v>
      </c>
      <c r="E5042" s="3" t="s">
        <v>1218</v>
      </c>
      <c r="F5042" s="3" t="s">
        <v>2105</v>
      </c>
      <c r="G5042" s="3"/>
      <c r="H5042" s="4"/>
    </row>
    <row r="5043" ht="16.5" customHeight="1" spans="1:8">
      <c r="A5043" s="3">
        <v>5042</v>
      </c>
      <c r="B5043" s="3" t="s">
        <v>11330</v>
      </c>
      <c r="C5043" s="3" t="s">
        <v>1361</v>
      </c>
      <c r="D5043" s="4" t="s">
        <v>11331</v>
      </c>
      <c r="E5043" s="3" t="s">
        <v>1218</v>
      </c>
      <c r="F5043" s="3" t="s">
        <v>2105</v>
      </c>
      <c r="G5043" s="3"/>
      <c r="H5043" s="4"/>
    </row>
    <row r="5044" ht="16.5" customHeight="1" spans="1:8">
      <c r="A5044" s="3">
        <v>5043</v>
      </c>
      <c r="B5044" s="3" t="s">
        <v>11332</v>
      </c>
      <c r="C5044" s="3" t="s">
        <v>1361</v>
      </c>
      <c r="D5044" s="4" t="s">
        <v>11333</v>
      </c>
      <c r="E5044" s="3" t="s">
        <v>1218</v>
      </c>
      <c r="F5044" s="3" t="s">
        <v>2105</v>
      </c>
      <c r="G5044" s="3"/>
      <c r="H5044" s="4"/>
    </row>
    <row r="5045" ht="16.5" customHeight="1" spans="1:8">
      <c r="A5045" s="3">
        <v>5044</v>
      </c>
      <c r="B5045" s="3" t="s">
        <v>11334</v>
      </c>
      <c r="C5045" s="3" t="s">
        <v>1361</v>
      </c>
      <c r="D5045" s="4" t="s">
        <v>11335</v>
      </c>
      <c r="E5045" s="3" t="s">
        <v>1218</v>
      </c>
      <c r="F5045" s="3" t="s">
        <v>2105</v>
      </c>
      <c r="G5045" s="3"/>
      <c r="H5045" s="4"/>
    </row>
    <row r="5046" ht="16.5" customHeight="1" spans="1:8">
      <c r="A5046" s="3">
        <v>5045</v>
      </c>
      <c r="B5046" s="3" t="s">
        <v>11336</v>
      </c>
      <c r="C5046" s="3" t="s">
        <v>1361</v>
      </c>
      <c r="D5046" s="4" t="s">
        <v>11337</v>
      </c>
      <c r="E5046" s="3" t="s">
        <v>1218</v>
      </c>
      <c r="F5046" s="3" t="s">
        <v>2105</v>
      </c>
      <c r="G5046" s="3"/>
      <c r="H5046" s="4"/>
    </row>
    <row r="5047" ht="16.5" customHeight="1" spans="1:8">
      <c r="A5047" s="3">
        <v>5046</v>
      </c>
      <c r="B5047" s="3" t="s">
        <v>11338</v>
      </c>
      <c r="C5047" s="3" t="s">
        <v>1361</v>
      </c>
      <c r="D5047" s="4" t="s">
        <v>11339</v>
      </c>
      <c r="E5047" s="3" t="s">
        <v>1218</v>
      </c>
      <c r="F5047" s="3" t="s">
        <v>2105</v>
      </c>
      <c r="G5047" s="3"/>
      <c r="H5047" s="4"/>
    </row>
    <row r="5048" ht="16.5" customHeight="1" spans="1:8">
      <c r="A5048" s="3">
        <v>5047</v>
      </c>
      <c r="B5048" s="3" t="s">
        <v>11340</v>
      </c>
      <c r="C5048" s="3" t="s">
        <v>1361</v>
      </c>
      <c r="D5048" s="4" t="s">
        <v>11341</v>
      </c>
      <c r="E5048" s="3" t="s">
        <v>1218</v>
      </c>
      <c r="F5048" s="3" t="s">
        <v>2105</v>
      </c>
      <c r="G5048" s="3"/>
      <c r="H5048" s="4"/>
    </row>
    <row r="5049" ht="16.5" customHeight="1" spans="1:8">
      <c r="A5049" s="3">
        <v>5048</v>
      </c>
      <c r="B5049" s="3" t="s">
        <v>11342</v>
      </c>
      <c r="C5049" s="3" t="s">
        <v>1361</v>
      </c>
      <c r="D5049" s="4" t="s">
        <v>11343</v>
      </c>
      <c r="E5049" s="3" t="s">
        <v>1218</v>
      </c>
      <c r="F5049" s="3" t="s">
        <v>2105</v>
      </c>
      <c r="G5049" s="3"/>
      <c r="H5049" s="4"/>
    </row>
    <row r="5050" ht="16.5" customHeight="1" spans="1:8">
      <c r="A5050" s="3">
        <v>5049</v>
      </c>
      <c r="B5050" s="3" t="s">
        <v>11344</v>
      </c>
      <c r="C5050" s="3" t="s">
        <v>1361</v>
      </c>
      <c r="D5050" s="4" t="s">
        <v>11345</v>
      </c>
      <c r="E5050" s="3" t="s">
        <v>1218</v>
      </c>
      <c r="F5050" s="3" t="s">
        <v>2105</v>
      </c>
      <c r="G5050" s="3"/>
      <c r="H5050" s="4"/>
    </row>
    <row r="5051" ht="16.5" customHeight="1" spans="1:8">
      <c r="A5051" s="3">
        <v>5050</v>
      </c>
      <c r="B5051" s="3" t="s">
        <v>11346</v>
      </c>
      <c r="C5051" s="3" t="s">
        <v>1361</v>
      </c>
      <c r="D5051" s="4" t="s">
        <v>11347</v>
      </c>
      <c r="E5051" s="3" t="s">
        <v>1218</v>
      </c>
      <c r="F5051" s="3" t="s">
        <v>2105</v>
      </c>
      <c r="G5051" s="3"/>
      <c r="H5051" s="4"/>
    </row>
    <row r="5052" ht="16.5" customHeight="1" spans="1:8">
      <c r="A5052" s="3">
        <v>5051</v>
      </c>
      <c r="B5052" s="3" t="s">
        <v>11348</v>
      </c>
      <c r="C5052" s="3" t="s">
        <v>1361</v>
      </c>
      <c r="D5052" s="4" t="s">
        <v>11349</v>
      </c>
      <c r="E5052" s="3" t="s">
        <v>1218</v>
      </c>
      <c r="F5052" s="3" t="s">
        <v>2105</v>
      </c>
      <c r="G5052" s="3"/>
      <c r="H5052" s="4"/>
    </row>
    <row r="5053" ht="16.5" customHeight="1" spans="1:8">
      <c r="A5053" s="3">
        <v>5052</v>
      </c>
      <c r="B5053" s="3" t="s">
        <v>11350</v>
      </c>
      <c r="C5053" s="3" t="s">
        <v>1361</v>
      </c>
      <c r="D5053" s="4" t="s">
        <v>11351</v>
      </c>
      <c r="E5053" s="3" t="s">
        <v>1218</v>
      </c>
      <c r="F5053" s="3" t="s">
        <v>2105</v>
      </c>
      <c r="G5053" s="3"/>
      <c r="H5053" s="4"/>
    </row>
    <row r="5054" ht="16.5" customHeight="1" spans="1:8">
      <c r="A5054" s="3">
        <v>5053</v>
      </c>
      <c r="B5054" s="3" t="s">
        <v>11352</v>
      </c>
      <c r="C5054" s="3" t="s">
        <v>1361</v>
      </c>
      <c r="D5054" s="4" t="s">
        <v>11353</v>
      </c>
      <c r="E5054" s="3" t="s">
        <v>1218</v>
      </c>
      <c r="F5054" s="3" t="s">
        <v>2105</v>
      </c>
      <c r="G5054" s="3"/>
      <c r="H5054" s="4"/>
    </row>
    <row r="5055" ht="16.5" customHeight="1" spans="1:8">
      <c r="A5055" s="3">
        <v>5054</v>
      </c>
      <c r="B5055" s="3" t="s">
        <v>11354</v>
      </c>
      <c r="C5055" s="3" t="s">
        <v>1361</v>
      </c>
      <c r="D5055" s="4" t="s">
        <v>11355</v>
      </c>
      <c r="E5055" s="3" t="s">
        <v>1218</v>
      </c>
      <c r="F5055" s="3" t="s">
        <v>2105</v>
      </c>
      <c r="G5055" s="3"/>
      <c r="H5055" s="4"/>
    </row>
    <row r="5056" ht="16.5" customHeight="1" spans="1:8">
      <c r="A5056" s="3">
        <v>5055</v>
      </c>
      <c r="B5056" s="3" t="s">
        <v>11356</v>
      </c>
      <c r="C5056" s="3" t="s">
        <v>1361</v>
      </c>
      <c r="D5056" s="4" t="s">
        <v>11357</v>
      </c>
      <c r="E5056" s="3" t="s">
        <v>1218</v>
      </c>
      <c r="F5056" s="3" t="s">
        <v>2105</v>
      </c>
      <c r="G5056" s="3"/>
      <c r="H5056" s="4"/>
    </row>
    <row r="5057" ht="16.5" customHeight="1" spans="1:8">
      <c r="A5057" s="3">
        <v>5056</v>
      </c>
      <c r="B5057" s="3" t="s">
        <v>11358</v>
      </c>
      <c r="C5057" s="3" t="s">
        <v>1361</v>
      </c>
      <c r="D5057" s="4" t="s">
        <v>11359</v>
      </c>
      <c r="E5057" s="3" t="s">
        <v>1218</v>
      </c>
      <c r="F5057" s="3" t="s">
        <v>2105</v>
      </c>
      <c r="G5057" s="3"/>
      <c r="H5057" s="4"/>
    </row>
    <row r="5058" ht="16.5" customHeight="1" spans="1:8">
      <c r="A5058" s="3">
        <v>5057</v>
      </c>
      <c r="B5058" s="3" t="s">
        <v>11360</v>
      </c>
      <c r="C5058" s="3" t="s">
        <v>1361</v>
      </c>
      <c r="D5058" s="4" t="s">
        <v>11361</v>
      </c>
      <c r="E5058" s="3" t="s">
        <v>1218</v>
      </c>
      <c r="F5058" s="3" t="s">
        <v>2105</v>
      </c>
      <c r="G5058" s="3"/>
      <c r="H5058" s="4"/>
    </row>
    <row r="5059" ht="16.5" customHeight="1" spans="1:8">
      <c r="A5059" s="3">
        <v>5058</v>
      </c>
      <c r="B5059" s="3" t="s">
        <v>11362</v>
      </c>
      <c r="C5059" s="3" t="s">
        <v>2163</v>
      </c>
      <c r="D5059" s="4" t="s">
        <v>11363</v>
      </c>
      <c r="E5059" s="3" t="s">
        <v>1076</v>
      </c>
      <c r="F5059" s="3" t="s">
        <v>2041</v>
      </c>
      <c r="G5059" s="3" t="s">
        <v>321</v>
      </c>
      <c r="H5059" s="4" t="s">
        <v>1095</v>
      </c>
    </row>
    <row r="5060" ht="16.5" customHeight="1" spans="1:8">
      <c r="A5060" s="3">
        <v>5059</v>
      </c>
      <c r="B5060" s="3" t="s">
        <v>11364</v>
      </c>
      <c r="C5060" s="3" t="s">
        <v>1361</v>
      </c>
      <c r="D5060" s="4" t="s">
        <v>11365</v>
      </c>
      <c r="E5060" s="3" t="s">
        <v>1218</v>
      </c>
      <c r="F5060" s="3" t="s">
        <v>2105</v>
      </c>
      <c r="G5060" s="3"/>
      <c r="H5060" s="4"/>
    </row>
    <row r="5061" ht="16.5" customHeight="1" spans="1:8">
      <c r="A5061" s="3">
        <v>5060</v>
      </c>
      <c r="B5061" s="3" t="s">
        <v>11366</v>
      </c>
      <c r="C5061" s="3" t="s">
        <v>1361</v>
      </c>
      <c r="D5061" s="4" t="s">
        <v>11367</v>
      </c>
      <c r="E5061" s="3" t="s">
        <v>1218</v>
      </c>
      <c r="F5061" s="3" t="s">
        <v>2105</v>
      </c>
      <c r="G5061" s="3"/>
      <c r="H5061" s="4"/>
    </row>
    <row r="5062" ht="16.5" customHeight="1" spans="1:8">
      <c r="A5062" s="3">
        <v>5061</v>
      </c>
      <c r="B5062" s="3" t="s">
        <v>11368</v>
      </c>
      <c r="C5062" s="3" t="s">
        <v>1361</v>
      </c>
      <c r="D5062" s="4" t="s">
        <v>11369</v>
      </c>
      <c r="E5062" s="3" t="s">
        <v>1218</v>
      </c>
      <c r="F5062" s="3" t="s">
        <v>2105</v>
      </c>
      <c r="G5062" s="3"/>
      <c r="H5062" s="4"/>
    </row>
    <row r="5063" ht="16.5" customHeight="1" spans="1:8">
      <c r="A5063" s="3">
        <v>5062</v>
      </c>
      <c r="B5063" s="3" t="s">
        <v>11370</v>
      </c>
      <c r="C5063" s="3" t="s">
        <v>1361</v>
      </c>
      <c r="D5063" s="4" t="s">
        <v>11371</v>
      </c>
      <c r="E5063" s="3" t="s">
        <v>1218</v>
      </c>
      <c r="F5063" s="3" t="s">
        <v>2105</v>
      </c>
      <c r="G5063" s="3"/>
      <c r="H5063" s="4"/>
    </row>
    <row r="5064" ht="16.5" customHeight="1" spans="1:8">
      <c r="A5064" s="3">
        <v>5063</v>
      </c>
      <c r="B5064" s="3" t="s">
        <v>11372</v>
      </c>
      <c r="C5064" s="3" t="s">
        <v>1361</v>
      </c>
      <c r="D5064" s="4" t="s">
        <v>11373</v>
      </c>
      <c r="E5064" s="3" t="s">
        <v>1218</v>
      </c>
      <c r="F5064" s="3" t="s">
        <v>2105</v>
      </c>
      <c r="G5064" s="3"/>
      <c r="H5064" s="4"/>
    </row>
    <row r="5065" ht="16.5" customHeight="1" spans="1:8">
      <c r="A5065" s="3">
        <v>5064</v>
      </c>
      <c r="B5065" s="3" t="s">
        <v>11374</v>
      </c>
      <c r="C5065" s="3" t="s">
        <v>1361</v>
      </c>
      <c r="D5065" s="4" t="s">
        <v>11375</v>
      </c>
      <c r="E5065" s="3" t="s">
        <v>1218</v>
      </c>
      <c r="F5065" s="3" t="s">
        <v>2105</v>
      </c>
      <c r="G5065" s="3"/>
      <c r="H5065" s="4"/>
    </row>
    <row r="5066" ht="16.5" customHeight="1" spans="1:8">
      <c r="A5066" s="3">
        <v>5065</v>
      </c>
      <c r="B5066" s="3" t="s">
        <v>11376</v>
      </c>
      <c r="C5066" s="3" t="s">
        <v>1361</v>
      </c>
      <c r="D5066" s="4" t="s">
        <v>11377</v>
      </c>
      <c r="E5066" s="3" t="s">
        <v>1218</v>
      </c>
      <c r="F5066" s="3" t="s">
        <v>2105</v>
      </c>
      <c r="G5066" s="3"/>
      <c r="H5066" s="4"/>
    </row>
    <row r="5067" ht="16.5" customHeight="1" spans="1:8">
      <c r="A5067" s="3">
        <v>5066</v>
      </c>
      <c r="B5067" s="3" t="s">
        <v>11378</v>
      </c>
      <c r="C5067" s="3" t="s">
        <v>1361</v>
      </c>
      <c r="D5067" s="4" t="s">
        <v>11379</v>
      </c>
      <c r="E5067" s="3" t="s">
        <v>1218</v>
      </c>
      <c r="F5067" s="3" t="s">
        <v>2105</v>
      </c>
      <c r="G5067" s="3"/>
      <c r="H5067" s="4"/>
    </row>
    <row r="5068" ht="16.5" customHeight="1" spans="1:8">
      <c r="A5068" s="3">
        <v>5067</v>
      </c>
      <c r="B5068" s="3" t="s">
        <v>11380</v>
      </c>
      <c r="C5068" s="3" t="s">
        <v>1361</v>
      </c>
      <c r="D5068" s="4" t="s">
        <v>11381</v>
      </c>
      <c r="E5068" s="3" t="s">
        <v>1218</v>
      </c>
      <c r="F5068" s="3" t="s">
        <v>2105</v>
      </c>
      <c r="G5068" s="3"/>
      <c r="H5068" s="4"/>
    </row>
    <row r="5069" ht="16.5" customHeight="1" spans="1:8">
      <c r="A5069" s="3">
        <v>5068</v>
      </c>
      <c r="B5069" s="3" t="s">
        <v>11382</v>
      </c>
      <c r="C5069" s="3" t="s">
        <v>1361</v>
      </c>
      <c r="D5069" s="4" t="s">
        <v>11383</v>
      </c>
      <c r="E5069" s="3" t="s">
        <v>1218</v>
      </c>
      <c r="F5069" s="3" t="s">
        <v>2105</v>
      </c>
      <c r="G5069" s="3"/>
      <c r="H5069" s="4"/>
    </row>
    <row r="5070" ht="16.5" customHeight="1" spans="1:8">
      <c r="A5070" s="3">
        <v>5069</v>
      </c>
      <c r="B5070" s="3" t="s">
        <v>11384</v>
      </c>
      <c r="C5070" s="3" t="s">
        <v>1361</v>
      </c>
      <c r="D5070" s="4" t="s">
        <v>11385</v>
      </c>
      <c r="E5070" s="3" t="s">
        <v>1218</v>
      </c>
      <c r="F5070" s="3" t="s">
        <v>2105</v>
      </c>
      <c r="G5070" s="3"/>
      <c r="H5070" s="4"/>
    </row>
    <row r="5071" ht="16.5" customHeight="1" spans="1:8">
      <c r="A5071" s="3">
        <v>5070</v>
      </c>
      <c r="B5071" s="3" t="s">
        <v>11386</v>
      </c>
      <c r="C5071" s="3" t="s">
        <v>1361</v>
      </c>
      <c r="D5071" s="4" t="s">
        <v>11387</v>
      </c>
      <c r="E5071" s="3" t="s">
        <v>1218</v>
      </c>
      <c r="F5071" s="3" t="s">
        <v>2105</v>
      </c>
      <c r="G5071" s="3"/>
      <c r="H5071" s="4"/>
    </row>
    <row r="5072" ht="16.5" customHeight="1" spans="1:8">
      <c r="A5072" s="3">
        <v>5071</v>
      </c>
      <c r="B5072" s="3" t="s">
        <v>11388</v>
      </c>
      <c r="C5072" s="3" t="s">
        <v>1361</v>
      </c>
      <c r="D5072" s="4" t="s">
        <v>11389</v>
      </c>
      <c r="E5072" s="3" t="s">
        <v>1218</v>
      </c>
      <c r="F5072" s="3" t="s">
        <v>2105</v>
      </c>
      <c r="G5072" s="3"/>
      <c r="H5072" s="4"/>
    </row>
    <row r="5073" ht="16.5" customHeight="1" spans="1:8">
      <c r="A5073" s="3">
        <v>5072</v>
      </c>
      <c r="B5073" s="3" t="s">
        <v>11390</v>
      </c>
      <c r="C5073" s="3" t="s">
        <v>1361</v>
      </c>
      <c r="D5073" s="4" t="s">
        <v>11391</v>
      </c>
      <c r="E5073" s="3" t="s">
        <v>1218</v>
      </c>
      <c r="F5073" s="3" t="s">
        <v>2105</v>
      </c>
      <c r="G5073" s="3"/>
      <c r="H5073" s="4"/>
    </row>
    <row r="5074" ht="16.5" customHeight="1" spans="1:8">
      <c r="A5074" s="3">
        <v>5073</v>
      </c>
      <c r="B5074" s="3" t="s">
        <v>11392</v>
      </c>
      <c r="C5074" s="3" t="s">
        <v>1361</v>
      </c>
      <c r="D5074" s="4" t="s">
        <v>11393</v>
      </c>
      <c r="E5074" s="3" t="s">
        <v>1218</v>
      </c>
      <c r="F5074" s="3" t="s">
        <v>2105</v>
      </c>
      <c r="G5074" s="3"/>
      <c r="H5074" s="4"/>
    </row>
    <row r="5075" ht="16.5" customHeight="1" spans="1:8">
      <c r="A5075" s="3">
        <v>5074</v>
      </c>
      <c r="B5075" s="3" t="s">
        <v>11394</v>
      </c>
      <c r="C5075" s="3" t="s">
        <v>1361</v>
      </c>
      <c r="D5075" s="4" t="s">
        <v>11395</v>
      </c>
      <c r="E5075" s="3" t="s">
        <v>1218</v>
      </c>
      <c r="F5075" s="3" t="s">
        <v>2105</v>
      </c>
      <c r="G5075" s="3"/>
      <c r="H5075" s="4"/>
    </row>
    <row r="5076" ht="16.5" customHeight="1" spans="1:8">
      <c r="A5076" s="3">
        <v>5075</v>
      </c>
      <c r="B5076" s="3" t="s">
        <v>11396</v>
      </c>
      <c r="C5076" s="3" t="s">
        <v>1361</v>
      </c>
      <c r="D5076" s="4" t="s">
        <v>11397</v>
      </c>
      <c r="E5076" s="3" t="s">
        <v>1218</v>
      </c>
      <c r="F5076" s="3" t="s">
        <v>2105</v>
      </c>
      <c r="G5076" s="3"/>
      <c r="H5076" s="4"/>
    </row>
    <row r="5077" ht="16.5" customHeight="1" spans="1:8">
      <c r="A5077" s="3">
        <v>5076</v>
      </c>
      <c r="B5077" s="3" t="s">
        <v>11398</v>
      </c>
      <c r="C5077" s="3" t="s">
        <v>1361</v>
      </c>
      <c r="D5077" s="4" t="s">
        <v>11399</v>
      </c>
      <c r="E5077" s="3" t="s">
        <v>1218</v>
      </c>
      <c r="F5077" s="3" t="s">
        <v>2105</v>
      </c>
      <c r="G5077" s="3"/>
      <c r="H5077" s="4"/>
    </row>
    <row r="5078" ht="16.5" customHeight="1" spans="1:8">
      <c r="A5078" s="3">
        <v>5077</v>
      </c>
      <c r="B5078" s="3" t="s">
        <v>11400</v>
      </c>
      <c r="C5078" s="3" t="s">
        <v>1361</v>
      </c>
      <c r="D5078" s="4" t="s">
        <v>11401</v>
      </c>
      <c r="E5078" s="3" t="s">
        <v>1218</v>
      </c>
      <c r="F5078" s="3" t="s">
        <v>2105</v>
      </c>
      <c r="G5078" s="3"/>
      <c r="H5078" s="4"/>
    </row>
    <row r="5079" ht="16.5" customHeight="1" spans="1:8">
      <c r="A5079" s="3">
        <v>5078</v>
      </c>
      <c r="B5079" s="3" t="s">
        <v>11402</v>
      </c>
      <c r="C5079" s="3" t="s">
        <v>1361</v>
      </c>
      <c r="D5079" s="4" t="s">
        <v>11403</v>
      </c>
      <c r="E5079" s="3" t="s">
        <v>1218</v>
      </c>
      <c r="F5079" s="3" t="s">
        <v>2105</v>
      </c>
      <c r="G5079" s="3"/>
      <c r="H5079" s="4"/>
    </row>
    <row r="5080" ht="16.5" customHeight="1" spans="1:8">
      <c r="A5080" s="3">
        <v>5079</v>
      </c>
      <c r="B5080" s="3" t="s">
        <v>11404</v>
      </c>
      <c r="C5080" s="3" t="s">
        <v>1361</v>
      </c>
      <c r="D5080" s="4" t="s">
        <v>11405</v>
      </c>
      <c r="E5080" s="3" t="s">
        <v>1218</v>
      </c>
      <c r="F5080" s="3" t="s">
        <v>2105</v>
      </c>
      <c r="G5080" s="3"/>
      <c r="H5080" s="4"/>
    </row>
    <row r="5081" ht="16.5" customHeight="1" spans="1:8">
      <c r="A5081" s="3">
        <v>5080</v>
      </c>
      <c r="B5081" s="3" t="s">
        <v>11406</v>
      </c>
      <c r="C5081" s="3" t="s">
        <v>1361</v>
      </c>
      <c r="D5081" s="4" t="s">
        <v>11407</v>
      </c>
      <c r="E5081" s="3" t="s">
        <v>1218</v>
      </c>
      <c r="F5081" s="3" t="s">
        <v>2105</v>
      </c>
      <c r="G5081" s="3"/>
      <c r="H5081" s="4"/>
    </row>
    <row r="5082" ht="16.5" customHeight="1" spans="1:8">
      <c r="A5082" s="3">
        <v>5081</v>
      </c>
      <c r="B5082" s="3" t="s">
        <v>11408</v>
      </c>
      <c r="C5082" s="3" t="s">
        <v>1361</v>
      </c>
      <c r="D5082" s="4" t="s">
        <v>11409</v>
      </c>
      <c r="E5082" s="3" t="s">
        <v>1218</v>
      </c>
      <c r="F5082" s="3" t="s">
        <v>2105</v>
      </c>
      <c r="G5082" s="3"/>
      <c r="H5082" s="4"/>
    </row>
    <row r="5083" ht="16.5" customHeight="1" spans="1:8">
      <c r="A5083" s="3">
        <v>5082</v>
      </c>
      <c r="B5083" s="3" t="s">
        <v>11410</v>
      </c>
      <c r="C5083" s="3" t="s">
        <v>2163</v>
      </c>
      <c r="D5083" s="4" t="s">
        <v>11411</v>
      </c>
      <c r="E5083" s="3" t="s">
        <v>5779</v>
      </c>
      <c r="F5083" s="3" t="s">
        <v>2105</v>
      </c>
      <c r="G5083" s="3"/>
      <c r="H5083" s="4" t="s">
        <v>3812</v>
      </c>
    </row>
    <row r="5084" ht="16.5" customHeight="1" spans="1:8">
      <c r="A5084" s="3">
        <v>5083</v>
      </c>
      <c r="B5084" s="3" t="s">
        <v>11412</v>
      </c>
      <c r="C5084" s="3" t="s">
        <v>1356</v>
      </c>
      <c r="D5084" s="4" t="s">
        <v>11413</v>
      </c>
      <c r="E5084" s="3" t="s">
        <v>1076</v>
      </c>
      <c r="F5084" s="3" t="s">
        <v>1358</v>
      </c>
      <c r="G5084" s="3" t="s">
        <v>321</v>
      </c>
      <c r="H5084" s="4"/>
    </row>
    <row r="5085" ht="16.5" customHeight="1" spans="1:8">
      <c r="A5085" s="3">
        <v>5084</v>
      </c>
      <c r="B5085" s="3" t="s">
        <v>11414</v>
      </c>
      <c r="C5085" s="3" t="s">
        <v>1356</v>
      </c>
      <c r="D5085" s="4" t="s">
        <v>6956</v>
      </c>
      <c r="E5085" s="3" t="s">
        <v>1076</v>
      </c>
      <c r="F5085" s="3" t="s">
        <v>1358</v>
      </c>
      <c r="G5085" s="3" t="s">
        <v>321</v>
      </c>
      <c r="H5085" s="4"/>
    </row>
    <row r="5086" ht="16.5" customHeight="1" spans="1:8">
      <c r="A5086" s="3">
        <v>5085</v>
      </c>
      <c r="B5086" s="3" t="s">
        <v>11415</v>
      </c>
      <c r="C5086" s="3" t="s">
        <v>1356</v>
      </c>
      <c r="D5086" s="4" t="s">
        <v>11416</v>
      </c>
      <c r="E5086" s="3" t="s">
        <v>1076</v>
      </c>
      <c r="F5086" s="3" t="s">
        <v>1358</v>
      </c>
      <c r="G5086" s="3" t="s">
        <v>321</v>
      </c>
      <c r="H5086" s="4"/>
    </row>
    <row r="5087" ht="16.5" customHeight="1" spans="1:8">
      <c r="A5087" s="3">
        <v>5086</v>
      </c>
      <c r="B5087" s="3" t="s">
        <v>11417</v>
      </c>
      <c r="C5087" s="3" t="s">
        <v>1356</v>
      </c>
      <c r="D5087" s="4" t="s">
        <v>11418</v>
      </c>
      <c r="E5087" s="3" t="s">
        <v>1076</v>
      </c>
      <c r="F5087" s="3" t="s">
        <v>1358</v>
      </c>
      <c r="G5087" s="3" t="s">
        <v>321</v>
      </c>
      <c r="H5087" s="4" t="s">
        <v>1095</v>
      </c>
    </row>
    <row r="5088" ht="16.5" customHeight="1" spans="1:8">
      <c r="A5088" s="3">
        <v>5087</v>
      </c>
      <c r="B5088" s="3" t="s">
        <v>11419</v>
      </c>
      <c r="C5088" s="3" t="s">
        <v>2163</v>
      </c>
      <c r="D5088" s="4" t="s">
        <v>11420</v>
      </c>
      <c r="E5088" s="3" t="s">
        <v>1076</v>
      </c>
      <c r="F5088" s="3" t="s">
        <v>2105</v>
      </c>
      <c r="G5088" s="3"/>
      <c r="H5088" s="4" t="s">
        <v>7243</v>
      </c>
    </row>
    <row r="5089" ht="16.5" customHeight="1" spans="1:8">
      <c r="A5089" s="3">
        <v>5088</v>
      </c>
      <c r="B5089" s="3" t="s">
        <v>11421</v>
      </c>
      <c r="C5089" s="3" t="s">
        <v>2163</v>
      </c>
      <c r="D5089" s="4" t="s">
        <v>11422</v>
      </c>
      <c r="E5089" s="3" t="s">
        <v>1076</v>
      </c>
      <c r="F5089" s="3" t="s">
        <v>2105</v>
      </c>
      <c r="G5089" s="3"/>
      <c r="H5089" s="4" t="s">
        <v>7243</v>
      </c>
    </row>
    <row r="5090" ht="16.5" customHeight="1" spans="1:8">
      <c r="A5090" s="3">
        <v>5089</v>
      </c>
      <c r="B5090" s="3" t="s">
        <v>11423</v>
      </c>
      <c r="C5090" s="3" t="s">
        <v>2163</v>
      </c>
      <c r="D5090" s="4" t="s">
        <v>11424</v>
      </c>
      <c r="E5090" s="3" t="s">
        <v>1076</v>
      </c>
      <c r="F5090" s="3" t="s">
        <v>2105</v>
      </c>
      <c r="G5090" s="3"/>
      <c r="H5090" s="4" t="s">
        <v>7243</v>
      </c>
    </row>
    <row r="5091" ht="16.5" customHeight="1" spans="1:8">
      <c r="A5091" s="3">
        <v>5090</v>
      </c>
      <c r="B5091" s="3" t="s">
        <v>11425</v>
      </c>
      <c r="C5091" s="3" t="s">
        <v>2163</v>
      </c>
      <c r="D5091" s="4" t="s">
        <v>11426</v>
      </c>
      <c r="E5091" s="3" t="s">
        <v>1076</v>
      </c>
      <c r="F5091" s="3" t="s">
        <v>2105</v>
      </c>
      <c r="G5091" s="3"/>
      <c r="H5091" s="4" t="s">
        <v>7243</v>
      </c>
    </row>
    <row r="5092" ht="16.5" customHeight="1" spans="1:8">
      <c r="A5092" s="3">
        <v>5091</v>
      </c>
      <c r="B5092" s="3" t="s">
        <v>11427</v>
      </c>
      <c r="C5092" s="3" t="s">
        <v>2163</v>
      </c>
      <c r="D5092" s="4" t="s">
        <v>11428</v>
      </c>
      <c r="E5092" s="3" t="s">
        <v>3954</v>
      </c>
      <c r="F5092" s="3" t="s">
        <v>2105</v>
      </c>
      <c r="G5092" s="3"/>
      <c r="H5092" s="4" t="s">
        <v>7243</v>
      </c>
    </row>
    <row r="5093" ht="16.5" customHeight="1" spans="1:8">
      <c r="A5093" s="3">
        <v>5092</v>
      </c>
      <c r="B5093" s="3" t="s">
        <v>11429</v>
      </c>
      <c r="C5093" s="3" t="s">
        <v>2163</v>
      </c>
      <c r="D5093" s="4" t="s">
        <v>11430</v>
      </c>
      <c r="E5093" s="3" t="s">
        <v>2263</v>
      </c>
      <c r="F5093" s="3" t="s">
        <v>11431</v>
      </c>
      <c r="G5093" s="3" t="s">
        <v>321</v>
      </c>
      <c r="H5093" s="4" t="s">
        <v>1095</v>
      </c>
    </row>
    <row r="5094" ht="16.5" customHeight="1" spans="1:8">
      <c r="A5094" s="3">
        <v>5093</v>
      </c>
      <c r="B5094" s="3" t="s">
        <v>11432</v>
      </c>
      <c r="C5094" s="3" t="s">
        <v>1105</v>
      </c>
      <c r="D5094" s="4" t="s">
        <v>11433</v>
      </c>
      <c r="E5094" s="3" t="s">
        <v>1218</v>
      </c>
      <c r="F5094" s="3" t="s">
        <v>8175</v>
      </c>
      <c r="G5094" s="3"/>
      <c r="H5094" s="4" t="s">
        <v>11150</v>
      </c>
    </row>
    <row r="5095" ht="16.5" customHeight="1" spans="1:8">
      <c r="A5095" s="3">
        <v>5094</v>
      </c>
      <c r="B5095" s="3" t="s">
        <v>11434</v>
      </c>
      <c r="C5095" s="3" t="s">
        <v>2163</v>
      </c>
      <c r="D5095" s="4" t="s">
        <v>11435</v>
      </c>
      <c r="E5095" s="3" t="s">
        <v>1076</v>
      </c>
      <c r="F5095" s="3" t="s">
        <v>2041</v>
      </c>
      <c r="G5095" s="3" t="s">
        <v>321</v>
      </c>
      <c r="H5095" s="4" t="s">
        <v>1305</v>
      </c>
    </row>
    <row r="5096" ht="16.5" customHeight="1" spans="1:8">
      <c r="A5096" s="3">
        <v>5095</v>
      </c>
      <c r="B5096" s="3" t="s">
        <v>11436</v>
      </c>
      <c r="C5096" s="3" t="s">
        <v>1074</v>
      </c>
      <c r="D5096" s="4" t="s">
        <v>11437</v>
      </c>
      <c r="E5096" s="3" t="s">
        <v>5779</v>
      </c>
      <c r="F5096" s="3" t="s">
        <v>2041</v>
      </c>
      <c r="G5096" s="3" t="s">
        <v>321</v>
      </c>
      <c r="H5096" s="4" t="s">
        <v>1305</v>
      </c>
    </row>
    <row r="5097" ht="16.5" customHeight="1" spans="1:8">
      <c r="A5097" s="3">
        <v>5096</v>
      </c>
      <c r="B5097" s="3" t="s">
        <v>11438</v>
      </c>
      <c r="C5097" s="3" t="s">
        <v>2163</v>
      </c>
      <c r="D5097" s="4" t="s">
        <v>11439</v>
      </c>
      <c r="E5097" s="3" t="s">
        <v>1076</v>
      </c>
      <c r="F5097" s="3" t="s">
        <v>8175</v>
      </c>
      <c r="G5097" s="3"/>
      <c r="H5097" s="4" t="s">
        <v>9016</v>
      </c>
    </row>
    <row r="5098" ht="16.5" customHeight="1" spans="1:8">
      <c r="A5098" s="3">
        <v>5097</v>
      </c>
      <c r="B5098" s="3" t="s">
        <v>11440</v>
      </c>
      <c r="C5098" s="3" t="s">
        <v>2163</v>
      </c>
      <c r="D5098" s="4" t="s">
        <v>11441</v>
      </c>
      <c r="E5098" s="3" t="s">
        <v>1076</v>
      </c>
      <c r="F5098" s="3" t="s">
        <v>2041</v>
      </c>
      <c r="G5098" s="3" t="s">
        <v>321</v>
      </c>
      <c r="H5098" s="4" t="s">
        <v>1305</v>
      </c>
    </row>
    <row r="5099" ht="16.5" customHeight="1" spans="1:8">
      <c r="A5099" s="3">
        <v>5098</v>
      </c>
      <c r="B5099" s="3" t="s">
        <v>11442</v>
      </c>
      <c r="C5099" s="3" t="s">
        <v>2163</v>
      </c>
      <c r="D5099" s="4" t="s">
        <v>11443</v>
      </c>
      <c r="E5099" s="3" t="s">
        <v>1076</v>
      </c>
      <c r="F5099" s="3" t="s">
        <v>4668</v>
      </c>
      <c r="G5099" s="3"/>
      <c r="H5099" s="4" t="s">
        <v>7224</v>
      </c>
    </row>
    <row r="5100" ht="16.5" customHeight="1" spans="1:8">
      <c r="A5100" s="3">
        <v>5099</v>
      </c>
      <c r="B5100" s="3" t="s">
        <v>11444</v>
      </c>
      <c r="C5100" s="3" t="s">
        <v>2163</v>
      </c>
      <c r="D5100" s="4" t="s">
        <v>11445</v>
      </c>
      <c r="E5100" s="3" t="s">
        <v>3093</v>
      </c>
      <c r="F5100" s="3" t="s">
        <v>2041</v>
      </c>
      <c r="G5100" s="3" t="s">
        <v>321</v>
      </c>
      <c r="H5100" s="4" t="s">
        <v>1305</v>
      </c>
    </row>
    <row r="5101" ht="16.5" customHeight="1" spans="1:8">
      <c r="A5101" s="3">
        <v>5100</v>
      </c>
      <c r="B5101" s="3" t="s">
        <v>11446</v>
      </c>
      <c r="C5101" s="3" t="s">
        <v>2163</v>
      </c>
      <c r="D5101" s="4" t="s">
        <v>11447</v>
      </c>
      <c r="E5101" s="3" t="s">
        <v>5779</v>
      </c>
      <c r="F5101" s="3" t="s">
        <v>8175</v>
      </c>
      <c r="G5101" s="3"/>
      <c r="H5101" s="4" t="s">
        <v>9016</v>
      </c>
    </row>
    <row r="5102" ht="16.5" customHeight="1" spans="1:8">
      <c r="A5102" s="3">
        <v>5101</v>
      </c>
      <c r="B5102" s="3" t="s">
        <v>11448</v>
      </c>
      <c r="C5102" s="3" t="s">
        <v>2163</v>
      </c>
      <c r="D5102" s="4" t="s">
        <v>11449</v>
      </c>
      <c r="E5102" s="3" t="s">
        <v>1076</v>
      </c>
      <c r="F5102" s="3" t="s">
        <v>2041</v>
      </c>
      <c r="G5102" s="3" t="s">
        <v>321</v>
      </c>
      <c r="H5102" s="4" t="s">
        <v>1305</v>
      </c>
    </row>
    <row r="5103" ht="16.5" customHeight="1" spans="1:8">
      <c r="A5103" s="3">
        <v>5102</v>
      </c>
      <c r="B5103" s="3" t="s">
        <v>11450</v>
      </c>
      <c r="C5103" s="3" t="s">
        <v>1356</v>
      </c>
      <c r="D5103" s="4" t="s">
        <v>11451</v>
      </c>
      <c r="E5103" s="3" t="s">
        <v>1076</v>
      </c>
      <c r="F5103" s="3" t="s">
        <v>8175</v>
      </c>
      <c r="G5103" s="3"/>
      <c r="H5103" s="4" t="s">
        <v>4322</v>
      </c>
    </row>
    <row r="5104" ht="16.5" customHeight="1" spans="1:8">
      <c r="A5104" s="3">
        <v>5103</v>
      </c>
      <c r="B5104" s="3" t="s">
        <v>11452</v>
      </c>
      <c r="C5104" s="3" t="s">
        <v>2163</v>
      </c>
      <c r="D5104" s="4" t="s">
        <v>11453</v>
      </c>
      <c r="E5104" s="3" t="s">
        <v>5779</v>
      </c>
      <c r="F5104" s="3" t="s">
        <v>4668</v>
      </c>
      <c r="G5104" s="3"/>
      <c r="H5104" s="4" t="s">
        <v>4322</v>
      </c>
    </row>
    <row r="5105" ht="16.5" customHeight="1" spans="1:8">
      <c r="A5105" s="3">
        <v>5104</v>
      </c>
      <c r="B5105" s="3" t="s">
        <v>11454</v>
      </c>
      <c r="C5105" s="3" t="s">
        <v>2163</v>
      </c>
      <c r="D5105" s="4" t="s">
        <v>11455</v>
      </c>
      <c r="E5105" s="3" t="s">
        <v>1076</v>
      </c>
      <c r="F5105" s="3" t="s">
        <v>4668</v>
      </c>
      <c r="G5105" s="3"/>
      <c r="H5105" s="4" t="s">
        <v>4322</v>
      </c>
    </row>
    <row r="5106" ht="16.5" customHeight="1" spans="1:8">
      <c r="A5106" s="3">
        <v>5105</v>
      </c>
      <c r="B5106" s="3" t="s">
        <v>11456</v>
      </c>
      <c r="C5106" s="3" t="s">
        <v>2163</v>
      </c>
      <c r="D5106" s="4" t="s">
        <v>11457</v>
      </c>
      <c r="E5106" s="3" t="s">
        <v>1076</v>
      </c>
      <c r="F5106" s="3" t="s">
        <v>4668</v>
      </c>
      <c r="G5106" s="3"/>
      <c r="H5106" s="4" t="s">
        <v>4322</v>
      </c>
    </row>
    <row r="5107" ht="16.5" customHeight="1" spans="1:8">
      <c r="A5107" s="3">
        <v>5106</v>
      </c>
      <c r="B5107" s="3" t="s">
        <v>11458</v>
      </c>
      <c r="C5107" s="3" t="s">
        <v>2163</v>
      </c>
      <c r="D5107" s="4" t="s">
        <v>11459</v>
      </c>
      <c r="E5107" s="3" t="s">
        <v>1076</v>
      </c>
      <c r="F5107" s="3" t="s">
        <v>4668</v>
      </c>
      <c r="G5107" s="3"/>
      <c r="H5107" s="4" t="s">
        <v>6740</v>
      </c>
    </row>
    <row r="5108" ht="16.5" customHeight="1" spans="1:8">
      <c r="A5108" s="3">
        <v>5107</v>
      </c>
      <c r="B5108" s="3" t="s">
        <v>11460</v>
      </c>
      <c r="C5108" s="3" t="s">
        <v>2163</v>
      </c>
      <c r="D5108" s="4" t="s">
        <v>11461</v>
      </c>
      <c r="E5108" s="3" t="s">
        <v>2263</v>
      </c>
      <c r="F5108" s="3" t="s">
        <v>4668</v>
      </c>
      <c r="G5108" s="3"/>
      <c r="H5108" s="4" t="s">
        <v>1081</v>
      </c>
    </row>
    <row r="5109" ht="16.5" customHeight="1" spans="1:8">
      <c r="A5109" s="3">
        <v>5108</v>
      </c>
      <c r="B5109" s="3" t="s">
        <v>11462</v>
      </c>
      <c r="C5109" s="3" t="s">
        <v>2163</v>
      </c>
      <c r="D5109" s="4" t="s">
        <v>11463</v>
      </c>
      <c r="E5109" s="3" t="s">
        <v>8871</v>
      </c>
      <c r="F5109" s="3" t="s">
        <v>4668</v>
      </c>
      <c r="G5109" s="3"/>
      <c r="H5109" s="4" t="s">
        <v>1078</v>
      </c>
    </row>
    <row r="5110" ht="16.5" customHeight="1" spans="1:8">
      <c r="A5110" s="3">
        <v>5109</v>
      </c>
      <c r="B5110" s="3" t="s">
        <v>11464</v>
      </c>
      <c r="C5110" s="3" t="s">
        <v>2163</v>
      </c>
      <c r="D5110" s="4" t="s">
        <v>11465</v>
      </c>
      <c r="E5110" s="3" t="s">
        <v>1076</v>
      </c>
      <c r="F5110" s="3" t="s">
        <v>4668</v>
      </c>
      <c r="G5110" s="3"/>
      <c r="H5110" s="4" t="s">
        <v>1359</v>
      </c>
    </row>
    <row r="5111" ht="16.5" customHeight="1" spans="1:8">
      <c r="A5111" s="3">
        <v>5110</v>
      </c>
      <c r="B5111" s="3" t="s">
        <v>11466</v>
      </c>
      <c r="C5111" s="3" t="s">
        <v>2163</v>
      </c>
      <c r="D5111" s="4" t="s">
        <v>11467</v>
      </c>
      <c r="E5111" s="3" t="s">
        <v>1076</v>
      </c>
      <c r="F5111" s="3" t="s">
        <v>4668</v>
      </c>
      <c r="G5111" s="3"/>
      <c r="H5111" s="4" t="s">
        <v>1359</v>
      </c>
    </row>
    <row r="5112" ht="16.5" customHeight="1" spans="1:8">
      <c r="A5112" s="3">
        <v>5111</v>
      </c>
      <c r="B5112" s="3" t="s">
        <v>11468</v>
      </c>
      <c r="C5112" s="3" t="s">
        <v>2163</v>
      </c>
      <c r="D5112" s="4" t="s">
        <v>11469</v>
      </c>
      <c r="E5112" s="3" t="s">
        <v>1076</v>
      </c>
      <c r="F5112" s="3" t="s">
        <v>4668</v>
      </c>
      <c r="G5112" s="3"/>
      <c r="H5112" s="4" t="s">
        <v>1359</v>
      </c>
    </row>
    <row r="5113" ht="16.5" customHeight="1" spans="1:8">
      <c r="A5113" s="3">
        <v>5112</v>
      </c>
      <c r="B5113" s="3" t="s">
        <v>11470</v>
      </c>
      <c r="C5113" s="3" t="s">
        <v>2163</v>
      </c>
      <c r="D5113" s="4" t="s">
        <v>11471</v>
      </c>
      <c r="E5113" s="3" t="s">
        <v>1076</v>
      </c>
      <c r="F5113" s="3" t="s">
        <v>8175</v>
      </c>
      <c r="G5113" s="3"/>
      <c r="H5113" s="4" t="s">
        <v>1359</v>
      </c>
    </row>
    <row r="5114" ht="16.5" customHeight="1" spans="1:8">
      <c r="A5114" s="3">
        <v>5113</v>
      </c>
      <c r="B5114" s="3" t="s">
        <v>11472</v>
      </c>
      <c r="C5114" s="3" t="s">
        <v>2163</v>
      </c>
      <c r="D5114" s="4" t="s">
        <v>11473</v>
      </c>
      <c r="E5114" s="3" t="s">
        <v>1076</v>
      </c>
      <c r="F5114" s="3" t="s">
        <v>8175</v>
      </c>
      <c r="G5114" s="3"/>
      <c r="H5114" s="4" t="s">
        <v>1359</v>
      </c>
    </row>
    <row r="5115" ht="16.5" customHeight="1" spans="1:8">
      <c r="A5115" s="3">
        <v>5114</v>
      </c>
      <c r="B5115" s="3" t="s">
        <v>11474</v>
      </c>
      <c r="C5115" s="3" t="s">
        <v>2163</v>
      </c>
      <c r="D5115" s="4" t="s">
        <v>11475</v>
      </c>
      <c r="E5115" s="3" t="s">
        <v>1076</v>
      </c>
      <c r="F5115" s="3" t="s">
        <v>8175</v>
      </c>
      <c r="G5115" s="3"/>
      <c r="H5115" s="4" t="s">
        <v>1359</v>
      </c>
    </row>
    <row r="5116" ht="16.5" customHeight="1" spans="1:8">
      <c r="A5116" s="3">
        <v>5115</v>
      </c>
      <c r="B5116" s="3" t="s">
        <v>11476</v>
      </c>
      <c r="C5116" s="3" t="s">
        <v>2163</v>
      </c>
      <c r="D5116" s="4" t="s">
        <v>11477</v>
      </c>
      <c r="E5116" s="3" t="s">
        <v>1076</v>
      </c>
      <c r="F5116" s="3" t="s">
        <v>8175</v>
      </c>
      <c r="G5116" s="3"/>
      <c r="H5116" s="4" t="s">
        <v>1359</v>
      </c>
    </row>
    <row r="5117" ht="16.5" customHeight="1" spans="1:8">
      <c r="A5117" s="3">
        <v>5116</v>
      </c>
      <c r="B5117" s="3" t="s">
        <v>11478</v>
      </c>
      <c r="C5117" s="3" t="s">
        <v>2163</v>
      </c>
      <c r="D5117" s="4" t="s">
        <v>11479</v>
      </c>
      <c r="E5117" s="3" t="s">
        <v>1076</v>
      </c>
      <c r="F5117" s="3" t="s">
        <v>8175</v>
      </c>
      <c r="G5117" s="3"/>
      <c r="H5117" s="4" t="s">
        <v>3812</v>
      </c>
    </row>
    <row r="5118" ht="16.5" customHeight="1" spans="1:8">
      <c r="A5118" s="3">
        <v>5117</v>
      </c>
      <c r="B5118" s="3" t="s">
        <v>11480</v>
      </c>
      <c r="C5118" s="3" t="s">
        <v>2163</v>
      </c>
      <c r="D5118" s="4" t="s">
        <v>11481</v>
      </c>
      <c r="E5118" s="3" t="s">
        <v>2726</v>
      </c>
      <c r="F5118" s="3" t="s">
        <v>2041</v>
      </c>
      <c r="G5118" s="3" t="s">
        <v>321</v>
      </c>
      <c r="H5118" s="4" t="s">
        <v>1305</v>
      </c>
    </row>
    <row r="5119" ht="16.5" customHeight="1" spans="1:8">
      <c r="A5119" s="3">
        <v>5118</v>
      </c>
      <c r="B5119" s="3" t="s">
        <v>11482</v>
      </c>
      <c r="C5119" s="3" t="s">
        <v>1105</v>
      </c>
      <c r="D5119" s="4" t="s">
        <v>11483</v>
      </c>
      <c r="E5119" s="3" t="s">
        <v>1076</v>
      </c>
      <c r="F5119" s="3" t="s">
        <v>10259</v>
      </c>
      <c r="G5119" s="3"/>
      <c r="H5119" s="4" t="s">
        <v>11225</v>
      </c>
    </row>
    <row r="5120" ht="16.5" customHeight="1" spans="1:8">
      <c r="A5120" s="3">
        <v>5119</v>
      </c>
      <c r="B5120" s="3" t="s">
        <v>11484</v>
      </c>
      <c r="C5120" s="3" t="s">
        <v>2163</v>
      </c>
      <c r="D5120" s="4" t="s">
        <v>11485</v>
      </c>
      <c r="E5120" s="3" t="s">
        <v>1076</v>
      </c>
      <c r="F5120" s="3" t="s">
        <v>1358</v>
      </c>
      <c r="G5120" s="3" t="s">
        <v>321</v>
      </c>
      <c r="H5120" s="4" t="s">
        <v>1359</v>
      </c>
    </row>
    <row r="5121" ht="16.5" customHeight="1" spans="1:8">
      <c r="A5121" s="3">
        <v>5120</v>
      </c>
      <c r="B5121" s="3" t="s">
        <v>11486</v>
      </c>
      <c r="C5121" s="3" t="s">
        <v>2163</v>
      </c>
      <c r="D5121" s="4" t="s">
        <v>11487</v>
      </c>
      <c r="E5121" s="3" t="s">
        <v>1076</v>
      </c>
      <c r="F5121" s="3" t="s">
        <v>2041</v>
      </c>
      <c r="G5121" s="3" t="s">
        <v>321</v>
      </c>
      <c r="H5121" s="4" t="s">
        <v>1305</v>
      </c>
    </row>
    <row r="5122" ht="16.5" customHeight="1" spans="1:8">
      <c r="A5122" s="3">
        <v>5121</v>
      </c>
      <c r="B5122" s="3" t="s">
        <v>11488</v>
      </c>
      <c r="C5122" s="3" t="s">
        <v>2163</v>
      </c>
      <c r="D5122" s="4" t="s">
        <v>11489</v>
      </c>
      <c r="E5122" s="3" t="s">
        <v>2726</v>
      </c>
      <c r="F5122" s="3" t="s">
        <v>8175</v>
      </c>
      <c r="G5122" s="3"/>
      <c r="H5122" s="4" t="s">
        <v>3354</v>
      </c>
    </row>
    <row r="5123" ht="16.5" customHeight="1" spans="1:8">
      <c r="A5123" s="3">
        <v>5122</v>
      </c>
      <c r="B5123" s="3" t="s">
        <v>11490</v>
      </c>
      <c r="C5123" s="3" t="s">
        <v>2163</v>
      </c>
      <c r="D5123" s="4" t="s">
        <v>11491</v>
      </c>
      <c r="E5123" s="3" t="s">
        <v>1076</v>
      </c>
      <c r="F5123" s="3" t="s">
        <v>4668</v>
      </c>
      <c r="G5123" s="3"/>
      <c r="H5123" s="4" t="s">
        <v>1305</v>
      </c>
    </row>
    <row r="5124" ht="16.5" customHeight="1" spans="1:8">
      <c r="A5124" s="3">
        <v>5123</v>
      </c>
      <c r="B5124" s="3" t="s">
        <v>11492</v>
      </c>
      <c r="C5124" s="3" t="s">
        <v>2163</v>
      </c>
      <c r="D5124" s="4" t="s">
        <v>11493</v>
      </c>
      <c r="E5124" s="3" t="s">
        <v>1076</v>
      </c>
      <c r="F5124" s="3" t="s">
        <v>8175</v>
      </c>
      <c r="G5124" s="3"/>
      <c r="H5124" s="4" t="s">
        <v>3354</v>
      </c>
    </row>
    <row r="5125" ht="16.5" customHeight="1" spans="1:8">
      <c r="A5125" s="3">
        <v>5124</v>
      </c>
      <c r="B5125" s="3" t="s">
        <v>11494</v>
      </c>
      <c r="C5125" s="3" t="s">
        <v>1074</v>
      </c>
      <c r="D5125" s="4" t="s">
        <v>11495</v>
      </c>
      <c r="E5125" s="3" t="s">
        <v>1076</v>
      </c>
      <c r="F5125" s="3" t="s">
        <v>8175</v>
      </c>
      <c r="G5125" s="3"/>
      <c r="H5125" s="4" t="s">
        <v>7243</v>
      </c>
    </row>
    <row r="5126" ht="16.5" customHeight="1" spans="1:8">
      <c r="A5126" s="3">
        <v>5125</v>
      </c>
      <c r="B5126" s="3" t="s">
        <v>11496</v>
      </c>
      <c r="C5126" s="3" t="s">
        <v>1361</v>
      </c>
      <c r="D5126" s="4" t="s">
        <v>11497</v>
      </c>
      <c r="E5126" s="3" t="s">
        <v>1777</v>
      </c>
      <c r="F5126" s="3" t="s">
        <v>2105</v>
      </c>
      <c r="G5126" s="3"/>
      <c r="H5126" s="4" t="s">
        <v>7243</v>
      </c>
    </row>
    <row r="5127" ht="16.5" customHeight="1" spans="1:8">
      <c r="A5127" s="3">
        <v>5126</v>
      </c>
      <c r="B5127" s="3" t="s">
        <v>11498</v>
      </c>
      <c r="C5127" s="3" t="s">
        <v>1105</v>
      </c>
      <c r="D5127" s="4" t="s">
        <v>11499</v>
      </c>
      <c r="E5127" s="3" t="s">
        <v>1076</v>
      </c>
      <c r="F5127" s="3" t="s">
        <v>4668</v>
      </c>
      <c r="G5127" s="3"/>
      <c r="H5127" s="4" t="s">
        <v>11032</v>
      </c>
    </row>
    <row r="5128" ht="16.5" customHeight="1" spans="1:8">
      <c r="A5128" s="3">
        <v>5127</v>
      </c>
      <c r="B5128" s="3" t="s">
        <v>11500</v>
      </c>
      <c r="C5128" s="3" t="s">
        <v>1105</v>
      </c>
      <c r="D5128" s="4" t="s">
        <v>11501</v>
      </c>
      <c r="E5128" s="3" t="s">
        <v>1076</v>
      </c>
      <c r="F5128" s="3" t="s">
        <v>4668</v>
      </c>
      <c r="G5128" s="3"/>
      <c r="H5128" s="4" t="s">
        <v>11032</v>
      </c>
    </row>
    <row r="5129" ht="16.5" customHeight="1" spans="1:8">
      <c r="A5129" s="3">
        <v>5128</v>
      </c>
      <c r="B5129" s="3" t="s">
        <v>11502</v>
      </c>
      <c r="C5129" s="3" t="s">
        <v>1105</v>
      </c>
      <c r="D5129" s="4" t="s">
        <v>11503</v>
      </c>
      <c r="E5129" s="3" t="s">
        <v>1076</v>
      </c>
      <c r="F5129" s="3" t="s">
        <v>4668</v>
      </c>
      <c r="G5129" s="3"/>
      <c r="H5129" s="4" t="s">
        <v>11032</v>
      </c>
    </row>
    <row r="5130" ht="16.5" customHeight="1" spans="1:8">
      <c r="A5130" s="3">
        <v>5129</v>
      </c>
      <c r="B5130" s="3" t="s">
        <v>11504</v>
      </c>
      <c r="C5130" s="3" t="s">
        <v>1356</v>
      </c>
      <c r="D5130" s="4" t="s">
        <v>11505</v>
      </c>
      <c r="E5130" s="3" t="s">
        <v>5779</v>
      </c>
      <c r="F5130" s="3" t="s">
        <v>4668</v>
      </c>
      <c r="G5130" s="3"/>
      <c r="H5130" s="4" t="s">
        <v>5664</v>
      </c>
    </row>
    <row r="5131" ht="16.5" customHeight="1" spans="1:8">
      <c r="A5131" s="3">
        <v>5130</v>
      </c>
      <c r="B5131" s="3" t="s">
        <v>11506</v>
      </c>
      <c r="C5131" s="3" t="s">
        <v>2163</v>
      </c>
      <c r="D5131" s="4" t="s">
        <v>11507</v>
      </c>
      <c r="E5131" s="3" t="s">
        <v>2726</v>
      </c>
      <c r="F5131" s="3" t="s">
        <v>2105</v>
      </c>
      <c r="G5131" s="3"/>
      <c r="H5131" s="4" t="s">
        <v>3812</v>
      </c>
    </row>
    <row r="5132" ht="16.5" customHeight="1" spans="1:8">
      <c r="A5132" s="3">
        <v>5131</v>
      </c>
      <c r="B5132" s="3" t="s">
        <v>11508</v>
      </c>
      <c r="C5132" s="3" t="s">
        <v>2163</v>
      </c>
      <c r="D5132" s="4" t="s">
        <v>11509</v>
      </c>
      <c r="E5132" s="3" t="s">
        <v>1076</v>
      </c>
      <c r="F5132" s="3" t="s">
        <v>1358</v>
      </c>
      <c r="G5132" s="3" t="s">
        <v>321</v>
      </c>
      <c r="H5132" s="4" t="s">
        <v>1305</v>
      </c>
    </row>
    <row r="5133" ht="16.5" customHeight="1" spans="1:8">
      <c r="A5133" s="3">
        <v>5132</v>
      </c>
      <c r="B5133" s="3" t="s">
        <v>11510</v>
      </c>
      <c r="C5133" s="3" t="s">
        <v>2163</v>
      </c>
      <c r="D5133" s="4" t="s">
        <v>11511</v>
      </c>
      <c r="E5133" s="3" t="s">
        <v>1076</v>
      </c>
      <c r="F5133" s="3" t="s">
        <v>1358</v>
      </c>
      <c r="G5133" s="3" t="s">
        <v>321</v>
      </c>
      <c r="H5133" s="4" t="s">
        <v>1305</v>
      </c>
    </row>
    <row r="5134" ht="16.5" customHeight="1" spans="1:8">
      <c r="A5134" s="3">
        <v>5133</v>
      </c>
      <c r="B5134" s="3" t="s">
        <v>11512</v>
      </c>
      <c r="C5134" s="3" t="s">
        <v>2163</v>
      </c>
      <c r="D5134" s="4" t="s">
        <v>11513</v>
      </c>
      <c r="E5134" s="3" t="s">
        <v>2726</v>
      </c>
      <c r="F5134" s="3" t="s">
        <v>2105</v>
      </c>
      <c r="G5134" s="3"/>
      <c r="H5134" s="4" t="s">
        <v>3812</v>
      </c>
    </row>
    <row r="5135" ht="16.5" customHeight="1" spans="1:8">
      <c r="A5135" s="3">
        <v>5134</v>
      </c>
      <c r="B5135" s="3" t="s">
        <v>11514</v>
      </c>
      <c r="C5135" s="3" t="s">
        <v>2163</v>
      </c>
      <c r="D5135" s="4" t="s">
        <v>11515</v>
      </c>
      <c r="E5135" s="3" t="s">
        <v>1076</v>
      </c>
      <c r="F5135" s="3" t="s">
        <v>4668</v>
      </c>
      <c r="G5135" s="3"/>
      <c r="H5135" s="4" t="s">
        <v>3812</v>
      </c>
    </row>
    <row r="5136" ht="16.5" customHeight="1" spans="1:8">
      <c r="A5136" s="3">
        <v>5135</v>
      </c>
      <c r="B5136" s="3" t="s">
        <v>11516</v>
      </c>
      <c r="C5136" s="3" t="s">
        <v>2163</v>
      </c>
      <c r="D5136" s="4" t="s">
        <v>11517</v>
      </c>
      <c r="E5136" s="3" t="s">
        <v>1076</v>
      </c>
      <c r="F5136" s="3" t="s">
        <v>4668</v>
      </c>
      <c r="G5136" s="3"/>
      <c r="H5136" s="4" t="s">
        <v>3812</v>
      </c>
    </row>
    <row r="5137" ht="16.5" customHeight="1" spans="1:8">
      <c r="A5137" s="3">
        <v>5136</v>
      </c>
      <c r="B5137" s="3" t="s">
        <v>11518</v>
      </c>
      <c r="C5137" s="3" t="s">
        <v>2163</v>
      </c>
      <c r="D5137" s="4" t="s">
        <v>11519</v>
      </c>
      <c r="E5137" s="3" t="s">
        <v>1076</v>
      </c>
      <c r="F5137" s="3" t="s">
        <v>4668</v>
      </c>
      <c r="G5137" s="3"/>
      <c r="H5137" s="4" t="s">
        <v>3812</v>
      </c>
    </row>
    <row r="5138" ht="16.5" customHeight="1" spans="1:8">
      <c r="A5138" s="3">
        <v>5137</v>
      </c>
      <c r="B5138" s="3" t="s">
        <v>11520</v>
      </c>
      <c r="C5138" s="3" t="s">
        <v>2163</v>
      </c>
      <c r="D5138" s="4" t="s">
        <v>11521</v>
      </c>
      <c r="E5138" s="3" t="s">
        <v>1076</v>
      </c>
      <c r="F5138" s="3" t="s">
        <v>4668</v>
      </c>
      <c r="G5138" s="3"/>
      <c r="H5138" s="4" t="s">
        <v>3812</v>
      </c>
    </row>
    <row r="5139" ht="16.5" customHeight="1" spans="1:8">
      <c r="A5139" s="3">
        <v>5138</v>
      </c>
      <c r="B5139" s="3" t="s">
        <v>11522</v>
      </c>
      <c r="C5139" s="3" t="s">
        <v>2163</v>
      </c>
      <c r="D5139" s="4" t="s">
        <v>11523</v>
      </c>
      <c r="E5139" s="3" t="s">
        <v>1076</v>
      </c>
      <c r="F5139" s="3" t="s">
        <v>4668</v>
      </c>
      <c r="G5139" s="3"/>
      <c r="H5139" s="4" t="s">
        <v>3812</v>
      </c>
    </row>
    <row r="5140" ht="16.5" customHeight="1" spans="1:8">
      <c r="A5140" s="3">
        <v>5139</v>
      </c>
      <c r="B5140" s="3" t="s">
        <v>11524</v>
      </c>
      <c r="C5140" s="3" t="s">
        <v>2163</v>
      </c>
      <c r="D5140" s="4" t="s">
        <v>11525</v>
      </c>
      <c r="E5140" s="3" t="s">
        <v>1076</v>
      </c>
      <c r="F5140" s="3" t="s">
        <v>4668</v>
      </c>
      <c r="G5140" s="3"/>
      <c r="H5140" s="4" t="s">
        <v>3812</v>
      </c>
    </row>
    <row r="5141" ht="16.5" customHeight="1" spans="1:8">
      <c r="A5141" s="3">
        <v>5140</v>
      </c>
      <c r="B5141" s="3" t="s">
        <v>11526</v>
      </c>
      <c r="C5141" s="3" t="s">
        <v>2163</v>
      </c>
      <c r="D5141" s="4" t="s">
        <v>11527</v>
      </c>
      <c r="E5141" s="3" t="s">
        <v>1076</v>
      </c>
      <c r="F5141" s="3" t="s">
        <v>4668</v>
      </c>
      <c r="G5141" s="3"/>
      <c r="H5141" s="4" t="s">
        <v>3812</v>
      </c>
    </row>
    <row r="5142" ht="16.5" customHeight="1" spans="1:8">
      <c r="A5142" s="3">
        <v>5141</v>
      </c>
      <c r="B5142" s="3" t="s">
        <v>11528</v>
      </c>
      <c r="C5142" s="3" t="s">
        <v>2163</v>
      </c>
      <c r="D5142" s="4" t="s">
        <v>11529</v>
      </c>
      <c r="E5142" s="3" t="s">
        <v>1076</v>
      </c>
      <c r="F5142" s="3" t="s">
        <v>4668</v>
      </c>
      <c r="G5142" s="3"/>
      <c r="H5142" s="4" t="s">
        <v>3812</v>
      </c>
    </row>
    <row r="5143" ht="16.5" customHeight="1" spans="1:8">
      <c r="A5143" s="3">
        <v>5142</v>
      </c>
      <c r="B5143" s="3" t="s">
        <v>11530</v>
      </c>
      <c r="C5143" s="3" t="s">
        <v>2163</v>
      </c>
      <c r="D5143" s="4" t="s">
        <v>11531</v>
      </c>
      <c r="E5143" s="3" t="s">
        <v>1076</v>
      </c>
      <c r="F5143" s="3" t="s">
        <v>4668</v>
      </c>
      <c r="G5143" s="3"/>
      <c r="H5143" s="4" t="s">
        <v>3812</v>
      </c>
    </row>
    <row r="5144" ht="16.5" customHeight="1" spans="1:8">
      <c r="A5144" s="3">
        <v>5143</v>
      </c>
      <c r="B5144" s="3" t="s">
        <v>11532</v>
      </c>
      <c r="C5144" s="3" t="s">
        <v>2163</v>
      </c>
      <c r="D5144" s="4" t="s">
        <v>11533</v>
      </c>
      <c r="E5144" s="3" t="s">
        <v>1076</v>
      </c>
      <c r="F5144" s="3" t="s">
        <v>4668</v>
      </c>
      <c r="G5144" s="3"/>
      <c r="H5144" s="4" t="s">
        <v>3812</v>
      </c>
    </row>
    <row r="5145" ht="16.5" customHeight="1" spans="1:8">
      <c r="A5145" s="3">
        <v>5144</v>
      </c>
      <c r="B5145" s="3" t="s">
        <v>11534</v>
      </c>
      <c r="C5145" s="3" t="s">
        <v>2163</v>
      </c>
      <c r="D5145" s="4" t="s">
        <v>11535</v>
      </c>
      <c r="E5145" s="3" t="s">
        <v>1076</v>
      </c>
      <c r="F5145" s="3" t="s">
        <v>4668</v>
      </c>
      <c r="G5145" s="3"/>
      <c r="H5145" s="4" t="s">
        <v>3812</v>
      </c>
    </row>
    <row r="5146" ht="16.5" customHeight="1" spans="1:8">
      <c r="A5146" s="3">
        <v>5145</v>
      </c>
      <c r="B5146" s="3" t="s">
        <v>11536</v>
      </c>
      <c r="C5146" s="3" t="s">
        <v>2163</v>
      </c>
      <c r="D5146" s="4" t="s">
        <v>11537</v>
      </c>
      <c r="E5146" s="3" t="s">
        <v>1076</v>
      </c>
      <c r="F5146" s="3" t="s">
        <v>4668</v>
      </c>
      <c r="G5146" s="3"/>
      <c r="H5146" s="4" t="s">
        <v>3812</v>
      </c>
    </row>
    <row r="5147" ht="16.5" customHeight="1" spans="1:8">
      <c r="A5147" s="3">
        <v>5146</v>
      </c>
      <c r="B5147" s="3" t="s">
        <v>11538</v>
      </c>
      <c r="C5147" s="3" t="s">
        <v>2163</v>
      </c>
      <c r="D5147" s="4" t="s">
        <v>11539</v>
      </c>
      <c r="E5147" s="3" t="s">
        <v>1076</v>
      </c>
      <c r="F5147" s="3" t="s">
        <v>4668</v>
      </c>
      <c r="G5147" s="3"/>
      <c r="H5147" s="4" t="s">
        <v>3812</v>
      </c>
    </row>
    <row r="5148" ht="16.5" customHeight="1" spans="1:8">
      <c r="A5148" s="3">
        <v>5147</v>
      </c>
      <c r="B5148" s="3" t="s">
        <v>11540</v>
      </c>
      <c r="C5148" s="3" t="s">
        <v>2163</v>
      </c>
      <c r="D5148" s="4" t="s">
        <v>11541</v>
      </c>
      <c r="E5148" s="3" t="s">
        <v>2726</v>
      </c>
      <c r="F5148" s="3" t="s">
        <v>1358</v>
      </c>
      <c r="G5148" s="3" t="s">
        <v>321</v>
      </c>
      <c r="H5148" s="4" t="s">
        <v>1305</v>
      </c>
    </row>
    <row r="5149" ht="16.5" customHeight="1" spans="1:8">
      <c r="A5149" s="3">
        <v>5148</v>
      </c>
      <c r="B5149" s="3" t="s">
        <v>11542</v>
      </c>
      <c r="C5149" s="3" t="s">
        <v>2163</v>
      </c>
      <c r="D5149" s="4" t="s">
        <v>11543</v>
      </c>
      <c r="E5149" s="3" t="s">
        <v>1076</v>
      </c>
      <c r="F5149" s="3" t="s">
        <v>2041</v>
      </c>
      <c r="G5149" s="3" t="s">
        <v>321</v>
      </c>
      <c r="H5149" s="4" t="s">
        <v>1305</v>
      </c>
    </row>
    <row r="5150" ht="16.5" customHeight="1" spans="1:8">
      <c r="A5150" s="3">
        <v>5149</v>
      </c>
      <c r="B5150" s="3" t="s">
        <v>11544</v>
      </c>
      <c r="C5150" s="3" t="s">
        <v>2163</v>
      </c>
      <c r="D5150" s="4" t="s">
        <v>11545</v>
      </c>
      <c r="E5150" s="3" t="s">
        <v>1076</v>
      </c>
      <c r="F5150" s="3" t="s">
        <v>2041</v>
      </c>
      <c r="G5150" s="3" t="s">
        <v>321</v>
      </c>
      <c r="H5150" s="4" t="s">
        <v>1305</v>
      </c>
    </row>
    <row r="5151" ht="16.5" customHeight="1" spans="1:8">
      <c r="A5151" s="3">
        <v>5150</v>
      </c>
      <c r="B5151" s="3" t="s">
        <v>11546</v>
      </c>
      <c r="C5151" s="3" t="s">
        <v>1105</v>
      </c>
      <c r="D5151" s="4" t="s">
        <v>11547</v>
      </c>
      <c r="E5151" s="3" t="s">
        <v>1076</v>
      </c>
      <c r="F5151" s="3" t="s">
        <v>10259</v>
      </c>
      <c r="G5151" s="3"/>
      <c r="H5151" s="4" t="s">
        <v>11548</v>
      </c>
    </row>
    <row r="5152" ht="16.5" customHeight="1" spans="1:8">
      <c r="A5152" s="3">
        <v>5151</v>
      </c>
      <c r="B5152" s="3" t="s">
        <v>11549</v>
      </c>
      <c r="C5152" s="3" t="s">
        <v>1105</v>
      </c>
      <c r="D5152" s="4" t="s">
        <v>11550</v>
      </c>
      <c r="E5152" s="3" t="s">
        <v>1739</v>
      </c>
      <c r="F5152" s="3" t="s">
        <v>10259</v>
      </c>
      <c r="G5152" s="3"/>
      <c r="H5152" s="4" t="s">
        <v>11548</v>
      </c>
    </row>
    <row r="5153" ht="16.5" customHeight="1" spans="1:8">
      <c r="A5153" s="3">
        <v>5152</v>
      </c>
      <c r="B5153" s="3" t="s">
        <v>11551</v>
      </c>
      <c r="C5153" s="3" t="s">
        <v>1105</v>
      </c>
      <c r="D5153" s="4" t="s">
        <v>11552</v>
      </c>
      <c r="E5153" s="3" t="s">
        <v>1076</v>
      </c>
      <c r="F5153" s="3" t="s">
        <v>10259</v>
      </c>
      <c r="G5153" s="3"/>
      <c r="H5153" s="4" t="s">
        <v>11548</v>
      </c>
    </row>
    <row r="5154" ht="16.5" customHeight="1" spans="1:8">
      <c r="A5154" s="3">
        <v>5153</v>
      </c>
      <c r="B5154" s="3" t="s">
        <v>11553</v>
      </c>
      <c r="C5154" s="3" t="s">
        <v>2163</v>
      </c>
      <c r="D5154" s="4" t="s">
        <v>11554</v>
      </c>
      <c r="E5154" s="3" t="s">
        <v>2263</v>
      </c>
      <c r="F5154" s="3" t="s">
        <v>1358</v>
      </c>
      <c r="G5154" s="3" t="s">
        <v>321</v>
      </c>
      <c r="H5154" s="4" t="s">
        <v>4322</v>
      </c>
    </row>
    <row r="5155" ht="16.5" customHeight="1" spans="1:8">
      <c r="A5155" s="3">
        <v>5154</v>
      </c>
      <c r="B5155" s="3" t="s">
        <v>11555</v>
      </c>
      <c r="C5155" s="3" t="s">
        <v>2163</v>
      </c>
      <c r="D5155" s="4" t="s">
        <v>11556</v>
      </c>
      <c r="E5155" s="3" t="s">
        <v>1076</v>
      </c>
      <c r="F5155" s="3" t="s">
        <v>2041</v>
      </c>
      <c r="G5155" s="3" t="s">
        <v>321</v>
      </c>
      <c r="H5155" s="4" t="s">
        <v>1305</v>
      </c>
    </row>
    <row r="5156" ht="16.5" customHeight="1" spans="1:8">
      <c r="A5156" s="3">
        <v>5155</v>
      </c>
      <c r="B5156" s="3" t="s">
        <v>11557</v>
      </c>
      <c r="C5156" s="3" t="s">
        <v>2163</v>
      </c>
      <c r="D5156" s="4" t="s">
        <v>11558</v>
      </c>
      <c r="E5156" s="3" t="s">
        <v>5779</v>
      </c>
      <c r="F5156" s="3" t="s">
        <v>1358</v>
      </c>
      <c r="G5156" s="3" t="s">
        <v>321</v>
      </c>
      <c r="H5156" s="4" t="s">
        <v>1305</v>
      </c>
    </row>
    <row r="5157" ht="16.5" customHeight="1" spans="1:8">
      <c r="A5157" s="3">
        <v>5156</v>
      </c>
      <c r="B5157" s="3" t="s">
        <v>11559</v>
      </c>
      <c r="C5157" s="3" t="s">
        <v>2163</v>
      </c>
      <c r="D5157" s="4" t="s">
        <v>11560</v>
      </c>
      <c r="E5157" s="3" t="s">
        <v>2726</v>
      </c>
      <c r="F5157" s="3" t="s">
        <v>1358</v>
      </c>
      <c r="G5157" s="3"/>
      <c r="H5157" s="4" t="s">
        <v>4322</v>
      </c>
    </row>
    <row r="5158" ht="16.5" customHeight="1" spans="1:8">
      <c r="A5158" s="3">
        <v>5157</v>
      </c>
      <c r="B5158" s="3" t="s">
        <v>11561</v>
      </c>
      <c r="C5158" s="3" t="s">
        <v>2163</v>
      </c>
      <c r="D5158" s="4" t="s">
        <v>11562</v>
      </c>
      <c r="E5158" s="3" t="s">
        <v>1076</v>
      </c>
      <c r="F5158" s="3" t="s">
        <v>2041</v>
      </c>
      <c r="G5158" s="3" t="s">
        <v>321</v>
      </c>
      <c r="H5158" s="4" t="s">
        <v>1305</v>
      </c>
    </row>
    <row r="5159" ht="16.5" customHeight="1" spans="1:8">
      <c r="A5159" s="3">
        <v>5158</v>
      </c>
      <c r="B5159" s="3" t="s">
        <v>11563</v>
      </c>
      <c r="C5159" s="3" t="s">
        <v>2163</v>
      </c>
      <c r="D5159" s="4" t="s">
        <v>11564</v>
      </c>
      <c r="E5159" s="3" t="s">
        <v>1076</v>
      </c>
      <c r="F5159" s="3" t="s">
        <v>2041</v>
      </c>
      <c r="G5159" s="3" t="s">
        <v>321</v>
      </c>
      <c r="H5159" s="4" t="s">
        <v>1305</v>
      </c>
    </row>
    <row r="5160" ht="16.5" customHeight="1" spans="1:8">
      <c r="A5160" s="3">
        <v>5159</v>
      </c>
      <c r="B5160" s="3" t="s">
        <v>11565</v>
      </c>
      <c r="C5160" s="3" t="s">
        <v>2163</v>
      </c>
      <c r="D5160" s="4" t="s">
        <v>11566</v>
      </c>
      <c r="E5160" s="3" t="s">
        <v>1076</v>
      </c>
      <c r="F5160" s="3" t="s">
        <v>2041</v>
      </c>
      <c r="G5160" s="3" t="s">
        <v>321</v>
      </c>
      <c r="H5160" s="4" t="s">
        <v>1305</v>
      </c>
    </row>
    <row r="5161" ht="16.5" customHeight="1" spans="1:8">
      <c r="A5161" s="3">
        <v>5160</v>
      </c>
      <c r="B5161" s="3" t="s">
        <v>11567</v>
      </c>
      <c r="C5161" s="3" t="s">
        <v>2163</v>
      </c>
      <c r="D5161" s="4" t="s">
        <v>11568</v>
      </c>
      <c r="E5161" s="3" t="s">
        <v>1076</v>
      </c>
      <c r="F5161" s="3" t="s">
        <v>4668</v>
      </c>
      <c r="G5161" s="3"/>
      <c r="H5161" s="4" t="s">
        <v>3812</v>
      </c>
    </row>
    <row r="5162" ht="16.5" customHeight="1" spans="1:8">
      <c r="A5162" s="3">
        <v>5161</v>
      </c>
      <c r="B5162" s="3" t="s">
        <v>11569</v>
      </c>
      <c r="C5162" s="3" t="s">
        <v>2163</v>
      </c>
      <c r="D5162" s="4" t="s">
        <v>11570</v>
      </c>
      <c r="E5162" s="3" t="s">
        <v>1076</v>
      </c>
      <c r="F5162" s="3" t="s">
        <v>2041</v>
      </c>
      <c r="G5162" s="3" t="s">
        <v>321</v>
      </c>
      <c r="H5162" s="4" t="s">
        <v>1305</v>
      </c>
    </row>
    <row r="5163" ht="16.5" customHeight="1" spans="1:8">
      <c r="A5163" s="3">
        <v>5162</v>
      </c>
      <c r="B5163" s="3" t="s">
        <v>11571</v>
      </c>
      <c r="C5163" s="3" t="s">
        <v>2163</v>
      </c>
      <c r="D5163" s="4" t="s">
        <v>11572</v>
      </c>
      <c r="E5163" s="3" t="s">
        <v>1076</v>
      </c>
      <c r="F5163" s="3" t="s">
        <v>4668</v>
      </c>
      <c r="G5163" s="3"/>
      <c r="H5163" s="4" t="s">
        <v>3812</v>
      </c>
    </row>
    <row r="5164" ht="16.5" customHeight="1" spans="1:8">
      <c r="A5164" s="3">
        <v>5163</v>
      </c>
      <c r="B5164" s="3" t="s">
        <v>11573</v>
      </c>
      <c r="C5164" s="3" t="s">
        <v>1105</v>
      </c>
      <c r="D5164" s="4" t="s">
        <v>11574</v>
      </c>
      <c r="E5164" s="3" t="s">
        <v>1076</v>
      </c>
      <c r="F5164" s="3" t="s">
        <v>4668</v>
      </c>
      <c r="G5164" s="3"/>
      <c r="H5164" s="4" t="s">
        <v>11575</v>
      </c>
    </row>
    <row r="5165" ht="16.5" customHeight="1" spans="1:8">
      <c r="A5165" s="3">
        <v>5164</v>
      </c>
      <c r="B5165" s="3" t="s">
        <v>11576</v>
      </c>
      <c r="C5165" s="3" t="s">
        <v>1105</v>
      </c>
      <c r="D5165" s="4" t="s">
        <v>11577</v>
      </c>
      <c r="E5165" s="3" t="s">
        <v>1076</v>
      </c>
      <c r="F5165" s="3" t="s">
        <v>4668</v>
      </c>
      <c r="G5165" s="3"/>
      <c r="H5165" s="4" t="s">
        <v>11575</v>
      </c>
    </row>
    <row r="5166" ht="16.5" customHeight="1" spans="1:8">
      <c r="A5166" s="3">
        <v>5165</v>
      </c>
      <c r="B5166" s="3" t="s">
        <v>11578</v>
      </c>
      <c r="C5166" s="3" t="s">
        <v>1105</v>
      </c>
      <c r="D5166" s="4" t="s">
        <v>11579</v>
      </c>
      <c r="E5166" s="3" t="s">
        <v>1076</v>
      </c>
      <c r="F5166" s="3" t="s">
        <v>4668</v>
      </c>
      <c r="G5166" s="3"/>
      <c r="H5166" s="4" t="s">
        <v>11575</v>
      </c>
    </row>
    <row r="5167" ht="16.5" customHeight="1" spans="1:8">
      <c r="A5167" s="3">
        <v>5166</v>
      </c>
      <c r="B5167" s="3" t="s">
        <v>11580</v>
      </c>
      <c r="C5167" s="3" t="s">
        <v>1105</v>
      </c>
      <c r="D5167" s="4" t="s">
        <v>11581</v>
      </c>
      <c r="E5167" s="3" t="s">
        <v>1076</v>
      </c>
      <c r="F5167" s="3" t="s">
        <v>4668</v>
      </c>
      <c r="G5167" s="3"/>
      <c r="H5167" s="4" t="s">
        <v>11575</v>
      </c>
    </row>
    <row r="5168" ht="16.5" customHeight="1" spans="1:8">
      <c r="A5168" s="3">
        <v>5167</v>
      </c>
      <c r="B5168" s="3" t="s">
        <v>11582</v>
      </c>
      <c r="C5168" s="3" t="s">
        <v>1105</v>
      </c>
      <c r="D5168" s="4" t="s">
        <v>11583</v>
      </c>
      <c r="E5168" s="3" t="s">
        <v>1076</v>
      </c>
      <c r="F5168" s="3" t="s">
        <v>4668</v>
      </c>
      <c r="G5168" s="3"/>
      <c r="H5168" s="4" t="s">
        <v>11575</v>
      </c>
    </row>
    <row r="5169" ht="16.5" customHeight="1" spans="1:8">
      <c r="A5169" s="3">
        <v>5168</v>
      </c>
      <c r="B5169" s="3" t="s">
        <v>11584</v>
      </c>
      <c r="C5169" s="3" t="s">
        <v>1105</v>
      </c>
      <c r="D5169" s="4" t="s">
        <v>11585</v>
      </c>
      <c r="E5169" s="3" t="s">
        <v>1076</v>
      </c>
      <c r="F5169" s="3" t="s">
        <v>4668</v>
      </c>
      <c r="G5169" s="3"/>
      <c r="H5169" s="4" t="s">
        <v>11575</v>
      </c>
    </row>
    <row r="5170" ht="16.5" customHeight="1" spans="1:8">
      <c r="A5170" s="3">
        <v>5169</v>
      </c>
      <c r="B5170" s="3" t="s">
        <v>11586</v>
      </c>
      <c r="C5170" s="3" t="s">
        <v>1105</v>
      </c>
      <c r="D5170" s="4" t="s">
        <v>11587</v>
      </c>
      <c r="E5170" s="3" t="s">
        <v>1076</v>
      </c>
      <c r="F5170" s="3" t="s">
        <v>4668</v>
      </c>
      <c r="G5170" s="3"/>
      <c r="H5170" s="4" t="s">
        <v>11575</v>
      </c>
    </row>
    <row r="5171" ht="16.5" customHeight="1" spans="1:8">
      <c r="A5171" s="3">
        <v>5170</v>
      </c>
      <c r="B5171" s="3" t="s">
        <v>11588</v>
      </c>
      <c r="C5171" s="3" t="s">
        <v>1105</v>
      </c>
      <c r="D5171" s="4" t="s">
        <v>11589</v>
      </c>
      <c r="E5171" s="3" t="s">
        <v>1076</v>
      </c>
      <c r="F5171" s="3" t="s">
        <v>4668</v>
      </c>
      <c r="G5171" s="3"/>
      <c r="H5171" s="4" t="s">
        <v>11575</v>
      </c>
    </row>
    <row r="5172" ht="16.5" customHeight="1" spans="1:8">
      <c r="A5172" s="3">
        <v>5171</v>
      </c>
      <c r="B5172" s="3" t="s">
        <v>11590</v>
      </c>
      <c r="C5172" s="3" t="s">
        <v>1105</v>
      </c>
      <c r="D5172" s="4" t="s">
        <v>11591</v>
      </c>
      <c r="E5172" s="3" t="s">
        <v>1076</v>
      </c>
      <c r="F5172" s="3" t="s">
        <v>4668</v>
      </c>
      <c r="G5172" s="3"/>
      <c r="H5172" s="4" t="s">
        <v>11575</v>
      </c>
    </row>
    <row r="5173" ht="16.5" customHeight="1" spans="1:8">
      <c r="A5173" s="3">
        <v>5172</v>
      </c>
      <c r="B5173" s="3" t="s">
        <v>11592</v>
      </c>
      <c r="C5173" s="3" t="s">
        <v>1105</v>
      </c>
      <c r="D5173" s="4" t="s">
        <v>11593</v>
      </c>
      <c r="E5173" s="3" t="s">
        <v>1076</v>
      </c>
      <c r="F5173" s="3" t="s">
        <v>4668</v>
      </c>
      <c r="G5173" s="3"/>
      <c r="H5173" s="4" t="s">
        <v>11575</v>
      </c>
    </row>
    <row r="5174" ht="16.5" customHeight="1" spans="1:8">
      <c r="A5174" s="3">
        <v>5173</v>
      </c>
      <c r="B5174" s="3" t="s">
        <v>11594</v>
      </c>
      <c r="C5174" s="3" t="s">
        <v>1105</v>
      </c>
      <c r="D5174" s="4" t="s">
        <v>11595</v>
      </c>
      <c r="E5174" s="3" t="s">
        <v>1076</v>
      </c>
      <c r="F5174" s="3" t="s">
        <v>4668</v>
      </c>
      <c r="G5174" s="3"/>
      <c r="H5174" s="4" t="s">
        <v>11575</v>
      </c>
    </row>
    <row r="5175" ht="16.5" customHeight="1" spans="1:8">
      <c r="A5175" s="3">
        <v>5174</v>
      </c>
      <c r="B5175" s="3" t="s">
        <v>11596</v>
      </c>
      <c r="C5175" s="3" t="s">
        <v>1105</v>
      </c>
      <c r="D5175" s="4" t="s">
        <v>11597</v>
      </c>
      <c r="E5175" s="3" t="s">
        <v>1076</v>
      </c>
      <c r="F5175" s="3" t="s">
        <v>4668</v>
      </c>
      <c r="G5175" s="3"/>
      <c r="H5175" s="4" t="s">
        <v>11575</v>
      </c>
    </row>
    <row r="5176" ht="16.5" customHeight="1" spans="1:8">
      <c r="A5176" s="3">
        <v>5175</v>
      </c>
      <c r="B5176" s="3" t="s">
        <v>11598</v>
      </c>
      <c r="C5176" s="3" t="s">
        <v>1105</v>
      </c>
      <c r="D5176" s="4" t="s">
        <v>11599</v>
      </c>
      <c r="E5176" s="3" t="s">
        <v>1076</v>
      </c>
      <c r="F5176" s="3" t="s">
        <v>4668</v>
      </c>
      <c r="G5176" s="3"/>
      <c r="H5176" s="4" t="s">
        <v>11575</v>
      </c>
    </row>
    <row r="5177" ht="16.5" customHeight="1" spans="1:8">
      <c r="A5177" s="3">
        <v>5176</v>
      </c>
      <c r="B5177" s="3" t="s">
        <v>11600</v>
      </c>
      <c r="C5177" s="3" t="s">
        <v>1105</v>
      </c>
      <c r="D5177" s="4" t="s">
        <v>11601</v>
      </c>
      <c r="E5177" s="3" t="s">
        <v>1076</v>
      </c>
      <c r="F5177" s="3" t="s">
        <v>4668</v>
      </c>
      <c r="G5177" s="3"/>
      <c r="H5177" s="4" t="s">
        <v>11575</v>
      </c>
    </row>
    <row r="5178" ht="16.5" customHeight="1" spans="1:8">
      <c r="A5178" s="3">
        <v>5177</v>
      </c>
      <c r="B5178" s="3" t="s">
        <v>11602</v>
      </c>
      <c r="C5178" s="3" t="s">
        <v>1105</v>
      </c>
      <c r="D5178" s="4" t="s">
        <v>11603</v>
      </c>
      <c r="E5178" s="3" t="s">
        <v>1076</v>
      </c>
      <c r="F5178" s="3" t="s">
        <v>4668</v>
      </c>
      <c r="G5178" s="3"/>
      <c r="H5178" s="4" t="s">
        <v>11575</v>
      </c>
    </row>
    <row r="5179" ht="16.5" customHeight="1" spans="1:8">
      <c r="A5179" s="3">
        <v>5178</v>
      </c>
      <c r="B5179" s="3" t="s">
        <v>11604</v>
      </c>
      <c r="C5179" s="3" t="s">
        <v>1105</v>
      </c>
      <c r="D5179" s="4" t="s">
        <v>11605</v>
      </c>
      <c r="E5179" s="3" t="s">
        <v>1076</v>
      </c>
      <c r="F5179" s="3" t="s">
        <v>4668</v>
      </c>
      <c r="G5179" s="3"/>
      <c r="H5179" s="4" t="s">
        <v>11575</v>
      </c>
    </row>
    <row r="5180" ht="16.5" customHeight="1" spans="1:8">
      <c r="A5180" s="3">
        <v>5179</v>
      </c>
      <c r="B5180" s="3" t="s">
        <v>11606</v>
      </c>
      <c r="C5180" s="3" t="s">
        <v>1105</v>
      </c>
      <c r="D5180" s="4" t="s">
        <v>11607</v>
      </c>
      <c r="E5180" s="3" t="s">
        <v>1076</v>
      </c>
      <c r="F5180" s="3" t="s">
        <v>4668</v>
      </c>
      <c r="G5180" s="3"/>
      <c r="H5180" s="4" t="s">
        <v>11575</v>
      </c>
    </row>
    <row r="5181" ht="16.5" customHeight="1" spans="1:8">
      <c r="A5181" s="3">
        <v>5180</v>
      </c>
      <c r="B5181" s="3" t="s">
        <v>11608</v>
      </c>
      <c r="C5181" s="3" t="s">
        <v>1105</v>
      </c>
      <c r="D5181" s="4" t="s">
        <v>11609</v>
      </c>
      <c r="E5181" s="3" t="s">
        <v>1076</v>
      </c>
      <c r="F5181" s="3" t="s">
        <v>4668</v>
      </c>
      <c r="G5181" s="3"/>
      <c r="H5181" s="4" t="s">
        <v>11575</v>
      </c>
    </row>
    <row r="5182" ht="16.5" customHeight="1" spans="1:8">
      <c r="A5182" s="3">
        <v>5181</v>
      </c>
      <c r="B5182" s="3" t="s">
        <v>11610</v>
      </c>
      <c r="C5182" s="3" t="s">
        <v>1105</v>
      </c>
      <c r="D5182" s="4" t="s">
        <v>11611</v>
      </c>
      <c r="E5182" s="3" t="s">
        <v>1076</v>
      </c>
      <c r="F5182" s="3" t="s">
        <v>4668</v>
      </c>
      <c r="G5182" s="3"/>
      <c r="H5182" s="4" t="s">
        <v>11575</v>
      </c>
    </row>
    <row r="5183" ht="16.5" customHeight="1" spans="1:8">
      <c r="A5183" s="3">
        <v>5182</v>
      </c>
      <c r="B5183" s="3" t="s">
        <v>11612</v>
      </c>
      <c r="C5183" s="3" t="s">
        <v>1074</v>
      </c>
      <c r="D5183" s="4" t="s">
        <v>11613</v>
      </c>
      <c r="E5183" s="3" t="s">
        <v>1218</v>
      </c>
      <c r="F5183" s="3" t="s">
        <v>10259</v>
      </c>
      <c r="G5183" s="3"/>
      <c r="H5183" s="4" t="s">
        <v>4322</v>
      </c>
    </row>
    <row r="5184" ht="16.5" customHeight="1" spans="1:8">
      <c r="A5184" s="3">
        <v>5183</v>
      </c>
      <c r="B5184" s="3" t="s">
        <v>11614</v>
      </c>
      <c r="C5184" s="3" t="s">
        <v>1105</v>
      </c>
      <c r="D5184" s="4" t="s">
        <v>11615</v>
      </c>
      <c r="E5184" s="3" t="s">
        <v>1218</v>
      </c>
      <c r="F5184" s="3" t="s">
        <v>10259</v>
      </c>
      <c r="G5184" s="3"/>
      <c r="H5184" s="4" t="s">
        <v>11616</v>
      </c>
    </row>
    <row r="5185" ht="16.5" customHeight="1" spans="1:8">
      <c r="A5185" s="3">
        <v>5184</v>
      </c>
      <c r="B5185" s="3" t="s">
        <v>11617</v>
      </c>
      <c r="C5185" s="3" t="s">
        <v>2163</v>
      </c>
      <c r="D5185" s="4" t="s">
        <v>11618</v>
      </c>
      <c r="E5185" s="3" t="s">
        <v>1076</v>
      </c>
      <c r="F5185" s="3" t="s">
        <v>2041</v>
      </c>
      <c r="G5185" s="3" t="s">
        <v>321</v>
      </c>
      <c r="H5185" s="4" t="s">
        <v>1305</v>
      </c>
    </row>
    <row r="5186" ht="16.5" customHeight="1" spans="1:8">
      <c r="A5186" s="3">
        <v>5185</v>
      </c>
      <c r="B5186" s="3" t="s">
        <v>11619</v>
      </c>
      <c r="C5186" s="3" t="s">
        <v>1105</v>
      </c>
      <c r="D5186" s="4" t="s">
        <v>11547</v>
      </c>
      <c r="E5186" s="3" t="s">
        <v>1076</v>
      </c>
      <c r="F5186" s="3" t="s">
        <v>10259</v>
      </c>
      <c r="G5186" s="3"/>
      <c r="H5186" s="4" t="s">
        <v>11620</v>
      </c>
    </row>
    <row r="5187" ht="16.5" customHeight="1" spans="1:8">
      <c r="A5187" s="3">
        <v>5186</v>
      </c>
      <c r="B5187" s="3" t="s">
        <v>11621</v>
      </c>
      <c r="C5187" s="3" t="s">
        <v>1105</v>
      </c>
      <c r="D5187" s="4" t="s">
        <v>11547</v>
      </c>
      <c r="E5187" s="3" t="s">
        <v>1076</v>
      </c>
      <c r="F5187" s="3" t="s">
        <v>10259</v>
      </c>
      <c r="G5187" s="3"/>
      <c r="H5187" s="4" t="s">
        <v>11622</v>
      </c>
    </row>
    <row r="5188" ht="16.5" customHeight="1" spans="1:8">
      <c r="A5188" s="3">
        <v>5187</v>
      </c>
      <c r="B5188" s="3" t="s">
        <v>11623</v>
      </c>
      <c r="C5188" s="3" t="s">
        <v>1105</v>
      </c>
      <c r="D5188" s="4" t="s">
        <v>11547</v>
      </c>
      <c r="E5188" s="3" t="s">
        <v>1076</v>
      </c>
      <c r="F5188" s="3" t="s">
        <v>10259</v>
      </c>
      <c r="G5188" s="3"/>
      <c r="H5188" s="4" t="s">
        <v>11624</v>
      </c>
    </row>
    <row r="5189" ht="16.5" customHeight="1" spans="1:8">
      <c r="A5189" s="3">
        <v>5188</v>
      </c>
      <c r="B5189" s="3" t="s">
        <v>11625</v>
      </c>
      <c r="C5189" s="3" t="s">
        <v>1105</v>
      </c>
      <c r="D5189" s="4" t="s">
        <v>11547</v>
      </c>
      <c r="E5189" s="3" t="s">
        <v>1218</v>
      </c>
      <c r="F5189" s="3" t="s">
        <v>10259</v>
      </c>
      <c r="G5189" s="3"/>
      <c r="H5189" s="4" t="s">
        <v>11626</v>
      </c>
    </row>
    <row r="5190" ht="16.5" customHeight="1" spans="1:8">
      <c r="A5190" s="3">
        <v>5189</v>
      </c>
      <c r="B5190" s="3" t="s">
        <v>11627</v>
      </c>
      <c r="C5190" s="3" t="s">
        <v>1105</v>
      </c>
      <c r="D5190" s="4" t="s">
        <v>11547</v>
      </c>
      <c r="E5190" s="3" t="s">
        <v>1076</v>
      </c>
      <c r="F5190" s="3" t="s">
        <v>10259</v>
      </c>
      <c r="G5190" s="3"/>
      <c r="H5190" s="4" t="s">
        <v>11628</v>
      </c>
    </row>
    <row r="5191" ht="16.5" customHeight="1" spans="1:8">
      <c r="A5191" s="3">
        <v>5190</v>
      </c>
      <c r="B5191" s="3" t="s">
        <v>11629</v>
      </c>
      <c r="C5191" s="3" t="s">
        <v>1105</v>
      </c>
      <c r="D5191" s="4" t="s">
        <v>11547</v>
      </c>
      <c r="E5191" s="3" t="s">
        <v>1076</v>
      </c>
      <c r="F5191" s="3" t="s">
        <v>10259</v>
      </c>
      <c r="G5191" s="3"/>
      <c r="H5191" s="4" t="s">
        <v>11575</v>
      </c>
    </row>
    <row r="5192" ht="16.5" customHeight="1" spans="1:8">
      <c r="A5192" s="3">
        <v>5191</v>
      </c>
      <c r="B5192" s="3" t="s">
        <v>11630</v>
      </c>
      <c r="C5192" s="3" t="s">
        <v>1105</v>
      </c>
      <c r="D5192" s="4" t="s">
        <v>11631</v>
      </c>
      <c r="E5192" s="3" t="s">
        <v>1076</v>
      </c>
      <c r="F5192" s="3" t="s">
        <v>6593</v>
      </c>
      <c r="G5192" s="3"/>
      <c r="H5192" s="4" t="s">
        <v>11029</v>
      </c>
    </row>
    <row r="5193" ht="16.5" customHeight="1" spans="1:8">
      <c r="A5193" s="3">
        <v>5192</v>
      </c>
      <c r="B5193" s="3" t="s">
        <v>11632</v>
      </c>
      <c r="C5193" s="3" t="s">
        <v>1105</v>
      </c>
      <c r="D5193" s="4" t="s">
        <v>11633</v>
      </c>
      <c r="E5193" s="3" t="s">
        <v>1076</v>
      </c>
      <c r="F5193" s="3" t="s">
        <v>6593</v>
      </c>
      <c r="G5193" s="3"/>
      <c r="H5193" s="4" t="s">
        <v>11029</v>
      </c>
    </row>
    <row r="5194" ht="16.5" customHeight="1" spans="1:8">
      <c r="A5194" s="3">
        <v>5193</v>
      </c>
      <c r="B5194" s="3" t="s">
        <v>11634</v>
      </c>
      <c r="C5194" s="3" t="s">
        <v>1105</v>
      </c>
      <c r="D5194" s="4" t="s">
        <v>11635</v>
      </c>
      <c r="E5194" s="3" t="s">
        <v>1076</v>
      </c>
      <c r="F5194" s="3" t="s">
        <v>6593</v>
      </c>
      <c r="G5194" s="3"/>
      <c r="H5194" s="4" t="s">
        <v>11029</v>
      </c>
    </row>
    <row r="5195" ht="16.5" customHeight="1" spans="1:8">
      <c r="A5195" s="3">
        <v>5194</v>
      </c>
      <c r="B5195" s="3" t="s">
        <v>11636</v>
      </c>
      <c r="C5195" s="3" t="s">
        <v>2163</v>
      </c>
      <c r="D5195" s="4" t="s">
        <v>11637</v>
      </c>
      <c r="E5195" s="3" t="s">
        <v>5779</v>
      </c>
      <c r="F5195" s="3" t="s">
        <v>4668</v>
      </c>
      <c r="G5195" s="3"/>
      <c r="H5195" s="4" t="s">
        <v>3812</v>
      </c>
    </row>
    <row r="5196" ht="16.5" customHeight="1" spans="1:8">
      <c r="A5196" s="3">
        <v>5195</v>
      </c>
      <c r="B5196" s="3" t="s">
        <v>11638</v>
      </c>
      <c r="C5196" s="3" t="s">
        <v>2163</v>
      </c>
      <c r="D5196" s="4" t="s">
        <v>11639</v>
      </c>
      <c r="E5196" s="3" t="s">
        <v>1076</v>
      </c>
      <c r="F5196" s="3" t="s">
        <v>1358</v>
      </c>
      <c r="G5196" s="3" t="s">
        <v>321</v>
      </c>
      <c r="H5196" s="4" t="s">
        <v>1359</v>
      </c>
    </row>
    <row r="5197" ht="16.5" customHeight="1" spans="1:8">
      <c r="A5197" s="3">
        <v>5196</v>
      </c>
      <c r="B5197" s="3" t="s">
        <v>11640</v>
      </c>
      <c r="C5197" s="3" t="s">
        <v>2163</v>
      </c>
      <c r="D5197" s="4" t="s">
        <v>11641</v>
      </c>
      <c r="E5197" s="3" t="s">
        <v>1076</v>
      </c>
      <c r="F5197" s="3" t="s">
        <v>1358</v>
      </c>
      <c r="G5197" s="3" t="s">
        <v>321</v>
      </c>
      <c r="H5197" s="4" t="s">
        <v>1359</v>
      </c>
    </row>
    <row r="5198" ht="16.5" customHeight="1" spans="1:8">
      <c r="A5198" s="3">
        <v>5197</v>
      </c>
      <c r="B5198" s="3" t="s">
        <v>11642</v>
      </c>
      <c r="C5198" s="3" t="s">
        <v>1356</v>
      </c>
      <c r="D5198" s="4" t="s">
        <v>11643</v>
      </c>
      <c r="E5198" s="3" t="s">
        <v>1076</v>
      </c>
      <c r="F5198" s="3" t="s">
        <v>4668</v>
      </c>
      <c r="G5198" s="3"/>
      <c r="H5198" s="4" t="s">
        <v>1359</v>
      </c>
    </row>
    <row r="5199" ht="16.5" customHeight="1" spans="1:8">
      <c r="A5199" s="3">
        <v>5198</v>
      </c>
      <c r="B5199" s="3" t="s">
        <v>11644</v>
      </c>
      <c r="C5199" s="3" t="s">
        <v>1105</v>
      </c>
      <c r="D5199" s="4" t="s">
        <v>11547</v>
      </c>
      <c r="E5199" s="3" t="s">
        <v>1076</v>
      </c>
      <c r="F5199" s="3" t="s">
        <v>10259</v>
      </c>
      <c r="G5199" s="3"/>
      <c r="H5199" s="4" t="s">
        <v>11645</v>
      </c>
    </row>
    <row r="5200" ht="16.5" customHeight="1" spans="1:8">
      <c r="A5200" s="3">
        <v>5199</v>
      </c>
      <c r="B5200" s="3" t="s">
        <v>11646</v>
      </c>
      <c r="C5200" s="3" t="s">
        <v>1074</v>
      </c>
      <c r="D5200" s="4" t="s">
        <v>11647</v>
      </c>
      <c r="E5200" s="3" t="s">
        <v>1076</v>
      </c>
      <c r="F5200" s="3" t="s">
        <v>10259</v>
      </c>
      <c r="G5200" s="3"/>
      <c r="H5200" s="4" t="s">
        <v>1843</v>
      </c>
    </row>
    <row r="5201" ht="16.5" customHeight="1" spans="1:8">
      <c r="A5201" s="3">
        <v>5200</v>
      </c>
      <c r="B5201" s="3" t="s">
        <v>11648</v>
      </c>
      <c r="C5201" s="3" t="s">
        <v>2163</v>
      </c>
      <c r="D5201" s="4" t="s">
        <v>11649</v>
      </c>
      <c r="E5201" s="3" t="s">
        <v>3954</v>
      </c>
      <c r="F5201" s="3" t="s">
        <v>4668</v>
      </c>
      <c r="G5201" s="3"/>
      <c r="H5201" s="4" t="s">
        <v>3812</v>
      </c>
    </row>
    <row r="5202" ht="16.5" customHeight="1" spans="1:8">
      <c r="A5202" s="3">
        <v>5201</v>
      </c>
      <c r="B5202" s="3" t="s">
        <v>11650</v>
      </c>
      <c r="C5202" s="3" t="s">
        <v>2163</v>
      </c>
      <c r="D5202" s="4" t="s">
        <v>11651</v>
      </c>
      <c r="E5202" s="3" t="s">
        <v>1076</v>
      </c>
      <c r="F5202" s="3" t="s">
        <v>4668</v>
      </c>
      <c r="G5202" s="3"/>
      <c r="H5202" s="4" t="s">
        <v>3812</v>
      </c>
    </row>
    <row r="5203" ht="16.5" customHeight="1" spans="1:8">
      <c r="A5203" s="3">
        <v>5202</v>
      </c>
      <c r="B5203" s="3" t="s">
        <v>11652</v>
      </c>
      <c r="C5203" s="3" t="s">
        <v>2163</v>
      </c>
      <c r="D5203" s="4" t="s">
        <v>11653</v>
      </c>
      <c r="E5203" s="3" t="s">
        <v>2726</v>
      </c>
      <c r="F5203" s="3" t="s">
        <v>2105</v>
      </c>
      <c r="G5203" s="3"/>
      <c r="H5203" s="4" t="s">
        <v>3812</v>
      </c>
    </row>
    <row r="5204" ht="16.5" customHeight="1" spans="1:8">
      <c r="A5204" s="3">
        <v>5203</v>
      </c>
      <c r="B5204" s="3" t="s">
        <v>11654</v>
      </c>
      <c r="C5204" s="3" t="s">
        <v>1356</v>
      </c>
      <c r="D5204" s="4" t="s">
        <v>11655</v>
      </c>
      <c r="E5204" s="3" t="s">
        <v>1076</v>
      </c>
      <c r="F5204" s="3" t="s">
        <v>4668</v>
      </c>
      <c r="G5204" s="3"/>
      <c r="H5204" s="4" t="s">
        <v>1305</v>
      </c>
    </row>
    <row r="5205" ht="16.5" customHeight="1" spans="1:8">
      <c r="A5205" s="3">
        <v>5204</v>
      </c>
      <c r="B5205" s="3" t="s">
        <v>11656</v>
      </c>
      <c r="C5205" s="3" t="s">
        <v>1105</v>
      </c>
      <c r="D5205" s="4" t="s">
        <v>11657</v>
      </c>
      <c r="E5205" s="3" t="s">
        <v>1076</v>
      </c>
      <c r="F5205" s="3" t="s">
        <v>8175</v>
      </c>
      <c r="G5205" s="3"/>
      <c r="H5205" s="4" t="s">
        <v>11658</v>
      </c>
    </row>
    <row r="5206" ht="16.5" customHeight="1" spans="1:8">
      <c r="A5206" s="3">
        <v>5205</v>
      </c>
      <c r="B5206" s="3" t="s">
        <v>11659</v>
      </c>
      <c r="C5206" s="3" t="s">
        <v>1356</v>
      </c>
      <c r="D5206" s="4" t="s">
        <v>11660</v>
      </c>
      <c r="E5206" s="3" t="s">
        <v>2726</v>
      </c>
      <c r="F5206" s="3" t="s">
        <v>4668</v>
      </c>
      <c r="G5206" s="3"/>
      <c r="H5206" s="4" t="s">
        <v>1305</v>
      </c>
    </row>
    <row r="5207" ht="16.5" customHeight="1" spans="1:8">
      <c r="A5207" s="3">
        <v>5206</v>
      </c>
      <c r="B5207" s="3" t="s">
        <v>11661</v>
      </c>
      <c r="C5207" s="3" t="s">
        <v>2163</v>
      </c>
      <c r="D5207" s="4" t="s">
        <v>11662</v>
      </c>
      <c r="E5207" s="3" t="s">
        <v>1076</v>
      </c>
      <c r="F5207" s="3" t="s">
        <v>1358</v>
      </c>
      <c r="G5207" s="3" t="s">
        <v>321</v>
      </c>
      <c r="H5207" s="4" t="s">
        <v>3351</v>
      </c>
    </row>
    <row r="5208" ht="16.5" customHeight="1" spans="1:8">
      <c r="A5208" s="3">
        <v>5207</v>
      </c>
      <c r="B5208" s="3" t="s">
        <v>21</v>
      </c>
      <c r="C5208" s="3" t="s">
        <v>1074</v>
      </c>
      <c r="D5208" s="4" t="s">
        <v>11663</v>
      </c>
      <c r="E5208" s="3" t="s">
        <v>1218</v>
      </c>
      <c r="F5208" s="3" t="s">
        <v>4668</v>
      </c>
      <c r="G5208" s="3"/>
      <c r="H5208" s="4" t="s">
        <v>2050</v>
      </c>
    </row>
    <row r="5209" ht="16.5" customHeight="1" spans="1:8">
      <c r="A5209" s="3">
        <v>5208</v>
      </c>
      <c r="B5209" s="3" t="s">
        <v>11664</v>
      </c>
      <c r="C5209" s="3" t="s">
        <v>1105</v>
      </c>
      <c r="D5209" s="4" t="s">
        <v>11665</v>
      </c>
      <c r="E5209" s="3" t="s">
        <v>1076</v>
      </c>
      <c r="F5209" s="3" t="s">
        <v>10259</v>
      </c>
      <c r="G5209" s="3"/>
      <c r="H5209" s="4" t="s">
        <v>6983</v>
      </c>
    </row>
    <row r="5210" ht="16.5" customHeight="1" spans="1:8">
      <c r="A5210" s="3">
        <v>5209</v>
      </c>
      <c r="B5210" s="3" t="s">
        <v>11666</v>
      </c>
      <c r="C5210" s="3" t="s">
        <v>1105</v>
      </c>
      <c r="D5210" s="4" t="s">
        <v>11667</v>
      </c>
      <c r="E5210" s="3" t="s">
        <v>1076</v>
      </c>
      <c r="F5210" s="3" t="s">
        <v>10259</v>
      </c>
      <c r="G5210" s="3"/>
      <c r="H5210" s="4" t="s">
        <v>6983</v>
      </c>
    </row>
    <row r="5211" ht="16.5" customHeight="1" spans="1:8">
      <c r="A5211" s="3">
        <v>5210</v>
      </c>
      <c r="B5211" s="3" t="s">
        <v>11668</v>
      </c>
      <c r="C5211" s="3" t="s">
        <v>2163</v>
      </c>
      <c r="D5211" s="4" t="s">
        <v>11669</v>
      </c>
      <c r="E5211" s="3" t="s">
        <v>1076</v>
      </c>
      <c r="F5211" s="3" t="s">
        <v>1358</v>
      </c>
      <c r="G5211" s="3" t="s">
        <v>321</v>
      </c>
      <c r="H5211" s="4" t="s">
        <v>1359</v>
      </c>
    </row>
    <row r="5212" ht="16.5" customHeight="1" spans="1:8">
      <c r="A5212" s="3">
        <v>5211</v>
      </c>
      <c r="B5212" s="3" t="s">
        <v>11670</v>
      </c>
      <c r="C5212" s="3" t="s">
        <v>2163</v>
      </c>
      <c r="D5212" s="4" t="s">
        <v>11671</v>
      </c>
      <c r="E5212" s="3" t="s">
        <v>1076</v>
      </c>
      <c r="F5212" s="3" t="s">
        <v>1358</v>
      </c>
      <c r="G5212" s="3" t="s">
        <v>321</v>
      </c>
      <c r="H5212" s="4"/>
    </row>
    <row r="5213" ht="16.5" customHeight="1" spans="1:8">
      <c r="A5213" s="3">
        <v>5212</v>
      </c>
      <c r="B5213" s="3" t="s">
        <v>11672</v>
      </c>
      <c r="C5213" s="3" t="s">
        <v>1105</v>
      </c>
      <c r="D5213" s="4" t="s">
        <v>11673</v>
      </c>
      <c r="E5213" s="3" t="s">
        <v>1076</v>
      </c>
      <c r="F5213" s="3" t="s">
        <v>1152</v>
      </c>
      <c r="G5213" s="3"/>
      <c r="H5213" s="4" t="s">
        <v>11620</v>
      </c>
    </row>
    <row r="5214" ht="16.5" customHeight="1" spans="1:8">
      <c r="A5214" s="3">
        <v>5213</v>
      </c>
      <c r="B5214" s="3" t="s">
        <v>11674</v>
      </c>
      <c r="C5214" s="3" t="s">
        <v>1105</v>
      </c>
      <c r="D5214" s="4" t="s">
        <v>11675</v>
      </c>
      <c r="E5214" s="3" t="s">
        <v>1076</v>
      </c>
      <c r="F5214" s="3" t="s">
        <v>1152</v>
      </c>
      <c r="G5214" s="3"/>
      <c r="H5214" s="4" t="s">
        <v>11620</v>
      </c>
    </row>
    <row r="5215" ht="16.5" customHeight="1" spans="1:8">
      <c r="A5215" s="3">
        <v>5214</v>
      </c>
      <c r="B5215" s="3" t="s">
        <v>11676</v>
      </c>
      <c r="C5215" s="3" t="s">
        <v>1105</v>
      </c>
      <c r="D5215" s="4" t="s">
        <v>11677</v>
      </c>
      <c r="E5215" s="3" t="s">
        <v>1739</v>
      </c>
      <c r="F5215" s="3" t="s">
        <v>1152</v>
      </c>
      <c r="G5215" s="3"/>
      <c r="H5215" s="4" t="s">
        <v>11620</v>
      </c>
    </row>
    <row r="5216" ht="16.5" customHeight="1" spans="1:8">
      <c r="A5216" s="3">
        <v>5215</v>
      </c>
      <c r="B5216" s="3" t="s">
        <v>11678</v>
      </c>
      <c r="C5216" s="3" t="s">
        <v>1105</v>
      </c>
      <c r="D5216" s="4" t="s">
        <v>11679</v>
      </c>
      <c r="E5216" s="3" t="s">
        <v>1076</v>
      </c>
      <c r="F5216" s="3" t="s">
        <v>1152</v>
      </c>
      <c r="G5216" s="3"/>
      <c r="H5216" s="4" t="s">
        <v>11620</v>
      </c>
    </row>
    <row r="5217" ht="16.5" customHeight="1" spans="1:8">
      <c r="A5217" s="3">
        <v>5216</v>
      </c>
      <c r="B5217" s="3" t="s">
        <v>11680</v>
      </c>
      <c r="C5217" s="3" t="s">
        <v>1105</v>
      </c>
      <c r="D5217" s="4" t="s">
        <v>11681</v>
      </c>
      <c r="E5217" s="3" t="s">
        <v>1076</v>
      </c>
      <c r="F5217" s="3" t="s">
        <v>1152</v>
      </c>
      <c r="G5217" s="3"/>
      <c r="H5217" s="4" t="s">
        <v>11620</v>
      </c>
    </row>
    <row r="5218" ht="16.5" customHeight="1" spans="1:8">
      <c r="A5218" s="3">
        <v>5217</v>
      </c>
      <c r="B5218" s="3" t="s">
        <v>11682</v>
      </c>
      <c r="C5218" s="3" t="s">
        <v>1105</v>
      </c>
      <c r="D5218" s="4" t="s">
        <v>11683</v>
      </c>
      <c r="E5218" s="3" t="s">
        <v>1076</v>
      </c>
      <c r="F5218" s="3" t="s">
        <v>1152</v>
      </c>
      <c r="G5218" s="3"/>
      <c r="H5218" s="4" t="s">
        <v>11620</v>
      </c>
    </row>
    <row r="5219" ht="16.5" customHeight="1" spans="1:8">
      <c r="A5219" s="3">
        <v>5218</v>
      </c>
      <c r="B5219" s="3" t="s">
        <v>11684</v>
      </c>
      <c r="C5219" s="3" t="s">
        <v>1105</v>
      </c>
      <c r="D5219" s="4" t="s">
        <v>11685</v>
      </c>
      <c r="E5219" s="3" t="s">
        <v>1739</v>
      </c>
      <c r="F5219" s="3" t="s">
        <v>1152</v>
      </c>
      <c r="G5219" s="3"/>
      <c r="H5219" s="4" t="s">
        <v>11620</v>
      </c>
    </row>
    <row r="5220" ht="16.5" customHeight="1" spans="1:8">
      <c r="A5220" s="3">
        <v>5219</v>
      </c>
      <c r="B5220" s="3" t="s">
        <v>11686</v>
      </c>
      <c r="C5220" s="3" t="s">
        <v>1105</v>
      </c>
      <c r="D5220" s="4" t="s">
        <v>11687</v>
      </c>
      <c r="E5220" s="3" t="s">
        <v>1739</v>
      </c>
      <c r="F5220" s="3" t="s">
        <v>1152</v>
      </c>
      <c r="G5220" s="3"/>
      <c r="H5220" s="4" t="s">
        <v>11620</v>
      </c>
    </row>
    <row r="5221" ht="16.5" customHeight="1" spans="1:8">
      <c r="A5221" s="3">
        <v>5220</v>
      </c>
      <c r="B5221" s="3" t="s">
        <v>11688</v>
      </c>
      <c r="C5221" s="3" t="s">
        <v>1105</v>
      </c>
      <c r="D5221" s="4" t="s">
        <v>11689</v>
      </c>
      <c r="E5221" s="3" t="s">
        <v>1076</v>
      </c>
      <c r="F5221" s="3" t="s">
        <v>1152</v>
      </c>
      <c r="G5221" s="3"/>
      <c r="H5221" s="4" t="s">
        <v>11620</v>
      </c>
    </row>
    <row r="5222" ht="16.5" customHeight="1" spans="1:8">
      <c r="A5222" s="3">
        <v>5221</v>
      </c>
      <c r="B5222" s="3" t="s">
        <v>11690</v>
      </c>
      <c r="C5222" s="3" t="s">
        <v>1105</v>
      </c>
      <c r="D5222" s="4" t="s">
        <v>11691</v>
      </c>
      <c r="E5222" s="3" t="s">
        <v>1739</v>
      </c>
      <c r="F5222" s="3" t="s">
        <v>1152</v>
      </c>
      <c r="G5222" s="3"/>
      <c r="H5222" s="4" t="s">
        <v>11620</v>
      </c>
    </row>
    <row r="5223" ht="16.5" customHeight="1" spans="1:8">
      <c r="A5223" s="3">
        <v>5222</v>
      </c>
      <c r="B5223" s="3" t="s">
        <v>11692</v>
      </c>
      <c r="C5223" s="3" t="s">
        <v>1105</v>
      </c>
      <c r="D5223" s="4" t="s">
        <v>11693</v>
      </c>
      <c r="E5223" s="3" t="s">
        <v>1739</v>
      </c>
      <c r="F5223" s="3" t="s">
        <v>1152</v>
      </c>
      <c r="G5223" s="3"/>
      <c r="H5223" s="4" t="s">
        <v>11620</v>
      </c>
    </row>
    <row r="5224" ht="16.5" customHeight="1" spans="1:8">
      <c r="A5224" s="3">
        <v>5223</v>
      </c>
      <c r="B5224" s="3" t="s">
        <v>11694</v>
      </c>
      <c r="C5224" s="3" t="s">
        <v>1105</v>
      </c>
      <c r="D5224" s="4" t="s">
        <v>11695</v>
      </c>
      <c r="E5224" s="3" t="s">
        <v>1076</v>
      </c>
      <c r="F5224" s="3" t="s">
        <v>1152</v>
      </c>
      <c r="G5224" s="3"/>
      <c r="H5224" s="4" t="s">
        <v>11620</v>
      </c>
    </row>
    <row r="5225" ht="16.5" customHeight="1" spans="1:8">
      <c r="A5225" s="3">
        <v>5224</v>
      </c>
      <c r="B5225" s="3" t="s">
        <v>11696</v>
      </c>
      <c r="C5225" s="3" t="s">
        <v>2163</v>
      </c>
      <c r="D5225" s="4" t="s">
        <v>11697</v>
      </c>
      <c r="E5225" s="3" t="s">
        <v>1076</v>
      </c>
      <c r="F5225" s="3" t="s">
        <v>4668</v>
      </c>
      <c r="G5225" s="3"/>
      <c r="H5225" s="4" t="s">
        <v>3812</v>
      </c>
    </row>
    <row r="5226" ht="16.5" customHeight="1" spans="1:8">
      <c r="A5226" s="3">
        <v>5225</v>
      </c>
      <c r="B5226" s="3" t="s">
        <v>11698</v>
      </c>
      <c r="C5226" s="3" t="s">
        <v>1105</v>
      </c>
      <c r="D5226" s="4" t="s">
        <v>11699</v>
      </c>
      <c r="E5226" s="3" t="s">
        <v>1739</v>
      </c>
      <c r="F5226" s="3" t="s">
        <v>4668</v>
      </c>
      <c r="G5226" s="3"/>
      <c r="H5226" s="4" t="s">
        <v>11700</v>
      </c>
    </row>
    <row r="5227" ht="16.5" customHeight="1" spans="1:8">
      <c r="A5227" s="3">
        <v>5226</v>
      </c>
      <c r="B5227" s="3" t="s">
        <v>11701</v>
      </c>
      <c r="C5227" s="3" t="s">
        <v>1105</v>
      </c>
      <c r="D5227" s="4" t="s">
        <v>11702</v>
      </c>
      <c r="E5227" s="3" t="s">
        <v>1076</v>
      </c>
      <c r="F5227" s="3" t="s">
        <v>10259</v>
      </c>
      <c r="G5227" s="3"/>
      <c r="H5227" s="4" t="s">
        <v>11575</v>
      </c>
    </row>
    <row r="5228" ht="16.5" customHeight="1" spans="1:8">
      <c r="A5228" s="3">
        <v>5227</v>
      </c>
      <c r="B5228" s="3" t="s">
        <v>11703</v>
      </c>
      <c r="C5228" s="3" t="s">
        <v>1105</v>
      </c>
      <c r="D5228" s="4" t="s">
        <v>11704</v>
      </c>
      <c r="E5228" s="3" t="s">
        <v>1076</v>
      </c>
      <c r="F5228" s="3" t="s">
        <v>10259</v>
      </c>
      <c r="G5228" s="3"/>
      <c r="H5228" s="4" t="s">
        <v>11575</v>
      </c>
    </row>
    <row r="5229" ht="16.5" customHeight="1" spans="1:8">
      <c r="A5229" s="3">
        <v>5228</v>
      </c>
      <c r="B5229" s="3" t="s">
        <v>182</v>
      </c>
      <c r="C5229" s="3" t="s">
        <v>1074</v>
      </c>
      <c r="D5229" s="4" t="s">
        <v>11705</v>
      </c>
      <c r="E5229" s="3" t="s">
        <v>1218</v>
      </c>
      <c r="F5229" s="3" t="s">
        <v>4668</v>
      </c>
      <c r="G5229" s="3"/>
      <c r="H5229" s="4" t="s">
        <v>7240</v>
      </c>
    </row>
    <row r="5230" ht="16.5" customHeight="1" spans="1:8">
      <c r="A5230" s="3">
        <v>5229</v>
      </c>
      <c r="B5230" s="3" t="s">
        <v>11706</v>
      </c>
      <c r="C5230" s="3" t="s">
        <v>1105</v>
      </c>
      <c r="D5230" s="4" t="s">
        <v>11707</v>
      </c>
      <c r="E5230" s="3" t="s">
        <v>1076</v>
      </c>
      <c r="F5230" s="3" t="s">
        <v>4668</v>
      </c>
      <c r="G5230" s="3"/>
      <c r="H5230" s="4" t="s">
        <v>11708</v>
      </c>
    </row>
    <row r="5231" ht="16.5" customHeight="1" spans="1:8">
      <c r="A5231" s="3">
        <v>5230</v>
      </c>
      <c r="B5231" s="3" t="s">
        <v>11709</v>
      </c>
      <c r="C5231" s="3" t="s">
        <v>2163</v>
      </c>
      <c r="D5231" s="4" t="s">
        <v>11710</v>
      </c>
      <c r="E5231" s="3" t="s">
        <v>1076</v>
      </c>
      <c r="F5231" s="3" t="s">
        <v>1358</v>
      </c>
      <c r="G5231" s="3" t="s">
        <v>321</v>
      </c>
      <c r="H5231" s="4" t="s">
        <v>1359</v>
      </c>
    </row>
    <row r="5232" ht="16.5" customHeight="1" spans="1:8">
      <c r="A5232" s="3">
        <v>5231</v>
      </c>
      <c r="B5232" s="3" t="s">
        <v>11711</v>
      </c>
      <c r="C5232" s="3" t="s">
        <v>1356</v>
      </c>
      <c r="D5232" s="4" t="s">
        <v>11712</v>
      </c>
      <c r="E5232" s="3" t="s">
        <v>1076</v>
      </c>
      <c r="F5232" s="3" t="s">
        <v>4668</v>
      </c>
      <c r="G5232" s="3"/>
      <c r="H5232" s="4" t="s">
        <v>5664</v>
      </c>
    </row>
    <row r="5233" ht="16.5" customHeight="1" spans="1:8">
      <c r="A5233" s="3">
        <v>5232</v>
      </c>
      <c r="B5233" s="3" t="s">
        <v>11713</v>
      </c>
      <c r="C5233" s="3" t="s">
        <v>2163</v>
      </c>
      <c r="D5233" s="4" t="s">
        <v>11714</v>
      </c>
      <c r="E5233" s="3" t="s">
        <v>3954</v>
      </c>
      <c r="F5233" s="3" t="s">
        <v>2105</v>
      </c>
      <c r="G5233" s="3"/>
      <c r="H5233" s="4" t="s">
        <v>3812</v>
      </c>
    </row>
    <row r="5234" ht="16.5" customHeight="1" spans="1:8">
      <c r="A5234" s="3">
        <v>5233</v>
      </c>
      <c r="B5234" s="3" t="s">
        <v>11715</v>
      </c>
      <c r="C5234" s="3" t="s">
        <v>1356</v>
      </c>
      <c r="D5234" s="4" t="s">
        <v>11716</v>
      </c>
      <c r="E5234" s="3" t="s">
        <v>1076</v>
      </c>
      <c r="F5234" s="3" t="s">
        <v>4668</v>
      </c>
      <c r="G5234" s="3"/>
      <c r="H5234" s="4" t="s">
        <v>6740</v>
      </c>
    </row>
    <row r="5235" ht="16.5" customHeight="1" spans="1:8">
      <c r="A5235" s="3">
        <v>5234</v>
      </c>
      <c r="B5235" s="3" t="s">
        <v>11717</v>
      </c>
      <c r="C5235" s="3" t="s">
        <v>1074</v>
      </c>
      <c r="D5235" s="4" t="s">
        <v>11718</v>
      </c>
      <c r="E5235" s="3" t="s">
        <v>1218</v>
      </c>
      <c r="F5235" s="3" t="s">
        <v>4668</v>
      </c>
      <c r="G5235" s="3"/>
      <c r="H5235" s="4" t="s">
        <v>11719</v>
      </c>
    </row>
    <row r="5236" ht="16.5" customHeight="1" spans="1:8">
      <c r="A5236" s="3">
        <v>5235</v>
      </c>
      <c r="B5236" s="3" t="s">
        <v>11720</v>
      </c>
      <c r="C5236" s="3" t="s">
        <v>1105</v>
      </c>
      <c r="D5236" s="4" t="s">
        <v>11721</v>
      </c>
      <c r="E5236" s="3" t="s">
        <v>1218</v>
      </c>
      <c r="F5236" s="3" t="s">
        <v>4668</v>
      </c>
      <c r="G5236" s="3"/>
      <c r="H5236" s="4" t="s">
        <v>11722</v>
      </c>
    </row>
    <row r="5237" ht="16.5" customHeight="1" spans="1:8">
      <c r="A5237" s="3">
        <v>5236</v>
      </c>
      <c r="B5237" s="3" t="s">
        <v>11723</v>
      </c>
      <c r="C5237" s="3" t="s">
        <v>1105</v>
      </c>
      <c r="D5237" s="4" t="s">
        <v>11724</v>
      </c>
      <c r="E5237" s="3" t="s">
        <v>1218</v>
      </c>
      <c r="F5237" s="3" t="s">
        <v>4668</v>
      </c>
      <c r="G5237" s="3"/>
      <c r="H5237" s="4" t="s">
        <v>11722</v>
      </c>
    </row>
    <row r="5238" ht="16.5" customHeight="1" spans="1:8">
      <c r="A5238" s="3">
        <v>5237</v>
      </c>
      <c r="B5238" s="3" t="s">
        <v>11725</v>
      </c>
      <c r="C5238" s="3" t="s">
        <v>1105</v>
      </c>
      <c r="D5238" s="4" t="s">
        <v>11726</v>
      </c>
      <c r="E5238" s="3" t="s">
        <v>1218</v>
      </c>
      <c r="F5238" s="3" t="s">
        <v>4668</v>
      </c>
      <c r="G5238" s="3"/>
      <c r="H5238" s="4" t="s">
        <v>11722</v>
      </c>
    </row>
    <row r="5239" ht="16.5" customHeight="1" spans="1:8">
      <c r="A5239" s="3">
        <v>5238</v>
      </c>
      <c r="B5239" s="3" t="s">
        <v>11727</v>
      </c>
      <c r="C5239" s="3" t="s">
        <v>1105</v>
      </c>
      <c r="D5239" s="4" t="s">
        <v>11728</v>
      </c>
      <c r="E5239" s="3" t="s">
        <v>1218</v>
      </c>
      <c r="F5239" s="3" t="s">
        <v>4668</v>
      </c>
      <c r="G5239" s="3"/>
      <c r="H5239" s="4" t="s">
        <v>11722</v>
      </c>
    </row>
    <row r="5240" ht="16.5" customHeight="1" spans="1:8">
      <c r="A5240" s="3">
        <v>5239</v>
      </c>
      <c r="B5240" s="3" t="s">
        <v>11729</v>
      </c>
      <c r="C5240" s="3" t="s">
        <v>1105</v>
      </c>
      <c r="D5240" s="4" t="s">
        <v>11730</v>
      </c>
      <c r="E5240" s="3" t="s">
        <v>1218</v>
      </c>
      <c r="F5240" s="3" t="s">
        <v>4668</v>
      </c>
      <c r="G5240" s="3"/>
      <c r="H5240" s="4" t="s">
        <v>11722</v>
      </c>
    </row>
    <row r="5241" ht="16.5" customHeight="1" spans="1:8">
      <c r="A5241" s="3">
        <v>5240</v>
      </c>
      <c r="B5241" s="3" t="s">
        <v>11731</v>
      </c>
      <c r="C5241" s="3" t="s">
        <v>1105</v>
      </c>
      <c r="D5241" s="4" t="s">
        <v>11732</v>
      </c>
      <c r="E5241" s="3" t="s">
        <v>1218</v>
      </c>
      <c r="F5241" s="3" t="s">
        <v>4668</v>
      </c>
      <c r="G5241" s="3"/>
      <c r="H5241" s="4" t="s">
        <v>11722</v>
      </c>
    </row>
    <row r="5242" ht="16.5" customHeight="1" spans="1:8">
      <c r="A5242" s="3">
        <v>5241</v>
      </c>
      <c r="B5242" s="3" t="s">
        <v>11733</v>
      </c>
      <c r="C5242" s="3" t="s">
        <v>2163</v>
      </c>
      <c r="D5242" s="4" t="s">
        <v>11734</v>
      </c>
      <c r="E5242" s="3" t="s">
        <v>1076</v>
      </c>
      <c r="F5242" s="3" t="s">
        <v>2105</v>
      </c>
      <c r="G5242" s="3"/>
      <c r="H5242" s="4" t="s">
        <v>7243</v>
      </c>
    </row>
    <row r="5243" ht="16.5" customHeight="1" spans="1:8">
      <c r="A5243" s="3">
        <v>5242</v>
      </c>
      <c r="B5243" s="3" t="s">
        <v>11735</v>
      </c>
      <c r="C5243" s="3" t="s">
        <v>2163</v>
      </c>
      <c r="D5243" s="4" t="s">
        <v>11736</v>
      </c>
      <c r="E5243" s="3" t="s">
        <v>1076</v>
      </c>
      <c r="F5243" s="3" t="s">
        <v>2105</v>
      </c>
      <c r="G5243" s="3"/>
      <c r="H5243" s="4" t="s">
        <v>7243</v>
      </c>
    </row>
    <row r="5244" ht="16.5" customHeight="1" spans="1:8">
      <c r="A5244" s="3">
        <v>5243</v>
      </c>
      <c r="B5244" s="3" t="s">
        <v>11737</v>
      </c>
      <c r="C5244" s="3" t="s">
        <v>2163</v>
      </c>
      <c r="D5244" s="4" t="s">
        <v>11738</v>
      </c>
      <c r="E5244" s="3" t="s">
        <v>1076</v>
      </c>
      <c r="F5244" s="3" t="s">
        <v>2105</v>
      </c>
      <c r="G5244" s="3"/>
      <c r="H5244" s="4" t="s">
        <v>7243</v>
      </c>
    </row>
    <row r="5245" ht="16.5" customHeight="1" spans="1:8">
      <c r="A5245" s="3">
        <v>5244</v>
      </c>
      <c r="B5245" s="3" t="s">
        <v>11739</v>
      </c>
      <c r="C5245" s="3" t="s">
        <v>2163</v>
      </c>
      <c r="D5245" s="4" t="s">
        <v>11740</v>
      </c>
      <c r="E5245" s="3" t="s">
        <v>1076</v>
      </c>
      <c r="F5245" s="3" t="s">
        <v>2105</v>
      </c>
      <c r="G5245" s="3"/>
      <c r="H5245" s="4" t="s">
        <v>7243</v>
      </c>
    </row>
    <row r="5246" ht="16.5" customHeight="1" spans="1:8">
      <c r="A5246" s="3">
        <v>5245</v>
      </c>
      <c r="B5246" s="3" t="s">
        <v>11741</v>
      </c>
      <c r="C5246" s="3" t="s">
        <v>2163</v>
      </c>
      <c r="D5246" s="4" t="s">
        <v>11742</v>
      </c>
      <c r="E5246" s="3" t="s">
        <v>8871</v>
      </c>
      <c r="F5246" s="3" t="s">
        <v>2105</v>
      </c>
      <c r="G5246" s="3"/>
      <c r="H5246" s="4" t="s">
        <v>7243</v>
      </c>
    </row>
    <row r="5247" ht="16.5" customHeight="1" spans="1:8">
      <c r="A5247" s="3">
        <v>5246</v>
      </c>
      <c r="B5247" s="3" t="s">
        <v>11743</v>
      </c>
      <c r="C5247" s="3" t="s">
        <v>2163</v>
      </c>
      <c r="D5247" s="4" t="s">
        <v>11744</v>
      </c>
      <c r="E5247" s="3" t="s">
        <v>7007</v>
      </c>
      <c r="F5247" s="3" t="s">
        <v>2105</v>
      </c>
      <c r="G5247" s="3"/>
      <c r="H5247" s="4" t="s">
        <v>7243</v>
      </c>
    </row>
    <row r="5248" ht="16.5" customHeight="1" spans="1:8">
      <c r="A5248" s="3">
        <v>5247</v>
      </c>
      <c r="B5248" s="3" t="s">
        <v>11745</v>
      </c>
      <c r="C5248" s="3" t="s">
        <v>2163</v>
      </c>
      <c r="D5248" s="4" t="s">
        <v>11746</v>
      </c>
      <c r="E5248" s="3" t="s">
        <v>1076</v>
      </c>
      <c r="F5248" s="3" t="s">
        <v>2105</v>
      </c>
      <c r="G5248" s="3"/>
      <c r="H5248" s="4" t="s">
        <v>7243</v>
      </c>
    </row>
    <row r="5249" ht="16.5" customHeight="1" spans="1:8">
      <c r="A5249" s="3">
        <v>5248</v>
      </c>
      <c r="B5249" s="3" t="s">
        <v>11747</v>
      </c>
      <c r="C5249" s="3" t="s">
        <v>1356</v>
      </c>
      <c r="D5249" s="4" t="s">
        <v>11748</v>
      </c>
      <c r="E5249" s="3" t="s">
        <v>1076</v>
      </c>
      <c r="F5249" s="3" t="s">
        <v>4668</v>
      </c>
      <c r="G5249" s="3"/>
      <c r="H5249" s="4" t="s">
        <v>1305</v>
      </c>
    </row>
    <row r="5250" ht="16.5" customHeight="1" spans="1:8">
      <c r="A5250" s="3">
        <v>5249</v>
      </c>
      <c r="B5250" s="3" t="s">
        <v>11749</v>
      </c>
      <c r="C5250" s="3" t="s">
        <v>1105</v>
      </c>
      <c r="D5250" s="4" t="s">
        <v>11750</v>
      </c>
      <c r="E5250" s="3" t="s">
        <v>2726</v>
      </c>
      <c r="F5250" s="3" t="s">
        <v>4668</v>
      </c>
      <c r="G5250" s="3"/>
      <c r="H5250" s="4" t="s">
        <v>11708</v>
      </c>
    </row>
    <row r="5251" ht="16.5" customHeight="1" spans="1:8">
      <c r="A5251" s="3">
        <v>5250</v>
      </c>
      <c r="B5251" s="3" t="s">
        <v>11751</v>
      </c>
      <c r="C5251" s="3" t="s">
        <v>1074</v>
      </c>
      <c r="D5251" s="4" t="s">
        <v>11752</v>
      </c>
      <c r="E5251" s="3" t="s">
        <v>1164</v>
      </c>
      <c r="F5251" s="3" t="s">
        <v>4668</v>
      </c>
      <c r="G5251" s="3"/>
      <c r="H5251" s="4" t="s">
        <v>7240</v>
      </c>
    </row>
    <row r="5252" ht="16.5" customHeight="1" spans="1:8">
      <c r="A5252" s="3">
        <v>5251</v>
      </c>
      <c r="B5252" s="3" t="s">
        <v>11753</v>
      </c>
      <c r="C5252" s="3" t="s">
        <v>1074</v>
      </c>
      <c r="D5252" s="4" t="s">
        <v>11754</v>
      </c>
      <c r="E5252" s="3" t="s">
        <v>1218</v>
      </c>
      <c r="F5252" s="3" t="s">
        <v>4668</v>
      </c>
      <c r="G5252" s="3"/>
      <c r="H5252" s="4" t="s">
        <v>7240</v>
      </c>
    </row>
    <row r="5253" ht="16.5" customHeight="1" spans="1:8">
      <c r="A5253" s="3">
        <v>5252</v>
      </c>
      <c r="B5253" s="3" t="s">
        <v>11755</v>
      </c>
      <c r="C5253" s="3" t="s">
        <v>2163</v>
      </c>
      <c r="D5253" s="4" t="s">
        <v>11756</v>
      </c>
      <c r="E5253" s="3" t="s">
        <v>1076</v>
      </c>
      <c r="F5253" s="3" t="s">
        <v>11431</v>
      </c>
      <c r="G5253" s="3" t="s">
        <v>321</v>
      </c>
      <c r="H5253" s="4" t="s">
        <v>1359</v>
      </c>
    </row>
    <row r="5254" ht="16.5" customHeight="1" spans="1:8">
      <c r="A5254" s="3">
        <v>5253</v>
      </c>
      <c r="B5254" s="3" t="s">
        <v>11757</v>
      </c>
      <c r="C5254" s="3" t="s">
        <v>2163</v>
      </c>
      <c r="D5254" s="4" t="s">
        <v>11758</v>
      </c>
      <c r="E5254" s="3" t="s">
        <v>1076</v>
      </c>
      <c r="F5254" s="3" t="s">
        <v>2105</v>
      </c>
      <c r="G5254" s="3"/>
      <c r="H5254" s="4" t="s">
        <v>7243</v>
      </c>
    </row>
    <row r="5255" ht="16.5" customHeight="1" spans="1:8">
      <c r="A5255" s="3">
        <v>5254</v>
      </c>
      <c r="B5255" s="3" t="s">
        <v>11759</v>
      </c>
      <c r="C5255" s="3" t="s">
        <v>2163</v>
      </c>
      <c r="D5255" s="4" t="s">
        <v>11760</v>
      </c>
      <c r="E5255" s="3" t="s">
        <v>8871</v>
      </c>
      <c r="F5255" s="3" t="s">
        <v>2105</v>
      </c>
      <c r="G5255" s="3"/>
      <c r="H5255" s="4" t="s">
        <v>7243</v>
      </c>
    </row>
    <row r="5256" ht="16.5" customHeight="1" spans="1:8">
      <c r="A5256" s="3">
        <v>5255</v>
      </c>
      <c r="B5256" s="3" t="s">
        <v>11761</v>
      </c>
      <c r="C5256" s="3" t="s">
        <v>1074</v>
      </c>
      <c r="D5256" s="4" t="s">
        <v>11762</v>
      </c>
      <c r="E5256" s="3" t="s">
        <v>1218</v>
      </c>
      <c r="F5256" s="3" t="s">
        <v>10259</v>
      </c>
      <c r="G5256" s="3"/>
      <c r="H5256" s="4"/>
    </row>
    <row r="5257" ht="16.5" customHeight="1" spans="1:8">
      <c r="A5257" s="3">
        <v>5256</v>
      </c>
      <c r="B5257" s="3" t="s">
        <v>11763</v>
      </c>
      <c r="C5257" s="3" t="s">
        <v>1074</v>
      </c>
      <c r="D5257" s="4" t="s">
        <v>11764</v>
      </c>
      <c r="E5257" s="3" t="s">
        <v>1076</v>
      </c>
      <c r="F5257" s="3" t="s">
        <v>10259</v>
      </c>
      <c r="G5257" s="3"/>
      <c r="H5257" s="4" t="s">
        <v>11765</v>
      </c>
    </row>
    <row r="5258" ht="16.5" customHeight="1" spans="1:8">
      <c r="A5258" s="3">
        <v>5257</v>
      </c>
      <c r="B5258" s="3" t="s">
        <v>11766</v>
      </c>
      <c r="C5258" s="3" t="s">
        <v>1356</v>
      </c>
      <c r="D5258" s="4" t="s">
        <v>11767</v>
      </c>
      <c r="E5258" s="3" t="s">
        <v>1076</v>
      </c>
      <c r="F5258" s="3" t="s">
        <v>1358</v>
      </c>
      <c r="G5258" s="3"/>
      <c r="H5258" s="4" t="s">
        <v>1359</v>
      </c>
    </row>
    <row r="5259" ht="16.5" customHeight="1" spans="1:8">
      <c r="A5259" s="3">
        <v>5258</v>
      </c>
      <c r="B5259" s="3" t="s">
        <v>11768</v>
      </c>
      <c r="C5259" s="3" t="s">
        <v>1074</v>
      </c>
      <c r="D5259" s="4" t="s">
        <v>11769</v>
      </c>
      <c r="E5259" s="3" t="s">
        <v>1076</v>
      </c>
      <c r="F5259" s="3" t="s">
        <v>10259</v>
      </c>
      <c r="G5259" s="3"/>
      <c r="H5259" s="4" t="s">
        <v>11765</v>
      </c>
    </row>
    <row r="5260" ht="16.5" customHeight="1" spans="1:8">
      <c r="A5260" s="3">
        <v>5259</v>
      </c>
      <c r="B5260" s="3" t="s">
        <v>11770</v>
      </c>
      <c r="C5260" s="3" t="s">
        <v>1356</v>
      </c>
      <c r="D5260" s="4" t="s">
        <v>11771</v>
      </c>
      <c r="E5260" s="3" t="s">
        <v>1076</v>
      </c>
      <c r="F5260" s="3" t="s">
        <v>1358</v>
      </c>
      <c r="G5260" s="3"/>
      <c r="H5260" s="4" t="s">
        <v>1359</v>
      </c>
    </row>
    <row r="5261" ht="16.5" customHeight="1" spans="1:8">
      <c r="A5261" s="3">
        <v>5260</v>
      </c>
      <c r="B5261" s="3" t="s">
        <v>11772</v>
      </c>
      <c r="C5261" s="3" t="s">
        <v>1356</v>
      </c>
      <c r="D5261" s="4" t="s">
        <v>11773</v>
      </c>
      <c r="E5261" s="3" t="s">
        <v>1076</v>
      </c>
      <c r="F5261" s="3" t="s">
        <v>1358</v>
      </c>
      <c r="G5261" s="3"/>
      <c r="H5261" s="4" t="s">
        <v>1359</v>
      </c>
    </row>
    <row r="5262" ht="16.5" customHeight="1" spans="1:8">
      <c r="A5262" s="3">
        <v>5261</v>
      </c>
      <c r="B5262" s="3" t="s">
        <v>11774</v>
      </c>
      <c r="C5262" s="3" t="s">
        <v>1356</v>
      </c>
      <c r="D5262" s="4" t="s">
        <v>11775</v>
      </c>
      <c r="E5262" s="3" t="s">
        <v>1076</v>
      </c>
      <c r="F5262" s="3" t="s">
        <v>1358</v>
      </c>
      <c r="G5262" s="3"/>
      <c r="H5262" s="4"/>
    </row>
    <row r="5263" ht="16.5" customHeight="1" spans="1:8">
      <c r="A5263" s="3">
        <v>5262</v>
      </c>
      <c r="B5263" s="3" t="s">
        <v>11776</v>
      </c>
      <c r="C5263" s="3" t="s">
        <v>2163</v>
      </c>
      <c r="D5263" s="4" t="s">
        <v>11777</v>
      </c>
      <c r="E5263" s="3" t="s">
        <v>1076</v>
      </c>
      <c r="F5263" s="3" t="s">
        <v>10943</v>
      </c>
      <c r="G5263" s="3"/>
      <c r="H5263" s="4" t="s">
        <v>1359</v>
      </c>
    </row>
    <row r="5264" ht="16.5" customHeight="1" spans="1:8">
      <c r="A5264" s="3">
        <v>5263</v>
      </c>
      <c r="B5264" s="3" t="s">
        <v>11778</v>
      </c>
      <c r="C5264" s="3" t="s">
        <v>2163</v>
      </c>
      <c r="D5264" s="4" t="s">
        <v>11779</v>
      </c>
      <c r="E5264" s="3" t="s">
        <v>1076</v>
      </c>
      <c r="F5264" s="3" t="s">
        <v>4668</v>
      </c>
      <c r="G5264" s="3"/>
      <c r="H5264" s="4" t="s">
        <v>3812</v>
      </c>
    </row>
    <row r="5265" ht="16.5" customHeight="1" spans="1:8">
      <c r="A5265" s="3">
        <v>5264</v>
      </c>
      <c r="B5265" s="3" t="s">
        <v>11780</v>
      </c>
      <c r="C5265" s="3" t="s">
        <v>1074</v>
      </c>
      <c r="D5265" s="4" t="s">
        <v>11781</v>
      </c>
      <c r="E5265" s="3" t="s">
        <v>1218</v>
      </c>
      <c r="F5265" s="3" t="s">
        <v>10259</v>
      </c>
      <c r="G5265" s="3"/>
      <c r="H5265" s="4" t="s">
        <v>1305</v>
      </c>
    </row>
    <row r="5266" ht="16.5" customHeight="1" spans="1:8">
      <c r="A5266" s="3">
        <v>5265</v>
      </c>
      <c r="B5266" s="3" t="s">
        <v>11782</v>
      </c>
      <c r="C5266" s="3" t="s">
        <v>2163</v>
      </c>
      <c r="D5266" s="4" t="s">
        <v>11783</v>
      </c>
      <c r="E5266" s="3" t="s">
        <v>2726</v>
      </c>
      <c r="F5266" s="3" t="s">
        <v>11431</v>
      </c>
      <c r="G5266" s="3" t="s">
        <v>98</v>
      </c>
      <c r="H5266" s="4" t="s">
        <v>7243</v>
      </c>
    </row>
    <row r="5267" ht="16.5" customHeight="1" spans="1:8">
      <c r="A5267" s="3">
        <v>5266</v>
      </c>
      <c r="B5267" s="3" t="s">
        <v>11784</v>
      </c>
      <c r="C5267" s="3" t="s">
        <v>1356</v>
      </c>
      <c r="D5267" s="4" t="s">
        <v>11785</v>
      </c>
      <c r="E5267" s="3" t="s">
        <v>1076</v>
      </c>
      <c r="F5267" s="3" t="s">
        <v>4668</v>
      </c>
      <c r="G5267" s="3"/>
      <c r="H5267" s="4" t="s">
        <v>1305</v>
      </c>
    </row>
    <row r="5268" ht="16.5" customHeight="1" spans="1:8">
      <c r="A5268" s="3">
        <v>5267</v>
      </c>
      <c r="B5268" s="3" t="s">
        <v>11786</v>
      </c>
      <c r="C5268" s="3" t="s">
        <v>1105</v>
      </c>
      <c r="D5268" s="4" t="s">
        <v>11787</v>
      </c>
      <c r="E5268" s="3" t="s">
        <v>1076</v>
      </c>
      <c r="F5268" s="3" t="s">
        <v>10259</v>
      </c>
      <c r="G5268" s="3"/>
      <c r="H5268" s="4" t="s">
        <v>11645</v>
      </c>
    </row>
    <row r="5269" ht="16.5" customHeight="1" spans="1:8">
      <c r="A5269" s="3">
        <v>5268</v>
      </c>
      <c r="B5269" s="3" t="s">
        <v>11788</v>
      </c>
      <c r="C5269" s="3" t="s">
        <v>1074</v>
      </c>
      <c r="D5269" s="4" t="s">
        <v>11789</v>
      </c>
      <c r="E5269" s="3" t="s">
        <v>1218</v>
      </c>
      <c r="F5269" s="3" t="s">
        <v>8175</v>
      </c>
      <c r="G5269" s="3"/>
      <c r="H5269" s="4" t="s">
        <v>7240</v>
      </c>
    </row>
    <row r="5270" ht="16.5" customHeight="1" spans="1:8">
      <c r="A5270" s="3">
        <v>5269</v>
      </c>
      <c r="B5270" s="3" t="s">
        <v>11790</v>
      </c>
      <c r="C5270" s="3" t="s">
        <v>1074</v>
      </c>
      <c r="D5270" s="4" t="s">
        <v>11791</v>
      </c>
      <c r="E5270" s="3" t="s">
        <v>1218</v>
      </c>
      <c r="F5270" s="3" t="s">
        <v>8175</v>
      </c>
      <c r="G5270" s="3"/>
      <c r="H5270" s="4" t="s">
        <v>7240</v>
      </c>
    </row>
    <row r="5271" ht="16.5" customHeight="1" spans="1:8">
      <c r="A5271" s="3">
        <v>5270</v>
      </c>
      <c r="B5271" s="3" t="s">
        <v>11792</v>
      </c>
      <c r="C5271" s="3" t="s">
        <v>1074</v>
      </c>
      <c r="D5271" s="4" t="s">
        <v>11793</v>
      </c>
      <c r="E5271" s="3" t="s">
        <v>1218</v>
      </c>
      <c r="F5271" s="3" t="s">
        <v>8175</v>
      </c>
      <c r="G5271" s="3"/>
      <c r="H5271" s="4" t="s">
        <v>7240</v>
      </c>
    </row>
    <row r="5272" ht="16.5" customHeight="1" spans="1:8">
      <c r="A5272" s="3">
        <v>5271</v>
      </c>
      <c r="B5272" s="3" t="s">
        <v>11794</v>
      </c>
      <c r="C5272" s="3" t="s">
        <v>1105</v>
      </c>
      <c r="D5272" s="4" t="s">
        <v>11795</v>
      </c>
      <c r="E5272" s="3" t="s">
        <v>1218</v>
      </c>
      <c r="F5272" s="3" t="s">
        <v>8175</v>
      </c>
      <c r="G5272" s="3"/>
      <c r="H5272" s="4" t="s">
        <v>11796</v>
      </c>
    </row>
    <row r="5273" ht="16.5" customHeight="1" spans="1:8">
      <c r="A5273" s="3">
        <v>5272</v>
      </c>
      <c r="B5273" s="3" t="s">
        <v>11797</v>
      </c>
      <c r="C5273" s="3" t="s">
        <v>1105</v>
      </c>
      <c r="D5273" s="4" t="s">
        <v>11798</v>
      </c>
      <c r="E5273" s="3" t="s">
        <v>1218</v>
      </c>
      <c r="F5273" s="3" t="s">
        <v>8175</v>
      </c>
      <c r="G5273" s="3"/>
      <c r="H5273" s="4" t="s">
        <v>11799</v>
      </c>
    </row>
    <row r="5274" ht="16.5" customHeight="1" spans="1:8">
      <c r="A5274" s="3">
        <v>5273</v>
      </c>
      <c r="B5274" s="3" t="s">
        <v>11800</v>
      </c>
      <c r="C5274" s="3" t="s">
        <v>1105</v>
      </c>
      <c r="D5274" s="4" t="s">
        <v>11798</v>
      </c>
      <c r="E5274" s="3" t="s">
        <v>1218</v>
      </c>
      <c r="F5274" s="3" t="s">
        <v>8175</v>
      </c>
      <c r="G5274" s="3"/>
      <c r="H5274" s="4" t="s">
        <v>11801</v>
      </c>
    </row>
    <row r="5275" ht="16.5" customHeight="1" spans="1:8">
      <c r="A5275" s="3">
        <v>5274</v>
      </c>
      <c r="B5275" s="3" t="s">
        <v>11802</v>
      </c>
      <c r="C5275" s="3" t="s">
        <v>2163</v>
      </c>
      <c r="D5275" s="4" t="s">
        <v>11803</v>
      </c>
      <c r="E5275" s="3" t="s">
        <v>1076</v>
      </c>
      <c r="F5275" s="3" t="s">
        <v>4668</v>
      </c>
      <c r="G5275" s="3"/>
      <c r="H5275" s="4" t="s">
        <v>3812</v>
      </c>
    </row>
    <row r="5276" ht="16.5" customHeight="1" spans="1:8">
      <c r="A5276" s="3">
        <v>5275</v>
      </c>
      <c r="B5276" s="3" t="s">
        <v>11804</v>
      </c>
      <c r="C5276" s="3" t="s">
        <v>2163</v>
      </c>
      <c r="D5276" s="4" t="s">
        <v>11805</v>
      </c>
      <c r="E5276" s="3" t="s">
        <v>2726</v>
      </c>
      <c r="F5276" s="3" t="s">
        <v>2105</v>
      </c>
      <c r="G5276" s="3"/>
      <c r="H5276" s="4" t="s">
        <v>3812</v>
      </c>
    </row>
    <row r="5277" ht="16.5" customHeight="1" spans="1:8">
      <c r="A5277" s="3">
        <v>5276</v>
      </c>
      <c r="B5277" s="3" t="s">
        <v>11806</v>
      </c>
      <c r="C5277" s="3" t="s">
        <v>2163</v>
      </c>
      <c r="D5277" s="4" t="s">
        <v>11807</v>
      </c>
      <c r="E5277" s="3" t="s">
        <v>1076</v>
      </c>
      <c r="F5277" s="3" t="s">
        <v>2041</v>
      </c>
      <c r="G5277" s="3" t="s">
        <v>321</v>
      </c>
      <c r="H5277" s="4" t="s">
        <v>1305</v>
      </c>
    </row>
    <row r="5278" ht="16.5" customHeight="1" spans="1:8">
      <c r="A5278" s="3">
        <v>5277</v>
      </c>
      <c r="B5278" s="3" t="s">
        <v>11808</v>
      </c>
      <c r="C5278" s="3" t="s">
        <v>2163</v>
      </c>
      <c r="D5278" s="4" t="s">
        <v>11809</v>
      </c>
      <c r="E5278" s="3" t="s">
        <v>1076</v>
      </c>
      <c r="F5278" s="3" t="s">
        <v>2041</v>
      </c>
      <c r="G5278" s="3" t="s">
        <v>321</v>
      </c>
      <c r="H5278" s="4" t="s">
        <v>1305</v>
      </c>
    </row>
    <row r="5279" ht="16.5" customHeight="1" spans="1:8">
      <c r="A5279" s="3">
        <v>5278</v>
      </c>
      <c r="B5279" s="3" t="s">
        <v>11810</v>
      </c>
      <c r="C5279" s="3" t="s">
        <v>2163</v>
      </c>
      <c r="D5279" s="4" t="s">
        <v>11811</v>
      </c>
      <c r="E5279" s="3" t="s">
        <v>1076</v>
      </c>
      <c r="F5279" s="3" t="s">
        <v>2041</v>
      </c>
      <c r="G5279" s="3" t="s">
        <v>321</v>
      </c>
      <c r="H5279" s="4" t="s">
        <v>1305</v>
      </c>
    </row>
    <row r="5280" ht="16.5" customHeight="1" spans="1:8">
      <c r="A5280" s="3">
        <v>5279</v>
      </c>
      <c r="B5280" s="3" t="s">
        <v>11812</v>
      </c>
      <c r="C5280" s="3" t="s">
        <v>2163</v>
      </c>
      <c r="D5280" s="4" t="s">
        <v>11813</v>
      </c>
      <c r="E5280" s="3" t="s">
        <v>1076</v>
      </c>
      <c r="F5280" s="3" t="s">
        <v>2041</v>
      </c>
      <c r="G5280" s="3" t="s">
        <v>321</v>
      </c>
      <c r="H5280" s="4" t="s">
        <v>1305</v>
      </c>
    </row>
    <row r="5281" ht="16.5" customHeight="1" spans="1:8">
      <c r="A5281" s="3">
        <v>5280</v>
      </c>
      <c r="B5281" s="3" t="s">
        <v>11814</v>
      </c>
      <c r="C5281" s="3" t="s">
        <v>1356</v>
      </c>
      <c r="D5281" s="4" t="s">
        <v>11815</v>
      </c>
      <c r="E5281" s="3" t="s">
        <v>1076</v>
      </c>
      <c r="F5281" s="3" t="s">
        <v>1358</v>
      </c>
      <c r="G5281" s="3" t="s">
        <v>321</v>
      </c>
      <c r="H5281" s="4"/>
    </row>
    <row r="5282" ht="16.5" customHeight="1" spans="1:8">
      <c r="A5282" s="3">
        <v>5281</v>
      </c>
      <c r="B5282" s="3" t="s">
        <v>11816</v>
      </c>
      <c r="C5282" s="3" t="s">
        <v>1356</v>
      </c>
      <c r="D5282" s="4" t="s">
        <v>11817</v>
      </c>
      <c r="E5282" s="3" t="s">
        <v>1076</v>
      </c>
      <c r="F5282" s="3" t="s">
        <v>1358</v>
      </c>
      <c r="G5282" s="3"/>
      <c r="H5282" s="4"/>
    </row>
    <row r="5283" ht="16.5" customHeight="1" spans="1:8">
      <c r="A5283" s="3">
        <v>5282</v>
      </c>
      <c r="B5283" s="3" t="s">
        <v>11818</v>
      </c>
      <c r="C5283" s="3" t="s">
        <v>1356</v>
      </c>
      <c r="D5283" s="4" t="s">
        <v>11819</v>
      </c>
      <c r="E5283" s="3" t="s">
        <v>1076</v>
      </c>
      <c r="F5283" s="3" t="s">
        <v>1358</v>
      </c>
      <c r="G5283" s="3"/>
      <c r="H5283" s="4"/>
    </row>
    <row r="5284" ht="16.5" customHeight="1" spans="1:8">
      <c r="A5284" s="3">
        <v>5283</v>
      </c>
      <c r="B5284" s="3" t="s">
        <v>11820</v>
      </c>
      <c r="C5284" s="3" t="s">
        <v>1356</v>
      </c>
      <c r="D5284" s="4" t="s">
        <v>11821</v>
      </c>
      <c r="E5284" s="3" t="s">
        <v>1076</v>
      </c>
      <c r="F5284" s="3" t="s">
        <v>1358</v>
      </c>
      <c r="G5284" s="3"/>
      <c r="H5284" s="4"/>
    </row>
    <row r="5285" ht="16.5" customHeight="1" spans="1:8">
      <c r="A5285" s="3">
        <v>5284</v>
      </c>
      <c r="B5285" s="3" t="s">
        <v>11822</v>
      </c>
      <c r="C5285" s="3" t="s">
        <v>1356</v>
      </c>
      <c r="D5285" s="4" t="s">
        <v>11823</v>
      </c>
      <c r="E5285" s="3" t="s">
        <v>2726</v>
      </c>
      <c r="F5285" s="3" t="s">
        <v>4668</v>
      </c>
      <c r="G5285" s="3"/>
      <c r="H5285" s="4" t="s">
        <v>3812</v>
      </c>
    </row>
    <row r="5286" ht="16.5" customHeight="1" spans="1:8">
      <c r="A5286" s="3">
        <v>5285</v>
      </c>
      <c r="B5286" s="3" t="s">
        <v>11824</v>
      </c>
      <c r="C5286" s="3" t="s">
        <v>2163</v>
      </c>
      <c r="D5286" s="4" t="s">
        <v>11825</v>
      </c>
      <c r="E5286" s="3" t="s">
        <v>1076</v>
      </c>
      <c r="F5286" s="3" t="s">
        <v>2041</v>
      </c>
      <c r="G5286" s="3" t="s">
        <v>321</v>
      </c>
      <c r="H5286" s="4" t="s">
        <v>1305</v>
      </c>
    </row>
    <row r="5287" ht="16.5" customHeight="1" spans="1:8">
      <c r="A5287" s="3">
        <v>5286</v>
      </c>
      <c r="B5287" s="3" t="s">
        <v>11826</v>
      </c>
      <c r="C5287" s="3" t="s">
        <v>1105</v>
      </c>
      <c r="D5287" s="4" t="s">
        <v>11827</v>
      </c>
      <c r="E5287" s="3" t="s">
        <v>1076</v>
      </c>
      <c r="F5287" s="3" t="s">
        <v>4668</v>
      </c>
      <c r="G5287" s="3"/>
      <c r="H5287" s="4" t="s">
        <v>11548</v>
      </c>
    </row>
    <row r="5288" ht="16.5" customHeight="1" spans="1:8">
      <c r="A5288" s="3">
        <v>5287</v>
      </c>
      <c r="B5288" s="3" t="s">
        <v>11828</v>
      </c>
      <c r="C5288" s="3" t="s">
        <v>1105</v>
      </c>
      <c r="D5288" s="4" t="s">
        <v>11829</v>
      </c>
      <c r="E5288" s="3" t="s">
        <v>1076</v>
      </c>
      <c r="F5288" s="3" t="s">
        <v>4668</v>
      </c>
      <c r="G5288" s="3"/>
      <c r="H5288" s="4" t="s">
        <v>11548</v>
      </c>
    </row>
    <row r="5289" ht="16.5" customHeight="1" spans="1:8">
      <c r="A5289" s="3">
        <v>5288</v>
      </c>
      <c r="B5289" s="3" t="s">
        <v>11830</v>
      </c>
      <c r="C5289" s="3" t="s">
        <v>1105</v>
      </c>
      <c r="D5289" s="4" t="s">
        <v>11831</v>
      </c>
      <c r="E5289" s="3" t="s">
        <v>1076</v>
      </c>
      <c r="F5289" s="3" t="s">
        <v>4668</v>
      </c>
      <c r="G5289" s="3"/>
      <c r="H5289" s="4" t="s">
        <v>11548</v>
      </c>
    </row>
    <row r="5290" ht="16.5" customHeight="1" spans="1:8">
      <c r="A5290" s="3">
        <v>5289</v>
      </c>
      <c r="B5290" s="3" t="s">
        <v>11832</v>
      </c>
      <c r="C5290" s="3" t="s">
        <v>1105</v>
      </c>
      <c r="D5290" s="4" t="s">
        <v>11833</v>
      </c>
      <c r="E5290" s="3" t="s">
        <v>1076</v>
      </c>
      <c r="F5290" s="3" t="s">
        <v>4668</v>
      </c>
      <c r="G5290" s="3"/>
      <c r="H5290" s="4" t="s">
        <v>11548</v>
      </c>
    </row>
    <row r="5291" ht="16.5" customHeight="1" spans="1:8">
      <c r="A5291" s="3">
        <v>5290</v>
      </c>
      <c r="B5291" s="3" t="s">
        <v>11834</v>
      </c>
      <c r="C5291" s="3" t="s">
        <v>1105</v>
      </c>
      <c r="D5291" s="4" t="s">
        <v>11835</v>
      </c>
      <c r="E5291" s="3" t="s">
        <v>1076</v>
      </c>
      <c r="F5291" s="3" t="s">
        <v>4668</v>
      </c>
      <c r="G5291" s="3"/>
      <c r="H5291" s="4" t="s">
        <v>11548</v>
      </c>
    </row>
    <row r="5292" ht="16.5" customHeight="1" spans="1:8">
      <c r="A5292" s="3">
        <v>5291</v>
      </c>
      <c r="B5292" s="3" t="s">
        <v>11836</v>
      </c>
      <c r="C5292" s="3" t="s">
        <v>1105</v>
      </c>
      <c r="D5292" s="4" t="s">
        <v>11837</v>
      </c>
      <c r="E5292" s="3" t="s">
        <v>1076</v>
      </c>
      <c r="F5292" s="3" t="s">
        <v>4668</v>
      </c>
      <c r="G5292" s="3"/>
      <c r="H5292" s="4" t="s">
        <v>11548</v>
      </c>
    </row>
    <row r="5293" ht="16.5" customHeight="1" spans="1:8">
      <c r="A5293" s="3">
        <v>5292</v>
      </c>
      <c r="B5293" s="3" t="s">
        <v>11838</v>
      </c>
      <c r="C5293" s="3" t="s">
        <v>1105</v>
      </c>
      <c r="D5293" s="4" t="s">
        <v>11839</v>
      </c>
      <c r="E5293" s="3" t="s">
        <v>1076</v>
      </c>
      <c r="F5293" s="3" t="s">
        <v>4668</v>
      </c>
      <c r="G5293" s="3"/>
      <c r="H5293" s="4" t="s">
        <v>11548</v>
      </c>
    </row>
    <row r="5294" ht="16.5" customHeight="1" spans="1:8">
      <c r="A5294" s="3">
        <v>5293</v>
      </c>
      <c r="B5294" s="3" t="s">
        <v>11840</v>
      </c>
      <c r="C5294" s="3" t="s">
        <v>1105</v>
      </c>
      <c r="D5294" s="4" t="s">
        <v>11841</v>
      </c>
      <c r="E5294" s="3" t="s">
        <v>1076</v>
      </c>
      <c r="F5294" s="3" t="s">
        <v>4668</v>
      </c>
      <c r="G5294" s="3"/>
      <c r="H5294" s="4" t="s">
        <v>11548</v>
      </c>
    </row>
    <row r="5295" ht="16.5" customHeight="1" spans="1:8">
      <c r="A5295" s="3">
        <v>5294</v>
      </c>
      <c r="B5295" s="3" t="s">
        <v>11842</v>
      </c>
      <c r="C5295" s="3" t="s">
        <v>1361</v>
      </c>
      <c r="D5295" s="4" t="s">
        <v>11843</v>
      </c>
      <c r="E5295" s="3" t="s">
        <v>1218</v>
      </c>
      <c r="F5295" s="3" t="s">
        <v>2105</v>
      </c>
      <c r="G5295" s="3"/>
      <c r="H5295" s="4"/>
    </row>
    <row r="5296" ht="16.5" customHeight="1" spans="1:8">
      <c r="A5296" s="3">
        <v>5295</v>
      </c>
      <c r="B5296" s="3" t="s">
        <v>11844</v>
      </c>
      <c r="C5296" s="3" t="s">
        <v>1361</v>
      </c>
      <c r="D5296" s="4" t="s">
        <v>11845</v>
      </c>
      <c r="E5296" s="3" t="s">
        <v>1218</v>
      </c>
      <c r="F5296" s="3" t="s">
        <v>2105</v>
      </c>
      <c r="G5296" s="3"/>
      <c r="H5296" s="4"/>
    </row>
    <row r="5297" ht="16.5" customHeight="1" spans="1:8">
      <c r="A5297" s="3">
        <v>5296</v>
      </c>
      <c r="B5297" s="3" t="s">
        <v>11846</v>
      </c>
      <c r="C5297" s="3" t="s">
        <v>1361</v>
      </c>
      <c r="D5297" s="4" t="s">
        <v>11847</v>
      </c>
      <c r="E5297" s="3" t="s">
        <v>1218</v>
      </c>
      <c r="F5297" s="3" t="s">
        <v>2105</v>
      </c>
      <c r="G5297" s="3"/>
      <c r="H5297" s="4"/>
    </row>
    <row r="5298" ht="16.5" customHeight="1" spans="1:8">
      <c r="A5298" s="3">
        <v>5297</v>
      </c>
      <c r="B5298" s="3" t="s">
        <v>11848</v>
      </c>
      <c r="C5298" s="3" t="s">
        <v>1361</v>
      </c>
      <c r="D5298" s="4" t="s">
        <v>11849</v>
      </c>
      <c r="E5298" s="3" t="s">
        <v>1218</v>
      </c>
      <c r="F5298" s="3" t="s">
        <v>2105</v>
      </c>
      <c r="G5298" s="3"/>
      <c r="H5298" s="4"/>
    </row>
    <row r="5299" ht="16.5" customHeight="1" spans="1:8">
      <c r="A5299" s="3">
        <v>5298</v>
      </c>
      <c r="B5299" s="3" t="s">
        <v>11850</v>
      </c>
      <c r="C5299" s="3" t="s">
        <v>1361</v>
      </c>
      <c r="D5299" s="4" t="s">
        <v>11851</v>
      </c>
      <c r="E5299" s="3" t="s">
        <v>1218</v>
      </c>
      <c r="F5299" s="3" t="s">
        <v>2105</v>
      </c>
      <c r="G5299" s="3"/>
      <c r="H5299" s="4"/>
    </row>
    <row r="5300" ht="16.5" customHeight="1" spans="1:8">
      <c r="A5300" s="3">
        <v>5299</v>
      </c>
      <c r="B5300" s="3" t="s">
        <v>11852</v>
      </c>
      <c r="C5300" s="3" t="s">
        <v>1361</v>
      </c>
      <c r="D5300" s="4" t="s">
        <v>11853</v>
      </c>
      <c r="E5300" s="3" t="s">
        <v>1218</v>
      </c>
      <c r="F5300" s="3" t="s">
        <v>2105</v>
      </c>
      <c r="G5300" s="3"/>
      <c r="H5300" s="4"/>
    </row>
    <row r="5301" ht="16.5" customHeight="1" spans="1:8">
      <c r="A5301" s="3">
        <v>5300</v>
      </c>
      <c r="B5301" s="3" t="s">
        <v>11854</v>
      </c>
      <c r="C5301" s="3" t="s">
        <v>1361</v>
      </c>
      <c r="D5301" s="4" t="s">
        <v>11855</v>
      </c>
      <c r="E5301" s="3" t="s">
        <v>1218</v>
      </c>
      <c r="F5301" s="3" t="s">
        <v>2105</v>
      </c>
      <c r="G5301" s="3"/>
      <c r="H5301" s="4"/>
    </row>
    <row r="5302" ht="16.5" customHeight="1" spans="1:8">
      <c r="A5302" s="3">
        <v>5301</v>
      </c>
      <c r="B5302" s="3" t="s">
        <v>11856</v>
      </c>
      <c r="C5302" s="3" t="s">
        <v>1361</v>
      </c>
      <c r="D5302" s="4" t="s">
        <v>11857</v>
      </c>
      <c r="E5302" s="3" t="s">
        <v>1218</v>
      </c>
      <c r="F5302" s="3" t="s">
        <v>2105</v>
      </c>
      <c r="G5302" s="3"/>
      <c r="H5302" s="4"/>
    </row>
    <row r="5303" ht="16.5" customHeight="1" spans="1:8">
      <c r="A5303" s="3">
        <v>5302</v>
      </c>
      <c r="B5303" s="3" t="s">
        <v>11858</v>
      </c>
      <c r="C5303" s="3" t="s">
        <v>1361</v>
      </c>
      <c r="D5303" s="4" t="s">
        <v>11859</v>
      </c>
      <c r="E5303" s="3" t="s">
        <v>1218</v>
      </c>
      <c r="F5303" s="3" t="s">
        <v>2105</v>
      </c>
      <c r="G5303" s="3"/>
      <c r="H5303" s="4"/>
    </row>
    <row r="5304" ht="16.5" customHeight="1" spans="1:8">
      <c r="A5304" s="3">
        <v>5303</v>
      </c>
      <c r="B5304" s="3" t="s">
        <v>11860</v>
      </c>
      <c r="C5304" s="3" t="s">
        <v>1361</v>
      </c>
      <c r="D5304" s="4" t="s">
        <v>11861</v>
      </c>
      <c r="E5304" s="3" t="s">
        <v>1218</v>
      </c>
      <c r="F5304" s="3" t="s">
        <v>2105</v>
      </c>
      <c r="G5304" s="3"/>
      <c r="H5304" s="4"/>
    </row>
    <row r="5305" ht="16.5" customHeight="1" spans="1:8">
      <c r="A5305" s="3">
        <v>5304</v>
      </c>
      <c r="B5305" s="3" t="s">
        <v>11862</v>
      </c>
      <c r="C5305" s="3" t="s">
        <v>1361</v>
      </c>
      <c r="D5305" s="4" t="s">
        <v>11863</v>
      </c>
      <c r="E5305" s="3" t="s">
        <v>1218</v>
      </c>
      <c r="F5305" s="3" t="s">
        <v>2105</v>
      </c>
      <c r="G5305" s="3"/>
      <c r="H5305" s="4"/>
    </row>
    <row r="5306" ht="16.5" customHeight="1" spans="1:8">
      <c r="A5306" s="3">
        <v>5305</v>
      </c>
      <c r="B5306" s="3" t="s">
        <v>11864</v>
      </c>
      <c r="C5306" s="3" t="s">
        <v>1361</v>
      </c>
      <c r="D5306" s="4" t="s">
        <v>11865</v>
      </c>
      <c r="E5306" s="3" t="s">
        <v>1218</v>
      </c>
      <c r="F5306" s="3" t="s">
        <v>2105</v>
      </c>
      <c r="G5306" s="3"/>
      <c r="H5306" s="4"/>
    </row>
    <row r="5307" ht="16.5" customHeight="1" spans="1:8">
      <c r="A5307" s="3">
        <v>5306</v>
      </c>
      <c r="B5307" s="3" t="s">
        <v>11866</v>
      </c>
      <c r="C5307" s="3" t="s">
        <v>1361</v>
      </c>
      <c r="D5307" s="4" t="s">
        <v>11867</v>
      </c>
      <c r="E5307" s="3" t="s">
        <v>1218</v>
      </c>
      <c r="F5307" s="3" t="s">
        <v>2105</v>
      </c>
      <c r="G5307" s="3"/>
      <c r="H5307" s="4"/>
    </row>
    <row r="5308" ht="16.5" customHeight="1" spans="1:8">
      <c r="A5308" s="3">
        <v>5307</v>
      </c>
      <c r="B5308" s="3" t="s">
        <v>11868</v>
      </c>
      <c r="C5308" s="3" t="s">
        <v>1361</v>
      </c>
      <c r="D5308" s="4" t="s">
        <v>11869</v>
      </c>
      <c r="E5308" s="3" t="s">
        <v>1218</v>
      </c>
      <c r="F5308" s="3" t="s">
        <v>2105</v>
      </c>
      <c r="G5308" s="3"/>
      <c r="H5308" s="4"/>
    </row>
    <row r="5309" ht="16.5" customHeight="1" spans="1:8">
      <c r="A5309" s="3">
        <v>5308</v>
      </c>
      <c r="B5309" s="3" t="s">
        <v>11870</v>
      </c>
      <c r="C5309" s="3" t="s">
        <v>1361</v>
      </c>
      <c r="D5309" s="4" t="s">
        <v>11871</v>
      </c>
      <c r="E5309" s="3" t="s">
        <v>1218</v>
      </c>
      <c r="F5309" s="3" t="s">
        <v>2105</v>
      </c>
      <c r="G5309" s="3"/>
      <c r="H5309" s="4"/>
    </row>
    <row r="5310" ht="16.5" customHeight="1" spans="1:8">
      <c r="A5310" s="3">
        <v>5309</v>
      </c>
      <c r="B5310" s="3" t="s">
        <v>11872</v>
      </c>
      <c r="C5310" s="3" t="s">
        <v>1361</v>
      </c>
      <c r="D5310" s="4" t="s">
        <v>11873</v>
      </c>
      <c r="E5310" s="3" t="s">
        <v>1218</v>
      </c>
      <c r="F5310" s="3" t="s">
        <v>2105</v>
      </c>
      <c r="G5310" s="3"/>
      <c r="H5310" s="4"/>
    </row>
    <row r="5311" ht="16.5" customHeight="1" spans="1:8">
      <c r="A5311" s="3">
        <v>5310</v>
      </c>
      <c r="B5311" s="3" t="s">
        <v>11874</v>
      </c>
      <c r="C5311" s="3" t="s">
        <v>1361</v>
      </c>
      <c r="D5311" s="4" t="s">
        <v>11875</v>
      </c>
      <c r="E5311" s="3" t="s">
        <v>1218</v>
      </c>
      <c r="F5311" s="3" t="s">
        <v>2105</v>
      </c>
      <c r="G5311" s="3"/>
      <c r="H5311" s="4"/>
    </row>
    <row r="5312" ht="16.5" customHeight="1" spans="1:8">
      <c r="A5312" s="3">
        <v>5311</v>
      </c>
      <c r="B5312" s="3" t="s">
        <v>11876</v>
      </c>
      <c r="C5312" s="3" t="s">
        <v>1361</v>
      </c>
      <c r="D5312" s="4" t="s">
        <v>11877</v>
      </c>
      <c r="E5312" s="3" t="s">
        <v>1218</v>
      </c>
      <c r="F5312" s="3" t="s">
        <v>2105</v>
      </c>
      <c r="G5312" s="3"/>
      <c r="H5312" s="4"/>
    </row>
    <row r="5313" ht="16.5" customHeight="1" spans="1:8">
      <c r="A5313" s="3">
        <v>5312</v>
      </c>
      <c r="B5313" s="3" t="s">
        <v>11878</v>
      </c>
      <c r="C5313" s="3" t="s">
        <v>1361</v>
      </c>
      <c r="D5313" s="4" t="s">
        <v>11879</v>
      </c>
      <c r="E5313" s="3" t="s">
        <v>1218</v>
      </c>
      <c r="F5313" s="3" t="s">
        <v>2105</v>
      </c>
      <c r="G5313" s="3"/>
      <c r="H5313" s="4"/>
    </row>
    <row r="5314" ht="16.5" customHeight="1" spans="1:8">
      <c r="A5314" s="3">
        <v>5313</v>
      </c>
      <c r="B5314" s="3" t="s">
        <v>11880</v>
      </c>
      <c r="C5314" s="3" t="s">
        <v>1361</v>
      </c>
      <c r="D5314" s="4" t="s">
        <v>11881</v>
      </c>
      <c r="E5314" s="3" t="s">
        <v>1218</v>
      </c>
      <c r="F5314" s="3" t="s">
        <v>2105</v>
      </c>
      <c r="G5314" s="3"/>
      <c r="H5314" s="4"/>
    </row>
    <row r="5315" ht="16.5" customHeight="1" spans="1:8">
      <c r="A5315" s="3">
        <v>5314</v>
      </c>
      <c r="B5315" s="3" t="s">
        <v>11882</v>
      </c>
      <c r="C5315" s="3" t="s">
        <v>1361</v>
      </c>
      <c r="D5315" s="4" t="s">
        <v>11883</v>
      </c>
      <c r="E5315" s="3" t="s">
        <v>1218</v>
      </c>
      <c r="F5315" s="3" t="s">
        <v>2105</v>
      </c>
      <c r="G5315" s="3"/>
      <c r="H5315" s="4"/>
    </row>
    <row r="5316" ht="16.5" customHeight="1" spans="1:8">
      <c r="A5316" s="3">
        <v>5315</v>
      </c>
      <c r="B5316" s="3" t="s">
        <v>11884</v>
      </c>
      <c r="C5316" s="3" t="s">
        <v>1361</v>
      </c>
      <c r="D5316" s="4" t="s">
        <v>11885</v>
      </c>
      <c r="E5316" s="3" t="s">
        <v>1218</v>
      </c>
      <c r="F5316" s="3" t="s">
        <v>2105</v>
      </c>
      <c r="G5316" s="3"/>
      <c r="H5316" s="4"/>
    </row>
    <row r="5317" ht="16.5" customHeight="1" spans="1:8">
      <c r="A5317" s="3">
        <v>5316</v>
      </c>
      <c r="B5317" s="3" t="s">
        <v>11886</v>
      </c>
      <c r="C5317" s="3" t="s">
        <v>1361</v>
      </c>
      <c r="D5317" s="4" t="s">
        <v>11887</v>
      </c>
      <c r="E5317" s="3" t="s">
        <v>1218</v>
      </c>
      <c r="F5317" s="3" t="s">
        <v>2105</v>
      </c>
      <c r="G5317" s="3"/>
      <c r="H5317" s="4"/>
    </row>
    <row r="5318" ht="16.5" customHeight="1" spans="1:8">
      <c r="A5318" s="3">
        <v>5317</v>
      </c>
      <c r="B5318" s="3" t="s">
        <v>11888</v>
      </c>
      <c r="C5318" s="3" t="s">
        <v>1361</v>
      </c>
      <c r="D5318" s="4" t="s">
        <v>11889</v>
      </c>
      <c r="E5318" s="3" t="s">
        <v>1218</v>
      </c>
      <c r="F5318" s="3" t="s">
        <v>2105</v>
      </c>
      <c r="G5318" s="3"/>
      <c r="H5318" s="4"/>
    </row>
    <row r="5319" ht="16.5" customHeight="1" spans="1:8">
      <c r="A5319" s="3">
        <v>5318</v>
      </c>
      <c r="B5319" s="3" t="s">
        <v>11890</v>
      </c>
      <c r="C5319" s="3" t="s">
        <v>1361</v>
      </c>
      <c r="D5319" s="4" t="s">
        <v>11891</v>
      </c>
      <c r="E5319" s="3" t="s">
        <v>1218</v>
      </c>
      <c r="F5319" s="3" t="s">
        <v>2105</v>
      </c>
      <c r="G5319" s="3"/>
      <c r="H5319" s="4"/>
    </row>
    <row r="5320" ht="16.5" customHeight="1" spans="1:8">
      <c r="A5320" s="3">
        <v>5319</v>
      </c>
      <c r="B5320" s="3" t="s">
        <v>11892</v>
      </c>
      <c r="C5320" s="3" t="s">
        <v>1361</v>
      </c>
      <c r="D5320" s="4" t="s">
        <v>11893</v>
      </c>
      <c r="E5320" s="3" t="s">
        <v>1218</v>
      </c>
      <c r="F5320" s="3" t="s">
        <v>2105</v>
      </c>
      <c r="G5320" s="3"/>
      <c r="H5320" s="4"/>
    </row>
    <row r="5321" ht="16.5" customHeight="1" spans="1:8">
      <c r="A5321" s="3">
        <v>5320</v>
      </c>
      <c r="B5321" s="3" t="s">
        <v>11894</v>
      </c>
      <c r="C5321" s="3" t="s">
        <v>1361</v>
      </c>
      <c r="D5321" s="4" t="s">
        <v>11895</v>
      </c>
      <c r="E5321" s="3" t="s">
        <v>1218</v>
      </c>
      <c r="F5321" s="3" t="s">
        <v>2105</v>
      </c>
      <c r="G5321" s="3"/>
      <c r="H5321" s="4"/>
    </row>
    <row r="5322" ht="16.5" customHeight="1" spans="1:8">
      <c r="A5322" s="3">
        <v>5321</v>
      </c>
      <c r="B5322" s="3" t="s">
        <v>11896</v>
      </c>
      <c r="C5322" s="3" t="s">
        <v>1361</v>
      </c>
      <c r="D5322" s="4" t="s">
        <v>11897</v>
      </c>
      <c r="E5322" s="3" t="s">
        <v>1218</v>
      </c>
      <c r="F5322" s="3" t="s">
        <v>2105</v>
      </c>
      <c r="G5322" s="3"/>
      <c r="H5322" s="4"/>
    </row>
    <row r="5323" ht="16.5" customHeight="1" spans="1:8">
      <c r="A5323" s="3">
        <v>5322</v>
      </c>
      <c r="B5323" s="3" t="s">
        <v>11898</v>
      </c>
      <c r="C5323" s="3" t="s">
        <v>1361</v>
      </c>
      <c r="D5323" s="4" t="s">
        <v>11899</v>
      </c>
      <c r="E5323" s="3" t="s">
        <v>1218</v>
      </c>
      <c r="F5323" s="3" t="s">
        <v>2105</v>
      </c>
      <c r="G5323" s="3"/>
      <c r="H5323" s="4"/>
    </row>
    <row r="5324" ht="16.5" customHeight="1" spans="1:8">
      <c r="A5324" s="3">
        <v>5323</v>
      </c>
      <c r="B5324" s="3" t="s">
        <v>11900</v>
      </c>
      <c r="C5324" s="3" t="s">
        <v>1361</v>
      </c>
      <c r="D5324" s="4" t="s">
        <v>11901</v>
      </c>
      <c r="E5324" s="3" t="s">
        <v>1218</v>
      </c>
      <c r="F5324" s="3" t="s">
        <v>2105</v>
      </c>
      <c r="G5324" s="3"/>
      <c r="H5324" s="4"/>
    </row>
    <row r="5325" ht="16.5" customHeight="1" spans="1:8">
      <c r="A5325" s="3">
        <v>5324</v>
      </c>
      <c r="B5325" s="3" t="s">
        <v>11902</v>
      </c>
      <c r="C5325" s="3" t="s">
        <v>1361</v>
      </c>
      <c r="D5325" s="4" t="s">
        <v>11903</v>
      </c>
      <c r="E5325" s="3" t="s">
        <v>1218</v>
      </c>
      <c r="F5325" s="3" t="s">
        <v>2105</v>
      </c>
      <c r="G5325" s="3"/>
      <c r="H5325" s="4"/>
    </row>
    <row r="5326" ht="16.5" customHeight="1" spans="1:8">
      <c r="A5326" s="3">
        <v>5325</v>
      </c>
      <c r="B5326" s="3" t="s">
        <v>11904</v>
      </c>
      <c r="C5326" s="3" t="s">
        <v>1361</v>
      </c>
      <c r="D5326" s="4" t="s">
        <v>11905</v>
      </c>
      <c r="E5326" s="3" t="s">
        <v>1218</v>
      </c>
      <c r="F5326" s="3" t="s">
        <v>2105</v>
      </c>
      <c r="G5326" s="3"/>
      <c r="H5326" s="4"/>
    </row>
    <row r="5327" ht="16.5" customHeight="1" spans="1:8">
      <c r="A5327" s="3">
        <v>5326</v>
      </c>
      <c r="B5327" s="3" t="s">
        <v>11906</v>
      </c>
      <c r="C5327" s="3" t="s">
        <v>1361</v>
      </c>
      <c r="D5327" s="4" t="s">
        <v>11907</v>
      </c>
      <c r="E5327" s="3" t="s">
        <v>1218</v>
      </c>
      <c r="F5327" s="3" t="s">
        <v>2105</v>
      </c>
      <c r="G5327" s="3"/>
      <c r="H5327" s="4"/>
    </row>
    <row r="5328" ht="16.5" customHeight="1" spans="1:8">
      <c r="A5328" s="3">
        <v>5327</v>
      </c>
      <c r="B5328" s="3" t="s">
        <v>11908</v>
      </c>
      <c r="C5328" s="3" t="s">
        <v>1361</v>
      </c>
      <c r="D5328" s="4" t="s">
        <v>11909</v>
      </c>
      <c r="E5328" s="3" t="s">
        <v>1218</v>
      </c>
      <c r="F5328" s="3" t="s">
        <v>2105</v>
      </c>
      <c r="G5328" s="3"/>
      <c r="H5328" s="4"/>
    </row>
    <row r="5329" ht="16.5" customHeight="1" spans="1:8">
      <c r="A5329" s="3">
        <v>5328</v>
      </c>
      <c r="B5329" s="3" t="s">
        <v>11910</v>
      </c>
      <c r="C5329" s="3" t="s">
        <v>1361</v>
      </c>
      <c r="D5329" s="4" t="s">
        <v>11911</v>
      </c>
      <c r="E5329" s="3" t="s">
        <v>1218</v>
      </c>
      <c r="F5329" s="3" t="s">
        <v>2105</v>
      </c>
      <c r="G5329" s="3"/>
      <c r="H5329" s="4"/>
    </row>
    <row r="5330" ht="16.5" customHeight="1" spans="1:8">
      <c r="A5330" s="3">
        <v>5329</v>
      </c>
      <c r="B5330" s="3" t="s">
        <v>11912</v>
      </c>
      <c r="C5330" s="3" t="s">
        <v>1361</v>
      </c>
      <c r="D5330" s="4" t="s">
        <v>11913</v>
      </c>
      <c r="E5330" s="3" t="s">
        <v>1218</v>
      </c>
      <c r="F5330" s="3" t="s">
        <v>2105</v>
      </c>
      <c r="G5330" s="3"/>
      <c r="H5330" s="4"/>
    </row>
    <row r="5331" ht="16.5" customHeight="1" spans="1:8">
      <c r="A5331" s="3">
        <v>5330</v>
      </c>
      <c r="B5331" s="3" t="s">
        <v>11914</v>
      </c>
      <c r="C5331" s="3" t="s">
        <v>1361</v>
      </c>
      <c r="D5331" s="4" t="s">
        <v>11915</v>
      </c>
      <c r="E5331" s="3" t="s">
        <v>1218</v>
      </c>
      <c r="F5331" s="3" t="s">
        <v>2105</v>
      </c>
      <c r="G5331" s="3"/>
      <c r="H5331" s="4"/>
    </row>
    <row r="5332" ht="16.5" customHeight="1" spans="1:8">
      <c r="A5332" s="3">
        <v>5331</v>
      </c>
      <c r="B5332" s="3" t="s">
        <v>11916</v>
      </c>
      <c r="C5332" s="3" t="s">
        <v>1361</v>
      </c>
      <c r="D5332" s="4" t="s">
        <v>11917</v>
      </c>
      <c r="E5332" s="3" t="s">
        <v>1218</v>
      </c>
      <c r="F5332" s="3" t="s">
        <v>2105</v>
      </c>
      <c r="G5332" s="3"/>
      <c r="H5332" s="4"/>
    </row>
    <row r="5333" ht="16.5" customHeight="1" spans="1:8">
      <c r="A5333" s="3">
        <v>5332</v>
      </c>
      <c r="B5333" s="3" t="s">
        <v>11918</v>
      </c>
      <c r="C5333" s="3" t="s">
        <v>1361</v>
      </c>
      <c r="D5333" s="4" t="s">
        <v>11919</v>
      </c>
      <c r="E5333" s="3" t="s">
        <v>1218</v>
      </c>
      <c r="F5333" s="3" t="s">
        <v>2105</v>
      </c>
      <c r="G5333" s="3"/>
      <c r="H5333" s="4"/>
    </row>
    <row r="5334" ht="16.5" customHeight="1" spans="1:8">
      <c r="A5334" s="3">
        <v>5333</v>
      </c>
      <c r="B5334" s="3" t="s">
        <v>11920</v>
      </c>
      <c r="C5334" s="3" t="s">
        <v>1361</v>
      </c>
      <c r="D5334" s="4" t="s">
        <v>11921</v>
      </c>
      <c r="E5334" s="3" t="s">
        <v>1218</v>
      </c>
      <c r="F5334" s="3" t="s">
        <v>2105</v>
      </c>
      <c r="G5334" s="3"/>
      <c r="H5334" s="4"/>
    </row>
    <row r="5335" ht="16.5" customHeight="1" spans="1:8">
      <c r="A5335" s="3">
        <v>5334</v>
      </c>
      <c r="B5335" s="3" t="s">
        <v>11922</v>
      </c>
      <c r="C5335" s="3" t="s">
        <v>1361</v>
      </c>
      <c r="D5335" s="4" t="s">
        <v>11923</v>
      </c>
      <c r="E5335" s="3" t="s">
        <v>1218</v>
      </c>
      <c r="F5335" s="3" t="s">
        <v>2105</v>
      </c>
      <c r="G5335" s="3"/>
      <c r="H5335" s="4"/>
    </row>
    <row r="5336" ht="16.5" customHeight="1" spans="1:8">
      <c r="A5336" s="3">
        <v>5335</v>
      </c>
      <c r="B5336" s="3" t="s">
        <v>11924</v>
      </c>
      <c r="C5336" s="3" t="s">
        <v>1361</v>
      </c>
      <c r="D5336" s="4" t="s">
        <v>11925</v>
      </c>
      <c r="E5336" s="3" t="s">
        <v>1218</v>
      </c>
      <c r="F5336" s="3" t="s">
        <v>2105</v>
      </c>
      <c r="G5336" s="3"/>
      <c r="H5336" s="4"/>
    </row>
    <row r="5337" ht="16.5" customHeight="1" spans="1:8">
      <c r="A5337" s="3">
        <v>5336</v>
      </c>
      <c r="B5337" s="3" t="s">
        <v>11926</v>
      </c>
      <c r="C5337" s="3" t="s">
        <v>1361</v>
      </c>
      <c r="D5337" s="4" t="s">
        <v>11927</v>
      </c>
      <c r="E5337" s="3" t="s">
        <v>1218</v>
      </c>
      <c r="F5337" s="3" t="s">
        <v>2105</v>
      </c>
      <c r="G5337" s="3"/>
      <c r="H5337" s="4"/>
    </row>
    <row r="5338" ht="16.5" customHeight="1" spans="1:8">
      <c r="A5338" s="3">
        <v>5337</v>
      </c>
      <c r="B5338" s="3" t="s">
        <v>11928</v>
      </c>
      <c r="C5338" s="3" t="s">
        <v>1361</v>
      </c>
      <c r="D5338" s="4" t="s">
        <v>11929</v>
      </c>
      <c r="E5338" s="3" t="s">
        <v>1218</v>
      </c>
      <c r="F5338" s="3" t="s">
        <v>2105</v>
      </c>
      <c r="G5338" s="3"/>
      <c r="H5338" s="4"/>
    </row>
    <row r="5339" ht="16.5" customHeight="1" spans="1:8">
      <c r="A5339" s="3">
        <v>5338</v>
      </c>
      <c r="B5339" s="3" t="s">
        <v>11930</v>
      </c>
      <c r="C5339" s="3" t="s">
        <v>1361</v>
      </c>
      <c r="D5339" s="4" t="s">
        <v>11931</v>
      </c>
      <c r="E5339" s="3" t="s">
        <v>1218</v>
      </c>
      <c r="F5339" s="3" t="s">
        <v>2105</v>
      </c>
      <c r="G5339" s="3"/>
      <c r="H5339" s="4"/>
    </row>
    <row r="5340" ht="16.5" customHeight="1" spans="1:8">
      <c r="A5340" s="3">
        <v>5339</v>
      </c>
      <c r="B5340" s="3" t="s">
        <v>11932</v>
      </c>
      <c r="C5340" s="3" t="s">
        <v>1361</v>
      </c>
      <c r="D5340" s="4" t="s">
        <v>11933</v>
      </c>
      <c r="E5340" s="3" t="s">
        <v>1218</v>
      </c>
      <c r="F5340" s="3" t="s">
        <v>2105</v>
      </c>
      <c r="G5340" s="3"/>
      <c r="H5340" s="4"/>
    </row>
    <row r="5341" ht="16.5" customHeight="1" spans="1:8">
      <c r="A5341" s="3">
        <v>5340</v>
      </c>
      <c r="B5341" s="3" t="s">
        <v>11934</v>
      </c>
      <c r="C5341" s="3" t="s">
        <v>1361</v>
      </c>
      <c r="D5341" s="4" t="s">
        <v>11935</v>
      </c>
      <c r="E5341" s="3" t="s">
        <v>1218</v>
      </c>
      <c r="F5341" s="3" t="s">
        <v>2105</v>
      </c>
      <c r="G5341" s="3"/>
      <c r="H5341" s="4"/>
    </row>
    <row r="5342" ht="16.5" customHeight="1" spans="1:8">
      <c r="A5342" s="3">
        <v>5341</v>
      </c>
      <c r="B5342" s="3" t="s">
        <v>11936</v>
      </c>
      <c r="C5342" s="3" t="s">
        <v>1361</v>
      </c>
      <c r="D5342" s="4" t="s">
        <v>11937</v>
      </c>
      <c r="E5342" s="3" t="s">
        <v>1218</v>
      </c>
      <c r="F5342" s="3" t="s">
        <v>2105</v>
      </c>
      <c r="G5342" s="3"/>
      <c r="H5342" s="4"/>
    </row>
    <row r="5343" ht="16.5" customHeight="1" spans="1:8">
      <c r="A5343" s="3">
        <v>5342</v>
      </c>
      <c r="B5343" s="3" t="s">
        <v>11938</v>
      </c>
      <c r="C5343" s="3" t="s">
        <v>1361</v>
      </c>
      <c r="D5343" s="4" t="s">
        <v>11939</v>
      </c>
      <c r="E5343" s="3" t="s">
        <v>1218</v>
      </c>
      <c r="F5343" s="3" t="s">
        <v>2105</v>
      </c>
      <c r="G5343" s="3"/>
      <c r="H5343" s="4"/>
    </row>
    <row r="5344" ht="16.5" customHeight="1" spans="1:8">
      <c r="A5344" s="3">
        <v>5343</v>
      </c>
      <c r="B5344" s="3" t="s">
        <v>11940</v>
      </c>
      <c r="C5344" s="3" t="s">
        <v>1361</v>
      </c>
      <c r="D5344" s="4" t="s">
        <v>11941</v>
      </c>
      <c r="E5344" s="3" t="s">
        <v>1218</v>
      </c>
      <c r="F5344" s="3" t="s">
        <v>2105</v>
      </c>
      <c r="G5344" s="3"/>
      <c r="H5344" s="4"/>
    </row>
    <row r="5345" ht="16.5" customHeight="1" spans="1:8">
      <c r="A5345" s="3">
        <v>5344</v>
      </c>
      <c r="B5345" s="3" t="s">
        <v>11942</v>
      </c>
      <c r="C5345" s="3" t="s">
        <v>1361</v>
      </c>
      <c r="D5345" s="4" t="s">
        <v>11943</v>
      </c>
      <c r="E5345" s="3" t="s">
        <v>1218</v>
      </c>
      <c r="F5345" s="3" t="s">
        <v>2105</v>
      </c>
      <c r="G5345" s="3"/>
      <c r="H5345" s="4"/>
    </row>
    <row r="5346" ht="16.5" customHeight="1" spans="1:8">
      <c r="A5346" s="3">
        <v>5345</v>
      </c>
      <c r="B5346" s="3" t="s">
        <v>11944</v>
      </c>
      <c r="C5346" s="3" t="s">
        <v>1361</v>
      </c>
      <c r="D5346" s="4" t="s">
        <v>11945</v>
      </c>
      <c r="E5346" s="3" t="s">
        <v>1218</v>
      </c>
      <c r="F5346" s="3" t="s">
        <v>2105</v>
      </c>
      <c r="G5346" s="3"/>
      <c r="H5346" s="4"/>
    </row>
    <row r="5347" ht="16.5" customHeight="1" spans="1:8">
      <c r="A5347" s="3">
        <v>5346</v>
      </c>
      <c r="B5347" s="3" t="s">
        <v>11946</v>
      </c>
      <c r="C5347" s="3" t="s">
        <v>1361</v>
      </c>
      <c r="D5347" s="4" t="s">
        <v>11947</v>
      </c>
      <c r="E5347" s="3" t="s">
        <v>1218</v>
      </c>
      <c r="F5347" s="3" t="s">
        <v>2105</v>
      </c>
      <c r="G5347" s="3"/>
      <c r="H5347" s="4"/>
    </row>
    <row r="5348" ht="16.5" customHeight="1" spans="1:8">
      <c r="A5348" s="3">
        <v>5347</v>
      </c>
      <c r="B5348" s="3" t="s">
        <v>11948</v>
      </c>
      <c r="C5348" s="3" t="s">
        <v>1361</v>
      </c>
      <c r="D5348" s="4" t="s">
        <v>11949</v>
      </c>
      <c r="E5348" s="3" t="s">
        <v>1218</v>
      </c>
      <c r="F5348" s="3" t="s">
        <v>2105</v>
      </c>
      <c r="G5348" s="3"/>
      <c r="H5348" s="4"/>
    </row>
    <row r="5349" ht="16.5" customHeight="1" spans="1:8">
      <c r="A5349" s="3">
        <v>5348</v>
      </c>
      <c r="B5349" s="3" t="s">
        <v>11950</v>
      </c>
      <c r="C5349" s="3" t="s">
        <v>1361</v>
      </c>
      <c r="D5349" s="4" t="s">
        <v>11951</v>
      </c>
      <c r="E5349" s="3" t="s">
        <v>1218</v>
      </c>
      <c r="F5349" s="3" t="s">
        <v>2105</v>
      </c>
      <c r="G5349" s="3"/>
      <c r="H5349" s="4"/>
    </row>
    <row r="5350" ht="16.5" customHeight="1" spans="1:8">
      <c r="A5350" s="3">
        <v>5349</v>
      </c>
      <c r="B5350" s="3" t="s">
        <v>11952</v>
      </c>
      <c r="C5350" s="3" t="s">
        <v>1361</v>
      </c>
      <c r="D5350" s="4" t="s">
        <v>11953</v>
      </c>
      <c r="E5350" s="3" t="s">
        <v>1218</v>
      </c>
      <c r="F5350" s="3" t="s">
        <v>2105</v>
      </c>
      <c r="G5350" s="3"/>
      <c r="H5350" s="4"/>
    </row>
    <row r="5351" ht="16.5" customHeight="1" spans="1:8">
      <c r="A5351" s="3">
        <v>5350</v>
      </c>
      <c r="B5351" s="3" t="s">
        <v>11954</v>
      </c>
      <c r="C5351" s="3" t="s">
        <v>1361</v>
      </c>
      <c r="D5351" s="4" t="s">
        <v>11955</v>
      </c>
      <c r="E5351" s="3" t="s">
        <v>1218</v>
      </c>
      <c r="F5351" s="3" t="s">
        <v>2105</v>
      </c>
      <c r="G5351" s="3"/>
      <c r="H5351" s="4"/>
    </row>
    <row r="5352" ht="16.5" customHeight="1" spans="1:8">
      <c r="A5352" s="3">
        <v>5351</v>
      </c>
      <c r="B5352" s="3" t="s">
        <v>11956</v>
      </c>
      <c r="C5352" s="3" t="s">
        <v>1361</v>
      </c>
      <c r="D5352" s="4" t="s">
        <v>11957</v>
      </c>
      <c r="E5352" s="3" t="s">
        <v>1218</v>
      </c>
      <c r="F5352" s="3" t="s">
        <v>2105</v>
      </c>
      <c r="G5352" s="3"/>
      <c r="H5352" s="4"/>
    </row>
    <row r="5353" ht="16.5" customHeight="1" spans="1:8">
      <c r="A5353" s="3">
        <v>5352</v>
      </c>
      <c r="B5353" s="3" t="s">
        <v>11958</v>
      </c>
      <c r="C5353" s="3" t="s">
        <v>1361</v>
      </c>
      <c r="D5353" s="4" t="s">
        <v>11959</v>
      </c>
      <c r="E5353" s="3" t="s">
        <v>1218</v>
      </c>
      <c r="F5353" s="3" t="s">
        <v>2105</v>
      </c>
      <c r="G5353" s="3"/>
      <c r="H5353" s="4"/>
    </row>
    <row r="5354" ht="16.5" customHeight="1" spans="1:8">
      <c r="A5354" s="3">
        <v>5353</v>
      </c>
      <c r="B5354" s="3" t="s">
        <v>11960</v>
      </c>
      <c r="C5354" s="3" t="s">
        <v>1361</v>
      </c>
      <c r="D5354" s="4" t="s">
        <v>11961</v>
      </c>
      <c r="E5354" s="3" t="s">
        <v>1218</v>
      </c>
      <c r="F5354" s="3" t="s">
        <v>2105</v>
      </c>
      <c r="G5354" s="3"/>
      <c r="H5354" s="4"/>
    </row>
    <row r="5355" ht="16.5" customHeight="1" spans="1:8">
      <c r="A5355" s="3">
        <v>5354</v>
      </c>
      <c r="B5355" s="3" t="s">
        <v>11962</v>
      </c>
      <c r="C5355" s="3" t="s">
        <v>1361</v>
      </c>
      <c r="D5355" s="4" t="s">
        <v>11963</v>
      </c>
      <c r="E5355" s="3" t="s">
        <v>1218</v>
      </c>
      <c r="F5355" s="3" t="s">
        <v>2105</v>
      </c>
      <c r="G5355" s="3"/>
      <c r="H5355" s="4"/>
    </row>
    <row r="5356" ht="16.5" customHeight="1" spans="1:8">
      <c r="A5356" s="3">
        <v>5355</v>
      </c>
      <c r="B5356" s="3" t="s">
        <v>11964</v>
      </c>
      <c r="C5356" s="3" t="s">
        <v>1361</v>
      </c>
      <c r="D5356" s="4" t="s">
        <v>11965</v>
      </c>
      <c r="E5356" s="3" t="s">
        <v>1218</v>
      </c>
      <c r="F5356" s="3" t="s">
        <v>2105</v>
      </c>
      <c r="G5356" s="3"/>
      <c r="H5356" s="4"/>
    </row>
    <row r="5357" ht="16.5" customHeight="1" spans="1:8">
      <c r="A5357" s="3">
        <v>5356</v>
      </c>
      <c r="B5357" s="3" t="s">
        <v>11966</v>
      </c>
      <c r="C5357" s="3" t="s">
        <v>1361</v>
      </c>
      <c r="D5357" s="4" t="s">
        <v>11967</v>
      </c>
      <c r="E5357" s="3" t="s">
        <v>1218</v>
      </c>
      <c r="F5357" s="3" t="s">
        <v>2105</v>
      </c>
      <c r="G5357" s="3"/>
      <c r="H5357" s="4"/>
    </row>
    <row r="5358" ht="16.5" customHeight="1" spans="1:8">
      <c r="A5358" s="3">
        <v>5357</v>
      </c>
      <c r="B5358" s="3" t="s">
        <v>11968</v>
      </c>
      <c r="C5358" s="3" t="s">
        <v>1361</v>
      </c>
      <c r="D5358" s="4" t="s">
        <v>11969</v>
      </c>
      <c r="E5358" s="3" t="s">
        <v>1218</v>
      </c>
      <c r="F5358" s="3" t="s">
        <v>2105</v>
      </c>
      <c r="G5358" s="3"/>
      <c r="H5358" s="4"/>
    </row>
    <row r="5359" ht="16.5" customHeight="1" spans="1:8">
      <c r="A5359" s="3">
        <v>5358</v>
      </c>
      <c r="B5359" s="3" t="s">
        <v>11970</v>
      </c>
      <c r="C5359" s="3" t="s">
        <v>1361</v>
      </c>
      <c r="D5359" s="4" t="s">
        <v>11971</v>
      </c>
      <c r="E5359" s="3" t="s">
        <v>1218</v>
      </c>
      <c r="F5359" s="3" t="s">
        <v>2105</v>
      </c>
      <c r="G5359" s="3"/>
      <c r="H5359" s="4"/>
    </row>
    <row r="5360" ht="16.5" customHeight="1" spans="1:8">
      <c r="A5360" s="3">
        <v>5359</v>
      </c>
      <c r="B5360" s="3" t="s">
        <v>11972</v>
      </c>
      <c r="C5360" s="3" t="s">
        <v>1361</v>
      </c>
      <c r="D5360" s="4" t="s">
        <v>11973</v>
      </c>
      <c r="E5360" s="3" t="s">
        <v>1218</v>
      </c>
      <c r="F5360" s="3" t="s">
        <v>2105</v>
      </c>
      <c r="G5360" s="3"/>
      <c r="H5360" s="4"/>
    </row>
    <row r="5361" ht="16.5" customHeight="1" spans="1:8">
      <c r="A5361" s="3">
        <v>5360</v>
      </c>
      <c r="B5361" s="3" t="s">
        <v>11974</v>
      </c>
      <c r="C5361" s="3" t="s">
        <v>1361</v>
      </c>
      <c r="D5361" s="4" t="s">
        <v>11975</v>
      </c>
      <c r="E5361" s="3" t="s">
        <v>1218</v>
      </c>
      <c r="F5361" s="3" t="s">
        <v>2105</v>
      </c>
      <c r="G5361" s="3"/>
      <c r="H5361" s="4"/>
    </row>
    <row r="5362" ht="16.5" customHeight="1" spans="1:8">
      <c r="A5362" s="3">
        <v>5361</v>
      </c>
      <c r="B5362" s="3" t="s">
        <v>11976</v>
      </c>
      <c r="C5362" s="3" t="s">
        <v>1361</v>
      </c>
      <c r="D5362" s="4" t="s">
        <v>11977</v>
      </c>
      <c r="E5362" s="3" t="s">
        <v>1218</v>
      </c>
      <c r="F5362" s="3" t="s">
        <v>2105</v>
      </c>
      <c r="G5362" s="3"/>
      <c r="H5362" s="4"/>
    </row>
    <row r="5363" ht="16.5" customHeight="1" spans="1:8">
      <c r="A5363" s="3">
        <v>5362</v>
      </c>
      <c r="B5363" s="3" t="s">
        <v>11978</v>
      </c>
      <c r="C5363" s="3" t="s">
        <v>1361</v>
      </c>
      <c r="D5363" s="4" t="s">
        <v>11979</v>
      </c>
      <c r="E5363" s="3" t="s">
        <v>1218</v>
      </c>
      <c r="F5363" s="3" t="s">
        <v>2105</v>
      </c>
      <c r="G5363" s="3"/>
      <c r="H5363" s="4"/>
    </row>
    <row r="5364" ht="16.5" customHeight="1" spans="1:8">
      <c r="A5364" s="3">
        <v>5363</v>
      </c>
      <c r="B5364" s="3" t="s">
        <v>11980</v>
      </c>
      <c r="C5364" s="3" t="s">
        <v>1356</v>
      </c>
      <c r="D5364" s="4" t="s">
        <v>11981</v>
      </c>
      <c r="E5364" s="3" t="s">
        <v>2726</v>
      </c>
      <c r="F5364" s="3" t="s">
        <v>4668</v>
      </c>
      <c r="G5364" s="3"/>
      <c r="H5364" s="4" t="s">
        <v>1305</v>
      </c>
    </row>
    <row r="5365" ht="16.5" customHeight="1" spans="1:8">
      <c r="A5365" s="3">
        <v>5364</v>
      </c>
      <c r="B5365" s="3" t="s">
        <v>11982</v>
      </c>
      <c r="C5365" s="3" t="s">
        <v>1074</v>
      </c>
      <c r="D5365" s="4" t="s">
        <v>11983</v>
      </c>
      <c r="E5365" s="3" t="s">
        <v>1164</v>
      </c>
      <c r="F5365" s="3" t="s">
        <v>4668</v>
      </c>
      <c r="G5365" s="3"/>
      <c r="H5365" s="4" t="s">
        <v>5664</v>
      </c>
    </row>
    <row r="5366" ht="16.5" customHeight="1" spans="1:8">
      <c r="A5366" s="3">
        <v>5365</v>
      </c>
      <c r="B5366" s="3" t="s">
        <v>11984</v>
      </c>
      <c r="C5366" s="3" t="s">
        <v>1105</v>
      </c>
      <c r="D5366" s="4" t="s">
        <v>11985</v>
      </c>
      <c r="E5366" s="3" t="s">
        <v>1218</v>
      </c>
      <c r="F5366" s="3" t="s">
        <v>4668</v>
      </c>
      <c r="G5366" s="3"/>
      <c r="H5366" s="4" t="s">
        <v>11986</v>
      </c>
    </row>
    <row r="5367" ht="16.5" customHeight="1" spans="1:8">
      <c r="A5367" s="3">
        <v>5366</v>
      </c>
      <c r="B5367" s="3" t="s">
        <v>11987</v>
      </c>
      <c r="C5367" s="3" t="s">
        <v>2163</v>
      </c>
      <c r="D5367" s="4" t="s">
        <v>11988</v>
      </c>
      <c r="E5367" s="3" t="s">
        <v>3954</v>
      </c>
      <c r="F5367" s="3" t="s">
        <v>2041</v>
      </c>
      <c r="G5367" s="3" t="s">
        <v>321</v>
      </c>
      <c r="H5367" s="4" t="s">
        <v>1843</v>
      </c>
    </row>
    <row r="5368" ht="16.5" customHeight="1" spans="1:8">
      <c r="A5368" s="3">
        <v>5367</v>
      </c>
      <c r="B5368" s="3" t="s">
        <v>11989</v>
      </c>
      <c r="C5368" s="3" t="s">
        <v>2163</v>
      </c>
      <c r="D5368" s="4" t="s">
        <v>11990</v>
      </c>
      <c r="E5368" s="3" t="s">
        <v>1076</v>
      </c>
      <c r="F5368" s="3" t="s">
        <v>8175</v>
      </c>
      <c r="G5368" s="3"/>
      <c r="H5368" s="4" t="s">
        <v>7243</v>
      </c>
    </row>
    <row r="5369" ht="16.5" customHeight="1" spans="1:8">
      <c r="A5369" s="3">
        <v>5368</v>
      </c>
      <c r="B5369" s="3" t="s">
        <v>11991</v>
      </c>
      <c r="C5369" s="3" t="s">
        <v>1074</v>
      </c>
      <c r="D5369" s="4" t="s">
        <v>11992</v>
      </c>
      <c r="E5369" s="3" t="s">
        <v>1218</v>
      </c>
      <c r="F5369" s="3" t="s">
        <v>8175</v>
      </c>
      <c r="G5369" s="3"/>
      <c r="H5369" s="4" t="s">
        <v>7243</v>
      </c>
    </row>
    <row r="5370" ht="16.5" customHeight="1" spans="1:8">
      <c r="A5370" s="3">
        <v>5369</v>
      </c>
      <c r="B5370" s="3" t="s">
        <v>11993</v>
      </c>
      <c r="C5370" s="3" t="s">
        <v>1356</v>
      </c>
      <c r="D5370" s="4" t="s">
        <v>11994</v>
      </c>
      <c r="E5370" s="3" t="s">
        <v>1076</v>
      </c>
      <c r="F5370" s="3" t="s">
        <v>8175</v>
      </c>
      <c r="G5370" s="3"/>
      <c r="H5370" s="4" t="s">
        <v>7243</v>
      </c>
    </row>
    <row r="5371" ht="16.5" customHeight="1" spans="1:8">
      <c r="A5371" s="3">
        <v>5370</v>
      </c>
      <c r="B5371" s="3" t="s">
        <v>11995</v>
      </c>
      <c r="C5371" s="3" t="s">
        <v>1356</v>
      </c>
      <c r="D5371" s="4" t="s">
        <v>11996</v>
      </c>
      <c r="E5371" s="3" t="s">
        <v>1076</v>
      </c>
      <c r="F5371" s="3" t="s">
        <v>8175</v>
      </c>
      <c r="G5371" s="3"/>
      <c r="H5371" s="4" t="s">
        <v>7243</v>
      </c>
    </row>
    <row r="5372" ht="16.5" customHeight="1" spans="1:8">
      <c r="A5372" s="3">
        <v>5371</v>
      </c>
      <c r="B5372" s="3" t="s">
        <v>11997</v>
      </c>
      <c r="C5372" s="3" t="s">
        <v>1356</v>
      </c>
      <c r="D5372" s="4" t="s">
        <v>11998</v>
      </c>
      <c r="E5372" s="3" t="s">
        <v>1076</v>
      </c>
      <c r="F5372" s="3" t="s">
        <v>8175</v>
      </c>
      <c r="G5372" s="3"/>
      <c r="H5372" s="4" t="s">
        <v>7243</v>
      </c>
    </row>
    <row r="5373" ht="16.5" customHeight="1" spans="1:8">
      <c r="A5373" s="3">
        <v>5372</v>
      </c>
      <c r="B5373" s="3" t="s">
        <v>11999</v>
      </c>
      <c r="C5373" s="3" t="s">
        <v>1356</v>
      </c>
      <c r="D5373" s="4" t="s">
        <v>12000</v>
      </c>
      <c r="E5373" s="3" t="s">
        <v>1218</v>
      </c>
      <c r="F5373" s="3" t="s">
        <v>8175</v>
      </c>
      <c r="G5373" s="3"/>
      <c r="H5373" s="4" t="s">
        <v>7243</v>
      </c>
    </row>
    <row r="5374" ht="16.5" customHeight="1" spans="1:8">
      <c r="A5374" s="3">
        <v>5373</v>
      </c>
      <c r="B5374" s="3" t="s">
        <v>12001</v>
      </c>
      <c r="C5374" s="3" t="s">
        <v>1356</v>
      </c>
      <c r="D5374" s="4" t="s">
        <v>12002</v>
      </c>
      <c r="E5374" s="3" t="s">
        <v>1076</v>
      </c>
      <c r="F5374" s="3" t="s">
        <v>8175</v>
      </c>
      <c r="G5374" s="3"/>
      <c r="H5374" s="4" t="s">
        <v>7243</v>
      </c>
    </row>
    <row r="5375" ht="16.5" customHeight="1" spans="1:8">
      <c r="A5375" s="3">
        <v>5374</v>
      </c>
      <c r="B5375" s="3" t="s">
        <v>12003</v>
      </c>
      <c r="C5375" s="3" t="s">
        <v>2163</v>
      </c>
      <c r="D5375" s="4" t="s">
        <v>12004</v>
      </c>
      <c r="E5375" s="3" t="s">
        <v>2726</v>
      </c>
      <c r="F5375" s="3" t="s">
        <v>2041</v>
      </c>
      <c r="G5375" s="3" t="s">
        <v>321</v>
      </c>
      <c r="H5375" s="4" t="s">
        <v>6740</v>
      </c>
    </row>
    <row r="5376" ht="16.5" customHeight="1" spans="1:8">
      <c r="A5376" s="3">
        <v>5375</v>
      </c>
      <c r="B5376" s="3" t="s">
        <v>12005</v>
      </c>
      <c r="C5376" s="3" t="s">
        <v>2163</v>
      </c>
      <c r="D5376" s="4" t="s">
        <v>12006</v>
      </c>
      <c r="E5376" s="3" t="s">
        <v>1076</v>
      </c>
      <c r="F5376" s="3" t="s">
        <v>4668</v>
      </c>
      <c r="G5376" s="3"/>
      <c r="H5376" s="4" t="s">
        <v>1359</v>
      </c>
    </row>
    <row r="5377" ht="16.5" customHeight="1" spans="1:8">
      <c r="A5377" s="3">
        <v>5376</v>
      </c>
      <c r="B5377" s="3" t="s">
        <v>12007</v>
      </c>
      <c r="C5377" s="3" t="s">
        <v>2163</v>
      </c>
      <c r="D5377" s="4" t="s">
        <v>12008</v>
      </c>
      <c r="E5377" s="3" t="s">
        <v>7007</v>
      </c>
      <c r="F5377" s="3" t="s">
        <v>4668</v>
      </c>
      <c r="G5377" s="3"/>
      <c r="H5377" s="4" t="s">
        <v>1359</v>
      </c>
    </row>
    <row r="5378" ht="16.5" customHeight="1" spans="1:8">
      <c r="A5378" s="3">
        <v>5377</v>
      </c>
      <c r="B5378" s="3" t="s">
        <v>12009</v>
      </c>
      <c r="C5378" s="3" t="s">
        <v>2163</v>
      </c>
      <c r="D5378" s="4" t="s">
        <v>12010</v>
      </c>
      <c r="E5378" s="3" t="s">
        <v>1076</v>
      </c>
      <c r="F5378" s="3" t="s">
        <v>4668</v>
      </c>
      <c r="G5378" s="3"/>
      <c r="H5378" s="4" t="s">
        <v>1359</v>
      </c>
    </row>
    <row r="5379" ht="16.5" customHeight="1" spans="1:8">
      <c r="A5379" s="3">
        <v>5378</v>
      </c>
      <c r="B5379" s="3" t="s">
        <v>12011</v>
      </c>
      <c r="C5379" s="3" t="s">
        <v>2163</v>
      </c>
      <c r="D5379" s="4" t="s">
        <v>12012</v>
      </c>
      <c r="E5379" s="3" t="s">
        <v>1076</v>
      </c>
      <c r="F5379" s="3" t="s">
        <v>4668</v>
      </c>
      <c r="G5379" s="3"/>
      <c r="H5379" s="4" t="s">
        <v>1359</v>
      </c>
    </row>
    <row r="5380" ht="16.5" customHeight="1" spans="1:8">
      <c r="A5380" s="3">
        <v>5379</v>
      </c>
      <c r="B5380" s="3" t="s">
        <v>12013</v>
      </c>
      <c r="C5380" s="3" t="s">
        <v>2163</v>
      </c>
      <c r="D5380" s="4" t="s">
        <v>12014</v>
      </c>
      <c r="E5380" s="3" t="s">
        <v>1076</v>
      </c>
      <c r="F5380" s="3" t="s">
        <v>2041</v>
      </c>
      <c r="G5380" s="3" t="s">
        <v>321</v>
      </c>
      <c r="H5380" s="4" t="s">
        <v>10596</v>
      </c>
    </row>
    <row r="5381" ht="16.5" customHeight="1" spans="1:8">
      <c r="A5381" s="3">
        <v>5380</v>
      </c>
      <c r="B5381" s="3" t="s">
        <v>12015</v>
      </c>
      <c r="C5381" s="3" t="s">
        <v>2163</v>
      </c>
      <c r="D5381" s="4" t="s">
        <v>12016</v>
      </c>
      <c r="E5381" s="3" t="s">
        <v>1076</v>
      </c>
      <c r="F5381" s="3" t="s">
        <v>2041</v>
      </c>
      <c r="G5381" s="3" t="s">
        <v>321</v>
      </c>
      <c r="H5381" s="4" t="s">
        <v>1305</v>
      </c>
    </row>
    <row r="5382" ht="16.5" customHeight="1" spans="1:8">
      <c r="A5382" s="3">
        <v>5381</v>
      </c>
      <c r="B5382" s="3" t="s">
        <v>12017</v>
      </c>
      <c r="C5382" s="3" t="s">
        <v>2163</v>
      </c>
      <c r="D5382" s="4" t="s">
        <v>12018</v>
      </c>
      <c r="E5382" s="3" t="s">
        <v>1076</v>
      </c>
      <c r="F5382" s="3" t="s">
        <v>2041</v>
      </c>
      <c r="G5382" s="3" t="s">
        <v>321</v>
      </c>
      <c r="H5382" s="4" t="s">
        <v>1305</v>
      </c>
    </row>
    <row r="5383" ht="16.5" customHeight="1" spans="1:8">
      <c r="A5383" s="3">
        <v>5382</v>
      </c>
      <c r="B5383" s="3" t="s">
        <v>12019</v>
      </c>
      <c r="C5383" s="3" t="s">
        <v>2163</v>
      </c>
      <c r="D5383" s="4" t="s">
        <v>12020</v>
      </c>
      <c r="E5383" s="3" t="s">
        <v>1076</v>
      </c>
      <c r="F5383" s="3" t="s">
        <v>1358</v>
      </c>
      <c r="G5383" s="3" t="s">
        <v>321</v>
      </c>
      <c r="H5383" s="4" t="s">
        <v>1305</v>
      </c>
    </row>
    <row r="5384" ht="16.5" customHeight="1" spans="1:8">
      <c r="A5384" s="3">
        <v>5383</v>
      </c>
      <c r="B5384" s="3" t="s">
        <v>12021</v>
      </c>
      <c r="C5384" s="3" t="s">
        <v>1361</v>
      </c>
      <c r="D5384" s="4" t="s">
        <v>12022</v>
      </c>
      <c r="E5384" s="3" t="s">
        <v>1218</v>
      </c>
      <c r="F5384" s="3" t="s">
        <v>1358</v>
      </c>
      <c r="G5384" s="3"/>
      <c r="H5384" s="4" t="s">
        <v>1359</v>
      </c>
    </row>
    <row r="5385" ht="16.5" customHeight="1" spans="1:8">
      <c r="A5385" s="3">
        <v>5384</v>
      </c>
      <c r="B5385" s="3" t="s">
        <v>12023</v>
      </c>
      <c r="C5385" s="3" t="s">
        <v>1105</v>
      </c>
      <c r="D5385" s="4" t="s">
        <v>12024</v>
      </c>
      <c r="E5385" s="3" t="s">
        <v>1076</v>
      </c>
      <c r="F5385" s="3" t="s">
        <v>4668</v>
      </c>
      <c r="G5385" s="3"/>
      <c r="H5385" s="4" t="s">
        <v>11708</v>
      </c>
    </row>
    <row r="5386" ht="16.5" customHeight="1" spans="1:8">
      <c r="A5386" s="3">
        <v>5385</v>
      </c>
      <c r="B5386" s="3" t="s">
        <v>12025</v>
      </c>
      <c r="C5386" s="3" t="s">
        <v>1105</v>
      </c>
      <c r="D5386" s="4" t="s">
        <v>12026</v>
      </c>
      <c r="E5386" s="3" t="s">
        <v>1076</v>
      </c>
      <c r="F5386" s="3" t="s">
        <v>4668</v>
      </c>
      <c r="G5386" s="3"/>
      <c r="H5386" s="4" t="s">
        <v>11708</v>
      </c>
    </row>
    <row r="5387" ht="16.5" customHeight="1" spans="1:8">
      <c r="A5387" s="3">
        <v>5386</v>
      </c>
      <c r="B5387" s="3" t="s">
        <v>12027</v>
      </c>
      <c r="C5387" s="3" t="s">
        <v>2163</v>
      </c>
      <c r="D5387" s="4" t="s">
        <v>12028</v>
      </c>
      <c r="E5387" s="3" t="s">
        <v>1076</v>
      </c>
      <c r="F5387" s="3" t="s">
        <v>4668</v>
      </c>
      <c r="G5387" s="3"/>
      <c r="H5387" s="4" t="s">
        <v>1305</v>
      </c>
    </row>
    <row r="5388" ht="16.5" customHeight="1" spans="1:8">
      <c r="A5388" s="3">
        <v>5387</v>
      </c>
      <c r="B5388" s="3" t="s">
        <v>12029</v>
      </c>
      <c r="C5388" s="3" t="s">
        <v>2163</v>
      </c>
      <c r="D5388" s="4" t="s">
        <v>12028</v>
      </c>
      <c r="E5388" s="3" t="s">
        <v>1076</v>
      </c>
      <c r="F5388" s="3" t="s">
        <v>4668</v>
      </c>
      <c r="G5388" s="3"/>
      <c r="H5388" s="4" t="s">
        <v>1305</v>
      </c>
    </row>
    <row r="5389" ht="16.5" customHeight="1" spans="1:8">
      <c r="A5389" s="3">
        <v>5388</v>
      </c>
      <c r="B5389" s="3" t="s">
        <v>12030</v>
      </c>
      <c r="C5389" s="3" t="s">
        <v>2163</v>
      </c>
      <c r="D5389" s="4" t="s">
        <v>12031</v>
      </c>
      <c r="E5389" s="3" t="s">
        <v>1076</v>
      </c>
      <c r="F5389" s="3" t="s">
        <v>4668</v>
      </c>
      <c r="G5389" s="3"/>
      <c r="H5389" s="4" t="s">
        <v>1305</v>
      </c>
    </row>
    <row r="5390" ht="16.5" customHeight="1" spans="1:8">
      <c r="A5390" s="3">
        <v>5389</v>
      </c>
      <c r="B5390" s="3" t="s">
        <v>12032</v>
      </c>
      <c r="C5390" s="3" t="s">
        <v>2163</v>
      </c>
      <c r="D5390" s="4" t="s">
        <v>12033</v>
      </c>
      <c r="E5390" s="3" t="s">
        <v>1076</v>
      </c>
      <c r="F5390" s="3" t="s">
        <v>4668</v>
      </c>
      <c r="G5390" s="3"/>
      <c r="H5390" s="4" t="s">
        <v>1305</v>
      </c>
    </row>
    <row r="5391" ht="16.5" customHeight="1" spans="1:8">
      <c r="A5391" s="3">
        <v>5390</v>
      </c>
      <c r="B5391" s="3" t="s">
        <v>12034</v>
      </c>
      <c r="C5391" s="3" t="s">
        <v>2163</v>
      </c>
      <c r="D5391" s="4" t="s">
        <v>12035</v>
      </c>
      <c r="E5391" s="3" t="s">
        <v>1076</v>
      </c>
      <c r="F5391" s="3" t="s">
        <v>4668</v>
      </c>
      <c r="G5391" s="3"/>
      <c r="H5391" s="4" t="s">
        <v>1305</v>
      </c>
    </row>
    <row r="5392" ht="16.5" customHeight="1" spans="1:8">
      <c r="A5392" s="3">
        <v>5391</v>
      </c>
      <c r="B5392" s="3" t="s">
        <v>12036</v>
      </c>
      <c r="C5392" s="3" t="s">
        <v>1356</v>
      </c>
      <c r="D5392" s="4" t="s">
        <v>12037</v>
      </c>
      <c r="E5392" s="3" t="s">
        <v>1076</v>
      </c>
      <c r="F5392" s="3" t="s">
        <v>4668</v>
      </c>
      <c r="G5392" s="3"/>
      <c r="H5392" s="4" t="s">
        <v>1305</v>
      </c>
    </row>
    <row r="5393" ht="16.5" customHeight="1" spans="1:8">
      <c r="A5393" s="3">
        <v>5392</v>
      </c>
      <c r="B5393" s="3" t="s">
        <v>12038</v>
      </c>
      <c r="C5393" s="3" t="s">
        <v>2163</v>
      </c>
      <c r="D5393" s="4" t="s">
        <v>12039</v>
      </c>
      <c r="E5393" s="3" t="s">
        <v>1076</v>
      </c>
      <c r="F5393" s="3" t="s">
        <v>4668</v>
      </c>
      <c r="G5393" s="3"/>
      <c r="H5393" s="4" t="s">
        <v>1305</v>
      </c>
    </row>
    <row r="5394" ht="16.5" customHeight="1" spans="1:8">
      <c r="A5394" s="3">
        <v>5393</v>
      </c>
      <c r="B5394" s="3" t="s">
        <v>12040</v>
      </c>
      <c r="C5394" s="3" t="s">
        <v>2163</v>
      </c>
      <c r="D5394" s="4" t="s">
        <v>12041</v>
      </c>
      <c r="E5394" s="3" t="s">
        <v>1076</v>
      </c>
      <c r="F5394" s="3" t="s">
        <v>4668</v>
      </c>
      <c r="G5394" s="3"/>
      <c r="H5394" s="4" t="s">
        <v>3812</v>
      </c>
    </row>
    <row r="5395" ht="16.5" customHeight="1" spans="1:8">
      <c r="A5395" s="3">
        <v>5394</v>
      </c>
      <c r="B5395" s="3" t="s">
        <v>12042</v>
      </c>
      <c r="C5395" s="3" t="s">
        <v>2163</v>
      </c>
      <c r="D5395" s="4" t="s">
        <v>12043</v>
      </c>
      <c r="E5395" s="3" t="s">
        <v>1076</v>
      </c>
      <c r="F5395" s="3" t="s">
        <v>4668</v>
      </c>
      <c r="G5395" s="3"/>
      <c r="H5395" s="4" t="s">
        <v>3812</v>
      </c>
    </row>
    <row r="5396" ht="16.5" customHeight="1" spans="1:8">
      <c r="A5396" s="3">
        <v>5395</v>
      </c>
      <c r="B5396" s="3" t="s">
        <v>12044</v>
      </c>
      <c r="C5396" s="3" t="s">
        <v>2163</v>
      </c>
      <c r="D5396" s="4" t="s">
        <v>12045</v>
      </c>
      <c r="E5396" s="3" t="s">
        <v>1076</v>
      </c>
      <c r="F5396" s="3" t="s">
        <v>4668</v>
      </c>
      <c r="G5396" s="3"/>
      <c r="H5396" s="4" t="s">
        <v>3812</v>
      </c>
    </row>
    <row r="5397" ht="16.5" customHeight="1" spans="1:8">
      <c r="A5397" s="3">
        <v>5396</v>
      </c>
      <c r="B5397" s="3" t="s">
        <v>12046</v>
      </c>
      <c r="C5397" s="3" t="s">
        <v>2163</v>
      </c>
      <c r="D5397" s="4" t="s">
        <v>12047</v>
      </c>
      <c r="E5397" s="3" t="s">
        <v>1076</v>
      </c>
      <c r="F5397" s="3" t="s">
        <v>4668</v>
      </c>
      <c r="G5397" s="3"/>
      <c r="H5397" s="4" t="s">
        <v>3812</v>
      </c>
    </row>
    <row r="5398" ht="16.5" customHeight="1" spans="1:8">
      <c r="A5398" s="3">
        <v>5397</v>
      </c>
      <c r="B5398" s="3" t="s">
        <v>12048</v>
      </c>
      <c r="C5398" s="3" t="s">
        <v>2163</v>
      </c>
      <c r="D5398" s="4" t="s">
        <v>12049</v>
      </c>
      <c r="E5398" s="3" t="s">
        <v>1076</v>
      </c>
      <c r="F5398" s="3" t="s">
        <v>4668</v>
      </c>
      <c r="G5398" s="3"/>
      <c r="H5398" s="4" t="s">
        <v>3812</v>
      </c>
    </row>
    <row r="5399" ht="16.5" customHeight="1" spans="1:8">
      <c r="A5399" s="3">
        <v>5398</v>
      </c>
      <c r="B5399" s="3" t="s">
        <v>12050</v>
      </c>
      <c r="C5399" s="3" t="s">
        <v>2163</v>
      </c>
      <c r="D5399" s="4" t="s">
        <v>12051</v>
      </c>
      <c r="E5399" s="3" t="s">
        <v>2726</v>
      </c>
      <c r="F5399" s="3" t="s">
        <v>4668</v>
      </c>
      <c r="G5399" s="3"/>
      <c r="H5399" s="4" t="s">
        <v>3812</v>
      </c>
    </row>
    <row r="5400" ht="16.5" customHeight="1" spans="1:8">
      <c r="A5400" s="3">
        <v>5399</v>
      </c>
      <c r="B5400" s="3" t="s">
        <v>12052</v>
      </c>
      <c r="C5400" s="3" t="s">
        <v>2163</v>
      </c>
      <c r="D5400" s="4" t="s">
        <v>12053</v>
      </c>
      <c r="E5400" s="3" t="s">
        <v>2726</v>
      </c>
      <c r="F5400" s="3" t="s">
        <v>4668</v>
      </c>
      <c r="G5400" s="3"/>
      <c r="H5400" s="4" t="s">
        <v>3812</v>
      </c>
    </row>
    <row r="5401" ht="16.5" customHeight="1" spans="1:8">
      <c r="A5401" s="3">
        <v>5400</v>
      </c>
      <c r="B5401" s="3" t="s">
        <v>12054</v>
      </c>
      <c r="C5401" s="3" t="s">
        <v>2163</v>
      </c>
      <c r="D5401" s="4" t="s">
        <v>12055</v>
      </c>
      <c r="E5401" s="3" t="s">
        <v>1076</v>
      </c>
      <c r="F5401" s="3" t="s">
        <v>2041</v>
      </c>
      <c r="G5401" s="3" t="s">
        <v>321</v>
      </c>
      <c r="H5401" s="4" t="s">
        <v>1305</v>
      </c>
    </row>
    <row r="5402" ht="16.5" customHeight="1" spans="1:8">
      <c r="A5402" s="3">
        <v>5401</v>
      </c>
      <c r="B5402" s="3" t="s">
        <v>12056</v>
      </c>
      <c r="C5402" s="3" t="s">
        <v>2163</v>
      </c>
      <c r="D5402" s="4" t="s">
        <v>12057</v>
      </c>
      <c r="E5402" s="3" t="s">
        <v>1076</v>
      </c>
      <c r="F5402" s="3" t="s">
        <v>2041</v>
      </c>
      <c r="G5402" s="3" t="s">
        <v>321</v>
      </c>
      <c r="H5402" s="4" t="s">
        <v>1305</v>
      </c>
    </row>
    <row r="5403" ht="16.5" customHeight="1" spans="1:8">
      <c r="A5403" s="3">
        <v>5402</v>
      </c>
      <c r="B5403" s="3" t="s">
        <v>12058</v>
      </c>
      <c r="C5403" s="3" t="s">
        <v>1074</v>
      </c>
      <c r="D5403" s="4" t="s">
        <v>12059</v>
      </c>
      <c r="E5403" s="3" t="s">
        <v>1076</v>
      </c>
      <c r="F5403" s="3" t="s">
        <v>4668</v>
      </c>
      <c r="G5403" s="3"/>
      <c r="H5403" s="4" t="s">
        <v>3812</v>
      </c>
    </row>
    <row r="5404" ht="16.5" customHeight="1" spans="1:8">
      <c r="A5404" s="3">
        <v>5403</v>
      </c>
      <c r="B5404" s="3" t="s">
        <v>12060</v>
      </c>
      <c r="C5404" s="3" t="s">
        <v>2163</v>
      </c>
      <c r="D5404" s="4" t="s">
        <v>12061</v>
      </c>
      <c r="E5404" s="3" t="s">
        <v>1076</v>
      </c>
      <c r="F5404" s="3" t="s">
        <v>2041</v>
      </c>
      <c r="G5404" s="3" t="s">
        <v>321</v>
      </c>
      <c r="H5404" s="4" t="s">
        <v>1305</v>
      </c>
    </row>
    <row r="5405" ht="16.5" customHeight="1" spans="1:8">
      <c r="A5405" s="3">
        <v>5404</v>
      </c>
      <c r="B5405" s="3" t="s">
        <v>12062</v>
      </c>
      <c r="C5405" s="3" t="s">
        <v>1105</v>
      </c>
      <c r="D5405" s="4" t="s">
        <v>12063</v>
      </c>
      <c r="E5405" s="3" t="s">
        <v>1076</v>
      </c>
      <c r="F5405" s="3" t="s">
        <v>10259</v>
      </c>
      <c r="G5405" s="3"/>
      <c r="H5405" s="4" t="s">
        <v>12064</v>
      </c>
    </row>
    <row r="5406" ht="16.5" customHeight="1" spans="1:8">
      <c r="A5406" s="3">
        <v>5405</v>
      </c>
      <c r="B5406" s="3" t="s">
        <v>12065</v>
      </c>
      <c r="C5406" s="3" t="s">
        <v>2163</v>
      </c>
      <c r="D5406" s="4" t="s">
        <v>12066</v>
      </c>
      <c r="E5406" s="3" t="s">
        <v>7007</v>
      </c>
      <c r="F5406" s="3" t="s">
        <v>2105</v>
      </c>
      <c r="G5406" s="3"/>
      <c r="H5406" s="4" t="s">
        <v>7243</v>
      </c>
    </row>
    <row r="5407" ht="16.5" customHeight="1" spans="1:8">
      <c r="A5407" s="3">
        <v>5406</v>
      </c>
      <c r="B5407" s="3" t="s">
        <v>12067</v>
      </c>
      <c r="C5407" s="3" t="s">
        <v>2163</v>
      </c>
      <c r="D5407" s="4" t="s">
        <v>12068</v>
      </c>
      <c r="E5407" s="3" t="s">
        <v>1076</v>
      </c>
      <c r="F5407" s="3" t="s">
        <v>2041</v>
      </c>
      <c r="G5407" s="3" t="s">
        <v>321</v>
      </c>
      <c r="H5407" s="4" t="s">
        <v>1305</v>
      </c>
    </row>
    <row r="5408" ht="16.5" customHeight="1" spans="1:8">
      <c r="A5408" s="3">
        <v>5407</v>
      </c>
      <c r="B5408" s="3" t="s">
        <v>12069</v>
      </c>
      <c r="C5408" s="3" t="s">
        <v>1356</v>
      </c>
      <c r="D5408" s="4" t="s">
        <v>12070</v>
      </c>
      <c r="E5408" s="3" t="s">
        <v>1076</v>
      </c>
      <c r="F5408" s="3" t="s">
        <v>1358</v>
      </c>
      <c r="G5408" s="3" t="s">
        <v>321</v>
      </c>
      <c r="H5408" s="4"/>
    </row>
    <row r="5409" ht="16.5" customHeight="1" spans="1:8">
      <c r="A5409" s="3">
        <v>5408</v>
      </c>
      <c r="B5409" s="3" t="s">
        <v>12071</v>
      </c>
      <c r="C5409" s="3" t="s">
        <v>1356</v>
      </c>
      <c r="D5409" s="4" t="s">
        <v>12072</v>
      </c>
      <c r="E5409" s="3" t="s">
        <v>1076</v>
      </c>
      <c r="F5409" s="3" t="s">
        <v>10259</v>
      </c>
      <c r="G5409" s="3"/>
      <c r="H5409" s="4" t="s">
        <v>6740</v>
      </c>
    </row>
    <row r="5410" ht="16.5" customHeight="1" spans="1:8">
      <c r="A5410" s="3">
        <v>5409</v>
      </c>
      <c r="B5410" s="3" t="s">
        <v>12073</v>
      </c>
      <c r="C5410" s="3" t="s">
        <v>1356</v>
      </c>
      <c r="D5410" s="4" t="s">
        <v>12074</v>
      </c>
      <c r="E5410" s="3" t="s">
        <v>2726</v>
      </c>
      <c r="F5410" s="3" t="s">
        <v>10259</v>
      </c>
      <c r="G5410" s="3"/>
      <c r="H5410" s="4" t="s">
        <v>6740</v>
      </c>
    </row>
    <row r="5411" ht="16.5" customHeight="1" spans="1:8">
      <c r="A5411" s="3">
        <v>5410</v>
      </c>
      <c r="B5411" s="3" t="s">
        <v>12075</v>
      </c>
      <c r="C5411" s="3" t="s">
        <v>2163</v>
      </c>
      <c r="D5411" s="4" t="s">
        <v>12076</v>
      </c>
      <c r="E5411" s="3" t="s">
        <v>7007</v>
      </c>
      <c r="F5411" s="3" t="s">
        <v>4668</v>
      </c>
      <c r="G5411" s="3"/>
      <c r="H5411" s="4" t="s">
        <v>1305</v>
      </c>
    </row>
    <row r="5412" ht="16.5" customHeight="1" spans="1:8">
      <c r="A5412" s="3">
        <v>5411</v>
      </c>
      <c r="B5412" s="3" t="s">
        <v>12077</v>
      </c>
      <c r="C5412" s="3" t="s">
        <v>2163</v>
      </c>
      <c r="D5412" s="4" t="s">
        <v>12078</v>
      </c>
      <c r="E5412" s="3" t="s">
        <v>1076</v>
      </c>
      <c r="F5412" s="3" t="s">
        <v>4668</v>
      </c>
      <c r="G5412" s="3"/>
      <c r="H5412" s="4" t="s">
        <v>1305</v>
      </c>
    </row>
    <row r="5413" ht="16.5" customHeight="1" spans="1:8">
      <c r="A5413" s="3">
        <v>5412</v>
      </c>
      <c r="B5413" s="3" t="s">
        <v>12079</v>
      </c>
      <c r="C5413" s="3" t="s">
        <v>1356</v>
      </c>
      <c r="D5413" s="4" t="s">
        <v>12080</v>
      </c>
      <c r="E5413" s="3" t="s">
        <v>1076</v>
      </c>
      <c r="F5413" s="3" t="s">
        <v>4668</v>
      </c>
      <c r="G5413" s="3"/>
      <c r="H5413" s="4" t="s">
        <v>1305</v>
      </c>
    </row>
    <row r="5414" ht="16.5" customHeight="1" spans="1:8">
      <c r="A5414" s="3">
        <v>5413</v>
      </c>
      <c r="B5414" s="3" t="s">
        <v>12081</v>
      </c>
      <c r="C5414" s="3" t="s">
        <v>1356</v>
      </c>
      <c r="D5414" s="4" t="s">
        <v>12082</v>
      </c>
      <c r="E5414" s="3" t="s">
        <v>1076</v>
      </c>
      <c r="F5414" s="3" t="s">
        <v>1358</v>
      </c>
      <c r="G5414" s="3"/>
      <c r="H5414" s="4" t="s">
        <v>1359</v>
      </c>
    </row>
    <row r="5415" ht="16.5" customHeight="1" spans="1:8">
      <c r="A5415" s="3">
        <v>5414</v>
      </c>
      <c r="B5415" s="3" t="s">
        <v>12083</v>
      </c>
      <c r="C5415" s="3" t="s">
        <v>1356</v>
      </c>
      <c r="D5415" s="4" t="s">
        <v>12084</v>
      </c>
      <c r="E5415" s="3" t="s">
        <v>1076</v>
      </c>
      <c r="F5415" s="3" t="s">
        <v>1358</v>
      </c>
      <c r="G5415" s="3"/>
      <c r="H5415" s="4" t="s">
        <v>1359</v>
      </c>
    </row>
    <row r="5416" ht="16.5" customHeight="1" spans="1:8">
      <c r="A5416" s="3">
        <v>5415</v>
      </c>
      <c r="B5416" s="3" t="s">
        <v>12085</v>
      </c>
      <c r="C5416" s="3" t="s">
        <v>1356</v>
      </c>
      <c r="D5416" s="4" t="s">
        <v>12086</v>
      </c>
      <c r="E5416" s="3" t="s">
        <v>1076</v>
      </c>
      <c r="F5416" s="3" t="s">
        <v>1358</v>
      </c>
      <c r="G5416" s="3"/>
      <c r="H5416" s="4" t="s">
        <v>1095</v>
      </c>
    </row>
    <row r="5417" ht="16.5" customHeight="1" spans="1:8">
      <c r="A5417" s="3">
        <v>5416</v>
      </c>
      <c r="B5417" s="3" t="s">
        <v>12087</v>
      </c>
      <c r="C5417" s="3" t="s">
        <v>1356</v>
      </c>
      <c r="D5417" s="4" t="s">
        <v>12088</v>
      </c>
      <c r="E5417" s="3" t="s">
        <v>1076</v>
      </c>
      <c r="F5417" s="3" t="s">
        <v>1358</v>
      </c>
      <c r="G5417" s="3"/>
      <c r="H5417" s="4" t="s">
        <v>10724</v>
      </c>
    </row>
    <row r="5418" ht="16.5" customHeight="1" spans="1:8">
      <c r="A5418" s="3">
        <v>5417</v>
      </c>
      <c r="B5418" s="3" t="s">
        <v>12089</v>
      </c>
      <c r="C5418" s="3" t="s">
        <v>2163</v>
      </c>
      <c r="D5418" s="4" t="s">
        <v>12090</v>
      </c>
      <c r="E5418" s="3" t="s">
        <v>1076</v>
      </c>
      <c r="F5418" s="3" t="s">
        <v>2105</v>
      </c>
      <c r="G5418" s="3"/>
      <c r="H5418" s="4"/>
    </row>
    <row r="5419" ht="16.5" customHeight="1" spans="1:8">
      <c r="A5419" s="3">
        <v>5418</v>
      </c>
      <c r="B5419" s="3" t="s">
        <v>12091</v>
      </c>
      <c r="C5419" s="3" t="s">
        <v>2163</v>
      </c>
      <c r="D5419" s="4" t="s">
        <v>12092</v>
      </c>
      <c r="E5419" s="3" t="s">
        <v>7007</v>
      </c>
      <c r="F5419" s="3" t="s">
        <v>2105</v>
      </c>
      <c r="G5419" s="3"/>
      <c r="H5419" s="4"/>
    </row>
    <row r="5420" ht="16.5" customHeight="1" spans="1:8">
      <c r="A5420" s="3">
        <v>5419</v>
      </c>
      <c r="B5420" s="3" t="s">
        <v>12093</v>
      </c>
      <c r="C5420" s="3" t="s">
        <v>2163</v>
      </c>
      <c r="D5420" s="4" t="s">
        <v>12094</v>
      </c>
      <c r="E5420" s="3" t="s">
        <v>1076</v>
      </c>
      <c r="F5420" s="3" t="s">
        <v>2105</v>
      </c>
      <c r="G5420" s="3"/>
      <c r="H5420" s="4"/>
    </row>
    <row r="5421" ht="16.5" customHeight="1" spans="1:8">
      <c r="A5421" s="3">
        <v>5420</v>
      </c>
      <c r="B5421" s="3" t="s">
        <v>12095</v>
      </c>
      <c r="C5421" s="3" t="s">
        <v>2163</v>
      </c>
      <c r="D5421" s="4" t="s">
        <v>12096</v>
      </c>
      <c r="E5421" s="3" t="s">
        <v>1076</v>
      </c>
      <c r="F5421" s="3" t="s">
        <v>2105</v>
      </c>
      <c r="G5421" s="3"/>
      <c r="H5421" s="4"/>
    </row>
    <row r="5422" ht="16.5" customHeight="1" spans="1:8">
      <c r="A5422" s="3">
        <v>5421</v>
      </c>
      <c r="B5422" s="3" t="s">
        <v>12097</v>
      </c>
      <c r="C5422" s="3" t="s">
        <v>2163</v>
      </c>
      <c r="D5422" s="4" t="s">
        <v>12098</v>
      </c>
      <c r="E5422" s="3" t="s">
        <v>2263</v>
      </c>
      <c r="F5422" s="3" t="s">
        <v>2105</v>
      </c>
      <c r="G5422" s="3"/>
      <c r="H5422" s="4"/>
    </row>
    <row r="5423" ht="16.5" customHeight="1" spans="1:8">
      <c r="A5423" s="3">
        <v>5422</v>
      </c>
      <c r="B5423" s="3" t="s">
        <v>12099</v>
      </c>
      <c r="C5423" s="3" t="s">
        <v>1074</v>
      </c>
      <c r="D5423" s="4" t="s">
        <v>12100</v>
      </c>
      <c r="E5423" s="3" t="s">
        <v>1076</v>
      </c>
      <c r="F5423" s="3" t="s">
        <v>8175</v>
      </c>
      <c r="G5423" s="3"/>
      <c r="H5423" s="4" t="s">
        <v>7243</v>
      </c>
    </row>
    <row r="5424" ht="16.5" customHeight="1" spans="1:8">
      <c r="A5424" s="3">
        <v>5423</v>
      </c>
      <c r="B5424" s="3" t="s">
        <v>12101</v>
      </c>
      <c r="C5424" s="3" t="s">
        <v>2163</v>
      </c>
      <c r="D5424" s="4" t="s">
        <v>12102</v>
      </c>
      <c r="E5424" s="3" t="s">
        <v>1076</v>
      </c>
      <c r="F5424" s="3" t="s">
        <v>2105</v>
      </c>
      <c r="G5424" s="3"/>
      <c r="H5424" s="4"/>
    </row>
    <row r="5425" ht="16.5" customHeight="1" spans="1:8">
      <c r="A5425" s="3">
        <v>5424</v>
      </c>
      <c r="B5425" s="3" t="s">
        <v>12103</v>
      </c>
      <c r="C5425" s="3" t="s">
        <v>1105</v>
      </c>
      <c r="D5425" s="4" t="s">
        <v>12104</v>
      </c>
      <c r="E5425" s="3" t="s">
        <v>1076</v>
      </c>
      <c r="F5425" s="3" t="s">
        <v>6593</v>
      </c>
      <c r="G5425" s="3"/>
      <c r="H5425" s="4" t="s">
        <v>11628</v>
      </c>
    </row>
    <row r="5426" ht="16.5" customHeight="1" spans="1:8">
      <c r="A5426" s="3">
        <v>5425</v>
      </c>
      <c r="B5426" s="3" t="s">
        <v>12105</v>
      </c>
      <c r="C5426" s="3" t="s">
        <v>1105</v>
      </c>
      <c r="D5426" s="4" t="s">
        <v>12106</v>
      </c>
      <c r="E5426" s="3" t="s">
        <v>1076</v>
      </c>
      <c r="F5426" s="3" t="s">
        <v>6593</v>
      </c>
      <c r="G5426" s="3"/>
      <c r="H5426" s="4" t="s">
        <v>11628</v>
      </c>
    </row>
    <row r="5427" ht="16.5" customHeight="1" spans="1:8">
      <c r="A5427" s="3">
        <v>5426</v>
      </c>
      <c r="B5427" s="3" t="s">
        <v>12107</v>
      </c>
      <c r="C5427" s="3" t="s">
        <v>2163</v>
      </c>
      <c r="D5427" s="4" t="s">
        <v>12108</v>
      </c>
      <c r="E5427" s="3" t="s">
        <v>1076</v>
      </c>
      <c r="F5427" s="3" t="s">
        <v>2105</v>
      </c>
      <c r="G5427" s="3"/>
      <c r="H5427" s="4"/>
    </row>
    <row r="5428" ht="16.5" customHeight="1" spans="1:8">
      <c r="A5428" s="3">
        <v>5427</v>
      </c>
      <c r="B5428" s="3" t="s">
        <v>12109</v>
      </c>
      <c r="C5428" s="3" t="s">
        <v>2163</v>
      </c>
      <c r="D5428" s="4" t="s">
        <v>12110</v>
      </c>
      <c r="E5428" s="3" t="s">
        <v>1076</v>
      </c>
      <c r="F5428" s="3" t="s">
        <v>2105</v>
      </c>
      <c r="G5428" s="3"/>
      <c r="H5428" s="4"/>
    </row>
    <row r="5429" ht="16.5" customHeight="1" spans="1:8">
      <c r="A5429" s="3">
        <v>5428</v>
      </c>
      <c r="B5429" s="3" t="s">
        <v>12111</v>
      </c>
      <c r="C5429" s="3" t="s">
        <v>1361</v>
      </c>
      <c r="D5429" s="4" t="s">
        <v>12112</v>
      </c>
      <c r="E5429" s="3" t="s">
        <v>1218</v>
      </c>
      <c r="F5429" s="3" t="s">
        <v>2105</v>
      </c>
      <c r="G5429" s="3"/>
      <c r="H5429" s="4"/>
    </row>
    <row r="5430" ht="16.5" customHeight="1" spans="1:8">
      <c r="A5430" s="3">
        <v>5429</v>
      </c>
      <c r="B5430" s="3" t="s">
        <v>12113</v>
      </c>
      <c r="C5430" s="3" t="s">
        <v>1361</v>
      </c>
      <c r="D5430" s="4" t="s">
        <v>12114</v>
      </c>
      <c r="E5430" s="3" t="s">
        <v>1218</v>
      </c>
      <c r="F5430" s="3" t="s">
        <v>2105</v>
      </c>
      <c r="G5430" s="3"/>
      <c r="H5430" s="4"/>
    </row>
    <row r="5431" ht="16.5" customHeight="1" spans="1:8">
      <c r="A5431" s="3">
        <v>5430</v>
      </c>
      <c r="B5431" s="3" t="s">
        <v>12115</v>
      </c>
      <c r="C5431" s="3" t="s">
        <v>1361</v>
      </c>
      <c r="D5431" s="4" t="s">
        <v>12116</v>
      </c>
      <c r="E5431" s="3" t="s">
        <v>1218</v>
      </c>
      <c r="F5431" s="3" t="s">
        <v>2105</v>
      </c>
      <c r="G5431" s="3"/>
      <c r="H5431" s="4"/>
    </row>
    <row r="5432" ht="16.5" customHeight="1" spans="1:8">
      <c r="A5432" s="3">
        <v>5431</v>
      </c>
      <c r="B5432" s="3" t="s">
        <v>12117</v>
      </c>
      <c r="C5432" s="3" t="s">
        <v>1361</v>
      </c>
      <c r="D5432" s="4" t="s">
        <v>12118</v>
      </c>
      <c r="E5432" s="3" t="s">
        <v>1218</v>
      </c>
      <c r="F5432" s="3" t="s">
        <v>2105</v>
      </c>
      <c r="G5432" s="3"/>
      <c r="H5432" s="4"/>
    </row>
    <row r="5433" ht="16.5" customHeight="1" spans="1:8">
      <c r="A5433" s="3">
        <v>5432</v>
      </c>
      <c r="B5433" s="3" t="s">
        <v>12119</v>
      </c>
      <c r="C5433" s="3" t="s">
        <v>1361</v>
      </c>
      <c r="D5433" s="4" t="s">
        <v>12120</v>
      </c>
      <c r="E5433" s="3" t="s">
        <v>1218</v>
      </c>
      <c r="F5433" s="3" t="s">
        <v>2105</v>
      </c>
      <c r="G5433" s="3"/>
      <c r="H5433" s="4"/>
    </row>
    <row r="5434" ht="16.5" customHeight="1" spans="1:8">
      <c r="A5434" s="3">
        <v>5433</v>
      </c>
      <c r="B5434" s="3" t="s">
        <v>12121</v>
      </c>
      <c r="C5434" s="3" t="s">
        <v>1361</v>
      </c>
      <c r="D5434" s="4" t="s">
        <v>12122</v>
      </c>
      <c r="E5434" s="3" t="s">
        <v>1218</v>
      </c>
      <c r="F5434" s="3" t="s">
        <v>2105</v>
      </c>
      <c r="G5434" s="3"/>
      <c r="H5434" s="4"/>
    </row>
    <row r="5435" ht="16.5" customHeight="1" spans="1:8">
      <c r="A5435" s="3">
        <v>5434</v>
      </c>
      <c r="B5435" s="3" t="s">
        <v>12123</v>
      </c>
      <c r="C5435" s="3" t="s">
        <v>1361</v>
      </c>
      <c r="D5435" s="4" t="s">
        <v>12124</v>
      </c>
      <c r="E5435" s="3" t="s">
        <v>1218</v>
      </c>
      <c r="F5435" s="3" t="s">
        <v>2105</v>
      </c>
      <c r="G5435" s="3"/>
      <c r="H5435" s="4"/>
    </row>
    <row r="5436" ht="16.5" customHeight="1" spans="1:8">
      <c r="A5436" s="3">
        <v>5435</v>
      </c>
      <c r="B5436" s="3" t="s">
        <v>12125</v>
      </c>
      <c r="C5436" s="3" t="s">
        <v>1361</v>
      </c>
      <c r="D5436" s="4" t="s">
        <v>12126</v>
      </c>
      <c r="E5436" s="3" t="s">
        <v>1218</v>
      </c>
      <c r="F5436" s="3" t="s">
        <v>2105</v>
      </c>
      <c r="G5436" s="3"/>
      <c r="H5436" s="4"/>
    </row>
    <row r="5437" ht="16.5" customHeight="1" spans="1:8">
      <c r="A5437" s="3">
        <v>5436</v>
      </c>
      <c r="B5437" s="3" t="s">
        <v>12127</v>
      </c>
      <c r="C5437" s="3" t="s">
        <v>1361</v>
      </c>
      <c r="D5437" s="4" t="s">
        <v>12128</v>
      </c>
      <c r="E5437" s="3" t="s">
        <v>1218</v>
      </c>
      <c r="F5437" s="3" t="s">
        <v>2105</v>
      </c>
      <c r="G5437" s="3"/>
      <c r="H5437" s="4"/>
    </row>
    <row r="5438" ht="16.5" customHeight="1" spans="1:8">
      <c r="A5438" s="3">
        <v>5437</v>
      </c>
      <c r="B5438" s="3" t="s">
        <v>12129</v>
      </c>
      <c r="C5438" s="3" t="s">
        <v>1361</v>
      </c>
      <c r="D5438" s="4" t="s">
        <v>12130</v>
      </c>
      <c r="E5438" s="3" t="s">
        <v>1218</v>
      </c>
      <c r="F5438" s="3" t="s">
        <v>2105</v>
      </c>
      <c r="G5438" s="3"/>
      <c r="H5438" s="4"/>
    </row>
    <row r="5439" ht="16.5" customHeight="1" spans="1:8">
      <c r="A5439" s="3">
        <v>5438</v>
      </c>
      <c r="B5439" s="3" t="s">
        <v>12131</v>
      </c>
      <c r="C5439" s="3" t="s">
        <v>1361</v>
      </c>
      <c r="D5439" s="4" t="s">
        <v>12132</v>
      </c>
      <c r="E5439" s="3" t="s">
        <v>1218</v>
      </c>
      <c r="F5439" s="3" t="s">
        <v>2105</v>
      </c>
      <c r="G5439" s="3"/>
      <c r="H5439" s="4"/>
    </row>
    <row r="5440" ht="16.5" customHeight="1" spans="1:8">
      <c r="A5440" s="3">
        <v>5439</v>
      </c>
      <c r="B5440" s="3" t="s">
        <v>12133</v>
      </c>
      <c r="C5440" s="3" t="s">
        <v>1361</v>
      </c>
      <c r="D5440" s="4" t="s">
        <v>12134</v>
      </c>
      <c r="E5440" s="3" t="s">
        <v>1218</v>
      </c>
      <c r="F5440" s="3" t="s">
        <v>2105</v>
      </c>
      <c r="G5440" s="3"/>
      <c r="H5440" s="4"/>
    </row>
    <row r="5441" ht="16.5" customHeight="1" spans="1:8">
      <c r="A5441" s="3">
        <v>5440</v>
      </c>
      <c r="B5441" s="3" t="s">
        <v>12135</v>
      </c>
      <c r="C5441" s="3" t="s">
        <v>1361</v>
      </c>
      <c r="D5441" s="4" t="s">
        <v>12136</v>
      </c>
      <c r="E5441" s="3" t="s">
        <v>1218</v>
      </c>
      <c r="F5441" s="3" t="s">
        <v>2105</v>
      </c>
      <c r="G5441" s="3"/>
      <c r="H5441" s="4"/>
    </row>
    <row r="5442" ht="16.5" customHeight="1" spans="1:8">
      <c r="A5442" s="3">
        <v>5441</v>
      </c>
      <c r="B5442" s="3" t="s">
        <v>12137</v>
      </c>
      <c r="C5442" s="3" t="s">
        <v>1361</v>
      </c>
      <c r="D5442" s="4" t="s">
        <v>12138</v>
      </c>
      <c r="E5442" s="3" t="s">
        <v>1218</v>
      </c>
      <c r="F5442" s="3" t="s">
        <v>2105</v>
      </c>
      <c r="G5442" s="3"/>
      <c r="H5442" s="4"/>
    </row>
    <row r="5443" ht="16.5" customHeight="1" spans="1:8">
      <c r="A5443" s="3">
        <v>5442</v>
      </c>
      <c r="B5443" s="3" t="s">
        <v>12139</v>
      </c>
      <c r="C5443" s="3" t="s">
        <v>1361</v>
      </c>
      <c r="D5443" s="4" t="s">
        <v>12140</v>
      </c>
      <c r="E5443" s="3" t="s">
        <v>1218</v>
      </c>
      <c r="F5443" s="3" t="s">
        <v>2105</v>
      </c>
      <c r="G5443" s="3"/>
      <c r="H5443" s="4"/>
    </row>
    <row r="5444" ht="16.5" customHeight="1" spans="1:8">
      <c r="A5444" s="3">
        <v>5443</v>
      </c>
      <c r="B5444" s="3" t="s">
        <v>12141</v>
      </c>
      <c r="C5444" s="3" t="s">
        <v>1361</v>
      </c>
      <c r="D5444" s="4" t="s">
        <v>12142</v>
      </c>
      <c r="E5444" s="3" t="s">
        <v>1218</v>
      </c>
      <c r="F5444" s="3" t="s">
        <v>2105</v>
      </c>
      <c r="G5444" s="3"/>
      <c r="H5444" s="4"/>
    </row>
    <row r="5445" ht="16.5" customHeight="1" spans="1:8">
      <c r="A5445" s="3">
        <v>5444</v>
      </c>
      <c r="B5445" s="3" t="s">
        <v>12143</v>
      </c>
      <c r="C5445" s="3" t="s">
        <v>1361</v>
      </c>
      <c r="D5445" s="4" t="s">
        <v>12144</v>
      </c>
      <c r="E5445" s="3" t="s">
        <v>1218</v>
      </c>
      <c r="F5445" s="3" t="s">
        <v>2105</v>
      </c>
      <c r="G5445" s="3"/>
      <c r="H5445" s="4"/>
    </row>
    <row r="5446" ht="16.5" customHeight="1" spans="1:8">
      <c r="A5446" s="3">
        <v>5445</v>
      </c>
      <c r="B5446" s="3" t="s">
        <v>12145</v>
      </c>
      <c r="C5446" s="3" t="s">
        <v>1361</v>
      </c>
      <c r="D5446" s="4" t="s">
        <v>12146</v>
      </c>
      <c r="E5446" s="3" t="s">
        <v>1218</v>
      </c>
      <c r="F5446" s="3" t="s">
        <v>2105</v>
      </c>
      <c r="G5446" s="3"/>
      <c r="H5446" s="4"/>
    </row>
    <row r="5447" ht="16.5" customHeight="1" spans="1:8">
      <c r="A5447" s="3">
        <v>5446</v>
      </c>
      <c r="B5447" s="3" t="s">
        <v>12147</v>
      </c>
      <c r="C5447" s="3" t="s">
        <v>1361</v>
      </c>
      <c r="D5447" s="4" t="s">
        <v>12148</v>
      </c>
      <c r="E5447" s="3" t="s">
        <v>1218</v>
      </c>
      <c r="F5447" s="3" t="s">
        <v>2105</v>
      </c>
      <c r="G5447" s="3"/>
      <c r="H5447" s="4"/>
    </row>
    <row r="5448" ht="16.5" customHeight="1" spans="1:8">
      <c r="A5448" s="3">
        <v>5447</v>
      </c>
      <c r="B5448" s="3" t="s">
        <v>12149</v>
      </c>
      <c r="C5448" s="3" t="s">
        <v>1361</v>
      </c>
      <c r="D5448" s="4" t="s">
        <v>12150</v>
      </c>
      <c r="E5448" s="3" t="s">
        <v>1218</v>
      </c>
      <c r="F5448" s="3" t="s">
        <v>2105</v>
      </c>
      <c r="G5448" s="3"/>
      <c r="H5448" s="4"/>
    </row>
    <row r="5449" ht="16.5" customHeight="1" spans="1:8">
      <c r="A5449" s="3">
        <v>5448</v>
      </c>
      <c r="B5449" s="3" t="s">
        <v>12151</v>
      </c>
      <c r="C5449" s="3" t="s">
        <v>1361</v>
      </c>
      <c r="D5449" s="4" t="s">
        <v>12152</v>
      </c>
      <c r="E5449" s="3" t="s">
        <v>1218</v>
      </c>
      <c r="F5449" s="3" t="s">
        <v>2105</v>
      </c>
      <c r="G5449" s="3"/>
      <c r="H5449" s="4"/>
    </row>
    <row r="5450" ht="16.5" customHeight="1" spans="1:8">
      <c r="A5450" s="3">
        <v>5449</v>
      </c>
      <c r="B5450" s="3" t="s">
        <v>12153</v>
      </c>
      <c r="C5450" s="3" t="s">
        <v>1361</v>
      </c>
      <c r="D5450" s="4" t="s">
        <v>12154</v>
      </c>
      <c r="E5450" s="3" t="s">
        <v>1218</v>
      </c>
      <c r="F5450" s="3" t="s">
        <v>2105</v>
      </c>
      <c r="G5450" s="3"/>
      <c r="H5450" s="4"/>
    </row>
    <row r="5451" ht="16.5" customHeight="1" spans="1:8">
      <c r="A5451" s="3">
        <v>5450</v>
      </c>
      <c r="B5451" s="3" t="s">
        <v>12155</v>
      </c>
      <c r="C5451" s="3" t="s">
        <v>1361</v>
      </c>
      <c r="D5451" s="4" t="s">
        <v>12156</v>
      </c>
      <c r="E5451" s="3" t="s">
        <v>1218</v>
      </c>
      <c r="F5451" s="3" t="s">
        <v>2105</v>
      </c>
      <c r="G5451" s="3"/>
      <c r="H5451" s="4"/>
    </row>
    <row r="5452" ht="16.5" customHeight="1" spans="1:8">
      <c r="A5452" s="3">
        <v>5451</v>
      </c>
      <c r="B5452" s="3" t="s">
        <v>12157</v>
      </c>
      <c r="C5452" s="3" t="s">
        <v>1361</v>
      </c>
      <c r="D5452" s="4" t="s">
        <v>12158</v>
      </c>
      <c r="E5452" s="3" t="s">
        <v>1218</v>
      </c>
      <c r="F5452" s="3" t="s">
        <v>2105</v>
      </c>
      <c r="G5452" s="3"/>
      <c r="H5452" s="4"/>
    </row>
    <row r="5453" ht="16.5" customHeight="1" spans="1:8">
      <c r="A5453" s="3">
        <v>5452</v>
      </c>
      <c r="B5453" s="3" t="s">
        <v>12159</v>
      </c>
      <c r="C5453" s="3" t="s">
        <v>1361</v>
      </c>
      <c r="D5453" s="4" t="s">
        <v>12160</v>
      </c>
      <c r="E5453" s="3" t="s">
        <v>1218</v>
      </c>
      <c r="F5453" s="3" t="s">
        <v>2105</v>
      </c>
      <c r="G5453" s="3"/>
      <c r="H5453" s="4"/>
    </row>
    <row r="5454" ht="16.5" customHeight="1" spans="1:8">
      <c r="A5454" s="3">
        <v>5453</v>
      </c>
      <c r="B5454" s="3" t="s">
        <v>12161</v>
      </c>
      <c r="C5454" s="3" t="s">
        <v>1361</v>
      </c>
      <c r="D5454" s="4" t="s">
        <v>12162</v>
      </c>
      <c r="E5454" s="3" t="s">
        <v>1218</v>
      </c>
      <c r="F5454" s="3" t="s">
        <v>2105</v>
      </c>
      <c r="G5454" s="3"/>
      <c r="H5454" s="4"/>
    </row>
    <row r="5455" ht="16.5" customHeight="1" spans="1:8">
      <c r="A5455" s="3">
        <v>5454</v>
      </c>
      <c r="B5455" s="3" t="s">
        <v>12163</v>
      </c>
      <c r="C5455" s="3" t="s">
        <v>1361</v>
      </c>
      <c r="D5455" s="4" t="s">
        <v>12164</v>
      </c>
      <c r="E5455" s="3" t="s">
        <v>1218</v>
      </c>
      <c r="F5455" s="3" t="s">
        <v>2105</v>
      </c>
      <c r="G5455" s="3"/>
      <c r="H5455" s="4"/>
    </row>
    <row r="5456" ht="16.5" customHeight="1" spans="1:8">
      <c r="A5456" s="3">
        <v>5455</v>
      </c>
      <c r="B5456" s="3" t="s">
        <v>12165</v>
      </c>
      <c r="C5456" s="3" t="s">
        <v>1361</v>
      </c>
      <c r="D5456" s="4" t="s">
        <v>12166</v>
      </c>
      <c r="E5456" s="3" t="s">
        <v>1218</v>
      </c>
      <c r="F5456" s="3" t="s">
        <v>2105</v>
      </c>
      <c r="G5456" s="3"/>
      <c r="H5456" s="4"/>
    </row>
    <row r="5457" ht="16.5" customHeight="1" spans="1:8">
      <c r="A5457" s="3">
        <v>5456</v>
      </c>
      <c r="B5457" s="3" t="s">
        <v>12167</v>
      </c>
      <c r="C5457" s="3" t="s">
        <v>1361</v>
      </c>
      <c r="D5457" s="4" t="s">
        <v>12168</v>
      </c>
      <c r="E5457" s="3" t="s">
        <v>1218</v>
      </c>
      <c r="F5457" s="3" t="s">
        <v>2105</v>
      </c>
      <c r="G5457" s="3"/>
      <c r="H5457" s="4"/>
    </row>
    <row r="5458" ht="16.5" customHeight="1" spans="1:8">
      <c r="A5458" s="3">
        <v>5457</v>
      </c>
      <c r="B5458" s="3" t="s">
        <v>12169</v>
      </c>
      <c r="C5458" s="3" t="s">
        <v>1361</v>
      </c>
      <c r="D5458" s="4" t="s">
        <v>12170</v>
      </c>
      <c r="E5458" s="3" t="s">
        <v>1218</v>
      </c>
      <c r="F5458" s="3" t="s">
        <v>2105</v>
      </c>
      <c r="G5458" s="3"/>
      <c r="H5458" s="4"/>
    </row>
    <row r="5459" ht="16.5" customHeight="1" spans="1:8">
      <c r="A5459" s="3">
        <v>5458</v>
      </c>
      <c r="B5459" s="3" t="s">
        <v>12171</v>
      </c>
      <c r="C5459" s="3" t="s">
        <v>1361</v>
      </c>
      <c r="D5459" s="4" t="s">
        <v>12172</v>
      </c>
      <c r="E5459" s="3" t="s">
        <v>1218</v>
      </c>
      <c r="F5459" s="3" t="s">
        <v>2105</v>
      </c>
      <c r="G5459" s="3"/>
      <c r="H5459" s="4"/>
    </row>
    <row r="5460" ht="16.5" customHeight="1" spans="1:8">
      <c r="A5460" s="3">
        <v>5459</v>
      </c>
      <c r="B5460" s="3" t="s">
        <v>12173</v>
      </c>
      <c r="C5460" s="3" t="s">
        <v>1361</v>
      </c>
      <c r="D5460" s="4" t="s">
        <v>12174</v>
      </c>
      <c r="E5460" s="3" t="s">
        <v>1218</v>
      </c>
      <c r="F5460" s="3" t="s">
        <v>2105</v>
      </c>
      <c r="G5460" s="3"/>
      <c r="H5460" s="4"/>
    </row>
    <row r="5461" ht="16.5" customHeight="1" spans="1:8">
      <c r="A5461" s="3">
        <v>5460</v>
      </c>
      <c r="B5461" s="3" t="s">
        <v>12175</v>
      </c>
      <c r="C5461" s="3" t="s">
        <v>1361</v>
      </c>
      <c r="D5461" s="4" t="s">
        <v>12176</v>
      </c>
      <c r="E5461" s="3" t="s">
        <v>1218</v>
      </c>
      <c r="F5461" s="3" t="s">
        <v>2105</v>
      </c>
      <c r="G5461" s="3"/>
      <c r="H5461" s="4"/>
    </row>
    <row r="5462" ht="16.5" customHeight="1" spans="1:8">
      <c r="A5462" s="3">
        <v>5461</v>
      </c>
      <c r="B5462" s="3" t="s">
        <v>12177</v>
      </c>
      <c r="C5462" s="3" t="s">
        <v>1361</v>
      </c>
      <c r="D5462" s="4" t="s">
        <v>12178</v>
      </c>
      <c r="E5462" s="3" t="s">
        <v>1218</v>
      </c>
      <c r="F5462" s="3" t="s">
        <v>2105</v>
      </c>
      <c r="G5462" s="3"/>
      <c r="H5462" s="4"/>
    </row>
    <row r="5463" ht="16.5" customHeight="1" spans="1:8">
      <c r="A5463" s="3">
        <v>5462</v>
      </c>
      <c r="B5463" s="3" t="s">
        <v>12179</v>
      </c>
      <c r="C5463" s="3" t="s">
        <v>1361</v>
      </c>
      <c r="D5463" s="4" t="s">
        <v>12180</v>
      </c>
      <c r="E5463" s="3" t="s">
        <v>1218</v>
      </c>
      <c r="F5463" s="3" t="s">
        <v>2105</v>
      </c>
      <c r="G5463" s="3"/>
      <c r="H5463" s="4"/>
    </row>
    <row r="5464" ht="16.5" customHeight="1" spans="1:8">
      <c r="A5464" s="3">
        <v>5463</v>
      </c>
      <c r="B5464" s="3" t="s">
        <v>12181</v>
      </c>
      <c r="C5464" s="3" t="s">
        <v>1361</v>
      </c>
      <c r="D5464" s="4" t="s">
        <v>12182</v>
      </c>
      <c r="E5464" s="3" t="s">
        <v>1218</v>
      </c>
      <c r="F5464" s="3" t="s">
        <v>2105</v>
      </c>
      <c r="G5464" s="3"/>
      <c r="H5464" s="4"/>
    </row>
    <row r="5465" ht="16.5" customHeight="1" spans="1:8">
      <c r="A5465" s="3">
        <v>5464</v>
      </c>
      <c r="B5465" s="3" t="s">
        <v>12183</v>
      </c>
      <c r="C5465" s="3" t="s">
        <v>1361</v>
      </c>
      <c r="D5465" s="4" t="s">
        <v>12184</v>
      </c>
      <c r="E5465" s="3" t="s">
        <v>1218</v>
      </c>
      <c r="F5465" s="3" t="s">
        <v>2105</v>
      </c>
      <c r="G5465" s="3"/>
      <c r="H5465" s="4"/>
    </row>
    <row r="5466" ht="16.5" customHeight="1" spans="1:8">
      <c r="A5466" s="3">
        <v>5465</v>
      </c>
      <c r="B5466" s="3" t="s">
        <v>12185</v>
      </c>
      <c r="C5466" s="3" t="s">
        <v>1361</v>
      </c>
      <c r="D5466" s="4" t="s">
        <v>12186</v>
      </c>
      <c r="E5466" s="3" t="s">
        <v>1218</v>
      </c>
      <c r="F5466" s="3" t="s">
        <v>2105</v>
      </c>
      <c r="G5466" s="3"/>
      <c r="H5466" s="4"/>
    </row>
    <row r="5467" ht="16.5" customHeight="1" spans="1:8">
      <c r="A5467" s="3">
        <v>5466</v>
      </c>
      <c r="B5467" s="3" t="s">
        <v>12187</v>
      </c>
      <c r="C5467" s="3" t="s">
        <v>1361</v>
      </c>
      <c r="D5467" s="4" t="s">
        <v>12188</v>
      </c>
      <c r="E5467" s="3" t="s">
        <v>1218</v>
      </c>
      <c r="F5467" s="3" t="s">
        <v>2105</v>
      </c>
      <c r="G5467" s="3"/>
      <c r="H5467" s="4"/>
    </row>
    <row r="5468" ht="16.5" customHeight="1" spans="1:8">
      <c r="A5468" s="3">
        <v>5467</v>
      </c>
      <c r="B5468" s="3" t="s">
        <v>12189</v>
      </c>
      <c r="C5468" s="3" t="s">
        <v>1361</v>
      </c>
      <c r="D5468" s="4" t="s">
        <v>12190</v>
      </c>
      <c r="E5468" s="3" t="s">
        <v>1218</v>
      </c>
      <c r="F5468" s="3" t="s">
        <v>2105</v>
      </c>
      <c r="G5468" s="3"/>
      <c r="H5468" s="4"/>
    </row>
    <row r="5469" ht="16.5" customHeight="1" spans="1:8">
      <c r="A5469" s="3">
        <v>5468</v>
      </c>
      <c r="B5469" s="3" t="s">
        <v>12191</v>
      </c>
      <c r="C5469" s="3" t="s">
        <v>1361</v>
      </c>
      <c r="D5469" s="4" t="s">
        <v>12192</v>
      </c>
      <c r="E5469" s="3" t="s">
        <v>1218</v>
      </c>
      <c r="F5469" s="3" t="s">
        <v>2105</v>
      </c>
      <c r="G5469" s="3"/>
      <c r="H5469" s="4"/>
    </row>
    <row r="5470" ht="16.5" customHeight="1" spans="1:8">
      <c r="A5470" s="3">
        <v>5469</v>
      </c>
      <c r="B5470" s="3" t="s">
        <v>12193</v>
      </c>
      <c r="C5470" s="3" t="s">
        <v>1361</v>
      </c>
      <c r="D5470" s="4" t="s">
        <v>12194</v>
      </c>
      <c r="E5470" s="3" t="s">
        <v>1218</v>
      </c>
      <c r="F5470" s="3" t="s">
        <v>2105</v>
      </c>
      <c r="G5470" s="3"/>
      <c r="H5470" s="4"/>
    </row>
    <row r="5471" ht="16.5" customHeight="1" spans="1:8">
      <c r="A5471" s="3">
        <v>5470</v>
      </c>
      <c r="B5471" s="3" t="s">
        <v>12195</v>
      </c>
      <c r="C5471" s="3" t="s">
        <v>1361</v>
      </c>
      <c r="D5471" s="4" t="s">
        <v>12196</v>
      </c>
      <c r="E5471" s="3" t="s">
        <v>1218</v>
      </c>
      <c r="F5471" s="3" t="s">
        <v>1358</v>
      </c>
      <c r="G5471" s="3"/>
      <c r="H5471" s="4"/>
    </row>
    <row r="5472" ht="16.5" customHeight="1" spans="1:8">
      <c r="A5472" s="3">
        <v>5471</v>
      </c>
      <c r="B5472" s="3" t="s">
        <v>12197</v>
      </c>
      <c r="C5472" s="3" t="s">
        <v>1105</v>
      </c>
      <c r="D5472" s="4" t="s">
        <v>12198</v>
      </c>
      <c r="E5472" s="3" t="s">
        <v>1076</v>
      </c>
      <c r="F5472" s="3" t="s">
        <v>12199</v>
      </c>
      <c r="G5472" s="3"/>
      <c r="H5472" s="4" t="s">
        <v>12200</v>
      </c>
    </row>
    <row r="5473" ht="16.5" customHeight="1" spans="1:8">
      <c r="A5473" s="3">
        <v>5472</v>
      </c>
      <c r="B5473" s="3" t="s">
        <v>12201</v>
      </c>
      <c r="C5473" s="3" t="s">
        <v>1361</v>
      </c>
      <c r="D5473" s="4" t="s">
        <v>12202</v>
      </c>
      <c r="E5473" s="3" t="s">
        <v>1218</v>
      </c>
      <c r="F5473" s="3" t="s">
        <v>1358</v>
      </c>
      <c r="G5473" s="3"/>
      <c r="H5473" s="4"/>
    </row>
    <row r="5474" ht="16.5" customHeight="1" spans="1:8">
      <c r="A5474" s="3">
        <v>5473</v>
      </c>
      <c r="B5474" s="3" t="s">
        <v>12203</v>
      </c>
      <c r="C5474" s="3" t="s">
        <v>1361</v>
      </c>
      <c r="D5474" s="4" t="s">
        <v>12204</v>
      </c>
      <c r="E5474" s="3" t="s">
        <v>1218</v>
      </c>
      <c r="F5474" s="3" t="s">
        <v>1358</v>
      </c>
      <c r="G5474" s="3"/>
      <c r="H5474" s="4"/>
    </row>
    <row r="5475" ht="16.5" customHeight="1" spans="1:8">
      <c r="A5475" s="3">
        <v>5474</v>
      </c>
      <c r="B5475" s="3" t="s">
        <v>12205</v>
      </c>
      <c r="C5475" s="3" t="s">
        <v>1361</v>
      </c>
      <c r="D5475" s="4" t="s">
        <v>12206</v>
      </c>
      <c r="E5475" s="3" t="s">
        <v>1218</v>
      </c>
      <c r="F5475" s="3" t="s">
        <v>1358</v>
      </c>
      <c r="G5475" s="3"/>
      <c r="H5475" s="4"/>
    </row>
    <row r="5476" ht="16.5" customHeight="1" spans="1:8">
      <c r="A5476" s="3">
        <v>5475</v>
      </c>
      <c r="B5476" s="3" t="s">
        <v>12207</v>
      </c>
      <c r="C5476" s="3" t="s">
        <v>1361</v>
      </c>
      <c r="D5476" s="4" t="s">
        <v>12208</v>
      </c>
      <c r="E5476" s="3" t="s">
        <v>1218</v>
      </c>
      <c r="F5476" s="3" t="s">
        <v>1358</v>
      </c>
      <c r="G5476" s="3"/>
      <c r="H5476" s="4"/>
    </row>
    <row r="5477" ht="16.5" customHeight="1" spans="1:8">
      <c r="A5477" s="3">
        <v>5476</v>
      </c>
      <c r="B5477" s="3" t="s">
        <v>12209</v>
      </c>
      <c r="C5477" s="3" t="s">
        <v>1361</v>
      </c>
      <c r="D5477" s="4" t="s">
        <v>12210</v>
      </c>
      <c r="E5477" s="3" t="s">
        <v>1218</v>
      </c>
      <c r="F5477" s="3" t="s">
        <v>1358</v>
      </c>
      <c r="G5477" s="3"/>
      <c r="H5477" s="4"/>
    </row>
    <row r="5478" ht="16.5" customHeight="1" spans="1:8">
      <c r="A5478" s="3">
        <v>5477</v>
      </c>
      <c r="B5478" s="3" t="s">
        <v>12211</v>
      </c>
      <c r="C5478" s="3" t="s">
        <v>1361</v>
      </c>
      <c r="D5478" s="4" t="s">
        <v>12212</v>
      </c>
      <c r="E5478" s="3" t="s">
        <v>1218</v>
      </c>
      <c r="F5478" s="3" t="s">
        <v>1358</v>
      </c>
      <c r="G5478" s="3"/>
      <c r="H5478" s="4"/>
    </row>
    <row r="5479" ht="16.5" customHeight="1" spans="1:8">
      <c r="A5479" s="3">
        <v>5478</v>
      </c>
      <c r="B5479" s="3" t="s">
        <v>12213</v>
      </c>
      <c r="C5479" s="3" t="s">
        <v>1361</v>
      </c>
      <c r="D5479" s="4" t="s">
        <v>12214</v>
      </c>
      <c r="E5479" s="3" t="s">
        <v>1218</v>
      </c>
      <c r="F5479" s="3" t="s">
        <v>1358</v>
      </c>
      <c r="G5479" s="3"/>
      <c r="H5479" s="4"/>
    </row>
    <row r="5480" ht="16.5" customHeight="1" spans="1:8">
      <c r="A5480" s="3">
        <v>5479</v>
      </c>
      <c r="B5480" s="3" t="s">
        <v>12215</v>
      </c>
      <c r="C5480" s="3" t="s">
        <v>1361</v>
      </c>
      <c r="D5480" s="4" t="s">
        <v>12216</v>
      </c>
      <c r="E5480" s="3" t="s">
        <v>1218</v>
      </c>
      <c r="F5480" s="3" t="s">
        <v>1358</v>
      </c>
      <c r="G5480" s="3"/>
      <c r="H5480" s="4"/>
    </row>
    <row r="5481" ht="16.5" customHeight="1" spans="1:8">
      <c r="A5481" s="3">
        <v>5480</v>
      </c>
      <c r="B5481" s="3" t="s">
        <v>12217</v>
      </c>
      <c r="C5481" s="3" t="s">
        <v>1361</v>
      </c>
      <c r="D5481" s="4" t="s">
        <v>12218</v>
      </c>
      <c r="E5481" s="3" t="s">
        <v>1218</v>
      </c>
      <c r="F5481" s="3" t="s">
        <v>1358</v>
      </c>
      <c r="G5481" s="3"/>
      <c r="H5481" s="4"/>
    </row>
    <row r="5482" ht="16.5" customHeight="1" spans="1:8">
      <c r="A5482" s="3">
        <v>5481</v>
      </c>
      <c r="B5482" s="3" t="s">
        <v>12219</v>
      </c>
      <c r="C5482" s="3" t="s">
        <v>2163</v>
      </c>
      <c r="D5482" s="4" t="s">
        <v>12220</v>
      </c>
      <c r="E5482" s="3" t="s">
        <v>1076</v>
      </c>
      <c r="F5482" s="3" t="s">
        <v>2105</v>
      </c>
      <c r="G5482" s="3"/>
      <c r="H5482" s="4"/>
    </row>
    <row r="5483" ht="16.5" customHeight="1" spans="1:8">
      <c r="A5483" s="3">
        <v>5482</v>
      </c>
      <c r="B5483" s="3" t="s">
        <v>12221</v>
      </c>
      <c r="C5483" s="3" t="s">
        <v>2163</v>
      </c>
      <c r="D5483" s="4" t="s">
        <v>12222</v>
      </c>
      <c r="E5483" s="3" t="s">
        <v>2726</v>
      </c>
      <c r="F5483" s="3" t="s">
        <v>2105</v>
      </c>
      <c r="G5483" s="3"/>
      <c r="H5483" s="4"/>
    </row>
    <row r="5484" ht="16.5" customHeight="1" spans="1:8">
      <c r="A5484" s="3">
        <v>5483</v>
      </c>
      <c r="B5484" s="3" t="s">
        <v>12223</v>
      </c>
      <c r="C5484" s="3" t="s">
        <v>2163</v>
      </c>
      <c r="D5484" s="4" t="s">
        <v>12224</v>
      </c>
      <c r="E5484" s="3" t="s">
        <v>7007</v>
      </c>
      <c r="F5484" s="3" t="s">
        <v>2105</v>
      </c>
      <c r="G5484" s="3"/>
      <c r="H5484" s="4"/>
    </row>
    <row r="5485" ht="16.5" customHeight="1" spans="1:8">
      <c r="A5485" s="3">
        <v>5484</v>
      </c>
      <c r="B5485" s="3" t="s">
        <v>12225</v>
      </c>
      <c r="C5485" s="3" t="s">
        <v>1105</v>
      </c>
      <c r="D5485" s="4" t="s">
        <v>12226</v>
      </c>
      <c r="E5485" s="3" t="s">
        <v>1076</v>
      </c>
      <c r="F5485" s="3" t="s">
        <v>4668</v>
      </c>
      <c r="G5485" s="3"/>
      <c r="H5485" s="4" t="s">
        <v>11548</v>
      </c>
    </row>
    <row r="5486" ht="16.5" customHeight="1" spans="1:8">
      <c r="A5486" s="3">
        <v>5485</v>
      </c>
      <c r="B5486" s="3" t="s">
        <v>12227</v>
      </c>
      <c r="C5486" s="3" t="s">
        <v>2163</v>
      </c>
      <c r="D5486" s="4" t="s">
        <v>12228</v>
      </c>
      <c r="E5486" s="3" t="s">
        <v>1076</v>
      </c>
      <c r="F5486" s="3" t="s">
        <v>2105</v>
      </c>
      <c r="G5486" s="3"/>
      <c r="H5486" s="4"/>
    </row>
    <row r="5487" ht="16.5" customHeight="1" spans="1:8">
      <c r="A5487" s="3">
        <v>5486</v>
      </c>
      <c r="B5487" s="3" t="s">
        <v>12229</v>
      </c>
      <c r="C5487" s="3" t="s">
        <v>2163</v>
      </c>
      <c r="D5487" s="4" t="s">
        <v>12230</v>
      </c>
      <c r="E5487" s="3" t="s">
        <v>2726</v>
      </c>
      <c r="F5487" s="3" t="s">
        <v>2105</v>
      </c>
      <c r="G5487" s="3"/>
      <c r="H5487" s="4"/>
    </row>
    <row r="5488" ht="16.5" customHeight="1" spans="1:8">
      <c r="A5488" s="3">
        <v>5487</v>
      </c>
      <c r="B5488" s="3" t="s">
        <v>12231</v>
      </c>
      <c r="C5488" s="3" t="s">
        <v>2163</v>
      </c>
      <c r="D5488" s="4" t="s">
        <v>12232</v>
      </c>
      <c r="E5488" s="3" t="s">
        <v>1076</v>
      </c>
      <c r="F5488" s="3" t="s">
        <v>2105</v>
      </c>
      <c r="G5488" s="3"/>
      <c r="H5488" s="4"/>
    </row>
    <row r="5489" ht="16.5" customHeight="1" spans="1:8">
      <c r="A5489" s="3">
        <v>5488</v>
      </c>
      <c r="B5489" s="3" t="s">
        <v>12233</v>
      </c>
      <c r="C5489" s="3" t="s">
        <v>2163</v>
      </c>
      <c r="D5489" s="4" t="s">
        <v>12234</v>
      </c>
      <c r="E5489" s="3" t="s">
        <v>2726</v>
      </c>
      <c r="F5489" s="3" t="s">
        <v>2105</v>
      </c>
      <c r="G5489" s="3"/>
      <c r="H5489" s="4"/>
    </row>
    <row r="5490" ht="16.5" customHeight="1" spans="1:8">
      <c r="A5490" s="3">
        <v>5489</v>
      </c>
      <c r="B5490" s="3" t="s">
        <v>12235</v>
      </c>
      <c r="C5490" s="3" t="s">
        <v>1074</v>
      </c>
      <c r="D5490" s="4" t="s">
        <v>12236</v>
      </c>
      <c r="E5490" s="3" t="s">
        <v>1076</v>
      </c>
      <c r="F5490" s="3" t="s">
        <v>10259</v>
      </c>
      <c r="G5490" s="3"/>
      <c r="H5490" s="4" t="s">
        <v>4005</v>
      </c>
    </row>
    <row r="5491" ht="16.5" customHeight="1" spans="1:8">
      <c r="A5491" s="3">
        <v>5490</v>
      </c>
      <c r="B5491" s="3" t="s">
        <v>12237</v>
      </c>
      <c r="C5491" s="3" t="s">
        <v>2163</v>
      </c>
      <c r="D5491" s="4" t="s">
        <v>12238</v>
      </c>
      <c r="E5491" s="3" t="s">
        <v>1076</v>
      </c>
      <c r="F5491" s="3" t="s">
        <v>2105</v>
      </c>
      <c r="G5491" s="3"/>
      <c r="H5491" s="4"/>
    </row>
    <row r="5492" ht="16.5" customHeight="1" spans="1:8">
      <c r="A5492" s="3">
        <v>5491</v>
      </c>
      <c r="B5492" s="3" t="s">
        <v>12239</v>
      </c>
      <c r="C5492" s="3" t="s">
        <v>1105</v>
      </c>
      <c r="D5492" s="4" t="s">
        <v>12240</v>
      </c>
      <c r="E5492" s="3" t="s">
        <v>1076</v>
      </c>
      <c r="F5492" s="3" t="s">
        <v>12241</v>
      </c>
      <c r="G5492" s="3"/>
      <c r="H5492" s="4" t="s">
        <v>12242</v>
      </c>
    </row>
    <row r="5493" ht="16.5" customHeight="1" spans="1:8">
      <c r="A5493" s="3">
        <v>5492</v>
      </c>
      <c r="B5493" s="3" t="s">
        <v>12243</v>
      </c>
      <c r="C5493" s="3" t="s">
        <v>2163</v>
      </c>
      <c r="D5493" s="4" t="s">
        <v>12244</v>
      </c>
      <c r="E5493" s="3" t="s">
        <v>1076</v>
      </c>
      <c r="F5493" s="3" t="s">
        <v>2105</v>
      </c>
      <c r="G5493" s="3" t="s">
        <v>45</v>
      </c>
      <c r="H5493" s="4"/>
    </row>
    <row r="5494" ht="16.5" customHeight="1" spans="1:8">
      <c r="A5494" s="3">
        <v>5493</v>
      </c>
      <c r="B5494" s="3" t="s">
        <v>12245</v>
      </c>
      <c r="C5494" s="3" t="s">
        <v>2163</v>
      </c>
      <c r="D5494" s="4" t="s">
        <v>12246</v>
      </c>
      <c r="E5494" s="3" t="s">
        <v>7007</v>
      </c>
      <c r="F5494" s="3" t="s">
        <v>2105</v>
      </c>
      <c r="G5494" s="3"/>
      <c r="H5494" s="4"/>
    </row>
    <row r="5495" ht="16.5" customHeight="1" spans="1:8">
      <c r="A5495" s="3">
        <v>5494</v>
      </c>
      <c r="B5495" s="3" t="s">
        <v>12247</v>
      </c>
      <c r="C5495" s="3" t="s">
        <v>2163</v>
      </c>
      <c r="D5495" s="4" t="s">
        <v>12248</v>
      </c>
      <c r="E5495" s="3" t="s">
        <v>3093</v>
      </c>
      <c r="F5495" s="3" t="s">
        <v>2105</v>
      </c>
      <c r="G5495" s="3"/>
      <c r="H5495" s="4"/>
    </row>
    <row r="5496" ht="16.5" customHeight="1" spans="1:8">
      <c r="A5496" s="3">
        <v>5495</v>
      </c>
      <c r="B5496" s="3" t="s">
        <v>12249</v>
      </c>
      <c r="C5496" s="3" t="s">
        <v>1361</v>
      </c>
      <c r="D5496" s="4" t="s">
        <v>12250</v>
      </c>
      <c r="E5496" s="3" t="s">
        <v>1218</v>
      </c>
      <c r="F5496" s="3" t="s">
        <v>1358</v>
      </c>
      <c r="G5496" s="3"/>
      <c r="H5496" s="4"/>
    </row>
    <row r="5497" ht="16.5" customHeight="1" spans="1:8">
      <c r="A5497" s="3">
        <v>5496</v>
      </c>
      <c r="B5497" s="3" t="s">
        <v>12251</v>
      </c>
      <c r="C5497" s="3" t="s">
        <v>1361</v>
      </c>
      <c r="D5497" s="4" t="s">
        <v>12252</v>
      </c>
      <c r="E5497" s="3" t="s">
        <v>1218</v>
      </c>
      <c r="F5497" s="3" t="s">
        <v>1358</v>
      </c>
      <c r="G5497" s="3"/>
      <c r="H5497" s="4"/>
    </row>
    <row r="5498" ht="16.5" customHeight="1" spans="1:8">
      <c r="A5498" s="3">
        <v>5497</v>
      </c>
      <c r="B5498" s="3" t="s">
        <v>12253</v>
      </c>
      <c r="C5498" s="3" t="s">
        <v>2163</v>
      </c>
      <c r="D5498" s="4" t="s">
        <v>12254</v>
      </c>
      <c r="E5498" s="3" t="s">
        <v>1076</v>
      </c>
      <c r="F5498" s="3" t="s">
        <v>10943</v>
      </c>
      <c r="G5498" s="3"/>
      <c r="H5498" s="4" t="s">
        <v>1305</v>
      </c>
    </row>
    <row r="5499" ht="16.5" customHeight="1" spans="1:8">
      <c r="A5499" s="3">
        <v>5498</v>
      </c>
      <c r="B5499" s="3" t="s">
        <v>12255</v>
      </c>
      <c r="C5499" s="3" t="s">
        <v>2163</v>
      </c>
      <c r="D5499" s="4" t="s">
        <v>12256</v>
      </c>
      <c r="E5499" s="3" t="s">
        <v>1076</v>
      </c>
      <c r="F5499" s="3" t="s">
        <v>1358</v>
      </c>
      <c r="G5499" s="3" t="s">
        <v>321</v>
      </c>
      <c r="H5499" s="4" t="s">
        <v>10724</v>
      </c>
    </row>
    <row r="5500" ht="16.5" customHeight="1" spans="1:8">
      <c r="A5500" s="3">
        <v>5499</v>
      </c>
      <c r="B5500" s="3" t="s">
        <v>12257</v>
      </c>
      <c r="C5500" s="3" t="s">
        <v>2163</v>
      </c>
      <c r="D5500" s="4" t="s">
        <v>12258</v>
      </c>
      <c r="E5500" s="3" t="s">
        <v>1076</v>
      </c>
      <c r="F5500" s="3" t="s">
        <v>1358</v>
      </c>
      <c r="G5500" s="3" t="s">
        <v>321</v>
      </c>
      <c r="H5500" s="4" t="s">
        <v>10724</v>
      </c>
    </row>
    <row r="5501" ht="16.5" customHeight="1" spans="1:8">
      <c r="A5501" s="3">
        <v>5500</v>
      </c>
      <c r="B5501" s="3" t="s">
        <v>12259</v>
      </c>
      <c r="C5501" s="3" t="s">
        <v>2163</v>
      </c>
      <c r="D5501" s="4" t="s">
        <v>12260</v>
      </c>
      <c r="E5501" s="3" t="s">
        <v>3954</v>
      </c>
      <c r="F5501" s="3" t="s">
        <v>4668</v>
      </c>
      <c r="G5501" s="3"/>
      <c r="H5501" s="4" t="s">
        <v>1305</v>
      </c>
    </row>
    <row r="5502" ht="16.5" customHeight="1" spans="1:8">
      <c r="A5502" s="3">
        <v>5501</v>
      </c>
      <c r="B5502" s="3" t="s">
        <v>12261</v>
      </c>
      <c r="C5502" s="3" t="s">
        <v>1105</v>
      </c>
      <c r="D5502" s="4" t="s">
        <v>12262</v>
      </c>
      <c r="E5502" s="3" t="s">
        <v>1076</v>
      </c>
      <c r="F5502" s="3" t="s">
        <v>1152</v>
      </c>
      <c r="G5502" s="3"/>
      <c r="H5502" s="4" t="s">
        <v>12263</v>
      </c>
    </row>
    <row r="5503" ht="16.5" customHeight="1" spans="1:8">
      <c r="A5503" s="3">
        <v>5502</v>
      </c>
      <c r="B5503" s="3" t="s">
        <v>12264</v>
      </c>
      <c r="C5503" s="3" t="s">
        <v>2163</v>
      </c>
      <c r="D5503" s="4" t="s">
        <v>12265</v>
      </c>
      <c r="E5503" s="3" t="s">
        <v>5779</v>
      </c>
      <c r="F5503" s="3" t="s">
        <v>4668</v>
      </c>
      <c r="G5503" s="3"/>
      <c r="H5503" s="4" t="s">
        <v>1305</v>
      </c>
    </row>
    <row r="5504" ht="16.5" customHeight="1" spans="1:8">
      <c r="A5504" s="3">
        <v>5503</v>
      </c>
      <c r="B5504" s="3" t="s">
        <v>12266</v>
      </c>
      <c r="C5504" s="3" t="s">
        <v>2163</v>
      </c>
      <c r="D5504" s="4" t="s">
        <v>12267</v>
      </c>
      <c r="E5504" s="3" t="s">
        <v>5779</v>
      </c>
      <c r="F5504" s="3" t="s">
        <v>4668</v>
      </c>
      <c r="G5504" s="3"/>
      <c r="H5504" s="4" t="s">
        <v>1305</v>
      </c>
    </row>
    <row r="5505" ht="16.5" customHeight="1" spans="1:8">
      <c r="A5505" s="3">
        <v>5504</v>
      </c>
      <c r="B5505" s="3" t="s">
        <v>12268</v>
      </c>
      <c r="C5505" s="3" t="s">
        <v>2163</v>
      </c>
      <c r="D5505" s="4" t="s">
        <v>12269</v>
      </c>
      <c r="E5505" s="3" t="s">
        <v>2726</v>
      </c>
      <c r="F5505" s="3" t="s">
        <v>2105</v>
      </c>
      <c r="G5505" s="3"/>
      <c r="H5505" s="4"/>
    </row>
    <row r="5506" ht="16.5" customHeight="1" spans="1:8">
      <c r="A5506" s="3">
        <v>5505</v>
      </c>
      <c r="B5506" s="3" t="s">
        <v>12270</v>
      </c>
      <c r="C5506" s="3" t="s">
        <v>2163</v>
      </c>
      <c r="D5506" s="4" t="s">
        <v>12271</v>
      </c>
      <c r="E5506" s="3" t="s">
        <v>1076</v>
      </c>
      <c r="F5506" s="3" t="s">
        <v>2041</v>
      </c>
      <c r="G5506" s="3" t="s">
        <v>321</v>
      </c>
      <c r="H5506" s="4" t="s">
        <v>1305</v>
      </c>
    </row>
    <row r="5507" ht="16.5" customHeight="1" spans="1:8">
      <c r="A5507" s="3">
        <v>5506</v>
      </c>
      <c r="B5507" s="3" t="s">
        <v>12272</v>
      </c>
      <c r="C5507" s="3" t="s">
        <v>2163</v>
      </c>
      <c r="D5507" s="4" t="s">
        <v>12273</v>
      </c>
      <c r="E5507" s="3" t="s">
        <v>1076</v>
      </c>
      <c r="F5507" s="3" t="s">
        <v>2041</v>
      </c>
      <c r="G5507" s="3" t="s">
        <v>321</v>
      </c>
      <c r="H5507" s="4" t="s">
        <v>1305</v>
      </c>
    </row>
    <row r="5508" ht="16.5" customHeight="1" spans="1:8">
      <c r="A5508" s="3">
        <v>5507</v>
      </c>
      <c r="B5508" s="3" t="s">
        <v>12274</v>
      </c>
      <c r="C5508" s="3" t="s">
        <v>2163</v>
      </c>
      <c r="D5508" s="4" t="s">
        <v>12275</v>
      </c>
      <c r="E5508" s="3" t="s">
        <v>2726</v>
      </c>
      <c r="F5508" s="3" t="s">
        <v>2105</v>
      </c>
      <c r="G5508" s="3"/>
      <c r="H5508" s="4"/>
    </row>
    <row r="5509" ht="16.5" customHeight="1" spans="1:8">
      <c r="A5509" s="3">
        <v>5508</v>
      </c>
      <c r="B5509" s="3" t="s">
        <v>12276</v>
      </c>
      <c r="C5509" s="3" t="s">
        <v>2163</v>
      </c>
      <c r="D5509" s="4" t="s">
        <v>12277</v>
      </c>
      <c r="E5509" s="3" t="s">
        <v>2726</v>
      </c>
      <c r="F5509" s="3" t="s">
        <v>1358</v>
      </c>
      <c r="G5509" s="3"/>
      <c r="H5509" s="4"/>
    </row>
    <row r="5510" ht="16.5" customHeight="1" spans="1:8">
      <c r="A5510" s="3">
        <v>5509</v>
      </c>
      <c r="B5510" s="3" t="s">
        <v>12278</v>
      </c>
      <c r="C5510" s="3" t="s">
        <v>1356</v>
      </c>
      <c r="D5510" s="4" t="s">
        <v>12279</v>
      </c>
      <c r="E5510" s="3" t="s">
        <v>1076</v>
      </c>
      <c r="F5510" s="3" t="s">
        <v>1358</v>
      </c>
      <c r="G5510" s="3"/>
      <c r="H5510" s="4" t="s">
        <v>10724</v>
      </c>
    </row>
    <row r="5511" ht="16.5" customHeight="1" spans="1:8">
      <c r="A5511" s="3">
        <v>5510</v>
      </c>
      <c r="B5511" s="3" t="s">
        <v>12280</v>
      </c>
      <c r="C5511" s="3" t="s">
        <v>1356</v>
      </c>
      <c r="D5511" s="4" t="s">
        <v>5854</v>
      </c>
      <c r="E5511" s="3" t="s">
        <v>1076</v>
      </c>
      <c r="F5511" s="3" t="s">
        <v>1358</v>
      </c>
      <c r="G5511" s="3"/>
      <c r="H5511" s="4" t="s">
        <v>1359</v>
      </c>
    </row>
    <row r="5512" ht="16.5" customHeight="1" spans="1:8">
      <c r="A5512" s="3">
        <v>5511</v>
      </c>
      <c r="B5512" s="3" t="s">
        <v>12281</v>
      </c>
      <c r="C5512" s="3" t="s">
        <v>1356</v>
      </c>
      <c r="D5512" s="4" t="s">
        <v>12282</v>
      </c>
      <c r="E5512" s="3" t="s">
        <v>1076</v>
      </c>
      <c r="F5512" s="3" t="s">
        <v>1358</v>
      </c>
      <c r="G5512" s="3"/>
      <c r="H5512" s="4"/>
    </row>
    <row r="5513" ht="16.5" customHeight="1" spans="1:8">
      <c r="A5513" s="3">
        <v>5512</v>
      </c>
      <c r="B5513" s="3" t="s">
        <v>12283</v>
      </c>
      <c r="C5513" s="3" t="s">
        <v>2163</v>
      </c>
      <c r="D5513" s="4" t="s">
        <v>12284</v>
      </c>
      <c r="E5513" s="3" t="s">
        <v>3954</v>
      </c>
      <c r="F5513" s="3" t="s">
        <v>10259</v>
      </c>
      <c r="G5513" s="3"/>
      <c r="H5513" s="4" t="s">
        <v>1305</v>
      </c>
    </row>
    <row r="5514" ht="16.5" customHeight="1" spans="1:8">
      <c r="A5514" s="3">
        <v>5513</v>
      </c>
      <c r="B5514" s="3" t="s">
        <v>12285</v>
      </c>
      <c r="C5514" s="3" t="s">
        <v>2163</v>
      </c>
      <c r="D5514" s="4" t="s">
        <v>12286</v>
      </c>
      <c r="E5514" s="3" t="s">
        <v>5779</v>
      </c>
      <c r="F5514" s="3" t="s">
        <v>10259</v>
      </c>
      <c r="G5514" s="3"/>
      <c r="H5514" s="4" t="s">
        <v>1305</v>
      </c>
    </row>
    <row r="5515" ht="16.5" customHeight="1" spans="1:8">
      <c r="A5515" s="3">
        <v>5514</v>
      </c>
      <c r="B5515" s="3" t="s">
        <v>12287</v>
      </c>
      <c r="C5515" s="3" t="s">
        <v>1074</v>
      </c>
      <c r="D5515" s="4" t="s">
        <v>12288</v>
      </c>
      <c r="E5515" s="3" t="s">
        <v>1076</v>
      </c>
      <c r="F5515" s="3" t="s">
        <v>10259</v>
      </c>
      <c r="G5515" s="3"/>
      <c r="H5515" s="4" t="s">
        <v>1305</v>
      </c>
    </row>
    <row r="5516" ht="16.5" customHeight="1" spans="1:8">
      <c r="A5516" s="3">
        <v>5515</v>
      </c>
      <c r="B5516" s="3" t="s">
        <v>12289</v>
      </c>
      <c r="C5516" s="3" t="s">
        <v>1356</v>
      </c>
      <c r="D5516" s="4" t="s">
        <v>12290</v>
      </c>
      <c r="E5516" s="3" t="s">
        <v>1076</v>
      </c>
      <c r="F5516" s="3" t="s">
        <v>10259</v>
      </c>
      <c r="G5516" s="3"/>
      <c r="H5516" s="4" t="s">
        <v>5533</v>
      </c>
    </row>
    <row r="5517" ht="16.5" customHeight="1" spans="1:8">
      <c r="A5517" s="3">
        <v>5516</v>
      </c>
      <c r="B5517" s="3" t="s">
        <v>12291</v>
      </c>
      <c r="C5517" s="3" t="s">
        <v>1356</v>
      </c>
      <c r="D5517" s="4" t="s">
        <v>12292</v>
      </c>
      <c r="E5517" s="3" t="s">
        <v>1218</v>
      </c>
      <c r="F5517" s="3" t="s">
        <v>10259</v>
      </c>
      <c r="G5517" s="3"/>
      <c r="H5517" s="4" t="s">
        <v>1305</v>
      </c>
    </row>
    <row r="5518" ht="16.5" customHeight="1" spans="1:8">
      <c r="A5518" s="3">
        <v>5517</v>
      </c>
      <c r="B5518" s="3" t="s">
        <v>12293</v>
      </c>
      <c r="C5518" s="3" t="s">
        <v>1356</v>
      </c>
      <c r="D5518" s="4" t="s">
        <v>12294</v>
      </c>
      <c r="E5518" s="3" t="s">
        <v>1076</v>
      </c>
      <c r="F5518" s="3" t="s">
        <v>10259</v>
      </c>
      <c r="G5518" s="3"/>
      <c r="H5518" s="4" t="s">
        <v>1305</v>
      </c>
    </row>
    <row r="5519" ht="16.5" customHeight="1" spans="1:8">
      <c r="A5519" s="3">
        <v>5518</v>
      </c>
      <c r="B5519" s="3" t="s">
        <v>12295</v>
      </c>
      <c r="C5519" s="3" t="s">
        <v>1356</v>
      </c>
      <c r="D5519" s="4" t="s">
        <v>12296</v>
      </c>
      <c r="E5519" s="3" t="s">
        <v>1076</v>
      </c>
      <c r="F5519" s="3" t="s">
        <v>10259</v>
      </c>
      <c r="G5519" s="3"/>
      <c r="H5519" s="4" t="s">
        <v>1305</v>
      </c>
    </row>
    <row r="5520" ht="16.5" customHeight="1" spans="1:8">
      <c r="A5520" s="3">
        <v>5519</v>
      </c>
      <c r="B5520" s="3" t="s">
        <v>12297</v>
      </c>
      <c r="C5520" s="3" t="s">
        <v>2163</v>
      </c>
      <c r="D5520" s="4" t="s">
        <v>12298</v>
      </c>
      <c r="E5520" s="3" t="s">
        <v>2726</v>
      </c>
      <c r="F5520" s="3" t="s">
        <v>2105</v>
      </c>
      <c r="G5520" s="3"/>
      <c r="H5520" s="4"/>
    </row>
    <row r="5521" ht="16.5" customHeight="1" spans="1:8">
      <c r="A5521" s="3">
        <v>5520</v>
      </c>
      <c r="B5521" s="3" t="s">
        <v>12299</v>
      </c>
      <c r="C5521" s="3" t="s">
        <v>1356</v>
      </c>
      <c r="D5521" s="4" t="s">
        <v>12300</v>
      </c>
      <c r="E5521" s="3" t="s">
        <v>1076</v>
      </c>
      <c r="F5521" s="3" t="s">
        <v>10259</v>
      </c>
      <c r="G5521" s="3"/>
      <c r="H5521" s="4" t="s">
        <v>1359</v>
      </c>
    </row>
    <row r="5522" ht="16.5" customHeight="1" spans="1:8">
      <c r="A5522" s="3">
        <v>5521</v>
      </c>
      <c r="B5522" s="3" t="s">
        <v>12301</v>
      </c>
      <c r="C5522" s="3" t="s">
        <v>1074</v>
      </c>
      <c r="D5522" s="4" t="s">
        <v>12302</v>
      </c>
      <c r="E5522" s="3" t="s">
        <v>2726</v>
      </c>
      <c r="F5522" s="3" t="s">
        <v>8175</v>
      </c>
      <c r="G5522" s="3"/>
      <c r="H5522" s="4" t="s">
        <v>7502</v>
      </c>
    </row>
    <row r="5523" ht="16.5" customHeight="1" spans="1:8">
      <c r="A5523" s="3">
        <v>5522</v>
      </c>
      <c r="B5523" s="3" t="s">
        <v>12303</v>
      </c>
      <c r="C5523" s="3" t="s">
        <v>1074</v>
      </c>
      <c r="D5523" s="4" t="s">
        <v>12304</v>
      </c>
      <c r="E5523" s="3" t="s">
        <v>1076</v>
      </c>
      <c r="F5523" s="3" t="s">
        <v>8175</v>
      </c>
      <c r="G5523" s="3"/>
      <c r="H5523" s="4" t="s">
        <v>7243</v>
      </c>
    </row>
    <row r="5524" ht="16.5" customHeight="1" spans="1:8">
      <c r="A5524" s="3">
        <v>5523</v>
      </c>
      <c r="B5524" s="3" t="s">
        <v>12305</v>
      </c>
      <c r="C5524" s="3" t="s">
        <v>1074</v>
      </c>
      <c r="D5524" s="4" t="s">
        <v>12306</v>
      </c>
      <c r="E5524" s="3" t="s">
        <v>1076</v>
      </c>
      <c r="F5524" s="3" t="s">
        <v>8175</v>
      </c>
      <c r="G5524" s="3"/>
      <c r="H5524" s="4" t="s">
        <v>7243</v>
      </c>
    </row>
    <row r="5525" ht="16.5" customHeight="1" spans="1:8">
      <c r="A5525" s="3">
        <v>5524</v>
      </c>
      <c r="B5525" s="3" t="s">
        <v>12307</v>
      </c>
      <c r="C5525" s="3" t="s">
        <v>2163</v>
      </c>
      <c r="D5525" s="4" t="s">
        <v>12308</v>
      </c>
      <c r="E5525" s="3" t="s">
        <v>1076</v>
      </c>
      <c r="F5525" s="3" t="s">
        <v>1358</v>
      </c>
      <c r="G5525" s="3" t="s">
        <v>321</v>
      </c>
      <c r="H5525" s="4" t="s">
        <v>1359</v>
      </c>
    </row>
    <row r="5526" ht="16.5" customHeight="1" spans="1:8">
      <c r="A5526" s="3">
        <v>5525</v>
      </c>
      <c r="B5526" s="3" t="s">
        <v>12309</v>
      </c>
      <c r="C5526" s="3" t="s">
        <v>2163</v>
      </c>
      <c r="D5526" s="4" t="s">
        <v>12310</v>
      </c>
      <c r="E5526" s="3" t="s">
        <v>1076</v>
      </c>
      <c r="F5526" s="3" t="s">
        <v>1358</v>
      </c>
      <c r="G5526" s="3" t="s">
        <v>321</v>
      </c>
      <c r="H5526" s="4" t="s">
        <v>1359</v>
      </c>
    </row>
    <row r="5527" ht="16.5" customHeight="1" spans="1:8">
      <c r="A5527" s="3">
        <v>5526</v>
      </c>
      <c r="B5527" s="3" t="s">
        <v>12311</v>
      </c>
      <c r="C5527" s="3" t="s">
        <v>1356</v>
      </c>
      <c r="D5527" s="4" t="s">
        <v>12312</v>
      </c>
      <c r="E5527" s="3" t="s">
        <v>1076</v>
      </c>
      <c r="F5527" s="3" t="s">
        <v>10259</v>
      </c>
      <c r="G5527" s="3"/>
      <c r="H5527" s="4" t="s">
        <v>1359</v>
      </c>
    </row>
    <row r="5528" ht="16.5" customHeight="1" spans="1:8">
      <c r="A5528" s="3">
        <v>5527</v>
      </c>
      <c r="B5528" s="3" t="s">
        <v>12313</v>
      </c>
      <c r="C5528" s="3" t="s">
        <v>1074</v>
      </c>
      <c r="D5528" s="4" t="s">
        <v>12314</v>
      </c>
      <c r="E5528" s="3" t="s">
        <v>1164</v>
      </c>
      <c r="F5528" s="3" t="s">
        <v>4331</v>
      </c>
      <c r="G5528" s="3" t="s">
        <v>321</v>
      </c>
      <c r="H5528" s="4" t="s">
        <v>11765</v>
      </c>
    </row>
    <row r="5529" ht="16.5" customHeight="1" spans="1:8">
      <c r="A5529" s="3">
        <v>5528</v>
      </c>
      <c r="B5529" s="3" t="s">
        <v>12315</v>
      </c>
      <c r="C5529" s="3" t="s">
        <v>1074</v>
      </c>
      <c r="D5529" s="4" t="s">
        <v>12316</v>
      </c>
      <c r="E5529" s="3" t="s">
        <v>1164</v>
      </c>
      <c r="F5529" s="3" t="s">
        <v>4331</v>
      </c>
      <c r="G5529" s="3" t="s">
        <v>321</v>
      </c>
      <c r="H5529" s="4" t="s">
        <v>11765</v>
      </c>
    </row>
    <row r="5530" ht="16.5" customHeight="1" spans="1:8">
      <c r="A5530" s="3">
        <v>5529</v>
      </c>
      <c r="B5530" s="3" t="s">
        <v>12317</v>
      </c>
      <c r="C5530" s="3" t="s">
        <v>1074</v>
      </c>
      <c r="D5530" s="4" t="s">
        <v>12318</v>
      </c>
      <c r="E5530" s="3" t="s">
        <v>1164</v>
      </c>
      <c r="F5530" s="3" t="s">
        <v>4331</v>
      </c>
      <c r="G5530" s="3" t="s">
        <v>321</v>
      </c>
      <c r="H5530" s="4" t="s">
        <v>11765</v>
      </c>
    </row>
    <row r="5531" ht="16.5" customHeight="1" spans="1:8">
      <c r="A5531" s="3">
        <v>5530</v>
      </c>
      <c r="B5531" s="3" t="s">
        <v>12319</v>
      </c>
      <c r="C5531" s="3" t="s">
        <v>1105</v>
      </c>
      <c r="D5531" s="4" t="s">
        <v>12320</v>
      </c>
      <c r="E5531" s="3" t="s">
        <v>1076</v>
      </c>
      <c r="F5531" s="3" t="s">
        <v>4331</v>
      </c>
      <c r="G5531" s="3"/>
      <c r="H5531" s="4" t="s">
        <v>12321</v>
      </c>
    </row>
    <row r="5532" ht="16.5" customHeight="1" spans="1:8">
      <c r="A5532" s="3">
        <v>5531</v>
      </c>
      <c r="B5532" s="3" t="s">
        <v>12322</v>
      </c>
      <c r="C5532" s="3" t="s">
        <v>1105</v>
      </c>
      <c r="D5532" s="4" t="s">
        <v>12323</v>
      </c>
      <c r="E5532" s="3" t="s">
        <v>1076</v>
      </c>
      <c r="F5532" s="3" t="s">
        <v>4331</v>
      </c>
      <c r="G5532" s="3"/>
      <c r="H5532" s="4" t="s">
        <v>12321</v>
      </c>
    </row>
    <row r="5533" ht="16.5" customHeight="1" spans="1:8">
      <c r="A5533" s="3">
        <v>5532</v>
      </c>
      <c r="B5533" s="3" t="s">
        <v>12324</v>
      </c>
      <c r="C5533" s="3" t="s">
        <v>1105</v>
      </c>
      <c r="D5533" s="4" t="s">
        <v>12325</v>
      </c>
      <c r="E5533" s="3" t="s">
        <v>1218</v>
      </c>
      <c r="F5533" s="3" t="s">
        <v>4331</v>
      </c>
      <c r="G5533" s="3"/>
      <c r="H5533" s="4" t="s">
        <v>12321</v>
      </c>
    </row>
    <row r="5534" ht="16.5" customHeight="1" spans="1:8">
      <c r="A5534" s="3">
        <v>5533</v>
      </c>
      <c r="B5534" s="3" t="s">
        <v>12326</v>
      </c>
      <c r="C5534" s="3" t="s">
        <v>1105</v>
      </c>
      <c r="D5534" s="4" t="s">
        <v>12327</v>
      </c>
      <c r="E5534" s="3" t="s">
        <v>1218</v>
      </c>
      <c r="F5534" s="3" t="s">
        <v>4331</v>
      </c>
      <c r="G5534" s="3"/>
      <c r="H5534" s="4" t="s">
        <v>12321</v>
      </c>
    </row>
    <row r="5535" ht="16.5" customHeight="1" spans="1:8">
      <c r="A5535" s="3">
        <v>5534</v>
      </c>
      <c r="B5535" s="3" t="s">
        <v>12328</v>
      </c>
      <c r="C5535" s="3" t="s">
        <v>1105</v>
      </c>
      <c r="D5535" s="4" t="s">
        <v>12329</v>
      </c>
      <c r="E5535" s="3" t="s">
        <v>1218</v>
      </c>
      <c r="F5535" s="3" t="s">
        <v>4331</v>
      </c>
      <c r="G5535" s="3"/>
      <c r="H5535" s="4" t="s">
        <v>12321</v>
      </c>
    </row>
    <row r="5536" ht="16.5" customHeight="1" spans="1:8">
      <c r="A5536" s="3">
        <v>5535</v>
      </c>
      <c r="B5536" s="3" t="s">
        <v>12330</v>
      </c>
      <c r="C5536" s="3" t="s">
        <v>1105</v>
      </c>
      <c r="D5536" s="4" t="s">
        <v>12331</v>
      </c>
      <c r="E5536" s="3" t="s">
        <v>1218</v>
      </c>
      <c r="F5536" s="3" t="s">
        <v>4331</v>
      </c>
      <c r="G5536" s="3"/>
      <c r="H5536" s="4" t="s">
        <v>12321</v>
      </c>
    </row>
    <row r="5537" ht="16.5" customHeight="1" spans="1:8">
      <c r="A5537" s="3">
        <v>5536</v>
      </c>
      <c r="B5537" s="3" t="s">
        <v>12332</v>
      </c>
      <c r="C5537" s="3" t="s">
        <v>1074</v>
      </c>
      <c r="D5537" s="4" t="s">
        <v>12333</v>
      </c>
      <c r="E5537" s="3" t="s">
        <v>1164</v>
      </c>
      <c r="F5537" s="3" t="s">
        <v>4331</v>
      </c>
      <c r="G5537" s="3" t="s">
        <v>321</v>
      </c>
      <c r="H5537" s="4"/>
    </row>
    <row r="5538" ht="16.5" customHeight="1" spans="1:8">
      <c r="A5538" s="3">
        <v>5537</v>
      </c>
      <c r="B5538" s="3" t="s">
        <v>12334</v>
      </c>
      <c r="C5538" s="3" t="s">
        <v>1356</v>
      </c>
      <c r="D5538" s="4" t="s">
        <v>12335</v>
      </c>
      <c r="E5538" s="3" t="s">
        <v>1218</v>
      </c>
      <c r="F5538" s="3" t="s">
        <v>10259</v>
      </c>
      <c r="G5538" s="3"/>
      <c r="H5538" s="4" t="s">
        <v>1095</v>
      </c>
    </row>
    <row r="5539" ht="16.5" customHeight="1" spans="1:8">
      <c r="A5539" s="3">
        <v>5538</v>
      </c>
      <c r="B5539" s="3" t="s">
        <v>12336</v>
      </c>
      <c r="C5539" s="3" t="s">
        <v>1074</v>
      </c>
      <c r="D5539" s="4" t="s">
        <v>12337</v>
      </c>
      <c r="E5539" s="3" t="s">
        <v>1218</v>
      </c>
      <c r="F5539" s="3" t="s">
        <v>4331</v>
      </c>
      <c r="G5539" s="3" t="s">
        <v>321</v>
      </c>
      <c r="H5539" s="4"/>
    </row>
    <row r="5540" ht="16.5" customHeight="1" spans="1:8">
      <c r="A5540" s="3">
        <v>5539</v>
      </c>
      <c r="B5540" s="3" t="s">
        <v>12338</v>
      </c>
      <c r="C5540" s="3" t="s">
        <v>1074</v>
      </c>
      <c r="D5540" s="4" t="s">
        <v>12339</v>
      </c>
      <c r="E5540" s="3" t="s">
        <v>1164</v>
      </c>
      <c r="F5540" s="3" t="s">
        <v>4331</v>
      </c>
      <c r="G5540" s="3" t="s">
        <v>321</v>
      </c>
      <c r="H5540" s="4"/>
    </row>
    <row r="5541" ht="16.5" customHeight="1" spans="1:8">
      <c r="A5541" s="3">
        <v>5540</v>
      </c>
      <c r="B5541" s="3" t="s">
        <v>12340</v>
      </c>
      <c r="C5541" s="3" t="s">
        <v>1074</v>
      </c>
      <c r="D5541" s="4" t="s">
        <v>12341</v>
      </c>
      <c r="E5541" s="3" t="s">
        <v>1164</v>
      </c>
      <c r="F5541" s="3" t="s">
        <v>4331</v>
      </c>
      <c r="G5541" s="3" t="s">
        <v>321</v>
      </c>
      <c r="H5541" s="4"/>
    </row>
    <row r="5542" ht="16.5" customHeight="1" spans="1:8">
      <c r="A5542" s="3">
        <v>5541</v>
      </c>
      <c r="B5542" s="3" t="s">
        <v>12342</v>
      </c>
      <c r="C5542" s="3" t="s">
        <v>1074</v>
      </c>
      <c r="D5542" s="4" t="s">
        <v>12343</v>
      </c>
      <c r="E5542" s="3" t="s">
        <v>1164</v>
      </c>
      <c r="F5542" s="3" t="s">
        <v>4331</v>
      </c>
      <c r="G5542" s="3" t="s">
        <v>321</v>
      </c>
      <c r="H5542" s="4"/>
    </row>
    <row r="5543" ht="16.5" customHeight="1" spans="1:8">
      <c r="A5543" s="3">
        <v>5542</v>
      </c>
      <c r="B5543" s="3" t="s">
        <v>12344</v>
      </c>
      <c r="C5543" s="3" t="s">
        <v>1074</v>
      </c>
      <c r="D5543" s="4" t="s">
        <v>12345</v>
      </c>
      <c r="E5543" s="3" t="s">
        <v>1076</v>
      </c>
      <c r="F5543" s="3" t="s">
        <v>4331</v>
      </c>
      <c r="G5543" s="3" t="s">
        <v>321</v>
      </c>
      <c r="H5543" s="4" t="s">
        <v>11765</v>
      </c>
    </row>
    <row r="5544" ht="16.5" customHeight="1" spans="1:8">
      <c r="A5544" s="3">
        <v>5543</v>
      </c>
      <c r="B5544" s="3" t="s">
        <v>12346</v>
      </c>
      <c r="C5544" s="3" t="s">
        <v>1074</v>
      </c>
      <c r="D5544" s="4" t="s">
        <v>12347</v>
      </c>
      <c r="E5544" s="3" t="s">
        <v>1164</v>
      </c>
      <c r="F5544" s="3" t="s">
        <v>4331</v>
      </c>
      <c r="G5544" s="3" t="s">
        <v>321</v>
      </c>
      <c r="H5544" s="4"/>
    </row>
    <row r="5545" ht="16.5" customHeight="1" spans="1:8">
      <c r="A5545" s="3">
        <v>5544</v>
      </c>
      <c r="B5545" s="3" t="s">
        <v>12348</v>
      </c>
      <c r="C5545" s="3" t="s">
        <v>1074</v>
      </c>
      <c r="D5545" s="4" t="s">
        <v>12349</v>
      </c>
      <c r="E5545" s="3" t="s">
        <v>1164</v>
      </c>
      <c r="F5545" s="3" t="s">
        <v>4331</v>
      </c>
      <c r="G5545" s="3" t="s">
        <v>321</v>
      </c>
      <c r="H5545" s="4"/>
    </row>
    <row r="5546" ht="16.5" customHeight="1" spans="1:8">
      <c r="A5546" s="3">
        <v>5545</v>
      </c>
      <c r="B5546" s="3" t="s">
        <v>12350</v>
      </c>
      <c r="C5546" s="3" t="s">
        <v>1074</v>
      </c>
      <c r="D5546" s="4" t="s">
        <v>12351</v>
      </c>
      <c r="E5546" s="3" t="s">
        <v>1164</v>
      </c>
      <c r="F5546" s="3" t="s">
        <v>4331</v>
      </c>
      <c r="G5546" s="3" t="s">
        <v>45</v>
      </c>
      <c r="H5546" s="4" t="s">
        <v>11765</v>
      </c>
    </row>
    <row r="5547" ht="16.5" customHeight="1" spans="1:8">
      <c r="A5547" s="3">
        <v>5546</v>
      </c>
      <c r="B5547" s="3" t="s">
        <v>12352</v>
      </c>
      <c r="C5547" s="3" t="s">
        <v>1105</v>
      </c>
      <c r="D5547" s="4" t="s">
        <v>12353</v>
      </c>
      <c r="E5547" s="3" t="s">
        <v>2726</v>
      </c>
      <c r="F5547" s="3" t="s">
        <v>4331</v>
      </c>
      <c r="G5547" s="3"/>
      <c r="H5547" s="4" t="s">
        <v>12354</v>
      </c>
    </row>
    <row r="5548" ht="16.5" customHeight="1" spans="1:8">
      <c r="A5548" s="3">
        <v>5547</v>
      </c>
      <c r="B5548" s="3" t="s">
        <v>12355</v>
      </c>
      <c r="C5548" s="3" t="s">
        <v>1105</v>
      </c>
      <c r="D5548" s="4" t="s">
        <v>12356</v>
      </c>
      <c r="E5548" s="3" t="s">
        <v>1076</v>
      </c>
      <c r="F5548" s="3" t="s">
        <v>4331</v>
      </c>
      <c r="G5548" s="3"/>
      <c r="H5548" s="4" t="s">
        <v>12354</v>
      </c>
    </row>
    <row r="5549" ht="16.5" customHeight="1" spans="1:8">
      <c r="A5549" s="3">
        <v>5548</v>
      </c>
      <c r="B5549" s="3" t="s">
        <v>12357</v>
      </c>
      <c r="C5549" s="3" t="s">
        <v>1105</v>
      </c>
      <c r="D5549" s="4" t="s">
        <v>12358</v>
      </c>
      <c r="E5549" s="3" t="s">
        <v>1076</v>
      </c>
      <c r="F5549" s="3" t="s">
        <v>4331</v>
      </c>
      <c r="G5549" s="3"/>
      <c r="H5549" s="4" t="s">
        <v>12354</v>
      </c>
    </row>
    <row r="5550" ht="16.5" customHeight="1" spans="1:8">
      <c r="A5550" s="3">
        <v>5549</v>
      </c>
      <c r="B5550" s="3" t="s">
        <v>12359</v>
      </c>
      <c r="C5550" s="3" t="s">
        <v>1105</v>
      </c>
      <c r="D5550" s="4" t="s">
        <v>12360</v>
      </c>
      <c r="E5550" s="3" t="s">
        <v>1164</v>
      </c>
      <c r="F5550" s="3" t="s">
        <v>4331</v>
      </c>
      <c r="G5550" s="3"/>
      <c r="H5550" s="4" t="s">
        <v>12354</v>
      </c>
    </row>
    <row r="5551" ht="16.5" customHeight="1" spans="1:8">
      <c r="A5551" s="3">
        <v>5550</v>
      </c>
      <c r="B5551" s="3" t="s">
        <v>12361</v>
      </c>
      <c r="C5551" s="3" t="s">
        <v>1074</v>
      </c>
      <c r="D5551" s="4" t="s">
        <v>12362</v>
      </c>
      <c r="E5551" s="3" t="s">
        <v>1164</v>
      </c>
      <c r="F5551" s="3" t="s">
        <v>4331</v>
      </c>
      <c r="G5551" s="3" t="s">
        <v>45</v>
      </c>
      <c r="H5551" s="4" t="s">
        <v>11765</v>
      </c>
    </row>
    <row r="5552" ht="16.5" customHeight="1" spans="1:8">
      <c r="A5552" s="3">
        <v>5551</v>
      </c>
      <c r="B5552" s="3" t="s">
        <v>12363</v>
      </c>
      <c r="C5552" s="3" t="s">
        <v>2163</v>
      </c>
      <c r="D5552" s="4" t="s">
        <v>12364</v>
      </c>
      <c r="E5552" s="3" t="s">
        <v>2263</v>
      </c>
      <c r="F5552" s="3" t="s">
        <v>1358</v>
      </c>
      <c r="G5552" s="3" t="s">
        <v>321</v>
      </c>
      <c r="H5552" s="4" t="s">
        <v>1305</v>
      </c>
    </row>
    <row r="5553" ht="16.5" customHeight="1" spans="1:8">
      <c r="A5553" s="3">
        <v>5552</v>
      </c>
      <c r="B5553" s="3" t="s">
        <v>12365</v>
      </c>
      <c r="C5553" s="3" t="s">
        <v>1074</v>
      </c>
      <c r="D5553" s="4" t="s">
        <v>12366</v>
      </c>
      <c r="E5553" s="3" t="s">
        <v>1076</v>
      </c>
      <c r="F5553" s="3" t="s">
        <v>4668</v>
      </c>
      <c r="G5553" s="3"/>
      <c r="H5553" s="4" t="s">
        <v>1305</v>
      </c>
    </row>
    <row r="5554" ht="16.5" customHeight="1" spans="1:8">
      <c r="A5554" s="3">
        <v>5553</v>
      </c>
      <c r="B5554" s="3" t="s">
        <v>12367</v>
      </c>
      <c r="C5554" s="3" t="s">
        <v>1361</v>
      </c>
      <c r="D5554" s="4" t="s">
        <v>12368</v>
      </c>
      <c r="E5554" s="3" t="s">
        <v>1218</v>
      </c>
      <c r="F5554" s="3" t="s">
        <v>1358</v>
      </c>
      <c r="G5554" s="3"/>
      <c r="H5554" s="4" t="s">
        <v>1359</v>
      </c>
    </row>
    <row r="5555" ht="16.5" customHeight="1" spans="1:8">
      <c r="A5555" s="3">
        <v>5554</v>
      </c>
      <c r="B5555" s="3" t="s">
        <v>12369</v>
      </c>
      <c r="C5555" s="3" t="s">
        <v>2163</v>
      </c>
      <c r="D5555" s="4" t="s">
        <v>12370</v>
      </c>
      <c r="E5555" s="3" t="s">
        <v>1076</v>
      </c>
      <c r="F5555" s="3" t="s">
        <v>2041</v>
      </c>
      <c r="G5555" s="3" t="s">
        <v>321</v>
      </c>
      <c r="H5555" s="4" t="s">
        <v>1305</v>
      </c>
    </row>
    <row r="5556" ht="16.5" customHeight="1" spans="1:8">
      <c r="A5556" s="3">
        <v>5555</v>
      </c>
      <c r="B5556" s="3" t="s">
        <v>12371</v>
      </c>
      <c r="C5556" s="3" t="s">
        <v>2163</v>
      </c>
      <c r="D5556" s="4" t="s">
        <v>12372</v>
      </c>
      <c r="E5556" s="3" t="s">
        <v>2263</v>
      </c>
      <c r="F5556" s="3" t="s">
        <v>6994</v>
      </c>
      <c r="G5556" s="3" t="s">
        <v>321</v>
      </c>
      <c r="H5556" s="4"/>
    </row>
    <row r="5557" ht="16.5" customHeight="1" spans="1:8">
      <c r="A5557" s="3">
        <v>5556</v>
      </c>
      <c r="B5557" s="3" t="s">
        <v>12373</v>
      </c>
      <c r="C5557" s="3" t="s">
        <v>2163</v>
      </c>
      <c r="D5557" s="4" t="s">
        <v>12374</v>
      </c>
      <c r="E5557" s="3" t="s">
        <v>1076</v>
      </c>
      <c r="F5557" s="3" t="s">
        <v>2041</v>
      </c>
      <c r="G5557" s="3" t="s">
        <v>321</v>
      </c>
      <c r="H5557" s="4" t="s">
        <v>1359</v>
      </c>
    </row>
    <row r="5558" ht="16.5" customHeight="1" spans="1:8">
      <c r="A5558" s="3">
        <v>5557</v>
      </c>
      <c r="B5558" s="3" t="s">
        <v>12375</v>
      </c>
      <c r="C5558" s="3" t="s">
        <v>2163</v>
      </c>
      <c r="D5558" s="4" t="s">
        <v>12376</v>
      </c>
      <c r="E5558" s="3" t="s">
        <v>2726</v>
      </c>
      <c r="F5558" s="3" t="s">
        <v>6994</v>
      </c>
      <c r="G5558" s="3" t="s">
        <v>321</v>
      </c>
      <c r="H5558" s="4" t="s">
        <v>1095</v>
      </c>
    </row>
    <row r="5559" ht="16.5" customHeight="1" spans="1:8">
      <c r="A5559" s="3">
        <v>5558</v>
      </c>
      <c r="B5559" s="3" t="s">
        <v>12377</v>
      </c>
      <c r="C5559" s="3" t="s">
        <v>2163</v>
      </c>
      <c r="D5559" s="4" t="s">
        <v>12378</v>
      </c>
      <c r="E5559" s="3" t="s">
        <v>2726</v>
      </c>
      <c r="F5559" s="3" t="s">
        <v>2105</v>
      </c>
      <c r="G5559" s="3"/>
      <c r="H5559" s="4"/>
    </row>
    <row r="5560" ht="16.5" customHeight="1" spans="1:8">
      <c r="A5560" s="3">
        <v>5559</v>
      </c>
      <c r="B5560" s="3" t="s">
        <v>12379</v>
      </c>
      <c r="C5560" s="3" t="s">
        <v>2163</v>
      </c>
      <c r="D5560" s="4" t="s">
        <v>12380</v>
      </c>
      <c r="E5560" s="3" t="s">
        <v>1076</v>
      </c>
      <c r="F5560" s="3" t="s">
        <v>2041</v>
      </c>
      <c r="G5560" s="3" t="s">
        <v>321</v>
      </c>
      <c r="H5560" s="4" t="s">
        <v>1305</v>
      </c>
    </row>
    <row r="5561" ht="16.5" customHeight="1" spans="1:8">
      <c r="A5561" s="3">
        <v>5560</v>
      </c>
      <c r="B5561" s="3" t="s">
        <v>12381</v>
      </c>
      <c r="C5561" s="3" t="s">
        <v>1074</v>
      </c>
      <c r="D5561" s="4" t="s">
        <v>12382</v>
      </c>
      <c r="E5561" s="3" t="s">
        <v>1076</v>
      </c>
      <c r="F5561" s="3" t="s">
        <v>10259</v>
      </c>
      <c r="G5561" s="3"/>
      <c r="H5561" s="4" t="s">
        <v>3812</v>
      </c>
    </row>
    <row r="5562" ht="16.5" customHeight="1" spans="1:8">
      <c r="A5562" s="3">
        <v>5561</v>
      </c>
      <c r="B5562" s="3" t="s">
        <v>12383</v>
      </c>
      <c r="C5562" s="3" t="s">
        <v>1074</v>
      </c>
      <c r="D5562" s="4" t="s">
        <v>12384</v>
      </c>
      <c r="E5562" s="3" t="s">
        <v>1076</v>
      </c>
      <c r="F5562" s="3" t="s">
        <v>10259</v>
      </c>
      <c r="G5562" s="3"/>
      <c r="H5562" s="4" t="s">
        <v>3812</v>
      </c>
    </row>
    <row r="5563" ht="16.5" customHeight="1" spans="1:8">
      <c r="A5563" s="3">
        <v>5562</v>
      </c>
      <c r="B5563" s="3" t="s">
        <v>12385</v>
      </c>
      <c r="C5563" s="3" t="s">
        <v>1074</v>
      </c>
      <c r="D5563" s="4" t="s">
        <v>12386</v>
      </c>
      <c r="E5563" s="3" t="s">
        <v>1076</v>
      </c>
      <c r="F5563" s="3" t="s">
        <v>10259</v>
      </c>
      <c r="G5563" s="3"/>
      <c r="H5563" s="4" t="s">
        <v>3812</v>
      </c>
    </row>
    <row r="5564" ht="16.5" customHeight="1" spans="1:8">
      <c r="A5564" s="3">
        <v>5563</v>
      </c>
      <c r="B5564" s="3" t="s">
        <v>12387</v>
      </c>
      <c r="C5564" s="3" t="s">
        <v>1074</v>
      </c>
      <c r="D5564" s="4" t="s">
        <v>12388</v>
      </c>
      <c r="E5564" s="3" t="s">
        <v>1076</v>
      </c>
      <c r="F5564" s="3" t="s">
        <v>10259</v>
      </c>
      <c r="G5564" s="3"/>
      <c r="H5564" s="4" t="s">
        <v>3812</v>
      </c>
    </row>
    <row r="5565" ht="16.5" customHeight="1" spans="1:8">
      <c r="A5565" s="3">
        <v>5564</v>
      </c>
      <c r="B5565" s="3" t="s">
        <v>12389</v>
      </c>
      <c r="C5565" s="3" t="s">
        <v>1074</v>
      </c>
      <c r="D5565" s="4" t="s">
        <v>12390</v>
      </c>
      <c r="E5565" s="3" t="s">
        <v>1076</v>
      </c>
      <c r="F5565" s="3" t="s">
        <v>10259</v>
      </c>
      <c r="G5565" s="3"/>
      <c r="H5565" s="4" t="s">
        <v>3812</v>
      </c>
    </row>
    <row r="5566" ht="16.5" customHeight="1" spans="1:8">
      <c r="A5566" s="3">
        <v>5565</v>
      </c>
      <c r="B5566" s="3" t="s">
        <v>12391</v>
      </c>
      <c r="C5566" s="3" t="s">
        <v>1074</v>
      </c>
      <c r="D5566" s="4" t="s">
        <v>12392</v>
      </c>
      <c r="E5566" s="3" t="s">
        <v>1076</v>
      </c>
      <c r="F5566" s="3" t="s">
        <v>10259</v>
      </c>
      <c r="G5566" s="3"/>
      <c r="H5566" s="4" t="s">
        <v>3812</v>
      </c>
    </row>
    <row r="5567" ht="16.5" customHeight="1" spans="1:8">
      <c r="A5567" s="3">
        <v>5566</v>
      </c>
      <c r="B5567" s="3" t="s">
        <v>12393</v>
      </c>
      <c r="C5567" s="3" t="s">
        <v>1074</v>
      </c>
      <c r="D5567" s="4" t="s">
        <v>12394</v>
      </c>
      <c r="E5567" s="3" t="s">
        <v>1076</v>
      </c>
      <c r="F5567" s="3" t="s">
        <v>10259</v>
      </c>
      <c r="G5567" s="3"/>
      <c r="H5567" s="4" t="s">
        <v>5664</v>
      </c>
    </row>
    <row r="5568" ht="16.5" customHeight="1" spans="1:8">
      <c r="A5568" s="3">
        <v>5567</v>
      </c>
      <c r="B5568" s="3" t="s">
        <v>12395</v>
      </c>
      <c r="C5568" s="3" t="s">
        <v>1074</v>
      </c>
      <c r="D5568" s="4" t="s">
        <v>12396</v>
      </c>
      <c r="E5568" s="3" t="s">
        <v>1218</v>
      </c>
      <c r="F5568" s="3" t="s">
        <v>10259</v>
      </c>
      <c r="G5568" s="3"/>
      <c r="H5568" s="4" t="s">
        <v>5664</v>
      </c>
    </row>
    <row r="5569" ht="16.5" customHeight="1" spans="1:8">
      <c r="A5569" s="3">
        <v>5568</v>
      </c>
      <c r="B5569" s="3" t="s">
        <v>12397</v>
      </c>
      <c r="C5569" s="3" t="s">
        <v>1074</v>
      </c>
      <c r="D5569" s="4" t="s">
        <v>12398</v>
      </c>
      <c r="E5569" s="3" t="s">
        <v>1076</v>
      </c>
      <c r="F5569" s="3" t="s">
        <v>10259</v>
      </c>
      <c r="G5569" s="3"/>
      <c r="H5569" s="4" t="s">
        <v>3812</v>
      </c>
    </row>
    <row r="5570" ht="16.5" customHeight="1" spans="1:8">
      <c r="A5570" s="3">
        <v>5569</v>
      </c>
      <c r="B5570" s="3" t="s">
        <v>12399</v>
      </c>
      <c r="C5570" s="3" t="s">
        <v>2163</v>
      </c>
      <c r="D5570" s="4" t="s">
        <v>12400</v>
      </c>
      <c r="E5570" s="3" t="s">
        <v>1076</v>
      </c>
      <c r="F5570" s="3" t="s">
        <v>2041</v>
      </c>
      <c r="G5570" s="3" t="s">
        <v>321</v>
      </c>
      <c r="H5570" s="4" t="s">
        <v>1305</v>
      </c>
    </row>
    <row r="5571" ht="16.5" customHeight="1" spans="1:8">
      <c r="A5571" s="3">
        <v>5570</v>
      </c>
      <c r="B5571" s="3" t="s">
        <v>12401</v>
      </c>
      <c r="C5571" s="3" t="s">
        <v>1074</v>
      </c>
      <c r="D5571" s="4" t="s">
        <v>12402</v>
      </c>
      <c r="E5571" s="3" t="s">
        <v>1164</v>
      </c>
      <c r="F5571" s="3" t="s">
        <v>10259</v>
      </c>
      <c r="G5571" s="3"/>
      <c r="H5571" s="4" t="s">
        <v>5664</v>
      </c>
    </row>
    <row r="5572" ht="16.5" customHeight="1" spans="1:8">
      <c r="A5572" s="3">
        <v>5571</v>
      </c>
      <c r="B5572" s="3" t="s">
        <v>12403</v>
      </c>
      <c r="C5572" s="3" t="s">
        <v>1105</v>
      </c>
      <c r="D5572" s="4" t="s">
        <v>12404</v>
      </c>
      <c r="E5572" s="3" t="s">
        <v>1076</v>
      </c>
      <c r="F5572" s="3" t="s">
        <v>10259</v>
      </c>
      <c r="G5572" s="3"/>
      <c r="H5572" s="4" t="s">
        <v>12405</v>
      </c>
    </row>
    <row r="5573" ht="16.5" customHeight="1" spans="1:8">
      <c r="A5573" s="3">
        <v>5572</v>
      </c>
      <c r="B5573" s="3" t="s">
        <v>12406</v>
      </c>
      <c r="C5573" s="3" t="s">
        <v>1105</v>
      </c>
      <c r="D5573" s="4" t="s">
        <v>12407</v>
      </c>
      <c r="E5573" s="3" t="s">
        <v>1076</v>
      </c>
      <c r="F5573" s="3" t="s">
        <v>10259</v>
      </c>
      <c r="G5573" s="3"/>
      <c r="H5573" s="4" t="s">
        <v>12405</v>
      </c>
    </row>
    <row r="5574" ht="16.5" customHeight="1" spans="1:8">
      <c r="A5574" s="3">
        <v>5573</v>
      </c>
      <c r="B5574" s="3" t="s">
        <v>12408</v>
      </c>
      <c r="C5574" s="3" t="s">
        <v>1105</v>
      </c>
      <c r="D5574" s="4" t="s">
        <v>12409</v>
      </c>
      <c r="E5574" s="3" t="s">
        <v>1076</v>
      </c>
      <c r="F5574" s="3" t="s">
        <v>10259</v>
      </c>
      <c r="G5574" s="3"/>
      <c r="H5574" s="4" t="s">
        <v>12405</v>
      </c>
    </row>
    <row r="5575" ht="16.5" customHeight="1" spans="1:8">
      <c r="A5575" s="3">
        <v>5574</v>
      </c>
      <c r="B5575" s="3" t="s">
        <v>12410</v>
      </c>
      <c r="C5575" s="3" t="s">
        <v>1105</v>
      </c>
      <c r="D5575" s="4" t="s">
        <v>12411</v>
      </c>
      <c r="E5575" s="3" t="s">
        <v>1739</v>
      </c>
      <c r="F5575" s="3" t="s">
        <v>10259</v>
      </c>
      <c r="G5575" s="3"/>
      <c r="H5575" s="4" t="s">
        <v>12405</v>
      </c>
    </row>
    <row r="5576" ht="16.5" customHeight="1" spans="1:8">
      <c r="A5576" s="3">
        <v>5575</v>
      </c>
      <c r="B5576" s="3" t="s">
        <v>12412</v>
      </c>
      <c r="C5576" s="3" t="s">
        <v>1105</v>
      </c>
      <c r="D5576" s="4" t="s">
        <v>12413</v>
      </c>
      <c r="E5576" s="3" t="s">
        <v>1218</v>
      </c>
      <c r="F5576" s="3" t="s">
        <v>10259</v>
      </c>
      <c r="G5576" s="3"/>
      <c r="H5576" s="4" t="s">
        <v>12405</v>
      </c>
    </row>
    <row r="5577" ht="16.5" customHeight="1" spans="1:8">
      <c r="A5577" s="3">
        <v>5576</v>
      </c>
      <c r="B5577" s="3" t="s">
        <v>12414</v>
      </c>
      <c r="C5577" s="3" t="s">
        <v>1105</v>
      </c>
      <c r="D5577" s="4" t="s">
        <v>12415</v>
      </c>
      <c r="E5577" s="3" t="s">
        <v>1076</v>
      </c>
      <c r="F5577" s="3" t="s">
        <v>10259</v>
      </c>
      <c r="G5577" s="3"/>
      <c r="H5577" s="4" t="s">
        <v>12405</v>
      </c>
    </row>
    <row r="5578" ht="16.5" customHeight="1" spans="1:8">
      <c r="A5578" s="3">
        <v>5577</v>
      </c>
      <c r="B5578" s="3" t="s">
        <v>12416</v>
      </c>
      <c r="C5578" s="3" t="s">
        <v>1105</v>
      </c>
      <c r="D5578" s="4" t="s">
        <v>12417</v>
      </c>
      <c r="E5578" s="3" t="s">
        <v>1076</v>
      </c>
      <c r="F5578" s="3" t="s">
        <v>10259</v>
      </c>
      <c r="G5578" s="3"/>
      <c r="H5578" s="4" t="s">
        <v>12405</v>
      </c>
    </row>
    <row r="5579" ht="16.5" customHeight="1" spans="1:8">
      <c r="A5579" s="3">
        <v>5578</v>
      </c>
      <c r="B5579" s="3" t="s">
        <v>12418</v>
      </c>
      <c r="C5579" s="3" t="s">
        <v>1074</v>
      </c>
      <c r="D5579" s="4" t="s">
        <v>12419</v>
      </c>
      <c r="E5579" s="3" t="s">
        <v>1076</v>
      </c>
      <c r="F5579" s="3" t="s">
        <v>10259</v>
      </c>
      <c r="G5579" s="3"/>
      <c r="H5579" s="4" t="s">
        <v>3812</v>
      </c>
    </row>
    <row r="5580" ht="16.5" customHeight="1" spans="1:8">
      <c r="A5580" s="3">
        <v>5579</v>
      </c>
      <c r="B5580" s="3" t="s">
        <v>12420</v>
      </c>
      <c r="C5580" s="3" t="s">
        <v>1074</v>
      </c>
      <c r="D5580" s="4" t="s">
        <v>12421</v>
      </c>
      <c r="E5580" s="3" t="s">
        <v>1164</v>
      </c>
      <c r="F5580" s="3" t="s">
        <v>10259</v>
      </c>
      <c r="G5580" s="3"/>
      <c r="H5580" s="4" t="s">
        <v>3812</v>
      </c>
    </row>
    <row r="5581" ht="16.5" customHeight="1" spans="1:8">
      <c r="A5581" s="3">
        <v>5580</v>
      </c>
      <c r="B5581" s="3" t="s">
        <v>12422</v>
      </c>
      <c r="C5581" s="3" t="s">
        <v>1074</v>
      </c>
      <c r="D5581" s="4" t="s">
        <v>12423</v>
      </c>
      <c r="E5581" s="3" t="s">
        <v>1076</v>
      </c>
      <c r="F5581" s="3" t="s">
        <v>10259</v>
      </c>
      <c r="G5581" s="3"/>
      <c r="H5581" s="4" t="s">
        <v>3812</v>
      </c>
    </row>
    <row r="5582" ht="16.5" customHeight="1" spans="1:8">
      <c r="A5582" s="3">
        <v>5581</v>
      </c>
      <c r="B5582" s="3" t="s">
        <v>12424</v>
      </c>
      <c r="C5582" s="3" t="s">
        <v>1105</v>
      </c>
      <c r="D5582" s="4" t="s">
        <v>12425</v>
      </c>
      <c r="E5582" s="3" t="s">
        <v>1076</v>
      </c>
      <c r="F5582" s="3" t="s">
        <v>10259</v>
      </c>
      <c r="G5582" s="3"/>
      <c r="H5582" s="4" t="s">
        <v>12426</v>
      </c>
    </row>
    <row r="5583" ht="16.5" customHeight="1" spans="1:8">
      <c r="A5583" s="3">
        <v>5582</v>
      </c>
      <c r="B5583" s="3" t="s">
        <v>12427</v>
      </c>
      <c r="C5583" s="3" t="s">
        <v>2163</v>
      </c>
      <c r="D5583" s="4" t="s">
        <v>12428</v>
      </c>
      <c r="E5583" s="3" t="s">
        <v>1076</v>
      </c>
      <c r="F5583" s="3" t="s">
        <v>1358</v>
      </c>
      <c r="G5583" s="3" t="s">
        <v>321</v>
      </c>
      <c r="H5583" s="4" t="s">
        <v>1359</v>
      </c>
    </row>
    <row r="5584" ht="16.5" customHeight="1" spans="1:8">
      <c r="A5584" s="3">
        <v>5583</v>
      </c>
      <c r="B5584" s="3" t="s">
        <v>12429</v>
      </c>
      <c r="C5584" s="3" t="s">
        <v>1074</v>
      </c>
      <c r="D5584" s="4" t="s">
        <v>12430</v>
      </c>
      <c r="E5584" s="3" t="s">
        <v>1076</v>
      </c>
      <c r="F5584" s="3" t="s">
        <v>10259</v>
      </c>
      <c r="G5584" s="3"/>
      <c r="H5584" s="4" t="s">
        <v>5664</v>
      </c>
    </row>
    <row r="5585" ht="16.5" customHeight="1" spans="1:8">
      <c r="A5585" s="3">
        <v>5584</v>
      </c>
      <c r="B5585" s="3" t="s">
        <v>12431</v>
      </c>
      <c r="C5585" s="3" t="s">
        <v>1074</v>
      </c>
      <c r="D5585" s="4" t="s">
        <v>12432</v>
      </c>
      <c r="E5585" s="3" t="s">
        <v>1076</v>
      </c>
      <c r="F5585" s="3" t="s">
        <v>10259</v>
      </c>
      <c r="G5585" s="3"/>
      <c r="H5585" s="4" t="s">
        <v>12433</v>
      </c>
    </row>
    <row r="5586" ht="16.5" customHeight="1" spans="1:8">
      <c r="A5586" s="3">
        <v>5585</v>
      </c>
      <c r="B5586" s="3" t="s">
        <v>12434</v>
      </c>
      <c r="C5586" s="3" t="s">
        <v>1074</v>
      </c>
      <c r="D5586" s="4" t="s">
        <v>12435</v>
      </c>
      <c r="E5586" s="3" t="s">
        <v>1218</v>
      </c>
      <c r="F5586" s="3" t="s">
        <v>10259</v>
      </c>
      <c r="G5586" s="3"/>
      <c r="H5586" s="4" t="s">
        <v>3812</v>
      </c>
    </row>
    <row r="5587" ht="16.5" customHeight="1" spans="1:8">
      <c r="A5587" s="3">
        <v>5586</v>
      </c>
      <c r="B5587" s="3" t="s">
        <v>12436</v>
      </c>
      <c r="C5587" s="3" t="s">
        <v>2163</v>
      </c>
      <c r="D5587" s="4" t="s">
        <v>12437</v>
      </c>
      <c r="E5587" s="3" t="s">
        <v>1076</v>
      </c>
      <c r="F5587" s="3" t="s">
        <v>2041</v>
      </c>
      <c r="G5587" s="3" t="s">
        <v>321</v>
      </c>
      <c r="H5587" s="4"/>
    </row>
    <row r="5588" ht="16.5" customHeight="1" spans="1:8">
      <c r="A5588" s="3">
        <v>5587</v>
      </c>
      <c r="B5588" s="3" t="s">
        <v>12438</v>
      </c>
      <c r="C5588" s="3" t="s">
        <v>1105</v>
      </c>
      <c r="D5588" s="4" t="s">
        <v>12439</v>
      </c>
      <c r="E5588" s="3" t="s">
        <v>1076</v>
      </c>
      <c r="F5588" s="3" t="s">
        <v>1152</v>
      </c>
      <c r="G5588" s="3"/>
      <c r="H5588" s="4" t="s">
        <v>12440</v>
      </c>
    </row>
    <row r="5589" ht="16.5" customHeight="1" spans="1:8">
      <c r="A5589" s="3">
        <v>5588</v>
      </c>
      <c r="B5589" s="3" t="s">
        <v>12441</v>
      </c>
      <c r="C5589" s="3" t="s">
        <v>2163</v>
      </c>
      <c r="D5589" s="4" t="s">
        <v>12442</v>
      </c>
      <c r="E5589" s="3" t="s">
        <v>1076</v>
      </c>
      <c r="F5589" s="3" t="s">
        <v>1358</v>
      </c>
      <c r="G5589" s="3"/>
      <c r="H5589" s="4"/>
    </row>
    <row r="5590" ht="16.5" customHeight="1" spans="1:8">
      <c r="A5590" s="3">
        <v>5589</v>
      </c>
      <c r="B5590" s="3" t="s">
        <v>12443</v>
      </c>
      <c r="C5590" s="3" t="s">
        <v>2163</v>
      </c>
      <c r="D5590" s="4" t="s">
        <v>12444</v>
      </c>
      <c r="E5590" s="3" t="s">
        <v>2263</v>
      </c>
      <c r="F5590" s="3" t="s">
        <v>2041</v>
      </c>
      <c r="G5590" s="3" t="s">
        <v>321</v>
      </c>
      <c r="H5590" s="4" t="s">
        <v>1305</v>
      </c>
    </row>
    <row r="5591" ht="16.5" customHeight="1" spans="1:8">
      <c r="A5591" s="3">
        <v>5590</v>
      </c>
      <c r="B5591" s="3" t="s">
        <v>12445</v>
      </c>
      <c r="C5591" s="3" t="s">
        <v>2163</v>
      </c>
      <c r="D5591" s="4" t="s">
        <v>12446</v>
      </c>
      <c r="E5591" s="3" t="s">
        <v>1076</v>
      </c>
      <c r="F5591" s="3" t="s">
        <v>1358</v>
      </c>
      <c r="G5591" s="3" t="s">
        <v>321</v>
      </c>
      <c r="H5591" s="4"/>
    </row>
    <row r="5592" ht="16.5" customHeight="1" spans="1:8">
      <c r="A5592" s="3">
        <v>5591</v>
      </c>
      <c r="B5592" s="3" t="s">
        <v>12447</v>
      </c>
      <c r="C5592" s="3" t="s">
        <v>2163</v>
      </c>
      <c r="D5592" s="4" t="s">
        <v>12448</v>
      </c>
      <c r="E5592" s="3" t="s">
        <v>1076</v>
      </c>
      <c r="F5592" s="3" t="s">
        <v>6994</v>
      </c>
      <c r="G5592" s="3" t="s">
        <v>321</v>
      </c>
      <c r="H5592" s="4" t="s">
        <v>1305</v>
      </c>
    </row>
    <row r="5593" ht="16.5" customHeight="1" spans="1:8">
      <c r="A5593" s="3">
        <v>5592</v>
      </c>
      <c r="B5593" s="3" t="s">
        <v>12449</v>
      </c>
      <c r="C5593" s="3" t="s">
        <v>2163</v>
      </c>
      <c r="D5593" s="4" t="s">
        <v>12450</v>
      </c>
      <c r="E5593" s="3" t="s">
        <v>1076</v>
      </c>
      <c r="F5593" s="3" t="s">
        <v>1358</v>
      </c>
      <c r="G5593" s="3" t="s">
        <v>321</v>
      </c>
      <c r="H5593" s="4"/>
    </row>
    <row r="5594" ht="16.5" customHeight="1" spans="1:8">
      <c r="A5594" s="3">
        <v>5593</v>
      </c>
      <c r="B5594" s="3" t="s">
        <v>12451</v>
      </c>
      <c r="C5594" s="3" t="s">
        <v>2163</v>
      </c>
      <c r="D5594" s="4" t="s">
        <v>12452</v>
      </c>
      <c r="E5594" s="3" t="s">
        <v>1076</v>
      </c>
      <c r="F5594" s="3" t="s">
        <v>6994</v>
      </c>
      <c r="G5594" s="3"/>
      <c r="H5594" s="4" t="s">
        <v>1305</v>
      </c>
    </row>
    <row r="5595" ht="16.5" customHeight="1" spans="1:8">
      <c r="A5595" s="3">
        <v>5594</v>
      </c>
      <c r="B5595" s="3" t="s">
        <v>12453</v>
      </c>
      <c r="C5595" s="3" t="s">
        <v>2163</v>
      </c>
      <c r="D5595" s="4" t="s">
        <v>12454</v>
      </c>
      <c r="E5595" s="3" t="s">
        <v>2726</v>
      </c>
      <c r="F5595" s="3" t="s">
        <v>1358</v>
      </c>
      <c r="G5595" s="3" t="s">
        <v>321</v>
      </c>
      <c r="H5595" s="4" t="s">
        <v>1359</v>
      </c>
    </row>
    <row r="5596" ht="16.5" customHeight="1" spans="1:8">
      <c r="A5596" s="3">
        <v>5595</v>
      </c>
      <c r="B5596" s="3" t="s">
        <v>12455</v>
      </c>
      <c r="C5596" s="3" t="s">
        <v>1099</v>
      </c>
      <c r="D5596" s="4" t="s">
        <v>12456</v>
      </c>
      <c r="E5596" s="3" t="s">
        <v>1218</v>
      </c>
      <c r="F5596" s="3" t="s">
        <v>10259</v>
      </c>
      <c r="G5596" s="3"/>
      <c r="H5596" s="4"/>
    </row>
    <row r="5597" ht="16.5" customHeight="1" spans="1:8">
      <c r="A5597" s="3">
        <v>5596</v>
      </c>
      <c r="B5597" s="3" t="s">
        <v>12457</v>
      </c>
      <c r="C5597" s="3" t="s">
        <v>1074</v>
      </c>
      <c r="D5597" s="4" t="s">
        <v>12458</v>
      </c>
      <c r="E5597" s="3" t="s">
        <v>1076</v>
      </c>
      <c r="F5597" s="3" t="s">
        <v>10259</v>
      </c>
      <c r="G5597" s="3"/>
      <c r="H5597" s="4" t="s">
        <v>12459</v>
      </c>
    </row>
    <row r="5598" ht="16.5" customHeight="1" spans="1:8">
      <c r="A5598" s="3">
        <v>5597</v>
      </c>
      <c r="B5598" s="3" t="s">
        <v>12460</v>
      </c>
      <c r="C5598" s="3" t="s">
        <v>2163</v>
      </c>
      <c r="D5598" s="4" t="s">
        <v>12461</v>
      </c>
      <c r="E5598" s="3" t="s">
        <v>1076</v>
      </c>
      <c r="F5598" s="3" t="s">
        <v>6994</v>
      </c>
      <c r="G5598" s="3" t="s">
        <v>321</v>
      </c>
      <c r="H5598" s="4" t="s">
        <v>1305</v>
      </c>
    </row>
    <row r="5599" ht="16.5" customHeight="1" spans="1:8">
      <c r="A5599" s="3">
        <v>5598</v>
      </c>
      <c r="B5599" s="3" t="s">
        <v>12462</v>
      </c>
      <c r="C5599" s="3" t="s">
        <v>2163</v>
      </c>
      <c r="D5599" s="4" t="s">
        <v>12463</v>
      </c>
      <c r="E5599" s="3" t="s">
        <v>2726</v>
      </c>
      <c r="F5599" s="3" t="s">
        <v>2105</v>
      </c>
      <c r="G5599" s="3"/>
      <c r="H5599" s="4"/>
    </row>
    <row r="5600" ht="16.5" customHeight="1" spans="1:8">
      <c r="A5600" s="3">
        <v>5599</v>
      </c>
      <c r="B5600" s="3" t="s">
        <v>12464</v>
      </c>
      <c r="C5600" s="3" t="s">
        <v>1105</v>
      </c>
      <c r="D5600" s="4" t="s">
        <v>12465</v>
      </c>
      <c r="E5600" s="3" t="s">
        <v>1076</v>
      </c>
      <c r="F5600" s="3" t="s">
        <v>4668</v>
      </c>
      <c r="G5600" s="3"/>
      <c r="H5600" s="4" t="s">
        <v>12466</v>
      </c>
    </row>
    <row r="5601" ht="16.5" customHeight="1" spans="1:8">
      <c r="A5601" s="3">
        <v>5600</v>
      </c>
      <c r="B5601" s="3" t="s">
        <v>12467</v>
      </c>
      <c r="C5601" s="3" t="s">
        <v>1105</v>
      </c>
      <c r="D5601" s="4" t="s">
        <v>12468</v>
      </c>
      <c r="E5601" s="3" t="s">
        <v>1076</v>
      </c>
      <c r="F5601" s="3" t="s">
        <v>4668</v>
      </c>
      <c r="G5601" s="3"/>
      <c r="H5601" s="4" t="s">
        <v>12466</v>
      </c>
    </row>
    <row r="5602" ht="16.5" customHeight="1" spans="1:8">
      <c r="A5602" s="3">
        <v>5601</v>
      </c>
      <c r="B5602" s="3" t="s">
        <v>12469</v>
      </c>
      <c r="C5602" s="3" t="s">
        <v>1105</v>
      </c>
      <c r="D5602" s="4" t="s">
        <v>12470</v>
      </c>
      <c r="E5602" s="3" t="s">
        <v>1076</v>
      </c>
      <c r="F5602" s="3" t="s">
        <v>4668</v>
      </c>
      <c r="G5602" s="3"/>
      <c r="H5602" s="4" t="s">
        <v>12466</v>
      </c>
    </row>
    <row r="5603" ht="16.5" customHeight="1" spans="1:8">
      <c r="A5603" s="3">
        <v>5602</v>
      </c>
      <c r="B5603" s="3" t="s">
        <v>12471</v>
      </c>
      <c r="C5603" s="3" t="s">
        <v>1105</v>
      </c>
      <c r="D5603" s="4" t="s">
        <v>12472</v>
      </c>
      <c r="E5603" s="3" t="s">
        <v>1076</v>
      </c>
      <c r="F5603" s="3" t="s">
        <v>4668</v>
      </c>
      <c r="G5603" s="3"/>
      <c r="H5603" s="4" t="s">
        <v>12466</v>
      </c>
    </row>
    <row r="5604" ht="16.5" customHeight="1" spans="1:8">
      <c r="A5604" s="3">
        <v>5603</v>
      </c>
      <c r="B5604" s="3" t="s">
        <v>12473</v>
      </c>
      <c r="C5604" s="3" t="s">
        <v>1105</v>
      </c>
      <c r="D5604" s="4" t="s">
        <v>12474</v>
      </c>
      <c r="E5604" s="3" t="s">
        <v>1076</v>
      </c>
      <c r="F5604" s="3" t="s">
        <v>4668</v>
      </c>
      <c r="G5604" s="3"/>
      <c r="H5604" s="4" t="s">
        <v>12466</v>
      </c>
    </row>
    <row r="5605" ht="16.5" customHeight="1" spans="1:8">
      <c r="A5605" s="3">
        <v>5604</v>
      </c>
      <c r="B5605" s="3" t="s">
        <v>12475</v>
      </c>
      <c r="C5605" s="3" t="s">
        <v>1105</v>
      </c>
      <c r="D5605" s="4" t="s">
        <v>12476</v>
      </c>
      <c r="E5605" s="3" t="s">
        <v>1076</v>
      </c>
      <c r="F5605" s="3" t="s">
        <v>4668</v>
      </c>
      <c r="G5605" s="3"/>
      <c r="H5605" s="4" t="s">
        <v>12466</v>
      </c>
    </row>
    <row r="5606" ht="16.5" customHeight="1" spans="1:8">
      <c r="A5606" s="3">
        <v>5605</v>
      </c>
      <c r="B5606" s="3" t="s">
        <v>12477</v>
      </c>
      <c r="C5606" s="3" t="s">
        <v>1105</v>
      </c>
      <c r="D5606" s="4" t="s">
        <v>12478</v>
      </c>
      <c r="E5606" s="3" t="s">
        <v>1076</v>
      </c>
      <c r="F5606" s="3" t="s">
        <v>4668</v>
      </c>
      <c r="G5606" s="3"/>
      <c r="H5606" s="4" t="s">
        <v>12466</v>
      </c>
    </row>
    <row r="5607" ht="16.5" customHeight="1" spans="1:8">
      <c r="A5607" s="3">
        <v>5606</v>
      </c>
      <c r="B5607" s="3" t="s">
        <v>12479</v>
      </c>
      <c r="C5607" s="3" t="s">
        <v>1105</v>
      </c>
      <c r="D5607" s="4" t="s">
        <v>12480</v>
      </c>
      <c r="E5607" s="3" t="s">
        <v>1076</v>
      </c>
      <c r="F5607" s="3" t="s">
        <v>4668</v>
      </c>
      <c r="G5607" s="3"/>
      <c r="H5607" s="4" t="s">
        <v>12466</v>
      </c>
    </row>
    <row r="5608" ht="16.5" customHeight="1" spans="1:8">
      <c r="A5608" s="3">
        <v>5607</v>
      </c>
      <c r="B5608" s="3" t="s">
        <v>12481</v>
      </c>
      <c r="C5608" s="3" t="s">
        <v>1105</v>
      </c>
      <c r="D5608" s="4" t="s">
        <v>12482</v>
      </c>
      <c r="E5608" s="3" t="s">
        <v>1164</v>
      </c>
      <c r="F5608" s="3" t="s">
        <v>4668</v>
      </c>
      <c r="G5608" s="3"/>
      <c r="H5608" s="4" t="s">
        <v>12466</v>
      </c>
    </row>
    <row r="5609" ht="16.5" customHeight="1" spans="1:8">
      <c r="A5609" s="3">
        <v>5608</v>
      </c>
      <c r="B5609" s="3" t="s">
        <v>12483</v>
      </c>
      <c r="C5609" s="3" t="s">
        <v>1105</v>
      </c>
      <c r="D5609" s="4" t="s">
        <v>12484</v>
      </c>
      <c r="E5609" s="3" t="s">
        <v>1218</v>
      </c>
      <c r="F5609" s="3" t="s">
        <v>4668</v>
      </c>
      <c r="G5609" s="3"/>
      <c r="H5609" s="4" t="s">
        <v>12466</v>
      </c>
    </row>
    <row r="5610" ht="16.5" customHeight="1" spans="1:8">
      <c r="A5610" s="3">
        <v>5609</v>
      </c>
      <c r="B5610" s="3" t="s">
        <v>12485</v>
      </c>
      <c r="C5610" s="3" t="s">
        <v>1105</v>
      </c>
      <c r="D5610" s="4" t="s">
        <v>12486</v>
      </c>
      <c r="E5610" s="3" t="s">
        <v>1218</v>
      </c>
      <c r="F5610" s="3" t="s">
        <v>4668</v>
      </c>
      <c r="G5610" s="3"/>
      <c r="H5610" s="4" t="s">
        <v>12466</v>
      </c>
    </row>
    <row r="5611" ht="16.5" customHeight="1" spans="1:8">
      <c r="A5611" s="3">
        <v>5610</v>
      </c>
      <c r="B5611" s="3" t="s">
        <v>12487</v>
      </c>
      <c r="C5611" s="3" t="s">
        <v>1105</v>
      </c>
      <c r="D5611" s="4" t="s">
        <v>12488</v>
      </c>
      <c r="E5611" s="3" t="s">
        <v>1218</v>
      </c>
      <c r="F5611" s="3" t="s">
        <v>4668</v>
      </c>
      <c r="G5611" s="3"/>
      <c r="H5611" s="4" t="s">
        <v>12466</v>
      </c>
    </row>
    <row r="5612" ht="16.5" customHeight="1" spans="1:8">
      <c r="A5612" s="3">
        <v>5611</v>
      </c>
      <c r="B5612" s="3" t="s">
        <v>12489</v>
      </c>
      <c r="C5612" s="3" t="s">
        <v>1105</v>
      </c>
      <c r="D5612" s="4" t="s">
        <v>12490</v>
      </c>
      <c r="E5612" s="3" t="s">
        <v>1076</v>
      </c>
      <c r="F5612" s="3" t="s">
        <v>4668</v>
      </c>
      <c r="G5612" s="3"/>
      <c r="H5612" s="4" t="s">
        <v>12466</v>
      </c>
    </row>
    <row r="5613" ht="16.5" customHeight="1" spans="1:8">
      <c r="A5613" s="3">
        <v>5612</v>
      </c>
      <c r="B5613" s="3" t="s">
        <v>12491</v>
      </c>
      <c r="C5613" s="3" t="s">
        <v>1105</v>
      </c>
      <c r="D5613" s="4" t="s">
        <v>12492</v>
      </c>
      <c r="E5613" s="3" t="s">
        <v>1076</v>
      </c>
      <c r="F5613" s="3" t="s">
        <v>4668</v>
      </c>
      <c r="G5613" s="3"/>
      <c r="H5613" s="4" t="s">
        <v>12466</v>
      </c>
    </row>
    <row r="5614" ht="16.5" customHeight="1" spans="1:8">
      <c r="A5614" s="3">
        <v>5613</v>
      </c>
      <c r="B5614" s="3" t="s">
        <v>12493</v>
      </c>
      <c r="C5614" s="3" t="s">
        <v>1105</v>
      </c>
      <c r="D5614" s="4" t="s">
        <v>12494</v>
      </c>
      <c r="E5614" s="3" t="s">
        <v>1076</v>
      </c>
      <c r="F5614" s="3" t="s">
        <v>4668</v>
      </c>
      <c r="G5614" s="3"/>
      <c r="H5614" s="4" t="s">
        <v>12466</v>
      </c>
    </row>
    <row r="5615" ht="16.5" customHeight="1" spans="1:8">
      <c r="A5615" s="3">
        <v>5614</v>
      </c>
      <c r="B5615" s="3" t="s">
        <v>12495</v>
      </c>
      <c r="C5615" s="3" t="s">
        <v>1105</v>
      </c>
      <c r="D5615" s="4" t="s">
        <v>12496</v>
      </c>
      <c r="E5615" s="3" t="s">
        <v>1076</v>
      </c>
      <c r="F5615" s="3" t="s">
        <v>4668</v>
      </c>
      <c r="G5615" s="3"/>
      <c r="H5615" s="4" t="s">
        <v>12466</v>
      </c>
    </row>
    <row r="5616" ht="16.5" customHeight="1" spans="1:8">
      <c r="A5616" s="3">
        <v>5615</v>
      </c>
      <c r="B5616" s="3" t="s">
        <v>12497</v>
      </c>
      <c r="C5616" s="3" t="s">
        <v>1105</v>
      </c>
      <c r="D5616" s="4" t="s">
        <v>12498</v>
      </c>
      <c r="E5616" s="3" t="s">
        <v>1076</v>
      </c>
      <c r="F5616" s="3" t="s">
        <v>4668</v>
      </c>
      <c r="G5616" s="3"/>
      <c r="H5616" s="4" t="s">
        <v>12466</v>
      </c>
    </row>
    <row r="5617" ht="16.5" customHeight="1" spans="1:8">
      <c r="A5617" s="3">
        <v>5616</v>
      </c>
      <c r="B5617" s="3" t="s">
        <v>12499</v>
      </c>
      <c r="C5617" s="3" t="s">
        <v>1105</v>
      </c>
      <c r="D5617" s="4" t="s">
        <v>12500</v>
      </c>
      <c r="E5617" s="3" t="s">
        <v>1076</v>
      </c>
      <c r="F5617" s="3" t="s">
        <v>4668</v>
      </c>
      <c r="G5617" s="3"/>
      <c r="H5617" s="4" t="s">
        <v>12466</v>
      </c>
    </row>
    <row r="5618" ht="16.5" customHeight="1" spans="1:8">
      <c r="A5618" s="3">
        <v>5617</v>
      </c>
      <c r="B5618" s="3" t="s">
        <v>12501</v>
      </c>
      <c r="C5618" s="3" t="s">
        <v>1105</v>
      </c>
      <c r="D5618" s="4" t="s">
        <v>12502</v>
      </c>
      <c r="E5618" s="3" t="s">
        <v>1076</v>
      </c>
      <c r="F5618" s="3" t="s">
        <v>4668</v>
      </c>
      <c r="G5618" s="3"/>
      <c r="H5618" s="4" t="s">
        <v>12466</v>
      </c>
    </row>
    <row r="5619" ht="16.5" customHeight="1" spans="1:8">
      <c r="A5619" s="3">
        <v>5618</v>
      </c>
      <c r="B5619" s="3" t="s">
        <v>12503</v>
      </c>
      <c r="C5619" s="3" t="s">
        <v>1105</v>
      </c>
      <c r="D5619" s="4" t="s">
        <v>12504</v>
      </c>
      <c r="E5619" s="3" t="s">
        <v>1076</v>
      </c>
      <c r="F5619" s="3" t="s">
        <v>4668</v>
      </c>
      <c r="G5619" s="3"/>
      <c r="H5619" s="4" t="s">
        <v>12466</v>
      </c>
    </row>
    <row r="5620" ht="16.5" customHeight="1" spans="1:8">
      <c r="A5620" s="3">
        <v>5619</v>
      </c>
      <c r="B5620" s="3" t="s">
        <v>12505</v>
      </c>
      <c r="C5620" s="3" t="s">
        <v>1105</v>
      </c>
      <c r="D5620" s="4" t="s">
        <v>12506</v>
      </c>
      <c r="E5620" s="3" t="s">
        <v>1218</v>
      </c>
      <c r="F5620" s="3" t="s">
        <v>4668</v>
      </c>
      <c r="G5620" s="3"/>
      <c r="H5620" s="4" t="s">
        <v>12466</v>
      </c>
    </row>
    <row r="5621" ht="16.5" customHeight="1" spans="1:8">
      <c r="A5621" s="3">
        <v>5620</v>
      </c>
      <c r="B5621" s="3" t="s">
        <v>12507</v>
      </c>
      <c r="C5621" s="3" t="s">
        <v>1105</v>
      </c>
      <c r="D5621" s="4" t="s">
        <v>12508</v>
      </c>
      <c r="E5621" s="3" t="s">
        <v>1218</v>
      </c>
      <c r="F5621" s="3" t="s">
        <v>4668</v>
      </c>
      <c r="G5621" s="3"/>
      <c r="H5621" s="4" t="s">
        <v>12466</v>
      </c>
    </row>
    <row r="5622" ht="16.5" customHeight="1" spans="1:8">
      <c r="A5622" s="3">
        <v>5621</v>
      </c>
      <c r="B5622" s="3" t="s">
        <v>12509</v>
      </c>
      <c r="C5622" s="3" t="s">
        <v>1105</v>
      </c>
      <c r="D5622" s="4" t="s">
        <v>12510</v>
      </c>
      <c r="E5622" s="3" t="s">
        <v>1076</v>
      </c>
      <c r="F5622" s="3" t="s">
        <v>4668</v>
      </c>
      <c r="G5622" s="3"/>
      <c r="H5622" s="4" t="s">
        <v>12466</v>
      </c>
    </row>
    <row r="5623" ht="16.5" customHeight="1" spans="1:8">
      <c r="A5623" s="3">
        <v>5622</v>
      </c>
      <c r="B5623" s="3" t="s">
        <v>12511</v>
      </c>
      <c r="C5623" s="3" t="s">
        <v>1105</v>
      </c>
      <c r="D5623" s="4" t="s">
        <v>12512</v>
      </c>
      <c r="E5623" s="3" t="s">
        <v>1076</v>
      </c>
      <c r="F5623" s="3" t="s">
        <v>4668</v>
      </c>
      <c r="G5623" s="3"/>
      <c r="H5623" s="4" t="s">
        <v>12466</v>
      </c>
    </row>
    <row r="5624" ht="16.5" customHeight="1" spans="1:8">
      <c r="A5624" s="3">
        <v>5623</v>
      </c>
      <c r="B5624" s="3" t="s">
        <v>12513</v>
      </c>
      <c r="C5624" s="3" t="s">
        <v>1105</v>
      </c>
      <c r="D5624" s="4" t="s">
        <v>12514</v>
      </c>
      <c r="E5624" s="3" t="s">
        <v>1218</v>
      </c>
      <c r="F5624" s="3" t="s">
        <v>4668</v>
      </c>
      <c r="G5624" s="3"/>
      <c r="H5624" s="4" t="s">
        <v>12466</v>
      </c>
    </row>
    <row r="5625" ht="16.5" customHeight="1" spans="1:8">
      <c r="A5625" s="3">
        <v>5624</v>
      </c>
      <c r="B5625" s="3" t="s">
        <v>12515</v>
      </c>
      <c r="C5625" s="3" t="s">
        <v>1105</v>
      </c>
      <c r="D5625" s="4" t="s">
        <v>12516</v>
      </c>
      <c r="E5625" s="3" t="s">
        <v>1218</v>
      </c>
      <c r="F5625" s="3" t="s">
        <v>4668</v>
      </c>
      <c r="G5625" s="3"/>
      <c r="H5625" s="4" t="s">
        <v>12466</v>
      </c>
    </row>
    <row r="5626" ht="16.5" customHeight="1" spans="1:8">
      <c r="A5626" s="3">
        <v>5625</v>
      </c>
      <c r="B5626" s="3" t="s">
        <v>12517</v>
      </c>
      <c r="C5626" s="3" t="s">
        <v>1105</v>
      </c>
      <c r="D5626" s="4" t="s">
        <v>12518</v>
      </c>
      <c r="E5626" s="3" t="s">
        <v>1218</v>
      </c>
      <c r="F5626" s="3" t="s">
        <v>4668</v>
      </c>
      <c r="G5626" s="3"/>
      <c r="H5626" s="4" t="s">
        <v>12466</v>
      </c>
    </row>
    <row r="5627" ht="16.5" customHeight="1" spans="1:8">
      <c r="A5627" s="3">
        <v>5626</v>
      </c>
      <c r="B5627" s="3" t="s">
        <v>12519</v>
      </c>
      <c r="C5627" s="3" t="s">
        <v>1105</v>
      </c>
      <c r="D5627" s="4" t="s">
        <v>12520</v>
      </c>
      <c r="E5627" s="3" t="s">
        <v>1218</v>
      </c>
      <c r="F5627" s="3" t="s">
        <v>4668</v>
      </c>
      <c r="G5627" s="3"/>
      <c r="H5627" s="4" t="s">
        <v>12466</v>
      </c>
    </row>
    <row r="5628" ht="16.5" customHeight="1" spans="1:8">
      <c r="A5628" s="3">
        <v>5627</v>
      </c>
      <c r="B5628" s="3" t="s">
        <v>12521</v>
      </c>
      <c r="C5628" s="3" t="s">
        <v>2163</v>
      </c>
      <c r="D5628" s="4" t="s">
        <v>12522</v>
      </c>
      <c r="E5628" s="3" t="s">
        <v>1076</v>
      </c>
      <c r="F5628" s="3" t="s">
        <v>2041</v>
      </c>
      <c r="G5628" s="3" t="s">
        <v>321</v>
      </c>
      <c r="H5628" s="4"/>
    </row>
    <row r="5629" ht="16.5" customHeight="1" spans="1:8">
      <c r="A5629" s="3">
        <v>5628</v>
      </c>
      <c r="B5629" s="3" t="s">
        <v>12523</v>
      </c>
      <c r="C5629" s="3" t="s">
        <v>2163</v>
      </c>
      <c r="D5629" s="4" t="s">
        <v>12524</v>
      </c>
      <c r="E5629" s="3" t="s">
        <v>5779</v>
      </c>
      <c r="F5629" s="3" t="s">
        <v>4668</v>
      </c>
      <c r="G5629" s="3"/>
      <c r="H5629" s="4" t="s">
        <v>1359</v>
      </c>
    </row>
    <row r="5630" ht="16.5" customHeight="1" spans="1:8">
      <c r="A5630" s="3">
        <v>5629</v>
      </c>
      <c r="B5630" s="3" t="s">
        <v>12525</v>
      </c>
      <c r="C5630" s="3" t="s">
        <v>2163</v>
      </c>
      <c r="D5630" s="4" t="s">
        <v>12526</v>
      </c>
      <c r="E5630" s="3" t="s">
        <v>3954</v>
      </c>
      <c r="F5630" s="3" t="s">
        <v>4668</v>
      </c>
      <c r="G5630" s="3"/>
      <c r="H5630" s="4" t="s">
        <v>1359</v>
      </c>
    </row>
    <row r="5631" ht="16.5" customHeight="1" spans="1:8">
      <c r="A5631" s="3">
        <v>5630</v>
      </c>
      <c r="B5631" s="3" t="s">
        <v>12527</v>
      </c>
      <c r="C5631" s="3" t="s">
        <v>2163</v>
      </c>
      <c r="D5631" s="4" t="s">
        <v>12528</v>
      </c>
      <c r="E5631" s="3" t="s">
        <v>3954</v>
      </c>
      <c r="F5631" s="3" t="s">
        <v>4668</v>
      </c>
      <c r="G5631" s="3"/>
      <c r="H5631" s="4" t="s">
        <v>1359</v>
      </c>
    </row>
    <row r="5632" ht="16.5" customHeight="1" spans="1:8">
      <c r="A5632" s="3">
        <v>5631</v>
      </c>
      <c r="B5632" s="3" t="s">
        <v>12529</v>
      </c>
      <c r="C5632" s="3" t="s">
        <v>2163</v>
      </c>
      <c r="D5632" s="4" t="s">
        <v>12530</v>
      </c>
      <c r="E5632" s="3" t="s">
        <v>5779</v>
      </c>
      <c r="F5632" s="3" t="s">
        <v>4668</v>
      </c>
      <c r="G5632" s="3"/>
      <c r="H5632" s="4" t="s">
        <v>1305</v>
      </c>
    </row>
    <row r="5633" ht="16.5" customHeight="1" spans="1:8">
      <c r="A5633" s="3">
        <v>5632</v>
      </c>
      <c r="B5633" s="3" t="s">
        <v>12531</v>
      </c>
      <c r="C5633" s="3" t="s">
        <v>2163</v>
      </c>
      <c r="D5633" s="4" t="s">
        <v>12532</v>
      </c>
      <c r="E5633" s="3" t="s">
        <v>2263</v>
      </c>
      <c r="F5633" s="3" t="s">
        <v>6994</v>
      </c>
      <c r="G5633" s="3" t="s">
        <v>321</v>
      </c>
      <c r="H5633" s="4" t="s">
        <v>1305</v>
      </c>
    </row>
    <row r="5634" ht="16.5" customHeight="1" spans="1:8">
      <c r="A5634" s="3">
        <v>5633</v>
      </c>
      <c r="B5634" s="3" t="s">
        <v>12533</v>
      </c>
      <c r="C5634" s="3" t="s">
        <v>2163</v>
      </c>
      <c r="D5634" s="4" t="s">
        <v>12534</v>
      </c>
      <c r="E5634" s="3" t="s">
        <v>2726</v>
      </c>
      <c r="F5634" s="3" t="s">
        <v>2105</v>
      </c>
      <c r="G5634" s="3"/>
      <c r="H5634" s="4"/>
    </row>
    <row r="5635" ht="16.5" customHeight="1" spans="1:8">
      <c r="A5635" s="3">
        <v>5634</v>
      </c>
      <c r="B5635" s="3" t="s">
        <v>12535</v>
      </c>
      <c r="C5635" s="3" t="s">
        <v>2163</v>
      </c>
      <c r="D5635" s="4" t="s">
        <v>12536</v>
      </c>
      <c r="E5635" s="3" t="s">
        <v>2726</v>
      </c>
      <c r="F5635" s="3" t="s">
        <v>2105</v>
      </c>
      <c r="G5635" s="3"/>
      <c r="H5635" s="4"/>
    </row>
    <row r="5636" ht="16.5" customHeight="1" spans="1:8">
      <c r="A5636" s="3">
        <v>5635</v>
      </c>
      <c r="B5636" s="3" t="s">
        <v>12537</v>
      </c>
      <c r="C5636" s="3" t="s">
        <v>2163</v>
      </c>
      <c r="D5636" s="4" t="s">
        <v>12538</v>
      </c>
      <c r="E5636" s="3" t="s">
        <v>2726</v>
      </c>
      <c r="F5636" s="3" t="s">
        <v>2105</v>
      </c>
      <c r="G5636" s="3"/>
      <c r="H5636" s="4"/>
    </row>
    <row r="5637" ht="16.5" customHeight="1" spans="1:8">
      <c r="A5637" s="3">
        <v>5636</v>
      </c>
      <c r="B5637" s="3" t="s">
        <v>12539</v>
      </c>
      <c r="C5637" s="3" t="s">
        <v>1074</v>
      </c>
      <c r="D5637" s="4" t="s">
        <v>12540</v>
      </c>
      <c r="E5637" s="3" t="s">
        <v>1164</v>
      </c>
      <c r="F5637" s="3" t="s">
        <v>4331</v>
      </c>
      <c r="G5637" s="3" t="s">
        <v>321</v>
      </c>
      <c r="H5637" s="4" t="s">
        <v>11765</v>
      </c>
    </row>
    <row r="5638" ht="16.5" customHeight="1" spans="1:8">
      <c r="A5638" s="3">
        <v>5637</v>
      </c>
      <c r="B5638" s="3" t="s">
        <v>12541</v>
      </c>
      <c r="C5638" s="3" t="s">
        <v>1074</v>
      </c>
      <c r="D5638" s="4" t="s">
        <v>12542</v>
      </c>
      <c r="E5638" s="3" t="s">
        <v>1076</v>
      </c>
      <c r="F5638" s="3" t="s">
        <v>4331</v>
      </c>
      <c r="G5638" s="3" t="s">
        <v>321</v>
      </c>
      <c r="H5638" s="4"/>
    </row>
    <row r="5639" ht="16.5" customHeight="1" spans="1:8">
      <c r="A5639" s="3">
        <v>5638</v>
      </c>
      <c r="B5639" s="3" t="s">
        <v>12543</v>
      </c>
      <c r="C5639" s="3" t="s">
        <v>1074</v>
      </c>
      <c r="D5639" s="4" t="s">
        <v>12544</v>
      </c>
      <c r="E5639" s="3" t="s">
        <v>1218</v>
      </c>
      <c r="F5639" s="3" t="s">
        <v>4331</v>
      </c>
      <c r="G5639" s="3" t="s">
        <v>321</v>
      </c>
      <c r="H5639" s="4" t="s">
        <v>11765</v>
      </c>
    </row>
    <row r="5640" ht="16.5" customHeight="1" spans="1:8">
      <c r="A5640" s="3">
        <v>5639</v>
      </c>
      <c r="B5640" s="3" t="s">
        <v>12545</v>
      </c>
      <c r="C5640" s="3" t="s">
        <v>1074</v>
      </c>
      <c r="D5640" s="4" t="s">
        <v>12546</v>
      </c>
      <c r="E5640" s="3" t="s">
        <v>1218</v>
      </c>
      <c r="F5640" s="3" t="s">
        <v>4331</v>
      </c>
      <c r="G5640" s="3" t="s">
        <v>321</v>
      </c>
      <c r="H5640" s="4"/>
    </row>
    <row r="5641" ht="16.5" customHeight="1" spans="1:8">
      <c r="A5641" s="3">
        <v>5640</v>
      </c>
      <c r="B5641" s="3" t="s">
        <v>12547</v>
      </c>
      <c r="C5641" s="3" t="s">
        <v>2163</v>
      </c>
      <c r="D5641" s="4" t="s">
        <v>12548</v>
      </c>
      <c r="E5641" s="3" t="s">
        <v>1076</v>
      </c>
      <c r="F5641" s="3" t="s">
        <v>6994</v>
      </c>
      <c r="G5641" s="3" t="s">
        <v>321</v>
      </c>
      <c r="H5641" s="4" t="s">
        <v>1305</v>
      </c>
    </row>
    <row r="5642" ht="16.5" customHeight="1" spans="1:8">
      <c r="A5642" s="3">
        <v>5641</v>
      </c>
      <c r="B5642" s="3" t="s">
        <v>12549</v>
      </c>
      <c r="C5642" s="3" t="s">
        <v>2163</v>
      </c>
      <c r="D5642" s="4" t="s">
        <v>12550</v>
      </c>
      <c r="E5642" s="3" t="s">
        <v>2726</v>
      </c>
      <c r="F5642" s="3" t="s">
        <v>11431</v>
      </c>
      <c r="G5642" s="3"/>
      <c r="H5642" s="4" t="s">
        <v>5664</v>
      </c>
    </row>
    <row r="5643" ht="16.5" customHeight="1" spans="1:8">
      <c r="A5643" s="3">
        <v>5642</v>
      </c>
      <c r="B5643" s="3" t="s">
        <v>12551</v>
      </c>
      <c r="C5643" s="3" t="s">
        <v>2163</v>
      </c>
      <c r="D5643" s="4" t="s">
        <v>12552</v>
      </c>
      <c r="E5643" s="3" t="s">
        <v>1076</v>
      </c>
      <c r="F5643" s="3" t="s">
        <v>2105</v>
      </c>
      <c r="G5643" s="3"/>
      <c r="H5643" s="4"/>
    </row>
    <row r="5644" ht="16.5" customHeight="1" spans="1:8">
      <c r="A5644" s="3">
        <v>5643</v>
      </c>
      <c r="B5644" s="3" t="s">
        <v>12553</v>
      </c>
      <c r="C5644" s="3" t="s">
        <v>2163</v>
      </c>
      <c r="D5644" s="4" t="s">
        <v>12554</v>
      </c>
      <c r="E5644" s="3" t="s">
        <v>2726</v>
      </c>
      <c r="F5644" s="3" t="s">
        <v>11431</v>
      </c>
      <c r="G5644" s="3"/>
      <c r="H5644" s="4"/>
    </row>
    <row r="5645" ht="16.5" customHeight="1" spans="1:8">
      <c r="A5645" s="3">
        <v>5644</v>
      </c>
      <c r="B5645" s="3" t="s">
        <v>12555</v>
      </c>
      <c r="C5645" s="3" t="s">
        <v>2163</v>
      </c>
      <c r="D5645" s="4" t="s">
        <v>12556</v>
      </c>
      <c r="E5645" s="3" t="s">
        <v>1076</v>
      </c>
      <c r="F5645" s="3" t="s">
        <v>2105</v>
      </c>
      <c r="G5645" s="3"/>
      <c r="H5645" s="4" t="s">
        <v>3812</v>
      </c>
    </row>
    <row r="5646" ht="16.5" customHeight="1" spans="1:8">
      <c r="A5646" s="3">
        <v>5645</v>
      </c>
      <c r="B5646" s="3" t="s">
        <v>12557</v>
      </c>
      <c r="C5646" s="3" t="s">
        <v>1361</v>
      </c>
      <c r="D5646" s="4" t="s">
        <v>12558</v>
      </c>
      <c r="E5646" s="3" t="s">
        <v>1218</v>
      </c>
      <c r="F5646" s="3" t="s">
        <v>2105</v>
      </c>
      <c r="G5646" s="3"/>
      <c r="H5646" s="4"/>
    </row>
    <row r="5647" ht="16.5" customHeight="1" spans="1:8">
      <c r="A5647" s="3">
        <v>5646</v>
      </c>
      <c r="B5647" s="3" t="s">
        <v>12559</v>
      </c>
      <c r="C5647" s="3" t="s">
        <v>1361</v>
      </c>
      <c r="D5647" s="4" t="s">
        <v>12560</v>
      </c>
      <c r="E5647" s="3" t="s">
        <v>1218</v>
      </c>
      <c r="F5647" s="3" t="s">
        <v>2105</v>
      </c>
      <c r="G5647" s="3"/>
      <c r="H5647" s="4"/>
    </row>
    <row r="5648" ht="16.5" customHeight="1" spans="1:8">
      <c r="A5648" s="3">
        <v>5647</v>
      </c>
      <c r="B5648" s="3" t="s">
        <v>12561</v>
      </c>
      <c r="C5648" s="3" t="s">
        <v>1361</v>
      </c>
      <c r="D5648" s="4" t="s">
        <v>12562</v>
      </c>
      <c r="E5648" s="3" t="s">
        <v>1218</v>
      </c>
      <c r="F5648" s="3" t="s">
        <v>2105</v>
      </c>
      <c r="G5648" s="3"/>
      <c r="H5648" s="4"/>
    </row>
    <row r="5649" ht="16.5" customHeight="1" spans="1:8">
      <c r="A5649" s="3">
        <v>5648</v>
      </c>
      <c r="B5649" s="3" t="s">
        <v>12563</v>
      </c>
      <c r="C5649" s="3" t="s">
        <v>1361</v>
      </c>
      <c r="D5649" s="4" t="s">
        <v>12564</v>
      </c>
      <c r="E5649" s="3" t="s">
        <v>1218</v>
      </c>
      <c r="F5649" s="3" t="s">
        <v>2105</v>
      </c>
      <c r="G5649" s="3"/>
      <c r="H5649" s="4"/>
    </row>
    <row r="5650" ht="16.5" customHeight="1" spans="1:8">
      <c r="A5650" s="3">
        <v>5649</v>
      </c>
      <c r="B5650" s="3" t="s">
        <v>12565</v>
      </c>
      <c r="C5650" s="3" t="s">
        <v>1361</v>
      </c>
      <c r="D5650" s="4" t="s">
        <v>12566</v>
      </c>
      <c r="E5650" s="3" t="s">
        <v>1218</v>
      </c>
      <c r="F5650" s="3" t="s">
        <v>2105</v>
      </c>
      <c r="G5650" s="3"/>
      <c r="H5650" s="4"/>
    </row>
    <row r="5651" ht="16.5" customHeight="1" spans="1:8">
      <c r="A5651" s="3">
        <v>5650</v>
      </c>
      <c r="B5651" s="3" t="s">
        <v>12567</v>
      </c>
      <c r="C5651" s="3" t="s">
        <v>1361</v>
      </c>
      <c r="D5651" s="4" t="s">
        <v>12568</v>
      </c>
      <c r="E5651" s="3" t="s">
        <v>1218</v>
      </c>
      <c r="F5651" s="3" t="s">
        <v>2105</v>
      </c>
      <c r="G5651" s="3"/>
      <c r="H5651" s="4"/>
    </row>
    <row r="5652" ht="16.5" customHeight="1" spans="1:8">
      <c r="A5652" s="3">
        <v>5651</v>
      </c>
      <c r="B5652" s="3" t="s">
        <v>12569</v>
      </c>
      <c r="C5652" s="3" t="s">
        <v>1361</v>
      </c>
      <c r="D5652" s="4" t="s">
        <v>12570</v>
      </c>
      <c r="E5652" s="3" t="s">
        <v>1218</v>
      </c>
      <c r="F5652" s="3" t="s">
        <v>2105</v>
      </c>
      <c r="G5652" s="3"/>
      <c r="H5652" s="4"/>
    </row>
    <row r="5653" ht="16.5" customHeight="1" spans="1:8">
      <c r="A5653" s="3">
        <v>5652</v>
      </c>
      <c r="B5653" s="3" t="s">
        <v>12571</v>
      </c>
      <c r="C5653" s="3" t="s">
        <v>1361</v>
      </c>
      <c r="D5653" s="4" t="s">
        <v>12572</v>
      </c>
      <c r="E5653" s="3" t="s">
        <v>1218</v>
      </c>
      <c r="F5653" s="3" t="s">
        <v>2105</v>
      </c>
      <c r="G5653" s="3"/>
      <c r="H5653" s="4"/>
    </row>
    <row r="5654" ht="16.5" customHeight="1" spans="1:8">
      <c r="A5654" s="3">
        <v>5653</v>
      </c>
      <c r="B5654" s="3" t="s">
        <v>12573</v>
      </c>
      <c r="C5654" s="3" t="s">
        <v>1361</v>
      </c>
      <c r="D5654" s="4" t="s">
        <v>12574</v>
      </c>
      <c r="E5654" s="3" t="s">
        <v>1218</v>
      </c>
      <c r="F5654" s="3" t="s">
        <v>2105</v>
      </c>
      <c r="G5654" s="3"/>
      <c r="H5654" s="4"/>
    </row>
    <row r="5655" ht="16.5" customHeight="1" spans="1:8">
      <c r="A5655" s="3">
        <v>5654</v>
      </c>
      <c r="B5655" s="3" t="s">
        <v>12575</v>
      </c>
      <c r="C5655" s="3" t="s">
        <v>1361</v>
      </c>
      <c r="D5655" s="4" t="s">
        <v>12576</v>
      </c>
      <c r="E5655" s="3" t="s">
        <v>1218</v>
      </c>
      <c r="F5655" s="3" t="s">
        <v>2105</v>
      </c>
      <c r="G5655" s="3"/>
      <c r="H5655" s="4"/>
    </row>
    <row r="5656" ht="16.5" customHeight="1" spans="1:8">
      <c r="A5656" s="3">
        <v>5655</v>
      </c>
      <c r="B5656" s="3" t="s">
        <v>12577</v>
      </c>
      <c r="C5656" s="3" t="s">
        <v>1361</v>
      </c>
      <c r="D5656" s="4" t="s">
        <v>12578</v>
      </c>
      <c r="E5656" s="3" t="s">
        <v>1218</v>
      </c>
      <c r="F5656" s="3" t="s">
        <v>2105</v>
      </c>
      <c r="G5656" s="3"/>
      <c r="H5656" s="4"/>
    </row>
    <row r="5657" ht="16.5" customHeight="1" spans="1:8">
      <c r="A5657" s="3">
        <v>5656</v>
      </c>
      <c r="B5657" s="3" t="s">
        <v>12579</v>
      </c>
      <c r="C5657" s="3" t="s">
        <v>1361</v>
      </c>
      <c r="D5657" s="4" t="s">
        <v>12580</v>
      </c>
      <c r="E5657" s="3" t="s">
        <v>1218</v>
      </c>
      <c r="F5657" s="3" t="s">
        <v>2105</v>
      </c>
      <c r="G5657" s="3"/>
      <c r="H5657" s="4"/>
    </row>
    <row r="5658" ht="16.5" customHeight="1" spans="1:8">
      <c r="A5658" s="3">
        <v>5657</v>
      </c>
      <c r="B5658" s="3" t="s">
        <v>12581</v>
      </c>
      <c r="C5658" s="3" t="s">
        <v>1361</v>
      </c>
      <c r="D5658" s="4" t="s">
        <v>12582</v>
      </c>
      <c r="E5658" s="3" t="s">
        <v>1218</v>
      </c>
      <c r="F5658" s="3" t="s">
        <v>2105</v>
      </c>
      <c r="G5658" s="3"/>
      <c r="H5658" s="4"/>
    </row>
    <row r="5659" ht="16.5" customHeight="1" spans="1:8">
      <c r="A5659" s="3">
        <v>5658</v>
      </c>
      <c r="B5659" s="3" t="s">
        <v>12583</v>
      </c>
      <c r="C5659" s="3" t="s">
        <v>1361</v>
      </c>
      <c r="D5659" s="4" t="s">
        <v>12584</v>
      </c>
      <c r="E5659" s="3" t="s">
        <v>1218</v>
      </c>
      <c r="F5659" s="3" t="s">
        <v>2105</v>
      </c>
      <c r="G5659" s="3"/>
      <c r="H5659" s="4"/>
    </row>
    <row r="5660" ht="16.5" customHeight="1" spans="1:8">
      <c r="A5660" s="3">
        <v>5659</v>
      </c>
      <c r="B5660" s="3" t="s">
        <v>12585</v>
      </c>
      <c r="C5660" s="3" t="s">
        <v>1361</v>
      </c>
      <c r="D5660" s="4" t="s">
        <v>12586</v>
      </c>
      <c r="E5660" s="3" t="s">
        <v>1218</v>
      </c>
      <c r="F5660" s="3" t="s">
        <v>2105</v>
      </c>
      <c r="G5660" s="3"/>
      <c r="H5660" s="4"/>
    </row>
    <row r="5661" ht="16.5" customHeight="1" spans="1:8">
      <c r="A5661" s="3">
        <v>5660</v>
      </c>
      <c r="B5661" s="3" t="s">
        <v>12587</v>
      </c>
      <c r="C5661" s="3" t="s">
        <v>1361</v>
      </c>
      <c r="D5661" s="4" t="s">
        <v>12588</v>
      </c>
      <c r="E5661" s="3" t="s">
        <v>1218</v>
      </c>
      <c r="F5661" s="3" t="s">
        <v>2105</v>
      </c>
      <c r="G5661" s="3"/>
      <c r="H5661" s="4"/>
    </row>
    <row r="5662" ht="16.5" customHeight="1" spans="1:8">
      <c r="A5662" s="3">
        <v>5661</v>
      </c>
      <c r="B5662" s="3" t="s">
        <v>12589</v>
      </c>
      <c r="C5662" s="3" t="s">
        <v>1361</v>
      </c>
      <c r="D5662" s="4" t="s">
        <v>12590</v>
      </c>
      <c r="E5662" s="3" t="s">
        <v>1218</v>
      </c>
      <c r="F5662" s="3" t="s">
        <v>2105</v>
      </c>
      <c r="G5662" s="3"/>
      <c r="H5662" s="4"/>
    </row>
    <row r="5663" ht="16.5" customHeight="1" spans="1:8">
      <c r="A5663" s="3">
        <v>5662</v>
      </c>
      <c r="B5663" s="3" t="s">
        <v>12591</v>
      </c>
      <c r="C5663" s="3" t="s">
        <v>1361</v>
      </c>
      <c r="D5663" s="4" t="s">
        <v>12592</v>
      </c>
      <c r="E5663" s="3" t="s">
        <v>1218</v>
      </c>
      <c r="F5663" s="3" t="s">
        <v>2105</v>
      </c>
      <c r="G5663" s="3"/>
      <c r="H5663" s="4"/>
    </row>
    <row r="5664" ht="16.5" customHeight="1" spans="1:8">
      <c r="A5664" s="3">
        <v>5663</v>
      </c>
      <c r="B5664" s="3" t="s">
        <v>12593</v>
      </c>
      <c r="C5664" s="3" t="s">
        <v>1361</v>
      </c>
      <c r="D5664" s="4" t="s">
        <v>12594</v>
      </c>
      <c r="E5664" s="3" t="s">
        <v>1218</v>
      </c>
      <c r="F5664" s="3" t="s">
        <v>2105</v>
      </c>
      <c r="G5664" s="3"/>
      <c r="H5664" s="4"/>
    </row>
    <row r="5665" ht="16.5" customHeight="1" spans="1:8">
      <c r="A5665" s="3">
        <v>5664</v>
      </c>
      <c r="B5665" s="3" t="s">
        <v>12595</v>
      </c>
      <c r="C5665" s="3" t="s">
        <v>1361</v>
      </c>
      <c r="D5665" s="4" t="s">
        <v>12596</v>
      </c>
      <c r="E5665" s="3" t="s">
        <v>1218</v>
      </c>
      <c r="F5665" s="3" t="s">
        <v>2105</v>
      </c>
      <c r="G5665" s="3"/>
      <c r="H5665" s="4"/>
    </row>
    <row r="5666" ht="16.5" customHeight="1" spans="1:8">
      <c r="A5666" s="3">
        <v>5665</v>
      </c>
      <c r="B5666" s="3" t="s">
        <v>12597</v>
      </c>
      <c r="C5666" s="3" t="s">
        <v>1361</v>
      </c>
      <c r="D5666" s="4" t="s">
        <v>12598</v>
      </c>
      <c r="E5666" s="3" t="s">
        <v>1218</v>
      </c>
      <c r="F5666" s="3" t="s">
        <v>2105</v>
      </c>
      <c r="G5666" s="3"/>
      <c r="H5666" s="4"/>
    </row>
    <row r="5667" ht="16.5" customHeight="1" spans="1:8">
      <c r="A5667" s="3">
        <v>5666</v>
      </c>
      <c r="B5667" s="3" t="s">
        <v>12599</v>
      </c>
      <c r="C5667" s="3" t="s">
        <v>1361</v>
      </c>
      <c r="D5667" s="4" t="s">
        <v>12600</v>
      </c>
      <c r="E5667" s="3" t="s">
        <v>1218</v>
      </c>
      <c r="F5667" s="3" t="s">
        <v>2105</v>
      </c>
      <c r="G5667" s="3"/>
      <c r="H5667" s="4"/>
    </row>
    <row r="5668" ht="16.5" customHeight="1" spans="1:8">
      <c r="A5668" s="3">
        <v>5667</v>
      </c>
      <c r="B5668" s="3" t="s">
        <v>12601</v>
      </c>
      <c r="C5668" s="3" t="s">
        <v>1361</v>
      </c>
      <c r="D5668" s="4" t="s">
        <v>12602</v>
      </c>
      <c r="E5668" s="3" t="s">
        <v>1218</v>
      </c>
      <c r="F5668" s="3" t="s">
        <v>2105</v>
      </c>
      <c r="G5668" s="3"/>
      <c r="H5668" s="4"/>
    </row>
    <row r="5669" ht="16.5" customHeight="1" spans="1:8">
      <c r="A5669" s="3">
        <v>5668</v>
      </c>
      <c r="B5669" s="3" t="s">
        <v>12603</v>
      </c>
      <c r="C5669" s="3" t="s">
        <v>1361</v>
      </c>
      <c r="D5669" s="4" t="s">
        <v>12604</v>
      </c>
      <c r="E5669" s="3" t="s">
        <v>1218</v>
      </c>
      <c r="F5669" s="3" t="s">
        <v>11431</v>
      </c>
      <c r="G5669" s="3"/>
      <c r="H5669" s="4"/>
    </row>
    <row r="5670" ht="16.5" customHeight="1" spans="1:8">
      <c r="A5670" s="3">
        <v>5669</v>
      </c>
      <c r="B5670" s="3" t="s">
        <v>12605</v>
      </c>
      <c r="C5670" s="3" t="s">
        <v>1361</v>
      </c>
      <c r="D5670" s="4" t="s">
        <v>12606</v>
      </c>
      <c r="E5670" s="3" t="s">
        <v>1218</v>
      </c>
      <c r="F5670" s="3" t="s">
        <v>11431</v>
      </c>
      <c r="G5670" s="3"/>
      <c r="H5670" s="4"/>
    </row>
    <row r="5671" ht="16.5" customHeight="1" spans="1:8">
      <c r="A5671" s="3">
        <v>5670</v>
      </c>
      <c r="B5671" s="3" t="s">
        <v>12607</v>
      </c>
      <c r="C5671" s="3" t="s">
        <v>1361</v>
      </c>
      <c r="D5671" s="4" t="s">
        <v>12608</v>
      </c>
      <c r="E5671" s="3" t="s">
        <v>1218</v>
      </c>
      <c r="F5671" s="3" t="s">
        <v>11431</v>
      </c>
      <c r="G5671" s="3"/>
      <c r="H5671" s="4"/>
    </row>
    <row r="5672" ht="16.5" customHeight="1" spans="1:8">
      <c r="A5672" s="3">
        <v>5671</v>
      </c>
      <c r="B5672" s="3" t="s">
        <v>12609</v>
      </c>
      <c r="C5672" s="3" t="s">
        <v>1361</v>
      </c>
      <c r="D5672" s="4" t="s">
        <v>12610</v>
      </c>
      <c r="E5672" s="3" t="s">
        <v>1218</v>
      </c>
      <c r="F5672" s="3" t="s">
        <v>11431</v>
      </c>
      <c r="G5672" s="3"/>
      <c r="H5672" s="4"/>
    </row>
    <row r="5673" ht="16.5" customHeight="1" spans="1:8">
      <c r="A5673" s="3">
        <v>5672</v>
      </c>
      <c r="B5673" s="3" t="s">
        <v>12611</v>
      </c>
      <c r="C5673" s="3" t="s">
        <v>1361</v>
      </c>
      <c r="D5673" s="4" t="s">
        <v>12612</v>
      </c>
      <c r="E5673" s="3" t="s">
        <v>1218</v>
      </c>
      <c r="F5673" s="3" t="s">
        <v>11431</v>
      </c>
      <c r="G5673" s="3"/>
      <c r="H5673" s="4"/>
    </row>
    <row r="5674" ht="16.5" customHeight="1" spans="1:8">
      <c r="A5674" s="3">
        <v>5673</v>
      </c>
      <c r="B5674" s="3" t="s">
        <v>12613</v>
      </c>
      <c r="C5674" s="3" t="s">
        <v>1361</v>
      </c>
      <c r="D5674" s="4" t="s">
        <v>12614</v>
      </c>
      <c r="E5674" s="3" t="s">
        <v>1218</v>
      </c>
      <c r="F5674" s="3" t="s">
        <v>11431</v>
      </c>
      <c r="G5674" s="3"/>
      <c r="H5674" s="4"/>
    </row>
    <row r="5675" ht="16.5" customHeight="1" spans="1:8">
      <c r="A5675" s="3">
        <v>5674</v>
      </c>
      <c r="B5675" s="3" t="s">
        <v>12615</v>
      </c>
      <c r="C5675" s="3" t="s">
        <v>1361</v>
      </c>
      <c r="D5675" s="4" t="s">
        <v>12616</v>
      </c>
      <c r="E5675" s="3" t="s">
        <v>1218</v>
      </c>
      <c r="F5675" s="3" t="s">
        <v>11431</v>
      </c>
      <c r="G5675" s="3"/>
      <c r="H5675" s="4"/>
    </row>
    <row r="5676" ht="16.5" customHeight="1" spans="1:8">
      <c r="A5676" s="3">
        <v>5675</v>
      </c>
      <c r="B5676" s="3" t="s">
        <v>12617</v>
      </c>
      <c r="C5676" s="3" t="s">
        <v>1361</v>
      </c>
      <c r="D5676" s="4" t="s">
        <v>12618</v>
      </c>
      <c r="E5676" s="3" t="s">
        <v>1218</v>
      </c>
      <c r="F5676" s="3" t="s">
        <v>11431</v>
      </c>
      <c r="G5676" s="3"/>
      <c r="H5676" s="4"/>
    </row>
    <row r="5677" ht="16.5" customHeight="1" spans="1:8">
      <c r="A5677" s="3">
        <v>5676</v>
      </c>
      <c r="B5677" s="3" t="s">
        <v>12619</v>
      </c>
      <c r="C5677" s="3" t="s">
        <v>1361</v>
      </c>
      <c r="D5677" s="4" t="s">
        <v>12620</v>
      </c>
      <c r="E5677" s="3" t="s">
        <v>1218</v>
      </c>
      <c r="F5677" s="3" t="s">
        <v>11431</v>
      </c>
      <c r="G5677" s="3"/>
      <c r="H5677" s="4"/>
    </row>
    <row r="5678" ht="16.5" customHeight="1" spans="1:8">
      <c r="A5678" s="3">
        <v>5677</v>
      </c>
      <c r="B5678" s="3" t="s">
        <v>12621</v>
      </c>
      <c r="C5678" s="3" t="s">
        <v>1361</v>
      </c>
      <c r="D5678" s="4" t="s">
        <v>12622</v>
      </c>
      <c r="E5678" s="3" t="s">
        <v>1218</v>
      </c>
      <c r="F5678" s="3" t="s">
        <v>11431</v>
      </c>
      <c r="G5678" s="3"/>
      <c r="H5678" s="4"/>
    </row>
    <row r="5679" ht="16.5" customHeight="1" spans="1:8">
      <c r="A5679" s="3">
        <v>5678</v>
      </c>
      <c r="B5679" s="3" t="s">
        <v>12623</v>
      </c>
      <c r="C5679" s="3" t="s">
        <v>1361</v>
      </c>
      <c r="D5679" s="4" t="s">
        <v>12624</v>
      </c>
      <c r="E5679" s="3" t="s">
        <v>1218</v>
      </c>
      <c r="F5679" s="3" t="s">
        <v>11431</v>
      </c>
      <c r="G5679" s="3"/>
      <c r="H5679" s="4"/>
    </row>
    <row r="5680" ht="16.5" customHeight="1" spans="1:8">
      <c r="A5680" s="3">
        <v>5679</v>
      </c>
      <c r="B5680" s="3" t="s">
        <v>12625</v>
      </c>
      <c r="C5680" s="3" t="s">
        <v>1361</v>
      </c>
      <c r="D5680" s="4" t="s">
        <v>12626</v>
      </c>
      <c r="E5680" s="3" t="s">
        <v>1218</v>
      </c>
      <c r="F5680" s="3" t="s">
        <v>11431</v>
      </c>
      <c r="G5680" s="3"/>
      <c r="H5680" s="4"/>
    </row>
    <row r="5681" ht="16.5" customHeight="1" spans="1:8">
      <c r="A5681" s="3">
        <v>5680</v>
      </c>
      <c r="B5681" s="3" t="s">
        <v>12627</v>
      </c>
      <c r="C5681" s="3" t="s">
        <v>1361</v>
      </c>
      <c r="D5681" s="4" t="s">
        <v>12628</v>
      </c>
      <c r="E5681" s="3" t="s">
        <v>1218</v>
      </c>
      <c r="F5681" s="3" t="s">
        <v>11431</v>
      </c>
      <c r="G5681" s="3"/>
      <c r="H5681" s="4"/>
    </row>
    <row r="5682" ht="16.5" customHeight="1" spans="1:8">
      <c r="A5682" s="3">
        <v>5681</v>
      </c>
      <c r="B5682" s="3" t="s">
        <v>12629</v>
      </c>
      <c r="C5682" s="3" t="s">
        <v>1361</v>
      </c>
      <c r="D5682" s="4" t="s">
        <v>12630</v>
      </c>
      <c r="E5682" s="3" t="s">
        <v>1218</v>
      </c>
      <c r="F5682" s="3" t="s">
        <v>11431</v>
      </c>
      <c r="G5682" s="3"/>
      <c r="H5682" s="4"/>
    </row>
    <row r="5683" ht="16.5" customHeight="1" spans="1:8">
      <c r="A5683" s="3">
        <v>5682</v>
      </c>
      <c r="B5683" s="3" t="s">
        <v>12631</v>
      </c>
      <c r="C5683" s="3" t="s">
        <v>1361</v>
      </c>
      <c r="D5683" s="4" t="s">
        <v>12632</v>
      </c>
      <c r="E5683" s="3" t="s">
        <v>1218</v>
      </c>
      <c r="F5683" s="3" t="s">
        <v>11431</v>
      </c>
      <c r="G5683" s="3"/>
      <c r="H5683" s="4"/>
    </row>
    <row r="5684" ht="16.5" customHeight="1" spans="1:8">
      <c r="A5684" s="3">
        <v>5683</v>
      </c>
      <c r="B5684" s="3" t="s">
        <v>12633</v>
      </c>
      <c r="C5684" s="3" t="s">
        <v>1361</v>
      </c>
      <c r="D5684" s="4" t="s">
        <v>12634</v>
      </c>
      <c r="E5684" s="3" t="s">
        <v>1218</v>
      </c>
      <c r="F5684" s="3" t="s">
        <v>11431</v>
      </c>
      <c r="G5684" s="3"/>
      <c r="H5684" s="4"/>
    </row>
    <row r="5685" ht="16.5" customHeight="1" spans="1:8">
      <c r="A5685" s="3">
        <v>5684</v>
      </c>
      <c r="B5685" s="3" t="s">
        <v>12635</v>
      </c>
      <c r="C5685" s="3" t="s">
        <v>2163</v>
      </c>
      <c r="D5685" s="4" t="s">
        <v>12636</v>
      </c>
      <c r="E5685" s="3" t="s">
        <v>1076</v>
      </c>
      <c r="F5685" s="3" t="s">
        <v>10943</v>
      </c>
      <c r="G5685" s="3"/>
      <c r="H5685" s="4" t="s">
        <v>1305</v>
      </c>
    </row>
    <row r="5686" ht="16.5" customHeight="1" spans="1:8">
      <c r="A5686" s="3">
        <v>5685</v>
      </c>
      <c r="B5686" s="3" t="s">
        <v>12637</v>
      </c>
      <c r="C5686" s="3" t="s">
        <v>2163</v>
      </c>
      <c r="D5686" s="4" t="s">
        <v>12638</v>
      </c>
      <c r="E5686" s="3" t="s">
        <v>1076</v>
      </c>
      <c r="F5686" s="3" t="s">
        <v>6994</v>
      </c>
      <c r="G5686" s="3" t="s">
        <v>321</v>
      </c>
      <c r="H5686" s="4" t="s">
        <v>1305</v>
      </c>
    </row>
    <row r="5687" ht="16.5" customHeight="1" spans="1:8">
      <c r="A5687" s="3">
        <v>5686</v>
      </c>
      <c r="B5687" s="3" t="s">
        <v>12639</v>
      </c>
      <c r="C5687" s="3" t="s">
        <v>2163</v>
      </c>
      <c r="D5687" s="4" t="s">
        <v>12640</v>
      </c>
      <c r="E5687" s="3" t="s">
        <v>1076</v>
      </c>
      <c r="F5687" s="3" t="s">
        <v>10943</v>
      </c>
      <c r="G5687" s="3"/>
      <c r="H5687" s="4" t="s">
        <v>1305</v>
      </c>
    </row>
    <row r="5688" ht="16.5" customHeight="1" spans="1:8">
      <c r="A5688" s="3">
        <v>5687</v>
      </c>
      <c r="B5688" s="3" t="s">
        <v>12641</v>
      </c>
      <c r="C5688" s="3" t="s">
        <v>2163</v>
      </c>
      <c r="D5688" s="4" t="s">
        <v>12642</v>
      </c>
      <c r="E5688" s="3" t="s">
        <v>1076</v>
      </c>
      <c r="F5688" s="3" t="s">
        <v>6994</v>
      </c>
      <c r="G5688" s="3" t="s">
        <v>321</v>
      </c>
      <c r="H5688" s="4" t="s">
        <v>1305</v>
      </c>
    </row>
    <row r="5689" ht="16.5" customHeight="1" spans="1:8">
      <c r="A5689" s="3">
        <v>5688</v>
      </c>
      <c r="B5689" s="3" t="s">
        <v>12643</v>
      </c>
      <c r="C5689" s="3" t="s">
        <v>2163</v>
      </c>
      <c r="D5689" s="4" t="s">
        <v>12644</v>
      </c>
      <c r="E5689" s="3" t="s">
        <v>1076</v>
      </c>
      <c r="F5689" s="3" t="s">
        <v>10943</v>
      </c>
      <c r="G5689" s="3"/>
      <c r="H5689" s="4" t="s">
        <v>1305</v>
      </c>
    </row>
    <row r="5690" ht="16.5" customHeight="1" spans="1:8">
      <c r="A5690" s="3">
        <v>5689</v>
      </c>
      <c r="B5690" s="3" t="s">
        <v>12645</v>
      </c>
      <c r="C5690" s="3" t="s">
        <v>1361</v>
      </c>
      <c r="D5690" s="4" t="s">
        <v>12646</v>
      </c>
      <c r="E5690" s="3" t="s">
        <v>1218</v>
      </c>
      <c r="F5690" s="3" t="s">
        <v>2105</v>
      </c>
      <c r="G5690" s="3"/>
      <c r="H5690" s="4"/>
    </row>
    <row r="5691" ht="16.5" customHeight="1" spans="1:8">
      <c r="A5691" s="3">
        <v>5690</v>
      </c>
      <c r="B5691" s="3" t="s">
        <v>12647</v>
      </c>
      <c r="C5691" s="3" t="s">
        <v>1361</v>
      </c>
      <c r="D5691" s="4" t="s">
        <v>12648</v>
      </c>
      <c r="E5691" s="3" t="s">
        <v>1218</v>
      </c>
      <c r="F5691" s="3" t="s">
        <v>2105</v>
      </c>
      <c r="G5691" s="3"/>
      <c r="H5691" s="4"/>
    </row>
    <row r="5692" ht="16.5" customHeight="1" spans="1:8">
      <c r="A5692" s="3">
        <v>5691</v>
      </c>
      <c r="B5692" s="3" t="s">
        <v>12649</v>
      </c>
      <c r="C5692" s="3" t="s">
        <v>1361</v>
      </c>
      <c r="D5692" s="4" t="s">
        <v>12650</v>
      </c>
      <c r="E5692" s="3" t="s">
        <v>1218</v>
      </c>
      <c r="F5692" s="3" t="s">
        <v>2105</v>
      </c>
      <c r="G5692" s="3"/>
      <c r="H5692" s="4"/>
    </row>
    <row r="5693" ht="16.5" customHeight="1" spans="1:8">
      <c r="A5693" s="3">
        <v>5692</v>
      </c>
      <c r="B5693" s="3" t="s">
        <v>12651</v>
      </c>
      <c r="C5693" s="3" t="s">
        <v>1361</v>
      </c>
      <c r="D5693" s="4" t="s">
        <v>12652</v>
      </c>
      <c r="E5693" s="3" t="s">
        <v>1218</v>
      </c>
      <c r="F5693" s="3" t="s">
        <v>2105</v>
      </c>
      <c r="G5693" s="3"/>
      <c r="H5693" s="4"/>
    </row>
    <row r="5694" ht="16.5" customHeight="1" spans="1:8">
      <c r="A5694" s="3">
        <v>5693</v>
      </c>
      <c r="B5694" s="3" t="s">
        <v>12653</v>
      </c>
      <c r="C5694" s="3" t="s">
        <v>1361</v>
      </c>
      <c r="D5694" s="4" t="s">
        <v>12654</v>
      </c>
      <c r="E5694" s="3" t="s">
        <v>1218</v>
      </c>
      <c r="F5694" s="3" t="s">
        <v>2105</v>
      </c>
      <c r="G5694" s="3"/>
      <c r="H5694" s="4"/>
    </row>
    <row r="5695" ht="16.5" customHeight="1" spans="1:8">
      <c r="A5695" s="3">
        <v>5694</v>
      </c>
      <c r="B5695" s="3" t="s">
        <v>12655</v>
      </c>
      <c r="C5695" s="3" t="s">
        <v>1361</v>
      </c>
      <c r="D5695" s="4" t="s">
        <v>12656</v>
      </c>
      <c r="E5695" s="3" t="s">
        <v>1218</v>
      </c>
      <c r="F5695" s="3" t="s">
        <v>2105</v>
      </c>
      <c r="G5695" s="3"/>
      <c r="H5695" s="4"/>
    </row>
    <row r="5696" ht="16.5" customHeight="1" spans="1:8">
      <c r="A5696" s="3">
        <v>5695</v>
      </c>
      <c r="B5696" s="3" t="s">
        <v>12657</v>
      </c>
      <c r="C5696" s="3" t="s">
        <v>1361</v>
      </c>
      <c r="D5696" s="4" t="s">
        <v>12658</v>
      </c>
      <c r="E5696" s="3" t="s">
        <v>1218</v>
      </c>
      <c r="F5696" s="3" t="s">
        <v>2105</v>
      </c>
      <c r="G5696" s="3"/>
      <c r="H5696" s="4"/>
    </row>
    <row r="5697" ht="16.5" customHeight="1" spans="1:8">
      <c r="A5697" s="3">
        <v>5696</v>
      </c>
      <c r="B5697" s="3" t="s">
        <v>12659</v>
      </c>
      <c r="C5697" s="3" t="s">
        <v>1361</v>
      </c>
      <c r="D5697" s="4" t="s">
        <v>12660</v>
      </c>
      <c r="E5697" s="3" t="s">
        <v>1218</v>
      </c>
      <c r="F5697" s="3" t="s">
        <v>2105</v>
      </c>
      <c r="G5697" s="3"/>
      <c r="H5697" s="4"/>
    </row>
    <row r="5698" ht="16.5" customHeight="1" spans="1:8">
      <c r="A5698" s="3">
        <v>5697</v>
      </c>
      <c r="B5698" s="3" t="s">
        <v>12661</v>
      </c>
      <c r="C5698" s="3" t="s">
        <v>1361</v>
      </c>
      <c r="D5698" s="4" t="s">
        <v>12662</v>
      </c>
      <c r="E5698" s="3" t="s">
        <v>1218</v>
      </c>
      <c r="F5698" s="3" t="s">
        <v>2105</v>
      </c>
      <c r="G5698" s="3"/>
      <c r="H5698" s="4"/>
    </row>
    <row r="5699" ht="16.5" customHeight="1" spans="1:8">
      <c r="A5699" s="3">
        <v>5698</v>
      </c>
      <c r="B5699" s="3" t="s">
        <v>12663</v>
      </c>
      <c r="C5699" s="3" t="s">
        <v>1361</v>
      </c>
      <c r="D5699" s="4" t="s">
        <v>12664</v>
      </c>
      <c r="E5699" s="3" t="s">
        <v>1218</v>
      </c>
      <c r="F5699" s="3" t="s">
        <v>2105</v>
      </c>
      <c r="G5699" s="3"/>
      <c r="H5699" s="4"/>
    </row>
    <row r="5700" ht="16.5" customHeight="1" spans="1:8">
      <c r="A5700" s="3">
        <v>5699</v>
      </c>
      <c r="B5700" s="3" t="s">
        <v>12665</v>
      </c>
      <c r="C5700" s="3" t="s">
        <v>1361</v>
      </c>
      <c r="D5700" s="4" t="s">
        <v>12666</v>
      </c>
      <c r="E5700" s="3" t="s">
        <v>1218</v>
      </c>
      <c r="F5700" s="3" t="s">
        <v>2105</v>
      </c>
      <c r="G5700" s="3"/>
      <c r="H5700" s="4"/>
    </row>
    <row r="5701" ht="16.5" customHeight="1" spans="1:8">
      <c r="A5701" s="3">
        <v>5700</v>
      </c>
      <c r="B5701" s="3" t="s">
        <v>12667</v>
      </c>
      <c r="C5701" s="3" t="s">
        <v>1361</v>
      </c>
      <c r="D5701" s="4" t="s">
        <v>12668</v>
      </c>
      <c r="E5701" s="3" t="s">
        <v>1218</v>
      </c>
      <c r="F5701" s="3" t="s">
        <v>2105</v>
      </c>
      <c r="G5701" s="3"/>
      <c r="H5701" s="4"/>
    </row>
    <row r="5702" ht="16.5" customHeight="1" spans="1:8">
      <c r="A5702" s="3">
        <v>5701</v>
      </c>
      <c r="B5702" s="3" t="s">
        <v>12669</v>
      </c>
      <c r="C5702" s="3" t="s">
        <v>1361</v>
      </c>
      <c r="D5702" s="4" t="s">
        <v>12670</v>
      </c>
      <c r="E5702" s="3" t="s">
        <v>1218</v>
      </c>
      <c r="F5702" s="3" t="s">
        <v>2105</v>
      </c>
      <c r="G5702" s="3"/>
      <c r="H5702" s="4"/>
    </row>
    <row r="5703" ht="16.5" customHeight="1" spans="1:8">
      <c r="A5703" s="3">
        <v>5702</v>
      </c>
      <c r="B5703" s="3" t="s">
        <v>12671</v>
      </c>
      <c r="C5703" s="3" t="s">
        <v>1361</v>
      </c>
      <c r="D5703" s="4" t="s">
        <v>12672</v>
      </c>
      <c r="E5703" s="3" t="s">
        <v>1218</v>
      </c>
      <c r="F5703" s="3" t="s">
        <v>2105</v>
      </c>
      <c r="G5703" s="3"/>
      <c r="H5703" s="4"/>
    </row>
    <row r="5704" ht="16.5" customHeight="1" spans="1:8">
      <c r="A5704" s="3">
        <v>5703</v>
      </c>
      <c r="B5704" s="3" t="s">
        <v>12673</v>
      </c>
      <c r="C5704" s="3" t="s">
        <v>1361</v>
      </c>
      <c r="D5704" s="4" t="s">
        <v>12674</v>
      </c>
      <c r="E5704" s="3" t="s">
        <v>1218</v>
      </c>
      <c r="F5704" s="3" t="s">
        <v>2105</v>
      </c>
      <c r="G5704" s="3"/>
      <c r="H5704" s="4"/>
    </row>
    <row r="5705" ht="16.5" customHeight="1" spans="1:8">
      <c r="A5705" s="3">
        <v>5704</v>
      </c>
      <c r="B5705" s="3" t="s">
        <v>12675</v>
      </c>
      <c r="C5705" s="3" t="s">
        <v>1361</v>
      </c>
      <c r="D5705" s="4" t="s">
        <v>12676</v>
      </c>
      <c r="E5705" s="3" t="s">
        <v>1218</v>
      </c>
      <c r="F5705" s="3" t="s">
        <v>2105</v>
      </c>
      <c r="G5705" s="3"/>
      <c r="H5705" s="4"/>
    </row>
    <row r="5706" ht="16.5" customHeight="1" spans="1:8">
      <c r="A5706" s="3">
        <v>5705</v>
      </c>
      <c r="B5706" s="3" t="s">
        <v>12677</v>
      </c>
      <c r="C5706" s="3" t="s">
        <v>1361</v>
      </c>
      <c r="D5706" s="4" t="s">
        <v>12678</v>
      </c>
      <c r="E5706" s="3" t="s">
        <v>1218</v>
      </c>
      <c r="F5706" s="3" t="s">
        <v>2105</v>
      </c>
      <c r="G5706" s="3"/>
      <c r="H5706" s="4"/>
    </row>
    <row r="5707" ht="16.5" customHeight="1" spans="1:8">
      <c r="A5707" s="3">
        <v>5706</v>
      </c>
      <c r="B5707" s="3" t="s">
        <v>12679</v>
      </c>
      <c r="C5707" s="3" t="s">
        <v>1361</v>
      </c>
      <c r="D5707" s="4" t="s">
        <v>12680</v>
      </c>
      <c r="E5707" s="3" t="s">
        <v>1218</v>
      </c>
      <c r="F5707" s="3" t="s">
        <v>2105</v>
      </c>
      <c r="G5707" s="3"/>
      <c r="H5707" s="4"/>
    </row>
    <row r="5708" ht="16.5" customHeight="1" spans="1:8">
      <c r="A5708" s="3">
        <v>5707</v>
      </c>
      <c r="B5708" s="3" t="s">
        <v>12681</v>
      </c>
      <c r="C5708" s="3" t="s">
        <v>1361</v>
      </c>
      <c r="D5708" s="4" t="s">
        <v>12682</v>
      </c>
      <c r="E5708" s="3" t="s">
        <v>1218</v>
      </c>
      <c r="F5708" s="3" t="s">
        <v>2105</v>
      </c>
      <c r="G5708" s="3"/>
      <c r="H5708" s="4"/>
    </row>
    <row r="5709" ht="16.5" customHeight="1" spans="1:8">
      <c r="A5709" s="3">
        <v>5708</v>
      </c>
      <c r="B5709" s="3" t="s">
        <v>12683</v>
      </c>
      <c r="C5709" s="3" t="s">
        <v>1361</v>
      </c>
      <c r="D5709" s="4" t="s">
        <v>12684</v>
      </c>
      <c r="E5709" s="3" t="s">
        <v>1218</v>
      </c>
      <c r="F5709" s="3" t="s">
        <v>2105</v>
      </c>
      <c r="G5709" s="3"/>
      <c r="H5709" s="4"/>
    </row>
    <row r="5710" ht="16.5" customHeight="1" spans="1:8">
      <c r="A5710" s="3">
        <v>5709</v>
      </c>
      <c r="B5710" s="3" t="s">
        <v>12685</v>
      </c>
      <c r="C5710" s="3" t="s">
        <v>1361</v>
      </c>
      <c r="D5710" s="4" t="s">
        <v>12686</v>
      </c>
      <c r="E5710" s="3" t="s">
        <v>1218</v>
      </c>
      <c r="F5710" s="3" t="s">
        <v>2105</v>
      </c>
      <c r="G5710" s="3"/>
      <c r="H5710" s="4"/>
    </row>
    <row r="5711" ht="16.5" customHeight="1" spans="1:8">
      <c r="A5711" s="3">
        <v>5710</v>
      </c>
      <c r="B5711" s="3" t="s">
        <v>12687</v>
      </c>
      <c r="C5711" s="3" t="s">
        <v>1361</v>
      </c>
      <c r="D5711" s="4" t="s">
        <v>12688</v>
      </c>
      <c r="E5711" s="3" t="s">
        <v>1218</v>
      </c>
      <c r="F5711" s="3" t="s">
        <v>2105</v>
      </c>
      <c r="G5711" s="3"/>
      <c r="H5711" s="4"/>
    </row>
    <row r="5712" ht="16.5" customHeight="1" spans="1:8">
      <c r="A5712" s="3">
        <v>5711</v>
      </c>
      <c r="B5712" s="3" t="s">
        <v>12689</v>
      </c>
      <c r="C5712" s="3" t="s">
        <v>1361</v>
      </c>
      <c r="D5712" s="4" t="s">
        <v>12690</v>
      </c>
      <c r="E5712" s="3" t="s">
        <v>1218</v>
      </c>
      <c r="F5712" s="3" t="s">
        <v>2105</v>
      </c>
      <c r="G5712" s="3"/>
      <c r="H5712" s="4"/>
    </row>
    <row r="5713" ht="16.5" customHeight="1" spans="1:8">
      <c r="A5713" s="3">
        <v>5712</v>
      </c>
      <c r="B5713" s="3" t="s">
        <v>12691</v>
      </c>
      <c r="C5713" s="3" t="s">
        <v>1361</v>
      </c>
      <c r="D5713" s="4" t="s">
        <v>12692</v>
      </c>
      <c r="E5713" s="3" t="s">
        <v>1218</v>
      </c>
      <c r="F5713" s="3" t="s">
        <v>2105</v>
      </c>
      <c r="G5713" s="3"/>
      <c r="H5713" s="4"/>
    </row>
    <row r="5714" ht="16.5" customHeight="1" spans="1:8">
      <c r="A5714" s="3">
        <v>5713</v>
      </c>
      <c r="B5714" s="3" t="s">
        <v>12693</v>
      </c>
      <c r="C5714" s="3" t="s">
        <v>1361</v>
      </c>
      <c r="D5714" s="4" t="s">
        <v>12694</v>
      </c>
      <c r="E5714" s="3" t="s">
        <v>1218</v>
      </c>
      <c r="F5714" s="3" t="s">
        <v>2105</v>
      </c>
      <c r="G5714" s="3"/>
      <c r="H5714" s="4"/>
    </row>
    <row r="5715" ht="16.5" customHeight="1" spans="1:8">
      <c r="A5715" s="3">
        <v>5714</v>
      </c>
      <c r="B5715" s="3" t="s">
        <v>12695</v>
      </c>
      <c r="C5715" s="3" t="s">
        <v>2163</v>
      </c>
      <c r="D5715" s="4" t="s">
        <v>12696</v>
      </c>
      <c r="E5715" s="3" t="s">
        <v>1076</v>
      </c>
      <c r="F5715" s="3" t="s">
        <v>10943</v>
      </c>
      <c r="G5715" s="3"/>
      <c r="H5715" s="4" t="s">
        <v>1305</v>
      </c>
    </row>
    <row r="5716" ht="16.5" customHeight="1" spans="1:8">
      <c r="A5716" s="3">
        <v>5715</v>
      </c>
      <c r="B5716" s="3" t="s">
        <v>12697</v>
      </c>
      <c r="C5716" s="3" t="s">
        <v>2163</v>
      </c>
      <c r="D5716" s="4" t="s">
        <v>12698</v>
      </c>
      <c r="E5716" s="3" t="s">
        <v>1076</v>
      </c>
      <c r="F5716" s="3" t="s">
        <v>10943</v>
      </c>
      <c r="G5716" s="3"/>
      <c r="H5716" s="4" t="s">
        <v>1305</v>
      </c>
    </row>
    <row r="5717" ht="16.5" customHeight="1" spans="1:8">
      <c r="A5717" s="3">
        <v>5716</v>
      </c>
      <c r="B5717" s="3" t="s">
        <v>12699</v>
      </c>
      <c r="C5717" s="3" t="s">
        <v>2163</v>
      </c>
      <c r="D5717" s="4" t="s">
        <v>12700</v>
      </c>
      <c r="E5717" s="3" t="s">
        <v>1076</v>
      </c>
      <c r="F5717" s="3" t="s">
        <v>6994</v>
      </c>
      <c r="G5717" s="3" t="s">
        <v>321</v>
      </c>
      <c r="H5717" s="4" t="s">
        <v>1305</v>
      </c>
    </row>
    <row r="5718" ht="16.5" customHeight="1" spans="1:8">
      <c r="A5718" s="3">
        <v>5717</v>
      </c>
      <c r="B5718" s="3" t="s">
        <v>12701</v>
      </c>
      <c r="C5718" s="3" t="s">
        <v>2163</v>
      </c>
      <c r="D5718" s="4" t="s">
        <v>12702</v>
      </c>
      <c r="E5718" s="3" t="s">
        <v>5779</v>
      </c>
      <c r="F5718" s="3" t="s">
        <v>10943</v>
      </c>
      <c r="G5718" s="3"/>
      <c r="H5718" s="4"/>
    </row>
    <row r="5719" ht="16.5" customHeight="1" spans="1:8">
      <c r="A5719" s="3">
        <v>5718</v>
      </c>
      <c r="B5719" s="3" t="s">
        <v>12703</v>
      </c>
      <c r="C5719" s="3" t="s">
        <v>2163</v>
      </c>
      <c r="D5719" s="4" t="s">
        <v>12704</v>
      </c>
      <c r="E5719" s="3" t="s">
        <v>1076</v>
      </c>
      <c r="F5719" s="3" t="s">
        <v>10943</v>
      </c>
      <c r="G5719" s="3"/>
      <c r="H5719" s="4" t="s">
        <v>1305</v>
      </c>
    </row>
    <row r="5720" ht="16.5" customHeight="1" spans="1:8">
      <c r="A5720" s="3">
        <v>5719</v>
      </c>
      <c r="B5720" s="3" t="s">
        <v>12705</v>
      </c>
      <c r="C5720" s="3" t="s">
        <v>2163</v>
      </c>
      <c r="D5720" s="4" t="s">
        <v>12706</v>
      </c>
      <c r="E5720" s="3" t="s">
        <v>1076</v>
      </c>
      <c r="F5720" s="3" t="s">
        <v>2105</v>
      </c>
      <c r="G5720" s="3"/>
      <c r="H5720" s="4"/>
    </row>
    <row r="5721" ht="16.5" customHeight="1" spans="1:8">
      <c r="A5721" s="3">
        <v>5720</v>
      </c>
      <c r="B5721" s="3" t="s">
        <v>12707</v>
      </c>
      <c r="C5721" s="3" t="s">
        <v>1074</v>
      </c>
      <c r="D5721" s="4" t="s">
        <v>12708</v>
      </c>
      <c r="E5721" s="3" t="s">
        <v>1076</v>
      </c>
      <c r="F5721" s="3" t="s">
        <v>10259</v>
      </c>
      <c r="G5721" s="3"/>
      <c r="H5721" s="4" t="s">
        <v>12459</v>
      </c>
    </row>
    <row r="5722" ht="16.5" customHeight="1" spans="1:8">
      <c r="A5722" s="3">
        <v>5721</v>
      </c>
      <c r="B5722" s="3" t="s">
        <v>12709</v>
      </c>
      <c r="C5722" s="3" t="s">
        <v>1074</v>
      </c>
      <c r="D5722" s="4" t="s">
        <v>12710</v>
      </c>
      <c r="E5722" s="3" t="s">
        <v>1076</v>
      </c>
      <c r="F5722" s="3" t="s">
        <v>10259</v>
      </c>
      <c r="G5722" s="3"/>
      <c r="H5722" s="4" t="s">
        <v>3812</v>
      </c>
    </row>
    <row r="5723" ht="16.5" customHeight="1" spans="1:8">
      <c r="A5723" s="3">
        <v>5722</v>
      </c>
      <c r="B5723" s="3" t="s">
        <v>12711</v>
      </c>
      <c r="C5723" s="3" t="s">
        <v>2163</v>
      </c>
      <c r="D5723" s="4" t="s">
        <v>12712</v>
      </c>
      <c r="E5723" s="3" t="s">
        <v>2726</v>
      </c>
      <c r="F5723" s="3" t="s">
        <v>4154</v>
      </c>
      <c r="G5723" s="3"/>
      <c r="H5723" s="4"/>
    </row>
    <row r="5724" ht="16.5" customHeight="1" spans="1:8">
      <c r="A5724" s="3">
        <v>5723</v>
      </c>
      <c r="B5724" s="3" t="s">
        <v>12713</v>
      </c>
      <c r="C5724" s="3" t="s">
        <v>2163</v>
      </c>
      <c r="D5724" s="4" t="s">
        <v>12714</v>
      </c>
      <c r="E5724" s="3" t="s">
        <v>2726</v>
      </c>
      <c r="F5724" s="3" t="s">
        <v>8175</v>
      </c>
      <c r="G5724" s="3"/>
      <c r="H5724" s="4" t="s">
        <v>6877</v>
      </c>
    </row>
    <row r="5725" ht="16.5" customHeight="1" spans="1:8">
      <c r="A5725" s="3">
        <v>5724</v>
      </c>
      <c r="B5725" s="3" t="s">
        <v>12715</v>
      </c>
      <c r="C5725" s="3" t="s">
        <v>2163</v>
      </c>
      <c r="D5725" s="4" t="s">
        <v>12716</v>
      </c>
      <c r="E5725" s="3" t="s">
        <v>2726</v>
      </c>
      <c r="F5725" s="3" t="s">
        <v>8175</v>
      </c>
      <c r="G5725" s="3"/>
      <c r="H5725" s="4" t="s">
        <v>6877</v>
      </c>
    </row>
    <row r="5726" ht="16.5" customHeight="1" spans="1:8">
      <c r="A5726" s="3">
        <v>5725</v>
      </c>
      <c r="B5726" s="3" t="s">
        <v>12717</v>
      </c>
      <c r="C5726" s="3" t="s">
        <v>2163</v>
      </c>
      <c r="D5726" s="4" t="s">
        <v>12718</v>
      </c>
      <c r="E5726" s="3" t="s">
        <v>2726</v>
      </c>
      <c r="F5726" s="3" t="s">
        <v>8175</v>
      </c>
      <c r="G5726" s="3"/>
      <c r="H5726" s="4" t="s">
        <v>6877</v>
      </c>
    </row>
    <row r="5727" ht="16.5" customHeight="1" spans="1:8">
      <c r="A5727" s="3">
        <v>5726</v>
      </c>
      <c r="B5727" s="3" t="s">
        <v>12719</v>
      </c>
      <c r="C5727" s="3" t="s">
        <v>2163</v>
      </c>
      <c r="D5727" s="4" t="s">
        <v>12720</v>
      </c>
      <c r="E5727" s="3" t="s">
        <v>2726</v>
      </c>
      <c r="F5727" s="3" t="s">
        <v>8175</v>
      </c>
      <c r="G5727" s="3"/>
      <c r="H5727" s="4" t="s">
        <v>6877</v>
      </c>
    </row>
    <row r="5728" ht="16.5" customHeight="1" spans="1:8">
      <c r="A5728" s="3">
        <v>5727</v>
      </c>
      <c r="B5728" s="3" t="s">
        <v>12721</v>
      </c>
      <c r="C5728" s="3" t="s">
        <v>2163</v>
      </c>
      <c r="D5728" s="4" t="s">
        <v>12722</v>
      </c>
      <c r="E5728" s="3" t="s">
        <v>2726</v>
      </c>
      <c r="F5728" s="3" t="s">
        <v>8175</v>
      </c>
      <c r="G5728" s="3"/>
      <c r="H5728" s="4" t="s">
        <v>6877</v>
      </c>
    </row>
    <row r="5729" ht="16.5" customHeight="1" spans="1:8">
      <c r="A5729" s="3">
        <v>5728</v>
      </c>
      <c r="B5729" s="3" t="s">
        <v>12723</v>
      </c>
      <c r="C5729" s="3" t="s">
        <v>1074</v>
      </c>
      <c r="D5729" s="4" t="s">
        <v>12724</v>
      </c>
      <c r="E5729" s="3" t="s">
        <v>1218</v>
      </c>
      <c r="F5729" s="3" t="s">
        <v>8175</v>
      </c>
      <c r="G5729" s="3"/>
      <c r="H5729" s="4" t="s">
        <v>6877</v>
      </c>
    </row>
    <row r="5730" ht="16.5" customHeight="1" spans="1:8">
      <c r="A5730" s="3">
        <v>5729</v>
      </c>
      <c r="B5730" s="3" t="s">
        <v>12725</v>
      </c>
      <c r="C5730" s="3" t="s">
        <v>1074</v>
      </c>
      <c r="D5730" s="4" t="s">
        <v>12726</v>
      </c>
      <c r="E5730" s="3" t="s">
        <v>1218</v>
      </c>
      <c r="F5730" s="3" t="s">
        <v>8175</v>
      </c>
      <c r="G5730" s="3"/>
      <c r="H5730" s="4" t="s">
        <v>6877</v>
      </c>
    </row>
    <row r="5731" ht="16.5" customHeight="1" spans="1:8">
      <c r="A5731" s="3">
        <v>5730</v>
      </c>
      <c r="B5731" s="3" t="s">
        <v>12727</v>
      </c>
      <c r="C5731" s="3" t="s">
        <v>2163</v>
      </c>
      <c r="D5731" s="4" t="s">
        <v>12728</v>
      </c>
      <c r="E5731" s="3" t="s">
        <v>2726</v>
      </c>
      <c r="F5731" s="3" t="s">
        <v>8175</v>
      </c>
      <c r="G5731" s="3"/>
      <c r="H5731" s="4" t="s">
        <v>6877</v>
      </c>
    </row>
    <row r="5732" ht="16.5" customHeight="1" spans="1:8">
      <c r="A5732" s="3">
        <v>5731</v>
      </c>
      <c r="B5732" s="3" t="s">
        <v>12729</v>
      </c>
      <c r="C5732" s="3" t="s">
        <v>1356</v>
      </c>
      <c r="D5732" s="4" t="s">
        <v>12730</v>
      </c>
      <c r="E5732" s="3" t="s">
        <v>1076</v>
      </c>
      <c r="F5732" s="3" t="s">
        <v>4110</v>
      </c>
      <c r="G5732" s="3"/>
      <c r="H5732" s="4"/>
    </row>
    <row r="5733" ht="16.5" customHeight="1" spans="1:8">
      <c r="A5733" s="3">
        <v>5732</v>
      </c>
      <c r="B5733" s="3" t="s">
        <v>12731</v>
      </c>
      <c r="C5733" s="3" t="s">
        <v>1356</v>
      </c>
      <c r="D5733" s="4" t="s">
        <v>12732</v>
      </c>
      <c r="E5733" s="3" t="s">
        <v>1164</v>
      </c>
      <c r="F5733" s="3" t="s">
        <v>4110</v>
      </c>
      <c r="G5733" s="3"/>
      <c r="H5733" s="4"/>
    </row>
    <row r="5734" ht="16.5" customHeight="1" spans="1:8">
      <c r="A5734" s="3">
        <v>5733</v>
      </c>
      <c r="B5734" s="3" t="s">
        <v>12733</v>
      </c>
      <c r="C5734" s="3" t="s">
        <v>2163</v>
      </c>
      <c r="D5734" s="4" t="s">
        <v>12734</v>
      </c>
      <c r="E5734" s="3" t="s">
        <v>2263</v>
      </c>
      <c r="F5734" s="3" t="s">
        <v>6994</v>
      </c>
      <c r="G5734" s="3" t="s">
        <v>321</v>
      </c>
      <c r="H5734" s="4" t="s">
        <v>1305</v>
      </c>
    </row>
    <row r="5735" ht="16.5" customHeight="1" spans="1:8">
      <c r="A5735" s="3">
        <v>5734</v>
      </c>
      <c r="B5735" s="3" t="s">
        <v>12735</v>
      </c>
      <c r="C5735" s="3" t="s">
        <v>2163</v>
      </c>
      <c r="D5735" s="4" t="s">
        <v>12736</v>
      </c>
      <c r="E5735" s="3" t="s">
        <v>2263</v>
      </c>
      <c r="F5735" s="3" t="s">
        <v>2041</v>
      </c>
      <c r="G5735" s="3" t="s">
        <v>321</v>
      </c>
      <c r="H5735" s="4"/>
    </row>
    <row r="5736" ht="16.5" customHeight="1" spans="1:8">
      <c r="A5736" s="3">
        <v>5735</v>
      </c>
      <c r="B5736" s="3" t="s">
        <v>12737</v>
      </c>
      <c r="C5736" s="3" t="s">
        <v>2163</v>
      </c>
      <c r="D5736" s="4" t="s">
        <v>12738</v>
      </c>
      <c r="E5736" s="3" t="s">
        <v>2263</v>
      </c>
      <c r="F5736" s="3" t="s">
        <v>1358</v>
      </c>
      <c r="G5736" s="3" t="s">
        <v>321</v>
      </c>
      <c r="H5736" s="4" t="s">
        <v>1359</v>
      </c>
    </row>
    <row r="5737" ht="16.5" customHeight="1" spans="1:8">
      <c r="A5737" s="3">
        <v>5736</v>
      </c>
      <c r="B5737" s="3" t="s">
        <v>289</v>
      </c>
      <c r="C5737" s="3" t="s">
        <v>1074</v>
      </c>
      <c r="D5737" s="4" t="s">
        <v>12739</v>
      </c>
      <c r="E5737" s="3" t="s">
        <v>1076</v>
      </c>
      <c r="F5737" s="3" t="s">
        <v>8175</v>
      </c>
      <c r="G5737" s="3"/>
      <c r="H5737" s="4" t="s">
        <v>7243</v>
      </c>
    </row>
    <row r="5738" ht="16.5" customHeight="1" spans="1:8">
      <c r="A5738" s="3">
        <v>5737</v>
      </c>
      <c r="B5738" s="3" t="s">
        <v>12740</v>
      </c>
      <c r="C5738" s="3" t="s">
        <v>2163</v>
      </c>
      <c r="D5738" s="4" t="s">
        <v>12741</v>
      </c>
      <c r="E5738" s="3" t="s">
        <v>2263</v>
      </c>
      <c r="F5738" s="3" t="s">
        <v>1358</v>
      </c>
      <c r="G5738" s="3" t="s">
        <v>321</v>
      </c>
      <c r="H5738" s="4" t="s">
        <v>1390</v>
      </c>
    </row>
    <row r="5739" ht="16.5" customHeight="1" spans="1:8">
      <c r="A5739" s="3">
        <v>5738</v>
      </c>
      <c r="B5739" s="3" t="s">
        <v>12742</v>
      </c>
      <c r="C5739" s="3" t="s">
        <v>2163</v>
      </c>
      <c r="D5739" s="4" t="s">
        <v>12743</v>
      </c>
      <c r="E5739" s="3" t="s">
        <v>3093</v>
      </c>
      <c r="F5739" s="3" t="s">
        <v>2105</v>
      </c>
      <c r="G5739" s="3"/>
      <c r="H5739" s="4"/>
    </row>
    <row r="5740" ht="16.5" customHeight="1" spans="1:8">
      <c r="A5740" s="3">
        <v>5739</v>
      </c>
      <c r="B5740" s="3" t="s">
        <v>12744</v>
      </c>
      <c r="C5740" s="3" t="s">
        <v>2163</v>
      </c>
      <c r="D5740" s="4" t="s">
        <v>12745</v>
      </c>
      <c r="E5740" s="3" t="s">
        <v>1076</v>
      </c>
      <c r="F5740" s="3" t="s">
        <v>2105</v>
      </c>
      <c r="G5740" s="3"/>
      <c r="H5740" s="4"/>
    </row>
    <row r="5741" ht="16.5" customHeight="1" spans="1:8">
      <c r="A5741" s="3">
        <v>5740</v>
      </c>
      <c r="B5741" s="3" t="s">
        <v>12746</v>
      </c>
      <c r="C5741" s="3" t="s">
        <v>1361</v>
      </c>
      <c r="D5741" s="4" t="s">
        <v>12747</v>
      </c>
      <c r="E5741" s="3" t="s">
        <v>1218</v>
      </c>
      <c r="F5741" s="3" t="s">
        <v>2105</v>
      </c>
      <c r="G5741" s="3"/>
      <c r="H5741" s="4"/>
    </row>
    <row r="5742" ht="16.5" customHeight="1" spans="1:8">
      <c r="A5742" s="3">
        <v>5741</v>
      </c>
      <c r="B5742" s="3" t="s">
        <v>12748</v>
      </c>
      <c r="C5742" s="3" t="s">
        <v>2163</v>
      </c>
      <c r="D5742" s="4" t="s">
        <v>12749</v>
      </c>
      <c r="E5742" s="3" t="s">
        <v>2263</v>
      </c>
      <c r="F5742" s="3" t="s">
        <v>1358</v>
      </c>
      <c r="G5742" s="3" t="s">
        <v>321</v>
      </c>
      <c r="H5742" s="4" t="s">
        <v>1359</v>
      </c>
    </row>
    <row r="5743" ht="16.5" customHeight="1" spans="1:8">
      <c r="A5743" s="3">
        <v>5742</v>
      </c>
      <c r="B5743" s="3" t="s">
        <v>12750</v>
      </c>
      <c r="C5743" s="3" t="s">
        <v>1356</v>
      </c>
      <c r="D5743" s="4" t="s">
        <v>12751</v>
      </c>
      <c r="E5743" s="3" t="s">
        <v>1218</v>
      </c>
      <c r="F5743" s="3" t="s">
        <v>4668</v>
      </c>
      <c r="G5743" s="3"/>
      <c r="H5743" s="4" t="s">
        <v>3812</v>
      </c>
    </row>
    <row r="5744" ht="16.5" customHeight="1" spans="1:8">
      <c r="A5744" s="3">
        <v>5743</v>
      </c>
      <c r="B5744" s="3" t="s">
        <v>12752</v>
      </c>
      <c r="C5744" s="3" t="s">
        <v>1356</v>
      </c>
      <c r="D5744" s="4" t="s">
        <v>12753</v>
      </c>
      <c r="E5744" s="3" t="s">
        <v>1076</v>
      </c>
      <c r="F5744" s="3" t="s">
        <v>4668</v>
      </c>
      <c r="G5744" s="3"/>
      <c r="H5744" s="4" t="s">
        <v>3812</v>
      </c>
    </row>
    <row r="5745" ht="16.5" customHeight="1" spans="1:8">
      <c r="A5745" s="3">
        <v>5744</v>
      </c>
      <c r="B5745" s="3" t="s">
        <v>12754</v>
      </c>
      <c r="C5745" s="3" t="s">
        <v>1356</v>
      </c>
      <c r="D5745" s="4" t="s">
        <v>12755</v>
      </c>
      <c r="E5745" s="3" t="s">
        <v>2726</v>
      </c>
      <c r="F5745" s="3" t="s">
        <v>4668</v>
      </c>
      <c r="G5745" s="3"/>
      <c r="H5745" s="4" t="s">
        <v>3812</v>
      </c>
    </row>
    <row r="5746" ht="16.5" customHeight="1" spans="1:8">
      <c r="A5746" s="3">
        <v>5745</v>
      </c>
      <c r="B5746" s="3" t="s">
        <v>12756</v>
      </c>
      <c r="C5746" s="3" t="s">
        <v>1074</v>
      </c>
      <c r="D5746" s="4" t="s">
        <v>12757</v>
      </c>
      <c r="E5746" s="3" t="s">
        <v>1076</v>
      </c>
      <c r="F5746" s="3" t="s">
        <v>10259</v>
      </c>
      <c r="G5746" s="3"/>
      <c r="H5746" s="4" t="s">
        <v>1359</v>
      </c>
    </row>
    <row r="5747" ht="16.5" customHeight="1" spans="1:8">
      <c r="A5747" s="3">
        <v>5746</v>
      </c>
      <c r="B5747" s="3" t="s">
        <v>12758</v>
      </c>
      <c r="C5747" s="3" t="s">
        <v>1074</v>
      </c>
      <c r="D5747" s="4" t="s">
        <v>12759</v>
      </c>
      <c r="E5747" s="3" t="s">
        <v>1218</v>
      </c>
      <c r="F5747" s="3" t="s">
        <v>10259</v>
      </c>
      <c r="G5747" s="3"/>
      <c r="H5747" s="4" t="s">
        <v>1359</v>
      </c>
    </row>
    <row r="5748" ht="16.5" customHeight="1" spans="1:8">
      <c r="A5748" s="3">
        <v>5747</v>
      </c>
      <c r="B5748" s="3" t="s">
        <v>12760</v>
      </c>
      <c r="C5748" s="3" t="s">
        <v>2163</v>
      </c>
      <c r="D5748" s="4" t="s">
        <v>12761</v>
      </c>
      <c r="E5748" s="3" t="s">
        <v>2726</v>
      </c>
      <c r="F5748" s="3" t="s">
        <v>10259</v>
      </c>
      <c r="G5748" s="3"/>
      <c r="H5748" s="4" t="s">
        <v>3812</v>
      </c>
    </row>
    <row r="5749" ht="16.5" customHeight="1" spans="1:8">
      <c r="A5749" s="3">
        <v>5748</v>
      </c>
      <c r="B5749" s="3" t="s">
        <v>12762</v>
      </c>
      <c r="C5749" s="3" t="s">
        <v>2163</v>
      </c>
      <c r="D5749" s="4" t="s">
        <v>12763</v>
      </c>
      <c r="E5749" s="3" t="s">
        <v>2726</v>
      </c>
      <c r="F5749" s="3" t="s">
        <v>2105</v>
      </c>
      <c r="G5749" s="3"/>
      <c r="H5749" s="4"/>
    </row>
    <row r="5750" ht="16.5" customHeight="1" spans="1:8">
      <c r="A5750" s="3">
        <v>5749</v>
      </c>
      <c r="B5750" s="3" t="s">
        <v>12764</v>
      </c>
      <c r="C5750" s="3" t="s">
        <v>1361</v>
      </c>
      <c r="D5750" s="4" t="s">
        <v>12765</v>
      </c>
      <c r="E5750" s="3" t="s">
        <v>1218</v>
      </c>
      <c r="F5750" s="3" t="s">
        <v>2105</v>
      </c>
      <c r="G5750" s="3"/>
      <c r="H5750" s="4"/>
    </row>
    <row r="5751" ht="16.5" customHeight="1" spans="1:8">
      <c r="A5751" s="3">
        <v>5750</v>
      </c>
      <c r="B5751" s="3" t="s">
        <v>12766</v>
      </c>
      <c r="C5751" s="3" t="s">
        <v>1074</v>
      </c>
      <c r="D5751" s="4" t="s">
        <v>12767</v>
      </c>
      <c r="E5751" s="3" t="s">
        <v>3954</v>
      </c>
      <c r="F5751" s="3" t="s">
        <v>4668</v>
      </c>
      <c r="G5751" s="3"/>
      <c r="H5751" s="4" t="s">
        <v>3812</v>
      </c>
    </row>
    <row r="5752" ht="16.5" customHeight="1" spans="1:8">
      <c r="A5752" s="3">
        <v>5751</v>
      </c>
      <c r="B5752" s="3" t="s">
        <v>12768</v>
      </c>
      <c r="C5752" s="3" t="s">
        <v>2163</v>
      </c>
      <c r="D5752" s="4" t="s">
        <v>12769</v>
      </c>
      <c r="E5752" s="3" t="s">
        <v>2263</v>
      </c>
      <c r="F5752" s="3" t="s">
        <v>1358</v>
      </c>
      <c r="G5752" s="3" t="s">
        <v>321</v>
      </c>
      <c r="H5752" s="4" t="s">
        <v>6740</v>
      </c>
    </row>
    <row r="5753" ht="16.5" customHeight="1" spans="1:8">
      <c r="A5753" s="3">
        <v>5752</v>
      </c>
      <c r="B5753" s="3" t="s">
        <v>12770</v>
      </c>
      <c r="C5753" s="3" t="s">
        <v>1361</v>
      </c>
      <c r="D5753" s="4" t="s">
        <v>12771</v>
      </c>
      <c r="E5753" s="3" t="s">
        <v>1218</v>
      </c>
      <c r="F5753" s="3" t="s">
        <v>2105</v>
      </c>
      <c r="G5753" s="3"/>
      <c r="H5753" s="4"/>
    </row>
    <row r="5754" ht="16.5" customHeight="1" spans="1:8">
      <c r="A5754" s="3">
        <v>5753</v>
      </c>
      <c r="B5754" s="3" t="s">
        <v>12772</v>
      </c>
      <c r="C5754" s="3" t="s">
        <v>1361</v>
      </c>
      <c r="D5754" s="4" t="s">
        <v>12773</v>
      </c>
      <c r="E5754" s="3" t="s">
        <v>1218</v>
      </c>
      <c r="F5754" s="3" t="s">
        <v>2105</v>
      </c>
      <c r="G5754" s="3"/>
      <c r="H5754" s="4"/>
    </row>
    <row r="5755" ht="16.5" customHeight="1" spans="1:8">
      <c r="A5755" s="3">
        <v>5754</v>
      </c>
      <c r="B5755" s="3" t="s">
        <v>12774</v>
      </c>
      <c r="C5755" s="3" t="s">
        <v>1361</v>
      </c>
      <c r="D5755" s="4" t="s">
        <v>12775</v>
      </c>
      <c r="E5755" s="3" t="s">
        <v>1218</v>
      </c>
      <c r="F5755" s="3" t="s">
        <v>2105</v>
      </c>
      <c r="G5755" s="3"/>
      <c r="H5755" s="4"/>
    </row>
    <row r="5756" ht="16.5" customHeight="1" spans="1:8">
      <c r="A5756" s="3">
        <v>5755</v>
      </c>
      <c r="B5756" s="3" t="s">
        <v>12776</v>
      </c>
      <c r="C5756" s="3" t="s">
        <v>1361</v>
      </c>
      <c r="D5756" s="4" t="s">
        <v>12777</v>
      </c>
      <c r="E5756" s="3" t="s">
        <v>1218</v>
      </c>
      <c r="F5756" s="3" t="s">
        <v>2105</v>
      </c>
      <c r="G5756" s="3"/>
      <c r="H5756" s="4"/>
    </row>
    <row r="5757" ht="16.5" customHeight="1" spans="1:8">
      <c r="A5757" s="3">
        <v>5756</v>
      </c>
      <c r="B5757" s="3" t="s">
        <v>12778</v>
      </c>
      <c r="C5757" s="3" t="s">
        <v>1361</v>
      </c>
      <c r="D5757" s="4" t="s">
        <v>12779</v>
      </c>
      <c r="E5757" s="3" t="s">
        <v>1218</v>
      </c>
      <c r="F5757" s="3" t="s">
        <v>2105</v>
      </c>
      <c r="G5757" s="3"/>
      <c r="H5757" s="4"/>
    </row>
    <row r="5758" ht="16.5" customHeight="1" spans="1:8">
      <c r="A5758" s="3">
        <v>5757</v>
      </c>
      <c r="B5758" s="3" t="s">
        <v>12780</v>
      </c>
      <c r="C5758" s="3" t="s">
        <v>1361</v>
      </c>
      <c r="D5758" s="4" t="s">
        <v>12781</v>
      </c>
      <c r="E5758" s="3" t="s">
        <v>1218</v>
      </c>
      <c r="F5758" s="3" t="s">
        <v>2105</v>
      </c>
      <c r="G5758" s="3"/>
      <c r="H5758" s="4"/>
    </row>
    <row r="5759" ht="16.5" customHeight="1" spans="1:8">
      <c r="A5759" s="3">
        <v>5758</v>
      </c>
      <c r="B5759" s="3" t="s">
        <v>12782</v>
      </c>
      <c r="C5759" s="3" t="s">
        <v>1361</v>
      </c>
      <c r="D5759" s="4" t="s">
        <v>12783</v>
      </c>
      <c r="E5759" s="3" t="s">
        <v>1218</v>
      </c>
      <c r="F5759" s="3" t="s">
        <v>2105</v>
      </c>
      <c r="G5759" s="3"/>
      <c r="H5759" s="4"/>
    </row>
    <row r="5760" ht="16.5" customHeight="1" spans="1:8">
      <c r="A5760" s="3">
        <v>5759</v>
      </c>
      <c r="B5760" s="3" t="s">
        <v>12784</v>
      </c>
      <c r="C5760" s="3" t="s">
        <v>1361</v>
      </c>
      <c r="D5760" s="4" t="s">
        <v>12785</v>
      </c>
      <c r="E5760" s="3" t="s">
        <v>1218</v>
      </c>
      <c r="F5760" s="3" t="s">
        <v>2105</v>
      </c>
      <c r="G5760" s="3"/>
      <c r="H5760" s="4"/>
    </row>
    <row r="5761" ht="16.5" customHeight="1" spans="1:8">
      <c r="A5761" s="3">
        <v>5760</v>
      </c>
      <c r="B5761" s="3" t="s">
        <v>12786</v>
      </c>
      <c r="C5761" s="3" t="s">
        <v>1361</v>
      </c>
      <c r="D5761" s="4" t="s">
        <v>12787</v>
      </c>
      <c r="E5761" s="3" t="s">
        <v>1218</v>
      </c>
      <c r="F5761" s="3" t="s">
        <v>2105</v>
      </c>
      <c r="G5761" s="3"/>
      <c r="H5761" s="4"/>
    </row>
    <row r="5762" ht="16.5" customHeight="1" spans="1:8">
      <c r="A5762" s="3">
        <v>5761</v>
      </c>
      <c r="B5762" s="3" t="s">
        <v>12788</v>
      </c>
      <c r="C5762" s="3" t="s">
        <v>1361</v>
      </c>
      <c r="D5762" s="4" t="s">
        <v>12789</v>
      </c>
      <c r="E5762" s="3" t="s">
        <v>1218</v>
      </c>
      <c r="F5762" s="3" t="s">
        <v>2105</v>
      </c>
      <c r="G5762" s="3"/>
      <c r="H5762" s="4"/>
    </row>
    <row r="5763" ht="16.5" customHeight="1" spans="1:8">
      <c r="A5763" s="3">
        <v>5762</v>
      </c>
      <c r="B5763" s="3" t="s">
        <v>12790</v>
      </c>
      <c r="C5763" s="3" t="s">
        <v>1361</v>
      </c>
      <c r="D5763" s="4" t="s">
        <v>12791</v>
      </c>
      <c r="E5763" s="3" t="s">
        <v>1218</v>
      </c>
      <c r="F5763" s="3" t="s">
        <v>2105</v>
      </c>
      <c r="G5763" s="3"/>
      <c r="H5763" s="4"/>
    </row>
    <row r="5764" ht="16.5" customHeight="1" spans="1:8">
      <c r="A5764" s="3">
        <v>5763</v>
      </c>
      <c r="B5764" s="3" t="s">
        <v>12792</v>
      </c>
      <c r="C5764" s="3" t="s">
        <v>1361</v>
      </c>
      <c r="D5764" s="4" t="s">
        <v>12793</v>
      </c>
      <c r="E5764" s="3" t="s">
        <v>1218</v>
      </c>
      <c r="F5764" s="3" t="s">
        <v>2105</v>
      </c>
      <c r="G5764" s="3"/>
      <c r="H5764" s="4"/>
    </row>
    <row r="5765" ht="16.5" customHeight="1" spans="1:8">
      <c r="A5765" s="3">
        <v>5764</v>
      </c>
      <c r="B5765" s="3" t="s">
        <v>12794</v>
      </c>
      <c r="C5765" s="3" t="s">
        <v>1361</v>
      </c>
      <c r="D5765" s="4" t="s">
        <v>12795</v>
      </c>
      <c r="E5765" s="3" t="s">
        <v>1218</v>
      </c>
      <c r="F5765" s="3" t="s">
        <v>2105</v>
      </c>
      <c r="G5765" s="3"/>
      <c r="H5765" s="4"/>
    </row>
    <row r="5766" ht="16.5" customHeight="1" spans="1:8">
      <c r="A5766" s="3">
        <v>5765</v>
      </c>
      <c r="B5766" s="3" t="s">
        <v>12796</v>
      </c>
      <c r="C5766" s="3" t="s">
        <v>1361</v>
      </c>
      <c r="D5766" s="4" t="s">
        <v>12797</v>
      </c>
      <c r="E5766" s="3" t="s">
        <v>1218</v>
      </c>
      <c r="F5766" s="3" t="s">
        <v>2105</v>
      </c>
      <c r="G5766" s="3"/>
      <c r="H5766" s="4"/>
    </row>
    <row r="5767" ht="16.5" customHeight="1" spans="1:8">
      <c r="A5767" s="3">
        <v>5766</v>
      </c>
      <c r="B5767" s="3" t="s">
        <v>12798</v>
      </c>
      <c r="C5767" s="3" t="s">
        <v>1361</v>
      </c>
      <c r="D5767" s="4" t="s">
        <v>12799</v>
      </c>
      <c r="E5767" s="3" t="s">
        <v>1218</v>
      </c>
      <c r="F5767" s="3" t="s">
        <v>2105</v>
      </c>
      <c r="G5767" s="3"/>
      <c r="H5767" s="4"/>
    </row>
    <row r="5768" ht="16.5" customHeight="1" spans="1:8">
      <c r="A5768" s="3">
        <v>5767</v>
      </c>
      <c r="B5768" s="3" t="s">
        <v>12800</v>
      </c>
      <c r="C5768" s="3" t="s">
        <v>1361</v>
      </c>
      <c r="D5768" s="4" t="s">
        <v>12801</v>
      </c>
      <c r="E5768" s="3" t="s">
        <v>1218</v>
      </c>
      <c r="F5768" s="3" t="s">
        <v>2105</v>
      </c>
      <c r="G5768" s="3"/>
      <c r="H5768" s="4"/>
    </row>
    <row r="5769" ht="16.5" customHeight="1" spans="1:8">
      <c r="A5769" s="3">
        <v>5768</v>
      </c>
      <c r="B5769" s="3" t="s">
        <v>12802</v>
      </c>
      <c r="C5769" s="3" t="s">
        <v>1361</v>
      </c>
      <c r="D5769" s="4" t="s">
        <v>12803</v>
      </c>
      <c r="E5769" s="3" t="s">
        <v>1218</v>
      </c>
      <c r="F5769" s="3" t="s">
        <v>2105</v>
      </c>
      <c r="G5769" s="3"/>
      <c r="H5769" s="4"/>
    </row>
    <row r="5770" ht="16.5" customHeight="1" spans="1:8">
      <c r="A5770" s="3">
        <v>5769</v>
      </c>
      <c r="B5770" s="3" t="s">
        <v>12804</v>
      </c>
      <c r="C5770" s="3" t="s">
        <v>1361</v>
      </c>
      <c r="D5770" s="4" t="s">
        <v>12805</v>
      </c>
      <c r="E5770" s="3" t="s">
        <v>1218</v>
      </c>
      <c r="F5770" s="3" t="s">
        <v>2105</v>
      </c>
      <c r="G5770" s="3"/>
      <c r="H5770" s="4"/>
    </row>
    <row r="5771" ht="16.5" customHeight="1" spans="1:8">
      <c r="A5771" s="3">
        <v>5770</v>
      </c>
      <c r="B5771" s="3" t="s">
        <v>12806</v>
      </c>
      <c r="C5771" s="3" t="s">
        <v>1361</v>
      </c>
      <c r="D5771" s="4" t="s">
        <v>12807</v>
      </c>
      <c r="E5771" s="3" t="s">
        <v>1218</v>
      </c>
      <c r="F5771" s="3" t="s">
        <v>2105</v>
      </c>
      <c r="G5771" s="3"/>
      <c r="H5771" s="4"/>
    </row>
    <row r="5772" ht="16.5" customHeight="1" spans="1:8">
      <c r="A5772" s="3">
        <v>5771</v>
      </c>
      <c r="B5772" s="3" t="s">
        <v>12808</v>
      </c>
      <c r="C5772" s="3" t="s">
        <v>1361</v>
      </c>
      <c r="D5772" s="4" t="s">
        <v>12809</v>
      </c>
      <c r="E5772" s="3" t="s">
        <v>1218</v>
      </c>
      <c r="F5772" s="3" t="s">
        <v>2105</v>
      </c>
      <c r="G5772" s="3"/>
      <c r="H5772" s="4"/>
    </row>
    <row r="5773" ht="16.5" customHeight="1" spans="1:8">
      <c r="A5773" s="3">
        <v>5772</v>
      </c>
      <c r="B5773" s="3" t="s">
        <v>12810</v>
      </c>
      <c r="C5773" s="3" t="s">
        <v>1361</v>
      </c>
      <c r="D5773" s="4" t="s">
        <v>12811</v>
      </c>
      <c r="E5773" s="3" t="s">
        <v>1218</v>
      </c>
      <c r="F5773" s="3" t="s">
        <v>2105</v>
      </c>
      <c r="G5773" s="3"/>
      <c r="H5773" s="4"/>
    </row>
    <row r="5774" ht="16.5" customHeight="1" spans="1:8">
      <c r="A5774" s="3">
        <v>5773</v>
      </c>
      <c r="B5774" s="3" t="s">
        <v>12812</v>
      </c>
      <c r="C5774" s="3" t="s">
        <v>1361</v>
      </c>
      <c r="D5774" s="4" t="s">
        <v>12813</v>
      </c>
      <c r="E5774" s="3" t="s">
        <v>1218</v>
      </c>
      <c r="F5774" s="3" t="s">
        <v>2105</v>
      </c>
      <c r="G5774" s="3"/>
      <c r="H5774" s="4"/>
    </row>
    <row r="5775" ht="16.5" customHeight="1" spans="1:8">
      <c r="A5775" s="3">
        <v>5774</v>
      </c>
      <c r="B5775" s="3" t="s">
        <v>12814</v>
      </c>
      <c r="C5775" s="3" t="s">
        <v>1361</v>
      </c>
      <c r="D5775" s="4" t="s">
        <v>12815</v>
      </c>
      <c r="E5775" s="3" t="s">
        <v>1218</v>
      </c>
      <c r="F5775" s="3" t="s">
        <v>2105</v>
      </c>
      <c r="G5775" s="3"/>
      <c r="H5775" s="4"/>
    </row>
    <row r="5776" ht="16.5" customHeight="1" spans="1:8">
      <c r="A5776" s="3">
        <v>5775</v>
      </c>
      <c r="B5776" s="3" t="s">
        <v>12816</v>
      </c>
      <c r="C5776" s="3" t="s">
        <v>1361</v>
      </c>
      <c r="D5776" s="4" t="s">
        <v>12817</v>
      </c>
      <c r="E5776" s="3" t="s">
        <v>1218</v>
      </c>
      <c r="F5776" s="3" t="s">
        <v>2105</v>
      </c>
      <c r="G5776" s="3"/>
      <c r="H5776" s="4"/>
    </row>
    <row r="5777" ht="16.5" customHeight="1" spans="1:8">
      <c r="A5777" s="3">
        <v>5776</v>
      </c>
      <c r="B5777" s="3" t="s">
        <v>12818</v>
      </c>
      <c r="C5777" s="3" t="s">
        <v>1361</v>
      </c>
      <c r="D5777" s="4" t="s">
        <v>12819</v>
      </c>
      <c r="E5777" s="3" t="s">
        <v>1218</v>
      </c>
      <c r="F5777" s="3" t="s">
        <v>2105</v>
      </c>
      <c r="G5777" s="3"/>
      <c r="H5777" s="4"/>
    </row>
    <row r="5778" ht="16.5" customHeight="1" spans="1:8">
      <c r="A5778" s="3">
        <v>5777</v>
      </c>
      <c r="B5778" s="3" t="s">
        <v>12820</v>
      </c>
      <c r="C5778" s="3" t="s">
        <v>1361</v>
      </c>
      <c r="D5778" s="4" t="s">
        <v>12821</v>
      </c>
      <c r="E5778" s="3" t="s">
        <v>1218</v>
      </c>
      <c r="F5778" s="3" t="s">
        <v>2105</v>
      </c>
      <c r="G5778" s="3"/>
      <c r="H5778" s="4"/>
    </row>
    <row r="5779" ht="16.5" customHeight="1" spans="1:8">
      <c r="A5779" s="3">
        <v>5778</v>
      </c>
      <c r="B5779" s="3" t="s">
        <v>12822</v>
      </c>
      <c r="C5779" s="3" t="s">
        <v>1105</v>
      </c>
      <c r="D5779" s="4" t="s">
        <v>12823</v>
      </c>
      <c r="E5779" s="3" t="s">
        <v>1076</v>
      </c>
      <c r="F5779" s="3" t="s">
        <v>4668</v>
      </c>
      <c r="G5779" s="3"/>
      <c r="H5779" s="4" t="s">
        <v>12824</v>
      </c>
    </row>
    <row r="5780" ht="16.5" customHeight="1" spans="1:8">
      <c r="A5780" s="3">
        <v>5779</v>
      </c>
      <c r="B5780" s="3" t="s">
        <v>12825</v>
      </c>
      <c r="C5780" s="3" t="s">
        <v>1105</v>
      </c>
      <c r="D5780" s="4" t="s">
        <v>12826</v>
      </c>
      <c r="E5780" s="3" t="s">
        <v>1076</v>
      </c>
      <c r="F5780" s="3" t="s">
        <v>4668</v>
      </c>
      <c r="G5780" s="3"/>
      <c r="H5780" s="4" t="s">
        <v>12824</v>
      </c>
    </row>
    <row r="5781" ht="16.5" customHeight="1" spans="1:8">
      <c r="A5781" s="3">
        <v>5780</v>
      </c>
      <c r="B5781" s="3" t="s">
        <v>12827</v>
      </c>
      <c r="C5781" s="3" t="s">
        <v>1105</v>
      </c>
      <c r="D5781" s="4" t="s">
        <v>12828</v>
      </c>
      <c r="E5781" s="3" t="s">
        <v>1076</v>
      </c>
      <c r="F5781" s="3" t="s">
        <v>4668</v>
      </c>
      <c r="G5781" s="3"/>
      <c r="H5781" s="4" t="s">
        <v>12824</v>
      </c>
    </row>
    <row r="5782" ht="16.5" customHeight="1" spans="1:8">
      <c r="A5782" s="3">
        <v>5781</v>
      </c>
      <c r="B5782" s="3" t="s">
        <v>12829</v>
      </c>
      <c r="C5782" s="3" t="s">
        <v>1105</v>
      </c>
      <c r="D5782" s="4" t="s">
        <v>12830</v>
      </c>
      <c r="E5782" s="3" t="s">
        <v>1076</v>
      </c>
      <c r="F5782" s="3" t="s">
        <v>4668</v>
      </c>
      <c r="G5782" s="3"/>
      <c r="H5782" s="4" t="s">
        <v>12824</v>
      </c>
    </row>
    <row r="5783" ht="16.5" customHeight="1" spans="1:8">
      <c r="A5783" s="3">
        <v>5782</v>
      </c>
      <c r="B5783" s="3" t="s">
        <v>12831</v>
      </c>
      <c r="C5783" s="3" t="s">
        <v>1105</v>
      </c>
      <c r="D5783" s="4" t="s">
        <v>12832</v>
      </c>
      <c r="E5783" s="3" t="s">
        <v>1076</v>
      </c>
      <c r="F5783" s="3" t="s">
        <v>4668</v>
      </c>
      <c r="G5783" s="3"/>
      <c r="H5783" s="4" t="s">
        <v>12824</v>
      </c>
    </row>
    <row r="5784" ht="16.5" customHeight="1" spans="1:8">
      <c r="A5784" s="3">
        <v>5783</v>
      </c>
      <c r="B5784" s="3" t="s">
        <v>12833</v>
      </c>
      <c r="C5784" s="3" t="s">
        <v>1105</v>
      </c>
      <c r="D5784" s="4" t="s">
        <v>12834</v>
      </c>
      <c r="E5784" s="3" t="s">
        <v>1076</v>
      </c>
      <c r="F5784" s="3" t="s">
        <v>4668</v>
      </c>
      <c r="G5784" s="3"/>
      <c r="H5784" s="4" t="s">
        <v>12824</v>
      </c>
    </row>
    <row r="5785" ht="16.5" customHeight="1" spans="1:8">
      <c r="A5785" s="3">
        <v>5784</v>
      </c>
      <c r="B5785" s="3" t="s">
        <v>12835</v>
      </c>
      <c r="C5785" s="3" t="s">
        <v>1105</v>
      </c>
      <c r="D5785" s="4" t="s">
        <v>12836</v>
      </c>
      <c r="E5785" s="3" t="s">
        <v>1076</v>
      </c>
      <c r="F5785" s="3" t="s">
        <v>4668</v>
      </c>
      <c r="G5785" s="3"/>
      <c r="H5785" s="4" t="s">
        <v>12824</v>
      </c>
    </row>
    <row r="5786" ht="16.5" customHeight="1" spans="1:8">
      <c r="A5786" s="3">
        <v>5785</v>
      </c>
      <c r="B5786" s="3" t="s">
        <v>12837</v>
      </c>
      <c r="C5786" s="3" t="s">
        <v>1105</v>
      </c>
      <c r="D5786" s="4" t="s">
        <v>12838</v>
      </c>
      <c r="E5786" s="3" t="s">
        <v>1076</v>
      </c>
      <c r="F5786" s="3" t="s">
        <v>4668</v>
      </c>
      <c r="G5786" s="3"/>
      <c r="H5786" s="4" t="s">
        <v>12824</v>
      </c>
    </row>
    <row r="5787" ht="16.5" customHeight="1" spans="1:8">
      <c r="A5787" s="3">
        <v>5786</v>
      </c>
      <c r="B5787" s="3" t="s">
        <v>12839</v>
      </c>
      <c r="C5787" s="3" t="s">
        <v>1105</v>
      </c>
      <c r="D5787" s="4" t="s">
        <v>12840</v>
      </c>
      <c r="E5787" s="3" t="s">
        <v>1076</v>
      </c>
      <c r="F5787" s="3" t="s">
        <v>4668</v>
      </c>
      <c r="G5787" s="3"/>
      <c r="H5787" s="4" t="s">
        <v>12824</v>
      </c>
    </row>
    <row r="5788" ht="16.5" customHeight="1" spans="1:8">
      <c r="A5788" s="3">
        <v>5787</v>
      </c>
      <c r="B5788" s="3" t="s">
        <v>12841</v>
      </c>
      <c r="C5788" s="3" t="s">
        <v>1105</v>
      </c>
      <c r="D5788" s="4" t="s">
        <v>12842</v>
      </c>
      <c r="E5788" s="3" t="s">
        <v>1076</v>
      </c>
      <c r="F5788" s="3" t="s">
        <v>4668</v>
      </c>
      <c r="G5788" s="3"/>
      <c r="H5788" s="4" t="s">
        <v>12824</v>
      </c>
    </row>
    <row r="5789" ht="16.5" customHeight="1" spans="1:8">
      <c r="A5789" s="3">
        <v>5788</v>
      </c>
      <c r="B5789" s="3" t="s">
        <v>12843</v>
      </c>
      <c r="C5789" s="3" t="s">
        <v>2163</v>
      </c>
      <c r="D5789" s="4" t="s">
        <v>12844</v>
      </c>
      <c r="E5789" s="3" t="s">
        <v>2726</v>
      </c>
      <c r="F5789" s="3" t="s">
        <v>4668</v>
      </c>
      <c r="G5789" s="3"/>
      <c r="H5789" s="4" t="s">
        <v>3812</v>
      </c>
    </row>
    <row r="5790" ht="16.5" customHeight="1" spans="1:8">
      <c r="A5790" s="3">
        <v>5789</v>
      </c>
      <c r="B5790" s="3" t="s">
        <v>12845</v>
      </c>
      <c r="C5790" s="3" t="s">
        <v>1105</v>
      </c>
      <c r="D5790" s="4" t="s">
        <v>12846</v>
      </c>
      <c r="E5790" s="3" t="s">
        <v>1076</v>
      </c>
      <c r="F5790" s="3" t="s">
        <v>4668</v>
      </c>
      <c r="G5790" s="3"/>
      <c r="H5790" s="4" t="s">
        <v>12847</v>
      </c>
    </row>
    <row r="5791" ht="16.5" customHeight="1" spans="1:8">
      <c r="A5791" s="3">
        <v>5790</v>
      </c>
      <c r="B5791" s="3" t="s">
        <v>12848</v>
      </c>
      <c r="C5791" s="3" t="s">
        <v>2163</v>
      </c>
      <c r="D5791" s="4" t="s">
        <v>12849</v>
      </c>
      <c r="E5791" s="3" t="s">
        <v>2726</v>
      </c>
      <c r="F5791" s="3" t="s">
        <v>1358</v>
      </c>
      <c r="G5791" s="3" t="s">
        <v>321</v>
      </c>
      <c r="H5791" s="4" t="s">
        <v>1359</v>
      </c>
    </row>
    <row r="5792" ht="16.5" customHeight="1" spans="1:8">
      <c r="A5792" s="3">
        <v>5791</v>
      </c>
      <c r="B5792" s="3" t="s">
        <v>12850</v>
      </c>
      <c r="C5792" s="3" t="s">
        <v>1105</v>
      </c>
      <c r="D5792" s="4" t="s">
        <v>12851</v>
      </c>
      <c r="E5792" s="3" t="s">
        <v>1076</v>
      </c>
      <c r="F5792" s="3" t="s">
        <v>438</v>
      </c>
      <c r="G5792" s="3"/>
      <c r="H5792" s="4" t="s">
        <v>12847</v>
      </c>
    </row>
    <row r="5793" ht="16.5" customHeight="1" spans="1:8">
      <c r="A5793" s="3">
        <v>5792</v>
      </c>
      <c r="B5793" s="3" t="s">
        <v>12852</v>
      </c>
      <c r="C5793" s="3" t="s">
        <v>2163</v>
      </c>
      <c r="D5793" s="4" t="s">
        <v>12853</v>
      </c>
      <c r="E5793" s="3" t="s">
        <v>1076</v>
      </c>
      <c r="F5793" s="3" t="s">
        <v>1358</v>
      </c>
      <c r="G5793" s="3" t="s">
        <v>321</v>
      </c>
      <c r="H5793" s="4" t="s">
        <v>1359</v>
      </c>
    </row>
    <row r="5794" ht="16.5" customHeight="1" spans="1:8">
      <c r="A5794" s="3">
        <v>5793</v>
      </c>
      <c r="B5794" s="3" t="s">
        <v>12854</v>
      </c>
      <c r="C5794" s="3" t="s">
        <v>1105</v>
      </c>
      <c r="D5794" s="4" t="s">
        <v>12855</v>
      </c>
      <c r="E5794" s="3" t="s">
        <v>1164</v>
      </c>
      <c r="F5794" s="3" t="s">
        <v>4668</v>
      </c>
      <c r="G5794" s="3"/>
      <c r="H5794" s="4" t="s">
        <v>12405</v>
      </c>
    </row>
    <row r="5795" ht="16.5" customHeight="1" spans="1:8">
      <c r="A5795" s="3">
        <v>5794</v>
      </c>
      <c r="B5795" s="3" t="s">
        <v>12856</v>
      </c>
      <c r="C5795" s="3" t="s">
        <v>1361</v>
      </c>
      <c r="D5795" s="4" t="s">
        <v>12857</v>
      </c>
      <c r="E5795" s="3" t="s">
        <v>12858</v>
      </c>
      <c r="F5795" s="3" t="s">
        <v>1358</v>
      </c>
      <c r="G5795" s="3" t="s">
        <v>321</v>
      </c>
      <c r="H5795" s="4"/>
    </row>
    <row r="5796" ht="16.5" customHeight="1" spans="1:8">
      <c r="A5796" s="3">
        <v>5795</v>
      </c>
      <c r="B5796" s="3" t="s">
        <v>12859</v>
      </c>
      <c r="C5796" s="3" t="s">
        <v>1361</v>
      </c>
      <c r="D5796" s="4" t="s">
        <v>12860</v>
      </c>
      <c r="E5796" s="3" t="s">
        <v>12858</v>
      </c>
      <c r="F5796" s="3" t="s">
        <v>1358</v>
      </c>
      <c r="G5796" s="3" t="s">
        <v>321</v>
      </c>
      <c r="H5796" s="4"/>
    </row>
    <row r="5797" ht="16.5" customHeight="1" spans="1:8">
      <c r="A5797" s="3">
        <v>5796</v>
      </c>
      <c r="B5797" s="3" t="s">
        <v>12861</v>
      </c>
      <c r="C5797" s="3" t="s">
        <v>1361</v>
      </c>
      <c r="D5797" s="4" t="s">
        <v>12862</v>
      </c>
      <c r="E5797" s="3" t="s">
        <v>12858</v>
      </c>
      <c r="F5797" s="3" t="s">
        <v>1358</v>
      </c>
      <c r="G5797" s="3" t="s">
        <v>321</v>
      </c>
      <c r="H5797" s="4"/>
    </row>
    <row r="5798" ht="16.5" customHeight="1" spans="1:8">
      <c r="A5798" s="3">
        <v>5797</v>
      </c>
      <c r="B5798" s="3" t="s">
        <v>12863</v>
      </c>
      <c r="C5798" s="3" t="s">
        <v>1361</v>
      </c>
      <c r="D5798" s="4" t="s">
        <v>12864</v>
      </c>
      <c r="E5798" s="3" t="s">
        <v>12858</v>
      </c>
      <c r="F5798" s="3" t="s">
        <v>1358</v>
      </c>
      <c r="G5798" s="3" t="s">
        <v>321</v>
      </c>
      <c r="H5798" s="4"/>
    </row>
    <row r="5799" ht="16.5" customHeight="1" spans="1:8">
      <c r="A5799" s="3">
        <v>5798</v>
      </c>
      <c r="B5799" s="3" t="s">
        <v>12865</v>
      </c>
      <c r="C5799" s="3" t="s">
        <v>1361</v>
      </c>
      <c r="D5799" s="4" t="s">
        <v>12866</v>
      </c>
      <c r="E5799" s="3" t="s">
        <v>12858</v>
      </c>
      <c r="F5799" s="3" t="s">
        <v>1358</v>
      </c>
      <c r="G5799" s="3" t="s">
        <v>321</v>
      </c>
      <c r="H5799" s="4"/>
    </row>
    <row r="5800" ht="16.5" customHeight="1" spans="1:8">
      <c r="A5800" s="3">
        <v>5799</v>
      </c>
      <c r="B5800" s="3" t="s">
        <v>12867</v>
      </c>
      <c r="C5800" s="3" t="s">
        <v>1074</v>
      </c>
      <c r="D5800" s="4" t="s">
        <v>12868</v>
      </c>
      <c r="E5800" s="3" t="s">
        <v>1218</v>
      </c>
      <c r="F5800" s="3" t="s">
        <v>10259</v>
      </c>
      <c r="G5800" s="3"/>
      <c r="H5800" s="4" t="s">
        <v>1305</v>
      </c>
    </row>
    <row r="5801" ht="16.5" customHeight="1" spans="1:8">
      <c r="A5801" s="3">
        <v>5800</v>
      </c>
      <c r="B5801" s="3" t="s">
        <v>12869</v>
      </c>
      <c r="C5801" s="3" t="s">
        <v>1361</v>
      </c>
      <c r="D5801" s="4" t="s">
        <v>12870</v>
      </c>
      <c r="E5801" s="3" t="s">
        <v>1218</v>
      </c>
      <c r="F5801" s="3" t="s">
        <v>2105</v>
      </c>
      <c r="G5801" s="3"/>
      <c r="H5801" s="4"/>
    </row>
    <row r="5802" ht="16.5" customHeight="1" spans="1:8">
      <c r="A5802" s="3">
        <v>5801</v>
      </c>
      <c r="B5802" s="3" t="s">
        <v>12871</v>
      </c>
      <c r="C5802" s="3" t="s">
        <v>1361</v>
      </c>
      <c r="D5802" s="4" t="s">
        <v>12872</v>
      </c>
      <c r="E5802" s="3" t="s">
        <v>1218</v>
      </c>
      <c r="F5802" s="3" t="s">
        <v>2105</v>
      </c>
      <c r="G5802" s="3"/>
      <c r="H5802" s="4"/>
    </row>
    <row r="5803" ht="16.5" customHeight="1" spans="1:8">
      <c r="A5803" s="3">
        <v>5802</v>
      </c>
      <c r="B5803" s="3" t="s">
        <v>12873</v>
      </c>
      <c r="C5803" s="3" t="s">
        <v>1361</v>
      </c>
      <c r="D5803" s="4" t="s">
        <v>12874</v>
      </c>
      <c r="E5803" s="3" t="s">
        <v>1218</v>
      </c>
      <c r="F5803" s="3" t="s">
        <v>2105</v>
      </c>
      <c r="G5803" s="3"/>
      <c r="H5803" s="4"/>
    </row>
    <row r="5804" ht="16.5" customHeight="1" spans="1:8">
      <c r="A5804" s="3">
        <v>5803</v>
      </c>
      <c r="B5804" s="3" t="s">
        <v>12875</v>
      </c>
      <c r="C5804" s="3" t="s">
        <v>1361</v>
      </c>
      <c r="D5804" s="4" t="s">
        <v>12876</v>
      </c>
      <c r="E5804" s="3" t="s">
        <v>1218</v>
      </c>
      <c r="F5804" s="3" t="s">
        <v>2105</v>
      </c>
      <c r="G5804" s="3"/>
      <c r="H5804" s="4"/>
    </row>
    <row r="5805" ht="16.5" customHeight="1" spans="1:8">
      <c r="A5805" s="3">
        <v>5804</v>
      </c>
      <c r="B5805" s="3" t="s">
        <v>12877</v>
      </c>
      <c r="C5805" s="3" t="s">
        <v>1361</v>
      </c>
      <c r="D5805" s="4" t="s">
        <v>12878</v>
      </c>
      <c r="E5805" s="3" t="s">
        <v>1218</v>
      </c>
      <c r="F5805" s="3" t="s">
        <v>2105</v>
      </c>
      <c r="G5805" s="3"/>
      <c r="H5805" s="4"/>
    </row>
    <row r="5806" ht="16.5" customHeight="1" spans="1:8">
      <c r="A5806" s="3">
        <v>5805</v>
      </c>
      <c r="B5806" s="3" t="s">
        <v>12879</v>
      </c>
      <c r="C5806" s="3" t="s">
        <v>1361</v>
      </c>
      <c r="D5806" s="4" t="s">
        <v>12880</v>
      </c>
      <c r="E5806" s="3" t="s">
        <v>1218</v>
      </c>
      <c r="F5806" s="3" t="s">
        <v>2105</v>
      </c>
      <c r="G5806" s="3"/>
      <c r="H5806" s="4"/>
    </row>
    <row r="5807" ht="16.5" customHeight="1" spans="1:8">
      <c r="A5807" s="3">
        <v>5806</v>
      </c>
      <c r="B5807" s="3" t="s">
        <v>12881</v>
      </c>
      <c r="C5807" s="3" t="s">
        <v>1361</v>
      </c>
      <c r="D5807" s="4" t="s">
        <v>12882</v>
      </c>
      <c r="E5807" s="3" t="s">
        <v>1218</v>
      </c>
      <c r="F5807" s="3" t="s">
        <v>2105</v>
      </c>
      <c r="G5807" s="3"/>
      <c r="H5807" s="4"/>
    </row>
    <row r="5808" ht="16.5" customHeight="1" spans="1:8">
      <c r="A5808" s="3">
        <v>5807</v>
      </c>
      <c r="B5808" s="3" t="s">
        <v>12883</v>
      </c>
      <c r="C5808" s="3" t="s">
        <v>1361</v>
      </c>
      <c r="D5808" s="4" t="s">
        <v>12884</v>
      </c>
      <c r="E5808" s="3" t="s">
        <v>1218</v>
      </c>
      <c r="F5808" s="3" t="s">
        <v>2105</v>
      </c>
      <c r="G5808" s="3"/>
      <c r="H5808" s="4"/>
    </row>
    <row r="5809" ht="16.5" customHeight="1" spans="1:8">
      <c r="A5809" s="3">
        <v>5808</v>
      </c>
      <c r="B5809" s="3" t="s">
        <v>12885</v>
      </c>
      <c r="C5809" s="3" t="s">
        <v>1361</v>
      </c>
      <c r="D5809" s="4" t="s">
        <v>12886</v>
      </c>
      <c r="E5809" s="3" t="s">
        <v>1218</v>
      </c>
      <c r="F5809" s="3" t="s">
        <v>2105</v>
      </c>
      <c r="G5809" s="3"/>
      <c r="H5809" s="4"/>
    </row>
    <row r="5810" ht="16.5" customHeight="1" spans="1:8">
      <c r="A5810" s="3">
        <v>5809</v>
      </c>
      <c r="B5810" s="3" t="s">
        <v>12887</v>
      </c>
      <c r="C5810" s="3" t="s">
        <v>1361</v>
      </c>
      <c r="D5810" s="4" t="s">
        <v>12888</v>
      </c>
      <c r="E5810" s="3" t="s">
        <v>1218</v>
      </c>
      <c r="F5810" s="3" t="s">
        <v>2105</v>
      </c>
      <c r="G5810" s="3"/>
      <c r="H5810" s="4"/>
    </row>
    <row r="5811" ht="16.5" customHeight="1" spans="1:8">
      <c r="A5811" s="3">
        <v>5810</v>
      </c>
      <c r="B5811" s="3" t="s">
        <v>12889</v>
      </c>
      <c r="C5811" s="3" t="s">
        <v>1361</v>
      </c>
      <c r="D5811" s="4" t="s">
        <v>12890</v>
      </c>
      <c r="E5811" s="3" t="s">
        <v>1218</v>
      </c>
      <c r="F5811" s="3" t="s">
        <v>2105</v>
      </c>
      <c r="G5811" s="3"/>
      <c r="H5811" s="4"/>
    </row>
    <row r="5812" ht="16.5" customHeight="1" spans="1:8">
      <c r="A5812" s="3">
        <v>5811</v>
      </c>
      <c r="B5812" s="3" t="s">
        <v>12891</v>
      </c>
      <c r="C5812" s="3" t="s">
        <v>1361</v>
      </c>
      <c r="D5812" s="4" t="s">
        <v>12892</v>
      </c>
      <c r="E5812" s="3" t="s">
        <v>1218</v>
      </c>
      <c r="F5812" s="3" t="s">
        <v>2105</v>
      </c>
      <c r="G5812" s="3"/>
      <c r="H5812" s="4"/>
    </row>
    <row r="5813" ht="16.5" customHeight="1" spans="1:8">
      <c r="A5813" s="3">
        <v>5812</v>
      </c>
      <c r="B5813" s="3" t="s">
        <v>12893</v>
      </c>
      <c r="C5813" s="3" t="s">
        <v>1361</v>
      </c>
      <c r="D5813" s="4" t="s">
        <v>12894</v>
      </c>
      <c r="E5813" s="3" t="s">
        <v>1218</v>
      </c>
      <c r="F5813" s="3" t="s">
        <v>2105</v>
      </c>
      <c r="G5813" s="3"/>
      <c r="H5813" s="4"/>
    </row>
    <row r="5814" ht="16.5" customHeight="1" spans="1:8">
      <c r="A5814" s="3">
        <v>5813</v>
      </c>
      <c r="B5814" s="3" t="s">
        <v>12895</v>
      </c>
      <c r="C5814" s="3" t="s">
        <v>1361</v>
      </c>
      <c r="D5814" s="4" t="s">
        <v>12896</v>
      </c>
      <c r="E5814" s="3" t="s">
        <v>1218</v>
      </c>
      <c r="F5814" s="3" t="s">
        <v>2105</v>
      </c>
      <c r="G5814" s="3"/>
      <c r="H5814" s="4"/>
    </row>
    <row r="5815" ht="16.5" customHeight="1" spans="1:8">
      <c r="A5815" s="3">
        <v>5814</v>
      </c>
      <c r="B5815" s="3" t="s">
        <v>12897</v>
      </c>
      <c r="C5815" s="3" t="s">
        <v>1361</v>
      </c>
      <c r="D5815" s="4" t="s">
        <v>12898</v>
      </c>
      <c r="E5815" s="3" t="s">
        <v>1218</v>
      </c>
      <c r="F5815" s="3" t="s">
        <v>2105</v>
      </c>
      <c r="G5815" s="3"/>
      <c r="H5815" s="4"/>
    </row>
    <row r="5816" ht="16.5" customHeight="1" spans="1:8">
      <c r="A5816" s="3">
        <v>5815</v>
      </c>
      <c r="B5816" s="3" t="s">
        <v>12899</v>
      </c>
      <c r="C5816" s="3" t="s">
        <v>1361</v>
      </c>
      <c r="D5816" s="4" t="s">
        <v>12900</v>
      </c>
      <c r="E5816" s="3" t="s">
        <v>1218</v>
      </c>
      <c r="F5816" s="3" t="s">
        <v>2105</v>
      </c>
      <c r="G5816" s="3"/>
      <c r="H5816" s="4"/>
    </row>
    <row r="5817" ht="16.5" customHeight="1" spans="1:8">
      <c r="A5817" s="3">
        <v>5816</v>
      </c>
      <c r="B5817" s="3" t="s">
        <v>12901</v>
      </c>
      <c r="C5817" s="3" t="s">
        <v>1361</v>
      </c>
      <c r="D5817" s="4" t="s">
        <v>12902</v>
      </c>
      <c r="E5817" s="3" t="s">
        <v>1218</v>
      </c>
      <c r="F5817" s="3" t="s">
        <v>2105</v>
      </c>
      <c r="G5817" s="3"/>
      <c r="H5817" s="4"/>
    </row>
    <row r="5818" ht="16.5" customHeight="1" spans="1:8">
      <c r="A5818" s="3">
        <v>5817</v>
      </c>
      <c r="B5818" s="3" t="s">
        <v>12903</v>
      </c>
      <c r="C5818" s="3" t="s">
        <v>1361</v>
      </c>
      <c r="D5818" s="4" t="s">
        <v>12904</v>
      </c>
      <c r="E5818" s="3" t="s">
        <v>1218</v>
      </c>
      <c r="F5818" s="3" t="s">
        <v>2105</v>
      </c>
      <c r="G5818" s="3"/>
      <c r="H5818" s="4"/>
    </row>
    <row r="5819" ht="16.5" customHeight="1" spans="1:8">
      <c r="A5819" s="3">
        <v>5818</v>
      </c>
      <c r="B5819" s="3" t="s">
        <v>12905</v>
      </c>
      <c r="C5819" s="3" t="s">
        <v>1361</v>
      </c>
      <c r="D5819" s="4" t="s">
        <v>12906</v>
      </c>
      <c r="E5819" s="3" t="s">
        <v>1218</v>
      </c>
      <c r="F5819" s="3" t="s">
        <v>2105</v>
      </c>
      <c r="G5819" s="3"/>
      <c r="H5819" s="4"/>
    </row>
    <row r="5820" ht="16.5" customHeight="1" spans="1:8">
      <c r="A5820" s="3">
        <v>5819</v>
      </c>
      <c r="B5820" s="3" t="s">
        <v>12907</v>
      </c>
      <c r="C5820" s="3" t="s">
        <v>1356</v>
      </c>
      <c r="D5820" s="4" t="s">
        <v>12908</v>
      </c>
      <c r="E5820" s="3" t="s">
        <v>1076</v>
      </c>
      <c r="F5820" s="3" t="s">
        <v>1358</v>
      </c>
      <c r="G5820" s="3" t="s">
        <v>321</v>
      </c>
      <c r="H5820" s="4"/>
    </row>
    <row r="5821" ht="16.5" customHeight="1" spans="1:8">
      <c r="A5821" s="3">
        <v>5820</v>
      </c>
      <c r="B5821" s="3" t="s">
        <v>12909</v>
      </c>
      <c r="C5821" s="3" t="s">
        <v>1356</v>
      </c>
      <c r="D5821" s="4" t="s">
        <v>12910</v>
      </c>
      <c r="E5821" s="3" t="s">
        <v>1076</v>
      </c>
      <c r="F5821" s="3" t="s">
        <v>1358</v>
      </c>
      <c r="G5821" s="3"/>
      <c r="H5821" s="4" t="s">
        <v>1359</v>
      </c>
    </row>
    <row r="5822" ht="16.5" customHeight="1" spans="1:8">
      <c r="A5822" s="3">
        <v>5821</v>
      </c>
      <c r="B5822" s="3" t="s">
        <v>12911</v>
      </c>
      <c r="C5822" s="3" t="s">
        <v>1356</v>
      </c>
      <c r="D5822" s="4" t="s">
        <v>12912</v>
      </c>
      <c r="E5822" s="3" t="s">
        <v>1218</v>
      </c>
      <c r="F5822" s="3" t="s">
        <v>1358</v>
      </c>
      <c r="G5822" s="3"/>
      <c r="H5822" s="4"/>
    </row>
    <row r="5823" ht="16.5" customHeight="1" spans="1:8">
      <c r="A5823" s="3">
        <v>5822</v>
      </c>
      <c r="B5823" s="3" t="s">
        <v>12913</v>
      </c>
      <c r="C5823" s="3" t="s">
        <v>2163</v>
      </c>
      <c r="D5823" s="4" t="s">
        <v>12914</v>
      </c>
      <c r="E5823" s="3" t="s">
        <v>2726</v>
      </c>
      <c r="F5823" s="3" t="s">
        <v>2105</v>
      </c>
      <c r="G5823" s="3"/>
      <c r="H5823" s="4"/>
    </row>
    <row r="5824" ht="16.5" customHeight="1" spans="1:8">
      <c r="A5824" s="3">
        <v>5823</v>
      </c>
      <c r="B5824" s="3" t="s">
        <v>12915</v>
      </c>
      <c r="C5824" s="3" t="s">
        <v>2163</v>
      </c>
      <c r="D5824" s="4" t="s">
        <v>12916</v>
      </c>
      <c r="E5824" s="3" t="s">
        <v>1076</v>
      </c>
      <c r="F5824" s="3" t="s">
        <v>2105</v>
      </c>
      <c r="G5824" s="3"/>
      <c r="H5824" s="4"/>
    </row>
    <row r="5825" ht="16.5" customHeight="1" spans="1:8">
      <c r="A5825" s="3">
        <v>5824</v>
      </c>
      <c r="B5825" s="3" t="s">
        <v>12917</v>
      </c>
      <c r="C5825" s="3" t="s">
        <v>2163</v>
      </c>
      <c r="D5825" s="4" t="s">
        <v>12918</v>
      </c>
      <c r="E5825" s="3" t="s">
        <v>2726</v>
      </c>
      <c r="F5825" s="3" t="s">
        <v>2105</v>
      </c>
      <c r="G5825" s="3"/>
      <c r="H5825" s="4"/>
    </row>
    <row r="5826" ht="16.5" customHeight="1" spans="1:8">
      <c r="A5826" s="3">
        <v>5825</v>
      </c>
      <c r="B5826" s="3" t="s">
        <v>12919</v>
      </c>
      <c r="C5826" s="3" t="s">
        <v>1105</v>
      </c>
      <c r="D5826" s="4" t="s">
        <v>12920</v>
      </c>
      <c r="E5826" s="3" t="s">
        <v>1076</v>
      </c>
      <c r="F5826" s="3" t="s">
        <v>10259</v>
      </c>
      <c r="G5826" s="3"/>
      <c r="H5826" s="4" t="s">
        <v>12921</v>
      </c>
    </row>
    <row r="5827" ht="16.5" customHeight="1" spans="1:8">
      <c r="A5827" s="3">
        <v>5826</v>
      </c>
      <c r="B5827" s="3" t="s">
        <v>12922</v>
      </c>
      <c r="C5827" s="3" t="s">
        <v>1105</v>
      </c>
      <c r="D5827" s="4" t="s">
        <v>12923</v>
      </c>
      <c r="E5827" s="3" t="s">
        <v>1076</v>
      </c>
      <c r="F5827" s="3" t="s">
        <v>10259</v>
      </c>
      <c r="G5827" s="3"/>
      <c r="H5827" s="4" t="s">
        <v>12921</v>
      </c>
    </row>
    <row r="5828" ht="16.5" customHeight="1" spans="1:8">
      <c r="A5828" s="3">
        <v>5827</v>
      </c>
      <c r="B5828" s="3" t="s">
        <v>12924</v>
      </c>
      <c r="C5828" s="3" t="s">
        <v>2163</v>
      </c>
      <c r="D5828" s="4" t="s">
        <v>12925</v>
      </c>
      <c r="E5828" s="3" t="s">
        <v>1076</v>
      </c>
      <c r="F5828" s="3" t="s">
        <v>11431</v>
      </c>
      <c r="G5828" s="3"/>
      <c r="H5828" s="4" t="s">
        <v>5664</v>
      </c>
    </row>
    <row r="5829" ht="16.5" customHeight="1" spans="1:8">
      <c r="A5829" s="3">
        <v>5828</v>
      </c>
      <c r="B5829" s="3" t="s">
        <v>12926</v>
      </c>
      <c r="C5829" s="3" t="s">
        <v>2163</v>
      </c>
      <c r="D5829" s="4" t="s">
        <v>12927</v>
      </c>
      <c r="E5829" s="3" t="s">
        <v>2726</v>
      </c>
      <c r="F5829" s="3" t="s">
        <v>11431</v>
      </c>
      <c r="G5829" s="3"/>
      <c r="H5829" s="4" t="s">
        <v>5664</v>
      </c>
    </row>
    <row r="5830" ht="16.5" customHeight="1" spans="1:8">
      <c r="A5830" s="3">
        <v>5829</v>
      </c>
      <c r="B5830" s="3" t="s">
        <v>12928</v>
      </c>
      <c r="C5830" s="3" t="s">
        <v>2163</v>
      </c>
      <c r="D5830" s="4" t="s">
        <v>12929</v>
      </c>
      <c r="E5830" s="3" t="s">
        <v>5779</v>
      </c>
      <c r="F5830" s="3" t="s">
        <v>2105</v>
      </c>
      <c r="G5830" s="3"/>
      <c r="H5830" s="4"/>
    </row>
    <row r="5831" ht="16.5" customHeight="1" spans="1:8">
      <c r="A5831" s="3">
        <v>5830</v>
      </c>
      <c r="B5831" s="3" t="s">
        <v>12930</v>
      </c>
      <c r="C5831" s="3" t="s">
        <v>2163</v>
      </c>
      <c r="D5831" s="4" t="s">
        <v>12931</v>
      </c>
      <c r="E5831" s="3" t="s">
        <v>2726</v>
      </c>
      <c r="F5831" s="3" t="s">
        <v>2105</v>
      </c>
      <c r="G5831" s="3"/>
      <c r="H5831" s="4"/>
    </row>
    <row r="5832" ht="16.5" customHeight="1" spans="1:8">
      <c r="A5832" s="3">
        <v>5831</v>
      </c>
      <c r="B5832" s="3" t="s">
        <v>12932</v>
      </c>
      <c r="C5832" s="3" t="s">
        <v>1074</v>
      </c>
      <c r="D5832" s="4" t="s">
        <v>12933</v>
      </c>
      <c r="E5832" s="3" t="s">
        <v>1076</v>
      </c>
      <c r="F5832" s="3" t="s">
        <v>10259</v>
      </c>
      <c r="G5832" s="3"/>
      <c r="H5832" s="4" t="s">
        <v>3354</v>
      </c>
    </row>
    <row r="5833" ht="16.5" customHeight="1" spans="1:8">
      <c r="A5833" s="3">
        <v>5832</v>
      </c>
      <c r="B5833" s="3" t="s">
        <v>12934</v>
      </c>
      <c r="C5833" s="3" t="s">
        <v>2163</v>
      </c>
      <c r="D5833" s="4" t="s">
        <v>12935</v>
      </c>
      <c r="E5833" s="3" t="s">
        <v>1076</v>
      </c>
      <c r="F5833" s="3" t="s">
        <v>11431</v>
      </c>
      <c r="G5833" s="3"/>
      <c r="H5833" s="4" t="s">
        <v>5664</v>
      </c>
    </row>
    <row r="5834" ht="16.5" customHeight="1" spans="1:8">
      <c r="A5834" s="3">
        <v>5833</v>
      </c>
      <c r="B5834" s="3" t="s">
        <v>12936</v>
      </c>
      <c r="C5834" s="3" t="s">
        <v>1356</v>
      </c>
      <c r="D5834" s="4" t="s">
        <v>12937</v>
      </c>
      <c r="E5834" s="3" t="s">
        <v>1076</v>
      </c>
      <c r="F5834" s="3" t="s">
        <v>4668</v>
      </c>
      <c r="G5834" s="3"/>
      <c r="H5834" s="4" t="s">
        <v>1305</v>
      </c>
    </row>
    <row r="5835" ht="16.5" customHeight="1" spans="1:8">
      <c r="A5835" s="3">
        <v>5834</v>
      </c>
      <c r="B5835" s="3" t="s">
        <v>12938</v>
      </c>
      <c r="C5835" s="3" t="s">
        <v>1356</v>
      </c>
      <c r="D5835" s="4" t="s">
        <v>12939</v>
      </c>
      <c r="E5835" s="3" t="s">
        <v>2726</v>
      </c>
      <c r="F5835" s="3" t="s">
        <v>4668</v>
      </c>
      <c r="G5835" s="3"/>
      <c r="H5835" s="4" t="s">
        <v>1305</v>
      </c>
    </row>
    <row r="5836" ht="16.5" customHeight="1" spans="1:8">
      <c r="A5836" s="3">
        <v>5835</v>
      </c>
      <c r="B5836" s="3" t="s">
        <v>12940</v>
      </c>
      <c r="C5836" s="3" t="s">
        <v>1074</v>
      </c>
      <c r="D5836" s="4" t="s">
        <v>12941</v>
      </c>
      <c r="E5836" s="3" t="s">
        <v>2726</v>
      </c>
      <c r="F5836" s="3" t="s">
        <v>4668</v>
      </c>
      <c r="G5836" s="3"/>
      <c r="H5836" s="4" t="s">
        <v>1305</v>
      </c>
    </row>
    <row r="5837" ht="16.5" customHeight="1" spans="1:8">
      <c r="A5837" s="3">
        <v>5836</v>
      </c>
      <c r="B5837" s="3" t="s">
        <v>12942</v>
      </c>
      <c r="C5837" s="3" t="s">
        <v>1356</v>
      </c>
      <c r="D5837" s="4" t="s">
        <v>12943</v>
      </c>
      <c r="E5837" s="3" t="s">
        <v>1076</v>
      </c>
      <c r="F5837" s="3" t="s">
        <v>4668</v>
      </c>
      <c r="G5837" s="3"/>
      <c r="H5837" s="4" t="s">
        <v>1305</v>
      </c>
    </row>
    <row r="5838" ht="16.5" customHeight="1" spans="1:8">
      <c r="A5838" s="3">
        <v>5837</v>
      </c>
      <c r="B5838" s="3" t="s">
        <v>12944</v>
      </c>
      <c r="C5838" s="3" t="s">
        <v>1074</v>
      </c>
      <c r="D5838" s="4" t="s">
        <v>12945</v>
      </c>
      <c r="E5838" s="3" t="s">
        <v>1218</v>
      </c>
      <c r="F5838" s="3" t="s">
        <v>4668</v>
      </c>
      <c r="G5838" s="3"/>
      <c r="H5838" s="4" t="s">
        <v>12459</v>
      </c>
    </row>
    <row r="5839" ht="16.5" customHeight="1" spans="1:8">
      <c r="A5839" s="3">
        <v>5838</v>
      </c>
      <c r="B5839" s="3" t="s">
        <v>12946</v>
      </c>
      <c r="C5839" s="3" t="s">
        <v>1361</v>
      </c>
      <c r="D5839" s="4" t="s">
        <v>12947</v>
      </c>
      <c r="E5839" s="3" t="s">
        <v>1218</v>
      </c>
      <c r="F5839" s="3" t="s">
        <v>2105</v>
      </c>
      <c r="G5839" s="3"/>
      <c r="H5839" s="4"/>
    </row>
    <row r="5840" ht="16.5" customHeight="1" spans="1:8">
      <c r="A5840" s="3">
        <v>5839</v>
      </c>
      <c r="B5840" s="3" t="s">
        <v>12948</v>
      </c>
      <c r="C5840" s="3" t="s">
        <v>1361</v>
      </c>
      <c r="D5840" s="4" t="s">
        <v>12949</v>
      </c>
      <c r="E5840" s="3" t="s">
        <v>1218</v>
      </c>
      <c r="F5840" s="3" t="s">
        <v>2105</v>
      </c>
      <c r="G5840" s="3"/>
      <c r="H5840" s="4"/>
    </row>
    <row r="5841" ht="16.5" customHeight="1" spans="1:8">
      <c r="A5841" s="3">
        <v>5840</v>
      </c>
      <c r="B5841" s="3" t="s">
        <v>12950</v>
      </c>
      <c r="C5841" s="3" t="s">
        <v>1361</v>
      </c>
      <c r="D5841" s="4" t="s">
        <v>12951</v>
      </c>
      <c r="E5841" s="3" t="s">
        <v>1218</v>
      </c>
      <c r="F5841" s="3" t="s">
        <v>2105</v>
      </c>
      <c r="G5841" s="3"/>
      <c r="H5841" s="4"/>
    </row>
    <row r="5842" ht="16.5" customHeight="1" spans="1:8">
      <c r="A5842" s="3">
        <v>5841</v>
      </c>
      <c r="B5842" s="3" t="s">
        <v>12952</v>
      </c>
      <c r="C5842" s="3" t="s">
        <v>1361</v>
      </c>
      <c r="D5842" s="4" t="s">
        <v>12953</v>
      </c>
      <c r="E5842" s="3" t="s">
        <v>1218</v>
      </c>
      <c r="F5842" s="3" t="s">
        <v>2105</v>
      </c>
      <c r="G5842" s="3"/>
      <c r="H5842" s="4"/>
    </row>
    <row r="5843" ht="16.5" customHeight="1" spans="1:8">
      <c r="A5843" s="3">
        <v>5842</v>
      </c>
      <c r="B5843" s="3" t="s">
        <v>12954</v>
      </c>
      <c r="C5843" s="3" t="s">
        <v>1361</v>
      </c>
      <c r="D5843" s="4" t="s">
        <v>12955</v>
      </c>
      <c r="E5843" s="3" t="s">
        <v>1218</v>
      </c>
      <c r="F5843" s="3" t="s">
        <v>2105</v>
      </c>
      <c r="G5843" s="3"/>
      <c r="H5843" s="4"/>
    </row>
    <row r="5844" ht="16.5" customHeight="1" spans="1:8">
      <c r="A5844" s="3">
        <v>5843</v>
      </c>
      <c r="B5844" s="3" t="s">
        <v>12956</v>
      </c>
      <c r="C5844" s="3" t="s">
        <v>1361</v>
      </c>
      <c r="D5844" s="4" t="s">
        <v>12957</v>
      </c>
      <c r="E5844" s="3" t="s">
        <v>1218</v>
      </c>
      <c r="F5844" s="3" t="s">
        <v>2105</v>
      </c>
      <c r="G5844" s="3"/>
      <c r="H5844" s="4"/>
    </row>
    <row r="5845" ht="16.5" customHeight="1" spans="1:8">
      <c r="A5845" s="3">
        <v>5844</v>
      </c>
      <c r="B5845" s="3" t="s">
        <v>12958</v>
      </c>
      <c r="C5845" s="3" t="s">
        <v>1361</v>
      </c>
      <c r="D5845" s="4" t="s">
        <v>12959</v>
      </c>
      <c r="E5845" s="3" t="s">
        <v>1218</v>
      </c>
      <c r="F5845" s="3" t="s">
        <v>2105</v>
      </c>
      <c r="G5845" s="3"/>
      <c r="H5845" s="4"/>
    </row>
    <row r="5846" ht="16.5" customHeight="1" spans="1:8">
      <c r="A5846" s="3">
        <v>5845</v>
      </c>
      <c r="B5846" s="3" t="s">
        <v>12960</v>
      </c>
      <c r="C5846" s="3" t="s">
        <v>1361</v>
      </c>
      <c r="D5846" s="4" t="s">
        <v>12961</v>
      </c>
      <c r="E5846" s="3" t="s">
        <v>1218</v>
      </c>
      <c r="F5846" s="3" t="s">
        <v>2105</v>
      </c>
      <c r="G5846" s="3"/>
      <c r="H5846" s="4"/>
    </row>
    <row r="5847" ht="16.5" customHeight="1" spans="1:8">
      <c r="A5847" s="3">
        <v>5846</v>
      </c>
      <c r="B5847" s="3" t="s">
        <v>12962</v>
      </c>
      <c r="C5847" s="3" t="s">
        <v>1361</v>
      </c>
      <c r="D5847" s="4" t="s">
        <v>12963</v>
      </c>
      <c r="E5847" s="3" t="s">
        <v>1218</v>
      </c>
      <c r="F5847" s="3" t="s">
        <v>2105</v>
      </c>
      <c r="G5847" s="3"/>
      <c r="H5847" s="4"/>
    </row>
    <row r="5848" ht="16.5" customHeight="1" spans="1:8">
      <c r="A5848" s="3">
        <v>5847</v>
      </c>
      <c r="B5848" s="3" t="s">
        <v>12964</v>
      </c>
      <c r="C5848" s="3" t="s">
        <v>1361</v>
      </c>
      <c r="D5848" s="4" t="s">
        <v>12965</v>
      </c>
      <c r="E5848" s="3" t="s">
        <v>1218</v>
      </c>
      <c r="F5848" s="3" t="s">
        <v>2105</v>
      </c>
      <c r="G5848" s="3"/>
      <c r="H5848" s="4"/>
    </row>
    <row r="5849" ht="16.5" customHeight="1" spans="1:8">
      <c r="A5849" s="3">
        <v>5848</v>
      </c>
      <c r="B5849" s="3" t="s">
        <v>12966</v>
      </c>
      <c r="C5849" s="3" t="s">
        <v>1361</v>
      </c>
      <c r="D5849" s="4" t="s">
        <v>12967</v>
      </c>
      <c r="E5849" s="3" t="s">
        <v>1218</v>
      </c>
      <c r="F5849" s="3" t="s">
        <v>2105</v>
      </c>
      <c r="G5849" s="3"/>
      <c r="H5849" s="4"/>
    </row>
    <row r="5850" ht="16.5" customHeight="1" spans="1:8">
      <c r="A5850" s="3">
        <v>5849</v>
      </c>
      <c r="B5850" s="3" t="s">
        <v>12968</v>
      </c>
      <c r="C5850" s="3" t="s">
        <v>1361</v>
      </c>
      <c r="D5850" s="4" t="s">
        <v>12969</v>
      </c>
      <c r="E5850" s="3" t="s">
        <v>1218</v>
      </c>
      <c r="F5850" s="3" t="s">
        <v>2105</v>
      </c>
      <c r="G5850" s="3"/>
      <c r="H5850" s="4"/>
    </row>
    <row r="5851" ht="16.5" customHeight="1" spans="1:8">
      <c r="A5851" s="3">
        <v>5850</v>
      </c>
      <c r="B5851" s="3" t="s">
        <v>12970</v>
      </c>
      <c r="C5851" s="3" t="s">
        <v>1361</v>
      </c>
      <c r="D5851" s="4" t="s">
        <v>12971</v>
      </c>
      <c r="E5851" s="3" t="s">
        <v>1218</v>
      </c>
      <c r="F5851" s="3" t="s">
        <v>2105</v>
      </c>
      <c r="G5851" s="3"/>
      <c r="H5851" s="4"/>
    </row>
    <row r="5852" ht="16.5" customHeight="1" spans="1:8">
      <c r="A5852" s="3">
        <v>5851</v>
      </c>
      <c r="B5852" s="3" t="s">
        <v>12972</v>
      </c>
      <c r="C5852" s="3" t="s">
        <v>1361</v>
      </c>
      <c r="D5852" s="4" t="s">
        <v>12973</v>
      </c>
      <c r="E5852" s="3" t="s">
        <v>1218</v>
      </c>
      <c r="F5852" s="3" t="s">
        <v>2105</v>
      </c>
      <c r="G5852" s="3"/>
      <c r="H5852" s="4"/>
    </row>
    <row r="5853" ht="16.5" customHeight="1" spans="1:8">
      <c r="A5853" s="3">
        <v>5852</v>
      </c>
      <c r="B5853" s="3" t="s">
        <v>12974</v>
      </c>
      <c r="C5853" s="3" t="s">
        <v>1361</v>
      </c>
      <c r="D5853" s="4" t="s">
        <v>12975</v>
      </c>
      <c r="E5853" s="3" t="s">
        <v>1218</v>
      </c>
      <c r="F5853" s="3" t="s">
        <v>2105</v>
      </c>
      <c r="G5853" s="3"/>
      <c r="H5853" s="4"/>
    </row>
    <row r="5854" ht="16.5" customHeight="1" spans="1:8">
      <c r="A5854" s="3">
        <v>5853</v>
      </c>
      <c r="B5854" s="3" t="s">
        <v>12976</v>
      </c>
      <c r="C5854" s="3" t="s">
        <v>1361</v>
      </c>
      <c r="D5854" s="4" t="s">
        <v>12977</v>
      </c>
      <c r="E5854" s="3" t="s">
        <v>1218</v>
      </c>
      <c r="F5854" s="3" t="s">
        <v>2105</v>
      </c>
      <c r="G5854" s="3"/>
      <c r="H5854" s="4"/>
    </row>
    <row r="5855" ht="16.5" customHeight="1" spans="1:8">
      <c r="A5855" s="3">
        <v>5854</v>
      </c>
      <c r="B5855" s="3" t="s">
        <v>12978</v>
      </c>
      <c r="C5855" s="3" t="s">
        <v>1361</v>
      </c>
      <c r="D5855" s="4" t="s">
        <v>12979</v>
      </c>
      <c r="E5855" s="3" t="s">
        <v>1218</v>
      </c>
      <c r="F5855" s="3" t="s">
        <v>2105</v>
      </c>
      <c r="G5855" s="3"/>
      <c r="H5855" s="4"/>
    </row>
    <row r="5856" ht="16.5" customHeight="1" spans="1:8">
      <c r="A5856" s="3">
        <v>5855</v>
      </c>
      <c r="B5856" s="3" t="s">
        <v>12980</v>
      </c>
      <c r="C5856" s="3" t="s">
        <v>1361</v>
      </c>
      <c r="D5856" s="4" t="s">
        <v>12981</v>
      </c>
      <c r="E5856" s="3" t="s">
        <v>1218</v>
      </c>
      <c r="F5856" s="3" t="s">
        <v>2105</v>
      </c>
      <c r="G5856" s="3"/>
      <c r="H5856" s="4"/>
    </row>
    <row r="5857" ht="16.5" customHeight="1" spans="1:8">
      <c r="A5857" s="3">
        <v>5856</v>
      </c>
      <c r="B5857" s="3" t="s">
        <v>12982</v>
      </c>
      <c r="C5857" s="3" t="s">
        <v>1361</v>
      </c>
      <c r="D5857" s="4" t="s">
        <v>12983</v>
      </c>
      <c r="E5857" s="3" t="s">
        <v>1218</v>
      </c>
      <c r="F5857" s="3" t="s">
        <v>2105</v>
      </c>
      <c r="G5857" s="3"/>
      <c r="H5857" s="4"/>
    </row>
    <row r="5858" ht="16.5" customHeight="1" spans="1:8">
      <c r="A5858" s="3">
        <v>5857</v>
      </c>
      <c r="B5858" s="3" t="s">
        <v>12984</v>
      </c>
      <c r="C5858" s="3" t="s">
        <v>1361</v>
      </c>
      <c r="D5858" s="4" t="s">
        <v>12985</v>
      </c>
      <c r="E5858" s="3" t="s">
        <v>1218</v>
      </c>
      <c r="F5858" s="3" t="s">
        <v>2105</v>
      </c>
      <c r="G5858" s="3"/>
      <c r="H5858" s="4"/>
    </row>
    <row r="5859" ht="16.5" customHeight="1" spans="1:8">
      <c r="A5859" s="3">
        <v>5858</v>
      </c>
      <c r="B5859" s="3" t="s">
        <v>12986</v>
      </c>
      <c r="C5859" s="3" t="s">
        <v>1361</v>
      </c>
      <c r="D5859" s="4" t="s">
        <v>12987</v>
      </c>
      <c r="E5859" s="3" t="s">
        <v>1218</v>
      </c>
      <c r="F5859" s="3" t="s">
        <v>2105</v>
      </c>
      <c r="G5859" s="3"/>
      <c r="H5859" s="4"/>
    </row>
    <row r="5860" ht="16.5" customHeight="1" spans="1:8">
      <c r="A5860" s="3">
        <v>5859</v>
      </c>
      <c r="B5860" s="3" t="s">
        <v>12988</v>
      </c>
      <c r="C5860" s="3" t="s">
        <v>1361</v>
      </c>
      <c r="D5860" s="4" t="s">
        <v>12989</v>
      </c>
      <c r="E5860" s="3" t="s">
        <v>1218</v>
      </c>
      <c r="F5860" s="3" t="s">
        <v>2105</v>
      </c>
      <c r="G5860" s="3"/>
      <c r="H5860" s="4"/>
    </row>
    <row r="5861" ht="16.5" customHeight="1" spans="1:8">
      <c r="A5861" s="3">
        <v>5860</v>
      </c>
      <c r="B5861" s="3" t="s">
        <v>12990</v>
      </c>
      <c r="C5861" s="3" t="s">
        <v>1361</v>
      </c>
      <c r="D5861" s="4" t="s">
        <v>12991</v>
      </c>
      <c r="E5861" s="3" t="s">
        <v>1218</v>
      </c>
      <c r="F5861" s="3" t="s">
        <v>2105</v>
      </c>
      <c r="G5861" s="3"/>
      <c r="H5861" s="4"/>
    </row>
    <row r="5862" ht="16.5" customHeight="1" spans="1:8">
      <c r="A5862" s="3">
        <v>5861</v>
      </c>
      <c r="B5862" s="3" t="s">
        <v>12992</v>
      </c>
      <c r="C5862" s="3" t="s">
        <v>1361</v>
      </c>
      <c r="D5862" s="4" t="s">
        <v>12993</v>
      </c>
      <c r="E5862" s="3" t="s">
        <v>1218</v>
      </c>
      <c r="F5862" s="3" t="s">
        <v>2105</v>
      </c>
      <c r="G5862" s="3"/>
      <c r="H5862" s="4"/>
    </row>
    <row r="5863" ht="16.5" customHeight="1" spans="1:8">
      <c r="A5863" s="3">
        <v>5862</v>
      </c>
      <c r="B5863" s="3" t="s">
        <v>12994</v>
      </c>
      <c r="C5863" s="3" t="s">
        <v>1361</v>
      </c>
      <c r="D5863" s="4" t="s">
        <v>12995</v>
      </c>
      <c r="E5863" s="3" t="s">
        <v>1218</v>
      </c>
      <c r="F5863" s="3" t="s">
        <v>2105</v>
      </c>
      <c r="G5863" s="3"/>
      <c r="H5863" s="4"/>
    </row>
    <row r="5864" ht="16.5" customHeight="1" spans="1:8">
      <c r="A5864" s="3">
        <v>5863</v>
      </c>
      <c r="B5864" s="3" t="s">
        <v>12996</v>
      </c>
      <c r="C5864" s="3" t="s">
        <v>1361</v>
      </c>
      <c r="D5864" s="4" t="s">
        <v>12997</v>
      </c>
      <c r="E5864" s="3" t="s">
        <v>1218</v>
      </c>
      <c r="F5864" s="3" t="s">
        <v>2105</v>
      </c>
      <c r="G5864" s="3"/>
      <c r="H5864" s="4"/>
    </row>
    <row r="5865" ht="16.5" customHeight="1" spans="1:8">
      <c r="A5865" s="3">
        <v>5864</v>
      </c>
      <c r="B5865" s="3" t="s">
        <v>12998</v>
      </c>
      <c r="C5865" s="3" t="s">
        <v>1361</v>
      </c>
      <c r="D5865" s="4" t="s">
        <v>12999</v>
      </c>
      <c r="E5865" s="3" t="s">
        <v>1218</v>
      </c>
      <c r="F5865" s="3" t="s">
        <v>2105</v>
      </c>
      <c r="G5865" s="3"/>
      <c r="H5865" s="4"/>
    </row>
    <row r="5866" ht="16.5" customHeight="1" spans="1:8">
      <c r="A5866" s="3">
        <v>5865</v>
      </c>
      <c r="B5866" s="3" t="s">
        <v>13000</v>
      </c>
      <c r="C5866" s="3" t="s">
        <v>1361</v>
      </c>
      <c r="D5866" s="4" t="s">
        <v>13001</v>
      </c>
      <c r="E5866" s="3" t="s">
        <v>1218</v>
      </c>
      <c r="F5866" s="3" t="s">
        <v>2105</v>
      </c>
      <c r="G5866" s="3"/>
      <c r="H5866" s="4"/>
    </row>
    <row r="5867" ht="16.5" customHeight="1" spans="1:8">
      <c r="A5867" s="3">
        <v>5866</v>
      </c>
      <c r="B5867" s="3" t="s">
        <v>13002</v>
      </c>
      <c r="C5867" s="3" t="s">
        <v>1361</v>
      </c>
      <c r="D5867" s="4" t="s">
        <v>13003</v>
      </c>
      <c r="E5867" s="3" t="s">
        <v>1218</v>
      </c>
      <c r="F5867" s="3" t="s">
        <v>2105</v>
      </c>
      <c r="G5867" s="3"/>
      <c r="H5867" s="4"/>
    </row>
    <row r="5868" ht="16.5" customHeight="1" spans="1:8">
      <c r="A5868" s="3">
        <v>5867</v>
      </c>
      <c r="B5868" s="3" t="s">
        <v>13004</v>
      </c>
      <c r="C5868" s="3" t="s">
        <v>1361</v>
      </c>
      <c r="D5868" s="4" t="s">
        <v>13005</v>
      </c>
      <c r="E5868" s="3" t="s">
        <v>1218</v>
      </c>
      <c r="F5868" s="3" t="s">
        <v>2105</v>
      </c>
      <c r="G5868" s="3"/>
      <c r="H5868" s="4"/>
    </row>
    <row r="5869" ht="16.5" customHeight="1" spans="1:8">
      <c r="A5869" s="3">
        <v>5868</v>
      </c>
      <c r="B5869" s="3" t="s">
        <v>13006</v>
      </c>
      <c r="C5869" s="3" t="s">
        <v>1361</v>
      </c>
      <c r="D5869" s="4" t="s">
        <v>13007</v>
      </c>
      <c r="E5869" s="3" t="s">
        <v>1218</v>
      </c>
      <c r="F5869" s="3" t="s">
        <v>2105</v>
      </c>
      <c r="G5869" s="3"/>
      <c r="H5869" s="4"/>
    </row>
    <row r="5870" ht="16.5" customHeight="1" spans="1:8">
      <c r="A5870" s="3">
        <v>5869</v>
      </c>
      <c r="B5870" s="3" t="s">
        <v>13008</v>
      </c>
      <c r="C5870" s="3" t="s">
        <v>1361</v>
      </c>
      <c r="D5870" s="4" t="s">
        <v>13009</v>
      </c>
      <c r="E5870" s="3" t="s">
        <v>1218</v>
      </c>
      <c r="F5870" s="3" t="s">
        <v>2105</v>
      </c>
      <c r="G5870" s="3"/>
      <c r="H5870" s="4"/>
    </row>
    <row r="5871" ht="16.5" customHeight="1" spans="1:8">
      <c r="A5871" s="3">
        <v>5870</v>
      </c>
      <c r="B5871" s="3" t="s">
        <v>13010</v>
      </c>
      <c r="C5871" s="3" t="s">
        <v>1361</v>
      </c>
      <c r="D5871" s="4" t="s">
        <v>13011</v>
      </c>
      <c r="E5871" s="3" t="s">
        <v>1218</v>
      </c>
      <c r="F5871" s="3" t="s">
        <v>2105</v>
      </c>
      <c r="G5871" s="3"/>
      <c r="H5871" s="4"/>
    </row>
    <row r="5872" ht="16.5" customHeight="1" spans="1:8">
      <c r="A5872" s="3">
        <v>5871</v>
      </c>
      <c r="B5872" s="3" t="s">
        <v>13012</v>
      </c>
      <c r="C5872" s="3" t="s">
        <v>1361</v>
      </c>
      <c r="D5872" s="4" t="s">
        <v>13013</v>
      </c>
      <c r="E5872" s="3" t="s">
        <v>1218</v>
      </c>
      <c r="F5872" s="3" t="s">
        <v>2105</v>
      </c>
      <c r="G5872" s="3"/>
      <c r="H5872" s="4"/>
    </row>
    <row r="5873" ht="16.5" customHeight="1" spans="1:8">
      <c r="A5873" s="3">
        <v>5872</v>
      </c>
      <c r="B5873" s="3" t="s">
        <v>13014</v>
      </c>
      <c r="C5873" s="3" t="s">
        <v>1361</v>
      </c>
      <c r="D5873" s="4" t="s">
        <v>13015</v>
      </c>
      <c r="E5873" s="3" t="s">
        <v>1218</v>
      </c>
      <c r="F5873" s="3" t="s">
        <v>2105</v>
      </c>
      <c r="G5873" s="3"/>
      <c r="H5873" s="4"/>
    </row>
    <row r="5874" ht="16.5" customHeight="1" spans="1:8">
      <c r="A5874" s="3">
        <v>5873</v>
      </c>
      <c r="B5874" s="3" t="s">
        <v>13016</v>
      </c>
      <c r="C5874" s="3" t="s">
        <v>1361</v>
      </c>
      <c r="D5874" s="4" t="s">
        <v>13017</v>
      </c>
      <c r="E5874" s="3" t="s">
        <v>1218</v>
      </c>
      <c r="F5874" s="3" t="s">
        <v>2105</v>
      </c>
      <c r="G5874" s="3"/>
      <c r="H5874" s="4"/>
    </row>
    <row r="5875" ht="16.5" customHeight="1" spans="1:8">
      <c r="A5875" s="3">
        <v>5874</v>
      </c>
      <c r="B5875" s="3" t="s">
        <v>13018</v>
      </c>
      <c r="C5875" s="3" t="s">
        <v>1361</v>
      </c>
      <c r="D5875" s="4" t="s">
        <v>13019</v>
      </c>
      <c r="E5875" s="3" t="s">
        <v>1218</v>
      </c>
      <c r="F5875" s="3" t="s">
        <v>2105</v>
      </c>
      <c r="G5875" s="3"/>
      <c r="H5875" s="4"/>
    </row>
    <row r="5876" ht="16.5" customHeight="1" spans="1:8">
      <c r="A5876" s="3">
        <v>5875</v>
      </c>
      <c r="B5876" s="3" t="s">
        <v>13020</v>
      </c>
      <c r="C5876" s="3" t="s">
        <v>1361</v>
      </c>
      <c r="D5876" s="4" t="s">
        <v>13021</v>
      </c>
      <c r="E5876" s="3" t="s">
        <v>1218</v>
      </c>
      <c r="F5876" s="3" t="s">
        <v>2105</v>
      </c>
      <c r="G5876" s="3"/>
      <c r="H5876" s="4"/>
    </row>
    <row r="5877" ht="16.5" customHeight="1" spans="1:8">
      <c r="A5877" s="3">
        <v>5876</v>
      </c>
      <c r="B5877" s="3" t="s">
        <v>13022</v>
      </c>
      <c r="C5877" s="3" t="s">
        <v>1361</v>
      </c>
      <c r="D5877" s="4" t="s">
        <v>13023</v>
      </c>
      <c r="E5877" s="3" t="s">
        <v>1218</v>
      </c>
      <c r="F5877" s="3" t="s">
        <v>2105</v>
      </c>
      <c r="G5877" s="3"/>
      <c r="H5877" s="4"/>
    </row>
    <row r="5878" ht="16.5" customHeight="1" spans="1:8">
      <c r="A5878" s="3">
        <v>5877</v>
      </c>
      <c r="B5878" s="3" t="s">
        <v>13024</v>
      </c>
      <c r="C5878" s="3" t="s">
        <v>1361</v>
      </c>
      <c r="D5878" s="4" t="s">
        <v>13025</v>
      </c>
      <c r="E5878" s="3" t="s">
        <v>1218</v>
      </c>
      <c r="F5878" s="3" t="s">
        <v>2105</v>
      </c>
      <c r="G5878" s="3"/>
      <c r="H5878" s="4"/>
    </row>
    <row r="5879" ht="16.5" customHeight="1" spans="1:8">
      <c r="A5879" s="3">
        <v>5878</v>
      </c>
      <c r="B5879" s="3" t="s">
        <v>13026</v>
      </c>
      <c r="C5879" s="3" t="s">
        <v>1361</v>
      </c>
      <c r="D5879" s="4" t="s">
        <v>13027</v>
      </c>
      <c r="E5879" s="3" t="s">
        <v>1218</v>
      </c>
      <c r="F5879" s="3" t="s">
        <v>2105</v>
      </c>
      <c r="G5879" s="3"/>
      <c r="H5879" s="4"/>
    </row>
    <row r="5880" ht="16.5" customHeight="1" spans="1:8">
      <c r="A5880" s="3">
        <v>5879</v>
      </c>
      <c r="B5880" s="3" t="s">
        <v>13028</v>
      </c>
      <c r="C5880" s="3" t="s">
        <v>1361</v>
      </c>
      <c r="D5880" s="4" t="s">
        <v>13029</v>
      </c>
      <c r="E5880" s="3" t="s">
        <v>1218</v>
      </c>
      <c r="F5880" s="3" t="s">
        <v>2105</v>
      </c>
      <c r="G5880" s="3"/>
      <c r="H5880" s="4"/>
    </row>
    <row r="5881" ht="16.5" customHeight="1" spans="1:8">
      <c r="A5881" s="3">
        <v>5880</v>
      </c>
      <c r="B5881" s="3" t="s">
        <v>13030</v>
      </c>
      <c r="C5881" s="3" t="s">
        <v>1361</v>
      </c>
      <c r="D5881" s="4" t="s">
        <v>13031</v>
      </c>
      <c r="E5881" s="3" t="s">
        <v>1218</v>
      </c>
      <c r="F5881" s="3" t="s">
        <v>2105</v>
      </c>
      <c r="G5881" s="3"/>
      <c r="H5881" s="4"/>
    </row>
    <row r="5882" ht="16.5" customHeight="1" spans="1:8">
      <c r="A5882" s="3">
        <v>5881</v>
      </c>
      <c r="B5882" s="3" t="s">
        <v>13032</v>
      </c>
      <c r="C5882" s="3" t="s">
        <v>1361</v>
      </c>
      <c r="D5882" s="4" t="s">
        <v>13033</v>
      </c>
      <c r="E5882" s="3" t="s">
        <v>1218</v>
      </c>
      <c r="F5882" s="3" t="s">
        <v>2105</v>
      </c>
      <c r="G5882" s="3"/>
      <c r="H5882" s="4"/>
    </row>
    <row r="5883" ht="16.5" customHeight="1" spans="1:8">
      <c r="A5883" s="3">
        <v>5882</v>
      </c>
      <c r="B5883" s="3" t="s">
        <v>13034</v>
      </c>
      <c r="C5883" s="3" t="s">
        <v>1361</v>
      </c>
      <c r="D5883" s="4" t="s">
        <v>13035</v>
      </c>
      <c r="E5883" s="3" t="s">
        <v>1218</v>
      </c>
      <c r="F5883" s="3" t="s">
        <v>2105</v>
      </c>
      <c r="G5883" s="3"/>
      <c r="H5883" s="4"/>
    </row>
    <row r="5884" ht="16.5" customHeight="1" spans="1:8">
      <c r="A5884" s="3">
        <v>5883</v>
      </c>
      <c r="B5884" s="3" t="s">
        <v>13036</v>
      </c>
      <c r="C5884" s="3" t="s">
        <v>1361</v>
      </c>
      <c r="D5884" s="4" t="s">
        <v>13037</v>
      </c>
      <c r="E5884" s="3" t="s">
        <v>1218</v>
      </c>
      <c r="F5884" s="3" t="s">
        <v>2105</v>
      </c>
      <c r="G5884" s="3"/>
      <c r="H5884" s="4"/>
    </row>
    <row r="5885" ht="16.5" customHeight="1" spans="1:8">
      <c r="A5885" s="3">
        <v>5884</v>
      </c>
      <c r="B5885" s="3" t="s">
        <v>13038</v>
      </c>
      <c r="C5885" s="3" t="s">
        <v>1361</v>
      </c>
      <c r="D5885" s="4" t="s">
        <v>13039</v>
      </c>
      <c r="E5885" s="3" t="s">
        <v>1218</v>
      </c>
      <c r="F5885" s="3" t="s">
        <v>2105</v>
      </c>
      <c r="G5885" s="3"/>
      <c r="H5885" s="4"/>
    </row>
    <row r="5886" ht="16.5" customHeight="1" spans="1:8">
      <c r="A5886" s="3">
        <v>5885</v>
      </c>
      <c r="B5886" s="3" t="s">
        <v>13040</v>
      </c>
      <c r="C5886" s="3" t="s">
        <v>1361</v>
      </c>
      <c r="D5886" s="4" t="s">
        <v>13041</v>
      </c>
      <c r="E5886" s="3" t="s">
        <v>1218</v>
      </c>
      <c r="F5886" s="3" t="s">
        <v>2105</v>
      </c>
      <c r="G5886" s="3"/>
      <c r="H5886" s="4"/>
    </row>
    <row r="5887" ht="16.5" customHeight="1" spans="1:8">
      <c r="A5887" s="3">
        <v>5886</v>
      </c>
      <c r="B5887" s="3" t="s">
        <v>13042</v>
      </c>
      <c r="C5887" s="3" t="s">
        <v>1361</v>
      </c>
      <c r="D5887" s="4" t="s">
        <v>13043</v>
      </c>
      <c r="E5887" s="3" t="s">
        <v>1218</v>
      </c>
      <c r="F5887" s="3" t="s">
        <v>2105</v>
      </c>
      <c r="G5887" s="3"/>
      <c r="H5887" s="4"/>
    </row>
    <row r="5888" ht="16.5" customHeight="1" spans="1:8">
      <c r="A5888" s="3">
        <v>5887</v>
      </c>
      <c r="B5888" s="3" t="s">
        <v>13044</v>
      </c>
      <c r="C5888" s="3" t="s">
        <v>1361</v>
      </c>
      <c r="D5888" s="4" t="s">
        <v>13045</v>
      </c>
      <c r="E5888" s="3" t="s">
        <v>1218</v>
      </c>
      <c r="F5888" s="3" t="s">
        <v>2105</v>
      </c>
      <c r="G5888" s="3"/>
      <c r="H5888" s="4"/>
    </row>
    <row r="5889" ht="16.5" customHeight="1" spans="1:8">
      <c r="A5889" s="3">
        <v>5888</v>
      </c>
      <c r="B5889" s="3" t="s">
        <v>13046</v>
      </c>
      <c r="C5889" s="3" t="s">
        <v>1361</v>
      </c>
      <c r="D5889" s="4" t="s">
        <v>13047</v>
      </c>
      <c r="E5889" s="3" t="s">
        <v>1218</v>
      </c>
      <c r="F5889" s="3" t="s">
        <v>2105</v>
      </c>
      <c r="G5889" s="3"/>
      <c r="H5889" s="4"/>
    </row>
    <row r="5890" ht="16.5" customHeight="1" spans="1:8">
      <c r="A5890" s="3">
        <v>5889</v>
      </c>
      <c r="B5890" s="3" t="s">
        <v>13048</v>
      </c>
      <c r="C5890" s="3" t="s">
        <v>1361</v>
      </c>
      <c r="D5890" s="4" t="s">
        <v>13049</v>
      </c>
      <c r="E5890" s="3" t="s">
        <v>1218</v>
      </c>
      <c r="F5890" s="3" t="s">
        <v>2105</v>
      </c>
      <c r="G5890" s="3"/>
      <c r="H5890" s="4"/>
    </row>
    <row r="5891" ht="16.5" customHeight="1" spans="1:8">
      <c r="A5891" s="3">
        <v>5890</v>
      </c>
      <c r="B5891" s="3" t="s">
        <v>13050</v>
      </c>
      <c r="C5891" s="3" t="s">
        <v>1361</v>
      </c>
      <c r="D5891" s="4" t="s">
        <v>13051</v>
      </c>
      <c r="E5891" s="3" t="s">
        <v>1218</v>
      </c>
      <c r="F5891" s="3" t="s">
        <v>2105</v>
      </c>
      <c r="G5891" s="3"/>
      <c r="H5891" s="4"/>
    </row>
    <row r="5892" ht="16.5" customHeight="1" spans="1:8">
      <c r="A5892" s="3">
        <v>5891</v>
      </c>
      <c r="B5892" s="3" t="s">
        <v>13052</v>
      </c>
      <c r="C5892" s="3" t="s">
        <v>1361</v>
      </c>
      <c r="D5892" s="4" t="s">
        <v>13053</v>
      </c>
      <c r="E5892" s="3" t="s">
        <v>1218</v>
      </c>
      <c r="F5892" s="3" t="s">
        <v>2105</v>
      </c>
      <c r="G5892" s="3"/>
      <c r="H5892" s="4"/>
    </row>
    <row r="5893" ht="16.5" customHeight="1" spans="1:8">
      <c r="A5893" s="3">
        <v>5892</v>
      </c>
      <c r="B5893" s="3" t="s">
        <v>13054</v>
      </c>
      <c r="C5893" s="3" t="s">
        <v>1361</v>
      </c>
      <c r="D5893" s="4" t="s">
        <v>13055</v>
      </c>
      <c r="E5893" s="3" t="s">
        <v>1218</v>
      </c>
      <c r="F5893" s="3" t="s">
        <v>2105</v>
      </c>
      <c r="G5893" s="3"/>
      <c r="H5893" s="4"/>
    </row>
    <row r="5894" ht="16.5" customHeight="1" spans="1:8">
      <c r="A5894" s="3">
        <v>5893</v>
      </c>
      <c r="B5894" s="3" t="s">
        <v>13056</v>
      </c>
      <c r="C5894" s="3" t="s">
        <v>1361</v>
      </c>
      <c r="D5894" s="4" t="s">
        <v>13057</v>
      </c>
      <c r="E5894" s="3" t="s">
        <v>1218</v>
      </c>
      <c r="F5894" s="3" t="s">
        <v>2105</v>
      </c>
      <c r="G5894" s="3"/>
      <c r="H5894" s="4"/>
    </row>
    <row r="5895" ht="16.5" customHeight="1" spans="1:8">
      <c r="A5895" s="3">
        <v>5894</v>
      </c>
      <c r="B5895" s="3" t="s">
        <v>13058</v>
      </c>
      <c r="C5895" s="3" t="s">
        <v>1361</v>
      </c>
      <c r="D5895" s="4" t="s">
        <v>13059</v>
      </c>
      <c r="E5895" s="3" t="s">
        <v>1218</v>
      </c>
      <c r="F5895" s="3" t="s">
        <v>2105</v>
      </c>
      <c r="G5895" s="3"/>
      <c r="H5895" s="4"/>
    </row>
    <row r="5896" ht="16.5" customHeight="1" spans="1:8">
      <c r="A5896" s="3">
        <v>5895</v>
      </c>
      <c r="B5896" s="3" t="s">
        <v>13060</v>
      </c>
      <c r="C5896" s="3" t="s">
        <v>1361</v>
      </c>
      <c r="D5896" s="4" t="s">
        <v>13061</v>
      </c>
      <c r="E5896" s="3" t="s">
        <v>1218</v>
      </c>
      <c r="F5896" s="3" t="s">
        <v>2105</v>
      </c>
      <c r="G5896" s="3"/>
      <c r="H5896" s="4"/>
    </row>
    <row r="5897" ht="16.5" customHeight="1" spans="1:8">
      <c r="A5897" s="3">
        <v>5896</v>
      </c>
      <c r="B5897" s="3" t="s">
        <v>13062</v>
      </c>
      <c r="C5897" s="3" t="s">
        <v>1361</v>
      </c>
      <c r="D5897" s="4" t="s">
        <v>13063</v>
      </c>
      <c r="E5897" s="3" t="s">
        <v>1218</v>
      </c>
      <c r="F5897" s="3" t="s">
        <v>2105</v>
      </c>
      <c r="G5897" s="3"/>
      <c r="H5897" s="4"/>
    </row>
    <row r="5898" ht="16.5" customHeight="1" spans="1:8">
      <c r="A5898" s="3">
        <v>5897</v>
      </c>
      <c r="B5898" s="3" t="s">
        <v>13064</v>
      </c>
      <c r="C5898" s="3" t="s">
        <v>1361</v>
      </c>
      <c r="D5898" s="4" t="s">
        <v>13065</v>
      </c>
      <c r="E5898" s="3" t="s">
        <v>1218</v>
      </c>
      <c r="F5898" s="3" t="s">
        <v>2105</v>
      </c>
      <c r="G5898" s="3"/>
      <c r="H5898" s="4"/>
    </row>
    <row r="5899" ht="16.5" customHeight="1" spans="1:8">
      <c r="A5899" s="3">
        <v>5898</v>
      </c>
      <c r="B5899" s="3" t="s">
        <v>13066</v>
      </c>
      <c r="C5899" s="3" t="s">
        <v>1361</v>
      </c>
      <c r="D5899" s="4" t="s">
        <v>13067</v>
      </c>
      <c r="E5899" s="3" t="s">
        <v>1218</v>
      </c>
      <c r="F5899" s="3" t="s">
        <v>2105</v>
      </c>
      <c r="G5899" s="3"/>
      <c r="H5899" s="4"/>
    </row>
    <row r="5900" ht="16.5" customHeight="1" spans="1:8">
      <c r="A5900" s="3">
        <v>5899</v>
      </c>
      <c r="B5900" s="3" t="s">
        <v>13068</v>
      </c>
      <c r="C5900" s="3" t="s">
        <v>1361</v>
      </c>
      <c r="D5900" s="4" t="s">
        <v>13069</v>
      </c>
      <c r="E5900" s="3" t="s">
        <v>1218</v>
      </c>
      <c r="F5900" s="3" t="s">
        <v>2105</v>
      </c>
      <c r="G5900" s="3"/>
      <c r="H5900" s="4"/>
    </row>
    <row r="5901" ht="16.5" customHeight="1" spans="1:8">
      <c r="A5901" s="3">
        <v>5900</v>
      </c>
      <c r="B5901" s="3" t="s">
        <v>13070</v>
      </c>
      <c r="C5901" s="3" t="s">
        <v>1361</v>
      </c>
      <c r="D5901" s="4" t="s">
        <v>13071</v>
      </c>
      <c r="E5901" s="3" t="s">
        <v>1218</v>
      </c>
      <c r="F5901" s="3" t="s">
        <v>2105</v>
      </c>
      <c r="G5901" s="3"/>
      <c r="H5901" s="4"/>
    </row>
    <row r="5902" ht="16.5" customHeight="1" spans="1:8">
      <c r="A5902" s="3">
        <v>5901</v>
      </c>
      <c r="B5902" s="3" t="s">
        <v>13072</v>
      </c>
      <c r="C5902" s="3" t="s">
        <v>1361</v>
      </c>
      <c r="D5902" s="4" t="s">
        <v>13073</v>
      </c>
      <c r="E5902" s="3" t="s">
        <v>1218</v>
      </c>
      <c r="F5902" s="3" t="s">
        <v>2105</v>
      </c>
      <c r="G5902" s="3"/>
      <c r="H5902" s="4"/>
    </row>
    <row r="5903" ht="16.5" customHeight="1" spans="1:8">
      <c r="A5903" s="3">
        <v>5902</v>
      </c>
      <c r="B5903" s="3" t="s">
        <v>13074</v>
      </c>
      <c r="C5903" s="3" t="s">
        <v>1361</v>
      </c>
      <c r="D5903" s="4" t="s">
        <v>13075</v>
      </c>
      <c r="E5903" s="3" t="s">
        <v>1218</v>
      </c>
      <c r="F5903" s="3" t="s">
        <v>2105</v>
      </c>
      <c r="G5903" s="3"/>
      <c r="H5903" s="4"/>
    </row>
    <row r="5904" ht="16.5" customHeight="1" spans="1:8">
      <c r="A5904" s="3">
        <v>5903</v>
      </c>
      <c r="B5904" s="3" t="s">
        <v>13076</v>
      </c>
      <c r="C5904" s="3" t="s">
        <v>1361</v>
      </c>
      <c r="D5904" s="4" t="s">
        <v>13077</v>
      </c>
      <c r="E5904" s="3" t="s">
        <v>1218</v>
      </c>
      <c r="F5904" s="3" t="s">
        <v>2105</v>
      </c>
      <c r="G5904" s="3"/>
      <c r="H5904" s="4"/>
    </row>
    <row r="5905" ht="16.5" customHeight="1" spans="1:8">
      <c r="A5905" s="3">
        <v>5904</v>
      </c>
      <c r="B5905" s="3" t="s">
        <v>13078</v>
      </c>
      <c r="C5905" s="3" t="s">
        <v>1361</v>
      </c>
      <c r="D5905" s="4" t="s">
        <v>13079</v>
      </c>
      <c r="E5905" s="3" t="s">
        <v>1218</v>
      </c>
      <c r="F5905" s="3" t="s">
        <v>2105</v>
      </c>
      <c r="G5905" s="3"/>
      <c r="H5905" s="4"/>
    </row>
    <row r="5906" ht="16.5" customHeight="1" spans="1:8">
      <c r="A5906" s="3">
        <v>5905</v>
      </c>
      <c r="B5906" s="3" t="s">
        <v>13080</v>
      </c>
      <c r="C5906" s="3" t="s">
        <v>1361</v>
      </c>
      <c r="D5906" s="4" t="s">
        <v>13081</v>
      </c>
      <c r="E5906" s="3" t="s">
        <v>1218</v>
      </c>
      <c r="F5906" s="3" t="s">
        <v>2105</v>
      </c>
      <c r="G5906" s="3"/>
      <c r="H5906" s="4"/>
    </row>
    <row r="5907" ht="16.5" customHeight="1" spans="1:8">
      <c r="A5907" s="3">
        <v>5906</v>
      </c>
      <c r="B5907" s="3" t="s">
        <v>13082</v>
      </c>
      <c r="C5907" s="3" t="s">
        <v>1361</v>
      </c>
      <c r="D5907" s="4" t="s">
        <v>13083</v>
      </c>
      <c r="E5907" s="3" t="s">
        <v>1218</v>
      </c>
      <c r="F5907" s="3" t="s">
        <v>2105</v>
      </c>
      <c r="G5907" s="3"/>
      <c r="H5907" s="4"/>
    </row>
    <row r="5908" ht="16.5" customHeight="1" spans="1:8">
      <c r="A5908" s="3">
        <v>5907</v>
      </c>
      <c r="B5908" s="3" t="s">
        <v>13084</v>
      </c>
      <c r="C5908" s="3" t="s">
        <v>1361</v>
      </c>
      <c r="D5908" s="4" t="s">
        <v>13085</v>
      </c>
      <c r="E5908" s="3" t="s">
        <v>1218</v>
      </c>
      <c r="F5908" s="3" t="s">
        <v>2105</v>
      </c>
      <c r="G5908" s="3"/>
      <c r="H5908" s="4"/>
    </row>
    <row r="5909" ht="16.5" customHeight="1" spans="1:8">
      <c r="A5909" s="3">
        <v>5908</v>
      </c>
      <c r="B5909" s="3" t="s">
        <v>13086</v>
      </c>
      <c r="C5909" s="3" t="s">
        <v>1361</v>
      </c>
      <c r="D5909" s="4" t="s">
        <v>13087</v>
      </c>
      <c r="E5909" s="3" t="s">
        <v>1218</v>
      </c>
      <c r="F5909" s="3" t="s">
        <v>2105</v>
      </c>
      <c r="G5909" s="3"/>
      <c r="H5909" s="4"/>
    </row>
    <row r="5910" ht="16.5" customHeight="1" spans="1:8">
      <c r="A5910" s="3">
        <v>5909</v>
      </c>
      <c r="B5910" s="3" t="s">
        <v>13088</v>
      </c>
      <c r="C5910" s="3" t="s">
        <v>1361</v>
      </c>
      <c r="D5910" s="4" t="s">
        <v>13089</v>
      </c>
      <c r="E5910" s="3" t="s">
        <v>1218</v>
      </c>
      <c r="F5910" s="3" t="s">
        <v>2105</v>
      </c>
      <c r="G5910" s="3"/>
      <c r="H5910" s="4"/>
    </row>
    <row r="5911" ht="16.5" customHeight="1" spans="1:8">
      <c r="A5911" s="3">
        <v>5910</v>
      </c>
      <c r="B5911" s="3" t="s">
        <v>13090</v>
      </c>
      <c r="C5911" s="3" t="s">
        <v>1361</v>
      </c>
      <c r="D5911" s="4" t="s">
        <v>13091</v>
      </c>
      <c r="E5911" s="3" t="s">
        <v>1218</v>
      </c>
      <c r="F5911" s="3" t="s">
        <v>2105</v>
      </c>
      <c r="G5911" s="3"/>
      <c r="H5911" s="4"/>
    </row>
    <row r="5912" ht="16.5" customHeight="1" spans="1:8">
      <c r="A5912" s="3">
        <v>5911</v>
      </c>
      <c r="B5912" s="3" t="s">
        <v>13092</v>
      </c>
      <c r="C5912" s="3" t="s">
        <v>1361</v>
      </c>
      <c r="D5912" s="4" t="s">
        <v>13093</v>
      </c>
      <c r="E5912" s="3" t="s">
        <v>1218</v>
      </c>
      <c r="F5912" s="3" t="s">
        <v>2105</v>
      </c>
      <c r="G5912" s="3"/>
      <c r="H5912" s="4"/>
    </row>
    <row r="5913" ht="16.5" customHeight="1" spans="1:8">
      <c r="A5913" s="3">
        <v>5912</v>
      </c>
      <c r="B5913" s="3" t="s">
        <v>13094</v>
      </c>
      <c r="C5913" s="3" t="s">
        <v>1361</v>
      </c>
      <c r="D5913" s="4" t="s">
        <v>13095</v>
      </c>
      <c r="E5913" s="3" t="s">
        <v>1218</v>
      </c>
      <c r="F5913" s="3" t="s">
        <v>2105</v>
      </c>
      <c r="G5913" s="3"/>
      <c r="H5913" s="4"/>
    </row>
    <row r="5914" ht="16.5" customHeight="1" spans="1:8">
      <c r="A5914" s="3">
        <v>5913</v>
      </c>
      <c r="B5914" s="3" t="s">
        <v>13096</v>
      </c>
      <c r="C5914" s="3" t="s">
        <v>1361</v>
      </c>
      <c r="D5914" s="4" t="s">
        <v>13097</v>
      </c>
      <c r="E5914" s="3" t="s">
        <v>1218</v>
      </c>
      <c r="F5914" s="3" t="s">
        <v>2105</v>
      </c>
      <c r="G5914" s="3"/>
      <c r="H5914" s="4"/>
    </row>
    <row r="5915" ht="16.5" customHeight="1" spans="1:8">
      <c r="A5915" s="3">
        <v>5914</v>
      </c>
      <c r="B5915" s="3" t="s">
        <v>13098</v>
      </c>
      <c r="C5915" s="3" t="s">
        <v>1361</v>
      </c>
      <c r="D5915" s="4" t="s">
        <v>13099</v>
      </c>
      <c r="E5915" s="3" t="s">
        <v>1218</v>
      </c>
      <c r="F5915" s="3" t="s">
        <v>2105</v>
      </c>
      <c r="G5915" s="3"/>
      <c r="H5915" s="4"/>
    </row>
    <row r="5916" ht="16.5" customHeight="1" spans="1:8">
      <c r="A5916" s="3">
        <v>5915</v>
      </c>
      <c r="B5916" s="3" t="s">
        <v>13100</v>
      </c>
      <c r="C5916" s="3" t="s">
        <v>1361</v>
      </c>
      <c r="D5916" s="4" t="s">
        <v>13101</v>
      </c>
      <c r="E5916" s="3" t="s">
        <v>1218</v>
      </c>
      <c r="F5916" s="3" t="s">
        <v>2105</v>
      </c>
      <c r="G5916" s="3"/>
      <c r="H5916" s="4"/>
    </row>
    <row r="5917" ht="16.5" customHeight="1" spans="1:8">
      <c r="A5917" s="3">
        <v>5916</v>
      </c>
      <c r="B5917" s="3" t="s">
        <v>13102</v>
      </c>
      <c r="C5917" s="3" t="s">
        <v>1361</v>
      </c>
      <c r="D5917" s="4" t="s">
        <v>13103</v>
      </c>
      <c r="E5917" s="3" t="s">
        <v>1218</v>
      </c>
      <c r="F5917" s="3" t="s">
        <v>2105</v>
      </c>
      <c r="G5917" s="3"/>
      <c r="H5917" s="4"/>
    </row>
    <row r="5918" ht="16.5" customHeight="1" spans="1:8">
      <c r="A5918" s="3">
        <v>5917</v>
      </c>
      <c r="B5918" s="3" t="s">
        <v>13104</v>
      </c>
      <c r="C5918" s="3" t="s">
        <v>1361</v>
      </c>
      <c r="D5918" s="4" t="s">
        <v>13105</v>
      </c>
      <c r="E5918" s="3" t="s">
        <v>1218</v>
      </c>
      <c r="F5918" s="3" t="s">
        <v>2105</v>
      </c>
      <c r="G5918" s="3"/>
      <c r="H5918" s="4"/>
    </row>
    <row r="5919" ht="16.5" customHeight="1" spans="1:8">
      <c r="A5919" s="3">
        <v>5918</v>
      </c>
      <c r="B5919" s="3" t="s">
        <v>13106</v>
      </c>
      <c r="C5919" s="3" t="s">
        <v>1361</v>
      </c>
      <c r="D5919" s="4" t="s">
        <v>13107</v>
      </c>
      <c r="E5919" s="3" t="s">
        <v>1218</v>
      </c>
      <c r="F5919" s="3" t="s">
        <v>2105</v>
      </c>
      <c r="G5919" s="3"/>
      <c r="H5919" s="4"/>
    </row>
    <row r="5920" ht="16.5" customHeight="1" spans="1:8">
      <c r="A5920" s="3">
        <v>5919</v>
      </c>
      <c r="B5920" s="3" t="s">
        <v>13108</v>
      </c>
      <c r="C5920" s="3" t="s">
        <v>1361</v>
      </c>
      <c r="D5920" s="4" t="s">
        <v>13109</v>
      </c>
      <c r="E5920" s="3" t="s">
        <v>1218</v>
      </c>
      <c r="F5920" s="3" t="s">
        <v>2105</v>
      </c>
      <c r="G5920" s="3"/>
      <c r="H5920" s="4"/>
    </row>
    <row r="5921" ht="16.5" customHeight="1" spans="1:8">
      <c r="A5921" s="3">
        <v>5920</v>
      </c>
      <c r="B5921" s="3" t="s">
        <v>13110</v>
      </c>
      <c r="C5921" s="3" t="s">
        <v>1361</v>
      </c>
      <c r="D5921" s="4" t="s">
        <v>13111</v>
      </c>
      <c r="E5921" s="3" t="s">
        <v>1218</v>
      </c>
      <c r="F5921" s="3" t="s">
        <v>2105</v>
      </c>
      <c r="G5921" s="3"/>
      <c r="H5921" s="4"/>
    </row>
    <row r="5922" ht="16.5" customHeight="1" spans="1:8">
      <c r="A5922" s="3">
        <v>5921</v>
      </c>
      <c r="B5922" s="3" t="s">
        <v>13112</v>
      </c>
      <c r="C5922" s="3" t="s">
        <v>1361</v>
      </c>
      <c r="D5922" s="4" t="s">
        <v>13113</v>
      </c>
      <c r="E5922" s="3" t="s">
        <v>1218</v>
      </c>
      <c r="F5922" s="3" t="s">
        <v>2105</v>
      </c>
      <c r="G5922" s="3"/>
      <c r="H5922" s="4"/>
    </row>
    <row r="5923" ht="16.5" customHeight="1" spans="1:8">
      <c r="A5923" s="3">
        <v>5922</v>
      </c>
      <c r="B5923" s="3" t="s">
        <v>13114</v>
      </c>
      <c r="C5923" s="3" t="s">
        <v>1361</v>
      </c>
      <c r="D5923" s="4" t="s">
        <v>13115</v>
      </c>
      <c r="E5923" s="3" t="s">
        <v>1218</v>
      </c>
      <c r="F5923" s="3" t="s">
        <v>2105</v>
      </c>
      <c r="G5923" s="3"/>
      <c r="H5923" s="4"/>
    </row>
    <row r="5924" ht="16.5" customHeight="1" spans="1:8">
      <c r="A5924" s="3">
        <v>5923</v>
      </c>
      <c r="B5924" s="3" t="s">
        <v>13116</v>
      </c>
      <c r="C5924" s="3" t="s">
        <v>1361</v>
      </c>
      <c r="D5924" s="4" t="s">
        <v>13117</v>
      </c>
      <c r="E5924" s="3" t="s">
        <v>1218</v>
      </c>
      <c r="F5924" s="3" t="s">
        <v>2105</v>
      </c>
      <c r="G5924" s="3"/>
      <c r="H5924" s="4"/>
    </row>
    <row r="5925" ht="16.5" customHeight="1" spans="1:8">
      <c r="A5925" s="3">
        <v>5924</v>
      </c>
      <c r="B5925" s="3" t="s">
        <v>13118</v>
      </c>
      <c r="C5925" s="3" t="s">
        <v>1361</v>
      </c>
      <c r="D5925" s="4" t="s">
        <v>13119</v>
      </c>
      <c r="E5925" s="3" t="s">
        <v>1218</v>
      </c>
      <c r="F5925" s="3" t="s">
        <v>2105</v>
      </c>
      <c r="G5925" s="3"/>
      <c r="H5925" s="4"/>
    </row>
    <row r="5926" ht="16.5" customHeight="1" spans="1:8">
      <c r="A5926" s="3">
        <v>5925</v>
      </c>
      <c r="B5926" s="3" t="s">
        <v>13120</v>
      </c>
      <c r="C5926" s="3" t="s">
        <v>1361</v>
      </c>
      <c r="D5926" s="4" t="s">
        <v>13121</v>
      </c>
      <c r="E5926" s="3" t="s">
        <v>1218</v>
      </c>
      <c r="F5926" s="3" t="s">
        <v>2105</v>
      </c>
      <c r="G5926" s="3"/>
      <c r="H5926" s="4"/>
    </row>
    <row r="5927" ht="16.5" customHeight="1" spans="1:8">
      <c r="A5927" s="3">
        <v>5926</v>
      </c>
      <c r="B5927" s="3" t="s">
        <v>13122</v>
      </c>
      <c r="C5927" s="3" t="s">
        <v>1361</v>
      </c>
      <c r="D5927" s="4" t="s">
        <v>13123</v>
      </c>
      <c r="E5927" s="3" t="s">
        <v>1218</v>
      </c>
      <c r="F5927" s="3" t="s">
        <v>2105</v>
      </c>
      <c r="G5927" s="3"/>
      <c r="H5927" s="4"/>
    </row>
    <row r="5928" ht="16.5" customHeight="1" spans="1:8">
      <c r="A5928" s="3">
        <v>5927</v>
      </c>
      <c r="B5928" s="3" t="s">
        <v>13124</v>
      </c>
      <c r="C5928" s="3" t="s">
        <v>1361</v>
      </c>
      <c r="D5928" s="4" t="s">
        <v>13125</v>
      </c>
      <c r="E5928" s="3" t="s">
        <v>1218</v>
      </c>
      <c r="F5928" s="3" t="s">
        <v>2105</v>
      </c>
      <c r="G5928" s="3"/>
      <c r="H5928" s="4"/>
    </row>
    <row r="5929" ht="16.5" customHeight="1" spans="1:8">
      <c r="A5929" s="3">
        <v>5928</v>
      </c>
      <c r="B5929" s="3" t="s">
        <v>13126</v>
      </c>
      <c r="C5929" s="3" t="s">
        <v>1361</v>
      </c>
      <c r="D5929" s="4" t="s">
        <v>13127</v>
      </c>
      <c r="E5929" s="3" t="s">
        <v>1218</v>
      </c>
      <c r="F5929" s="3" t="s">
        <v>2105</v>
      </c>
      <c r="G5929" s="3"/>
      <c r="H5929" s="4"/>
    </row>
    <row r="5930" ht="16.5" customHeight="1" spans="1:8">
      <c r="A5930" s="3">
        <v>5929</v>
      </c>
      <c r="B5930" s="3" t="s">
        <v>13128</v>
      </c>
      <c r="C5930" s="3" t="s">
        <v>1361</v>
      </c>
      <c r="D5930" s="4" t="s">
        <v>13129</v>
      </c>
      <c r="E5930" s="3" t="s">
        <v>1218</v>
      </c>
      <c r="F5930" s="3" t="s">
        <v>2105</v>
      </c>
      <c r="G5930" s="3"/>
      <c r="H5930" s="4"/>
    </row>
    <row r="5931" ht="16.5" customHeight="1" spans="1:8">
      <c r="A5931" s="3">
        <v>5930</v>
      </c>
      <c r="B5931" s="3" t="s">
        <v>13130</v>
      </c>
      <c r="C5931" s="3" t="s">
        <v>1361</v>
      </c>
      <c r="D5931" s="4" t="s">
        <v>13131</v>
      </c>
      <c r="E5931" s="3" t="s">
        <v>1218</v>
      </c>
      <c r="F5931" s="3" t="s">
        <v>2105</v>
      </c>
      <c r="G5931" s="3"/>
      <c r="H5931" s="4"/>
    </row>
    <row r="5932" ht="16.5" customHeight="1" spans="1:8">
      <c r="A5932" s="3">
        <v>5931</v>
      </c>
      <c r="B5932" s="3" t="s">
        <v>13132</v>
      </c>
      <c r="C5932" s="3" t="s">
        <v>1361</v>
      </c>
      <c r="D5932" s="4" t="s">
        <v>13133</v>
      </c>
      <c r="E5932" s="3" t="s">
        <v>1218</v>
      </c>
      <c r="F5932" s="3" t="s">
        <v>2105</v>
      </c>
      <c r="G5932" s="3"/>
      <c r="H5932" s="4"/>
    </row>
    <row r="5933" ht="16.5" customHeight="1" spans="1:8">
      <c r="A5933" s="3">
        <v>5932</v>
      </c>
      <c r="B5933" s="3" t="s">
        <v>13134</v>
      </c>
      <c r="C5933" s="3" t="s">
        <v>1361</v>
      </c>
      <c r="D5933" s="4" t="s">
        <v>13135</v>
      </c>
      <c r="E5933" s="3" t="s">
        <v>1218</v>
      </c>
      <c r="F5933" s="3" t="s">
        <v>2105</v>
      </c>
      <c r="G5933" s="3"/>
      <c r="H5933" s="4"/>
    </row>
    <row r="5934" ht="16.5" customHeight="1" spans="1:8">
      <c r="A5934" s="3">
        <v>5933</v>
      </c>
      <c r="B5934" s="3" t="s">
        <v>13136</v>
      </c>
      <c r="C5934" s="3" t="s">
        <v>1356</v>
      </c>
      <c r="D5934" s="4" t="s">
        <v>13137</v>
      </c>
      <c r="E5934" s="3" t="s">
        <v>1076</v>
      </c>
      <c r="F5934" s="3" t="s">
        <v>4668</v>
      </c>
      <c r="G5934" s="3"/>
      <c r="H5934" s="4" t="s">
        <v>1305</v>
      </c>
    </row>
    <row r="5935" ht="16.5" customHeight="1" spans="1:8">
      <c r="A5935" s="3">
        <v>5934</v>
      </c>
      <c r="B5935" s="3" t="s">
        <v>13138</v>
      </c>
      <c r="C5935" s="3" t="s">
        <v>2163</v>
      </c>
      <c r="D5935" s="4" t="s">
        <v>13139</v>
      </c>
      <c r="E5935" s="3" t="s">
        <v>2726</v>
      </c>
      <c r="F5935" s="3" t="s">
        <v>2105</v>
      </c>
      <c r="G5935" s="3"/>
      <c r="H5935" s="4"/>
    </row>
    <row r="5936" ht="16.5" customHeight="1" spans="1:8">
      <c r="A5936" s="3">
        <v>5935</v>
      </c>
      <c r="B5936" s="3" t="s">
        <v>13140</v>
      </c>
      <c r="C5936" s="3" t="s">
        <v>2163</v>
      </c>
      <c r="D5936" s="4" t="s">
        <v>13141</v>
      </c>
      <c r="E5936" s="3" t="s">
        <v>2726</v>
      </c>
      <c r="F5936" s="3" t="s">
        <v>10943</v>
      </c>
      <c r="G5936" s="3"/>
      <c r="H5936" s="4"/>
    </row>
    <row r="5937" ht="16.5" customHeight="1" spans="1:8">
      <c r="A5937" s="3">
        <v>5936</v>
      </c>
      <c r="B5937" s="3" t="s">
        <v>13142</v>
      </c>
      <c r="C5937" s="3" t="s">
        <v>2163</v>
      </c>
      <c r="D5937" s="4" t="s">
        <v>13143</v>
      </c>
      <c r="E5937" s="3" t="s">
        <v>1076</v>
      </c>
      <c r="F5937" s="3" t="s">
        <v>2105</v>
      </c>
      <c r="G5937" s="3"/>
      <c r="H5937" s="4"/>
    </row>
    <row r="5938" ht="16.5" customHeight="1" spans="1:8">
      <c r="A5938" s="3">
        <v>5937</v>
      </c>
      <c r="B5938" s="3" t="s">
        <v>13144</v>
      </c>
      <c r="C5938" s="3" t="s">
        <v>2163</v>
      </c>
      <c r="D5938" s="4" t="s">
        <v>13145</v>
      </c>
      <c r="E5938" s="3" t="s">
        <v>2726</v>
      </c>
      <c r="F5938" s="3" t="s">
        <v>2105</v>
      </c>
      <c r="G5938" s="3"/>
      <c r="H5938" s="4"/>
    </row>
    <row r="5939" ht="16.5" customHeight="1" spans="1:8">
      <c r="A5939" s="3">
        <v>5938</v>
      </c>
      <c r="B5939" s="3" t="s">
        <v>13146</v>
      </c>
      <c r="C5939" s="3" t="s">
        <v>2163</v>
      </c>
      <c r="D5939" s="4" t="s">
        <v>13147</v>
      </c>
      <c r="E5939" s="3" t="s">
        <v>7007</v>
      </c>
      <c r="F5939" s="3" t="s">
        <v>2105</v>
      </c>
      <c r="G5939" s="3"/>
      <c r="H5939" s="4"/>
    </row>
    <row r="5940" ht="16.5" customHeight="1" spans="1:8">
      <c r="A5940" s="3">
        <v>5939</v>
      </c>
      <c r="B5940" s="3" t="s">
        <v>13148</v>
      </c>
      <c r="C5940" s="3" t="s">
        <v>1356</v>
      </c>
      <c r="D5940" s="4" t="s">
        <v>13149</v>
      </c>
      <c r="E5940" s="3" t="s">
        <v>1076</v>
      </c>
      <c r="F5940" s="3" t="s">
        <v>10259</v>
      </c>
      <c r="G5940" s="3"/>
      <c r="H5940" s="4" t="s">
        <v>3812</v>
      </c>
    </row>
    <row r="5941" ht="16.5" customHeight="1" spans="1:8">
      <c r="A5941" s="3">
        <v>5940</v>
      </c>
      <c r="B5941" s="3" t="s">
        <v>13150</v>
      </c>
      <c r="C5941" s="3" t="s">
        <v>1356</v>
      </c>
      <c r="D5941" s="4" t="s">
        <v>13151</v>
      </c>
      <c r="E5941" s="3" t="s">
        <v>1218</v>
      </c>
      <c r="F5941" s="3" t="s">
        <v>10259</v>
      </c>
      <c r="G5941" s="3"/>
      <c r="H5941" s="4" t="s">
        <v>3812</v>
      </c>
    </row>
    <row r="5942" ht="16.5" customHeight="1" spans="1:8">
      <c r="A5942" s="3">
        <v>5941</v>
      </c>
      <c r="B5942" s="3" t="s">
        <v>13152</v>
      </c>
      <c r="C5942" s="3" t="s">
        <v>2163</v>
      </c>
      <c r="D5942" s="4" t="s">
        <v>13153</v>
      </c>
      <c r="E5942" s="3" t="s">
        <v>1076</v>
      </c>
      <c r="F5942" s="3" t="s">
        <v>6994</v>
      </c>
      <c r="G5942" s="3" t="s">
        <v>321</v>
      </c>
      <c r="H5942" s="4" t="s">
        <v>1305</v>
      </c>
    </row>
    <row r="5943" ht="16.5" customHeight="1" spans="1:8">
      <c r="A5943" s="3">
        <v>5942</v>
      </c>
      <c r="B5943" s="3" t="s">
        <v>13154</v>
      </c>
      <c r="C5943" s="3" t="s">
        <v>1361</v>
      </c>
      <c r="D5943" s="4" t="s">
        <v>13155</v>
      </c>
      <c r="E5943" s="3" t="s">
        <v>1218</v>
      </c>
      <c r="F5943" s="3" t="s">
        <v>2105</v>
      </c>
      <c r="G5943" s="3"/>
      <c r="H5943" s="4"/>
    </row>
    <row r="5944" ht="16.5" customHeight="1" spans="1:8">
      <c r="A5944" s="3">
        <v>5943</v>
      </c>
      <c r="B5944" s="3" t="s">
        <v>13156</v>
      </c>
      <c r="C5944" s="3" t="s">
        <v>1361</v>
      </c>
      <c r="D5944" s="4" t="s">
        <v>13157</v>
      </c>
      <c r="E5944" s="3" t="s">
        <v>1218</v>
      </c>
      <c r="F5944" s="3" t="s">
        <v>2105</v>
      </c>
      <c r="G5944" s="3"/>
      <c r="H5944" s="4"/>
    </row>
    <row r="5945" ht="16.5" customHeight="1" spans="1:8">
      <c r="A5945" s="3">
        <v>5944</v>
      </c>
      <c r="B5945" s="3" t="s">
        <v>13158</v>
      </c>
      <c r="C5945" s="3" t="s">
        <v>1361</v>
      </c>
      <c r="D5945" s="4" t="s">
        <v>13159</v>
      </c>
      <c r="E5945" s="3" t="s">
        <v>1218</v>
      </c>
      <c r="F5945" s="3" t="s">
        <v>2105</v>
      </c>
      <c r="G5945" s="3"/>
      <c r="H5945" s="4"/>
    </row>
    <row r="5946" ht="16.5" customHeight="1" spans="1:8">
      <c r="A5946" s="3">
        <v>5945</v>
      </c>
      <c r="B5946" s="3" t="s">
        <v>13160</v>
      </c>
      <c r="C5946" s="3" t="s">
        <v>1361</v>
      </c>
      <c r="D5946" s="4" t="s">
        <v>13161</v>
      </c>
      <c r="E5946" s="3" t="s">
        <v>1218</v>
      </c>
      <c r="F5946" s="3" t="s">
        <v>2105</v>
      </c>
      <c r="G5946" s="3"/>
      <c r="H5946" s="4"/>
    </row>
    <row r="5947" ht="16.5" customHeight="1" spans="1:8">
      <c r="A5947" s="3">
        <v>5946</v>
      </c>
      <c r="B5947" s="3" t="s">
        <v>13162</v>
      </c>
      <c r="C5947" s="3" t="s">
        <v>1361</v>
      </c>
      <c r="D5947" s="4" t="s">
        <v>13163</v>
      </c>
      <c r="E5947" s="3" t="s">
        <v>1218</v>
      </c>
      <c r="F5947" s="3" t="s">
        <v>2105</v>
      </c>
      <c r="G5947" s="3"/>
      <c r="H5947" s="4"/>
    </row>
    <row r="5948" ht="16.5" customHeight="1" spans="1:8">
      <c r="A5948" s="3">
        <v>5947</v>
      </c>
      <c r="B5948" s="3" t="s">
        <v>13164</v>
      </c>
      <c r="C5948" s="3" t="s">
        <v>1361</v>
      </c>
      <c r="D5948" s="4" t="s">
        <v>13165</v>
      </c>
      <c r="E5948" s="3" t="s">
        <v>1218</v>
      </c>
      <c r="F5948" s="3" t="s">
        <v>2105</v>
      </c>
      <c r="G5948" s="3"/>
      <c r="H5948" s="4"/>
    </row>
    <row r="5949" ht="16.5" customHeight="1" spans="1:8">
      <c r="A5949" s="3">
        <v>5948</v>
      </c>
      <c r="B5949" s="3" t="s">
        <v>13166</v>
      </c>
      <c r="C5949" s="3" t="s">
        <v>1361</v>
      </c>
      <c r="D5949" s="4" t="s">
        <v>13167</v>
      </c>
      <c r="E5949" s="3" t="s">
        <v>1218</v>
      </c>
      <c r="F5949" s="3" t="s">
        <v>2105</v>
      </c>
      <c r="G5949" s="3"/>
      <c r="H5949" s="4"/>
    </row>
    <row r="5950" ht="16.5" customHeight="1" spans="1:8">
      <c r="A5950" s="3">
        <v>5949</v>
      </c>
      <c r="B5950" s="3" t="s">
        <v>13168</v>
      </c>
      <c r="C5950" s="3" t="s">
        <v>1361</v>
      </c>
      <c r="D5950" s="4" t="s">
        <v>13169</v>
      </c>
      <c r="E5950" s="3" t="s">
        <v>1218</v>
      </c>
      <c r="F5950" s="3" t="s">
        <v>2105</v>
      </c>
      <c r="G5950" s="3"/>
      <c r="H5950" s="4"/>
    </row>
    <row r="5951" ht="16.5" customHeight="1" spans="1:8">
      <c r="A5951" s="3">
        <v>5950</v>
      </c>
      <c r="B5951" s="3" t="s">
        <v>13170</v>
      </c>
      <c r="C5951" s="3" t="s">
        <v>1361</v>
      </c>
      <c r="D5951" s="4" t="s">
        <v>13171</v>
      </c>
      <c r="E5951" s="3" t="s">
        <v>1218</v>
      </c>
      <c r="F5951" s="3" t="s">
        <v>2105</v>
      </c>
      <c r="G5951" s="3"/>
      <c r="H5951" s="4"/>
    </row>
    <row r="5952" ht="16.5" customHeight="1" spans="1:8">
      <c r="A5952" s="3">
        <v>5951</v>
      </c>
      <c r="B5952" s="3" t="s">
        <v>13172</v>
      </c>
      <c r="C5952" s="3" t="s">
        <v>1361</v>
      </c>
      <c r="D5952" s="4" t="s">
        <v>13173</v>
      </c>
      <c r="E5952" s="3" t="s">
        <v>1218</v>
      </c>
      <c r="F5952" s="3" t="s">
        <v>2105</v>
      </c>
      <c r="G5952" s="3"/>
      <c r="H5952" s="4"/>
    </row>
    <row r="5953" ht="16.5" customHeight="1" spans="1:8">
      <c r="A5953" s="3">
        <v>5952</v>
      </c>
      <c r="B5953" s="3" t="s">
        <v>13174</v>
      </c>
      <c r="C5953" s="3" t="s">
        <v>1361</v>
      </c>
      <c r="D5953" s="4" t="s">
        <v>13175</v>
      </c>
      <c r="E5953" s="3" t="s">
        <v>1218</v>
      </c>
      <c r="F5953" s="3" t="s">
        <v>2105</v>
      </c>
      <c r="G5953" s="3"/>
      <c r="H5953" s="4"/>
    </row>
    <row r="5954" ht="16.5" customHeight="1" spans="1:8">
      <c r="A5954" s="3">
        <v>5953</v>
      </c>
      <c r="B5954" s="3" t="s">
        <v>13176</v>
      </c>
      <c r="C5954" s="3" t="s">
        <v>1361</v>
      </c>
      <c r="D5954" s="4" t="s">
        <v>13177</v>
      </c>
      <c r="E5954" s="3" t="s">
        <v>1218</v>
      </c>
      <c r="F5954" s="3" t="s">
        <v>2105</v>
      </c>
      <c r="G5954" s="3"/>
      <c r="H5954" s="4"/>
    </row>
    <row r="5955" ht="16.5" customHeight="1" spans="1:8">
      <c r="A5955" s="3">
        <v>5954</v>
      </c>
      <c r="B5955" s="3" t="s">
        <v>13178</v>
      </c>
      <c r="C5955" s="3" t="s">
        <v>1361</v>
      </c>
      <c r="D5955" s="4" t="s">
        <v>13179</v>
      </c>
      <c r="E5955" s="3" t="s">
        <v>1218</v>
      </c>
      <c r="F5955" s="3" t="s">
        <v>2105</v>
      </c>
      <c r="G5955" s="3"/>
      <c r="H5955" s="4"/>
    </row>
    <row r="5956" ht="16.5" customHeight="1" spans="1:8">
      <c r="A5956" s="3">
        <v>5955</v>
      </c>
      <c r="B5956" s="3" t="s">
        <v>13180</v>
      </c>
      <c r="C5956" s="3" t="s">
        <v>1361</v>
      </c>
      <c r="D5956" s="4" t="s">
        <v>13181</v>
      </c>
      <c r="E5956" s="3" t="s">
        <v>1218</v>
      </c>
      <c r="F5956" s="3" t="s">
        <v>2105</v>
      </c>
      <c r="G5956" s="3"/>
      <c r="H5956" s="4"/>
    </row>
    <row r="5957" ht="16.5" customHeight="1" spans="1:8">
      <c r="A5957" s="3">
        <v>5956</v>
      </c>
      <c r="B5957" s="3" t="s">
        <v>13182</v>
      </c>
      <c r="C5957" s="3" t="s">
        <v>1361</v>
      </c>
      <c r="D5957" s="4" t="s">
        <v>13183</v>
      </c>
      <c r="E5957" s="3" t="s">
        <v>1218</v>
      </c>
      <c r="F5957" s="3" t="s">
        <v>2105</v>
      </c>
      <c r="G5957" s="3"/>
      <c r="H5957" s="4"/>
    </row>
    <row r="5958" ht="16.5" customHeight="1" spans="1:8">
      <c r="A5958" s="3">
        <v>5957</v>
      </c>
      <c r="B5958" s="3" t="s">
        <v>13184</v>
      </c>
      <c r="C5958" s="3" t="s">
        <v>1361</v>
      </c>
      <c r="D5958" s="4" t="s">
        <v>13185</v>
      </c>
      <c r="E5958" s="3" t="s">
        <v>1218</v>
      </c>
      <c r="F5958" s="3" t="s">
        <v>2105</v>
      </c>
      <c r="G5958" s="3"/>
      <c r="H5958" s="4"/>
    </row>
    <row r="5959" ht="16.5" customHeight="1" spans="1:8">
      <c r="A5959" s="3">
        <v>5958</v>
      </c>
      <c r="B5959" s="3" t="s">
        <v>13186</v>
      </c>
      <c r="C5959" s="3" t="s">
        <v>1361</v>
      </c>
      <c r="D5959" s="4" t="s">
        <v>13187</v>
      </c>
      <c r="E5959" s="3" t="s">
        <v>1218</v>
      </c>
      <c r="F5959" s="3" t="s">
        <v>2105</v>
      </c>
      <c r="G5959" s="3"/>
      <c r="H5959" s="4"/>
    </row>
    <row r="5960" ht="16.5" customHeight="1" spans="1:8">
      <c r="A5960" s="3">
        <v>5959</v>
      </c>
      <c r="B5960" s="3" t="s">
        <v>13188</v>
      </c>
      <c r="C5960" s="3" t="s">
        <v>1361</v>
      </c>
      <c r="D5960" s="4" t="s">
        <v>13189</v>
      </c>
      <c r="E5960" s="3" t="s">
        <v>1218</v>
      </c>
      <c r="F5960" s="3" t="s">
        <v>2105</v>
      </c>
      <c r="G5960" s="3"/>
      <c r="H5960" s="4"/>
    </row>
    <row r="5961" ht="16.5" customHeight="1" spans="1:8">
      <c r="A5961" s="3">
        <v>5960</v>
      </c>
      <c r="B5961" s="3" t="s">
        <v>13190</v>
      </c>
      <c r="C5961" s="3" t="s">
        <v>1361</v>
      </c>
      <c r="D5961" s="4" t="s">
        <v>13191</v>
      </c>
      <c r="E5961" s="3" t="s">
        <v>1218</v>
      </c>
      <c r="F5961" s="3" t="s">
        <v>2105</v>
      </c>
      <c r="G5961" s="3"/>
      <c r="H5961" s="4"/>
    </row>
    <row r="5962" ht="16.5" customHeight="1" spans="1:8">
      <c r="A5962" s="3">
        <v>5961</v>
      </c>
      <c r="B5962" s="3" t="s">
        <v>13192</v>
      </c>
      <c r="C5962" s="3" t="s">
        <v>1361</v>
      </c>
      <c r="D5962" s="4" t="s">
        <v>13193</v>
      </c>
      <c r="E5962" s="3" t="s">
        <v>1218</v>
      </c>
      <c r="F5962" s="3" t="s">
        <v>2105</v>
      </c>
      <c r="G5962" s="3"/>
      <c r="H5962" s="4"/>
    </row>
    <row r="5963" ht="16.5" customHeight="1" spans="1:8">
      <c r="A5963" s="3">
        <v>5962</v>
      </c>
      <c r="B5963" s="3" t="s">
        <v>13194</v>
      </c>
      <c r="C5963" s="3" t="s">
        <v>1361</v>
      </c>
      <c r="D5963" s="4" t="s">
        <v>13195</v>
      </c>
      <c r="E5963" s="3" t="s">
        <v>1218</v>
      </c>
      <c r="F5963" s="3" t="s">
        <v>2105</v>
      </c>
      <c r="G5963" s="3"/>
      <c r="H5963" s="4"/>
    </row>
    <row r="5964" ht="16.5" customHeight="1" spans="1:8">
      <c r="A5964" s="3">
        <v>5963</v>
      </c>
      <c r="B5964" s="3" t="s">
        <v>13196</v>
      </c>
      <c r="C5964" s="3" t="s">
        <v>1361</v>
      </c>
      <c r="D5964" s="4" t="s">
        <v>13197</v>
      </c>
      <c r="E5964" s="3" t="s">
        <v>1218</v>
      </c>
      <c r="F5964" s="3" t="s">
        <v>2105</v>
      </c>
      <c r="G5964" s="3"/>
      <c r="H5964" s="4"/>
    </row>
    <row r="5965" ht="16.5" customHeight="1" spans="1:8">
      <c r="A5965" s="3">
        <v>5964</v>
      </c>
      <c r="B5965" s="3" t="s">
        <v>13198</v>
      </c>
      <c r="C5965" s="3" t="s">
        <v>1361</v>
      </c>
      <c r="D5965" s="4" t="s">
        <v>13199</v>
      </c>
      <c r="E5965" s="3" t="s">
        <v>1218</v>
      </c>
      <c r="F5965" s="3" t="s">
        <v>2105</v>
      </c>
      <c r="G5965" s="3"/>
      <c r="H5965" s="4"/>
    </row>
    <row r="5966" ht="16.5" customHeight="1" spans="1:8">
      <c r="A5966" s="3">
        <v>5965</v>
      </c>
      <c r="B5966" s="3" t="s">
        <v>13200</v>
      </c>
      <c r="C5966" s="3" t="s">
        <v>1361</v>
      </c>
      <c r="D5966" s="4" t="s">
        <v>13201</v>
      </c>
      <c r="E5966" s="3" t="s">
        <v>1218</v>
      </c>
      <c r="F5966" s="3" t="s">
        <v>2105</v>
      </c>
      <c r="G5966" s="3"/>
      <c r="H5966" s="4"/>
    </row>
    <row r="5967" ht="16.5" customHeight="1" spans="1:8">
      <c r="A5967" s="3">
        <v>5966</v>
      </c>
      <c r="B5967" s="3" t="s">
        <v>13202</v>
      </c>
      <c r="C5967" s="3" t="s">
        <v>1361</v>
      </c>
      <c r="D5967" s="4" t="s">
        <v>13203</v>
      </c>
      <c r="E5967" s="3" t="s">
        <v>1218</v>
      </c>
      <c r="F5967" s="3" t="s">
        <v>2105</v>
      </c>
      <c r="G5967" s="3"/>
      <c r="H5967" s="4"/>
    </row>
    <row r="5968" ht="16.5" customHeight="1" spans="1:8">
      <c r="A5968" s="3">
        <v>5967</v>
      </c>
      <c r="B5968" s="3" t="s">
        <v>13204</v>
      </c>
      <c r="C5968" s="3" t="s">
        <v>1361</v>
      </c>
      <c r="D5968" s="4" t="s">
        <v>13205</v>
      </c>
      <c r="E5968" s="3" t="s">
        <v>1218</v>
      </c>
      <c r="F5968" s="3" t="s">
        <v>2105</v>
      </c>
      <c r="G5968" s="3"/>
      <c r="H5968" s="4"/>
    </row>
    <row r="5969" ht="16.5" customHeight="1" spans="1:8">
      <c r="A5969" s="3">
        <v>5968</v>
      </c>
      <c r="B5969" s="3" t="s">
        <v>13206</v>
      </c>
      <c r="C5969" s="3" t="s">
        <v>1361</v>
      </c>
      <c r="D5969" s="4" t="s">
        <v>13207</v>
      </c>
      <c r="E5969" s="3" t="s">
        <v>1218</v>
      </c>
      <c r="F5969" s="3" t="s">
        <v>2105</v>
      </c>
      <c r="G5969" s="3"/>
      <c r="H5969" s="4"/>
    </row>
    <row r="5970" ht="16.5" customHeight="1" spans="1:8">
      <c r="A5970" s="3">
        <v>5969</v>
      </c>
      <c r="B5970" s="3" t="s">
        <v>13208</v>
      </c>
      <c r="C5970" s="3" t="s">
        <v>1361</v>
      </c>
      <c r="D5970" s="4" t="s">
        <v>13209</v>
      </c>
      <c r="E5970" s="3" t="s">
        <v>1218</v>
      </c>
      <c r="F5970" s="3" t="s">
        <v>2105</v>
      </c>
      <c r="G5970" s="3"/>
      <c r="H5970" s="4"/>
    </row>
    <row r="5971" ht="16.5" customHeight="1" spans="1:8">
      <c r="A5971" s="3">
        <v>5970</v>
      </c>
      <c r="B5971" s="3" t="s">
        <v>13210</v>
      </c>
      <c r="C5971" s="3" t="s">
        <v>1361</v>
      </c>
      <c r="D5971" s="4" t="s">
        <v>13211</v>
      </c>
      <c r="E5971" s="3" t="s">
        <v>1218</v>
      </c>
      <c r="F5971" s="3" t="s">
        <v>2105</v>
      </c>
      <c r="G5971" s="3"/>
      <c r="H5971" s="4"/>
    </row>
    <row r="5972" ht="16.5" customHeight="1" spans="1:8">
      <c r="A5972" s="3">
        <v>5971</v>
      </c>
      <c r="B5972" s="3" t="s">
        <v>13212</v>
      </c>
      <c r="C5972" s="3" t="s">
        <v>1361</v>
      </c>
      <c r="D5972" s="4" t="s">
        <v>13213</v>
      </c>
      <c r="E5972" s="3" t="s">
        <v>1218</v>
      </c>
      <c r="F5972" s="3" t="s">
        <v>2105</v>
      </c>
      <c r="G5972" s="3"/>
      <c r="H5972" s="4"/>
    </row>
    <row r="5973" ht="16.5" customHeight="1" spans="1:8">
      <c r="A5973" s="3">
        <v>5972</v>
      </c>
      <c r="B5973" s="3" t="s">
        <v>13214</v>
      </c>
      <c r="C5973" s="3" t="s">
        <v>1361</v>
      </c>
      <c r="D5973" s="4" t="s">
        <v>13215</v>
      </c>
      <c r="E5973" s="3" t="s">
        <v>1218</v>
      </c>
      <c r="F5973" s="3" t="s">
        <v>2105</v>
      </c>
      <c r="G5973" s="3"/>
      <c r="H5973" s="4"/>
    </row>
    <row r="5974" ht="16.5" customHeight="1" spans="1:8">
      <c r="A5974" s="3">
        <v>5973</v>
      </c>
      <c r="B5974" s="3" t="s">
        <v>13216</v>
      </c>
      <c r="C5974" s="3" t="s">
        <v>1361</v>
      </c>
      <c r="D5974" s="4" t="s">
        <v>13217</v>
      </c>
      <c r="E5974" s="3" t="s">
        <v>1218</v>
      </c>
      <c r="F5974" s="3" t="s">
        <v>2105</v>
      </c>
      <c r="G5974" s="3"/>
      <c r="H5974" s="4"/>
    </row>
    <row r="5975" ht="16.5" customHeight="1" spans="1:8">
      <c r="A5975" s="3">
        <v>5974</v>
      </c>
      <c r="B5975" s="3" t="s">
        <v>13218</v>
      </c>
      <c r="C5975" s="3" t="s">
        <v>1361</v>
      </c>
      <c r="D5975" s="4" t="s">
        <v>13219</v>
      </c>
      <c r="E5975" s="3" t="s">
        <v>1218</v>
      </c>
      <c r="F5975" s="3" t="s">
        <v>2105</v>
      </c>
      <c r="G5975" s="3"/>
      <c r="H5975" s="4"/>
    </row>
    <row r="5976" ht="16.5" customHeight="1" spans="1:8">
      <c r="A5976" s="3">
        <v>5975</v>
      </c>
      <c r="B5976" s="3" t="s">
        <v>13220</v>
      </c>
      <c r="C5976" s="3" t="s">
        <v>1361</v>
      </c>
      <c r="D5976" s="4" t="s">
        <v>13221</v>
      </c>
      <c r="E5976" s="3" t="s">
        <v>1218</v>
      </c>
      <c r="F5976" s="3" t="s">
        <v>2105</v>
      </c>
      <c r="G5976" s="3"/>
      <c r="H5976" s="4"/>
    </row>
    <row r="5977" ht="16.5" customHeight="1" spans="1:8">
      <c r="A5977" s="3">
        <v>5976</v>
      </c>
      <c r="B5977" s="3" t="s">
        <v>13222</v>
      </c>
      <c r="C5977" s="3" t="s">
        <v>1361</v>
      </c>
      <c r="D5977" s="4" t="s">
        <v>13223</v>
      </c>
      <c r="E5977" s="3" t="s">
        <v>1218</v>
      </c>
      <c r="F5977" s="3" t="s">
        <v>2105</v>
      </c>
      <c r="G5977" s="3"/>
      <c r="H5977" s="4"/>
    </row>
    <row r="5978" ht="16.5" customHeight="1" spans="1:8">
      <c r="A5978" s="3">
        <v>5977</v>
      </c>
      <c r="B5978" s="3" t="s">
        <v>13224</v>
      </c>
      <c r="C5978" s="3" t="s">
        <v>1361</v>
      </c>
      <c r="D5978" s="4" t="s">
        <v>13225</v>
      </c>
      <c r="E5978" s="3" t="s">
        <v>1218</v>
      </c>
      <c r="F5978" s="3" t="s">
        <v>2105</v>
      </c>
      <c r="G5978" s="3"/>
      <c r="H5978" s="4"/>
    </row>
    <row r="5979" ht="16.5" customHeight="1" spans="1:8">
      <c r="A5979" s="3">
        <v>5978</v>
      </c>
      <c r="B5979" s="3" t="s">
        <v>13226</v>
      </c>
      <c r="C5979" s="3" t="s">
        <v>1361</v>
      </c>
      <c r="D5979" s="4" t="s">
        <v>13227</v>
      </c>
      <c r="E5979" s="3" t="s">
        <v>1218</v>
      </c>
      <c r="F5979" s="3" t="s">
        <v>2105</v>
      </c>
      <c r="G5979" s="3"/>
      <c r="H5979" s="4"/>
    </row>
    <row r="5980" ht="16.5" customHeight="1" spans="1:8">
      <c r="A5980" s="3">
        <v>5979</v>
      </c>
      <c r="B5980" s="3" t="s">
        <v>13228</v>
      </c>
      <c r="C5980" s="3" t="s">
        <v>1361</v>
      </c>
      <c r="D5980" s="4" t="s">
        <v>13229</v>
      </c>
      <c r="E5980" s="3" t="s">
        <v>1218</v>
      </c>
      <c r="F5980" s="3" t="s">
        <v>2105</v>
      </c>
      <c r="G5980" s="3"/>
      <c r="H5980" s="4"/>
    </row>
    <row r="5981" ht="16.5" customHeight="1" spans="1:8">
      <c r="A5981" s="3">
        <v>5980</v>
      </c>
      <c r="B5981" s="3" t="s">
        <v>13230</v>
      </c>
      <c r="C5981" s="3" t="s">
        <v>1361</v>
      </c>
      <c r="D5981" s="4" t="s">
        <v>13231</v>
      </c>
      <c r="E5981" s="3" t="s">
        <v>1218</v>
      </c>
      <c r="F5981" s="3" t="s">
        <v>2105</v>
      </c>
      <c r="G5981" s="3"/>
      <c r="H5981" s="4"/>
    </row>
    <row r="5982" ht="16.5" customHeight="1" spans="1:8">
      <c r="A5982" s="3">
        <v>5981</v>
      </c>
      <c r="B5982" s="3" t="s">
        <v>13232</v>
      </c>
      <c r="C5982" s="3" t="s">
        <v>1361</v>
      </c>
      <c r="D5982" s="4" t="s">
        <v>13233</v>
      </c>
      <c r="E5982" s="3" t="s">
        <v>1218</v>
      </c>
      <c r="F5982" s="3" t="s">
        <v>2105</v>
      </c>
      <c r="G5982" s="3"/>
      <c r="H5982" s="4"/>
    </row>
    <row r="5983" ht="16.5" customHeight="1" spans="1:8">
      <c r="A5983" s="3">
        <v>5982</v>
      </c>
      <c r="B5983" s="3" t="s">
        <v>13234</v>
      </c>
      <c r="C5983" s="3" t="s">
        <v>1361</v>
      </c>
      <c r="D5983" s="4" t="s">
        <v>13235</v>
      </c>
      <c r="E5983" s="3" t="s">
        <v>1218</v>
      </c>
      <c r="F5983" s="3" t="s">
        <v>2105</v>
      </c>
      <c r="G5983" s="3"/>
      <c r="H5983" s="4"/>
    </row>
    <row r="5984" ht="16.5" customHeight="1" spans="1:8">
      <c r="A5984" s="3">
        <v>5983</v>
      </c>
      <c r="B5984" s="3" t="s">
        <v>13236</v>
      </c>
      <c r="C5984" s="3" t="s">
        <v>1361</v>
      </c>
      <c r="D5984" s="4" t="s">
        <v>13237</v>
      </c>
      <c r="E5984" s="3" t="s">
        <v>1218</v>
      </c>
      <c r="F5984" s="3" t="s">
        <v>2105</v>
      </c>
      <c r="G5984" s="3"/>
      <c r="H5984" s="4"/>
    </row>
    <row r="5985" ht="16.5" customHeight="1" spans="1:8">
      <c r="A5985" s="3">
        <v>5984</v>
      </c>
      <c r="B5985" s="3" t="s">
        <v>13238</v>
      </c>
      <c r="C5985" s="3" t="s">
        <v>1361</v>
      </c>
      <c r="D5985" s="4" t="s">
        <v>13239</v>
      </c>
      <c r="E5985" s="3" t="s">
        <v>1218</v>
      </c>
      <c r="F5985" s="3" t="s">
        <v>2105</v>
      </c>
      <c r="G5985" s="3"/>
      <c r="H5985" s="4"/>
    </row>
    <row r="5986" ht="16.5" customHeight="1" spans="1:8">
      <c r="A5986" s="3">
        <v>5985</v>
      </c>
      <c r="B5986" s="3" t="s">
        <v>13240</v>
      </c>
      <c r="C5986" s="3" t="s">
        <v>1361</v>
      </c>
      <c r="D5986" s="4" t="s">
        <v>13241</v>
      </c>
      <c r="E5986" s="3" t="s">
        <v>1218</v>
      </c>
      <c r="F5986" s="3" t="s">
        <v>2105</v>
      </c>
      <c r="G5986" s="3"/>
      <c r="H5986" s="4"/>
    </row>
    <row r="5987" ht="16.5" customHeight="1" spans="1:8">
      <c r="A5987" s="3">
        <v>5986</v>
      </c>
      <c r="B5987" s="3" t="s">
        <v>13242</v>
      </c>
      <c r="C5987" s="3" t="s">
        <v>1361</v>
      </c>
      <c r="D5987" s="4" t="s">
        <v>13243</v>
      </c>
      <c r="E5987" s="3" t="s">
        <v>1218</v>
      </c>
      <c r="F5987" s="3" t="s">
        <v>2105</v>
      </c>
      <c r="G5987" s="3"/>
      <c r="H5987" s="4"/>
    </row>
    <row r="5988" ht="16.5" customHeight="1" spans="1:8">
      <c r="A5988" s="3">
        <v>5987</v>
      </c>
      <c r="B5988" s="3" t="s">
        <v>13244</v>
      </c>
      <c r="C5988" s="3" t="s">
        <v>1361</v>
      </c>
      <c r="D5988" s="4" t="s">
        <v>13245</v>
      </c>
      <c r="E5988" s="3" t="s">
        <v>1218</v>
      </c>
      <c r="F5988" s="3" t="s">
        <v>2105</v>
      </c>
      <c r="G5988" s="3"/>
      <c r="H5988" s="4"/>
    </row>
    <row r="5989" ht="16.5" customHeight="1" spans="1:8">
      <c r="A5989" s="3">
        <v>5988</v>
      </c>
      <c r="B5989" s="3" t="s">
        <v>13246</v>
      </c>
      <c r="C5989" s="3" t="s">
        <v>1361</v>
      </c>
      <c r="D5989" s="4" t="s">
        <v>13247</v>
      </c>
      <c r="E5989" s="3" t="s">
        <v>1218</v>
      </c>
      <c r="F5989" s="3" t="s">
        <v>2105</v>
      </c>
      <c r="G5989" s="3"/>
      <c r="H5989" s="4"/>
    </row>
    <row r="5990" ht="16.5" customHeight="1" spans="1:8">
      <c r="A5990" s="3">
        <v>5989</v>
      </c>
      <c r="B5990" s="3" t="s">
        <v>13248</v>
      </c>
      <c r="C5990" s="3" t="s">
        <v>1361</v>
      </c>
      <c r="D5990" s="4" t="s">
        <v>13249</v>
      </c>
      <c r="E5990" s="3" t="s">
        <v>1218</v>
      </c>
      <c r="F5990" s="3" t="s">
        <v>2105</v>
      </c>
      <c r="G5990" s="3"/>
      <c r="H5990" s="4"/>
    </row>
    <row r="5991" ht="16.5" customHeight="1" spans="1:8">
      <c r="A5991" s="3">
        <v>5990</v>
      </c>
      <c r="B5991" s="3" t="s">
        <v>13250</v>
      </c>
      <c r="C5991" s="3" t="s">
        <v>1361</v>
      </c>
      <c r="D5991" s="4" t="s">
        <v>13251</v>
      </c>
      <c r="E5991" s="3" t="s">
        <v>1218</v>
      </c>
      <c r="F5991" s="3" t="s">
        <v>2105</v>
      </c>
      <c r="G5991" s="3"/>
      <c r="H5991" s="4"/>
    </row>
    <row r="5992" ht="16.5" customHeight="1" spans="1:8">
      <c r="A5992" s="3">
        <v>5991</v>
      </c>
      <c r="B5992" s="3" t="s">
        <v>13252</v>
      </c>
      <c r="C5992" s="3" t="s">
        <v>1361</v>
      </c>
      <c r="D5992" s="4" t="s">
        <v>13253</v>
      </c>
      <c r="E5992" s="3" t="s">
        <v>1218</v>
      </c>
      <c r="F5992" s="3" t="s">
        <v>2105</v>
      </c>
      <c r="G5992" s="3"/>
      <c r="H5992" s="4"/>
    </row>
    <row r="5993" ht="16.5" customHeight="1" spans="1:8">
      <c r="A5993" s="3">
        <v>5992</v>
      </c>
      <c r="B5993" s="3" t="s">
        <v>13254</v>
      </c>
      <c r="C5993" s="3" t="s">
        <v>1361</v>
      </c>
      <c r="D5993" s="4" t="s">
        <v>13255</v>
      </c>
      <c r="E5993" s="3" t="s">
        <v>1218</v>
      </c>
      <c r="F5993" s="3" t="s">
        <v>2105</v>
      </c>
      <c r="G5993" s="3"/>
      <c r="H5993" s="4"/>
    </row>
    <row r="5994" ht="16.5" customHeight="1" spans="1:8">
      <c r="A5994" s="3">
        <v>5993</v>
      </c>
      <c r="B5994" s="3" t="s">
        <v>13256</v>
      </c>
      <c r="C5994" s="3" t="s">
        <v>1361</v>
      </c>
      <c r="D5994" s="4" t="s">
        <v>13257</v>
      </c>
      <c r="E5994" s="3" t="s">
        <v>1218</v>
      </c>
      <c r="F5994" s="3" t="s">
        <v>2105</v>
      </c>
      <c r="G5994" s="3"/>
      <c r="H5994" s="4"/>
    </row>
    <row r="5995" ht="16.5" customHeight="1" spans="1:8">
      <c r="A5995" s="3">
        <v>5994</v>
      </c>
      <c r="B5995" s="3" t="s">
        <v>13258</v>
      </c>
      <c r="C5995" s="3" t="s">
        <v>1361</v>
      </c>
      <c r="D5995" s="4" t="s">
        <v>13259</v>
      </c>
      <c r="E5995" s="3" t="s">
        <v>1218</v>
      </c>
      <c r="F5995" s="3" t="s">
        <v>2105</v>
      </c>
      <c r="G5995" s="3"/>
      <c r="H5995" s="4"/>
    </row>
    <row r="5996" ht="16.5" customHeight="1" spans="1:8">
      <c r="A5996" s="3">
        <v>5995</v>
      </c>
      <c r="B5996" s="3" t="s">
        <v>13260</v>
      </c>
      <c r="C5996" s="3" t="s">
        <v>1361</v>
      </c>
      <c r="D5996" s="4" t="s">
        <v>13261</v>
      </c>
      <c r="E5996" s="3" t="s">
        <v>1218</v>
      </c>
      <c r="F5996" s="3" t="s">
        <v>2105</v>
      </c>
      <c r="G5996" s="3"/>
      <c r="H5996" s="4"/>
    </row>
    <row r="5997" ht="16.5" customHeight="1" spans="1:8">
      <c r="A5997" s="3">
        <v>5996</v>
      </c>
      <c r="B5997" s="3" t="s">
        <v>13262</v>
      </c>
      <c r="C5997" s="3" t="s">
        <v>1361</v>
      </c>
      <c r="D5997" s="4" t="s">
        <v>13263</v>
      </c>
      <c r="E5997" s="3" t="s">
        <v>1218</v>
      </c>
      <c r="F5997" s="3" t="s">
        <v>2105</v>
      </c>
      <c r="G5997" s="3"/>
      <c r="H5997" s="4"/>
    </row>
    <row r="5998" ht="16.5" customHeight="1" spans="1:8">
      <c r="A5998" s="3">
        <v>5997</v>
      </c>
      <c r="B5998" s="3" t="s">
        <v>13264</v>
      </c>
      <c r="C5998" s="3" t="s">
        <v>1361</v>
      </c>
      <c r="D5998" s="4" t="s">
        <v>13265</v>
      </c>
      <c r="E5998" s="3" t="s">
        <v>1218</v>
      </c>
      <c r="F5998" s="3" t="s">
        <v>2105</v>
      </c>
      <c r="G5998" s="3"/>
      <c r="H5998" s="4"/>
    </row>
    <row r="5999" ht="16.5" customHeight="1" spans="1:8">
      <c r="A5999" s="3">
        <v>5998</v>
      </c>
      <c r="B5999" s="3" t="s">
        <v>13266</v>
      </c>
      <c r="C5999" s="3" t="s">
        <v>1361</v>
      </c>
      <c r="D5999" s="4" t="s">
        <v>13267</v>
      </c>
      <c r="E5999" s="3" t="s">
        <v>1218</v>
      </c>
      <c r="F5999" s="3" t="s">
        <v>2105</v>
      </c>
      <c r="G5999" s="3"/>
      <c r="H5999" s="4"/>
    </row>
    <row r="6000" ht="16.5" customHeight="1" spans="1:8">
      <c r="A6000" s="3">
        <v>5999</v>
      </c>
      <c r="B6000" s="3" t="s">
        <v>13268</v>
      </c>
      <c r="C6000" s="3" t="s">
        <v>1361</v>
      </c>
      <c r="D6000" s="4" t="s">
        <v>13269</v>
      </c>
      <c r="E6000" s="3" t="s">
        <v>1218</v>
      </c>
      <c r="F6000" s="3" t="s">
        <v>2105</v>
      </c>
      <c r="G6000" s="3"/>
      <c r="H6000" s="4"/>
    </row>
    <row r="6001" ht="16.5" customHeight="1" spans="1:8">
      <c r="A6001" s="3">
        <v>6000</v>
      </c>
      <c r="B6001" s="3" t="s">
        <v>13270</v>
      </c>
      <c r="C6001" s="3" t="s">
        <v>1361</v>
      </c>
      <c r="D6001" s="4" t="s">
        <v>13271</v>
      </c>
      <c r="E6001" s="3" t="s">
        <v>1218</v>
      </c>
      <c r="F6001" s="3" t="s">
        <v>2105</v>
      </c>
      <c r="G6001" s="3"/>
      <c r="H6001" s="4"/>
    </row>
    <row r="6002" ht="16.5" customHeight="1" spans="1:8">
      <c r="A6002" s="3">
        <v>6001</v>
      </c>
      <c r="B6002" s="3" t="s">
        <v>13272</v>
      </c>
      <c r="C6002" s="3" t="s">
        <v>1361</v>
      </c>
      <c r="D6002" s="4" t="s">
        <v>13273</v>
      </c>
      <c r="E6002" s="3" t="s">
        <v>1218</v>
      </c>
      <c r="F6002" s="3" t="s">
        <v>2105</v>
      </c>
      <c r="G6002" s="3"/>
      <c r="H6002" s="4"/>
    </row>
    <row r="6003" ht="16.5" customHeight="1" spans="1:8">
      <c r="A6003" s="3">
        <v>6002</v>
      </c>
      <c r="B6003" s="3" t="s">
        <v>13274</v>
      </c>
      <c r="C6003" s="3" t="s">
        <v>1361</v>
      </c>
      <c r="D6003" s="4" t="s">
        <v>13275</v>
      </c>
      <c r="E6003" s="3" t="s">
        <v>1218</v>
      </c>
      <c r="F6003" s="3" t="s">
        <v>2105</v>
      </c>
      <c r="G6003" s="3"/>
      <c r="H6003" s="4"/>
    </row>
    <row r="6004" ht="16.5" customHeight="1" spans="1:8">
      <c r="A6004" s="3">
        <v>6003</v>
      </c>
      <c r="B6004" s="3" t="s">
        <v>13276</v>
      </c>
      <c r="C6004" s="3" t="s">
        <v>1361</v>
      </c>
      <c r="D6004" s="4" t="s">
        <v>13277</v>
      </c>
      <c r="E6004" s="3" t="s">
        <v>1218</v>
      </c>
      <c r="F6004" s="3" t="s">
        <v>2105</v>
      </c>
      <c r="G6004" s="3"/>
      <c r="H6004" s="4"/>
    </row>
    <row r="6005" ht="16.5" customHeight="1" spans="1:8">
      <c r="A6005" s="3">
        <v>6004</v>
      </c>
      <c r="B6005" s="3" t="s">
        <v>13278</v>
      </c>
      <c r="C6005" s="3" t="s">
        <v>1361</v>
      </c>
      <c r="D6005" s="4" t="s">
        <v>13279</v>
      </c>
      <c r="E6005" s="3" t="s">
        <v>1218</v>
      </c>
      <c r="F6005" s="3" t="s">
        <v>2105</v>
      </c>
      <c r="G6005" s="3"/>
      <c r="H6005" s="4"/>
    </row>
    <row r="6006" ht="16.5" customHeight="1" spans="1:8">
      <c r="A6006" s="3">
        <v>6005</v>
      </c>
      <c r="B6006" s="3" t="s">
        <v>13280</v>
      </c>
      <c r="C6006" s="3" t="s">
        <v>1361</v>
      </c>
      <c r="D6006" s="4" t="s">
        <v>13281</v>
      </c>
      <c r="E6006" s="3" t="s">
        <v>1218</v>
      </c>
      <c r="F6006" s="3" t="s">
        <v>2105</v>
      </c>
      <c r="G6006" s="3"/>
      <c r="H6006" s="4"/>
    </row>
    <row r="6007" ht="16.5" customHeight="1" spans="1:8">
      <c r="A6007" s="3">
        <v>6006</v>
      </c>
      <c r="B6007" s="3" t="s">
        <v>13282</v>
      </c>
      <c r="C6007" s="3" t="s">
        <v>1361</v>
      </c>
      <c r="D6007" s="4" t="s">
        <v>13283</v>
      </c>
      <c r="E6007" s="3" t="s">
        <v>1218</v>
      </c>
      <c r="F6007" s="3" t="s">
        <v>2105</v>
      </c>
      <c r="G6007" s="3"/>
      <c r="H6007" s="4"/>
    </row>
    <row r="6008" ht="16.5" customHeight="1" spans="1:8">
      <c r="A6008" s="3">
        <v>6007</v>
      </c>
      <c r="B6008" s="3" t="s">
        <v>13284</v>
      </c>
      <c r="C6008" s="3" t="s">
        <v>1361</v>
      </c>
      <c r="D6008" s="4" t="s">
        <v>13285</v>
      </c>
      <c r="E6008" s="3" t="s">
        <v>1218</v>
      </c>
      <c r="F6008" s="3" t="s">
        <v>2105</v>
      </c>
      <c r="G6008" s="3"/>
      <c r="H6008" s="4"/>
    </row>
    <row r="6009" ht="16.5" customHeight="1" spans="1:8">
      <c r="A6009" s="3">
        <v>6008</v>
      </c>
      <c r="B6009" s="3" t="s">
        <v>13286</v>
      </c>
      <c r="C6009" s="3" t="s">
        <v>1361</v>
      </c>
      <c r="D6009" s="4" t="s">
        <v>13287</v>
      </c>
      <c r="E6009" s="3" t="s">
        <v>1218</v>
      </c>
      <c r="F6009" s="3" t="s">
        <v>2105</v>
      </c>
      <c r="G6009" s="3"/>
      <c r="H6009" s="4"/>
    </row>
    <row r="6010" ht="16.5" customHeight="1" spans="1:8">
      <c r="A6010" s="3">
        <v>6009</v>
      </c>
      <c r="B6010" s="3" t="s">
        <v>13288</v>
      </c>
      <c r="C6010" s="3" t="s">
        <v>1361</v>
      </c>
      <c r="D6010" s="4" t="s">
        <v>13289</v>
      </c>
      <c r="E6010" s="3" t="s">
        <v>1218</v>
      </c>
      <c r="F6010" s="3" t="s">
        <v>2105</v>
      </c>
      <c r="G6010" s="3"/>
      <c r="H6010" s="4"/>
    </row>
    <row r="6011" ht="16.5" customHeight="1" spans="1:8">
      <c r="A6011" s="3">
        <v>6010</v>
      </c>
      <c r="B6011" s="3" t="s">
        <v>13290</v>
      </c>
      <c r="C6011" s="3" t="s">
        <v>1361</v>
      </c>
      <c r="D6011" s="4" t="s">
        <v>13291</v>
      </c>
      <c r="E6011" s="3" t="s">
        <v>1218</v>
      </c>
      <c r="F6011" s="3" t="s">
        <v>2105</v>
      </c>
      <c r="G6011" s="3"/>
      <c r="H6011" s="4"/>
    </row>
    <row r="6012" ht="16.5" customHeight="1" spans="1:8">
      <c r="A6012" s="3">
        <v>6011</v>
      </c>
      <c r="B6012" s="3" t="s">
        <v>13292</v>
      </c>
      <c r="C6012" s="3" t="s">
        <v>1361</v>
      </c>
      <c r="D6012" s="4" t="s">
        <v>13293</v>
      </c>
      <c r="E6012" s="3" t="s">
        <v>1218</v>
      </c>
      <c r="F6012" s="3" t="s">
        <v>2105</v>
      </c>
      <c r="G6012" s="3"/>
      <c r="H6012" s="4"/>
    </row>
    <row r="6013" ht="16.5" customHeight="1" spans="1:8">
      <c r="A6013" s="3">
        <v>6012</v>
      </c>
      <c r="B6013" s="3" t="s">
        <v>13294</v>
      </c>
      <c r="C6013" s="3" t="s">
        <v>1361</v>
      </c>
      <c r="D6013" s="4" t="s">
        <v>13295</v>
      </c>
      <c r="E6013" s="3" t="s">
        <v>1218</v>
      </c>
      <c r="F6013" s="3" t="s">
        <v>2105</v>
      </c>
      <c r="G6013" s="3"/>
      <c r="H6013" s="4"/>
    </row>
    <row r="6014" ht="16.5" customHeight="1" spans="1:8">
      <c r="A6014" s="3">
        <v>6013</v>
      </c>
      <c r="B6014" s="3" t="s">
        <v>13296</v>
      </c>
      <c r="C6014" s="3" t="s">
        <v>1361</v>
      </c>
      <c r="D6014" s="4" t="s">
        <v>13297</v>
      </c>
      <c r="E6014" s="3" t="s">
        <v>1218</v>
      </c>
      <c r="F6014" s="3" t="s">
        <v>2105</v>
      </c>
      <c r="G6014" s="3"/>
      <c r="H6014" s="4"/>
    </row>
    <row r="6015" ht="16.5" customHeight="1" spans="1:8">
      <c r="A6015" s="3">
        <v>6014</v>
      </c>
      <c r="B6015" s="3" t="s">
        <v>13298</v>
      </c>
      <c r="C6015" s="3" t="s">
        <v>1361</v>
      </c>
      <c r="D6015" s="4" t="s">
        <v>13299</v>
      </c>
      <c r="E6015" s="3" t="s">
        <v>1218</v>
      </c>
      <c r="F6015" s="3" t="s">
        <v>2105</v>
      </c>
      <c r="G6015" s="3"/>
      <c r="H6015" s="4"/>
    </row>
    <row r="6016" ht="16.5" customHeight="1" spans="1:8">
      <c r="A6016" s="3">
        <v>6015</v>
      </c>
      <c r="B6016" s="3" t="s">
        <v>13300</v>
      </c>
      <c r="C6016" s="3" t="s">
        <v>1361</v>
      </c>
      <c r="D6016" s="4" t="s">
        <v>13301</v>
      </c>
      <c r="E6016" s="3" t="s">
        <v>1218</v>
      </c>
      <c r="F6016" s="3" t="s">
        <v>2105</v>
      </c>
      <c r="G6016" s="3"/>
      <c r="H6016" s="4"/>
    </row>
    <row r="6017" ht="16.5" customHeight="1" spans="1:8">
      <c r="A6017" s="3">
        <v>6016</v>
      </c>
      <c r="B6017" s="3" t="s">
        <v>13302</v>
      </c>
      <c r="C6017" s="3" t="s">
        <v>1361</v>
      </c>
      <c r="D6017" s="4" t="s">
        <v>13303</v>
      </c>
      <c r="E6017" s="3" t="s">
        <v>1218</v>
      </c>
      <c r="F6017" s="3" t="s">
        <v>2105</v>
      </c>
      <c r="G6017" s="3"/>
      <c r="H6017" s="4"/>
    </row>
    <row r="6018" ht="16.5" customHeight="1" spans="1:8">
      <c r="A6018" s="3">
        <v>6017</v>
      </c>
      <c r="B6018" s="3" t="s">
        <v>13304</v>
      </c>
      <c r="C6018" s="3" t="s">
        <v>1361</v>
      </c>
      <c r="D6018" s="4" t="s">
        <v>13305</v>
      </c>
      <c r="E6018" s="3" t="s">
        <v>1218</v>
      </c>
      <c r="F6018" s="3" t="s">
        <v>2105</v>
      </c>
      <c r="G6018" s="3"/>
      <c r="H6018" s="4"/>
    </row>
    <row r="6019" ht="16.5" customHeight="1" spans="1:8">
      <c r="A6019" s="3">
        <v>6018</v>
      </c>
      <c r="B6019" s="3" t="s">
        <v>13306</v>
      </c>
      <c r="C6019" s="3" t="s">
        <v>1361</v>
      </c>
      <c r="D6019" s="4" t="s">
        <v>13307</v>
      </c>
      <c r="E6019" s="3" t="s">
        <v>1218</v>
      </c>
      <c r="F6019" s="3" t="s">
        <v>2105</v>
      </c>
      <c r="G6019" s="3"/>
      <c r="H6019" s="4"/>
    </row>
    <row r="6020" ht="16.5" customHeight="1" spans="1:8">
      <c r="A6020" s="3">
        <v>6019</v>
      </c>
      <c r="B6020" s="3" t="s">
        <v>13308</v>
      </c>
      <c r="C6020" s="3" t="s">
        <v>1361</v>
      </c>
      <c r="D6020" s="4" t="s">
        <v>13309</v>
      </c>
      <c r="E6020" s="3" t="s">
        <v>1218</v>
      </c>
      <c r="F6020" s="3" t="s">
        <v>2105</v>
      </c>
      <c r="G6020" s="3"/>
      <c r="H6020" s="4"/>
    </row>
    <row r="6021" ht="16.5" customHeight="1" spans="1:8">
      <c r="A6021" s="3">
        <v>6020</v>
      </c>
      <c r="B6021" s="3" t="s">
        <v>13310</v>
      </c>
      <c r="C6021" s="3" t="s">
        <v>1361</v>
      </c>
      <c r="D6021" s="4" t="s">
        <v>13311</v>
      </c>
      <c r="E6021" s="3" t="s">
        <v>1218</v>
      </c>
      <c r="F6021" s="3" t="s">
        <v>2105</v>
      </c>
      <c r="G6021" s="3"/>
      <c r="H6021" s="4"/>
    </row>
    <row r="6022" ht="16.5" customHeight="1" spans="1:8">
      <c r="A6022" s="3">
        <v>6021</v>
      </c>
      <c r="B6022" s="3" t="s">
        <v>13312</v>
      </c>
      <c r="C6022" s="3" t="s">
        <v>1361</v>
      </c>
      <c r="D6022" s="4" t="s">
        <v>13313</v>
      </c>
      <c r="E6022" s="3" t="s">
        <v>1218</v>
      </c>
      <c r="F6022" s="3" t="s">
        <v>2105</v>
      </c>
      <c r="G6022" s="3"/>
      <c r="H6022" s="4"/>
    </row>
    <row r="6023" ht="16.5" customHeight="1" spans="1:8">
      <c r="A6023" s="3">
        <v>6022</v>
      </c>
      <c r="B6023" s="3" t="s">
        <v>13314</v>
      </c>
      <c r="C6023" s="3" t="s">
        <v>1361</v>
      </c>
      <c r="D6023" s="4" t="s">
        <v>13315</v>
      </c>
      <c r="E6023" s="3" t="s">
        <v>1218</v>
      </c>
      <c r="F6023" s="3" t="s">
        <v>2105</v>
      </c>
      <c r="G6023" s="3"/>
      <c r="H6023" s="4"/>
    </row>
    <row r="6024" ht="16.5" customHeight="1" spans="1:8">
      <c r="A6024" s="3">
        <v>6023</v>
      </c>
      <c r="B6024" s="3" t="s">
        <v>13316</v>
      </c>
      <c r="C6024" s="3" t="s">
        <v>1361</v>
      </c>
      <c r="D6024" s="4" t="s">
        <v>13317</v>
      </c>
      <c r="E6024" s="3" t="s">
        <v>1218</v>
      </c>
      <c r="F6024" s="3" t="s">
        <v>2105</v>
      </c>
      <c r="G6024" s="3"/>
      <c r="H6024" s="4"/>
    </row>
    <row r="6025" ht="16.5" customHeight="1" spans="1:8">
      <c r="A6025" s="3">
        <v>6024</v>
      </c>
      <c r="B6025" s="3" t="s">
        <v>13318</v>
      </c>
      <c r="C6025" s="3" t="s">
        <v>1361</v>
      </c>
      <c r="D6025" s="4" t="s">
        <v>13319</v>
      </c>
      <c r="E6025" s="3" t="s">
        <v>1218</v>
      </c>
      <c r="F6025" s="3" t="s">
        <v>2105</v>
      </c>
      <c r="G6025" s="3"/>
      <c r="H6025" s="4"/>
    </row>
    <row r="6026" ht="16.5" customHeight="1" spans="1:8">
      <c r="A6026" s="3">
        <v>6025</v>
      </c>
      <c r="B6026" s="3" t="s">
        <v>13320</v>
      </c>
      <c r="C6026" s="3" t="s">
        <v>1361</v>
      </c>
      <c r="D6026" s="4" t="s">
        <v>13321</v>
      </c>
      <c r="E6026" s="3" t="s">
        <v>1218</v>
      </c>
      <c r="F6026" s="3" t="s">
        <v>2105</v>
      </c>
      <c r="G6026" s="3"/>
      <c r="H6026" s="4"/>
    </row>
    <row r="6027" ht="16.5" customHeight="1" spans="1:8">
      <c r="A6027" s="3">
        <v>6026</v>
      </c>
      <c r="B6027" s="3" t="s">
        <v>13322</v>
      </c>
      <c r="C6027" s="3" t="s">
        <v>1361</v>
      </c>
      <c r="D6027" s="4" t="s">
        <v>13323</v>
      </c>
      <c r="E6027" s="3" t="s">
        <v>1218</v>
      </c>
      <c r="F6027" s="3" t="s">
        <v>2105</v>
      </c>
      <c r="G6027" s="3"/>
      <c r="H6027" s="4"/>
    </row>
    <row r="6028" ht="16.5" customHeight="1" spans="1:8">
      <c r="A6028" s="3">
        <v>6027</v>
      </c>
      <c r="B6028" s="3" t="s">
        <v>13324</v>
      </c>
      <c r="C6028" s="3" t="s">
        <v>1361</v>
      </c>
      <c r="D6028" s="4" t="s">
        <v>13325</v>
      </c>
      <c r="E6028" s="3" t="s">
        <v>1218</v>
      </c>
      <c r="F6028" s="3" t="s">
        <v>2105</v>
      </c>
      <c r="G6028" s="3"/>
      <c r="H6028" s="4"/>
    </row>
    <row r="6029" ht="16.5" customHeight="1" spans="1:8">
      <c r="A6029" s="3">
        <v>6028</v>
      </c>
      <c r="B6029" s="3" t="s">
        <v>13326</v>
      </c>
      <c r="C6029" s="3" t="s">
        <v>1361</v>
      </c>
      <c r="D6029" s="4" t="s">
        <v>13327</v>
      </c>
      <c r="E6029" s="3" t="s">
        <v>1218</v>
      </c>
      <c r="F6029" s="3" t="s">
        <v>2105</v>
      </c>
      <c r="G6029" s="3"/>
      <c r="H6029" s="4"/>
    </row>
    <row r="6030" ht="16.5" customHeight="1" spans="1:8">
      <c r="A6030" s="3">
        <v>6029</v>
      </c>
      <c r="B6030" s="3" t="s">
        <v>13328</v>
      </c>
      <c r="C6030" s="3" t="s">
        <v>1361</v>
      </c>
      <c r="D6030" s="4" t="s">
        <v>13329</v>
      </c>
      <c r="E6030" s="3" t="s">
        <v>1218</v>
      </c>
      <c r="F6030" s="3" t="s">
        <v>2105</v>
      </c>
      <c r="G6030" s="3"/>
      <c r="H6030" s="4"/>
    </row>
    <row r="6031" ht="16.5" customHeight="1" spans="1:8">
      <c r="A6031" s="3">
        <v>6030</v>
      </c>
      <c r="B6031" s="3" t="s">
        <v>13330</v>
      </c>
      <c r="C6031" s="3" t="s">
        <v>1361</v>
      </c>
      <c r="D6031" s="4" t="s">
        <v>13331</v>
      </c>
      <c r="E6031" s="3" t="s">
        <v>1218</v>
      </c>
      <c r="F6031" s="3" t="s">
        <v>2105</v>
      </c>
      <c r="G6031" s="3"/>
      <c r="H6031" s="4"/>
    </row>
    <row r="6032" ht="16.5" customHeight="1" spans="1:8">
      <c r="A6032" s="3">
        <v>6031</v>
      </c>
      <c r="B6032" s="3" t="s">
        <v>13332</v>
      </c>
      <c r="C6032" s="3" t="s">
        <v>1361</v>
      </c>
      <c r="D6032" s="4" t="s">
        <v>13333</v>
      </c>
      <c r="E6032" s="3" t="s">
        <v>1218</v>
      </c>
      <c r="F6032" s="3" t="s">
        <v>2105</v>
      </c>
      <c r="G6032" s="3"/>
      <c r="H6032" s="4"/>
    </row>
    <row r="6033" ht="16.5" customHeight="1" spans="1:8">
      <c r="A6033" s="3">
        <v>6032</v>
      </c>
      <c r="B6033" s="3" t="s">
        <v>13334</v>
      </c>
      <c r="C6033" s="3" t="s">
        <v>1361</v>
      </c>
      <c r="D6033" s="4" t="s">
        <v>13335</v>
      </c>
      <c r="E6033" s="3" t="s">
        <v>1218</v>
      </c>
      <c r="F6033" s="3" t="s">
        <v>2105</v>
      </c>
      <c r="G6033" s="3"/>
      <c r="H6033" s="4"/>
    </row>
    <row r="6034" ht="16.5" customHeight="1" spans="1:8">
      <c r="A6034" s="3">
        <v>6033</v>
      </c>
      <c r="B6034" s="3" t="s">
        <v>13336</v>
      </c>
      <c r="C6034" s="3" t="s">
        <v>1361</v>
      </c>
      <c r="D6034" s="4" t="s">
        <v>13337</v>
      </c>
      <c r="E6034" s="3" t="s">
        <v>1218</v>
      </c>
      <c r="F6034" s="3" t="s">
        <v>2105</v>
      </c>
      <c r="G6034" s="3"/>
      <c r="H6034" s="4"/>
    </row>
    <row r="6035" ht="16.5" customHeight="1" spans="1:8">
      <c r="A6035" s="3">
        <v>6034</v>
      </c>
      <c r="B6035" s="3" t="s">
        <v>13338</v>
      </c>
      <c r="C6035" s="3" t="s">
        <v>1361</v>
      </c>
      <c r="D6035" s="4" t="s">
        <v>13339</v>
      </c>
      <c r="E6035" s="3" t="s">
        <v>1218</v>
      </c>
      <c r="F6035" s="3" t="s">
        <v>2105</v>
      </c>
      <c r="G6035" s="3"/>
      <c r="H6035" s="4"/>
    </row>
    <row r="6036" ht="16.5" customHeight="1" spans="1:8">
      <c r="A6036" s="3">
        <v>6035</v>
      </c>
      <c r="B6036" s="3" t="s">
        <v>13340</v>
      </c>
      <c r="C6036" s="3" t="s">
        <v>1361</v>
      </c>
      <c r="D6036" s="4" t="s">
        <v>13341</v>
      </c>
      <c r="E6036" s="3" t="s">
        <v>1218</v>
      </c>
      <c r="F6036" s="3" t="s">
        <v>2105</v>
      </c>
      <c r="G6036" s="3"/>
      <c r="H6036" s="4"/>
    </row>
    <row r="6037" ht="16.5" customHeight="1" spans="1:8">
      <c r="A6037" s="3">
        <v>6036</v>
      </c>
      <c r="B6037" s="3" t="s">
        <v>13342</v>
      </c>
      <c r="C6037" s="3" t="s">
        <v>1361</v>
      </c>
      <c r="D6037" s="4" t="s">
        <v>13343</v>
      </c>
      <c r="E6037" s="3" t="s">
        <v>1218</v>
      </c>
      <c r="F6037" s="3" t="s">
        <v>2105</v>
      </c>
      <c r="G6037" s="3"/>
      <c r="H6037" s="4"/>
    </row>
    <row r="6038" ht="16.5" customHeight="1" spans="1:8">
      <c r="A6038" s="3">
        <v>6037</v>
      </c>
      <c r="B6038" s="3" t="s">
        <v>13344</v>
      </c>
      <c r="C6038" s="3" t="s">
        <v>1361</v>
      </c>
      <c r="D6038" s="4" t="s">
        <v>13345</v>
      </c>
      <c r="E6038" s="3" t="s">
        <v>1218</v>
      </c>
      <c r="F6038" s="3" t="s">
        <v>2105</v>
      </c>
      <c r="G6038" s="3"/>
      <c r="H6038" s="4"/>
    </row>
    <row r="6039" ht="16.5" customHeight="1" spans="1:8">
      <c r="A6039" s="3">
        <v>6038</v>
      </c>
      <c r="B6039" s="3" t="s">
        <v>13346</v>
      </c>
      <c r="C6039" s="3" t="s">
        <v>1361</v>
      </c>
      <c r="D6039" s="4" t="s">
        <v>13347</v>
      </c>
      <c r="E6039" s="3" t="s">
        <v>1218</v>
      </c>
      <c r="F6039" s="3" t="s">
        <v>2105</v>
      </c>
      <c r="G6039" s="3"/>
      <c r="H6039" s="4"/>
    </row>
    <row r="6040" ht="16.5" customHeight="1" spans="1:8">
      <c r="A6040" s="3">
        <v>6039</v>
      </c>
      <c r="B6040" s="3" t="s">
        <v>13348</v>
      </c>
      <c r="C6040" s="3" t="s">
        <v>1361</v>
      </c>
      <c r="D6040" s="4" t="s">
        <v>13349</v>
      </c>
      <c r="E6040" s="3" t="s">
        <v>1218</v>
      </c>
      <c r="F6040" s="3" t="s">
        <v>2105</v>
      </c>
      <c r="G6040" s="3"/>
      <c r="H6040" s="4"/>
    </row>
    <row r="6041" ht="16.5" customHeight="1" spans="1:8">
      <c r="A6041" s="3">
        <v>6040</v>
      </c>
      <c r="B6041" s="3" t="s">
        <v>13350</v>
      </c>
      <c r="C6041" s="3" t="s">
        <v>1361</v>
      </c>
      <c r="D6041" s="4" t="s">
        <v>13351</v>
      </c>
      <c r="E6041" s="3" t="s">
        <v>1218</v>
      </c>
      <c r="F6041" s="3" t="s">
        <v>2105</v>
      </c>
      <c r="G6041" s="3"/>
      <c r="H6041" s="4"/>
    </row>
    <row r="6042" ht="16.5" customHeight="1" spans="1:8">
      <c r="A6042" s="3">
        <v>6041</v>
      </c>
      <c r="B6042" s="3" t="s">
        <v>13352</v>
      </c>
      <c r="C6042" s="3" t="s">
        <v>1361</v>
      </c>
      <c r="D6042" s="4" t="s">
        <v>13353</v>
      </c>
      <c r="E6042" s="3" t="s">
        <v>1218</v>
      </c>
      <c r="F6042" s="3" t="s">
        <v>2105</v>
      </c>
      <c r="G6042" s="3"/>
      <c r="H6042" s="4"/>
    </row>
    <row r="6043" ht="16.5" customHeight="1" spans="1:8">
      <c r="A6043" s="3">
        <v>6042</v>
      </c>
      <c r="B6043" s="3" t="s">
        <v>13354</v>
      </c>
      <c r="C6043" s="3" t="s">
        <v>1361</v>
      </c>
      <c r="D6043" s="4" t="s">
        <v>13355</v>
      </c>
      <c r="E6043" s="3" t="s">
        <v>1218</v>
      </c>
      <c r="F6043" s="3" t="s">
        <v>2105</v>
      </c>
      <c r="G6043" s="3"/>
      <c r="H6043" s="4"/>
    </row>
    <row r="6044" ht="16.5" customHeight="1" spans="1:8">
      <c r="A6044" s="3">
        <v>6043</v>
      </c>
      <c r="B6044" s="3" t="s">
        <v>13356</v>
      </c>
      <c r="C6044" s="3" t="s">
        <v>1361</v>
      </c>
      <c r="D6044" s="4" t="s">
        <v>13357</v>
      </c>
      <c r="E6044" s="3" t="s">
        <v>1218</v>
      </c>
      <c r="F6044" s="3" t="s">
        <v>2105</v>
      </c>
      <c r="G6044" s="3"/>
      <c r="H6044" s="4"/>
    </row>
    <row r="6045" ht="16.5" customHeight="1" spans="1:8">
      <c r="A6045" s="3">
        <v>6044</v>
      </c>
      <c r="B6045" s="3" t="s">
        <v>13358</v>
      </c>
      <c r="C6045" s="3" t="s">
        <v>1361</v>
      </c>
      <c r="D6045" s="4" t="s">
        <v>13359</v>
      </c>
      <c r="E6045" s="3" t="s">
        <v>1218</v>
      </c>
      <c r="F6045" s="3" t="s">
        <v>2105</v>
      </c>
      <c r="G6045" s="3"/>
      <c r="H6045" s="4"/>
    </row>
    <row r="6046" ht="16.5" customHeight="1" spans="1:8">
      <c r="A6046" s="3">
        <v>6045</v>
      </c>
      <c r="B6046" s="3" t="s">
        <v>13360</v>
      </c>
      <c r="C6046" s="3" t="s">
        <v>1361</v>
      </c>
      <c r="D6046" s="4" t="s">
        <v>13361</v>
      </c>
      <c r="E6046" s="3" t="s">
        <v>1218</v>
      </c>
      <c r="F6046" s="3" t="s">
        <v>2105</v>
      </c>
      <c r="G6046" s="3"/>
      <c r="H6046" s="4"/>
    </row>
    <row r="6047" ht="16.5" customHeight="1" spans="1:8">
      <c r="A6047" s="3">
        <v>6046</v>
      </c>
      <c r="B6047" s="3" t="s">
        <v>13362</v>
      </c>
      <c r="C6047" s="3" t="s">
        <v>1361</v>
      </c>
      <c r="D6047" s="4" t="s">
        <v>13363</v>
      </c>
      <c r="E6047" s="3" t="s">
        <v>1218</v>
      </c>
      <c r="F6047" s="3" t="s">
        <v>2105</v>
      </c>
      <c r="G6047" s="3"/>
      <c r="H6047" s="4"/>
    </row>
    <row r="6048" ht="16.5" customHeight="1" spans="1:8">
      <c r="A6048" s="3">
        <v>6047</v>
      </c>
      <c r="B6048" s="3" t="s">
        <v>13364</v>
      </c>
      <c r="C6048" s="3" t="s">
        <v>1361</v>
      </c>
      <c r="D6048" s="4" t="s">
        <v>13365</v>
      </c>
      <c r="E6048" s="3" t="s">
        <v>1218</v>
      </c>
      <c r="F6048" s="3" t="s">
        <v>2105</v>
      </c>
      <c r="G6048" s="3"/>
      <c r="H6048" s="4"/>
    </row>
    <row r="6049" ht="16.5" customHeight="1" spans="1:8">
      <c r="A6049" s="3">
        <v>6048</v>
      </c>
      <c r="B6049" s="3" t="s">
        <v>13366</v>
      </c>
      <c r="C6049" s="3" t="s">
        <v>1361</v>
      </c>
      <c r="D6049" s="4" t="s">
        <v>13367</v>
      </c>
      <c r="E6049" s="3" t="s">
        <v>1218</v>
      </c>
      <c r="F6049" s="3" t="s">
        <v>2105</v>
      </c>
      <c r="G6049" s="3"/>
      <c r="H6049" s="4"/>
    </row>
    <row r="6050" ht="16.5" customHeight="1" spans="1:8">
      <c r="A6050" s="3">
        <v>6049</v>
      </c>
      <c r="B6050" s="3" t="s">
        <v>13368</v>
      </c>
      <c r="C6050" s="3" t="s">
        <v>1361</v>
      </c>
      <c r="D6050" s="4" t="s">
        <v>13369</v>
      </c>
      <c r="E6050" s="3" t="s">
        <v>1218</v>
      </c>
      <c r="F6050" s="3" t="s">
        <v>2105</v>
      </c>
      <c r="G6050" s="3"/>
      <c r="H6050" s="4"/>
    </row>
    <row r="6051" ht="16.5" customHeight="1" spans="1:8">
      <c r="A6051" s="3">
        <v>6050</v>
      </c>
      <c r="B6051" s="3" t="s">
        <v>13370</v>
      </c>
      <c r="C6051" s="3" t="s">
        <v>1361</v>
      </c>
      <c r="D6051" s="4" t="s">
        <v>13371</v>
      </c>
      <c r="E6051" s="3" t="s">
        <v>1218</v>
      </c>
      <c r="F6051" s="3" t="s">
        <v>2105</v>
      </c>
      <c r="G6051" s="3"/>
      <c r="H6051" s="4"/>
    </row>
    <row r="6052" ht="16.5" customHeight="1" spans="1:8">
      <c r="A6052" s="3">
        <v>6051</v>
      </c>
      <c r="B6052" s="3" t="s">
        <v>13372</v>
      </c>
      <c r="C6052" s="3" t="s">
        <v>1361</v>
      </c>
      <c r="D6052" s="4" t="s">
        <v>13373</v>
      </c>
      <c r="E6052" s="3" t="s">
        <v>1218</v>
      </c>
      <c r="F6052" s="3" t="s">
        <v>2105</v>
      </c>
      <c r="G6052" s="3"/>
      <c r="H6052" s="4"/>
    </row>
    <row r="6053" ht="16.5" customHeight="1" spans="1:8">
      <c r="A6053" s="3">
        <v>6052</v>
      </c>
      <c r="B6053" s="3" t="s">
        <v>13374</v>
      </c>
      <c r="C6053" s="3" t="s">
        <v>1361</v>
      </c>
      <c r="D6053" s="4" t="s">
        <v>13375</v>
      </c>
      <c r="E6053" s="3" t="s">
        <v>1218</v>
      </c>
      <c r="F6053" s="3" t="s">
        <v>2105</v>
      </c>
      <c r="G6053" s="3"/>
      <c r="H6053" s="4"/>
    </row>
    <row r="6054" ht="16.5" customHeight="1" spans="1:8">
      <c r="A6054" s="3">
        <v>6053</v>
      </c>
      <c r="B6054" s="3" t="s">
        <v>13376</v>
      </c>
      <c r="C6054" s="3" t="s">
        <v>1361</v>
      </c>
      <c r="D6054" s="4" t="s">
        <v>13377</v>
      </c>
      <c r="E6054" s="3" t="s">
        <v>1218</v>
      </c>
      <c r="F6054" s="3" t="s">
        <v>2105</v>
      </c>
      <c r="G6054" s="3"/>
      <c r="H6054" s="4"/>
    </row>
    <row r="6055" ht="16.5" customHeight="1" spans="1:8">
      <c r="A6055" s="3">
        <v>6054</v>
      </c>
      <c r="B6055" s="3" t="s">
        <v>13378</v>
      </c>
      <c r="C6055" s="3" t="s">
        <v>1361</v>
      </c>
      <c r="D6055" s="4" t="s">
        <v>13379</v>
      </c>
      <c r="E6055" s="3" t="s">
        <v>1218</v>
      </c>
      <c r="F6055" s="3" t="s">
        <v>2105</v>
      </c>
      <c r="G6055" s="3"/>
      <c r="H6055" s="4"/>
    </row>
    <row r="6056" ht="16.5" customHeight="1" spans="1:8">
      <c r="A6056" s="3">
        <v>6055</v>
      </c>
      <c r="B6056" s="3" t="s">
        <v>13380</v>
      </c>
      <c r="C6056" s="3" t="s">
        <v>1361</v>
      </c>
      <c r="D6056" s="4" t="s">
        <v>13381</v>
      </c>
      <c r="E6056" s="3" t="s">
        <v>1218</v>
      </c>
      <c r="F6056" s="3" t="s">
        <v>2105</v>
      </c>
      <c r="G6056" s="3"/>
      <c r="H6056" s="4"/>
    </row>
    <row r="6057" ht="16.5" customHeight="1" spans="1:8">
      <c r="A6057" s="3">
        <v>6056</v>
      </c>
      <c r="B6057" s="3" t="s">
        <v>13382</v>
      </c>
      <c r="C6057" s="3" t="s">
        <v>1074</v>
      </c>
      <c r="D6057" s="4" t="s">
        <v>13383</v>
      </c>
      <c r="E6057" s="3" t="s">
        <v>1076</v>
      </c>
      <c r="F6057" s="3" t="s">
        <v>10259</v>
      </c>
      <c r="G6057" s="3"/>
      <c r="H6057" s="4" t="s">
        <v>9475</v>
      </c>
    </row>
    <row r="6058" ht="16.5" customHeight="1" spans="1:8">
      <c r="A6058" s="3">
        <v>6057</v>
      </c>
      <c r="B6058" s="3" t="s">
        <v>13384</v>
      </c>
      <c r="C6058" s="3" t="s">
        <v>2163</v>
      </c>
      <c r="D6058" s="4" t="s">
        <v>13385</v>
      </c>
      <c r="E6058" s="3" t="s">
        <v>1076</v>
      </c>
      <c r="F6058" s="3" t="s">
        <v>1358</v>
      </c>
      <c r="G6058" s="3" t="s">
        <v>321</v>
      </c>
      <c r="H6058" s="4" t="s">
        <v>1359</v>
      </c>
    </row>
    <row r="6059" ht="16.5" customHeight="1" spans="1:8">
      <c r="A6059" s="3">
        <v>6058</v>
      </c>
      <c r="B6059" s="3" t="s">
        <v>13386</v>
      </c>
      <c r="C6059" s="3" t="s">
        <v>2163</v>
      </c>
      <c r="D6059" s="4" t="s">
        <v>13387</v>
      </c>
      <c r="E6059" s="3" t="s">
        <v>2726</v>
      </c>
      <c r="F6059" s="3" t="s">
        <v>10943</v>
      </c>
      <c r="G6059" s="3"/>
      <c r="H6059" s="4"/>
    </row>
    <row r="6060" ht="16.5" customHeight="1" spans="1:8">
      <c r="A6060" s="3">
        <v>6059</v>
      </c>
      <c r="B6060" s="3" t="s">
        <v>13388</v>
      </c>
      <c r="C6060" s="3" t="s">
        <v>2163</v>
      </c>
      <c r="D6060" s="4" t="s">
        <v>13389</v>
      </c>
      <c r="E6060" s="3" t="s">
        <v>5779</v>
      </c>
      <c r="F6060" s="3" t="s">
        <v>1358</v>
      </c>
      <c r="G6060" s="3" t="s">
        <v>321</v>
      </c>
      <c r="H6060" s="4" t="s">
        <v>1359</v>
      </c>
    </row>
    <row r="6061" ht="16.5" customHeight="1" spans="1:8">
      <c r="A6061" s="3">
        <v>6060</v>
      </c>
      <c r="B6061" s="3" t="s">
        <v>13390</v>
      </c>
      <c r="C6061" s="3" t="s">
        <v>2163</v>
      </c>
      <c r="D6061" s="4" t="s">
        <v>13391</v>
      </c>
      <c r="E6061" s="3" t="s">
        <v>1076</v>
      </c>
      <c r="F6061" s="3" t="s">
        <v>6994</v>
      </c>
      <c r="G6061" s="3" t="s">
        <v>321</v>
      </c>
      <c r="H6061" s="4" t="s">
        <v>1305</v>
      </c>
    </row>
    <row r="6062" ht="16.5" customHeight="1" spans="1:8">
      <c r="A6062" s="3">
        <v>6061</v>
      </c>
      <c r="B6062" s="3" t="s">
        <v>13392</v>
      </c>
      <c r="C6062" s="3" t="s">
        <v>2163</v>
      </c>
      <c r="D6062" s="4" t="s">
        <v>13393</v>
      </c>
      <c r="E6062" s="3" t="s">
        <v>1076</v>
      </c>
      <c r="F6062" s="3" t="s">
        <v>6994</v>
      </c>
      <c r="G6062" s="3" t="s">
        <v>321</v>
      </c>
      <c r="H6062" s="4" t="s">
        <v>1305</v>
      </c>
    </row>
    <row r="6063" ht="16.5" customHeight="1" spans="1:8">
      <c r="A6063" s="3">
        <v>6062</v>
      </c>
      <c r="B6063" s="3" t="s">
        <v>13394</v>
      </c>
      <c r="C6063" s="3" t="s">
        <v>2163</v>
      </c>
      <c r="D6063" s="4" t="s">
        <v>13395</v>
      </c>
      <c r="E6063" s="3" t="s">
        <v>7007</v>
      </c>
      <c r="F6063" s="3" t="s">
        <v>6994</v>
      </c>
      <c r="G6063" s="3" t="s">
        <v>321</v>
      </c>
      <c r="H6063" s="4" t="s">
        <v>1305</v>
      </c>
    </row>
    <row r="6064" ht="16.5" customHeight="1" spans="1:8">
      <c r="A6064" s="3">
        <v>6063</v>
      </c>
      <c r="B6064" s="3" t="s">
        <v>13396</v>
      </c>
      <c r="C6064" s="3" t="s">
        <v>2163</v>
      </c>
      <c r="D6064" s="4" t="s">
        <v>13397</v>
      </c>
      <c r="E6064" s="3" t="s">
        <v>1076</v>
      </c>
      <c r="F6064" s="3" t="s">
        <v>10943</v>
      </c>
      <c r="G6064" s="3"/>
      <c r="H6064" s="4"/>
    </row>
    <row r="6065" ht="16.5" customHeight="1" spans="1:8">
      <c r="A6065" s="3">
        <v>6064</v>
      </c>
      <c r="B6065" s="3" t="s">
        <v>13398</v>
      </c>
      <c r="C6065" s="3" t="s">
        <v>2163</v>
      </c>
      <c r="D6065" s="4" t="s">
        <v>13399</v>
      </c>
      <c r="E6065" s="3" t="s">
        <v>1076</v>
      </c>
      <c r="F6065" s="3" t="s">
        <v>10943</v>
      </c>
      <c r="G6065" s="3"/>
      <c r="H6065" s="4"/>
    </row>
    <row r="6066" ht="16.5" customHeight="1" spans="1:8">
      <c r="A6066" s="3">
        <v>6065</v>
      </c>
      <c r="B6066" s="3" t="s">
        <v>13400</v>
      </c>
      <c r="C6066" s="3" t="s">
        <v>2163</v>
      </c>
      <c r="D6066" s="4" t="s">
        <v>13401</v>
      </c>
      <c r="E6066" s="3" t="s">
        <v>1076</v>
      </c>
      <c r="F6066" s="3" t="s">
        <v>2041</v>
      </c>
      <c r="G6066" s="3" t="s">
        <v>98</v>
      </c>
      <c r="H6066" s="4"/>
    </row>
    <row r="6067" ht="16.5" customHeight="1" spans="1:8">
      <c r="A6067" s="3">
        <v>6066</v>
      </c>
      <c r="B6067" s="3" t="s">
        <v>13402</v>
      </c>
      <c r="C6067" s="3" t="s">
        <v>2163</v>
      </c>
      <c r="D6067" s="4" t="s">
        <v>13403</v>
      </c>
      <c r="E6067" s="3" t="s">
        <v>1076</v>
      </c>
      <c r="F6067" s="3" t="s">
        <v>2041</v>
      </c>
      <c r="G6067" s="3" t="s">
        <v>98</v>
      </c>
      <c r="H6067" s="4"/>
    </row>
    <row r="6068" ht="16.5" customHeight="1" spans="1:8">
      <c r="A6068" s="3">
        <v>6067</v>
      </c>
      <c r="B6068" s="3" t="s">
        <v>13404</v>
      </c>
      <c r="C6068" s="3" t="s">
        <v>2163</v>
      </c>
      <c r="D6068" s="4" t="s">
        <v>13405</v>
      </c>
      <c r="E6068" s="3" t="s">
        <v>2726</v>
      </c>
      <c r="F6068" s="3" t="s">
        <v>10943</v>
      </c>
      <c r="G6068" s="3"/>
      <c r="H6068" s="4"/>
    </row>
    <row r="6069" ht="16.5" customHeight="1" spans="1:8">
      <c r="A6069" s="3">
        <v>6068</v>
      </c>
      <c r="B6069" s="3" t="s">
        <v>13406</v>
      </c>
      <c r="C6069" s="3" t="s">
        <v>2163</v>
      </c>
      <c r="D6069" s="4" t="s">
        <v>13407</v>
      </c>
      <c r="E6069" s="3" t="s">
        <v>2726</v>
      </c>
      <c r="F6069" s="3" t="s">
        <v>10943</v>
      </c>
      <c r="G6069" s="3"/>
      <c r="H6069" s="4"/>
    </row>
    <row r="6070" ht="16.5" customHeight="1" spans="1:8">
      <c r="A6070" s="3">
        <v>6069</v>
      </c>
      <c r="B6070" s="3" t="s">
        <v>13408</v>
      </c>
      <c r="C6070" s="3" t="s">
        <v>13409</v>
      </c>
      <c r="D6070" s="4" t="s">
        <v>13410</v>
      </c>
      <c r="E6070" s="3" t="s">
        <v>1076</v>
      </c>
      <c r="F6070" s="3" t="s">
        <v>10259</v>
      </c>
      <c r="G6070" s="3"/>
      <c r="H6070" s="4" t="s">
        <v>13411</v>
      </c>
    </row>
    <row r="6071" ht="16.5" customHeight="1" spans="1:8">
      <c r="A6071" s="3">
        <v>6070</v>
      </c>
      <c r="B6071" s="3" t="s">
        <v>13412</v>
      </c>
      <c r="C6071" s="3" t="s">
        <v>2163</v>
      </c>
      <c r="D6071" s="4" t="s">
        <v>13413</v>
      </c>
      <c r="E6071" s="3" t="s">
        <v>2726</v>
      </c>
      <c r="F6071" s="3" t="s">
        <v>2105</v>
      </c>
      <c r="G6071" s="3"/>
      <c r="H6071" s="4"/>
    </row>
    <row r="6072" ht="16.5" customHeight="1" spans="1:8">
      <c r="A6072" s="3">
        <v>6071</v>
      </c>
      <c r="B6072" s="3" t="s">
        <v>13414</v>
      </c>
      <c r="C6072" s="3" t="s">
        <v>1074</v>
      </c>
      <c r="D6072" s="4" t="s">
        <v>13415</v>
      </c>
      <c r="E6072" s="3" t="s">
        <v>1218</v>
      </c>
      <c r="F6072" s="3" t="s">
        <v>8175</v>
      </c>
      <c r="G6072" s="3"/>
      <c r="H6072" s="4" t="s">
        <v>7240</v>
      </c>
    </row>
    <row r="6073" ht="16.5" customHeight="1" spans="1:8">
      <c r="A6073" s="3">
        <v>6072</v>
      </c>
      <c r="B6073" s="3" t="s">
        <v>13416</v>
      </c>
      <c r="C6073" s="3" t="s">
        <v>1105</v>
      </c>
      <c r="D6073" s="4" t="s">
        <v>13417</v>
      </c>
      <c r="E6073" s="3" t="s">
        <v>1076</v>
      </c>
      <c r="F6073" s="3" t="s">
        <v>1358</v>
      </c>
      <c r="G6073" s="3"/>
      <c r="H6073" s="4" t="s">
        <v>13418</v>
      </c>
    </row>
    <row r="6074" ht="16.5" customHeight="1" spans="1:8">
      <c r="A6074" s="3">
        <v>6073</v>
      </c>
      <c r="B6074" s="3" t="s">
        <v>13419</v>
      </c>
      <c r="C6074" s="3" t="s">
        <v>1105</v>
      </c>
      <c r="D6074" s="4" t="s">
        <v>13420</v>
      </c>
      <c r="E6074" s="3" t="s">
        <v>1076</v>
      </c>
      <c r="F6074" s="3" t="s">
        <v>1358</v>
      </c>
      <c r="G6074" s="3"/>
      <c r="H6074" s="4" t="s">
        <v>13418</v>
      </c>
    </row>
    <row r="6075" ht="16.5" customHeight="1" spans="1:8">
      <c r="A6075" s="3">
        <v>6074</v>
      </c>
      <c r="B6075" s="3" t="s">
        <v>13421</v>
      </c>
      <c r="C6075" s="3" t="s">
        <v>1074</v>
      </c>
      <c r="D6075" s="4" t="s">
        <v>13422</v>
      </c>
      <c r="E6075" s="3" t="s">
        <v>1076</v>
      </c>
      <c r="F6075" s="3" t="s">
        <v>4668</v>
      </c>
      <c r="G6075" s="3"/>
      <c r="H6075" s="4" t="s">
        <v>2050</v>
      </c>
    </row>
    <row r="6076" ht="16.5" customHeight="1" spans="1:8">
      <c r="A6076" s="3">
        <v>6075</v>
      </c>
      <c r="B6076" s="3" t="s">
        <v>13423</v>
      </c>
      <c r="C6076" s="3" t="s">
        <v>1361</v>
      </c>
      <c r="D6076" s="4" t="s">
        <v>13424</v>
      </c>
      <c r="E6076" s="3" t="s">
        <v>1218</v>
      </c>
      <c r="F6076" s="3" t="s">
        <v>6994</v>
      </c>
      <c r="G6076" s="3" t="s">
        <v>321</v>
      </c>
      <c r="H6076" s="4" t="s">
        <v>2050</v>
      </c>
    </row>
    <row r="6077" ht="16.5" customHeight="1" spans="1:8">
      <c r="A6077" s="3">
        <v>6076</v>
      </c>
      <c r="B6077" s="3" t="s">
        <v>13425</v>
      </c>
      <c r="C6077" s="3" t="s">
        <v>1361</v>
      </c>
      <c r="D6077" s="4" t="s">
        <v>13426</v>
      </c>
      <c r="E6077" s="3" t="s">
        <v>1218</v>
      </c>
      <c r="F6077" s="3" t="s">
        <v>6994</v>
      </c>
      <c r="G6077" s="3" t="s">
        <v>321</v>
      </c>
      <c r="H6077" s="4" t="s">
        <v>2050</v>
      </c>
    </row>
    <row r="6078" ht="16.5" customHeight="1" spans="1:8">
      <c r="A6078" s="3">
        <v>6077</v>
      </c>
      <c r="B6078" s="3" t="s">
        <v>13427</v>
      </c>
      <c r="C6078" s="3" t="s">
        <v>1361</v>
      </c>
      <c r="D6078" s="4" t="s">
        <v>13428</v>
      </c>
      <c r="E6078" s="3" t="s">
        <v>1218</v>
      </c>
      <c r="F6078" s="3" t="s">
        <v>6994</v>
      </c>
      <c r="G6078" s="3"/>
      <c r="H6078" s="4" t="s">
        <v>2050</v>
      </c>
    </row>
    <row r="6079" ht="16.5" customHeight="1" spans="1:8">
      <c r="A6079" s="3">
        <v>6078</v>
      </c>
      <c r="B6079" s="3" t="s">
        <v>13429</v>
      </c>
      <c r="C6079" s="3" t="s">
        <v>1361</v>
      </c>
      <c r="D6079" s="4" t="s">
        <v>13430</v>
      </c>
      <c r="E6079" s="3" t="s">
        <v>1218</v>
      </c>
      <c r="F6079" s="3" t="s">
        <v>6994</v>
      </c>
      <c r="G6079" s="3" t="s">
        <v>321</v>
      </c>
      <c r="H6079" s="4" t="s">
        <v>2050</v>
      </c>
    </row>
    <row r="6080" ht="16.5" customHeight="1" spans="1:8">
      <c r="A6080" s="3">
        <v>6079</v>
      </c>
      <c r="B6080" s="3" t="s">
        <v>13431</v>
      </c>
      <c r="C6080" s="3" t="s">
        <v>1361</v>
      </c>
      <c r="D6080" s="4" t="s">
        <v>13432</v>
      </c>
      <c r="E6080" s="3" t="s">
        <v>1218</v>
      </c>
      <c r="F6080" s="3" t="s">
        <v>6994</v>
      </c>
      <c r="G6080" s="3" t="s">
        <v>321</v>
      </c>
      <c r="H6080" s="4" t="s">
        <v>2050</v>
      </c>
    </row>
    <row r="6081" ht="16.5" customHeight="1" spans="1:8">
      <c r="A6081" s="3">
        <v>6080</v>
      </c>
      <c r="B6081" s="3" t="s">
        <v>13433</v>
      </c>
      <c r="C6081" s="3" t="s">
        <v>1361</v>
      </c>
      <c r="D6081" s="4" t="s">
        <v>13434</v>
      </c>
      <c r="E6081" s="3" t="s">
        <v>1218</v>
      </c>
      <c r="F6081" s="3" t="s">
        <v>6994</v>
      </c>
      <c r="G6081" s="3" t="s">
        <v>321</v>
      </c>
      <c r="H6081" s="4" t="s">
        <v>2050</v>
      </c>
    </row>
    <row r="6082" ht="16.5" customHeight="1" spans="1:8">
      <c r="A6082" s="3">
        <v>6081</v>
      </c>
      <c r="B6082" s="3" t="s">
        <v>13435</v>
      </c>
      <c r="C6082" s="3" t="s">
        <v>1361</v>
      </c>
      <c r="D6082" s="4" t="s">
        <v>13436</v>
      </c>
      <c r="E6082" s="3" t="s">
        <v>1218</v>
      </c>
      <c r="F6082" s="3" t="s">
        <v>6994</v>
      </c>
      <c r="G6082" s="3" t="s">
        <v>321</v>
      </c>
      <c r="H6082" s="4" t="s">
        <v>2050</v>
      </c>
    </row>
    <row r="6083" ht="16.5" customHeight="1" spans="1:8">
      <c r="A6083" s="3">
        <v>6082</v>
      </c>
      <c r="B6083" s="3" t="s">
        <v>13437</v>
      </c>
      <c r="C6083" s="3" t="s">
        <v>1361</v>
      </c>
      <c r="D6083" s="4" t="s">
        <v>13438</v>
      </c>
      <c r="E6083" s="3" t="s">
        <v>1218</v>
      </c>
      <c r="F6083" s="3" t="s">
        <v>6994</v>
      </c>
      <c r="G6083" s="3" t="s">
        <v>321</v>
      </c>
      <c r="H6083" s="4" t="s">
        <v>2050</v>
      </c>
    </row>
    <row r="6084" ht="16.5" customHeight="1" spans="1:8">
      <c r="A6084" s="3">
        <v>6083</v>
      </c>
      <c r="B6084" s="3" t="s">
        <v>13439</v>
      </c>
      <c r="C6084" s="3" t="s">
        <v>2163</v>
      </c>
      <c r="D6084" s="4" t="s">
        <v>13440</v>
      </c>
      <c r="E6084" s="3" t="s">
        <v>2726</v>
      </c>
      <c r="F6084" s="3" t="s">
        <v>2041</v>
      </c>
      <c r="G6084" s="3" t="s">
        <v>98</v>
      </c>
      <c r="H6084" s="4"/>
    </row>
    <row r="6085" ht="16.5" customHeight="1" spans="1:8">
      <c r="A6085" s="3">
        <v>6084</v>
      </c>
      <c r="B6085" s="3" t="s">
        <v>13441</v>
      </c>
      <c r="C6085" s="3" t="s">
        <v>1105</v>
      </c>
      <c r="D6085" s="4" t="s">
        <v>13442</v>
      </c>
      <c r="E6085" s="3" t="s">
        <v>1076</v>
      </c>
      <c r="F6085" s="3" t="s">
        <v>6593</v>
      </c>
      <c r="G6085" s="3"/>
      <c r="H6085" s="4" t="s">
        <v>13443</v>
      </c>
    </row>
    <row r="6086" ht="16.5" customHeight="1" spans="1:8">
      <c r="A6086" s="3">
        <v>6085</v>
      </c>
      <c r="B6086" s="3" t="s">
        <v>13444</v>
      </c>
      <c r="C6086" s="3" t="s">
        <v>1105</v>
      </c>
      <c r="D6086" s="4" t="s">
        <v>13445</v>
      </c>
      <c r="E6086" s="3" t="s">
        <v>1076</v>
      </c>
      <c r="F6086" s="3" t="s">
        <v>6593</v>
      </c>
      <c r="G6086" s="3"/>
      <c r="H6086" s="4" t="s">
        <v>13443</v>
      </c>
    </row>
    <row r="6087" ht="16.5" customHeight="1" spans="1:8">
      <c r="A6087" s="3">
        <v>6086</v>
      </c>
      <c r="B6087" s="3" t="s">
        <v>13446</v>
      </c>
      <c r="C6087" s="3" t="s">
        <v>1105</v>
      </c>
      <c r="D6087" s="4" t="s">
        <v>13447</v>
      </c>
      <c r="E6087" s="3" t="s">
        <v>1076</v>
      </c>
      <c r="F6087" s="3" t="s">
        <v>6593</v>
      </c>
      <c r="G6087" s="3"/>
      <c r="H6087" s="4" t="s">
        <v>13443</v>
      </c>
    </row>
    <row r="6088" ht="16.5" customHeight="1" spans="1:8">
      <c r="A6088" s="3">
        <v>6087</v>
      </c>
      <c r="B6088" s="3" t="s">
        <v>13448</v>
      </c>
      <c r="C6088" s="3" t="s">
        <v>1105</v>
      </c>
      <c r="D6088" s="4" t="s">
        <v>13449</v>
      </c>
      <c r="E6088" s="3" t="s">
        <v>1076</v>
      </c>
      <c r="F6088" s="3" t="s">
        <v>6593</v>
      </c>
      <c r="G6088" s="3"/>
      <c r="H6088" s="4" t="s">
        <v>13443</v>
      </c>
    </row>
    <row r="6089" ht="16.5" customHeight="1" spans="1:8">
      <c r="A6089" s="3">
        <v>6088</v>
      </c>
      <c r="B6089" s="3" t="s">
        <v>13450</v>
      </c>
      <c r="C6089" s="3" t="s">
        <v>1105</v>
      </c>
      <c r="D6089" s="4" t="s">
        <v>13451</v>
      </c>
      <c r="E6089" s="3" t="s">
        <v>1076</v>
      </c>
      <c r="F6089" s="3" t="s">
        <v>6593</v>
      </c>
      <c r="G6089" s="3"/>
      <c r="H6089" s="4" t="s">
        <v>13443</v>
      </c>
    </row>
    <row r="6090" ht="16.5" customHeight="1" spans="1:8">
      <c r="A6090" s="3">
        <v>6089</v>
      </c>
      <c r="B6090" s="3" t="s">
        <v>13452</v>
      </c>
      <c r="C6090" s="3" t="s">
        <v>2163</v>
      </c>
      <c r="D6090" s="4" t="s">
        <v>13453</v>
      </c>
      <c r="E6090" s="3" t="s">
        <v>2726</v>
      </c>
      <c r="F6090" s="3" t="s">
        <v>2041</v>
      </c>
      <c r="G6090" s="3" t="s">
        <v>321</v>
      </c>
      <c r="H6090" s="4"/>
    </row>
    <row r="6091" ht="16.5" customHeight="1" spans="1:8">
      <c r="A6091" s="3">
        <v>6090</v>
      </c>
      <c r="B6091" s="3" t="s">
        <v>13454</v>
      </c>
      <c r="C6091" s="3" t="s">
        <v>1105</v>
      </c>
      <c r="D6091" s="4" t="s">
        <v>13455</v>
      </c>
      <c r="E6091" s="3" t="s">
        <v>1076</v>
      </c>
      <c r="F6091" s="3" t="s">
        <v>13456</v>
      </c>
      <c r="G6091" s="3"/>
      <c r="H6091" s="4" t="s">
        <v>13411</v>
      </c>
    </row>
    <row r="6092" ht="16.5" customHeight="1" spans="1:8">
      <c r="A6092" s="3">
        <v>6091</v>
      </c>
      <c r="B6092" s="3" t="s">
        <v>13457</v>
      </c>
      <c r="C6092" s="3" t="s">
        <v>1105</v>
      </c>
      <c r="D6092" s="4" t="s">
        <v>13458</v>
      </c>
      <c r="E6092" s="3" t="s">
        <v>1076</v>
      </c>
      <c r="F6092" s="3" t="s">
        <v>13456</v>
      </c>
      <c r="G6092" s="3"/>
      <c r="H6092" s="4" t="s">
        <v>13411</v>
      </c>
    </row>
    <row r="6093" ht="16.5" customHeight="1" spans="1:8">
      <c r="A6093" s="3">
        <v>6092</v>
      </c>
      <c r="B6093" s="3" t="s">
        <v>13459</v>
      </c>
      <c r="C6093" s="3" t="s">
        <v>2163</v>
      </c>
      <c r="D6093" s="4" t="s">
        <v>13460</v>
      </c>
      <c r="E6093" s="3" t="s">
        <v>2726</v>
      </c>
      <c r="F6093" s="3" t="s">
        <v>2041</v>
      </c>
      <c r="G6093" s="3" t="s">
        <v>98</v>
      </c>
      <c r="H6093" s="4"/>
    </row>
    <row r="6094" ht="16.5" customHeight="1" spans="1:8">
      <c r="A6094" s="3">
        <v>6093</v>
      </c>
      <c r="B6094" s="3" t="s">
        <v>13461</v>
      </c>
      <c r="C6094" s="3" t="s">
        <v>1105</v>
      </c>
      <c r="D6094" s="4" t="s">
        <v>13462</v>
      </c>
      <c r="E6094" s="3" t="s">
        <v>1076</v>
      </c>
      <c r="F6094" s="3" t="s">
        <v>13456</v>
      </c>
      <c r="G6094" s="3"/>
      <c r="H6094" s="4" t="s">
        <v>13411</v>
      </c>
    </row>
    <row r="6095" ht="16.5" customHeight="1" spans="1:8">
      <c r="A6095" s="3">
        <v>6094</v>
      </c>
      <c r="B6095" s="3" t="s">
        <v>13463</v>
      </c>
      <c r="C6095" s="3" t="s">
        <v>1105</v>
      </c>
      <c r="D6095" s="4" t="s">
        <v>13464</v>
      </c>
      <c r="E6095" s="3" t="s">
        <v>1076</v>
      </c>
      <c r="F6095" s="3" t="s">
        <v>13456</v>
      </c>
      <c r="G6095" s="3"/>
      <c r="H6095" s="4" t="s">
        <v>13411</v>
      </c>
    </row>
    <row r="6096" ht="16.5" customHeight="1" spans="1:8">
      <c r="A6096" s="3">
        <v>6095</v>
      </c>
      <c r="B6096" s="3" t="s">
        <v>13465</v>
      </c>
      <c r="C6096" s="3" t="s">
        <v>1105</v>
      </c>
      <c r="D6096" s="4" t="s">
        <v>13466</v>
      </c>
      <c r="E6096" s="3" t="s">
        <v>1076</v>
      </c>
      <c r="F6096" s="3" t="s">
        <v>4110</v>
      </c>
      <c r="G6096" s="3"/>
      <c r="H6096" s="4" t="s">
        <v>13467</v>
      </c>
    </row>
    <row r="6097" ht="16.5" customHeight="1" spans="1:8">
      <c r="A6097" s="3">
        <v>6096</v>
      </c>
      <c r="B6097" s="3" t="s">
        <v>13468</v>
      </c>
      <c r="C6097" s="3" t="s">
        <v>1105</v>
      </c>
      <c r="D6097" s="4" t="s">
        <v>13469</v>
      </c>
      <c r="E6097" s="3" t="s">
        <v>1076</v>
      </c>
      <c r="F6097" s="3" t="s">
        <v>4110</v>
      </c>
      <c r="G6097" s="3"/>
      <c r="H6097" s="4" t="s">
        <v>13467</v>
      </c>
    </row>
    <row r="6098" ht="16.5" customHeight="1" spans="1:8">
      <c r="A6098" s="3">
        <v>6097</v>
      </c>
      <c r="B6098" s="3" t="s">
        <v>13470</v>
      </c>
      <c r="C6098" s="3" t="s">
        <v>1105</v>
      </c>
      <c r="D6098" s="4" t="s">
        <v>13471</v>
      </c>
      <c r="E6098" s="3" t="s">
        <v>1076</v>
      </c>
      <c r="F6098" s="3" t="s">
        <v>4110</v>
      </c>
      <c r="G6098" s="3"/>
      <c r="H6098" s="4" t="s">
        <v>13467</v>
      </c>
    </row>
    <row r="6099" ht="16.5" customHeight="1" spans="1:8">
      <c r="A6099" s="3">
        <v>6098</v>
      </c>
      <c r="B6099" s="3" t="s">
        <v>13472</v>
      </c>
      <c r="C6099" s="3" t="s">
        <v>1105</v>
      </c>
      <c r="D6099" s="4" t="s">
        <v>13473</v>
      </c>
      <c r="E6099" s="3" t="s">
        <v>1076</v>
      </c>
      <c r="F6099" s="3" t="s">
        <v>4110</v>
      </c>
      <c r="G6099" s="3"/>
      <c r="H6099" s="4" t="s">
        <v>13467</v>
      </c>
    </row>
    <row r="6100" ht="16.5" customHeight="1" spans="1:8">
      <c r="A6100" s="3">
        <v>6099</v>
      </c>
      <c r="B6100" s="3" t="s">
        <v>13474</v>
      </c>
      <c r="C6100" s="3" t="s">
        <v>2163</v>
      </c>
      <c r="D6100" s="4" t="s">
        <v>13475</v>
      </c>
      <c r="E6100" s="3" t="s">
        <v>2726</v>
      </c>
      <c r="F6100" s="3" t="s">
        <v>10943</v>
      </c>
      <c r="G6100" s="3"/>
      <c r="H6100" s="4"/>
    </row>
    <row r="6101" ht="16.5" customHeight="1" spans="1:8">
      <c r="A6101" s="3">
        <v>6100</v>
      </c>
      <c r="B6101" s="3" t="s">
        <v>13476</v>
      </c>
      <c r="C6101" s="3" t="s">
        <v>1105</v>
      </c>
      <c r="D6101" s="4" t="s">
        <v>13477</v>
      </c>
      <c r="E6101" s="3" t="s">
        <v>1076</v>
      </c>
      <c r="F6101" s="3" t="s">
        <v>13478</v>
      </c>
      <c r="G6101" s="3"/>
      <c r="H6101" s="4" t="s">
        <v>13479</v>
      </c>
    </row>
    <row r="6102" ht="16.5" customHeight="1" spans="1:8">
      <c r="A6102" s="3">
        <v>6101</v>
      </c>
      <c r="B6102" s="3" t="s">
        <v>13480</v>
      </c>
      <c r="C6102" s="3" t="s">
        <v>1105</v>
      </c>
      <c r="D6102" s="4" t="s">
        <v>13481</v>
      </c>
      <c r="E6102" s="3" t="s">
        <v>1076</v>
      </c>
      <c r="F6102" s="3" t="s">
        <v>13478</v>
      </c>
      <c r="G6102" s="3"/>
      <c r="H6102" s="4" t="s">
        <v>13479</v>
      </c>
    </row>
    <row r="6103" ht="16.5" customHeight="1" spans="1:8">
      <c r="A6103" s="3">
        <v>6102</v>
      </c>
      <c r="B6103" s="3" t="s">
        <v>13482</v>
      </c>
      <c r="C6103" s="3" t="s">
        <v>1105</v>
      </c>
      <c r="D6103" s="4" t="s">
        <v>13483</v>
      </c>
      <c r="E6103" s="3" t="s">
        <v>1076</v>
      </c>
      <c r="F6103" s="3" t="s">
        <v>13478</v>
      </c>
      <c r="G6103" s="3"/>
      <c r="H6103" s="4" t="s">
        <v>13479</v>
      </c>
    </row>
    <row r="6104" ht="16.5" customHeight="1" spans="1:8">
      <c r="A6104" s="3">
        <v>6103</v>
      </c>
      <c r="B6104" s="3" t="s">
        <v>13484</v>
      </c>
      <c r="C6104" s="3" t="s">
        <v>2163</v>
      </c>
      <c r="D6104" s="4" t="s">
        <v>13485</v>
      </c>
      <c r="E6104" s="3" t="s">
        <v>1076</v>
      </c>
      <c r="F6104" s="3" t="s">
        <v>6994</v>
      </c>
      <c r="G6104" s="3" t="s">
        <v>321</v>
      </c>
      <c r="H6104" s="4" t="s">
        <v>2050</v>
      </c>
    </row>
    <row r="6105" ht="16.5" customHeight="1" spans="1:8">
      <c r="A6105" s="3">
        <v>6104</v>
      </c>
      <c r="B6105" s="3" t="s">
        <v>13486</v>
      </c>
      <c r="C6105" s="3" t="s">
        <v>1105</v>
      </c>
      <c r="D6105" s="4" t="s">
        <v>13487</v>
      </c>
      <c r="E6105" s="3" t="s">
        <v>1076</v>
      </c>
      <c r="F6105" s="3" t="s">
        <v>13478</v>
      </c>
      <c r="G6105" s="3"/>
      <c r="H6105" s="4" t="s">
        <v>13479</v>
      </c>
    </row>
    <row r="6106" ht="16.5" customHeight="1" spans="1:8">
      <c r="A6106" s="3">
        <v>6105</v>
      </c>
      <c r="B6106" s="3" t="s">
        <v>13488</v>
      </c>
      <c r="C6106" s="3" t="s">
        <v>1105</v>
      </c>
      <c r="D6106" s="4" t="s">
        <v>13489</v>
      </c>
      <c r="E6106" s="3" t="s">
        <v>1076</v>
      </c>
      <c r="F6106" s="3" t="s">
        <v>13478</v>
      </c>
      <c r="G6106" s="3"/>
      <c r="H6106" s="4" t="s">
        <v>13479</v>
      </c>
    </row>
    <row r="6107" ht="16.5" customHeight="1" spans="1:8">
      <c r="A6107" s="3">
        <v>6106</v>
      </c>
      <c r="B6107" s="3" t="s">
        <v>13490</v>
      </c>
      <c r="C6107" s="3" t="s">
        <v>1361</v>
      </c>
      <c r="D6107" s="4" t="s">
        <v>13491</v>
      </c>
      <c r="E6107" s="3" t="s">
        <v>1218</v>
      </c>
      <c r="F6107" s="3" t="s">
        <v>6994</v>
      </c>
      <c r="G6107" s="3" t="s">
        <v>321</v>
      </c>
      <c r="H6107" s="4" t="s">
        <v>2050</v>
      </c>
    </row>
    <row r="6108" ht="16.5" customHeight="1" spans="1:8">
      <c r="A6108" s="3">
        <v>6107</v>
      </c>
      <c r="B6108" s="3" t="s">
        <v>13492</v>
      </c>
      <c r="C6108" s="3" t="s">
        <v>1361</v>
      </c>
      <c r="D6108" s="4" t="s">
        <v>13493</v>
      </c>
      <c r="E6108" s="3" t="s">
        <v>1218</v>
      </c>
      <c r="F6108" s="3" t="s">
        <v>6994</v>
      </c>
      <c r="G6108" s="3" t="s">
        <v>321</v>
      </c>
      <c r="H6108" s="4" t="s">
        <v>2050</v>
      </c>
    </row>
    <row r="6109" ht="16.5" customHeight="1" spans="1:8">
      <c r="A6109" s="3">
        <v>6108</v>
      </c>
      <c r="B6109" s="3" t="s">
        <v>13494</v>
      </c>
      <c r="C6109" s="3" t="s">
        <v>1361</v>
      </c>
      <c r="D6109" s="4" t="s">
        <v>13495</v>
      </c>
      <c r="E6109" s="3" t="s">
        <v>1218</v>
      </c>
      <c r="F6109" s="3" t="s">
        <v>6994</v>
      </c>
      <c r="G6109" s="3" t="s">
        <v>321</v>
      </c>
      <c r="H6109" s="4" t="s">
        <v>2050</v>
      </c>
    </row>
    <row r="6110" ht="16.5" customHeight="1" spans="1:8">
      <c r="A6110" s="3">
        <v>6109</v>
      </c>
      <c r="B6110" s="3" t="s">
        <v>13496</v>
      </c>
      <c r="C6110" s="3" t="s">
        <v>1361</v>
      </c>
      <c r="D6110" s="4" t="s">
        <v>13497</v>
      </c>
      <c r="E6110" s="3" t="s">
        <v>1218</v>
      </c>
      <c r="F6110" s="3" t="s">
        <v>6994</v>
      </c>
      <c r="G6110" s="3" t="s">
        <v>321</v>
      </c>
      <c r="H6110" s="4" t="s">
        <v>2050</v>
      </c>
    </row>
    <row r="6111" ht="16.5" customHeight="1" spans="1:8">
      <c r="A6111" s="3">
        <v>6110</v>
      </c>
      <c r="B6111" s="3" t="s">
        <v>13498</v>
      </c>
      <c r="C6111" s="3" t="s">
        <v>1361</v>
      </c>
      <c r="D6111" s="4" t="s">
        <v>13499</v>
      </c>
      <c r="E6111" s="3" t="s">
        <v>1218</v>
      </c>
      <c r="F6111" s="3" t="s">
        <v>6994</v>
      </c>
      <c r="G6111" s="3" t="s">
        <v>321</v>
      </c>
      <c r="H6111" s="4" t="s">
        <v>2050</v>
      </c>
    </row>
    <row r="6112" ht="16.5" customHeight="1" spans="1:8">
      <c r="A6112" s="3">
        <v>6111</v>
      </c>
      <c r="B6112" s="3" t="s">
        <v>13500</v>
      </c>
      <c r="C6112" s="3" t="s">
        <v>1361</v>
      </c>
      <c r="D6112" s="4" t="s">
        <v>13501</v>
      </c>
      <c r="E6112" s="3" t="s">
        <v>1218</v>
      </c>
      <c r="F6112" s="3" t="s">
        <v>6994</v>
      </c>
      <c r="G6112" s="3"/>
      <c r="H6112" s="4" t="s">
        <v>2050</v>
      </c>
    </row>
    <row r="6113" ht="16.5" customHeight="1" spans="1:8">
      <c r="A6113" s="3">
        <v>6112</v>
      </c>
      <c r="B6113" s="3" t="s">
        <v>13502</v>
      </c>
      <c r="C6113" s="3" t="s">
        <v>1361</v>
      </c>
      <c r="D6113" s="4" t="s">
        <v>13503</v>
      </c>
      <c r="E6113" s="3" t="s">
        <v>1218</v>
      </c>
      <c r="F6113" s="3" t="s">
        <v>6994</v>
      </c>
      <c r="G6113" s="3"/>
      <c r="H6113" s="4" t="s">
        <v>2050</v>
      </c>
    </row>
    <row r="6114" ht="16.5" customHeight="1" spans="1:8">
      <c r="A6114" s="3">
        <v>6113</v>
      </c>
      <c r="B6114" s="3" t="s">
        <v>13504</v>
      </c>
      <c r="C6114" s="3" t="s">
        <v>1361</v>
      </c>
      <c r="D6114" s="4" t="s">
        <v>13505</v>
      </c>
      <c r="E6114" s="3" t="s">
        <v>1218</v>
      </c>
      <c r="F6114" s="3" t="s">
        <v>6994</v>
      </c>
      <c r="G6114" s="3" t="s">
        <v>321</v>
      </c>
      <c r="H6114" s="4" t="s">
        <v>2050</v>
      </c>
    </row>
    <row r="6115" ht="16.5" customHeight="1" spans="1:8">
      <c r="A6115" s="3">
        <v>6114</v>
      </c>
      <c r="B6115" s="3" t="s">
        <v>13506</v>
      </c>
      <c r="C6115" s="3" t="s">
        <v>1361</v>
      </c>
      <c r="D6115" s="4" t="s">
        <v>13507</v>
      </c>
      <c r="E6115" s="3" t="s">
        <v>1218</v>
      </c>
      <c r="F6115" s="3" t="s">
        <v>6994</v>
      </c>
      <c r="G6115" s="3"/>
      <c r="H6115" s="4" t="s">
        <v>2050</v>
      </c>
    </row>
    <row r="6116" ht="16.5" customHeight="1" spans="1:8">
      <c r="A6116" s="3">
        <v>6115</v>
      </c>
      <c r="B6116" s="3" t="s">
        <v>13508</v>
      </c>
      <c r="C6116" s="3" t="s">
        <v>1361</v>
      </c>
      <c r="D6116" s="4" t="s">
        <v>13509</v>
      </c>
      <c r="E6116" s="3" t="s">
        <v>1218</v>
      </c>
      <c r="F6116" s="3" t="s">
        <v>6994</v>
      </c>
      <c r="G6116" s="3" t="s">
        <v>321</v>
      </c>
      <c r="H6116" s="4" t="s">
        <v>2050</v>
      </c>
    </row>
    <row r="6117" ht="16.5" customHeight="1" spans="1:8">
      <c r="A6117" s="3">
        <v>6116</v>
      </c>
      <c r="B6117" s="3" t="s">
        <v>13510</v>
      </c>
      <c r="C6117" s="3" t="s">
        <v>1361</v>
      </c>
      <c r="D6117" s="4" t="s">
        <v>13511</v>
      </c>
      <c r="E6117" s="3" t="s">
        <v>1218</v>
      </c>
      <c r="F6117" s="3" t="s">
        <v>6994</v>
      </c>
      <c r="G6117" s="3" t="s">
        <v>321</v>
      </c>
      <c r="H6117" s="4" t="s">
        <v>2050</v>
      </c>
    </row>
    <row r="6118" ht="16.5" customHeight="1" spans="1:8">
      <c r="A6118" s="3">
        <v>6117</v>
      </c>
      <c r="B6118" s="3" t="s">
        <v>13512</v>
      </c>
      <c r="C6118" s="3" t="s">
        <v>1361</v>
      </c>
      <c r="D6118" s="4" t="s">
        <v>13513</v>
      </c>
      <c r="E6118" s="3" t="s">
        <v>1218</v>
      </c>
      <c r="F6118" s="3" t="s">
        <v>6994</v>
      </c>
      <c r="G6118" s="3" t="s">
        <v>321</v>
      </c>
      <c r="H6118" s="4" t="s">
        <v>2050</v>
      </c>
    </row>
    <row r="6119" ht="16.5" customHeight="1" spans="1:8">
      <c r="A6119" s="3">
        <v>6118</v>
      </c>
      <c r="B6119" s="3" t="s">
        <v>13514</v>
      </c>
      <c r="C6119" s="3" t="s">
        <v>1361</v>
      </c>
      <c r="D6119" s="4" t="s">
        <v>13515</v>
      </c>
      <c r="E6119" s="3" t="s">
        <v>1218</v>
      </c>
      <c r="F6119" s="3" t="s">
        <v>6994</v>
      </c>
      <c r="G6119" s="3" t="s">
        <v>321</v>
      </c>
      <c r="H6119" s="4" t="s">
        <v>2050</v>
      </c>
    </row>
    <row r="6120" ht="16.5" customHeight="1" spans="1:8">
      <c r="A6120" s="3">
        <v>6119</v>
      </c>
      <c r="B6120" s="3" t="s">
        <v>13516</v>
      </c>
      <c r="C6120" s="3" t="s">
        <v>1361</v>
      </c>
      <c r="D6120" s="4" t="s">
        <v>13517</v>
      </c>
      <c r="E6120" s="3" t="s">
        <v>1218</v>
      </c>
      <c r="F6120" s="3" t="s">
        <v>6994</v>
      </c>
      <c r="G6120" s="3" t="s">
        <v>321</v>
      </c>
      <c r="H6120" s="4" t="s">
        <v>2050</v>
      </c>
    </row>
    <row r="6121" ht="16.5" customHeight="1" spans="1:8">
      <c r="A6121" s="3">
        <v>6120</v>
      </c>
      <c r="B6121" s="3" t="s">
        <v>13518</v>
      </c>
      <c r="C6121" s="3" t="s">
        <v>1361</v>
      </c>
      <c r="D6121" s="4" t="s">
        <v>13519</v>
      </c>
      <c r="E6121" s="3" t="s">
        <v>1218</v>
      </c>
      <c r="F6121" s="3" t="s">
        <v>6994</v>
      </c>
      <c r="G6121" s="3"/>
      <c r="H6121" s="4" t="s">
        <v>2050</v>
      </c>
    </row>
    <row r="6122" ht="16.5" customHeight="1" spans="1:8">
      <c r="A6122" s="3">
        <v>6121</v>
      </c>
      <c r="B6122" s="3" t="s">
        <v>13520</v>
      </c>
      <c r="C6122" s="3" t="s">
        <v>1361</v>
      </c>
      <c r="D6122" s="4" t="s">
        <v>13521</v>
      </c>
      <c r="E6122" s="3" t="s">
        <v>1218</v>
      </c>
      <c r="F6122" s="3" t="s">
        <v>6994</v>
      </c>
      <c r="G6122" s="3" t="s">
        <v>321</v>
      </c>
      <c r="H6122" s="4" t="s">
        <v>2050</v>
      </c>
    </row>
    <row r="6123" ht="16.5" customHeight="1" spans="1:8">
      <c r="A6123" s="3">
        <v>6122</v>
      </c>
      <c r="B6123" s="3" t="s">
        <v>13522</v>
      </c>
      <c r="C6123" s="3" t="s">
        <v>1361</v>
      </c>
      <c r="D6123" s="4" t="s">
        <v>13523</v>
      </c>
      <c r="E6123" s="3" t="s">
        <v>1218</v>
      </c>
      <c r="F6123" s="3" t="s">
        <v>6994</v>
      </c>
      <c r="G6123" s="3" t="s">
        <v>321</v>
      </c>
      <c r="H6123" s="4" t="s">
        <v>2050</v>
      </c>
    </row>
    <row r="6124" ht="16.5" customHeight="1" spans="1:8">
      <c r="A6124" s="3">
        <v>6123</v>
      </c>
      <c r="B6124" s="3" t="s">
        <v>13524</v>
      </c>
      <c r="C6124" s="3" t="s">
        <v>1361</v>
      </c>
      <c r="D6124" s="4" t="s">
        <v>13525</v>
      </c>
      <c r="E6124" s="3" t="s">
        <v>1218</v>
      </c>
      <c r="F6124" s="3" t="s">
        <v>6994</v>
      </c>
      <c r="G6124" s="3" t="s">
        <v>321</v>
      </c>
      <c r="H6124" s="4" t="s">
        <v>2050</v>
      </c>
    </row>
    <row r="6125" ht="16.5" customHeight="1" spans="1:8">
      <c r="A6125" s="3">
        <v>6124</v>
      </c>
      <c r="B6125" s="3" t="s">
        <v>13526</v>
      </c>
      <c r="C6125" s="3" t="s">
        <v>1361</v>
      </c>
      <c r="D6125" s="4" t="s">
        <v>13527</v>
      </c>
      <c r="E6125" s="3" t="s">
        <v>1218</v>
      </c>
      <c r="F6125" s="3" t="s">
        <v>6994</v>
      </c>
      <c r="G6125" s="3" t="s">
        <v>321</v>
      </c>
      <c r="H6125" s="4" t="s">
        <v>2050</v>
      </c>
    </row>
    <row r="6126" ht="16.5" customHeight="1" spans="1:8">
      <c r="A6126" s="3">
        <v>6125</v>
      </c>
      <c r="B6126" s="3" t="s">
        <v>13528</v>
      </c>
      <c r="C6126" s="3" t="s">
        <v>1361</v>
      </c>
      <c r="D6126" s="4" t="s">
        <v>13529</v>
      </c>
      <c r="E6126" s="3" t="s">
        <v>1218</v>
      </c>
      <c r="F6126" s="3" t="s">
        <v>6994</v>
      </c>
      <c r="G6126" s="3"/>
      <c r="H6126" s="4" t="s">
        <v>2050</v>
      </c>
    </row>
    <row r="6127" ht="16.5" customHeight="1" spans="1:8">
      <c r="A6127" s="3">
        <v>6126</v>
      </c>
      <c r="B6127" s="3" t="s">
        <v>13530</v>
      </c>
      <c r="C6127" s="3" t="s">
        <v>1361</v>
      </c>
      <c r="D6127" s="4" t="s">
        <v>13531</v>
      </c>
      <c r="E6127" s="3" t="s">
        <v>1218</v>
      </c>
      <c r="F6127" s="3" t="s">
        <v>6994</v>
      </c>
      <c r="G6127" s="3" t="s">
        <v>321</v>
      </c>
      <c r="H6127" s="4" t="s">
        <v>2050</v>
      </c>
    </row>
    <row r="6128" ht="16.5" customHeight="1" spans="1:8">
      <c r="A6128" s="3">
        <v>6127</v>
      </c>
      <c r="B6128" s="3" t="s">
        <v>13532</v>
      </c>
      <c r="C6128" s="3" t="s">
        <v>1361</v>
      </c>
      <c r="D6128" s="4" t="s">
        <v>13533</v>
      </c>
      <c r="E6128" s="3" t="s">
        <v>1218</v>
      </c>
      <c r="F6128" s="3" t="s">
        <v>6994</v>
      </c>
      <c r="G6128" s="3" t="s">
        <v>321</v>
      </c>
      <c r="H6128" s="4" t="s">
        <v>2050</v>
      </c>
    </row>
    <row r="6129" ht="16.5" customHeight="1" spans="1:8">
      <c r="A6129" s="3">
        <v>6128</v>
      </c>
      <c r="B6129" s="3" t="s">
        <v>13534</v>
      </c>
      <c r="C6129" s="3" t="s">
        <v>2163</v>
      </c>
      <c r="D6129" s="4" t="s">
        <v>13535</v>
      </c>
      <c r="E6129" s="3" t="s">
        <v>2726</v>
      </c>
      <c r="F6129" s="3" t="s">
        <v>10943</v>
      </c>
      <c r="G6129" s="3"/>
      <c r="H6129" s="4"/>
    </row>
    <row r="6130" ht="16.5" customHeight="1" spans="1:8">
      <c r="A6130" s="3">
        <v>6129</v>
      </c>
      <c r="B6130" s="3" t="s">
        <v>13536</v>
      </c>
      <c r="C6130" s="3" t="s">
        <v>2163</v>
      </c>
      <c r="D6130" s="4" t="s">
        <v>13537</v>
      </c>
      <c r="E6130" s="3" t="s">
        <v>1076</v>
      </c>
      <c r="F6130" s="3" t="s">
        <v>6994</v>
      </c>
      <c r="G6130" s="3" t="s">
        <v>321</v>
      </c>
      <c r="H6130" s="4" t="s">
        <v>2050</v>
      </c>
    </row>
    <row r="6131" ht="16.5" customHeight="1" spans="1:8">
      <c r="A6131" s="3">
        <v>6130</v>
      </c>
      <c r="B6131" s="3" t="s">
        <v>13538</v>
      </c>
      <c r="C6131" s="3" t="s">
        <v>2163</v>
      </c>
      <c r="D6131" s="4" t="s">
        <v>13539</v>
      </c>
      <c r="E6131" s="3" t="s">
        <v>1076</v>
      </c>
      <c r="F6131" s="3" t="s">
        <v>6994</v>
      </c>
      <c r="G6131" s="3" t="s">
        <v>321</v>
      </c>
      <c r="H6131" s="4" t="s">
        <v>2050</v>
      </c>
    </row>
    <row r="6132" ht="16.5" customHeight="1" spans="1:8">
      <c r="A6132" s="3">
        <v>6131</v>
      </c>
      <c r="B6132" s="3" t="s">
        <v>13540</v>
      </c>
      <c r="C6132" s="3" t="s">
        <v>2163</v>
      </c>
      <c r="D6132" s="4" t="s">
        <v>13541</v>
      </c>
      <c r="E6132" s="3" t="s">
        <v>1076</v>
      </c>
      <c r="F6132" s="3" t="s">
        <v>2041</v>
      </c>
      <c r="G6132" s="3" t="s">
        <v>98</v>
      </c>
      <c r="H6132" s="4" t="s">
        <v>3812</v>
      </c>
    </row>
    <row r="6133" ht="16.5" customHeight="1" spans="1:8">
      <c r="A6133" s="3">
        <v>6132</v>
      </c>
      <c r="B6133" s="3" t="s">
        <v>13542</v>
      </c>
      <c r="C6133" s="3" t="s">
        <v>2163</v>
      </c>
      <c r="D6133" s="4" t="s">
        <v>13543</v>
      </c>
      <c r="E6133" s="3" t="s">
        <v>2726</v>
      </c>
      <c r="F6133" s="3" t="s">
        <v>2041</v>
      </c>
      <c r="G6133" s="3" t="s">
        <v>98</v>
      </c>
      <c r="H6133" s="4"/>
    </row>
    <row r="6134" ht="16.5" customHeight="1" spans="1:8">
      <c r="A6134" s="3">
        <v>6133</v>
      </c>
      <c r="B6134" s="3" t="s">
        <v>13544</v>
      </c>
      <c r="C6134" s="3" t="s">
        <v>2163</v>
      </c>
      <c r="D6134" s="4" t="s">
        <v>13545</v>
      </c>
      <c r="E6134" s="3" t="s">
        <v>1076</v>
      </c>
      <c r="F6134" s="3" t="s">
        <v>2041</v>
      </c>
      <c r="G6134" s="3" t="s">
        <v>98</v>
      </c>
      <c r="H6134" s="4" t="s">
        <v>3812</v>
      </c>
    </row>
    <row r="6135" ht="16.5" customHeight="1" spans="1:8">
      <c r="A6135" s="3">
        <v>6134</v>
      </c>
      <c r="B6135" s="3" t="s">
        <v>13546</v>
      </c>
      <c r="C6135" s="3" t="s">
        <v>2163</v>
      </c>
      <c r="D6135" s="4" t="s">
        <v>13547</v>
      </c>
      <c r="E6135" s="3" t="s">
        <v>2263</v>
      </c>
      <c r="F6135" s="3" t="s">
        <v>6994</v>
      </c>
      <c r="G6135" s="3" t="s">
        <v>98</v>
      </c>
      <c r="H6135" s="4" t="s">
        <v>2050</v>
      </c>
    </row>
    <row r="6136" ht="16.5" customHeight="1" spans="1:8">
      <c r="A6136" s="3">
        <v>6135</v>
      </c>
      <c r="B6136" s="3" t="s">
        <v>13548</v>
      </c>
      <c r="C6136" s="3" t="s">
        <v>2163</v>
      </c>
      <c r="D6136" s="4" t="s">
        <v>13549</v>
      </c>
      <c r="E6136" s="3" t="s">
        <v>1076</v>
      </c>
      <c r="F6136" s="3" t="s">
        <v>1358</v>
      </c>
      <c r="G6136" s="3" t="s">
        <v>321</v>
      </c>
      <c r="H6136" s="4" t="s">
        <v>2050</v>
      </c>
    </row>
    <row r="6137" ht="16.5" customHeight="1" spans="1:8">
      <c r="A6137" s="3">
        <v>6136</v>
      </c>
      <c r="B6137" s="3" t="s">
        <v>13550</v>
      </c>
      <c r="C6137" s="3" t="s">
        <v>2163</v>
      </c>
      <c r="D6137" s="4" t="s">
        <v>13551</v>
      </c>
      <c r="E6137" s="3" t="s">
        <v>2263</v>
      </c>
      <c r="F6137" s="3" t="s">
        <v>6994</v>
      </c>
      <c r="G6137" s="3" t="s">
        <v>321</v>
      </c>
      <c r="H6137" s="4" t="s">
        <v>2050</v>
      </c>
    </row>
    <row r="6138" ht="16.5" customHeight="1" spans="1:8">
      <c r="A6138" s="3">
        <v>6137</v>
      </c>
      <c r="B6138" s="3" t="s">
        <v>13552</v>
      </c>
      <c r="C6138" s="3" t="s">
        <v>2163</v>
      </c>
      <c r="D6138" s="4" t="s">
        <v>13553</v>
      </c>
      <c r="E6138" s="3" t="s">
        <v>2263</v>
      </c>
      <c r="F6138" s="3" t="s">
        <v>6994</v>
      </c>
      <c r="G6138" s="3" t="s">
        <v>98</v>
      </c>
      <c r="H6138" s="4" t="s">
        <v>2050</v>
      </c>
    </row>
    <row r="6139" ht="16.5" customHeight="1" spans="1:8">
      <c r="A6139" s="3">
        <v>6138</v>
      </c>
      <c r="B6139" s="3" t="s">
        <v>13554</v>
      </c>
      <c r="C6139" s="3" t="s">
        <v>2163</v>
      </c>
      <c r="D6139" s="4" t="s">
        <v>13555</v>
      </c>
      <c r="E6139" s="3" t="s">
        <v>2263</v>
      </c>
      <c r="F6139" s="3" t="s">
        <v>6994</v>
      </c>
      <c r="G6139" s="3" t="s">
        <v>321</v>
      </c>
      <c r="H6139" s="4" t="s">
        <v>2050</v>
      </c>
    </row>
    <row r="6140" ht="16.5" customHeight="1" spans="1:8">
      <c r="A6140" s="3">
        <v>6139</v>
      </c>
      <c r="B6140" s="3" t="s">
        <v>13556</v>
      </c>
      <c r="C6140" s="3" t="s">
        <v>2163</v>
      </c>
      <c r="D6140" s="4" t="s">
        <v>13557</v>
      </c>
      <c r="E6140" s="3" t="s">
        <v>2263</v>
      </c>
      <c r="F6140" s="3" t="s">
        <v>6994</v>
      </c>
      <c r="G6140" s="3" t="s">
        <v>98</v>
      </c>
      <c r="H6140" s="4" t="s">
        <v>2050</v>
      </c>
    </row>
    <row r="6141" ht="16.5" customHeight="1" spans="1:8">
      <c r="A6141" s="3">
        <v>6140</v>
      </c>
      <c r="B6141" s="3" t="s">
        <v>13558</v>
      </c>
      <c r="C6141" s="3" t="s">
        <v>1074</v>
      </c>
      <c r="D6141" s="4" t="s">
        <v>13559</v>
      </c>
      <c r="E6141" s="3" t="s">
        <v>1076</v>
      </c>
      <c r="F6141" s="3" t="s">
        <v>10259</v>
      </c>
      <c r="G6141" s="3"/>
      <c r="H6141" s="4" t="s">
        <v>6877</v>
      </c>
    </row>
    <row r="6142" ht="16.5" customHeight="1" spans="1:8">
      <c r="A6142" s="3">
        <v>6141</v>
      </c>
      <c r="B6142" s="3" t="s">
        <v>13560</v>
      </c>
      <c r="C6142" s="3" t="s">
        <v>2163</v>
      </c>
      <c r="D6142" s="4" t="s">
        <v>13561</v>
      </c>
      <c r="E6142" s="3" t="s">
        <v>1076</v>
      </c>
      <c r="F6142" s="3" t="s">
        <v>2041</v>
      </c>
      <c r="G6142" s="3" t="s">
        <v>98</v>
      </c>
      <c r="H6142" s="4" t="s">
        <v>3812</v>
      </c>
    </row>
    <row r="6143" ht="16.5" customHeight="1" spans="1:8">
      <c r="A6143" s="3">
        <v>6142</v>
      </c>
      <c r="B6143" s="3" t="s">
        <v>13562</v>
      </c>
      <c r="C6143" s="3" t="s">
        <v>2163</v>
      </c>
      <c r="D6143" s="4" t="s">
        <v>13563</v>
      </c>
      <c r="E6143" s="3" t="s">
        <v>2726</v>
      </c>
      <c r="F6143" s="3" t="s">
        <v>6994</v>
      </c>
      <c r="G6143" s="3" t="s">
        <v>98</v>
      </c>
      <c r="H6143" s="4" t="s">
        <v>2050</v>
      </c>
    </row>
    <row r="6144" ht="16.5" customHeight="1" spans="1:8">
      <c r="A6144" s="3">
        <v>6143</v>
      </c>
      <c r="B6144" s="3" t="s">
        <v>13564</v>
      </c>
      <c r="C6144" s="3" t="s">
        <v>2163</v>
      </c>
      <c r="D6144" s="4" t="s">
        <v>13565</v>
      </c>
      <c r="E6144" s="3" t="s">
        <v>7007</v>
      </c>
      <c r="F6144" s="3" t="s">
        <v>6994</v>
      </c>
      <c r="G6144" s="3" t="s">
        <v>321</v>
      </c>
      <c r="H6144" s="4" t="s">
        <v>2050</v>
      </c>
    </row>
    <row r="6145" ht="16.5" customHeight="1" spans="1:8">
      <c r="A6145" s="3">
        <v>6144</v>
      </c>
      <c r="B6145" s="3" t="s">
        <v>13566</v>
      </c>
      <c r="C6145" s="3" t="s">
        <v>1105</v>
      </c>
      <c r="D6145" s="4" t="s">
        <v>13567</v>
      </c>
      <c r="E6145" s="3" t="s">
        <v>1076</v>
      </c>
      <c r="F6145" s="3" t="s">
        <v>10259</v>
      </c>
      <c r="G6145" s="3"/>
      <c r="H6145" s="4" t="s">
        <v>13568</v>
      </c>
    </row>
    <row r="6146" ht="16.5" customHeight="1" spans="1:8">
      <c r="A6146" s="3">
        <v>6145</v>
      </c>
      <c r="B6146" s="3" t="s">
        <v>13569</v>
      </c>
      <c r="C6146" s="3" t="s">
        <v>1361</v>
      </c>
      <c r="D6146" s="4" t="s">
        <v>13570</v>
      </c>
      <c r="E6146" s="3" t="s">
        <v>2056</v>
      </c>
      <c r="F6146" s="3" t="s">
        <v>10943</v>
      </c>
      <c r="G6146" s="3"/>
      <c r="H6146" s="4"/>
    </row>
    <row r="6147" ht="16.5" customHeight="1" spans="1:8">
      <c r="A6147" s="3">
        <v>6146</v>
      </c>
      <c r="B6147" s="3" t="s">
        <v>13571</v>
      </c>
      <c r="C6147" s="3" t="s">
        <v>1361</v>
      </c>
      <c r="D6147" s="4" t="s">
        <v>13572</v>
      </c>
      <c r="E6147" s="3" t="s">
        <v>2056</v>
      </c>
      <c r="F6147" s="3" t="s">
        <v>10943</v>
      </c>
      <c r="G6147" s="3"/>
      <c r="H6147" s="4"/>
    </row>
    <row r="6148" ht="16.5" customHeight="1" spans="1:8">
      <c r="A6148" s="3">
        <v>6147</v>
      </c>
      <c r="B6148" s="3" t="s">
        <v>13573</v>
      </c>
      <c r="C6148" s="3" t="s">
        <v>1361</v>
      </c>
      <c r="D6148" s="4" t="s">
        <v>13574</v>
      </c>
      <c r="E6148" s="3" t="s">
        <v>2056</v>
      </c>
      <c r="F6148" s="3" t="s">
        <v>10943</v>
      </c>
      <c r="G6148" s="3"/>
      <c r="H6148" s="4"/>
    </row>
    <row r="6149" ht="16.5" customHeight="1" spans="1:8">
      <c r="A6149" s="3">
        <v>6148</v>
      </c>
      <c r="B6149" s="3" t="s">
        <v>13575</v>
      </c>
      <c r="C6149" s="3" t="s">
        <v>1361</v>
      </c>
      <c r="D6149" s="4" t="s">
        <v>13576</v>
      </c>
      <c r="E6149" s="3" t="s">
        <v>2056</v>
      </c>
      <c r="F6149" s="3" t="s">
        <v>10943</v>
      </c>
      <c r="G6149" s="3"/>
      <c r="H6149" s="4"/>
    </row>
    <row r="6150" ht="16.5" customHeight="1" spans="1:8">
      <c r="A6150" s="3">
        <v>6149</v>
      </c>
      <c r="B6150" s="3" t="s">
        <v>13577</v>
      </c>
      <c r="C6150" s="3" t="s">
        <v>1361</v>
      </c>
      <c r="D6150" s="4" t="s">
        <v>13578</v>
      </c>
      <c r="E6150" s="3" t="s">
        <v>2056</v>
      </c>
      <c r="F6150" s="3" t="s">
        <v>10943</v>
      </c>
      <c r="G6150" s="3"/>
      <c r="H6150" s="4"/>
    </row>
    <row r="6151" ht="16.5" customHeight="1" spans="1:8">
      <c r="A6151" s="3">
        <v>6150</v>
      </c>
      <c r="B6151" s="3" t="s">
        <v>13579</v>
      </c>
      <c r="C6151" s="3" t="s">
        <v>2163</v>
      </c>
      <c r="D6151" s="4" t="s">
        <v>13580</v>
      </c>
      <c r="E6151" s="3" t="s">
        <v>7007</v>
      </c>
      <c r="F6151" s="3" t="s">
        <v>2105</v>
      </c>
      <c r="G6151" s="3"/>
      <c r="H6151" s="4"/>
    </row>
    <row r="6152" ht="16.5" customHeight="1" spans="1:8">
      <c r="A6152" s="3">
        <v>6151</v>
      </c>
      <c r="B6152" s="3" t="s">
        <v>13581</v>
      </c>
      <c r="C6152" s="3" t="s">
        <v>1074</v>
      </c>
      <c r="D6152" s="4" t="s">
        <v>13582</v>
      </c>
      <c r="E6152" s="3" t="s">
        <v>1218</v>
      </c>
      <c r="F6152" s="3" t="s">
        <v>10259</v>
      </c>
      <c r="G6152" s="3"/>
      <c r="H6152" s="4" t="s">
        <v>5533</v>
      </c>
    </row>
    <row r="6153" ht="16.5" customHeight="1" spans="1:8">
      <c r="A6153" s="3">
        <v>6152</v>
      </c>
      <c r="B6153" s="3" t="s">
        <v>13583</v>
      </c>
      <c r="C6153" s="3" t="s">
        <v>2163</v>
      </c>
      <c r="D6153" s="4" t="s">
        <v>13584</v>
      </c>
      <c r="E6153" s="3" t="s">
        <v>2263</v>
      </c>
      <c r="F6153" s="3" t="s">
        <v>2041</v>
      </c>
      <c r="G6153" s="3" t="s">
        <v>321</v>
      </c>
      <c r="H6153" s="4" t="s">
        <v>1359</v>
      </c>
    </row>
    <row r="6154" ht="16.5" customHeight="1" spans="1:8">
      <c r="A6154" s="3">
        <v>6153</v>
      </c>
      <c r="B6154" s="3" t="s">
        <v>13585</v>
      </c>
      <c r="C6154" s="3" t="s">
        <v>1074</v>
      </c>
      <c r="D6154" s="4" t="s">
        <v>13586</v>
      </c>
      <c r="E6154" s="3" t="s">
        <v>1218</v>
      </c>
      <c r="F6154" s="3" t="s">
        <v>1719</v>
      </c>
      <c r="G6154" s="3"/>
      <c r="H6154" s="4" t="s">
        <v>5275</v>
      </c>
    </row>
    <row r="6155" ht="16.5" customHeight="1" spans="1:8">
      <c r="A6155" s="3">
        <v>6154</v>
      </c>
      <c r="B6155" s="3" t="s">
        <v>13587</v>
      </c>
      <c r="C6155" s="3" t="s">
        <v>1074</v>
      </c>
      <c r="D6155" s="4" t="s">
        <v>13588</v>
      </c>
      <c r="E6155" s="3" t="s">
        <v>1218</v>
      </c>
      <c r="F6155" s="3" t="s">
        <v>1719</v>
      </c>
      <c r="G6155" s="3"/>
      <c r="H6155" s="4" t="s">
        <v>5275</v>
      </c>
    </row>
    <row r="6156" ht="16.5" customHeight="1" spans="1:8">
      <c r="A6156" s="3">
        <v>6155</v>
      </c>
      <c r="B6156" s="3" t="s">
        <v>13589</v>
      </c>
      <c r="C6156" s="3" t="s">
        <v>1074</v>
      </c>
      <c r="D6156" s="4" t="s">
        <v>8709</v>
      </c>
      <c r="E6156" s="3" t="s">
        <v>1218</v>
      </c>
      <c r="F6156" s="3" t="s">
        <v>10259</v>
      </c>
      <c r="G6156" s="3"/>
      <c r="H6156" s="4" t="s">
        <v>6877</v>
      </c>
    </row>
    <row r="6157" ht="16.5" customHeight="1" spans="1:8">
      <c r="A6157" s="3">
        <v>6156</v>
      </c>
      <c r="B6157" s="3" t="s">
        <v>13590</v>
      </c>
      <c r="C6157" s="3" t="s">
        <v>2163</v>
      </c>
      <c r="D6157" s="4" t="s">
        <v>13591</v>
      </c>
      <c r="E6157" s="3" t="s">
        <v>2726</v>
      </c>
      <c r="F6157" s="3" t="s">
        <v>6994</v>
      </c>
      <c r="G6157" s="3" t="s">
        <v>321</v>
      </c>
      <c r="H6157" s="4" t="s">
        <v>2050</v>
      </c>
    </row>
    <row r="6158" ht="16.5" customHeight="1" spans="1:8">
      <c r="A6158" s="3">
        <v>6157</v>
      </c>
      <c r="B6158" s="3" t="s">
        <v>13592</v>
      </c>
      <c r="C6158" s="3" t="s">
        <v>2163</v>
      </c>
      <c r="D6158" s="4" t="s">
        <v>13593</v>
      </c>
      <c r="E6158" s="3" t="s">
        <v>2726</v>
      </c>
      <c r="F6158" s="3" t="s">
        <v>6994</v>
      </c>
      <c r="G6158" s="3" t="s">
        <v>321</v>
      </c>
      <c r="H6158" s="4" t="s">
        <v>2050</v>
      </c>
    </row>
    <row r="6159" ht="16.5" customHeight="1" spans="1:8">
      <c r="A6159" s="3">
        <v>6158</v>
      </c>
      <c r="B6159" s="3" t="s">
        <v>13594</v>
      </c>
      <c r="C6159" s="3" t="s">
        <v>1105</v>
      </c>
      <c r="D6159" s="4" t="s">
        <v>13595</v>
      </c>
      <c r="E6159" s="3" t="s">
        <v>1076</v>
      </c>
      <c r="F6159" s="3" t="s">
        <v>2041</v>
      </c>
      <c r="G6159" s="3"/>
      <c r="H6159" s="4" t="s">
        <v>13568</v>
      </c>
    </row>
    <row r="6160" ht="16.5" customHeight="1" spans="1:8">
      <c r="A6160" s="3">
        <v>6159</v>
      </c>
      <c r="B6160" s="3" t="s">
        <v>13596</v>
      </c>
      <c r="C6160" s="3" t="s">
        <v>1105</v>
      </c>
      <c r="D6160" s="4" t="s">
        <v>13597</v>
      </c>
      <c r="E6160" s="3" t="s">
        <v>1076</v>
      </c>
      <c r="F6160" s="3" t="s">
        <v>2041</v>
      </c>
      <c r="G6160" s="3"/>
      <c r="H6160" s="4" t="s">
        <v>13568</v>
      </c>
    </row>
    <row r="6161" ht="16.5" customHeight="1" spans="1:8">
      <c r="A6161" s="3">
        <v>6160</v>
      </c>
      <c r="B6161" s="3" t="s">
        <v>13598</v>
      </c>
      <c r="C6161" s="3" t="s">
        <v>1105</v>
      </c>
      <c r="D6161" s="4" t="s">
        <v>13599</v>
      </c>
      <c r="E6161" s="3" t="s">
        <v>1076</v>
      </c>
      <c r="F6161" s="3" t="s">
        <v>2041</v>
      </c>
      <c r="G6161" s="3"/>
      <c r="H6161" s="4" t="s">
        <v>13600</v>
      </c>
    </row>
    <row r="6162" ht="16.5" customHeight="1" spans="1:8">
      <c r="A6162" s="3">
        <v>6161</v>
      </c>
      <c r="B6162" s="3" t="s">
        <v>13601</v>
      </c>
      <c r="C6162" s="3" t="s">
        <v>1105</v>
      </c>
      <c r="D6162" s="4" t="s">
        <v>13602</v>
      </c>
      <c r="E6162" s="3" t="s">
        <v>1076</v>
      </c>
      <c r="F6162" s="3" t="s">
        <v>2041</v>
      </c>
      <c r="G6162" s="3"/>
      <c r="H6162" s="4" t="s">
        <v>13600</v>
      </c>
    </row>
    <row r="6163" ht="16.5" customHeight="1" spans="1:8">
      <c r="A6163" s="3">
        <v>6162</v>
      </c>
      <c r="B6163" s="3" t="s">
        <v>13603</v>
      </c>
      <c r="C6163" s="3" t="s">
        <v>1361</v>
      </c>
      <c r="D6163" s="4" t="s">
        <v>13604</v>
      </c>
      <c r="E6163" s="3" t="s">
        <v>1218</v>
      </c>
      <c r="F6163" s="3" t="s">
        <v>6994</v>
      </c>
      <c r="G6163" s="3" t="s">
        <v>321</v>
      </c>
      <c r="H6163" s="4" t="s">
        <v>2050</v>
      </c>
    </row>
    <row r="6164" ht="16.5" customHeight="1" spans="1:8">
      <c r="A6164" s="3">
        <v>6163</v>
      </c>
      <c r="B6164" s="3" t="s">
        <v>13605</v>
      </c>
      <c r="C6164" s="3" t="s">
        <v>1105</v>
      </c>
      <c r="D6164" s="4" t="s">
        <v>13606</v>
      </c>
      <c r="E6164" s="3" t="s">
        <v>1076</v>
      </c>
      <c r="F6164" s="3" t="s">
        <v>2041</v>
      </c>
      <c r="G6164" s="3"/>
      <c r="H6164" s="4" t="s">
        <v>12847</v>
      </c>
    </row>
    <row r="6165" ht="16.5" customHeight="1" spans="1:8">
      <c r="A6165" s="3">
        <v>6164</v>
      </c>
      <c r="B6165" s="3" t="s">
        <v>13607</v>
      </c>
      <c r="C6165" s="3" t="s">
        <v>1361</v>
      </c>
      <c r="D6165" s="4" t="s">
        <v>13608</v>
      </c>
      <c r="E6165" s="3" t="s">
        <v>1218</v>
      </c>
      <c r="F6165" s="3" t="s">
        <v>6994</v>
      </c>
      <c r="G6165" s="3" t="s">
        <v>321</v>
      </c>
      <c r="H6165" s="4" t="s">
        <v>2050</v>
      </c>
    </row>
    <row r="6166" ht="16.5" customHeight="1" spans="1:8">
      <c r="A6166" s="3">
        <v>6165</v>
      </c>
      <c r="B6166" s="3" t="s">
        <v>13609</v>
      </c>
      <c r="C6166" s="3" t="s">
        <v>1105</v>
      </c>
      <c r="D6166" s="4" t="s">
        <v>13610</v>
      </c>
      <c r="E6166" s="3" t="s">
        <v>1076</v>
      </c>
      <c r="F6166" s="3" t="s">
        <v>4120</v>
      </c>
      <c r="G6166" s="3"/>
      <c r="H6166" s="4" t="s">
        <v>13568</v>
      </c>
    </row>
    <row r="6167" ht="16.5" customHeight="1" spans="1:8">
      <c r="A6167" s="3">
        <v>6166</v>
      </c>
      <c r="B6167" s="3" t="s">
        <v>13611</v>
      </c>
      <c r="C6167" s="3" t="s">
        <v>1105</v>
      </c>
      <c r="D6167" s="4" t="s">
        <v>13612</v>
      </c>
      <c r="E6167" s="3" t="s">
        <v>1076</v>
      </c>
      <c r="F6167" s="3" t="s">
        <v>4120</v>
      </c>
      <c r="G6167" s="3"/>
      <c r="H6167" s="4" t="s">
        <v>13600</v>
      </c>
    </row>
    <row r="6168" ht="16.5" customHeight="1" spans="1:8">
      <c r="A6168" s="3">
        <v>6167</v>
      </c>
      <c r="B6168" s="3" t="s">
        <v>13613</v>
      </c>
      <c r="C6168" s="3" t="s">
        <v>1361</v>
      </c>
      <c r="D6168" s="4" t="s">
        <v>13614</v>
      </c>
      <c r="E6168" s="3" t="s">
        <v>1218</v>
      </c>
      <c r="F6168" s="3" t="s">
        <v>6994</v>
      </c>
      <c r="G6168" s="3" t="s">
        <v>321</v>
      </c>
      <c r="H6168" s="4" t="s">
        <v>2050</v>
      </c>
    </row>
    <row r="6169" ht="16.5" customHeight="1" spans="1:8">
      <c r="A6169" s="3">
        <v>6168</v>
      </c>
      <c r="B6169" s="3" t="s">
        <v>13615</v>
      </c>
      <c r="C6169" s="3" t="s">
        <v>1105</v>
      </c>
      <c r="D6169" s="4" t="s">
        <v>13616</v>
      </c>
      <c r="E6169" s="3" t="s">
        <v>1076</v>
      </c>
      <c r="F6169" s="3" t="s">
        <v>2105</v>
      </c>
      <c r="G6169" s="3"/>
      <c r="H6169" s="4" t="s">
        <v>13617</v>
      </c>
    </row>
    <row r="6170" ht="16.5" customHeight="1" spans="1:8">
      <c r="A6170" s="3">
        <v>6169</v>
      </c>
      <c r="B6170" s="3" t="s">
        <v>13618</v>
      </c>
      <c r="C6170" s="3" t="s">
        <v>1105</v>
      </c>
      <c r="D6170" s="4" t="s">
        <v>13619</v>
      </c>
      <c r="E6170" s="3" t="s">
        <v>1076</v>
      </c>
      <c r="F6170" s="3" t="s">
        <v>2105</v>
      </c>
      <c r="G6170" s="3"/>
      <c r="H6170" s="4" t="s">
        <v>13617</v>
      </c>
    </row>
    <row r="6171" ht="16.5" customHeight="1" spans="1:8">
      <c r="A6171" s="3">
        <v>6170</v>
      </c>
      <c r="B6171" s="3" t="s">
        <v>13620</v>
      </c>
      <c r="C6171" s="3" t="s">
        <v>1105</v>
      </c>
      <c r="D6171" s="4" t="s">
        <v>13621</v>
      </c>
      <c r="E6171" s="3" t="s">
        <v>1076</v>
      </c>
      <c r="F6171" s="3" t="s">
        <v>2105</v>
      </c>
      <c r="G6171" s="3"/>
      <c r="H6171" s="4" t="s">
        <v>13617</v>
      </c>
    </row>
    <row r="6172" ht="16.5" customHeight="1" spans="1:8">
      <c r="A6172" s="3">
        <v>6171</v>
      </c>
      <c r="B6172" s="3" t="s">
        <v>13622</v>
      </c>
      <c r="C6172" s="3" t="s">
        <v>2163</v>
      </c>
      <c r="D6172" s="4" t="s">
        <v>13623</v>
      </c>
      <c r="E6172" s="3" t="s">
        <v>2726</v>
      </c>
      <c r="F6172" s="3" t="s">
        <v>2041</v>
      </c>
      <c r="G6172" s="3" t="s">
        <v>98</v>
      </c>
      <c r="H6172" s="4"/>
    </row>
    <row r="6173" ht="16.5" customHeight="1" spans="1:8">
      <c r="A6173" s="3">
        <v>6172</v>
      </c>
      <c r="B6173" s="3" t="s">
        <v>13624</v>
      </c>
      <c r="C6173" s="3" t="s">
        <v>1361</v>
      </c>
      <c r="D6173" s="4" t="s">
        <v>13625</v>
      </c>
      <c r="E6173" s="3" t="s">
        <v>1218</v>
      </c>
      <c r="F6173" s="3" t="s">
        <v>6994</v>
      </c>
      <c r="G6173" s="3" t="s">
        <v>321</v>
      </c>
      <c r="H6173" s="4" t="s">
        <v>2050</v>
      </c>
    </row>
    <row r="6174" ht="16.5" customHeight="1" spans="1:8">
      <c r="A6174" s="3">
        <v>6173</v>
      </c>
      <c r="B6174" s="3" t="s">
        <v>13626</v>
      </c>
      <c r="C6174" s="3" t="s">
        <v>1105</v>
      </c>
      <c r="D6174" s="4" t="s">
        <v>13627</v>
      </c>
      <c r="E6174" s="3" t="s">
        <v>1076</v>
      </c>
      <c r="F6174" s="3" t="s">
        <v>4120</v>
      </c>
      <c r="G6174" s="3"/>
      <c r="H6174" s="4" t="s">
        <v>13600</v>
      </c>
    </row>
    <row r="6175" ht="16.5" customHeight="1" spans="1:8">
      <c r="A6175" s="3">
        <v>6174</v>
      </c>
      <c r="B6175" s="3" t="s">
        <v>13628</v>
      </c>
      <c r="C6175" s="3" t="s">
        <v>1361</v>
      </c>
      <c r="D6175" s="4" t="s">
        <v>13629</v>
      </c>
      <c r="E6175" s="3" t="s">
        <v>1218</v>
      </c>
      <c r="F6175" s="3" t="s">
        <v>6994</v>
      </c>
      <c r="G6175" s="3" t="s">
        <v>321</v>
      </c>
      <c r="H6175" s="4" t="s">
        <v>2050</v>
      </c>
    </row>
    <row r="6176" ht="16.5" customHeight="1" spans="1:8">
      <c r="A6176" s="3">
        <v>6175</v>
      </c>
      <c r="B6176" s="3" t="s">
        <v>13630</v>
      </c>
      <c r="C6176" s="3" t="s">
        <v>1105</v>
      </c>
      <c r="D6176" s="4" t="s">
        <v>13631</v>
      </c>
      <c r="E6176" s="3" t="s">
        <v>1218</v>
      </c>
      <c r="F6176" s="3" t="s">
        <v>2041</v>
      </c>
      <c r="G6176" s="3"/>
      <c r="H6176" s="4" t="s">
        <v>13632</v>
      </c>
    </row>
    <row r="6177" ht="16.5" customHeight="1" spans="1:8">
      <c r="A6177" s="3">
        <v>6176</v>
      </c>
      <c r="B6177" s="3" t="s">
        <v>13633</v>
      </c>
      <c r="C6177" s="3" t="s">
        <v>1105</v>
      </c>
      <c r="D6177" s="4" t="s">
        <v>13606</v>
      </c>
      <c r="E6177" s="3" t="s">
        <v>1218</v>
      </c>
      <c r="F6177" s="3" t="s">
        <v>2041</v>
      </c>
      <c r="G6177" s="3"/>
      <c r="H6177" s="4" t="s">
        <v>13632</v>
      </c>
    </row>
    <row r="6178" ht="16.5" customHeight="1" spans="1:8">
      <c r="A6178" s="3">
        <v>6177</v>
      </c>
      <c r="B6178" s="3" t="s">
        <v>13634</v>
      </c>
      <c r="C6178" s="3" t="s">
        <v>1361</v>
      </c>
      <c r="D6178" s="4" t="s">
        <v>13635</v>
      </c>
      <c r="E6178" s="3" t="s">
        <v>1218</v>
      </c>
      <c r="F6178" s="3" t="s">
        <v>2105</v>
      </c>
      <c r="G6178" s="3"/>
      <c r="H6178" s="4"/>
    </row>
    <row r="6179" ht="16.5" customHeight="1" spans="1:8">
      <c r="A6179" s="3">
        <v>6178</v>
      </c>
      <c r="B6179" s="3" t="s">
        <v>13636</v>
      </c>
      <c r="C6179" s="3" t="s">
        <v>1361</v>
      </c>
      <c r="D6179" s="4" t="s">
        <v>13637</v>
      </c>
      <c r="E6179" s="3" t="s">
        <v>1218</v>
      </c>
      <c r="F6179" s="3" t="s">
        <v>2105</v>
      </c>
      <c r="G6179" s="3"/>
      <c r="H6179" s="4"/>
    </row>
    <row r="6180" ht="16.5" customHeight="1" spans="1:8">
      <c r="A6180" s="3">
        <v>6179</v>
      </c>
      <c r="B6180" s="3" t="s">
        <v>13638</v>
      </c>
      <c r="C6180" s="3" t="s">
        <v>1361</v>
      </c>
      <c r="D6180" s="4" t="s">
        <v>13639</v>
      </c>
      <c r="E6180" s="3" t="s">
        <v>1218</v>
      </c>
      <c r="F6180" s="3" t="s">
        <v>2105</v>
      </c>
      <c r="G6180" s="3"/>
      <c r="H6180" s="4"/>
    </row>
    <row r="6181" ht="16.5" customHeight="1" spans="1:8">
      <c r="A6181" s="3">
        <v>6180</v>
      </c>
      <c r="B6181" s="3" t="s">
        <v>13640</v>
      </c>
      <c r="C6181" s="3" t="s">
        <v>1361</v>
      </c>
      <c r="D6181" s="4" t="s">
        <v>13641</v>
      </c>
      <c r="E6181" s="3" t="s">
        <v>1218</v>
      </c>
      <c r="F6181" s="3" t="s">
        <v>2105</v>
      </c>
      <c r="G6181" s="3"/>
      <c r="H6181" s="4"/>
    </row>
    <row r="6182" ht="16.5" customHeight="1" spans="1:8">
      <c r="A6182" s="3">
        <v>6181</v>
      </c>
      <c r="B6182" s="3" t="s">
        <v>13642</v>
      </c>
      <c r="C6182" s="3" t="s">
        <v>1361</v>
      </c>
      <c r="D6182" s="4" t="s">
        <v>13643</v>
      </c>
      <c r="E6182" s="3" t="s">
        <v>1218</v>
      </c>
      <c r="F6182" s="3" t="s">
        <v>2105</v>
      </c>
      <c r="G6182" s="3"/>
      <c r="H6182" s="4"/>
    </row>
    <row r="6183" ht="16.5" customHeight="1" spans="1:8">
      <c r="A6183" s="3">
        <v>6182</v>
      </c>
      <c r="B6183" s="3" t="s">
        <v>13644</v>
      </c>
      <c r="C6183" s="3" t="s">
        <v>1361</v>
      </c>
      <c r="D6183" s="4" t="s">
        <v>13645</v>
      </c>
      <c r="E6183" s="3" t="s">
        <v>1218</v>
      </c>
      <c r="F6183" s="3" t="s">
        <v>2105</v>
      </c>
      <c r="G6183" s="3"/>
      <c r="H6183" s="4"/>
    </row>
    <row r="6184" ht="16.5" customHeight="1" spans="1:8">
      <c r="A6184" s="3">
        <v>6183</v>
      </c>
      <c r="B6184" s="3" t="s">
        <v>13646</v>
      </c>
      <c r="C6184" s="3" t="s">
        <v>1361</v>
      </c>
      <c r="D6184" s="4" t="s">
        <v>13647</v>
      </c>
      <c r="E6184" s="3" t="s">
        <v>1218</v>
      </c>
      <c r="F6184" s="3" t="s">
        <v>2105</v>
      </c>
      <c r="G6184" s="3"/>
      <c r="H6184" s="4"/>
    </row>
    <row r="6185" ht="16.5" customHeight="1" spans="1:8">
      <c r="A6185" s="3">
        <v>6184</v>
      </c>
      <c r="B6185" s="3" t="s">
        <v>13648</v>
      </c>
      <c r="C6185" s="3" t="s">
        <v>1361</v>
      </c>
      <c r="D6185" s="4" t="s">
        <v>13649</v>
      </c>
      <c r="E6185" s="3" t="s">
        <v>1218</v>
      </c>
      <c r="F6185" s="3" t="s">
        <v>2105</v>
      </c>
      <c r="G6185" s="3"/>
      <c r="H6185" s="4"/>
    </row>
    <row r="6186" ht="16.5" customHeight="1" spans="1:8">
      <c r="A6186" s="3">
        <v>6185</v>
      </c>
      <c r="B6186" s="3" t="s">
        <v>13650</v>
      </c>
      <c r="C6186" s="3" t="s">
        <v>1361</v>
      </c>
      <c r="D6186" s="4" t="s">
        <v>13651</v>
      </c>
      <c r="E6186" s="3" t="s">
        <v>1218</v>
      </c>
      <c r="F6186" s="3" t="s">
        <v>2105</v>
      </c>
      <c r="G6186" s="3"/>
      <c r="H6186" s="4"/>
    </row>
    <row r="6187" ht="16.5" customHeight="1" spans="1:8">
      <c r="A6187" s="3">
        <v>6186</v>
      </c>
      <c r="B6187" s="3" t="s">
        <v>13652</v>
      </c>
      <c r="C6187" s="3" t="s">
        <v>1361</v>
      </c>
      <c r="D6187" s="4" t="s">
        <v>13653</v>
      </c>
      <c r="E6187" s="3" t="s">
        <v>1218</v>
      </c>
      <c r="F6187" s="3" t="s">
        <v>2105</v>
      </c>
      <c r="G6187" s="3"/>
      <c r="H6187" s="4"/>
    </row>
    <row r="6188" ht="16.5" customHeight="1" spans="1:8">
      <c r="A6188" s="3">
        <v>6187</v>
      </c>
      <c r="B6188" s="3" t="s">
        <v>13654</v>
      </c>
      <c r="C6188" s="3" t="s">
        <v>1361</v>
      </c>
      <c r="D6188" s="4" t="s">
        <v>13655</v>
      </c>
      <c r="E6188" s="3" t="s">
        <v>1218</v>
      </c>
      <c r="F6188" s="3" t="s">
        <v>2105</v>
      </c>
      <c r="G6188" s="3"/>
      <c r="H6188" s="4"/>
    </row>
    <row r="6189" ht="16.5" customHeight="1" spans="1:8">
      <c r="A6189" s="3">
        <v>6188</v>
      </c>
      <c r="B6189" s="3" t="s">
        <v>13656</v>
      </c>
      <c r="C6189" s="3" t="s">
        <v>1361</v>
      </c>
      <c r="D6189" s="4" t="s">
        <v>13657</v>
      </c>
      <c r="E6189" s="3" t="s">
        <v>1218</v>
      </c>
      <c r="F6189" s="3" t="s">
        <v>2105</v>
      </c>
      <c r="G6189" s="3"/>
      <c r="H6189" s="4"/>
    </row>
    <row r="6190" ht="16.5" customHeight="1" spans="1:8">
      <c r="A6190" s="3">
        <v>6189</v>
      </c>
      <c r="B6190" s="3" t="s">
        <v>13658</v>
      </c>
      <c r="C6190" s="3" t="s">
        <v>1361</v>
      </c>
      <c r="D6190" s="4" t="s">
        <v>13659</v>
      </c>
      <c r="E6190" s="3" t="s">
        <v>1218</v>
      </c>
      <c r="F6190" s="3" t="s">
        <v>2105</v>
      </c>
      <c r="G6190" s="3"/>
      <c r="H6190" s="4"/>
    </row>
    <row r="6191" ht="16.5" customHeight="1" spans="1:8">
      <c r="A6191" s="3">
        <v>6190</v>
      </c>
      <c r="B6191" s="3" t="s">
        <v>13660</v>
      </c>
      <c r="C6191" s="3" t="s">
        <v>1361</v>
      </c>
      <c r="D6191" s="4" t="s">
        <v>13661</v>
      </c>
      <c r="E6191" s="3" t="s">
        <v>1218</v>
      </c>
      <c r="F6191" s="3" t="s">
        <v>2105</v>
      </c>
      <c r="G6191" s="3"/>
      <c r="H6191" s="4"/>
    </row>
    <row r="6192" ht="16.5" customHeight="1" spans="1:8">
      <c r="A6192" s="3">
        <v>6191</v>
      </c>
      <c r="B6192" s="3" t="s">
        <v>13662</v>
      </c>
      <c r="C6192" s="3" t="s">
        <v>1361</v>
      </c>
      <c r="D6192" s="4" t="s">
        <v>13663</v>
      </c>
      <c r="E6192" s="3" t="s">
        <v>1218</v>
      </c>
      <c r="F6192" s="3" t="s">
        <v>2105</v>
      </c>
      <c r="G6192" s="3"/>
      <c r="H6192" s="4"/>
    </row>
    <row r="6193" ht="16.5" customHeight="1" spans="1:8">
      <c r="A6193" s="3">
        <v>6192</v>
      </c>
      <c r="B6193" s="3" t="s">
        <v>13664</v>
      </c>
      <c r="C6193" s="3" t="s">
        <v>1361</v>
      </c>
      <c r="D6193" s="4" t="s">
        <v>13665</v>
      </c>
      <c r="E6193" s="3" t="s">
        <v>1218</v>
      </c>
      <c r="F6193" s="3" t="s">
        <v>2105</v>
      </c>
      <c r="G6193" s="3"/>
      <c r="H6193" s="4"/>
    </row>
    <row r="6194" ht="16.5" customHeight="1" spans="1:8">
      <c r="A6194" s="3">
        <v>6193</v>
      </c>
      <c r="B6194" s="3" t="s">
        <v>13666</v>
      </c>
      <c r="C6194" s="3" t="s">
        <v>1361</v>
      </c>
      <c r="D6194" s="4" t="s">
        <v>13667</v>
      </c>
      <c r="E6194" s="3" t="s">
        <v>1218</v>
      </c>
      <c r="F6194" s="3" t="s">
        <v>2105</v>
      </c>
      <c r="G6194" s="3"/>
      <c r="H6194" s="4"/>
    </row>
    <row r="6195" ht="16.5" customHeight="1" spans="1:8">
      <c r="A6195" s="3">
        <v>6194</v>
      </c>
      <c r="B6195" s="3" t="s">
        <v>13668</v>
      </c>
      <c r="C6195" s="3" t="s">
        <v>1361</v>
      </c>
      <c r="D6195" s="4" t="s">
        <v>13669</v>
      </c>
      <c r="E6195" s="3" t="s">
        <v>1218</v>
      </c>
      <c r="F6195" s="3" t="s">
        <v>2105</v>
      </c>
      <c r="G6195" s="3"/>
      <c r="H6195" s="4"/>
    </row>
    <row r="6196" ht="16.5" customHeight="1" spans="1:8">
      <c r="A6196" s="3">
        <v>6195</v>
      </c>
      <c r="B6196" s="3" t="s">
        <v>13670</v>
      </c>
      <c r="C6196" s="3" t="s">
        <v>1361</v>
      </c>
      <c r="D6196" s="4" t="s">
        <v>13671</v>
      </c>
      <c r="E6196" s="3" t="s">
        <v>1218</v>
      </c>
      <c r="F6196" s="3" t="s">
        <v>2105</v>
      </c>
      <c r="G6196" s="3"/>
      <c r="H6196" s="4"/>
    </row>
    <row r="6197" ht="16.5" customHeight="1" spans="1:8">
      <c r="A6197" s="3">
        <v>6196</v>
      </c>
      <c r="B6197" s="3" t="s">
        <v>13672</v>
      </c>
      <c r="C6197" s="3" t="s">
        <v>1361</v>
      </c>
      <c r="D6197" s="4" t="s">
        <v>13673</v>
      </c>
      <c r="E6197" s="3" t="s">
        <v>1218</v>
      </c>
      <c r="F6197" s="3" t="s">
        <v>2105</v>
      </c>
      <c r="G6197" s="3"/>
      <c r="H6197" s="4"/>
    </row>
    <row r="6198" ht="16.5" customHeight="1" spans="1:8">
      <c r="A6198" s="3">
        <v>6197</v>
      </c>
      <c r="B6198" s="3" t="s">
        <v>13674</v>
      </c>
      <c r="C6198" s="3" t="s">
        <v>1361</v>
      </c>
      <c r="D6198" s="4" t="s">
        <v>13675</v>
      </c>
      <c r="E6198" s="3" t="s">
        <v>1218</v>
      </c>
      <c r="F6198" s="3" t="s">
        <v>1358</v>
      </c>
      <c r="G6198" s="3"/>
      <c r="H6198" s="4"/>
    </row>
    <row r="6199" ht="16.5" customHeight="1" spans="1:8">
      <c r="A6199" s="3">
        <v>6198</v>
      </c>
      <c r="B6199" s="3" t="s">
        <v>13676</v>
      </c>
      <c r="C6199" s="3" t="s">
        <v>1361</v>
      </c>
      <c r="D6199" s="4" t="s">
        <v>13677</v>
      </c>
      <c r="E6199" s="3" t="s">
        <v>1218</v>
      </c>
      <c r="F6199" s="3" t="s">
        <v>1358</v>
      </c>
      <c r="G6199" s="3"/>
      <c r="H6199" s="4"/>
    </row>
    <row r="6200" ht="16.5" customHeight="1" spans="1:8">
      <c r="A6200" s="3">
        <v>6199</v>
      </c>
      <c r="B6200" s="3" t="s">
        <v>13678</v>
      </c>
      <c r="C6200" s="3" t="s">
        <v>1361</v>
      </c>
      <c r="D6200" s="4" t="s">
        <v>13679</v>
      </c>
      <c r="E6200" s="3" t="s">
        <v>1218</v>
      </c>
      <c r="F6200" s="3" t="s">
        <v>1358</v>
      </c>
      <c r="G6200" s="3" t="s">
        <v>321</v>
      </c>
      <c r="H6200" s="4"/>
    </row>
    <row r="6201" ht="16.5" customHeight="1" spans="1:8">
      <c r="A6201" s="3">
        <v>6200</v>
      </c>
      <c r="B6201" s="3" t="s">
        <v>13680</v>
      </c>
      <c r="C6201" s="3" t="s">
        <v>1361</v>
      </c>
      <c r="D6201" s="4" t="s">
        <v>13681</v>
      </c>
      <c r="E6201" s="3" t="s">
        <v>1218</v>
      </c>
      <c r="F6201" s="3" t="s">
        <v>1358</v>
      </c>
      <c r="G6201" s="3"/>
      <c r="H6201" s="4"/>
    </row>
    <row r="6202" ht="16.5" customHeight="1" spans="1:8">
      <c r="A6202" s="3">
        <v>6201</v>
      </c>
      <c r="B6202" s="3" t="s">
        <v>13682</v>
      </c>
      <c r="C6202" s="3" t="s">
        <v>1361</v>
      </c>
      <c r="D6202" s="4" t="s">
        <v>13683</v>
      </c>
      <c r="E6202" s="3" t="s">
        <v>1218</v>
      </c>
      <c r="F6202" s="3" t="s">
        <v>1358</v>
      </c>
      <c r="G6202" s="3"/>
      <c r="H6202" s="4"/>
    </row>
    <row r="6203" ht="16.5" customHeight="1" spans="1:8">
      <c r="A6203" s="3">
        <v>6202</v>
      </c>
      <c r="B6203" s="3" t="s">
        <v>13684</v>
      </c>
      <c r="C6203" s="3" t="s">
        <v>1361</v>
      </c>
      <c r="D6203" s="4" t="s">
        <v>13685</v>
      </c>
      <c r="E6203" s="3" t="s">
        <v>1218</v>
      </c>
      <c r="F6203" s="3" t="s">
        <v>1358</v>
      </c>
      <c r="G6203" s="3" t="s">
        <v>321</v>
      </c>
      <c r="H6203" s="4"/>
    </row>
    <row r="6204" ht="16.5" customHeight="1" spans="1:8">
      <c r="A6204" s="3">
        <v>6203</v>
      </c>
      <c r="B6204" s="3" t="s">
        <v>13686</v>
      </c>
      <c r="C6204" s="3" t="s">
        <v>1105</v>
      </c>
      <c r="D6204" s="4" t="s">
        <v>13687</v>
      </c>
      <c r="E6204" s="3" t="s">
        <v>1076</v>
      </c>
      <c r="F6204" s="3" t="s">
        <v>2041</v>
      </c>
      <c r="G6204" s="3"/>
      <c r="H6204" s="4" t="s">
        <v>12405</v>
      </c>
    </row>
    <row r="6205" ht="16.5" customHeight="1" spans="1:8">
      <c r="A6205" s="3">
        <v>6204</v>
      </c>
      <c r="B6205" s="3" t="s">
        <v>13688</v>
      </c>
      <c r="C6205" s="3" t="s">
        <v>2163</v>
      </c>
      <c r="D6205" s="4" t="s">
        <v>13689</v>
      </c>
      <c r="E6205" s="3" t="s">
        <v>1076</v>
      </c>
      <c r="F6205" s="3" t="s">
        <v>6994</v>
      </c>
      <c r="G6205" s="3" t="s">
        <v>98</v>
      </c>
      <c r="H6205" s="4" t="s">
        <v>2050</v>
      </c>
    </row>
    <row r="6206" ht="16.5" customHeight="1" spans="1:8">
      <c r="A6206" s="3">
        <v>6205</v>
      </c>
      <c r="B6206" s="3" t="s">
        <v>13690</v>
      </c>
      <c r="C6206" s="3" t="s">
        <v>1074</v>
      </c>
      <c r="D6206" s="4" t="s">
        <v>13691</v>
      </c>
      <c r="E6206" s="3" t="s">
        <v>1076</v>
      </c>
      <c r="F6206" s="3" t="s">
        <v>10259</v>
      </c>
      <c r="G6206" s="3"/>
      <c r="H6206" s="4" t="s">
        <v>1305</v>
      </c>
    </row>
    <row r="6207" ht="16.5" customHeight="1" spans="1:8">
      <c r="A6207" s="3">
        <v>6206</v>
      </c>
      <c r="B6207" s="3" t="s">
        <v>13692</v>
      </c>
      <c r="C6207" s="3" t="s">
        <v>2163</v>
      </c>
      <c r="D6207" s="4" t="s">
        <v>13693</v>
      </c>
      <c r="E6207" s="3" t="s">
        <v>1076</v>
      </c>
      <c r="F6207" s="3" t="s">
        <v>1358</v>
      </c>
      <c r="G6207" s="3"/>
      <c r="H6207" s="4" t="s">
        <v>2050</v>
      </c>
    </row>
    <row r="6208" ht="16.5" customHeight="1" spans="1:8">
      <c r="A6208" s="3">
        <v>6207</v>
      </c>
      <c r="B6208" s="3" t="s">
        <v>13694</v>
      </c>
      <c r="C6208" s="3" t="s">
        <v>2163</v>
      </c>
      <c r="D6208" s="4" t="s">
        <v>13695</v>
      </c>
      <c r="E6208" s="3" t="s">
        <v>1076</v>
      </c>
      <c r="F6208" s="3" t="s">
        <v>6994</v>
      </c>
      <c r="G6208" s="3" t="s">
        <v>321</v>
      </c>
      <c r="H6208" s="4" t="s">
        <v>2050</v>
      </c>
    </row>
    <row r="6209" ht="16.5" customHeight="1" spans="1:8">
      <c r="A6209" s="3">
        <v>6208</v>
      </c>
      <c r="B6209" s="3" t="s">
        <v>13696</v>
      </c>
      <c r="C6209" s="3" t="s">
        <v>1361</v>
      </c>
      <c r="D6209" s="4" t="s">
        <v>13697</v>
      </c>
      <c r="E6209" s="3" t="s">
        <v>2056</v>
      </c>
      <c r="F6209" s="3" t="s">
        <v>10943</v>
      </c>
      <c r="G6209" s="3"/>
      <c r="H6209" s="4"/>
    </row>
    <row r="6210" ht="16.5" customHeight="1" spans="1:8">
      <c r="A6210" s="3">
        <v>6209</v>
      </c>
      <c r="B6210" s="3" t="s">
        <v>13698</v>
      </c>
      <c r="C6210" s="3" t="s">
        <v>1361</v>
      </c>
      <c r="D6210" s="4" t="s">
        <v>13699</v>
      </c>
      <c r="E6210" s="3" t="s">
        <v>2056</v>
      </c>
      <c r="F6210" s="3" t="s">
        <v>10943</v>
      </c>
      <c r="G6210" s="3"/>
      <c r="H6210" s="4"/>
    </row>
    <row r="6211" ht="16.5" customHeight="1" spans="1:8">
      <c r="A6211" s="3">
        <v>6210</v>
      </c>
      <c r="B6211" s="3" t="s">
        <v>13700</v>
      </c>
      <c r="C6211" s="3" t="s">
        <v>2163</v>
      </c>
      <c r="D6211" s="4" t="s">
        <v>13701</v>
      </c>
      <c r="E6211" s="3" t="s">
        <v>7007</v>
      </c>
      <c r="F6211" s="3" t="s">
        <v>2105</v>
      </c>
      <c r="G6211" s="3"/>
      <c r="H6211" s="4"/>
    </row>
    <row r="6212" ht="16.5" customHeight="1" spans="1:8">
      <c r="A6212" s="3">
        <v>6211</v>
      </c>
      <c r="B6212" s="3" t="s">
        <v>13702</v>
      </c>
      <c r="C6212" s="3" t="s">
        <v>1361</v>
      </c>
      <c r="D6212" s="4" t="s">
        <v>13703</v>
      </c>
      <c r="E6212" s="3" t="s">
        <v>2056</v>
      </c>
      <c r="F6212" s="3" t="s">
        <v>10943</v>
      </c>
      <c r="G6212" s="3"/>
      <c r="H6212" s="4"/>
    </row>
    <row r="6213" ht="16.5" customHeight="1" spans="1:8">
      <c r="A6213" s="3">
        <v>6212</v>
      </c>
      <c r="B6213" s="3" t="s">
        <v>13704</v>
      </c>
      <c r="C6213" s="3" t="s">
        <v>2163</v>
      </c>
      <c r="D6213" s="4" t="s">
        <v>13705</v>
      </c>
      <c r="E6213" s="3" t="s">
        <v>7007</v>
      </c>
      <c r="F6213" s="3" t="s">
        <v>1358</v>
      </c>
      <c r="G6213" s="3"/>
      <c r="H6213" s="4" t="s">
        <v>2050</v>
      </c>
    </row>
    <row r="6214" ht="16.5" customHeight="1" spans="1:8">
      <c r="A6214" s="3">
        <v>6213</v>
      </c>
      <c r="B6214" s="3" t="s">
        <v>13706</v>
      </c>
      <c r="C6214" s="3" t="s">
        <v>2163</v>
      </c>
      <c r="D6214" s="4" t="s">
        <v>13707</v>
      </c>
      <c r="E6214" s="3" t="s">
        <v>1076</v>
      </c>
      <c r="F6214" s="3" t="s">
        <v>6994</v>
      </c>
      <c r="G6214" s="3" t="s">
        <v>321</v>
      </c>
      <c r="H6214" s="4" t="s">
        <v>2050</v>
      </c>
    </row>
    <row r="6215" ht="16.5" customHeight="1" spans="1:8">
      <c r="A6215" s="3">
        <v>6214</v>
      </c>
      <c r="B6215" s="3" t="s">
        <v>13708</v>
      </c>
      <c r="C6215" s="3" t="s">
        <v>2163</v>
      </c>
      <c r="D6215" s="4" t="s">
        <v>13709</v>
      </c>
      <c r="E6215" s="3" t="s">
        <v>1076</v>
      </c>
      <c r="F6215" s="3" t="s">
        <v>6994</v>
      </c>
      <c r="G6215" s="3" t="s">
        <v>321</v>
      </c>
      <c r="H6215" s="4" t="s">
        <v>2050</v>
      </c>
    </row>
    <row r="6216" ht="16.5" customHeight="1" spans="1:8">
      <c r="A6216" s="3">
        <v>6215</v>
      </c>
      <c r="B6216" s="3" t="s">
        <v>13710</v>
      </c>
      <c r="C6216" s="3" t="s">
        <v>2163</v>
      </c>
      <c r="D6216" s="4" t="s">
        <v>13711</v>
      </c>
      <c r="E6216" s="3" t="s">
        <v>1076</v>
      </c>
      <c r="F6216" s="3" t="s">
        <v>6994</v>
      </c>
      <c r="G6216" s="3" t="s">
        <v>321</v>
      </c>
      <c r="H6216" s="4" t="s">
        <v>2050</v>
      </c>
    </row>
    <row r="6217" ht="16.5" customHeight="1" spans="1:8">
      <c r="A6217" s="3">
        <v>6216</v>
      </c>
      <c r="B6217" s="3" t="s">
        <v>13712</v>
      </c>
      <c r="C6217" s="3" t="s">
        <v>1361</v>
      </c>
      <c r="D6217" s="4" t="s">
        <v>13713</v>
      </c>
      <c r="E6217" s="3" t="s">
        <v>2056</v>
      </c>
      <c r="F6217" s="3" t="s">
        <v>10943</v>
      </c>
      <c r="G6217" s="3"/>
      <c r="H6217" s="4"/>
    </row>
    <row r="6218" ht="16.5" customHeight="1" spans="1:8">
      <c r="A6218" s="3">
        <v>6217</v>
      </c>
      <c r="B6218" s="3" t="s">
        <v>13714</v>
      </c>
      <c r="C6218" s="3" t="s">
        <v>1361</v>
      </c>
      <c r="D6218" s="4" t="s">
        <v>13715</v>
      </c>
      <c r="E6218" s="3" t="s">
        <v>2056</v>
      </c>
      <c r="F6218" s="3" t="s">
        <v>10943</v>
      </c>
      <c r="G6218" s="3"/>
      <c r="H6218" s="4"/>
    </row>
    <row r="6219" ht="16.5" customHeight="1" spans="1:8">
      <c r="A6219" s="3">
        <v>6218</v>
      </c>
      <c r="B6219" s="3" t="s">
        <v>13716</v>
      </c>
      <c r="C6219" s="3" t="s">
        <v>1361</v>
      </c>
      <c r="D6219" s="4" t="s">
        <v>13717</v>
      </c>
      <c r="E6219" s="3" t="s">
        <v>2056</v>
      </c>
      <c r="F6219" s="3" t="s">
        <v>10943</v>
      </c>
      <c r="G6219" s="3"/>
      <c r="H6219" s="4"/>
    </row>
    <row r="6220" ht="16.5" customHeight="1" spans="1:8">
      <c r="A6220" s="3">
        <v>6219</v>
      </c>
      <c r="B6220" s="3" t="s">
        <v>13718</v>
      </c>
      <c r="C6220" s="3" t="s">
        <v>1361</v>
      </c>
      <c r="D6220" s="4" t="s">
        <v>13719</v>
      </c>
      <c r="E6220" s="3" t="s">
        <v>2056</v>
      </c>
      <c r="F6220" s="3" t="s">
        <v>10943</v>
      </c>
      <c r="G6220" s="3"/>
      <c r="H6220" s="4"/>
    </row>
    <row r="6221" ht="16.5" customHeight="1" spans="1:8">
      <c r="A6221" s="3">
        <v>6220</v>
      </c>
      <c r="B6221" s="3" t="s">
        <v>13720</v>
      </c>
      <c r="C6221" s="3" t="s">
        <v>1356</v>
      </c>
      <c r="D6221" s="4" t="s">
        <v>13721</v>
      </c>
      <c r="E6221" s="3" t="s">
        <v>1076</v>
      </c>
      <c r="F6221" s="3" t="s">
        <v>1358</v>
      </c>
      <c r="G6221" s="3" t="s">
        <v>321</v>
      </c>
      <c r="H6221" s="4" t="s">
        <v>2050</v>
      </c>
    </row>
    <row r="6222" ht="16.5" customHeight="1" spans="1:8">
      <c r="A6222" s="3">
        <v>6221</v>
      </c>
      <c r="B6222" s="3" t="s">
        <v>13722</v>
      </c>
      <c r="C6222" s="3" t="s">
        <v>1356</v>
      </c>
      <c r="D6222" s="4" t="s">
        <v>13723</v>
      </c>
      <c r="E6222" s="3" t="s">
        <v>1076</v>
      </c>
      <c r="F6222" s="3" t="s">
        <v>11431</v>
      </c>
      <c r="G6222" s="3"/>
      <c r="H6222" s="4" t="s">
        <v>1305</v>
      </c>
    </row>
    <row r="6223" ht="16.5" customHeight="1" spans="1:8">
      <c r="A6223" s="3">
        <v>6222</v>
      </c>
      <c r="B6223" s="3" t="s">
        <v>13724</v>
      </c>
      <c r="C6223" s="3" t="s">
        <v>2163</v>
      </c>
      <c r="D6223" s="4" t="s">
        <v>13725</v>
      </c>
      <c r="E6223" s="3" t="s">
        <v>1076</v>
      </c>
      <c r="F6223" s="3" t="s">
        <v>2041</v>
      </c>
      <c r="G6223" s="3" t="s">
        <v>98</v>
      </c>
      <c r="H6223" s="4" t="s">
        <v>9475</v>
      </c>
    </row>
    <row r="6224" ht="16.5" customHeight="1" spans="1:8">
      <c r="A6224" s="3">
        <v>6223</v>
      </c>
      <c r="B6224" s="3" t="s">
        <v>13726</v>
      </c>
      <c r="C6224" s="3" t="s">
        <v>1105</v>
      </c>
      <c r="D6224" s="4" t="s">
        <v>13727</v>
      </c>
      <c r="E6224" s="3" t="s">
        <v>1076</v>
      </c>
      <c r="F6224" s="3" t="s">
        <v>1719</v>
      </c>
      <c r="G6224" s="3"/>
      <c r="H6224" s="4" t="s">
        <v>13728</v>
      </c>
    </row>
    <row r="6225" ht="16.5" customHeight="1" spans="1:8">
      <c r="A6225" s="3">
        <v>6224</v>
      </c>
      <c r="B6225" s="3" t="s">
        <v>13729</v>
      </c>
      <c r="C6225" s="3" t="s">
        <v>1074</v>
      </c>
      <c r="D6225" s="4" t="s">
        <v>13730</v>
      </c>
      <c r="E6225" s="3" t="s">
        <v>2726</v>
      </c>
      <c r="F6225" s="3" t="s">
        <v>10259</v>
      </c>
      <c r="G6225" s="3"/>
      <c r="H6225" s="4" t="s">
        <v>13731</v>
      </c>
    </row>
    <row r="6226" ht="16.5" customHeight="1" spans="1:8">
      <c r="A6226" s="3">
        <v>6225</v>
      </c>
      <c r="B6226" s="3" t="s">
        <v>13732</v>
      </c>
      <c r="C6226" s="3" t="s">
        <v>2163</v>
      </c>
      <c r="D6226" s="4" t="s">
        <v>13733</v>
      </c>
      <c r="E6226" s="3" t="s">
        <v>1076</v>
      </c>
      <c r="F6226" s="3" t="s">
        <v>6994</v>
      </c>
      <c r="G6226" s="3" t="s">
        <v>321</v>
      </c>
      <c r="H6226" s="4" t="s">
        <v>2050</v>
      </c>
    </row>
    <row r="6227" ht="16.5" customHeight="1" spans="1:8">
      <c r="A6227" s="3">
        <v>6226</v>
      </c>
      <c r="B6227" s="3" t="s">
        <v>13734</v>
      </c>
      <c r="C6227" s="3" t="s">
        <v>2163</v>
      </c>
      <c r="D6227" s="4" t="s">
        <v>13735</v>
      </c>
      <c r="E6227" s="3" t="s">
        <v>1076</v>
      </c>
      <c r="F6227" s="3" t="s">
        <v>6994</v>
      </c>
      <c r="G6227" s="3" t="s">
        <v>321</v>
      </c>
      <c r="H6227" s="4" t="s">
        <v>2050</v>
      </c>
    </row>
    <row r="6228" ht="16.5" customHeight="1" spans="1:8">
      <c r="A6228" s="3">
        <v>6227</v>
      </c>
      <c r="B6228" s="3" t="s">
        <v>13736</v>
      </c>
      <c r="C6228" s="3" t="s">
        <v>1074</v>
      </c>
      <c r="D6228" s="4" t="s">
        <v>13737</v>
      </c>
      <c r="E6228" s="3" t="s">
        <v>1076</v>
      </c>
      <c r="F6228" s="3" t="s">
        <v>10259</v>
      </c>
      <c r="G6228" s="3"/>
      <c r="H6228" s="4" t="s">
        <v>13731</v>
      </c>
    </row>
    <row r="6229" ht="16.5" customHeight="1" spans="1:8">
      <c r="A6229" s="3">
        <v>6228</v>
      </c>
      <c r="B6229" s="3" t="s">
        <v>13738</v>
      </c>
      <c r="C6229" s="3" t="s">
        <v>1356</v>
      </c>
      <c r="D6229" s="4" t="s">
        <v>13739</v>
      </c>
      <c r="E6229" s="3" t="s">
        <v>1076</v>
      </c>
      <c r="F6229" s="3" t="s">
        <v>11431</v>
      </c>
      <c r="G6229" s="3"/>
      <c r="H6229" s="4" t="s">
        <v>1305</v>
      </c>
    </row>
    <row r="6230" ht="16.5" customHeight="1" spans="1:8">
      <c r="A6230" s="3">
        <v>6229</v>
      </c>
      <c r="B6230" s="3" t="s">
        <v>13740</v>
      </c>
      <c r="C6230" s="3" t="s">
        <v>2163</v>
      </c>
      <c r="D6230" s="4" t="s">
        <v>13741</v>
      </c>
      <c r="E6230" s="3" t="s">
        <v>1076</v>
      </c>
      <c r="F6230" s="3" t="s">
        <v>2041</v>
      </c>
      <c r="G6230" s="3" t="s">
        <v>98</v>
      </c>
      <c r="H6230" s="4" t="s">
        <v>9475</v>
      </c>
    </row>
    <row r="6231" ht="16.5" customHeight="1" spans="1:8">
      <c r="A6231" s="3">
        <v>6230</v>
      </c>
      <c r="B6231" s="3" t="s">
        <v>13742</v>
      </c>
      <c r="C6231" s="3" t="s">
        <v>2163</v>
      </c>
      <c r="D6231" s="4" t="s">
        <v>13743</v>
      </c>
      <c r="E6231" s="3" t="s">
        <v>1076</v>
      </c>
      <c r="F6231" s="3" t="s">
        <v>2041</v>
      </c>
      <c r="G6231" s="3" t="s">
        <v>98</v>
      </c>
      <c r="H6231" s="4" t="s">
        <v>9475</v>
      </c>
    </row>
    <row r="6232" ht="16.5" customHeight="1" spans="1:8">
      <c r="A6232" s="3">
        <v>6231</v>
      </c>
      <c r="B6232" s="3" t="s">
        <v>13744</v>
      </c>
      <c r="C6232" s="3" t="s">
        <v>2163</v>
      </c>
      <c r="D6232" s="4" t="s">
        <v>13745</v>
      </c>
      <c r="E6232" s="3" t="s">
        <v>1076</v>
      </c>
      <c r="F6232" s="3" t="s">
        <v>2041</v>
      </c>
      <c r="G6232" s="3" t="s">
        <v>98</v>
      </c>
      <c r="H6232" s="4" t="s">
        <v>9475</v>
      </c>
    </row>
    <row r="6233" ht="16.5" customHeight="1" spans="1:8">
      <c r="A6233" s="3">
        <v>6232</v>
      </c>
      <c r="B6233" s="3" t="s">
        <v>13746</v>
      </c>
      <c r="C6233" s="3" t="s">
        <v>1105</v>
      </c>
      <c r="D6233" s="4" t="s">
        <v>13747</v>
      </c>
      <c r="E6233" s="3" t="s">
        <v>1076</v>
      </c>
      <c r="F6233" s="3" t="s">
        <v>13748</v>
      </c>
      <c r="G6233" s="3"/>
      <c r="H6233" s="4" t="s">
        <v>12847</v>
      </c>
    </row>
    <row r="6234" ht="16.5" customHeight="1" spans="1:8">
      <c r="A6234" s="3">
        <v>6233</v>
      </c>
      <c r="B6234" s="3" t="s">
        <v>13749</v>
      </c>
      <c r="C6234" s="3" t="s">
        <v>1074</v>
      </c>
      <c r="D6234" s="4" t="s">
        <v>13750</v>
      </c>
      <c r="E6234" s="3" t="s">
        <v>1164</v>
      </c>
      <c r="F6234" s="3" t="s">
        <v>8175</v>
      </c>
      <c r="G6234" s="3"/>
      <c r="H6234" s="4" t="s">
        <v>4636</v>
      </c>
    </row>
    <row r="6235" ht="16.5" customHeight="1" spans="1:8">
      <c r="A6235" s="3">
        <v>6234</v>
      </c>
      <c r="B6235" s="3" t="s">
        <v>13751</v>
      </c>
      <c r="C6235" s="3" t="s">
        <v>1074</v>
      </c>
      <c r="D6235" s="4" t="s">
        <v>13752</v>
      </c>
      <c r="E6235" s="3" t="s">
        <v>1218</v>
      </c>
      <c r="F6235" s="3" t="s">
        <v>8175</v>
      </c>
      <c r="G6235" s="3"/>
      <c r="H6235" s="4" t="s">
        <v>1095</v>
      </c>
    </row>
    <row r="6236" ht="16.5" customHeight="1" spans="1:8">
      <c r="A6236" s="3">
        <v>6235</v>
      </c>
      <c r="B6236" s="3" t="s">
        <v>13753</v>
      </c>
      <c r="C6236" s="3" t="s">
        <v>1356</v>
      </c>
      <c r="D6236" s="4" t="s">
        <v>13754</v>
      </c>
      <c r="E6236" s="3" t="s">
        <v>1218</v>
      </c>
      <c r="F6236" s="3" t="s">
        <v>8175</v>
      </c>
      <c r="G6236" s="3"/>
      <c r="H6236" s="4" t="s">
        <v>7240</v>
      </c>
    </row>
    <row r="6237" ht="16.5" customHeight="1" spans="1:8">
      <c r="A6237" s="3">
        <v>6236</v>
      </c>
      <c r="B6237" s="3" t="s">
        <v>13755</v>
      </c>
      <c r="C6237" s="3" t="s">
        <v>1105</v>
      </c>
      <c r="D6237" s="4" t="s">
        <v>13756</v>
      </c>
      <c r="E6237" s="3" t="s">
        <v>1076</v>
      </c>
      <c r="F6237" s="3" t="s">
        <v>2105</v>
      </c>
      <c r="G6237" s="3"/>
      <c r="H6237" s="4" t="s">
        <v>13757</v>
      </c>
    </row>
    <row r="6238" ht="16.5" customHeight="1" spans="1:8">
      <c r="A6238" s="3">
        <v>6237</v>
      </c>
      <c r="B6238" s="3" t="s">
        <v>13758</v>
      </c>
      <c r="C6238" s="3" t="s">
        <v>1105</v>
      </c>
      <c r="D6238" s="4" t="s">
        <v>13759</v>
      </c>
      <c r="E6238" s="3" t="s">
        <v>1076</v>
      </c>
      <c r="F6238" s="3" t="s">
        <v>2105</v>
      </c>
      <c r="G6238" s="3"/>
      <c r="H6238" s="4" t="s">
        <v>13757</v>
      </c>
    </row>
    <row r="6239" ht="16.5" customHeight="1" spans="1:8">
      <c r="A6239" s="3">
        <v>6238</v>
      </c>
      <c r="B6239" s="3" t="s">
        <v>13760</v>
      </c>
      <c r="C6239" s="3" t="s">
        <v>1105</v>
      </c>
      <c r="D6239" s="4" t="s">
        <v>13761</v>
      </c>
      <c r="E6239" s="3" t="s">
        <v>1218</v>
      </c>
      <c r="F6239" s="3" t="s">
        <v>2105</v>
      </c>
      <c r="G6239" s="3"/>
      <c r="H6239" s="4" t="s">
        <v>13757</v>
      </c>
    </row>
    <row r="6240" ht="16.5" customHeight="1" spans="1:8">
      <c r="A6240" s="3">
        <v>6239</v>
      </c>
      <c r="B6240" s="3" t="s">
        <v>13762</v>
      </c>
      <c r="C6240" s="3" t="s">
        <v>1105</v>
      </c>
      <c r="D6240" s="4" t="s">
        <v>13763</v>
      </c>
      <c r="E6240" s="3" t="s">
        <v>1076</v>
      </c>
      <c r="F6240" s="3" t="s">
        <v>4120</v>
      </c>
      <c r="G6240" s="3"/>
      <c r="H6240" s="4" t="s">
        <v>13600</v>
      </c>
    </row>
    <row r="6241" ht="16.5" customHeight="1" spans="1:8">
      <c r="A6241" s="3">
        <v>6240</v>
      </c>
      <c r="B6241" s="3" t="s">
        <v>13764</v>
      </c>
      <c r="C6241" s="3" t="s">
        <v>1105</v>
      </c>
      <c r="D6241" s="4" t="s">
        <v>13765</v>
      </c>
      <c r="E6241" s="3" t="s">
        <v>1076</v>
      </c>
      <c r="F6241" s="3" t="s">
        <v>10259</v>
      </c>
      <c r="G6241" s="3"/>
      <c r="H6241" s="4" t="s">
        <v>13766</v>
      </c>
    </row>
    <row r="6242" ht="16.5" customHeight="1" spans="1:8">
      <c r="A6242" s="3">
        <v>6241</v>
      </c>
      <c r="B6242" s="3" t="s">
        <v>13767</v>
      </c>
      <c r="C6242" s="3" t="s">
        <v>1105</v>
      </c>
      <c r="D6242" s="4" t="s">
        <v>13768</v>
      </c>
      <c r="E6242" s="3" t="s">
        <v>1076</v>
      </c>
      <c r="F6242" s="3" t="s">
        <v>10259</v>
      </c>
      <c r="G6242" s="3"/>
      <c r="H6242" s="4" t="s">
        <v>13766</v>
      </c>
    </row>
    <row r="6243" ht="16.5" customHeight="1" spans="1:8">
      <c r="A6243" s="3">
        <v>6242</v>
      </c>
      <c r="B6243" s="3" t="s">
        <v>13769</v>
      </c>
      <c r="C6243" s="3" t="s">
        <v>1105</v>
      </c>
      <c r="D6243" s="4" t="s">
        <v>13770</v>
      </c>
      <c r="E6243" s="3" t="s">
        <v>1076</v>
      </c>
      <c r="F6243" s="3" t="s">
        <v>10259</v>
      </c>
      <c r="G6243" s="3"/>
      <c r="H6243" s="4" t="s">
        <v>13766</v>
      </c>
    </row>
    <row r="6244" ht="16.5" customHeight="1" spans="1:8">
      <c r="A6244" s="3">
        <v>6243</v>
      </c>
      <c r="B6244" s="3" t="s">
        <v>13771</v>
      </c>
      <c r="C6244" s="3" t="s">
        <v>1105</v>
      </c>
      <c r="D6244" s="4" t="s">
        <v>13772</v>
      </c>
      <c r="E6244" s="3" t="s">
        <v>1076</v>
      </c>
      <c r="F6244" s="3" t="s">
        <v>10259</v>
      </c>
      <c r="G6244" s="3"/>
      <c r="H6244" s="4" t="s">
        <v>13766</v>
      </c>
    </row>
    <row r="6245" ht="16.5" customHeight="1" spans="1:8">
      <c r="A6245" s="3">
        <v>6244</v>
      </c>
      <c r="B6245" s="3" t="s">
        <v>13773</v>
      </c>
      <c r="C6245" s="3" t="s">
        <v>1105</v>
      </c>
      <c r="D6245" s="4" t="s">
        <v>13774</v>
      </c>
      <c r="E6245" s="3" t="s">
        <v>1076</v>
      </c>
      <c r="F6245" s="3" t="s">
        <v>10259</v>
      </c>
      <c r="G6245" s="3"/>
      <c r="H6245" s="4" t="s">
        <v>13766</v>
      </c>
    </row>
    <row r="6246" ht="16.5" customHeight="1" spans="1:8">
      <c r="A6246" s="3">
        <v>6245</v>
      </c>
      <c r="B6246" s="3" t="s">
        <v>13775</v>
      </c>
      <c r="C6246" s="3" t="s">
        <v>1105</v>
      </c>
      <c r="D6246" s="4" t="s">
        <v>13776</v>
      </c>
      <c r="E6246" s="3" t="s">
        <v>1076</v>
      </c>
      <c r="F6246" s="3" t="s">
        <v>10259</v>
      </c>
      <c r="G6246" s="3"/>
      <c r="H6246" s="4" t="s">
        <v>13766</v>
      </c>
    </row>
    <row r="6247" ht="16.5" customHeight="1" spans="1:8">
      <c r="A6247" s="3">
        <v>6246</v>
      </c>
      <c r="B6247" s="3" t="s">
        <v>13777</v>
      </c>
      <c r="C6247" s="3" t="s">
        <v>1105</v>
      </c>
      <c r="D6247" s="4" t="s">
        <v>13778</v>
      </c>
      <c r="E6247" s="3" t="s">
        <v>1076</v>
      </c>
      <c r="F6247" s="3" t="s">
        <v>10259</v>
      </c>
      <c r="G6247" s="3"/>
      <c r="H6247" s="4" t="s">
        <v>13766</v>
      </c>
    </row>
    <row r="6248" ht="16.5" customHeight="1" spans="1:8">
      <c r="A6248" s="3">
        <v>6247</v>
      </c>
      <c r="B6248" s="3" t="s">
        <v>13779</v>
      </c>
      <c r="C6248" s="3" t="s">
        <v>1105</v>
      </c>
      <c r="D6248" s="4" t="s">
        <v>13780</v>
      </c>
      <c r="E6248" s="3" t="s">
        <v>1076</v>
      </c>
      <c r="F6248" s="3" t="s">
        <v>2041</v>
      </c>
      <c r="G6248" s="3"/>
      <c r="H6248" s="4" t="s">
        <v>13568</v>
      </c>
    </row>
    <row r="6249" ht="16.5" customHeight="1" spans="1:8">
      <c r="A6249" s="3">
        <v>6248</v>
      </c>
      <c r="B6249" s="3" t="s">
        <v>13781</v>
      </c>
      <c r="C6249" s="3" t="s">
        <v>2163</v>
      </c>
      <c r="D6249" s="4" t="s">
        <v>13782</v>
      </c>
      <c r="E6249" s="3" t="s">
        <v>1076</v>
      </c>
      <c r="F6249" s="3" t="s">
        <v>2105</v>
      </c>
      <c r="G6249" s="3"/>
      <c r="H6249" s="4" t="s">
        <v>9475</v>
      </c>
    </row>
    <row r="6250" ht="16.5" customHeight="1" spans="1:8">
      <c r="A6250" s="3">
        <v>6249</v>
      </c>
      <c r="B6250" s="3" t="s">
        <v>13783</v>
      </c>
      <c r="C6250" s="3" t="s">
        <v>2163</v>
      </c>
      <c r="D6250" s="4" t="s">
        <v>13784</v>
      </c>
      <c r="E6250" s="3" t="s">
        <v>1076</v>
      </c>
      <c r="F6250" s="3" t="s">
        <v>2105</v>
      </c>
      <c r="G6250" s="3"/>
      <c r="H6250" s="4" t="s">
        <v>9475</v>
      </c>
    </row>
    <row r="6251" ht="16.5" customHeight="1" spans="1:8">
      <c r="A6251" s="3">
        <v>6250</v>
      </c>
      <c r="B6251" s="3" t="s">
        <v>13785</v>
      </c>
      <c r="C6251" s="3" t="s">
        <v>1105</v>
      </c>
      <c r="D6251" s="4" t="s">
        <v>13786</v>
      </c>
      <c r="E6251" s="3" t="s">
        <v>1076</v>
      </c>
      <c r="F6251" s="3" t="s">
        <v>13456</v>
      </c>
      <c r="G6251" s="3"/>
      <c r="H6251" s="4" t="s">
        <v>13787</v>
      </c>
    </row>
    <row r="6252" ht="16.5" customHeight="1" spans="1:8">
      <c r="A6252" s="3">
        <v>6251</v>
      </c>
      <c r="B6252" s="3" t="s">
        <v>13788</v>
      </c>
      <c r="C6252" s="3" t="s">
        <v>1105</v>
      </c>
      <c r="D6252" s="4" t="s">
        <v>13789</v>
      </c>
      <c r="E6252" s="3" t="s">
        <v>1076</v>
      </c>
      <c r="F6252" s="3" t="s">
        <v>13456</v>
      </c>
      <c r="G6252" s="3"/>
      <c r="H6252" s="4" t="s">
        <v>13787</v>
      </c>
    </row>
    <row r="6253" ht="16.5" customHeight="1" spans="1:8">
      <c r="A6253" s="3">
        <v>6252</v>
      </c>
      <c r="B6253" s="3" t="s">
        <v>13790</v>
      </c>
      <c r="C6253" s="3" t="s">
        <v>1105</v>
      </c>
      <c r="D6253" s="4" t="s">
        <v>13791</v>
      </c>
      <c r="E6253" s="3" t="s">
        <v>1076</v>
      </c>
      <c r="F6253" s="3" t="s">
        <v>13456</v>
      </c>
      <c r="G6253" s="3"/>
      <c r="H6253" s="4" t="s">
        <v>13787</v>
      </c>
    </row>
    <row r="6254" ht="16.5" customHeight="1" spans="1:8">
      <c r="A6254" s="3">
        <v>6253</v>
      </c>
      <c r="B6254" s="3" t="s">
        <v>13792</v>
      </c>
      <c r="C6254" s="3" t="s">
        <v>1105</v>
      </c>
      <c r="D6254" s="4" t="s">
        <v>13793</v>
      </c>
      <c r="E6254" s="3" t="s">
        <v>1076</v>
      </c>
      <c r="F6254" s="3" t="s">
        <v>13456</v>
      </c>
      <c r="G6254" s="3"/>
      <c r="H6254" s="4" t="s">
        <v>13787</v>
      </c>
    </row>
    <row r="6255" ht="16.5" customHeight="1" spans="1:8">
      <c r="A6255" s="3">
        <v>6254</v>
      </c>
      <c r="B6255" s="3" t="s">
        <v>13794</v>
      </c>
      <c r="C6255" s="3" t="s">
        <v>1105</v>
      </c>
      <c r="D6255" s="4" t="s">
        <v>13795</v>
      </c>
      <c r="E6255" s="3" t="s">
        <v>1076</v>
      </c>
      <c r="F6255" s="3" t="s">
        <v>13456</v>
      </c>
      <c r="G6255" s="3"/>
      <c r="H6255" s="4" t="s">
        <v>13787</v>
      </c>
    </row>
    <row r="6256" ht="16.5" customHeight="1" spans="1:8">
      <c r="A6256" s="3">
        <v>6255</v>
      </c>
      <c r="B6256" s="3" t="s">
        <v>13796</v>
      </c>
      <c r="C6256" s="3" t="s">
        <v>1105</v>
      </c>
      <c r="D6256" s="4" t="s">
        <v>13797</v>
      </c>
      <c r="E6256" s="3" t="s">
        <v>1076</v>
      </c>
      <c r="F6256" s="3" t="s">
        <v>13456</v>
      </c>
      <c r="G6256" s="3"/>
      <c r="H6256" s="4" t="s">
        <v>13787</v>
      </c>
    </row>
    <row r="6257" ht="16.5" customHeight="1" spans="1:8">
      <c r="A6257" s="3">
        <v>6256</v>
      </c>
      <c r="B6257" s="3" t="s">
        <v>13798</v>
      </c>
      <c r="C6257" s="3" t="s">
        <v>1105</v>
      </c>
      <c r="D6257" s="4" t="s">
        <v>13799</v>
      </c>
      <c r="E6257" s="3" t="s">
        <v>1076</v>
      </c>
      <c r="F6257" s="3" t="s">
        <v>13456</v>
      </c>
      <c r="G6257" s="3"/>
      <c r="H6257" s="4" t="s">
        <v>13787</v>
      </c>
    </row>
    <row r="6258" ht="16.5" customHeight="1" spans="1:8">
      <c r="A6258" s="3">
        <v>6257</v>
      </c>
      <c r="B6258" s="3" t="s">
        <v>13800</v>
      </c>
      <c r="C6258" s="3" t="s">
        <v>1105</v>
      </c>
      <c r="D6258" s="4" t="s">
        <v>13801</v>
      </c>
      <c r="E6258" s="3" t="s">
        <v>1076</v>
      </c>
      <c r="F6258" s="3" t="s">
        <v>13456</v>
      </c>
      <c r="G6258" s="3"/>
      <c r="H6258" s="4" t="s">
        <v>13787</v>
      </c>
    </row>
    <row r="6259" ht="16.5" customHeight="1" spans="1:8">
      <c r="A6259" s="3">
        <v>6258</v>
      </c>
      <c r="B6259" s="3" t="s">
        <v>13802</v>
      </c>
      <c r="C6259" s="3" t="s">
        <v>1105</v>
      </c>
      <c r="D6259" s="4" t="s">
        <v>13803</v>
      </c>
      <c r="E6259" s="3" t="s">
        <v>1076</v>
      </c>
      <c r="F6259" s="3" t="s">
        <v>13456</v>
      </c>
      <c r="G6259" s="3"/>
      <c r="H6259" s="4" t="s">
        <v>13787</v>
      </c>
    </row>
    <row r="6260" ht="16.5" customHeight="1" spans="1:8">
      <c r="A6260" s="3">
        <v>6259</v>
      </c>
      <c r="B6260" s="3" t="s">
        <v>13804</v>
      </c>
      <c r="C6260" s="3" t="s">
        <v>1105</v>
      </c>
      <c r="D6260" s="4" t="s">
        <v>13805</v>
      </c>
      <c r="E6260" s="3" t="s">
        <v>1076</v>
      </c>
      <c r="F6260" s="3" t="s">
        <v>13456</v>
      </c>
      <c r="G6260" s="3"/>
      <c r="H6260" s="4" t="s">
        <v>13787</v>
      </c>
    </row>
    <row r="6261" ht="16.5" customHeight="1" spans="1:8">
      <c r="A6261" s="3">
        <v>6260</v>
      </c>
      <c r="B6261" s="3" t="s">
        <v>13806</v>
      </c>
      <c r="C6261" s="3" t="s">
        <v>1105</v>
      </c>
      <c r="D6261" s="4" t="s">
        <v>13807</v>
      </c>
      <c r="E6261" s="3" t="s">
        <v>1076</v>
      </c>
      <c r="F6261" s="3" t="s">
        <v>13456</v>
      </c>
      <c r="G6261" s="3"/>
      <c r="H6261" s="4" t="s">
        <v>13787</v>
      </c>
    </row>
    <row r="6262" ht="16.5" customHeight="1" spans="1:8">
      <c r="A6262" s="3">
        <v>6261</v>
      </c>
      <c r="B6262" s="3" t="s">
        <v>13808</v>
      </c>
      <c r="C6262" s="3" t="s">
        <v>1105</v>
      </c>
      <c r="D6262" s="4" t="s">
        <v>13809</v>
      </c>
      <c r="E6262" s="3" t="s">
        <v>1076</v>
      </c>
      <c r="F6262" s="3" t="s">
        <v>13456</v>
      </c>
      <c r="G6262" s="3"/>
      <c r="H6262" s="4" t="s">
        <v>13787</v>
      </c>
    </row>
    <row r="6263" ht="16.5" customHeight="1" spans="1:8">
      <c r="A6263" s="3">
        <v>6262</v>
      </c>
      <c r="B6263" s="3" t="s">
        <v>13810</v>
      </c>
      <c r="C6263" s="3" t="s">
        <v>1105</v>
      </c>
      <c r="D6263" s="4" t="s">
        <v>13811</v>
      </c>
      <c r="E6263" s="3" t="s">
        <v>1076</v>
      </c>
      <c r="F6263" s="3" t="s">
        <v>13456</v>
      </c>
      <c r="G6263" s="3"/>
      <c r="H6263" s="4" t="s">
        <v>13787</v>
      </c>
    </row>
    <row r="6264" ht="16.5" customHeight="1" spans="1:8">
      <c r="A6264" s="3">
        <v>6263</v>
      </c>
      <c r="B6264" s="3" t="s">
        <v>13812</v>
      </c>
      <c r="C6264" s="3" t="s">
        <v>1105</v>
      </c>
      <c r="D6264" s="4" t="s">
        <v>13813</v>
      </c>
      <c r="E6264" s="3" t="s">
        <v>1076</v>
      </c>
      <c r="F6264" s="3" t="s">
        <v>13456</v>
      </c>
      <c r="G6264" s="3"/>
      <c r="H6264" s="4" t="s">
        <v>13787</v>
      </c>
    </row>
    <row r="6265" ht="16.5" customHeight="1" spans="1:8">
      <c r="A6265" s="3">
        <v>6264</v>
      </c>
      <c r="B6265" s="3" t="s">
        <v>13814</v>
      </c>
      <c r="C6265" s="3" t="s">
        <v>1105</v>
      </c>
      <c r="D6265" s="4" t="s">
        <v>13815</v>
      </c>
      <c r="E6265" s="3" t="s">
        <v>1076</v>
      </c>
      <c r="F6265" s="3" t="s">
        <v>13816</v>
      </c>
      <c r="G6265" s="3" t="s">
        <v>321</v>
      </c>
      <c r="H6265" s="4" t="s">
        <v>13568</v>
      </c>
    </row>
    <row r="6266" ht="16.5" customHeight="1" spans="1:8">
      <c r="A6266" s="3">
        <v>6265</v>
      </c>
      <c r="B6266" s="3" t="s">
        <v>13817</v>
      </c>
      <c r="C6266" s="3" t="s">
        <v>1105</v>
      </c>
      <c r="D6266" s="4" t="s">
        <v>13818</v>
      </c>
      <c r="E6266" s="3" t="s">
        <v>1076</v>
      </c>
      <c r="F6266" s="3" t="s">
        <v>13816</v>
      </c>
      <c r="G6266" s="3" t="s">
        <v>321</v>
      </c>
      <c r="H6266" s="4" t="s">
        <v>13568</v>
      </c>
    </row>
    <row r="6267" ht="16.5" customHeight="1" spans="1:8">
      <c r="A6267" s="3">
        <v>6266</v>
      </c>
      <c r="B6267" s="3" t="s">
        <v>13819</v>
      </c>
      <c r="C6267" s="3" t="s">
        <v>1105</v>
      </c>
      <c r="D6267" s="4" t="s">
        <v>13820</v>
      </c>
      <c r="E6267" s="3" t="s">
        <v>1076</v>
      </c>
      <c r="F6267" s="3" t="s">
        <v>13816</v>
      </c>
      <c r="G6267" s="3"/>
      <c r="H6267" s="4" t="s">
        <v>13568</v>
      </c>
    </row>
    <row r="6268" ht="16.5" customHeight="1" spans="1:8">
      <c r="A6268" s="3">
        <v>6267</v>
      </c>
      <c r="B6268" s="3" t="s">
        <v>13821</v>
      </c>
      <c r="C6268" s="3" t="s">
        <v>1105</v>
      </c>
      <c r="D6268" s="4" t="s">
        <v>13822</v>
      </c>
      <c r="E6268" s="3" t="s">
        <v>1076</v>
      </c>
      <c r="F6268" s="3" t="s">
        <v>2041</v>
      </c>
      <c r="G6268" s="3"/>
      <c r="H6268" s="4" t="s">
        <v>13600</v>
      </c>
    </row>
    <row r="6269" ht="16.5" customHeight="1" spans="1:8">
      <c r="A6269" s="3">
        <v>6268</v>
      </c>
      <c r="B6269" s="3" t="s">
        <v>13823</v>
      </c>
      <c r="C6269" s="3" t="s">
        <v>1105</v>
      </c>
      <c r="D6269" s="4" t="s">
        <v>13824</v>
      </c>
      <c r="E6269" s="3" t="s">
        <v>1076</v>
      </c>
      <c r="F6269" s="3" t="s">
        <v>1156</v>
      </c>
      <c r="G6269" s="3"/>
      <c r="H6269" s="4" t="s">
        <v>13825</v>
      </c>
    </row>
    <row r="6270" ht="16.5" customHeight="1" spans="1:8">
      <c r="A6270" s="3">
        <v>6269</v>
      </c>
      <c r="B6270" s="3" t="s">
        <v>13826</v>
      </c>
      <c r="C6270" s="3" t="s">
        <v>1105</v>
      </c>
      <c r="D6270" s="4" t="s">
        <v>13827</v>
      </c>
      <c r="E6270" s="3" t="s">
        <v>1076</v>
      </c>
      <c r="F6270" s="3" t="s">
        <v>1156</v>
      </c>
      <c r="G6270" s="3"/>
      <c r="H6270" s="4" t="s">
        <v>13825</v>
      </c>
    </row>
    <row r="6271" ht="16.5" customHeight="1" spans="1:8">
      <c r="A6271" s="3">
        <v>6270</v>
      </c>
      <c r="B6271" s="3" t="s">
        <v>13828</v>
      </c>
      <c r="C6271" s="3" t="s">
        <v>1105</v>
      </c>
      <c r="D6271" s="4" t="s">
        <v>13829</v>
      </c>
      <c r="E6271" s="3" t="s">
        <v>1076</v>
      </c>
      <c r="F6271" s="3" t="s">
        <v>2105</v>
      </c>
      <c r="G6271" s="3"/>
      <c r="H6271" s="4" t="s">
        <v>13600</v>
      </c>
    </row>
    <row r="6272" ht="16.5" customHeight="1" spans="1:8">
      <c r="A6272" s="3">
        <v>6271</v>
      </c>
      <c r="B6272" s="3" t="s">
        <v>13830</v>
      </c>
      <c r="C6272" s="3" t="s">
        <v>1105</v>
      </c>
      <c r="D6272" s="4" t="s">
        <v>13831</v>
      </c>
      <c r="E6272" s="3" t="s">
        <v>1076</v>
      </c>
      <c r="F6272" s="3" t="s">
        <v>2105</v>
      </c>
      <c r="G6272" s="3"/>
      <c r="H6272" s="4" t="s">
        <v>13600</v>
      </c>
    </row>
    <row r="6273" ht="16.5" customHeight="1" spans="1:8">
      <c r="A6273" s="3">
        <v>6272</v>
      </c>
      <c r="B6273" s="3" t="s">
        <v>13832</v>
      </c>
      <c r="C6273" s="3" t="s">
        <v>1105</v>
      </c>
      <c r="D6273" s="4" t="s">
        <v>13833</v>
      </c>
      <c r="E6273" s="3" t="s">
        <v>1076</v>
      </c>
      <c r="F6273" s="3" t="s">
        <v>12241</v>
      </c>
      <c r="G6273" s="3"/>
      <c r="H6273" s="4" t="s">
        <v>13600</v>
      </c>
    </row>
    <row r="6274" ht="16.5" customHeight="1" spans="1:8">
      <c r="A6274" s="3">
        <v>6273</v>
      </c>
      <c r="B6274" s="3" t="s">
        <v>13834</v>
      </c>
      <c r="C6274" s="3" t="s">
        <v>1361</v>
      </c>
      <c r="D6274" s="4" t="s">
        <v>13835</v>
      </c>
      <c r="E6274" s="3" t="s">
        <v>2056</v>
      </c>
      <c r="F6274" s="3" t="s">
        <v>2105</v>
      </c>
      <c r="G6274" s="3"/>
      <c r="H6274" s="4" t="s">
        <v>9475</v>
      </c>
    </row>
    <row r="6275" ht="16.5" customHeight="1" spans="1:8">
      <c r="A6275" s="3">
        <v>6274</v>
      </c>
      <c r="B6275" s="3" t="s">
        <v>13836</v>
      </c>
      <c r="C6275" s="3" t="s">
        <v>1361</v>
      </c>
      <c r="D6275" s="4" t="s">
        <v>13837</v>
      </c>
      <c r="E6275" s="3" t="s">
        <v>2056</v>
      </c>
      <c r="F6275" s="3" t="s">
        <v>2105</v>
      </c>
      <c r="G6275" s="3"/>
      <c r="H6275" s="4" t="s">
        <v>9475</v>
      </c>
    </row>
    <row r="6276" ht="16.5" customHeight="1" spans="1:8">
      <c r="A6276" s="3">
        <v>6275</v>
      </c>
      <c r="B6276" s="3" t="s">
        <v>13838</v>
      </c>
      <c r="C6276" s="3" t="s">
        <v>1361</v>
      </c>
      <c r="D6276" s="4" t="s">
        <v>13839</v>
      </c>
      <c r="E6276" s="3" t="s">
        <v>2056</v>
      </c>
      <c r="F6276" s="3" t="s">
        <v>2105</v>
      </c>
      <c r="G6276" s="3"/>
      <c r="H6276" s="4" t="s">
        <v>9475</v>
      </c>
    </row>
    <row r="6277" ht="16.5" customHeight="1" spans="1:8">
      <c r="A6277" s="3">
        <v>6276</v>
      </c>
      <c r="B6277" s="3" t="s">
        <v>13840</v>
      </c>
      <c r="C6277" s="3" t="s">
        <v>1361</v>
      </c>
      <c r="D6277" s="4" t="s">
        <v>13841</v>
      </c>
      <c r="E6277" s="3" t="s">
        <v>2056</v>
      </c>
      <c r="F6277" s="3" t="s">
        <v>2105</v>
      </c>
      <c r="G6277" s="3"/>
      <c r="H6277" s="4" t="s">
        <v>9475</v>
      </c>
    </row>
    <row r="6278" ht="16.5" customHeight="1" spans="1:8">
      <c r="A6278" s="3">
        <v>6277</v>
      </c>
      <c r="B6278" s="3" t="s">
        <v>13842</v>
      </c>
      <c r="C6278" s="3" t="s">
        <v>1361</v>
      </c>
      <c r="D6278" s="4" t="s">
        <v>13843</v>
      </c>
      <c r="E6278" s="3" t="s">
        <v>2056</v>
      </c>
      <c r="F6278" s="3" t="s">
        <v>2105</v>
      </c>
      <c r="G6278" s="3"/>
      <c r="H6278" s="4" t="s">
        <v>9475</v>
      </c>
    </row>
    <row r="6279" ht="16.5" customHeight="1" spans="1:8">
      <c r="A6279" s="3">
        <v>6278</v>
      </c>
      <c r="B6279" s="3" t="s">
        <v>13844</v>
      </c>
      <c r="C6279" s="3" t="s">
        <v>1361</v>
      </c>
      <c r="D6279" s="4" t="s">
        <v>13845</v>
      </c>
      <c r="E6279" s="3" t="s">
        <v>2056</v>
      </c>
      <c r="F6279" s="3" t="s">
        <v>2105</v>
      </c>
      <c r="G6279" s="3"/>
      <c r="H6279" s="4" t="s">
        <v>9475</v>
      </c>
    </row>
    <row r="6280" ht="16.5" customHeight="1" spans="1:8">
      <c r="A6280" s="3">
        <v>6279</v>
      </c>
      <c r="B6280" s="3" t="s">
        <v>13846</v>
      </c>
      <c r="C6280" s="3" t="s">
        <v>1361</v>
      </c>
      <c r="D6280" s="4" t="s">
        <v>13847</v>
      </c>
      <c r="E6280" s="3" t="s">
        <v>2056</v>
      </c>
      <c r="F6280" s="3" t="s">
        <v>2105</v>
      </c>
      <c r="G6280" s="3"/>
      <c r="H6280" s="4" t="s">
        <v>9475</v>
      </c>
    </row>
    <row r="6281" ht="16.5" customHeight="1" spans="1:8">
      <c r="A6281" s="3">
        <v>6280</v>
      </c>
      <c r="B6281" s="3" t="s">
        <v>13848</v>
      </c>
      <c r="C6281" s="3" t="s">
        <v>1361</v>
      </c>
      <c r="D6281" s="4" t="s">
        <v>13849</v>
      </c>
      <c r="E6281" s="3" t="s">
        <v>2056</v>
      </c>
      <c r="F6281" s="3" t="s">
        <v>2105</v>
      </c>
      <c r="G6281" s="3"/>
      <c r="H6281" s="4" t="s">
        <v>9475</v>
      </c>
    </row>
    <row r="6282" ht="16.5" customHeight="1" spans="1:8">
      <c r="A6282" s="3">
        <v>6281</v>
      </c>
      <c r="B6282" s="3" t="s">
        <v>13850</v>
      </c>
      <c r="C6282" s="3" t="s">
        <v>1361</v>
      </c>
      <c r="D6282" s="4" t="s">
        <v>13851</v>
      </c>
      <c r="E6282" s="3" t="s">
        <v>2056</v>
      </c>
      <c r="F6282" s="3" t="s">
        <v>2105</v>
      </c>
      <c r="G6282" s="3"/>
      <c r="H6282" s="4" t="s">
        <v>9475</v>
      </c>
    </row>
    <row r="6283" ht="16.5" customHeight="1" spans="1:8">
      <c r="A6283" s="3">
        <v>6282</v>
      </c>
      <c r="B6283" s="3" t="s">
        <v>13852</v>
      </c>
      <c r="C6283" s="3" t="s">
        <v>1361</v>
      </c>
      <c r="D6283" s="4" t="s">
        <v>13853</v>
      </c>
      <c r="E6283" s="3" t="s">
        <v>2056</v>
      </c>
      <c r="F6283" s="3" t="s">
        <v>2105</v>
      </c>
      <c r="G6283" s="3"/>
      <c r="H6283" s="4" t="s">
        <v>9475</v>
      </c>
    </row>
    <row r="6284" ht="16.5" customHeight="1" spans="1:8">
      <c r="A6284" s="3">
        <v>6283</v>
      </c>
      <c r="B6284" s="3" t="s">
        <v>13854</v>
      </c>
      <c r="C6284" s="3" t="s">
        <v>1361</v>
      </c>
      <c r="D6284" s="4" t="s">
        <v>13855</v>
      </c>
      <c r="E6284" s="3" t="s">
        <v>2056</v>
      </c>
      <c r="F6284" s="3" t="s">
        <v>2105</v>
      </c>
      <c r="G6284" s="3"/>
      <c r="H6284" s="4" t="s">
        <v>9475</v>
      </c>
    </row>
    <row r="6285" ht="16.5" customHeight="1" spans="1:8">
      <c r="A6285" s="3">
        <v>6284</v>
      </c>
      <c r="B6285" s="3" t="s">
        <v>13856</v>
      </c>
      <c r="C6285" s="3" t="s">
        <v>1105</v>
      </c>
      <c r="D6285" s="4" t="s">
        <v>13857</v>
      </c>
      <c r="E6285" s="3" t="s">
        <v>13858</v>
      </c>
      <c r="F6285" s="3" t="s">
        <v>13859</v>
      </c>
      <c r="G6285" s="3"/>
      <c r="H6285" s="4" t="s">
        <v>13860</v>
      </c>
    </row>
    <row r="6286" ht="16.5" customHeight="1" spans="1:8">
      <c r="A6286" s="3">
        <v>6285</v>
      </c>
      <c r="B6286" s="3" t="s">
        <v>13861</v>
      </c>
      <c r="C6286" s="3" t="s">
        <v>1105</v>
      </c>
      <c r="D6286" s="4" t="s">
        <v>13862</v>
      </c>
      <c r="E6286" s="3" t="s">
        <v>13858</v>
      </c>
      <c r="F6286" s="3" t="s">
        <v>13859</v>
      </c>
      <c r="G6286" s="3"/>
      <c r="H6286" s="4" t="s">
        <v>13860</v>
      </c>
    </row>
    <row r="6287" ht="16.5" customHeight="1" spans="1:8">
      <c r="A6287" s="3">
        <v>6286</v>
      </c>
      <c r="B6287" s="3" t="s">
        <v>13863</v>
      </c>
      <c r="C6287" s="3" t="s">
        <v>1105</v>
      </c>
      <c r="D6287" s="4" t="s">
        <v>13864</v>
      </c>
      <c r="E6287" s="3" t="s">
        <v>1164</v>
      </c>
      <c r="F6287" s="3" t="s">
        <v>13859</v>
      </c>
      <c r="G6287" s="3"/>
      <c r="H6287" s="4" t="s">
        <v>13860</v>
      </c>
    </row>
    <row r="6288" ht="16.5" customHeight="1" spans="1:8">
      <c r="A6288" s="3">
        <v>6287</v>
      </c>
      <c r="B6288" s="3" t="s">
        <v>13865</v>
      </c>
      <c r="C6288" s="3" t="s">
        <v>1105</v>
      </c>
      <c r="D6288" s="4" t="s">
        <v>13866</v>
      </c>
      <c r="E6288" s="3" t="s">
        <v>13858</v>
      </c>
      <c r="F6288" s="3" t="s">
        <v>13859</v>
      </c>
      <c r="G6288" s="3"/>
      <c r="H6288" s="4" t="s">
        <v>13860</v>
      </c>
    </row>
    <row r="6289" ht="16.5" customHeight="1" spans="1:8">
      <c r="A6289" s="3">
        <v>6288</v>
      </c>
      <c r="B6289" s="3" t="s">
        <v>13867</v>
      </c>
      <c r="C6289" s="3" t="s">
        <v>1105</v>
      </c>
      <c r="D6289" s="4" t="s">
        <v>13868</v>
      </c>
      <c r="E6289" s="3" t="s">
        <v>1076</v>
      </c>
      <c r="F6289" s="3" t="s">
        <v>13869</v>
      </c>
      <c r="G6289" s="3"/>
      <c r="H6289" s="4" t="s">
        <v>13870</v>
      </c>
    </row>
    <row r="6290" ht="16.5" customHeight="1" spans="1:8">
      <c r="A6290" s="3">
        <v>6289</v>
      </c>
      <c r="B6290" s="3" t="s">
        <v>13871</v>
      </c>
      <c r="C6290" s="3" t="s">
        <v>1105</v>
      </c>
      <c r="D6290" s="4" t="s">
        <v>13872</v>
      </c>
      <c r="E6290" s="3" t="s">
        <v>1076</v>
      </c>
      <c r="F6290" s="3" t="s">
        <v>13869</v>
      </c>
      <c r="G6290" s="3"/>
      <c r="H6290" s="4" t="s">
        <v>13870</v>
      </c>
    </row>
    <row r="6291" ht="16.5" customHeight="1" spans="1:8">
      <c r="A6291" s="3">
        <v>6290</v>
      </c>
      <c r="B6291" s="3" t="s">
        <v>13873</v>
      </c>
      <c r="C6291" s="3" t="s">
        <v>1105</v>
      </c>
      <c r="D6291" s="4" t="s">
        <v>13874</v>
      </c>
      <c r="E6291" s="3" t="s">
        <v>1076</v>
      </c>
      <c r="F6291" s="3" t="s">
        <v>13869</v>
      </c>
      <c r="G6291" s="3"/>
      <c r="H6291" s="4" t="s">
        <v>13870</v>
      </c>
    </row>
    <row r="6292" ht="16.5" customHeight="1" spans="1:8">
      <c r="A6292" s="3">
        <v>6291</v>
      </c>
      <c r="B6292" s="3" t="s">
        <v>13875</v>
      </c>
      <c r="C6292" s="3" t="s">
        <v>1105</v>
      </c>
      <c r="D6292" s="4" t="s">
        <v>13876</v>
      </c>
      <c r="E6292" s="3" t="s">
        <v>1076</v>
      </c>
      <c r="F6292" s="3" t="s">
        <v>3104</v>
      </c>
      <c r="G6292" s="3"/>
      <c r="H6292" s="4" t="s">
        <v>13870</v>
      </c>
    </row>
    <row r="6293" ht="16.5" customHeight="1" spans="1:8">
      <c r="A6293" s="3">
        <v>6292</v>
      </c>
      <c r="B6293" s="3" t="s">
        <v>13877</v>
      </c>
      <c r="C6293" s="3" t="s">
        <v>1105</v>
      </c>
      <c r="D6293" s="4" t="s">
        <v>13878</v>
      </c>
      <c r="E6293" s="3" t="s">
        <v>1076</v>
      </c>
      <c r="F6293" s="3" t="s">
        <v>3104</v>
      </c>
      <c r="G6293" s="3"/>
      <c r="H6293" s="4" t="s">
        <v>13870</v>
      </c>
    </row>
    <row r="6294" ht="16.5" customHeight="1" spans="1:8">
      <c r="A6294" s="3">
        <v>6293</v>
      </c>
      <c r="B6294" s="3" t="s">
        <v>13879</v>
      </c>
      <c r="C6294" s="3" t="s">
        <v>1105</v>
      </c>
      <c r="D6294" s="4" t="s">
        <v>13880</v>
      </c>
      <c r="E6294" s="3" t="s">
        <v>1076</v>
      </c>
      <c r="F6294" s="3" t="s">
        <v>3104</v>
      </c>
      <c r="G6294" s="3"/>
      <c r="H6294" s="4" t="s">
        <v>13870</v>
      </c>
    </row>
    <row r="6295" ht="16.5" customHeight="1" spans="1:8">
      <c r="A6295" s="3">
        <v>6294</v>
      </c>
      <c r="B6295" s="3" t="s">
        <v>13881</v>
      </c>
      <c r="C6295" s="3" t="s">
        <v>1105</v>
      </c>
      <c r="D6295" s="4" t="s">
        <v>13882</v>
      </c>
      <c r="E6295" s="3" t="s">
        <v>1076</v>
      </c>
      <c r="F6295" s="3" t="s">
        <v>1156</v>
      </c>
      <c r="G6295" s="3"/>
      <c r="H6295" s="4" t="s">
        <v>13757</v>
      </c>
    </row>
    <row r="6296" ht="16.5" customHeight="1" spans="1:8">
      <c r="A6296" s="3">
        <v>6295</v>
      </c>
      <c r="B6296" s="3" t="s">
        <v>13883</v>
      </c>
      <c r="C6296" s="3" t="s">
        <v>1105</v>
      </c>
      <c r="D6296" s="4" t="s">
        <v>13884</v>
      </c>
      <c r="E6296" s="3" t="s">
        <v>1076</v>
      </c>
      <c r="F6296" s="3" t="s">
        <v>1156</v>
      </c>
      <c r="G6296" s="3"/>
      <c r="H6296" s="4" t="s">
        <v>13757</v>
      </c>
    </row>
    <row r="6297" ht="16.5" customHeight="1" spans="1:8">
      <c r="A6297" s="3">
        <v>6296</v>
      </c>
      <c r="B6297" s="3" t="s">
        <v>13885</v>
      </c>
      <c r="C6297" s="3" t="s">
        <v>1105</v>
      </c>
      <c r="D6297" s="4" t="s">
        <v>13886</v>
      </c>
      <c r="E6297" s="3" t="s">
        <v>1076</v>
      </c>
      <c r="F6297" s="3" t="s">
        <v>1156</v>
      </c>
      <c r="G6297" s="3"/>
      <c r="H6297" s="4" t="s">
        <v>13757</v>
      </c>
    </row>
    <row r="6298" ht="16.5" customHeight="1" spans="1:8">
      <c r="A6298" s="3">
        <v>6297</v>
      </c>
      <c r="B6298" s="3" t="s">
        <v>13887</v>
      </c>
      <c r="C6298" s="3" t="s">
        <v>1105</v>
      </c>
      <c r="D6298" s="4" t="s">
        <v>13888</v>
      </c>
      <c r="E6298" s="3" t="s">
        <v>1076</v>
      </c>
      <c r="F6298" s="3" t="s">
        <v>1156</v>
      </c>
      <c r="G6298" s="3"/>
      <c r="H6298" s="4" t="s">
        <v>13757</v>
      </c>
    </row>
    <row r="6299" ht="16.5" customHeight="1" spans="1:8">
      <c r="A6299" s="3">
        <v>6298</v>
      </c>
      <c r="B6299" s="3" t="s">
        <v>13889</v>
      </c>
      <c r="C6299" s="3" t="s">
        <v>1105</v>
      </c>
      <c r="D6299" s="4" t="s">
        <v>13890</v>
      </c>
      <c r="E6299" s="3" t="s">
        <v>1076</v>
      </c>
      <c r="F6299" s="3" t="s">
        <v>1156</v>
      </c>
      <c r="G6299" s="3"/>
      <c r="H6299" s="4" t="s">
        <v>13757</v>
      </c>
    </row>
    <row r="6300" ht="16.5" customHeight="1" spans="1:8">
      <c r="A6300" s="3">
        <v>6299</v>
      </c>
      <c r="B6300" s="3" t="s">
        <v>13891</v>
      </c>
      <c r="C6300" s="3" t="s">
        <v>1105</v>
      </c>
      <c r="D6300" s="4" t="s">
        <v>13892</v>
      </c>
      <c r="E6300" s="3" t="s">
        <v>1076</v>
      </c>
      <c r="F6300" s="3" t="s">
        <v>1156</v>
      </c>
      <c r="G6300" s="3"/>
      <c r="H6300" s="4" t="s">
        <v>13757</v>
      </c>
    </row>
    <row r="6301" ht="16.5" customHeight="1" spans="1:8">
      <c r="A6301" s="3">
        <v>6300</v>
      </c>
      <c r="B6301" s="3" t="s">
        <v>13893</v>
      </c>
      <c r="C6301" s="3" t="s">
        <v>1074</v>
      </c>
      <c r="D6301" s="4" t="s">
        <v>13894</v>
      </c>
      <c r="E6301" s="3" t="s">
        <v>1218</v>
      </c>
      <c r="F6301" s="3" t="s">
        <v>8175</v>
      </c>
      <c r="G6301" s="3"/>
      <c r="H6301" s="4" t="s">
        <v>1305</v>
      </c>
    </row>
    <row r="6302" ht="16.5" customHeight="1" spans="1:8">
      <c r="A6302" s="3">
        <v>6301</v>
      </c>
      <c r="B6302" s="3" t="s">
        <v>13895</v>
      </c>
      <c r="C6302" s="3" t="s">
        <v>1074</v>
      </c>
      <c r="D6302" s="4" t="s">
        <v>13896</v>
      </c>
      <c r="E6302" s="3" t="s">
        <v>2726</v>
      </c>
      <c r="F6302" s="3" t="s">
        <v>8175</v>
      </c>
      <c r="G6302" s="3"/>
      <c r="H6302" s="4" t="s">
        <v>3812</v>
      </c>
    </row>
    <row r="6303" ht="16.5" customHeight="1" spans="1:8">
      <c r="A6303" s="3">
        <v>6302</v>
      </c>
      <c r="B6303" s="3" t="s">
        <v>13897</v>
      </c>
      <c r="C6303" s="3" t="s">
        <v>1361</v>
      </c>
      <c r="D6303" s="4" t="s">
        <v>13898</v>
      </c>
      <c r="E6303" s="3" t="s">
        <v>1218</v>
      </c>
      <c r="F6303" s="3" t="s">
        <v>2105</v>
      </c>
      <c r="G6303" s="3"/>
      <c r="H6303" s="4" t="s">
        <v>7243</v>
      </c>
    </row>
    <row r="6304" ht="16.5" customHeight="1" spans="1:8">
      <c r="A6304" s="3">
        <v>6303</v>
      </c>
      <c r="B6304" s="3" t="s">
        <v>13899</v>
      </c>
      <c r="C6304" s="3" t="s">
        <v>1361</v>
      </c>
      <c r="D6304" s="4" t="s">
        <v>13900</v>
      </c>
      <c r="E6304" s="3" t="s">
        <v>1218</v>
      </c>
      <c r="F6304" s="3" t="s">
        <v>2105</v>
      </c>
      <c r="G6304" s="3"/>
      <c r="H6304" s="4" t="s">
        <v>7243</v>
      </c>
    </row>
    <row r="6305" ht="16.5" customHeight="1" spans="1:8">
      <c r="A6305" s="3">
        <v>6304</v>
      </c>
      <c r="B6305" s="3" t="s">
        <v>13901</v>
      </c>
      <c r="C6305" s="3" t="s">
        <v>1361</v>
      </c>
      <c r="D6305" s="4" t="s">
        <v>13902</v>
      </c>
      <c r="E6305" s="3" t="s">
        <v>1218</v>
      </c>
      <c r="F6305" s="3" t="s">
        <v>2105</v>
      </c>
      <c r="G6305" s="3"/>
      <c r="H6305" s="4" t="s">
        <v>7243</v>
      </c>
    </row>
    <row r="6306" ht="16.5" customHeight="1" spans="1:8">
      <c r="A6306" s="3">
        <v>6305</v>
      </c>
      <c r="B6306" s="3" t="s">
        <v>13903</v>
      </c>
      <c r="C6306" s="3" t="s">
        <v>1105</v>
      </c>
      <c r="D6306" s="4" t="s">
        <v>13904</v>
      </c>
      <c r="E6306" s="3" t="s">
        <v>1218</v>
      </c>
      <c r="F6306" s="3" t="s">
        <v>12241</v>
      </c>
      <c r="G6306" s="3"/>
      <c r="H6306" s="4" t="s">
        <v>13905</v>
      </c>
    </row>
    <row r="6307" ht="16.5" customHeight="1" spans="1:8">
      <c r="A6307" s="3">
        <v>6306</v>
      </c>
      <c r="B6307" s="3" t="s">
        <v>13906</v>
      </c>
      <c r="C6307" s="3" t="s">
        <v>1105</v>
      </c>
      <c r="D6307" s="4" t="s">
        <v>13907</v>
      </c>
      <c r="E6307" s="3" t="s">
        <v>1076</v>
      </c>
      <c r="F6307" s="3" t="s">
        <v>2105</v>
      </c>
      <c r="G6307" s="3"/>
      <c r="H6307" s="4" t="s">
        <v>12847</v>
      </c>
    </row>
    <row r="6308" ht="16.5" customHeight="1" spans="1:8">
      <c r="A6308" s="3">
        <v>6307</v>
      </c>
      <c r="B6308" s="3" t="s">
        <v>13908</v>
      </c>
      <c r="C6308" s="3" t="s">
        <v>2163</v>
      </c>
      <c r="D6308" s="4" t="s">
        <v>13909</v>
      </c>
      <c r="E6308" s="3" t="s">
        <v>2726</v>
      </c>
      <c r="F6308" s="3" t="s">
        <v>2105</v>
      </c>
      <c r="G6308" s="3"/>
      <c r="H6308" s="4" t="s">
        <v>7243</v>
      </c>
    </row>
    <row r="6309" ht="16.5" customHeight="1" spans="1:8">
      <c r="A6309" s="3">
        <v>6308</v>
      </c>
      <c r="B6309" s="3" t="s">
        <v>13910</v>
      </c>
      <c r="C6309" s="3" t="s">
        <v>2163</v>
      </c>
      <c r="D6309" s="4" t="s">
        <v>13911</v>
      </c>
      <c r="E6309" s="3" t="s">
        <v>1076</v>
      </c>
      <c r="F6309" s="3" t="s">
        <v>10943</v>
      </c>
      <c r="G6309" s="3"/>
      <c r="H6309" s="4" t="s">
        <v>3812</v>
      </c>
    </row>
    <row r="6310" ht="16.5" customHeight="1" spans="1:8">
      <c r="A6310" s="3">
        <v>6309</v>
      </c>
      <c r="B6310" s="3" t="s">
        <v>13912</v>
      </c>
      <c r="C6310" s="3" t="s">
        <v>2163</v>
      </c>
      <c r="D6310" s="4" t="s">
        <v>13913</v>
      </c>
      <c r="E6310" s="3" t="s">
        <v>2726</v>
      </c>
      <c r="F6310" s="3" t="s">
        <v>2105</v>
      </c>
      <c r="G6310" s="3"/>
      <c r="H6310" s="4" t="s">
        <v>7243</v>
      </c>
    </row>
    <row r="6311" ht="16.5" customHeight="1" spans="1:8">
      <c r="A6311" s="3">
        <v>6310</v>
      </c>
      <c r="B6311" s="3" t="s">
        <v>13914</v>
      </c>
      <c r="C6311" s="3" t="s">
        <v>2163</v>
      </c>
      <c r="D6311" s="4" t="s">
        <v>13915</v>
      </c>
      <c r="E6311" s="3" t="s">
        <v>2726</v>
      </c>
      <c r="F6311" s="3" t="s">
        <v>2105</v>
      </c>
      <c r="G6311" s="3"/>
      <c r="H6311" s="4" t="s">
        <v>7243</v>
      </c>
    </row>
    <row r="6312" ht="16.5" customHeight="1" spans="1:8">
      <c r="A6312" s="3">
        <v>6311</v>
      </c>
      <c r="B6312" s="3" t="s">
        <v>13916</v>
      </c>
      <c r="C6312" s="3" t="s">
        <v>2163</v>
      </c>
      <c r="D6312" s="4" t="s">
        <v>13917</v>
      </c>
      <c r="E6312" s="3" t="s">
        <v>2726</v>
      </c>
      <c r="F6312" s="3" t="s">
        <v>2105</v>
      </c>
      <c r="G6312" s="3"/>
      <c r="H6312" s="4" t="s">
        <v>7243</v>
      </c>
    </row>
    <row r="6313" ht="16.5" customHeight="1" spans="1:8">
      <c r="A6313" s="3">
        <v>6312</v>
      </c>
      <c r="B6313" s="3" t="s">
        <v>13918</v>
      </c>
      <c r="C6313" s="3" t="s">
        <v>1105</v>
      </c>
      <c r="D6313" s="4" t="s">
        <v>13919</v>
      </c>
      <c r="E6313" s="3" t="s">
        <v>1076</v>
      </c>
      <c r="F6313" s="3" t="s">
        <v>2105</v>
      </c>
      <c r="G6313" s="3"/>
      <c r="H6313" s="4" t="s">
        <v>13870</v>
      </c>
    </row>
    <row r="6314" ht="16.5" customHeight="1" spans="1:8">
      <c r="A6314" s="3">
        <v>6313</v>
      </c>
      <c r="B6314" s="3" t="s">
        <v>13920</v>
      </c>
      <c r="C6314" s="3" t="s">
        <v>1105</v>
      </c>
      <c r="D6314" s="4" t="s">
        <v>13921</v>
      </c>
      <c r="E6314" s="3" t="s">
        <v>1076</v>
      </c>
      <c r="F6314" s="3" t="s">
        <v>2105</v>
      </c>
      <c r="G6314" s="3"/>
      <c r="H6314" s="4" t="s">
        <v>13870</v>
      </c>
    </row>
    <row r="6315" ht="16.5" customHeight="1" spans="1:8">
      <c r="A6315" s="3">
        <v>6314</v>
      </c>
      <c r="B6315" s="3" t="s">
        <v>13922</v>
      </c>
      <c r="C6315" s="3" t="s">
        <v>1105</v>
      </c>
      <c r="D6315" s="4" t="s">
        <v>13923</v>
      </c>
      <c r="E6315" s="3" t="s">
        <v>1218</v>
      </c>
      <c r="F6315" s="3" t="s">
        <v>2105</v>
      </c>
      <c r="G6315" s="3"/>
      <c r="H6315" s="4" t="s">
        <v>13870</v>
      </c>
    </row>
    <row r="6316" ht="16.5" customHeight="1" spans="1:8">
      <c r="A6316" s="3">
        <v>6315</v>
      </c>
      <c r="B6316" s="3" t="s">
        <v>13924</v>
      </c>
      <c r="C6316" s="3" t="s">
        <v>1105</v>
      </c>
      <c r="D6316" s="4" t="s">
        <v>13925</v>
      </c>
      <c r="E6316" s="3" t="s">
        <v>1076</v>
      </c>
      <c r="F6316" s="3" t="s">
        <v>13816</v>
      </c>
      <c r="G6316" s="3"/>
      <c r="H6316" s="4" t="s">
        <v>13568</v>
      </c>
    </row>
    <row r="6317" ht="16.5" customHeight="1" spans="1:8">
      <c r="A6317" s="3">
        <v>6316</v>
      </c>
      <c r="B6317" s="3" t="s">
        <v>13926</v>
      </c>
      <c r="C6317" s="3" t="s">
        <v>1074</v>
      </c>
      <c r="D6317" s="4" t="s">
        <v>13927</v>
      </c>
      <c r="E6317" s="3" t="s">
        <v>1076</v>
      </c>
      <c r="F6317" s="3" t="s">
        <v>10259</v>
      </c>
      <c r="G6317" s="3"/>
      <c r="H6317" s="4" t="s">
        <v>3812</v>
      </c>
    </row>
    <row r="6318" ht="16.5" customHeight="1" spans="1:8">
      <c r="A6318" s="3">
        <v>6317</v>
      </c>
      <c r="B6318" s="3" t="s">
        <v>13928</v>
      </c>
      <c r="C6318" s="3" t="s">
        <v>1074</v>
      </c>
      <c r="D6318" s="4" t="s">
        <v>13929</v>
      </c>
      <c r="E6318" s="3" t="s">
        <v>1076</v>
      </c>
      <c r="F6318" s="3" t="s">
        <v>10259</v>
      </c>
      <c r="G6318" s="3"/>
      <c r="H6318" s="4" t="s">
        <v>12433</v>
      </c>
    </row>
    <row r="6319" ht="16.5" customHeight="1" spans="1:8">
      <c r="A6319" s="3">
        <v>6318</v>
      </c>
      <c r="B6319" s="3" t="s">
        <v>13930</v>
      </c>
      <c r="C6319" s="3" t="s">
        <v>1074</v>
      </c>
      <c r="D6319" s="4" t="s">
        <v>13931</v>
      </c>
      <c r="E6319" s="3" t="s">
        <v>1076</v>
      </c>
      <c r="F6319" s="3" t="s">
        <v>10259</v>
      </c>
      <c r="G6319" s="3"/>
      <c r="H6319" s="4" t="s">
        <v>12433</v>
      </c>
    </row>
    <row r="6320" ht="16.5" customHeight="1" spans="1:8">
      <c r="A6320" s="3">
        <v>6319</v>
      </c>
      <c r="B6320" s="3" t="s">
        <v>13932</v>
      </c>
      <c r="C6320" s="3" t="s">
        <v>1074</v>
      </c>
      <c r="D6320" s="4" t="s">
        <v>13933</v>
      </c>
      <c r="E6320" s="3" t="s">
        <v>1076</v>
      </c>
      <c r="F6320" s="3" t="s">
        <v>10259</v>
      </c>
      <c r="G6320" s="3"/>
      <c r="H6320" s="4" t="s">
        <v>12433</v>
      </c>
    </row>
    <row r="6321" ht="16.5" customHeight="1" spans="1:8">
      <c r="A6321" s="3">
        <v>6320</v>
      </c>
      <c r="B6321" s="3" t="s">
        <v>13934</v>
      </c>
      <c r="C6321" s="3" t="s">
        <v>1074</v>
      </c>
      <c r="D6321" s="4" t="s">
        <v>13935</v>
      </c>
      <c r="E6321" s="3" t="s">
        <v>1076</v>
      </c>
      <c r="F6321" s="3" t="s">
        <v>10259</v>
      </c>
      <c r="G6321" s="3"/>
      <c r="H6321" s="4" t="s">
        <v>12433</v>
      </c>
    </row>
    <row r="6322" ht="16.5" customHeight="1" spans="1:8">
      <c r="A6322" s="3">
        <v>6321</v>
      </c>
      <c r="B6322" s="3" t="s">
        <v>13936</v>
      </c>
      <c r="C6322" s="3" t="s">
        <v>2163</v>
      </c>
      <c r="D6322" s="4" t="s">
        <v>13937</v>
      </c>
      <c r="E6322" s="3" t="s">
        <v>1076</v>
      </c>
      <c r="F6322" s="3" t="s">
        <v>2041</v>
      </c>
      <c r="G6322" s="3" t="s">
        <v>98</v>
      </c>
      <c r="H6322" s="4" t="s">
        <v>3812</v>
      </c>
    </row>
    <row r="6323" ht="16.5" customHeight="1" spans="1:8">
      <c r="A6323" s="3">
        <v>6322</v>
      </c>
      <c r="B6323" s="3" t="s">
        <v>13938</v>
      </c>
      <c r="C6323" s="3" t="s">
        <v>1074</v>
      </c>
      <c r="D6323" s="4" t="s">
        <v>13939</v>
      </c>
      <c r="E6323" s="3" t="s">
        <v>1076</v>
      </c>
      <c r="F6323" s="3" t="s">
        <v>10259</v>
      </c>
      <c r="G6323" s="3"/>
      <c r="H6323" s="4" t="s">
        <v>3812</v>
      </c>
    </row>
    <row r="6324" ht="16.5" customHeight="1" spans="1:8">
      <c r="A6324" s="3">
        <v>6323</v>
      </c>
      <c r="B6324" s="3" t="s">
        <v>13940</v>
      </c>
      <c r="C6324" s="3" t="s">
        <v>1074</v>
      </c>
      <c r="D6324" s="4" t="s">
        <v>13941</v>
      </c>
      <c r="E6324" s="3" t="s">
        <v>1076</v>
      </c>
      <c r="F6324" s="3" t="s">
        <v>10259</v>
      </c>
      <c r="G6324" s="3"/>
      <c r="H6324" s="4" t="s">
        <v>5664</v>
      </c>
    </row>
    <row r="6325" ht="16.5" customHeight="1" spans="1:8">
      <c r="A6325" s="3">
        <v>6324</v>
      </c>
      <c r="B6325" s="3" t="s">
        <v>13942</v>
      </c>
      <c r="C6325" s="3" t="s">
        <v>1074</v>
      </c>
      <c r="D6325" s="4" t="s">
        <v>13943</v>
      </c>
      <c r="E6325" s="3" t="s">
        <v>1076</v>
      </c>
      <c r="F6325" s="3" t="s">
        <v>8175</v>
      </c>
      <c r="G6325" s="3"/>
      <c r="H6325" s="4" t="s">
        <v>6877</v>
      </c>
    </row>
    <row r="6326" ht="16.5" customHeight="1" spans="1:8">
      <c r="A6326" s="3">
        <v>6325</v>
      </c>
      <c r="B6326" s="3" t="s">
        <v>13944</v>
      </c>
      <c r="C6326" s="3" t="s">
        <v>1105</v>
      </c>
      <c r="D6326" s="4" t="s">
        <v>13945</v>
      </c>
      <c r="E6326" s="3" t="s">
        <v>1164</v>
      </c>
      <c r="F6326" s="3" t="s">
        <v>438</v>
      </c>
      <c r="G6326" s="3"/>
      <c r="H6326" s="4" t="s">
        <v>13946</v>
      </c>
    </row>
    <row r="6327" ht="16.5" customHeight="1" spans="1:8">
      <c r="A6327" s="3">
        <v>6326</v>
      </c>
      <c r="B6327" s="3" t="s">
        <v>13947</v>
      </c>
      <c r="C6327" s="3" t="s">
        <v>2163</v>
      </c>
      <c r="D6327" s="4" t="s">
        <v>13948</v>
      </c>
      <c r="E6327" s="3" t="s">
        <v>1076</v>
      </c>
      <c r="F6327" s="3" t="s">
        <v>10943</v>
      </c>
      <c r="G6327" s="3"/>
      <c r="H6327" s="4" t="s">
        <v>6877</v>
      </c>
    </row>
    <row r="6328" ht="16.5" customHeight="1" spans="1:8">
      <c r="A6328" s="3">
        <v>6327</v>
      </c>
      <c r="B6328" s="3" t="s">
        <v>13949</v>
      </c>
      <c r="C6328" s="3" t="s">
        <v>2163</v>
      </c>
      <c r="D6328" s="4" t="s">
        <v>13950</v>
      </c>
      <c r="E6328" s="3" t="s">
        <v>1076</v>
      </c>
      <c r="F6328" s="3" t="s">
        <v>10943</v>
      </c>
      <c r="G6328" s="3"/>
      <c r="H6328" s="4" t="s">
        <v>6877</v>
      </c>
    </row>
    <row r="6329" ht="16.5" customHeight="1" spans="1:8">
      <c r="A6329" s="3">
        <v>6328</v>
      </c>
      <c r="B6329" s="3" t="s">
        <v>13951</v>
      </c>
      <c r="C6329" s="3" t="s">
        <v>2163</v>
      </c>
      <c r="D6329" s="4" t="s">
        <v>13952</v>
      </c>
      <c r="E6329" s="3" t="s">
        <v>1076</v>
      </c>
      <c r="F6329" s="3" t="s">
        <v>2041</v>
      </c>
      <c r="G6329" s="3" t="s">
        <v>98</v>
      </c>
      <c r="H6329" s="4" t="s">
        <v>3812</v>
      </c>
    </row>
    <row r="6330" ht="16.5" customHeight="1" spans="1:8">
      <c r="A6330" s="3">
        <v>6329</v>
      </c>
      <c r="B6330" s="3" t="s">
        <v>13953</v>
      </c>
      <c r="C6330" s="3" t="s">
        <v>2163</v>
      </c>
      <c r="D6330" s="4" t="s">
        <v>13954</v>
      </c>
      <c r="E6330" s="3" t="s">
        <v>1076</v>
      </c>
      <c r="F6330" s="3" t="s">
        <v>10943</v>
      </c>
      <c r="G6330" s="3"/>
      <c r="H6330" s="4" t="s">
        <v>6877</v>
      </c>
    </row>
    <row r="6331" ht="16.5" customHeight="1" spans="1:8">
      <c r="A6331" s="3">
        <v>6330</v>
      </c>
      <c r="B6331" s="3" t="s">
        <v>13955</v>
      </c>
      <c r="C6331" s="3" t="s">
        <v>1105</v>
      </c>
      <c r="D6331" s="4" t="s">
        <v>13956</v>
      </c>
      <c r="E6331" s="3" t="s">
        <v>1076</v>
      </c>
      <c r="F6331" s="3" t="s">
        <v>2105</v>
      </c>
      <c r="G6331" s="3"/>
      <c r="H6331" s="4" t="s">
        <v>13766</v>
      </c>
    </row>
    <row r="6332" ht="16.5" customHeight="1" spans="1:8">
      <c r="A6332" s="3">
        <v>6331</v>
      </c>
      <c r="B6332" s="3" t="s">
        <v>13957</v>
      </c>
      <c r="C6332" s="3" t="s">
        <v>1356</v>
      </c>
      <c r="D6332" s="4" t="s">
        <v>13958</v>
      </c>
      <c r="E6332" s="3" t="s">
        <v>1076</v>
      </c>
      <c r="F6332" s="3" t="s">
        <v>1152</v>
      </c>
      <c r="G6332" s="3"/>
      <c r="H6332" s="4"/>
    </row>
    <row r="6333" ht="16.5" customHeight="1" spans="1:8">
      <c r="A6333" s="3">
        <v>6332</v>
      </c>
      <c r="B6333" s="3" t="s">
        <v>13959</v>
      </c>
      <c r="C6333" s="3" t="s">
        <v>1356</v>
      </c>
      <c r="D6333" s="4" t="s">
        <v>13960</v>
      </c>
      <c r="E6333" s="3" t="s">
        <v>1076</v>
      </c>
      <c r="F6333" s="3" t="s">
        <v>1152</v>
      </c>
      <c r="G6333" s="3"/>
      <c r="H6333" s="4" t="s">
        <v>1359</v>
      </c>
    </row>
    <row r="6334" ht="16.5" customHeight="1" spans="1:8">
      <c r="A6334" s="3">
        <v>6333</v>
      </c>
      <c r="B6334" s="3" t="s">
        <v>13961</v>
      </c>
      <c r="C6334" s="3" t="s">
        <v>2163</v>
      </c>
      <c r="D6334" s="4" t="s">
        <v>13962</v>
      </c>
      <c r="E6334" s="3" t="s">
        <v>1076</v>
      </c>
      <c r="F6334" s="3" t="s">
        <v>2041</v>
      </c>
      <c r="G6334" s="3" t="s">
        <v>321</v>
      </c>
      <c r="H6334" s="4" t="s">
        <v>3812</v>
      </c>
    </row>
    <row r="6335" ht="16.5" customHeight="1" spans="1:8">
      <c r="A6335" s="3">
        <v>6334</v>
      </c>
      <c r="B6335" s="3" t="s">
        <v>13963</v>
      </c>
      <c r="C6335" s="3" t="s">
        <v>1105</v>
      </c>
      <c r="D6335" s="4" t="s">
        <v>13964</v>
      </c>
      <c r="E6335" s="3" t="s">
        <v>1076</v>
      </c>
      <c r="F6335" s="3" t="s">
        <v>1358</v>
      </c>
      <c r="G6335" s="3"/>
      <c r="H6335" s="4" t="s">
        <v>13965</v>
      </c>
    </row>
    <row r="6336" ht="16.5" customHeight="1" spans="1:8">
      <c r="A6336" s="3">
        <v>6335</v>
      </c>
      <c r="B6336" s="3" t="s">
        <v>13966</v>
      </c>
      <c r="C6336" s="3" t="s">
        <v>2163</v>
      </c>
      <c r="D6336" s="4" t="s">
        <v>13967</v>
      </c>
      <c r="E6336" s="3" t="s">
        <v>1076</v>
      </c>
      <c r="F6336" s="3" t="s">
        <v>2041</v>
      </c>
      <c r="G6336" s="3" t="s">
        <v>98</v>
      </c>
      <c r="H6336" s="4" t="s">
        <v>3812</v>
      </c>
    </row>
    <row r="6337" ht="16.5" customHeight="1" spans="1:8">
      <c r="A6337" s="3">
        <v>6336</v>
      </c>
      <c r="B6337" s="3" t="s">
        <v>13968</v>
      </c>
      <c r="C6337" s="3" t="s">
        <v>1105</v>
      </c>
      <c r="D6337" s="4" t="s">
        <v>13969</v>
      </c>
      <c r="E6337" s="3" t="s">
        <v>1076</v>
      </c>
      <c r="F6337" s="3" t="s">
        <v>1358</v>
      </c>
      <c r="G6337" s="3"/>
      <c r="H6337" s="4" t="s">
        <v>13411</v>
      </c>
    </row>
    <row r="6338" ht="16.5" customHeight="1" spans="1:8">
      <c r="A6338" s="3">
        <v>6337</v>
      </c>
      <c r="B6338" s="3" t="s">
        <v>13970</v>
      </c>
      <c r="C6338" s="3" t="s">
        <v>1105</v>
      </c>
      <c r="D6338" s="4" t="s">
        <v>13971</v>
      </c>
      <c r="E6338" s="3" t="s">
        <v>1076</v>
      </c>
      <c r="F6338" s="3" t="s">
        <v>1358</v>
      </c>
      <c r="G6338" s="3"/>
      <c r="H6338" s="4" t="s">
        <v>13443</v>
      </c>
    </row>
    <row r="6339" ht="16.5" customHeight="1" spans="1:8">
      <c r="A6339" s="3">
        <v>6338</v>
      </c>
      <c r="B6339" s="3" t="s">
        <v>13972</v>
      </c>
      <c r="C6339" s="3" t="s">
        <v>1105</v>
      </c>
      <c r="D6339" s="4" t="s">
        <v>13973</v>
      </c>
      <c r="E6339" s="3" t="s">
        <v>1076</v>
      </c>
      <c r="F6339" s="3" t="s">
        <v>1358</v>
      </c>
      <c r="G6339" s="3"/>
      <c r="H6339" s="4" t="s">
        <v>13443</v>
      </c>
    </row>
    <row r="6340" ht="16.5" customHeight="1" spans="1:8">
      <c r="A6340" s="3">
        <v>6339</v>
      </c>
      <c r="B6340" s="3" t="s">
        <v>13974</v>
      </c>
      <c r="C6340" s="3" t="s">
        <v>1105</v>
      </c>
      <c r="D6340" s="4" t="s">
        <v>13975</v>
      </c>
      <c r="E6340" s="3" t="s">
        <v>1076</v>
      </c>
      <c r="F6340" s="3" t="s">
        <v>6593</v>
      </c>
      <c r="G6340" s="3"/>
      <c r="H6340" s="4" t="s">
        <v>13443</v>
      </c>
    </row>
    <row r="6341" ht="16.5" customHeight="1" spans="1:8">
      <c r="A6341" s="3">
        <v>6340</v>
      </c>
      <c r="B6341" s="3" t="s">
        <v>13976</v>
      </c>
      <c r="C6341" s="3" t="s">
        <v>1105</v>
      </c>
      <c r="D6341" s="4" t="s">
        <v>13977</v>
      </c>
      <c r="E6341" s="3" t="s">
        <v>1076</v>
      </c>
      <c r="F6341" s="3" t="s">
        <v>6593</v>
      </c>
      <c r="G6341" s="3"/>
      <c r="H6341" s="4" t="s">
        <v>13443</v>
      </c>
    </row>
    <row r="6342" ht="16.5" customHeight="1" spans="1:8">
      <c r="A6342" s="3">
        <v>6341</v>
      </c>
      <c r="B6342" s="3" t="s">
        <v>13978</v>
      </c>
      <c r="C6342" s="3" t="s">
        <v>1105</v>
      </c>
      <c r="D6342" s="4" t="s">
        <v>13979</v>
      </c>
      <c r="E6342" s="3" t="s">
        <v>1076</v>
      </c>
      <c r="F6342" s="3" t="s">
        <v>6593</v>
      </c>
      <c r="G6342" s="3"/>
      <c r="H6342" s="4" t="s">
        <v>13443</v>
      </c>
    </row>
    <row r="6343" ht="16.5" customHeight="1" spans="1:8">
      <c r="A6343" s="3">
        <v>6342</v>
      </c>
      <c r="B6343" s="3" t="s">
        <v>13980</v>
      </c>
      <c r="C6343" s="3" t="s">
        <v>1105</v>
      </c>
      <c r="D6343" s="4" t="s">
        <v>13981</v>
      </c>
      <c r="E6343" s="3" t="s">
        <v>1076</v>
      </c>
      <c r="F6343" s="3" t="s">
        <v>6593</v>
      </c>
      <c r="G6343" s="3"/>
      <c r="H6343" s="4" t="s">
        <v>13443</v>
      </c>
    </row>
    <row r="6344" ht="16.5" customHeight="1" spans="1:8">
      <c r="A6344" s="3">
        <v>6343</v>
      </c>
      <c r="B6344" s="3" t="s">
        <v>13982</v>
      </c>
      <c r="C6344" s="3" t="s">
        <v>1105</v>
      </c>
      <c r="D6344" s="4" t="s">
        <v>13983</v>
      </c>
      <c r="E6344" s="3" t="s">
        <v>1076</v>
      </c>
      <c r="F6344" s="3" t="s">
        <v>6593</v>
      </c>
      <c r="G6344" s="3"/>
      <c r="H6344" s="4" t="s">
        <v>13418</v>
      </c>
    </row>
    <row r="6345" ht="16.5" customHeight="1" spans="1:8">
      <c r="A6345" s="3">
        <v>6344</v>
      </c>
      <c r="B6345" s="3" t="s">
        <v>13984</v>
      </c>
      <c r="C6345" s="3" t="s">
        <v>1105</v>
      </c>
      <c r="D6345" s="4" t="s">
        <v>13985</v>
      </c>
      <c r="E6345" s="3" t="s">
        <v>1076</v>
      </c>
      <c r="F6345" s="3" t="s">
        <v>4110</v>
      </c>
      <c r="G6345" s="3"/>
      <c r="H6345" s="4" t="s">
        <v>13986</v>
      </c>
    </row>
    <row r="6346" ht="16.5" customHeight="1" spans="1:8">
      <c r="A6346" s="3">
        <v>6345</v>
      </c>
      <c r="B6346" s="3" t="s">
        <v>13987</v>
      </c>
      <c r="C6346" s="3" t="s">
        <v>1105</v>
      </c>
      <c r="D6346" s="4" t="s">
        <v>13988</v>
      </c>
      <c r="E6346" s="3" t="s">
        <v>1076</v>
      </c>
      <c r="F6346" s="3" t="s">
        <v>4110</v>
      </c>
      <c r="G6346" s="3"/>
      <c r="H6346" s="4" t="s">
        <v>13986</v>
      </c>
    </row>
    <row r="6347" ht="16.5" customHeight="1" spans="1:8">
      <c r="A6347" s="3">
        <v>6346</v>
      </c>
      <c r="B6347" s="3" t="s">
        <v>13989</v>
      </c>
      <c r="C6347" s="3" t="s">
        <v>1105</v>
      </c>
      <c r="D6347" s="4" t="s">
        <v>13990</v>
      </c>
      <c r="E6347" s="3" t="s">
        <v>1076</v>
      </c>
      <c r="F6347" s="3" t="s">
        <v>4110</v>
      </c>
      <c r="G6347" s="3"/>
      <c r="H6347" s="4" t="s">
        <v>13986</v>
      </c>
    </row>
    <row r="6348" ht="16.5" customHeight="1" spans="1:8">
      <c r="A6348" s="3">
        <v>6347</v>
      </c>
      <c r="B6348" s="3" t="s">
        <v>13991</v>
      </c>
      <c r="C6348" s="3" t="s">
        <v>1105</v>
      </c>
      <c r="D6348" s="4" t="s">
        <v>13992</v>
      </c>
      <c r="E6348" s="3" t="s">
        <v>1076</v>
      </c>
      <c r="F6348" s="3" t="s">
        <v>4110</v>
      </c>
      <c r="G6348" s="3"/>
      <c r="H6348" s="4" t="s">
        <v>13986</v>
      </c>
    </row>
    <row r="6349" ht="16.5" customHeight="1" spans="1:8">
      <c r="A6349" s="3">
        <v>6348</v>
      </c>
      <c r="B6349" s="3" t="s">
        <v>13993</v>
      </c>
      <c r="C6349" s="3" t="s">
        <v>1105</v>
      </c>
      <c r="D6349" s="4" t="s">
        <v>13994</v>
      </c>
      <c r="E6349" s="3" t="s">
        <v>1076</v>
      </c>
      <c r="F6349" s="3" t="s">
        <v>3104</v>
      </c>
      <c r="G6349" s="3"/>
      <c r="H6349" s="4" t="s">
        <v>13870</v>
      </c>
    </row>
    <row r="6350" ht="16.5" customHeight="1" spans="1:8">
      <c r="A6350" s="3">
        <v>6349</v>
      </c>
      <c r="B6350" s="3" t="s">
        <v>13995</v>
      </c>
      <c r="C6350" s="3" t="s">
        <v>1105</v>
      </c>
      <c r="D6350" s="4" t="s">
        <v>13996</v>
      </c>
      <c r="E6350" s="3" t="s">
        <v>13858</v>
      </c>
      <c r="F6350" s="3" t="s">
        <v>3104</v>
      </c>
      <c r="G6350" s="3"/>
      <c r="H6350" s="4" t="s">
        <v>13997</v>
      </c>
    </row>
    <row r="6351" ht="16.5" customHeight="1" spans="1:8">
      <c r="A6351" s="3">
        <v>6350</v>
      </c>
      <c r="B6351" s="3" t="s">
        <v>13998</v>
      </c>
      <c r="C6351" s="3" t="s">
        <v>2163</v>
      </c>
      <c r="D6351" s="4" t="s">
        <v>13999</v>
      </c>
      <c r="E6351" s="3" t="s">
        <v>1076</v>
      </c>
      <c r="F6351" s="3" t="s">
        <v>2041</v>
      </c>
      <c r="G6351" s="3" t="s">
        <v>98</v>
      </c>
      <c r="H6351" s="4" t="s">
        <v>3812</v>
      </c>
    </row>
    <row r="6352" ht="16.5" customHeight="1" spans="1:8">
      <c r="A6352" s="3">
        <v>6351</v>
      </c>
      <c r="B6352" s="3" t="s">
        <v>14000</v>
      </c>
      <c r="C6352" s="3" t="s">
        <v>1105</v>
      </c>
      <c r="D6352" s="4" t="s">
        <v>14001</v>
      </c>
      <c r="E6352" s="3" t="s">
        <v>1076</v>
      </c>
      <c r="F6352" s="3" t="s">
        <v>13869</v>
      </c>
      <c r="G6352" s="3"/>
      <c r="H6352" s="4" t="s">
        <v>13870</v>
      </c>
    </row>
    <row r="6353" ht="16.5" customHeight="1" spans="1:8">
      <c r="A6353" s="3">
        <v>6352</v>
      </c>
      <c r="B6353" s="3" t="s">
        <v>14002</v>
      </c>
      <c r="C6353" s="3" t="s">
        <v>2163</v>
      </c>
      <c r="D6353" s="4" t="s">
        <v>14003</v>
      </c>
      <c r="E6353" s="3" t="s">
        <v>1076</v>
      </c>
      <c r="F6353" s="3" t="s">
        <v>2041</v>
      </c>
      <c r="G6353" s="3" t="s">
        <v>98</v>
      </c>
      <c r="H6353" s="4" t="s">
        <v>3812</v>
      </c>
    </row>
    <row r="6354" ht="16.5" customHeight="1" spans="1:8">
      <c r="A6354" s="3">
        <v>6353</v>
      </c>
      <c r="B6354" s="3" t="s">
        <v>14004</v>
      </c>
      <c r="C6354" s="3" t="s">
        <v>1105</v>
      </c>
      <c r="D6354" s="4" t="s">
        <v>14005</v>
      </c>
      <c r="E6354" s="3" t="s">
        <v>1076</v>
      </c>
      <c r="F6354" s="3" t="s">
        <v>10943</v>
      </c>
      <c r="G6354" s="3"/>
      <c r="H6354" s="4" t="s">
        <v>13766</v>
      </c>
    </row>
    <row r="6355" ht="16.5" customHeight="1" spans="1:8">
      <c r="A6355" s="3">
        <v>6354</v>
      </c>
      <c r="B6355" s="3" t="s">
        <v>14006</v>
      </c>
      <c r="C6355" s="3" t="s">
        <v>1105</v>
      </c>
      <c r="D6355" s="4" t="s">
        <v>14007</v>
      </c>
      <c r="E6355" s="3" t="s">
        <v>1076</v>
      </c>
      <c r="F6355" s="3" t="s">
        <v>11431</v>
      </c>
      <c r="G6355" s="3"/>
      <c r="H6355" s="4" t="s">
        <v>13766</v>
      </c>
    </row>
    <row r="6356" ht="16.5" customHeight="1" spans="1:8">
      <c r="A6356" s="3">
        <v>6355</v>
      </c>
      <c r="B6356" s="3" t="s">
        <v>14008</v>
      </c>
      <c r="C6356" s="3" t="s">
        <v>2163</v>
      </c>
      <c r="D6356" s="4" t="s">
        <v>14009</v>
      </c>
      <c r="E6356" s="3" t="s">
        <v>1076</v>
      </c>
      <c r="F6356" s="3" t="s">
        <v>2041</v>
      </c>
      <c r="G6356" s="3" t="s">
        <v>98</v>
      </c>
      <c r="H6356" s="4" t="s">
        <v>3812</v>
      </c>
    </row>
    <row r="6357" ht="16.5" customHeight="1" spans="1:8">
      <c r="A6357" s="3">
        <v>6356</v>
      </c>
      <c r="B6357" s="3" t="s">
        <v>14010</v>
      </c>
      <c r="C6357" s="3" t="s">
        <v>1105</v>
      </c>
      <c r="D6357" s="4" t="s">
        <v>14011</v>
      </c>
      <c r="E6357" s="3" t="s">
        <v>1076</v>
      </c>
      <c r="F6357" s="3" t="s">
        <v>4120</v>
      </c>
      <c r="G6357" s="3"/>
      <c r="H6357" s="4" t="s">
        <v>13905</v>
      </c>
    </row>
    <row r="6358" ht="16.5" customHeight="1" spans="1:8">
      <c r="A6358" s="3">
        <v>6357</v>
      </c>
      <c r="B6358" s="3" t="s">
        <v>14012</v>
      </c>
      <c r="C6358" s="3" t="s">
        <v>1361</v>
      </c>
      <c r="D6358" s="4" t="s">
        <v>14013</v>
      </c>
      <c r="E6358" s="3" t="s">
        <v>1218</v>
      </c>
      <c r="F6358" s="3" t="s">
        <v>11431</v>
      </c>
      <c r="G6358" s="3"/>
      <c r="H6358" s="4" t="s">
        <v>1095</v>
      </c>
    </row>
    <row r="6359" ht="16.5" customHeight="1" spans="1:8">
      <c r="A6359" s="3">
        <v>6358</v>
      </c>
      <c r="B6359" s="3" t="s">
        <v>14014</v>
      </c>
      <c r="C6359" s="3" t="s">
        <v>1361</v>
      </c>
      <c r="D6359" s="4" t="s">
        <v>14015</v>
      </c>
      <c r="E6359" s="3" t="s">
        <v>1218</v>
      </c>
      <c r="F6359" s="3" t="s">
        <v>11431</v>
      </c>
      <c r="G6359" s="3"/>
      <c r="H6359" s="4" t="s">
        <v>1095</v>
      </c>
    </row>
    <row r="6360" ht="16.5" customHeight="1" spans="1:8">
      <c r="A6360" s="3">
        <v>6359</v>
      </c>
      <c r="B6360" s="3" t="s">
        <v>14016</v>
      </c>
      <c r="C6360" s="3" t="s">
        <v>1361</v>
      </c>
      <c r="D6360" s="4" t="s">
        <v>14017</v>
      </c>
      <c r="E6360" s="3" t="s">
        <v>1218</v>
      </c>
      <c r="F6360" s="3" t="s">
        <v>11431</v>
      </c>
      <c r="G6360" s="3"/>
      <c r="H6360" s="4" t="s">
        <v>1095</v>
      </c>
    </row>
    <row r="6361" ht="16.5" customHeight="1" spans="1:8">
      <c r="A6361" s="3">
        <v>6360</v>
      </c>
      <c r="B6361" s="3" t="s">
        <v>14018</v>
      </c>
      <c r="C6361" s="3" t="s">
        <v>1361</v>
      </c>
      <c r="D6361" s="4" t="s">
        <v>14019</v>
      </c>
      <c r="E6361" s="3" t="s">
        <v>1218</v>
      </c>
      <c r="F6361" s="3" t="s">
        <v>11431</v>
      </c>
      <c r="G6361" s="3"/>
      <c r="H6361" s="4" t="s">
        <v>1095</v>
      </c>
    </row>
    <row r="6362" ht="16.5" customHeight="1" spans="1:8">
      <c r="A6362" s="3">
        <v>6361</v>
      </c>
      <c r="B6362" s="3" t="s">
        <v>14020</v>
      </c>
      <c r="C6362" s="3" t="s">
        <v>1361</v>
      </c>
      <c r="D6362" s="4" t="s">
        <v>14021</v>
      </c>
      <c r="E6362" s="3" t="s">
        <v>1218</v>
      </c>
      <c r="F6362" s="3" t="s">
        <v>11431</v>
      </c>
      <c r="G6362" s="3"/>
      <c r="H6362" s="4" t="s">
        <v>1095</v>
      </c>
    </row>
    <row r="6363" ht="16.5" customHeight="1" spans="1:8">
      <c r="A6363" s="3">
        <v>6362</v>
      </c>
      <c r="B6363" s="3" t="s">
        <v>14022</v>
      </c>
      <c r="C6363" s="3" t="s">
        <v>1361</v>
      </c>
      <c r="D6363" s="4" t="s">
        <v>14023</v>
      </c>
      <c r="E6363" s="3" t="s">
        <v>1218</v>
      </c>
      <c r="F6363" s="3" t="s">
        <v>11431</v>
      </c>
      <c r="G6363" s="3"/>
      <c r="H6363" s="4" t="s">
        <v>1095</v>
      </c>
    </row>
    <row r="6364" ht="16.5" customHeight="1" spans="1:8">
      <c r="A6364" s="3">
        <v>6363</v>
      </c>
      <c r="B6364" s="3" t="s">
        <v>14024</v>
      </c>
      <c r="C6364" s="3" t="s">
        <v>1361</v>
      </c>
      <c r="D6364" s="4" t="s">
        <v>14025</v>
      </c>
      <c r="E6364" s="3" t="s">
        <v>1218</v>
      </c>
      <c r="F6364" s="3" t="s">
        <v>11431</v>
      </c>
      <c r="G6364" s="3"/>
      <c r="H6364" s="4" t="s">
        <v>1095</v>
      </c>
    </row>
    <row r="6365" ht="16.5" customHeight="1" spans="1:8">
      <c r="A6365" s="3">
        <v>6364</v>
      </c>
      <c r="B6365" s="3" t="s">
        <v>14026</v>
      </c>
      <c r="C6365" s="3" t="s">
        <v>1361</v>
      </c>
      <c r="D6365" s="4" t="s">
        <v>14027</v>
      </c>
      <c r="E6365" s="3" t="s">
        <v>1218</v>
      </c>
      <c r="F6365" s="3" t="s">
        <v>11431</v>
      </c>
      <c r="G6365" s="3"/>
      <c r="H6365" s="4" t="s">
        <v>1095</v>
      </c>
    </row>
    <row r="6366" ht="16.5" customHeight="1" spans="1:8">
      <c r="A6366" s="3">
        <v>6365</v>
      </c>
      <c r="B6366" s="3" t="s">
        <v>14028</v>
      </c>
      <c r="C6366" s="3" t="s">
        <v>1361</v>
      </c>
      <c r="D6366" s="4" t="s">
        <v>14029</v>
      </c>
      <c r="E6366" s="3" t="s">
        <v>1218</v>
      </c>
      <c r="F6366" s="3" t="s">
        <v>11431</v>
      </c>
      <c r="G6366" s="3"/>
      <c r="H6366" s="4" t="s">
        <v>1095</v>
      </c>
    </row>
    <row r="6367" ht="16.5" customHeight="1" spans="1:8">
      <c r="A6367" s="3">
        <v>6366</v>
      </c>
      <c r="B6367" s="3" t="s">
        <v>14030</v>
      </c>
      <c r="C6367" s="3" t="s">
        <v>1361</v>
      </c>
      <c r="D6367" s="4" t="s">
        <v>14031</v>
      </c>
      <c r="E6367" s="3" t="s">
        <v>1218</v>
      </c>
      <c r="F6367" s="3" t="s">
        <v>11431</v>
      </c>
      <c r="G6367" s="3"/>
      <c r="H6367" s="4" t="s">
        <v>1095</v>
      </c>
    </row>
    <row r="6368" ht="16.5" customHeight="1" spans="1:8">
      <c r="A6368" s="3">
        <v>6367</v>
      </c>
      <c r="B6368" s="3" t="s">
        <v>14032</v>
      </c>
      <c r="C6368" s="3" t="s">
        <v>1361</v>
      </c>
      <c r="D6368" s="4" t="s">
        <v>14033</v>
      </c>
      <c r="E6368" s="3" t="s">
        <v>1218</v>
      </c>
      <c r="F6368" s="3" t="s">
        <v>11431</v>
      </c>
      <c r="G6368" s="3"/>
      <c r="H6368" s="4" t="s">
        <v>1095</v>
      </c>
    </row>
    <row r="6369" ht="16.5" customHeight="1" spans="1:8">
      <c r="A6369" s="3">
        <v>6368</v>
      </c>
      <c r="B6369" s="3" t="s">
        <v>14034</v>
      </c>
      <c r="C6369" s="3" t="s">
        <v>1361</v>
      </c>
      <c r="D6369" s="4" t="s">
        <v>14035</v>
      </c>
      <c r="E6369" s="3" t="s">
        <v>1218</v>
      </c>
      <c r="F6369" s="3" t="s">
        <v>11431</v>
      </c>
      <c r="G6369" s="3"/>
      <c r="H6369" s="4" t="s">
        <v>1095</v>
      </c>
    </row>
    <row r="6370" ht="16.5" customHeight="1" spans="1:8">
      <c r="A6370" s="3">
        <v>6369</v>
      </c>
      <c r="B6370" s="3" t="s">
        <v>14036</v>
      </c>
      <c r="C6370" s="3" t="s">
        <v>1361</v>
      </c>
      <c r="D6370" s="4" t="s">
        <v>14037</v>
      </c>
      <c r="E6370" s="3" t="s">
        <v>1218</v>
      </c>
      <c r="F6370" s="3" t="s">
        <v>11431</v>
      </c>
      <c r="G6370" s="3"/>
      <c r="H6370" s="4" t="s">
        <v>1095</v>
      </c>
    </row>
    <row r="6371" ht="16.5" customHeight="1" spans="1:8">
      <c r="A6371" s="3">
        <v>6370</v>
      </c>
      <c r="B6371" s="3" t="s">
        <v>14038</v>
      </c>
      <c r="C6371" s="3" t="s">
        <v>1361</v>
      </c>
      <c r="D6371" s="4" t="s">
        <v>14039</v>
      </c>
      <c r="E6371" s="3" t="s">
        <v>1218</v>
      </c>
      <c r="F6371" s="3" t="s">
        <v>11431</v>
      </c>
      <c r="G6371" s="3"/>
      <c r="H6371" s="4"/>
    </row>
    <row r="6372" ht="16.5" customHeight="1" spans="1:8">
      <c r="A6372" s="3">
        <v>6371</v>
      </c>
      <c r="B6372" s="3" t="s">
        <v>14040</v>
      </c>
      <c r="C6372" s="3" t="s">
        <v>1361</v>
      </c>
      <c r="D6372" s="4" t="s">
        <v>14041</v>
      </c>
      <c r="E6372" s="3" t="s">
        <v>1218</v>
      </c>
      <c r="F6372" s="3" t="s">
        <v>11431</v>
      </c>
      <c r="G6372" s="3"/>
      <c r="H6372" s="4"/>
    </row>
    <row r="6373" ht="16.5" customHeight="1" spans="1:8">
      <c r="A6373" s="3">
        <v>6372</v>
      </c>
      <c r="B6373" s="3" t="s">
        <v>14042</v>
      </c>
      <c r="C6373" s="3" t="s">
        <v>1361</v>
      </c>
      <c r="D6373" s="4" t="s">
        <v>14043</v>
      </c>
      <c r="E6373" s="3" t="s">
        <v>1218</v>
      </c>
      <c r="F6373" s="3" t="s">
        <v>11431</v>
      </c>
      <c r="G6373" s="3"/>
      <c r="H6373" s="4"/>
    </row>
    <row r="6374" ht="16.5" customHeight="1" spans="1:8">
      <c r="A6374" s="3">
        <v>6373</v>
      </c>
      <c r="B6374" s="3" t="s">
        <v>14044</v>
      </c>
      <c r="C6374" s="3" t="s">
        <v>1361</v>
      </c>
      <c r="D6374" s="4" t="s">
        <v>14045</v>
      </c>
      <c r="E6374" s="3" t="s">
        <v>1218</v>
      </c>
      <c r="F6374" s="3" t="s">
        <v>11431</v>
      </c>
      <c r="G6374" s="3"/>
      <c r="H6374" s="4"/>
    </row>
    <row r="6375" ht="16.5" customHeight="1" spans="1:8">
      <c r="A6375" s="3">
        <v>6374</v>
      </c>
      <c r="B6375" s="3" t="s">
        <v>14046</v>
      </c>
      <c r="C6375" s="3" t="s">
        <v>1361</v>
      </c>
      <c r="D6375" s="4" t="s">
        <v>14047</v>
      </c>
      <c r="E6375" s="3" t="s">
        <v>1218</v>
      </c>
      <c r="F6375" s="3" t="s">
        <v>11431</v>
      </c>
      <c r="G6375" s="3"/>
      <c r="H6375" s="4"/>
    </row>
    <row r="6376" ht="16.5" customHeight="1" spans="1:8">
      <c r="A6376" s="3">
        <v>6375</v>
      </c>
      <c r="B6376" s="3" t="s">
        <v>14048</v>
      </c>
      <c r="C6376" s="3" t="s">
        <v>1361</v>
      </c>
      <c r="D6376" s="4" t="s">
        <v>14049</v>
      </c>
      <c r="E6376" s="3" t="s">
        <v>1218</v>
      </c>
      <c r="F6376" s="3" t="s">
        <v>11431</v>
      </c>
      <c r="G6376" s="3"/>
      <c r="H6376" s="4"/>
    </row>
    <row r="6377" ht="16.5" customHeight="1" spans="1:8">
      <c r="A6377" s="3">
        <v>6376</v>
      </c>
      <c r="B6377" s="3" t="s">
        <v>14050</v>
      </c>
      <c r="C6377" s="3" t="s">
        <v>1361</v>
      </c>
      <c r="D6377" s="4" t="s">
        <v>14051</v>
      </c>
      <c r="E6377" s="3" t="s">
        <v>1218</v>
      </c>
      <c r="F6377" s="3" t="s">
        <v>11431</v>
      </c>
      <c r="G6377" s="3"/>
      <c r="H6377" s="4"/>
    </row>
    <row r="6378" ht="16.5" customHeight="1" spans="1:8">
      <c r="A6378" s="3">
        <v>6377</v>
      </c>
      <c r="B6378" s="3" t="s">
        <v>14052</v>
      </c>
      <c r="C6378" s="3" t="s">
        <v>1361</v>
      </c>
      <c r="D6378" s="4" t="s">
        <v>14053</v>
      </c>
      <c r="E6378" s="3" t="s">
        <v>1218</v>
      </c>
      <c r="F6378" s="3" t="s">
        <v>11431</v>
      </c>
      <c r="G6378" s="3"/>
      <c r="H6378" s="4"/>
    </row>
    <row r="6379" ht="16.5" customHeight="1" spans="1:8">
      <c r="A6379" s="3">
        <v>6378</v>
      </c>
      <c r="B6379" s="3" t="s">
        <v>14054</v>
      </c>
      <c r="C6379" s="3" t="s">
        <v>1361</v>
      </c>
      <c r="D6379" s="4" t="s">
        <v>14055</v>
      </c>
      <c r="E6379" s="3" t="s">
        <v>1218</v>
      </c>
      <c r="F6379" s="3" t="s">
        <v>11431</v>
      </c>
      <c r="G6379" s="3"/>
      <c r="H6379" s="4"/>
    </row>
    <row r="6380" ht="16.5" customHeight="1" spans="1:8">
      <c r="A6380" s="3">
        <v>6379</v>
      </c>
      <c r="B6380" s="3" t="s">
        <v>14056</v>
      </c>
      <c r="C6380" s="3" t="s">
        <v>1361</v>
      </c>
      <c r="D6380" s="4" t="s">
        <v>14057</v>
      </c>
      <c r="E6380" s="3" t="s">
        <v>1218</v>
      </c>
      <c r="F6380" s="3" t="s">
        <v>11431</v>
      </c>
      <c r="G6380" s="3"/>
      <c r="H6380" s="4"/>
    </row>
    <row r="6381" ht="16.5" customHeight="1" spans="1:8">
      <c r="A6381" s="3">
        <v>6380</v>
      </c>
      <c r="B6381" s="3" t="s">
        <v>14058</v>
      </c>
      <c r="C6381" s="3" t="s">
        <v>1361</v>
      </c>
      <c r="D6381" s="4" t="s">
        <v>14059</v>
      </c>
      <c r="E6381" s="3" t="s">
        <v>1218</v>
      </c>
      <c r="F6381" s="3" t="s">
        <v>11431</v>
      </c>
      <c r="G6381" s="3"/>
      <c r="H6381" s="4"/>
    </row>
    <row r="6382" ht="16.5" customHeight="1" spans="1:8">
      <c r="A6382" s="3">
        <v>6381</v>
      </c>
      <c r="B6382" s="3" t="s">
        <v>14060</v>
      </c>
      <c r="C6382" s="3" t="s">
        <v>1361</v>
      </c>
      <c r="D6382" s="4" t="s">
        <v>14061</v>
      </c>
      <c r="E6382" s="3" t="s">
        <v>1218</v>
      </c>
      <c r="F6382" s="3" t="s">
        <v>11431</v>
      </c>
      <c r="G6382" s="3"/>
      <c r="H6382" s="4"/>
    </row>
    <row r="6383" ht="16.5" customHeight="1" spans="1:8">
      <c r="A6383" s="3">
        <v>6382</v>
      </c>
      <c r="B6383" s="3" t="s">
        <v>14062</v>
      </c>
      <c r="C6383" s="3" t="s">
        <v>1361</v>
      </c>
      <c r="D6383" s="4" t="s">
        <v>14063</v>
      </c>
      <c r="E6383" s="3" t="s">
        <v>1218</v>
      </c>
      <c r="F6383" s="3" t="s">
        <v>11431</v>
      </c>
      <c r="G6383" s="3"/>
      <c r="H6383" s="4"/>
    </row>
    <row r="6384" ht="16.5" customHeight="1" spans="1:8">
      <c r="A6384" s="3">
        <v>6383</v>
      </c>
      <c r="B6384" s="3" t="s">
        <v>14064</v>
      </c>
      <c r="C6384" s="3" t="s">
        <v>1361</v>
      </c>
      <c r="D6384" s="4" t="s">
        <v>14065</v>
      </c>
      <c r="E6384" s="3" t="s">
        <v>1218</v>
      </c>
      <c r="F6384" s="3" t="s">
        <v>11431</v>
      </c>
      <c r="G6384" s="3"/>
      <c r="H6384" s="4"/>
    </row>
    <row r="6385" ht="16.5" customHeight="1" spans="1:8">
      <c r="A6385" s="3">
        <v>6384</v>
      </c>
      <c r="B6385" s="3" t="s">
        <v>14066</v>
      </c>
      <c r="C6385" s="3" t="s">
        <v>1361</v>
      </c>
      <c r="D6385" s="4" t="s">
        <v>14067</v>
      </c>
      <c r="E6385" s="3" t="s">
        <v>1218</v>
      </c>
      <c r="F6385" s="3" t="s">
        <v>11431</v>
      </c>
      <c r="G6385" s="3"/>
      <c r="H6385" s="4"/>
    </row>
    <row r="6386" ht="16.5" customHeight="1" spans="1:8">
      <c r="A6386" s="3">
        <v>6385</v>
      </c>
      <c r="B6386" s="3" t="s">
        <v>14068</v>
      </c>
      <c r="C6386" s="3" t="s">
        <v>1105</v>
      </c>
      <c r="D6386" s="4" t="s">
        <v>14069</v>
      </c>
      <c r="E6386" s="3" t="s">
        <v>1076</v>
      </c>
      <c r="F6386" s="3" t="s">
        <v>10943</v>
      </c>
      <c r="G6386" s="3"/>
      <c r="H6386" s="4" t="s">
        <v>13766</v>
      </c>
    </row>
    <row r="6387" ht="16.5" customHeight="1" spans="1:8">
      <c r="A6387" s="3">
        <v>6386</v>
      </c>
      <c r="B6387" s="3" t="s">
        <v>14070</v>
      </c>
      <c r="C6387" s="3" t="s">
        <v>1105</v>
      </c>
      <c r="D6387" s="4" t="s">
        <v>14071</v>
      </c>
      <c r="E6387" s="3" t="s">
        <v>1076</v>
      </c>
      <c r="F6387" s="3" t="s">
        <v>10943</v>
      </c>
      <c r="G6387" s="3"/>
      <c r="H6387" s="4" t="s">
        <v>13766</v>
      </c>
    </row>
    <row r="6388" ht="16.5" customHeight="1" spans="1:8">
      <c r="A6388" s="3">
        <v>6387</v>
      </c>
      <c r="B6388" s="3" t="s">
        <v>14072</v>
      </c>
      <c r="C6388" s="3" t="s">
        <v>1105</v>
      </c>
      <c r="D6388" s="4" t="s">
        <v>14073</v>
      </c>
      <c r="E6388" s="3" t="s">
        <v>1076</v>
      </c>
      <c r="F6388" s="3" t="s">
        <v>10943</v>
      </c>
      <c r="G6388" s="3"/>
      <c r="H6388" s="4" t="s">
        <v>13600</v>
      </c>
    </row>
    <row r="6389" ht="16.5" customHeight="1" spans="1:8">
      <c r="A6389" s="3">
        <v>6388</v>
      </c>
      <c r="B6389" s="3" t="s">
        <v>14074</v>
      </c>
      <c r="C6389" s="3" t="s">
        <v>1105</v>
      </c>
      <c r="D6389" s="4" t="s">
        <v>14075</v>
      </c>
      <c r="E6389" s="3" t="s">
        <v>1076</v>
      </c>
      <c r="F6389" s="3" t="s">
        <v>10943</v>
      </c>
      <c r="G6389" s="3"/>
      <c r="H6389" s="4" t="s">
        <v>13600</v>
      </c>
    </row>
    <row r="6390" ht="16.5" customHeight="1" spans="1:8">
      <c r="A6390" s="3">
        <v>6389</v>
      </c>
      <c r="B6390" s="3" t="s">
        <v>14076</v>
      </c>
      <c r="C6390" s="3" t="s">
        <v>1105</v>
      </c>
      <c r="D6390" s="4" t="s">
        <v>14077</v>
      </c>
      <c r="E6390" s="3" t="s">
        <v>1076</v>
      </c>
      <c r="F6390" s="3" t="s">
        <v>13869</v>
      </c>
      <c r="G6390" s="3"/>
      <c r="H6390" s="4" t="s">
        <v>12824</v>
      </c>
    </row>
    <row r="6391" ht="16.5" customHeight="1" spans="1:8">
      <c r="A6391" s="3">
        <v>6390</v>
      </c>
      <c r="B6391" s="3" t="s">
        <v>14078</v>
      </c>
      <c r="C6391" s="3" t="s">
        <v>1105</v>
      </c>
      <c r="D6391" s="4" t="s">
        <v>14079</v>
      </c>
      <c r="E6391" s="3" t="s">
        <v>1076</v>
      </c>
      <c r="F6391" s="3" t="s">
        <v>13869</v>
      </c>
      <c r="G6391" s="3"/>
      <c r="H6391" s="4" t="s">
        <v>12824</v>
      </c>
    </row>
    <row r="6392" ht="16.5" customHeight="1" spans="1:8">
      <c r="A6392" s="3">
        <v>6391</v>
      </c>
      <c r="B6392" s="3" t="s">
        <v>14080</v>
      </c>
      <c r="C6392" s="3" t="s">
        <v>2163</v>
      </c>
      <c r="D6392" s="4" t="s">
        <v>14081</v>
      </c>
      <c r="E6392" s="3" t="s">
        <v>1076</v>
      </c>
      <c r="F6392" s="3" t="s">
        <v>10943</v>
      </c>
      <c r="G6392" s="3"/>
      <c r="H6392" s="4" t="s">
        <v>6877</v>
      </c>
    </row>
    <row r="6393" ht="16.5" customHeight="1" spans="1:8">
      <c r="A6393" s="3">
        <v>6392</v>
      </c>
      <c r="B6393" s="3" t="s">
        <v>14082</v>
      </c>
      <c r="C6393" s="3" t="s">
        <v>2163</v>
      </c>
      <c r="D6393" s="4" t="s">
        <v>14083</v>
      </c>
      <c r="E6393" s="3" t="s">
        <v>1076</v>
      </c>
      <c r="F6393" s="3" t="s">
        <v>10943</v>
      </c>
      <c r="G6393" s="3"/>
      <c r="H6393" s="4" t="s">
        <v>6877</v>
      </c>
    </row>
    <row r="6394" ht="16.5" customHeight="1" spans="1:8">
      <c r="A6394" s="3">
        <v>6393</v>
      </c>
      <c r="B6394" s="3" t="s">
        <v>14084</v>
      </c>
      <c r="C6394" s="3" t="s">
        <v>2163</v>
      </c>
      <c r="D6394" s="4" t="s">
        <v>14085</v>
      </c>
      <c r="E6394" s="3" t="s">
        <v>1076</v>
      </c>
      <c r="F6394" s="3" t="s">
        <v>10943</v>
      </c>
      <c r="G6394" s="3"/>
      <c r="H6394" s="4" t="s">
        <v>6877</v>
      </c>
    </row>
    <row r="6395" ht="16.5" customHeight="1" spans="1:8">
      <c r="A6395" s="3">
        <v>6394</v>
      </c>
      <c r="B6395" s="3" t="s">
        <v>14086</v>
      </c>
      <c r="C6395" s="3" t="s">
        <v>2163</v>
      </c>
      <c r="D6395" s="4" t="s">
        <v>14087</v>
      </c>
      <c r="E6395" s="3" t="s">
        <v>1076</v>
      </c>
      <c r="F6395" s="3" t="s">
        <v>10943</v>
      </c>
      <c r="G6395" s="3"/>
      <c r="H6395" s="4" t="s">
        <v>6877</v>
      </c>
    </row>
    <row r="6396" ht="16.5" customHeight="1" spans="1:8">
      <c r="A6396" s="3">
        <v>6395</v>
      </c>
      <c r="B6396" s="3" t="s">
        <v>14088</v>
      </c>
      <c r="C6396" s="3" t="s">
        <v>2163</v>
      </c>
      <c r="D6396" s="4" t="s">
        <v>14089</v>
      </c>
      <c r="E6396" s="3" t="s">
        <v>1076</v>
      </c>
      <c r="F6396" s="3" t="s">
        <v>10943</v>
      </c>
      <c r="G6396" s="3"/>
      <c r="H6396" s="4" t="s">
        <v>6877</v>
      </c>
    </row>
    <row r="6397" ht="16.5" customHeight="1" spans="1:8">
      <c r="A6397" s="3">
        <v>6396</v>
      </c>
      <c r="B6397" s="3" t="s">
        <v>14090</v>
      </c>
      <c r="C6397" s="3" t="s">
        <v>2163</v>
      </c>
      <c r="D6397" s="4" t="s">
        <v>14091</v>
      </c>
      <c r="E6397" s="3" t="s">
        <v>1076</v>
      </c>
      <c r="F6397" s="3" t="s">
        <v>10943</v>
      </c>
      <c r="G6397" s="3"/>
      <c r="H6397" s="4" t="s">
        <v>6877</v>
      </c>
    </row>
    <row r="6398" ht="16.5" customHeight="1" spans="1:8">
      <c r="A6398" s="3">
        <v>6397</v>
      </c>
      <c r="B6398" s="3" t="s">
        <v>14092</v>
      </c>
      <c r="C6398" s="3" t="s">
        <v>2163</v>
      </c>
      <c r="D6398" s="4" t="s">
        <v>14093</v>
      </c>
      <c r="E6398" s="3" t="s">
        <v>1076</v>
      </c>
      <c r="F6398" s="3" t="s">
        <v>10943</v>
      </c>
      <c r="G6398" s="3"/>
      <c r="H6398" s="4" t="s">
        <v>6877</v>
      </c>
    </row>
    <row r="6399" ht="16.5" customHeight="1" spans="1:8">
      <c r="A6399" s="3">
        <v>6398</v>
      </c>
      <c r="B6399" s="3" t="s">
        <v>14094</v>
      </c>
      <c r="C6399" s="3" t="s">
        <v>2163</v>
      </c>
      <c r="D6399" s="4" t="s">
        <v>14095</v>
      </c>
      <c r="E6399" s="3" t="s">
        <v>2263</v>
      </c>
      <c r="F6399" s="3" t="s">
        <v>10943</v>
      </c>
      <c r="G6399" s="3"/>
      <c r="H6399" s="4" t="s">
        <v>6877</v>
      </c>
    </row>
    <row r="6400" ht="16.5" customHeight="1" spans="1:8">
      <c r="A6400" s="3">
        <v>6399</v>
      </c>
      <c r="B6400" s="3" t="s">
        <v>14096</v>
      </c>
      <c r="C6400" s="3" t="s">
        <v>1105</v>
      </c>
      <c r="D6400" s="4" t="s">
        <v>13996</v>
      </c>
      <c r="E6400" s="3" t="s">
        <v>13858</v>
      </c>
      <c r="F6400" s="3" t="s">
        <v>13748</v>
      </c>
      <c r="G6400" s="3"/>
      <c r="H6400" s="4" t="s">
        <v>13997</v>
      </c>
    </row>
    <row r="6401" ht="16.5" customHeight="1" spans="1:8">
      <c r="A6401" s="3">
        <v>6400</v>
      </c>
      <c r="B6401" s="3" t="s">
        <v>14097</v>
      </c>
      <c r="C6401" s="3" t="s">
        <v>1105</v>
      </c>
      <c r="D6401" s="4" t="s">
        <v>14098</v>
      </c>
      <c r="E6401" s="3" t="s">
        <v>1076</v>
      </c>
      <c r="F6401" s="3" t="s">
        <v>13748</v>
      </c>
      <c r="G6401" s="3"/>
      <c r="H6401" s="4" t="s">
        <v>12847</v>
      </c>
    </row>
    <row r="6402" ht="16.5" customHeight="1" spans="1:8">
      <c r="A6402" s="3">
        <v>6401</v>
      </c>
      <c r="B6402" s="3" t="s">
        <v>14099</v>
      </c>
      <c r="C6402" s="3" t="s">
        <v>1074</v>
      </c>
      <c r="D6402" s="4" t="s">
        <v>14100</v>
      </c>
      <c r="E6402" s="3" t="s">
        <v>1076</v>
      </c>
      <c r="F6402" s="3" t="s">
        <v>6593</v>
      </c>
      <c r="G6402" s="3"/>
      <c r="H6402" s="4" t="s">
        <v>5162</v>
      </c>
    </row>
    <row r="6403" ht="16.5" customHeight="1" spans="1:8">
      <c r="A6403" s="3">
        <v>6402</v>
      </c>
      <c r="B6403" s="3" t="s">
        <v>14101</v>
      </c>
      <c r="C6403" s="3" t="s">
        <v>1074</v>
      </c>
      <c r="D6403" s="4" t="s">
        <v>14102</v>
      </c>
      <c r="E6403" s="3" t="s">
        <v>1076</v>
      </c>
      <c r="F6403" s="3" t="s">
        <v>6593</v>
      </c>
      <c r="G6403" s="3"/>
      <c r="H6403" s="4" t="s">
        <v>5162</v>
      </c>
    </row>
    <row r="6404" ht="16.5" customHeight="1" spans="1:8">
      <c r="A6404" s="3">
        <v>6403</v>
      </c>
      <c r="B6404" s="3" t="s">
        <v>14103</v>
      </c>
      <c r="C6404" s="3" t="s">
        <v>1356</v>
      </c>
      <c r="D6404" s="4" t="s">
        <v>14104</v>
      </c>
      <c r="E6404" s="3" t="s">
        <v>1076</v>
      </c>
      <c r="F6404" s="3" t="s">
        <v>6593</v>
      </c>
      <c r="G6404" s="3"/>
      <c r="H6404" s="4" t="s">
        <v>2050</v>
      </c>
    </row>
    <row r="6405" ht="16.5" customHeight="1" spans="1:8">
      <c r="A6405" s="3">
        <v>6404</v>
      </c>
      <c r="B6405" s="3" t="s">
        <v>14105</v>
      </c>
      <c r="C6405" s="3" t="s">
        <v>1356</v>
      </c>
      <c r="D6405" s="4" t="s">
        <v>14106</v>
      </c>
      <c r="E6405" s="3" t="s">
        <v>1076</v>
      </c>
      <c r="F6405" s="3" t="s">
        <v>6593</v>
      </c>
      <c r="G6405" s="3"/>
      <c r="H6405" s="4" t="s">
        <v>2050</v>
      </c>
    </row>
    <row r="6406" ht="16.5" customHeight="1" spans="1:8">
      <c r="A6406" s="3">
        <v>6405</v>
      </c>
      <c r="B6406" s="3" t="s">
        <v>14107</v>
      </c>
      <c r="C6406" s="3" t="s">
        <v>1105</v>
      </c>
      <c r="D6406" s="4" t="s">
        <v>14108</v>
      </c>
      <c r="E6406" s="3" t="s">
        <v>1076</v>
      </c>
      <c r="F6406" s="3" t="s">
        <v>10259</v>
      </c>
      <c r="G6406" s="3"/>
      <c r="H6406" s="4" t="s">
        <v>13600</v>
      </c>
    </row>
    <row r="6407" ht="16.5" customHeight="1" spans="1:8">
      <c r="A6407" s="3">
        <v>6406</v>
      </c>
      <c r="B6407" s="3" t="s">
        <v>14109</v>
      </c>
      <c r="C6407" s="3" t="s">
        <v>1074</v>
      </c>
      <c r="D6407" s="4" t="s">
        <v>14110</v>
      </c>
      <c r="E6407" s="3" t="s">
        <v>1739</v>
      </c>
      <c r="F6407" s="3" t="s">
        <v>1215</v>
      </c>
      <c r="G6407" s="3"/>
      <c r="H6407" s="4" t="s">
        <v>5162</v>
      </c>
    </row>
    <row r="6408" ht="16.5" customHeight="1" spans="1:8">
      <c r="A6408" s="3">
        <v>6407</v>
      </c>
      <c r="B6408" s="3" t="s">
        <v>14111</v>
      </c>
      <c r="C6408" s="3" t="s">
        <v>1074</v>
      </c>
      <c r="D6408" s="4" t="s">
        <v>14112</v>
      </c>
      <c r="E6408" s="3" t="s">
        <v>1218</v>
      </c>
      <c r="F6408" s="3" t="s">
        <v>1719</v>
      </c>
      <c r="G6408" s="3"/>
      <c r="H6408" s="4"/>
    </row>
    <row r="6409" ht="16.5" customHeight="1" spans="1:8">
      <c r="A6409" s="3">
        <v>6408</v>
      </c>
      <c r="B6409" s="3" t="s">
        <v>14113</v>
      </c>
      <c r="C6409" s="3" t="s">
        <v>1074</v>
      </c>
      <c r="D6409" s="4" t="s">
        <v>14114</v>
      </c>
      <c r="E6409" s="3" t="s">
        <v>1218</v>
      </c>
      <c r="F6409" s="3" t="s">
        <v>1719</v>
      </c>
      <c r="G6409" s="3"/>
      <c r="H6409" s="4"/>
    </row>
    <row r="6410" ht="16.5" customHeight="1" spans="1:8">
      <c r="A6410" s="3">
        <v>6409</v>
      </c>
      <c r="B6410" s="3" t="s">
        <v>14115</v>
      </c>
      <c r="C6410" s="3" t="s">
        <v>1074</v>
      </c>
      <c r="D6410" s="4" t="s">
        <v>14116</v>
      </c>
      <c r="E6410" s="3" t="s">
        <v>1218</v>
      </c>
      <c r="F6410" s="3" t="s">
        <v>1719</v>
      </c>
      <c r="G6410" s="3"/>
      <c r="H6410" s="4"/>
    </row>
    <row r="6411" ht="16.5" customHeight="1" spans="1:8">
      <c r="A6411" s="3">
        <v>6410</v>
      </c>
      <c r="B6411" s="3" t="s">
        <v>14117</v>
      </c>
      <c r="C6411" s="3" t="s">
        <v>1105</v>
      </c>
      <c r="D6411" s="4" t="s">
        <v>14118</v>
      </c>
      <c r="E6411" s="3" t="s">
        <v>1218</v>
      </c>
      <c r="F6411" s="3" t="s">
        <v>1719</v>
      </c>
      <c r="G6411" s="3"/>
      <c r="H6411" s="4" t="s">
        <v>14119</v>
      </c>
    </row>
    <row r="6412" ht="16.5" customHeight="1" spans="1:8">
      <c r="A6412" s="3">
        <v>6411</v>
      </c>
      <c r="B6412" s="3" t="s">
        <v>14120</v>
      </c>
      <c r="C6412" s="3" t="s">
        <v>1105</v>
      </c>
      <c r="D6412" s="4" t="s">
        <v>14121</v>
      </c>
      <c r="E6412" s="3" t="s">
        <v>1218</v>
      </c>
      <c r="F6412" s="3" t="s">
        <v>1719</v>
      </c>
      <c r="G6412" s="3"/>
      <c r="H6412" s="4" t="s">
        <v>14119</v>
      </c>
    </row>
    <row r="6413" ht="16.5" customHeight="1" spans="1:8">
      <c r="A6413" s="3">
        <v>6412</v>
      </c>
      <c r="B6413" s="3" t="s">
        <v>14122</v>
      </c>
      <c r="C6413" s="3" t="s">
        <v>1105</v>
      </c>
      <c r="D6413" s="4" t="s">
        <v>14123</v>
      </c>
      <c r="E6413" s="3" t="s">
        <v>1218</v>
      </c>
      <c r="F6413" s="3" t="s">
        <v>1719</v>
      </c>
      <c r="G6413" s="3"/>
      <c r="H6413" s="4" t="s">
        <v>14119</v>
      </c>
    </row>
    <row r="6414" ht="16.5" customHeight="1" spans="1:8">
      <c r="A6414" s="3">
        <v>6413</v>
      </c>
      <c r="B6414" s="3" t="s">
        <v>14124</v>
      </c>
      <c r="C6414" s="3" t="s">
        <v>1105</v>
      </c>
      <c r="D6414" s="4" t="s">
        <v>14125</v>
      </c>
      <c r="E6414" s="3" t="s">
        <v>1218</v>
      </c>
      <c r="F6414" s="3" t="s">
        <v>1719</v>
      </c>
      <c r="G6414" s="3"/>
      <c r="H6414" s="4" t="s">
        <v>14119</v>
      </c>
    </row>
    <row r="6415" ht="16.5" customHeight="1" spans="1:8">
      <c r="A6415" s="3">
        <v>6414</v>
      </c>
      <c r="B6415" s="3" t="s">
        <v>14126</v>
      </c>
      <c r="C6415" s="3" t="s">
        <v>1105</v>
      </c>
      <c r="D6415" s="4" t="s">
        <v>14127</v>
      </c>
      <c r="E6415" s="3" t="s">
        <v>1218</v>
      </c>
      <c r="F6415" s="3" t="s">
        <v>1719</v>
      </c>
      <c r="G6415" s="3"/>
      <c r="H6415" s="4" t="s">
        <v>14119</v>
      </c>
    </row>
    <row r="6416" ht="16.5" customHeight="1" spans="1:8">
      <c r="A6416" s="3">
        <v>6415</v>
      </c>
      <c r="B6416" s="3" t="s">
        <v>14128</v>
      </c>
      <c r="C6416" s="3" t="s">
        <v>1105</v>
      </c>
      <c r="D6416" s="4" t="s">
        <v>14129</v>
      </c>
      <c r="E6416" s="3" t="s">
        <v>1218</v>
      </c>
      <c r="F6416" s="3" t="s">
        <v>1719</v>
      </c>
      <c r="G6416" s="3"/>
      <c r="H6416" s="4" t="s">
        <v>14119</v>
      </c>
    </row>
    <row r="6417" ht="16.5" customHeight="1" spans="1:8">
      <c r="A6417" s="3">
        <v>6416</v>
      </c>
      <c r="B6417" s="3" t="s">
        <v>14130</v>
      </c>
      <c r="C6417" s="3" t="s">
        <v>1105</v>
      </c>
      <c r="D6417" s="4" t="s">
        <v>14131</v>
      </c>
      <c r="E6417" s="3" t="s">
        <v>1218</v>
      </c>
      <c r="F6417" s="3" t="s">
        <v>1719</v>
      </c>
      <c r="G6417" s="3"/>
      <c r="H6417" s="4" t="s">
        <v>14119</v>
      </c>
    </row>
    <row r="6418" ht="16.5" customHeight="1" spans="1:8">
      <c r="A6418" s="3">
        <v>6417</v>
      </c>
      <c r="B6418" s="3" t="s">
        <v>14132</v>
      </c>
      <c r="C6418" s="3" t="s">
        <v>1105</v>
      </c>
      <c r="D6418" s="4" t="s">
        <v>14133</v>
      </c>
      <c r="E6418" s="3" t="s">
        <v>1218</v>
      </c>
      <c r="F6418" s="3" t="s">
        <v>1719</v>
      </c>
      <c r="G6418" s="3"/>
      <c r="H6418" s="4" t="s">
        <v>14119</v>
      </c>
    </row>
    <row r="6419" ht="16.5" customHeight="1" spans="1:8">
      <c r="A6419" s="3">
        <v>6418</v>
      </c>
      <c r="B6419" s="3" t="s">
        <v>14134</v>
      </c>
      <c r="C6419" s="3" t="s">
        <v>1105</v>
      </c>
      <c r="D6419" s="4" t="s">
        <v>14135</v>
      </c>
      <c r="E6419" s="3" t="s">
        <v>1218</v>
      </c>
      <c r="F6419" s="3" t="s">
        <v>1719</v>
      </c>
      <c r="G6419" s="3"/>
      <c r="H6419" s="4" t="s">
        <v>14119</v>
      </c>
    </row>
    <row r="6420" ht="16.5" customHeight="1" spans="1:8">
      <c r="A6420" s="3">
        <v>6419</v>
      </c>
      <c r="B6420" s="3" t="s">
        <v>14136</v>
      </c>
      <c r="C6420" s="3" t="s">
        <v>1105</v>
      </c>
      <c r="D6420" s="4" t="s">
        <v>14137</v>
      </c>
      <c r="E6420" s="3" t="s">
        <v>1218</v>
      </c>
      <c r="F6420" s="3" t="s">
        <v>1719</v>
      </c>
      <c r="G6420" s="3"/>
      <c r="H6420" s="4" t="s">
        <v>14119</v>
      </c>
    </row>
    <row r="6421" ht="16.5" customHeight="1" spans="1:8">
      <c r="A6421" s="3">
        <v>6420</v>
      </c>
      <c r="B6421" s="3" t="s">
        <v>14138</v>
      </c>
      <c r="C6421" s="3" t="s">
        <v>1105</v>
      </c>
      <c r="D6421" s="4" t="s">
        <v>14139</v>
      </c>
      <c r="E6421" s="3" t="s">
        <v>1218</v>
      </c>
      <c r="F6421" s="3" t="s">
        <v>1719</v>
      </c>
      <c r="G6421" s="3"/>
      <c r="H6421" s="4" t="s">
        <v>14119</v>
      </c>
    </row>
    <row r="6422" ht="16.5" customHeight="1" spans="1:8">
      <c r="A6422" s="3">
        <v>6421</v>
      </c>
      <c r="B6422" s="3" t="s">
        <v>14140</v>
      </c>
      <c r="C6422" s="3" t="s">
        <v>1105</v>
      </c>
      <c r="D6422" s="4" t="s">
        <v>14141</v>
      </c>
      <c r="E6422" s="3" t="s">
        <v>1218</v>
      </c>
      <c r="F6422" s="3" t="s">
        <v>1719</v>
      </c>
      <c r="G6422" s="3"/>
      <c r="H6422" s="4" t="s">
        <v>14119</v>
      </c>
    </row>
    <row r="6423" ht="16.5" customHeight="1" spans="1:8">
      <c r="A6423" s="3">
        <v>6422</v>
      </c>
      <c r="B6423" s="3" t="s">
        <v>14142</v>
      </c>
      <c r="C6423" s="3" t="s">
        <v>1105</v>
      </c>
      <c r="D6423" s="4" t="s">
        <v>14143</v>
      </c>
      <c r="E6423" s="3" t="s">
        <v>1218</v>
      </c>
      <c r="F6423" s="3" t="s">
        <v>1719</v>
      </c>
      <c r="G6423" s="3"/>
      <c r="H6423" s="4" t="s">
        <v>14119</v>
      </c>
    </row>
    <row r="6424" ht="16.5" customHeight="1" spans="1:8">
      <c r="A6424" s="3">
        <v>6423</v>
      </c>
      <c r="B6424" s="3" t="s">
        <v>14144</v>
      </c>
      <c r="C6424" s="3" t="s">
        <v>1105</v>
      </c>
      <c r="D6424" s="4" t="s">
        <v>14145</v>
      </c>
      <c r="E6424" s="3" t="s">
        <v>1218</v>
      </c>
      <c r="F6424" s="3" t="s">
        <v>1719</v>
      </c>
      <c r="G6424" s="3"/>
      <c r="H6424" s="4" t="s">
        <v>14119</v>
      </c>
    </row>
    <row r="6425" ht="16.5" customHeight="1" spans="1:8">
      <c r="A6425" s="3">
        <v>6424</v>
      </c>
      <c r="B6425" s="3" t="s">
        <v>14146</v>
      </c>
      <c r="C6425" s="3" t="s">
        <v>1105</v>
      </c>
      <c r="D6425" s="4" t="s">
        <v>14143</v>
      </c>
      <c r="E6425" s="3" t="s">
        <v>1218</v>
      </c>
      <c r="F6425" s="3" t="s">
        <v>1719</v>
      </c>
      <c r="G6425" s="3"/>
      <c r="H6425" s="4" t="s">
        <v>14119</v>
      </c>
    </row>
    <row r="6426" ht="16.5" customHeight="1" spans="1:8">
      <c r="A6426" s="3">
        <v>6425</v>
      </c>
      <c r="B6426" s="3" t="s">
        <v>14147</v>
      </c>
      <c r="C6426" s="3" t="s">
        <v>1105</v>
      </c>
      <c r="D6426" s="4" t="s">
        <v>14145</v>
      </c>
      <c r="E6426" s="3" t="s">
        <v>1218</v>
      </c>
      <c r="F6426" s="3" t="s">
        <v>1719</v>
      </c>
      <c r="G6426" s="3"/>
      <c r="H6426" s="4" t="s">
        <v>14119</v>
      </c>
    </row>
    <row r="6427" ht="16.5" customHeight="1" spans="1:8">
      <c r="A6427" s="3">
        <v>6426</v>
      </c>
      <c r="B6427" s="3" t="s">
        <v>14148</v>
      </c>
      <c r="C6427" s="3" t="s">
        <v>1105</v>
      </c>
      <c r="D6427" s="4" t="s">
        <v>14149</v>
      </c>
      <c r="E6427" s="3" t="s">
        <v>1218</v>
      </c>
      <c r="F6427" s="3" t="s">
        <v>1719</v>
      </c>
      <c r="G6427" s="3"/>
      <c r="H6427" s="4" t="s">
        <v>14119</v>
      </c>
    </row>
    <row r="6428" ht="16.5" customHeight="1" spans="1:8">
      <c r="A6428" s="3">
        <v>6427</v>
      </c>
      <c r="B6428" s="3" t="s">
        <v>14150</v>
      </c>
      <c r="C6428" s="3" t="s">
        <v>1105</v>
      </c>
      <c r="D6428" s="4" t="s">
        <v>14151</v>
      </c>
      <c r="E6428" s="3" t="s">
        <v>1218</v>
      </c>
      <c r="F6428" s="3" t="s">
        <v>1719</v>
      </c>
      <c r="G6428" s="3"/>
      <c r="H6428" s="4" t="s">
        <v>14119</v>
      </c>
    </row>
    <row r="6429" ht="16.5" customHeight="1" spans="1:8">
      <c r="A6429" s="3">
        <v>6428</v>
      </c>
      <c r="B6429" s="3" t="s">
        <v>14152</v>
      </c>
      <c r="C6429" s="3" t="s">
        <v>1105</v>
      </c>
      <c r="D6429" s="4" t="s">
        <v>14153</v>
      </c>
      <c r="E6429" s="3" t="s">
        <v>1218</v>
      </c>
      <c r="F6429" s="3" t="s">
        <v>1719</v>
      </c>
      <c r="G6429" s="3"/>
      <c r="H6429" s="4" t="s">
        <v>14119</v>
      </c>
    </row>
    <row r="6430" ht="16.5" customHeight="1" spans="1:8">
      <c r="A6430" s="3">
        <v>6429</v>
      </c>
      <c r="B6430" s="3" t="s">
        <v>14154</v>
      </c>
      <c r="C6430" s="3" t="s">
        <v>1105</v>
      </c>
      <c r="D6430" s="4" t="s">
        <v>14155</v>
      </c>
      <c r="E6430" s="3" t="s">
        <v>1218</v>
      </c>
      <c r="F6430" s="3" t="s">
        <v>1719</v>
      </c>
      <c r="G6430" s="3"/>
      <c r="H6430" s="4" t="s">
        <v>14119</v>
      </c>
    </row>
    <row r="6431" ht="16.5" customHeight="1" spans="1:8">
      <c r="A6431" s="3">
        <v>6430</v>
      </c>
      <c r="B6431" s="3" t="s">
        <v>14156</v>
      </c>
      <c r="C6431" s="3" t="s">
        <v>1105</v>
      </c>
      <c r="D6431" s="4" t="s">
        <v>14157</v>
      </c>
      <c r="E6431" s="3" t="s">
        <v>1218</v>
      </c>
      <c r="F6431" s="3" t="s">
        <v>1719</v>
      </c>
      <c r="G6431" s="3"/>
      <c r="H6431" s="4" t="s">
        <v>14119</v>
      </c>
    </row>
    <row r="6432" ht="16.5" customHeight="1" spans="1:8">
      <c r="A6432" s="3">
        <v>6431</v>
      </c>
      <c r="B6432" s="3" t="s">
        <v>14158</v>
      </c>
      <c r="C6432" s="3" t="s">
        <v>1105</v>
      </c>
      <c r="D6432" s="4" t="s">
        <v>14159</v>
      </c>
      <c r="E6432" s="3" t="s">
        <v>1218</v>
      </c>
      <c r="F6432" s="3" t="s">
        <v>1719</v>
      </c>
      <c r="G6432" s="3"/>
      <c r="H6432" s="4" t="s">
        <v>14119</v>
      </c>
    </row>
    <row r="6433" ht="16.5" customHeight="1" spans="1:8">
      <c r="A6433" s="3">
        <v>6432</v>
      </c>
      <c r="B6433" s="3" t="s">
        <v>14160</v>
      </c>
      <c r="C6433" s="3" t="s">
        <v>1105</v>
      </c>
      <c r="D6433" s="4" t="s">
        <v>14161</v>
      </c>
      <c r="E6433" s="3" t="s">
        <v>1218</v>
      </c>
      <c r="F6433" s="3" t="s">
        <v>1719</v>
      </c>
      <c r="G6433" s="3"/>
      <c r="H6433" s="4" t="s">
        <v>14119</v>
      </c>
    </row>
    <row r="6434" ht="16.5" customHeight="1" spans="1:8">
      <c r="A6434" s="3">
        <v>6433</v>
      </c>
      <c r="B6434" s="3" t="s">
        <v>14162</v>
      </c>
      <c r="C6434" s="3" t="s">
        <v>1105</v>
      </c>
      <c r="D6434" s="4" t="s">
        <v>14163</v>
      </c>
      <c r="E6434" s="3" t="s">
        <v>1218</v>
      </c>
      <c r="F6434" s="3" t="s">
        <v>1719</v>
      </c>
      <c r="G6434" s="3"/>
      <c r="H6434" s="4" t="s">
        <v>14119</v>
      </c>
    </row>
    <row r="6435" ht="16.5" customHeight="1" spans="1:8">
      <c r="A6435" s="3">
        <v>6434</v>
      </c>
      <c r="B6435" s="3" t="s">
        <v>14164</v>
      </c>
      <c r="C6435" s="3" t="s">
        <v>1105</v>
      </c>
      <c r="D6435" s="4" t="s">
        <v>14165</v>
      </c>
      <c r="E6435" s="3" t="s">
        <v>1218</v>
      </c>
      <c r="F6435" s="3" t="s">
        <v>1719</v>
      </c>
      <c r="G6435" s="3"/>
      <c r="H6435" s="4" t="s">
        <v>14119</v>
      </c>
    </row>
    <row r="6436" ht="16.5" customHeight="1" spans="1:8">
      <c r="A6436" s="3">
        <v>6435</v>
      </c>
      <c r="B6436" s="3" t="s">
        <v>14166</v>
      </c>
      <c r="C6436" s="3" t="s">
        <v>1105</v>
      </c>
      <c r="D6436" s="4" t="s">
        <v>14167</v>
      </c>
      <c r="E6436" s="3" t="s">
        <v>1218</v>
      </c>
      <c r="F6436" s="3" t="s">
        <v>1719</v>
      </c>
      <c r="G6436" s="3"/>
      <c r="H6436" s="4" t="s">
        <v>14119</v>
      </c>
    </row>
    <row r="6437" ht="16.5" customHeight="1" spans="1:8">
      <c r="A6437" s="3">
        <v>6436</v>
      </c>
      <c r="B6437" s="3" t="s">
        <v>14168</v>
      </c>
      <c r="C6437" s="3" t="s">
        <v>1105</v>
      </c>
      <c r="D6437" s="4" t="s">
        <v>14169</v>
      </c>
      <c r="E6437" s="3" t="s">
        <v>1218</v>
      </c>
      <c r="F6437" s="3" t="s">
        <v>1719</v>
      </c>
      <c r="G6437" s="3"/>
      <c r="H6437" s="4" t="s">
        <v>14119</v>
      </c>
    </row>
    <row r="6438" ht="16.5" customHeight="1" spans="1:8">
      <c r="A6438" s="3">
        <v>6437</v>
      </c>
      <c r="B6438" s="3" t="s">
        <v>14170</v>
      </c>
      <c r="C6438" s="3" t="s">
        <v>1105</v>
      </c>
      <c r="D6438" s="4" t="s">
        <v>14171</v>
      </c>
      <c r="E6438" s="3" t="s">
        <v>1218</v>
      </c>
      <c r="F6438" s="3" t="s">
        <v>1719</v>
      </c>
      <c r="G6438" s="3"/>
      <c r="H6438" s="4" t="s">
        <v>14119</v>
      </c>
    </row>
    <row r="6439" ht="16.5" customHeight="1" spans="1:8">
      <c r="A6439" s="3">
        <v>6438</v>
      </c>
      <c r="B6439" s="3" t="s">
        <v>14172</v>
      </c>
      <c r="C6439" s="3" t="s">
        <v>1105</v>
      </c>
      <c r="D6439" s="4" t="s">
        <v>14173</v>
      </c>
      <c r="E6439" s="3" t="s">
        <v>1218</v>
      </c>
      <c r="F6439" s="3" t="s">
        <v>1719</v>
      </c>
      <c r="G6439" s="3"/>
      <c r="H6439" s="4" t="s">
        <v>14119</v>
      </c>
    </row>
    <row r="6440" ht="16.5" customHeight="1" spans="1:8">
      <c r="A6440" s="3">
        <v>6439</v>
      </c>
      <c r="B6440" s="3" t="s">
        <v>14174</v>
      </c>
      <c r="C6440" s="3" t="s">
        <v>1105</v>
      </c>
      <c r="D6440" s="4" t="s">
        <v>14175</v>
      </c>
      <c r="E6440" s="3" t="s">
        <v>1218</v>
      </c>
      <c r="F6440" s="3" t="s">
        <v>1719</v>
      </c>
      <c r="G6440" s="3"/>
      <c r="H6440" s="4" t="s">
        <v>14119</v>
      </c>
    </row>
    <row r="6441" ht="16.5" customHeight="1" spans="1:8">
      <c r="A6441" s="3">
        <v>6440</v>
      </c>
      <c r="B6441" s="3" t="s">
        <v>14176</v>
      </c>
      <c r="C6441" s="3" t="s">
        <v>1105</v>
      </c>
      <c r="D6441" s="4" t="s">
        <v>14177</v>
      </c>
      <c r="E6441" s="3" t="s">
        <v>1218</v>
      </c>
      <c r="F6441" s="3" t="s">
        <v>1719</v>
      </c>
      <c r="G6441" s="3"/>
      <c r="H6441" s="4" t="s">
        <v>14119</v>
      </c>
    </row>
    <row r="6442" ht="16.5" customHeight="1" spans="1:8">
      <c r="A6442" s="3">
        <v>6441</v>
      </c>
      <c r="B6442" s="3" t="s">
        <v>14178</v>
      </c>
      <c r="C6442" s="3" t="s">
        <v>1105</v>
      </c>
      <c r="D6442" s="4" t="s">
        <v>14179</v>
      </c>
      <c r="E6442" s="3" t="s">
        <v>1218</v>
      </c>
      <c r="F6442" s="3" t="s">
        <v>1719</v>
      </c>
      <c r="G6442" s="3"/>
      <c r="H6442" s="4" t="s">
        <v>14180</v>
      </c>
    </row>
    <row r="6443" ht="16.5" customHeight="1" spans="1:8">
      <c r="A6443" s="3">
        <v>6442</v>
      </c>
      <c r="B6443" s="3" t="s">
        <v>14181</v>
      </c>
      <c r="C6443" s="3" t="s">
        <v>1105</v>
      </c>
      <c r="D6443" s="4" t="s">
        <v>14182</v>
      </c>
      <c r="E6443" s="3" t="s">
        <v>1218</v>
      </c>
      <c r="F6443" s="3" t="s">
        <v>1719</v>
      </c>
      <c r="G6443" s="3"/>
      <c r="H6443" s="4" t="s">
        <v>14180</v>
      </c>
    </row>
    <row r="6444" ht="16.5" customHeight="1" spans="1:8">
      <c r="A6444" s="3">
        <v>6443</v>
      </c>
      <c r="B6444" s="3" t="s">
        <v>14183</v>
      </c>
      <c r="C6444" s="3" t="s">
        <v>1105</v>
      </c>
      <c r="D6444" s="4" t="s">
        <v>14184</v>
      </c>
      <c r="E6444" s="3" t="s">
        <v>1218</v>
      </c>
      <c r="F6444" s="3" t="s">
        <v>1719</v>
      </c>
      <c r="G6444" s="3"/>
      <c r="H6444" s="4" t="s">
        <v>14180</v>
      </c>
    </row>
    <row r="6445" ht="16.5" customHeight="1" spans="1:8">
      <c r="A6445" s="3">
        <v>6444</v>
      </c>
      <c r="B6445" s="3" t="s">
        <v>14185</v>
      </c>
      <c r="C6445" s="3" t="s">
        <v>1105</v>
      </c>
      <c r="D6445" s="4" t="s">
        <v>14186</v>
      </c>
      <c r="E6445" s="3" t="s">
        <v>1218</v>
      </c>
      <c r="F6445" s="3" t="s">
        <v>1719</v>
      </c>
      <c r="G6445" s="3"/>
      <c r="H6445" s="4" t="s">
        <v>14180</v>
      </c>
    </row>
    <row r="6446" ht="16.5" customHeight="1" spans="1:8">
      <c r="A6446" s="3">
        <v>6445</v>
      </c>
      <c r="B6446" s="3" t="s">
        <v>14187</v>
      </c>
      <c r="C6446" s="3" t="s">
        <v>1105</v>
      </c>
      <c r="D6446" s="4" t="s">
        <v>14188</v>
      </c>
      <c r="E6446" s="3" t="s">
        <v>1218</v>
      </c>
      <c r="F6446" s="3" t="s">
        <v>1719</v>
      </c>
      <c r="G6446" s="3"/>
      <c r="H6446" s="4" t="s">
        <v>14180</v>
      </c>
    </row>
    <row r="6447" ht="16.5" customHeight="1" spans="1:8">
      <c r="A6447" s="3">
        <v>6446</v>
      </c>
      <c r="B6447" s="3" t="s">
        <v>14189</v>
      </c>
      <c r="C6447" s="3" t="s">
        <v>1105</v>
      </c>
      <c r="D6447" s="4" t="s">
        <v>14190</v>
      </c>
      <c r="E6447" s="3" t="s">
        <v>1218</v>
      </c>
      <c r="F6447" s="3" t="s">
        <v>1719</v>
      </c>
      <c r="G6447" s="3"/>
      <c r="H6447" s="4" t="s">
        <v>14180</v>
      </c>
    </row>
    <row r="6448" ht="16.5" customHeight="1" spans="1:8">
      <c r="A6448" s="3">
        <v>6447</v>
      </c>
      <c r="B6448" s="3" t="s">
        <v>14191</v>
      </c>
      <c r="C6448" s="3" t="s">
        <v>1105</v>
      </c>
      <c r="D6448" s="4" t="s">
        <v>14192</v>
      </c>
      <c r="E6448" s="3" t="s">
        <v>1218</v>
      </c>
      <c r="F6448" s="3" t="s">
        <v>1719</v>
      </c>
      <c r="G6448" s="3"/>
      <c r="H6448" s="4" t="s">
        <v>14180</v>
      </c>
    </row>
    <row r="6449" ht="16.5" customHeight="1" spans="1:8">
      <c r="A6449" s="3">
        <v>6448</v>
      </c>
      <c r="B6449" s="3" t="s">
        <v>14193</v>
      </c>
      <c r="C6449" s="3" t="s">
        <v>1105</v>
      </c>
      <c r="D6449" s="4" t="s">
        <v>14194</v>
      </c>
      <c r="E6449" s="3" t="s">
        <v>1218</v>
      </c>
      <c r="F6449" s="3" t="s">
        <v>1719</v>
      </c>
      <c r="G6449" s="3"/>
      <c r="H6449" s="4" t="s">
        <v>14180</v>
      </c>
    </row>
    <row r="6450" ht="16.5" customHeight="1" spans="1:8">
      <c r="A6450" s="3">
        <v>6449</v>
      </c>
      <c r="B6450" s="3" t="s">
        <v>14195</v>
      </c>
      <c r="C6450" s="3" t="s">
        <v>1105</v>
      </c>
      <c r="D6450" s="4" t="s">
        <v>14196</v>
      </c>
      <c r="E6450" s="3" t="s">
        <v>1218</v>
      </c>
      <c r="F6450" s="3" t="s">
        <v>1719</v>
      </c>
      <c r="G6450" s="3"/>
      <c r="H6450" s="4" t="s">
        <v>14180</v>
      </c>
    </row>
    <row r="6451" ht="16.5" customHeight="1" spans="1:8">
      <c r="A6451" s="3">
        <v>6450</v>
      </c>
      <c r="B6451" s="3" t="s">
        <v>14197</v>
      </c>
      <c r="C6451" s="3" t="s">
        <v>1105</v>
      </c>
      <c r="D6451" s="4" t="s">
        <v>14198</v>
      </c>
      <c r="E6451" s="3" t="s">
        <v>1218</v>
      </c>
      <c r="F6451" s="3" t="s">
        <v>1719</v>
      </c>
      <c r="G6451" s="3"/>
      <c r="H6451" s="4" t="s">
        <v>14180</v>
      </c>
    </row>
    <row r="6452" ht="16.5" customHeight="1" spans="1:8">
      <c r="A6452" s="3">
        <v>6451</v>
      </c>
      <c r="B6452" s="3" t="s">
        <v>14199</v>
      </c>
      <c r="C6452" s="3" t="s">
        <v>1105</v>
      </c>
      <c r="D6452" s="4" t="s">
        <v>14153</v>
      </c>
      <c r="E6452" s="3" t="s">
        <v>1218</v>
      </c>
      <c r="F6452" s="3" t="s">
        <v>1719</v>
      </c>
      <c r="G6452" s="3"/>
      <c r="H6452" s="4" t="s">
        <v>14180</v>
      </c>
    </row>
    <row r="6453" ht="16.5" customHeight="1" spans="1:8">
      <c r="A6453" s="3">
        <v>6452</v>
      </c>
      <c r="B6453" s="3" t="s">
        <v>14200</v>
      </c>
      <c r="C6453" s="3" t="s">
        <v>1105</v>
      </c>
      <c r="D6453" s="4" t="s">
        <v>14201</v>
      </c>
      <c r="E6453" s="3" t="s">
        <v>1218</v>
      </c>
      <c r="F6453" s="3" t="s">
        <v>1719</v>
      </c>
      <c r="G6453" s="3"/>
      <c r="H6453" s="4" t="s">
        <v>14180</v>
      </c>
    </row>
    <row r="6454" ht="16.5" customHeight="1" spans="1:8">
      <c r="A6454" s="3">
        <v>6453</v>
      </c>
      <c r="B6454" s="3" t="s">
        <v>14202</v>
      </c>
      <c r="C6454" s="3" t="s">
        <v>1105</v>
      </c>
      <c r="D6454" s="4" t="s">
        <v>14203</v>
      </c>
      <c r="E6454" s="3" t="s">
        <v>1218</v>
      </c>
      <c r="F6454" s="3" t="s">
        <v>1719</v>
      </c>
      <c r="G6454" s="3"/>
      <c r="H6454" s="4" t="s">
        <v>14180</v>
      </c>
    </row>
    <row r="6455" ht="16.5" customHeight="1" spans="1:8">
      <c r="A6455" s="3">
        <v>6454</v>
      </c>
      <c r="B6455" s="3" t="s">
        <v>14204</v>
      </c>
      <c r="C6455" s="3" t="s">
        <v>1105</v>
      </c>
      <c r="D6455" s="4" t="s">
        <v>14205</v>
      </c>
      <c r="E6455" s="3" t="s">
        <v>1218</v>
      </c>
      <c r="F6455" s="3" t="s">
        <v>1719</v>
      </c>
      <c r="G6455" s="3"/>
      <c r="H6455" s="4" t="s">
        <v>14180</v>
      </c>
    </row>
    <row r="6456" ht="16.5" customHeight="1" spans="1:8">
      <c r="A6456" s="3">
        <v>6455</v>
      </c>
      <c r="B6456" s="3" t="s">
        <v>14206</v>
      </c>
      <c r="C6456" s="3" t="s">
        <v>1105</v>
      </c>
      <c r="D6456" s="4" t="s">
        <v>14207</v>
      </c>
      <c r="E6456" s="3" t="s">
        <v>1218</v>
      </c>
      <c r="F6456" s="3" t="s">
        <v>1719</v>
      </c>
      <c r="G6456" s="3"/>
      <c r="H6456" s="4" t="s">
        <v>14180</v>
      </c>
    </row>
    <row r="6457" ht="16.5" customHeight="1" spans="1:8">
      <c r="A6457" s="3">
        <v>6456</v>
      </c>
      <c r="B6457" s="3" t="s">
        <v>14208</v>
      </c>
      <c r="C6457" s="3" t="s">
        <v>1105</v>
      </c>
      <c r="D6457" s="4" t="s">
        <v>14209</v>
      </c>
      <c r="E6457" s="3" t="s">
        <v>1218</v>
      </c>
      <c r="F6457" s="3" t="s">
        <v>1719</v>
      </c>
      <c r="G6457" s="3"/>
      <c r="H6457" s="4" t="s">
        <v>14180</v>
      </c>
    </row>
    <row r="6458" ht="16.5" customHeight="1" spans="1:8">
      <c r="A6458" s="3">
        <v>6457</v>
      </c>
      <c r="B6458" s="3" t="s">
        <v>14210</v>
      </c>
      <c r="C6458" s="3" t="s">
        <v>1105</v>
      </c>
      <c r="D6458" s="4" t="s">
        <v>14211</v>
      </c>
      <c r="E6458" s="3" t="s">
        <v>1218</v>
      </c>
      <c r="F6458" s="3" t="s">
        <v>1719</v>
      </c>
      <c r="G6458" s="3"/>
      <c r="H6458" s="4" t="s">
        <v>14180</v>
      </c>
    </row>
    <row r="6459" ht="16.5" customHeight="1" spans="1:8">
      <c r="A6459" s="3">
        <v>6458</v>
      </c>
      <c r="B6459" s="3" t="s">
        <v>14212</v>
      </c>
      <c r="C6459" s="3" t="s">
        <v>1105</v>
      </c>
      <c r="D6459" s="4" t="s">
        <v>14213</v>
      </c>
      <c r="E6459" s="3" t="s">
        <v>1218</v>
      </c>
      <c r="F6459" s="3" t="s">
        <v>1719</v>
      </c>
      <c r="G6459" s="3"/>
      <c r="H6459" s="4" t="s">
        <v>14180</v>
      </c>
    </row>
    <row r="6460" ht="16.5" customHeight="1" spans="1:8">
      <c r="A6460" s="3">
        <v>6459</v>
      </c>
      <c r="B6460" s="3" t="s">
        <v>14214</v>
      </c>
      <c r="C6460" s="3" t="s">
        <v>1105</v>
      </c>
      <c r="D6460" s="4" t="s">
        <v>14215</v>
      </c>
      <c r="E6460" s="3" t="s">
        <v>1218</v>
      </c>
      <c r="F6460" s="3" t="s">
        <v>1719</v>
      </c>
      <c r="G6460" s="3"/>
      <c r="H6460" s="4" t="s">
        <v>14180</v>
      </c>
    </row>
    <row r="6461" ht="16.5" customHeight="1" spans="1:8">
      <c r="A6461" s="3">
        <v>6460</v>
      </c>
      <c r="B6461" s="3" t="s">
        <v>14216</v>
      </c>
      <c r="C6461" s="3" t="s">
        <v>1105</v>
      </c>
      <c r="D6461" s="4" t="s">
        <v>14217</v>
      </c>
      <c r="E6461" s="3" t="s">
        <v>1218</v>
      </c>
      <c r="F6461" s="3" t="s">
        <v>1719</v>
      </c>
      <c r="G6461" s="3"/>
      <c r="H6461" s="4" t="s">
        <v>14180</v>
      </c>
    </row>
    <row r="6462" ht="16.5" customHeight="1" spans="1:8">
      <c r="A6462" s="3">
        <v>6461</v>
      </c>
      <c r="B6462" s="3" t="s">
        <v>14218</v>
      </c>
      <c r="C6462" s="3" t="s">
        <v>1105</v>
      </c>
      <c r="D6462" s="4" t="s">
        <v>14219</v>
      </c>
      <c r="E6462" s="3" t="s">
        <v>1218</v>
      </c>
      <c r="F6462" s="3" t="s">
        <v>1719</v>
      </c>
      <c r="G6462" s="3"/>
      <c r="H6462" s="4" t="s">
        <v>14180</v>
      </c>
    </row>
    <row r="6463" ht="16.5" customHeight="1" spans="1:8">
      <c r="A6463" s="3">
        <v>6462</v>
      </c>
      <c r="B6463" s="3" t="s">
        <v>14220</v>
      </c>
      <c r="C6463" s="3" t="s">
        <v>1105</v>
      </c>
      <c r="D6463" s="4" t="s">
        <v>14221</v>
      </c>
      <c r="E6463" s="3" t="s">
        <v>1218</v>
      </c>
      <c r="F6463" s="3" t="s">
        <v>1719</v>
      </c>
      <c r="G6463" s="3"/>
      <c r="H6463" s="4" t="s">
        <v>14180</v>
      </c>
    </row>
    <row r="6464" ht="16.5" customHeight="1" spans="1:8">
      <c r="A6464" s="3">
        <v>6463</v>
      </c>
      <c r="B6464" s="3" t="s">
        <v>14222</v>
      </c>
      <c r="C6464" s="3" t="s">
        <v>1105</v>
      </c>
      <c r="D6464" s="4" t="s">
        <v>14223</v>
      </c>
      <c r="E6464" s="3" t="s">
        <v>1218</v>
      </c>
      <c r="F6464" s="3" t="s">
        <v>1719</v>
      </c>
      <c r="G6464" s="3"/>
      <c r="H6464" s="4" t="s">
        <v>14180</v>
      </c>
    </row>
    <row r="6465" ht="16.5" customHeight="1" spans="1:8">
      <c r="A6465" s="3">
        <v>6464</v>
      </c>
      <c r="B6465" s="3" t="s">
        <v>14224</v>
      </c>
      <c r="C6465" s="3" t="s">
        <v>1105</v>
      </c>
      <c r="D6465" s="4" t="s">
        <v>14225</v>
      </c>
      <c r="E6465" s="3" t="s">
        <v>1218</v>
      </c>
      <c r="F6465" s="3" t="s">
        <v>1719</v>
      </c>
      <c r="G6465" s="3"/>
      <c r="H6465" s="4" t="s">
        <v>14180</v>
      </c>
    </row>
    <row r="6466" ht="16.5" customHeight="1" spans="1:8">
      <c r="A6466" s="3">
        <v>6465</v>
      </c>
      <c r="B6466" s="3" t="s">
        <v>14226</v>
      </c>
      <c r="C6466" s="3" t="s">
        <v>1105</v>
      </c>
      <c r="D6466" s="4" t="s">
        <v>14227</v>
      </c>
      <c r="E6466" s="3" t="s">
        <v>1218</v>
      </c>
      <c r="F6466" s="3" t="s">
        <v>1719</v>
      </c>
      <c r="G6466" s="3"/>
      <c r="H6466" s="4" t="s">
        <v>14180</v>
      </c>
    </row>
    <row r="6467" ht="16.5" customHeight="1" spans="1:8">
      <c r="A6467" s="3">
        <v>6466</v>
      </c>
      <c r="B6467" s="3" t="s">
        <v>14228</v>
      </c>
      <c r="C6467" s="3" t="s">
        <v>1105</v>
      </c>
      <c r="D6467" s="4" t="s">
        <v>14229</v>
      </c>
      <c r="E6467" s="3" t="s">
        <v>1218</v>
      </c>
      <c r="F6467" s="3" t="s">
        <v>1719</v>
      </c>
      <c r="G6467" s="3"/>
      <c r="H6467" s="4" t="s">
        <v>14180</v>
      </c>
    </row>
    <row r="6468" ht="16.5" customHeight="1" spans="1:8">
      <c r="A6468" s="3">
        <v>6467</v>
      </c>
      <c r="B6468" s="3" t="s">
        <v>14230</v>
      </c>
      <c r="C6468" s="3" t="s">
        <v>1105</v>
      </c>
      <c r="D6468" s="4" t="s">
        <v>14231</v>
      </c>
      <c r="E6468" s="3" t="s">
        <v>1218</v>
      </c>
      <c r="F6468" s="3" t="s">
        <v>1719</v>
      </c>
      <c r="G6468" s="3"/>
      <c r="H6468" s="4" t="s">
        <v>14180</v>
      </c>
    </row>
    <row r="6469" ht="16.5" customHeight="1" spans="1:8">
      <c r="A6469" s="3">
        <v>6468</v>
      </c>
      <c r="B6469" s="3" t="s">
        <v>14232</v>
      </c>
      <c r="C6469" s="3" t="s">
        <v>1074</v>
      </c>
      <c r="D6469" s="4" t="s">
        <v>14233</v>
      </c>
      <c r="E6469" s="3" t="s">
        <v>1076</v>
      </c>
      <c r="F6469" s="3" t="s">
        <v>10259</v>
      </c>
      <c r="G6469" s="3"/>
      <c r="H6469" s="4" t="s">
        <v>12433</v>
      </c>
    </row>
    <row r="6470" ht="16.5" customHeight="1" spans="1:8">
      <c r="A6470" s="3">
        <v>6469</v>
      </c>
      <c r="B6470" s="3" t="s">
        <v>14234</v>
      </c>
      <c r="C6470" s="3" t="s">
        <v>2163</v>
      </c>
      <c r="D6470" s="4" t="s">
        <v>14235</v>
      </c>
      <c r="E6470" s="3" t="s">
        <v>1076</v>
      </c>
      <c r="F6470" s="3" t="s">
        <v>2041</v>
      </c>
      <c r="G6470" s="3" t="s">
        <v>98</v>
      </c>
      <c r="H6470" s="4" t="s">
        <v>3812</v>
      </c>
    </row>
    <row r="6471" ht="16.5" customHeight="1" spans="1:8">
      <c r="A6471" s="3">
        <v>6470</v>
      </c>
      <c r="B6471" s="3" t="s">
        <v>14236</v>
      </c>
      <c r="C6471" s="3" t="s">
        <v>2163</v>
      </c>
      <c r="D6471" s="4" t="s">
        <v>14237</v>
      </c>
      <c r="E6471" s="3" t="s">
        <v>1076</v>
      </c>
      <c r="F6471" s="3" t="s">
        <v>6994</v>
      </c>
      <c r="G6471" s="3" t="s">
        <v>321</v>
      </c>
      <c r="H6471" s="4" t="s">
        <v>2050</v>
      </c>
    </row>
    <row r="6472" ht="16.5" customHeight="1" spans="1:8">
      <c r="A6472" s="3">
        <v>6471</v>
      </c>
      <c r="B6472" s="3" t="s">
        <v>14238</v>
      </c>
      <c r="C6472" s="3" t="s">
        <v>2163</v>
      </c>
      <c r="D6472" s="4" t="s">
        <v>14239</v>
      </c>
      <c r="E6472" s="3" t="s">
        <v>1076</v>
      </c>
      <c r="F6472" s="3" t="s">
        <v>10943</v>
      </c>
      <c r="G6472" s="3" t="s">
        <v>98</v>
      </c>
      <c r="H6472" s="4" t="s">
        <v>6877</v>
      </c>
    </row>
    <row r="6473" ht="16.5" customHeight="1" spans="1:8">
      <c r="A6473" s="3">
        <v>6472</v>
      </c>
      <c r="B6473" s="3" t="s">
        <v>14240</v>
      </c>
      <c r="C6473" s="3" t="s">
        <v>2163</v>
      </c>
      <c r="D6473" s="4" t="s">
        <v>14241</v>
      </c>
      <c r="E6473" s="3" t="s">
        <v>2263</v>
      </c>
      <c r="F6473" s="3" t="s">
        <v>10943</v>
      </c>
      <c r="G6473" s="3" t="s">
        <v>98</v>
      </c>
      <c r="H6473" s="4" t="s">
        <v>6877</v>
      </c>
    </row>
    <row r="6474" ht="16.5" customHeight="1" spans="1:8">
      <c r="A6474" s="3">
        <v>6473</v>
      </c>
      <c r="B6474" s="3" t="s">
        <v>14242</v>
      </c>
      <c r="C6474" s="3" t="s">
        <v>2163</v>
      </c>
      <c r="D6474" s="4" t="s">
        <v>14243</v>
      </c>
      <c r="E6474" s="3" t="s">
        <v>1076</v>
      </c>
      <c r="F6474" s="3" t="s">
        <v>10943</v>
      </c>
      <c r="G6474" s="3" t="s">
        <v>98</v>
      </c>
      <c r="H6474" s="4" t="s">
        <v>6877</v>
      </c>
    </row>
    <row r="6475" ht="16.5" customHeight="1" spans="1:8">
      <c r="A6475" s="3">
        <v>6474</v>
      </c>
      <c r="B6475" s="3" t="s">
        <v>14244</v>
      </c>
      <c r="C6475" s="3" t="s">
        <v>2163</v>
      </c>
      <c r="D6475" s="4" t="s">
        <v>14245</v>
      </c>
      <c r="E6475" s="3" t="s">
        <v>1076</v>
      </c>
      <c r="F6475" s="3" t="s">
        <v>2105</v>
      </c>
      <c r="G6475" s="3"/>
      <c r="H6475" s="4"/>
    </row>
    <row r="6476" ht="16.5" customHeight="1" spans="1:8">
      <c r="A6476" s="3">
        <v>6475</v>
      </c>
      <c r="B6476" s="3" t="s">
        <v>14246</v>
      </c>
      <c r="C6476" s="3" t="s">
        <v>1074</v>
      </c>
      <c r="D6476" s="4" t="s">
        <v>14247</v>
      </c>
      <c r="E6476" s="3" t="s">
        <v>1076</v>
      </c>
      <c r="F6476" s="3" t="s">
        <v>14248</v>
      </c>
      <c r="G6476" s="3"/>
      <c r="H6476" s="4" t="s">
        <v>5260</v>
      </c>
    </row>
    <row r="6477" ht="16.5" customHeight="1" spans="1:8">
      <c r="A6477" s="3">
        <v>6476</v>
      </c>
      <c r="B6477" s="3" t="s">
        <v>14249</v>
      </c>
      <c r="C6477" s="3" t="s">
        <v>1361</v>
      </c>
      <c r="D6477" s="4" t="s">
        <v>14250</v>
      </c>
      <c r="E6477" s="3" t="s">
        <v>1218</v>
      </c>
      <c r="F6477" s="3" t="s">
        <v>6994</v>
      </c>
      <c r="G6477" s="3" t="s">
        <v>321</v>
      </c>
      <c r="H6477" s="4" t="s">
        <v>2050</v>
      </c>
    </row>
    <row r="6478" ht="16.5" customHeight="1" spans="1:8">
      <c r="A6478" s="3">
        <v>6477</v>
      </c>
      <c r="B6478" s="3" t="s">
        <v>14251</v>
      </c>
      <c r="C6478" s="3" t="s">
        <v>1074</v>
      </c>
      <c r="D6478" s="4" t="s">
        <v>14252</v>
      </c>
      <c r="E6478" s="3" t="s">
        <v>1076</v>
      </c>
      <c r="F6478" s="3" t="s">
        <v>14248</v>
      </c>
      <c r="G6478" s="3"/>
      <c r="H6478" s="4" t="s">
        <v>2050</v>
      </c>
    </row>
    <row r="6479" ht="16.5" customHeight="1" spans="1:8">
      <c r="A6479" s="3">
        <v>6478</v>
      </c>
      <c r="B6479" s="3" t="s">
        <v>14253</v>
      </c>
      <c r="C6479" s="3" t="s">
        <v>1361</v>
      </c>
      <c r="D6479" s="4" t="s">
        <v>14254</v>
      </c>
      <c r="E6479" s="3" t="s">
        <v>1218</v>
      </c>
      <c r="F6479" s="3" t="s">
        <v>6994</v>
      </c>
      <c r="G6479" s="3" t="s">
        <v>321</v>
      </c>
      <c r="H6479" s="4" t="s">
        <v>2050</v>
      </c>
    </row>
    <row r="6480" ht="16.5" customHeight="1" spans="1:8">
      <c r="A6480" s="3">
        <v>6479</v>
      </c>
      <c r="B6480" s="3" t="s">
        <v>14255</v>
      </c>
      <c r="C6480" s="3" t="s">
        <v>1074</v>
      </c>
      <c r="D6480" s="4" t="s">
        <v>14256</v>
      </c>
      <c r="E6480" s="3" t="s">
        <v>1218</v>
      </c>
      <c r="F6480" s="3" t="s">
        <v>14248</v>
      </c>
      <c r="G6480" s="3"/>
      <c r="H6480" s="4" t="s">
        <v>2050</v>
      </c>
    </row>
    <row r="6481" ht="16.5" customHeight="1" spans="1:8">
      <c r="A6481" s="3">
        <v>6480</v>
      </c>
      <c r="B6481" s="3" t="s">
        <v>14257</v>
      </c>
      <c r="C6481" s="3" t="s">
        <v>1105</v>
      </c>
      <c r="D6481" s="4" t="s">
        <v>13971</v>
      </c>
      <c r="E6481" s="3" t="s">
        <v>1076</v>
      </c>
      <c r="F6481" s="3" t="s">
        <v>1358</v>
      </c>
      <c r="G6481" s="3"/>
      <c r="H6481" s="4" t="s">
        <v>14258</v>
      </c>
    </row>
    <row r="6482" ht="16.5" customHeight="1" spans="1:8">
      <c r="A6482" s="3">
        <v>6481</v>
      </c>
      <c r="B6482" s="3" t="s">
        <v>14259</v>
      </c>
      <c r="C6482" s="3" t="s">
        <v>1105</v>
      </c>
      <c r="D6482" s="4" t="s">
        <v>14260</v>
      </c>
      <c r="E6482" s="3" t="s">
        <v>1076</v>
      </c>
      <c r="F6482" s="3" t="s">
        <v>1358</v>
      </c>
      <c r="G6482" s="3"/>
      <c r="H6482" s="4" t="s">
        <v>14258</v>
      </c>
    </row>
    <row r="6483" ht="16.5" customHeight="1" spans="1:8">
      <c r="A6483" s="3">
        <v>6482</v>
      </c>
      <c r="B6483" s="3" t="s">
        <v>14261</v>
      </c>
      <c r="C6483" s="3" t="s">
        <v>1105</v>
      </c>
      <c r="D6483" s="4" t="s">
        <v>14262</v>
      </c>
      <c r="E6483" s="3" t="s">
        <v>1076</v>
      </c>
      <c r="F6483" s="3" t="s">
        <v>10259</v>
      </c>
      <c r="G6483" s="3"/>
      <c r="H6483" s="4" t="s">
        <v>13600</v>
      </c>
    </row>
    <row r="6484" ht="16.5" customHeight="1" spans="1:8">
      <c r="A6484" s="3">
        <v>6483</v>
      </c>
      <c r="B6484" s="3" t="s">
        <v>14263</v>
      </c>
      <c r="C6484" s="3" t="s">
        <v>1361</v>
      </c>
      <c r="D6484" s="4" t="s">
        <v>14264</v>
      </c>
      <c r="E6484" s="3" t="s">
        <v>1218</v>
      </c>
      <c r="F6484" s="3" t="s">
        <v>6994</v>
      </c>
      <c r="G6484" s="3" t="s">
        <v>321</v>
      </c>
      <c r="H6484" s="4" t="s">
        <v>2050</v>
      </c>
    </row>
    <row r="6485" ht="16.5" customHeight="1" spans="1:8">
      <c r="A6485" s="3">
        <v>6484</v>
      </c>
      <c r="B6485" s="3" t="s">
        <v>14265</v>
      </c>
      <c r="C6485" s="3" t="s">
        <v>1361</v>
      </c>
      <c r="D6485" s="4" t="s">
        <v>14266</v>
      </c>
      <c r="E6485" s="3" t="s">
        <v>1218</v>
      </c>
      <c r="F6485" s="3" t="s">
        <v>6994</v>
      </c>
      <c r="G6485" s="3" t="s">
        <v>321</v>
      </c>
      <c r="H6485" s="4" t="s">
        <v>2050</v>
      </c>
    </row>
    <row r="6486" ht="16.5" customHeight="1" spans="1:8">
      <c r="A6486" s="3">
        <v>6485</v>
      </c>
      <c r="B6486" s="3" t="s">
        <v>14267</v>
      </c>
      <c r="C6486" s="3" t="s">
        <v>2163</v>
      </c>
      <c r="D6486" s="4" t="s">
        <v>14268</v>
      </c>
      <c r="E6486" s="3" t="s">
        <v>1076</v>
      </c>
      <c r="F6486" s="3" t="s">
        <v>1358</v>
      </c>
      <c r="G6486" s="3" t="s">
        <v>321</v>
      </c>
      <c r="H6486" s="4"/>
    </row>
    <row r="6487" ht="16.5" customHeight="1" spans="1:8">
      <c r="A6487" s="3">
        <v>6486</v>
      </c>
      <c r="B6487" s="3" t="s">
        <v>14269</v>
      </c>
      <c r="C6487" s="3" t="s">
        <v>1361</v>
      </c>
      <c r="D6487" s="4" t="s">
        <v>14270</v>
      </c>
      <c r="E6487" s="3" t="s">
        <v>1218</v>
      </c>
      <c r="F6487" s="3" t="s">
        <v>6994</v>
      </c>
      <c r="G6487" s="3"/>
      <c r="H6487" s="4" t="s">
        <v>2050</v>
      </c>
    </row>
    <row r="6488" ht="16.5" customHeight="1" spans="1:8">
      <c r="A6488" s="3">
        <v>6487</v>
      </c>
      <c r="B6488" s="3" t="s">
        <v>14271</v>
      </c>
      <c r="C6488" s="3" t="s">
        <v>2163</v>
      </c>
      <c r="D6488" s="4" t="s">
        <v>14272</v>
      </c>
      <c r="E6488" s="3" t="s">
        <v>1076</v>
      </c>
      <c r="F6488" s="3" t="s">
        <v>1358</v>
      </c>
      <c r="G6488" s="3" t="s">
        <v>321</v>
      </c>
      <c r="H6488" s="4"/>
    </row>
    <row r="6489" ht="16.5" customHeight="1" spans="1:8">
      <c r="A6489" s="3">
        <v>6488</v>
      </c>
      <c r="B6489" s="3" t="s">
        <v>14273</v>
      </c>
      <c r="C6489" s="3" t="s">
        <v>2163</v>
      </c>
      <c r="D6489" s="4" t="s">
        <v>14274</v>
      </c>
      <c r="E6489" s="3" t="s">
        <v>1076</v>
      </c>
      <c r="F6489" s="3" t="s">
        <v>10943</v>
      </c>
      <c r="G6489" s="3" t="s">
        <v>98</v>
      </c>
      <c r="H6489" s="4" t="s">
        <v>6877</v>
      </c>
    </row>
    <row r="6490" ht="16.5" customHeight="1" spans="1:8">
      <c r="A6490" s="3">
        <v>6489</v>
      </c>
      <c r="B6490" s="3" t="s">
        <v>14275</v>
      </c>
      <c r="C6490" s="3" t="s">
        <v>1105</v>
      </c>
      <c r="D6490" s="4" t="s">
        <v>14276</v>
      </c>
      <c r="E6490" s="3" t="s">
        <v>1076</v>
      </c>
      <c r="F6490" s="3" t="s">
        <v>10943</v>
      </c>
      <c r="G6490" s="3"/>
      <c r="H6490" s="4" t="s">
        <v>13766</v>
      </c>
    </row>
    <row r="6491" ht="16.5" customHeight="1" spans="1:8">
      <c r="A6491" s="3">
        <v>6490</v>
      </c>
      <c r="B6491" s="3" t="s">
        <v>14277</v>
      </c>
      <c r="C6491" s="3" t="s">
        <v>1105</v>
      </c>
      <c r="D6491" s="4" t="s">
        <v>13631</v>
      </c>
      <c r="E6491" s="3" t="s">
        <v>1739</v>
      </c>
      <c r="F6491" s="3" t="s">
        <v>10943</v>
      </c>
      <c r="G6491" s="3"/>
      <c r="H6491" s="4" t="s">
        <v>14278</v>
      </c>
    </row>
    <row r="6492" ht="16.5" customHeight="1" spans="1:8">
      <c r="A6492" s="3">
        <v>6491</v>
      </c>
      <c r="B6492" s="3" t="s">
        <v>14279</v>
      </c>
      <c r="C6492" s="3" t="s">
        <v>2163</v>
      </c>
      <c r="D6492" s="4" t="s">
        <v>14280</v>
      </c>
      <c r="E6492" s="3" t="s">
        <v>2726</v>
      </c>
      <c r="F6492" s="3" t="s">
        <v>10259</v>
      </c>
      <c r="G6492" s="3"/>
      <c r="H6492" s="4" t="s">
        <v>1305</v>
      </c>
    </row>
    <row r="6493" ht="16.5" customHeight="1" spans="1:8">
      <c r="A6493" s="3">
        <v>6492</v>
      </c>
      <c r="B6493" s="3" t="s">
        <v>14281</v>
      </c>
      <c r="C6493" s="3" t="s">
        <v>2163</v>
      </c>
      <c r="D6493" s="4" t="s">
        <v>14282</v>
      </c>
      <c r="E6493" s="3" t="s">
        <v>2263</v>
      </c>
      <c r="F6493" s="3" t="s">
        <v>10943</v>
      </c>
      <c r="G6493" s="3" t="s">
        <v>98</v>
      </c>
      <c r="H6493" s="4" t="s">
        <v>6877</v>
      </c>
    </row>
    <row r="6494" ht="16.5" customHeight="1" spans="1:8">
      <c r="A6494" s="3">
        <v>6493</v>
      </c>
      <c r="B6494" s="3" t="s">
        <v>14283</v>
      </c>
      <c r="C6494" s="3" t="s">
        <v>2163</v>
      </c>
      <c r="D6494" s="4" t="s">
        <v>14284</v>
      </c>
      <c r="E6494" s="3" t="s">
        <v>1076</v>
      </c>
      <c r="F6494" s="3" t="s">
        <v>10943</v>
      </c>
      <c r="G6494" s="3" t="s">
        <v>98</v>
      </c>
      <c r="H6494" s="4" t="s">
        <v>6877</v>
      </c>
    </row>
    <row r="6495" ht="16.5" customHeight="1" spans="1:8">
      <c r="A6495" s="3">
        <v>6494</v>
      </c>
      <c r="B6495" s="3" t="s">
        <v>14285</v>
      </c>
      <c r="C6495" s="3" t="s">
        <v>2163</v>
      </c>
      <c r="D6495" s="4" t="s">
        <v>14286</v>
      </c>
      <c r="E6495" s="3" t="s">
        <v>1076</v>
      </c>
      <c r="F6495" s="3" t="s">
        <v>10943</v>
      </c>
      <c r="G6495" s="3" t="s">
        <v>98</v>
      </c>
      <c r="H6495" s="4" t="s">
        <v>6877</v>
      </c>
    </row>
    <row r="6496" ht="16.5" customHeight="1" spans="1:8">
      <c r="A6496" s="3">
        <v>6495</v>
      </c>
      <c r="B6496" s="3" t="s">
        <v>14287</v>
      </c>
      <c r="C6496" s="3" t="s">
        <v>2163</v>
      </c>
      <c r="D6496" s="4" t="s">
        <v>14288</v>
      </c>
      <c r="E6496" s="3" t="s">
        <v>1076</v>
      </c>
      <c r="F6496" s="3" t="s">
        <v>10943</v>
      </c>
      <c r="G6496" s="3" t="s">
        <v>98</v>
      </c>
      <c r="H6496" s="4" t="s">
        <v>6877</v>
      </c>
    </row>
    <row r="6497" ht="16.5" customHeight="1" spans="1:8">
      <c r="A6497" s="3">
        <v>6496</v>
      </c>
      <c r="B6497" s="3" t="s">
        <v>14289</v>
      </c>
      <c r="C6497" s="3" t="s">
        <v>1105</v>
      </c>
      <c r="D6497" s="4" t="s">
        <v>14290</v>
      </c>
      <c r="E6497" s="3" t="s">
        <v>1076</v>
      </c>
      <c r="F6497" s="3" t="s">
        <v>1358</v>
      </c>
      <c r="G6497" s="3"/>
      <c r="H6497" s="4" t="s">
        <v>13986</v>
      </c>
    </row>
    <row r="6498" ht="16.5" customHeight="1" spans="1:8">
      <c r="A6498" s="3">
        <v>6497</v>
      </c>
      <c r="B6498" s="3" t="s">
        <v>14291</v>
      </c>
      <c r="C6498" s="3" t="s">
        <v>1105</v>
      </c>
      <c r="D6498" s="4" t="s">
        <v>14292</v>
      </c>
      <c r="E6498" s="3" t="s">
        <v>1076</v>
      </c>
      <c r="F6498" s="3" t="s">
        <v>1358</v>
      </c>
      <c r="G6498" s="3"/>
      <c r="H6498" s="4" t="s">
        <v>13986</v>
      </c>
    </row>
    <row r="6499" ht="16.5" customHeight="1" spans="1:8">
      <c r="A6499" s="3">
        <v>6498</v>
      </c>
      <c r="B6499" s="3" t="s">
        <v>14293</v>
      </c>
      <c r="C6499" s="3" t="s">
        <v>1074</v>
      </c>
      <c r="D6499" s="4" t="s">
        <v>14294</v>
      </c>
      <c r="E6499" s="3" t="s">
        <v>1076</v>
      </c>
      <c r="F6499" s="3" t="s">
        <v>1152</v>
      </c>
      <c r="G6499" s="3"/>
      <c r="H6499" s="4" t="s">
        <v>1843</v>
      </c>
    </row>
    <row r="6500" ht="16.5" customHeight="1" spans="1:8">
      <c r="A6500" s="3">
        <v>6499</v>
      </c>
      <c r="B6500" s="3" t="s">
        <v>14295</v>
      </c>
      <c r="C6500" s="3" t="s">
        <v>1105</v>
      </c>
      <c r="D6500" s="4" t="s">
        <v>14296</v>
      </c>
      <c r="E6500" s="3" t="s">
        <v>1076</v>
      </c>
      <c r="F6500" s="3" t="s">
        <v>13748</v>
      </c>
      <c r="G6500" s="3"/>
      <c r="H6500" s="4" t="s">
        <v>12847</v>
      </c>
    </row>
    <row r="6501" ht="16.5" customHeight="1" spans="1:8">
      <c r="A6501" s="3">
        <v>6500</v>
      </c>
      <c r="B6501" s="3" t="s">
        <v>14297</v>
      </c>
      <c r="C6501" s="3" t="s">
        <v>1105</v>
      </c>
      <c r="D6501" s="4" t="s">
        <v>14298</v>
      </c>
      <c r="E6501" s="3" t="s">
        <v>1076</v>
      </c>
      <c r="F6501" s="3" t="s">
        <v>13816</v>
      </c>
      <c r="G6501" s="3"/>
      <c r="H6501" s="4" t="s">
        <v>14299</v>
      </c>
    </row>
    <row r="6502" ht="16.5" customHeight="1" spans="1:8">
      <c r="A6502" s="3">
        <v>6501</v>
      </c>
      <c r="B6502" s="3" t="s">
        <v>14300</v>
      </c>
      <c r="C6502" s="3" t="s">
        <v>1105</v>
      </c>
      <c r="D6502" s="4" t="s">
        <v>14301</v>
      </c>
      <c r="E6502" s="3" t="s">
        <v>1076</v>
      </c>
      <c r="F6502" s="3" t="s">
        <v>13816</v>
      </c>
      <c r="G6502" s="3"/>
      <c r="H6502" s="4" t="s">
        <v>14299</v>
      </c>
    </row>
    <row r="6503" ht="16.5" customHeight="1" spans="1:8">
      <c r="A6503" s="3">
        <v>6502</v>
      </c>
      <c r="B6503" s="3" t="s">
        <v>14302</v>
      </c>
      <c r="C6503" s="3" t="s">
        <v>1105</v>
      </c>
      <c r="D6503" s="4" t="s">
        <v>14303</v>
      </c>
      <c r="E6503" s="3" t="s">
        <v>1076</v>
      </c>
      <c r="F6503" s="3" t="s">
        <v>13816</v>
      </c>
      <c r="G6503" s="3"/>
      <c r="H6503" s="4" t="s">
        <v>14299</v>
      </c>
    </row>
    <row r="6504" ht="16.5" customHeight="1" spans="1:8">
      <c r="A6504" s="3">
        <v>6503</v>
      </c>
      <c r="B6504" s="3" t="s">
        <v>14304</v>
      </c>
      <c r="C6504" s="3" t="s">
        <v>2163</v>
      </c>
      <c r="D6504" s="4" t="s">
        <v>14305</v>
      </c>
      <c r="E6504" s="3" t="s">
        <v>1076</v>
      </c>
      <c r="F6504" s="3" t="s">
        <v>2105</v>
      </c>
      <c r="G6504" s="3"/>
      <c r="H6504" s="4"/>
    </row>
    <row r="6505" ht="16.5" customHeight="1" spans="1:8">
      <c r="A6505" s="3">
        <v>6504</v>
      </c>
      <c r="B6505" s="3" t="s">
        <v>14306</v>
      </c>
      <c r="C6505" s="3" t="s">
        <v>2163</v>
      </c>
      <c r="D6505" s="4" t="s">
        <v>14307</v>
      </c>
      <c r="E6505" s="3" t="s">
        <v>5779</v>
      </c>
      <c r="F6505" s="3" t="s">
        <v>2105</v>
      </c>
      <c r="G6505" s="3"/>
      <c r="H6505" s="4"/>
    </row>
    <row r="6506" ht="16.5" customHeight="1" spans="1:8">
      <c r="A6506" s="3">
        <v>6505</v>
      </c>
      <c r="B6506" s="3" t="s">
        <v>14308</v>
      </c>
      <c r="C6506" s="3" t="s">
        <v>1356</v>
      </c>
      <c r="D6506" s="4" t="s">
        <v>14309</v>
      </c>
      <c r="E6506" s="3" t="s">
        <v>1076</v>
      </c>
      <c r="F6506" s="3" t="s">
        <v>10259</v>
      </c>
      <c r="G6506" s="3"/>
      <c r="H6506" s="4" t="s">
        <v>5664</v>
      </c>
    </row>
    <row r="6507" ht="16.5" customHeight="1" spans="1:8">
      <c r="A6507" s="3">
        <v>6506</v>
      </c>
      <c r="B6507" s="3" t="s">
        <v>14310</v>
      </c>
      <c r="C6507" s="3" t="s">
        <v>2163</v>
      </c>
      <c r="D6507" s="4" t="s">
        <v>14311</v>
      </c>
      <c r="E6507" s="3" t="s">
        <v>7007</v>
      </c>
      <c r="F6507" s="3" t="s">
        <v>2105</v>
      </c>
      <c r="G6507" s="3"/>
      <c r="H6507" s="4"/>
    </row>
    <row r="6508" ht="16.5" customHeight="1" spans="1:8">
      <c r="A6508" s="3">
        <v>6507</v>
      </c>
      <c r="B6508" s="3" t="s">
        <v>14312</v>
      </c>
      <c r="C6508" s="3" t="s">
        <v>2163</v>
      </c>
      <c r="D6508" s="4" t="s">
        <v>14313</v>
      </c>
      <c r="E6508" s="3" t="s">
        <v>7007</v>
      </c>
      <c r="F6508" s="3" t="s">
        <v>2105</v>
      </c>
      <c r="G6508" s="3"/>
      <c r="H6508" s="4"/>
    </row>
    <row r="6509" ht="16.5" customHeight="1" spans="1:8">
      <c r="A6509" s="3">
        <v>6508</v>
      </c>
      <c r="B6509" s="3" t="s">
        <v>14314</v>
      </c>
      <c r="C6509" s="3" t="s">
        <v>2163</v>
      </c>
      <c r="D6509" s="4" t="s">
        <v>14315</v>
      </c>
      <c r="E6509" s="3" t="s">
        <v>5779</v>
      </c>
      <c r="F6509" s="3" t="s">
        <v>2105</v>
      </c>
      <c r="G6509" s="3"/>
      <c r="H6509" s="4"/>
    </row>
    <row r="6510" ht="16.5" customHeight="1" spans="1:8">
      <c r="A6510" s="3">
        <v>6509</v>
      </c>
      <c r="B6510" s="3" t="s">
        <v>14316</v>
      </c>
      <c r="C6510" s="3" t="s">
        <v>2163</v>
      </c>
      <c r="D6510" s="4" t="s">
        <v>14317</v>
      </c>
      <c r="E6510" s="3" t="s">
        <v>2263</v>
      </c>
      <c r="F6510" s="3" t="s">
        <v>6994</v>
      </c>
      <c r="G6510" s="3" t="s">
        <v>321</v>
      </c>
      <c r="H6510" s="4" t="s">
        <v>2050</v>
      </c>
    </row>
    <row r="6511" ht="16.5" customHeight="1" spans="1:8">
      <c r="A6511" s="3">
        <v>6510</v>
      </c>
      <c r="B6511" s="3" t="s">
        <v>14318</v>
      </c>
      <c r="C6511" s="3" t="s">
        <v>2163</v>
      </c>
      <c r="D6511" s="4" t="s">
        <v>14319</v>
      </c>
      <c r="E6511" s="3" t="s">
        <v>9072</v>
      </c>
      <c r="F6511" s="3" t="s">
        <v>6994</v>
      </c>
      <c r="G6511" s="3" t="s">
        <v>321</v>
      </c>
      <c r="H6511" s="4" t="s">
        <v>2050</v>
      </c>
    </row>
    <row r="6512" ht="16.5" customHeight="1" spans="1:8">
      <c r="A6512" s="3">
        <v>6511</v>
      </c>
      <c r="B6512" s="3" t="s">
        <v>14320</v>
      </c>
      <c r="C6512" s="3" t="s">
        <v>2163</v>
      </c>
      <c r="D6512" s="4" t="s">
        <v>14321</v>
      </c>
      <c r="E6512" s="3" t="s">
        <v>1076</v>
      </c>
      <c r="F6512" s="3" t="s">
        <v>10943</v>
      </c>
      <c r="G6512" s="3" t="s">
        <v>98</v>
      </c>
      <c r="H6512" s="4" t="s">
        <v>6877</v>
      </c>
    </row>
    <row r="6513" ht="16.5" customHeight="1" spans="1:8">
      <c r="A6513" s="3">
        <v>6512</v>
      </c>
      <c r="B6513" s="3" t="s">
        <v>14322</v>
      </c>
      <c r="C6513" s="3" t="s">
        <v>2163</v>
      </c>
      <c r="D6513" s="4" t="s">
        <v>14323</v>
      </c>
      <c r="E6513" s="3" t="s">
        <v>1076</v>
      </c>
      <c r="F6513" s="3" t="s">
        <v>10943</v>
      </c>
      <c r="G6513" s="3" t="s">
        <v>98</v>
      </c>
      <c r="H6513" s="4" t="s">
        <v>6877</v>
      </c>
    </row>
    <row r="6514" ht="16.5" customHeight="1" spans="1:8">
      <c r="A6514" s="3">
        <v>6513</v>
      </c>
      <c r="B6514" s="3" t="s">
        <v>14324</v>
      </c>
      <c r="C6514" s="3" t="s">
        <v>2163</v>
      </c>
      <c r="D6514" s="4" t="s">
        <v>14325</v>
      </c>
      <c r="E6514" s="3" t="s">
        <v>1076</v>
      </c>
      <c r="F6514" s="3" t="s">
        <v>2041</v>
      </c>
      <c r="G6514" s="3" t="s">
        <v>98</v>
      </c>
      <c r="H6514" s="4" t="s">
        <v>9475</v>
      </c>
    </row>
    <row r="6515" ht="16.5" customHeight="1" spans="1:8">
      <c r="A6515" s="3">
        <v>6514</v>
      </c>
      <c r="B6515" s="3" t="s">
        <v>14326</v>
      </c>
      <c r="C6515" s="3" t="s">
        <v>2163</v>
      </c>
      <c r="D6515" s="4" t="s">
        <v>14327</v>
      </c>
      <c r="E6515" s="3" t="s">
        <v>1076</v>
      </c>
      <c r="F6515" s="3" t="s">
        <v>2041</v>
      </c>
      <c r="G6515" s="3" t="s">
        <v>98</v>
      </c>
      <c r="H6515" s="4" t="s">
        <v>9475</v>
      </c>
    </row>
    <row r="6516" ht="16.5" customHeight="1" spans="1:8">
      <c r="A6516" s="3">
        <v>6515</v>
      </c>
      <c r="B6516" s="3" t="s">
        <v>14328</v>
      </c>
      <c r="C6516" s="3" t="s">
        <v>2163</v>
      </c>
      <c r="D6516" s="4" t="s">
        <v>14329</v>
      </c>
      <c r="E6516" s="3" t="s">
        <v>1076</v>
      </c>
      <c r="F6516" s="3" t="s">
        <v>2041</v>
      </c>
      <c r="G6516" s="3" t="s">
        <v>98</v>
      </c>
      <c r="H6516" s="4" t="s">
        <v>9475</v>
      </c>
    </row>
    <row r="6517" ht="16.5" customHeight="1" spans="1:8">
      <c r="A6517" s="3">
        <v>6516</v>
      </c>
      <c r="B6517" s="3" t="s">
        <v>14330</v>
      </c>
      <c r="C6517" s="3" t="s">
        <v>2163</v>
      </c>
      <c r="D6517" s="4" t="s">
        <v>14331</v>
      </c>
      <c r="E6517" s="3" t="s">
        <v>1076</v>
      </c>
      <c r="F6517" s="3" t="s">
        <v>2041</v>
      </c>
      <c r="G6517" s="3" t="s">
        <v>98</v>
      </c>
      <c r="H6517" s="4" t="s">
        <v>9475</v>
      </c>
    </row>
    <row r="6518" ht="16.5" customHeight="1" spans="1:8">
      <c r="A6518" s="3">
        <v>6517</v>
      </c>
      <c r="B6518" s="3" t="s">
        <v>14332</v>
      </c>
      <c r="C6518" s="3" t="s">
        <v>2163</v>
      </c>
      <c r="D6518" s="4" t="s">
        <v>14333</v>
      </c>
      <c r="E6518" s="3" t="s">
        <v>1076</v>
      </c>
      <c r="F6518" s="3" t="s">
        <v>2041</v>
      </c>
      <c r="G6518" s="3" t="s">
        <v>98</v>
      </c>
      <c r="H6518" s="4" t="s">
        <v>9475</v>
      </c>
    </row>
    <row r="6519" ht="16.5" customHeight="1" spans="1:8">
      <c r="A6519" s="3">
        <v>6518</v>
      </c>
      <c r="B6519" s="3" t="s">
        <v>14334</v>
      </c>
      <c r="C6519" s="3" t="s">
        <v>2163</v>
      </c>
      <c r="D6519" s="4" t="s">
        <v>14335</v>
      </c>
      <c r="E6519" s="3" t="s">
        <v>1076</v>
      </c>
      <c r="F6519" s="3" t="s">
        <v>2041</v>
      </c>
      <c r="G6519" s="3" t="s">
        <v>98</v>
      </c>
      <c r="H6519" s="4" t="s">
        <v>9475</v>
      </c>
    </row>
    <row r="6520" ht="16.5" customHeight="1" spans="1:8">
      <c r="A6520" s="3">
        <v>6519</v>
      </c>
      <c r="B6520" s="3" t="s">
        <v>14336</v>
      </c>
      <c r="C6520" s="3" t="s">
        <v>1105</v>
      </c>
      <c r="D6520" s="4" t="s">
        <v>14337</v>
      </c>
      <c r="E6520" s="3" t="s">
        <v>1076</v>
      </c>
      <c r="F6520" s="3" t="s">
        <v>4120</v>
      </c>
      <c r="G6520" s="3"/>
      <c r="H6520" s="4" t="s">
        <v>14338</v>
      </c>
    </row>
    <row r="6521" ht="16.5" customHeight="1" spans="1:8">
      <c r="A6521" s="3">
        <v>6520</v>
      </c>
      <c r="B6521" s="3" t="s">
        <v>14339</v>
      </c>
      <c r="C6521" s="3" t="s">
        <v>1105</v>
      </c>
      <c r="D6521" s="4" t="s">
        <v>14340</v>
      </c>
      <c r="E6521" s="3" t="s">
        <v>1076</v>
      </c>
      <c r="F6521" s="3" t="s">
        <v>4120</v>
      </c>
      <c r="G6521" s="3"/>
      <c r="H6521" s="4" t="s">
        <v>14338</v>
      </c>
    </row>
    <row r="6522" ht="16.5" customHeight="1" spans="1:8">
      <c r="A6522" s="3">
        <v>6521</v>
      </c>
      <c r="B6522" s="3" t="s">
        <v>14341</v>
      </c>
      <c r="C6522" s="3" t="s">
        <v>2163</v>
      </c>
      <c r="D6522" s="4" t="s">
        <v>14342</v>
      </c>
      <c r="E6522" s="3" t="s">
        <v>1076</v>
      </c>
      <c r="F6522" s="3" t="s">
        <v>2041</v>
      </c>
      <c r="G6522" s="3" t="s">
        <v>98</v>
      </c>
      <c r="H6522" s="4" t="s">
        <v>9475</v>
      </c>
    </row>
    <row r="6523" ht="16.5" customHeight="1" spans="1:8">
      <c r="A6523" s="3">
        <v>6522</v>
      </c>
      <c r="B6523" s="3" t="s">
        <v>14343</v>
      </c>
      <c r="C6523" s="3" t="s">
        <v>1105</v>
      </c>
      <c r="D6523" s="4" t="s">
        <v>14344</v>
      </c>
      <c r="E6523" s="3" t="s">
        <v>1076</v>
      </c>
      <c r="F6523" s="3" t="s">
        <v>2041</v>
      </c>
      <c r="G6523" s="3"/>
      <c r="H6523" s="4" t="s">
        <v>13600</v>
      </c>
    </row>
    <row r="6524" ht="16.5" customHeight="1" spans="1:8">
      <c r="A6524" s="3">
        <v>6523</v>
      </c>
      <c r="B6524" s="3" t="s">
        <v>14345</v>
      </c>
      <c r="C6524" s="3" t="s">
        <v>1105</v>
      </c>
      <c r="D6524" s="4" t="s">
        <v>14276</v>
      </c>
      <c r="E6524" s="3" t="s">
        <v>1076</v>
      </c>
      <c r="F6524" s="3" t="s">
        <v>2041</v>
      </c>
      <c r="G6524" s="3"/>
      <c r="H6524" s="4" t="s">
        <v>14346</v>
      </c>
    </row>
    <row r="6525" ht="16.5" customHeight="1" spans="1:8">
      <c r="A6525" s="3">
        <v>6524</v>
      </c>
      <c r="B6525" s="3" t="s">
        <v>14347</v>
      </c>
      <c r="C6525" s="3" t="s">
        <v>1105</v>
      </c>
      <c r="D6525" s="4" t="s">
        <v>14348</v>
      </c>
      <c r="E6525" s="3" t="s">
        <v>1076</v>
      </c>
      <c r="F6525" s="3" t="s">
        <v>2041</v>
      </c>
      <c r="G6525" s="3"/>
      <c r="H6525" s="4" t="s">
        <v>14346</v>
      </c>
    </row>
    <row r="6526" ht="16.5" customHeight="1" spans="1:8">
      <c r="A6526" s="3">
        <v>6525</v>
      </c>
      <c r="B6526" s="3" t="s">
        <v>14349</v>
      </c>
      <c r="C6526" s="3" t="s">
        <v>1105</v>
      </c>
      <c r="D6526" s="4" t="s">
        <v>14350</v>
      </c>
      <c r="E6526" s="3" t="s">
        <v>1076</v>
      </c>
      <c r="F6526" s="3" t="s">
        <v>2041</v>
      </c>
      <c r="G6526" s="3"/>
      <c r="H6526" s="4" t="s">
        <v>14346</v>
      </c>
    </row>
    <row r="6527" ht="16.5" customHeight="1" spans="1:8">
      <c r="A6527" s="3">
        <v>6526</v>
      </c>
      <c r="B6527" s="3" t="s">
        <v>14351</v>
      </c>
      <c r="C6527" s="3" t="s">
        <v>1105</v>
      </c>
      <c r="D6527" s="4" t="s">
        <v>14075</v>
      </c>
      <c r="E6527" s="3" t="s">
        <v>1076</v>
      </c>
      <c r="F6527" s="3" t="s">
        <v>2041</v>
      </c>
      <c r="G6527" s="3"/>
      <c r="H6527" s="4" t="s">
        <v>14346</v>
      </c>
    </row>
    <row r="6528" ht="16.5" customHeight="1" spans="1:8">
      <c r="A6528" s="3">
        <v>6527</v>
      </c>
      <c r="B6528" s="3" t="s">
        <v>14352</v>
      </c>
      <c r="C6528" s="3" t="s">
        <v>1105</v>
      </c>
      <c r="D6528" s="4" t="s">
        <v>14276</v>
      </c>
      <c r="E6528" s="3" t="s">
        <v>1739</v>
      </c>
      <c r="F6528" s="3" t="s">
        <v>2041</v>
      </c>
      <c r="G6528" s="3"/>
      <c r="H6528" s="4" t="s">
        <v>14353</v>
      </c>
    </row>
    <row r="6529" ht="16.5" customHeight="1" spans="1:8">
      <c r="A6529" s="3">
        <v>6528</v>
      </c>
      <c r="B6529" s="3" t="s">
        <v>14354</v>
      </c>
      <c r="C6529" s="3" t="s">
        <v>1105</v>
      </c>
      <c r="D6529" s="4" t="s">
        <v>14348</v>
      </c>
      <c r="E6529" s="3" t="s">
        <v>1076</v>
      </c>
      <c r="F6529" s="3" t="s">
        <v>2041</v>
      </c>
      <c r="G6529" s="3"/>
      <c r="H6529" s="4" t="s">
        <v>14353</v>
      </c>
    </row>
    <row r="6530" ht="16.5" customHeight="1" spans="1:8">
      <c r="A6530" s="3">
        <v>6529</v>
      </c>
      <c r="B6530" s="3" t="s">
        <v>14355</v>
      </c>
      <c r="C6530" s="3" t="s">
        <v>1105</v>
      </c>
      <c r="D6530" s="4" t="s">
        <v>14356</v>
      </c>
      <c r="E6530" s="3" t="s">
        <v>1076</v>
      </c>
      <c r="F6530" s="3" t="s">
        <v>2041</v>
      </c>
      <c r="G6530" s="3"/>
      <c r="H6530" s="4" t="s">
        <v>14353</v>
      </c>
    </row>
    <row r="6531" ht="16.5" customHeight="1" spans="1:8">
      <c r="A6531" s="3">
        <v>6530</v>
      </c>
      <c r="B6531" s="3" t="s">
        <v>14357</v>
      </c>
      <c r="C6531" s="3" t="s">
        <v>1105</v>
      </c>
      <c r="D6531" s="4" t="s">
        <v>14075</v>
      </c>
      <c r="E6531" s="3" t="s">
        <v>1076</v>
      </c>
      <c r="F6531" s="3" t="s">
        <v>2041</v>
      </c>
      <c r="G6531" s="3"/>
      <c r="H6531" s="4" t="s">
        <v>14353</v>
      </c>
    </row>
    <row r="6532" ht="16.5" customHeight="1" spans="1:8">
      <c r="A6532" s="3">
        <v>6531</v>
      </c>
      <c r="B6532" s="3" t="s">
        <v>14358</v>
      </c>
      <c r="C6532" s="3" t="s">
        <v>1105</v>
      </c>
      <c r="D6532" s="4" t="s">
        <v>14348</v>
      </c>
      <c r="E6532" s="3" t="s">
        <v>1076</v>
      </c>
      <c r="F6532" s="3" t="s">
        <v>2041</v>
      </c>
      <c r="G6532" s="3"/>
      <c r="H6532" s="4" t="s">
        <v>14278</v>
      </c>
    </row>
    <row r="6533" ht="16.5" customHeight="1" spans="1:8">
      <c r="A6533" s="3">
        <v>6532</v>
      </c>
      <c r="B6533" s="3" t="s">
        <v>14359</v>
      </c>
      <c r="C6533" s="3" t="s">
        <v>1105</v>
      </c>
      <c r="D6533" s="4" t="s">
        <v>14356</v>
      </c>
      <c r="E6533" s="3" t="s">
        <v>1076</v>
      </c>
      <c r="F6533" s="3" t="s">
        <v>2041</v>
      </c>
      <c r="G6533" s="3"/>
      <c r="H6533" s="4" t="s">
        <v>14278</v>
      </c>
    </row>
    <row r="6534" ht="16.5" customHeight="1" spans="1:8">
      <c r="A6534" s="3">
        <v>6533</v>
      </c>
      <c r="B6534" s="3" t="s">
        <v>14360</v>
      </c>
      <c r="C6534" s="3" t="s">
        <v>1105</v>
      </c>
      <c r="D6534" s="4" t="s">
        <v>14075</v>
      </c>
      <c r="E6534" s="3" t="s">
        <v>1076</v>
      </c>
      <c r="F6534" s="3" t="s">
        <v>2041</v>
      </c>
      <c r="G6534" s="3"/>
      <c r="H6534" s="4" t="s">
        <v>14278</v>
      </c>
    </row>
    <row r="6535" ht="16.5" customHeight="1" spans="1:8">
      <c r="A6535" s="3">
        <v>6534</v>
      </c>
      <c r="B6535" s="3" t="s">
        <v>14361</v>
      </c>
      <c r="C6535" s="3" t="s">
        <v>1105</v>
      </c>
      <c r="D6535" s="4" t="s">
        <v>14362</v>
      </c>
      <c r="E6535" s="3" t="s">
        <v>1076</v>
      </c>
      <c r="F6535" s="3" t="s">
        <v>2041</v>
      </c>
      <c r="G6535" s="3"/>
      <c r="H6535" s="4" t="s">
        <v>14299</v>
      </c>
    </row>
    <row r="6536" ht="16.5" customHeight="1" spans="1:8">
      <c r="A6536" s="3">
        <v>6535</v>
      </c>
      <c r="B6536" s="3" t="s">
        <v>14363</v>
      </c>
      <c r="C6536" s="3" t="s">
        <v>1105</v>
      </c>
      <c r="D6536" s="4" t="s">
        <v>14364</v>
      </c>
      <c r="E6536" s="3" t="s">
        <v>1076</v>
      </c>
      <c r="F6536" s="3" t="s">
        <v>2041</v>
      </c>
      <c r="G6536" s="3"/>
      <c r="H6536" s="4" t="s">
        <v>14299</v>
      </c>
    </row>
    <row r="6537" ht="16.5" customHeight="1" spans="1:8">
      <c r="A6537" s="3">
        <v>6536</v>
      </c>
      <c r="B6537" s="3" t="s">
        <v>14365</v>
      </c>
      <c r="C6537" s="3" t="s">
        <v>1105</v>
      </c>
      <c r="D6537" s="4" t="s">
        <v>14366</v>
      </c>
      <c r="E6537" s="3" t="s">
        <v>1076</v>
      </c>
      <c r="F6537" s="3" t="s">
        <v>2041</v>
      </c>
      <c r="G6537" s="3"/>
      <c r="H6537" s="4" t="s">
        <v>14299</v>
      </c>
    </row>
    <row r="6538" ht="16.5" customHeight="1" spans="1:8">
      <c r="A6538" s="3">
        <v>6537</v>
      </c>
      <c r="B6538" s="3" t="s">
        <v>14367</v>
      </c>
      <c r="C6538" s="3" t="s">
        <v>1105</v>
      </c>
      <c r="D6538" s="4" t="s">
        <v>14368</v>
      </c>
      <c r="E6538" s="3" t="s">
        <v>1076</v>
      </c>
      <c r="F6538" s="3" t="s">
        <v>2041</v>
      </c>
      <c r="G6538" s="3"/>
      <c r="H6538" s="4" t="s">
        <v>14299</v>
      </c>
    </row>
    <row r="6539" ht="16.5" customHeight="1" spans="1:8">
      <c r="A6539" s="3">
        <v>6538</v>
      </c>
      <c r="B6539" s="3" t="s">
        <v>14369</v>
      </c>
      <c r="C6539" s="3" t="s">
        <v>1105</v>
      </c>
      <c r="D6539" s="4" t="s">
        <v>14276</v>
      </c>
      <c r="E6539" s="3" t="s">
        <v>1076</v>
      </c>
      <c r="F6539" s="3" t="s">
        <v>2041</v>
      </c>
      <c r="G6539" s="3"/>
      <c r="H6539" s="4" t="s">
        <v>14370</v>
      </c>
    </row>
    <row r="6540" ht="16.5" customHeight="1" spans="1:8">
      <c r="A6540" s="3">
        <v>6539</v>
      </c>
      <c r="B6540" s="3" t="s">
        <v>14371</v>
      </c>
      <c r="C6540" s="3" t="s">
        <v>1105</v>
      </c>
      <c r="D6540" s="4" t="s">
        <v>14372</v>
      </c>
      <c r="E6540" s="3" t="s">
        <v>1076</v>
      </c>
      <c r="F6540" s="3" t="s">
        <v>2041</v>
      </c>
      <c r="G6540" s="3"/>
      <c r="H6540" s="4" t="s">
        <v>14370</v>
      </c>
    </row>
    <row r="6541" ht="16.5" customHeight="1" spans="1:8">
      <c r="A6541" s="3">
        <v>6540</v>
      </c>
      <c r="B6541" s="3" t="s">
        <v>14373</v>
      </c>
      <c r="C6541" s="3" t="s">
        <v>1105</v>
      </c>
      <c r="D6541" s="4" t="s">
        <v>14348</v>
      </c>
      <c r="E6541" s="3" t="s">
        <v>1076</v>
      </c>
      <c r="F6541" s="3" t="s">
        <v>2041</v>
      </c>
      <c r="G6541" s="3"/>
      <c r="H6541" s="4" t="s">
        <v>14370</v>
      </c>
    </row>
    <row r="6542" ht="16.5" customHeight="1" spans="1:8">
      <c r="A6542" s="3">
        <v>6541</v>
      </c>
      <c r="B6542" s="3" t="s">
        <v>14374</v>
      </c>
      <c r="C6542" s="3" t="s">
        <v>1105</v>
      </c>
      <c r="D6542" s="4" t="s">
        <v>14075</v>
      </c>
      <c r="E6542" s="3" t="s">
        <v>1076</v>
      </c>
      <c r="F6542" s="3" t="s">
        <v>2041</v>
      </c>
      <c r="G6542" s="3"/>
      <c r="H6542" s="4" t="s">
        <v>14370</v>
      </c>
    </row>
    <row r="6543" ht="16.5" customHeight="1" spans="1:8">
      <c r="A6543" s="3">
        <v>6542</v>
      </c>
      <c r="B6543" s="3" t="s">
        <v>14375</v>
      </c>
      <c r="C6543" s="3" t="s">
        <v>1105</v>
      </c>
      <c r="D6543" s="4" t="s">
        <v>14376</v>
      </c>
      <c r="E6543" s="3" t="s">
        <v>1076</v>
      </c>
      <c r="F6543" s="3" t="s">
        <v>10259</v>
      </c>
      <c r="G6543" s="3"/>
      <c r="H6543" s="4" t="s">
        <v>14278</v>
      </c>
    </row>
    <row r="6544" ht="16.5" customHeight="1" spans="1:8">
      <c r="A6544" s="3">
        <v>6543</v>
      </c>
      <c r="B6544" s="3" t="s">
        <v>14377</v>
      </c>
      <c r="C6544" s="3" t="s">
        <v>1105</v>
      </c>
      <c r="D6544" s="4" t="s">
        <v>14378</v>
      </c>
      <c r="E6544" s="3" t="s">
        <v>1076</v>
      </c>
      <c r="F6544" s="3" t="s">
        <v>10259</v>
      </c>
      <c r="G6544" s="3"/>
      <c r="H6544" s="4" t="s">
        <v>14278</v>
      </c>
    </row>
    <row r="6545" ht="16.5" customHeight="1" spans="1:8">
      <c r="A6545" s="3">
        <v>6544</v>
      </c>
      <c r="B6545" s="3" t="s">
        <v>14379</v>
      </c>
      <c r="C6545" s="3" t="s">
        <v>1105</v>
      </c>
      <c r="D6545" s="4" t="s">
        <v>14380</v>
      </c>
      <c r="E6545" s="3" t="s">
        <v>1076</v>
      </c>
      <c r="F6545" s="3" t="s">
        <v>10259</v>
      </c>
      <c r="G6545" s="3"/>
      <c r="H6545" s="4" t="s">
        <v>14278</v>
      </c>
    </row>
    <row r="6546" ht="16.5" customHeight="1" spans="1:8">
      <c r="A6546" s="3">
        <v>6545</v>
      </c>
      <c r="B6546" s="3" t="s">
        <v>14381</v>
      </c>
      <c r="C6546" s="3" t="s">
        <v>1105</v>
      </c>
      <c r="D6546" s="4" t="s">
        <v>14382</v>
      </c>
      <c r="E6546" s="3" t="s">
        <v>1076</v>
      </c>
      <c r="F6546" s="3" t="s">
        <v>10259</v>
      </c>
      <c r="G6546" s="3"/>
      <c r="H6546" s="4" t="s">
        <v>14278</v>
      </c>
    </row>
    <row r="6547" ht="16.5" customHeight="1" spans="1:8">
      <c r="A6547" s="3">
        <v>6546</v>
      </c>
      <c r="B6547" s="3" t="s">
        <v>14383</v>
      </c>
      <c r="C6547" s="3" t="s">
        <v>1105</v>
      </c>
      <c r="D6547" s="4" t="s">
        <v>14384</v>
      </c>
      <c r="E6547" s="3" t="s">
        <v>1076</v>
      </c>
      <c r="F6547" s="3" t="s">
        <v>10259</v>
      </c>
      <c r="G6547" s="3"/>
      <c r="H6547" s="4" t="s">
        <v>14278</v>
      </c>
    </row>
    <row r="6548" ht="16.5" customHeight="1" spans="1:8">
      <c r="A6548" s="3">
        <v>6547</v>
      </c>
      <c r="B6548" s="3" t="s">
        <v>14385</v>
      </c>
      <c r="C6548" s="3" t="s">
        <v>1105</v>
      </c>
      <c r="D6548" s="4" t="s">
        <v>14386</v>
      </c>
      <c r="E6548" s="3" t="s">
        <v>1076</v>
      </c>
      <c r="F6548" s="3" t="s">
        <v>2041</v>
      </c>
      <c r="G6548" s="3"/>
      <c r="H6548" s="4" t="s">
        <v>14338</v>
      </c>
    </row>
    <row r="6549" ht="16.5" customHeight="1" spans="1:8">
      <c r="A6549" s="3">
        <v>6548</v>
      </c>
      <c r="B6549" s="3" t="s">
        <v>14387</v>
      </c>
      <c r="C6549" s="3" t="s">
        <v>1105</v>
      </c>
      <c r="D6549" s="4" t="s">
        <v>14388</v>
      </c>
      <c r="E6549" s="3" t="s">
        <v>1076</v>
      </c>
      <c r="F6549" s="3" t="s">
        <v>2041</v>
      </c>
      <c r="G6549" s="3"/>
      <c r="H6549" s="4" t="s">
        <v>14338</v>
      </c>
    </row>
    <row r="6550" ht="16.5" customHeight="1" spans="1:8">
      <c r="A6550" s="3">
        <v>6549</v>
      </c>
      <c r="B6550" s="3" t="s">
        <v>14389</v>
      </c>
      <c r="C6550" s="3" t="s">
        <v>1105</v>
      </c>
      <c r="D6550" s="4" t="s">
        <v>14390</v>
      </c>
      <c r="E6550" s="3" t="s">
        <v>1076</v>
      </c>
      <c r="F6550" s="3" t="s">
        <v>2041</v>
      </c>
      <c r="G6550" s="3"/>
      <c r="H6550" s="4" t="s">
        <v>14338</v>
      </c>
    </row>
    <row r="6551" ht="16.5" customHeight="1" spans="1:8">
      <c r="A6551" s="3">
        <v>6550</v>
      </c>
      <c r="B6551" s="3" t="s">
        <v>14391</v>
      </c>
      <c r="C6551" s="3" t="s">
        <v>1105</v>
      </c>
      <c r="D6551" s="4" t="s">
        <v>14392</v>
      </c>
      <c r="E6551" s="3" t="s">
        <v>1076</v>
      </c>
      <c r="F6551" s="3" t="s">
        <v>2041</v>
      </c>
      <c r="G6551" s="3"/>
      <c r="H6551" s="4" t="s">
        <v>14338</v>
      </c>
    </row>
    <row r="6552" ht="16.5" customHeight="1" spans="1:8">
      <c r="A6552" s="3">
        <v>6551</v>
      </c>
      <c r="B6552" s="3" t="s">
        <v>14393</v>
      </c>
      <c r="C6552" s="3" t="s">
        <v>1105</v>
      </c>
      <c r="D6552" s="4" t="s">
        <v>14394</v>
      </c>
      <c r="E6552" s="3" t="s">
        <v>1076</v>
      </c>
      <c r="F6552" s="3" t="s">
        <v>13748</v>
      </c>
      <c r="G6552" s="3"/>
      <c r="H6552" s="4" t="s">
        <v>12847</v>
      </c>
    </row>
    <row r="6553" ht="16.5" customHeight="1" spans="1:8">
      <c r="A6553" s="3">
        <v>6552</v>
      </c>
      <c r="B6553" s="3" t="s">
        <v>14395</v>
      </c>
      <c r="C6553" s="3" t="s">
        <v>1105</v>
      </c>
      <c r="D6553" s="4" t="s">
        <v>14396</v>
      </c>
      <c r="E6553" s="3" t="s">
        <v>1076</v>
      </c>
      <c r="F6553" s="3" t="s">
        <v>13748</v>
      </c>
      <c r="G6553" s="3"/>
      <c r="H6553" s="4" t="s">
        <v>12847</v>
      </c>
    </row>
    <row r="6554" ht="16.5" customHeight="1" spans="1:8">
      <c r="A6554" s="3">
        <v>6553</v>
      </c>
      <c r="B6554" s="3" t="s">
        <v>14397</v>
      </c>
      <c r="C6554" s="3" t="s">
        <v>1105</v>
      </c>
      <c r="D6554" s="4" t="s">
        <v>14398</v>
      </c>
      <c r="E6554" s="3" t="s">
        <v>1076</v>
      </c>
      <c r="F6554" s="3" t="s">
        <v>1358</v>
      </c>
      <c r="G6554" s="3"/>
      <c r="H6554" s="4" t="s">
        <v>13479</v>
      </c>
    </row>
    <row r="6555" ht="16.5" customHeight="1" spans="1:8">
      <c r="A6555" s="3">
        <v>6554</v>
      </c>
      <c r="B6555" s="3" t="s">
        <v>14399</v>
      </c>
      <c r="C6555" s="3" t="s">
        <v>1356</v>
      </c>
      <c r="D6555" s="4" t="s">
        <v>14400</v>
      </c>
      <c r="E6555" s="3" t="s">
        <v>1164</v>
      </c>
      <c r="F6555" s="3" t="s">
        <v>1358</v>
      </c>
      <c r="G6555" s="3"/>
      <c r="H6555" s="4"/>
    </row>
    <row r="6556" ht="16.5" customHeight="1" spans="1:8">
      <c r="A6556" s="3">
        <v>6555</v>
      </c>
      <c r="B6556" s="3" t="s">
        <v>14401</v>
      </c>
      <c r="C6556" s="3" t="s">
        <v>1361</v>
      </c>
      <c r="D6556" s="4" t="s">
        <v>14402</v>
      </c>
      <c r="E6556" s="3" t="s">
        <v>2056</v>
      </c>
      <c r="F6556" s="3" t="s">
        <v>2041</v>
      </c>
      <c r="G6556" s="3" t="s">
        <v>98</v>
      </c>
      <c r="H6556" s="4" t="s">
        <v>12433</v>
      </c>
    </row>
    <row r="6557" ht="16.5" customHeight="1" spans="1:8">
      <c r="A6557" s="3">
        <v>6556</v>
      </c>
      <c r="B6557" s="3" t="s">
        <v>14403</v>
      </c>
      <c r="C6557" s="3" t="s">
        <v>1361</v>
      </c>
      <c r="D6557" s="4" t="s">
        <v>14404</v>
      </c>
      <c r="E6557" s="3" t="s">
        <v>2056</v>
      </c>
      <c r="F6557" s="3" t="s">
        <v>2041</v>
      </c>
      <c r="G6557" s="3" t="s">
        <v>98</v>
      </c>
      <c r="H6557" s="4" t="s">
        <v>12433</v>
      </c>
    </row>
    <row r="6558" ht="16.5" customHeight="1" spans="1:8">
      <c r="A6558" s="3">
        <v>6557</v>
      </c>
      <c r="B6558" s="3" t="s">
        <v>14405</v>
      </c>
      <c r="C6558" s="3" t="s">
        <v>1361</v>
      </c>
      <c r="D6558" s="4" t="s">
        <v>14406</v>
      </c>
      <c r="E6558" s="3" t="s">
        <v>2056</v>
      </c>
      <c r="F6558" s="3" t="s">
        <v>2041</v>
      </c>
      <c r="G6558" s="3" t="s">
        <v>98</v>
      </c>
      <c r="H6558" s="4" t="s">
        <v>12433</v>
      </c>
    </row>
    <row r="6559" ht="16.5" customHeight="1" spans="1:8">
      <c r="A6559" s="3">
        <v>6558</v>
      </c>
      <c r="B6559" s="3" t="s">
        <v>14407</v>
      </c>
      <c r="C6559" s="3" t="s">
        <v>1361</v>
      </c>
      <c r="D6559" s="4" t="s">
        <v>14408</v>
      </c>
      <c r="E6559" s="3" t="s">
        <v>2056</v>
      </c>
      <c r="F6559" s="3" t="s">
        <v>2041</v>
      </c>
      <c r="G6559" s="3" t="s">
        <v>98</v>
      </c>
      <c r="H6559" s="4" t="s">
        <v>12433</v>
      </c>
    </row>
    <row r="6560" ht="16.5" customHeight="1" spans="1:8">
      <c r="A6560" s="3">
        <v>6559</v>
      </c>
      <c r="B6560" s="3" t="s">
        <v>14409</v>
      </c>
      <c r="C6560" s="3" t="s">
        <v>1105</v>
      </c>
      <c r="D6560" s="4" t="s">
        <v>14410</v>
      </c>
      <c r="E6560" s="3" t="s">
        <v>1076</v>
      </c>
      <c r="F6560" s="3" t="s">
        <v>12241</v>
      </c>
      <c r="G6560" s="3"/>
      <c r="H6560" s="4" t="s">
        <v>14278</v>
      </c>
    </row>
    <row r="6561" ht="16.5" customHeight="1" spans="1:8">
      <c r="A6561" s="3">
        <v>6560</v>
      </c>
      <c r="B6561" s="3" t="s">
        <v>14411</v>
      </c>
      <c r="C6561" s="3" t="s">
        <v>1361</v>
      </c>
      <c r="D6561" s="4" t="s">
        <v>14412</v>
      </c>
      <c r="E6561" s="3" t="s">
        <v>2056</v>
      </c>
      <c r="F6561" s="3" t="s">
        <v>2041</v>
      </c>
      <c r="G6561" s="3" t="s">
        <v>98</v>
      </c>
      <c r="H6561" s="4" t="s">
        <v>12433</v>
      </c>
    </row>
    <row r="6562" ht="16.5" customHeight="1" spans="1:8">
      <c r="A6562" s="3">
        <v>6561</v>
      </c>
      <c r="B6562" s="3" t="s">
        <v>14413</v>
      </c>
      <c r="C6562" s="3" t="s">
        <v>1361</v>
      </c>
      <c r="D6562" s="4" t="s">
        <v>14414</v>
      </c>
      <c r="E6562" s="3" t="s">
        <v>2056</v>
      </c>
      <c r="F6562" s="3" t="s">
        <v>2041</v>
      </c>
      <c r="G6562" s="3" t="s">
        <v>98</v>
      </c>
      <c r="H6562" s="4" t="s">
        <v>12433</v>
      </c>
    </row>
    <row r="6563" ht="16.5" customHeight="1" spans="1:8">
      <c r="A6563" s="3">
        <v>6562</v>
      </c>
      <c r="B6563" s="3" t="s">
        <v>14415</v>
      </c>
      <c r="C6563" s="3" t="s">
        <v>1105</v>
      </c>
      <c r="D6563" s="4" t="s">
        <v>14416</v>
      </c>
      <c r="E6563" s="3" t="s">
        <v>1739</v>
      </c>
      <c r="F6563" s="3" t="s">
        <v>10259</v>
      </c>
      <c r="G6563" s="3"/>
      <c r="H6563" s="4" t="s">
        <v>14353</v>
      </c>
    </row>
    <row r="6564" ht="16.5" customHeight="1" spans="1:8">
      <c r="A6564" s="3">
        <v>6563</v>
      </c>
      <c r="B6564" s="3" t="s">
        <v>14417</v>
      </c>
      <c r="C6564" s="3" t="s">
        <v>1105</v>
      </c>
      <c r="D6564" s="4" t="s">
        <v>14418</v>
      </c>
      <c r="E6564" s="3" t="s">
        <v>1739</v>
      </c>
      <c r="F6564" s="3" t="s">
        <v>10259</v>
      </c>
      <c r="G6564" s="3"/>
      <c r="H6564" s="4" t="s">
        <v>14353</v>
      </c>
    </row>
    <row r="6565" ht="16.5" customHeight="1" spans="1:8">
      <c r="A6565" s="3">
        <v>6564</v>
      </c>
      <c r="B6565" s="3" t="s">
        <v>14419</v>
      </c>
      <c r="C6565" s="3" t="s">
        <v>1105</v>
      </c>
      <c r="D6565" s="4" t="s">
        <v>14420</v>
      </c>
      <c r="E6565" s="3" t="s">
        <v>1739</v>
      </c>
      <c r="F6565" s="3" t="s">
        <v>10259</v>
      </c>
      <c r="G6565" s="3"/>
      <c r="H6565" s="4" t="s">
        <v>14353</v>
      </c>
    </row>
    <row r="6566" ht="16.5" customHeight="1" spans="1:8">
      <c r="A6566" s="3">
        <v>6565</v>
      </c>
      <c r="B6566" s="3" t="s">
        <v>14421</v>
      </c>
      <c r="C6566" s="3" t="s">
        <v>1105</v>
      </c>
      <c r="D6566" s="4" t="s">
        <v>14422</v>
      </c>
      <c r="E6566" s="3" t="s">
        <v>1739</v>
      </c>
      <c r="F6566" s="3" t="s">
        <v>10259</v>
      </c>
      <c r="G6566" s="3"/>
      <c r="H6566" s="4" t="s">
        <v>14353</v>
      </c>
    </row>
    <row r="6567" ht="16.5" customHeight="1" spans="1:8">
      <c r="A6567" s="3">
        <v>6566</v>
      </c>
      <c r="B6567" s="3" t="s">
        <v>14423</v>
      </c>
      <c r="C6567" s="3" t="s">
        <v>1105</v>
      </c>
      <c r="D6567" s="4" t="s">
        <v>14424</v>
      </c>
      <c r="E6567" s="3" t="s">
        <v>1076</v>
      </c>
      <c r="F6567" s="3" t="s">
        <v>2105</v>
      </c>
      <c r="G6567" s="3"/>
      <c r="H6567" s="4" t="s">
        <v>13757</v>
      </c>
    </row>
    <row r="6568" ht="16.5" customHeight="1" spans="1:8">
      <c r="A6568" s="3">
        <v>6567</v>
      </c>
      <c r="B6568" s="3" t="s">
        <v>14425</v>
      </c>
      <c r="C6568" s="3" t="s">
        <v>1105</v>
      </c>
      <c r="D6568" s="4" t="s">
        <v>14426</v>
      </c>
      <c r="E6568" s="3" t="s">
        <v>1076</v>
      </c>
      <c r="F6568" s="3" t="s">
        <v>2105</v>
      </c>
      <c r="G6568" s="3"/>
      <c r="H6568" s="4" t="s">
        <v>13766</v>
      </c>
    </row>
    <row r="6569" ht="16.5" customHeight="1" spans="1:8">
      <c r="A6569" s="3">
        <v>6568</v>
      </c>
      <c r="B6569" s="3" t="s">
        <v>14427</v>
      </c>
      <c r="C6569" s="3" t="s">
        <v>1074</v>
      </c>
      <c r="D6569" s="4" t="s">
        <v>14428</v>
      </c>
      <c r="E6569" s="3" t="s">
        <v>1076</v>
      </c>
      <c r="F6569" s="3" t="s">
        <v>10259</v>
      </c>
      <c r="G6569" s="3"/>
      <c r="H6569" s="4" t="s">
        <v>5396</v>
      </c>
    </row>
    <row r="6570" ht="16.5" customHeight="1" spans="1:8">
      <c r="A6570" s="3">
        <v>6569</v>
      </c>
      <c r="B6570" s="3" t="s">
        <v>14429</v>
      </c>
      <c r="C6570" s="3" t="s">
        <v>1074</v>
      </c>
      <c r="D6570" s="4" t="s">
        <v>14430</v>
      </c>
      <c r="E6570" s="3" t="s">
        <v>1164</v>
      </c>
      <c r="F6570" s="3" t="s">
        <v>10259</v>
      </c>
      <c r="G6570" s="3"/>
      <c r="H6570" s="4" t="s">
        <v>5664</v>
      </c>
    </row>
    <row r="6571" ht="16.5" customHeight="1" spans="1:8">
      <c r="A6571" s="3">
        <v>6570</v>
      </c>
      <c r="B6571" s="3" t="s">
        <v>14431</v>
      </c>
      <c r="C6571" s="3" t="s">
        <v>2163</v>
      </c>
      <c r="D6571" s="4" t="s">
        <v>14432</v>
      </c>
      <c r="E6571" s="3" t="s">
        <v>1076</v>
      </c>
      <c r="F6571" s="3" t="s">
        <v>2041</v>
      </c>
      <c r="G6571" s="3" t="s">
        <v>98</v>
      </c>
      <c r="H6571" s="4" t="s">
        <v>5664</v>
      </c>
    </row>
    <row r="6572" ht="16.5" customHeight="1" spans="1:8">
      <c r="A6572" s="3">
        <v>6571</v>
      </c>
      <c r="B6572" s="3" t="s">
        <v>14433</v>
      </c>
      <c r="C6572" s="3" t="s">
        <v>1105</v>
      </c>
      <c r="D6572" s="4" t="s">
        <v>14434</v>
      </c>
      <c r="E6572" s="3" t="s">
        <v>1076</v>
      </c>
      <c r="F6572" s="3" t="s">
        <v>4110</v>
      </c>
      <c r="G6572" s="3"/>
      <c r="H6572" s="4" t="s">
        <v>13986</v>
      </c>
    </row>
    <row r="6573" ht="16.5" customHeight="1" spans="1:8">
      <c r="A6573" s="3">
        <v>6572</v>
      </c>
      <c r="B6573" s="3" t="s">
        <v>14435</v>
      </c>
      <c r="C6573" s="3" t="s">
        <v>1105</v>
      </c>
      <c r="D6573" s="4" t="s">
        <v>14436</v>
      </c>
      <c r="E6573" s="3" t="s">
        <v>1076</v>
      </c>
      <c r="F6573" s="3" t="s">
        <v>4110</v>
      </c>
      <c r="G6573" s="3"/>
      <c r="H6573" s="4" t="s">
        <v>13986</v>
      </c>
    </row>
    <row r="6574" ht="16.5" customHeight="1" spans="1:8">
      <c r="A6574" s="3">
        <v>6573</v>
      </c>
      <c r="B6574" s="3" t="s">
        <v>14437</v>
      </c>
      <c r="C6574" s="3" t="s">
        <v>1074</v>
      </c>
      <c r="D6574" s="4" t="s">
        <v>14438</v>
      </c>
      <c r="E6574" s="3" t="s">
        <v>1076</v>
      </c>
      <c r="F6574" s="3" t="s">
        <v>10259</v>
      </c>
      <c r="G6574" s="3"/>
      <c r="H6574" s="4" t="s">
        <v>5664</v>
      </c>
    </row>
    <row r="6575" ht="16.5" customHeight="1" spans="1:8">
      <c r="A6575" s="3">
        <v>6574</v>
      </c>
      <c r="B6575" s="3" t="s">
        <v>14439</v>
      </c>
      <c r="C6575" s="3" t="s">
        <v>1074</v>
      </c>
      <c r="D6575" s="4" t="s">
        <v>14440</v>
      </c>
      <c r="E6575" s="3" t="s">
        <v>1076</v>
      </c>
      <c r="F6575" s="3" t="s">
        <v>10259</v>
      </c>
      <c r="G6575" s="3"/>
      <c r="H6575" s="4" t="s">
        <v>3812</v>
      </c>
    </row>
    <row r="6576" ht="16.5" customHeight="1" spans="1:8">
      <c r="A6576" s="3">
        <v>6575</v>
      </c>
      <c r="B6576" s="3" t="s">
        <v>14441</v>
      </c>
      <c r="C6576" s="3" t="s">
        <v>1105</v>
      </c>
      <c r="D6576" s="4" t="s">
        <v>14442</v>
      </c>
      <c r="E6576" s="3" t="s">
        <v>1076</v>
      </c>
      <c r="F6576" s="3" t="s">
        <v>4120</v>
      </c>
      <c r="G6576" s="3"/>
      <c r="H6576" s="4" t="s">
        <v>14338</v>
      </c>
    </row>
    <row r="6577" ht="16.5" customHeight="1" spans="1:8">
      <c r="A6577" s="3">
        <v>6576</v>
      </c>
      <c r="B6577" s="3" t="s">
        <v>14443</v>
      </c>
      <c r="C6577" s="3" t="s">
        <v>1105</v>
      </c>
      <c r="D6577" s="4" t="s">
        <v>14444</v>
      </c>
      <c r="E6577" s="3" t="s">
        <v>1076</v>
      </c>
      <c r="F6577" s="3" t="s">
        <v>4120</v>
      </c>
      <c r="G6577" s="3"/>
      <c r="H6577" s="4" t="s">
        <v>14338</v>
      </c>
    </row>
    <row r="6578" ht="16.5" customHeight="1" spans="1:8">
      <c r="A6578" s="3">
        <v>6577</v>
      </c>
      <c r="B6578" s="3" t="s">
        <v>14445</v>
      </c>
      <c r="C6578" s="3" t="s">
        <v>1105</v>
      </c>
      <c r="D6578" s="4" t="s">
        <v>14446</v>
      </c>
      <c r="E6578" s="3" t="s">
        <v>1076</v>
      </c>
      <c r="F6578" s="3" t="s">
        <v>4120</v>
      </c>
      <c r="G6578" s="3"/>
      <c r="H6578" s="4" t="s">
        <v>14338</v>
      </c>
    </row>
    <row r="6579" ht="16.5" customHeight="1" spans="1:8">
      <c r="A6579" s="3">
        <v>6578</v>
      </c>
      <c r="B6579" s="3" t="s">
        <v>14447</v>
      </c>
      <c r="C6579" s="3" t="s">
        <v>2163</v>
      </c>
      <c r="D6579" s="4" t="s">
        <v>14448</v>
      </c>
      <c r="E6579" s="3" t="s">
        <v>2263</v>
      </c>
      <c r="F6579" s="3" t="s">
        <v>10943</v>
      </c>
      <c r="G6579" s="3" t="s">
        <v>98</v>
      </c>
      <c r="H6579" s="4" t="s">
        <v>6877</v>
      </c>
    </row>
    <row r="6580" ht="16.5" customHeight="1" spans="1:8">
      <c r="A6580" s="3">
        <v>6579</v>
      </c>
      <c r="B6580" s="3" t="s">
        <v>14449</v>
      </c>
      <c r="C6580" s="3" t="s">
        <v>1105</v>
      </c>
      <c r="D6580" s="4" t="s">
        <v>14450</v>
      </c>
      <c r="E6580" s="3" t="s">
        <v>13858</v>
      </c>
      <c r="F6580" s="3" t="s">
        <v>3104</v>
      </c>
      <c r="G6580" s="3"/>
      <c r="H6580" s="4" t="s">
        <v>14451</v>
      </c>
    </row>
    <row r="6581" ht="16.5" customHeight="1" spans="1:8">
      <c r="A6581" s="3">
        <v>6580</v>
      </c>
      <c r="B6581" s="3" t="s">
        <v>14452</v>
      </c>
      <c r="C6581" s="3" t="s">
        <v>1105</v>
      </c>
      <c r="D6581" s="4" t="s">
        <v>14453</v>
      </c>
      <c r="E6581" s="3" t="s">
        <v>1076</v>
      </c>
      <c r="F6581" s="3" t="s">
        <v>13478</v>
      </c>
      <c r="G6581" s="3"/>
      <c r="H6581" s="4" t="s">
        <v>14454</v>
      </c>
    </row>
    <row r="6582" ht="16.5" customHeight="1" spans="1:8">
      <c r="A6582" s="3">
        <v>6581</v>
      </c>
      <c r="B6582" s="3" t="s">
        <v>14455</v>
      </c>
      <c r="C6582" s="3" t="s">
        <v>1105</v>
      </c>
      <c r="D6582" s="4" t="s">
        <v>14456</v>
      </c>
      <c r="E6582" s="3" t="s">
        <v>1076</v>
      </c>
      <c r="F6582" s="3" t="s">
        <v>13478</v>
      </c>
      <c r="G6582" s="3"/>
      <c r="H6582" s="4" t="s">
        <v>14454</v>
      </c>
    </row>
    <row r="6583" ht="16.5" customHeight="1" spans="1:8">
      <c r="A6583" s="3">
        <v>6582</v>
      </c>
      <c r="B6583" s="3" t="s">
        <v>14457</v>
      </c>
      <c r="C6583" s="3" t="s">
        <v>1105</v>
      </c>
      <c r="D6583" s="4" t="s">
        <v>14458</v>
      </c>
      <c r="E6583" s="3" t="s">
        <v>1076</v>
      </c>
      <c r="F6583" s="3" t="s">
        <v>13478</v>
      </c>
      <c r="G6583" s="3"/>
      <c r="H6583" s="4" t="s">
        <v>14454</v>
      </c>
    </row>
    <row r="6584" ht="16.5" customHeight="1" spans="1:8">
      <c r="A6584" s="3">
        <v>6583</v>
      </c>
      <c r="B6584" s="3" t="s">
        <v>14459</v>
      </c>
      <c r="C6584" s="3" t="s">
        <v>1105</v>
      </c>
      <c r="D6584" s="4" t="s">
        <v>14460</v>
      </c>
      <c r="E6584" s="3" t="s">
        <v>1076</v>
      </c>
      <c r="F6584" s="3" t="s">
        <v>438</v>
      </c>
      <c r="G6584" s="3"/>
      <c r="H6584" s="4" t="s">
        <v>13946</v>
      </c>
    </row>
    <row r="6585" ht="16.5" customHeight="1" spans="1:8">
      <c r="A6585" s="3">
        <v>6584</v>
      </c>
      <c r="B6585" s="3" t="s">
        <v>14461</v>
      </c>
      <c r="C6585" s="3" t="s">
        <v>1105</v>
      </c>
      <c r="D6585" s="4" t="s">
        <v>14462</v>
      </c>
      <c r="E6585" s="3" t="s">
        <v>1076</v>
      </c>
      <c r="F6585" s="3" t="s">
        <v>438</v>
      </c>
      <c r="G6585" s="3"/>
      <c r="H6585" s="4" t="s">
        <v>13946</v>
      </c>
    </row>
    <row r="6586" ht="16.5" customHeight="1" spans="1:8">
      <c r="A6586" s="3">
        <v>6585</v>
      </c>
      <c r="B6586" s="3" t="s">
        <v>14463</v>
      </c>
      <c r="C6586" s="3" t="s">
        <v>1105</v>
      </c>
      <c r="D6586" s="4" t="s">
        <v>14464</v>
      </c>
      <c r="E6586" s="3" t="s">
        <v>1076</v>
      </c>
      <c r="F6586" s="3" t="s">
        <v>438</v>
      </c>
      <c r="G6586" s="3"/>
      <c r="H6586" s="4" t="s">
        <v>13946</v>
      </c>
    </row>
    <row r="6587" ht="16.5" customHeight="1" spans="1:8">
      <c r="A6587" s="3">
        <v>6586</v>
      </c>
      <c r="B6587" s="3" t="s">
        <v>14465</v>
      </c>
      <c r="C6587" s="3" t="s">
        <v>1105</v>
      </c>
      <c r="D6587" s="4" t="s">
        <v>14466</v>
      </c>
      <c r="E6587" s="3" t="s">
        <v>1076</v>
      </c>
      <c r="F6587" s="3" t="s">
        <v>438</v>
      </c>
      <c r="G6587" s="3"/>
      <c r="H6587" s="4" t="s">
        <v>13946</v>
      </c>
    </row>
    <row r="6588" ht="16.5" customHeight="1" spans="1:8">
      <c r="A6588" s="3">
        <v>6587</v>
      </c>
      <c r="B6588" s="3" t="s">
        <v>14467</v>
      </c>
      <c r="C6588" s="3" t="s">
        <v>1105</v>
      </c>
      <c r="D6588" s="4" t="s">
        <v>14468</v>
      </c>
      <c r="E6588" s="3" t="s">
        <v>1076</v>
      </c>
      <c r="F6588" s="3" t="s">
        <v>438</v>
      </c>
      <c r="G6588" s="3"/>
      <c r="H6588" s="4" t="s">
        <v>13946</v>
      </c>
    </row>
    <row r="6589" ht="16.5" customHeight="1" spans="1:8">
      <c r="A6589" s="3">
        <v>6588</v>
      </c>
      <c r="B6589" s="3" t="s">
        <v>14469</v>
      </c>
      <c r="C6589" s="3" t="s">
        <v>1105</v>
      </c>
      <c r="D6589" s="4" t="s">
        <v>14470</v>
      </c>
      <c r="E6589" s="3" t="s">
        <v>1164</v>
      </c>
      <c r="F6589" s="3" t="s">
        <v>438</v>
      </c>
      <c r="G6589" s="3"/>
      <c r="H6589" s="4" t="s">
        <v>13946</v>
      </c>
    </row>
    <row r="6590" ht="16.5" customHeight="1" spans="1:8">
      <c r="A6590" s="3">
        <v>6589</v>
      </c>
      <c r="B6590" s="3" t="s">
        <v>14471</v>
      </c>
      <c r="C6590" s="3" t="s">
        <v>1361</v>
      </c>
      <c r="D6590" s="4" t="s">
        <v>14472</v>
      </c>
      <c r="E6590" s="3" t="s">
        <v>1218</v>
      </c>
      <c r="F6590" s="3" t="s">
        <v>6994</v>
      </c>
      <c r="G6590" s="3" t="s">
        <v>321</v>
      </c>
      <c r="H6590" s="4" t="s">
        <v>2050</v>
      </c>
    </row>
    <row r="6591" ht="16.5" customHeight="1" spans="1:8">
      <c r="A6591" s="3">
        <v>6590</v>
      </c>
      <c r="B6591" s="3" t="s">
        <v>14473</v>
      </c>
      <c r="C6591" s="3" t="s">
        <v>1361</v>
      </c>
      <c r="D6591" s="4" t="s">
        <v>14474</v>
      </c>
      <c r="E6591" s="3" t="s">
        <v>1218</v>
      </c>
      <c r="F6591" s="3" t="s">
        <v>6994</v>
      </c>
      <c r="G6591" s="3" t="s">
        <v>321</v>
      </c>
      <c r="H6591" s="4" t="s">
        <v>2050</v>
      </c>
    </row>
    <row r="6592" ht="16.5" customHeight="1" spans="1:8">
      <c r="A6592" s="3">
        <v>6591</v>
      </c>
      <c r="B6592" s="3" t="s">
        <v>14475</v>
      </c>
      <c r="C6592" s="3" t="s">
        <v>1361</v>
      </c>
      <c r="D6592" s="4" t="s">
        <v>14476</v>
      </c>
      <c r="E6592" s="3" t="s">
        <v>1218</v>
      </c>
      <c r="F6592" s="3" t="s">
        <v>6994</v>
      </c>
      <c r="G6592" s="3"/>
      <c r="H6592" s="4" t="s">
        <v>2050</v>
      </c>
    </row>
    <row r="6593" ht="16.5" customHeight="1" spans="1:8">
      <c r="A6593" s="3">
        <v>6592</v>
      </c>
      <c r="B6593" s="3" t="s">
        <v>14477</v>
      </c>
      <c r="C6593" s="3" t="s">
        <v>1361</v>
      </c>
      <c r="D6593" s="4" t="s">
        <v>14478</v>
      </c>
      <c r="E6593" s="3" t="s">
        <v>1218</v>
      </c>
      <c r="F6593" s="3" t="s">
        <v>6994</v>
      </c>
      <c r="G6593" s="3"/>
      <c r="H6593" s="4" t="s">
        <v>2050</v>
      </c>
    </row>
    <row r="6594" ht="16.5" customHeight="1" spans="1:8">
      <c r="A6594" s="3">
        <v>6593</v>
      </c>
      <c r="B6594" s="3" t="s">
        <v>14479</v>
      </c>
      <c r="C6594" s="3" t="s">
        <v>1074</v>
      </c>
      <c r="D6594" s="4" t="s">
        <v>14480</v>
      </c>
      <c r="E6594" s="3" t="s">
        <v>1218</v>
      </c>
      <c r="F6594" s="3" t="s">
        <v>8175</v>
      </c>
      <c r="G6594" s="3"/>
      <c r="H6594" s="4" t="s">
        <v>6877</v>
      </c>
    </row>
    <row r="6595" ht="16.5" customHeight="1" spans="1:8">
      <c r="A6595" s="3">
        <v>6594</v>
      </c>
      <c r="B6595" s="3" t="s">
        <v>531</v>
      </c>
      <c r="C6595" s="3" t="s">
        <v>1074</v>
      </c>
      <c r="D6595" s="4" t="s">
        <v>14481</v>
      </c>
      <c r="E6595" s="3" t="s">
        <v>1218</v>
      </c>
      <c r="F6595" s="3" t="s">
        <v>10259</v>
      </c>
      <c r="G6595" s="3"/>
      <c r="H6595" s="4" t="s">
        <v>7393</v>
      </c>
    </row>
    <row r="6596" ht="16.5" customHeight="1" spans="1:8">
      <c r="A6596" s="3">
        <v>6595</v>
      </c>
      <c r="B6596" s="3" t="s">
        <v>14482</v>
      </c>
      <c r="C6596" s="3" t="s">
        <v>1074</v>
      </c>
      <c r="D6596" s="4" t="s">
        <v>14483</v>
      </c>
      <c r="E6596" s="3" t="s">
        <v>1076</v>
      </c>
      <c r="F6596" s="3" t="s">
        <v>10259</v>
      </c>
      <c r="G6596" s="3"/>
      <c r="H6596" s="4" t="s">
        <v>1305</v>
      </c>
    </row>
    <row r="6597" ht="16.5" customHeight="1" spans="1:8">
      <c r="A6597" s="3">
        <v>6596</v>
      </c>
      <c r="B6597" s="3" t="s">
        <v>14484</v>
      </c>
      <c r="C6597" s="3" t="s">
        <v>1105</v>
      </c>
      <c r="D6597" s="4" t="s">
        <v>14485</v>
      </c>
      <c r="E6597" s="3" t="s">
        <v>1076</v>
      </c>
      <c r="F6597" s="3" t="s">
        <v>2041</v>
      </c>
      <c r="G6597" s="3"/>
      <c r="H6597" s="4" t="s">
        <v>14486</v>
      </c>
    </row>
    <row r="6598" ht="16.5" customHeight="1" spans="1:8">
      <c r="A6598" s="3">
        <v>6597</v>
      </c>
      <c r="B6598" s="3" t="s">
        <v>14487</v>
      </c>
      <c r="C6598" s="3" t="s">
        <v>1105</v>
      </c>
      <c r="D6598" s="4" t="s">
        <v>14485</v>
      </c>
      <c r="E6598" s="3" t="s">
        <v>1076</v>
      </c>
      <c r="F6598" s="3" t="s">
        <v>2041</v>
      </c>
      <c r="G6598" s="3"/>
      <c r="H6598" s="4" t="s">
        <v>14488</v>
      </c>
    </row>
    <row r="6599" ht="16.5" customHeight="1" spans="1:8">
      <c r="A6599" s="3">
        <v>6598</v>
      </c>
      <c r="B6599" s="3" t="s">
        <v>14489</v>
      </c>
      <c r="C6599" s="3" t="s">
        <v>1105</v>
      </c>
      <c r="D6599" s="4" t="s">
        <v>14485</v>
      </c>
      <c r="E6599" s="3" t="s">
        <v>1076</v>
      </c>
      <c r="F6599" s="3" t="s">
        <v>2041</v>
      </c>
      <c r="G6599" s="3"/>
      <c r="H6599" s="4" t="s">
        <v>14490</v>
      </c>
    </row>
    <row r="6600" ht="16.5" customHeight="1" spans="1:8">
      <c r="A6600" s="3">
        <v>6599</v>
      </c>
      <c r="B6600" s="3" t="s">
        <v>14491</v>
      </c>
      <c r="C6600" s="3" t="s">
        <v>1105</v>
      </c>
      <c r="D6600" s="4" t="s">
        <v>14348</v>
      </c>
      <c r="E6600" s="3" t="s">
        <v>1076</v>
      </c>
      <c r="F6600" s="3" t="s">
        <v>2041</v>
      </c>
      <c r="G6600" s="3"/>
      <c r="H6600" s="4" t="s">
        <v>14490</v>
      </c>
    </row>
    <row r="6601" ht="16.5" customHeight="1" spans="1:8">
      <c r="A6601" s="3">
        <v>6600</v>
      </c>
      <c r="B6601" s="3" t="s">
        <v>14492</v>
      </c>
      <c r="C6601" s="3" t="s">
        <v>1105</v>
      </c>
      <c r="D6601" s="4" t="s">
        <v>14493</v>
      </c>
      <c r="E6601" s="3" t="s">
        <v>1076</v>
      </c>
      <c r="F6601" s="3" t="s">
        <v>14494</v>
      </c>
      <c r="G6601" s="3"/>
      <c r="H6601" s="4" t="s">
        <v>13787</v>
      </c>
    </row>
    <row r="6602" ht="16.5" customHeight="1" spans="1:8">
      <c r="A6602" s="3">
        <v>6601</v>
      </c>
      <c r="B6602" s="3" t="s">
        <v>14495</v>
      </c>
      <c r="C6602" s="3" t="s">
        <v>2163</v>
      </c>
      <c r="D6602" s="4" t="s">
        <v>14496</v>
      </c>
      <c r="E6602" s="3" t="s">
        <v>2726</v>
      </c>
      <c r="F6602" s="3" t="s">
        <v>2041</v>
      </c>
      <c r="G6602" s="3"/>
      <c r="H6602" s="4" t="s">
        <v>6877</v>
      </c>
    </row>
    <row r="6603" ht="16.5" customHeight="1" spans="1:8">
      <c r="A6603" s="3">
        <v>6602</v>
      </c>
      <c r="B6603" s="3" t="s">
        <v>14497</v>
      </c>
      <c r="C6603" s="3" t="s">
        <v>2163</v>
      </c>
      <c r="D6603" s="4" t="s">
        <v>14498</v>
      </c>
      <c r="E6603" s="3" t="s">
        <v>2726</v>
      </c>
      <c r="F6603" s="3" t="s">
        <v>2105</v>
      </c>
      <c r="G6603" s="3"/>
      <c r="H6603" s="4" t="s">
        <v>3812</v>
      </c>
    </row>
    <row r="6604" ht="16.5" customHeight="1" spans="1:8">
      <c r="A6604" s="3">
        <v>6603</v>
      </c>
      <c r="B6604" s="3" t="s">
        <v>14499</v>
      </c>
      <c r="C6604" s="3" t="s">
        <v>2163</v>
      </c>
      <c r="D6604" s="4" t="s">
        <v>14500</v>
      </c>
      <c r="E6604" s="3" t="s">
        <v>1076</v>
      </c>
      <c r="F6604" s="3" t="s">
        <v>1358</v>
      </c>
      <c r="G6604" s="3" t="s">
        <v>321</v>
      </c>
      <c r="H6604" s="4" t="s">
        <v>2050</v>
      </c>
    </row>
    <row r="6605" ht="16.5" customHeight="1" spans="1:8">
      <c r="A6605" s="3">
        <v>6604</v>
      </c>
      <c r="B6605" s="3" t="s">
        <v>14501</v>
      </c>
      <c r="C6605" s="3" t="s">
        <v>2163</v>
      </c>
      <c r="D6605" s="4" t="s">
        <v>14502</v>
      </c>
      <c r="E6605" s="3" t="s">
        <v>2726</v>
      </c>
      <c r="F6605" s="3" t="s">
        <v>2105</v>
      </c>
      <c r="G6605" s="3"/>
      <c r="H6605" s="4" t="s">
        <v>3812</v>
      </c>
    </row>
    <row r="6606" ht="16.5" customHeight="1" spans="1:8">
      <c r="A6606" s="3">
        <v>6605</v>
      </c>
      <c r="B6606" s="3" t="s">
        <v>14503</v>
      </c>
      <c r="C6606" s="3" t="s">
        <v>2163</v>
      </c>
      <c r="D6606" s="4" t="s">
        <v>14504</v>
      </c>
      <c r="E6606" s="3" t="s">
        <v>2726</v>
      </c>
      <c r="F6606" s="3" t="s">
        <v>2105</v>
      </c>
      <c r="G6606" s="3"/>
      <c r="H6606" s="4" t="s">
        <v>3812</v>
      </c>
    </row>
    <row r="6607" ht="16.5" customHeight="1" spans="1:8">
      <c r="A6607" s="3">
        <v>6606</v>
      </c>
      <c r="B6607" s="3" t="s">
        <v>14505</v>
      </c>
      <c r="C6607" s="3" t="s">
        <v>2163</v>
      </c>
      <c r="D6607" s="4" t="s">
        <v>14506</v>
      </c>
      <c r="E6607" s="3" t="s">
        <v>2726</v>
      </c>
      <c r="F6607" s="3" t="s">
        <v>2105</v>
      </c>
      <c r="G6607" s="3"/>
      <c r="H6607" s="4" t="s">
        <v>3812</v>
      </c>
    </row>
    <row r="6608" ht="16.5" customHeight="1" spans="1:8">
      <c r="A6608" s="3">
        <v>6607</v>
      </c>
      <c r="B6608" s="3" t="s">
        <v>14507</v>
      </c>
      <c r="C6608" s="3" t="s">
        <v>2163</v>
      </c>
      <c r="D6608" s="4" t="s">
        <v>14508</v>
      </c>
      <c r="E6608" s="3" t="s">
        <v>2726</v>
      </c>
      <c r="F6608" s="3" t="s">
        <v>2105</v>
      </c>
      <c r="G6608" s="3"/>
      <c r="H6608" s="4" t="s">
        <v>3812</v>
      </c>
    </row>
    <row r="6609" ht="16.5" customHeight="1" spans="1:8">
      <c r="A6609" s="3">
        <v>6608</v>
      </c>
      <c r="B6609" s="3" t="s">
        <v>14509</v>
      </c>
      <c r="C6609" s="3" t="s">
        <v>2163</v>
      </c>
      <c r="D6609" s="4" t="s">
        <v>14510</v>
      </c>
      <c r="E6609" s="3" t="s">
        <v>2726</v>
      </c>
      <c r="F6609" s="3" t="s">
        <v>2105</v>
      </c>
      <c r="G6609" s="3"/>
      <c r="H6609" s="4" t="s">
        <v>3812</v>
      </c>
    </row>
    <row r="6610" ht="16.5" customHeight="1" spans="1:8">
      <c r="A6610" s="3">
        <v>6609</v>
      </c>
      <c r="B6610" s="3" t="s">
        <v>14511</v>
      </c>
      <c r="C6610" s="3" t="s">
        <v>2163</v>
      </c>
      <c r="D6610" s="4" t="s">
        <v>14512</v>
      </c>
      <c r="E6610" s="3" t="s">
        <v>1076</v>
      </c>
      <c r="F6610" s="3" t="s">
        <v>1358</v>
      </c>
      <c r="G6610" s="3" t="s">
        <v>321</v>
      </c>
      <c r="H6610" s="4"/>
    </row>
    <row r="6611" ht="16.5" customHeight="1" spans="1:8">
      <c r="A6611" s="3">
        <v>6610</v>
      </c>
      <c r="B6611" s="3" t="s">
        <v>14513</v>
      </c>
      <c r="C6611" s="3" t="s">
        <v>2163</v>
      </c>
      <c r="D6611" s="4" t="s">
        <v>14514</v>
      </c>
      <c r="E6611" s="3" t="s">
        <v>1076</v>
      </c>
      <c r="F6611" s="3" t="s">
        <v>1358</v>
      </c>
      <c r="G6611" s="3" t="s">
        <v>321</v>
      </c>
      <c r="H6611" s="4"/>
    </row>
    <row r="6612" ht="16.5" customHeight="1" spans="1:8">
      <c r="A6612" s="3">
        <v>6611</v>
      </c>
      <c r="B6612" s="3" t="s">
        <v>14515</v>
      </c>
      <c r="C6612" s="3" t="s">
        <v>1074</v>
      </c>
      <c r="D6612" s="4" t="s">
        <v>14516</v>
      </c>
      <c r="E6612" s="3" t="s">
        <v>1076</v>
      </c>
      <c r="F6612" s="3" t="s">
        <v>10259</v>
      </c>
      <c r="G6612" s="3"/>
      <c r="H6612" s="4" t="s">
        <v>1095</v>
      </c>
    </row>
    <row r="6613" ht="16.5" customHeight="1" spans="1:8">
      <c r="A6613" s="3">
        <v>6612</v>
      </c>
      <c r="B6613" s="3" t="s">
        <v>14517</v>
      </c>
      <c r="C6613" s="3" t="s">
        <v>1074</v>
      </c>
      <c r="D6613" s="4" t="s">
        <v>14518</v>
      </c>
      <c r="E6613" s="3" t="s">
        <v>1218</v>
      </c>
      <c r="F6613" s="3" t="s">
        <v>10259</v>
      </c>
      <c r="G6613" s="3"/>
      <c r="H6613" s="4" t="s">
        <v>1399</v>
      </c>
    </row>
    <row r="6614" ht="16.5" customHeight="1" spans="1:8">
      <c r="A6614" s="3">
        <v>6613</v>
      </c>
      <c r="B6614" s="3" t="s">
        <v>14519</v>
      </c>
      <c r="C6614" s="3" t="s">
        <v>1074</v>
      </c>
      <c r="D6614" s="4" t="s">
        <v>14520</v>
      </c>
      <c r="E6614" s="3" t="s">
        <v>1076</v>
      </c>
      <c r="F6614" s="3" t="s">
        <v>10259</v>
      </c>
      <c r="G6614" s="3"/>
      <c r="H6614" s="4" t="s">
        <v>1359</v>
      </c>
    </row>
    <row r="6615" ht="16.5" customHeight="1" spans="1:8">
      <c r="A6615" s="3">
        <v>6614</v>
      </c>
      <c r="B6615" s="3" t="s">
        <v>14521</v>
      </c>
      <c r="C6615" s="3" t="s">
        <v>1074</v>
      </c>
      <c r="D6615" s="4" t="s">
        <v>14522</v>
      </c>
      <c r="E6615" s="3" t="s">
        <v>1076</v>
      </c>
      <c r="F6615" s="3" t="s">
        <v>10259</v>
      </c>
      <c r="G6615" s="3"/>
      <c r="H6615" s="4" t="s">
        <v>1095</v>
      </c>
    </row>
    <row r="6616" ht="16.5" customHeight="1" spans="1:8">
      <c r="A6616" s="3">
        <v>6615</v>
      </c>
      <c r="B6616" s="3" t="s">
        <v>14523</v>
      </c>
      <c r="C6616" s="3" t="s">
        <v>1074</v>
      </c>
      <c r="D6616" s="4" t="s">
        <v>14524</v>
      </c>
      <c r="E6616" s="3" t="s">
        <v>1076</v>
      </c>
      <c r="F6616" s="3" t="s">
        <v>10259</v>
      </c>
      <c r="G6616" s="3"/>
      <c r="H6616" s="4" t="s">
        <v>1843</v>
      </c>
    </row>
    <row r="6617" ht="16.5" customHeight="1" spans="1:8">
      <c r="A6617" s="3">
        <v>6616</v>
      </c>
      <c r="B6617" s="3" t="s">
        <v>14525</v>
      </c>
      <c r="C6617" s="3" t="s">
        <v>1074</v>
      </c>
      <c r="D6617" s="4" t="s">
        <v>14526</v>
      </c>
      <c r="E6617" s="3" t="s">
        <v>1076</v>
      </c>
      <c r="F6617" s="3" t="s">
        <v>10259</v>
      </c>
      <c r="G6617" s="3"/>
      <c r="H6617" s="4" t="s">
        <v>1399</v>
      </c>
    </row>
    <row r="6618" ht="16.5" customHeight="1" spans="1:8">
      <c r="A6618" s="3">
        <v>6617</v>
      </c>
      <c r="B6618" s="3" t="s">
        <v>14527</v>
      </c>
      <c r="C6618" s="3" t="s">
        <v>1074</v>
      </c>
      <c r="D6618" s="4" t="s">
        <v>14528</v>
      </c>
      <c r="E6618" s="3" t="s">
        <v>1076</v>
      </c>
      <c r="F6618" s="3" t="s">
        <v>10259</v>
      </c>
      <c r="G6618" s="3"/>
      <c r="H6618" s="4" t="s">
        <v>1843</v>
      </c>
    </row>
    <row r="6619" ht="16.5" customHeight="1" spans="1:8">
      <c r="A6619" s="3">
        <v>6618</v>
      </c>
      <c r="B6619" s="3" t="s">
        <v>14529</v>
      </c>
      <c r="C6619" s="3" t="s">
        <v>1074</v>
      </c>
      <c r="D6619" s="4" t="s">
        <v>14530</v>
      </c>
      <c r="E6619" s="3" t="s">
        <v>1076</v>
      </c>
      <c r="F6619" s="3" t="s">
        <v>10259</v>
      </c>
      <c r="G6619" s="3"/>
      <c r="H6619" s="4" t="s">
        <v>1843</v>
      </c>
    </row>
    <row r="6620" ht="16.5" customHeight="1" spans="1:8">
      <c r="A6620" s="3">
        <v>6619</v>
      </c>
      <c r="B6620" s="3" t="s">
        <v>14531</v>
      </c>
      <c r="C6620" s="3" t="s">
        <v>1074</v>
      </c>
      <c r="D6620" s="4" t="s">
        <v>14532</v>
      </c>
      <c r="E6620" s="3" t="s">
        <v>1076</v>
      </c>
      <c r="F6620" s="3" t="s">
        <v>10259</v>
      </c>
      <c r="G6620" s="3"/>
      <c r="H6620" s="4" t="s">
        <v>1843</v>
      </c>
    </row>
    <row r="6621" ht="16.5" customHeight="1" spans="1:8">
      <c r="A6621" s="3">
        <v>6620</v>
      </c>
      <c r="B6621" s="3" t="s">
        <v>14533</v>
      </c>
      <c r="C6621" s="3" t="s">
        <v>1074</v>
      </c>
      <c r="D6621" s="4" t="s">
        <v>14534</v>
      </c>
      <c r="E6621" s="3" t="s">
        <v>1218</v>
      </c>
      <c r="F6621" s="3" t="s">
        <v>10259</v>
      </c>
      <c r="G6621" s="3"/>
      <c r="H6621" s="4" t="s">
        <v>1399</v>
      </c>
    </row>
    <row r="6622" ht="16.5" customHeight="1" spans="1:8">
      <c r="A6622" s="3">
        <v>6621</v>
      </c>
      <c r="B6622" s="3" t="s">
        <v>14535</v>
      </c>
      <c r="C6622" s="3" t="s">
        <v>1074</v>
      </c>
      <c r="D6622" s="4" t="s">
        <v>14536</v>
      </c>
      <c r="E6622" s="3" t="s">
        <v>1076</v>
      </c>
      <c r="F6622" s="3" t="s">
        <v>10259</v>
      </c>
      <c r="G6622" s="3"/>
      <c r="H6622" s="4" t="s">
        <v>5533</v>
      </c>
    </row>
    <row r="6623" ht="16.5" customHeight="1" spans="1:8">
      <c r="A6623" s="3">
        <v>6622</v>
      </c>
      <c r="B6623" s="3" t="s">
        <v>14537</v>
      </c>
      <c r="C6623" s="3" t="s">
        <v>1074</v>
      </c>
      <c r="D6623" s="4" t="s">
        <v>14538</v>
      </c>
      <c r="E6623" s="3" t="s">
        <v>1076</v>
      </c>
      <c r="F6623" s="3" t="s">
        <v>10259</v>
      </c>
      <c r="G6623" s="3"/>
      <c r="H6623" s="4" t="s">
        <v>5533</v>
      </c>
    </row>
    <row r="6624" ht="16.5" customHeight="1" spans="1:8">
      <c r="A6624" s="3">
        <v>6623</v>
      </c>
      <c r="B6624" s="3" t="s">
        <v>14539</v>
      </c>
      <c r="C6624" s="3" t="s">
        <v>1074</v>
      </c>
      <c r="D6624" s="4" t="s">
        <v>14540</v>
      </c>
      <c r="E6624" s="3" t="s">
        <v>1076</v>
      </c>
      <c r="F6624" s="3" t="s">
        <v>10259</v>
      </c>
      <c r="G6624" s="3"/>
      <c r="H6624" s="4" t="s">
        <v>5533</v>
      </c>
    </row>
    <row r="6625" ht="16.5" customHeight="1" spans="1:8">
      <c r="A6625" s="3">
        <v>6624</v>
      </c>
      <c r="B6625" s="3" t="s">
        <v>14541</v>
      </c>
      <c r="C6625" s="3" t="s">
        <v>1074</v>
      </c>
      <c r="D6625" s="4" t="s">
        <v>14542</v>
      </c>
      <c r="E6625" s="3" t="s">
        <v>1076</v>
      </c>
      <c r="F6625" s="3" t="s">
        <v>10259</v>
      </c>
      <c r="G6625" s="3"/>
      <c r="H6625" s="4" t="s">
        <v>5533</v>
      </c>
    </row>
    <row r="6626" ht="16.5" customHeight="1" spans="1:8">
      <c r="A6626" s="3">
        <v>6625</v>
      </c>
      <c r="B6626" s="3" t="s">
        <v>14543</v>
      </c>
      <c r="C6626" s="3" t="s">
        <v>1074</v>
      </c>
      <c r="D6626" s="4" t="s">
        <v>14544</v>
      </c>
      <c r="E6626" s="3" t="s">
        <v>1218</v>
      </c>
      <c r="F6626" s="3" t="s">
        <v>10259</v>
      </c>
      <c r="G6626" s="3"/>
      <c r="H6626" s="4" t="s">
        <v>5396</v>
      </c>
    </row>
    <row r="6627" ht="16.5" customHeight="1" spans="1:8">
      <c r="A6627" s="3">
        <v>6626</v>
      </c>
      <c r="B6627" s="3" t="s">
        <v>14545</v>
      </c>
      <c r="C6627" s="3" t="s">
        <v>1074</v>
      </c>
      <c r="D6627" s="4" t="s">
        <v>14546</v>
      </c>
      <c r="E6627" s="3" t="s">
        <v>1218</v>
      </c>
      <c r="F6627" s="3" t="s">
        <v>10259</v>
      </c>
      <c r="G6627" s="3"/>
      <c r="H6627" s="4" t="s">
        <v>7240</v>
      </c>
    </row>
    <row r="6628" ht="16.5" customHeight="1" spans="1:8">
      <c r="A6628" s="3">
        <v>6627</v>
      </c>
      <c r="B6628" s="3" t="s">
        <v>14547</v>
      </c>
      <c r="C6628" s="3" t="s">
        <v>1074</v>
      </c>
      <c r="D6628" s="4" t="s">
        <v>14548</v>
      </c>
      <c r="E6628" s="3" t="s">
        <v>1218</v>
      </c>
      <c r="F6628" s="3" t="s">
        <v>10259</v>
      </c>
      <c r="G6628" s="3"/>
      <c r="H6628" s="4" t="s">
        <v>5396</v>
      </c>
    </row>
    <row r="6629" ht="16.5" customHeight="1" spans="1:8">
      <c r="A6629" s="3">
        <v>6628</v>
      </c>
      <c r="B6629" s="3" t="s">
        <v>14549</v>
      </c>
      <c r="C6629" s="3" t="s">
        <v>1074</v>
      </c>
      <c r="D6629" s="4" t="s">
        <v>14550</v>
      </c>
      <c r="E6629" s="3" t="s">
        <v>1218</v>
      </c>
      <c r="F6629" s="3" t="s">
        <v>10259</v>
      </c>
      <c r="G6629" s="3"/>
      <c r="H6629" s="4" t="s">
        <v>7240</v>
      </c>
    </row>
    <row r="6630" ht="16.5" customHeight="1" spans="1:8">
      <c r="A6630" s="3">
        <v>6629</v>
      </c>
      <c r="B6630" s="3" t="s">
        <v>14551</v>
      </c>
      <c r="C6630" s="3" t="s">
        <v>1074</v>
      </c>
      <c r="D6630" s="4" t="s">
        <v>14552</v>
      </c>
      <c r="E6630" s="3" t="s">
        <v>1076</v>
      </c>
      <c r="F6630" s="3" t="s">
        <v>10259</v>
      </c>
      <c r="G6630" s="3"/>
      <c r="H6630" s="4" t="s">
        <v>7240</v>
      </c>
    </row>
    <row r="6631" ht="16.5" customHeight="1" spans="1:8">
      <c r="A6631" s="3">
        <v>6630</v>
      </c>
      <c r="B6631" s="3" t="s">
        <v>14553</v>
      </c>
      <c r="C6631" s="3" t="s">
        <v>1074</v>
      </c>
      <c r="D6631" s="4" t="s">
        <v>14554</v>
      </c>
      <c r="E6631" s="3" t="s">
        <v>1218</v>
      </c>
      <c r="F6631" s="3" t="s">
        <v>10259</v>
      </c>
      <c r="G6631" s="3"/>
      <c r="H6631" s="4" t="s">
        <v>7502</v>
      </c>
    </row>
    <row r="6632" ht="16.5" customHeight="1" spans="1:8">
      <c r="A6632" s="3">
        <v>6631</v>
      </c>
      <c r="B6632" s="3" t="s">
        <v>14555</v>
      </c>
      <c r="C6632" s="3" t="s">
        <v>1105</v>
      </c>
      <c r="D6632" s="4" t="s">
        <v>14556</v>
      </c>
      <c r="E6632" s="3" t="s">
        <v>1076</v>
      </c>
      <c r="F6632" s="3" t="s">
        <v>4120</v>
      </c>
      <c r="G6632" s="3"/>
      <c r="H6632" s="4" t="s">
        <v>14338</v>
      </c>
    </row>
    <row r="6633" ht="16.5" customHeight="1" spans="1:8">
      <c r="A6633" s="3">
        <v>6632</v>
      </c>
      <c r="B6633" s="3" t="s">
        <v>14557</v>
      </c>
      <c r="C6633" s="3" t="s">
        <v>1105</v>
      </c>
      <c r="D6633" s="4" t="s">
        <v>14558</v>
      </c>
      <c r="E6633" s="3" t="s">
        <v>1076</v>
      </c>
      <c r="F6633" s="3" t="s">
        <v>4120</v>
      </c>
      <c r="G6633" s="3"/>
      <c r="H6633" s="4" t="s">
        <v>14338</v>
      </c>
    </row>
    <row r="6634" ht="16.5" customHeight="1" spans="1:8">
      <c r="A6634" s="3">
        <v>6633</v>
      </c>
      <c r="B6634" s="3" t="s">
        <v>14559</v>
      </c>
      <c r="C6634" s="3" t="s">
        <v>1356</v>
      </c>
      <c r="D6634" s="4" t="s">
        <v>14560</v>
      </c>
      <c r="E6634" s="3" t="s">
        <v>1218</v>
      </c>
      <c r="F6634" s="3" t="s">
        <v>8175</v>
      </c>
      <c r="G6634" s="3"/>
      <c r="H6634" s="4" t="s">
        <v>3812</v>
      </c>
    </row>
    <row r="6635" ht="16.5" customHeight="1" spans="1:8">
      <c r="A6635" s="3">
        <v>6634</v>
      </c>
      <c r="B6635" s="3" t="s">
        <v>14561</v>
      </c>
      <c r="C6635" s="3" t="s">
        <v>2163</v>
      </c>
      <c r="D6635" s="4" t="s">
        <v>14562</v>
      </c>
      <c r="E6635" s="3" t="s">
        <v>2726</v>
      </c>
      <c r="F6635" s="3" t="s">
        <v>2105</v>
      </c>
      <c r="G6635" s="3"/>
      <c r="H6635" s="4" t="s">
        <v>3812</v>
      </c>
    </row>
    <row r="6636" ht="16.5" customHeight="1" spans="1:8">
      <c r="A6636" s="3">
        <v>6635</v>
      </c>
      <c r="B6636" s="3" t="s">
        <v>14563</v>
      </c>
      <c r="C6636" s="3" t="s">
        <v>2163</v>
      </c>
      <c r="D6636" s="4" t="s">
        <v>14564</v>
      </c>
      <c r="E6636" s="3" t="s">
        <v>2726</v>
      </c>
      <c r="F6636" s="3" t="s">
        <v>2105</v>
      </c>
      <c r="G6636" s="3"/>
      <c r="H6636" s="4" t="s">
        <v>3812</v>
      </c>
    </row>
    <row r="6637" ht="16.5" customHeight="1" spans="1:8">
      <c r="A6637" s="3">
        <v>6636</v>
      </c>
      <c r="B6637" s="3" t="s">
        <v>14565</v>
      </c>
      <c r="C6637" s="3" t="s">
        <v>1356</v>
      </c>
      <c r="D6637" s="4" t="s">
        <v>14566</v>
      </c>
      <c r="E6637" s="3" t="s">
        <v>1076</v>
      </c>
      <c r="F6637" s="3" t="s">
        <v>1719</v>
      </c>
      <c r="G6637" s="3"/>
      <c r="H6637" s="4"/>
    </row>
    <row r="6638" ht="16.5" customHeight="1" spans="1:8">
      <c r="A6638" s="3">
        <v>6637</v>
      </c>
      <c r="B6638" s="3" t="s">
        <v>14567</v>
      </c>
      <c r="C6638" s="3" t="s">
        <v>1356</v>
      </c>
      <c r="D6638" s="4" t="s">
        <v>14568</v>
      </c>
      <c r="E6638" s="3" t="s">
        <v>1218</v>
      </c>
      <c r="F6638" s="3" t="s">
        <v>1719</v>
      </c>
      <c r="G6638" s="3"/>
      <c r="H6638" s="4"/>
    </row>
    <row r="6639" ht="16.5" customHeight="1" spans="1:8">
      <c r="A6639" s="3">
        <v>6638</v>
      </c>
      <c r="B6639" s="3" t="s">
        <v>14569</v>
      </c>
      <c r="C6639" s="3" t="s">
        <v>1074</v>
      </c>
      <c r="D6639" s="4" t="s">
        <v>14570</v>
      </c>
      <c r="E6639" s="3" t="s">
        <v>1076</v>
      </c>
      <c r="F6639" s="3" t="s">
        <v>1152</v>
      </c>
      <c r="G6639" s="3"/>
      <c r="H6639" s="4" t="s">
        <v>5222</v>
      </c>
    </row>
    <row r="6640" ht="16.5" customHeight="1" spans="1:8">
      <c r="A6640" s="3">
        <v>6639</v>
      </c>
      <c r="B6640" s="3" t="s">
        <v>14571</v>
      </c>
      <c r="C6640" s="3" t="s">
        <v>1105</v>
      </c>
      <c r="D6640" s="4" t="s">
        <v>14572</v>
      </c>
      <c r="E6640" s="3" t="s">
        <v>1076</v>
      </c>
      <c r="F6640" s="3" t="s">
        <v>1152</v>
      </c>
      <c r="G6640" s="3"/>
      <c r="H6640" s="4" t="s">
        <v>14573</v>
      </c>
    </row>
    <row r="6641" ht="16.5" customHeight="1" spans="1:8">
      <c r="A6641" s="3">
        <v>6640</v>
      </c>
      <c r="B6641" s="3" t="s">
        <v>14574</v>
      </c>
      <c r="C6641" s="3" t="s">
        <v>1105</v>
      </c>
      <c r="D6641" s="4" t="s">
        <v>14575</v>
      </c>
      <c r="E6641" s="3" t="s">
        <v>1076</v>
      </c>
      <c r="F6641" s="3" t="s">
        <v>1152</v>
      </c>
      <c r="G6641" s="3"/>
      <c r="H6641" s="4" t="s">
        <v>14573</v>
      </c>
    </row>
    <row r="6642" ht="16.5" customHeight="1" spans="1:8">
      <c r="A6642" s="3">
        <v>6641</v>
      </c>
      <c r="B6642" s="3" t="s">
        <v>14576</v>
      </c>
      <c r="C6642" s="3" t="s">
        <v>1105</v>
      </c>
      <c r="D6642" s="4" t="s">
        <v>14577</v>
      </c>
      <c r="E6642" s="3" t="s">
        <v>1076</v>
      </c>
      <c r="F6642" s="3" t="s">
        <v>1152</v>
      </c>
      <c r="G6642" s="3"/>
      <c r="H6642" s="4" t="s">
        <v>14573</v>
      </c>
    </row>
    <row r="6643" ht="16.5" customHeight="1" spans="1:8">
      <c r="A6643" s="3">
        <v>6642</v>
      </c>
      <c r="B6643" s="3" t="s">
        <v>14578</v>
      </c>
      <c r="C6643" s="3" t="s">
        <v>1356</v>
      </c>
      <c r="D6643" s="4" t="s">
        <v>14579</v>
      </c>
      <c r="E6643" s="3" t="s">
        <v>2726</v>
      </c>
      <c r="F6643" s="3" t="s">
        <v>8175</v>
      </c>
      <c r="G6643" s="3"/>
      <c r="H6643" s="4" t="s">
        <v>6877</v>
      </c>
    </row>
    <row r="6644" ht="16.5" customHeight="1" spans="1:8">
      <c r="A6644" s="3">
        <v>6643</v>
      </c>
      <c r="B6644" s="3" t="s">
        <v>14580</v>
      </c>
      <c r="C6644" s="3" t="s">
        <v>2163</v>
      </c>
      <c r="D6644" s="4" t="s">
        <v>14581</v>
      </c>
      <c r="E6644" s="3" t="s">
        <v>1076</v>
      </c>
      <c r="F6644" s="3" t="s">
        <v>10943</v>
      </c>
      <c r="G6644" s="3" t="s">
        <v>98</v>
      </c>
      <c r="H6644" s="4" t="s">
        <v>6877</v>
      </c>
    </row>
    <row r="6645" ht="16.5" customHeight="1" spans="1:8">
      <c r="A6645" s="3">
        <v>6644</v>
      </c>
      <c r="B6645" s="3" t="s">
        <v>14582</v>
      </c>
      <c r="C6645" s="3" t="s">
        <v>2163</v>
      </c>
      <c r="D6645" s="4" t="s">
        <v>14583</v>
      </c>
      <c r="E6645" s="3" t="s">
        <v>1076</v>
      </c>
      <c r="F6645" s="3" t="s">
        <v>6994</v>
      </c>
      <c r="G6645" s="3" t="s">
        <v>321</v>
      </c>
      <c r="H6645" s="4" t="s">
        <v>2050</v>
      </c>
    </row>
    <row r="6646" ht="16.5" customHeight="1" spans="1:8">
      <c r="A6646" s="3">
        <v>6645</v>
      </c>
      <c r="B6646" s="3" t="s">
        <v>14584</v>
      </c>
      <c r="C6646" s="3" t="s">
        <v>2163</v>
      </c>
      <c r="D6646" s="4" t="s">
        <v>14585</v>
      </c>
      <c r="E6646" s="3" t="s">
        <v>1076</v>
      </c>
      <c r="F6646" s="3" t="s">
        <v>2041</v>
      </c>
      <c r="G6646" s="3" t="s">
        <v>98</v>
      </c>
      <c r="H6646" s="4" t="s">
        <v>12433</v>
      </c>
    </row>
    <row r="6647" ht="16.5" customHeight="1" spans="1:8">
      <c r="A6647" s="3">
        <v>6646</v>
      </c>
      <c r="B6647" s="3" t="s">
        <v>14586</v>
      </c>
      <c r="C6647" s="3" t="s">
        <v>2163</v>
      </c>
      <c r="D6647" s="4" t="s">
        <v>14587</v>
      </c>
      <c r="E6647" s="3" t="s">
        <v>2263</v>
      </c>
      <c r="F6647" s="3" t="s">
        <v>2041</v>
      </c>
      <c r="G6647" s="3" t="s">
        <v>98</v>
      </c>
      <c r="H6647" s="4" t="s">
        <v>12433</v>
      </c>
    </row>
    <row r="6648" ht="16.5" customHeight="1" spans="1:8">
      <c r="A6648" s="3">
        <v>6647</v>
      </c>
      <c r="B6648" s="3" t="s">
        <v>14588</v>
      </c>
      <c r="C6648" s="3" t="s">
        <v>2163</v>
      </c>
      <c r="D6648" s="4" t="s">
        <v>14589</v>
      </c>
      <c r="E6648" s="3" t="s">
        <v>1076</v>
      </c>
      <c r="F6648" s="3" t="s">
        <v>2041</v>
      </c>
      <c r="G6648" s="3" t="s">
        <v>98</v>
      </c>
      <c r="H6648" s="4" t="s">
        <v>12433</v>
      </c>
    </row>
    <row r="6649" ht="16.5" customHeight="1" spans="1:8">
      <c r="A6649" s="3">
        <v>6648</v>
      </c>
      <c r="B6649" s="3" t="s">
        <v>14590</v>
      </c>
      <c r="C6649" s="3" t="s">
        <v>2163</v>
      </c>
      <c r="D6649" s="4" t="s">
        <v>14591</v>
      </c>
      <c r="E6649" s="3" t="s">
        <v>2263</v>
      </c>
      <c r="F6649" s="3" t="s">
        <v>2041</v>
      </c>
      <c r="G6649" s="3" t="s">
        <v>98</v>
      </c>
      <c r="H6649" s="4" t="s">
        <v>12433</v>
      </c>
    </row>
    <row r="6650" ht="16.5" customHeight="1" spans="1:8">
      <c r="A6650" s="3">
        <v>6649</v>
      </c>
      <c r="B6650" s="3" t="s">
        <v>14592</v>
      </c>
      <c r="C6650" s="3" t="s">
        <v>1074</v>
      </c>
      <c r="D6650" s="4" t="s">
        <v>14593</v>
      </c>
      <c r="E6650" s="3" t="s">
        <v>1076</v>
      </c>
      <c r="F6650" s="3" t="s">
        <v>10259</v>
      </c>
      <c r="G6650" s="3"/>
      <c r="H6650" s="4" t="s">
        <v>1305</v>
      </c>
    </row>
    <row r="6651" ht="16.5" customHeight="1" spans="1:8">
      <c r="A6651" s="3">
        <v>6650</v>
      </c>
      <c r="B6651" s="3" t="s">
        <v>14594</v>
      </c>
      <c r="C6651" s="3" t="s">
        <v>2163</v>
      </c>
      <c r="D6651" s="4" t="s">
        <v>14595</v>
      </c>
      <c r="E6651" s="3" t="s">
        <v>1076</v>
      </c>
      <c r="F6651" s="3" t="s">
        <v>1358</v>
      </c>
      <c r="G6651" s="3"/>
      <c r="H6651" s="4"/>
    </row>
    <row r="6652" ht="16.5" customHeight="1" spans="1:8">
      <c r="A6652" s="3">
        <v>6651</v>
      </c>
      <c r="B6652" s="3" t="s">
        <v>14596</v>
      </c>
      <c r="C6652" s="3" t="s">
        <v>2163</v>
      </c>
      <c r="D6652" s="4" t="s">
        <v>14597</v>
      </c>
      <c r="E6652" s="3" t="s">
        <v>1076</v>
      </c>
      <c r="F6652" s="3" t="s">
        <v>2041</v>
      </c>
      <c r="G6652" s="3" t="s">
        <v>98</v>
      </c>
      <c r="H6652" s="4"/>
    </row>
    <row r="6653" ht="16.5" customHeight="1" spans="1:8">
      <c r="A6653" s="3">
        <v>6652</v>
      </c>
      <c r="B6653" s="3" t="s">
        <v>14598</v>
      </c>
      <c r="C6653" s="3" t="s">
        <v>1074</v>
      </c>
      <c r="D6653" s="4" t="s">
        <v>14599</v>
      </c>
      <c r="E6653" s="3" t="s">
        <v>2726</v>
      </c>
      <c r="F6653" s="3" t="s">
        <v>10259</v>
      </c>
      <c r="G6653" s="3"/>
      <c r="H6653" s="4" t="s">
        <v>1359</v>
      </c>
    </row>
    <row r="6654" ht="16.5" customHeight="1" spans="1:8">
      <c r="A6654" s="3">
        <v>6653</v>
      </c>
      <c r="B6654" s="3" t="s">
        <v>14600</v>
      </c>
      <c r="C6654" s="3" t="s">
        <v>1074</v>
      </c>
      <c r="D6654" s="4" t="s">
        <v>14601</v>
      </c>
      <c r="E6654" s="3" t="s">
        <v>1218</v>
      </c>
      <c r="F6654" s="3" t="s">
        <v>10259</v>
      </c>
      <c r="G6654" s="3"/>
      <c r="H6654" s="4" t="s">
        <v>1359</v>
      </c>
    </row>
    <row r="6655" ht="16.5" customHeight="1" spans="1:8">
      <c r="A6655" s="3">
        <v>6654</v>
      </c>
      <c r="B6655" s="3" t="s">
        <v>14602</v>
      </c>
      <c r="C6655" s="3" t="s">
        <v>1074</v>
      </c>
      <c r="D6655" s="4" t="s">
        <v>14603</v>
      </c>
      <c r="E6655" s="3" t="s">
        <v>1164</v>
      </c>
      <c r="F6655" s="3" t="s">
        <v>10259</v>
      </c>
      <c r="G6655" s="3"/>
      <c r="H6655" s="4" t="s">
        <v>1359</v>
      </c>
    </row>
    <row r="6656" ht="16.5" customHeight="1" spans="1:8">
      <c r="A6656" s="3">
        <v>6655</v>
      </c>
      <c r="B6656" s="3" t="s">
        <v>14604</v>
      </c>
      <c r="C6656" s="3" t="s">
        <v>2163</v>
      </c>
      <c r="D6656" s="4" t="s">
        <v>14605</v>
      </c>
      <c r="E6656" s="3" t="s">
        <v>2726</v>
      </c>
      <c r="F6656" s="3" t="s">
        <v>6994</v>
      </c>
      <c r="G6656" s="3" t="s">
        <v>321</v>
      </c>
      <c r="H6656" s="4" t="s">
        <v>1084</v>
      </c>
    </row>
    <row r="6657" ht="16.5" customHeight="1" spans="1:8">
      <c r="A6657" s="3">
        <v>6656</v>
      </c>
      <c r="B6657" s="3" t="s">
        <v>14606</v>
      </c>
      <c r="C6657" s="3" t="s">
        <v>2163</v>
      </c>
      <c r="D6657" s="4" t="s">
        <v>14607</v>
      </c>
      <c r="E6657" s="3" t="s">
        <v>5779</v>
      </c>
      <c r="F6657" s="3" t="s">
        <v>1358</v>
      </c>
      <c r="G6657" s="3" t="s">
        <v>321</v>
      </c>
      <c r="H6657" s="4"/>
    </row>
    <row r="6658" ht="16.5" customHeight="1" spans="1:8">
      <c r="A6658" s="3">
        <v>6657</v>
      </c>
      <c r="B6658" s="3" t="s">
        <v>14608</v>
      </c>
      <c r="C6658" s="3" t="s">
        <v>1074</v>
      </c>
      <c r="D6658" s="4" t="s">
        <v>14609</v>
      </c>
      <c r="E6658" s="3" t="s">
        <v>1076</v>
      </c>
      <c r="F6658" s="3" t="s">
        <v>10259</v>
      </c>
      <c r="G6658" s="3"/>
      <c r="H6658" s="4" t="s">
        <v>5533</v>
      </c>
    </row>
    <row r="6659" ht="16.5" customHeight="1" spans="1:8">
      <c r="A6659" s="3">
        <v>6658</v>
      </c>
      <c r="B6659" s="3" t="s">
        <v>14610</v>
      </c>
      <c r="C6659" s="3" t="s">
        <v>1105</v>
      </c>
      <c r="D6659" s="4" t="s">
        <v>14611</v>
      </c>
      <c r="E6659" s="3" t="s">
        <v>1076</v>
      </c>
      <c r="F6659" s="3" t="s">
        <v>1358</v>
      </c>
      <c r="G6659" s="3"/>
      <c r="H6659" s="4" t="s">
        <v>14612</v>
      </c>
    </row>
    <row r="6660" ht="16.5" customHeight="1" spans="1:8">
      <c r="A6660" s="3">
        <v>6659</v>
      </c>
      <c r="B6660" s="3" t="s">
        <v>14613</v>
      </c>
      <c r="C6660" s="3" t="s">
        <v>1105</v>
      </c>
      <c r="D6660" s="4" t="s">
        <v>14614</v>
      </c>
      <c r="E6660" s="3" t="s">
        <v>1076</v>
      </c>
      <c r="F6660" s="3" t="s">
        <v>13748</v>
      </c>
      <c r="G6660" s="3"/>
      <c r="H6660" s="4" t="s">
        <v>12847</v>
      </c>
    </row>
    <row r="6661" ht="16.5" customHeight="1" spans="1:8">
      <c r="A6661" s="3">
        <v>6660</v>
      </c>
      <c r="B6661" s="3" t="s">
        <v>14615</v>
      </c>
      <c r="C6661" s="3" t="s">
        <v>1105</v>
      </c>
      <c r="D6661" s="4" t="s">
        <v>14292</v>
      </c>
      <c r="E6661" s="3" t="s">
        <v>1076</v>
      </c>
      <c r="F6661" s="3" t="s">
        <v>1358</v>
      </c>
      <c r="G6661" s="3"/>
      <c r="H6661" s="4" t="s">
        <v>14612</v>
      </c>
    </row>
    <row r="6662" ht="16.5" customHeight="1" spans="1:8">
      <c r="A6662" s="3">
        <v>6661</v>
      </c>
      <c r="B6662" s="3" t="s">
        <v>14616</v>
      </c>
      <c r="C6662" s="3" t="s">
        <v>1105</v>
      </c>
      <c r="D6662" s="4" t="s">
        <v>14617</v>
      </c>
      <c r="E6662" s="3" t="s">
        <v>1076</v>
      </c>
      <c r="F6662" s="3" t="s">
        <v>13748</v>
      </c>
      <c r="G6662" s="3"/>
      <c r="H6662" s="4" t="s">
        <v>12847</v>
      </c>
    </row>
    <row r="6663" ht="16.5" customHeight="1" spans="1:8">
      <c r="A6663" s="3">
        <v>6662</v>
      </c>
      <c r="B6663" s="3" t="s">
        <v>14618</v>
      </c>
      <c r="C6663" s="3" t="s">
        <v>1105</v>
      </c>
      <c r="D6663" s="4" t="s">
        <v>14619</v>
      </c>
      <c r="E6663" s="3" t="s">
        <v>1076</v>
      </c>
      <c r="F6663" s="3" t="s">
        <v>1358</v>
      </c>
      <c r="G6663" s="3"/>
      <c r="H6663" s="4" t="s">
        <v>13965</v>
      </c>
    </row>
    <row r="6664" ht="16.5" customHeight="1" spans="1:8">
      <c r="A6664" s="3">
        <v>6663</v>
      </c>
      <c r="B6664" s="3" t="s">
        <v>14620</v>
      </c>
      <c r="C6664" s="3" t="s">
        <v>2163</v>
      </c>
      <c r="D6664" s="4" t="s">
        <v>14621</v>
      </c>
      <c r="E6664" s="3" t="s">
        <v>1076</v>
      </c>
      <c r="F6664" s="3" t="s">
        <v>2041</v>
      </c>
      <c r="G6664" s="3" t="s">
        <v>98</v>
      </c>
      <c r="H6664" s="4" t="s">
        <v>12433</v>
      </c>
    </row>
    <row r="6665" ht="16.5" customHeight="1" spans="1:8">
      <c r="A6665" s="3">
        <v>6664</v>
      </c>
      <c r="B6665" s="3" t="s">
        <v>14622</v>
      </c>
      <c r="C6665" s="3" t="s">
        <v>2163</v>
      </c>
      <c r="D6665" s="4" t="s">
        <v>14623</v>
      </c>
      <c r="E6665" s="3" t="s">
        <v>1076</v>
      </c>
      <c r="F6665" s="3" t="s">
        <v>2041</v>
      </c>
      <c r="G6665" s="3" t="s">
        <v>98</v>
      </c>
      <c r="H6665" s="4" t="s">
        <v>12433</v>
      </c>
    </row>
    <row r="6666" ht="16.5" customHeight="1" spans="1:8">
      <c r="A6666" s="3">
        <v>6665</v>
      </c>
      <c r="B6666" s="3" t="s">
        <v>14624</v>
      </c>
      <c r="C6666" s="3" t="s">
        <v>1074</v>
      </c>
      <c r="D6666" s="4" t="s">
        <v>14625</v>
      </c>
      <c r="E6666" s="3" t="s">
        <v>1076</v>
      </c>
      <c r="F6666" s="3" t="s">
        <v>10259</v>
      </c>
      <c r="G6666" s="3"/>
      <c r="H6666" s="4" t="s">
        <v>1359</v>
      </c>
    </row>
    <row r="6667" ht="16.5" customHeight="1" spans="1:8">
      <c r="A6667" s="3">
        <v>6666</v>
      </c>
      <c r="B6667" s="3" t="s">
        <v>14626</v>
      </c>
      <c r="C6667" s="3" t="s">
        <v>2163</v>
      </c>
      <c r="D6667" s="4" t="s">
        <v>14627</v>
      </c>
      <c r="E6667" s="3" t="s">
        <v>1076</v>
      </c>
      <c r="F6667" s="3" t="s">
        <v>2041</v>
      </c>
      <c r="G6667" s="3" t="s">
        <v>98</v>
      </c>
      <c r="H6667" s="4" t="s">
        <v>12433</v>
      </c>
    </row>
    <row r="6668" ht="16.5" customHeight="1" spans="1:8">
      <c r="A6668" s="3">
        <v>6667</v>
      </c>
      <c r="B6668" s="3" t="s">
        <v>14628</v>
      </c>
      <c r="C6668" s="3" t="s">
        <v>2163</v>
      </c>
      <c r="D6668" s="4" t="s">
        <v>14629</v>
      </c>
      <c r="E6668" s="3" t="s">
        <v>2726</v>
      </c>
      <c r="F6668" s="3" t="s">
        <v>2105</v>
      </c>
      <c r="G6668" s="3"/>
      <c r="H6668" s="4" t="s">
        <v>3812</v>
      </c>
    </row>
    <row r="6669" ht="16.5" customHeight="1" spans="1:8">
      <c r="A6669" s="3">
        <v>6668</v>
      </c>
      <c r="B6669" s="3" t="s">
        <v>14630</v>
      </c>
      <c r="C6669" s="3" t="s">
        <v>2163</v>
      </c>
      <c r="D6669" s="4" t="s">
        <v>14631</v>
      </c>
      <c r="E6669" s="3" t="s">
        <v>1076</v>
      </c>
      <c r="F6669" s="3" t="s">
        <v>2041</v>
      </c>
      <c r="G6669" s="3" t="s">
        <v>98</v>
      </c>
      <c r="H6669" s="4" t="s">
        <v>12433</v>
      </c>
    </row>
    <row r="6670" ht="16.5" customHeight="1" spans="1:8">
      <c r="A6670" s="3">
        <v>6669</v>
      </c>
      <c r="B6670" s="3" t="s">
        <v>14632</v>
      </c>
      <c r="C6670" s="3" t="s">
        <v>1105</v>
      </c>
      <c r="D6670" s="4" t="s">
        <v>14633</v>
      </c>
      <c r="E6670" s="3" t="s">
        <v>1076</v>
      </c>
      <c r="F6670" s="3" t="s">
        <v>2041</v>
      </c>
      <c r="G6670" s="3"/>
      <c r="H6670" s="4" t="s">
        <v>13600</v>
      </c>
    </row>
    <row r="6671" ht="16.5" customHeight="1" spans="1:8">
      <c r="A6671" s="3">
        <v>6670</v>
      </c>
      <c r="B6671" s="3" t="s">
        <v>14634</v>
      </c>
      <c r="C6671" s="3" t="s">
        <v>1361</v>
      </c>
      <c r="D6671" s="4" t="s">
        <v>14635</v>
      </c>
      <c r="E6671" s="3" t="s">
        <v>1218</v>
      </c>
      <c r="F6671" s="3" t="s">
        <v>1358</v>
      </c>
      <c r="G6671" s="3" t="s">
        <v>321</v>
      </c>
      <c r="H6671" s="4"/>
    </row>
    <row r="6672" ht="16.5" customHeight="1" spans="1:8">
      <c r="A6672" s="3">
        <v>6671</v>
      </c>
      <c r="B6672" s="3" t="s">
        <v>14636</v>
      </c>
      <c r="C6672" s="3" t="s">
        <v>1361</v>
      </c>
      <c r="D6672" s="4" t="s">
        <v>14637</v>
      </c>
      <c r="E6672" s="3" t="s">
        <v>1218</v>
      </c>
      <c r="F6672" s="3" t="s">
        <v>1358</v>
      </c>
      <c r="G6672" s="3" t="s">
        <v>321</v>
      </c>
      <c r="H6672" s="4"/>
    </row>
    <row r="6673" ht="16.5" customHeight="1" spans="1:8">
      <c r="A6673" s="3">
        <v>6672</v>
      </c>
      <c r="B6673" s="3" t="s">
        <v>14638</v>
      </c>
      <c r="C6673" s="3" t="s">
        <v>1361</v>
      </c>
      <c r="D6673" s="4" t="s">
        <v>14639</v>
      </c>
      <c r="E6673" s="3" t="s">
        <v>1218</v>
      </c>
      <c r="F6673" s="3" t="s">
        <v>6994</v>
      </c>
      <c r="G6673" s="3" t="s">
        <v>321</v>
      </c>
      <c r="H6673" s="4" t="s">
        <v>2050</v>
      </c>
    </row>
    <row r="6674" ht="16.5" customHeight="1" spans="1:8">
      <c r="A6674" s="3">
        <v>6673</v>
      </c>
      <c r="B6674" s="3" t="s">
        <v>14640</v>
      </c>
      <c r="C6674" s="3" t="s">
        <v>1361</v>
      </c>
      <c r="D6674" s="4" t="s">
        <v>14641</v>
      </c>
      <c r="E6674" s="3" t="s">
        <v>1218</v>
      </c>
      <c r="F6674" s="3" t="s">
        <v>6994</v>
      </c>
      <c r="G6674" s="3" t="s">
        <v>321</v>
      </c>
      <c r="H6674" s="4" t="s">
        <v>2050</v>
      </c>
    </row>
    <row r="6675" ht="16.5" customHeight="1" spans="1:8">
      <c r="A6675" s="3">
        <v>6674</v>
      </c>
      <c r="B6675" s="3" t="s">
        <v>14642</v>
      </c>
      <c r="C6675" s="3" t="s">
        <v>1361</v>
      </c>
      <c r="D6675" s="4" t="s">
        <v>14643</v>
      </c>
      <c r="E6675" s="3" t="s">
        <v>1218</v>
      </c>
      <c r="F6675" s="3" t="s">
        <v>1358</v>
      </c>
      <c r="G6675" s="3" t="s">
        <v>321</v>
      </c>
      <c r="H6675" s="4"/>
    </row>
    <row r="6676" ht="16.5" customHeight="1" spans="1:8">
      <c r="A6676" s="3">
        <v>6675</v>
      </c>
      <c r="B6676" s="3" t="s">
        <v>14644</v>
      </c>
      <c r="C6676" s="3" t="s">
        <v>1361</v>
      </c>
      <c r="D6676" s="4" t="s">
        <v>14645</v>
      </c>
      <c r="E6676" s="3" t="s">
        <v>1218</v>
      </c>
      <c r="F6676" s="3" t="s">
        <v>1358</v>
      </c>
      <c r="G6676" s="3" t="s">
        <v>321</v>
      </c>
      <c r="H6676" s="4"/>
    </row>
    <row r="6677" ht="16.5" customHeight="1" spans="1:8">
      <c r="A6677" s="3">
        <v>6676</v>
      </c>
      <c r="B6677" s="3" t="s">
        <v>14646</v>
      </c>
      <c r="C6677" s="3" t="s">
        <v>1361</v>
      </c>
      <c r="D6677" s="4" t="s">
        <v>14647</v>
      </c>
      <c r="E6677" s="3" t="s">
        <v>1218</v>
      </c>
      <c r="F6677" s="3" t="s">
        <v>1358</v>
      </c>
      <c r="G6677" s="3" t="s">
        <v>321</v>
      </c>
      <c r="H6677" s="4"/>
    </row>
    <row r="6678" ht="16.5" customHeight="1" spans="1:8">
      <c r="A6678" s="3">
        <v>6677</v>
      </c>
      <c r="B6678" s="3" t="s">
        <v>14648</v>
      </c>
      <c r="C6678" s="3" t="s">
        <v>1361</v>
      </c>
      <c r="D6678" s="4" t="s">
        <v>14649</v>
      </c>
      <c r="E6678" s="3" t="s">
        <v>1218</v>
      </c>
      <c r="F6678" s="3" t="s">
        <v>1358</v>
      </c>
      <c r="G6678" s="3" t="s">
        <v>321</v>
      </c>
      <c r="H6678" s="4"/>
    </row>
    <row r="6679" ht="16.5" customHeight="1" spans="1:8">
      <c r="A6679" s="3">
        <v>6678</v>
      </c>
      <c r="B6679" s="3" t="s">
        <v>14650</v>
      </c>
      <c r="C6679" s="3" t="s">
        <v>1361</v>
      </c>
      <c r="D6679" s="4" t="s">
        <v>14651</v>
      </c>
      <c r="E6679" s="3" t="s">
        <v>1218</v>
      </c>
      <c r="F6679" s="3" t="s">
        <v>6994</v>
      </c>
      <c r="G6679" s="3" t="s">
        <v>321</v>
      </c>
      <c r="H6679" s="4" t="s">
        <v>2050</v>
      </c>
    </row>
    <row r="6680" ht="16.5" customHeight="1" spans="1:8">
      <c r="A6680" s="3">
        <v>6679</v>
      </c>
      <c r="B6680" s="3" t="s">
        <v>14652</v>
      </c>
      <c r="C6680" s="3" t="s">
        <v>1361</v>
      </c>
      <c r="D6680" s="4" t="s">
        <v>14653</v>
      </c>
      <c r="E6680" s="3" t="s">
        <v>1218</v>
      </c>
      <c r="F6680" s="3" t="s">
        <v>6994</v>
      </c>
      <c r="G6680" s="3" t="s">
        <v>321</v>
      </c>
      <c r="H6680" s="4" t="s">
        <v>2050</v>
      </c>
    </row>
    <row r="6681" ht="16.5" customHeight="1" spans="1:8">
      <c r="A6681" s="3">
        <v>6680</v>
      </c>
      <c r="B6681" s="3" t="s">
        <v>14654</v>
      </c>
      <c r="C6681" s="3" t="s">
        <v>1105</v>
      </c>
      <c r="D6681" s="4" t="s">
        <v>14655</v>
      </c>
      <c r="E6681" s="3" t="s">
        <v>1076</v>
      </c>
      <c r="F6681" s="3" t="s">
        <v>1358</v>
      </c>
      <c r="G6681" s="3"/>
      <c r="H6681" s="4" t="s">
        <v>14656</v>
      </c>
    </row>
    <row r="6682" ht="16.5" customHeight="1" spans="1:8">
      <c r="A6682" s="3">
        <v>6681</v>
      </c>
      <c r="B6682" s="3" t="s">
        <v>14657</v>
      </c>
      <c r="C6682" s="3" t="s">
        <v>1105</v>
      </c>
      <c r="D6682" s="4" t="s">
        <v>14658</v>
      </c>
      <c r="E6682" s="3" t="s">
        <v>1076</v>
      </c>
      <c r="F6682" s="3" t="s">
        <v>1358</v>
      </c>
      <c r="G6682" s="3"/>
      <c r="H6682" s="4" t="s">
        <v>14656</v>
      </c>
    </row>
    <row r="6683" ht="16.5" customHeight="1" spans="1:8">
      <c r="A6683" s="3">
        <v>6682</v>
      </c>
      <c r="B6683" s="3" t="s">
        <v>14659</v>
      </c>
      <c r="C6683" s="3" t="s">
        <v>1105</v>
      </c>
      <c r="D6683" s="4" t="s">
        <v>14660</v>
      </c>
      <c r="E6683" s="3" t="s">
        <v>1076</v>
      </c>
      <c r="F6683" s="3" t="s">
        <v>1358</v>
      </c>
      <c r="G6683" s="3"/>
      <c r="H6683" s="4" t="s">
        <v>14454</v>
      </c>
    </row>
    <row r="6684" ht="16.5" customHeight="1" spans="1:8">
      <c r="A6684" s="3">
        <v>6683</v>
      </c>
      <c r="B6684" s="3" t="s">
        <v>14661</v>
      </c>
      <c r="C6684" s="3" t="s">
        <v>1105</v>
      </c>
      <c r="D6684" s="4" t="s">
        <v>14662</v>
      </c>
      <c r="E6684" s="3" t="s">
        <v>1076</v>
      </c>
      <c r="F6684" s="3" t="s">
        <v>1358</v>
      </c>
      <c r="G6684" s="3"/>
      <c r="H6684" s="4" t="s">
        <v>14454</v>
      </c>
    </row>
    <row r="6685" ht="16.5" customHeight="1" spans="1:8">
      <c r="A6685" s="3">
        <v>6684</v>
      </c>
      <c r="B6685" s="3" t="s">
        <v>14663</v>
      </c>
      <c r="C6685" s="3" t="s">
        <v>1361</v>
      </c>
      <c r="D6685" s="4" t="s">
        <v>14664</v>
      </c>
      <c r="E6685" s="3" t="s">
        <v>1218</v>
      </c>
      <c r="F6685" s="3" t="s">
        <v>6994</v>
      </c>
      <c r="G6685" s="3" t="s">
        <v>321</v>
      </c>
      <c r="H6685" s="4" t="s">
        <v>2050</v>
      </c>
    </row>
    <row r="6686" ht="16.5" customHeight="1" spans="1:8">
      <c r="A6686" s="3">
        <v>6685</v>
      </c>
      <c r="B6686" s="3" t="s">
        <v>14665</v>
      </c>
      <c r="C6686" s="3" t="s">
        <v>2163</v>
      </c>
      <c r="D6686" s="4" t="s">
        <v>14666</v>
      </c>
      <c r="E6686" s="3" t="s">
        <v>2726</v>
      </c>
      <c r="F6686" s="3" t="s">
        <v>10943</v>
      </c>
      <c r="G6686" s="3" t="s">
        <v>98</v>
      </c>
      <c r="H6686" s="4" t="s">
        <v>6877</v>
      </c>
    </row>
    <row r="6687" ht="16.5" customHeight="1" spans="1:8">
      <c r="A6687" s="3">
        <v>6686</v>
      </c>
      <c r="B6687" s="3" t="s">
        <v>14667</v>
      </c>
      <c r="C6687" s="3" t="s">
        <v>1361</v>
      </c>
      <c r="D6687" s="4" t="s">
        <v>14668</v>
      </c>
      <c r="E6687" s="3" t="s">
        <v>1218</v>
      </c>
      <c r="F6687" s="3" t="s">
        <v>6994</v>
      </c>
      <c r="G6687" s="3" t="s">
        <v>321</v>
      </c>
      <c r="H6687" s="4" t="s">
        <v>2050</v>
      </c>
    </row>
    <row r="6688" ht="16.5" customHeight="1" spans="1:8">
      <c r="A6688" s="3">
        <v>6687</v>
      </c>
      <c r="B6688" s="3" t="s">
        <v>14669</v>
      </c>
      <c r="C6688" s="3" t="s">
        <v>1361</v>
      </c>
      <c r="D6688" s="4" t="s">
        <v>14670</v>
      </c>
      <c r="E6688" s="3" t="s">
        <v>1218</v>
      </c>
      <c r="F6688" s="3" t="s">
        <v>6994</v>
      </c>
      <c r="G6688" s="3" t="s">
        <v>321</v>
      </c>
      <c r="H6688" s="4" t="s">
        <v>2050</v>
      </c>
    </row>
    <row r="6689" ht="16.5" customHeight="1" spans="1:8">
      <c r="A6689" s="3">
        <v>6688</v>
      </c>
      <c r="B6689" s="3" t="s">
        <v>14671</v>
      </c>
      <c r="C6689" s="3" t="s">
        <v>1361</v>
      </c>
      <c r="D6689" s="4" t="s">
        <v>14672</v>
      </c>
      <c r="E6689" s="3" t="s">
        <v>1218</v>
      </c>
      <c r="F6689" s="3" t="s">
        <v>1358</v>
      </c>
      <c r="G6689" s="3"/>
      <c r="H6689" s="4"/>
    </row>
    <row r="6690" ht="16.5" customHeight="1" spans="1:8">
      <c r="A6690" s="3">
        <v>6689</v>
      </c>
      <c r="B6690" s="3" t="s">
        <v>14673</v>
      </c>
      <c r="C6690" s="3" t="s">
        <v>1361</v>
      </c>
      <c r="D6690" s="4" t="s">
        <v>14674</v>
      </c>
      <c r="E6690" s="3" t="s">
        <v>1218</v>
      </c>
      <c r="F6690" s="3" t="s">
        <v>1358</v>
      </c>
      <c r="G6690" s="3" t="s">
        <v>321</v>
      </c>
      <c r="H6690" s="4"/>
    </row>
    <row r="6691" ht="16.5" customHeight="1" spans="1:8">
      <c r="A6691" s="3">
        <v>6690</v>
      </c>
      <c r="B6691" s="3" t="s">
        <v>14675</v>
      </c>
      <c r="C6691" s="3" t="s">
        <v>2163</v>
      </c>
      <c r="D6691" s="4" t="s">
        <v>14676</v>
      </c>
      <c r="E6691" s="3" t="s">
        <v>1076</v>
      </c>
      <c r="F6691" s="3" t="s">
        <v>2041</v>
      </c>
      <c r="G6691" s="3" t="s">
        <v>98</v>
      </c>
      <c r="H6691" s="4" t="s">
        <v>9475</v>
      </c>
    </row>
    <row r="6692" ht="16.5" customHeight="1" spans="1:8">
      <c r="A6692" s="3">
        <v>6691</v>
      </c>
      <c r="B6692" s="3" t="s">
        <v>14677</v>
      </c>
      <c r="C6692" s="3" t="s">
        <v>2163</v>
      </c>
      <c r="D6692" s="4" t="s">
        <v>14678</v>
      </c>
      <c r="E6692" s="3" t="s">
        <v>1076</v>
      </c>
      <c r="F6692" s="3" t="s">
        <v>10943</v>
      </c>
      <c r="G6692" s="3" t="s">
        <v>98</v>
      </c>
      <c r="H6692" s="4" t="s">
        <v>6877</v>
      </c>
    </row>
    <row r="6693" ht="16.5" customHeight="1" spans="1:8">
      <c r="A6693" s="3">
        <v>6692</v>
      </c>
      <c r="B6693" s="3" t="s">
        <v>14679</v>
      </c>
      <c r="C6693" s="3" t="s">
        <v>2163</v>
      </c>
      <c r="D6693" s="4" t="s">
        <v>14680</v>
      </c>
      <c r="E6693" s="3" t="s">
        <v>1076</v>
      </c>
      <c r="F6693" s="3" t="s">
        <v>2041</v>
      </c>
      <c r="G6693" s="3" t="s">
        <v>98</v>
      </c>
      <c r="H6693" s="4" t="s">
        <v>9475</v>
      </c>
    </row>
    <row r="6694" ht="16.5" customHeight="1" spans="1:8">
      <c r="A6694" s="3">
        <v>6693</v>
      </c>
      <c r="B6694" s="3" t="s">
        <v>14681</v>
      </c>
      <c r="C6694" s="3" t="s">
        <v>1361</v>
      </c>
      <c r="D6694" s="4" t="s">
        <v>14682</v>
      </c>
      <c r="E6694" s="3" t="s">
        <v>1218</v>
      </c>
      <c r="F6694" s="3" t="s">
        <v>1358</v>
      </c>
      <c r="G6694" s="3" t="s">
        <v>321</v>
      </c>
      <c r="H6694" s="4"/>
    </row>
    <row r="6695" ht="16.5" customHeight="1" spans="1:8">
      <c r="A6695" s="3">
        <v>6694</v>
      </c>
      <c r="B6695" s="3" t="s">
        <v>14683</v>
      </c>
      <c r="C6695" s="3" t="s">
        <v>2163</v>
      </c>
      <c r="D6695" s="4" t="s">
        <v>14684</v>
      </c>
      <c r="E6695" s="3" t="s">
        <v>1076</v>
      </c>
      <c r="F6695" s="3" t="s">
        <v>10943</v>
      </c>
      <c r="G6695" s="3" t="s">
        <v>98</v>
      </c>
      <c r="H6695" s="4" t="s">
        <v>6877</v>
      </c>
    </row>
    <row r="6696" ht="16.5" customHeight="1" spans="1:8">
      <c r="A6696" s="3">
        <v>6695</v>
      </c>
      <c r="B6696" s="3" t="s">
        <v>14685</v>
      </c>
      <c r="C6696" s="3" t="s">
        <v>1361</v>
      </c>
      <c r="D6696" s="4" t="s">
        <v>14686</v>
      </c>
      <c r="E6696" s="3" t="s">
        <v>1218</v>
      </c>
      <c r="F6696" s="3" t="s">
        <v>1358</v>
      </c>
      <c r="G6696" s="3" t="s">
        <v>321</v>
      </c>
      <c r="H6696" s="4"/>
    </row>
    <row r="6697" ht="16.5" customHeight="1" spans="1:8">
      <c r="A6697" s="3">
        <v>6696</v>
      </c>
      <c r="B6697" s="3" t="s">
        <v>14687</v>
      </c>
      <c r="C6697" s="3" t="s">
        <v>2163</v>
      </c>
      <c r="D6697" s="4" t="s">
        <v>14688</v>
      </c>
      <c r="E6697" s="3" t="s">
        <v>1076</v>
      </c>
      <c r="F6697" s="3" t="s">
        <v>10943</v>
      </c>
      <c r="G6697" s="3" t="s">
        <v>98</v>
      </c>
      <c r="H6697" s="4" t="s">
        <v>6877</v>
      </c>
    </row>
    <row r="6698" ht="16.5" customHeight="1" spans="1:8">
      <c r="A6698" s="3">
        <v>6697</v>
      </c>
      <c r="B6698" s="3" t="s">
        <v>14689</v>
      </c>
      <c r="C6698" s="3" t="s">
        <v>2163</v>
      </c>
      <c r="D6698" s="4" t="s">
        <v>14690</v>
      </c>
      <c r="E6698" s="3" t="s">
        <v>2263</v>
      </c>
      <c r="F6698" s="3" t="s">
        <v>6994</v>
      </c>
      <c r="G6698" s="3" t="s">
        <v>321</v>
      </c>
      <c r="H6698" s="4" t="s">
        <v>2050</v>
      </c>
    </row>
    <row r="6699" ht="16.5" customHeight="1" spans="1:8">
      <c r="A6699" s="3">
        <v>6698</v>
      </c>
      <c r="B6699" s="3" t="s">
        <v>14691</v>
      </c>
      <c r="C6699" s="3" t="s">
        <v>2163</v>
      </c>
      <c r="D6699" s="4" t="s">
        <v>14692</v>
      </c>
      <c r="E6699" s="3" t="s">
        <v>2726</v>
      </c>
      <c r="F6699" s="3" t="s">
        <v>6994</v>
      </c>
      <c r="G6699" s="3" t="s">
        <v>321</v>
      </c>
      <c r="H6699" s="4" t="s">
        <v>1084</v>
      </c>
    </row>
    <row r="6700" ht="16.5" customHeight="1" spans="1:8">
      <c r="A6700" s="3">
        <v>6699</v>
      </c>
      <c r="B6700" s="3" t="s">
        <v>14693</v>
      </c>
      <c r="C6700" s="3" t="s">
        <v>1105</v>
      </c>
      <c r="D6700" s="4" t="s">
        <v>14694</v>
      </c>
      <c r="E6700" s="3" t="s">
        <v>1076</v>
      </c>
      <c r="F6700" s="3" t="s">
        <v>4110</v>
      </c>
      <c r="G6700" s="3"/>
      <c r="H6700" s="4" t="s">
        <v>13986</v>
      </c>
    </row>
    <row r="6701" ht="16.5" customHeight="1" spans="1:8">
      <c r="A6701" s="3">
        <v>6700</v>
      </c>
      <c r="B6701" s="3" t="s">
        <v>14695</v>
      </c>
      <c r="C6701" s="3" t="s">
        <v>1105</v>
      </c>
      <c r="D6701" s="4" t="s">
        <v>14696</v>
      </c>
      <c r="E6701" s="3" t="s">
        <v>1076</v>
      </c>
      <c r="F6701" s="3" t="s">
        <v>13816</v>
      </c>
      <c r="G6701" s="3"/>
      <c r="H6701" s="4" t="s">
        <v>14299</v>
      </c>
    </row>
    <row r="6702" ht="16.5" customHeight="1" spans="1:8">
      <c r="A6702" s="3">
        <v>6701</v>
      </c>
      <c r="B6702" s="3" t="s">
        <v>14697</v>
      </c>
      <c r="C6702" s="3" t="s">
        <v>1105</v>
      </c>
      <c r="D6702" s="4" t="s">
        <v>14698</v>
      </c>
      <c r="E6702" s="3" t="s">
        <v>1076</v>
      </c>
      <c r="F6702" s="3" t="s">
        <v>13816</v>
      </c>
      <c r="G6702" s="3"/>
      <c r="H6702" s="4" t="s">
        <v>14346</v>
      </c>
    </row>
    <row r="6703" ht="16.5" customHeight="1" spans="1:8">
      <c r="A6703" s="3">
        <v>6702</v>
      </c>
      <c r="B6703" s="3" t="s">
        <v>14699</v>
      </c>
      <c r="C6703" s="3" t="s">
        <v>1105</v>
      </c>
      <c r="D6703" s="4" t="s">
        <v>14700</v>
      </c>
      <c r="E6703" s="3" t="s">
        <v>1076</v>
      </c>
      <c r="F6703" s="3" t="s">
        <v>13816</v>
      </c>
      <c r="G6703" s="3"/>
      <c r="H6703" s="4" t="s">
        <v>14346</v>
      </c>
    </row>
    <row r="6704" ht="16.5" customHeight="1" spans="1:8">
      <c r="A6704" s="3">
        <v>6703</v>
      </c>
      <c r="B6704" s="3" t="s">
        <v>14701</v>
      </c>
      <c r="C6704" s="3" t="s">
        <v>1105</v>
      </c>
      <c r="D6704" s="4" t="s">
        <v>14702</v>
      </c>
      <c r="E6704" s="3" t="s">
        <v>1076</v>
      </c>
      <c r="F6704" s="3" t="s">
        <v>13816</v>
      </c>
      <c r="G6704" s="3"/>
      <c r="H6704" s="4" t="s">
        <v>14346</v>
      </c>
    </row>
    <row r="6705" ht="16.5" customHeight="1" spans="1:8">
      <c r="A6705" s="3">
        <v>6704</v>
      </c>
      <c r="B6705" s="3" t="s">
        <v>14703</v>
      </c>
      <c r="C6705" s="3" t="s">
        <v>2163</v>
      </c>
      <c r="D6705" s="4" t="s">
        <v>14704</v>
      </c>
      <c r="E6705" s="3" t="s">
        <v>1076</v>
      </c>
      <c r="F6705" s="3" t="s">
        <v>1358</v>
      </c>
      <c r="G6705" s="3" t="s">
        <v>321</v>
      </c>
      <c r="H6705" s="4"/>
    </row>
    <row r="6706" ht="16.5" customHeight="1" spans="1:8">
      <c r="A6706" s="3">
        <v>6705</v>
      </c>
      <c r="B6706" s="3" t="s">
        <v>14705</v>
      </c>
      <c r="C6706" s="3" t="s">
        <v>2163</v>
      </c>
      <c r="D6706" s="4" t="s">
        <v>14706</v>
      </c>
      <c r="E6706" s="3" t="s">
        <v>1076</v>
      </c>
      <c r="F6706" s="3" t="s">
        <v>1358</v>
      </c>
      <c r="G6706" s="3" t="s">
        <v>321</v>
      </c>
      <c r="H6706" s="4" t="s">
        <v>2050</v>
      </c>
    </row>
    <row r="6707" ht="16.5" customHeight="1" spans="1:8">
      <c r="A6707" s="3">
        <v>6706</v>
      </c>
      <c r="B6707" s="3" t="s">
        <v>14707</v>
      </c>
      <c r="C6707" s="3" t="s">
        <v>1105</v>
      </c>
      <c r="D6707" s="4" t="s">
        <v>14410</v>
      </c>
      <c r="E6707" s="3" t="s">
        <v>1076</v>
      </c>
      <c r="F6707" s="3" t="s">
        <v>12241</v>
      </c>
      <c r="G6707" s="3"/>
      <c r="H6707" s="4" t="s">
        <v>14708</v>
      </c>
    </row>
    <row r="6708" ht="16.5" customHeight="1" spans="1:8">
      <c r="A6708" s="3">
        <v>6707</v>
      </c>
      <c r="B6708" s="3" t="s">
        <v>14709</v>
      </c>
      <c r="C6708" s="3" t="s">
        <v>1074</v>
      </c>
      <c r="D6708" s="4" t="s">
        <v>14710</v>
      </c>
      <c r="E6708" s="3" t="s">
        <v>1218</v>
      </c>
      <c r="F6708" s="3" t="s">
        <v>14248</v>
      </c>
      <c r="G6708" s="3"/>
      <c r="H6708" s="4"/>
    </row>
    <row r="6709" ht="16.5" customHeight="1" spans="1:8">
      <c r="A6709" s="3">
        <v>6708</v>
      </c>
      <c r="B6709" s="3" t="s">
        <v>14711</v>
      </c>
      <c r="C6709" s="3" t="s">
        <v>1105</v>
      </c>
      <c r="D6709" s="4" t="s">
        <v>14712</v>
      </c>
      <c r="E6709" s="3" t="s">
        <v>1739</v>
      </c>
      <c r="F6709" s="3" t="s">
        <v>12241</v>
      </c>
      <c r="G6709" s="3"/>
      <c r="H6709" s="4" t="s">
        <v>14708</v>
      </c>
    </row>
    <row r="6710" ht="16.5" customHeight="1" spans="1:8">
      <c r="A6710" s="3">
        <v>6709</v>
      </c>
      <c r="B6710" s="3" t="s">
        <v>14713</v>
      </c>
      <c r="C6710" s="3" t="s">
        <v>2163</v>
      </c>
      <c r="D6710" s="4" t="s">
        <v>14714</v>
      </c>
      <c r="E6710" s="3" t="s">
        <v>2726</v>
      </c>
      <c r="F6710" s="3" t="s">
        <v>1358</v>
      </c>
      <c r="G6710" s="3" t="s">
        <v>321</v>
      </c>
      <c r="H6710" s="4" t="s">
        <v>2050</v>
      </c>
    </row>
    <row r="6711" ht="16.5" customHeight="1" spans="1:8">
      <c r="A6711" s="3">
        <v>6710</v>
      </c>
      <c r="B6711" s="3" t="s">
        <v>14715</v>
      </c>
      <c r="C6711" s="3" t="s">
        <v>2163</v>
      </c>
      <c r="D6711" s="4" t="s">
        <v>14716</v>
      </c>
      <c r="E6711" s="3" t="s">
        <v>5779</v>
      </c>
      <c r="F6711" s="3" t="s">
        <v>10259</v>
      </c>
      <c r="G6711" s="3"/>
      <c r="H6711" s="4" t="s">
        <v>6740</v>
      </c>
    </row>
    <row r="6712" ht="16.5" customHeight="1" spans="1:8">
      <c r="A6712" s="3">
        <v>6711</v>
      </c>
      <c r="B6712" s="3" t="s">
        <v>14717</v>
      </c>
      <c r="C6712" s="3" t="s">
        <v>2163</v>
      </c>
      <c r="D6712" s="4" t="s">
        <v>14718</v>
      </c>
      <c r="E6712" s="3" t="s">
        <v>2726</v>
      </c>
      <c r="F6712" s="3" t="s">
        <v>6994</v>
      </c>
      <c r="G6712" s="3" t="s">
        <v>321</v>
      </c>
      <c r="H6712" s="4" t="s">
        <v>1084</v>
      </c>
    </row>
    <row r="6713" ht="16.5" customHeight="1" spans="1:8">
      <c r="A6713" s="3">
        <v>6712</v>
      </c>
      <c r="B6713" s="3" t="s">
        <v>14719</v>
      </c>
      <c r="C6713" s="3" t="s">
        <v>1074</v>
      </c>
      <c r="D6713" s="4" t="s">
        <v>14720</v>
      </c>
      <c r="E6713" s="3" t="s">
        <v>1076</v>
      </c>
      <c r="F6713" s="3" t="s">
        <v>10259</v>
      </c>
      <c r="G6713" s="3"/>
      <c r="H6713" s="4" t="s">
        <v>1305</v>
      </c>
    </row>
    <row r="6714" ht="16.5" customHeight="1" spans="1:8">
      <c r="A6714" s="3">
        <v>6713</v>
      </c>
      <c r="B6714" s="3" t="s">
        <v>14721</v>
      </c>
      <c r="C6714" s="3" t="s">
        <v>2163</v>
      </c>
      <c r="D6714" s="4" t="s">
        <v>14722</v>
      </c>
      <c r="E6714" s="3" t="s">
        <v>1076</v>
      </c>
      <c r="F6714" s="3" t="s">
        <v>10259</v>
      </c>
      <c r="G6714" s="3"/>
      <c r="H6714" s="4" t="s">
        <v>3812</v>
      </c>
    </row>
    <row r="6715" ht="16.5" customHeight="1" spans="1:8">
      <c r="A6715" s="3">
        <v>6714</v>
      </c>
      <c r="B6715" s="3" t="s">
        <v>14723</v>
      </c>
      <c r="C6715" s="3" t="s">
        <v>2163</v>
      </c>
      <c r="D6715" s="4" t="s">
        <v>14724</v>
      </c>
      <c r="E6715" s="3" t="s">
        <v>1076</v>
      </c>
      <c r="F6715" s="3" t="s">
        <v>10259</v>
      </c>
      <c r="G6715" s="3"/>
      <c r="H6715" s="4" t="s">
        <v>3812</v>
      </c>
    </row>
    <row r="6716" ht="16.5" customHeight="1" spans="1:8">
      <c r="A6716" s="3">
        <v>6715</v>
      </c>
      <c r="B6716" s="3" t="s">
        <v>14725</v>
      </c>
      <c r="C6716" s="3" t="s">
        <v>2163</v>
      </c>
      <c r="D6716" s="4" t="s">
        <v>14726</v>
      </c>
      <c r="E6716" s="3" t="s">
        <v>1076</v>
      </c>
      <c r="F6716" s="3" t="s">
        <v>10259</v>
      </c>
      <c r="G6716" s="3"/>
      <c r="H6716" s="4" t="s">
        <v>1305</v>
      </c>
    </row>
    <row r="6717" ht="16.5" customHeight="1" spans="1:8">
      <c r="A6717" s="3">
        <v>6716</v>
      </c>
      <c r="B6717" s="3" t="s">
        <v>14727</v>
      </c>
      <c r="C6717" s="3" t="s">
        <v>2163</v>
      </c>
      <c r="D6717" s="4" t="s">
        <v>14728</v>
      </c>
      <c r="E6717" s="3" t="s">
        <v>2726</v>
      </c>
      <c r="F6717" s="3" t="s">
        <v>10259</v>
      </c>
      <c r="G6717" s="3"/>
      <c r="H6717" s="4" t="s">
        <v>1305</v>
      </c>
    </row>
    <row r="6718" ht="16.5" customHeight="1" spans="1:8">
      <c r="A6718" s="3">
        <v>6717</v>
      </c>
      <c r="B6718" s="3" t="s">
        <v>14729</v>
      </c>
      <c r="C6718" s="3" t="s">
        <v>1105</v>
      </c>
      <c r="D6718" s="4" t="s">
        <v>14730</v>
      </c>
      <c r="E6718" s="3" t="s">
        <v>1076</v>
      </c>
      <c r="F6718" s="3" t="s">
        <v>2105</v>
      </c>
      <c r="G6718" s="3"/>
      <c r="H6718" s="4" t="s">
        <v>12847</v>
      </c>
    </row>
    <row r="6719" ht="16.5" customHeight="1" spans="1:8">
      <c r="A6719" s="3">
        <v>6718</v>
      </c>
      <c r="B6719" s="3" t="s">
        <v>14731</v>
      </c>
      <c r="C6719" s="3" t="s">
        <v>1074</v>
      </c>
      <c r="D6719" s="4" t="s">
        <v>14732</v>
      </c>
      <c r="E6719" s="3" t="s">
        <v>1164</v>
      </c>
      <c r="F6719" s="3" t="s">
        <v>8175</v>
      </c>
      <c r="G6719" s="3"/>
      <c r="H6719" s="4" t="s">
        <v>7240</v>
      </c>
    </row>
    <row r="6720" ht="16.5" customHeight="1" spans="1:8">
      <c r="A6720" s="3">
        <v>6719</v>
      </c>
      <c r="B6720" s="3" t="s">
        <v>14733</v>
      </c>
      <c r="C6720" s="3" t="s">
        <v>1105</v>
      </c>
      <c r="D6720" s="4" t="s">
        <v>14734</v>
      </c>
      <c r="E6720" s="3" t="s">
        <v>13858</v>
      </c>
      <c r="F6720" s="3" t="s">
        <v>14735</v>
      </c>
      <c r="G6720" s="3"/>
      <c r="H6720" s="4" t="s">
        <v>13860</v>
      </c>
    </row>
    <row r="6721" ht="16.5" customHeight="1" spans="1:8">
      <c r="A6721" s="3">
        <v>6720</v>
      </c>
      <c r="B6721" s="3" t="s">
        <v>14736</v>
      </c>
      <c r="C6721" s="3" t="s">
        <v>1074</v>
      </c>
      <c r="D6721" s="4" t="s">
        <v>14737</v>
      </c>
      <c r="E6721" s="3" t="s">
        <v>1076</v>
      </c>
      <c r="F6721" s="3" t="s">
        <v>8175</v>
      </c>
      <c r="G6721" s="3"/>
      <c r="H6721" s="4" t="s">
        <v>1095</v>
      </c>
    </row>
    <row r="6722" ht="16.5" customHeight="1" spans="1:8">
      <c r="A6722" s="3">
        <v>6721</v>
      </c>
      <c r="B6722" s="3" t="s">
        <v>14738</v>
      </c>
      <c r="C6722" s="3" t="s">
        <v>1105</v>
      </c>
      <c r="D6722" s="4" t="s">
        <v>14739</v>
      </c>
      <c r="E6722" s="3" t="s">
        <v>1739</v>
      </c>
      <c r="F6722" s="3" t="s">
        <v>14735</v>
      </c>
      <c r="G6722" s="3"/>
      <c r="H6722" s="4" t="s">
        <v>14740</v>
      </c>
    </row>
    <row r="6723" ht="16.5" customHeight="1" spans="1:8">
      <c r="A6723" s="3">
        <v>6722</v>
      </c>
      <c r="B6723" s="3" t="s">
        <v>14741</v>
      </c>
      <c r="C6723" s="3" t="s">
        <v>1105</v>
      </c>
      <c r="D6723" s="4" t="s">
        <v>14742</v>
      </c>
      <c r="E6723" s="3" t="s">
        <v>1739</v>
      </c>
      <c r="F6723" s="3" t="s">
        <v>14735</v>
      </c>
      <c r="G6723" s="3"/>
      <c r="H6723" s="4" t="s">
        <v>14740</v>
      </c>
    </row>
    <row r="6724" ht="16.5" customHeight="1" spans="1:8">
      <c r="A6724" s="3">
        <v>6723</v>
      </c>
      <c r="B6724" s="3" t="s">
        <v>14743</v>
      </c>
      <c r="C6724" s="3" t="s">
        <v>1105</v>
      </c>
      <c r="D6724" s="4" t="s">
        <v>14744</v>
      </c>
      <c r="E6724" s="3" t="s">
        <v>1739</v>
      </c>
      <c r="F6724" s="3" t="s">
        <v>14735</v>
      </c>
      <c r="G6724" s="3"/>
      <c r="H6724" s="4" t="s">
        <v>14740</v>
      </c>
    </row>
    <row r="6725" ht="16.5" customHeight="1" spans="1:8">
      <c r="A6725" s="3">
        <v>6724</v>
      </c>
      <c r="B6725" s="3" t="s">
        <v>14745</v>
      </c>
      <c r="C6725" s="3" t="s">
        <v>1105</v>
      </c>
      <c r="D6725" s="4" t="s">
        <v>14746</v>
      </c>
      <c r="E6725" s="3" t="s">
        <v>1739</v>
      </c>
      <c r="F6725" s="3" t="s">
        <v>14735</v>
      </c>
      <c r="G6725" s="3"/>
      <c r="H6725" s="4" t="s">
        <v>14740</v>
      </c>
    </row>
    <row r="6726" ht="16.5" customHeight="1" spans="1:8">
      <c r="A6726" s="3">
        <v>6725</v>
      </c>
      <c r="B6726" s="3" t="s">
        <v>14747</v>
      </c>
      <c r="C6726" s="3" t="s">
        <v>1105</v>
      </c>
      <c r="D6726" s="4" t="s">
        <v>14748</v>
      </c>
      <c r="E6726" s="3" t="s">
        <v>13858</v>
      </c>
      <c r="F6726" s="3" t="s">
        <v>11431</v>
      </c>
      <c r="G6726" s="3"/>
      <c r="H6726" s="4" t="s">
        <v>14749</v>
      </c>
    </row>
    <row r="6727" ht="16.5" customHeight="1" spans="1:8">
      <c r="A6727" s="3">
        <v>6726</v>
      </c>
      <c r="B6727" s="3" t="s">
        <v>14750</v>
      </c>
      <c r="C6727" s="3" t="s">
        <v>1105</v>
      </c>
      <c r="D6727" s="4" t="s">
        <v>14751</v>
      </c>
      <c r="E6727" s="3" t="s">
        <v>1739</v>
      </c>
      <c r="F6727" s="3" t="s">
        <v>14735</v>
      </c>
      <c r="G6727" s="3"/>
      <c r="H6727" s="4" t="s">
        <v>14740</v>
      </c>
    </row>
    <row r="6728" ht="16.5" customHeight="1" spans="1:8">
      <c r="A6728" s="3">
        <v>6727</v>
      </c>
      <c r="B6728" s="3" t="s">
        <v>14752</v>
      </c>
      <c r="C6728" s="3" t="s">
        <v>1105</v>
      </c>
      <c r="D6728" s="4" t="s">
        <v>14753</v>
      </c>
      <c r="E6728" s="3" t="s">
        <v>1739</v>
      </c>
      <c r="F6728" s="3" t="s">
        <v>14735</v>
      </c>
      <c r="G6728" s="3"/>
      <c r="H6728" s="4" t="s">
        <v>14740</v>
      </c>
    </row>
    <row r="6729" ht="16.5" customHeight="1" spans="1:8">
      <c r="A6729" s="3">
        <v>6728</v>
      </c>
      <c r="B6729" s="3" t="s">
        <v>14754</v>
      </c>
      <c r="C6729" s="3" t="s">
        <v>1105</v>
      </c>
      <c r="D6729" s="4" t="s">
        <v>14755</v>
      </c>
      <c r="E6729" s="3" t="s">
        <v>1739</v>
      </c>
      <c r="F6729" s="3" t="s">
        <v>14735</v>
      </c>
      <c r="G6729" s="3"/>
      <c r="H6729" s="4" t="s">
        <v>14740</v>
      </c>
    </row>
    <row r="6730" ht="16.5" customHeight="1" spans="1:8">
      <c r="A6730" s="3">
        <v>6729</v>
      </c>
      <c r="B6730" s="3" t="s">
        <v>14756</v>
      </c>
      <c r="C6730" s="3" t="s">
        <v>2163</v>
      </c>
      <c r="D6730" s="4" t="s">
        <v>14757</v>
      </c>
      <c r="E6730" s="3" t="s">
        <v>2726</v>
      </c>
      <c r="F6730" s="3" t="s">
        <v>2041</v>
      </c>
      <c r="G6730" s="3" t="s">
        <v>98</v>
      </c>
      <c r="H6730" s="4" t="s">
        <v>3812</v>
      </c>
    </row>
    <row r="6731" ht="16.5" customHeight="1" spans="1:8">
      <c r="A6731" s="3">
        <v>6730</v>
      </c>
      <c r="B6731" s="3" t="s">
        <v>14758</v>
      </c>
      <c r="C6731" s="3" t="s">
        <v>2163</v>
      </c>
      <c r="D6731" s="4" t="s">
        <v>14759</v>
      </c>
      <c r="E6731" s="3" t="s">
        <v>1076</v>
      </c>
      <c r="F6731" s="3" t="s">
        <v>2041</v>
      </c>
      <c r="G6731" s="3" t="s">
        <v>98</v>
      </c>
      <c r="H6731" s="4" t="s">
        <v>3812</v>
      </c>
    </row>
    <row r="6732" ht="16.5" customHeight="1" spans="1:8">
      <c r="A6732" s="3">
        <v>6731</v>
      </c>
      <c r="B6732" s="3" t="s">
        <v>14760</v>
      </c>
      <c r="C6732" s="3" t="s">
        <v>1105</v>
      </c>
      <c r="D6732" s="4" t="s">
        <v>14761</v>
      </c>
      <c r="E6732" s="3" t="s">
        <v>13858</v>
      </c>
      <c r="F6732" s="3" t="s">
        <v>6593</v>
      </c>
      <c r="G6732" s="3"/>
      <c r="H6732" s="4" t="s">
        <v>14749</v>
      </c>
    </row>
    <row r="6733" ht="16.5" customHeight="1" spans="1:8">
      <c r="A6733" s="3">
        <v>6732</v>
      </c>
      <c r="B6733" s="3" t="s">
        <v>14762</v>
      </c>
      <c r="C6733" s="3" t="s">
        <v>1105</v>
      </c>
      <c r="D6733" s="4" t="s">
        <v>14763</v>
      </c>
      <c r="E6733" s="3" t="s">
        <v>13858</v>
      </c>
      <c r="F6733" s="3" t="s">
        <v>6593</v>
      </c>
      <c r="G6733" s="3"/>
      <c r="H6733" s="4" t="s">
        <v>14749</v>
      </c>
    </row>
    <row r="6734" ht="16.5" customHeight="1" spans="1:8">
      <c r="A6734" s="3">
        <v>6733</v>
      </c>
      <c r="B6734" s="3" t="s">
        <v>14764</v>
      </c>
      <c r="C6734" s="3" t="s">
        <v>1105</v>
      </c>
      <c r="D6734" s="4" t="s">
        <v>14765</v>
      </c>
      <c r="E6734" s="3" t="s">
        <v>13858</v>
      </c>
      <c r="F6734" s="3" t="s">
        <v>6593</v>
      </c>
      <c r="G6734" s="3"/>
      <c r="H6734" s="4" t="s">
        <v>14749</v>
      </c>
    </row>
    <row r="6735" ht="16.5" customHeight="1" spans="1:8">
      <c r="A6735" s="3">
        <v>6734</v>
      </c>
      <c r="B6735" s="3" t="s">
        <v>14766</v>
      </c>
      <c r="C6735" s="3" t="s">
        <v>1105</v>
      </c>
      <c r="D6735" s="4" t="s">
        <v>14767</v>
      </c>
      <c r="E6735" s="3" t="s">
        <v>1739</v>
      </c>
      <c r="F6735" s="3" t="s">
        <v>13859</v>
      </c>
      <c r="G6735" s="3"/>
      <c r="H6735" s="4" t="s">
        <v>14740</v>
      </c>
    </row>
    <row r="6736" ht="16.5" customHeight="1" spans="1:8">
      <c r="A6736" s="3">
        <v>6735</v>
      </c>
      <c r="B6736" s="3" t="s">
        <v>14768</v>
      </c>
      <c r="C6736" s="3" t="s">
        <v>1105</v>
      </c>
      <c r="D6736" s="4" t="s">
        <v>14769</v>
      </c>
      <c r="E6736" s="3" t="s">
        <v>1739</v>
      </c>
      <c r="F6736" s="3" t="s">
        <v>13859</v>
      </c>
      <c r="G6736" s="3"/>
      <c r="H6736" s="4" t="s">
        <v>14740</v>
      </c>
    </row>
    <row r="6737" ht="16.5" customHeight="1" spans="1:8">
      <c r="A6737" s="3">
        <v>6736</v>
      </c>
      <c r="B6737" s="3" t="s">
        <v>14770</v>
      </c>
      <c r="C6737" s="3" t="s">
        <v>1105</v>
      </c>
      <c r="D6737" s="4" t="s">
        <v>14771</v>
      </c>
      <c r="E6737" s="3" t="s">
        <v>1739</v>
      </c>
      <c r="F6737" s="3" t="s">
        <v>13859</v>
      </c>
      <c r="G6737" s="3"/>
      <c r="H6737" s="4" t="s">
        <v>14740</v>
      </c>
    </row>
    <row r="6738" ht="16.5" customHeight="1" spans="1:8">
      <c r="A6738" s="3">
        <v>6737</v>
      </c>
      <c r="B6738" s="3" t="s">
        <v>14772</v>
      </c>
      <c r="C6738" s="3" t="s">
        <v>1105</v>
      </c>
      <c r="D6738" s="4" t="s">
        <v>14773</v>
      </c>
      <c r="E6738" s="3" t="s">
        <v>1739</v>
      </c>
      <c r="F6738" s="3" t="s">
        <v>13859</v>
      </c>
      <c r="G6738" s="3"/>
      <c r="H6738" s="4" t="s">
        <v>14740</v>
      </c>
    </row>
    <row r="6739" ht="16.5" customHeight="1" spans="1:8">
      <c r="A6739" s="3">
        <v>6738</v>
      </c>
      <c r="B6739" s="3" t="s">
        <v>14774</v>
      </c>
      <c r="C6739" s="3" t="s">
        <v>1105</v>
      </c>
      <c r="D6739" s="4" t="s">
        <v>14775</v>
      </c>
      <c r="E6739" s="3" t="s">
        <v>1739</v>
      </c>
      <c r="F6739" s="3" t="s">
        <v>13859</v>
      </c>
      <c r="G6739" s="3"/>
      <c r="H6739" s="4" t="s">
        <v>14740</v>
      </c>
    </row>
    <row r="6740" ht="16.5" customHeight="1" spans="1:8">
      <c r="A6740" s="3">
        <v>6739</v>
      </c>
      <c r="B6740" s="3" t="s">
        <v>14776</v>
      </c>
      <c r="C6740" s="3" t="s">
        <v>1105</v>
      </c>
      <c r="D6740" s="4" t="s">
        <v>14777</v>
      </c>
      <c r="E6740" s="3" t="s">
        <v>1076</v>
      </c>
      <c r="F6740" s="3" t="s">
        <v>13748</v>
      </c>
      <c r="G6740" s="3"/>
      <c r="H6740" s="4" t="s">
        <v>12847</v>
      </c>
    </row>
    <row r="6741" ht="16.5" customHeight="1" spans="1:8">
      <c r="A6741" s="3">
        <v>6740</v>
      </c>
      <c r="B6741" s="3" t="s">
        <v>14778</v>
      </c>
      <c r="C6741" s="3" t="s">
        <v>1105</v>
      </c>
      <c r="D6741" s="4" t="s">
        <v>14779</v>
      </c>
      <c r="E6741" s="3" t="s">
        <v>1076</v>
      </c>
      <c r="F6741" s="3" t="s">
        <v>13748</v>
      </c>
      <c r="G6741" s="3"/>
      <c r="H6741" s="4" t="s">
        <v>12847</v>
      </c>
    </row>
    <row r="6742" ht="16.5" customHeight="1" spans="1:8">
      <c r="A6742" s="3">
        <v>6741</v>
      </c>
      <c r="B6742" s="3" t="s">
        <v>14780</v>
      </c>
      <c r="C6742" s="3" t="s">
        <v>1105</v>
      </c>
      <c r="D6742" s="4" t="s">
        <v>14781</v>
      </c>
      <c r="E6742" s="3" t="s">
        <v>1076</v>
      </c>
      <c r="F6742" s="3" t="s">
        <v>4120</v>
      </c>
      <c r="G6742" s="3"/>
      <c r="H6742" s="4" t="s">
        <v>14338</v>
      </c>
    </row>
    <row r="6743" ht="16.5" customHeight="1" spans="1:8">
      <c r="A6743" s="3">
        <v>6742</v>
      </c>
      <c r="B6743" s="3" t="s">
        <v>14782</v>
      </c>
      <c r="C6743" s="3" t="s">
        <v>1105</v>
      </c>
      <c r="D6743" s="4" t="s">
        <v>14783</v>
      </c>
      <c r="E6743" s="3" t="s">
        <v>13858</v>
      </c>
      <c r="F6743" s="3" t="s">
        <v>3104</v>
      </c>
      <c r="G6743" s="3"/>
      <c r="H6743" s="4" t="s">
        <v>14749</v>
      </c>
    </row>
    <row r="6744" ht="16.5" customHeight="1" spans="1:8">
      <c r="A6744" s="3">
        <v>6743</v>
      </c>
      <c r="B6744" s="3" t="s">
        <v>14784</v>
      </c>
      <c r="C6744" s="3" t="s">
        <v>1105</v>
      </c>
      <c r="D6744" s="4" t="s">
        <v>14785</v>
      </c>
      <c r="E6744" s="3" t="s">
        <v>13858</v>
      </c>
      <c r="F6744" s="3" t="s">
        <v>3104</v>
      </c>
      <c r="G6744" s="3"/>
      <c r="H6744" s="4" t="s">
        <v>14749</v>
      </c>
    </row>
    <row r="6745" ht="16.5" customHeight="1" spans="1:8">
      <c r="A6745" s="3">
        <v>6744</v>
      </c>
      <c r="B6745" s="3" t="s">
        <v>14786</v>
      </c>
      <c r="C6745" s="3" t="s">
        <v>1105</v>
      </c>
      <c r="D6745" s="4" t="s">
        <v>14787</v>
      </c>
      <c r="E6745" s="3" t="s">
        <v>13858</v>
      </c>
      <c r="F6745" s="3" t="s">
        <v>3104</v>
      </c>
      <c r="G6745" s="3"/>
      <c r="H6745" s="4" t="s">
        <v>14451</v>
      </c>
    </row>
    <row r="6746" ht="16.5" customHeight="1" spans="1:8">
      <c r="A6746" s="3">
        <v>6745</v>
      </c>
      <c r="B6746" s="3" t="s">
        <v>14788</v>
      </c>
      <c r="C6746" s="3" t="s">
        <v>1105</v>
      </c>
      <c r="D6746" s="4" t="s">
        <v>14789</v>
      </c>
      <c r="E6746" s="3" t="s">
        <v>13858</v>
      </c>
      <c r="F6746" s="3" t="s">
        <v>3104</v>
      </c>
      <c r="G6746" s="3"/>
      <c r="H6746" s="4" t="s">
        <v>14451</v>
      </c>
    </row>
    <row r="6747" ht="16.5" customHeight="1" spans="1:8">
      <c r="A6747" s="3">
        <v>6746</v>
      </c>
      <c r="B6747" s="3" t="s">
        <v>14790</v>
      </c>
      <c r="C6747" s="3" t="s">
        <v>1074</v>
      </c>
      <c r="D6747" s="4" t="s">
        <v>14791</v>
      </c>
      <c r="E6747" s="3" t="s">
        <v>1076</v>
      </c>
      <c r="F6747" s="3" t="s">
        <v>1152</v>
      </c>
      <c r="G6747" s="3"/>
      <c r="H6747" s="4"/>
    </row>
    <row r="6748" ht="16.5" customHeight="1" spans="1:8">
      <c r="A6748" s="3">
        <v>6747</v>
      </c>
      <c r="B6748" s="3" t="s">
        <v>14792</v>
      </c>
      <c r="C6748" s="3" t="s">
        <v>1074</v>
      </c>
      <c r="D6748" s="4" t="s">
        <v>14793</v>
      </c>
      <c r="E6748" s="3" t="s">
        <v>1218</v>
      </c>
      <c r="F6748" s="3" t="s">
        <v>1152</v>
      </c>
      <c r="G6748" s="3"/>
      <c r="H6748" s="4"/>
    </row>
    <row r="6749" ht="16.5" customHeight="1" spans="1:8">
      <c r="A6749" s="3">
        <v>6748</v>
      </c>
      <c r="B6749" s="3" t="s">
        <v>14794</v>
      </c>
      <c r="C6749" s="3" t="s">
        <v>2163</v>
      </c>
      <c r="D6749" s="4" t="s">
        <v>14795</v>
      </c>
      <c r="E6749" s="3" t="s">
        <v>1076</v>
      </c>
      <c r="F6749" s="3" t="s">
        <v>10943</v>
      </c>
      <c r="G6749" s="3" t="s">
        <v>98</v>
      </c>
      <c r="H6749" s="4" t="s">
        <v>12433</v>
      </c>
    </row>
    <row r="6750" ht="16.5" customHeight="1" spans="1:8">
      <c r="A6750" s="3">
        <v>6749</v>
      </c>
      <c r="B6750" s="3" t="s">
        <v>14796</v>
      </c>
      <c r="C6750" s="3" t="s">
        <v>2163</v>
      </c>
      <c r="D6750" s="4" t="s">
        <v>14797</v>
      </c>
      <c r="E6750" s="3" t="s">
        <v>5779</v>
      </c>
      <c r="F6750" s="3" t="s">
        <v>1152</v>
      </c>
      <c r="G6750" s="3"/>
      <c r="H6750" s="4" t="s">
        <v>5664</v>
      </c>
    </row>
    <row r="6751" ht="16.5" customHeight="1" spans="1:8">
      <c r="A6751" s="3">
        <v>6750</v>
      </c>
      <c r="B6751" s="3" t="s">
        <v>14798</v>
      </c>
      <c r="C6751" s="3" t="s">
        <v>2163</v>
      </c>
      <c r="D6751" s="4" t="s">
        <v>14799</v>
      </c>
      <c r="E6751" s="3" t="s">
        <v>1076</v>
      </c>
      <c r="F6751" s="3" t="s">
        <v>10943</v>
      </c>
      <c r="G6751" s="3" t="s">
        <v>98</v>
      </c>
      <c r="H6751" s="4" t="s">
        <v>12433</v>
      </c>
    </row>
    <row r="6752" ht="16.5" customHeight="1" spans="1:8">
      <c r="A6752" s="3">
        <v>6751</v>
      </c>
      <c r="B6752" s="3" t="s">
        <v>14800</v>
      </c>
      <c r="C6752" s="3" t="s">
        <v>1105</v>
      </c>
      <c r="D6752" s="4" t="s">
        <v>14801</v>
      </c>
      <c r="E6752" s="3" t="s">
        <v>1076</v>
      </c>
      <c r="F6752" s="3" t="s">
        <v>1358</v>
      </c>
      <c r="G6752" s="3"/>
      <c r="H6752" s="4" t="s">
        <v>14802</v>
      </c>
    </row>
    <row r="6753" ht="16.5" customHeight="1" spans="1:8">
      <c r="A6753" s="3">
        <v>6752</v>
      </c>
      <c r="B6753" s="3" t="s">
        <v>14803</v>
      </c>
      <c r="C6753" s="3" t="s">
        <v>1356</v>
      </c>
      <c r="D6753" s="4" t="s">
        <v>14804</v>
      </c>
      <c r="E6753" s="3" t="s">
        <v>2726</v>
      </c>
      <c r="F6753" s="3" t="s">
        <v>1358</v>
      </c>
      <c r="G6753" s="3" t="s">
        <v>321</v>
      </c>
      <c r="H6753" s="4"/>
    </row>
    <row r="6754" ht="16.5" customHeight="1" spans="1:8">
      <c r="A6754" s="3">
        <v>6753</v>
      </c>
      <c r="B6754" s="3" t="s">
        <v>14805</v>
      </c>
      <c r="C6754" s="3" t="s">
        <v>1074</v>
      </c>
      <c r="D6754" s="4" t="s">
        <v>14806</v>
      </c>
      <c r="E6754" s="3" t="s">
        <v>5779</v>
      </c>
      <c r="F6754" s="3" t="s">
        <v>8175</v>
      </c>
      <c r="G6754" s="3"/>
      <c r="H6754" s="4" t="s">
        <v>1305</v>
      </c>
    </row>
    <row r="6755" ht="16.5" customHeight="1" spans="1:8">
      <c r="A6755" s="3">
        <v>6754</v>
      </c>
      <c r="B6755" s="3" t="s">
        <v>14807</v>
      </c>
      <c r="C6755" s="3" t="s">
        <v>2163</v>
      </c>
      <c r="D6755" s="4" t="s">
        <v>14808</v>
      </c>
      <c r="E6755" s="3" t="s">
        <v>1076</v>
      </c>
      <c r="F6755" s="3" t="s">
        <v>2105</v>
      </c>
      <c r="G6755" s="3"/>
      <c r="H6755" s="4" t="s">
        <v>3812</v>
      </c>
    </row>
    <row r="6756" ht="16.5" customHeight="1" spans="1:8">
      <c r="A6756" s="3">
        <v>6755</v>
      </c>
      <c r="B6756" s="3" t="s">
        <v>14809</v>
      </c>
      <c r="C6756" s="3" t="s">
        <v>2163</v>
      </c>
      <c r="D6756" s="4" t="s">
        <v>14810</v>
      </c>
      <c r="E6756" s="3" t="s">
        <v>2726</v>
      </c>
      <c r="F6756" s="3" t="s">
        <v>2105</v>
      </c>
      <c r="G6756" s="3"/>
      <c r="H6756" s="4" t="s">
        <v>3812</v>
      </c>
    </row>
    <row r="6757" ht="16.5" customHeight="1" spans="1:8">
      <c r="A6757" s="3">
        <v>6756</v>
      </c>
      <c r="B6757" s="3" t="s">
        <v>14811</v>
      </c>
      <c r="C6757" s="3" t="s">
        <v>2163</v>
      </c>
      <c r="D6757" s="4" t="s">
        <v>14812</v>
      </c>
      <c r="E6757" s="3" t="s">
        <v>1076</v>
      </c>
      <c r="F6757" s="3" t="s">
        <v>2041</v>
      </c>
      <c r="G6757" s="3" t="s">
        <v>98</v>
      </c>
      <c r="H6757" s="4" t="s">
        <v>12433</v>
      </c>
    </row>
    <row r="6758" ht="16.5" customHeight="1" spans="1:8">
      <c r="A6758" s="3">
        <v>6757</v>
      </c>
      <c r="B6758" s="3" t="s">
        <v>14813</v>
      </c>
      <c r="C6758" s="3" t="s">
        <v>2163</v>
      </c>
      <c r="D6758" s="4" t="s">
        <v>14814</v>
      </c>
      <c r="E6758" s="3" t="s">
        <v>1076</v>
      </c>
      <c r="F6758" s="3" t="s">
        <v>2041</v>
      </c>
      <c r="G6758" s="3" t="s">
        <v>98</v>
      </c>
      <c r="H6758" s="4" t="s">
        <v>12433</v>
      </c>
    </row>
    <row r="6759" ht="16.5" customHeight="1" spans="1:8">
      <c r="A6759" s="3">
        <v>6758</v>
      </c>
      <c r="B6759" s="3" t="s">
        <v>14815</v>
      </c>
      <c r="C6759" s="3" t="s">
        <v>1105</v>
      </c>
      <c r="D6759" s="4" t="s">
        <v>14660</v>
      </c>
      <c r="E6759" s="3" t="s">
        <v>1076</v>
      </c>
      <c r="F6759" s="3" t="s">
        <v>1358</v>
      </c>
      <c r="G6759" s="3"/>
      <c r="H6759" s="4" t="s">
        <v>13787</v>
      </c>
    </row>
    <row r="6760" ht="16.5" customHeight="1" spans="1:8">
      <c r="A6760" s="3">
        <v>6759</v>
      </c>
      <c r="B6760" s="3" t="s">
        <v>14816</v>
      </c>
      <c r="C6760" s="3" t="s">
        <v>1105</v>
      </c>
      <c r="D6760" s="4" t="s">
        <v>14817</v>
      </c>
      <c r="E6760" s="3" t="s">
        <v>14818</v>
      </c>
      <c r="F6760" s="3" t="s">
        <v>1358</v>
      </c>
      <c r="G6760" s="3"/>
      <c r="H6760" s="4" t="s">
        <v>13787</v>
      </c>
    </row>
    <row r="6761" ht="16.5" customHeight="1" spans="1:8">
      <c r="A6761" s="3">
        <v>6760</v>
      </c>
      <c r="B6761" s="3" t="s">
        <v>14819</v>
      </c>
      <c r="C6761" s="3" t="s">
        <v>2163</v>
      </c>
      <c r="D6761" s="4" t="s">
        <v>14820</v>
      </c>
      <c r="E6761" s="3" t="s">
        <v>1076</v>
      </c>
      <c r="F6761" s="3" t="s">
        <v>6994</v>
      </c>
      <c r="G6761" s="3" t="s">
        <v>321</v>
      </c>
      <c r="H6761" s="4" t="s">
        <v>2050</v>
      </c>
    </row>
    <row r="6762" ht="16.5" customHeight="1" spans="1:8">
      <c r="A6762" s="3">
        <v>6761</v>
      </c>
      <c r="B6762" s="3" t="s">
        <v>14821</v>
      </c>
      <c r="C6762" s="3" t="s">
        <v>1361</v>
      </c>
      <c r="D6762" s="4" t="s">
        <v>14822</v>
      </c>
      <c r="E6762" s="3" t="s">
        <v>1218</v>
      </c>
      <c r="F6762" s="3" t="s">
        <v>6994</v>
      </c>
      <c r="G6762" s="3" t="s">
        <v>321</v>
      </c>
      <c r="H6762" s="4"/>
    </row>
    <row r="6763" ht="16.5" customHeight="1" spans="1:8">
      <c r="A6763" s="3">
        <v>6762</v>
      </c>
      <c r="B6763" s="3" t="s">
        <v>14823</v>
      </c>
      <c r="C6763" s="3" t="s">
        <v>1361</v>
      </c>
      <c r="D6763" s="4" t="s">
        <v>14824</v>
      </c>
      <c r="E6763" s="3" t="s">
        <v>1218</v>
      </c>
      <c r="F6763" s="3" t="s">
        <v>6994</v>
      </c>
      <c r="G6763" s="3" t="s">
        <v>321</v>
      </c>
      <c r="H6763" s="4" t="s">
        <v>2050</v>
      </c>
    </row>
    <row r="6764" ht="16.5" customHeight="1" spans="1:8">
      <c r="A6764" s="3">
        <v>6763</v>
      </c>
      <c r="B6764" s="3" t="s">
        <v>14825</v>
      </c>
      <c r="C6764" s="3" t="s">
        <v>1361</v>
      </c>
      <c r="D6764" s="4" t="s">
        <v>14826</v>
      </c>
      <c r="E6764" s="3" t="s">
        <v>1218</v>
      </c>
      <c r="F6764" s="3" t="s">
        <v>6994</v>
      </c>
      <c r="G6764" s="3" t="s">
        <v>321</v>
      </c>
      <c r="H6764" s="4" t="s">
        <v>2050</v>
      </c>
    </row>
    <row r="6765" ht="16.5" customHeight="1" spans="1:8">
      <c r="A6765" s="3">
        <v>6764</v>
      </c>
      <c r="B6765" s="3" t="s">
        <v>14827</v>
      </c>
      <c r="C6765" s="3" t="s">
        <v>1361</v>
      </c>
      <c r="D6765" s="4" t="s">
        <v>14828</v>
      </c>
      <c r="E6765" s="3" t="s">
        <v>1218</v>
      </c>
      <c r="F6765" s="3" t="s">
        <v>6994</v>
      </c>
      <c r="G6765" s="3" t="s">
        <v>321</v>
      </c>
      <c r="H6765" s="4" t="s">
        <v>2050</v>
      </c>
    </row>
    <row r="6766" ht="16.5" customHeight="1" spans="1:8">
      <c r="A6766" s="3">
        <v>6765</v>
      </c>
      <c r="B6766" s="3" t="s">
        <v>14829</v>
      </c>
      <c r="C6766" s="3" t="s">
        <v>1361</v>
      </c>
      <c r="D6766" s="4" t="s">
        <v>14830</v>
      </c>
      <c r="E6766" s="3" t="s">
        <v>1218</v>
      </c>
      <c r="F6766" s="3" t="s">
        <v>6994</v>
      </c>
      <c r="G6766" s="3" t="s">
        <v>321</v>
      </c>
      <c r="H6766" s="4" t="s">
        <v>2050</v>
      </c>
    </row>
    <row r="6767" ht="16.5" customHeight="1" spans="1:8">
      <c r="A6767" s="3">
        <v>6766</v>
      </c>
      <c r="B6767" s="3" t="s">
        <v>14831</v>
      </c>
      <c r="C6767" s="3" t="s">
        <v>2163</v>
      </c>
      <c r="D6767" s="4" t="s">
        <v>14832</v>
      </c>
      <c r="E6767" s="3" t="s">
        <v>1076</v>
      </c>
      <c r="F6767" s="3" t="s">
        <v>10943</v>
      </c>
      <c r="G6767" s="3" t="s">
        <v>98</v>
      </c>
      <c r="H6767" s="4"/>
    </row>
    <row r="6768" ht="16.5" customHeight="1" spans="1:8">
      <c r="A6768" s="3">
        <v>6767</v>
      </c>
      <c r="B6768" s="3" t="s">
        <v>14833</v>
      </c>
      <c r="C6768" s="3" t="s">
        <v>1361</v>
      </c>
      <c r="D6768" s="4" t="s">
        <v>14834</v>
      </c>
      <c r="E6768" s="3" t="s">
        <v>1218</v>
      </c>
      <c r="F6768" s="3" t="s">
        <v>1358</v>
      </c>
      <c r="G6768" s="3" t="s">
        <v>321</v>
      </c>
      <c r="H6768" s="4"/>
    </row>
    <row r="6769" ht="16.5" customHeight="1" spans="1:8">
      <c r="A6769" s="3">
        <v>6768</v>
      </c>
      <c r="B6769" s="3" t="s">
        <v>14835</v>
      </c>
      <c r="C6769" s="3" t="s">
        <v>1361</v>
      </c>
      <c r="D6769" s="4" t="s">
        <v>14836</v>
      </c>
      <c r="E6769" s="3" t="s">
        <v>1218</v>
      </c>
      <c r="F6769" s="3" t="s">
        <v>1358</v>
      </c>
      <c r="G6769" s="3" t="s">
        <v>321</v>
      </c>
      <c r="H6769" s="4"/>
    </row>
    <row r="6770" ht="16.5" customHeight="1" spans="1:8">
      <c r="A6770" s="3">
        <v>6769</v>
      </c>
      <c r="B6770" s="3" t="s">
        <v>14837</v>
      </c>
      <c r="C6770" s="3" t="s">
        <v>1361</v>
      </c>
      <c r="D6770" s="4" t="s">
        <v>14838</v>
      </c>
      <c r="E6770" s="3" t="s">
        <v>1218</v>
      </c>
      <c r="F6770" s="3" t="s">
        <v>1358</v>
      </c>
      <c r="G6770" s="3" t="s">
        <v>321</v>
      </c>
      <c r="H6770" s="4"/>
    </row>
    <row r="6771" ht="16.5" customHeight="1" spans="1:8">
      <c r="A6771" s="3">
        <v>6770</v>
      </c>
      <c r="B6771" s="3" t="s">
        <v>14839</v>
      </c>
      <c r="C6771" s="3" t="s">
        <v>1361</v>
      </c>
      <c r="D6771" s="4" t="s">
        <v>14840</v>
      </c>
      <c r="E6771" s="3" t="s">
        <v>1218</v>
      </c>
      <c r="F6771" s="3" t="s">
        <v>1358</v>
      </c>
      <c r="G6771" s="3" t="s">
        <v>321</v>
      </c>
      <c r="H6771" s="4"/>
    </row>
    <row r="6772" ht="16.5" customHeight="1" spans="1:8">
      <c r="A6772" s="3">
        <v>6771</v>
      </c>
      <c r="B6772" s="3" t="s">
        <v>14841</v>
      </c>
      <c r="C6772" s="3" t="s">
        <v>1361</v>
      </c>
      <c r="D6772" s="4" t="s">
        <v>14842</v>
      </c>
      <c r="E6772" s="3" t="s">
        <v>1218</v>
      </c>
      <c r="F6772" s="3" t="s">
        <v>1358</v>
      </c>
      <c r="G6772" s="3" t="s">
        <v>321</v>
      </c>
      <c r="H6772" s="4"/>
    </row>
    <row r="6773" ht="16.5" customHeight="1" spans="1:8">
      <c r="A6773" s="3">
        <v>6772</v>
      </c>
      <c r="B6773" s="3" t="s">
        <v>14843</v>
      </c>
      <c r="C6773" s="3" t="s">
        <v>2163</v>
      </c>
      <c r="D6773" s="4" t="s">
        <v>14844</v>
      </c>
      <c r="E6773" s="3" t="s">
        <v>1076</v>
      </c>
      <c r="F6773" s="3" t="s">
        <v>2041</v>
      </c>
      <c r="G6773" s="3" t="s">
        <v>98</v>
      </c>
      <c r="H6773" s="4" t="s">
        <v>12433</v>
      </c>
    </row>
    <row r="6774" ht="16.5" customHeight="1" spans="1:8">
      <c r="A6774" s="3">
        <v>6773</v>
      </c>
      <c r="B6774" s="3" t="s">
        <v>14845</v>
      </c>
      <c r="C6774" s="3" t="s">
        <v>1105</v>
      </c>
      <c r="D6774" s="4" t="s">
        <v>14846</v>
      </c>
      <c r="E6774" s="3" t="s">
        <v>1076</v>
      </c>
      <c r="F6774" s="3" t="s">
        <v>2041</v>
      </c>
      <c r="G6774" s="3"/>
      <c r="H6774" s="4" t="s">
        <v>14847</v>
      </c>
    </row>
    <row r="6775" ht="16.5" customHeight="1" spans="1:8">
      <c r="A6775" s="3">
        <v>6774</v>
      </c>
      <c r="B6775" s="3" t="s">
        <v>14848</v>
      </c>
      <c r="C6775" s="3" t="s">
        <v>2163</v>
      </c>
      <c r="D6775" s="4" t="s">
        <v>14849</v>
      </c>
      <c r="E6775" s="3" t="s">
        <v>1076</v>
      </c>
      <c r="F6775" s="3" t="s">
        <v>10943</v>
      </c>
      <c r="G6775" s="3" t="s">
        <v>98</v>
      </c>
      <c r="H6775" s="4"/>
    </row>
    <row r="6776" ht="16.5" customHeight="1" spans="1:8">
      <c r="A6776" s="3">
        <v>6775</v>
      </c>
      <c r="B6776" s="3" t="s">
        <v>14850</v>
      </c>
      <c r="C6776" s="3" t="s">
        <v>1074</v>
      </c>
      <c r="D6776" s="4" t="s">
        <v>14851</v>
      </c>
      <c r="E6776" s="3" t="s">
        <v>1218</v>
      </c>
      <c r="F6776" s="3" t="s">
        <v>8175</v>
      </c>
      <c r="G6776" s="3"/>
      <c r="H6776" s="4" t="s">
        <v>5664</v>
      </c>
    </row>
    <row r="6777" ht="16.5" customHeight="1" spans="1:8">
      <c r="A6777" s="3">
        <v>6776</v>
      </c>
      <c r="B6777" s="3" t="s">
        <v>14852</v>
      </c>
      <c r="C6777" s="3" t="s">
        <v>2163</v>
      </c>
      <c r="D6777" s="4" t="s">
        <v>14853</v>
      </c>
      <c r="E6777" s="3" t="s">
        <v>1076</v>
      </c>
      <c r="F6777" s="3" t="s">
        <v>2041</v>
      </c>
      <c r="G6777" s="3" t="s">
        <v>98</v>
      </c>
      <c r="H6777" s="4" t="s">
        <v>12433</v>
      </c>
    </row>
    <row r="6778" ht="16.5" customHeight="1" spans="1:8">
      <c r="A6778" s="3">
        <v>6777</v>
      </c>
      <c r="B6778" s="3" t="s">
        <v>14854</v>
      </c>
      <c r="C6778" s="3" t="s">
        <v>2163</v>
      </c>
      <c r="D6778" s="4" t="s">
        <v>14855</v>
      </c>
      <c r="E6778" s="3" t="s">
        <v>1076</v>
      </c>
      <c r="F6778" s="3" t="s">
        <v>2041</v>
      </c>
      <c r="G6778" s="3" t="s">
        <v>98</v>
      </c>
      <c r="H6778" s="4" t="s">
        <v>12433</v>
      </c>
    </row>
    <row r="6779" ht="16.5" customHeight="1" spans="1:8">
      <c r="A6779" s="3">
        <v>6778</v>
      </c>
      <c r="B6779" s="3" t="s">
        <v>14856</v>
      </c>
      <c r="C6779" s="3" t="s">
        <v>2163</v>
      </c>
      <c r="D6779" s="4" t="s">
        <v>14857</v>
      </c>
      <c r="E6779" s="3" t="s">
        <v>1076</v>
      </c>
      <c r="F6779" s="3" t="s">
        <v>6994</v>
      </c>
      <c r="G6779" s="3" t="s">
        <v>321</v>
      </c>
      <c r="H6779" s="4" t="s">
        <v>1084</v>
      </c>
    </row>
    <row r="6780" ht="16.5" customHeight="1" spans="1:8">
      <c r="A6780" s="3">
        <v>6779</v>
      </c>
      <c r="B6780" s="3" t="s">
        <v>14858</v>
      </c>
      <c r="C6780" s="3" t="s">
        <v>2163</v>
      </c>
      <c r="D6780" s="4" t="s">
        <v>14859</v>
      </c>
      <c r="E6780" s="3" t="s">
        <v>1076</v>
      </c>
      <c r="F6780" s="3" t="s">
        <v>2041</v>
      </c>
      <c r="G6780" s="3" t="s">
        <v>98</v>
      </c>
      <c r="H6780" s="4" t="s">
        <v>12433</v>
      </c>
    </row>
    <row r="6781" ht="16.5" customHeight="1" spans="1:8">
      <c r="A6781" s="3">
        <v>6780</v>
      </c>
      <c r="B6781" s="3" t="s">
        <v>14860</v>
      </c>
      <c r="C6781" s="3" t="s">
        <v>1105</v>
      </c>
      <c r="D6781" s="4" t="s">
        <v>14861</v>
      </c>
      <c r="E6781" s="3" t="s">
        <v>1076</v>
      </c>
      <c r="F6781" s="3" t="s">
        <v>4120</v>
      </c>
      <c r="G6781" s="3"/>
      <c r="H6781" s="4" t="s">
        <v>14862</v>
      </c>
    </row>
    <row r="6782" ht="16.5" customHeight="1" spans="1:8">
      <c r="A6782" s="3">
        <v>6781</v>
      </c>
      <c r="B6782" s="3" t="s">
        <v>14863</v>
      </c>
      <c r="C6782" s="3" t="s">
        <v>1105</v>
      </c>
      <c r="D6782" s="4" t="s">
        <v>14864</v>
      </c>
      <c r="E6782" s="3" t="s">
        <v>1076</v>
      </c>
      <c r="F6782" s="3" t="s">
        <v>4120</v>
      </c>
      <c r="G6782" s="3"/>
      <c r="H6782" s="4" t="s">
        <v>14862</v>
      </c>
    </row>
    <row r="6783" ht="16.5" customHeight="1" spans="1:8">
      <c r="A6783" s="3">
        <v>6782</v>
      </c>
      <c r="B6783" s="3" t="s">
        <v>14865</v>
      </c>
      <c r="C6783" s="3" t="s">
        <v>1105</v>
      </c>
      <c r="D6783" s="4" t="s">
        <v>14866</v>
      </c>
      <c r="E6783" s="3" t="s">
        <v>1076</v>
      </c>
      <c r="F6783" s="3" t="s">
        <v>4120</v>
      </c>
      <c r="G6783" s="3"/>
      <c r="H6783" s="4" t="s">
        <v>14862</v>
      </c>
    </row>
    <row r="6784" ht="16.5" customHeight="1" spans="1:8">
      <c r="A6784" s="3">
        <v>6783</v>
      </c>
      <c r="B6784" s="3" t="s">
        <v>14867</v>
      </c>
      <c r="C6784" s="3" t="s">
        <v>2163</v>
      </c>
      <c r="D6784" s="4" t="s">
        <v>14868</v>
      </c>
      <c r="E6784" s="3" t="s">
        <v>3093</v>
      </c>
      <c r="F6784" s="3" t="s">
        <v>2041</v>
      </c>
      <c r="G6784" s="3" t="s">
        <v>98</v>
      </c>
      <c r="H6784" s="4" t="s">
        <v>3812</v>
      </c>
    </row>
    <row r="6785" ht="16.5" customHeight="1" spans="1:8">
      <c r="A6785" s="3">
        <v>6784</v>
      </c>
      <c r="B6785" s="3" t="s">
        <v>14869</v>
      </c>
      <c r="C6785" s="3" t="s">
        <v>1099</v>
      </c>
      <c r="D6785" s="4" t="s">
        <v>14870</v>
      </c>
      <c r="E6785" s="3" t="s">
        <v>1218</v>
      </c>
      <c r="F6785" s="3" t="s">
        <v>10259</v>
      </c>
      <c r="G6785" s="3"/>
      <c r="H6785" s="4"/>
    </row>
    <row r="6786" ht="16.5" customHeight="1" spans="1:8">
      <c r="A6786" s="3">
        <v>6785</v>
      </c>
      <c r="B6786" s="3" t="s">
        <v>14871</v>
      </c>
      <c r="C6786" s="3" t="s">
        <v>2163</v>
      </c>
      <c r="D6786" s="4" t="s">
        <v>14872</v>
      </c>
      <c r="E6786" s="3" t="s">
        <v>2726</v>
      </c>
      <c r="F6786" s="3" t="s">
        <v>10943</v>
      </c>
      <c r="G6786" s="3" t="s">
        <v>98</v>
      </c>
      <c r="H6786" s="4" t="s">
        <v>12433</v>
      </c>
    </row>
    <row r="6787" ht="16.5" customHeight="1" spans="1:8">
      <c r="A6787" s="3">
        <v>6786</v>
      </c>
      <c r="B6787" s="3" t="s">
        <v>14873</v>
      </c>
      <c r="C6787" s="3" t="s">
        <v>2163</v>
      </c>
      <c r="D6787" s="4" t="s">
        <v>14874</v>
      </c>
      <c r="E6787" s="3" t="s">
        <v>2726</v>
      </c>
      <c r="F6787" s="3" t="s">
        <v>10943</v>
      </c>
      <c r="G6787" s="3" t="s">
        <v>98</v>
      </c>
      <c r="H6787" s="4"/>
    </row>
    <row r="6788" ht="16.5" customHeight="1" spans="1:8">
      <c r="A6788" s="3">
        <v>6787</v>
      </c>
      <c r="B6788" s="3" t="s">
        <v>14875</v>
      </c>
      <c r="C6788" s="3" t="s">
        <v>2163</v>
      </c>
      <c r="D6788" s="4" t="s">
        <v>14876</v>
      </c>
      <c r="E6788" s="3" t="s">
        <v>1076</v>
      </c>
      <c r="F6788" s="3" t="s">
        <v>6994</v>
      </c>
      <c r="G6788" s="3" t="s">
        <v>321</v>
      </c>
      <c r="H6788" s="4" t="s">
        <v>2050</v>
      </c>
    </row>
    <row r="6789" ht="16.5" customHeight="1" spans="1:8">
      <c r="A6789" s="3">
        <v>6788</v>
      </c>
      <c r="B6789" s="3" t="s">
        <v>14877</v>
      </c>
      <c r="C6789" s="3" t="s">
        <v>1105</v>
      </c>
      <c r="D6789" s="4" t="s">
        <v>11704</v>
      </c>
      <c r="E6789" s="3" t="s">
        <v>1218</v>
      </c>
      <c r="F6789" s="3" t="s">
        <v>10943</v>
      </c>
      <c r="G6789" s="3"/>
      <c r="H6789" s="4" t="s">
        <v>14862</v>
      </c>
    </row>
    <row r="6790" ht="16.5" customHeight="1" spans="1:8">
      <c r="A6790" s="3">
        <v>6789</v>
      </c>
      <c r="B6790" s="3" t="s">
        <v>14878</v>
      </c>
      <c r="C6790" s="3" t="s">
        <v>1356</v>
      </c>
      <c r="D6790" s="4" t="s">
        <v>14879</v>
      </c>
      <c r="E6790" s="3" t="s">
        <v>2726</v>
      </c>
      <c r="F6790" s="3" t="s">
        <v>1152</v>
      </c>
      <c r="G6790" s="3"/>
      <c r="H6790" s="4"/>
    </row>
    <row r="6791" ht="16.5" customHeight="1" spans="1:8">
      <c r="A6791" s="3">
        <v>6790</v>
      </c>
      <c r="B6791" s="3" t="s">
        <v>14880</v>
      </c>
      <c r="C6791" s="3" t="s">
        <v>1105</v>
      </c>
      <c r="D6791" s="4" t="s">
        <v>14881</v>
      </c>
      <c r="E6791" s="3" t="s">
        <v>1076</v>
      </c>
      <c r="F6791" s="3" t="s">
        <v>14882</v>
      </c>
      <c r="G6791" s="3"/>
      <c r="H6791" s="4" t="s">
        <v>14883</v>
      </c>
    </row>
    <row r="6792" ht="16.5" customHeight="1" spans="1:8">
      <c r="A6792" s="3">
        <v>6791</v>
      </c>
      <c r="B6792" s="3" t="s">
        <v>14884</v>
      </c>
      <c r="C6792" s="3" t="s">
        <v>1105</v>
      </c>
      <c r="D6792" s="4" t="s">
        <v>14885</v>
      </c>
      <c r="E6792" s="3" t="s">
        <v>1076</v>
      </c>
      <c r="F6792" s="3" t="s">
        <v>14882</v>
      </c>
      <c r="G6792" s="3"/>
      <c r="H6792" s="4" t="s">
        <v>14883</v>
      </c>
    </row>
    <row r="6793" ht="16.5" customHeight="1" spans="1:8">
      <c r="A6793" s="3">
        <v>6792</v>
      </c>
      <c r="B6793" s="3" t="s">
        <v>14886</v>
      </c>
      <c r="C6793" s="3" t="s">
        <v>2163</v>
      </c>
      <c r="D6793" s="4" t="s">
        <v>14887</v>
      </c>
      <c r="E6793" s="3" t="s">
        <v>5779</v>
      </c>
      <c r="F6793" s="3" t="s">
        <v>10943</v>
      </c>
      <c r="G6793" s="3" t="s">
        <v>98</v>
      </c>
      <c r="H6793" s="4"/>
    </row>
    <row r="6794" ht="16.5" customHeight="1" spans="1:8">
      <c r="A6794" s="3">
        <v>6793</v>
      </c>
      <c r="B6794" s="3" t="s">
        <v>14888</v>
      </c>
      <c r="C6794" s="3" t="s">
        <v>1105</v>
      </c>
      <c r="D6794" s="4" t="s">
        <v>14889</v>
      </c>
      <c r="E6794" s="3" t="s">
        <v>1076</v>
      </c>
      <c r="F6794" s="3" t="s">
        <v>14882</v>
      </c>
      <c r="G6794" s="3"/>
      <c r="H6794" s="4" t="s">
        <v>14883</v>
      </c>
    </row>
    <row r="6795" ht="16.5" customHeight="1" spans="1:8">
      <c r="A6795" s="3">
        <v>6794</v>
      </c>
      <c r="B6795" s="3" t="s">
        <v>14890</v>
      </c>
      <c r="C6795" s="3" t="s">
        <v>1356</v>
      </c>
      <c r="D6795" s="4" t="s">
        <v>14891</v>
      </c>
      <c r="E6795" s="3" t="s">
        <v>1076</v>
      </c>
      <c r="F6795" s="3" t="s">
        <v>10259</v>
      </c>
      <c r="G6795" s="3"/>
      <c r="H6795" s="4" t="s">
        <v>3812</v>
      </c>
    </row>
    <row r="6796" ht="16.5" customHeight="1" spans="1:8">
      <c r="A6796" s="3">
        <v>6795</v>
      </c>
      <c r="B6796" s="3" t="s">
        <v>14892</v>
      </c>
      <c r="C6796" s="3" t="s">
        <v>1356</v>
      </c>
      <c r="D6796" s="4" t="s">
        <v>14893</v>
      </c>
      <c r="E6796" s="3" t="s">
        <v>1076</v>
      </c>
      <c r="F6796" s="3" t="s">
        <v>10259</v>
      </c>
      <c r="G6796" s="3"/>
      <c r="H6796" s="4" t="s">
        <v>3812</v>
      </c>
    </row>
    <row r="6797" ht="16.5" customHeight="1" spans="1:8">
      <c r="A6797" s="3">
        <v>6796</v>
      </c>
      <c r="B6797" s="3" t="s">
        <v>14894</v>
      </c>
      <c r="C6797" s="3" t="s">
        <v>1356</v>
      </c>
      <c r="D6797" s="4" t="s">
        <v>14895</v>
      </c>
      <c r="E6797" s="3" t="s">
        <v>1076</v>
      </c>
      <c r="F6797" s="3" t="s">
        <v>10259</v>
      </c>
      <c r="G6797" s="3"/>
      <c r="H6797" s="4" t="s">
        <v>5664</v>
      </c>
    </row>
    <row r="6798" ht="16.5" customHeight="1" spans="1:8">
      <c r="A6798" s="3">
        <v>6797</v>
      </c>
      <c r="B6798" s="3" t="s">
        <v>14896</v>
      </c>
      <c r="C6798" s="3" t="s">
        <v>1356</v>
      </c>
      <c r="D6798" s="4" t="s">
        <v>14897</v>
      </c>
      <c r="E6798" s="3" t="s">
        <v>1076</v>
      </c>
      <c r="F6798" s="3" t="s">
        <v>10259</v>
      </c>
      <c r="G6798" s="3"/>
      <c r="H6798" s="4" t="s">
        <v>3812</v>
      </c>
    </row>
    <row r="6799" ht="16.5" customHeight="1" spans="1:8">
      <c r="A6799" s="3">
        <v>6798</v>
      </c>
      <c r="B6799" s="3" t="s">
        <v>14898</v>
      </c>
      <c r="C6799" s="3" t="s">
        <v>2163</v>
      </c>
      <c r="D6799" s="4" t="s">
        <v>14899</v>
      </c>
      <c r="E6799" s="3" t="s">
        <v>2726</v>
      </c>
      <c r="F6799" s="3" t="s">
        <v>1358</v>
      </c>
      <c r="G6799" s="3" t="s">
        <v>321</v>
      </c>
      <c r="H6799" s="4"/>
    </row>
    <row r="6800" ht="16.5" customHeight="1" spans="1:8">
      <c r="A6800" s="3">
        <v>6799</v>
      </c>
      <c r="B6800" s="3" t="s">
        <v>14900</v>
      </c>
      <c r="C6800" s="3" t="s">
        <v>2163</v>
      </c>
      <c r="D6800" s="4" t="s">
        <v>14901</v>
      </c>
      <c r="E6800" s="3" t="s">
        <v>5779</v>
      </c>
      <c r="F6800" s="3" t="s">
        <v>10943</v>
      </c>
      <c r="G6800" s="3" t="s">
        <v>98</v>
      </c>
      <c r="H6800" s="4"/>
    </row>
    <row r="6801" ht="16.5" customHeight="1" spans="1:8">
      <c r="A6801" s="3">
        <v>6800</v>
      </c>
      <c r="B6801" s="3" t="s">
        <v>14902</v>
      </c>
      <c r="C6801" s="3" t="s">
        <v>2163</v>
      </c>
      <c r="D6801" s="4" t="s">
        <v>14903</v>
      </c>
      <c r="E6801" s="3" t="s">
        <v>1076</v>
      </c>
      <c r="F6801" s="3" t="s">
        <v>10943</v>
      </c>
      <c r="G6801" s="3" t="s">
        <v>98</v>
      </c>
      <c r="H6801" s="4"/>
    </row>
    <row r="6802" ht="16.5" customHeight="1" spans="1:8">
      <c r="A6802" s="3">
        <v>6801</v>
      </c>
      <c r="B6802" s="3" t="s">
        <v>14904</v>
      </c>
      <c r="C6802" s="3" t="s">
        <v>2163</v>
      </c>
      <c r="D6802" s="4" t="s">
        <v>14905</v>
      </c>
      <c r="E6802" s="3" t="s">
        <v>5779</v>
      </c>
      <c r="F6802" s="3" t="s">
        <v>10943</v>
      </c>
      <c r="G6802" s="3" t="s">
        <v>98</v>
      </c>
      <c r="H6802" s="4"/>
    </row>
    <row r="6803" ht="16.5" customHeight="1" spans="1:8">
      <c r="A6803" s="3">
        <v>6802</v>
      </c>
      <c r="B6803" s="3" t="s">
        <v>14906</v>
      </c>
      <c r="C6803" s="3" t="s">
        <v>1105</v>
      </c>
      <c r="D6803" s="4" t="s">
        <v>14801</v>
      </c>
      <c r="E6803" s="3" t="s">
        <v>1076</v>
      </c>
      <c r="F6803" s="3" t="s">
        <v>1358</v>
      </c>
      <c r="G6803" s="3"/>
      <c r="H6803" s="4" t="s">
        <v>14907</v>
      </c>
    </row>
    <row r="6804" ht="16.5" customHeight="1" spans="1:8">
      <c r="A6804" s="3">
        <v>6803</v>
      </c>
      <c r="B6804" s="3" t="s">
        <v>14908</v>
      </c>
      <c r="C6804" s="3" t="s">
        <v>2163</v>
      </c>
      <c r="D6804" s="4" t="s">
        <v>14909</v>
      </c>
      <c r="E6804" s="3" t="s">
        <v>1076</v>
      </c>
      <c r="F6804" s="3" t="s">
        <v>6994</v>
      </c>
      <c r="G6804" s="3" t="s">
        <v>321</v>
      </c>
      <c r="H6804" s="4" t="s">
        <v>1084</v>
      </c>
    </row>
    <row r="6805" ht="16.5" customHeight="1" spans="1:8">
      <c r="A6805" s="3">
        <v>6804</v>
      </c>
      <c r="B6805" s="3" t="s">
        <v>14910</v>
      </c>
      <c r="C6805" s="3" t="s">
        <v>1105</v>
      </c>
      <c r="D6805" s="4" t="s">
        <v>14911</v>
      </c>
      <c r="E6805" s="3" t="s">
        <v>1076</v>
      </c>
      <c r="F6805" s="3" t="s">
        <v>2041</v>
      </c>
      <c r="G6805" s="3"/>
      <c r="H6805" s="4" t="s">
        <v>14708</v>
      </c>
    </row>
    <row r="6806" ht="16.5" customHeight="1" spans="1:8">
      <c r="A6806" s="3">
        <v>6805</v>
      </c>
      <c r="B6806" s="3" t="s">
        <v>14912</v>
      </c>
      <c r="C6806" s="3" t="s">
        <v>1105</v>
      </c>
      <c r="D6806" s="4" t="s">
        <v>14913</v>
      </c>
      <c r="E6806" s="3" t="s">
        <v>1218</v>
      </c>
      <c r="F6806" s="3" t="s">
        <v>2041</v>
      </c>
      <c r="G6806" s="3"/>
      <c r="H6806" s="4" t="s">
        <v>14862</v>
      </c>
    </row>
    <row r="6807" ht="16.5" customHeight="1" spans="1:8">
      <c r="A6807" s="3">
        <v>6806</v>
      </c>
      <c r="B6807" s="3" t="s">
        <v>14914</v>
      </c>
      <c r="C6807" s="3" t="s">
        <v>1074</v>
      </c>
      <c r="D6807" s="4" t="s">
        <v>14915</v>
      </c>
      <c r="E6807" s="3" t="s">
        <v>1076</v>
      </c>
      <c r="F6807" s="3" t="s">
        <v>10259</v>
      </c>
      <c r="G6807" s="3"/>
      <c r="H6807" s="4" t="s">
        <v>7240</v>
      </c>
    </row>
    <row r="6808" ht="16.5" customHeight="1" spans="1:8">
      <c r="A6808" s="3">
        <v>6807</v>
      </c>
      <c r="B6808" s="3" t="s">
        <v>14916</v>
      </c>
      <c r="C6808" s="3" t="s">
        <v>1074</v>
      </c>
      <c r="D6808" s="4" t="s">
        <v>14917</v>
      </c>
      <c r="E6808" s="3" t="s">
        <v>1076</v>
      </c>
      <c r="F6808" s="3" t="s">
        <v>10259</v>
      </c>
      <c r="G6808" s="3"/>
      <c r="H6808" s="4" t="s">
        <v>7240</v>
      </c>
    </row>
    <row r="6809" ht="16.5" customHeight="1" spans="1:8">
      <c r="A6809" s="3">
        <v>6808</v>
      </c>
      <c r="B6809" s="3" t="s">
        <v>14918</v>
      </c>
      <c r="C6809" s="3" t="s">
        <v>1074</v>
      </c>
      <c r="D6809" s="4" t="s">
        <v>14919</v>
      </c>
      <c r="E6809" s="3" t="s">
        <v>1076</v>
      </c>
      <c r="F6809" s="3" t="s">
        <v>10259</v>
      </c>
      <c r="G6809" s="3"/>
      <c r="H6809" s="4" t="s">
        <v>5664</v>
      </c>
    </row>
    <row r="6810" ht="16.5" customHeight="1" spans="1:8">
      <c r="A6810" s="3">
        <v>6809</v>
      </c>
      <c r="B6810" s="3" t="s">
        <v>14920</v>
      </c>
      <c r="C6810" s="3" t="s">
        <v>2163</v>
      </c>
      <c r="D6810" s="4" t="s">
        <v>14921</v>
      </c>
      <c r="E6810" s="3" t="s">
        <v>1076</v>
      </c>
      <c r="F6810" s="3" t="s">
        <v>6994</v>
      </c>
      <c r="G6810" s="3" t="s">
        <v>321</v>
      </c>
      <c r="H6810" s="4" t="s">
        <v>4005</v>
      </c>
    </row>
    <row r="6811" ht="16.5" customHeight="1" spans="1:8">
      <c r="A6811" s="3">
        <v>6810</v>
      </c>
      <c r="B6811" s="3" t="s">
        <v>14922</v>
      </c>
      <c r="C6811" s="3" t="s">
        <v>1105</v>
      </c>
      <c r="D6811" s="4" t="s">
        <v>14923</v>
      </c>
      <c r="E6811" s="3" t="s">
        <v>1076</v>
      </c>
      <c r="F6811" s="3" t="s">
        <v>10259</v>
      </c>
      <c r="G6811" s="3"/>
      <c r="H6811" s="4" t="s">
        <v>14924</v>
      </c>
    </row>
    <row r="6812" ht="16.5" customHeight="1" spans="1:8">
      <c r="A6812" s="3">
        <v>6811</v>
      </c>
      <c r="B6812" s="3" t="s">
        <v>14925</v>
      </c>
      <c r="C6812" s="3" t="s">
        <v>1105</v>
      </c>
      <c r="D6812" s="4" t="s">
        <v>14926</v>
      </c>
      <c r="E6812" s="3" t="s">
        <v>1076</v>
      </c>
      <c r="F6812" s="3" t="s">
        <v>10259</v>
      </c>
      <c r="G6812" s="3"/>
      <c r="H6812" s="4" t="s">
        <v>14924</v>
      </c>
    </row>
    <row r="6813" ht="16.5" customHeight="1" spans="1:8">
      <c r="A6813" s="3">
        <v>6812</v>
      </c>
      <c r="B6813" s="3" t="s">
        <v>14927</v>
      </c>
      <c r="C6813" s="3" t="s">
        <v>1105</v>
      </c>
      <c r="D6813" s="4" t="s">
        <v>14928</v>
      </c>
      <c r="E6813" s="3" t="s">
        <v>1076</v>
      </c>
      <c r="F6813" s="3" t="s">
        <v>10259</v>
      </c>
      <c r="G6813" s="3"/>
      <c r="H6813" s="4" t="s">
        <v>14924</v>
      </c>
    </row>
    <row r="6814" ht="16.5" customHeight="1" spans="1:8">
      <c r="A6814" s="3">
        <v>6813</v>
      </c>
      <c r="B6814" s="3" t="s">
        <v>14929</v>
      </c>
      <c r="C6814" s="3" t="s">
        <v>2163</v>
      </c>
      <c r="D6814" s="4" t="s">
        <v>14930</v>
      </c>
      <c r="E6814" s="3" t="s">
        <v>1076</v>
      </c>
      <c r="F6814" s="3" t="s">
        <v>1358</v>
      </c>
      <c r="G6814" s="3" t="s">
        <v>321</v>
      </c>
      <c r="H6814" s="4"/>
    </row>
    <row r="6815" ht="16.5" customHeight="1" spans="1:8">
      <c r="A6815" s="3">
        <v>6814</v>
      </c>
      <c r="B6815" s="3" t="s">
        <v>14931</v>
      </c>
      <c r="C6815" s="3" t="s">
        <v>2163</v>
      </c>
      <c r="D6815" s="4" t="s">
        <v>14932</v>
      </c>
      <c r="E6815" s="3" t="s">
        <v>1076</v>
      </c>
      <c r="F6815" s="3" t="s">
        <v>2041</v>
      </c>
      <c r="G6815" s="3" t="s">
        <v>98</v>
      </c>
      <c r="H6815" s="4" t="s">
        <v>1843</v>
      </c>
    </row>
    <row r="6816" ht="16.5" customHeight="1" spans="1:8">
      <c r="A6816" s="3">
        <v>6815</v>
      </c>
      <c r="B6816" s="3" t="s">
        <v>14933</v>
      </c>
      <c r="C6816" s="3" t="s">
        <v>2163</v>
      </c>
      <c r="D6816" s="4" t="s">
        <v>14934</v>
      </c>
      <c r="E6816" s="3" t="s">
        <v>1076</v>
      </c>
      <c r="F6816" s="3" t="s">
        <v>2041</v>
      </c>
      <c r="G6816" s="3" t="s">
        <v>321</v>
      </c>
      <c r="H6816" s="4" t="s">
        <v>1843</v>
      </c>
    </row>
    <row r="6817" ht="16.5" customHeight="1" spans="1:8">
      <c r="A6817" s="3">
        <v>6816</v>
      </c>
      <c r="B6817" s="3" t="s">
        <v>14935</v>
      </c>
      <c r="C6817" s="3" t="s">
        <v>1105</v>
      </c>
      <c r="D6817" s="4" t="s">
        <v>14936</v>
      </c>
      <c r="E6817" s="3" t="s">
        <v>1076</v>
      </c>
      <c r="F6817" s="3" t="s">
        <v>12241</v>
      </c>
      <c r="G6817" s="3"/>
      <c r="H6817" s="4" t="s">
        <v>14937</v>
      </c>
    </row>
    <row r="6818" ht="16.5" customHeight="1" spans="1:8">
      <c r="A6818" s="3">
        <v>6817</v>
      </c>
      <c r="B6818" s="3" t="s">
        <v>14938</v>
      </c>
      <c r="C6818" s="3" t="s">
        <v>1105</v>
      </c>
      <c r="D6818" s="4" t="s">
        <v>14939</v>
      </c>
      <c r="E6818" s="3" t="s">
        <v>1076</v>
      </c>
      <c r="F6818" s="3" t="s">
        <v>12241</v>
      </c>
      <c r="G6818" s="3"/>
      <c r="H6818" s="4" t="s">
        <v>14937</v>
      </c>
    </row>
    <row r="6819" ht="16.5" customHeight="1" spans="1:8">
      <c r="A6819" s="3">
        <v>6818</v>
      </c>
      <c r="B6819" s="3" t="s">
        <v>14940</v>
      </c>
      <c r="C6819" s="3" t="s">
        <v>1105</v>
      </c>
      <c r="D6819" s="4" t="s">
        <v>14941</v>
      </c>
      <c r="E6819" s="3" t="s">
        <v>1218</v>
      </c>
      <c r="F6819" s="3" t="s">
        <v>11431</v>
      </c>
      <c r="G6819" s="3"/>
      <c r="H6819" s="4" t="s">
        <v>14749</v>
      </c>
    </row>
    <row r="6820" ht="16.5" customHeight="1" spans="1:8">
      <c r="A6820" s="3">
        <v>6819</v>
      </c>
      <c r="B6820" s="3" t="s">
        <v>14942</v>
      </c>
      <c r="C6820" s="3" t="s">
        <v>1105</v>
      </c>
      <c r="D6820" s="4" t="s">
        <v>14943</v>
      </c>
      <c r="E6820" s="3" t="s">
        <v>1076</v>
      </c>
      <c r="F6820" s="3" t="s">
        <v>12241</v>
      </c>
      <c r="G6820" s="3"/>
      <c r="H6820" s="4" t="s">
        <v>14944</v>
      </c>
    </row>
    <row r="6821" ht="16.5" customHeight="1" spans="1:8">
      <c r="A6821" s="3">
        <v>6820</v>
      </c>
      <c r="B6821" s="3" t="s">
        <v>14945</v>
      </c>
      <c r="C6821" s="3" t="s">
        <v>1105</v>
      </c>
      <c r="D6821" s="4" t="s">
        <v>14946</v>
      </c>
      <c r="E6821" s="3" t="s">
        <v>1076</v>
      </c>
      <c r="F6821" s="3" t="s">
        <v>12241</v>
      </c>
      <c r="G6821" s="3"/>
      <c r="H6821" s="4" t="s">
        <v>14944</v>
      </c>
    </row>
    <row r="6822" ht="16.5" customHeight="1" spans="1:8">
      <c r="A6822" s="3">
        <v>6821</v>
      </c>
      <c r="B6822" s="3" t="s">
        <v>14947</v>
      </c>
      <c r="C6822" s="3" t="s">
        <v>1074</v>
      </c>
      <c r="D6822" s="4" t="s">
        <v>14948</v>
      </c>
      <c r="E6822" s="3" t="s">
        <v>1218</v>
      </c>
      <c r="F6822" s="3" t="s">
        <v>1152</v>
      </c>
      <c r="G6822" s="3"/>
      <c r="H6822" s="4"/>
    </row>
    <row r="6823" ht="16.5" customHeight="1" spans="1:8">
      <c r="A6823" s="3">
        <v>6822</v>
      </c>
      <c r="B6823" s="3" t="s">
        <v>14949</v>
      </c>
      <c r="C6823" s="3" t="s">
        <v>1074</v>
      </c>
      <c r="D6823" s="4" t="s">
        <v>14950</v>
      </c>
      <c r="E6823" s="3" t="s">
        <v>1164</v>
      </c>
      <c r="F6823" s="3" t="s">
        <v>1152</v>
      </c>
      <c r="G6823" s="3"/>
      <c r="H6823" s="4" t="s">
        <v>5293</v>
      </c>
    </row>
    <row r="6824" ht="16.5" customHeight="1" spans="1:8">
      <c r="A6824" s="3">
        <v>6823</v>
      </c>
      <c r="B6824" s="3" t="s">
        <v>14951</v>
      </c>
      <c r="C6824" s="3" t="s">
        <v>1074</v>
      </c>
      <c r="D6824" s="4" t="s">
        <v>14952</v>
      </c>
      <c r="E6824" s="3" t="s">
        <v>2726</v>
      </c>
      <c r="F6824" s="3" t="s">
        <v>1152</v>
      </c>
      <c r="G6824" s="3"/>
      <c r="H6824" s="4" t="s">
        <v>5293</v>
      </c>
    </row>
    <row r="6825" ht="16.5" customHeight="1" spans="1:8">
      <c r="A6825" s="3">
        <v>6824</v>
      </c>
      <c r="B6825" s="3" t="s">
        <v>14953</v>
      </c>
      <c r="C6825" s="3" t="s">
        <v>1074</v>
      </c>
      <c r="D6825" s="4" t="s">
        <v>14954</v>
      </c>
      <c r="E6825" s="3" t="s">
        <v>2726</v>
      </c>
      <c r="F6825" s="3" t="s">
        <v>1152</v>
      </c>
      <c r="G6825" s="3"/>
      <c r="H6825" s="4" t="s">
        <v>5293</v>
      </c>
    </row>
    <row r="6826" ht="16.5" customHeight="1" spans="1:8">
      <c r="A6826" s="3">
        <v>6825</v>
      </c>
      <c r="B6826" s="3" t="s">
        <v>14955</v>
      </c>
      <c r="C6826" s="3" t="s">
        <v>1074</v>
      </c>
      <c r="D6826" s="4" t="s">
        <v>14956</v>
      </c>
      <c r="E6826" s="3" t="s">
        <v>1076</v>
      </c>
      <c r="F6826" s="3" t="s">
        <v>1152</v>
      </c>
      <c r="G6826" s="3"/>
      <c r="H6826" s="4" t="s">
        <v>5293</v>
      </c>
    </row>
    <row r="6827" ht="16.5" customHeight="1" spans="1:8">
      <c r="A6827" s="3">
        <v>6826</v>
      </c>
      <c r="B6827" s="3" t="s">
        <v>14957</v>
      </c>
      <c r="C6827" s="3" t="s">
        <v>1074</v>
      </c>
      <c r="D6827" s="4" t="s">
        <v>14958</v>
      </c>
      <c r="E6827" s="3" t="s">
        <v>5169</v>
      </c>
      <c r="F6827" s="3" t="s">
        <v>1152</v>
      </c>
      <c r="G6827" s="3"/>
      <c r="H6827" s="4" t="s">
        <v>5288</v>
      </c>
    </row>
    <row r="6828" ht="16.5" customHeight="1" spans="1:8">
      <c r="A6828" s="3">
        <v>6827</v>
      </c>
      <c r="B6828" s="3" t="s">
        <v>14959</v>
      </c>
      <c r="C6828" s="3" t="s">
        <v>1074</v>
      </c>
      <c r="D6828" s="4" t="s">
        <v>14960</v>
      </c>
      <c r="E6828" s="3" t="s">
        <v>1076</v>
      </c>
      <c r="F6828" s="3" t="s">
        <v>1152</v>
      </c>
      <c r="G6828" s="3"/>
      <c r="H6828" s="4" t="s">
        <v>5162</v>
      </c>
    </row>
    <row r="6829" ht="16.5" customHeight="1" spans="1:8">
      <c r="A6829" s="3">
        <v>6828</v>
      </c>
      <c r="B6829" s="3" t="s">
        <v>14961</v>
      </c>
      <c r="C6829" s="3" t="s">
        <v>1105</v>
      </c>
      <c r="D6829" s="4" t="s">
        <v>14962</v>
      </c>
      <c r="E6829" s="3" t="s">
        <v>1076</v>
      </c>
      <c r="F6829" s="3" t="s">
        <v>4120</v>
      </c>
      <c r="G6829" s="3"/>
      <c r="H6829" s="4" t="s">
        <v>14862</v>
      </c>
    </row>
    <row r="6830" ht="16.5" customHeight="1" spans="1:8">
      <c r="A6830" s="3">
        <v>6829</v>
      </c>
      <c r="B6830" s="3" t="s">
        <v>14963</v>
      </c>
      <c r="C6830" s="3" t="s">
        <v>1105</v>
      </c>
      <c r="D6830" s="4" t="s">
        <v>14964</v>
      </c>
      <c r="E6830" s="3" t="s">
        <v>13858</v>
      </c>
      <c r="F6830" s="3" t="s">
        <v>3104</v>
      </c>
      <c r="G6830" s="3"/>
      <c r="H6830" s="4" t="s">
        <v>14749</v>
      </c>
    </row>
    <row r="6831" ht="16.5" customHeight="1" spans="1:8">
      <c r="A6831" s="3">
        <v>6830</v>
      </c>
      <c r="B6831" s="3" t="s">
        <v>14965</v>
      </c>
      <c r="C6831" s="3" t="s">
        <v>2163</v>
      </c>
      <c r="D6831" s="4" t="s">
        <v>14966</v>
      </c>
      <c r="E6831" s="3" t="s">
        <v>1076</v>
      </c>
      <c r="F6831" s="3" t="s">
        <v>2041</v>
      </c>
      <c r="G6831" s="3" t="s">
        <v>321</v>
      </c>
      <c r="H6831" s="4" t="s">
        <v>1843</v>
      </c>
    </row>
    <row r="6832" ht="16.5" customHeight="1" spans="1:8">
      <c r="A6832" s="3">
        <v>6831</v>
      </c>
      <c r="B6832" s="3" t="s">
        <v>14967</v>
      </c>
      <c r="C6832" s="3" t="s">
        <v>2163</v>
      </c>
      <c r="D6832" s="4" t="s">
        <v>14968</v>
      </c>
      <c r="E6832" s="3" t="s">
        <v>1076</v>
      </c>
      <c r="F6832" s="3" t="s">
        <v>2041</v>
      </c>
      <c r="G6832" s="3" t="s">
        <v>321</v>
      </c>
      <c r="H6832" s="4" t="s">
        <v>1843</v>
      </c>
    </row>
    <row r="6833" ht="16.5" customHeight="1" spans="1:8">
      <c r="A6833" s="3">
        <v>6832</v>
      </c>
      <c r="B6833" s="3" t="s">
        <v>14969</v>
      </c>
      <c r="C6833" s="3" t="s">
        <v>2163</v>
      </c>
      <c r="D6833" s="4" t="s">
        <v>14970</v>
      </c>
      <c r="E6833" s="3" t="s">
        <v>1076</v>
      </c>
      <c r="F6833" s="3" t="s">
        <v>2041</v>
      </c>
      <c r="G6833" s="3" t="s">
        <v>321</v>
      </c>
      <c r="H6833" s="4" t="s">
        <v>1843</v>
      </c>
    </row>
    <row r="6834" ht="16.5" customHeight="1" spans="1:8">
      <c r="A6834" s="3">
        <v>6833</v>
      </c>
      <c r="B6834" s="3" t="s">
        <v>14971</v>
      </c>
      <c r="C6834" s="3" t="s">
        <v>2163</v>
      </c>
      <c r="D6834" s="4" t="s">
        <v>14972</v>
      </c>
      <c r="E6834" s="3" t="s">
        <v>1076</v>
      </c>
      <c r="F6834" s="3" t="s">
        <v>6994</v>
      </c>
      <c r="G6834" s="3" t="s">
        <v>321</v>
      </c>
      <c r="H6834" s="4" t="s">
        <v>2050</v>
      </c>
    </row>
    <row r="6835" ht="16.5" customHeight="1" spans="1:8">
      <c r="A6835" s="3">
        <v>6834</v>
      </c>
      <c r="B6835" s="3" t="s">
        <v>14973</v>
      </c>
      <c r="C6835" s="3" t="s">
        <v>2163</v>
      </c>
      <c r="D6835" s="4" t="s">
        <v>14974</v>
      </c>
      <c r="E6835" s="3" t="s">
        <v>1076</v>
      </c>
      <c r="F6835" s="3" t="s">
        <v>6994</v>
      </c>
      <c r="G6835" s="3" t="s">
        <v>321</v>
      </c>
      <c r="H6835" s="4" t="s">
        <v>2050</v>
      </c>
    </row>
    <row r="6836" ht="16.5" customHeight="1" spans="1:8">
      <c r="A6836" s="3">
        <v>6835</v>
      </c>
      <c r="B6836" s="3" t="s">
        <v>14975</v>
      </c>
      <c r="C6836" s="3" t="s">
        <v>2163</v>
      </c>
      <c r="D6836" s="4" t="s">
        <v>14976</v>
      </c>
      <c r="E6836" s="3" t="s">
        <v>1076</v>
      </c>
      <c r="F6836" s="3" t="s">
        <v>1358</v>
      </c>
      <c r="G6836" s="3" t="s">
        <v>321</v>
      </c>
      <c r="H6836" s="4"/>
    </row>
    <row r="6837" ht="16.5" customHeight="1" spans="1:8">
      <c r="A6837" s="3">
        <v>6836</v>
      </c>
      <c r="B6837" s="3" t="s">
        <v>14977</v>
      </c>
      <c r="C6837" s="3" t="s">
        <v>2163</v>
      </c>
      <c r="D6837" s="4" t="s">
        <v>14978</v>
      </c>
      <c r="E6837" s="3" t="s">
        <v>1076</v>
      </c>
      <c r="F6837" s="3" t="s">
        <v>6994</v>
      </c>
      <c r="G6837" s="3" t="s">
        <v>321</v>
      </c>
      <c r="H6837" s="4" t="s">
        <v>2050</v>
      </c>
    </row>
    <row r="6838" ht="16.5" customHeight="1" spans="1:8">
      <c r="A6838" s="3">
        <v>6837</v>
      </c>
      <c r="B6838" s="3" t="s">
        <v>14979</v>
      </c>
      <c r="C6838" s="3" t="s">
        <v>2163</v>
      </c>
      <c r="D6838" s="4" t="s">
        <v>14980</v>
      </c>
      <c r="E6838" s="3" t="s">
        <v>2263</v>
      </c>
      <c r="F6838" s="3" t="s">
        <v>1358</v>
      </c>
      <c r="G6838" s="3" t="s">
        <v>321</v>
      </c>
      <c r="H6838" s="4" t="s">
        <v>2050</v>
      </c>
    </row>
    <row r="6839" ht="16.5" customHeight="1" spans="1:8">
      <c r="A6839" s="3">
        <v>6838</v>
      </c>
      <c r="B6839" s="3" t="s">
        <v>14981</v>
      </c>
      <c r="C6839" s="3" t="s">
        <v>1105</v>
      </c>
      <c r="D6839" s="4" t="s">
        <v>14982</v>
      </c>
      <c r="E6839" s="3" t="s">
        <v>1218</v>
      </c>
      <c r="F6839" s="3" t="s">
        <v>14882</v>
      </c>
      <c r="G6839" s="3"/>
      <c r="H6839" s="4" t="s">
        <v>14883</v>
      </c>
    </row>
    <row r="6840" ht="16.5" customHeight="1" spans="1:8">
      <c r="A6840" s="3">
        <v>6839</v>
      </c>
      <c r="B6840" s="3" t="s">
        <v>14983</v>
      </c>
      <c r="C6840" s="3" t="s">
        <v>2163</v>
      </c>
      <c r="D6840" s="4" t="s">
        <v>14984</v>
      </c>
      <c r="E6840" s="3" t="s">
        <v>1076</v>
      </c>
      <c r="F6840" s="3" t="s">
        <v>2041</v>
      </c>
      <c r="G6840" s="3" t="s">
        <v>321</v>
      </c>
      <c r="H6840" s="4" t="s">
        <v>1843</v>
      </c>
    </row>
    <row r="6841" ht="16.5" customHeight="1" spans="1:8">
      <c r="A6841" s="3">
        <v>6840</v>
      </c>
      <c r="B6841" s="3" t="s">
        <v>14985</v>
      </c>
      <c r="C6841" s="3" t="s">
        <v>2163</v>
      </c>
      <c r="D6841" s="4" t="s">
        <v>14986</v>
      </c>
      <c r="E6841" s="3" t="s">
        <v>8871</v>
      </c>
      <c r="F6841" s="3" t="s">
        <v>6994</v>
      </c>
      <c r="G6841" s="3" t="s">
        <v>321</v>
      </c>
      <c r="H6841" s="4"/>
    </row>
    <row r="6842" ht="16.5" customHeight="1" spans="1:8">
      <c r="A6842" s="3">
        <v>6841</v>
      </c>
      <c r="B6842" s="3" t="s">
        <v>14987</v>
      </c>
      <c r="C6842" s="3" t="s">
        <v>2163</v>
      </c>
      <c r="D6842" s="4" t="s">
        <v>14988</v>
      </c>
      <c r="E6842" s="3" t="s">
        <v>1076</v>
      </c>
      <c r="F6842" s="3" t="s">
        <v>1358</v>
      </c>
      <c r="G6842" s="3" t="s">
        <v>321</v>
      </c>
      <c r="H6842" s="4"/>
    </row>
    <row r="6843" ht="16.5" customHeight="1" spans="1:8">
      <c r="A6843" s="3">
        <v>6842</v>
      </c>
      <c r="B6843" s="3" t="s">
        <v>14989</v>
      </c>
      <c r="C6843" s="3" t="s">
        <v>2163</v>
      </c>
      <c r="D6843" s="4" t="s">
        <v>14990</v>
      </c>
      <c r="E6843" s="3" t="s">
        <v>1076</v>
      </c>
      <c r="F6843" s="3" t="s">
        <v>10943</v>
      </c>
      <c r="G6843" s="3" t="s">
        <v>98</v>
      </c>
      <c r="H6843" s="4" t="s">
        <v>1843</v>
      </c>
    </row>
    <row r="6844" ht="16.5" customHeight="1" spans="1:8">
      <c r="A6844" s="3">
        <v>6843</v>
      </c>
      <c r="B6844" s="3" t="s">
        <v>14991</v>
      </c>
      <c r="C6844" s="3" t="s">
        <v>2163</v>
      </c>
      <c r="D6844" s="4" t="s">
        <v>14992</v>
      </c>
      <c r="E6844" s="3" t="s">
        <v>1076</v>
      </c>
      <c r="F6844" s="3" t="s">
        <v>2041</v>
      </c>
      <c r="G6844" s="3" t="s">
        <v>321</v>
      </c>
      <c r="H6844" s="4" t="s">
        <v>1843</v>
      </c>
    </row>
    <row r="6845" ht="16.5" customHeight="1" spans="1:8">
      <c r="A6845" s="3">
        <v>6844</v>
      </c>
      <c r="B6845" s="3" t="s">
        <v>14993</v>
      </c>
      <c r="C6845" s="3" t="s">
        <v>2163</v>
      </c>
      <c r="D6845" s="4" t="s">
        <v>14994</v>
      </c>
      <c r="E6845" s="3" t="s">
        <v>1076</v>
      </c>
      <c r="F6845" s="3" t="s">
        <v>1358</v>
      </c>
      <c r="G6845" s="3" t="s">
        <v>321</v>
      </c>
      <c r="H6845" s="4"/>
    </row>
    <row r="6846" ht="16.5" customHeight="1" spans="1:8">
      <c r="A6846" s="3">
        <v>6845</v>
      </c>
      <c r="B6846" s="3" t="s">
        <v>14995</v>
      </c>
      <c r="C6846" s="3" t="s">
        <v>2163</v>
      </c>
      <c r="D6846" s="4" t="s">
        <v>14996</v>
      </c>
      <c r="E6846" s="3" t="s">
        <v>2263</v>
      </c>
      <c r="F6846" s="3" t="s">
        <v>1358</v>
      </c>
      <c r="G6846" s="3" t="s">
        <v>321</v>
      </c>
      <c r="H6846" s="4"/>
    </row>
    <row r="6847" ht="16.5" customHeight="1" spans="1:8">
      <c r="A6847" s="3">
        <v>6846</v>
      </c>
      <c r="B6847" s="3" t="s">
        <v>14997</v>
      </c>
      <c r="C6847" s="3" t="s">
        <v>1105</v>
      </c>
      <c r="D6847" s="4" t="s">
        <v>14998</v>
      </c>
      <c r="E6847" s="3" t="s">
        <v>1076</v>
      </c>
      <c r="F6847" s="3" t="s">
        <v>10943</v>
      </c>
      <c r="G6847" s="3"/>
      <c r="H6847" s="4" t="s">
        <v>14944</v>
      </c>
    </row>
    <row r="6848" ht="16.5" customHeight="1" spans="1:8">
      <c r="A6848" s="3">
        <v>6847</v>
      </c>
      <c r="B6848" s="3" t="s">
        <v>14999</v>
      </c>
      <c r="C6848" s="3" t="s">
        <v>1356</v>
      </c>
      <c r="D6848" s="4" t="s">
        <v>15000</v>
      </c>
      <c r="E6848" s="3" t="s">
        <v>1164</v>
      </c>
      <c r="F6848" s="3" t="s">
        <v>4110</v>
      </c>
      <c r="G6848" s="3"/>
      <c r="H6848" s="4"/>
    </row>
    <row r="6849" ht="16.5" customHeight="1" spans="1:8">
      <c r="A6849" s="3">
        <v>6848</v>
      </c>
      <c r="B6849" s="3" t="s">
        <v>15001</v>
      </c>
      <c r="C6849" s="3" t="s">
        <v>2163</v>
      </c>
      <c r="D6849" s="4" t="s">
        <v>15002</v>
      </c>
      <c r="E6849" s="3" t="s">
        <v>1076</v>
      </c>
      <c r="F6849" s="3" t="s">
        <v>2041</v>
      </c>
      <c r="G6849" s="3" t="s">
        <v>321</v>
      </c>
      <c r="H6849" s="4" t="s">
        <v>1843</v>
      </c>
    </row>
    <row r="6850" ht="16.5" customHeight="1" spans="1:8">
      <c r="A6850" s="3">
        <v>6849</v>
      </c>
      <c r="B6850" s="3" t="s">
        <v>15003</v>
      </c>
      <c r="C6850" s="3" t="s">
        <v>1356</v>
      </c>
      <c r="D6850" s="4" t="s">
        <v>15004</v>
      </c>
      <c r="E6850" s="3" t="s">
        <v>1076</v>
      </c>
      <c r="F6850" s="3" t="s">
        <v>1152</v>
      </c>
      <c r="G6850" s="3"/>
      <c r="H6850" s="4"/>
    </row>
    <row r="6851" ht="16.5" customHeight="1" spans="1:8">
      <c r="A6851" s="3">
        <v>6850</v>
      </c>
      <c r="B6851" s="3" t="s">
        <v>15005</v>
      </c>
      <c r="C6851" s="3" t="s">
        <v>1074</v>
      </c>
      <c r="D6851" s="4" t="s">
        <v>15006</v>
      </c>
      <c r="E6851" s="3" t="s">
        <v>1076</v>
      </c>
      <c r="F6851" s="3" t="s">
        <v>8175</v>
      </c>
      <c r="G6851" s="3"/>
      <c r="H6851" s="4" t="s">
        <v>5533</v>
      </c>
    </row>
    <row r="6852" ht="16.5" customHeight="1" spans="1:8">
      <c r="A6852" s="3">
        <v>6851</v>
      </c>
      <c r="B6852" s="3" t="s">
        <v>15007</v>
      </c>
      <c r="C6852" s="3" t="s">
        <v>2163</v>
      </c>
      <c r="D6852" s="4" t="s">
        <v>15008</v>
      </c>
      <c r="E6852" s="3" t="s">
        <v>7007</v>
      </c>
      <c r="F6852" s="3" t="s">
        <v>10943</v>
      </c>
      <c r="G6852" s="3" t="s">
        <v>98</v>
      </c>
      <c r="H6852" s="4" t="s">
        <v>1843</v>
      </c>
    </row>
    <row r="6853" ht="16.5" customHeight="1" spans="1:8">
      <c r="A6853" s="3">
        <v>6852</v>
      </c>
      <c r="B6853" s="3" t="s">
        <v>15009</v>
      </c>
      <c r="C6853" s="3" t="s">
        <v>1105</v>
      </c>
      <c r="D6853" s="4" t="s">
        <v>14911</v>
      </c>
      <c r="E6853" s="3" t="s">
        <v>1076</v>
      </c>
      <c r="F6853" s="3" t="s">
        <v>2041</v>
      </c>
      <c r="G6853" s="3"/>
      <c r="H6853" s="4" t="s">
        <v>14937</v>
      </c>
    </row>
    <row r="6854" ht="16.5" customHeight="1" spans="1:8">
      <c r="A6854" s="3">
        <v>6853</v>
      </c>
      <c r="B6854" s="3" t="s">
        <v>15010</v>
      </c>
      <c r="C6854" s="3" t="s">
        <v>2163</v>
      </c>
      <c r="D6854" s="4" t="s">
        <v>15011</v>
      </c>
      <c r="E6854" s="3" t="s">
        <v>2726</v>
      </c>
      <c r="F6854" s="3" t="s">
        <v>2105</v>
      </c>
      <c r="G6854" s="3"/>
      <c r="H6854" s="4" t="s">
        <v>7240</v>
      </c>
    </row>
    <row r="6855" ht="16.5" customHeight="1" spans="1:8">
      <c r="A6855" s="3">
        <v>6854</v>
      </c>
      <c r="B6855" s="3" t="s">
        <v>15012</v>
      </c>
      <c r="C6855" s="3" t="s">
        <v>2163</v>
      </c>
      <c r="D6855" s="4" t="s">
        <v>15013</v>
      </c>
      <c r="E6855" s="3" t="s">
        <v>2726</v>
      </c>
      <c r="F6855" s="3" t="s">
        <v>11431</v>
      </c>
      <c r="G6855" s="3"/>
      <c r="H6855" s="4"/>
    </row>
    <row r="6856" ht="16.5" customHeight="1" spans="1:8">
      <c r="A6856" s="3">
        <v>6855</v>
      </c>
      <c r="B6856" s="3" t="s">
        <v>15014</v>
      </c>
      <c r="C6856" s="3" t="s">
        <v>2163</v>
      </c>
      <c r="D6856" s="4" t="s">
        <v>15015</v>
      </c>
      <c r="E6856" s="3" t="s">
        <v>1076</v>
      </c>
      <c r="F6856" s="3" t="s">
        <v>10943</v>
      </c>
      <c r="G6856" s="3" t="s">
        <v>98</v>
      </c>
      <c r="H6856" s="4"/>
    </row>
    <row r="6857" ht="16.5" customHeight="1" spans="1:8">
      <c r="A6857" s="3">
        <v>6856</v>
      </c>
      <c r="B6857" s="3" t="s">
        <v>15016</v>
      </c>
      <c r="C6857" s="3" t="s">
        <v>2163</v>
      </c>
      <c r="D6857" s="4" t="s">
        <v>15017</v>
      </c>
      <c r="E6857" s="3" t="s">
        <v>1076</v>
      </c>
      <c r="F6857" s="3" t="s">
        <v>10943</v>
      </c>
      <c r="G6857" s="3" t="s">
        <v>98</v>
      </c>
      <c r="H6857" s="4"/>
    </row>
    <row r="6858" ht="16.5" customHeight="1" spans="1:8">
      <c r="A6858" s="3">
        <v>6857</v>
      </c>
      <c r="B6858" s="3" t="s">
        <v>15018</v>
      </c>
      <c r="C6858" s="3" t="s">
        <v>1105</v>
      </c>
      <c r="D6858" s="4" t="s">
        <v>15019</v>
      </c>
      <c r="E6858" s="3" t="s">
        <v>1076</v>
      </c>
      <c r="F6858" s="3" t="s">
        <v>13456</v>
      </c>
      <c r="G6858" s="3"/>
      <c r="H6858" s="4" t="s">
        <v>13787</v>
      </c>
    </row>
    <row r="6859" ht="16.5" customHeight="1" spans="1:8">
      <c r="A6859" s="3">
        <v>6858</v>
      </c>
      <c r="B6859" s="3" t="s">
        <v>15020</v>
      </c>
      <c r="C6859" s="3" t="s">
        <v>1105</v>
      </c>
      <c r="D6859" s="4" t="s">
        <v>15021</v>
      </c>
      <c r="E6859" s="3" t="s">
        <v>1076</v>
      </c>
      <c r="F6859" s="3" t="s">
        <v>13456</v>
      </c>
      <c r="G6859" s="3"/>
      <c r="H6859" s="4" t="s">
        <v>13787</v>
      </c>
    </row>
    <row r="6860" ht="16.5" customHeight="1" spans="1:8">
      <c r="A6860" s="3">
        <v>6859</v>
      </c>
      <c r="B6860" s="3" t="s">
        <v>15022</v>
      </c>
      <c r="C6860" s="3" t="s">
        <v>1105</v>
      </c>
      <c r="D6860" s="4" t="s">
        <v>15023</v>
      </c>
      <c r="E6860" s="3" t="s">
        <v>1076</v>
      </c>
      <c r="F6860" s="3" t="s">
        <v>13456</v>
      </c>
      <c r="G6860" s="3"/>
      <c r="H6860" s="4" t="s">
        <v>13787</v>
      </c>
    </row>
    <row r="6861" ht="16.5" customHeight="1" spans="1:8">
      <c r="A6861" s="3">
        <v>6860</v>
      </c>
      <c r="B6861" s="3" t="s">
        <v>15024</v>
      </c>
      <c r="C6861" s="3" t="s">
        <v>1105</v>
      </c>
      <c r="D6861" s="4" t="s">
        <v>15025</v>
      </c>
      <c r="E6861" s="3" t="s">
        <v>1837</v>
      </c>
      <c r="F6861" s="3" t="s">
        <v>13456</v>
      </c>
      <c r="G6861" s="3"/>
      <c r="H6861" s="4" t="s">
        <v>13787</v>
      </c>
    </row>
    <row r="6862" ht="16.5" customHeight="1" spans="1:8">
      <c r="A6862" s="3">
        <v>6861</v>
      </c>
      <c r="B6862" s="3" t="s">
        <v>15026</v>
      </c>
      <c r="C6862" s="3" t="s">
        <v>2163</v>
      </c>
      <c r="D6862" s="4" t="s">
        <v>15027</v>
      </c>
      <c r="E6862" s="3" t="s">
        <v>1076</v>
      </c>
      <c r="F6862" s="3" t="s">
        <v>10943</v>
      </c>
      <c r="G6862" s="3" t="s">
        <v>98</v>
      </c>
      <c r="H6862" s="4" t="s">
        <v>1843</v>
      </c>
    </row>
    <row r="6863" ht="16.5" customHeight="1" spans="1:8">
      <c r="A6863" s="3">
        <v>6862</v>
      </c>
      <c r="B6863" s="3" t="s">
        <v>15028</v>
      </c>
      <c r="C6863" s="3" t="s">
        <v>1105</v>
      </c>
      <c r="D6863" s="4" t="s">
        <v>15029</v>
      </c>
      <c r="E6863" s="3" t="s">
        <v>13858</v>
      </c>
      <c r="F6863" s="3" t="s">
        <v>6593</v>
      </c>
      <c r="G6863" s="3"/>
      <c r="H6863" s="4" t="s">
        <v>14749</v>
      </c>
    </row>
    <row r="6864" ht="16.5" customHeight="1" spans="1:8">
      <c r="A6864" s="3">
        <v>6863</v>
      </c>
      <c r="B6864" s="3" t="s">
        <v>15030</v>
      </c>
      <c r="C6864" s="3" t="s">
        <v>1105</v>
      </c>
      <c r="D6864" s="4" t="s">
        <v>15031</v>
      </c>
      <c r="E6864" s="3" t="s">
        <v>13858</v>
      </c>
      <c r="F6864" s="3" t="s">
        <v>6593</v>
      </c>
      <c r="G6864" s="3"/>
      <c r="H6864" s="4" t="s">
        <v>14749</v>
      </c>
    </row>
    <row r="6865" ht="16.5" customHeight="1" spans="1:8">
      <c r="A6865" s="3">
        <v>6864</v>
      </c>
      <c r="B6865" s="3" t="s">
        <v>15032</v>
      </c>
      <c r="C6865" s="3" t="s">
        <v>1105</v>
      </c>
      <c r="D6865" s="4" t="s">
        <v>15033</v>
      </c>
      <c r="E6865" s="3" t="s">
        <v>1164</v>
      </c>
      <c r="F6865" s="3" t="s">
        <v>14735</v>
      </c>
      <c r="G6865" s="3"/>
      <c r="H6865" s="4" t="s">
        <v>14749</v>
      </c>
    </row>
    <row r="6866" ht="16.5" customHeight="1" spans="1:8">
      <c r="A6866" s="3">
        <v>6865</v>
      </c>
      <c r="B6866" s="3" t="s">
        <v>15034</v>
      </c>
      <c r="C6866" s="3" t="s">
        <v>1105</v>
      </c>
      <c r="D6866" s="4" t="s">
        <v>15035</v>
      </c>
      <c r="E6866" s="3" t="s">
        <v>13858</v>
      </c>
      <c r="F6866" s="3" t="s">
        <v>15036</v>
      </c>
      <c r="G6866" s="3"/>
      <c r="H6866" s="4" t="s">
        <v>14749</v>
      </c>
    </row>
    <row r="6867" ht="16.5" customHeight="1" spans="1:8">
      <c r="A6867" s="3">
        <v>6866</v>
      </c>
      <c r="B6867" s="3" t="s">
        <v>15037</v>
      </c>
      <c r="C6867" s="3" t="s">
        <v>1105</v>
      </c>
      <c r="D6867" s="4" t="s">
        <v>15038</v>
      </c>
      <c r="E6867" s="3" t="s">
        <v>13858</v>
      </c>
      <c r="F6867" s="3" t="s">
        <v>15036</v>
      </c>
      <c r="G6867" s="3"/>
      <c r="H6867" s="4" t="s">
        <v>14749</v>
      </c>
    </row>
    <row r="6868" ht="16.5" customHeight="1" spans="1:8">
      <c r="A6868" s="3">
        <v>6867</v>
      </c>
      <c r="B6868" s="3" t="s">
        <v>15039</v>
      </c>
      <c r="C6868" s="3" t="s">
        <v>1105</v>
      </c>
      <c r="D6868" s="4" t="s">
        <v>15040</v>
      </c>
      <c r="E6868" s="3" t="s">
        <v>13858</v>
      </c>
      <c r="F6868" s="3" t="s">
        <v>15036</v>
      </c>
      <c r="G6868" s="3"/>
      <c r="H6868" s="4" t="s">
        <v>14749</v>
      </c>
    </row>
    <row r="6869" ht="16.5" customHeight="1" spans="1:8">
      <c r="A6869" s="3">
        <v>6868</v>
      </c>
      <c r="B6869" s="3" t="s">
        <v>15041</v>
      </c>
      <c r="C6869" s="3" t="s">
        <v>1105</v>
      </c>
      <c r="D6869" s="4" t="s">
        <v>15042</v>
      </c>
      <c r="E6869" s="3" t="s">
        <v>13858</v>
      </c>
      <c r="F6869" s="3" t="s">
        <v>15036</v>
      </c>
      <c r="G6869" s="3"/>
      <c r="H6869" s="4" t="s">
        <v>14749</v>
      </c>
    </row>
    <row r="6870" ht="16.5" customHeight="1" spans="1:8">
      <c r="A6870" s="3">
        <v>6869</v>
      </c>
      <c r="B6870" s="3" t="s">
        <v>15043</v>
      </c>
      <c r="C6870" s="3" t="s">
        <v>1105</v>
      </c>
      <c r="D6870" s="4" t="s">
        <v>15044</v>
      </c>
      <c r="E6870" s="3" t="s">
        <v>13858</v>
      </c>
      <c r="F6870" s="3" t="s">
        <v>15036</v>
      </c>
      <c r="G6870" s="3"/>
      <c r="H6870" s="4" t="s">
        <v>14749</v>
      </c>
    </row>
    <row r="6871" ht="16.5" customHeight="1" spans="1:8">
      <c r="A6871" s="3">
        <v>6870</v>
      </c>
      <c r="B6871" s="3" t="s">
        <v>15045</v>
      </c>
      <c r="C6871" s="3" t="s">
        <v>1105</v>
      </c>
      <c r="D6871" s="4" t="s">
        <v>15046</v>
      </c>
      <c r="E6871" s="3" t="s">
        <v>13858</v>
      </c>
      <c r="F6871" s="3" t="s">
        <v>15036</v>
      </c>
      <c r="G6871" s="3"/>
      <c r="H6871" s="4" t="s">
        <v>14749</v>
      </c>
    </row>
    <row r="6872" ht="16.5" customHeight="1" spans="1:8">
      <c r="A6872" s="3">
        <v>6871</v>
      </c>
      <c r="B6872" s="3" t="s">
        <v>15047</v>
      </c>
      <c r="C6872" s="3" t="s">
        <v>1105</v>
      </c>
      <c r="D6872" s="4" t="s">
        <v>15048</v>
      </c>
      <c r="E6872" s="3" t="s">
        <v>1076</v>
      </c>
      <c r="F6872" s="3" t="s">
        <v>13748</v>
      </c>
      <c r="G6872" s="3"/>
      <c r="H6872" s="4" t="s">
        <v>12847</v>
      </c>
    </row>
    <row r="6873" ht="16.5" customHeight="1" spans="1:8">
      <c r="A6873" s="3">
        <v>6872</v>
      </c>
      <c r="B6873" s="3" t="s">
        <v>15049</v>
      </c>
      <c r="C6873" s="3" t="s">
        <v>2163</v>
      </c>
      <c r="D6873" s="4" t="s">
        <v>15050</v>
      </c>
      <c r="E6873" s="3" t="s">
        <v>2726</v>
      </c>
      <c r="F6873" s="3" t="s">
        <v>2105</v>
      </c>
      <c r="G6873" s="3"/>
      <c r="H6873" s="4" t="s">
        <v>7240</v>
      </c>
    </row>
    <row r="6874" ht="16.5" customHeight="1" spans="1:8">
      <c r="A6874" s="3">
        <v>6873</v>
      </c>
      <c r="B6874" s="3" t="s">
        <v>15051</v>
      </c>
      <c r="C6874" s="3" t="s">
        <v>2163</v>
      </c>
      <c r="D6874" s="4" t="s">
        <v>15052</v>
      </c>
      <c r="E6874" s="3" t="s">
        <v>2726</v>
      </c>
      <c r="F6874" s="3" t="s">
        <v>11431</v>
      </c>
      <c r="G6874" s="3"/>
      <c r="H6874" s="4" t="s">
        <v>7240</v>
      </c>
    </row>
    <row r="6875" ht="16.5" customHeight="1" spans="1:8">
      <c r="A6875" s="3">
        <v>6874</v>
      </c>
      <c r="B6875" s="3" t="s">
        <v>15053</v>
      </c>
      <c r="C6875" s="3" t="s">
        <v>2163</v>
      </c>
      <c r="D6875" s="4" t="s">
        <v>15054</v>
      </c>
      <c r="E6875" s="3" t="s">
        <v>9072</v>
      </c>
      <c r="F6875" s="3" t="s">
        <v>10943</v>
      </c>
      <c r="G6875" s="3" t="s">
        <v>98</v>
      </c>
      <c r="H6875" s="4"/>
    </row>
    <row r="6876" ht="16.5" customHeight="1" spans="1:8">
      <c r="A6876" s="3">
        <v>6875</v>
      </c>
      <c r="B6876" s="3" t="s">
        <v>15055</v>
      </c>
      <c r="C6876" s="3" t="s">
        <v>1105</v>
      </c>
      <c r="D6876" s="4" t="s">
        <v>15056</v>
      </c>
      <c r="E6876" s="3" t="s">
        <v>1076</v>
      </c>
      <c r="F6876" s="3" t="s">
        <v>10943</v>
      </c>
      <c r="G6876" s="3"/>
      <c r="H6876" s="4" t="s">
        <v>15057</v>
      </c>
    </row>
    <row r="6877" ht="16.5" customHeight="1" spans="1:8">
      <c r="A6877" s="3">
        <v>6876</v>
      </c>
      <c r="B6877" s="3" t="s">
        <v>15058</v>
      </c>
      <c r="C6877" s="3" t="s">
        <v>1074</v>
      </c>
      <c r="D6877" s="4" t="s">
        <v>15059</v>
      </c>
      <c r="E6877" s="3" t="s">
        <v>1076</v>
      </c>
      <c r="F6877" s="3" t="s">
        <v>10259</v>
      </c>
      <c r="G6877" s="3"/>
      <c r="H6877" s="4" t="s">
        <v>15060</v>
      </c>
    </row>
    <row r="6878" ht="16.5" customHeight="1" spans="1:8">
      <c r="A6878" s="3">
        <v>6877</v>
      </c>
      <c r="B6878" s="3" t="s">
        <v>15061</v>
      </c>
      <c r="C6878" s="3" t="s">
        <v>1105</v>
      </c>
      <c r="D6878" s="4" t="s">
        <v>15062</v>
      </c>
      <c r="E6878" s="3" t="s">
        <v>1218</v>
      </c>
      <c r="F6878" s="3" t="s">
        <v>1358</v>
      </c>
      <c r="G6878" s="3"/>
      <c r="H6878" s="4" t="s">
        <v>15063</v>
      </c>
    </row>
    <row r="6879" ht="16.5" customHeight="1" spans="1:8">
      <c r="A6879" s="3">
        <v>6878</v>
      </c>
      <c r="B6879" s="3" t="s">
        <v>15064</v>
      </c>
      <c r="C6879" s="3" t="s">
        <v>1105</v>
      </c>
      <c r="D6879" s="4" t="s">
        <v>15065</v>
      </c>
      <c r="E6879" s="3" t="s">
        <v>1218</v>
      </c>
      <c r="F6879" s="3" t="s">
        <v>11431</v>
      </c>
      <c r="G6879" s="3"/>
      <c r="H6879" s="4" t="s">
        <v>14749</v>
      </c>
    </row>
    <row r="6880" ht="16.5" customHeight="1" spans="1:8">
      <c r="A6880" s="3">
        <v>6879</v>
      </c>
      <c r="B6880" s="3" t="s">
        <v>15066</v>
      </c>
      <c r="C6880" s="3" t="s">
        <v>2163</v>
      </c>
      <c r="D6880" s="4" t="s">
        <v>15067</v>
      </c>
      <c r="E6880" s="3" t="s">
        <v>2726</v>
      </c>
      <c r="F6880" s="3" t="s">
        <v>11431</v>
      </c>
      <c r="G6880" s="3"/>
      <c r="H6880" s="4" t="s">
        <v>7240</v>
      </c>
    </row>
    <row r="6881" ht="16.5" customHeight="1" spans="1:8">
      <c r="A6881" s="3">
        <v>6880</v>
      </c>
      <c r="B6881" s="3" t="s">
        <v>15068</v>
      </c>
      <c r="C6881" s="3" t="s">
        <v>2163</v>
      </c>
      <c r="D6881" s="4" t="s">
        <v>15069</v>
      </c>
      <c r="E6881" s="3" t="s">
        <v>2726</v>
      </c>
      <c r="F6881" s="3" t="s">
        <v>2041</v>
      </c>
      <c r="G6881" s="3" t="s">
        <v>98</v>
      </c>
      <c r="H6881" s="4"/>
    </row>
    <row r="6882" ht="16.5" customHeight="1" spans="1:8">
      <c r="A6882" s="3">
        <v>6881</v>
      </c>
      <c r="B6882" s="3" t="s">
        <v>15070</v>
      </c>
      <c r="C6882" s="3" t="s">
        <v>1074</v>
      </c>
      <c r="D6882" s="4" t="s">
        <v>5117</v>
      </c>
      <c r="E6882" s="3" t="s">
        <v>1218</v>
      </c>
      <c r="F6882" s="3" t="s">
        <v>10259</v>
      </c>
      <c r="G6882" s="3"/>
      <c r="H6882" s="4" t="s">
        <v>1359</v>
      </c>
    </row>
    <row r="6883" ht="16.5" customHeight="1" spans="1:8">
      <c r="A6883" s="3">
        <v>6882</v>
      </c>
      <c r="B6883" s="3" t="s">
        <v>15071</v>
      </c>
      <c r="C6883" s="3" t="s">
        <v>1361</v>
      </c>
      <c r="D6883" s="4" t="s">
        <v>15072</v>
      </c>
      <c r="E6883" s="3" t="s">
        <v>1218</v>
      </c>
      <c r="F6883" s="3" t="s">
        <v>6994</v>
      </c>
      <c r="G6883" s="3" t="s">
        <v>321</v>
      </c>
      <c r="H6883" s="4"/>
    </row>
    <row r="6884" ht="16.5" customHeight="1" spans="1:8">
      <c r="A6884" s="3">
        <v>6883</v>
      </c>
      <c r="B6884" s="3" t="s">
        <v>15073</v>
      </c>
      <c r="C6884" s="3" t="s">
        <v>1361</v>
      </c>
      <c r="D6884" s="4" t="s">
        <v>15074</v>
      </c>
      <c r="E6884" s="3" t="s">
        <v>1218</v>
      </c>
      <c r="F6884" s="3" t="s">
        <v>6994</v>
      </c>
      <c r="G6884" s="3" t="s">
        <v>321</v>
      </c>
      <c r="H6884" s="4"/>
    </row>
    <row r="6885" ht="16.5" customHeight="1" spans="1:8">
      <c r="A6885" s="3">
        <v>6884</v>
      </c>
      <c r="B6885" s="3" t="s">
        <v>15075</v>
      </c>
      <c r="C6885" s="3" t="s">
        <v>1361</v>
      </c>
      <c r="D6885" s="4" t="s">
        <v>15076</v>
      </c>
      <c r="E6885" s="3" t="s">
        <v>1218</v>
      </c>
      <c r="F6885" s="3" t="s">
        <v>6994</v>
      </c>
      <c r="G6885" s="3" t="s">
        <v>321</v>
      </c>
      <c r="H6885" s="4"/>
    </row>
    <row r="6886" ht="16.5" customHeight="1" spans="1:8">
      <c r="A6886" s="3">
        <v>6885</v>
      </c>
      <c r="B6886" s="3" t="s">
        <v>15077</v>
      </c>
      <c r="C6886" s="3" t="s">
        <v>1361</v>
      </c>
      <c r="D6886" s="4" t="s">
        <v>15078</v>
      </c>
      <c r="E6886" s="3" t="s">
        <v>1218</v>
      </c>
      <c r="F6886" s="3" t="s">
        <v>6994</v>
      </c>
      <c r="G6886" s="3" t="s">
        <v>321</v>
      </c>
      <c r="H6886" s="4"/>
    </row>
    <row r="6887" ht="16.5" customHeight="1" spans="1:8">
      <c r="A6887" s="3">
        <v>6886</v>
      </c>
      <c r="B6887" s="3" t="s">
        <v>15079</v>
      </c>
      <c r="C6887" s="3" t="s">
        <v>1361</v>
      </c>
      <c r="D6887" s="4" t="s">
        <v>15080</v>
      </c>
      <c r="E6887" s="3" t="s">
        <v>1218</v>
      </c>
      <c r="F6887" s="3" t="s">
        <v>6994</v>
      </c>
      <c r="G6887" s="3" t="s">
        <v>321</v>
      </c>
      <c r="H6887" s="4"/>
    </row>
    <row r="6888" ht="16.5" customHeight="1" spans="1:8">
      <c r="A6888" s="3">
        <v>6887</v>
      </c>
      <c r="B6888" s="3" t="s">
        <v>15081</v>
      </c>
      <c r="C6888" s="3" t="s">
        <v>2163</v>
      </c>
      <c r="D6888" s="4" t="s">
        <v>15082</v>
      </c>
      <c r="E6888" s="3" t="s">
        <v>3093</v>
      </c>
      <c r="F6888" s="3" t="s">
        <v>2041</v>
      </c>
      <c r="G6888" s="3" t="s">
        <v>98</v>
      </c>
      <c r="H6888" s="4" t="s">
        <v>5664</v>
      </c>
    </row>
    <row r="6889" ht="16.5" customHeight="1" spans="1:8">
      <c r="A6889" s="3">
        <v>6888</v>
      </c>
      <c r="B6889" s="3" t="s">
        <v>15083</v>
      </c>
      <c r="C6889" s="3" t="s">
        <v>1074</v>
      </c>
      <c r="D6889" s="4" t="s">
        <v>15084</v>
      </c>
      <c r="E6889" s="3" t="s">
        <v>2726</v>
      </c>
      <c r="F6889" s="3" t="s">
        <v>10259</v>
      </c>
      <c r="G6889" s="3"/>
      <c r="H6889" s="4" t="s">
        <v>1090</v>
      </c>
    </row>
    <row r="6890" ht="16.5" customHeight="1" spans="1:8">
      <c r="A6890" s="3">
        <v>6889</v>
      </c>
      <c r="B6890" s="3" t="s">
        <v>15085</v>
      </c>
      <c r="C6890" s="3" t="s">
        <v>2163</v>
      </c>
      <c r="D6890" s="4" t="s">
        <v>15086</v>
      </c>
      <c r="E6890" s="3" t="s">
        <v>1076</v>
      </c>
      <c r="F6890" s="3" t="s">
        <v>10943</v>
      </c>
      <c r="G6890" s="3" t="s">
        <v>98</v>
      </c>
      <c r="H6890" s="4"/>
    </row>
    <row r="6891" ht="16.5" customHeight="1" spans="1:8">
      <c r="A6891" s="3">
        <v>6890</v>
      </c>
      <c r="B6891" s="3" t="s">
        <v>15087</v>
      </c>
      <c r="C6891" s="3" t="s">
        <v>1105</v>
      </c>
      <c r="D6891" s="4" t="s">
        <v>15088</v>
      </c>
      <c r="E6891" s="3" t="s">
        <v>1076</v>
      </c>
      <c r="F6891" s="3" t="s">
        <v>10943</v>
      </c>
      <c r="G6891" s="3"/>
      <c r="H6891" s="4" t="s">
        <v>15089</v>
      </c>
    </row>
    <row r="6892" ht="16.5" customHeight="1" spans="1:8">
      <c r="A6892" s="3">
        <v>6891</v>
      </c>
      <c r="B6892" s="3" t="s">
        <v>15090</v>
      </c>
      <c r="C6892" s="3" t="s">
        <v>1105</v>
      </c>
      <c r="D6892" s="4" t="s">
        <v>14998</v>
      </c>
      <c r="E6892" s="3" t="s">
        <v>1076</v>
      </c>
      <c r="F6892" s="3" t="s">
        <v>10943</v>
      </c>
      <c r="G6892" s="3"/>
      <c r="H6892" s="4" t="s">
        <v>15091</v>
      </c>
    </row>
    <row r="6893" ht="16.5" customHeight="1" spans="1:8">
      <c r="A6893" s="3">
        <v>6892</v>
      </c>
      <c r="B6893" s="3" t="s">
        <v>15092</v>
      </c>
      <c r="C6893" s="3" t="s">
        <v>1105</v>
      </c>
      <c r="D6893" s="4" t="s">
        <v>14998</v>
      </c>
      <c r="E6893" s="3" t="s">
        <v>1218</v>
      </c>
      <c r="F6893" s="3" t="s">
        <v>10943</v>
      </c>
      <c r="G6893" s="3"/>
      <c r="H6893" s="4" t="s">
        <v>15093</v>
      </c>
    </row>
    <row r="6894" ht="16.5" customHeight="1" spans="1:8">
      <c r="A6894" s="3">
        <v>6893</v>
      </c>
      <c r="B6894" s="3" t="s">
        <v>15094</v>
      </c>
      <c r="C6894" s="3" t="s">
        <v>1356</v>
      </c>
      <c r="D6894" s="4" t="s">
        <v>15095</v>
      </c>
      <c r="E6894" s="3" t="s">
        <v>1218</v>
      </c>
      <c r="F6894" s="3" t="s">
        <v>1358</v>
      </c>
      <c r="G6894" s="3"/>
      <c r="H6894" s="4"/>
    </row>
    <row r="6895" ht="16.5" customHeight="1" spans="1:8">
      <c r="A6895" s="3">
        <v>6894</v>
      </c>
      <c r="B6895" s="3" t="s">
        <v>15096</v>
      </c>
      <c r="C6895" s="3" t="s">
        <v>1105</v>
      </c>
      <c r="D6895" s="4" t="s">
        <v>15097</v>
      </c>
      <c r="E6895" s="3" t="s">
        <v>1076</v>
      </c>
      <c r="F6895" s="3" t="s">
        <v>12241</v>
      </c>
      <c r="G6895" s="3"/>
      <c r="H6895" s="4" t="s">
        <v>15057</v>
      </c>
    </row>
    <row r="6896" ht="16.5" customHeight="1" spans="1:8">
      <c r="A6896" s="3">
        <v>6895</v>
      </c>
      <c r="B6896" s="3" t="s">
        <v>15098</v>
      </c>
      <c r="C6896" s="3" t="s">
        <v>1105</v>
      </c>
      <c r="D6896" s="4" t="s">
        <v>15099</v>
      </c>
      <c r="E6896" s="3" t="s">
        <v>1076</v>
      </c>
      <c r="F6896" s="3" t="s">
        <v>12241</v>
      </c>
      <c r="G6896" s="3"/>
      <c r="H6896" s="4" t="s">
        <v>15100</v>
      </c>
    </row>
    <row r="6897" ht="16.5" customHeight="1" spans="1:8">
      <c r="A6897" s="3">
        <v>6896</v>
      </c>
      <c r="B6897" s="3" t="s">
        <v>15101</v>
      </c>
      <c r="C6897" s="3" t="s">
        <v>1105</v>
      </c>
      <c r="D6897" s="4" t="s">
        <v>14998</v>
      </c>
      <c r="E6897" s="3" t="s">
        <v>1076</v>
      </c>
      <c r="F6897" s="3" t="s">
        <v>2041</v>
      </c>
      <c r="G6897" s="3"/>
      <c r="H6897" s="4" t="s">
        <v>15102</v>
      </c>
    </row>
    <row r="6898" ht="16.5" customHeight="1" spans="1:8">
      <c r="A6898" s="3">
        <v>6897</v>
      </c>
      <c r="B6898" s="3" t="s">
        <v>15103</v>
      </c>
      <c r="C6898" s="3" t="s">
        <v>1105</v>
      </c>
      <c r="D6898" s="4" t="s">
        <v>15104</v>
      </c>
      <c r="E6898" s="3" t="s">
        <v>1076</v>
      </c>
      <c r="F6898" s="3" t="s">
        <v>2041</v>
      </c>
      <c r="G6898" s="3"/>
      <c r="H6898" s="4" t="s">
        <v>15102</v>
      </c>
    </row>
    <row r="6899" ht="16.5" customHeight="1" spans="1:8">
      <c r="A6899" s="3">
        <v>6898</v>
      </c>
      <c r="B6899" s="3" t="s">
        <v>15105</v>
      </c>
      <c r="C6899" s="3" t="s">
        <v>1105</v>
      </c>
      <c r="D6899" s="4" t="s">
        <v>15106</v>
      </c>
      <c r="E6899" s="3" t="s">
        <v>1076</v>
      </c>
      <c r="F6899" s="3" t="s">
        <v>2041</v>
      </c>
      <c r="G6899" s="3"/>
      <c r="H6899" s="4" t="s">
        <v>14338</v>
      </c>
    </row>
    <row r="6900" ht="16.5" customHeight="1" spans="1:8">
      <c r="A6900" s="3">
        <v>6899</v>
      </c>
      <c r="B6900" s="3" t="s">
        <v>15107</v>
      </c>
      <c r="C6900" s="3" t="s">
        <v>2163</v>
      </c>
      <c r="D6900" s="4" t="s">
        <v>15108</v>
      </c>
      <c r="E6900" s="3" t="s">
        <v>1076</v>
      </c>
      <c r="F6900" s="3" t="s">
        <v>2041</v>
      </c>
      <c r="G6900" s="3" t="s">
        <v>98</v>
      </c>
      <c r="H6900" s="4" t="s">
        <v>12433</v>
      </c>
    </row>
    <row r="6901" ht="16.5" customHeight="1" spans="1:8">
      <c r="A6901" s="3">
        <v>6900</v>
      </c>
      <c r="B6901" s="3" t="s">
        <v>15109</v>
      </c>
      <c r="C6901" s="3" t="s">
        <v>2163</v>
      </c>
      <c r="D6901" s="4" t="s">
        <v>15110</v>
      </c>
      <c r="E6901" s="3" t="s">
        <v>1076</v>
      </c>
      <c r="F6901" s="3" t="s">
        <v>10943</v>
      </c>
      <c r="G6901" s="3" t="s">
        <v>98</v>
      </c>
      <c r="H6901" s="4" t="s">
        <v>5533</v>
      </c>
    </row>
    <row r="6902" ht="16.5" customHeight="1" spans="1:8">
      <c r="A6902" s="3">
        <v>6901</v>
      </c>
      <c r="B6902" s="3" t="s">
        <v>15111</v>
      </c>
      <c r="C6902" s="3" t="s">
        <v>2163</v>
      </c>
      <c r="D6902" s="4" t="s">
        <v>15112</v>
      </c>
      <c r="E6902" s="3" t="s">
        <v>1076</v>
      </c>
      <c r="F6902" s="3" t="s">
        <v>10943</v>
      </c>
      <c r="G6902" s="3" t="s">
        <v>98</v>
      </c>
      <c r="H6902" s="4" t="s">
        <v>5533</v>
      </c>
    </row>
    <row r="6903" ht="16.5" customHeight="1" spans="1:8">
      <c r="A6903" s="3">
        <v>6902</v>
      </c>
      <c r="B6903" s="3" t="s">
        <v>15113</v>
      </c>
      <c r="C6903" s="3" t="s">
        <v>1105</v>
      </c>
      <c r="D6903" s="4" t="s">
        <v>14998</v>
      </c>
      <c r="E6903" s="3" t="s">
        <v>1076</v>
      </c>
      <c r="F6903" s="3" t="s">
        <v>10943</v>
      </c>
      <c r="G6903" s="3"/>
      <c r="H6903" s="4" t="s">
        <v>15100</v>
      </c>
    </row>
    <row r="6904" ht="16.5" customHeight="1" spans="1:8">
      <c r="A6904" s="3">
        <v>6903</v>
      </c>
      <c r="B6904" s="3" t="s">
        <v>15114</v>
      </c>
      <c r="C6904" s="3" t="s">
        <v>2163</v>
      </c>
      <c r="D6904" s="4" t="s">
        <v>15115</v>
      </c>
      <c r="E6904" s="3" t="s">
        <v>1076</v>
      </c>
      <c r="F6904" s="3" t="s">
        <v>2041</v>
      </c>
      <c r="G6904" s="3" t="s">
        <v>98</v>
      </c>
      <c r="H6904" s="4"/>
    </row>
    <row r="6905" ht="16.5" customHeight="1" spans="1:8">
      <c r="A6905" s="3">
        <v>6904</v>
      </c>
      <c r="B6905" s="3" t="s">
        <v>15116</v>
      </c>
      <c r="C6905" s="3" t="s">
        <v>2163</v>
      </c>
      <c r="D6905" s="4" t="s">
        <v>15117</v>
      </c>
      <c r="E6905" s="3" t="s">
        <v>1076</v>
      </c>
      <c r="F6905" s="3" t="s">
        <v>6994</v>
      </c>
      <c r="G6905" s="3" t="s">
        <v>321</v>
      </c>
      <c r="H6905" s="4"/>
    </row>
    <row r="6906" ht="16.5" customHeight="1" spans="1:8">
      <c r="A6906" s="3">
        <v>6905</v>
      </c>
      <c r="B6906" s="3" t="s">
        <v>15118</v>
      </c>
      <c r="C6906" s="3" t="s">
        <v>1105</v>
      </c>
      <c r="D6906" s="4" t="s">
        <v>14075</v>
      </c>
      <c r="E6906" s="3" t="s">
        <v>1076</v>
      </c>
      <c r="F6906" s="3" t="s">
        <v>10943</v>
      </c>
      <c r="G6906" s="3"/>
      <c r="H6906" s="4" t="s">
        <v>12847</v>
      </c>
    </row>
    <row r="6907" ht="16.5" customHeight="1" spans="1:8">
      <c r="A6907" s="3">
        <v>6906</v>
      </c>
      <c r="B6907" s="3" t="s">
        <v>15119</v>
      </c>
      <c r="C6907" s="3" t="s">
        <v>2163</v>
      </c>
      <c r="D6907" s="4" t="s">
        <v>15120</v>
      </c>
      <c r="E6907" s="3" t="s">
        <v>1076</v>
      </c>
      <c r="F6907" s="3" t="s">
        <v>10943</v>
      </c>
      <c r="G6907" s="3" t="s">
        <v>98</v>
      </c>
      <c r="H6907" s="4" t="s">
        <v>5533</v>
      </c>
    </row>
    <row r="6908" ht="16.5" customHeight="1" spans="1:8">
      <c r="A6908" s="3">
        <v>6907</v>
      </c>
      <c r="B6908" s="3" t="s">
        <v>15121</v>
      </c>
      <c r="C6908" s="3" t="s">
        <v>2163</v>
      </c>
      <c r="D6908" s="4" t="s">
        <v>15122</v>
      </c>
      <c r="E6908" s="3" t="s">
        <v>1076</v>
      </c>
      <c r="F6908" s="3" t="s">
        <v>10943</v>
      </c>
      <c r="G6908" s="3" t="s">
        <v>98</v>
      </c>
      <c r="H6908" s="4" t="s">
        <v>5533</v>
      </c>
    </row>
    <row r="6909" ht="16.5" customHeight="1" spans="1:8">
      <c r="A6909" s="3">
        <v>6908</v>
      </c>
      <c r="B6909" s="3" t="s">
        <v>15123</v>
      </c>
      <c r="C6909" s="3" t="s">
        <v>2163</v>
      </c>
      <c r="D6909" s="4" t="s">
        <v>15124</v>
      </c>
      <c r="E6909" s="3" t="s">
        <v>1076</v>
      </c>
      <c r="F6909" s="3" t="s">
        <v>10943</v>
      </c>
      <c r="G6909" s="3" t="s">
        <v>98</v>
      </c>
      <c r="H6909" s="4"/>
    </row>
    <row r="6910" ht="16.5" customHeight="1" spans="1:8">
      <c r="A6910" s="3">
        <v>6909</v>
      </c>
      <c r="B6910" s="3" t="s">
        <v>15125</v>
      </c>
      <c r="C6910" s="3" t="s">
        <v>2163</v>
      </c>
      <c r="D6910" s="4" t="s">
        <v>15126</v>
      </c>
      <c r="E6910" s="3" t="s">
        <v>1076</v>
      </c>
      <c r="F6910" s="3" t="s">
        <v>10259</v>
      </c>
      <c r="G6910" s="3"/>
      <c r="H6910" s="4" t="s">
        <v>1843</v>
      </c>
    </row>
    <row r="6911" ht="16.5" customHeight="1" spans="1:8">
      <c r="A6911" s="3">
        <v>6910</v>
      </c>
      <c r="B6911" s="3" t="s">
        <v>15127</v>
      </c>
      <c r="C6911" s="3" t="s">
        <v>1105</v>
      </c>
      <c r="D6911" s="4" t="s">
        <v>15128</v>
      </c>
      <c r="E6911" s="3" t="s">
        <v>1218</v>
      </c>
      <c r="F6911" s="3" t="s">
        <v>11431</v>
      </c>
      <c r="G6911" s="3"/>
      <c r="H6911" s="4" t="s">
        <v>14749</v>
      </c>
    </row>
    <row r="6912" ht="16.5" customHeight="1" spans="1:8">
      <c r="A6912" s="3">
        <v>6911</v>
      </c>
      <c r="B6912" s="3" t="s">
        <v>15129</v>
      </c>
      <c r="C6912" s="3" t="s">
        <v>1105</v>
      </c>
      <c r="D6912" s="4" t="s">
        <v>15130</v>
      </c>
      <c r="E6912" s="3" t="s">
        <v>1076</v>
      </c>
      <c r="F6912" s="3" t="s">
        <v>10943</v>
      </c>
      <c r="G6912" s="3"/>
      <c r="H6912" s="4" t="s">
        <v>15100</v>
      </c>
    </row>
    <row r="6913" ht="16.5" customHeight="1" spans="1:8">
      <c r="A6913" s="3">
        <v>6912</v>
      </c>
      <c r="B6913" s="3" t="s">
        <v>15131</v>
      </c>
      <c r="C6913" s="3" t="s">
        <v>1105</v>
      </c>
      <c r="D6913" s="4" t="s">
        <v>15132</v>
      </c>
      <c r="E6913" s="3" t="s">
        <v>1076</v>
      </c>
      <c r="F6913" s="3" t="s">
        <v>10259</v>
      </c>
      <c r="G6913" s="3"/>
      <c r="H6913" s="4" t="s">
        <v>14924</v>
      </c>
    </row>
    <row r="6914" ht="16.5" customHeight="1" spans="1:8">
      <c r="A6914" s="3">
        <v>6913</v>
      </c>
      <c r="B6914" s="3" t="s">
        <v>15133</v>
      </c>
      <c r="C6914" s="3" t="s">
        <v>1105</v>
      </c>
      <c r="D6914" s="4" t="s">
        <v>15134</v>
      </c>
      <c r="E6914" s="3" t="s">
        <v>1076</v>
      </c>
      <c r="F6914" s="3" t="s">
        <v>10259</v>
      </c>
      <c r="G6914" s="3"/>
      <c r="H6914" s="4" t="s">
        <v>14924</v>
      </c>
    </row>
    <row r="6915" ht="16.5" customHeight="1" spans="1:8">
      <c r="A6915" s="3">
        <v>6914</v>
      </c>
      <c r="B6915" s="3" t="s">
        <v>15135</v>
      </c>
      <c r="C6915" s="3" t="s">
        <v>1105</v>
      </c>
      <c r="D6915" s="4" t="s">
        <v>15136</v>
      </c>
      <c r="E6915" s="3" t="s">
        <v>1076</v>
      </c>
      <c r="F6915" s="3" t="s">
        <v>10259</v>
      </c>
      <c r="G6915" s="3"/>
      <c r="H6915" s="4" t="s">
        <v>14924</v>
      </c>
    </row>
    <row r="6916" ht="16.5" customHeight="1" spans="1:8">
      <c r="A6916" s="3">
        <v>6915</v>
      </c>
      <c r="B6916" s="3" t="s">
        <v>15137</v>
      </c>
      <c r="C6916" s="3" t="s">
        <v>1105</v>
      </c>
      <c r="D6916" s="4" t="s">
        <v>15138</v>
      </c>
      <c r="E6916" s="3" t="s">
        <v>1076</v>
      </c>
      <c r="F6916" s="3" t="s">
        <v>2041</v>
      </c>
      <c r="G6916" s="3"/>
      <c r="H6916" s="4" t="s">
        <v>12847</v>
      </c>
    </row>
    <row r="6917" ht="16.5" customHeight="1" spans="1:8">
      <c r="A6917" s="3">
        <v>6916</v>
      </c>
      <c r="B6917" s="3" t="s">
        <v>15139</v>
      </c>
      <c r="C6917" s="3" t="s">
        <v>1074</v>
      </c>
      <c r="D6917" s="4" t="s">
        <v>15140</v>
      </c>
      <c r="E6917" s="3" t="s">
        <v>1076</v>
      </c>
      <c r="F6917" s="3" t="s">
        <v>10259</v>
      </c>
      <c r="G6917" s="3"/>
      <c r="H6917" s="4" t="s">
        <v>3812</v>
      </c>
    </row>
    <row r="6918" ht="16.5" customHeight="1" spans="1:8">
      <c r="A6918" s="3">
        <v>6917</v>
      </c>
      <c r="B6918" s="3" t="s">
        <v>15141</v>
      </c>
      <c r="C6918" s="3" t="s">
        <v>1074</v>
      </c>
      <c r="D6918" s="4" t="s">
        <v>15142</v>
      </c>
      <c r="E6918" s="3" t="s">
        <v>8401</v>
      </c>
      <c r="F6918" s="3" t="s">
        <v>10259</v>
      </c>
      <c r="G6918" s="3"/>
      <c r="H6918" s="4" t="s">
        <v>7468</v>
      </c>
    </row>
    <row r="6919" ht="16.5" customHeight="1" spans="1:8">
      <c r="A6919" s="3">
        <v>6918</v>
      </c>
      <c r="B6919" s="3" t="s">
        <v>15143</v>
      </c>
      <c r="C6919" s="3" t="s">
        <v>1074</v>
      </c>
      <c r="D6919" s="4" t="s">
        <v>15144</v>
      </c>
      <c r="E6919" s="3" t="s">
        <v>1218</v>
      </c>
      <c r="F6919" s="3" t="s">
        <v>10259</v>
      </c>
      <c r="G6919" s="3"/>
      <c r="H6919" s="4" t="s">
        <v>1305</v>
      </c>
    </row>
    <row r="6920" ht="16.5" customHeight="1" spans="1:8">
      <c r="A6920" s="3">
        <v>6919</v>
      </c>
      <c r="B6920" s="3" t="s">
        <v>15145</v>
      </c>
      <c r="C6920" s="3" t="s">
        <v>1074</v>
      </c>
      <c r="D6920" s="4" t="s">
        <v>15146</v>
      </c>
      <c r="E6920" s="3" t="s">
        <v>1218</v>
      </c>
      <c r="F6920" s="3" t="s">
        <v>10259</v>
      </c>
      <c r="G6920" s="3"/>
      <c r="H6920" s="4" t="s">
        <v>1305</v>
      </c>
    </row>
    <row r="6921" ht="16.5" customHeight="1" spans="1:8">
      <c r="A6921" s="3">
        <v>6920</v>
      </c>
      <c r="B6921" s="3" t="s">
        <v>15147</v>
      </c>
      <c r="C6921" s="3" t="s">
        <v>2163</v>
      </c>
      <c r="D6921" s="4" t="s">
        <v>15148</v>
      </c>
      <c r="E6921" s="3" t="s">
        <v>1076</v>
      </c>
      <c r="F6921" s="3" t="s">
        <v>10259</v>
      </c>
      <c r="G6921" s="3"/>
      <c r="H6921" s="4" t="s">
        <v>3812</v>
      </c>
    </row>
    <row r="6922" ht="16.5" customHeight="1" spans="1:8">
      <c r="A6922" s="3">
        <v>6921</v>
      </c>
      <c r="B6922" s="3" t="s">
        <v>15149</v>
      </c>
      <c r="C6922" s="3" t="s">
        <v>1074</v>
      </c>
      <c r="D6922" s="4" t="s">
        <v>15150</v>
      </c>
      <c r="E6922" s="3" t="s">
        <v>1076</v>
      </c>
      <c r="F6922" s="3" t="s">
        <v>10259</v>
      </c>
      <c r="G6922" s="3"/>
      <c r="H6922" s="4" t="s">
        <v>3812</v>
      </c>
    </row>
    <row r="6923" ht="16.5" customHeight="1" spans="1:8">
      <c r="A6923" s="3">
        <v>6922</v>
      </c>
      <c r="B6923" s="3" t="s">
        <v>15151</v>
      </c>
      <c r="C6923" s="3" t="s">
        <v>1074</v>
      </c>
      <c r="D6923" s="4" t="s">
        <v>15152</v>
      </c>
      <c r="E6923" s="3" t="s">
        <v>1076</v>
      </c>
      <c r="F6923" s="3" t="s">
        <v>10259</v>
      </c>
      <c r="G6923" s="3"/>
      <c r="H6923" s="4" t="s">
        <v>3812</v>
      </c>
    </row>
    <row r="6924" ht="16.5" customHeight="1" spans="1:8">
      <c r="A6924" s="3">
        <v>6923</v>
      </c>
      <c r="B6924" s="3" t="s">
        <v>15153</v>
      </c>
      <c r="C6924" s="3" t="s">
        <v>1074</v>
      </c>
      <c r="D6924" s="4" t="s">
        <v>15154</v>
      </c>
      <c r="E6924" s="3" t="s">
        <v>1076</v>
      </c>
      <c r="F6924" s="3" t="s">
        <v>10259</v>
      </c>
      <c r="G6924" s="3"/>
      <c r="H6924" s="4" t="s">
        <v>5664</v>
      </c>
    </row>
    <row r="6925" ht="16.5" customHeight="1" spans="1:8">
      <c r="A6925" s="3">
        <v>6924</v>
      </c>
      <c r="B6925" s="3" t="s">
        <v>15155</v>
      </c>
      <c r="C6925" s="3" t="s">
        <v>1074</v>
      </c>
      <c r="D6925" s="4" t="s">
        <v>15156</v>
      </c>
      <c r="E6925" s="3" t="s">
        <v>1076</v>
      </c>
      <c r="F6925" s="3" t="s">
        <v>10259</v>
      </c>
      <c r="G6925" s="3"/>
      <c r="H6925" s="4" t="s">
        <v>5664</v>
      </c>
    </row>
    <row r="6926" ht="16.5" customHeight="1" spans="1:8">
      <c r="A6926" s="3">
        <v>6925</v>
      </c>
      <c r="B6926" s="3" t="s">
        <v>15157</v>
      </c>
      <c r="C6926" s="3" t="s">
        <v>1074</v>
      </c>
      <c r="D6926" s="4" t="s">
        <v>15158</v>
      </c>
      <c r="E6926" s="3" t="s">
        <v>1076</v>
      </c>
      <c r="F6926" s="3" t="s">
        <v>10259</v>
      </c>
      <c r="G6926" s="3"/>
      <c r="H6926" s="4" t="s">
        <v>3812</v>
      </c>
    </row>
    <row r="6927" ht="16.5" customHeight="1" spans="1:8">
      <c r="A6927" s="3">
        <v>6926</v>
      </c>
      <c r="B6927" s="3" t="s">
        <v>15159</v>
      </c>
      <c r="C6927" s="3" t="s">
        <v>1099</v>
      </c>
      <c r="D6927" s="4" t="s">
        <v>15160</v>
      </c>
      <c r="E6927" s="3" t="s">
        <v>1218</v>
      </c>
      <c r="F6927" s="3" t="s">
        <v>10259</v>
      </c>
      <c r="G6927" s="3"/>
      <c r="H6927" s="4"/>
    </row>
    <row r="6928" ht="16.5" customHeight="1" spans="1:8">
      <c r="A6928" s="3">
        <v>6927</v>
      </c>
      <c r="B6928" s="3" t="s">
        <v>15161</v>
      </c>
      <c r="C6928" s="3" t="s">
        <v>1099</v>
      </c>
      <c r="D6928" s="4" t="s">
        <v>15162</v>
      </c>
      <c r="E6928" s="3" t="s">
        <v>1218</v>
      </c>
      <c r="F6928" s="3" t="s">
        <v>10259</v>
      </c>
      <c r="G6928" s="3"/>
      <c r="H6928" s="4"/>
    </row>
    <row r="6929" ht="16.5" customHeight="1" spans="1:8">
      <c r="A6929" s="3">
        <v>6928</v>
      </c>
      <c r="B6929" s="3" t="s">
        <v>15163</v>
      </c>
      <c r="C6929" s="3" t="s">
        <v>1099</v>
      </c>
      <c r="D6929" s="4" t="s">
        <v>15164</v>
      </c>
      <c r="E6929" s="3" t="s">
        <v>1218</v>
      </c>
      <c r="F6929" s="3" t="s">
        <v>10259</v>
      </c>
      <c r="G6929" s="3"/>
      <c r="H6929" s="4"/>
    </row>
    <row r="6930" ht="16.5" customHeight="1" spans="1:8">
      <c r="A6930" s="3">
        <v>6929</v>
      </c>
      <c r="B6930" s="3" t="s">
        <v>15165</v>
      </c>
      <c r="C6930" s="3" t="s">
        <v>1099</v>
      </c>
      <c r="D6930" s="4" t="s">
        <v>15166</v>
      </c>
      <c r="E6930" s="3" t="s">
        <v>1218</v>
      </c>
      <c r="F6930" s="3" t="s">
        <v>10259</v>
      </c>
      <c r="G6930" s="3"/>
      <c r="H6930" s="4"/>
    </row>
    <row r="6931" ht="16.5" customHeight="1" spans="1:8">
      <c r="A6931" s="3">
        <v>6930</v>
      </c>
      <c r="B6931" s="3" t="s">
        <v>15167</v>
      </c>
      <c r="C6931" s="3" t="s">
        <v>1099</v>
      </c>
      <c r="D6931" s="4" t="s">
        <v>15168</v>
      </c>
      <c r="E6931" s="3" t="s">
        <v>1218</v>
      </c>
      <c r="F6931" s="3" t="s">
        <v>10259</v>
      </c>
      <c r="G6931" s="3"/>
      <c r="H6931" s="4"/>
    </row>
    <row r="6932" ht="16.5" customHeight="1" spans="1:8">
      <c r="A6932" s="3">
        <v>6931</v>
      </c>
      <c r="B6932" s="3" t="s">
        <v>15169</v>
      </c>
      <c r="C6932" s="3" t="s">
        <v>1099</v>
      </c>
      <c r="D6932" s="4" t="s">
        <v>15170</v>
      </c>
      <c r="E6932" s="3" t="s">
        <v>1218</v>
      </c>
      <c r="F6932" s="3" t="s">
        <v>10259</v>
      </c>
      <c r="G6932" s="3"/>
      <c r="H6932" s="4"/>
    </row>
    <row r="6933" ht="16.5" customHeight="1" spans="1:8">
      <c r="A6933" s="3">
        <v>6932</v>
      </c>
      <c r="B6933" s="3" t="s">
        <v>15171</v>
      </c>
      <c r="C6933" s="3" t="s">
        <v>1099</v>
      </c>
      <c r="D6933" s="4" t="s">
        <v>15172</v>
      </c>
      <c r="E6933" s="3" t="s">
        <v>1218</v>
      </c>
      <c r="F6933" s="3" t="s">
        <v>10259</v>
      </c>
      <c r="G6933" s="3"/>
      <c r="H6933" s="4"/>
    </row>
    <row r="6934" ht="16.5" customHeight="1" spans="1:8">
      <c r="A6934" s="3">
        <v>6933</v>
      </c>
      <c r="B6934" s="3" t="s">
        <v>15173</v>
      </c>
      <c r="C6934" s="3" t="s">
        <v>1074</v>
      </c>
      <c r="D6934" s="4" t="s">
        <v>15174</v>
      </c>
      <c r="E6934" s="3" t="s">
        <v>15175</v>
      </c>
      <c r="F6934" s="3" t="s">
        <v>10259</v>
      </c>
      <c r="G6934" s="3"/>
      <c r="H6934" s="4" t="s">
        <v>3812</v>
      </c>
    </row>
    <row r="6935" ht="16.5" customHeight="1" spans="1:8">
      <c r="A6935" s="3">
        <v>6934</v>
      </c>
      <c r="B6935" s="3" t="s">
        <v>15176</v>
      </c>
      <c r="C6935" s="3" t="s">
        <v>1074</v>
      </c>
      <c r="D6935" s="4" t="s">
        <v>15177</v>
      </c>
      <c r="E6935" s="3" t="s">
        <v>1076</v>
      </c>
      <c r="F6935" s="3" t="s">
        <v>8175</v>
      </c>
      <c r="G6935" s="3"/>
      <c r="H6935" s="4" t="s">
        <v>7240</v>
      </c>
    </row>
    <row r="6936" ht="16.5" customHeight="1" spans="1:8">
      <c r="A6936" s="3">
        <v>6935</v>
      </c>
      <c r="B6936" s="3" t="s">
        <v>15178</v>
      </c>
      <c r="C6936" s="3" t="s">
        <v>1074</v>
      </c>
      <c r="D6936" s="4" t="s">
        <v>15179</v>
      </c>
      <c r="E6936" s="3" t="s">
        <v>1076</v>
      </c>
      <c r="F6936" s="3" t="s">
        <v>8175</v>
      </c>
      <c r="G6936" s="3"/>
      <c r="H6936" s="4" t="s">
        <v>7240</v>
      </c>
    </row>
    <row r="6937" ht="16.5" customHeight="1" spans="1:8">
      <c r="A6937" s="3">
        <v>6936</v>
      </c>
      <c r="B6937" s="3" t="s">
        <v>15180</v>
      </c>
      <c r="C6937" s="3" t="s">
        <v>1074</v>
      </c>
      <c r="D6937" s="4" t="s">
        <v>15181</v>
      </c>
      <c r="E6937" s="3" t="s">
        <v>1076</v>
      </c>
      <c r="F6937" s="3" t="s">
        <v>8175</v>
      </c>
      <c r="G6937" s="3"/>
      <c r="H6937" s="4" t="s">
        <v>7240</v>
      </c>
    </row>
    <row r="6938" ht="16.5" customHeight="1" spans="1:8">
      <c r="A6938" s="3">
        <v>6937</v>
      </c>
      <c r="B6938" s="3" t="s">
        <v>15182</v>
      </c>
      <c r="C6938" s="3" t="s">
        <v>1074</v>
      </c>
      <c r="D6938" s="4" t="s">
        <v>15183</v>
      </c>
      <c r="E6938" s="3" t="s">
        <v>1076</v>
      </c>
      <c r="F6938" s="3" t="s">
        <v>8175</v>
      </c>
      <c r="G6938" s="3"/>
      <c r="H6938" s="4" t="s">
        <v>7240</v>
      </c>
    </row>
    <row r="6939" ht="16.5" customHeight="1" spans="1:8">
      <c r="A6939" s="3">
        <v>6938</v>
      </c>
      <c r="B6939" s="3" t="s">
        <v>15184</v>
      </c>
      <c r="C6939" s="3" t="s">
        <v>1074</v>
      </c>
      <c r="D6939" s="4" t="s">
        <v>15185</v>
      </c>
      <c r="E6939" s="3" t="s">
        <v>1076</v>
      </c>
      <c r="F6939" s="3" t="s">
        <v>8175</v>
      </c>
      <c r="G6939" s="3"/>
      <c r="H6939" s="4" t="s">
        <v>7240</v>
      </c>
    </row>
    <row r="6940" ht="16.5" customHeight="1" spans="1:8">
      <c r="A6940" s="3">
        <v>6939</v>
      </c>
      <c r="B6940" s="3" t="s">
        <v>15186</v>
      </c>
      <c r="C6940" s="3" t="s">
        <v>1074</v>
      </c>
      <c r="D6940" s="4" t="s">
        <v>15187</v>
      </c>
      <c r="E6940" s="3" t="s">
        <v>1076</v>
      </c>
      <c r="F6940" s="3" t="s">
        <v>8175</v>
      </c>
      <c r="G6940" s="3"/>
      <c r="H6940" s="4" t="s">
        <v>7240</v>
      </c>
    </row>
    <row r="6941" ht="16.5" customHeight="1" spans="1:8">
      <c r="A6941" s="3">
        <v>6940</v>
      </c>
      <c r="B6941" s="3" t="s">
        <v>15188</v>
      </c>
      <c r="C6941" s="3" t="s">
        <v>1074</v>
      </c>
      <c r="D6941" s="4" t="s">
        <v>15189</v>
      </c>
      <c r="E6941" s="3" t="s">
        <v>1076</v>
      </c>
      <c r="F6941" s="3" t="s">
        <v>8175</v>
      </c>
      <c r="G6941" s="3"/>
      <c r="H6941" s="4" t="s">
        <v>7240</v>
      </c>
    </row>
    <row r="6942" ht="16.5" customHeight="1" spans="1:8">
      <c r="A6942" s="3">
        <v>6941</v>
      </c>
      <c r="B6942" s="3" t="s">
        <v>15190</v>
      </c>
      <c r="C6942" s="3" t="s">
        <v>1074</v>
      </c>
      <c r="D6942" s="4" t="s">
        <v>15191</v>
      </c>
      <c r="E6942" s="3" t="s">
        <v>1076</v>
      </c>
      <c r="F6942" s="3" t="s">
        <v>8175</v>
      </c>
      <c r="G6942" s="3"/>
      <c r="H6942" s="4" t="s">
        <v>7240</v>
      </c>
    </row>
    <row r="6943" ht="16.5" customHeight="1" spans="1:8">
      <c r="A6943" s="3">
        <v>6942</v>
      </c>
      <c r="B6943" s="3" t="s">
        <v>15192</v>
      </c>
      <c r="C6943" s="3" t="s">
        <v>1074</v>
      </c>
      <c r="D6943" s="4" t="s">
        <v>15193</v>
      </c>
      <c r="E6943" s="3" t="s">
        <v>1076</v>
      </c>
      <c r="F6943" s="3" t="s">
        <v>8175</v>
      </c>
      <c r="G6943" s="3"/>
      <c r="H6943" s="4" t="s">
        <v>7240</v>
      </c>
    </row>
    <row r="6944" ht="16.5" customHeight="1" spans="1:8">
      <c r="A6944" s="3">
        <v>6943</v>
      </c>
      <c r="B6944" s="3" t="s">
        <v>15194</v>
      </c>
      <c r="C6944" s="3" t="s">
        <v>1074</v>
      </c>
      <c r="D6944" s="4" t="s">
        <v>15195</v>
      </c>
      <c r="E6944" s="3" t="s">
        <v>1076</v>
      </c>
      <c r="F6944" s="3" t="s">
        <v>8175</v>
      </c>
      <c r="G6944" s="3"/>
      <c r="H6944" s="4" t="s">
        <v>7240</v>
      </c>
    </row>
    <row r="6945" ht="16.5" customHeight="1" spans="1:8">
      <c r="A6945" s="3">
        <v>6944</v>
      </c>
      <c r="B6945" s="3" t="s">
        <v>15196</v>
      </c>
      <c r="C6945" s="3" t="s">
        <v>1074</v>
      </c>
      <c r="D6945" s="4" t="s">
        <v>15197</v>
      </c>
      <c r="E6945" s="3" t="s">
        <v>1076</v>
      </c>
      <c r="F6945" s="3" t="s">
        <v>8175</v>
      </c>
      <c r="G6945" s="3"/>
      <c r="H6945" s="4" t="s">
        <v>7240</v>
      </c>
    </row>
    <row r="6946" ht="16.5" customHeight="1" spans="1:8">
      <c r="A6946" s="3">
        <v>6945</v>
      </c>
      <c r="B6946" s="3" t="s">
        <v>15198</v>
      </c>
      <c r="C6946" s="3" t="s">
        <v>1074</v>
      </c>
      <c r="D6946" s="4" t="s">
        <v>15199</v>
      </c>
      <c r="E6946" s="3" t="s">
        <v>1076</v>
      </c>
      <c r="F6946" s="3" t="s">
        <v>8175</v>
      </c>
      <c r="G6946" s="3"/>
      <c r="H6946" s="4" t="s">
        <v>7240</v>
      </c>
    </row>
    <row r="6947" ht="16.5" customHeight="1" spans="1:8">
      <c r="A6947" s="3">
        <v>6946</v>
      </c>
      <c r="B6947" s="3" t="s">
        <v>15200</v>
      </c>
      <c r="C6947" s="3" t="s">
        <v>1074</v>
      </c>
      <c r="D6947" s="4" t="s">
        <v>15201</v>
      </c>
      <c r="E6947" s="3" t="s">
        <v>1076</v>
      </c>
      <c r="F6947" s="3" t="s">
        <v>8175</v>
      </c>
      <c r="G6947" s="3"/>
      <c r="H6947" s="4" t="s">
        <v>7240</v>
      </c>
    </row>
    <row r="6948" ht="16.5" customHeight="1" spans="1:8">
      <c r="A6948" s="3">
        <v>6947</v>
      </c>
      <c r="B6948" s="3" t="s">
        <v>15202</v>
      </c>
      <c r="C6948" s="3" t="s">
        <v>1074</v>
      </c>
      <c r="D6948" s="4" t="s">
        <v>15203</v>
      </c>
      <c r="E6948" s="3" t="s">
        <v>1076</v>
      </c>
      <c r="F6948" s="3" t="s">
        <v>8175</v>
      </c>
      <c r="G6948" s="3"/>
      <c r="H6948" s="4" t="s">
        <v>7240</v>
      </c>
    </row>
    <row r="6949" ht="16.5" customHeight="1" spans="1:8">
      <c r="A6949" s="3">
        <v>6948</v>
      </c>
      <c r="B6949" s="3" t="s">
        <v>15204</v>
      </c>
      <c r="C6949" s="3" t="s">
        <v>2163</v>
      </c>
      <c r="D6949" s="4" t="s">
        <v>15205</v>
      </c>
      <c r="E6949" s="3" t="s">
        <v>2726</v>
      </c>
      <c r="F6949" s="3" t="s">
        <v>8175</v>
      </c>
      <c r="G6949" s="3"/>
      <c r="H6949" s="4" t="s">
        <v>5533</v>
      </c>
    </row>
    <row r="6950" ht="16.5" customHeight="1" spans="1:8">
      <c r="A6950" s="3">
        <v>6949</v>
      </c>
      <c r="B6950" s="3" t="s">
        <v>15206</v>
      </c>
      <c r="C6950" s="3" t="s">
        <v>1105</v>
      </c>
      <c r="D6950" s="4" t="s">
        <v>15207</v>
      </c>
      <c r="E6950" s="3" t="s">
        <v>1076</v>
      </c>
      <c r="F6950" s="3" t="s">
        <v>13816</v>
      </c>
      <c r="G6950" s="3"/>
      <c r="H6950" s="4" t="s">
        <v>14370</v>
      </c>
    </row>
    <row r="6951" ht="16.5" customHeight="1" spans="1:8">
      <c r="A6951" s="3">
        <v>6950</v>
      </c>
      <c r="B6951" s="3" t="s">
        <v>15208</v>
      </c>
      <c r="C6951" s="3" t="s">
        <v>1105</v>
      </c>
      <c r="D6951" s="4" t="s">
        <v>15209</v>
      </c>
      <c r="E6951" s="3" t="s">
        <v>1076</v>
      </c>
      <c r="F6951" s="3" t="s">
        <v>13816</v>
      </c>
      <c r="G6951" s="3"/>
      <c r="H6951" s="4" t="s">
        <v>14370</v>
      </c>
    </row>
    <row r="6952" ht="16.5" customHeight="1" spans="1:8">
      <c r="A6952" s="3">
        <v>6951</v>
      </c>
      <c r="B6952" s="3" t="s">
        <v>15210</v>
      </c>
      <c r="C6952" s="3" t="s">
        <v>1105</v>
      </c>
      <c r="D6952" s="4" t="s">
        <v>15211</v>
      </c>
      <c r="E6952" s="3" t="s">
        <v>1076</v>
      </c>
      <c r="F6952" s="3" t="s">
        <v>13816</v>
      </c>
      <c r="G6952" s="3"/>
      <c r="H6952" s="4" t="s">
        <v>14370</v>
      </c>
    </row>
    <row r="6953" ht="16.5" customHeight="1" spans="1:8">
      <c r="A6953" s="3">
        <v>6952</v>
      </c>
      <c r="B6953" s="3" t="s">
        <v>15212</v>
      </c>
      <c r="C6953" s="3" t="s">
        <v>1074</v>
      </c>
      <c r="D6953" s="4" t="s">
        <v>15213</v>
      </c>
      <c r="E6953" s="3" t="s">
        <v>1076</v>
      </c>
      <c r="F6953" s="3" t="s">
        <v>10259</v>
      </c>
      <c r="G6953" s="3"/>
      <c r="H6953" s="4" t="s">
        <v>5293</v>
      </c>
    </row>
    <row r="6954" ht="16.5" customHeight="1" spans="1:8">
      <c r="A6954" s="3">
        <v>6953</v>
      </c>
      <c r="B6954" s="3" t="s">
        <v>15214</v>
      </c>
      <c r="C6954" s="3" t="s">
        <v>1074</v>
      </c>
      <c r="D6954" s="4" t="s">
        <v>15215</v>
      </c>
      <c r="E6954" s="3" t="s">
        <v>1218</v>
      </c>
      <c r="F6954" s="3" t="s">
        <v>10259</v>
      </c>
      <c r="G6954" s="3"/>
      <c r="H6954" s="4" t="s">
        <v>5293</v>
      </c>
    </row>
    <row r="6955" ht="16.5" customHeight="1" spans="1:8">
      <c r="A6955" s="3">
        <v>6954</v>
      </c>
      <c r="B6955" s="3" t="s">
        <v>15216</v>
      </c>
      <c r="C6955" s="3" t="s">
        <v>1074</v>
      </c>
      <c r="D6955" s="4" t="s">
        <v>15217</v>
      </c>
      <c r="E6955" s="3" t="s">
        <v>1218</v>
      </c>
      <c r="F6955" s="3" t="s">
        <v>10259</v>
      </c>
      <c r="G6955" s="3"/>
      <c r="H6955" s="4" t="s">
        <v>5293</v>
      </c>
    </row>
    <row r="6956" ht="16.5" customHeight="1" spans="1:8">
      <c r="A6956" s="3">
        <v>6955</v>
      </c>
      <c r="B6956" s="3" t="s">
        <v>15218</v>
      </c>
      <c r="C6956" s="3" t="s">
        <v>1074</v>
      </c>
      <c r="D6956" s="4" t="s">
        <v>15219</v>
      </c>
      <c r="E6956" s="3" t="s">
        <v>2726</v>
      </c>
      <c r="F6956" s="3" t="s">
        <v>10259</v>
      </c>
      <c r="G6956" s="3"/>
      <c r="H6956" s="4" t="s">
        <v>5293</v>
      </c>
    </row>
    <row r="6957" ht="16.5" customHeight="1" spans="1:8">
      <c r="A6957" s="3">
        <v>6956</v>
      </c>
      <c r="B6957" s="3" t="s">
        <v>15220</v>
      </c>
      <c r="C6957" s="3" t="s">
        <v>1074</v>
      </c>
      <c r="D6957" s="4" t="s">
        <v>15221</v>
      </c>
      <c r="E6957" s="3" t="s">
        <v>1218</v>
      </c>
      <c r="F6957" s="3" t="s">
        <v>10259</v>
      </c>
      <c r="G6957" s="3"/>
      <c r="H6957" s="4" t="s">
        <v>5293</v>
      </c>
    </row>
    <row r="6958" ht="16.5" customHeight="1" spans="1:8">
      <c r="A6958" s="3">
        <v>6957</v>
      </c>
      <c r="B6958" s="3" t="s">
        <v>15222</v>
      </c>
      <c r="C6958" s="3" t="s">
        <v>1074</v>
      </c>
      <c r="D6958" s="4" t="s">
        <v>15223</v>
      </c>
      <c r="E6958" s="3" t="s">
        <v>1739</v>
      </c>
      <c r="F6958" s="3" t="s">
        <v>10259</v>
      </c>
      <c r="G6958" s="3"/>
      <c r="H6958" s="4" t="s">
        <v>5293</v>
      </c>
    </row>
    <row r="6959" ht="16.5" customHeight="1" spans="1:8">
      <c r="A6959" s="3">
        <v>6958</v>
      </c>
      <c r="B6959" s="3" t="s">
        <v>15224</v>
      </c>
      <c r="C6959" s="3" t="s">
        <v>1074</v>
      </c>
      <c r="D6959" s="4" t="s">
        <v>15225</v>
      </c>
      <c r="E6959" s="3" t="s">
        <v>1739</v>
      </c>
      <c r="F6959" s="3" t="s">
        <v>10259</v>
      </c>
      <c r="G6959" s="3"/>
      <c r="H6959" s="4" t="s">
        <v>5293</v>
      </c>
    </row>
    <row r="6960" ht="16.5" customHeight="1" spans="1:8">
      <c r="A6960" s="3">
        <v>6959</v>
      </c>
      <c r="B6960" s="3" t="s">
        <v>15226</v>
      </c>
      <c r="C6960" s="3" t="s">
        <v>1074</v>
      </c>
      <c r="D6960" s="4" t="s">
        <v>15227</v>
      </c>
      <c r="E6960" s="3" t="s">
        <v>1076</v>
      </c>
      <c r="F6960" s="3" t="s">
        <v>10259</v>
      </c>
      <c r="G6960" s="3"/>
      <c r="H6960" s="4" t="s">
        <v>5288</v>
      </c>
    </row>
    <row r="6961" ht="16.5" customHeight="1" spans="1:8">
      <c r="A6961" s="3">
        <v>6960</v>
      </c>
      <c r="B6961" s="3" t="s">
        <v>15228</v>
      </c>
      <c r="C6961" s="3" t="s">
        <v>1074</v>
      </c>
      <c r="D6961" s="4" t="s">
        <v>15229</v>
      </c>
      <c r="E6961" s="3" t="s">
        <v>1739</v>
      </c>
      <c r="F6961" s="3" t="s">
        <v>10259</v>
      </c>
      <c r="G6961" s="3"/>
      <c r="H6961" s="4" t="s">
        <v>5288</v>
      </c>
    </row>
    <row r="6962" ht="16.5" customHeight="1" spans="1:8">
      <c r="A6962" s="3">
        <v>6961</v>
      </c>
      <c r="B6962" s="3" t="s">
        <v>15230</v>
      </c>
      <c r="C6962" s="3" t="s">
        <v>1074</v>
      </c>
      <c r="D6962" s="4" t="s">
        <v>15231</v>
      </c>
      <c r="E6962" s="3" t="s">
        <v>1164</v>
      </c>
      <c r="F6962" s="3" t="s">
        <v>10259</v>
      </c>
      <c r="G6962" s="3"/>
      <c r="H6962" s="4" t="s">
        <v>5288</v>
      </c>
    </row>
    <row r="6963" ht="16.5" customHeight="1" spans="1:8">
      <c r="A6963" s="3">
        <v>6962</v>
      </c>
      <c r="B6963" s="3" t="s">
        <v>15232</v>
      </c>
      <c r="C6963" s="3" t="s">
        <v>1074</v>
      </c>
      <c r="D6963" s="4" t="s">
        <v>15233</v>
      </c>
      <c r="E6963" s="3" t="s">
        <v>1076</v>
      </c>
      <c r="F6963" s="3" t="s">
        <v>10259</v>
      </c>
      <c r="G6963" s="3"/>
      <c r="H6963" s="4" t="s">
        <v>5288</v>
      </c>
    </row>
    <row r="6964" ht="16.5" customHeight="1" spans="1:8">
      <c r="A6964" s="3">
        <v>6963</v>
      </c>
      <c r="B6964" s="3" t="s">
        <v>15234</v>
      </c>
      <c r="C6964" s="3" t="s">
        <v>1074</v>
      </c>
      <c r="D6964" s="4" t="s">
        <v>15235</v>
      </c>
      <c r="E6964" s="3" t="s">
        <v>1076</v>
      </c>
      <c r="F6964" s="3" t="s">
        <v>10259</v>
      </c>
      <c r="G6964" s="3"/>
      <c r="H6964" s="4" t="s">
        <v>5288</v>
      </c>
    </row>
    <row r="6965" ht="16.5" customHeight="1" spans="1:8">
      <c r="A6965" s="3">
        <v>6964</v>
      </c>
      <c r="B6965" s="3" t="s">
        <v>15236</v>
      </c>
      <c r="C6965" s="3" t="s">
        <v>1074</v>
      </c>
      <c r="D6965" s="4" t="s">
        <v>15237</v>
      </c>
      <c r="E6965" s="3" t="s">
        <v>1076</v>
      </c>
      <c r="F6965" s="3" t="s">
        <v>10259</v>
      </c>
      <c r="G6965" s="3"/>
      <c r="H6965" s="4" t="s">
        <v>5288</v>
      </c>
    </row>
    <row r="6966" ht="16.5" customHeight="1" spans="1:8">
      <c r="A6966" s="3">
        <v>6965</v>
      </c>
      <c r="B6966" s="3" t="s">
        <v>15238</v>
      </c>
      <c r="C6966" s="3" t="s">
        <v>1074</v>
      </c>
      <c r="D6966" s="4" t="s">
        <v>15239</v>
      </c>
      <c r="E6966" s="3" t="s">
        <v>5169</v>
      </c>
      <c r="F6966" s="3" t="s">
        <v>10259</v>
      </c>
      <c r="G6966" s="3"/>
      <c r="H6966" s="4" t="s">
        <v>5288</v>
      </c>
    </row>
    <row r="6967" ht="16.5" customHeight="1" spans="1:8">
      <c r="A6967" s="3">
        <v>6966</v>
      </c>
      <c r="B6967" s="3" t="s">
        <v>15240</v>
      </c>
      <c r="C6967" s="3" t="s">
        <v>1074</v>
      </c>
      <c r="D6967" s="4" t="s">
        <v>15241</v>
      </c>
      <c r="E6967" s="3" t="s">
        <v>5169</v>
      </c>
      <c r="F6967" s="3" t="s">
        <v>10259</v>
      </c>
      <c r="G6967" s="3"/>
      <c r="H6967" s="4" t="s">
        <v>5288</v>
      </c>
    </row>
    <row r="6968" ht="16.5" customHeight="1" spans="1:8">
      <c r="A6968" s="3">
        <v>6967</v>
      </c>
      <c r="B6968" s="3" t="s">
        <v>15242</v>
      </c>
      <c r="C6968" s="3" t="s">
        <v>1074</v>
      </c>
      <c r="D6968" s="4" t="s">
        <v>15243</v>
      </c>
      <c r="E6968" s="3" t="s">
        <v>1076</v>
      </c>
      <c r="F6968" s="3" t="s">
        <v>10259</v>
      </c>
      <c r="G6968" s="3"/>
      <c r="H6968" s="4" t="s">
        <v>5288</v>
      </c>
    </row>
    <row r="6969" ht="16.5" customHeight="1" spans="1:8">
      <c r="A6969" s="3">
        <v>6968</v>
      </c>
      <c r="B6969" s="3" t="s">
        <v>15244</v>
      </c>
      <c r="C6969" s="3" t="s">
        <v>1074</v>
      </c>
      <c r="D6969" s="4" t="s">
        <v>15245</v>
      </c>
      <c r="E6969" s="3" t="s">
        <v>1076</v>
      </c>
      <c r="F6969" s="3" t="s">
        <v>10259</v>
      </c>
      <c r="G6969" s="3"/>
      <c r="H6969" s="4" t="s">
        <v>5288</v>
      </c>
    </row>
    <row r="6970" ht="16.5" customHeight="1" spans="1:8">
      <c r="A6970" s="3">
        <v>6969</v>
      </c>
      <c r="B6970" s="3" t="s">
        <v>15246</v>
      </c>
      <c r="C6970" s="3" t="s">
        <v>1074</v>
      </c>
      <c r="D6970" s="4" t="s">
        <v>15247</v>
      </c>
      <c r="E6970" s="3" t="s">
        <v>5169</v>
      </c>
      <c r="F6970" s="3" t="s">
        <v>10259</v>
      </c>
      <c r="G6970" s="3"/>
      <c r="H6970" s="4" t="s">
        <v>5288</v>
      </c>
    </row>
    <row r="6971" ht="16.5" customHeight="1" spans="1:8">
      <c r="A6971" s="3">
        <v>6970</v>
      </c>
      <c r="B6971" s="3" t="s">
        <v>15248</v>
      </c>
      <c r="C6971" s="3" t="s">
        <v>1074</v>
      </c>
      <c r="D6971" s="4" t="s">
        <v>15249</v>
      </c>
      <c r="E6971" s="3" t="s">
        <v>1076</v>
      </c>
      <c r="F6971" s="3" t="s">
        <v>10259</v>
      </c>
      <c r="G6971" s="3"/>
      <c r="H6971" s="4" t="s">
        <v>5288</v>
      </c>
    </row>
    <row r="6972" ht="16.5" customHeight="1" spans="1:8">
      <c r="A6972" s="3">
        <v>6971</v>
      </c>
      <c r="B6972" s="3" t="s">
        <v>15250</v>
      </c>
      <c r="C6972" s="3" t="s">
        <v>1074</v>
      </c>
      <c r="D6972" s="4" t="s">
        <v>15251</v>
      </c>
      <c r="E6972" s="3" t="s">
        <v>5169</v>
      </c>
      <c r="F6972" s="3" t="s">
        <v>10259</v>
      </c>
      <c r="G6972" s="3"/>
      <c r="H6972" s="4" t="s">
        <v>5288</v>
      </c>
    </row>
    <row r="6973" ht="16.5" customHeight="1" spans="1:8">
      <c r="A6973" s="3">
        <v>6972</v>
      </c>
      <c r="B6973" s="3" t="s">
        <v>15252</v>
      </c>
      <c r="C6973" s="3" t="s">
        <v>1105</v>
      </c>
      <c r="D6973" s="4" t="s">
        <v>15253</v>
      </c>
      <c r="E6973" s="3" t="s">
        <v>1164</v>
      </c>
      <c r="F6973" s="3" t="s">
        <v>1358</v>
      </c>
      <c r="G6973" s="3"/>
      <c r="H6973" s="4" t="s">
        <v>15254</v>
      </c>
    </row>
    <row r="6974" ht="16.5" customHeight="1" spans="1:8">
      <c r="A6974" s="3">
        <v>6973</v>
      </c>
      <c r="B6974" s="3" t="s">
        <v>15255</v>
      </c>
      <c r="C6974" s="3" t="s">
        <v>2163</v>
      </c>
      <c r="D6974" s="4" t="s">
        <v>15256</v>
      </c>
      <c r="E6974" s="3" t="s">
        <v>1076</v>
      </c>
      <c r="F6974" s="3" t="s">
        <v>2041</v>
      </c>
      <c r="G6974" s="3" t="s">
        <v>321</v>
      </c>
      <c r="H6974" s="4"/>
    </row>
    <row r="6975" ht="16.5" customHeight="1" spans="1:8">
      <c r="A6975" s="3">
        <v>6974</v>
      </c>
      <c r="B6975" s="3" t="s">
        <v>15257</v>
      </c>
      <c r="C6975" s="3" t="s">
        <v>1356</v>
      </c>
      <c r="D6975" s="4" t="s">
        <v>15258</v>
      </c>
      <c r="E6975" s="3" t="s">
        <v>2726</v>
      </c>
      <c r="F6975" s="3" t="s">
        <v>1358</v>
      </c>
      <c r="G6975" s="3" t="s">
        <v>321</v>
      </c>
      <c r="H6975" s="4"/>
    </row>
    <row r="6976" ht="16.5" customHeight="1" spans="1:8">
      <c r="A6976" s="3">
        <v>6975</v>
      </c>
      <c r="B6976" s="3" t="s">
        <v>15259</v>
      </c>
      <c r="C6976" s="3" t="s">
        <v>2163</v>
      </c>
      <c r="D6976" s="4" t="s">
        <v>15260</v>
      </c>
      <c r="E6976" s="3" t="s">
        <v>1076</v>
      </c>
      <c r="F6976" s="3" t="s">
        <v>10943</v>
      </c>
      <c r="G6976" s="3" t="s">
        <v>98</v>
      </c>
      <c r="H6976" s="4" t="s">
        <v>5533</v>
      </c>
    </row>
    <row r="6977" ht="16.5" customHeight="1" spans="1:8">
      <c r="A6977" s="3">
        <v>6976</v>
      </c>
      <c r="B6977" s="3" t="s">
        <v>15261</v>
      </c>
      <c r="C6977" s="3" t="s">
        <v>2163</v>
      </c>
      <c r="D6977" s="4" t="s">
        <v>15262</v>
      </c>
      <c r="E6977" s="3" t="s">
        <v>1076</v>
      </c>
      <c r="F6977" s="3" t="s">
        <v>2041</v>
      </c>
      <c r="G6977" s="3" t="s">
        <v>98</v>
      </c>
      <c r="H6977" s="4" t="s">
        <v>5533</v>
      </c>
    </row>
    <row r="6978" ht="16.5" customHeight="1" spans="1:8">
      <c r="A6978" s="3">
        <v>6977</v>
      </c>
      <c r="B6978" s="3" t="s">
        <v>15263</v>
      </c>
      <c r="C6978" s="3" t="s">
        <v>2163</v>
      </c>
      <c r="D6978" s="4" t="s">
        <v>15264</v>
      </c>
      <c r="E6978" s="3" t="s">
        <v>1076</v>
      </c>
      <c r="F6978" s="3" t="s">
        <v>10943</v>
      </c>
      <c r="G6978" s="3" t="s">
        <v>98</v>
      </c>
      <c r="H6978" s="4" t="s">
        <v>5533</v>
      </c>
    </row>
    <row r="6979" ht="16.5" customHeight="1" spans="1:8">
      <c r="A6979" s="3">
        <v>6978</v>
      </c>
      <c r="B6979" s="3" t="s">
        <v>15265</v>
      </c>
      <c r="C6979" s="3" t="s">
        <v>2163</v>
      </c>
      <c r="D6979" s="4" t="s">
        <v>15266</v>
      </c>
      <c r="E6979" s="3" t="s">
        <v>1076</v>
      </c>
      <c r="F6979" s="3" t="s">
        <v>2041</v>
      </c>
      <c r="G6979" s="3" t="s">
        <v>98</v>
      </c>
      <c r="H6979" s="4" t="s">
        <v>5533</v>
      </c>
    </row>
    <row r="6980" ht="16.5" customHeight="1" spans="1:8">
      <c r="A6980" s="3">
        <v>6979</v>
      </c>
      <c r="B6980" s="3" t="s">
        <v>15267</v>
      </c>
      <c r="C6980" s="3" t="s">
        <v>2163</v>
      </c>
      <c r="D6980" s="4" t="s">
        <v>15268</v>
      </c>
      <c r="E6980" s="3" t="s">
        <v>1076</v>
      </c>
      <c r="F6980" s="3" t="s">
        <v>2041</v>
      </c>
      <c r="G6980" s="3" t="s">
        <v>98</v>
      </c>
      <c r="H6980" s="4" t="s">
        <v>3812</v>
      </c>
    </row>
    <row r="6981" ht="16.5" customHeight="1" spans="1:8">
      <c r="A6981" s="3">
        <v>6980</v>
      </c>
      <c r="B6981" s="3" t="s">
        <v>15269</v>
      </c>
      <c r="C6981" s="3" t="s">
        <v>2163</v>
      </c>
      <c r="D6981" s="4" t="s">
        <v>15270</v>
      </c>
      <c r="E6981" s="3" t="s">
        <v>1076</v>
      </c>
      <c r="F6981" s="3" t="s">
        <v>10943</v>
      </c>
      <c r="G6981" s="3" t="s">
        <v>98</v>
      </c>
      <c r="H6981" s="4" t="s">
        <v>5533</v>
      </c>
    </row>
    <row r="6982" ht="16.5" customHeight="1" spans="1:8">
      <c r="A6982" s="3">
        <v>6981</v>
      </c>
      <c r="B6982" s="3" t="s">
        <v>15271</v>
      </c>
      <c r="C6982" s="3" t="s">
        <v>2163</v>
      </c>
      <c r="D6982" s="4" t="s">
        <v>15272</v>
      </c>
      <c r="E6982" s="3" t="s">
        <v>1076</v>
      </c>
      <c r="F6982" s="3" t="s">
        <v>10943</v>
      </c>
      <c r="G6982" s="3" t="s">
        <v>98</v>
      </c>
      <c r="H6982" s="4" t="s">
        <v>5533</v>
      </c>
    </row>
    <row r="6983" ht="16.5" customHeight="1" spans="1:8">
      <c r="A6983" s="3">
        <v>6982</v>
      </c>
      <c r="B6983" s="3" t="s">
        <v>15273</v>
      </c>
      <c r="C6983" s="3" t="s">
        <v>1105</v>
      </c>
      <c r="D6983" s="4" t="s">
        <v>15274</v>
      </c>
      <c r="E6983" s="3" t="s">
        <v>1076</v>
      </c>
      <c r="F6983" s="3" t="s">
        <v>10943</v>
      </c>
      <c r="G6983" s="3"/>
      <c r="H6983" s="4" t="s">
        <v>14924</v>
      </c>
    </row>
    <row r="6984" ht="16.5" customHeight="1" spans="1:8">
      <c r="A6984" s="3">
        <v>6983</v>
      </c>
      <c r="B6984" s="3" t="s">
        <v>15275</v>
      </c>
      <c r="C6984" s="3" t="s">
        <v>1105</v>
      </c>
      <c r="D6984" s="4" t="s">
        <v>14998</v>
      </c>
      <c r="E6984" s="3" t="s">
        <v>1076</v>
      </c>
      <c r="F6984" s="3" t="s">
        <v>2041</v>
      </c>
      <c r="G6984" s="3"/>
      <c r="H6984" s="4" t="s">
        <v>15276</v>
      </c>
    </row>
    <row r="6985" ht="16.5" customHeight="1" spans="1:8">
      <c r="A6985" s="3">
        <v>6984</v>
      </c>
      <c r="B6985" s="3" t="s">
        <v>15277</v>
      </c>
      <c r="C6985" s="3" t="s">
        <v>1105</v>
      </c>
      <c r="D6985" s="4" t="s">
        <v>15278</v>
      </c>
      <c r="E6985" s="3" t="s">
        <v>1076</v>
      </c>
      <c r="F6985" s="3" t="s">
        <v>2041</v>
      </c>
      <c r="G6985" s="3"/>
      <c r="H6985" s="4" t="s">
        <v>15279</v>
      </c>
    </row>
    <row r="6986" ht="16.5" customHeight="1" spans="1:8">
      <c r="A6986" s="3">
        <v>6985</v>
      </c>
      <c r="B6986" s="3" t="s">
        <v>15280</v>
      </c>
      <c r="C6986" s="3" t="s">
        <v>2163</v>
      </c>
      <c r="D6986" s="4" t="s">
        <v>15281</v>
      </c>
      <c r="E6986" s="3" t="s">
        <v>1076</v>
      </c>
      <c r="F6986" s="3" t="s">
        <v>2041</v>
      </c>
      <c r="G6986" s="3" t="s">
        <v>321</v>
      </c>
      <c r="H6986" s="4" t="s">
        <v>12433</v>
      </c>
    </row>
    <row r="6987" ht="16.5" customHeight="1" spans="1:8">
      <c r="A6987" s="3">
        <v>6986</v>
      </c>
      <c r="B6987" s="3" t="s">
        <v>15282</v>
      </c>
      <c r="C6987" s="3" t="s">
        <v>2163</v>
      </c>
      <c r="D6987" s="4" t="s">
        <v>15283</v>
      </c>
      <c r="E6987" s="3" t="s">
        <v>9072</v>
      </c>
      <c r="F6987" s="3" t="s">
        <v>10943</v>
      </c>
      <c r="G6987" s="3" t="s">
        <v>98</v>
      </c>
      <c r="H6987" s="4" t="s">
        <v>5533</v>
      </c>
    </row>
    <row r="6988" ht="16.5" customHeight="1" spans="1:8">
      <c r="A6988" s="3">
        <v>6987</v>
      </c>
      <c r="B6988" s="3" t="s">
        <v>15284</v>
      </c>
      <c r="C6988" s="3" t="s">
        <v>1074</v>
      </c>
      <c r="D6988" s="4" t="s">
        <v>15285</v>
      </c>
      <c r="E6988" s="3" t="s">
        <v>1076</v>
      </c>
      <c r="F6988" s="3" t="s">
        <v>1152</v>
      </c>
      <c r="G6988" s="3"/>
      <c r="H6988" s="4" t="s">
        <v>5162</v>
      </c>
    </row>
    <row r="6989" ht="16.5" customHeight="1" spans="1:8">
      <c r="A6989" s="3">
        <v>6988</v>
      </c>
      <c r="B6989" s="3" t="s">
        <v>15286</v>
      </c>
      <c r="C6989" s="3" t="s">
        <v>1074</v>
      </c>
      <c r="D6989" s="4" t="s">
        <v>15287</v>
      </c>
      <c r="E6989" s="3" t="s">
        <v>1076</v>
      </c>
      <c r="F6989" s="3" t="s">
        <v>1358</v>
      </c>
      <c r="G6989" s="3"/>
      <c r="H6989" s="4" t="s">
        <v>5260</v>
      </c>
    </row>
    <row r="6990" ht="16.5" customHeight="1" spans="1:8">
      <c r="A6990" s="3">
        <v>6989</v>
      </c>
      <c r="B6990" s="3" t="s">
        <v>15288</v>
      </c>
      <c r="C6990" s="3" t="s">
        <v>1074</v>
      </c>
      <c r="D6990" s="4" t="s">
        <v>15289</v>
      </c>
      <c r="E6990" s="3" t="s">
        <v>1076</v>
      </c>
      <c r="F6990" s="3" t="s">
        <v>1358</v>
      </c>
      <c r="G6990" s="3"/>
      <c r="H6990" s="4" t="s">
        <v>5275</v>
      </c>
    </row>
    <row r="6991" ht="16.5" customHeight="1" spans="1:8">
      <c r="A6991" s="3">
        <v>6990</v>
      </c>
      <c r="B6991" s="3" t="s">
        <v>15290</v>
      </c>
      <c r="C6991" s="3" t="s">
        <v>1074</v>
      </c>
      <c r="D6991" s="4" t="s">
        <v>15291</v>
      </c>
      <c r="E6991" s="3" t="s">
        <v>1076</v>
      </c>
      <c r="F6991" s="3" t="s">
        <v>1358</v>
      </c>
      <c r="G6991" s="3"/>
      <c r="H6991" s="4" t="s">
        <v>5162</v>
      </c>
    </row>
    <row r="6992" ht="16.5" customHeight="1" spans="1:8">
      <c r="A6992" s="3">
        <v>6991</v>
      </c>
      <c r="B6992" s="3" t="s">
        <v>15292</v>
      </c>
      <c r="C6992" s="3" t="s">
        <v>1074</v>
      </c>
      <c r="D6992" s="4" t="s">
        <v>15293</v>
      </c>
      <c r="E6992" s="3" t="s">
        <v>1076</v>
      </c>
      <c r="F6992" s="3" t="s">
        <v>1358</v>
      </c>
      <c r="G6992" s="3"/>
      <c r="H6992" s="4" t="s">
        <v>5162</v>
      </c>
    </row>
    <row r="6993" ht="16.5" customHeight="1" spans="1:8">
      <c r="A6993" s="3">
        <v>6992</v>
      </c>
      <c r="B6993" s="3" t="s">
        <v>15294</v>
      </c>
      <c r="C6993" s="3" t="s">
        <v>2163</v>
      </c>
      <c r="D6993" s="4" t="s">
        <v>15295</v>
      </c>
      <c r="E6993" s="3" t="s">
        <v>1076</v>
      </c>
      <c r="F6993" s="3" t="s">
        <v>10943</v>
      </c>
      <c r="G6993" s="3" t="s">
        <v>98</v>
      </c>
      <c r="H6993" s="4" t="s">
        <v>3812</v>
      </c>
    </row>
    <row r="6994" ht="16.5" customHeight="1" spans="1:8">
      <c r="A6994" s="3">
        <v>6993</v>
      </c>
      <c r="B6994" s="3" t="s">
        <v>15296</v>
      </c>
      <c r="C6994" s="3" t="s">
        <v>2163</v>
      </c>
      <c r="D6994" s="4" t="s">
        <v>15297</v>
      </c>
      <c r="E6994" s="3" t="s">
        <v>1076</v>
      </c>
      <c r="F6994" s="3" t="s">
        <v>10943</v>
      </c>
      <c r="G6994" s="3" t="s">
        <v>98</v>
      </c>
      <c r="H6994" s="4" t="s">
        <v>3812</v>
      </c>
    </row>
    <row r="6995" ht="16.5" customHeight="1" spans="1:8">
      <c r="A6995" s="3">
        <v>6994</v>
      </c>
      <c r="B6995" s="3" t="s">
        <v>15298</v>
      </c>
      <c r="C6995" s="3" t="s">
        <v>1356</v>
      </c>
      <c r="D6995" s="4" t="s">
        <v>15299</v>
      </c>
      <c r="E6995" s="3" t="s">
        <v>1076</v>
      </c>
      <c r="F6995" s="3" t="s">
        <v>1358</v>
      </c>
      <c r="G6995" s="3"/>
      <c r="H6995" s="4"/>
    </row>
    <row r="6996" ht="16.5" customHeight="1" spans="1:8">
      <c r="A6996" s="3">
        <v>6995</v>
      </c>
      <c r="B6996" s="3" t="s">
        <v>15300</v>
      </c>
      <c r="C6996" s="3" t="s">
        <v>1356</v>
      </c>
      <c r="D6996" s="4" t="s">
        <v>15301</v>
      </c>
      <c r="E6996" s="3" t="s">
        <v>1218</v>
      </c>
      <c r="F6996" s="3" t="s">
        <v>1358</v>
      </c>
      <c r="G6996" s="3"/>
      <c r="H6996" s="4"/>
    </row>
    <row r="6997" ht="16.5" customHeight="1" spans="1:8">
      <c r="A6997" s="3">
        <v>6996</v>
      </c>
      <c r="B6997" s="3" t="s">
        <v>15302</v>
      </c>
      <c r="C6997" s="3" t="s">
        <v>1356</v>
      </c>
      <c r="D6997" s="4" t="s">
        <v>15303</v>
      </c>
      <c r="E6997" s="3" t="s">
        <v>1218</v>
      </c>
      <c r="F6997" s="3" t="s">
        <v>1358</v>
      </c>
      <c r="G6997" s="3"/>
      <c r="H6997" s="4"/>
    </row>
    <row r="6998" ht="16.5" customHeight="1" spans="1:8">
      <c r="A6998" s="3">
        <v>6997</v>
      </c>
      <c r="B6998" s="3" t="s">
        <v>15304</v>
      </c>
      <c r="C6998" s="3" t="s">
        <v>1105</v>
      </c>
      <c r="D6998" s="4" t="s">
        <v>15305</v>
      </c>
      <c r="E6998" s="3" t="s">
        <v>1076</v>
      </c>
      <c r="F6998" s="3" t="s">
        <v>1358</v>
      </c>
      <c r="G6998" s="3"/>
      <c r="H6998" s="4" t="s">
        <v>14573</v>
      </c>
    </row>
    <row r="6999" ht="16.5" customHeight="1" spans="1:8">
      <c r="A6999" s="3">
        <v>6998</v>
      </c>
      <c r="B6999" s="3" t="s">
        <v>15306</v>
      </c>
      <c r="C6999" s="3" t="s">
        <v>1105</v>
      </c>
      <c r="D6999" s="4" t="s">
        <v>15062</v>
      </c>
      <c r="E6999" s="3" t="s">
        <v>1076</v>
      </c>
      <c r="F6999" s="3" t="s">
        <v>1358</v>
      </c>
      <c r="G6999" s="3"/>
      <c r="H6999" s="4" t="s">
        <v>14573</v>
      </c>
    </row>
    <row r="7000" ht="16.5" customHeight="1" spans="1:8">
      <c r="A7000" s="3">
        <v>6999</v>
      </c>
      <c r="B7000" s="3" t="s">
        <v>15307</v>
      </c>
      <c r="C7000" s="3" t="s">
        <v>1074</v>
      </c>
      <c r="D7000" s="4" t="s">
        <v>15308</v>
      </c>
      <c r="E7000" s="3" t="s">
        <v>1076</v>
      </c>
      <c r="F7000" s="3" t="s">
        <v>1719</v>
      </c>
      <c r="G7000" s="3"/>
      <c r="H7000" s="4"/>
    </row>
    <row r="7001" ht="16.5" customHeight="1" spans="1:8">
      <c r="A7001" s="3">
        <v>7000</v>
      </c>
      <c r="B7001" s="3" t="s">
        <v>15309</v>
      </c>
      <c r="C7001" s="3" t="s">
        <v>1361</v>
      </c>
      <c r="D7001" s="4" t="s">
        <v>15310</v>
      </c>
      <c r="E7001" s="3" t="s">
        <v>1218</v>
      </c>
      <c r="F7001" s="3" t="s">
        <v>6994</v>
      </c>
      <c r="G7001" s="3" t="s">
        <v>321</v>
      </c>
      <c r="H7001" s="4"/>
    </row>
    <row r="7002" ht="16.5" customHeight="1" spans="1:8">
      <c r="A7002" s="3">
        <v>7001</v>
      </c>
      <c r="B7002" s="3" t="s">
        <v>15311</v>
      </c>
      <c r="C7002" s="3" t="s">
        <v>1361</v>
      </c>
      <c r="D7002" s="4" t="s">
        <v>15312</v>
      </c>
      <c r="E7002" s="3" t="s">
        <v>1218</v>
      </c>
      <c r="F7002" s="3" t="s">
        <v>6994</v>
      </c>
      <c r="G7002" s="3" t="s">
        <v>321</v>
      </c>
      <c r="H7002" s="4"/>
    </row>
    <row r="7003" ht="16.5" customHeight="1" spans="1:8">
      <c r="A7003" s="3">
        <v>7002</v>
      </c>
      <c r="B7003" s="3" t="s">
        <v>15313</v>
      </c>
      <c r="C7003" s="3" t="s">
        <v>1361</v>
      </c>
      <c r="D7003" s="4" t="s">
        <v>15314</v>
      </c>
      <c r="E7003" s="3" t="s">
        <v>1218</v>
      </c>
      <c r="F7003" s="3" t="s">
        <v>6994</v>
      </c>
      <c r="G7003" s="3" t="s">
        <v>321</v>
      </c>
      <c r="H7003" s="4"/>
    </row>
    <row r="7004" ht="16.5" customHeight="1" spans="1:8">
      <c r="A7004" s="3">
        <v>7003</v>
      </c>
      <c r="B7004" s="3" t="s">
        <v>15315</v>
      </c>
      <c r="C7004" s="3" t="s">
        <v>1361</v>
      </c>
      <c r="D7004" s="4" t="s">
        <v>15316</v>
      </c>
      <c r="E7004" s="3" t="s">
        <v>1218</v>
      </c>
      <c r="F7004" s="3" t="s">
        <v>6994</v>
      </c>
      <c r="G7004" s="3" t="s">
        <v>321</v>
      </c>
      <c r="H7004" s="4"/>
    </row>
    <row r="7005" ht="16.5" customHeight="1" spans="1:8">
      <c r="A7005" s="3">
        <v>7004</v>
      </c>
      <c r="B7005" s="3" t="s">
        <v>15317</v>
      </c>
      <c r="C7005" s="3" t="s">
        <v>1361</v>
      </c>
      <c r="D7005" s="4" t="s">
        <v>15318</v>
      </c>
      <c r="E7005" s="3" t="s">
        <v>1218</v>
      </c>
      <c r="F7005" s="3" t="s">
        <v>6994</v>
      </c>
      <c r="G7005" s="3" t="s">
        <v>321</v>
      </c>
      <c r="H7005" s="4"/>
    </row>
    <row r="7006" ht="16.5" customHeight="1" spans="1:8">
      <c r="A7006" s="3">
        <v>7005</v>
      </c>
      <c r="B7006" s="3" t="s">
        <v>15319</v>
      </c>
      <c r="C7006" s="3" t="s">
        <v>1074</v>
      </c>
      <c r="D7006" s="4" t="s">
        <v>15320</v>
      </c>
      <c r="E7006" s="3" t="s">
        <v>1076</v>
      </c>
      <c r="F7006" s="3" t="s">
        <v>10259</v>
      </c>
      <c r="G7006" s="3"/>
      <c r="H7006" s="4" t="s">
        <v>3812</v>
      </c>
    </row>
    <row r="7007" ht="16.5" customHeight="1" spans="1:8">
      <c r="A7007" s="3">
        <v>7006</v>
      </c>
      <c r="B7007" s="3" t="s">
        <v>15321</v>
      </c>
      <c r="C7007" s="3" t="s">
        <v>1074</v>
      </c>
      <c r="D7007" s="4" t="s">
        <v>15322</v>
      </c>
      <c r="E7007" s="3" t="s">
        <v>1218</v>
      </c>
      <c r="F7007" s="3" t="s">
        <v>10259</v>
      </c>
      <c r="G7007" s="3"/>
      <c r="H7007" s="4" t="s">
        <v>5275</v>
      </c>
    </row>
    <row r="7008" ht="16.5" customHeight="1" spans="1:8">
      <c r="A7008" s="3">
        <v>7007</v>
      </c>
      <c r="B7008" s="3" t="s">
        <v>15323</v>
      </c>
      <c r="C7008" s="3" t="s">
        <v>1074</v>
      </c>
      <c r="D7008" s="4" t="s">
        <v>15324</v>
      </c>
      <c r="E7008" s="3" t="s">
        <v>1218</v>
      </c>
      <c r="F7008" s="3" t="s">
        <v>10259</v>
      </c>
      <c r="G7008" s="3"/>
      <c r="H7008" s="4" t="s">
        <v>5275</v>
      </c>
    </row>
    <row r="7009" ht="16.5" customHeight="1" spans="1:8">
      <c r="A7009" s="3">
        <v>7008</v>
      </c>
      <c r="B7009" s="3" t="s">
        <v>15325</v>
      </c>
      <c r="C7009" s="3" t="s">
        <v>1074</v>
      </c>
      <c r="D7009" s="4" t="s">
        <v>15326</v>
      </c>
      <c r="E7009" s="3" t="s">
        <v>1218</v>
      </c>
      <c r="F7009" s="3" t="s">
        <v>10259</v>
      </c>
      <c r="G7009" s="3"/>
      <c r="H7009" s="4" t="s">
        <v>5275</v>
      </c>
    </row>
    <row r="7010" ht="16.5" customHeight="1" spans="1:8">
      <c r="A7010" s="3">
        <v>7009</v>
      </c>
      <c r="B7010" s="3" t="s">
        <v>15327</v>
      </c>
      <c r="C7010" s="3" t="s">
        <v>1074</v>
      </c>
      <c r="D7010" s="4" t="s">
        <v>15328</v>
      </c>
      <c r="E7010" s="3" t="s">
        <v>1218</v>
      </c>
      <c r="F7010" s="3" t="s">
        <v>10259</v>
      </c>
      <c r="G7010" s="3"/>
      <c r="H7010" s="4" t="s">
        <v>5275</v>
      </c>
    </row>
    <row r="7011" ht="16.5" customHeight="1" spans="1:8">
      <c r="A7011" s="3">
        <v>7010</v>
      </c>
      <c r="B7011" s="3" t="s">
        <v>15329</v>
      </c>
      <c r="C7011" s="3" t="s">
        <v>1074</v>
      </c>
      <c r="D7011" s="4" t="s">
        <v>15330</v>
      </c>
      <c r="E7011" s="3" t="s">
        <v>1218</v>
      </c>
      <c r="F7011" s="3" t="s">
        <v>10259</v>
      </c>
      <c r="G7011" s="3"/>
      <c r="H7011" s="4" t="s">
        <v>5260</v>
      </c>
    </row>
    <row r="7012" ht="16.5" customHeight="1" spans="1:8">
      <c r="A7012" s="3">
        <v>7011</v>
      </c>
      <c r="B7012" s="3" t="s">
        <v>15331</v>
      </c>
      <c r="C7012" s="3" t="s">
        <v>1074</v>
      </c>
      <c r="D7012" s="4" t="s">
        <v>15332</v>
      </c>
      <c r="E7012" s="3" t="s">
        <v>1218</v>
      </c>
      <c r="F7012" s="3" t="s">
        <v>10259</v>
      </c>
      <c r="G7012" s="3"/>
      <c r="H7012" s="4" t="s">
        <v>5260</v>
      </c>
    </row>
    <row r="7013" ht="16.5" customHeight="1" spans="1:8">
      <c r="A7013" s="3">
        <v>7012</v>
      </c>
      <c r="B7013" s="3" t="s">
        <v>15333</v>
      </c>
      <c r="C7013" s="3" t="s">
        <v>1074</v>
      </c>
      <c r="D7013" s="4" t="s">
        <v>15334</v>
      </c>
      <c r="E7013" s="3" t="s">
        <v>1218</v>
      </c>
      <c r="F7013" s="3" t="s">
        <v>10259</v>
      </c>
      <c r="G7013" s="3"/>
      <c r="H7013" s="4" t="s">
        <v>5260</v>
      </c>
    </row>
    <row r="7014" ht="16.5" customHeight="1" spans="1:8">
      <c r="A7014" s="3">
        <v>7013</v>
      </c>
      <c r="B7014" s="3" t="s">
        <v>15335</v>
      </c>
      <c r="C7014" s="3" t="s">
        <v>1074</v>
      </c>
      <c r="D7014" s="4" t="s">
        <v>15336</v>
      </c>
      <c r="E7014" s="3" t="s">
        <v>1218</v>
      </c>
      <c r="F7014" s="3" t="s">
        <v>10259</v>
      </c>
      <c r="G7014" s="3"/>
      <c r="H7014" s="4" t="s">
        <v>5260</v>
      </c>
    </row>
    <row r="7015" ht="16.5" customHeight="1" spans="1:8">
      <c r="A7015" s="3">
        <v>7014</v>
      </c>
      <c r="B7015" s="3" t="s">
        <v>15337</v>
      </c>
      <c r="C7015" s="3" t="s">
        <v>1074</v>
      </c>
      <c r="D7015" s="4" t="s">
        <v>15338</v>
      </c>
      <c r="E7015" s="3" t="s">
        <v>1218</v>
      </c>
      <c r="F7015" s="3" t="s">
        <v>10259</v>
      </c>
      <c r="G7015" s="3"/>
      <c r="H7015" s="4" t="s">
        <v>5260</v>
      </c>
    </row>
    <row r="7016" ht="16.5" customHeight="1" spans="1:8">
      <c r="A7016" s="3">
        <v>7015</v>
      </c>
      <c r="B7016" s="3" t="s">
        <v>15339</v>
      </c>
      <c r="C7016" s="3" t="s">
        <v>1074</v>
      </c>
      <c r="D7016" s="4" t="s">
        <v>15340</v>
      </c>
      <c r="E7016" s="3" t="s">
        <v>1218</v>
      </c>
      <c r="F7016" s="3" t="s">
        <v>10259</v>
      </c>
      <c r="G7016" s="3"/>
      <c r="H7016" s="4" t="s">
        <v>5260</v>
      </c>
    </row>
    <row r="7017" ht="16.5" customHeight="1" spans="1:8">
      <c r="A7017" s="3">
        <v>7016</v>
      </c>
      <c r="B7017" s="3" t="s">
        <v>15341</v>
      </c>
      <c r="C7017" s="3" t="s">
        <v>1074</v>
      </c>
      <c r="D7017" s="4" t="s">
        <v>15342</v>
      </c>
      <c r="E7017" s="3" t="s">
        <v>1076</v>
      </c>
      <c r="F7017" s="3" t="s">
        <v>10259</v>
      </c>
      <c r="G7017" s="3"/>
      <c r="H7017" s="4" t="s">
        <v>5222</v>
      </c>
    </row>
    <row r="7018" ht="16.5" customHeight="1" spans="1:8">
      <c r="A7018" s="3">
        <v>7017</v>
      </c>
      <c r="B7018" s="3" t="s">
        <v>15343</v>
      </c>
      <c r="C7018" s="3" t="s">
        <v>1074</v>
      </c>
      <c r="D7018" s="4" t="s">
        <v>15344</v>
      </c>
      <c r="E7018" s="3" t="s">
        <v>1218</v>
      </c>
      <c r="F7018" s="3" t="s">
        <v>10259</v>
      </c>
      <c r="G7018" s="3"/>
      <c r="H7018" s="4" t="s">
        <v>5222</v>
      </c>
    </row>
    <row r="7019" ht="16.5" customHeight="1" spans="1:8">
      <c r="A7019" s="3">
        <v>7018</v>
      </c>
      <c r="B7019" s="3" t="s">
        <v>15345</v>
      </c>
      <c r="C7019" s="3" t="s">
        <v>1105</v>
      </c>
      <c r="D7019" s="4" t="s">
        <v>15278</v>
      </c>
      <c r="E7019" s="3" t="s">
        <v>1076</v>
      </c>
      <c r="F7019" s="3" t="s">
        <v>2041</v>
      </c>
      <c r="G7019" s="3"/>
      <c r="H7019" s="4" t="s">
        <v>15346</v>
      </c>
    </row>
    <row r="7020" ht="16.5" customHeight="1" spans="1:8">
      <c r="A7020" s="3">
        <v>7019</v>
      </c>
      <c r="B7020" s="3" t="s">
        <v>15347</v>
      </c>
      <c r="C7020" s="3" t="s">
        <v>1105</v>
      </c>
      <c r="D7020" s="4" t="s">
        <v>14911</v>
      </c>
      <c r="E7020" s="3" t="s">
        <v>1076</v>
      </c>
      <c r="F7020" s="3" t="s">
        <v>2041</v>
      </c>
      <c r="G7020" s="3"/>
      <c r="H7020" s="4" t="s">
        <v>15348</v>
      </c>
    </row>
    <row r="7021" ht="16.5" customHeight="1" spans="1:8">
      <c r="A7021" s="3">
        <v>7020</v>
      </c>
      <c r="B7021" s="3" t="s">
        <v>15349</v>
      </c>
      <c r="C7021" s="3" t="s">
        <v>1105</v>
      </c>
      <c r="D7021" s="4" t="s">
        <v>14911</v>
      </c>
      <c r="E7021" s="3" t="s">
        <v>1076</v>
      </c>
      <c r="F7021" s="3" t="s">
        <v>2041</v>
      </c>
      <c r="G7021" s="3"/>
      <c r="H7021" s="4" t="s">
        <v>15350</v>
      </c>
    </row>
    <row r="7022" ht="16.5" customHeight="1" spans="1:8">
      <c r="A7022" s="3">
        <v>7021</v>
      </c>
      <c r="B7022" s="3" t="s">
        <v>15351</v>
      </c>
      <c r="C7022" s="3" t="s">
        <v>1105</v>
      </c>
      <c r="D7022" s="4" t="s">
        <v>14348</v>
      </c>
      <c r="E7022" s="3" t="s">
        <v>1076</v>
      </c>
      <c r="F7022" s="3" t="s">
        <v>2041</v>
      </c>
      <c r="G7022" s="3"/>
      <c r="H7022" s="4" t="s">
        <v>14924</v>
      </c>
    </row>
    <row r="7023" ht="16.5" customHeight="1" spans="1:8">
      <c r="A7023" s="3">
        <v>7022</v>
      </c>
      <c r="B7023" s="3" t="s">
        <v>15352</v>
      </c>
      <c r="C7023" s="3" t="s">
        <v>1105</v>
      </c>
      <c r="D7023" s="4" t="s">
        <v>14348</v>
      </c>
      <c r="E7023" s="3" t="s">
        <v>1076</v>
      </c>
      <c r="F7023" s="3" t="s">
        <v>2041</v>
      </c>
      <c r="G7023" s="3"/>
      <c r="H7023" s="4" t="s">
        <v>15276</v>
      </c>
    </row>
    <row r="7024" ht="16.5" customHeight="1" spans="1:8">
      <c r="A7024" s="3">
        <v>7023</v>
      </c>
      <c r="B7024" s="3" t="s">
        <v>15353</v>
      </c>
      <c r="C7024" s="3" t="s">
        <v>1105</v>
      </c>
      <c r="D7024" s="4" t="s">
        <v>14348</v>
      </c>
      <c r="E7024" s="3" t="s">
        <v>1076</v>
      </c>
      <c r="F7024" s="3" t="s">
        <v>2041</v>
      </c>
      <c r="G7024" s="3"/>
      <c r="H7024" s="4" t="s">
        <v>15279</v>
      </c>
    </row>
    <row r="7025" ht="16.5" customHeight="1" spans="1:8">
      <c r="A7025" s="3">
        <v>7024</v>
      </c>
      <c r="B7025" s="3" t="s">
        <v>15354</v>
      </c>
      <c r="C7025" s="3" t="s">
        <v>1074</v>
      </c>
      <c r="D7025" s="4" t="s">
        <v>15355</v>
      </c>
      <c r="E7025" s="3" t="s">
        <v>5169</v>
      </c>
      <c r="F7025" s="3" t="s">
        <v>10259</v>
      </c>
      <c r="G7025" s="3"/>
      <c r="H7025" s="4" t="s">
        <v>5162</v>
      </c>
    </row>
    <row r="7026" ht="16.5" customHeight="1" spans="1:8">
      <c r="A7026" s="3">
        <v>7025</v>
      </c>
      <c r="B7026" s="3" t="s">
        <v>15356</v>
      </c>
      <c r="C7026" s="3" t="s">
        <v>1074</v>
      </c>
      <c r="D7026" s="4" t="s">
        <v>15357</v>
      </c>
      <c r="E7026" s="3" t="s">
        <v>1076</v>
      </c>
      <c r="F7026" s="3" t="s">
        <v>10259</v>
      </c>
      <c r="G7026" s="3"/>
      <c r="H7026" s="4" t="s">
        <v>5162</v>
      </c>
    </row>
    <row r="7027" ht="16.5" customHeight="1" spans="1:8">
      <c r="A7027" s="3">
        <v>7026</v>
      </c>
      <c r="B7027" s="3" t="s">
        <v>15358</v>
      </c>
      <c r="C7027" s="3" t="s">
        <v>1074</v>
      </c>
      <c r="D7027" s="4" t="s">
        <v>15359</v>
      </c>
      <c r="E7027" s="3" t="s">
        <v>2726</v>
      </c>
      <c r="F7027" s="3" t="s">
        <v>10259</v>
      </c>
      <c r="G7027" s="3"/>
      <c r="H7027" s="4" t="s">
        <v>5162</v>
      </c>
    </row>
    <row r="7028" ht="16.5" customHeight="1" spans="1:8">
      <c r="A7028" s="3">
        <v>7027</v>
      </c>
      <c r="B7028" s="3" t="s">
        <v>15360</v>
      </c>
      <c r="C7028" s="3" t="s">
        <v>1074</v>
      </c>
      <c r="D7028" s="4" t="s">
        <v>15361</v>
      </c>
      <c r="E7028" s="3" t="s">
        <v>1218</v>
      </c>
      <c r="F7028" s="3" t="s">
        <v>10259</v>
      </c>
      <c r="G7028" s="3"/>
      <c r="H7028" s="4" t="s">
        <v>5162</v>
      </c>
    </row>
    <row r="7029" ht="16.5" customHeight="1" spans="1:8">
      <c r="A7029" s="3">
        <v>7028</v>
      </c>
      <c r="B7029" s="3" t="s">
        <v>15362</v>
      </c>
      <c r="C7029" s="3" t="s">
        <v>1074</v>
      </c>
      <c r="D7029" s="4" t="s">
        <v>15363</v>
      </c>
      <c r="E7029" s="3" t="s">
        <v>1218</v>
      </c>
      <c r="F7029" s="3" t="s">
        <v>10259</v>
      </c>
      <c r="G7029" s="3"/>
      <c r="H7029" s="4" t="s">
        <v>5162</v>
      </c>
    </row>
    <row r="7030" ht="16.5" customHeight="1" spans="1:8">
      <c r="A7030" s="3">
        <v>7029</v>
      </c>
      <c r="B7030" s="3" t="s">
        <v>15364</v>
      </c>
      <c r="C7030" s="3" t="s">
        <v>1074</v>
      </c>
      <c r="D7030" s="4" t="s">
        <v>15365</v>
      </c>
      <c r="E7030" s="3" t="s">
        <v>1218</v>
      </c>
      <c r="F7030" s="3" t="s">
        <v>10259</v>
      </c>
      <c r="G7030" s="3"/>
      <c r="H7030" s="4" t="s">
        <v>5162</v>
      </c>
    </row>
    <row r="7031" ht="16.5" customHeight="1" spans="1:8">
      <c r="A7031" s="3">
        <v>7030</v>
      </c>
      <c r="B7031" s="3" t="s">
        <v>15366</v>
      </c>
      <c r="C7031" s="3" t="s">
        <v>1074</v>
      </c>
      <c r="D7031" s="4" t="s">
        <v>15367</v>
      </c>
      <c r="E7031" s="3" t="s">
        <v>1218</v>
      </c>
      <c r="F7031" s="3" t="s">
        <v>10259</v>
      </c>
      <c r="G7031" s="3"/>
      <c r="H7031" s="4" t="s">
        <v>5162</v>
      </c>
    </row>
    <row r="7032" ht="16.5" customHeight="1" spans="1:8">
      <c r="A7032" s="3">
        <v>7031</v>
      </c>
      <c r="B7032" s="3" t="s">
        <v>15368</v>
      </c>
      <c r="C7032" s="3" t="s">
        <v>1074</v>
      </c>
      <c r="D7032" s="4" t="s">
        <v>15369</v>
      </c>
      <c r="E7032" s="3" t="s">
        <v>1218</v>
      </c>
      <c r="F7032" s="3" t="s">
        <v>10259</v>
      </c>
      <c r="G7032" s="3"/>
      <c r="H7032" s="4" t="s">
        <v>5162</v>
      </c>
    </row>
    <row r="7033" ht="16.5" customHeight="1" spans="1:8">
      <c r="A7033" s="3">
        <v>7032</v>
      </c>
      <c r="B7033" s="3" t="s">
        <v>15370</v>
      </c>
      <c r="C7033" s="3" t="s">
        <v>1074</v>
      </c>
      <c r="D7033" s="4" t="s">
        <v>15371</v>
      </c>
      <c r="E7033" s="3" t="s">
        <v>1218</v>
      </c>
      <c r="F7033" s="3" t="s">
        <v>10259</v>
      </c>
      <c r="G7033" s="3"/>
      <c r="H7033" s="4" t="s">
        <v>5162</v>
      </c>
    </row>
    <row r="7034" ht="16.5" customHeight="1" spans="1:8">
      <c r="A7034" s="3">
        <v>7033</v>
      </c>
      <c r="B7034" s="3" t="s">
        <v>15372</v>
      </c>
      <c r="C7034" s="3" t="s">
        <v>1074</v>
      </c>
      <c r="D7034" s="4" t="s">
        <v>15373</v>
      </c>
      <c r="E7034" s="3" t="s">
        <v>5169</v>
      </c>
      <c r="F7034" s="3" t="s">
        <v>10259</v>
      </c>
      <c r="G7034" s="3"/>
      <c r="H7034" s="4" t="s">
        <v>5162</v>
      </c>
    </row>
    <row r="7035" ht="16.5" customHeight="1" spans="1:8">
      <c r="A7035" s="3">
        <v>7034</v>
      </c>
      <c r="B7035" s="3" t="s">
        <v>15374</v>
      </c>
      <c r="C7035" s="3" t="s">
        <v>1074</v>
      </c>
      <c r="D7035" s="4" t="s">
        <v>15375</v>
      </c>
      <c r="E7035" s="3" t="s">
        <v>1076</v>
      </c>
      <c r="F7035" s="3" t="s">
        <v>10259</v>
      </c>
      <c r="G7035" s="3"/>
      <c r="H7035" s="4" t="s">
        <v>5162</v>
      </c>
    </row>
    <row r="7036" ht="16.5" customHeight="1" spans="1:8">
      <c r="A7036" s="3">
        <v>7035</v>
      </c>
      <c r="B7036" s="3" t="s">
        <v>15376</v>
      </c>
      <c r="C7036" s="3" t="s">
        <v>1074</v>
      </c>
      <c r="D7036" s="4" t="s">
        <v>15377</v>
      </c>
      <c r="E7036" s="3" t="s">
        <v>2726</v>
      </c>
      <c r="F7036" s="3" t="s">
        <v>10259</v>
      </c>
      <c r="G7036" s="3"/>
      <c r="H7036" s="4" t="s">
        <v>5162</v>
      </c>
    </row>
    <row r="7037" ht="16.5" customHeight="1" spans="1:8">
      <c r="A7037" s="3">
        <v>7036</v>
      </c>
      <c r="B7037" s="3" t="s">
        <v>15378</v>
      </c>
      <c r="C7037" s="3" t="s">
        <v>1074</v>
      </c>
      <c r="D7037" s="4" t="s">
        <v>15379</v>
      </c>
      <c r="E7037" s="3" t="s">
        <v>2726</v>
      </c>
      <c r="F7037" s="3" t="s">
        <v>10259</v>
      </c>
      <c r="G7037" s="3"/>
      <c r="H7037" s="4" t="s">
        <v>5162</v>
      </c>
    </row>
    <row r="7038" ht="16.5" customHeight="1" spans="1:8">
      <c r="A7038" s="3">
        <v>7037</v>
      </c>
      <c r="B7038" s="3" t="s">
        <v>15380</v>
      </c>
      <c r="C7038" s="3" t="s">
        <v>1074</v>
      </c>
      <c r="D7038" s="4" t="s">
        <v>15381</v>
      </c>
      <c r="E7038" s="3" t="s">
        <v>1218</v>
      </c>
      <c r="F7038" s="3" t="s">
        <v>10259</v>
      </c>
      <c r="G7038" s="3"/>
      <c r="H7038" s="4" t="s">
        <v>5162</v>
      </c>
    </row>
    <row r="7039" ht="16.5" customHeight="1" spans="1:8">
      <c r="A7039" s="3">
        <v>7038</v>
      </c>
      <c r="B7039" s="3" t="s">
        <v>15382</v>
      </c>
      <c r="C7039" s="3" t="s">
        <v>1074</v>
      </c>
      <c r="D7039" s="4" t="s">
        <v>15383</v>
      </c>
      <c r="E7039" s="3" t="s">
        <v>5169</v>
      </c>
      <c r="F7039" s="3" t="s">
        <v>10259</v>
      </c>
      <c r="G7039" s="3"/>
      <c r="H7039" s="4" t="s">
        <v>5162</v>
      </c>
    </row>
    <row r="7040" ht="16.5" customHeight="1" spans="1:8">
      <c r="A7040" s="3">
        <v>7039</v>
      </c>
      <c r="B7040" s="3" t="s">
        <v>15384</v>
      </c>
      <c r="C7040" s="3" t="s">
        <v>1074</v>
      </c>
      <c r="D7040" s="4" t="s">
        <v>15385</v>
      </c>
      <c r="E7040" s="3" t="s">
        <v>5169</v>
      </c>
      <c r="F7040" s="3" t="s">
        <v>10259</v>
      </c>
      <c r="G7040" s="3"/>
      <c r="H7040" s="4" t="s">
        <v>5162</v>
      </c>
    </row>
    <row r="7041" ht="16.5" customHeight="1" spans="1:8">
      <c r="A7041" s="3">
        <v>7040</v>
      </c>
      <c r="B7041" s="3" t="s">
        <v>15386</v>
      </c>
      <c r="C7041" s="3" t="s">
        <v>1074</v>
      </c>
      <c r="D7041" s="4" t="s">
        <v>15387</v>
      </c>
      <c r="E7041" s="3" t="s">
        <v>5169</v>
      </c>
      <c r="F7041" s="3" t="s">
        <v>10259</v>
      </c>
      <c r="G7041" s="3"/>
      <c r="H7041" s="4" t="s">
        <v>5162</v>
      </c>
    </row>
    <row r="7042" ht="16.5" customHeight="1" spans="1:8">
      <c r="A7042" s="3">
        <v>7041</v>
      </c>
      <c r="B7042" s="3" t="s">
        <v>15388</v>
      </c>
      <c r="C7042" s="3" t="s">
        <v>1074</v>
      </c>
      <c r="D7042" s="4" t="s">
        <v>15389</v>
      </c>
      <c r="E7042" s="3" t="s">
        <v>1076</v>
      </c>
      <c r="F7042" s="3" t="s">
        <v>10259</v>
      </c>
      <c r="G7042" s="3"/>
      <c r="H7042" s="4" t="s">
        <v>5162</v>
      </c>
    </row>
    <row r="7043" ht="16.5" customHeight="1" spans="1:8">
      <c r="A7043" s="3">
        <v>7042</v>
      </c>
      <c r="B7043" s="3" t="s">
        <v>15390</v>
      </c>
      <c r="C7043" s="3" t="s">
        <v>1074</v>
      </c>
      <c r="D7043" s="4" t="s">
        <v>15391</v>
      </c>
      <c r="E7043" s="3" t="s">
        <v>5169</v>
      </c>
      <c r="F7043" s="3" t="s">
        <v>10259</v>
      </c>
      <c r="G7043" s="3"/>
      <c r="H7043" s="4" t="s">
        <v>5162</v>
      </c>
    </row>
    <row r="7044" ht="16.5" customHeight="1" spans="1:8">
      <c r="A7044" s="3">
        <v>7043</v>
      </c>
      <c r="B7044" s="3" t="s">
        <v>15392</v>
      </c>
      <c r="C7044" s="3" t="s">
        <v>1074</v>
      </c>
      <c r="D7044" s="4" t="s">
        <v>15393</v>
      </c>
      <c r="E7044" s="3" t="s">
        <v>1218</v>
      </c>
      <c r="F7044" s="3" t="s">
        <v>10259</v>
      </c>
      <c r="G7044" s="3"/>
      <c r="H7044" s="4" t="s">
        <v>5162</v>
      </c>
    </row>
    <row r="7045" ht="16.5" customHeight="1" spans="1:8">
      <c r="A7045" s="3">
        <v>7044</v>
      </c>
      <c r="B7045" s="3" t="s">
        <v>15394</v>
      </c>
      <c r="C7045" s="3" t="s">
        <v>1074</v>
      </c>
      <c r="D7045" s="4" t="s">
        <v>15395</v>
      </c>
      <c r="E7045" s="3" t="s">
        <v>1218</v>
      </c>
      <c r="F7045" s="3" t="s">
        <v>10259</v>
      </c>
      <c r="G7045" s="3"/>
      <c r="H7045" s="4" t="s">
        <v>5162</v>
      </c>
    </row>
    <row r="7046" ht="16.5" customHeight="1" spans="1:8">
      <c r="A7046" s="3">
        <v>7045</v>
      </c>
      <c r="B7046" s="3" t="s">
        <v>15396</v>
      </c>
      <c r="C7046" s="3" t="s">
        <v>2163</v>
      </c>
      <c r="D7046" s="4" t="s">
        <v>15397</v>
      </c>
      <c r="E7046" s="3" t="s">
        <v>2263</v>
      </c>
      <c r="F7046" s="3" t="s">
        <v>13816</v>
      </c>
      <c r="G7046" s="3"/>
      <c r="H7046" s="4"/>
    </row>
    <row r="7047" ht="16.5" customHeight="1" spans="1:8">
      <c r="A7047" s="3">
        <v>7046</v>
      </c>
      <c r="B7047" s="3" t="s">
        <v>15398</v>
      </c>
      <c r="C7047" s="3" t="s">
        <v>1074</v>
      </c>
      <c r="D7047" s="4" t="s">
        <v>15399</v>
      </c>
      <c r="E7047" s="3" t="s">
        <v>5169</v>
      </c>
      <c r="F7047" s="3" t="s">
        <v>10259</v>
      </c>
      <c r="G7047" s="3"/>
      <c r="H7047" s="4" t="s">
        <v>5162</v>
      </c>
    </row>
    <row r="7048" ht="16.5" customHeight="1" spans="1:8">
      <c r="A7048" s="3">
        <v>7047</v>
      </c>
      <c r="B7048" s="3" t="s">
        <v>15400</v>
      </c>
      <c r="C7048" s="3" t="s">
        <v>1074</v>
      </c>
      <c r="D7048" s="4" t="s">
        <v>15401</v>
      </c>
      <c r="E7048" s="3" t="s">
        <v>1218</v>
      </c>
      <c r="F7048" s="3" t="s">
        <v>10259</v>
      </c>
      <c r="G7048" s="3"/>
      <c r="H7048" s="4" t="s">
        <v>5162</v>
      </c>
    </row>
    <row r="7049" ht="16.5" customHeight="1" spans="1:8">
      <c r="A7049" s="3">
        <v>7048</v>
      </c>
      <c r="B7049" s="3" t="s">
        <v>15402</v>
      </c>
      <c r="C7049" s="3" t="s">
        <v>1074</v>
      </c>
      <c r="D7049" s="4" t="s">
        <v>15403</v>
      </c>
      <c r="E7049" s="3" t="s">
        <v>2726</v>
      </c>
      <c r="F7049" s="3" t="s">
        <v>10259</v>
      </c>
      <c r="G7049" s="3"/>
      <c r="H7049" s="4" t="s">
        <v>5162</v>
      </c>
    </row>
    <row r="7050" ht="16.5" customHeight="1" spans="1:8">
      <c r="A7050" s="3">
        <v>7049</v>
      </c>
      <c r="B7050" s="3" t="s">
        <v>15404</v>
      </c>
      <c r="C7050" s="3" t="s">
        <v>1074</v>
      </c>
      <c r="D7050" s="4" t="s">
        <v>15405</v>
      </c>
      <c r="E7050" s="3" t="s">
        <v>1218</v>
      </c>
      <c r="F7050" s="3" t="s">
        <v>10259</v>
      </c>
      <c r="G7050" s="3"/>
      <c r="H7050" s="4" t="s">
        <v>5162</v>
      </c>
    </row>
    <row r="7051" ht="16.5" customHeight="1" spans="1:8">
      <c r="A7051" s="3">
        <v>7050</v>
      </c>
      <c r="B7051" s="3" t="s">
        <v>15406</v>
      </c>
      <c r="C7051" s="3" t="s">
        <v>1074</v>
      </c>
      <c r="D7051" s="4" t="s">
        <v>15407</v>
      </c>
      <c r="E7051" s="3" t="s">
        <v>2726</v>
      </c>
      <c r="F7051" s="3" t="s">
        <v>10259</v>
      </c>
      <c r="G7051" s="3"/>
      <c r="H7051" s="4" t="s">
        <v>5162</v>
      </c>
    </row>
    <row r="7052" ht="16.5" customHeight="1" spans="1:8">
      <c r="A7052" s="3">
        <v>7051</v>
      </c>
      <c r="B7052" s="3" t="s">
        <v>15408</v>
      </c>
      <c r="C7052" s="3" t="s">
        <v>2163</v>
      </c>
      <c r="D7052" s="4" t="s">
        <v>15409</v>
      </c>
      <c r="E7052" s="3" t="s">
        <v>1076</v>
      </c>
      <c r="F7052" s="3" t="s">
        <v>13816</v>
      </c>
      <c r="G7052" s="3"/>
      <c r="H7052" s="4"/>
    </row>
    <row r="7053" ht="16.5" customHeight="1" spans="1:8">
      <c r="A7053" s="3">
        <v>7052</v>
      </c>
      <c r="B7053" s="3" t="s">
        <v>15410</v>
      </c>
      <c r="C7053" s="3" t="s">
        <v>1074</v>
      </c>
      <c r="D7053" s="4" t="s">
        <v>15411</v>
      </c>
      <c r="E7053" s="3" t="s">
        <v>5169</v>
      </c>
      <c r="F7053" s="3" t="s">
        <v>10259</v>
      </c>
      <c r="G7053" s="3"/>
      <c r="H7053" s="4" t="s">
        <v>5162</v>
      </c>
    </row>
    <row r="7054" ht="16.5" customHeight="1" spans="1:8">
      <c r="A7054" s="3">
        <v>7053</v>
      </c>
      <c r="B7054" s="3" t="s">
        <v>15412</v>
      </c>
      <c r="C7054" s="3" t="s">
        <v>1074</v>
      </c>
      <c r="D7054" s="4" t="s">
        <v>15413</v>
      </c>
      <c r="E7054" s="3" t="s">
        <v>1218</v>
      </c>
      <c r="F7054" s="3" t="s">
        <v>10259</v>
      </c>
      <c r="G7054" s="3"/>
      <c r="H7054" s="4" t="s">
        <v>5162</v>
      </c>
    </row>
    <row r="7055" ht="16.5" customHeight="1" spans="1:8">
      <c r="A7055" s="3">
        <v>7054</v>
      </c>
      <c r="B7055" s="3" t="s">
        <v>15414</v>
      </c>
      <c r="C7055" s="3" t="s">
        <v>1074</v>
      </c>
      <c r="D7055" s="4" t="s">
        <v>15415</v>
      </c>
      <c r="E7055" s="3" t="s">
        <v>2726</v>
      </c>
      <c r="F7055" s="3" t="s">
        <v>10259</v>
      </c>
      <c r="G7055" s="3"/>
      <c r="H7055" s="4" t="s">
        <v>5162</v>
      </c>
    </row>
    <row r="7056" ht="16.5" customHeight="1" spans="1:8">
      <c r="A7056" s="3">
        <v>7055</v>
      </c>
      <c r="B7056" s="3" t="s">
        <v>15416</v>
      </c>
      <c r="C7056" s="3" t="s">
        <v>1074</v>
      </c>
      <c r="D7056" s="4" t="s">
        <v>15417</v>
      </c>
      <c r="E7056" s="3" t="s">
        <v>1218</v>
      </c>
      <c r="F7056" s="3" t="s">
        <v>10259</v>
      </c>
      <c r="G7056" s="3"/>
      <c r="H7056" s="4" t="s">
        <v>5162</v>
      </c>
    </row>
    <row r="7057" ht="16.5" customHeight="1" spans="1:8">
      <c r="A7057" s="3">
        <v>7056</v>
      </c>
      <c r="B7057" s="3" t="s">
        <v>15418</v>
      </c>
      <c r="C7057" s="3" t="s">
        <v>1074</v>
      </c>
      <c r="D7057" s="4" t="s">
        <v>15419</v>
      </c>
      <c r="E7057" s="3" t="s">
        <v>1076</v>
      </c>
      <c r="F7057" s="3" t="s">
        <v>10259</v>
      </c>
      <c r="G7057" s="3"/>
      <c r="H7057" s="4" t="s">
        <v>5162</v>
      </c>
    </row>
    <row r="7058" ht="16.5" customHeight="1" spans="1:8">
      <c r="A7058" s="3">
        <v>7057</v>
      </c>
      <c r="B7058" s="3" t="s">
        <v>15420</v>
      </c>
      <c r="C7058" s="3" t="s">
        <v>1074</v>
      </c>
      <c r="D7058" s="4" t="s">
        <v>15421</v>
      </c>
      <c r="E7058" s="3" t="s">
        <v>1076</v>
      </c>
      <c r="F7058" s="3" t="s">
        <v>10259</v>
      </c>
      <c r="G7058" s="3"/>
      <c r="H7058" s="4" t="s">
        <v>5162</v>
      </c>
    </row>
    <row r="7059" ht="16.5" customHeight="1" spans="1:8">
      <c r="A7059" s="3">
        <v>7058</v>
      </c>
      <c r="B7059" s="3" t="s">
        <v>15422</v>
      </c>
      <c r="C7059" s="3" t="s">
        <v>1074</v>
      </c>
      <c r="D7059" s="4" t="s">
        <v>15423</v>
      </c>
      <c r="E7059" s="3" t="s">
        <v>5169</v>
      </c>
      <c r="F7059" s="3" t="s">
        <v>10259</v>
      </c>
      <c r="G7059" s="3"/>
      <c r="H7059" s="4" t="s">
        <v>5127</v>
      </c>
    </row>
    <row r="7060" ht="16.5" customHeight="1" spans="1:8">
      <c r="A7060" s="3">
        <v>7059</v>
      </c>
      <c r="B7060" s="3" t="s">
        <v>15424</v>
      </c>
      <c r="C7060" s="3" t="s">
        <v>1074</v>
      </c>
      <c r="D7060" s="4" t="s">
        <v>15425</v>
      </c>
      <c r="E7060" s="3" t="s">
        <v>5169</v>
      </c>
      <c r="F7060" s="3" t="s">
        <v>10259</v>
      </c>
      <c r="G7060" s="3"/>
      <c r="H7060" s="4" t="s">
        <v>5127</v>
      </c>
    </row>
    <row r="7061" ht="16.5" customHeight="1" spans="1:8">
      <c r="A7061" s="3">
        <v>7060</v>
      </c>
      <c r="B7061" s="3" t="s">
        <v>15426</v>
      </c>
      <c r="C7061" s="3" t="s">
        <v>1074</v>
      </c>
      <c r="D7061" s="4" t="s">
        <v>15427</v>
      </c>
      <c r="E7061" s="3" t="s">
        <v>1076</v>
      </c>
      <c r="F7061" s="3" t="s">
        <v>10259</v>
      </c>
      <c r="G7061" s="3"/>
      <c r="H7061" s="4" t="s">
        <v>5127</v>
      </c>
    </row>
    <row r="7062" ht="16.5" customHeight="1" spans="1:8">
      <c r="A7062" s="3">
        <v>7061</v>
      </c>
      <c r="B7062" s="3" t="s">
        <v>100</v>
      </c>
      <c r="C7062" s="3" t="s">
        <v>1074</v>
      </c>
      <c r="D7062" s="4" t="s">
        <v>15428</v>
      </c>
      <c r="E7062" s="3" t="s">
        <v>1218</v>
      </c>
      <c r="F7062" s="3" t="s">
        <v>10259</v>
      </c>
      <c r="G7062" s="3"/>
      <c r="H7062" s="4" t="s">
        <v>5127</v>
      </c>
    </row>
    <row r="7063" ht="16.5" customHeight="1" spans="1:8">
      <c r="A7063" s="3">
        <v>7062</v>
      </c>
      <c r="B7063" s="3" t="s">
        <v>15429</v>
      </c>
      <c r="C7063" s="3" t="s">
        <v>1074</v>
      </c>
      <c r="D7063" s="4" t="s">
        <v>15430</v>
      </c>
      <c r="E7063" s="3" t="s">
        <v>1076</v>
      </c>
      <c r="F7063" s="3" t="s">
        <v>10259</v>
      </c>
      <c r="G7063" s="3"/>
      <c r="H7063" s="4" t="s">
        <v>5222</v>
      </c>
    </row>
    <row r="7064" ht="16.5" customHeight="1" spans="1:8">
      <c r="A7064" s="3">
        <v>7063</v>
      </c>
      <c r="B7064" s="3" t="s">
        <v>15431</v>
      </c>
      <c r="C7064" s="3" t="s">
        <v>1074</v>
      </c>
      <c r="D7064" s="4" t="s">
        <v>15432</v>
      </c>
      <c r="E7064" s="3" t="s">
        <v>1076</v>
      </c>
      <c r="F7064" s="3" t="s">
        <v>10259</v>
      </c>
      <c r="G7064" s="3"/>
      <c r="H7064" s="4" t="s">
        <v>5127</v>
      </c>
    </row>
    <row r="7065" ht="16.5" customHeight="1" spans="1:8">
      <c r="A7065" s="3">
        <v>7064</v>
      </c>
      <c r="B7065" s="3" t="s">
        <v>15433</v>
      </c>
      <c r="C7065" s="3" t="s">
        <v>1074</v>
      </c>
      <c r="D7065" s="4" t="s">
        <v>15434</v>
      </c>
      <c r="E7065" s="3" t="s">
        <v>1164</v>
      </c>
      <c r="F7065" s="3" t="s">
        <v>1719</v>
      </c>
      <c r="G7065" s="3"/>
      <c r="H7065" s="4"/>
    </row>
    <row r="7066" ht="16.5" customHeight="1" spans="1:8">
      <c r="A7066" s="3">
        <v>7065</v>
      </c>
      <c r="B7066" s="3" t="s">
        <v>15435</v>
      </c>
      <c r="C7066" s="3" t="s">
        <v>1074</v>
      </c>
      <c r="D7066" s="4" t="s">
        <v>15436</v>
      </c>
      <c r="E7066" s="3" t="s">
        <v>14818</v>
      </c>
      <c r="F7066" s="3" t="s">
        <v>10259</v>
      </c>
      <c r="G7066" s="3"/>
      <c r="H7066" s="4" t="s">
        <v>6740</v>
      </c>
    </row>
    <row r="7067" ht="16.5" customHeight="1" spans="1:8">
      <c r="A7067" s="3">
        <v>7066</v>
      </c>
      <c r="B7067" s="3" t="s">
        <v>15437</v>
      </c>
      <c r="C7067" s="3" t="s">
        <v>2163</v>
      </c>
      <c r="D7067" s="4" t="s">
        <v>15438</v>
      </c>
      <c r="E7067" s="3" t="s">
        <v>1076</v>
      </c>
      <c r="F7067" s="3" t="s">
        <v>2041</v>
      </c>
      <c r="G7067" s="3" t="s">
        <v>321</v>
      </c>
      <c r="H7067" s="4" t="s">
        <v>5533</v>
      </c>
    </row>
    <row r="7068" ht="16.5" customHeight="1" spans="1:8">
      <c r="A7068" s="3">
        <v>7067</v>
      </c>
      <c r="B7068" s="3" t="s">
        <v>15439</v>
      </c>
      <c r="C7068" s="3" t="s">
        <v>1105</v>
      </c>
      <c r="D7068" s="4" t="s">
        <v>15440</v>
      </c>
      <c r="E7068" s="3" t="s">
        <v>1076</v>
      </c>
      <c r="F7068" s="3" t="s">
        <v>13816</v>
      </c>
      <c r="G7068" s="3"/>
      <c r="H7068" s="4" t="s">
        <v>15441</v>
      </c>
    </row>
    <row r="7069" ht="16.5" customHeight="1" spans="1:8">
      <c r="A7069" s="3">
        <v>7068</v>
      </c>
      <c r="B7069" s="3" t="s">
        <v>15442</v>
      </c>
      <c r="C7069" s="3" t="s">
        <v>1105</v>
      </c>
      <c r="D7069" s="4" t="s">
        <v>15443</v>
      </c>
      <c r="E7069" s="3" t="s">
        <v>1076</v>
      </c>
      <c r="F7069" s="3" t="s">
        <v>13816</v>
      </c>
      <c r="G7069" s="3"/>
      <c r="H7069" s="4" t="s">
        <v>15441</v>
      </c>
    </row>
    <row r="7070" ht="16.5" customHeight="1" spans="1:8">
      <c r="A7070" s="3">
        <v>7069</v>
      </c>
      <c r="B7070" s="3" t="s">
        <v>15444</v>
      </c>
      <c r="C7070" s="3" t="s">
        <v>2163</v>
      </c>
      <c r="D7070" s="4" t="s">
        <v>15445</v>
      </c>
      <c r="E7070" s="3" t="s">
        <v>1076</v>
      </c>
      <c r="F7070" s="3" t="s">
        <v>1358</v>
      </c>
      <c r="G7070" s="3"/>
      <c r="H7070" s="4"/>
    </row>
    <row r="7071" ht="16.5" customHeight="1" spans="1:8">
      <c r="A7071" s="3">
        <v>7070</v>
      </c>
      <c r="B7071" s="3" t="s">
        <v>15446</v>
      </c>
      <c r="C7071" s="3" t="s">
        <v>1105</v>
      </c>
      <c r="D7071" s="4" t="s">
        <v>15447</v>
      </c>
      <c r="E7071" s="3" t="s">
        <v>1076</v>
      </c>
      <c r="F7071" s="3" t="s">
        <v>10259</v>
      </c>
      <c r="G7071" s="3"/>
      <c r="H7071" s="4" t="s">
        <v>15348</v>
      </c>
    </row>
    <row r="7072" ht="16.5" customHeight="1" spans="1:8">
      <c r="A7072" s="3">
        <v>7071</v>
      </c>
      <c r="B7072" s="3" t="s">
        <v>15448</v>
      </c>
      <c r="C7072" s="3" t="s">
        <v>2163</v>
      </c>
      <c r="D7072" s="4" t="s">
        <v>15449</v>
      </c>
      <c r="E7072" s="3" t="s">
        <v>2726</v>
      </c>
      <c r="F7072" s="3" t="s">
        <v>10943</v>
      </c>
      <c r="G7072" s="3" t="s">
        <v>98</v>
      </c>
      <c r="H7072" s="4"/>
    </row>
    <row r="7073" ht="16.5" customHeight="1" spans="1:8">
      <c r="A7073" s="3">
        <v>7072</v>
      </c>
      <c r="B7073" s="3" t="s">
        <v>15450</v>
      </c>
      <c r="C7073" s="3" t="s">
        <v>2163</v>
      </c>
      <c r="D7073" s="4" t="s">
        <v>15451</v>
      </c>
      <c r="E7073" s="3" t="s">
        <v>5779</v>
      </c>
      <c r="F7073" s="3" t="s">
        <v>1358</v>
      </c>
      <c r="G7073" s="3"/>
      <c r="H7073" s="4"/>
    </row>
    <row r="7074" ht="16.5" customHeight="1" spans="1:8">
      <c r="A7074" s="3">
        <v>7073</v>
      </c>
      <c r="B7074" s="3" t="s">
        <v>15452</v>
      </c>
      <c r="C7074" s="3" t="s">
        <v>2163</v>
      </c>
      <c r="D7074" s="4" t="s">
        <v>15453</v>
      </c>
      <c r="E7074" s="3" t="s">
        <v>5779</v>
      </c>
      <c r="F7074" s="3" t="s">
        <v>1358</v>
      </c>
      <c r="G7074" s="3" t="s">
        <v>321</v>
      </c>
      <c r="H7074" s="4"/>
    </row>
    <row r="7075" ht="16.5" customHeight="1" spans="1:8">
      <c r="A7075" s="3">
        <v>7074</v>
      </c>
      <c r="B7075" s="3" t="s">
        <v>15454</v>
      </c>
      <c r="C7075" s="3" t="s">
        <v>1074</v>
      </c>
      <c r="D7075" s="4" t="s">
        <v>15455</v>
      </c>
      <c r="E7075" s="3" t="s">
        <v>1218</v>
      </c>
      <c r="F7075" s="3" t="s">
        <v>1719</v>
      </c>
      <c r="G7075" s="3"/>
      <c r="H7075" s="4"/>
    </row>
    <row r="7076" ht="16.5" customHeight="1" spans="1:8">
      <c r="A7076" s="3">
        <v>7075</v>
      </c>
      <c r="B7076" s="3" t="s">
        <v>15456</v>
      </c>
      <c r="C7076" s="3" t="s">
        <v>1105</v>
      </c>
      <c r="D7076" s="4" t="s">
        <v>5201</v>
      </c>
      <c r="E7076" s="3" t="s">
        <v>1076</v>
      </c>
      <c r="F7076" s="3" t="s">
        <v>1152</v>
      </c>
      <c r="G7076" s="3"/>
      <c r="H7076" s="4" t="s">
        <v>13418</v>
      </c>
    </row>
    <row r="7077" ht="16.5" customHeight="1" spans="1:8">
      <c r="A7077" s="3">
        <v>7076</v>
      </c>
      <c r="B7077" s="3" t="s">
        <v>15457</v>
      </c>
      <c r="C7077" s="3" t="s">
        <v>2163</v>
      </c>
      <c r="D7077" s="4" t="s">
        <v>15458</v>
      </c>
      <c r="E7077" s="3" t="s">
        <v>2726</v>
      </c>
      <c r="F7077" s="3" t="s">
        <v>1358</v>
      </c>
      <c r="G7077" s="3" t="s">
        <v>321</v>
      </c>
      <c r="H7077" s="4" t="s">
        <v>5260</v>
      </c>
    </row>
    <row r="7078" ht="16.5" customHeight="1" spans="1:8">
      <c r="A7078" s="3">
        <v>7077</v>
      </c>
      <c r="B7078" s="3" t="s">
        <v>15459</v>
      </c>
      <c r="C7078" s="3" t="s">
        <v>2163</v>
      </c>
      <c r="D7078" s="4" t="s">
        <v>15460</v>
      </c>
      <c r="E7078" s="3" t="s">
        <v>5779</v>
      </c>
      <c r="F7078" s="3" t="s">
        <v>1358</v>
      </c>
      <c r="G7078" s="3" t="s">
        <v>321</v>
      </c>
      <c r="H7078" s="4"/>
    </row>
    <row r="7079" ht="16.5" customHeight="1" spans="1:8">
      <c r="A7079" s="3">
        <v>7078</v>
      </c>
      <c r="B7079" s="3" t="s">
        <v>15461</v>
      </c>
      <c r="C7079" s="3" t="s">
        <v>1105</v>
      </c>
      <c r="D7079" s="4" t="s">
        <v>14292</v>
      </c>
      <c r="E7079" s="3" t="s">
        <v>1076</v>
      </c>
      <c r="F7079" s="3" t="s">
        <v>1358</v>
      </c>
      <c r="G7079" s="3"/>
      <c r="H7079" s="4" t="s">
        <v>15462</v>
      </c>
    </row>
    <row r="7080" ht="16.5" customHeight="1" spans="1:8">
      <c r="A7080" s="3">
        <v>7079</v>
      </c>
      <c r="B7080" s="3" t="s">
        <v>15463</v>
      </c>
      <c r="C7080" s="3" t="s">
        <v>1105</v>
      </c>
      <c r="D7080" s="4" t="s">
        <v>15464</v>
      </c>
      <c r="E7080" s="3" t="s">
        <v>1739</v>
      </c>
      <c r="F7080" s="3" t="s">
        <v>1358</v>
      </c>
      <c r="G7080" s="3"/>
      <c r="H7080" s="4" t="s">
        <v>15465</v>
      </c>
    </row>
    <row r="7081" ht="16.5" customHeight="1" spans="1:8">
      <c r="A7081" s="3">
        <v>7080</v>
      </c>
      <c r="B7081" s="3" t="s">
        <v>15466</v>
      </c>
      <c r="C7081" s="3" t="s">
        <v>1105</v>
      </c>
      <c r="D7081" s="4" t="s">
        <v>15467</v>
      </c>
      <c r="E7081" s="3" t="s">
        <v>1164</v>
      </c>
      <c r="F7081" s="3" t="s">
        <v>1358</v>
      </c>
      <c r="G7081" s="3"/>
      <c r="H7081" s="4" t="s">
        <v>15468</v>
      </c>
    </row>
    <row r="7082" ht="16.5" customHeight="1" spans="1:8">
      <c r="A7082" s="3">
        <v>7081</v>
      </c>
      <c r="B7082" s="3" t="s">
        <v>15469</v>
      </c>
      <c r="C7082" s="3" t="s">
        <v>2163</v>
      </c>
      <c r="D7082" s="4" t="s">
        <v>15470</v>
      </c>
      <c r="E7082" s="3" t="s">
        <v>1076</v>
      </c>
      <c r="F7082" s="3" t="s">
        <v>2041</v>
      </c>
      <c r="G7082" s="3" t="s">
        <v>98</v>
      </c>
      <c r="H7082" s="4" t="s">
        <v>15471</v>
      </c>
    </row>
    <row r="7083" ht="16.5" customHeight="1" spans="1:8">
      <c r="A7083" s="3">
        <v>7082</v>
      </c>
      <c r="B7083" s="3" t="s">
        <v>15472</v>
      </c>
      <c r="C7083" s="3" t="s">
        <v>1105</v>
      </c>
      <c r="D7083" s="4" t="s">
        <v>14998</v>
      </c>
      <c r="E7083" s="3" t="s">
        <v>1076</v>
      </c>
      <c r="F7083" s="3" t="s">
        <v>2041</v>
      </c>
      <c r="G7083" s="3"/>
      <c r="H7083" s="4" t="s">
        <v>15473</v>
      </c>
    </row>
    <row r="7084" ht="16.5" customHeight="1" spans="1:8">
      <c r="A7084" s="3">
        <v>7083</v>
      </c>
      <c r="B7084" s="3" t="s">
        <v>15474</v>
      </c>
      <c r="C7084" s="3" t="s">
        <v>1105</v>
      </c>
      <c r="D7084" s="4" t="s">
        <v>15475</v>
      </c>
      <c r="E7084" s="3" t="s">
        <v>1076</v>
      </c>
      <c r="F7084" s="3" t="s">
        <v>2041</v>
      </c>
      <c r="G7084" s="3"/>
      <c r="H7084" s="4" t="s">
        <v>15476</v>
      </c>
    </row>
    <row r="7085" ht="16.5" customHeight="1" spans="1:8">
      <c r="A7085" s="3">
        <v>7084</v>
      </c>
      <c r="B7085" s="3" t="s">
        <v>15477</v>
      </c>
      <c r="C7085" s="3" t="s">
        <v>1105</v>
      </c>
      <c r="D7085" s="4" t="s">
        <v>15478</v>
      </c>
      <c r="E7085" s="3" t="s">
        <v>1076</v>
      </c>
      <c r="F7085" s="3" t="s">
        <v>2041</v>
      </c>
      <c r="G7085" s="3"/>
      <c r="H7085" s="4" t="s">
        <v>15348</v>
      </c>
    </row>
    <row r="7086" ht="16.5" customHeight="1" spans="1:8">
      <c r="A7086" s="3">
        <v>7085</v>
      </c>
      <c r="B7086" s="3" t="s">
        <v>15479</v>
      </c>
      <c r="C7086" s="3" t="s">
        <v>1105</v>
      </c>
      <c r="D7086" s="4" t="s">
        <v>14911</v>
      </c>
      <c r="E7086" s="3" t="s">
        <v>1076</v>
      </c>
      <c r="F7086" s="3" t="s">
        <v>2041</v>
      </c>
      <c r="G7086" s="3"/>
      <c r="H7086" s="4" t="s">
        <v>11624</v>
      </c>
    </row>
    <row r="7087" ht="16.5" customHeight="1" spans="1:8">
      <c r="A7087" s="3">
        <v>7086</v>
      </c>
      <c r="B7087" s="3" t="s">
        <v>15480</v>
      </c>
      <c r="C7087" s="3" t="s">
        <v>1105</v>
      </c>
      <c r="D7087" s="4" t="s">
        <v>15481</v>
      </c>
      <c r="E7087" s="3" t="s">
        <v>1076</v>
      </c>
      <c r="F7087" s="3" t="s">
        <v>2041</v>
      </c>
      <c r="G7087" s="3"/>
      <c r="H7087" s="4" t="s">
        <v>14924</v>
      </c>
    </row>
    <row r="7088" ht="16.5" customHeight="1" spans="1:8">
      <c r="A7088" s="3">
        <v>7087</v>
      </c>
      <c r="B7088" s="3" t="s">
        <v>15482</v>
      </c>
      <c r="C7088" s="3" t="s">
        <v>1105</v>
      </c>
      <c r="D7088" s="4" t="s">
        <v>15483</v>
      </c>
      <c r="E7088" s="3" t="s">
        <v>1076</v>
      </c>
      <c r="F7088" s="3" t="s">
        <v>2041</v>
      </c>
      <c r="G7088" s="3"/>
      <c r="H7088" s="4" t="s">
        <v>15350</v>
      </c>
    </row>
    <row r="7089" ht="16.5" customHeight="1" spans="1:8">
      <c r="A7089" s="3">
        <v>7088</v>
      </c>
      <c r="B7089" s="3" t="s">
        <v>15484</v>
      </c>
      <c r="C7089" s="3" t="s">
        <v>2163</v>
      </c>
      <c r="D7089" s="4" t="s">
        <v>15485</v>
      </c>
      <c r="E7089" s="3" t="s">
        <v>1076</v>
      </c>
      <c r="F7089" s="3" t="s">
        <v>2041</v>
      </c>
      <c r="G7089" s="3" t="s">
        <v>98</v>
      </c>
      <c r="H7089" s="4" t="s">
        <v>15471</v>
      </c>
    </row>
    <row r="7090" ht="16.5" customHeight="1" spans="1:8">
      <c r="A7090" s="3">
        <v>7089</v>
      </c>
      <c r="B7090" s="3" t="s">
        <v>15486</v>
      </c>
      <c r="C7090" s="3" t="s">
        <v>2163</v>
      </c>
      <c r="D7090" s="4" t="s">
        <v>15487</v>
      </c>
      <c r="E7090" s="3" t="s">
        <v>1076</v>
      </c>
      <c r="F7090" s="3" t="s">
        <v>10943</v>
      </c>
      <c r="G7090" s="3" t="s">
        <v>98</v>
      </c>
      <c r="H7090" s="4" t="s">
        <v>5533</v>
      </c>
    </row>
    <row r="7091" ht="16.5" customHeight="1" spans="1:8">
      <c r="A7091" s="3">
        <v>7090</v>
      </c>
      <c r="B7091" s="3" t="s">
        <v>15488</v>
      </c>
      <c r="C7091" s="3" t="s">
        <v>2163</v>
      </c>
      <c r="D7091" s="4" t="s">
        <v>15489</v>
      </c>
      <c r="E7091" s="3" t="s">
        <v>1076</v>
      </c>
      <c r="F7091" s="3" t="s">
        <v>10943</v>
      </c>
      <c r="G7091" s="3" t="s">
        <v>98</v>
      </c>
      <c r="H7091" s="4" t="s">
        <v>5533</v>
      </c>
    </row>
    <row r="7092" ht="16.5" customHeight="1" spans="1:8">
      <c r="A7092" s="3">
        <v>7091</v>
      </c>
      <c r="B7092" s="3" t="s">
        <v>15490</v>
      </c>
      <c r="C7092" s="3" t="s">
        <v>1074</v>
      </c>
      <c r="D7092" s="4" t="s">
        <v>15491</v>
      </c>
      <c r="E7092" s="3" t="s">
        <v>1218</v>
      </c>
      <c r="F7092" s="3" t="s">
        <v>8175</v>
      </c>
      <c r="G7092" s="3"/>
      <c r="H7092" s="4" t="s">
        <v>3812</v>
      </c>
    </row>
    <row r="7093" ht="16.5" customHeight="1" spans="1:8">
      <c r="A7093" s="3">
        <v>7092</v>
      </c>
      <c r="B7093" s="3" t="s">
        <v>15492</v>
      </c>
      <c r="C7093" s="3" t="s">
        <v>1105</v>
      </c>
      <c r="D7093" s="4" t="s">
        <v>15493</v>
      </c>
      <c r="E7093" s="3" t="s">
        <v>1076</v>
      </c>
      <c r="F7093" s="3" t="s">
        <v>10943</v>
      </c>
      <c r="G7093" s="3"/>
      <c r="H7093" s="4" t="s">
        <v>15441</v>
      </c>
    </row>
    <row r="7094" ht="16.5" customHeight="1" spans="1:8">
      <c r="A7094" s="3">
        <v>7093</v>
      </c>
      <c r="B7094" s="3" t="s">
        <v>15494</v>
      </c>
      <c r="C7094" s="3" t="s">
        <v>1074</v>
      </c>
      <c r="D7094" s="4" t="s">
        <v>15495</v>
      </c>
      <c r="E7094" s="3" t="s">
        <v>1218</v>
      </c>
      <c r="F7094" s="3" t="s">
        <v>8175</v>
      </c>
      <c r="G7094" s="3"/>
      <c r="H7094" s="4" t="s">
        <v>7240</v>
      </c>
    </row>
    <row r="7095" ht="16.5" customHeight="1" spans="1:8">
      <c r="A7095" s="3">
        <v>7094</v>
      </c>
      <c r="B7095" s="3" t="s">
        <v>15496</v>
      </c>
      <c r="C7095" s="3" t="s">
        <v>2163</v>
      </c>
      <c r="D7095" s="4" t="s">
        <v>15497</v>
      </c>
      <c r="E7095" s="3" t="s">
        <v>1076</v>
      </c>
      <c r="F7095" s="3" t="s">
        <v>2041</v>
      </c>
      <c r="G7095" s="3" t="s">
        <v>98</v>
      </c>
      <c r="H7095" s="4" t="s">
        <v>5533</v>
      </c>
    </row>
    <row r="7096" ht="16.5" customHeight="1" spans="1:8">
      <c r="A7096" s="3">
        <v>7095</v>
      </c>
      <c r="B7096" s="3" t="s">
        <v>15498</v>
      </c>
      <c r="C7096" s="3" t="s">
        <v>1074</v>
      </c>
      <c r="D7096" s="4" t="s">
        <v>15499</v>
      </c>
      <c r="E7096" s="3" t="s">
        <v>1218</v>
      </c>
      <c r="F7096" s="3" t="s">
        <v>10259</v>
      </c>
      <c r="G7096" s="3"/>
      <c r="H7096" s="4" t="s">
        <v>1883</v>
      </c>
    </row>
    <row r="7097" ht="16.5" customHeight="1" spans="1:8">
      <c r="A7097" s="3">
        <v>7096</v>
      </c>
      <c r="B7097" s="3" t="s">
        <v>15500</v>
      </c>
      <c r="C7097" s="3" t="s">
        <v>1074</v>
      </c>
      <c r="D7097" s="4" t="s">
        <v>15501</v>
      </c>
      <c r="E7097" s="3" t="s">
        <v>1218</v>
      </c>
      <c r="F7097" s="3" t="s">
        <v>10259</v>
      </c>
      <c r="G7097" s="3"/>
      <c r="H7097" s="4" t="s">
        <v>1883</v>
      </c>
    </row>
    <row r="7098" ht="16.5" customHeight="1" spans="1:8">
      <c r="A7098" s="3">
        <v>7097</v>
      </c>
      <c r="B7098" s="3" t="s">
        <v>15502</v>
      </c>
      <c r="C7098" s="3" t="s">
        <v>1074</v>
      </c>
      <c r="D7098" s="4" t="s">
        <v>15503</v>
      </c>
      <c r="E7098" s="3" t="s">
        <v>1218</v>
      </c>
      <c r="F7098" s="3" t="s">
        <v>10259</v>
      </c>
      <c r="G7098" s="3"/>
      <c r="H7098" s="4" t="s">
        <v>1883</v>
      </c>
    </row>
    <row r="7099" ht="16.5" customHeight="1" spans="1:8">
      <c r="A7099" s="3">
        <v>7098</v>
      </c>
      <c r="B7099" s="3" t="s">
        <v>15504</v>
      </c>
      <c r="C7099" s="3" t="s">
        <v>2163</v>
      </c>
      <c r="D7099" s="4" t="s">
        <v>15505</v>
      </c>
      <c r="E7099" s="3" t="s">
        <v>1076</v>
      </c>
      <c r="F7099" s="3" t="s">
        <v>10943</v>
      </c>
      <c r="G7099" s="3" t="s">
        <v>98</v>
      </c>
      <c r="H7099" s="4" t="s">
        <v>5533</v>
      </c>
    </row>
    <row r="7100" ht="16.5" customHeight="1" spans="1:8">
      <c r="A7100" s="3">
        <v>7099</v>
      </c>
      <c r="B7100" s="3" t="s">
        <v>15506</v>
      </c>
      <c r="C7100" s="3" t="s">
        <v>1105</v>
      </c>
      <c r="D7100" s="4" t="s">
        <v>14348</v>
      </c>
      <c r="E7100" s="3" t="s">
        <v>1076</v>
      </c>
      <c r="F7100" s="3" t="s">
        <v>10943</v>
      </c>
      <c r="G7100" s="3"/>
      <c r="H7100" s="4" t="s">
        <v>15441</v>
      </c>
    </row>
    <row r="7101" ht="16.5" customHeight="1" spans="1:8">
      <c r="A7101" s="3">
        <v>7100</v>
      </c>
      <c r="B7101" s="3" t="s">
        <v>15507</v>
      </c>
      <c r="C7101" s="3" t="s">
        <v>2163</v>
      </c>
      <c r="D7101" s="4" t="s">
        <v>15508</v>
      </c>
      <c r="E7101" s="3" t="s">
        <v>1076</v>
      </c>
      <c r="F7101" s="3" t="s">
        <v>2041</v>
      </c>
      <c r="G7101" s="3" t="s">
        <v>98</v>
      </c>
      <c r="H7101" s="4" t="s">
        <v>5533</v>
      </c>
    </row>
    <row r="7102" ht="16.5" customHeight="1" spans="1:8">
      <c r="A7102" s="3">
        <v>7101</v>
      </c>
      <c r="B7102" s="3" t="s">
        <v>15509</v>
      </c>
      <c r="C7102" s="3" t="s">
        <v>1105</v>
      </c>
      <c r="D7102" s="4" t="s">
        <v>15510</v>
      </c>
      <c r="E7102" s="3" t="s">
        <v>14818</v>
      </c>
      <c r="F7102" s="3" t="s">
        <v>10259</v>
      </c>
      <c r="G7102" s="3"/>
      <c r="H7102" s="4" t="s">
        <v>15511</v>
      </c>
    </row>
    <row r="7103" ht="16.5" customHeight="1" spans="1:8">
      <c r="A7103" s="3">
        <v>7102</v>
      </c>
      <c r="B7103" s="3" t="s">
        <v>15512</v>
      </c>
      <c r="C7103" s="3" t="s">
        <v>1105</v>
      </c>
      <c r="D7103" s="4" t="s">
        <v>15513</v>
      </c>
      <c r="E7103" s="3" t="s">
        <v>15514</v>
      </c>
      <c r="F7103" s="3" t="s">
        <v>10259</v>
      </c>
      <c r="G7103" s="3"/>
      <c r="H7103" s="4" t="s">
        <v>15511</v>
      </c>
    </row>
    <row r="7104" ht="16.5" customHeight="1" spans="1:8">
      <c r="A7104" s="3">
        <v>7103</v>
      </c>
      <c r="B7104" s="3" t="s">
        <v>15515</v>
      </c>
      <c r="C7104" s="3" t="s">
        <v>2163</v>
      </c>
      <c r="D7104" s="4" t="s">
        <v>15516</v>
      </c>
      <c r="E7104" s="3" t="s">
        <v>1076</v>
      </c>
      <c r="F7104" s="3" t="s">
        <v>1358</v>
      </c>
      <c r="G7104" s="3" t="s">
        <v>321</v>
      </c>
      <c r="H7104" s="4"/>
    </row>
    <row r="7105" ht="16.5" customHeight="1" spans="1:8">
      <c r="A7105" s="3">
        <v>7104</v>
      </c>
      <c r="B7105" s="3" t="s">
        <v>15517</v>
      </c>
      <c r="C7105" s="3" t="s">
        <v>1074</v>
      </c>
      <c r="D7105" s="4" t="s">
        <v>15518</v>
      </c>
      <c r="E7105" s="3" t="s">
        <v>15175</v>
      </c>
      <c r="F7105" s="3" t="s">
        <v>10259</v>
      </c>
      <c r="G7105" s="3"/>
      <c r="H7105" s="4" t="s">
        <v>13731</v>
      </c>
    </row>
    <row r="7106" ht="16.5" customHeight="1" spans="1:8">
      <c r="A7106" s="3">
        <v>7105</v>
      </c>
      <c r="B7106" s="3" t="s">
        <v>15519</v>
      </c>
      <c r="C7106" s="3" t="s">
        <v>2163</v>
      </c>
      <c r="D7106" s="4" t="s">
        <v>15520</v>
      </c>
      <c r="E7106" s="3" t="s">
        <v>1076</v>
      </c>
      <c r="F7106" s="3" t="s">
        <v>1358</v>
      </c>
      <c r="G7106" s="3" t="s">
        <v>321</v>
      </c>
      <c r="H7106" s="4"/>
    </row>
    <row r="7107" ht="16.5" customHeight="1" spans="1:8">
      <c r="A7107" s="3">
        <v>7106</v>
      </c>
      <c r="B7107" s="3" t="s">
        <v>15521</v>
      </c>
      <c r="C7107" s="3" t="s">
        <v>1105</v>
      </c>
      <c r="D7107" s="4" t="s">
        <v>15522</v>
      </c>
      <c r="E7107" s="3" t="s">
        <v>1218</v>
      </c>
      <c r="F7107" s="3" t="s">
        <v>15523</v>
      </c>
      <c r="G7107" s="3"/>
      <c r="H7107" s="4" t="s">
        <v>14883</v>
      </c>
    </row>
    <row r="7108" ht="16.5" customHeight="1" spans="1:8">
      <c r="A7108" s="3">
        <v>7107</v>
      </c>
      <c r="B7108" s="3" t="s">
        <v>15524</v>
      </c>
      <c r="C7108" s="3" t="s">
        <v>1105</v>
      </c>
      <c r="D7108" s="4" t="s">
        <v>14998</v>
      </c>
      <c r="E7108" s="3" t="s">
        <v>1076</v>
      </c>
      <c r="F7108" s="3" t="s">
        <v>2041</v>
      </c>
      <c r="G7108" s="3"/>
      <c r="H7108" s="4" t="s">
        <v>15525</v>
      </c>
    </row>
    <row r="7109" ht="16.5" customHeight="1" spans="1:8">
      <c r="A7109" s="3">
        <v>7108</v>
      </c>
      <c r="B7109" s="3" t="s">
        <v>15526</v>
      </c>
      <c r="C7109" s="3" t="s">
        <v>1105</v>
      </c>
      <c r="D7109" s="4" t="s">
        <v>14348</v>
      </c>
      <c r="E7109" s="3" t="s">
        <v>1076</v>
      </c>
      <c r="F7109" s="3" t="s">
        <v>2041</v>
      </c>
      <c r="G7109" s="3"/>
      <c r="H7109" s="4" t="s">
        <v>15525</v>
      </c>
    </row>
    <row r="7110" ht="16.5" customHeight="1" spans="1:8">
      <c r="A7110" s="3">
        <v>7109</v>
      </c>
      <c r="B7110" s="3" t="s">
        <v>15527</v>
      </c>
      <c r="C7110" s="3" t="s">
        <v>2163</v>
      </c>
      <c r="D7110" s="4" t="s">
        <v>15528</v>
      </c>
      <c r="E7110" s="3" t="s">
        <v>2726</v>
      </c>
      <c r="F7110" s="3" t="s">
        <v>1358</v>
      </c>
      <c r="G7110" s="3" t="s">
        <v>321</v>
      </c>
      <c r="H7110" s="4"/>
    </row>
    <row r="7111" ht="16.5" customHeight="1" spans="1:8">
      <c r="A7111" s="3">
        <v>7110</v>
      </c>
      <c r="B7111" s="3" t="s">
        <v>15529</v>
      </c>
      <c r="C7111" s="3" t="s">
        <v>1105</v>
      </c>
      <c r="D7111" s="4" t="s">
        <v>15530</v>
      </c>
      <c r="E7111" s="3" t="s">
        <v>1076</v>
      </c>
      <c r="F7111" s="3" t="s">
        <v>4120</v>
      </c>
      <c r="G7111" s="3"/>
      <c r="H7111" s="4" t="s">
        <v>15525</v>
      </c>
    </row>
    <row r="7112" ht="16.5" customHeight="1" spans="1:8">
      <c r="A7112" s="3">
        <v>7111</v>
      </c>
      <c r="B7112" s="3" t="s">
        <v>15531</v>
      </c>
      <c r="C7112" s="3" t="s">
        <v>1105</v>
      </c>
      <c r="D7112" s="4" t="s">
        <v>15532</v>
      </c>
      <c r="E7112" s="3" t="s">
        <v>1076</v>
      </c>
      <c r="F7112" s="3" t="s">
        <v>4120</v>
      </c>
      <c r="G7112" s="3"/>
      <c r="H7112" s="4" t="s">
        <v>15525</v>
      </c>
    </row>
    <row r="7113" ht="16.5" customHeight="1" spans="1:8">
      <c r="A7113" s="3">
        <v>7112</v>
      </c>
      <c r="B7113" s="3" t="s">
        <v>15533</v>
      </c>
      <c r="C7113" s="3" t="s">
        <v>1105</v>
      </c>
      <c r="D7113" s="4" t="s">
        <v>15534</v>
      </c>
      <c r="E7113" s="3" t="s">
        <v>1076</v>
      </c>
      <c r="F7113" s="3" t="s">
        <v>4120</v>
      </c>
      <c r="G7113" s="3"/>
      <c r="H7113" s="4" t="s">
        <v>15525</v>
      </c>
    </row>
    <row r="7114" ht="16.5" customHeight="1" spans="1:8">
      <c r="A7114" s="3">
        <v>7113</v>
      </c>
      <c r="B7114" s="3" t="s">
        <v>15535</v>
      </c>
      <c r="C7114" s="3" t="s">
        <v>1105</v>
      </c>
      <c r="D7114" s="4" t="s">
        <v>15536</v>
      </c>
      <c r="E7114" s="3" t="s">
        <v>1076</v>
      </c>
      <c r="F7114" s="3" t="s">
        <v>4120</v>
      </c>
      <c r="G7114" s="3"/>
      <c r="H7114" s="4" t="s">
        <v>15525</v>
      </c>
    </row>
    <row r="7115" ht="16.5" customHeight="1" spans="1:8">
      <c r="A7115" s="3">
        <v>7114</v>
      </c>
      <c r="B7115" s="3" t="s">
        <v>15537</v>
      </c>
      <c r="C7115" s="3" t="s">
        <v>1105</v>
      </c>
      <c r="D7115" s="4" t="s">
        <v>15538</v>
      </c>
      <c r="E7115" s="3" t="s">
        <v>1076</v>
      </c>
      <c r="F7115" s="3" t="s">
        <v>4120</v>
      </c>
      <c r="G7115" s="3"/>
      <c r="H7115" s="4" t="s">
        <v>15525</v>
      </c>
    </row>
    <row r="7116" ht="16.5" customHeight="1" spans="1:8">
      <c r="A7116" s="3">
        <v>7115</v>
      </c>
      <c r="B7116" s="3" t="s">
        <v>15539</v>
      </c>
      <c r="C7116" s="3" t="s">
        <v>1105</v>
      </c>
      <c r="D7116" s="4" t="s">
        <v>15540</v>
      </c>
      <c r="E7116" s="3" t="s">
        <v>1076</v>
      </c>
      <c r="F7116" s="3" t="s">
        <v>4120</v>
      </c>
      <c r="G7116" s="3"/>
      <c r="H7116" s="4" t="s">
        <v>15525</v>
      </c>
    </row>
    <row r="7117" ht="16.5" customHeight="1" spans="1:8">
      <c r="A7117" s="3">
        <v>7116</v>
      </c>
      <c r="B7117" s="3" t="s">
        <v>15541</v>
      </c>
      <c r="C7117" s="3" t="s">
        <v>1105</v>
      </c>
      <c r="D7117" s="4" t="s">
        <v>15542</v>
      </c>
      <c r="E7117" s="3" t="s">
        <v>1076</v>
      </c>
      <c r="F7117" s="3" t="s">
        <v>4120</v>
      </c>
      <c r="G7117" s="3"/>
      <c r="H7117" s="4" t="s">
        <v>15525</v>
      </c>
    </row>
    <row r="7118" ht="16.5" customHeight="1" spans="1:8">
      <c r="A7118" s="3">
        <v>7117</v>
      </c>
      <c r="B7118" s="3" t="s">
        <v>15543</v>
      </c>
      <c r="C7118" s="3" t="s">
        <v>1105</v>
      </c>
      <c r="D7118" s="4" t="s">
        <v>15544</v>
      </c>
      <c r="E7118" s="3" t="s">
        <v>1076</v>
      </c>
      <c r="F7118" s="3" t="s">
        <v>12241</v>
      </c>
      <c r="G7118" s="3"/>
      <c r="H7118" s="4" t="s">
        <v>15100</v>
      </c>
    </row>
    <row r="7119" ht="16.5" customHeight="1" spans="1:8">
      <c r="A7119" s="3">
        <v>7118</v>
      </c>
      <c r="B7119" s="3" t="s">
        <v>15545</v>
      </c>
      <c r="C7119" s="3" t="s">
        <v>1105</v>
      </c>
      <c r="D7119" s="4" t="s">
        <v>15546</v>
      </c>
      <c r="E7119" s="3" t="s">
        <v>1076</v>
      </c>
      <c r="F7119" s="3" t="s">
        <v>12241</v>
      </c>
      <c r="G7119" s="3"/>
      <c r="H7119" s="4" t="s">
        <v>15350</v>
      </c>
    </row>
    <row r="7120" ht="16.5" customHeight="1" spans="1:8">
      <c r="A7120" s="3">
        <v>7119</v>
      </c>
      <c r="B7120" s="3" t="s">
        <v>15547</v>
      </c>
      <c r="C7120" s="3" t="s">
        <v>1105</v>
      </c>
      <c r="D7120" s="4" t="s">
        <v>15548</v>
      </c>
      <c r="E7120" s="3" t="s">
        <v>1076</v>
      </c>
      <c r="F7120" s="3" t="s">
        <v>12241</v>
      </c>
      <c r="G7120" s="3"/>
      <c r="H7120" s="4" t="s">
        <v>15350</v>
      </c>
    </row>
    <row r="7121" ht="16.5" customHeight="1" spans="1:8">
      <c r="A7121" s="3">
        <v>7120</v>
      </c>
      <c r="B7121" s="3" t="s">
        <v>15549</v>
      </c>
      <c r="C7121" s="3" t="s">
        <v>1105</v>
      </c>
      <c r="D7121" s="4" t="s">
        <v>15550</v>
      </c>
      <c r="E7121" s="3" t="s">
        <v>1076</v>
      </c>
      <c r="F7121" s="3" t="s">
        <v>10259</v>
      </c>
      <c r="G7121" s="3"/>
      <c r="H7121" s="4" t="s">
        <v>15525</v>
      </c>
    </row>
    <row r="7122" ht="16.5" customHeight="1" spans="1:8">
      <c r="A7122" s="3">
        <v>7121</v>
      </c>
      <c r="B7122" s="3" t="s">
        <v>15551</v>
      </c>
      <c r="C7122" s="3" t="s">
        <v>1105</v>
      </c>
      <c r="D7122" s="4" t="s">
        <v>15552</v>
      </c>
      <c r="E7122" s="3" t="s">
        <v>1076</v>
      </c>
      <c r="F7122" s="3" t="s">
        <v>10259</v>
      </c>
      <c r="G7122" s="3"/>
      <c r="H7122" s="4" t="s">
        <v>15525</v>
      </c>
    </row>
    <row r="7123" ht="16.5" customHeight="1" spans="1:8">
      <c r="A7123" s="3">
        <v>7122</v>
      </c>
      <c r="B7123" s="3" t="s">
        <v>15553</v>
      </c>
      <c r="C7123" s="3" t="s">
        <v>2163</v>
      </c>
      <c r="D7123" s="4" t="s">
        <v>15554</v>
      </c>
      <c r="E7123" s="3" t="s">
        <v>1076</v>
      </c>
      <c r="F7123" s="3" t="s">
        <v>1358</v>
      </c>
      <c r="G7123" s="3" t="s">
        <v>321</v>
      </c>
      <c r="H7123" s="4"/>
    </row>
    <row r="7124" ht="16.5" customHeight="1" spans="1:8">
      <c r="A7124" s="3">
        <v>7123</v>
      </c>
      <c r="B7124" s="3" t="s">
        <v>15555</v>
      </c>
      <c r="C7124" s="3" t="s">
        <v>2163</v>
      </c>
      <c r="D7124" s="4" t="s">
        <v>15556</v>
      </c>
      <c r="E7124" s="3" t="s">
        <v>1076</v>
      </c>
      <c r="F7124" s="3" t="s">
        <v>1358</v>
      </c>
      <c r="G7124" s="3" t="s">
        <v>321</v>
      </c>
      <c r="H7124" s="4"/>
    </row>
    <row r="7125" ht="16.5" customHeight="1" spans="1:8">
      <c r="A7125" s="3">
        <v>7124</v>
      </c>
      <c r="B7125" s="3" t="s">
        <v>15557</v>
      </c>
      <c r="C7125" s="3" t="s">
        <v>1105</v>
      </c>
      <c r="D7125" s="4" t="s">
        <v>15558</v>
      </c>
      <c r="E7125" s="3" t="s">
        <v>1076</v>
      </c>
      <c r="F7125" s="3" t="s">
        <v>10259</v>
      </c>
      <c r="G7125" s="3"/>
      <c r="H7125" s="4" t="s">
        <v>15525</v>
      </c>
    </row>
    <row r="7126" ht="16.5" customHeight="1" spans="1:8">
      <c r="A7126" s="3">
        <v>7125</v>
      </c>
      <c r="B7126" s="3" t="s">
        <v>15559</v>
      </c>
      <c r="C7126" s="3" t="s">
        <v>1074</v>
      </c>
      <c r="D7126" s="4" t="s">
        <v>15560</v>
      </c>
      <c r="E7126" s="3" t="s">
        <v>1076</v>
      </c>
      <c r="F7126" s="3" t="s">
        <v>10259</v>
      </c>
      <c r="G7126" s="3"/>
      <c r="H7126" s="4" t="s">
        <v>6740</v>
      </c>
    </row>
    <row r="7127" ht="16.5" customHeight="1" spans="1:8">
      <c r="A7127" s="3">
        <v>7126</v>
      </c>
      <c r="B7127" s="3" t="s">
        <v>15561</v>
      </c>
      <c r="C7127" s="3" t="s">
        <v>1074</v>
      </c>
      <c r="D7127" s="4" t="s">
        <v>15562</v>
      </c>
      <c r="E7127" s="3" t="s">
        <v>1076</v>
      </c>
      <c r="F7127" s="3" t="s">
        <v>10259</v>
      </c>
      <c r="G7127" s="3"/>
      <c r="H7127" s="4" t="s">
        <v>1305</v>
      </c>
    </row>
    <row r="7128" ht="16.5" customHeight="1" spans="1:8">
      <c r="A7128" s="3">
        <v>7127</v>
      </c>
      <c r="B7128" s="3" t="s">
        <v>15563</v>
      </c>
      <c r="C7128" s="3" t="s">
        <v>1074</v>
      </c>
      <c r="D7128" s="4" t="s">
        <v>15564</v>
      </c>
      <c r="E7128" s="3" t="s">
        <v>1076</v>
      </c>
      <c r="F7128" s="3" t="s">
        <v>10259</v>
      </c>
      <c r="G7128" s="3"/>
      <c r="H7128" s="4" t="s">
        <v>3812</v>
      </c>
    </row>
    <row r="7129" ht="16.5" customHeight="1" spans="1:8">
      <c r="A7129" s="3">
        <v>7128</v>
      </c>
      <c r="B7129" s="3" t="s">
        <v>15565</v>
      </c>
      <c r="C7129" s="3" t="s">
        <v>2163</v>
      </c>
      <c r="D7129" s="4" t="s">
        <v>15566</v>
      </c>
      <c r="E7129" s="3" t="s">
        <v>2726</v>
      </c>
      <c r="F7129" s="3" t="s">
        <v>1358</v>
      </c>
      <c r="G7129" s="3" t="s">
        <v>321</v>
      </c>
      <c r="H7129" s="4"/>
    </row>
    <row r="7130" ht="16.5" customHeight="1" spans="1:8">
      <c r="A7130" s="3">
        <v>7129</v>
      </c>
      <c r="B7130" s="3" t="s">
        <v>15567</v>
      </c>
      <c r="C7130" s="3" t="s">
        <v>2163</v>
      </c>
      <c r="D7130" s="4" t="s">
        <v>15568</v>
      </c>
      <c r="E7130" s="3" t="s">
        <v>2726</v>
      </c>
      <c r="F7130" s="3" t="s">
        <v>1358</v>
      </c>
      <c r="G7130" s="3" t="s">
        <v>321</v>
      </c>
      <c r="H7130" s="4"/>
    </row>
    <row r="7131" ht="16.5" customHeight="1" spans="1:8">
      <c r="A7131" s="3">
        <v>7130</v>
      </c>
      <c r="B7131" s="3" t="s">
        <v>15569</v>
      </c>
      <c r="C7131" s="3" t="s">
        <v>1105</v>
      </c>
      <c r="D7131" s="4" t="s">
        <v>14998</v>
      </c>
      <c r="E7131" s="3" t="s">
        <v>1076</v>
      </c>
      <c r="F7131" s="3" t="s">
        <v>2041</v>
      </c>
      <c r="G7131" s="3"/>
      <c r="H7131" s="4" t="s">
        <v>15570</v>
      </c>
    </row>
    <row r="7132" ht="16.5" customHeight="1" spans="1:8">
      <c r="A7132" s="3">
        <v>7131</v>
      </c>
      <c r="B7132" s="3" t="s">
        <v>15571</v>
      </c>
      <c r="C7132" s="3" t="s">
        <v>2163</v>
      </c>
      <c r="D7132" s="4" t="s">
        <v>15572</v>
      </c>
      <c r="E7132" s="3" t="s">
        <v>1076</v>
      </c>
      <c r="F7132" s="3" t="s">
        <v>2041</v>
      </c>
      <c r="G7132" s="3" t="s">
        <v>98</v>
      </c>
      <c r="H7132" s="4" t="s">
        <v>5533</v>
      </c>
    </row>
    <row r="7133" ht="16.5" customHeight="1" spans="1:8">
      <c r="A7133" s="3">
        <v>7132</v>
      </c>
      <c r="B7133" s="3" t="s">
        <v>15573</v>
      </c>
      <c r="C7133" s="3" t="s">
        <v>2163</v>
      </c>
      <c r="D7133" s="4" t="s">
        <v>15574</v>
      </c>
      <c r="E7133" s="3" t="s">
        <v>1076</v>
      </c>
      <c r="F7133" s="3" t="s">
        <v>2041</v>
      </c>
      <c r="G7133" s="3" t="s">
        <v>98</v>
      </c>
      <c r="H7133" s="4" t="s">
        <v>15471</v>
      </c>
    </row>
    <row r="7134" ht="16.5" customHeight="1" spans="1:8">
      <c r="A7134" s="3">
        <v>7133</v>
      </c>
      <c r="B7134" s="3" t="s">
        <v>15575</v>
      </c>
      <c r="C7134" s="3" t="s">
        <v>1074</v>
      </c>
      <c r="D7134" s="4" t="s">
        <v>15576</v>
      </c>
      <c r="E7134" s="3" t="s">
        <v>1218</v>
      </c>
      <c r="F7134" s="3" t="s">
        <v>8175</v>
      </c>
      <c r="G7134" s="3"/>
      <c r="H7134" s="4" t="s">
        <v>7240</v>
      </c>
    </row>
    <row r="7135" ht="16.5" customHeight="1" spans="1:8">
      <c r="A7135" s="3">
        <v>7134</v>
      </c>
      <c r="B7135" s="3" t="s">
        <v>15577</v>
      </c>
      <c r="C7135" s="3" t="s">
        <v>1074</v>
      </c>
      <c r="D7135" s="4" t="s">
        <v>15578</v>
      </c>
      <c r="E7135" s="3" t="s">
        <v>1218</v>
      </c>
      <c r="F7135" s="3" t="s">
        <v>8175</v>
      </c>
      <c r="G7135" s="3"/>
      <c r="H7135" s="4" t="s">
        <v>7240</v>
      </c>
    </row>
    <row r="7136" ht="16.5" customHeight="1" spans="1:8">
      <c r="A7136" s="3">
        <v>7135</v>
      </c>
      <c r="B7136" s="3" t="s">
        <v>15579</v>
      </c>
      <c r="C7136" s="3" t="s">
        <v>1074</v>
      </c>
      <c r="D7136" s="4" t="s">
        <v>15580</v>
      </c>
      <c r="E7136" s="3" t="s">
        <v>1218</v>
      </c>
      <c r="F7136" s="3" t="s">
        <v>8175</v>
      </c>
      <c r="G7136" s="3"/>
      <c r="H7136" s="4" t="s">
        <v>7240</v>
      </c>
    </row>
    <row r="7137" ht="16.5" customHeight="1" spans="1:8">
      <c r="A7137" s="3">
        <v>7136</v>
      </c>
      <c r="B7137" s="3" t="s">
        <v>15581</v>
      </c>
      <c r="C7137" s="3" t="s">
        <v>1074</v>
      </c>
      <c r="D7137" s="4" t="s">
        <v>15582</v>
      </c>
      <c r="E7137" s="3" t="s">
        <v>1218</v>
      </c>
      <c r="F7137" s="3" t="s">
        <v>8175</v>
      </c>
      <c r="G7137" s="3"/>
      <c r="H7137" s="4" t="s">
        <v>7240</v>
      </c>
    </row>
    <row r="7138" ht="16.5" customHeight="1" spans="1:8">
      <c r="A7138" s="3">
        <v>7137</v>
      </c>
      <c r="B7138" s="3" t="s">
        <v>618</v>
      </c>
      <c r="C7138" s="3" t="s">
        <v>1074</v>
      </c>
      <c r="D7138" s="4" t="s">
        <v>15583</v>
      </c>
      <c r="E7138" s="3" t="s">
        <v>1218</v>
      </c>
      <c r="F7138" s="3" t="s">
        <v>8175</v>
      </c>
      <c r="G7138" s="3"/>
      <c r="H7138" s="4" t="s">
        <v>7240</v>
      </c>
    </row>
    <row r="7139" ht="16.5" customHeight="1" spans="1:8">
      <c r="A7139" s="3">
        <v>7138</v>
      </c>
      <c r="B7139" s="3" t="s">
        <v>15584</v>
      </c>
      <c r="C7139" s="3" t="s">
        <v>1105</v>
      </c>
      <c r="D7139" s="4" t="s">
        <v>15585</v>
      </c>
      <c r="E7139" s="3" t="s">
        <v>1218</v>
      </c>
      <c r="F7139" s="3" t="s">
        <v>2105</v>
      </c>
      <c r="G7139" s="3"/>
      <c r="H7139" s="4" t="s">
        <v>15586</v>
      </c>
    </row>
    <row r="7140" ht="16.5" customHeight="1" spans="1:8">
      <c r="A7140" s="3">
        <v>7139</v>
      </c>
      <c r="B7140" s="3" t="s">
        <v>15587</v>
      </c>
      <c r="C7140" s="3" t="s">
        <v>1074</v>
      </c>
      <c r="D7140" s="4" t="s">
        <v>15588</v>
      </c>
      <c r="E7140" s="3" t="s">
        <v>1218</v>
      </c>
      <c r="F7140" s="3" t="s">
        <v>8175</v>
      </c>
      <c r="G7140" s="3"/>
      <c r="H7140" s="4" t="s">
        <v>7240</v>
      </c>
    </row>
    <row r="7141" ht="16.5" customHeight="1" spans="1:8">
      <c r="A7141" s="3">
        <v>7140</v>
      </c>
      <c r="B7141" s="3" t="s">
        <v>15589</v>
      </c>
      <c r="C7141" s="3" t="s">
        <v>1105</v>
      </c>
      <c r="D7141" s="4" t="s">
        <v>15590</v>
      </c>
      <c r="E7141" s="3" t="s">
        <v>1218</v>
      </c>
      <c r="F7141" s="3" t="s">
        <v>2105</v>
      </c>
      <c r="G7141" s="3"/>
      <c r="H7141" s="4" t="s">
        <v>15586</v>
      </c>
    </row>
    <row r="7142" ht="16.5" customHeight="1" spans="1:8">
      <c r="A7142" s="3">
        <v>7141</v>
      </c>
      <c r="B7142" s="3" t="s">
        <v>15591</v>
      </c>
      <c r="C7142" s="3" t="s">
        <v>1074</v>
      </c>
      <c r="D7142" s="4" t="s">
        <v>15592</v>
      </c>
      <c r="E7142" s="3" t="s">
        <v>1218</v>
      </c>
      <c r="F7142" s="3" t="s">
        <v>8175</v>
      </c>
      <c r="G7142" s="3"/>
      <c r="H7142" s="4" t="s">
        <v>7240</v>
      </c>
    </row>
    <row r="7143" ht="16.5" customHeight="1" spans="1:8">
      <c r="A7143" s="3">
        <v>7142</v>
      </c>
      <c r="B7143" s="3" t="s">
        <v>15593</v>
      </c>
      <c r="C7143" s="3" t="s">
        <v>1105</v>
      </c>
      <c r="D7143" s="4" t="s">
        <v>15594</v>
      </c>
      <c r="E7143" s="3" t="s">
        <v>1218</v>
      </c>
      <c r="F7143" s="3" t="s">
        <v>2105</v>
      </c>
      <c r="G7143" s="3"/>
      <c r="H7143" s="4" t="s">
        <v>15586</v>
      </c>
    </row>
    <row r="7144" ht="16.5" customHeight="1" spans="1:8">
      <c r="A7144" s="3">
        <v>7143</v>
      </c>
      <c r="B7144" s="3" t="s">
        <v>15595</v>
      </c>
      <c r="C7144" s="3" t="s">
        <v>1105</v>
      </c>
      <c r="D7144" s="4" t="s">
        <v>15596</v>
      </c>
      <c r="E7144" s="3" t="s">
        <v>1218</v>
      </c>
      <c r="F7144" s="3" t="s">
        <v>2105</v>
      </c>
      <c r="G7144" s="3"/>
      <c r="H7144" s="4" t="s">
        <v>15586</v>
      </c>
    </row>
    <row r="7145" ht="16.5" customHeight="1" spans="1:8">
      <c r="A7145" s="3">
        <v>7144</v>
      </c>
      <c r="B7145" s="3" t="s">
        <v>15597</v>
      </c>
      <c r="C7145" s="3" t="s">
        <v>1105</v>
      </c>
      <c r="D7145" s="4" t="s">
        <v>15598</v>
      </c>
      <c r="E7145" s="3" t="s">
        <v>1218</v>
      </c>
      <c r="F7145" s="3" t="s">
        <v>2105</v>
      </c>
      <c r="G7145" s="3"/>
      <c r="H7145" s="4" t="s">
        <v>15586</v>
      </c>
    </row>
    <row r="7146" ht="16.5" customHeight="1" spans="1:8">
      <c r="A7146" s="3">
        <v>7145</v>
      </c>
      <c r="B7146" s="3" t="s">
        <v>15599</v>
      </c>
      <c r="C7146" s="3" t="s">
        <v>1105</v>
      </c>
      <c r="D7146" s="4" t="s">
        <v>15600</v>
      </c>
      <c r="E7146" s="3" t="s">
        <v>1218</v>
      </c>
      <c r="F7146" s="3" t="s">
        <v>2105</v>
      </c>
      <c r="G7146" s="3"/>
      <c r="H7146" s="4" t="s">
        <v>15586</v>
      </c>
    </row>
    <row r="7147" ht="16.5" customHeight="1" spans="1:8">
      <c r="A7147" s="3">
        <v>7146</v>
      </c>
      <c r="B7147" s="3" t="s">
        <v>15601</v>
      </c>
      <c r="C7147" s="3" t="s">
        <v>1105</v>
      </c>
      <c r="D7147" s="4" t="s">
        <v>15602</v>
      </c>
      <c r="E7147" s="3" t="s">
        <v>1218</v>
      </c>
      <c r="F7147" s="3" t="s">
        <v>2105</v>
      </c>
      <c r="G7147" s="3"/>
      <c r="H7147" s="4" t="s">
        <v>15586</v>
      </c>
    </row>
    <row r="7148" ht="16.5" customHeight="1" spans="1:8">
      <c r="A7148" s="3">
        <v>7147</v>
      </c>
      <c r="B7148" s="3" t="s">
        <v>15603</v>
      </c>
      <c r="C7148" s="3" t="s">
        <v>1105</v>
      </c>
      <c r="D7148" s="4" t="s">
        <v>15604</v>
      </c>
      <c r="E7148" s="3" t="s">
        <v>1218</v>
      </c>
      <c r="F7148" s="3" t="s">
        <v>2105</v>
      </c>
      <c r="G7148" s="3"/>
      <c r="H7148" s="4" t="s">
        <v>15586</v>
      </c>
    </row>
    <row r="7149" ht="16.5" customHeight="1" spans="1:8">
      <c r="A7149" s="3">
        <v>7148</v>
      </c>
      <c r="B7149" s="3" t="s">
        <v>15605</v>
      </c>
      <c r="C7149" s="3" t="s">
        <v>1105</v>
      </c>
      <c r="D7149" s="4" t="s">
        <v>15606</v>
      </c>
      <c r="E7149" s="3" t="s">
        <v>1218</v>
      </c>
      <c r="F7149" s="3" t="s">
        <v>2105</v>
      </c>
      <c r="G7149" s="3"/>
      <c r="H7149" s="4" t="s">
        <v>15586</v>
      </c>
    </row>
    <row r="7150" ht="16.5" customHeight="1" spans="1:8">
      <c r="A7150" s="3">
        <v>7149</v>
      </c>
      <c r="B7150" s="3" t="s">
        <v>15607</v>
      </c>
      <c r="C7150" s="3" t="s">
        <v>1105</v>
      </c>
      <c r="D7150" s="4" t="s">
        <v>15608</v>
      </c>
      <c r="E7150" s="3" t="s">
        <v>1218</v>
      </c>
      <c r="F7150" s="3" t="s">
        <v>2105</v>
      </c>
      <c r="G7150" s="3"/>
      <c r="H7150" s="4" t="s">
        <v>15586</v>
      </c>
    </row>
    <row r="7151" ht="16.5" customHeight="1" spans="1:8">
      <c r="A7151" s="3">
        <v>7150</v>
      </c>
      <c r="B7151" s="3" t="s">
        <v>15609</v>
      </c>
      <c r="C7151" s="3" t="s">
        <v>1105</v>
      </c>
      <c r="D7151" s="4" t="s">
        <v>15610</v>
      </c>
      <c r="E7151" s="3" t="s">
        <v>1218</v>
      </c>
      <c r="F7151" s="3" t="s">
        <v>2105</v>
      </c>
      <c r="G7151" s="3"/>
      <c r="H7151" s="4" t="s">
        <v>15586</v>
      </c>
    </row>
    <row r="7152" ht="16.5" customHeight="1" spans="1:8">
      <c r="A7152" s="3">
        <v>7151</v>
      </c>
      <c r="B7152" s="3" t="s">
        <v>15611</v>
      </c>
      <c r="C7152" s="3" t="s">
        <v>1105</v>
      </c>
      <c r="D7152" s="4" t="s">
        <v>15612</v>
      </c>
      <c r="E7152" s="3" t="s">
        <v>1218</v>
      </c>
      <c r="F7152" s="3" t="s">
        <v>2105</v>
      </c>
      <c r="G7152" s="3"/>
      <c r="H7152" s="4" t="s">
        <v>15586</v>
      </c>
    </row>
    <row r="7153" ht="16.5" customHeight="1" spans="1:8">
      <c r="A7153" s="3">
        <v>7152</v>
      </c>
      <c r="B7153" s="3" t="s">
        <v>15613</v>
      </c>
      <c r="C7153" s="3" t="s">
        <v>1105</v>
      </c>
      <c r="D7153" s="4" t="s">
        <v>15614</v>
      </c>
      <c r="E7153" s="3" t="s">
        <v>1218</v>
      </c>
      <c r="F7153" s="3" t="s">
        <v>2105</v>
      </c>
      <c r="G7153" s="3"/>
      <c r="H7153" s="4" t="s">
        <v>15586</v>
      </c>
    </row>
    <row r="7154" ht="16.5" customHeight="1" spans="1:8">
      <c r="A7154" s="3">
        <v>7153</v>
      </c>
      <c r="B7154" s="3" t="s">
        <v>15615</v>
      </c>
      <c r="C7154" s="3" t="s">
        <v>1105</v>
      </c>
      <c r="D7154" s="4" t="s">
        <v>15616</v>
      </c>
      <c r="E7154" s="3" t="s">
        <v>1218</v>
      </c>
      <c r="F7154" s="3" t="s">
        <v>2105</v>
      </c>
      <c r="G7154" s="3"/>
      <c r="H7154" s="4" t="s">
        <v>15586</v>
      </c>
    </row>
    <row r="7155" ht="16.5" customHeight="1" spans="1:8">
      <c r="A7155" s="3">
        <v>7154</v>
      </c>
      <c r="B7155" s="3" t="s">
        <v>15617</v>
      </c>
      <c r="C7155" s="3" t="s">
        <v>1105</v>
      </c>
      <c r="D7155" s="4" t="s">
        <v>15618</v>
      </c>
      <c r="E7155" s="3" t="s">
        <v>1218</v>
      </c>
      <c r="F7155" s="3" t="s">
        <v>2105</v>
      </c>
      <c r="G7155" s="3"/>
      <c r="H7155" s="4" t="s">
        <v>15586</v>
      </c>
    </row>
    <row r="7156" ht="16.5" customHeight="1" spans="1:8">
      <c r="A7156" s="3">
        <v>7155</v>
      </c>
      <c r="B7156" s="3" t="s">
        <v>15619</v>
      </c>
      <c r="C7156" s="3" t="s">
        <v>1105</v>
      </c>
      <c r="D7156" s="4" t="s">
        <v>15620</v>
      </c>
      <c r="E7156" s="3" t="s">
        <v>1218</v>
      </c>
      <c r="F7156" s="3" t="s">
        <v>2105</v>
      </c>
      <c r="G7156" s="3"/>
      <c r="H7156" s="4" t="s">
        <v>15586</v>
      </c>
    </row>
    <row r="7157" ht="16.5" customHeight="1" spans="1:8">
      <c r="A7157" s="3">
        <v>7156</v>
      </c>
      <c r="B7157" s="3" t="s">
        <v>15621</v>
      </c>
      <c r="C7157" s="3" t="s">
        <v>1105</v>
      </c>
      <c r="D7157" s="4" t="s">
        <v>15622</v>
      </c>
      <c r="E7157" s="3" t="s">
        <v>1218</v>
      </c>
      <c r="F7157" s="3" t="s">
        <v>2105</v>
      </c>
      <c r="G7157" s="3"/>
      <c r="H7157" s="4" t="s">
        <v>15586</v>
      </c>
    </row>
    <row r="7158" ht="16.5" customHeight="1" spans="1:8">
      <c r="A7158" s="3">
        <v>7157</v>
      </c>
      <c r="B7158" s="3" t="s">
        <v>15623</v>
      </c>
      <c r="C7158" s="3" t="s">
        <v>1074</v>
      </c>
      <c r="D7158" s="4" t="s">
        <v>15624</v>
      </c>
      <c r="E7158" s="3" t="s">
        <v>1218</v>
      </c>
      <c r="F7158" s="3" t="s">
        <v>8175</v>
      </c>
      <c r="G7158" s="3"/>
      <c r="H7158" s="4" t="s">
        <v>7240</v>
      </c>
    </row>
    <row r="7159" ht="16.5" customHeight="1" spans="1:8">
      <c r="A7159" s="3">
        <v>7158</v>
      </c>
      <c r="B7159" s="3" t="s">
        <v>15625</v>
      </c>
      <c r="C7159" s="3" t="s">
        <v>1105</v>
      </c>
      <c r="D7159" s="4" t="s">
        <v>15626</v>
      </c>
      <c r="E7159" s="3" t="s">
        <v>1218</v>
      </c>
      <c r="F7159" s="3" t="s">
        <v>2105</v>
      </c>
      <c r="G7159" s="3"/>
      <c r="H7159" s="4" t="s">
        <v>15586</v>
      </c>
    </row>
    <row r="7160" ht="16.5" customHeight="1" spans="1:8">
      <c r="A7160" s="3">
        <v>7159</v>
      </c>
      <c r="B7160" s="3" t="s">
        <v>15627</v>
      </c>
      <c r="C7160" s="3" t="s">
        <v>1105</v>
      </c>
      <c r="D7160" s="4" t="s">
        <v>15628</v>
      </c>
      <c r="E7160" s="3" t="s">
        <v>1218</v>
      </c>
      <c r="F7160" s="3" t="s">
        <v>2105</v>
      </c>
      <c r="G7160" s="3"/>
      <c r="H7160" s="4" t="s">
        <v>15586</v>
      </c>
    </row>
    <row r="7161" ht="16.5" customHeight="1" spans="1:8">
      <c r="A7161" s="3">
        <v>7160</v>
      </c>
      <c r="B7161" s="3" t="s">
        <v>15629</v>
      </c>
      <c r="C7161" s="3" t="s">
        <v>1105</v>
      </c>
      <c r="D7161" s="4" t="s">
        <v>15630</v>
      </c>
      <c r="E7161" s="3" t="s">
        <v>1218</v>
      </c>
      <c r="F7161" s="3" t="s">
        <v>2105</v>
      </c>
      <c r="G7161" s="3"/>
      <c r="H7161" s="4" t="s">
        <v>15586</v>
      </c>
    </row>
    <row r="7162" ht="16.5" customHeight="1" spans="1:8">
      <c r="A7162" s="3">
        <v>7161</v>
      </c>
      <c r="B7162" s="3" t="s">
        <v>15631</v>
      </c>
      <c r="C7162" s="3" t="s">
        <v>1105</v>
      </c>
      <c r="D7162" s="4" t="s">
        <v>15632</v>
      </c>
      <c r="E7162" s="3" t="s">
        <v>1218</v>
      </c>
      <c r="F7162" s="3" t="s">
        <v>2105</v>
      </c>
      <c r="G7162" s="3"/>
      <c r="H7162" s="4" t="s">
        <v>15586</v>
      </c>
    </row>
    <row r="7163" ht="16.5" customHeight="1" spans="1:8">
      <c r="A7163" s="3">
        <v>7162</v>
      </c>
      <c r="B7163" s="3" t="s">
        <v>15633</v>
      </c>
      <c r="C7163" s="3" t="s">
        <v>1074</v>
      </c>
      <c r="D7163" s="4" t="s">
        <v>15634</v>
      </c>
      <c r="E7163" s="3" t="s">
        <v>1218</v>
      </c>
      <c r="F7163" s="3" t="s">
        <v>8175</v>
      </c>
      <c r="G7163" s="3"/>
      <c r="H7163" s="4" t="s">
        <v>7240</v>
      </c>
    </row>
    <row r="7164" ht="16.5" customHeight="1" spans="1:8">
      <c r="A7164" s="3">
        <v>7163</v>
      </c>
      <c r="B7164" s="3" t="s">
        <v>15635</v>
      </c>
      <c r="C7164" s="3" t="s">
        <v>1105</v>
      </c>
      <c r="D7164" s="4" t="s">
        <v>15636</v>
      </c>
      <c r="E7164" s="3" t="s">
        <v>1218</v>
      </c>
      <c r="F7164" s="3" t="s">
        <v>2105</v>
      </c>
      <c r="G7164" s="3"/>
      <c r="H7164" s="4" t="s">
        <v>15586</v>
      </c>
    </row>
    <row r="7165" ht="16.5" customHeight="1" spans="1:8">
      <c r="A7165" s="3">
        <v>7164</v>
      </c>
      <c r="B7165" s="3" t="s">
        <v>15637</v>
      </c>
      <c r="C7165" s="3" t="s">
        <v>1105</v>
      </c>
      <c r="D7165" s="4" t="s">
        <v>15638</v>
      </c>
      <c r="E7165" s="3" t="s">
        <v>1218</v>
      </c>
      <c r="F7165" s="3" t="s">
        <v>2105</v>
      </c>
      <c r="G7165" s="3"/>
      <c r="H7165" s="4" t="s">
        <v>15586</v>
      </c>
    </row>
    <row r="7166" ht="16.5" customHeight="1" spans="1:8">
      <c r="A7166" s="3">
        <v>7165</v>
      </c>
      <c r="B7166" s="3" t="s">
        <v>15639</v>
      </c>
      <c r="C7166" s="3" t="s">
        <v>1105</v>
      </c>
      <c r="D7166" s="4" t="s">
        <v>15640</v>
      </c>
      <c r="E7166" s="3" t="s">
        <v>1218</v>
      </c>
      <c r="F7166" s="3" t="s">
        <v>2105</v>
      </c>
      <c r="G7166" s="3"/>
      <c r="H7166" s="4" t="s">
        <v>15586</v>
      </c>
    </row>
    <row r="7167" ht="16.5" customHeight="1" spans="1:8">
      <c r="A7167" s="3">
        <v>7166</v>
      </c>
      <c r="B7167" s="3" t="s">
        <v>15641</v>
      </c>
      <c r="C7167" s="3" t="s">
        <v>1074</v>
      </c>
      <c r="D7167" s="4" t="s">
        <v>15642</v>
      </c>
      <c r="E7167" s="3" t="s">
        <v>1218</v>
      </c>
      <c r="F7167" s="3" t="s">
        <v>8175</v>
      </c>
      <c r="G7167" s="3"/>
      <c r="H7167" s="4" t="s">
        <v>7240</v>
      </c>
    </row>
    <row r="7168" ht="16.5" customHeight="1" spans="1:8">
      <c r="A7168" s="3">
        <v>7167</v>
      </c>
      <c r="B7168" s="3" t="s">
        <v>15643</v>
      </c>
      <c r="C7168" s="3" t="s">
        <v>1105</v>
      </c>
      <c r="D7168" s="4" t="s">
        <v>15644</v>
      </c>
      <c r="E7168" s="3" t="s">
        <v>1218</v>
      </c>
      <c r="F7168" s="3" t="s">
        <v>2105</v>
      </c>
      <c r="G7168" s="3"/>
      <c r="H7168" s="4" t="s">
        <v>15586</v>
      </c>
    </row>
    <row r="7169" ht="16.5" customHeight="1" spans="1:8">
      <c r="A7169" s="3">
        <v>7168</v>
      </c>
      <c r="B7169" s="3" t="s">
        <v>15645</v>
      </c>
      <c r="C7169" s="3" t="s">
        <v>1105</v>
      </c>
      <c r="D7169" s="4" t="s">
        <v>15646</v>
      </c>
      <c r="E7169" s="3" t="s">
        <v>1218</v>
      </c>
      <c r="F7169" s="3" t="s">
        <v>2105</v>
      </c>
      <c r="G7169" s="3"/>
      <c r="H7169" s="4" t="s">
        <v>15586</v>
      </c>
    </row>
    <row r="7170" ht="16.5" customHeight="1" spans="1:8">
      <c r="A7170" s="3">
        <v>7169</v>
      </c>
      <c r="B7170" s="3" t="s">
        <v>15647</v>
      </c>
      <c r="C7170" s="3" t="s">
        <v>1105</v>
      </c>
      <c r="D7170" s="4" t="s">
        <v>15648</v>
      </c>
      <c r="E7170" s="3" t="s">
        <v>1218</v>
      </c>
      <c r="F7170" s="3" t="s">
        <v>2105</v>
      </c>
      <c r="G7170" s="3"/>
      <c r="H7170" s="4" t="s">
        <v>15586</v>
      </c>
    </row>
    <row r="7171" ht="16.5" customHeight="1" spans="1:8">
      <c r="A7171" s="3">
        <v>7170</v>
      </c>
      <c r="B7171" s="3" t="s">
        <v>15649</v>
      </c>
      <c r="C7171" s="3" t="s">
        <v>1105</v>
      </c>
      <c r="D7171" s="4" t="s">
        <v>15650</v>
      </c>
      <c r="E7171" s="3" t="s">
        <v>1218</v>
      </c>
      <c r="F7171" s="3" t="s">
        <v>2105</v>
      </c>
      <c r="G7171" s="3"/>
      <c r="H7171" s="4" t="s">
        <v>15586</v>
      </c>
    </row>
    <row r="7172" ht="16.5" customHeight="1" spans="1:8">
      <c r="A7172" s="3">
        <v>7171</v>
      </c>
      <c r="B7172" s="3" t="s">
        <v>15651</v>
      </c>
      <c r="C7172" s="3" t="s">
        <v>1105</v>
      </c>
      <c r="D7172" s="4" t="s">
        <v>15652</v>
      </c>
      <c r="E7172" s="3" t="s">
        <v>1218</v>
      </c>
      <c r="F7172" s="3" t="s">
        <v>2105</v>
      </c>
      <c r="G7172" s="3"/>
      <c r="H7172" s="4" t="s">
        <v>15586</v>
      </c>
    </row>
    <row r="7173" ht="16.5" customHeight="1" spans="1:8">
      <c r="A7173" s="3">
        <v>7172</v>
      </c>
      <c r="B7173" s="3" t="s">
        <v>15653</v>
      </c>
      <c r="C7173" s="3" t="s">
        <v>1105</v>
      </c>
      <c r="D7173" s="4" t="s">
        <v>15654</v>
      </c>
      <c r="E7173" s="3" t="s">
        <v>1218</v>
      </c>
      <c r="F7173" s="3" t="s">
        <v>2105</v>
      </c>
      <c r="G7173" s="3"/>
      <c r="H7173" s="4" t="s">
        <v>15586</v>
      </c>
    </row>
    <row r="7174" ht="16.5" customHeight="1" spans="1:8">
      <c r="A7174" s="3">
        <v>7173</v>
      </c>
      <c r="B7174" s="3" t="s">
        <v>15655</v>
      </c>
      <c r="C7174" s="3" t="s">
        <v>1105</v>
      </c>
      <c r="D7174" s="4" t="s">
        <v>15656</v>
      </c>
      <c r="E7174" s="3" t="s">
        <v>1218</v>
      </c>
      <c r="F7174" s="3" t="s">
        <v>2105</v>
      </c>
      <c r="G7174" s="3"/>
      <c r="H7174" s="4" t="s">
        <v>15586</v>
      </c>
    </row>
    <row r="7175" ht="16.5" customHeight="1" spans="1:8">
      <c r="A7175" s="3">
        <v>7174</v>
      </c>
      <c r="B7175" s="3" t="s">
        <v>15657</v>
      </c>
      <c r="C7175" s="3" t="s">
        <v>1105</v>
      </c>
      <c r="D7175" s="4" t="s">
        <v>15658</v>
      </c>
      <c r="E7175" s="3" t="s">
        <v>1218</v>
      </c>
      <c r="F7175" s="3" t="s">
        <v>2105</v>
      </c>
      <c r="G7175" s="3"/>
      <c r="H7175" s="4" t="s">
        <v>15586</v>
      </c>
    </row>
    <row r="7176" ht="16.5" customHeight="1" spans="1:8">
      <c r="A7176" s="3">
        <v>7175</v>
      </c>
      <c r="B7176" s="3" t="s">
        <v>15659</v>
      </c>
      <c r="C7176" s="3" t="s">
        <v>1105</v>
      </c>
      <c r="D7176" s="4" t="s">
        <v>15660</v>
      </c>
      <c r="E7176" s="3" t="s">
        <v>1218</v>
      </c>
      <c r="F7176" s="3" t="s">
        <v>2105</v>
      </c>
      <c r="G7176" s="3"/>
      <c r="H7176" s="4" t="s">
        <v>15586</v>
      </c>
    </row>
    <row r="7177" ht="16.5" customHeight="1" spans="1:8">
      <c r="A7177" s="3">
        <v>7176</v>
      </c>
      <c r="B7177" s="3" t="s">
        <v>15661</v>
      </c>
      <c r="C7177" s="3" t="s">
        <v>1105</v>
      </c>
      <c r="D7177" s="4" t="s">
        <v>15662</v>
      </c>
      <c r="E7177" s="3" t="s">
        <v>1218</v>
      </c>
      <c r="F7177" s="3" t="s">
        <v>2105</v>
      </c>
      <c r="G7177" s="3"/>
      <c r="H7177" s="4" t="s">
        <v>15586</v>
      </c>
    </row>
    <row r="7178" ht="16.5" customHeight="1" spans="1:8">
      <c r="A7178" s="3">
        <v>7177</v>
      </c>
      <c r="B7178" s="3" t="s">
        <v>15663</v>
      </c>
      <c r="C7178" s="3" t="s">
        <v>1105</v>
      </c>
      <c r="D7178" s="4" t="s">
        <v>15664</v>
      </c>
      <c r="E7178" s="3" t="s">
        <v>1218</v>
      </c>
      <c r="F7178" s="3" t="s">
        <v>2105</v>
      </c>
      <c r="G7178" s="3"/>
      <c r="H7178" s="4" t="s">
        <v>15586</v>
      </c>
    </row>
    <row r="7179" ht="16.5" customHeight="1" spans="1:8">
      <c r="A7179" s="3">
        <v>7178</v>
      </c>
      <c r="B7179" s="3" t="s">
        <v>15665</v>
      </c>
      <c r="C7179" s="3" t="s">
        <v>1074</v>
      </c>
      <c r="D7179" s="4" t="s">
        <v>15666</v>
      </c>
      <c r="E7179" s="3" t="s">
        <v>1218</v>
      </c>
      <c r="F7179" s="3" t="s">
        <v>8175</v>
      </c>
      <c r="G7179" s="3"/>
      <c r="H7179" s="4" t="s">
        <v>7240</v>
      </c>
    </row>
    <row r="7180" ht="16.5" customHeight="1" spans="1:8">
      <c r="A7180" s="3">
        <v>7179</v>
      </c>
      <c r="B7180" s="3" t="s">
        <v>15667</v>
      </c>
      <c r="C7180" s="3" t="s">
        <v>1105</v>
      </c>
      <c r="D7180" s="4" t="s">
        <v>15668</v>
      </c>
      <c r="E7180" s="3" t="s">
        <v>1218</v>
      </c>
      <c r="F7180" s="3" t="s">
        <v>2105</v>
      </c>
      <c r="G7180" s="3"/>
      <c r="H7180" s="4" t="s">
        <v>15586</v>
      </c>
    </row>
    <row r="7181" ht="16.5" customHeight="1" spans="1:8">
      <c r="A7181" s="3">
        <v>7180</v>
      </c>
      <c r="B7181" s="3" t="s">
        <v>15669</v>
      </c>
      <c r="C7181" s="3" t="s">
        <v>1105</v>
      </c>
      <c r="D7181" s="4" t="s">
        <v>15670</v>
      </c>
      <c r="E7181" s="3" t="s">
        <v>1218</v>
      </c>
      <c r="F7181" s="3" t="s">
        <v>2105</v>
      </c>
      <c r="G7181" s="3"/>
      <c r="H7181" s="4" t="s">
        <v>15586</v>
      </c>
    </row>
    <row r="7182" ht="16.5" customHeight="1" spans="1:8">
      <c r="A7182" s="3">
        <v>7181</v>
      </c>
      <c r="B7182" s="3" t="s">
        <v>15671</v>
      </c>
      <c r="C7182" s="3" t="s">
        <v>1105</v>
      </c>
      <c r="D7182" s="4" t="s">
        <v>15672</v>
      </c>
      <c r="E7182" s="3" t="s">
        <v>1218</v>
      </c>
      <c r="F7182" s="3" t="s">
        <v>2105</v>
      </c>
      <c r="G7182" s="3"/>
      <c r="H7182" s="4" t="s">
        <v>15586</v>
      </c>
    </row>
    <row r="7183" ht="16.5" customHeight="1" spans="1:8">
      <c r="A7183" s="3">
        <v>7182</v>
      </c>
      <c r="B7183" s="3" t="s">
        <v>15673</v>
      </c>
      <c r="C7183" s="3" t="s">
        <v>1105</v>
      </c>
      <c r="D7183" s="4" t="s">
        <v>15674</v>
      </c>
      <c r="E7183" s="3" t="s">
        <v>1218</v>
      </c>
      <c r="F7183" s="3" t="s">
        <v>2105</v>
      </c>
      <c r="G7183" s="3"/>
      <c r="H7183" s="4" t="s">
        <v>15586</v>
      </c>
    </row>
    <row r="7184" ht="16.5" customHeight="1" spans="1:8">
      <c r="A7184" s="3">
        <v>7183</v>
      </c>
      <c r="B7184" s="3" t="s">
        <v>15675</v>
      </c>
      <c r="C7184" s="3" t="s">
        <v>1105</v>
      </c>
      <c r="D7184" s="4" t="s">
        <v>15676</v>
      </c>
      <c r="E7184" s="3" t="s">
        <v>1218</v>
      </c>
      <c r="F7184" s="3" t="s">
        <v>2105</v>
      </c>
      <c r="G7184" s="3"/>
      <c r="H7184" s="4" t="s">
        <v>15586</v>
      </c>
    </row>
    <row r="7185" ht="16.5" customHeight="1" spans="1:8">
      <c r="A7185" s="3">
        <v>7184</v>
      </c>
      <c r="B7185" s="3" t="s">
        <v>15677</v>
      </c>
      <c r="C7185" s="3" t="s">
        <v>1105</v>
      </c>
      <c r="D7185" s="4" t="s">
        <v>15678</v>
      </c>
      <c r="E7185" s="3" t="s">
        <v>1218</v>
      </c>
      <c r="F7185" s="3" t="s">
        <v>2105</v>
      </c>
      <c r="G7185" s="3"/>
      <c r="H7185" s="4" t="s">
        <v>15586</v>
      </c>
    </row>
    <row r="7186" ht="16.5" customHeight="1" spans="1:8">
      <c r="A7186" s="3">
        <v>7185</v>
      </c>
      <c r="B7186" s="3" t="s">
        <v>15679</v>
      </c>
      <c r="C7186" s="3" t="s">
        <v>1105</v>
      </c>
      <c r="D7186" s="4" t="s">
        <v>15680</v>
      </c>
      <c r="E7186" s="3" t="s">
        <v>1218</v>
      </c>
      <c r="F7186" s="3" t="s">
        <v>2105</v>
      </c>
      <c r="G7186" s="3"/>
      <c r="H7186" s="4" t="s">
        <v>15586</v>
      </c>
    </row>
    <row r="7187" ht="16.5" customHeight="1" spans="1:8">
      <c r="A7187" s="3">
        <v>7186</v>
      </c>
      <c r="B7187" s="3" t="s">
        <v>15681</v>
      </c>
      <c r="C7187" s="3" t="s">
        <v>1105</v>
      </c>
      <c r="D7187" s="4" t="s">
        <v>15682</v>
      </c>
      <c r="E7187" s="3" t="s">
        <v>1218</v>
      </c>
      <c r="F7187" s="3" t="s">
        <v>2105</v>
      </c>
      <c r="G7187" s="3"/>
      <c r="H7187" s="4" t="s">
        <v>15586</v>
      </c>
    </row>
    <row r="7188" ht="16.5" customHeight="1" spans="1:8">
      <c r="A7188" s="3">
        <v>7187</v>
      </c>
      <c r="B7188" s="3" t="s">
        <v>15683</v>
      </c>
      <c r="C7188" s="3" t="s">
        <v>1105</v>
      </c>
      <c r="D7188" s="4" t="s">
        <v>15684</v>
      </c>
      <c r="E7188" s="3" t="s">
        <v>1218</v>
      </c>
      <c r="F7188" s="3" t="s">
        <v>2105</v>
      </c>
      <c r="G7188" s="3"/>
      <c r="H7188" s="4" t="s">
        <v>15586</v>
      </c>
    </row>
    <row r="7189" ht="16.5" customHeight="1" spans="1:8">
      <c r="A7189" s="3">
        <v>7188</v>
      </c>
      <c r="B7189" s="3" t="s">
        <v>15685</v>
      </c>
      <c r="C7189" s="3" t="s">
        <v>1105</v>
      </c>
      <c r="D7189" s="4" t="s">
        <v>15686</v>
      </c>
      <c r="E7189" s="3" t="s">
        <v>1218</v>
      </c>
      <c r="F7189" s="3" t="s">
        <v>2105</v>
      </c>
      <c r="G7189" s="3"/>
      <c r="H7189" s="4" t="s">
        <v>15586</v>
      </c>
    </row>
    <row r="7190" ht="16.5" customHeight="1" spans="1:8">
      <c r="A7190" s="3">
        <v>7189</v>
      </c>
      <c r="B7190" s="3" t="s">
        <v>15687</v>
      </c>
      <c r="C7190" s="3" t="s">
        <v>1105</v>
      </c>
      <c r="D7190" s="4" t="s">
        <v>15688</v>
      </c>
      <c r="E7190" s="3" t="s">
        <v>1218</v>
      </c>
      <c r="F7190" s="3" t="s">
        <v>2105</v>
      </c>
      <c r="G7190" s="3"/>
      <c r="H7190" s="4" t="s">
        <v>15586</v>
      </c>
    </row>
    <row r="7191" ht="16.5" customHeight="1" spans="1:8">
      <c r="A7191" s="3">
        <v>7190</v>
      </c>
      <c r="B7191" s="3" t="s">
        <v>15689</v>
      </c>
      <c r="C7191" s="3" t="s">
        <v>1105</v>
      </c>
      <c r="D7191" s="4" t="s">
        <v>15690</v>
      </c>
      <c r="E7191" s="3" t="s">
        <v>1218</v>
      </c>
      <c r="F7191" s="3" t="s">
        <v>2105</v>
      </c>
      <c r="G7191" s="3"/>
      <c r="H7191" s="4" t="s">
        <v>15586</v>
      </c>
    </row>
    <row r="7192" ht="16.5" customHeight="1" spans="1:8">
      <c r="A7192" s="3">
        <v>7191</v>
      </c>
      <c r="B7192" s="3" t="s">
        <v>15691</v>
      </c>
      <c r="C7192" s="3" t="s">
        <v>1105</v>
      </c>
      <c r="D7192" s="4" t="s">
        <v>15692</v>
      </c>
      <c r="E7192" s="3" t="s">
        <v>1218</v>
      </c>
      <c r="F7192" s="3" t="s">
        <v>2105</v>
      </c>
      <c r="G7192" s="3"/>
      <c r="H7192" s="4" t="s">
        <v>15586</v>
      </c>
    </row>
    <row r="7193" ht="16.5" customHeight="1" spans="1:8">
      <c r="A7193" s="3">
        <v>7192</v>
      </c>
      <c r="B7193" s="3" t="s">
        <v>15693</v>
      </c>
      <c r="C7193" s="3" t="s">
        <v>1105</v>
      </c>
      <c r="D7193" s="4" t="s">
        <v>15694</v>
      </c>
      <c r="E7193" s="3" t="s">
        <v>1218</v>
      </c>
      <c r="F7193" s="3" t="s">
        <v>2105</v>
      </c>
      <c r="G7193" s="3"/>
      <c r="H7193" s="4" t="s">
        <v>15586</v>
      </c>
    </row>
    <row r="7194" ht="16.5" customHeight="1" spans="1:8">
      <c r="A7194" s="3">
        <v>7193</v>
      </c>
      <c r="B7194" s="3" t="s">
        <v>15695</v>
      </c>
      <c r="C7194" s="3" t="s">
        <v>1105</v>
      </c>
      <c r="D7194" s="4" t="s">
        <v>15696</v>
      </c>
      <c r="E7194" s="3" t="s">
        <v>1218</v>
      </c>
      <c r="F7194" s="3" t="s">
        <v>2105</v>
      </c>
      <c r="G7194" s="3"/>
      <c r="H7194" s="4" t="s">
        <v>15586</v>
      </c>
    </row>
    <row r="7195" ht="16.5" customHeight="1" spans="1:8">
      <c r="A7195" s="3">
        <v>7194</v>
      </c>
      <c r="B7195" s="3" t="s">
        <v>15697</v>
      </c>
      <c r="C7195" s="3" t="s">
        <v>1105</v>
      </c>
      <c r="D7195" s="4" t="s">
        <v>15698</v>
      </c>
      <c r="E7195" s="3" t="s">
        <v>1218</v>
      </c>
      <c r="F7195" s="3" t="s">
        <v>2105</v>
      </c>
      <c r="G7195" s="3"/>
      <c r="H7195" s="4" t="s">
        <v>15586</v>
      </c>
    </row>
    <row r="7196" ht="16.5" customHeight="1" spans="1:8">
      <c r="A7196" s="3">
        <v>7195</v>
      </c>
      <c r="B7196" s="3" t="s">
        <v>15699</v>
      </c>
      <c r="C7196" s="3" t="s">
        <v>1105</v>
      </c>
      <c r="D7196" s="4" t="s">
        <v>15700</v>
      </c>
      <c r="E7196" s="3" t="s">
        <v>1218</v>
      </c>
      <c r="F7196" s="3" t="s">
        <v>2105</v>
      </c>
      <c r="G7196" s="3"/>
      <c r="H7196" s="4" t="s">
        <v>15586</v>
      </c>
    </row>
    <row r="7197" ht="16.5" customHeight="1" spans="1:8">
      <c r="A7197" s="3">
        <v>7196</v>
      </c>
      <c r="B7197" s="3" t="s">
        <v>15701</v>
      </c>
      <c r="C7197" s="3" t="s">
        <v>1105</v>
      </c>
      <c r="D7197" s="4" t="s">
        <v>15702</v>
      </c>
      <c r="E7197" s="3" t="s">
        <v>1218</v>
      </c>
      <c r="F7197" s="3" t="s">
        <v>2105</v>
      </c>
      <c r="G7197" s="3"/>
      <c r="H7197" s="4" t="s">
        <v>15586</v>
      </c>
    </row>
    <row r="7198" ht="16.5" customHeight="1" spans="1:8">
      <c r="A7198" s="3">
        <v>7197</v>
      </c>
      <c r="B7198" s="3" t="s">
        <v>15703</v>
      </c>
      <c r="C7198" s="3" t="s">
        <v>1105</v>
      </c>
      <c r="D7198" s="4" t="s">
        <v>15704</v>
      </c>
      <c r="E7198" s="3" t="s">
        <v>1218</v>
      </c>
      <c r="F7198" s="3" t="s">
        <v>2105</v>
      </c>
      <c r="G7198" s="3"/>
      <c r="H7198" s="4" t="s">
        <v>15586</v>
      </c>
    </row>
    <row r="7199" ht="16.5" customHeight="1" spans="1:8">
      <c r="A7199" s="3">
        <v>7198</v>
      </c>
      <c r="B7199" s="3" t="s">
        <v>15705</v>
      </c>
      <c r="C7199" s="3" t="s">
        <v>1105</v>
      </c>
      <c r="D7199" s="4" t="s">
        <v>15706</v>
      </c>
      <c r="E7199" s="3" t="s">
        <v>1218</v>
      </c>
      <c r="F7199" s="3" t="s">
        <v>2105</v>
      </c>
      <c r="G7199" s="3"/>
      <c r="H7199" s="4" t="s">
        <v>15586</v>
      </c>
    </row>
    <row r="7200" ht="16.5" customHeight="1" spans="1:8">
      <c r="A7200" s="3">
        <v>7199</v>
      </c>
      <c r="B7200" s="3" t="s">
        <v>15707</v>
      </c>
      <c r="C7200" s="3" t="s">
        <v>1105</v>
      </c>
      <c r="D7200" s="4" t="s">
        <v>15708</v>
      </c>
      <c r="E7200" s="3" t="s">
        <v>1218</v>
      </c>
      <c r="F7200" s="3" t="s">
        <v>2105</v>
      </c>
      <c r="G7200" s="3"/>
      <c r="H7200" s="4" t="s">
        <v>15586</v>
      </c>
    </row>
    <row r="7201" ht="16.5" customHeight="1" spans="1:8">
      <c r="A7201" s="3">
        <v>7200</v>
      </c>
      <c r="B7201" s="3" t="s">
        <v>15709</v>
      </c>
      <c r="C7201" s="3" t="s">
        <v>1105</v>
      </c>
      <c r="D7201" s="4" t="s">
        <v>15710</v>
      </c>
      <c r="E7201" s="3" t="s">
        <v>1218</v>
      </c>
      <c r="F7201" s="3" t="s">
        <v>2105</v>
      </c>
      <c r="G7201" s="3"/>
      <c r="H7201" s="4" t="s">
        <v>15586</v>
      </c>
    </row>
    <row r="7202" ht="16.5" customHeight="1" spans="1:8">
      <c r="A7202" s="3">
        <v>7201</v>
      </c>
      <c r="B7202" s="3" t="s">
        <v>15711</v>
      </c>
      <c r="C7202" s="3" t="s">
        <v>1105</v>
      </c>
      <c r="D7202" s="4" t="s">
        <v>15712</v>
      </c>
      <c r="E7202" s="3" t="s">
        <v>1218</v>
      </c>
      <c r="F7202" s="3" t="s">
        <v>2105</v>
      </c>
      <c r="G7202" s="3"/>
      <c r="H7202" s="4" t="s">
        <v>15586</v>
      </c>
    </row>
    <row r="7203" ht="16.5" customHeight="1" spans="1:8">
      <c r="A7203" s="3">
        <v>7202</v>
      </c>
      <c r="B7203" s="3" t="s">
        <v>15713</v>
      </c>
      <c r="C7203" s="3" t="s">
        <v>1105</v>
      </c>
      <c r="D7203" s="4" t="s">
        <v>15714</v>
      </c>
      <c r="E7203" s="3" t="s">
        <v>1218</v>
      </c>
      <c r="F7203" s="3" t="s">
        <v>2105</v>
      </c>
      <c r="G7203" s="3"/>
      <c r="H7203" s="4" t="s">
        <v>15586</v>
      </c>
    </row>
    <row r="7204" ht="16.5" customHeight="1" spans="1:8">
      <c r="A7204" s="3">
        <v>7203</v>
      </c>
      <c r="B7204" s="3" t="s">
        <v>15715</v>
      </c>
      <c r="C7204" s="3" t="s">
        <v>1105</v>
      </c>
      <c r="D7204" s="4" t="s">
        <v>15716</v>
      </c>
      <c r="E7204" s="3" t="s">
        <v>1218</v>
      </c>
      <c r="F7204" s="3" t="s">
        <v>2105</v>
      </c>
      <c r="G7204" s="3"/>
      <c r="H7204" s="4" t="s">
        <v>15586</v>
      </c>
    </row>
    <row r="7205" ht="16.5" customHeight="1" spans="1:8">
      <c r="A7205" s="3">
        <v>7204</v>
      </c>
      <c r="B7205" s="3" t="s">
        <v>15717</v>
      </c>
      <c r="C7205" s="3" t="s">
        <v>1105</v>
      </c>
      <c r="D7205" s="4" t="s">
        <v>15718</v>
      </c>
      <c r="E7205" s="3" t="s">
        <v>1218</v>
      </c>
      <c r="F7205" s="3" t="s">
        <v>2105</v>
      </c>
      <c r="G7205" s="3"/>
      <c r="H7205" s="4" t="s">
        <v>15586</v>
      </c>
    </row>
    <row r="7206" ht="16.5" customHeight="1" spans="1:8">
      <c r="A7206" s="3">
        <v>7205</v>
      </c>
      <c r="B7206" s="3" t="s">
        <v>15719</v>
      </c>
      <c r="C7206" s="3" t="s">
        <v>1105</v>
      </c>
      <c r="D7206" s="4" t="s">
        <v>15720</v>
      </c>
      <c r="E7206" s="3" t="s">
        <v>1218</v>
      </c>
      <c r="F7206" s="3" t="s">
        <v>2105</v>
      </c>
      <c r="G7206" s="3"/>
      <c r="H7206" s="4" t="s">
        <v>15586</v>
      </c>
    </row>
    <row r="7207" ht="16.5" customHeight="1" spans="1:8">
      <c r="A7207" s="3">
        <v>7206</v>
      </c>
      <c r="B7207" s="3" t="s">
        <v>15721</v>
      </c>
      <c r="C7207" s="3" t="s">
        <v>1105</v>
      </c>
      <c r="D7207" s="4" t="s">
        <v>15722</v>
      </c>
      <c r="E7207" s="3" t="s">
        <v>1218</v>
      </c>
      <c r="F7207" s="3" t="s">
        <v>2105</v>
      </c>
      <c r="G7207" s="3"/>
      <c r="H7207" s="4" t="s">
        <v>15586</v>
      </c>
    </row>
    <row r="7208" ht="16.5" customHeight="1" spans="1:8">
      <c r="A7208" s="3">
        <v>7207</v>
      </c>
      <c r="B7208" s="3" t="s">
        <v>15723</v>
      </c>
      <c r="C7208" s="3" t="s">
        <v>1105</v>
      </c>
      <c r="D7208" s="4" t="s">
        <v>15724</v>
      </c>
      <c r="E7208" s="3" t="s">
        <v>1218</v>
      </c>
      <c r="F7208" s="3" t="s">
        <v>2105</v>
      </c>
      <c r="G7208" s="3"/>
      <c r="H7208" s="4" t="s">
        <v>15586</v>
      </c>
    </row>
    <row r="7209" ht="16.5" customHeight="1" spans="1:8">
      <c r="A7209" s="3">
        <v>7208</v>
      </c>
      <c r="B7209" s="3" t="s">
        <v>15725</v>
      </c>
      <c r="C7209" s="3" t="s">
        <v>1105</v>
      </c>
      <c r="D7209" s="4" t="s">
        <v>15726</v>
      </c>
      <c r="E7209" s="3" t="s">
        <v>1218</v>
      </c>
      <c r="F7209" s="3" t="s">
        <v>2105</v>
      </c>
      <c r="G7209" s="3"/>
      <c r="H7209" s="4" t="s">
        <v>15586</v>
      </c>
    </row>
    <row r="7210" ht="16.5" customHeight="1" spans="1:8">
      <c r="A7210" s="3">
        <v>7209</v>
      </c>
      <c r="B7210" s="3" t="s">
        <v>15727</v>
      </c>
      <c r="C7210" s="3" t="s">
        <v>1105</v>
      </c>
      <c r="D7210" s="4" t="s">
        <v>15728</v>
      </c>
      <c r="E7210" s="3" t="s">
        <v>1218</v>
      </c>
      <c r="F7210" s="3" t="s">
        <v>2105</v>
      </c>
      <c r="G7210" s="3"/>
      <c r="H7210" s="4" t="s">
        <v>15586</v>
      </c>
    </row>
    <row r="7211" ht="16.5" customHeight="1" spans="1:8">
      <c r="A7211" s="3">
        <v>7210</v>
      </c>
      <c r="B7211" s="3" t="s">
        <v>15729</v>
      </c>
      <c r="C7211" s="3" t="s">
        <v>1105</v>
      </c>
      <c r="D7211" s="4" t="s">
        <v>15730</v>
      </c>
      <c r="E7211" s="3" t="s">
        <v>1218</v>
      </c>
      <c r="F7211" s="3" t="s">
        <v>2105</v>
      </c>
      <c r="G7211" s="3"/>
      <c r="H7211" s="4" t="s">
        <v>15586</v>
      </c>
    </row>
    <row r="7212" ht="16.5" customHeight="1" spans="1:8">
      <c r="A7212" s="3">
        <v>7211</v>
      </c>
      <c r="B7212" s="3" t="s">
        <v>15731</v>
      </c>
      <c r="C7212" s="3" t="s">
        <v>1105</v>
      </c>
      <c r="D7212" s="4" t="s">
        <v>15732</v>
      </c>
      <c r="E7212" s="3" t="s">
        <v>1218</v>
      </c>
      <c r="F7212" s="3" t="s">
        <v>2105</v>
      </c>
      <c r="G7212" s="3"/>
      <c r="H7212" s="4" t="s">
        <v>15586</v>
      </c>
    </row>
    <row r="7213" ht="16.5" customHeight="1" spans="1:8">
      <c r="A7213" s="3">
        <v>7212</v>
      </c>
      <c r="B7213" s="3" t="s">
        <v>15733</v>
      </c>
      <c r="C7213" s="3" t="s">
        <v>1105</v>
      </c>
      <c r="D7213" s="4" t="s">
        <v>15734</v>
      </c>
      <c r="E7213" s="3" t="s">
        <v>1218</v>
      </c>
      <c r="F7213" s="3" t="s">
        <v>2105</v>
      </c>
      <c r="G7213" s="3"/>
      <c r="H7213" s="4" t="s">
        <v>15586</v>
      </c>
    </row>
    <row r="7214" ht="16.5" customHeight="1" spans="1:8">
      <c r="A7214" s="3">
        <v>7213</v>
      </c>
      <c r="B7214" s="3" t="s">
        <v>15735</v>
      </c>
      <c r="C7214" s="3" t="s">
        <v>1105</v>
      </c>
      <c r="D7214" s="4" t="s">
        <v>15736</v>
      </c>
      <c r="E7214" s="3" t="s">
        <v>1218</v>
      </c>
      <c r="F7214" s="3" t="s">
        <v>2105</v>
      </c>
      <c r="G7214" s="3"/>
      <c r="H7214" s="4" t="s">
        <v>15586</v>
      </c>
    </row>
    <row r="7215" ht="16.5" customHeight="1" spans="1:8">
      <c r="A7215" s="3">
        <v>7214</v>
      </c>
      <c r="B7215" s="3" t="s">
        <v>15737</v>
      </c>
      <c r="C7215" s="3" t="s">
        <v>1105</v>
      </c>
      <c r="D7215" s="4" t="s">
        <v>15738</v>
      </c>
      <c r="E7215" s="3" t="s">
        <v>1218</v>
      </c>
      <c r="F7215" s="3" t="s">
        <v>2105</v>
      </c>
      <c r="G7215" s="3"/>
      <c r="H7215" s="4" t="s">
        <v>15586</v>
      </c>
    </row>
    <row r="7216" ht="16.5" customHeight="1" spans="1:8">
      <c r="A7216" s="3">
        <v>7215</v>
      </c>
      <c r="B7216" s="3" t="s">
        <v>15739</v>
      </c>
      <c r="C7216" s="3" t="s">
        <v>1105</v>
      </c>
      <c r="D7216" s="4" t="s">
        <v>15740</v>
      </c>
      <c r="E7216" s="3" t="s">
        <v>1218</v>
      </c>
      <c r="F7216" s="3" t="s">
        <v>2105</v>
      </c>
      <c r="G7216" s="3"/>
      <c r="H7216" s="4" t="s">
        <v>15586</v>
      </c>
    </row>
    <row r="7217" ht="16.5" customHeight="1" spans="1:8">
      <c r="A7217" s="3">
        <v>7216</v>
      </c>
      <c r="B7217" s="3" t="s">
        <v>15741</v>
      </c>
      <c r="C7217" s="3" t="s">
        <v>1105</v>
      </c>
      <c r="D7217" s="4" t="s">
        <v>15742</v>
      </c>
      <c r="E7217" s="3" t="s">
        <v>1218</v>
      </c>
      <c r="F7217" s="3" t="s">
        <v>2105</v>
      </c>
      <c r="G7217" s="3"/>
      <c r="H7217" s="4" t="s">
        <v>15586</v>
      </c>
    </row>
    <row r="7218" ht="16.5" customHeight="1" spans="1:8">
      <c r="A7218" s="3">
        <v>7217</v>
      </c>
      <c r="B7218" s="3" t="s">
        <v>15743</v>
      </c>
      <c r="C7218" s="3" t="s">
        <v>1105</v>
      </c>
      <c r="D7218" s="4" t="s">
        <v>15744</v>
      </c>
      <c r="E7218" s="3" t="s">
        <v>1218</v>
      </c>
      <c r="F7218" s="3" t="s">
        <v>2105</v>
      </c>
      <c r="G7218" s="3"/>
      <c r="H7218" s="4" t="s">
        <v>15586</v>
      </c>
    </row>
    <row r="7219" ht="16.5" customHeight="1" spans="1:8">
      <c r="A7219" s="3">
        <v>7218</v>
      </c>
      <c r="B7219" s="3" t="s">
        <v>15745</v>
      </c>
      <c r="C7219" s="3" t="s">
        <v>1105</v>
      </c>
      <c r="D7219" s="4" t="s">
        <v>15746</v>
      </c>
      <c r="E7219" s="3" t="s">
        <v>1218</v>
      </c>
      <c r="F7219" s="3" t="s">
        <v>2105</v>
      </c>
      <c r="G7219" s="3"/>
      <c r="H7219" s="4" t="s">
        <v>15586</v>
      </c>
    </row>
    <row r="7220" ht="16.5" customHeight="1" spans="1:8">
      <c r="A7220" s="3">
        <v>7219</v>
      </c>
      <c r="B7220" s="3" t="s">
        <v>15747</v>
      </c>
      <c r="C7220" s="3" t="s">
        <v>1074</v>
      </c>
      <c r="D7220" s="4" t="s">
        <v>15748</v>
      </c>
      <c r="E7220" s="3" t="s">
        <v>2726</v>
      </c>
      <c r="F7220" s="3" t="s">
        <v>10259</v>
      </c>
      <c r="G7220" s="3"/>
      <c r="H7220" s="4" t="s">
        <v>1078</v>
      </c>
    </row>
    <row r="7221" ht="16.5" customHeight="1" spans="1:8">
      <c r="A7221" s="3">
        <v>7220</v>
      </c>
      <c r="B7221" s="3" t="s">
        <v>15749</v>
      </c>
      <c r="C7221" s="3" t="s">
        <v>1105</v>
      </c>
      <c r="D7221" s="4" t="s">
        <v>15750</v>
      </c>
      <c r="E7221" s="3" t="s">
        <v>1218</v>
      </c>
      <c r="F7221" s="3" t="s">
        <v>2105</v>
      </c>
      <c r="G7221" s="3"/>
      <c r="H7221" s="4" t="s">
        <v>15586</v>
      </c>
    </row>
    <row r="7222" ht="16.5" customHeight="1" spans="1:8">
      <c r="A7222" s="3">
        <v>7221</v>
      </c>
      <c r="B7222" s="3" t="s">
        <v>15751</v>
      </c>
      <c r="C7222" s="3" t="s">
        <v>1105</v>
      </c>
      <c r="D7222" s="4" t="s">
        <v>15752</v>
      </c>
      <c r="E7222" s="3" t="s">
        <v>1218</v>
      </c>
      <c r="F7222" s="3" t="s">
        <v>2105</v>
      </c>
      <c r="G7222" s="3"/>
      <c r="H7222" s="4" t="s">
        <v>15586</v>
      </c>
    </row>
    <row r="7223" ht="16.5" customHeight="1" spans="1:8">
      <c r="A7223" s="3">
        <v>7222</v>
      </c>
      <c r="B7223" s="3" t="s">
        <v>15753</v>
      </c>
      <c r="C7223" s="3" t="s">
        <v>1105</v>
      </c>
      <c r="D7223" s="4" t="s">
        <v>15754</v>
      </c>
      <c r="E7223" s="3" t="s">
        <v>1218</v>
      </c>
      <c r="F7223" s="3" t="s">
        <v>2105</v>
      </c>
      <c r="G7223" s="3"/>
      <c r="H7223" s="4" t="s">
        <v>15586</v>
      </c>
    </row>
    <row r="7224" ht="16.5" customHeight="1" spans="1:8">
      <c r="A7224" s="3">
        <v>7223</v>
      </c>
      <c r="B7224" s="3" t="s">
        <v>15755</v>
      </c>
      <c r="C7224" s="3" t="s">
        <v>1105</v>
      </c>
      <c r="D7224" s="4" t="s">
        <v>15756</v>
      </c>
      <c r="E7224" s="3" t="s">
        <v>1218</v>
      </c>
      <c r="F7224" s="3" t="s">
        <v>2105</v>
      </c>
      <c r="G7224" s="3"/>
      <c r="H7224" s="4" t="s">
        <v>15586</v>
      </c>
    </row>
    <row r="7225" ht="16.5" customHeight="1" spans="1:8">
      <c r="A7225" s="3">
        <v>7224</v>
      </c>
      <c r="B7225" s="3" t="s">
        <v>15757</v>
      </c>
      <c r="C7225" s="3" t="s">
        <v>1105</v>
      </c>
      <c r="D7225" s="4" t="s">
        <v>15758</v>
      </c>
      <c r="E7225" s="3" t="s">
        <v>1218</v>
      </c>
      <c r="F7225" s="3" t="s">
        <v>2105</v>
      </c>
      <c r="G7225" s="3"/>
      <c r="H7225" s="4" t="s">
        <v>15586</v>
      </c>
    </row>
    <row r="7226" ht="16.5" customHeight="1" spans="1:8">
      <c r="A7226" s="3">
        <v>7225</v>
      </c>
      <c r="B7226" s="3" t="s">
        <v>15759</v>
      </c>
      <c r="C7226" s="3" t="s">
        <v>1105</v>
      </c>
      <c r="D7226" s="4" t="s">
        <v>15760</v>
      </c>
      <c r="E7226" s="3" t="s">
        <v>1218</v>
      </c>
      <c r="F7226" s="3" t="s">
        <v>2105</v>
      </c>
      <c r="G7226" s="3"/>
      <c r="H7226" s="4" t="s">
        <v>15586</v>
      </c>
    </row>
    <row r="7227" ht="16.5" customHeight="1" spans="1:8">
      <c r="A7227" s="3">
        <v>7226</v>
      </c>
      <c r="B7227" s="3" t="s">
        <v>15761</v>
      </c>
      <c r="C7227" s="3" t="s">
        <v>1105</v>
      </c>
      <c r="D7227" s="4" t="s">
        <v>15762</v>
      </c>
      <c r="E7227" s="3" t="s">
        <v>1076</v>
      </c>
      <c r="F7227" s="3" t="s">
        <v>13816</v>
      </c>
      <c r="G7227" s="3"/>
      <c r="H7227" s="4" t="s">
        <v>15763</v>
      </c>
    </row>
    <row r="7228" ht="16.5" customHeight="1" spans="1:8">
      <c r="A7228" s="3">
        <v>7227</v>
      </c>
      <c r="B7228" s="3" t="s">
        <v>15764</v>
      </c>
      <c r="C7228" s="3" t="s">
        <v>1105</v>
      </c>
      <c r="D7228" s="4" t="s">
        <v>15765</v>
      </c>
      <c r="E7228" s="3" t="s">
        <v>1076</v>
      </c>
      <c r="F7228" s="3" t="s">
        <v>13816</v>
      </c>
      <c r="G7228" s="3"/>
      <c r="H7228" s="4" t="s">
        <v>15763</v>
      </c>
    </row>
    <row r="7229" ht="16.5" customHeight="1" spans="1:8">
      <c r="A7229" s="3">
        <v>7228</v>
      </c>
      <c r="B7229" s="3" t="s">
        <v>15766</v>
      </c>
      <c r="C7229" s="3" t="s">
        <v>1074</v>
      </c>
      <c r="D7229" s="4" t="s">
        <v>15767</v>
      </c>
      <c r="E7229" s="3" t="s">
        <v>1218</v>
      </c>
      <c r="F7229" s="3" t="s">
        <v>8175</v>
      </c>
      <c r="G7229" s="3"/>
      <c r="H7229" s="4" t="s">
        <v>7240</v>
      </c>
    </row>
    <row r="7230" ht="16.5" customHeight="1" spans="1:8">
      <c r="A7230" s="3">
        <v>7229</v>
      </c>
      <c r="B7230" s="3" t="s">
        <v>15768</v>
      </c>
      <c r="C7230" s="3" t="s">
        <v>1074</v>
      </c>
      <c r="D7230" s="4" t="s">
        <v>15769</v>
      </c>
      <c r="E7230" s="3" t="s">
        <v>1218</v>
      </c>
      <c r="F7230" s="3" t="s">
        <v>8175</v>
      </c>
      <c r="G7230" s="3"/>
      <c r="H7230" s="4" t="s">
        <v>7240</v>
      </c>
    </row>
    <row r="7231" ht="16.5" customHeight="1" spans="1:8">
      <c r="A7231" s="3">
        <v>7230</v>
      </c>
      <c r="B7231" s="3" t="s">
        <v>15770</v>
      </c>
      <c r="C7231" s="3" t="s">
        <v>1074</v>
      </c>
      <c r="D7231" s="4" t="s">
        <v>15771</v>
      </c>
      <c r="E7231" s="3" t="s">
        <v>1218</v>
      </c>
      <c r="F7231" s="3" t="s">
        <v>8175</v>
      </c>
      <c r="G7231" s="3"/>
      <c r="H7231" s="4" t="s">
        <v>7240</v>
      </c>
    </row>
    <row r="7232" ht="16.5" customHeight="1" spans="1:8">
      <c r="A7232" s="3">
        <v>7231</v>
      </c>
      <c r="B7232" s="3" t="s">
        <v>15772</v>
      </c>
      <c r="C7232" s="3" t="s">
        <v>1074</v>
      </c>
      <c r="D7232" s="4" t="s">
        <v>15773</v>
      </c>
      <c r="E7232" s="3" t="s">
        <v>1076</v>
      </c>
      <c r="F7232" s="3" t="s">
        <v>10259</v>
      </c>
      <c r="G7232" s="3"/>
      <c r="H7232" s="4" t="s">
        <v>3812</v>
      </c>
    </row>
    <row r="7233" ht="16.5" customHeight="1" spans="1:8">
      <c r="A7233" s="3">
        <v>7232</v>
      </c>
      <c r="B7233" s="3" t="s">
        <v>15774</v>
      </c>
      <c r="C7233" s="3" t="s">
        <v>2163</v>
      </c>
      <c r="D7233" s="4" t="s">
        <v>15775</v>
      </c>
      <c r="E7233" s="3" t="s">
        <v>2726</v>
      </c>
      <c r="F7233" s="3" t="s">
        <v>10943</v>
      </c>
      <c r="G7233" s="3" t="s">
        <v>98</v>
      </c>
      <c r="H7233" s="4" t="s">
        <v>3812</v>
      </c>
    </row>
    <row r="7234" ht="16.5" customHeight="1" spans="1:8">
      <c r="A7234" s="3">
        <v>7233</v>
      </c>
      <c r="B7234" s="3" t="s">
        <v>15776</v>
      </c>
      <c r="C7234" s="3" t="s">
        <v>2163</v>
      </c>
      <c r="D7234" s="4" t="s">
        <v>15777</v>
      </c>
      <c r="E7234" s="3" t="s">
        <v>2726</v>
      </c>
      <c r="F7234" s="3" t="s">
        <v>2105</v>
      </c>
      <c r="G7234" s="3"/>
      <c r="H7234" s="4"/>
    </row>
    <row r="7235" ht="16.5" customHeight="1" spans="1:8">
      <c r="A7235" s="3">
        <v>7234</v>
      </c>
      <c r="B7235" s="3" t="s">
        <v>15778</v>
      </c>
      <c r="C7235" s="3" t="s">
        <v>2163</v>
      </c>
      <c r="D7235" s="4" t="s">
        <v>15779</v>
      </c>
      <c r="E7235" s="3" t="s">
        <v>2726</v>
      </c>
      <c r="F7235" s="3" t="s">
        <v>10943</v>
      </c>
      <c r="G7235" s="3" t="s">
        <v>98</v>
      </c>
      <c r="H7235" s="4" t="s">
        <v>3812</v>
      </c>
    </row>
    <row r="7236" ht="16.5" customHeight="1" spans="1:8">
      <c r="A7236" s="3">
        <v>7235</v>
      </c>
      <c r="B7236" s="3" t="s">
        <v>15780</v>
      </c>
      <c r="C7236" s="3" t="s">
        <v>2163</v>
      </c>
      <c r="D7236" s="4" t="s">
        <v>15781</v>
      </c>
      <c r="E7236" s="3" t="s">
        <v>2726</v>
      </c>
      <c r="F7236" s="3" t="s">
        <v>10943</v>
      </c>
      <c r="G7236" s="3" t="s">
        <v>98</v>
      </c>
      <c r="H7236" s="4"/>
    </row>
    <row r="7237" ht="16.5" customHeight="1" spans="1:8">
      <c r="A7237" s="3">
        <v>7236</v>
      </c>
      <c r="B7237" s="3" t="s">
        <v>15782</v>
      </c>
      <c r="C7237" s="3" t="s">
        <v>2163</v>
      </c>
      <c r="D7237" s="4" t="s">
        <v>15783</v>
      </c>
      <c r="E7237" s="3" t="s">
        <v>2726</v>
      </c>
      <c r="F7237" s="3" t="s">
        <v>10943</v>
      </c>
      <c r="G7237" s="3" t="s">
        <v>98</v>
      </c>
      <c r="H7237" s="4"/>
    </row>
    <row r="7238" ht="16.5" customHeight="1" spans="1:8">
      <c r="A7238" s="3">
        <v>7237</v>
      </c>
      <c r="B7238" s="3" t="s">
        <v>15784</v>
      </c>
      <c r="C7238" s="3" t="s">
        <v>2163</v>
      </c>
      <c r="D7238" s="4" t="s">
        <v>15785</v>
      </c>
      <c r="E7238" s="3" t="s">
        <v>1076</v>
      </c>
      <c r="F7238" s="3" t="s">
        <v>2041</v>
      </c>
      <c r="G7238" s="3" t="s">
        <v>98</v>
      </c>
      <c r="H7238" s="4" t="s">
        <v>3812</v>
      </c>
    </row>
    <row r="7239" ht="16.5" customHeight="1" spans="1:8">
      <c r="A7239" s="3">
        <v>7238</v>
      </c>
      <c r="B7239" s="3" t="s">
        <v>15786</v>
      </c>
      <c r="C7239" s="3" t="s">
        <v>2163</v>
      </c>
      <c r="D7239" s="4" t="s">
        <v>15787</v>
      </c>
      <c r="E7239" s="3" t="s">
        <v>1076</v>
      </c>
      <c r="F7239" s="3" t="s">
        <v>2041</v>
      </c>
      <c r="G7239" s="3" t="s">
        <v>98</v>
      </c>
      <c r="H7239" s="4" t="s">
        <v>3812</v>
      </c>
    </row>
    <row r="7240" ht="16.5" customHeight="1" spans="1:8">
      <c r="A7240" s="3">
        <v>7239</v>
      </c>
      <c r="B7240" s="3" t="s">
        <v>15788</v>
      </c>
      <c r="C7240" s="3" t="s">
        <v>2163</v>
      </c>
      <c r="D7240" s="4" t="s">
        <v>15789</v>
      </c>
      <c r="E7240" s="3" t="s">
        <v>1076</v>
      </c>
      <c r="F7240" s="3" t="s">
        <v>10943</v>
      </c>
      <c r="G7240" s="3" t="s">
        <v>98</v>
      </c>
      <c r="H7240" s="4"/>
    </row>
    <row r="7241" ht="16.5" customHeight="1" spans="1:8">
      <c r="A7241" s="3">
        <v>7240</v>
      </c>
      <c r="B7241" s="3" t="s">
        <v>15790</v>
      </c>
      <c r="C7241" s="3" t="s">
        <v>1074</v>
      </c>
      <c r="D7241" s="4" t="s">
        <v>15791</v>
      </c>
      <c r="E7241" s="3" t="s">
        <v>1218</v>
      </c>
      <c r="F7241" s="3" t="s">
        <v>10259</v>
      </c>
      <c r="G7241" s="3"/>
      <c r="H7241" s="4" t="s">
        <v>7502</v>
      </c>
    </row>
    <row r="7242" ht="16.5" customHeight="1" spans="1:8">
      <c r="A7242" s="3">
        <v>7241</v>
      </c>
      <c r="B7242" s="3" t="s">
        <v>15792</v>
      </c>
      <c r="C7242" s="3" t="s">
        <v>1074</v>
      </c>
      <c r="D7242" s="4" t="s">
        <v>15793</v>
      </c>
      <c r="E7242" s="3" t="s">
        <v>1218</v>
      </c>
      <c r="F7242" s="3" t="s">
        <v>10259</v>
      </c>
      <c r="G7242" s="3"/>
      <c r="H7242" s="4" t="s">
        <v>7502</v>
      </c>
    </row>
    <row r="7243" ht="16.5" customHeight="1" spans="1:8">
      <c r="A7243" s="3">
        <v>7242</v>
      </c>
      <c r="B7243" s="3" t="s">
        <v>15794</v>
      </c>
      <c r="C7243" s="3" t="s">
        <v>1074</v>
      </c>
      <c r="D7243" s="4" t="s">
        <v>15795</v>
      </c>
      <c r="E7243" s="3" t="s">
        <v>1218</v>
      </c>
      <c r="F7243" s="3" t="s">
        <v>10259</v>
      </c>
      <c r="G7243" s="3"/>
      <c r="H7243" s="4" t="s">
        <v>7502</v>
      </c>
    </row>
    <row r="7244" ht="16.5" customHeight="1" spans="1:8">
      <c r="A7244" s="3">
        <v>7243</v>
      </c>
      <c r="B7244" s="3" t="s">
        <v>15796</v>
      </c>
      <c r="C7244" s="3" t="s">
        <v>1074</v>
      </c>
      <c r="D7244" s="4" t="s">
        <v>15797</v>
      </c>
      <c r="E7244" s="3" t="s">
        <v>1218</v>
      </c>
      <c r="F7244" s="3" t="s">
        <v>10259</v>
      </c>
      <c r="G7244" s="3"/>
      <c r="H7244" s="4" t="s">
        <v>7502</v>
      </c>
    </row>
    <row r="7245" ht="16.5" customHeight="1" spans="1:8">
      <c r="A7245" s="3">
        <v>7244</v>
      </c>
      <c r="B7245" s="3" t="s">
        <v>15798</v>
      </c>
      <c r="C7245" s="3" t="s">
        <v>1074</v>
      </c>
      <c r="D7245" s="4" t="s">
        <v>15799</v>
      </c>
      <c r="E7245" s="3" t="s">
        <v>1218</v>
      </c>
      <c r="F7245" s="3" t="s">
        <v>10259</v>
      </c>
      <c r="G7245" s="3"/>
      <c r="H7245" s="4" t="s">
        <v>7502</v>
      </c>
    </row>
    <row r="7246" ht="16.5" customHeight="1" spans="1:8">
      <c r="A7246" s="3">
        <v>7245</v>
      </c>
      <c r="B7246" s="3" t="s">
        <v>15800</v>
      </c>
      <c r="C7246" s="3" t="s">
        <v>1074</v>
      </c>
      <c r="D7246" s="4" t="s">
        <v>15801</v>
      </c>
      <c r="E7246" s="3" t="s">
        <v>1218</v>
      </c>
      <c r="F7246" s="3" t="s">
        <v>10259</v>
      </c>
      <c r="G7246" s="3"/>
      <c r="H7246" s="4" t="s">
        <v>7502</v>
      </c>
    </row>
    <row r="7247" ht="16.5" customHeight="1" spans="1:8">
      <c r="A7247" s="3">
        <v>7246</v>
      </c>
      <c r="B7247" s="3" t="s">
        <v>15802</v>
      </c>
      <c r="C7247" s="3" t="s">
        <v>1074</v>
      </c>
      <c r="D7247" s="4" t="s">
        <v>15803</v>
      </c>
      <c r="E7247" s="3" t="s">
        <v>1218</v>
      </c>
      <c r="F7247" s="3" t="s">
        <v>10259</v>
      </c>
      <c r="G7247" s="3"/>
      <c r="H7247" s="4" t="s">
        <v>7502</v>
      </c>
    </row>
    <row r="7248" ht="16.5" customHeight="1" spans="1:8">
      <c r="A7248" s="3">
        <v>7247</v>
      </c>
      <c r="B7248" s="3" t="s">
        <v>15804</v>
      </c>
      <c r="C7248" s="3" t="s">
        <v>1074</v>
      </c>
      <c r="D7248" s="4" t="s">
        <v>15805</v>
      </c>
      <c r="E7248" s="3" t="s">
        <v>1218</v>
      </c>
      <c r="F7248" s="3" t="s">
        <v>10259</v>
      </c>
      <c r="G7248" s="3"/>
      <c r="H7248" s="4" t="s">
        <v>7502</v>
      </c>
    </row>
    <row r="7249" ht="16.5" customHeight="1" spans="1:8">
      <c r="A7249" s="3">
        <v>7248</v>
      </c>
      <c r="B7249" s="3" t="s">
        <v>15806</v>
      </c>
      <c r="C7249" s="3" t="s">
        <v>1074</v>
      </c>
      <c r="D7249" s="4" t="s">
        <v>15807</v>
      </c>
      <c r="E7249" s="3" t="s">
        <v>1218</v>
      </c>
      <c r="F7249" s="3" t="s">
        <v>10259</v>
      </c>
      <c r="G7249" s="3"/>
      <c r="H7249" s="4" t="s">
        <v>7502</v>
      </c>
    </row>
    <row r="7250" ht="16.5" customHeight="1" spans="1:8">
      <c r="A7250" s="3">
        <v>7249</v>
      </c>
      <c r="B7250" s="3" t="s">
        <v>15808</v>
      </c>
      <c r="C7250" s="3" t="s">
        <v>1074</v>
      </c>
      <c r="D7250" s="4" t="s">
        <v>15809</v>
      </c>
      <c r="E7250" s="3" t="s">
        <v>1218</v>
      </c>
      <c r="F7250" s="3" t="s">
        <v>10259</v>
      </c>
      <c r="G7250" s="3"/>
      <c r="H7250" s="4" t="s">
        <v>7502</v>
      </c>
    </row>
    <row r="7251" ht="16.5" customHeight="1" spans="1:8">
      <c r="A7251" s="3">
        <v>7250</v>
      </c>
      <c r="B7251" s="3" t="s">
        <v>15810</v>
      </c>
      <c r="C7251" s="3" t="s">
        <v>1074</v>
      </c>
      <c r="D7251" s="4" t="s">
        <v>15811</v>
      </c>
      <c r="E7251" s="3" t="s">
        <v>1218</v>
      </c>
      <c r="F7251" s="3" t="s">
        <v>10259</v>
      </c>
      <c r="G7251" s="3"/>
      <c r="H7251" s="4" t="s">
        <v>7502</v>
      </c>
    </row>
    <row r="7252" ht="16.5" customHeight="1" spans="1:8">
      <c r="A7252" s="3">
        <v>7251</v>
      </c>
      <c r="B7252" s="3" t="s">
        <v>15812</v>
      </c>
      <c r="C7252" s="3" t="s">
        <v>1074</v>
      </c>
      <c r="D7252" s="4" t="s">
        <v>15813</v>
      </c>
      <c r="E7252" s="3" t="s">
        <v>1218</v>
      </c>
      <c r="F7252" s="3" t="s">
        <v>10259</v>
      </c>
      <c r="G7252" s="3"/>
      <c r="H7252" s="4" t="s">
        <v>7502</v>
      </c>
    </row>
    <row r="7253" ht="16.5" customHeight="1" spans="1:8">
      <c r="A7253" s="3">
        <v>7252</v>
      </c>
      <c r="B7253" s="3" t="s">
        <v>15814</v>
      </c>
      <c r="C7253" s="3" t="s">
        <v>1074</v>
      </c>
      <c r="D7253" s="4" t="s">
        <v>15815</v>
      </c>
      <c r="E7253" s="3" t="s">
        <v>1218</v>
      </c>
      <c r="F7253" s="3" t="s">
        <v>10259</v>
      </c>
      <c r="G7253" s="3"/>
      <c r="H7253" s="4" t="s">
        <v>7502</v>
      </c>
    </row>
    <row r="7254" ht="16.5" customHeight="1" spans="1:8">
      <c r="A7254" s="3">
        <v>7253</v>
      </c>
      <c r="B7254" s="3" t="s">
        <v>15816</v>
      </c>
      <c r="C7254" s="3" t="s">
        <v>1361</v>
      </c>
      <c r="D7254" s="4" t="s">
        <v>15817</v>
      </c>
      <c r="E7254" s="3" t="s">
        <v>1218</v>
      </c>
      <c r="F7254" s="3" t="s">
        <v>11431</v>
      </c>
      <c r="G7254" s="3"/>
      <c r="H7254" s="4"/>
    </row>
    <row r="7255" ht="16.5" customHeight="1" spans="1:8">
      <c r="A7255" s="3">
        <v>7254</v>
      </c>
      <c r="B7255" s="3" t="s">
        <v>15818</v>
      </c>
      <c r="C7255" s="3" t="s">
        <v>1361</v>
      </c>
      <c r="D7255" s="4" t="s">
        <v>15819</v>
      </c>
      <c r="E7255" s="3" t="s">
        <v>1218</v>
      </c>
      <c r="F7255" s="3" t="s">
        <v>11431</v>
      </c>
      <c r="G7255" s="3"/>
      <c r="H7255" s="4"/>
    </row>
    <row r="7256" ht="16.5" customHeight="1" spans="1:8">
      <c r="A7256" s="3">
        <v>7255</v>
      </c>
      <c r="B7256" s="3" t="s">
        <v>15820</v>
      </c>
      <c r="C7256" s="3" t="s">
        <v>1361</v>
      </c>
      <c r="D7256" s="4" t="s">
        <v>15821</v>
      </c>
      <c r="E7256" s="3" t="s">
        <v>1218</v>
      </c>
      <c r="F7256" s="3" t="s">
        <v>11431</v>
      </c>
      <c r="G7256" s="3"/>
      <c r="H7256" s="4"/>
    </row>
    <row r="7257" ht="16.5" customHeight="1" spans="1:8">
      <c r="A7257" s="3">
        <v>7256</v>
      </c>
      <c r="B7257" s="3" t="s">
        <v>15822</v>
      </c>
      <c r="C7257" s="3" t="s">
        <v>1361</v>
      </c>
      <c r="D7257" s="4" t="s">
        <v>15823</v>
      </c>
      <c r="E7257" s="3" t="s">
        <v>1218</v>
      </c>
      <c r="F7257" s="3" t="s">
        <v>11431</v>
      </c>
      <c r="G7257" s="3"/>
      <c r="H7257" s="4"/>
    </row>
    <row r="7258" ht="16.5" customHeight="1" spans="1:8">
      <c r="A7258" s="3">
        <v>7257</v>
      </c>
      <c r="B7258" s="3" t="s">
        <v>15824</v>
      </c>
      <c r="C7258" s="3" t="s">
        <v>1361</v>
      </c>
      <c r="D7258" s="4" t="s">
        <v>15825</v>
      </c>
      <c r="E7258" s="3" t="s">
        <v>1218</v>
      </c>
      <c r="F7258" s="3" t="s">
        <v>11431</v>
      </c>
      <c r="G7258" s="3"/>
      <c r="H7258" s="4"/>
    </row>
    <row r="7259" ht="16.5" customHeight="1" spans="1:8">
      <c r="A7259" s="3">
        <v>7258</v>
      </c>
      <c r="B7259" s="3" t="s">
        <v>15826</v>
      </c>
      <c r="C7259" s="3" t="s">
        <v>1361</v>
      </c>
      <c r="D7259" s="4" t="s">
        <v>15827</v>
      </c>
      <c r="E7259" s="3" t="s">
        <v>1218</v>
      </c>
      <c r="F7259" s="3" t="s">
        <v>11431</v>
      </c>
      <c r="G7259" s="3"/>
      <c r="H7259" s="4"/>
    </row>
    <row r="7260" ht="16.5" customHeight="1" spans="1:8">
      <c r="A7260" s="3">
        <v>7259</v>
      </c>
      <c r="B7260" s="3" t="s">
        <v>15828</v>
      </c>
      <c r="C7260" s="3" t="s">
        <v>1361</v>
      </c>
      <c r="D7260" s="4" t="s">
        <v>15829</v>
      </c>
      <c r="E7260" s="3" t="s">
        <v>1218</v>
      </c>
      <c r="F7260" s="3" t="s">
        <v>11431</v>
      </c>
      <c r="G7260" s="3"/>
      <c r="H7260" s="4"/>
    </row>
    <row r="7261" ht="16.5" customHeight="1" spans="1:8">
      <c r="A7261" s="3">
        <v>7260</v>
      </c>
      <c r="B7261" s="3" t="s">
        <v>15830</v>
      </c>
      <c r="C7261" s="3" t="s">
        <v>1361</v>
      </c>
      <c r="D7261" s="4" t="s">
        <v>15831</v>
      </c>
      <c r="E7261" s="3" t="s">
        <v>1218</v>
      </c>
      <c r="F7261" s="3" t="s">
        <v>11431</v>
      </c>
      <c r="G7261" s="3"/>
      <c r="H7261" s="4"/>
    </row>
    <row r="7262" ht="16.5" customHeight="1" spans="1:8">
      <c r="A7262" s="3">
        <v>7261</v>
      </c>
      <c r="B7262" s="3" t="s">
        <v>15832</v>
      </c>
      <c r="C7262" s="3" t="s">
        <v>1361</v>
      </c>
      <c r="D7262" s="4" t="s">
        <v>15833</v>
      </c>
      <c r="E7262" s="3" t="s">
        <v>1218</v>
      </c>
      <c r="F7262" s="3" t="s">
        <v>11431</v>
      </c>
      <c r="G7262" s="3"/>
      <c r="H7262" s="4"/>
    </row>
    <row r="7263" ht="16.5" customHeight="1" spans="1:8">
      <c r="A7263" s="3">
        <v>7262</v>
      </c>
      <c r="B7263" s="3" t="s">
        <v>15834</v>
      </c>
      <c r="C7263" s="3" t="s">
        <v>1361</v>
      </c>
      <c r="D7263" s="4" t="s">
        <v>15835</v>
      </c>
      <c r="E7263" s="3" t="s">
        <v>1218</v>
      </c>
      <c r="F7263" s="3" t="s">
        <v>11431</v>
      </c>
      <c r="G7263" s="3"/>
      <c r="H7263" s="4"/>
    </row>
    <row r="7264" ht="16.5" customHeight="1" spans="1:8">
      <c r="A7264" s="3">
        <v>7263</v>
      </c>
      <c r="B7264" s="3" t="s">
        <v>15836</v>
      </c>
      <c r="C7264" s="3" t="s">
        <v>1361</v>
      </c>
      <c r="D7264" s="4" t="s">
        <v>15837</v>
      </c>
      <c r="E7264" s="3" t="s">
        <v>1218</v>
      </c>
      <c r="F7264" s="3" t="s">
        <v>11431</v>
      </c>
      <c r="G7264" s="3"/>
      <c r="H7264" s="4"/>
    </row>
    <row r="7265" ht="16.5" customHeight="1" spans="1:8">
      <c r="A7265" s="3">
        <v>7264</v>
      </c>
      <c r="B7265" s="3" t="s">
        <v>15838</v>
      </c>
      <c r="C7265" s="3" t="s">
        <v>1361</v>
      </c>
      <c r="D7265" s="4" t="s">
        <v>15839</v>
      </c>
      <c r="E7265" s="3" t="s">
        <v>1218</v>
      </c>
      <c r="F7265" s="3" t="s">
        <v>11431</v>
      </c>
      <c r="G7265" s="3"/>
      <c r="H7265" s="4"/>
    </row>
    <row r="7266" ht="16.5" customHeight="1" spans="1:8">
      <c r="A7266" s="3">
        <v>7265</v>
      </c>
      <c r="B7266" s="3" t="s">
        <v>15840</v>
      </c>
      <c r="C7266" s="3" t="s">
        <v>1361</v>
      </c>
      <c r="D7266" s="4" t="s">
        <v>15841</v>
      </c>
      <c r="E7266" s="3" t="s">
        <v>1218</v>
      </c>
      <c r="F7266" s="3" t="s">
        <v>11431</v>
      </c>
      <c r="G7266" s="3"/>
      <c r="H7266" s="4"/>
    </row>
    <row r="7267" ht="16.5" customHeight="1" spans="1:8">
      <c r="A7267" s="3">
        <v>7266</v>
      </c>
      <c r="B7267" s="3" t="s">
        <v>15842</v>
      </c>
      <c r="C7267" s="3" t="s">
        <v>1361</v>
      </c>
      <c r="D7267" s="4" t="s">
        <v>15843</v>
      </c>
      <c r="E7267" s="3" t="s">
        <v>1218</v>
      </c>
      <c r="F7267" s="3" t="s">
        <v>11431</v>
      </c>
      <c r="G7267" s="3"/>
      <c r="H7267" s="4"/>
    </row>
    <row r="7268" ht="16.5" customHeight="1" spans="1:8">
      <c r="A7268" s="3">
        <v>7267</v>
      </c>
      <c r="B7268" s="3" t="s">
        <v>15844</v>
      </c>
      <c r="C7268" s="3" t="s">
        <v>1361</v>
      </c>
      <c r="D7268" s="4" t="s">
        <v>15845</v>
      </c>
      <c r="E7268" s="3" t="s">
        <v>1218</v>
      </c>
      <c r="F7268" s="3" t="s">
        <v>11431</v>
      </c>
      <c r="G7268" s="3"/>
      <c r="H7268" s="4"/>
    </row>
    <row r="7269" ht="16.5" customHeight="1" spans="1:8">
      <c r="A7269" s="3">
        <v>7268</v>
      </c>
      <c r="B7269" s="3" t="s">
        <v>15846</v>
      </c>
      <c r="C7269" s="3" t="s">
        <v>1361</v>
      </c>
      <c r="D7269" s="4" t="s">
        <v>15847</v>
      </c>
      <c r="E7269" s="3" t="s">
        <v>1218</v>
      </c>
      <c r="F7269" s="3" t="s">
        <v>11431</v>
      </c>
      <c r="G7269" s="3"/>
      <c r="H7269" s="4"/>
    </row>
    <row r="7270" ht="16.5" customHeight="1" spans="1:8">
      <c r="A7270" s="3">
        <v>7269</v>
      </c>
      <c r="B7270" s="3" t="s">
        <v>15848</v>
      </c>
      <c r="C7270" s="3" t="s">
        <v>1361</v>
      </c>
      <c r="D7270" s="4" t="s">
        <v>15849</v>
      </c>
      <c r="E7270" s="3" t="s">
        <v>1218</v>
      </c>
      <c r="F7270" s="3" t="s">
        <v>11431</v>
      </c>
      <c r="G7270" s="3"/>
      <c r="H7270" s="4"/>
    </row>
    <row r="7271" ht="16.5" customHeight="1" spans="1:8">
      <c r="A7271" s="3">
        <v>7270</v>
      </c>
      <c r="B7271" s="3" t="s">
        <v>15850</v>
      </c>
      <c r="C7271" s="3" t="s">
        <v>1361</v>
      </c>
      <c r="D7271" s="4" t="s">
        <v>15851</v>
      </c>
      <c r="E7271" s="3" t="s">
        <v>1218</v>
      </c>
      <c r="F7271" s="3" t="s">
        <v>11431</v>
      </c>
      <c r="G7271" s="3"/>
      <c r="H7271" s="4"/>
    </row>
    <row r="7272" ht="16.5" customHeight="1" spans="1:8">
      <c r="A7272" s="3">
        <v>7271</v>
      </c>
      <c r="B7272" s="3" t="s">
        <v>15852</v>
      </c>
      <c r="C7272" s="3" t="s">
        <v>1361</v>
      </c>
      <c r="D7272" s="4" t="s">
        <v>15853</v>
      </c>
      <c r="E7272" s="3" t="s">
        <v>1218</v>
      </c>
      <c r="F7272" s="3" t="s">
        <v>11431</v>
      </c>
      <c r="G7272" s="3"/>
      <c r="H7272" s="4"/>
    </row>
    <row r="7273" ht="16.5" customHeight="1" spans="1:8">
      <c r="A7273" s="3">
        <v>7272</v>
      </c>
      <c r="B7273" s="3" t="s">
        <v>15854</v>
      </c>
      <c r="C7273" s="3" t="s">
        <v>1361</v>
      </c>
      <c r="D7273" s="4" t="s">
        <v>15855</v>
      </c>
      <c r="E7273" s="3" t="s">
        <v>1218</v>
      </c>
      <c r="F7273" s="3" t="s">
        <v>11431</v>
      </c>
      <c r="G7273" s="3"/>
      <c r="H7273" s="4"/>
    </row>
    <row r="7274" ht="16.5" customHeight="1" spans="1:8">
      <c r="A7274" s="3">
        <v>7273</v>
      </c>
      <c r="B7274" s="3" t="s">
        <v>15856</v>
      </c>
      <c r="C7274" s="3" t="s">
        <v>1361</v>
      </c>
      <c r="D7274" s="4" t="s">
        <v>15857</v>
      </c>
      <c r="E7274" s="3" t="s">
        <v>1218</v>
      </c>
      <c r="F7274" s="3" t="s">
        <v>11431</v>
      </c>
      <c r="G7274" s="3"/>
      <c r="H7274" s="4"/>
    </row>
    <row r="7275" ht="16.5" customHeight="1" spans="1:8">
      <c r="A7275" s="3">
        <v>7274</v>
      </c>
      <c r="B7275" s="3" t="s">
        <v>15858</v>
      </c>
      <c r="C7275" s="3" t="s">
        <v>1361</v>
      </c>
      <c r="D7275" s="4" t="s">
        <v>15859</v>
      </c>
      <c r="E7275" s="3" t="s">
        <v>1218</v>
      </c>
      <c r="F7275" s="3" t="s">
        <v>11431</v>
      </c>
      <c r="G7275" s="3"/>
      <c r="H7275" s="4"/>
    </row>
    <row r="7276" ht="16.5" customHeight="1" spans="1:8">
      <c r="A7276" s="3">
        <v>7275</v>
      </c>
      <c r="B7276" s="3" t="s">
        <v>15860</v>
      </c>
      <c r="C7276" s="3" t="s">
        <v>1361</v>
      </c>
      <c r="D7276" s="4" t="s">
        <v>15861</v>
      </c>
      <c r="E7276" s="3" t="s">
        <v>1218</v>
      </c>
      <c r="F7276" s="3" t="s">
        <v>11431</v>
      </c>
      <c r="G7276" s="3"/>
      <c r="H7276" s="4"/>
    </row>
    <row r="7277" ht="16.5" customHeight="1" spans="1:8">
      <c r="A7277" s="3">
        <v>7276</v>
      </c>
      <c r="B7277" s="3" t="s">
        <v>15862</v>
      </c>
      <c r="C7277" s="3" t="s">
        <v>1361</v>
      </c>
      <c r="D7277" s="4" t="s">
        <v>15863</v>
      </c>
      <c r="E7277" s="3" t="s">
        <v>1218</v>
      </c>
      <c r="F7277" s="3" t="s">
        <v>11431</v>
      </c>
      <c r="G7277" s="3"/>
      <c r="H7277" s="4"/>
    </row>
    <row r="7278" ht="16.5" customHeight="1" spans="1:8">
      <c r="A7278" s="3">
        <v>7277</v>
      </c>
      <c r="B7278" s="3" t="s">
        <v>15864</v>
      </c>
      <c r="C7278" s="3" t="s">
        <v>1361</v>
      </c>
      <c r="D7278" s="4" t="s">
        <v>15865</v>
      </c>
      <c r="E7278" s="3" t="s">
        <v>1218</v>
      </c>
      <c r="F7278" s="3" t="s">
        <v>11431</v>
      </c>
      <c r="G7278" s="3"/>
      <c r="H7278" s="4"/>
    </row>
    <row r="7279" ht="16.5" customHeight="1" spans="1:8">
      <c r="A7279" s="3">
        <v>7278</v>
      </c>
      <c r="B7279" s="3" t="s">
        <v>15866</v>
      </c>
      <c r="C7279" s="3" t="s">
        <v>1361</v>
      </c>
      <c r="D7279" s="4" t="s">
        <v>15867</v>
      </c>
      <c r="E7279" s="3" t="s">
        <v>1218</v>
      </c>
      <c r="F7279" s="3" t="s">
        <v>11431</v>
      </c>
      <c r="G7279" s="3"/>
      <c r="H7279" s="4"/>
    </row>
    <row r="7280" ht="16.5" customHeight="1" spans="1:8">
      <c r="A7280" s="3">
        <v>7279</v>
      </c>
      <c r="B7280" s="3" t="s">
        <v>15868</v>
      </c>
      <c r="C7280" s="3" t="s">
        <v>2163</v>
      </c>
      <c r="D7280" s="4" t="s">
        <v>15869</v>
      </c>
      <c r="E7280" s="3" t="s">
        <v>1076</v>
      </c>
      <c r="F7280" s="3" t="s">
        <v>10943</v>
      </c>
      <c r="G7280" s="3" t="s">
        <v>98</v>
      </c>
      <c r="H7280" s="4"/>
    </row>
    <row r="7281" ht="16.5" customHeight="1" spans="1:8">
      <c r="A7281" s="3">
        <v>7280</v>
      </c>
      <c r="B7281" s="3" t="s">
        <v>15870</v>
      </c>
      <c r="C7281" s="3" t="s">
        <v>1105</v>
      </c>
      <c r="D7281" s="4" t="s">
        <v>15871</v>
      </c>
      <c r="E7281" s="3" t="s">
        <v>1076</v>
      </c>
      <c r="F7281" s="3" t="s">
        <v>10943</v>
      </c>
      <c r="G7281" s="3"/>
      <c r="H7281" s="4" t="s">
        <v>15872</v>
      </c>
    </row>
    <row r="7282" ht="16.5" customHeight="1" spans="1:8">
      <c r="A7282" s="3">
        <v>7281</v>
      </c>
      <c r="B7282" s="3" t="s">
        <v>15873</v>
      </c>
      <c r="C7282" s="3" t="s">
        <v>1105</v>
      </c>
      <c r="D7282" s="4" t="s">
        <v>15493</v>
      </c>
      <c r="E7282" s="3" t="s">
        <v>1076</v>
      </c>
      <c r="F7282" s="3" t="s">
        <v>10943</v>
      </c>
      <c r="G7282" s="3"/>
      <c r="H7282" s="4" t="s">
        <v>15874</v>
      </c>
    </row>
    <row r="7283" ht="16.5" customHeight="1" spans="1:8">
      <c r="A7283" s="3">
        <v>7282</v>
      </c>
      <c r="B7283" s="3" t="s">
        <v>15875</v>
      </c>
      <c r="C7283" s="3" t="s">
        <v>1105</v>
      </c>
      <c r="D7283" s="4" t="s">
        <v>15876</v>
      </c>
      <c r="E7283" s="3" t="s">
        <v>1076</v>
      </c>
      <c r="F7283" s="3" t="s">
        <v>1358</v>
      </c>
      <c r="G7283" s="3"/>
      <c r="H7283" s="4" t="s">
        <v>15511</v>
      </c>
    </row>
    <row r="7284" ht="16.5" customHeight="1" spans="1:8">
      <c r="A7284" s="3">
        <v>7283</v>
      </c>
      <c r="B7284" s="3" t="s">
        <v>15877</v>
      </c>
      <c r="C7284" s="3" t="s">
        <v>1074</v>
      </c>
      <c r="D7284" s="4" t="s">
        <v>15878</v>
      </c>
      <c r="E7284" s="3" t="s">
        <v>2726</v>
      </c>
      <c r="F7284" s="3" t="s">
        <v>2041</v>
      </c>
      <c r="G7284" s="3"/>
      <c r="H7284" s="4" t="s">
        <v>3812</v>
      </c>
    </row>
    <row r="7285" ht="16.5" customHeight="1" spans="1:8">
      <c r="A7285" s="3">
        <v>7284</v>
      </c>
      <c r="B7285" s="3" t="s">
        <v>15879</v>
      </c>
      <c r="C7285" s="3" t="s">
        <v>1105</v>
      </c>
      <c r="D7285" s="4" t="s">
        <v>14998</v>
      </c>
      <c r="E7285" s="3" t="s">
        <v>1076</v>
      </c>
      <c r="F7285" s="3" t="s">
        <v>2041</v>
      </c>
      <c r="G7285" s="3"/>
      <c r="H7285" s="4" t="s">
        <v>15880</v>
      </c>
    </row>
    <row r="7286" ht="16.5" customHeight="1" spans="1:8">
      <c r="A7286" s="3">
        <v>7285</v>
      </c>
      <c r="B7286" s="3" t="s">
        <v>15881</v>
      </c>
      <c r="C7286" s="3" t="s">
        <v>1105</v>
      </c>
      <c r="D7286" s="4" t="s">
        <v>14348</v>
      </c>
      <c r="E7286" s="3" t="s">
        <v>1076</v>
      </c>
      <c r="F7286" s="3" t="s">
        <v>2041</v>
      </c>
      <c r="G7286" s="3"/>
      <c r="H7286" s="4" t="s">
        <v>15880</v>
      </c>
    </row>
    <row r="7287" ht="16.5" customHeight="1" spans="1:8">
      <c r="A7287" s="3">
        <v>7286</v>
      </c>
      <c r="B7287" s="3" t="s">
        <v>15882</v>
      </c>
      <c r="C7287" s="3" t="s">
        <v>1105</v>
      </c>
      <c r="D7287" s="4" t="s">
        <v>15493</v>
      </c>
      <c r="E7287" s="3" t="s">
        <v>1076</v>
      </c>
      <c r="F7287" s="3" t="s">
        <v>10943</v>
      </c>
      <c r="G7287" s="3"/>
      <c r="H7287" s="4" t="s">
        <v>15883</v>
      </c>
    </row>
    <row r="7288" ht="16.5" customHeight="1" spans="1:8">
      <c r="A7288" s="3">
        <v>7287</v>
      </c>
      <c r="B7288" s="3" t="s">
        <v>15884</v>
      </c>
      <c r="C7288" s="3" t="s">
        <v>1105</v>
      </c>
      <c r="D7288" s="4" t="s">
        <v>14998</v>
      </c>
      <c r="E7288" s="3" t="s">
        <v>1076</v>
      </c>
      <c r="F7288" s="3" t="s">
        <v>2041</v>
      </c>
      <c r="G7288" s="3"/>
      <c r="H7288" s="4" t="s">
        <v>15885</v>
      </c>
    </row>
    <row r="7289" ht="16.5" customHeight="1" spans="1:8">
      <c r="A7289" s="3">
        <v>7288</v>
      </c>
      <c r="B7289" s="3" t="s">
        <v>15886</v>
      </c>
      <c r="C7289" s="3" t="s">
        <v>1105</v>
      </c>
      <c r="D7289" s="4" t="s">
        <v>14348</v>
      </c>
      <c r="E7289" s="3" t="s">
        <v>1076</v>
      </c>
      <c r="F7289" s="3" t="s">
        <v>2041</v>
      </c>
      <c r="G7289" s="3"/>
      <c r="H7289" s="4" t="s">
        <v>15885</v>
      </c>
    </row>
    <row r="7290" ht="16.5" customHeight="1" spans="1:8">
      <c r="A7290" s="3">
        <v>7289</v>
      </c>
      <c r="B7290" s="3" t="s">
        <v>15887</v>
      </c>
      <c r="C7290" s="3" t="s">
        <v>1105</v>
      </c>
      <c r="D7290" s="4" t="s">
        <v>14998</v>
      </c>
      <c r="E7290" s="3" t="s">
        <v>1076</v>
      </c>
      <c r="F7290" s="3" t="s">
        <v>2041</v>
      </c>
      <c r="G7290" s="3"/>
      <c r="H7290" s="4" t="s">
        <v>15888</v>
      </c>
    </row>
    <row r="7291" ht="16.5" customHeight="1" spans="1:8">
      <c r="A7291" s="3">
        <v>7290</v>
      </c>
      <c r="B7291" s="3" t="s">
        <v>15889</v>
      </c>
      <c r="C7291" s="3" t="s">
        <v>1105</v>
      </c>
      <c r="D7291" s="4" t="s">
        <v>14348</v>
      </c>
      <c r="E7291" s="3" t="s">
        <v>1076</v>
      </c>
      <c r="F7291" s="3" t="s">
        <v>2041</v>
      </c>
      <c r="G7291" s="3"/>
      <c r="H7291" s="4" t="s">
        <v>15888</v>
      </c>
    </row>
    <row r="7292" ht="16.5" customHeight="1" spans="1:8">
      <c r="A7292" s="3">
        <v>7291</v>
      </c>
      <c r="B7292" s="3" t="s">
        <v>15890</v>
      </c>
      <c r="C7292" s="3" t="s">
        <v>1105</v>
      </c>
      <c r="D7292" s="4" t="s">
        <v>14911</v>
      </c>
      <c r="E7292" s="3" t="s">
        <v>1076</v>
      </c>
      <c r="F7292" s="3" t="s">
        <v>2041</v>
      </c>
      <c r="G7292" s="3"/>
      <c r="H7292" s="4" t="s">
        <v>15891</v>
      </c>
    </row>
    <row r="7293" ht="16.5" customHeight="1" spans="1:8">
      <c r="A7293" s="3">
        <v>7292</v>
      </c>
      <c r="B7293" s="3" t="s">
        <v>15892</v>
      </c>
      <c r="C7293" s="3" t="s">
        <v>1099</v>
      </c>
      <c r="D7293" s="4" t="s">
        <v>15893</v>
      </c>
      <c r="E7293" s="3" t="s">
        <v>1218</v>
      </c>
      <c r="F7293" s="3" t="s">
        <v>15894</v>
      </c>
      <c r="G7293" s="3"/>
      <c r="H7293" s="4"/>
    </row>
    <row r="7294" ht="16.5" customHeight="1" spans="1:8">
      <c r="A7294" s="3">
        <v>7293</v>
      </c>
      <c r="B7294" s="3" t="s">
        <v>15895</v>
      </c>
      <c r="C7294" s="3" t="s">
        <v>1356</v>
      </c>
      <c r="D7294" s="4" t="s">
        <v>15896</v>
      </c>
      <c r="E7294" s="3" t="s">
        <v>1218</v>
      </c>
      <c r="F7294" s="3" t="s">
        <v>15894</v>
      </c>
      <c r="G7294" s="3"/>
      <c r="H7294" s="4" t="s">
        <v>15897</v>
      </c>
    </row>
    <row r="7295" ht="16.5" customHeight="1" spans="1:8">
      <c r="A7295" s="3">
        <v>7294</v>
      </c>
      <c r="B7295" s="3" t="s">
        <v>15898</v>
      </c>
      <c r="C7295" s="3" t="s">
        <v>1356</v>
      </c>
      <c r="D7295" s="4" t="s">
        <v>15899</v>
      </c>
      <c r="E7295" s="3" t="s">
        <v>1218</v>
      </c>
      <c r="F7295" s="3" t="s">
        <v>15894</v>
      </c>
      <c r="G7295" s="3"/>
      <c r="H7295" s="4" t="s">
        <v>15897</v>
      </c>
    </row>
    <row r="7296" ht="16.5" customHeight="1" spans="1:8">
      <c r="A7296" s="3">
        <v>7295</v>
      </c>
      <c r="B7296" s="3" t="s">
        <v>15900</v>
      </c>
      <c r="C7296" s="3" t="s">
        <v>1356</v>
      </c>
      <c r="D7296" s="4" t="s">
        <v>15901</v>
      </c>
      <c r="E7296" s="3" t="s">
        <v>1218</v>
      </c>
      <c r="F7296" s="3" t="s">
        <v>15894</v>
      </c>
      <c r="G7296" s="3"/>
      <c r="H7296" s="4" t="s">
        <v>15897</v>
      </c>
    </row>
    <row r="7297" ht="16.5" customHeight="1" spans="1:8">
      <c r="A7297" s="3">
        <v>7296</v>
      </c>
      <c r="B7297" s="3" t="s">
        <v>15902</v>
      </c>
      <c r="C7297" s="3" t="s">
        <v>1356</v>
      </c>
      <c r="D7297" s="4" t="s">
        <v>15903</v>
      </c>
      <c r="E7297" s="3" t="s">
        <v>1218</v>
      </c>
      <c r="F7297" s="3" t="s">
        <v>6202</v>
      </c>
      <c r="G7297" s="3"/>
      <c r="H7297" s="4" t="s">
        <v>15897</v>
      </c>
    </row>
    <row r="7298" ht="16.5" customHeight="1" spans="1:8">
      <c r="A7298" s="3">
        <v>7297</v>
      </c>
      <c r="B7298" s="3" t="s">
        <v>15904</v>
      </c>
      <c r="C7298" s="3" t="s">
        <v>1105</v>
      </c>
      <c r="D7298" s="4" t="s">
        <v>15905</v>
      </c>
      <c r="E7298" s="3" t="s">
        <v>1076</v>
      </c>
      <c r="F7298" s="3" t="s">
        <v>13816</v>
      </c>
      <c r="G7298" s="3"/>
      <c r="H7298" s="4" t="s">
        <v>15763</v>
      </c>
    </row>
    <row r="7299" ht="16.5" customHeight="1" spans="1:8">
      <c r="A7299" s="3">
        <v>7298</v>
      </c>
      <c r="B7299" s="3" t="s">
        <v>15906</v>
      </c>
      <c r="C7299" s="3" t="s">
        <v>2163</v>
      </c>
      <c r="D7299" s="4" t="s">
        <v>15907</v>
      </c>
      <c r="E7299" s="3" t="s">
        <v>1076</v>
      </c>
      <c r="F7299" s="3" t="s">
        <v>2041</v>
      </c>
      <c r="G7299" s="3" t="s">
        <v>98</v>
      </c>
      <c r="H7299" s="4" t="s">
        <v>3812</v>
      </c>
    </row>
    <row r="7300" ht="16.5" customHeight="1" spans="1:8">
      <c r="A7300" s="3">
        <v>7299</v>
      </c>
      <c r="B7300" s="3" t="s">
        <v>15908</v>
      </c>
      <c r="C7300" s="3" t="s">
        <v>2163</v>
      </c>
      <c r="D7300" s="4" t="s">
        <v>15909</v>
      </c>
      <c r="E7300" s="3" t="s">
        <v>1076</v>
      </c>
      <c r="F7300" s="3" t="s">
        <v>10943</v>
      </c>
      <c r="G7300" s="3"/>
      <c r="H7300" s="4"/>
    </row>
    <row r="7301" ht="16.5" customHeight="1" spans="1:8">
      <c r="A7301" s="3">
        <v>7300</v>
      </c>
      <c r="B7301" s="3" t="s">
        <v>15910</v>
      </c>
      <c r="C7301" s="3" t="s">
        <v>2163</v>
      </c>
      <c r="D7301" s="4" t="s">
        <v>15911</v>
      </c>
      <c r="E7301" s="3" t="s">
        <v>1076</v>
      </c>
      <c r="F7301" s="3" t="s">
        <v>2041</v>
      </c>
      <c r="G7301" s="3" t="s">
        <v>98</v>
      </c>
      <c r="H7301" s="4" t="s">
        <v>3812</v>
      </c>
    </row>
    <row r="7302" ht="16.5" customHeight="1" spans="1:8">
      <c r="A7302" s="3">
        <v>7301</v>
      </c>
      <c r="B7302" s="3" t="s">
        <v>15912</v>
      </c>
      <c r="C7302" s="3" t="s">
        <v>2163</v>
      </c>
      <c r="D7302" s="4" t="s">
        <v>15913</v>
      </c>
      <c r="E7302" s="3" t="s">
        <v>1076</v>
      </c>
      <c r="F7302" s="3" t="s">
        <v>10943</v>
      </c>
      <c r="G7302" s="3" t="s">
        <v>98</v>
      </c>
      <c r="H7302" s="4"/>
    </row>
    <row r="7303" ht="16.5" customHeight="1" spans="1:8">
      <c r="A7303" s="3">
        <v>7302</v>
      </c>
      <c r="B7303" s="3" t="s">
        <v>15914</v>
      </c>
      <c r="C7303" s="3" t="s">
        <v>2163</v>
      </c>
      <c r="D7303" s="4" t="s">
        <v>15915</v>
      </c>
      <c r="E7303" s="3" t="s">
        <v>5779</v>
      </c>
      <c r="F7303" s="3" t="s">
        <v>2041</v>
      </c>
      <c r="G7303" s="3" t="s">
        <v>98</v>
      </c>
      <c r="H7303" s="4" t="s">
        <v>3812</v>
      </c>
    </row>
    <row r="7304" ht="16.5" customHeight="1" spans="1:8">
      <c r="A7304" s="3">
        <v>7303</v>
      </c>
      <c r="B7304" s="3" t="s">
        <v>15916</v>
      </c>
      <c r="C7304" s="3" t="s">
        <v>2163</v>
      </c>
      <c r="D7304" s="4" t="s">
        <v>15917</v>
      </c>
      <c r="E7304" s="3" t="s">
        <v>2726</v>
      </c>
      <c r="F7304" s="3" t="s">
        <v>1358</v>
      </c>
      <c r="G7304" s="3" t="s">
        <v>321</v>
      </c>
      <c r="H7304" s="4"/>
    </row>
    <row r="7305" ht="16.5" customHeight="1" spans="1:8">
      <c r="A7305" s="3">
        <v>7304</v>
      </c>
      <c r="B7305" s="3" t="s">
        <v>15918</v>
      </c>
      <c r="C7305" s="3" t="s">
        <v>1105</v>
      </c>
      <c r="D7305" s="4" t="s">
        <v>14911</v>
      </c>
      <c r="E7305" s="3" t="s">
        <v>1076</v>
      </c>
      <c r="F7305" s="3" t="s">
        <v>2041</v>
      </c>
      <c r="G7305" s="3"/>
      <c r="H7305" s="4" t="s">
        <v>15763</v>
      </c>
    </row>
    <row r="7306" ht="16.5" customHeight="1" spans="1:8">
      <c r="A7306" s="3">
        <v>7305</v>
      </c>
      <c r="B7306" s="3" t="s">
        <v>15919</v>
      </c>
      <c r="C7306" s="3" t="s">
        <v>2163</v>
      </c>
      <c r="D7306" s="4" t="s">
        <v>15920</v>
      </c>
      <c r="E7306" s="3" t="s">
        <v>1076</v>
      </c>
      <c r="F7306" s="3" t="s">
        <v>2041</v>
      </c>
      <c r="G7306" s="3" t="s">
        <v>98</v>
      </c>
      <c r="H7306" s="4" t="s">
        <v>3812</v>
      </c>
    </row>
    <row r="7307" ht="16.5" customHeight="1" spans="1:8">
      <c r="A7307" s="3">
        <v>7306</v>
      </c>
      <c r="B7307" s="3" t="s">
        <v>15921</v>
      </c>
      <c r="C7307" s="3" t="s">
        <v>1074</v>
      </c>
      <c r="D7307" s="4" t="s">
        <v>15922</v>
      </c>
      <c r="E7307" s="3" t="s">
        <v>1837</v>
      </c>
      <c r="F7307" s="3" t="s">
        <v>10259</v>
      </c>
      <c r="G7307" s="3"/>
      <c r="H7307" s="4" t="s">
        <v>6740</v>
      </c>
    </row>
    <row r="7308" ht="16.5" customHeight="1" spans="1:8">
      <c r="A7308" s="3">
        <v>7307</v>
      </c>
      <c r="B7308" s="3" t="s">
        <v>15923</v>
      </c>
      <c r="C7308" s="3" t="s">
        <v>1074</v>
      </c>
      <c r="D7308" s="4" t="s">
        <v>15924</v>
      </c>
      <c r="E7308" s="3" t="s">
        <v>1218</v>
      </c>
      <c r="F7308" s="3" t="s">
        <v>8175</v>
      </c>
      <c r="G7308" s="3"/>
      <c r="H7308" s="4" t="s">
        <v>7240</v>
      </c>
    </row>
    <row r="7309" ht="16.5" customHeight="1" spans="1:8">
      <c r="A7309" s="3">
        <v>7308</v>
      </c>
      <c r="B7309" s="3" t="s">
        <v>15925</v>
      </c>
      <c r="C7309" s="3" t="s">
        <v>1074</v>
      </c>
      <c r="D7309" s="4" t="s">
        <v>15926</v>
      </c>
      <c r="E7309" s="3" t="s">
        <v>1076</v>
      </c>
      <c r="F7309" s="3" t="s">
        <v>10259</v>
      </c>
      <c r="G7309" s="3"/>
      <c r="H7309" s="4" t="s">
        <v>4198</v>
      </c>
    </row>
    <row r="7310" ht="16.5" customHeight="1" spans="1:8">
      <c r="A7310" s="3">
        <v>7309</v>
      </c>
      <c r="B7310" s="3" t="s">
        <v>15927</v>
      </c>
      <c r="C7310" s="3" t="s">
        <v>1074</v>
      </c>
      <c r="D7310" s="4" t="s">
        <v>15928</v>
      </c>
      <c r="E7310" s="3" t="s">
        <v>1076</v>
      </c>
      <c r="F7310" s="3" t="s">
        <v>10259</v>
      </c>
      <c r="G7310" s="3"/>
      <c r="H7310" s="4" t="s">
        <v>1843</v>
      </c>
    </row>
    <row r="7311" ht="16.5" customHeight="1" spans="1:8">
      <c r="A7311" s="3">
        <v>7310</v>
      </c>
      <c r="B7311" s="3" t="s">
        <v>15929</v>
      </c>
      <c r="C7311" s="3" t="s">
        <v>2163</v>
      </c>
      <c r="D7311" s="4" t="s">
        <v>15930</v>
      </c>
      <c r="E7311" s="3" t="s">
        <v>2726</v>
      </c>
      <c r="F7311" s="3" t="s">
        <v>2041</v>
      </c>
      <c r="G7311" s="3" t="s">
        <v>98</v>
      </c>
      <c r="H7311" s="4"/>
    </row>
    <row r="7312" ht="16.5" customHeight="1" spans="1:8">
      <c r="A7312" s="3">
        <v>7311</v>
      </c>
      <c r="B7312" s="3" t="s">
        <v>15931</v>
      </c>
      <c r="C7312" s="3" t="s">
        <v>1074</v>
      </c>
      <c r="D7312" s="4" t="s">
        <v>15932</v>
      </c>
      <c r="E7312" s="3" t="s">
        <v>1076</v>
      </c>
      <c r="F7312" s="3" t="s">
        <v>10259</v>
      </c>
      <c r="G7312" s="3"/>
      <c r="H7312" s="4" t="s">
        <v>4322</v>
      </c>
    </row>
    <row r="7313" ht="16.5" customHeight="1" spans="1:8">
      <c r="A7313" s="3">
        <v>7312</v>
      </c>
      <c r="B7313" s="3" t="s">
        <v>15933</v>
      </c>
      <c r="C7313" s="3" t="s">
        <v>1074</v>
      </c>
      <c r="D7313" s="4" t="s">
        <v>15934</v>
      </c>
      <c r="E7313" s="3" t="s">
        <v>1076</v>
      </c>
      <c r="F7313" s="3" t="s">
        <v>10259</v>
      </c>
      <c r="G7313" s="3"/>
      <c r="H7313" s="4" t="s">
        <v>4322</v>
      </c>
    </row>
    <row r="7314" ht="16.5" customHeight="1" spans="1:8">
      <c r="A7314" s="3">
        <v>7313</v>
      </c>
      <c r="B7314" s="3" t="s">
        <v>15935</v>
      </c>
      <c r="C7314" s="3" t="s">
        <v>1074</v>
      </c>
      <c r="D7314" s="4" t="s">
        <v>15936</v>
      </c>
      <c r="E7314" s="3" t="s">
        <v>1076</v>
      </c>
      <c r="F7314" s="3" t="s">
        <v>10259</v>
      </c>
      <c r="G7314" s="3"/>
      <c r="H7314" s="4" t="s">
        <v>4322</v>
      </c>
    </row>
    <row r="7315" ht="16.5" customHeight="1" spans="1:8">
      <c r="A7315" s="3">
        <v>7314</v>
      </c>
      <c r="B7315" s="3" t="s">
        <v>15937</v>
      </c>
      <c r="C7315" s="3" t="s">
        <v>1074</v>
      </c>
      <c r="D7315" s="4" t="s">
        <v>15938</v>
      </c>
      <c r="E7315" s="3" t="s">
        <v>1076</v>
      </c>
      <c r="F7315" s="3" t="s">
        <v>10259</v>
      </c>
      <c r="G7315" s="3"/>
      <c r="H7315" s="4" t="s">
        <v>4322</v>
      </c>
    </row>
    <row r="7316" ht="16.5" customHeight="1" spans="1:8">
      <c r="A7316" s="3">
        <v>7315</v>
      </c>
      <c r="B7316" s="3" t="s">
        <v>15939</v>
      </c>
      <c r="C7316" s="3" t="s">
        <v>1074</v>
      </c>
      <c r="D7316" s="4" t="s">
        <v>15940</v>
      </c>
      <c r="E7316" s="3" t="s">
        <v>1076</v>
      </c>
      <c r="F7316" s="3" t="s">
        <v>10259</v>
      </c>
      <c r="G7316" s="3"/>
      <c r="H7316" s="4" t="s">
        <v>4322</v>
      </c>
    </row>
    <row r="7317" ht="16.5" customHeight="1" spans="1:8">
      <c r="A7317" s="3">
        <v>7316</v>
      </c>
      <c r="B7317" s="3" t="s">
        <v>15941</v>
      </c>
      <c r="C7317" s="3" t="s">
        <v>1074</v>
      </c>
      <c r="D7317" s="4" t="s">
        <v>15942</v>
      </c>
      <c r="E7317" s="3" t="s">
        <v>1076</v>
      </c>
      <c r="F7317" s="3" t="s">
        <v>10259</v>
      </c>
      <c r="G7317" s="3"/>
      <c r="H7317" s="4" t="s">
        <v>4322</v>
      </c>
    </row>
    <row r="7318" ht="16.5" customHeight="1" spans="1:8">
      <c r="A7318" s="3">
        <v>7317</v>
      </c>
      <c r="B7318" s="3" t="s">
        <v>15943</v>
      </c>
      <c r="C7318" s="3" t="s">
        <v>6377</v>
      </c>
      <c r="D7318" s="4" t="s">
        <v>15944</v>
      </c>
      <c r="E7318" s="3" t="s">
        <v>1076</v>
      </c>
      <c r="F7318" s="3" t="s">
        <v>10259</v>
      </c>
      <c r="G7318" s="3"/>
      <c r="H7318" s="4" t="s">
        <v>1095</v>
      </c>
    </row>
    <row r="7319" ht="16.5" customHeight="1" spans="1:8">
      <c r="A7319" s="3">
        <v>7318</v>
      </c>
      <c r="B7319" s="3" t="s">
        <v>15945</v>
      </c>
      <c r="C7319" s="3" t="s">
        <v>1074</v>
      </c>
      <c r="D7319" s="4" t="s">
        <v>15946</v>
      </c>
      <c r="E7319" s="3" t="s">
        <v>1076</v>
      </c>
      <c r="F7319" s="3" t="s">
        <v>10259</v>
      </c>
      <c r="G7319" s="3"/>
      <c r="H7319" s="4" t="s">
        <v>4322</v>
      </c>
    </row>
    <row r="7320" ht="16.5" customHeight="1" spans="1:8">
      <c r="A7320" s="3">
        <v>7319</v>
      </c>
      <c r="B7320" s="3" t="s">
        <v>15947</v>
      </c>
      <c r="C7320" s="3" t="s">
        <v>1074</v>
      </c>
      <c r="D7320" s="4" t="s">
        <v>15948</v>
      </c>
      <c r="E7320" s="3" t="s">
        <v>1076</v>
      </c>
      <c r="F7320" s="3" t="s">
        <v>10259</v>
      </c>
      <c r="G7320" s="3"/>
      <c r="H7320" s="4" t="s">
        <v>4322</v>
      </c>
    </row>
    <row r="7321" ht="16.5" customHeight="1" spans="1:8">
      <c r="A7321" s="3">
        <v>7320</v>
      </c>
      <c r="B7321" s="3" t="s">
        <v>15949</v>
      </c>
      <c r="C7321" s="3" t="s">
        <v>1074</v>
      </c>
      <c r="D7321" s="4" t="s">
        <v>15950</v>
      </c>
      <c r="E7321" s="3" t="s">
        <v>1218</v>
      </c>
      <c r="F7321" s="3" t="s">
        <v>10259</v>
      </c>
      <c r="G7321" s="3"/>
      <c r="H7321" s="4" t="s">
        <v>4322</v>
      </c>
    </row>
    <row r="7322" ht="16.5" customHeight="1" spans="1:8">
      <c r="A7322" s="3">
        <v>7321</v>
      </c>
      <c r="B7322" s="3" t="s">
        <v>15951</v>
      </c>
      <c r="C7322" s="3" t="s">
        <v>1074</v>
      </c>
      <c r="D7322" s="4" t="s">
        <v>15952</v>
      </c>
      <c r="E7322" s="3" t="s">
        <v>1218</v>
      </c>
      <c r="F7322" s="3" t="s">
        <v>10259</v>
      </c>
      <c r="G7322" s="3"/>
      <c r="H7322" s="4" t="s">
        <v>4322</v>
      </c>
    </row>
    <row r="7323" ht="16.5" customHeight="1" spans="1:8">
      <c r="A7323" s="3">
        <v>7322</v>
      </c>
      <c r="B7323" s="3" t="s">
        <v>15953</v>
      </c>
      <c r="C7323" s="3" t="s">
        <v>1074</v>
      </c>
      <c r="D7323" s="4" t="s">
        <v>15954</v>
      </c>
      <c r="E7323" s="3" t="s">
        <v>1076</v>
      </c>
      <c r="F7323" s="3" t="s">
        <v>10259</v>
      </c>
      <c r="G7323" s="3"/>
      <c r="H7323" s="4" t="s">
        <v>4322</v>
      </c>
    </row>
    <row r="7324" ht="16.5" customHeight="1" spans="1:8">
      <c r="A7324" s="3">
        <v>7323</v>
      </c>
      <c r="B7324" s="3" t="s">
        <v>15955</v>
      </c>
      <c r="C7324" s="3" t="s">
        <v>1074</v>
      </c>
      <c r="D7324" s="4" t="s">
        <v>15956</v>
      </c>
      <c r="E7324" s="3" t="s">
        <v>1076</v>
      </c>
      <c r="F7324" s="3" t="s">
        <v>10259</v>
      </c>
      <c r="G7324" s="3"/>
      <c r="H7324" s="4" t="s">
        <v>12433</v>
      </c>
    </row>
    <row r="7325" ht="16.5" customHeight="1" spans="1:8">
      <c r="A7325" s="3">
        <v>7324</v>
      </c>
      <c r="B7325" s="3" t="s">
        <v>15957</v>
      </c>
      <c r="C7325" s="3" t="s">
        <v>1074</v>
      </c>
      <c r="D7325" s="4" t="s">
        <v>15958</v>
      </c>
      <c r="E7325" s="3" t="s">
        <v>1218</v>
      </c>
      <c r="F7325" s="3" t="s">
        <v>10259</v>
      </c>
      <c r="G7325" s="3"/>
      <c r="H7325" s="4" t="s">
        <v>5664</v>
      </c>
    </row>
    <row r="7326" ht="16.5" customHeight="1" spans="1:8">
      <c r="A7326" s="3">
        <v>7325</v>
      </c>
      <c r="B7326" s="3" t="s">
        <v>15959</v>
      </c>
      <c r="C7326" s="3" t="s">
        <v>2163</v>
      </c>
      <c r="D7326" s="4" t="s">
        <v>15960</v>
      </c>
      <c r="E7326" s="3" t="s">
        <v>1076</v>
      </c>
      <c r="F7326" s="3" t="s">
        <v>2041</v>
      </c>
      <c r="G7326" s="3" t="s">
        <v>98</v>
      </c>
      <c r="H7326" s="4" t="s">
        <v>3812</v>
      </c>
    </row>
    <row r="7327" ht="16.5" customHeight="1" spans="1:8">
      <c r="A7327" s="3">
        <v>7326</v>
      </c>
      <c r="B7327" s="3" t="s">
        <v>15961</v>
      </c>
      <c r="C7327" s="3" t="s">
        <v>2163</v>
      </c>
      <c r="D7327" s="4" t="s">
        <v>15962</v>
      </c>
      <c r="E7327" s="3" t="s">
        <v>1076</v>
      </c>
      <c r="F7327" s="3" t="s">
        <v>2041</v>
      </c>
      <c r="G7327" s="3" t="s">
        <v>98</v>
      </c>
      <c r="H7327" s="4" t="s">
        <v>3812</v>
      </c>
    </row>
    <row r="7328" ht="16.5" customHeight="1" spans="1:8">
      <c r="A7328" s="3">
        <v>7327</v>
      </c>
      <c r="B7328" s="3" t="s">
        <v>15963</v>
      </c>
      <c r="C7328" s="3" t="s">
        <v>1074</v>
      </c>
      <c r="D7328" s="4" t="s">
        <v>15964</v>
      </c>
      <c r="E7328" s="3" t="s">
        <v>1076</v>
      </c>
      <c r="F7328" s="3" t="s">
        <v>10259</v>
      </c>
      <c r="G7328" s="3"/>
      <c r="H7328" s="4" t="s">
        <v>6740</v>
      </c>
    </row>
    <row r="7329" ht="16.5" customHeight="1" spans="1:8">
      <c r="A7329" s="3">
        <v>7328</v>
      </c>
      <c r="B7329" s="3" t="s">
        <v>15965</v>
      </c>
      <c r="C7329" s="3" t="s">
        <v>1074</v>
      </c>
      <c r="D7329" s="4" t="s">
        <v>15966</v>
      </c>
      <c r="E7329" s="3" t="s">
        <v>15967</v>
      </c>
      <c r="F7329" s="3" t="s">
        <v>10259</v>
      </c>
      <c r="G7329" s="3"/>
      <c r="H7329" s="4" t="s">
        <v>4322</v>
      </c>
    </row>
    <row r="7330" ht="16.5" customHeight="1" spans="1:8">
      <c r="A7330" s="3">
        <v>7329</v>
      </c>
      <c r="B7330" s="3" t="s">
        <v>15968</v>
      </c>
      <c r="C7330" s="3" t="s">
        <v>2163</v>
      </c>
      <c r="D7330" s="4" t="s">
        <v>15969</v>
      </c>
      <c r="E7330" s="3" t="s">
        <v>2726</v>
      </c>
      <c r="F7330" s="3" t="s">
        <v>2105</v>
      </c>
      <c r="G7330" s="3"/>
      <c r="H7330" s="4"/>
    </row>
    <row r="7331" ht="16.5" customHeight="1" spans="1:8">
      <c r="A7331" s="3">
        <v>7330</v>
      </c>
      <c r="B7331" s="3" t="s">
        <v>15970</v>
      </c>
      <c r="C7331" s="3" t="s">
        <v>2163</v>
      </c>
      <c r="D7331" s="4" t="s">
        <v>15971</v>
      </c>
      <c r="E7331" s="3" t="s">
        <v>2726</v>
      </c>
      <c r="F7331" s="3" t="s">
        <v>2105</v>
      </c>
      <c r="G7331" s="3"/>
      <c r="H7331" s="4"/>
    </row>
    <row r="7332" ht="16.5" customHeight="1" spans="1:8">
      <c r="A7332" s="3">
        <v>7331</v>
      </c>
      <c r="B7332" s="3" t="s">
        <v>15972</v>
      </c>
      <c r="C7332" s="3" t="s">
        <v>2163</v>
      </c>
      <c r="D7332" s="4" t="s">
        <v>15973</v>
      </c>
      <c r="E7332" s="3" t="s">
        <v>2726</v>
      </c>
      <c r="F7332" s="3" t="s">
        <v>2105</v>
      </c>
      <c r="G7332" s="3"/>
      <c r="H7332" s="4" t="s">
        <v>7240</v>
      </c>
    </row>
    <row r="7333" ht="16.5" customHeight="1" spans="1:8">
      <c r="A7333" s="3">
        <v>7332</v>
      </c>
      <c r="B7333" s="3" t="s">
        <v>15974</v>
      </c>
      <c r="C7333" s="3" t="s">
        <v>2163</v>
      </c>
      <c r="D7333" s="4" t="s">
        <v>15975</v>
      </c>
      <c r="E7333" s="3" t="s">
        <v>2726</v>
      </c>
      <c r="F7333" s="3" t="s">
        <v>2105</v>
      </c>
      <c r="G7333" s="3"/>
      <c r="H7333" s="4" t="s">
        <v>7240</v>
      </c>
    </row>
    <row r="7334" ht="16.5" customHeight="1" spans="1:8">
      <c r="A7334" s="3">
        <v>7333</v>
      </c>
      <c r="B7334" s="3" t="s">
        <v>15976</v>
      </c>
      <c r="C7334" s="3" t="s">
        <v>2163</v>
      </c>
      <c r="D7334" s="4" t="s">
        <v>15977</v>
      </c>
      <c r="E7334" s="3" t="s">
        <v>2726</v>
      </c>
      <c r="F7334" s="3" t="s">
        <v>2105</v>
      </c>
      <c r="G7334" s="3"/>
      <c r="H7334" s="4" t="s">
        <v>7240</v>
      </c>
    </row>
    <row r="7335" ht="16.5" customHeight="1" spans="1:8">
      <c r="A7335" s="3">
        <v>7334</v>
      </c>
      <c r="B7335" s="3" t="s">
        <v>15978</v>
      </c>
      <c r="C7335" s="3" t="s">
        <v>2163</v>
      </c>
      <c r="D7335" s="4" t="s">
        <v>15979</v>
      </c>
      <c r="E7335" s="3" t="s">
        <v>2726</v>
      </c>
      <c r="F7335" s="3" t="s">
        <v>2105</v>
      </c>
      <c r="G7335" s="3"/>
      <c r="H7335" s="4" t="s">
        <v>7240</v>
      </c>
    </row>
    <row r="7336" ht="16.5" customHeight="1" spans="1:8">
      <c r="A7336" s="3">
        <v>7335</v>
      </c>
      <c r="B7336" s="3" t="s">
        <v>15980</v>
      </c>
      <c r="C7336" s="3" t="s">
        <v>2163</v>
      </c>
      <c r="D7336" s="4" t="s">
        <v>15981</v>
      </c>
      <c r="E7336" s="3" t="s">
        <v>2726</v>
      </c>
      <c r="F7336" s="3" t="s">
        <v>2105</v>
      </c>
      <c r="G7336" s="3"/>
      <c r="H7336" s="4" t="s">
        <v>7240</v>
      </c>
    </row>
    <row r="7337" ht="16.5" customHeight="1" spans="1:8">
      <c r="A7337" s="3">
        <v>7336</v>
      </c>
      <c r="B7337" s="3" t="s">
        <v>15982</v>
      </c>
      <c r="C7337" s="3" t="s">
        <v>2163</v>
      </c>
      <c r="D7337" s="4" t="s">
        <v>15983</v>
      </c>
      <c r="E7337" s="3" t="s">
        <v>2726</v>
      </c>
      <c r="F7337" s="3" t="s">
        <v>2105</v>
      </c>
      <c r="G7337" s="3"/>
      <c r="H7337" s="4" t="s">
        <v>7240</v>
      </c>
    </row>
    <row r="7338" ht="16.5" customHeight="1" spans="1:8">
      <c r="A7338" s="3">
        <v>7337</v>
      </c>
      <c r="B7338" s="3" t="s">
        <v>15984</v>
      </c>
      <c r="C7338" s="3" t="s">
        <v>2163</v>
      </c>
      <c r="D7338" s="4" t="s">
        <v>15985</v>
      </c>
      <c r="E7338" s="3" t="s">
        <v>2726</v>
      </c>
      <c r="F7338" s="3" t="s">
        <v>2105</v>
      </c>
      <c r="G7338" s="3"/>
      <c r="H7338" s="4" t="s">
        <v>7240</v>
      </c>
    </row>
    <row r="7339" ht="16.5" customHeight="1" spans="1:8">
      <c r="A7339" s="3">
        <v>7338</v>
      </c>
      <c r="B7339" s="3" t="s">
        <v>15986</v>
      </c>
      <c r="C7339" s="3" t="s">
        <v>2163</v>
      </c>
      <c r="D7339" s="4" t="s">
        <v>15987</v>
      </c>
      <c r="E7339" s="3" t="s">
        <v>2726</v>
      </c>
      <c r="F7339" s="3" t="s">
        <v>2105</v>
      </c>
      <c r="G7339" s="3"/>
      <c r="H7339" s="4" t="s">
        <v>7240</v>
      </c>
    </row>
    <row r="7340" ht="16.5" customHeight="1" spans="1:8">
      <c r="A7340" s="3">
        <v>7339</v>
      </c>
      <c r="B7340" s="3" t="s">
        <v>15988</v>
      </c>
      <c r="C7340" s="3" t="s">
        <v>2163</v>
      </c>
      <c r="D7340" s="4" t="s">
        <v>15989</v>
      </c>
      <c r="E7340" s="3" t="s">
        <v>2726</v>
      </c>
      <c r="F7340" s="3" t="s">
        <v>2105</v>
      </c>
      <c r="G7340" s="3"/>
      <c r="H7340" s="4" t="s">
        <v>7240</v>
      </c>
    </row>
    <row r="7341" ht="16.5" customHeight="1" spans="1:8">
      <c r="A7341" s="3">
        <v>7340</v>
      </c>
      <c r="B7341" s="3" t="s">
        <v>15990</v>
      </c>
      <c r="C7341" s="3" t="s">
        <v>2163</v>
      </c>
      <c r="D7341" s="4" t="s">
        <v>15991</v>
      </c>
      <c r="E7341" s="3" t="s">
        <v>2726</v>
      </c>
      <c r="F7341" s="3" t="s">
        <v>2105</v>
      </c>
      <c r="G7341" s="3"/>
      <c r="H7341" s="4" t="s">
        <v>7240</v>
      </c>
    </row>
    <row r="7342" ht="16.5" customHeight="1" spans="1:8">
      <c r="A7342" s="3">
        <v>7341</v>
      </c>
      <c r="B7342" s="3" t="s">
        <v>15992</v>
      </c>
      <c r="C7342" s="3" t="s">
        <v>2163</v>
      </c>
      <c r="D7342" s="4" t="s">
        <v>15993</v>
      </c>
      <c r="E7342" s="3" t="s">
        <v>2726</v>
      </c>
      <c r="F7342" s="3" t="s">
        <v>2105</v>
      </c>
      <c r="G7342" s="3"/>
      <c r="H7342" s="4" t="s">
        <v>7240</v>
      </c>
    </row>
    <row r="7343" ht="16.5" customHeight="1" spans="1:8">
      <c r="A7343" s="3">
        <v>7342</v>
      </c>
      <c r="B7343" s="3" t="s">
        <v>15994</v>
      </c>
      <c r="C7343" s="3" t="s">
        <v>2163</v>
      </c>
      <c r="D7343" s="4" t="s">
        <v>15995</v>
      </c>
      <c r="E7343" s="3" t="s">
        <v>2726</v>
      </c>
      <c r="F7343" s="3" t="s">
        <v>2105</v>
      </c>
      <c r="G7343" s="3"/>
      <c r="H7343" s="4" t="s">
        <v>7240</v>
      </c>
    </row>
    <row r="7344" ht="16.5" customHeight="1" spans="1:8">
      <c r="A7344" s="3">
        <v>7343</v>
      </c>
      <c r="B7344" s="3" t="s">
        <v>15996</v>
      </c>
      <c r="C7344" s="3" t="s">
        <v>2163</v>
      </c>
      <c r="D7344" s="4" t="s">
        <v>15997</v>
      </c>
      <c r="E7344" s="3" t="s">
        <v>2726</v>
      </c>
      <c r="F7344" s="3" t="s">
        <v>2105</v>
      </c>
      <c r="G7344" s="3"/>
      <c r="H7344" s="4" t="s">
        <v>7240</v>
      </c>
    </row>
    <row r="7345" ht="16.5" customHeight="1" spans="1:8">
      <c r="A7345" s="3">
        <v>7344</v>
      </c>
      <c r="B7345" s="3" t="s">
        <v>15998</v>
      </c>
      <c r="C7345" s="3" t="s">
        <v>2163</v>
      </c>
      <c r="D7345" s="4" t="s">
        <v>15999</v>
      </c>
      <c r="E7345" s="3" t="s">
        <v>2726</v>
      </c>
      <c r="F7345" s="3" t="s">
        <v>2105</v>
      </c>
      <c r="G7345" s="3"/>
      <c r="H7345" s="4" t="s">
        <v>7240</v>
      </c>
    </row>
    <row r="7346" ht="16.5" customHeight="1" spans="1:8">
      <c r="A7346" s="3">
        <v>7345</v>
      </c>
      <c r="B7346" s="3" t="s">
        <v>16000</v>
      </c>
      <c r="C7346" s="3" t="s">
        <v>2163</v>
      </c>
      <c r="D7346" s="4" t="s">
        <v>16001</v>
      </c>
      <c r="E7346" s="3" t="s">
        <v>2726</v>
      </c>
      <c r="F7346" s="3" t="s">
        <v>2105</v>
      </c>
      <c r="G7346" s="3"/>
      <c r="H7346" s="4" t="s">
        <v>7240</v>
      </c>
    </row>
    <row r="7347" ht="16.5" customHeight="1" spans="1:8">
      <c r="A7347" s="3">
        <v>7346</v>
      </c>
      <c r="B7347" s="3" t="s">
        <v>16002</v>
      </c>
      <c r="C7347" s="3" t="s">
        <v>2163</v>
      </c>
      <c r="D7347" s="4" t="s">
        <v>16003</v>
      </c>
      <c r="E7347" s="3" t="s">
        <v>2726</v>
      </c>
      <c r="F7347" s="3" t="s">
        <v>2105</v>
      </c>
      <c r="G7347" s="3"/>
      <c r="H7347" s="4" t="s">
        <v>7240</v>
      </c>
    </row>
    <row r="7348" ht="16.5" customHeight="1" spans="1:8">
      <c r="A7348" s="3">
        <v>7347</v>
      </c>
      <c r="B7348" s="3" t="s">
        <v>16004</v>
      </c>
      <c r="C7348" s="3" t="s">
        <v>2163</v>
      </c>
      <c r="D7348" s="4" t="s">
        <v>16005</v>
      </c>
      <c r="E7348" s="3" t="s">
        <v>2726</v>
      </c>
      <c r="F7348" s="3" t="s">
        <v>2105</v>
      </c>
      <c r="G7348" s="3"/>
      <c r="H7348" s="4" t="s">
        <v>7240</v>
      </c>
    </row>
    <row r="7349" ht="16.5" customHeight="1" spans="1:8">
      <c r="A7349" s="3">
        <v>7348</v>
      </c>
      <c r="B7349" s="3" t="s">
        <v>16006</v>
      </c>
      <c r="C7349" s="3" t="s">
        <v>2163</v>
      </c>
      <c r="D7349" s="4" t="s">
        <v>16007</v>
      </c>
      <c r="E7349" s="3" t="s">
        <v>2726</v>
      </c>
      <c r="F7349" s="3" t="s">
        <v>2105</v>
      </c>
      <c r="G7349" s="3"/>
      <c r="H7349" s="4" t="s">
        <v>7240</v>
      </c>
    </row>
    <row r="7350" ht="16.5" customHeight="1" spans="1:8">
      <c r="A7350" s="3">
        <v>7349</v>
      </c>
      <c r="B7350" s="3" t="s">
        <v>16008</v>
      </c>
      <c r="C7350" s="3" t="s">
        <v>2163</v>
      </c>
      <c r="D7350" s="4" t="s">
        <v>15981</v>
      </c>
      <c r="E7350" s="3" t="s">
        <v>2726</v>
      </c>
      <c r="F7350" s="3" t="s">
        <v>2105</v>
      </c>
      <c r="G7350" s="3"/>
      <c r="H7350" s="4" t="s">
        <v>7240</v>
      </c>
    </row>
    <row r="7351" ht="16.5" customHeight="1" spans="1:8">
      <c r="A7351" s="3">
        <v>7350</v>
      </c>
      <c r="B7351" s="3" t="s">
        <v>16009</v>
      </c>
      <c r="C7351" s="3" t="s">
        <v>2163</v>
      </c>
      <c r="D7351" s="4" t="s">
        <v>16010</v>
      </c>
      <c r="E7351" s="3" t="s">
        <v>2726</v>
      </c>
      <c r="F7351" s="3" t="s">
        <v>2105</v>
      </c>
      <c r="G7351" s="3"/>
      <c r="H7351" s="4" t="s">
        <v>7240</v>
      </c>
    </row>
    <row r="7352" ht="16.5" customHeight="1" spans="1:8">
      <c r="A7352" s="3">
        <v>7351</v>
      </c>
      <c r="B7352" s="3" t="s">
        <v>16011</v>
      </c>
      <c r="C7352" s="3" t="s">
        <v>2163</v>
      </c>
      <c r="D7352" s="4" t="s">
        <v>16012</v>
      </c>
      <c r="E7352" s="3" t="s">
        <v>1076</v>
      </c>
      <c r="F7352" s="3" t="s">
        <v>2041</v>
      </c>
      <c r="G7352" s="3" t="s">
        <v>98</v>
      </c>
      <c r="H7352" s="4" t="s">
        <v>3812</v>
      </c>
    </row>
    <row r="7353" ht="16.5" customHeight="1" spans="1:8">
      <c r="A7353" s="3">
        <v>7352</v>
      </c>
      <c r="B7353" s="3" t="s">
        <v>16013</v>
      </c>
      <c r="C7353" s="3" t="s">
        <v>2163</v>
      </c>
      <c r="D7353" s="4" t="s">
        <v>16014</v>
      </c>
      <c r="E7353" s="3" t="s">
        <v>1076</v>
      </c>
      <c r="F7353" s="3" t="s">
        <v>2041</v>
      </c>
      <c r="G7353" s="3" t="s">
        <v>98</v>
      </c>
      <c r="H7353" s="4" t="s">
        <v>3812</v>
      </c>
    </row>
    <row r="7354" ht="16.5" customHeight="1" spans="1:8">
      <c r="A7354" s="3">
        <v>7353</v>
      </c>
      <c r="B7354" s="3" t="s">
        <v>16015</v>
      </c>
      <c r="C7354" s="3" t="s">
        <v>1105</v>
      </c>
      <c r="D7354" s="4" t="s">
        <v>16016</v>
      </c>
      <c r="E7354" s="3" t="s">
        <v>1218</v>
      </c>
      <c r="F7354" s="3" t="s">
        <v>2105</v>
      </c>
      <c r="G7354" s="3"/>
      <c r="H7354" s="4" t="s">
        <v>15586</v>
      </c>
    </row>
    <row r="7355" ht="16.5" customHeight="1" spans="1:8">
      <c r="A7355" s="3">
        <v>7354</v>
      </c>
      <c r="B7355" s="3" t="s">
        <v>16017</v>
      </c>
      <c r="C7355" s="3" t="s">
        <v>1105</v>
      </c>
      <c r="D7355" s="4" t="s">
        <v>16018</v>
      </c>
      <c r="E7355" s="3" t="s">
        <v>1218</v>
      </c>
      <c r="F7355" s="3" t="s">
        <v>2105</v>
      </c>
      <c r="G7355" s="3"/>
      <c r="H7355" s="4" t="s">
        <v>15586</v>
      </c>
    </row>
    <row r="7356" ht="16.5" customHeight="1" spans="1:8">
      <c r="A7356" s="3">
        <v>7355</v>
      </c>
      <c r="B7356" s="3" t="s">
        <v>16019</v>
      </c>
      <c r="C7356" s="3" t="s">
        <v>1105</v>
      </c>
      <c r="D7356" s="4" t="s">
        <v>16018</v>
      </c>
      <c r="E7356" s="3" t="s">
        <v>1218</v>
      </c>
      <c r="F7356" s="3" t="s">
        <v>2105</v>
      </c>
      <c r="G7356" s="3"/>
      <c r="H7356" s="4" t="s">
        <v>15586</v>
      </c>
    </row>
    <row r="7357" ht="16.5" customHeight="1" spans="1:8">
      <c r="A7357" s="3">
        <v>7356</v>
      </c>
      <c r="B7357" s="3" t="s">
        <v>16020</v>
      </c>
      <c r="C7357" s="3" t="s">
        <v>1105</v>
      </c>
      <c r="D7357" s="4" t="s">
        <v>16021</v>
      </c>
      <c r="E7357" s="3" t="s">
        <v>1218</v>
      </c>
      <c r="F7357" s="3" t="s">
        <v>2105</v>
      </c>
      <c r="G7357" s="3"/>
      <c r="H7357" s="4" t="s">
        <v>15586</v>
      </c>
    </row>
    <row r="7358" ht="16.5" customHeight="1" spans="1:8">
      <c r="A7358" s="3">
        <v>7357</v>
      </c>
      <c r="B7358" s="3" t="s">
        <v>16022</v>
      </c>
      <c r="C7358" s="3" t="s">
        <v>1105</v>
      </c>
      <c r="D7358" s="4" t="s">
        <v>16023</v>
      </c>
      <c r="E7358" s="3" t="s">
        <v>1218</v>
      </c>
      <c r="F7358" s="3" t="s">
        <v>2105</v>
      </c>
      <c r="G7358" s="3"/>
      <c r="H7358" s="4" t="s">
        <v>15586</v>
      </c>
    </row>
    <row r="7359" ht="16.5" customHeight="1" spans="1:8">
      <c r="A7359" s="3">
        <v>7358</v>
      </c>
      <c r="B7359" s="3" t="s">
        <v>16024</v>
      </c>
      <c r="C7359" s="3" t="s">
        <v>1105</v>
      </c>
      <c r="D7359" s="4" t="s">
        <v>16025</v>
      </c>
      <c r="E7359" s="3" t="s">
        <v>1218</v>
      </c>
      <c r="F7359" s="3" t="s">
        <v>2105</v>
      </c>
      <c r="G7359" s="3"/>
      <c r="H7359" s="4" t="s">
        <v>15586</v>
      </c>
    </row>
    <row r="7360" ht="16.5" customHeight="1" spans="1:8">
      <c r="A7360" s="3">
        <v>7359</v>
      </c>
      <c r="B7360" s="3" t="s">
        <v>16026</v>
      </c>
      <c r="C7360" s="3" t="s">
        <v>1105</v>
      </c>
      <c r="D7360" s="4" t="s">
        <v>16027</v>
      </c>
      <c r="E7360" s="3" t="s">
        <v>1218</v>
      </c>
      <c r="F7360" s="3" t="s">
        <v>2105</v>
      </c>
      <c r="G7360" s="3"/>
      <c r="H7360" s="4" t="s">
        <v>15586</v>
      </c>
    </row>
    <row r="7361" ht="16.5" customHeight="1" spans="1:8">
      <c r="A7361" s="3">
        <v>7360</v>
      </c>
      <c r="B7361" s="3" t="s">
        <v>16028</v>
      </c>
      <c r="C7361" s="3" t="s">
        <v>1105</v>
      </c>
      <c r="D7361" s="4" t="s">
        <v>16029</v>
      </c>
      <c r="E7361" s="3" t="s">
        <v>1218</v>
      </c>
      <c r="F7361" s="3" t="s">
        <v>2105</v>
      </c>
      <c r="G7361" s="3"/>
      <c r="H7361" s="4" t="s">
        <v>15586</v>
      </c>
    </row>
    <row r="7362" ht="16.5" customHeight="1" spans="1:8">
      <c r="A7362" s="3">
        <v>7361</v>
      </c>
      <c r="B7362" s="3" t="s">
        <v>16030</v>
      </c>
      <c r="C7362" s="3" t="s">
        <v>1105</v>
      </c>
      <c r="D7362" s="4" t="s">
        <v>16031</v>
      </c>
      <c r="E7362" s="3" t="s">
        <v>1218</v>
      </c>
      <c r="F7362" s="3" t="s">
        <v>2105</v>
      </c>
      <c r="G7362" s="3"/>
      <c r="H7362" s="4" t="s">
        <v>15586</v>
      </c>
    </row>
    <row r="7363" ht="16.5" customHeight="1" spans="1:8">
      <c r="A7363" s="3">
        <v>7362</v>
      </c>
      <c r="B7363" s="3" t="s">
        <v>16032</v>
      </c>
      <c r="C7363" s="3" t="s">
        <v>1105</v>
      </c>
      <c r="D7363" s="4" t="s">
        <v>16033</v>
      </c>
      <c r="E7363" s="3" t="s">
        <v>1218</v>
      </c>
      <c r="F7363" s="3" t="s">
        <v>2105</v>
      </c>
      <c r="G7363" s="3"/>
      <c r="H7363" s="4" t="s">
        <v>15586</v>
      </c>
    </row>
    <row r="7364" ht="16.5" customHeight="1" spans="1:8">
      <c r="A7364" s="3">
        <v>7363</v>
      </c>
      <c r="B7364" s="3" t="s">
        <v>16034</v>
      </c>
      <c r="C7364" s="3" t="s">
        <v>1105</v>
      </c>
      <c r="D7364" s="4" t="s">
        <v>16035</v>
      </c>
      <c r="E7364" s="3" t="s">
        <v>1218</v>
      </c>
      <c r="F7364" s="3" t="s">
        <v>2105</v>
      </c>
      <c r="G7364" s="3"/>
      <c r="H7364" s="4" t="s">
        <v>15586</v>
      </c>
    </row>
    <row r="7365" ht="16.5" customHeight="1" spans="1:8">
      <c r="A7365" s="3">
        <v>7364</v>
      </c>
      <c r="B7365" s="3" t="s">
        <v>16036</v>
      </c>
      <c r="C7365" s="3" t="s">
        <v>1105</v>
      </c>
      <c r="D7365" s="4" t="s">
        <v>16037</v>
      </c>
      <c r="E7365" s="3" t="s">
        <v>1218</v>
      </c>
      <c r="F7365" s="3" t="s">
        <v>2105</v>
      </c>
      <c r="G7365" s="3"/>
      <c r="H7365" s="4" t="s">
        <v>15586</v>
      </c>
    </row>
    <row r="7366" ht="16.5" customHeight="1" spans="1:8">
      <c r="A7366" s="3">
        <v>7365</v>
      </c>
      <c r="B7366" s="3" t="s">
        <v>16038</v>
      </c>
      <c r="C7366" s="3" t="s">
        <v>1105</v>
      </c>
      <c r="D7366" s="4" t="s">
        <v>16039</v>
      </c>
      <c r="E7366" s="3" t="s">
        <v>1218</v>
      </c>
      <c r="F7366" s="3" t="s">
        <v>2105</v>
      </c>
      <c r="G7366" s="3"/>
      <c r="H7366" s="4" t="s">
        <v>15586</v>
      </c>
    </row>
    <row r="7367" ht="16.5" customHeight="1" spans="1:8">
      <c r="A7367" s="3">
        <v>7366</v>
      </c>
      <c r="B7367" s="3" t="s">
        <v>16040</v>
      </c>
      <c r="C7367" s="3" t="s">
        <v>1105</v>
      </c>
      <c r="D7367" s="4" t="s">
        <v>16041</v>
      </c>
      <c r="E7367" s="3" t="s">
        <v>1218</v>
      </c>
      <c r="F7367" s="3" t="s">
        <v>2105</v>
      </c>
      <c r="G7367" s="3"/>
      <c r="H7367" s="4" t="s">
        <v>15586</v>
      </c>
    </row>
    <row r="7368" ht="16.5" customHeight="1" spans="1:8">
      <c r="A7368" s="3">
        <v>7367</v>
      </c>
      <c r="B7368" s="3" t="s">
        <v>16042</v>
      </c>
      <c r="C7368" s="3" t="s">
        <v>1105</v>
      </c>
      <c r="D7368" s="4" t="s">
        <v>16043</v>
      </c>
      <c r="E7368" s="3" t="s">
        <v>1218</v>
      </c>
      <c r="F7368" s="3" t="s">
        <v>2105</v>
      </c>
      <c r="G7368" s="3"/>
      <c r="H7368" s="4" t="s">
        <v>15586</v>
      </c>
    </row>
    <row r="7369" ht="16.5" customHeight="1" spans="1:8">
      <c r="A7369" s="3">
        <v>7368</v>
      </c>
      <c r="B7369" s="3" t="s">
        <v>16044</v>
      </c>
      <c r="C7369" s="3" t="s">
        <v>1105</v>
      </c>
      <c r="D7369" s="4" t="s">
        <v>16045</v>
      </c>
      <c r="E7369" s="3" t="s">
        <v>1218</v>
      </c>
      <c r="F7369" s="3" t="s">
        <v>2105</v>
      </c>
      <c r="G7369" s="3"/>
      <c r="H7369" s="4" t="s">
        <v>15586</v>
      </c>
    </row>
    <row r="7370" ht="16.5" customHeight="1" spans="1:8">
      <c r="A7370" s="3">
        <v>7369</v>
      </c>
      <c r="B7370" s="3" t="s">
        <v>16046</v>
      </c>
      <c r="C7370" s="3" t="s">
        <v>1105</v>
      </c>
      <c r="D7370" s="4" t="s">
        <v>16047</v>
      </c>
      <c r="E7370" s="3" t="s">
        <v>1218</v>
      </c>
      <c r="F7370" s="3" t="s">
        <v>2105</v>
      </c>
      <c r="G7370" s="3"/>
      <c r="H7370" s="4" t="s">
        <v>15586</v>
      </c>
    </row>
    <row r="7371" ht="16.5" customHeight="1" spans="1:8">
      <c r="A7371" s="3">
        <v>7370</v>
      </c>
      <c r="B7371" s="3" t="s">
        <v>16048</v>
      </c>
      <c r="C7371" s="3" t="s">
        <v>1105</v>
      </c>
      <c r="D7371" s="4" t="s">
        <v>16049</v>
      </c>
      <c r="E7371" s="3" t="s">
        <v>1218</v>
      </c>
      <c r="F7371" s="3" t="s">
        <v>2105</v>
      </c>
      <c r="G7371" s="3"/>
      <c r="H7371" s="4" t="s">
        <v>15586</v>
      </c>
    </row>
    <row r="7372" ht="16.5" customHeight="1" spans="1:8">
      <c r="A7372" s="3">
        <v>7371</v>
      </c>
      <c r="B7372" s="3" t="s">
        <v>16050</v>
      </c>
      <c r="C7372" s="3" t="s">
        <v>1105</v>
      </c>
      <c r="D7372" s="4" t="s">
        <v>16051</v>
      </c>
      <c r="E7372" s="3" t="s">
        <v>1218</v>
      </c>
      <c r="F7372" s="3" t="s">
        <v>2105</v>
      </c>
      <c r="G7372" s="3"/>
      <c r="H7372" s="4" t="s">
        <v>15586</v>
      </c>
    </row>
    <row r="7373" ht="16.5" customHeight="1" spans="1:8">
      <c r="A7373" s="3">
        <v>7372</v>
      </c>
      <c r="B7373" s="3" t="s">
        <v>16052</v>
      </c>
      <c r="C7373" s="3" t="s">
        <v>1105</v>
      </c>
      <c r="D7373" s="4" t="s">
        <v>16053</v>
      </c>
      <c r="E7373" s="3" t="s">
        <v>1218</v>
      </c>
      <c r="F7373" s="3" t="s">
        <v>2105</v>
      </c>
      <c r="G7373" s="3"/>
      <c r="H7373" s="4" t="s">
        <v>15586</v>
      </c>
    </row>
    <row r="7374" ht="16.5" customHeight="1" spans="1:8">
      <c r="A7374" s="3">
        <v>7373</v>
      </c>
      <c r="B7374" s="3" t="s">
        <v>16054</v>
      </c>
      <c r="C7374" s="3" t="s">
        <v>1105</v>
      </c>
      <c r="D7374" s="4" t="s">
        <v>16055</v>
      </c>
      <c r="E7374" s="3" t="s">
        <v>1218</v>
      </c>
      <c r="F7374" s="3" t="s">
        <v>2105</v>
      </c>
      <c r="G7374" s="3"/>
      <c r="H7374" s="4" t="s">
        <v>15586</v>
      </c>
    </row>
    <row r="7375" ht="16.5" customHeight="1" spans="1:8">
      <c r="A7375" s="3">
        <v>7374</v>
      </c>
      <c r="B7375" s="3" t="s">
        <v>16056</v>
      </c>
      <c r="C7375" s="3" t="s">
        <v>1105</v>
      </c>
      <c r="D7375" s="4" t="s">
        <v>16057</v>
      </c>
      <c r="E7375" s="3" t="s">
        <v>1218</v>
      </c>
      <c r="F7375" s="3" t="s">
        <v>2105</v>
      </c>
      <c r="G7375" s="3"/>
      <c r="H7375" s="4" t="s">
        <v>15586</v>
      </c>
    </row>
    <row r="7376" ht="16.5" customHeight="1" spans="1:8">
      <c r="A7376" s="3">
        <v>7375</v>
      </c>
      <c r="B7376" s="3" t="s">
        <v>16058</v>
      </c>
      <c r="C7376" s="3" t="s">
        <v>1105</v>
      </c>
      <c r="D7376" s="4" t="s">
        <v>16059</v>
      </c>
      <c r="E7376" s="3" t="s">
        <v>1218</v>
      </c>
      <c r="F7376" s="3" t="s">
        <v>2105</v>
      </c>
      <c r="G7376" s="3"/>
      <c r="H7376" s="4" t="s">
        <v>15586</v>
      </c>
    </row>
    <row r="7377" ht="16.5" customHeight="1" spans="1:8">
      <c r="A7377" s="3">
        <v>7376</v>
      </c>
      <c r="B7377" s="3" t="s">
        <v>16060</v>
      </c>
      <c r="C7377" s="3" t="s">
        <v>1105</v>
      </c>
      <c r="D7377" s="4" t="s">
        <v>16061</v>
      </c>
      <c r="E7377" s="3" t="s">
        <v>1218</v>
      </c>
      <c r="F7377" s="3" t="s">
        <v>2105</v>
      </c>
      <c r="G7377" s="3"/>
      <c r="H7377" s="4" t="s">
        <v>15586</v>
      </c>
    </row>
    <row r="7378" ht="16.5" customHeight="1" spans="1:8">
      <c r="A7378" s="3">
        <v>7377</v>
      </c>
      <c r="B7378" s="3" t="s">
        <v>16062</v>
      </c>
      <c r="C7378" s="3" t="s">
        <v>1105</v>
      </c>
      <c r="D7378" s="4" t="s">
        <v>16063</v>
      </c>
      <c r="E7378" s="3" t="s">
        <v>1218</v>
      </c>
      <c r="F7378" s="3" t="s">
        <v>2105</v>
      </c>
      <c r="G7378" s="3"/>
      <c r="H7378" s="4" t="s">
        <v>15586</v>
      </c>
    </row>
    <row r="7379" ht="16.5" customHeight="1" spans="1:8">
      <c r="A7379" s="3">
        <v>7378</v>
      </c>
      <c r="B7379" s="3" t="s">
        <v>16064</v>
      </c>
      <c r="C7379" s="3" t="s">
        <v>1105</v>
      </c>
      <c r="D7379" s="4" t="s">
        <v>16065</v>
      </c>
      <c r="E7379" s="3" t="s">
        <v>1218</v>
      </c>
      <c r="F7379" s="3" t="s">
        <v>2105</v>
      </c>
      <c r="G7379" s="3"/>
      <c r="H7379" s="4" t="s">
        <v>15586</v>
      </c>
    </row>
    <row r="7380" ht="16.5" customHeight="1" spans="1:8">
      <c r="A7380" s="3">
        <v>7379</v>
      </c>
      <c r="B7380" s="3" t="s">
        <v>16066</v>
      </c>
      <c r="C7380" s="3" t="s">
        <v>1105</v>
      </c>
      <c r="D7380" s="4" t="s">
        <v>16067</v>
      </c>
      <c r="E7380" s="3" t="s">
        <v>1218</v>
      </c>
      <c r="F7380" s="3" t="s">
        <v>2105</v>
      </c>
      <c r="G7380" s="3"/>
      <c r="H7380" s="4" t="s">
        <v>15586</v>
      </c>
    </row>
    <row r="7381" ht="16.5" customHeight="1" spans="1:8">
      <c r="A7381" s="3">
        <v>7380</v>
      </c>
      <c r="B7381" s="3" t="s">
        <v>16068</v>
      </c>
      <c r="C7381" s="3" t="s">
        <v>1105</v>
      </c>
      <c r="D7381" s="4" t="s">
        <v>16069</v>
      </c>
      <c r="E7381" s="3" t="s">
        <v>1218</v>
      </c>
      <c r="F7381" s="3" t="s">
        <v>2105</v>
      </c>
      <c r="G7381" s="3"/>
      <c r="H7381" s="4" t="s">
        <v>15586</v>
      </c>
    </row>
    <row r="7382" ht="16.5" customHeight="1" spans="1:8">
      <c r="A7382" s="3">
        <v>7381</v>
      </c>
      <c r="B7382" s="3" t="s">
        <v>16070</v>
      </c>
      <c r="C7382" s="3" t="s">
        <v>1105</v>
      </c>
      <c r="D7382" s="4" t="s">
        <v>16071</v>
      </c>
      <c r="E7382" s="3" t="s">
        <v>1218</v>
      </c>
      <c r="F7382" s="3" t="s">
        <v>2105</v>
      </c>
      <c r="G7382" s="3"/>
      <c r="H7382" s="4" t="s">
        <v>15586</v>
      </c>
    </row>
    <row r="7383" ht="16.5" customHeight="1" spans="1:8">
      <c r="A7383" s="3">
        <v>7382</v>
      </c>
      <c r="B7383" s="3" t="s">
        <v>16072</v>
      </c>
      <c r="C7383" s="3" t="s">
        <v>1105</v>
      </c>
      <c r="D7383" s="4" t="s">
        <v>16073</v>
      </c>
      <c r="E7383" s="3" t="s">
        <v>1218</v>
      </c>
      <c r="F7383" s="3" t="s">
        <v>2105</v>
      </c>
      <c r="G7383" s="3"/>
      <c r="H7383" s="4" t="s">
        <v>15586</v>
      </c>
    </row>
    <row r="7384" ht="16.5" customHeight="1" spans="1:8">
      <c r="A7384" s="3">
        <v>7383</v>
      </c>
      <c r="B7384" s="3" t="s">
        <v>16074</v>
      </c>
      <c r="C7384" s="3" t="s">
        <v>1105</v>
      </c>
      <c r="D7384" s="4" t="s">
        <v>16075</v>
      </c>
      <c r="E7384" s="3" t="s">
        <v>1218</v>
      </c>
      <c r="F7384" s="3" t="s">
        <v>2105</v>
      </c>
      <c r="G7384" s="3"/>
      <c r="H7384" s="4" t="s">
        <v>15586</v>
      </c>
    </row>
    <row r="7385" ht="16.5" customHeight="1" spans="1:8">
      <c r="A7385" s="3">
        <v>7384</v>
      </c>
      <c r="B7385" s="3" t="s">
        <v>16076</v>
      </c>
      <c r="C7385" s="3" t="s">
        <v>1105</v>
      </c>
      <c r="D7385" s="4" t="s">
        <v>16077</v>
      </c>
      <c r="E7385" s="3" t="s">
        <v>1218</v>
      </c>
      <c r="F7385" s="3" t="s">
        <v>2105</v>
      </c>
      <c r="G7385" s="3"/>
      <c r="H7385" s="4" t="s">
        <v>15586</v>
      </c>
    </row>
    <row r="7386" ht="16.5" customHeight="1" spans="1:8">
      <c r="A7386" s="3">
        <v>7385</v>
      </c>
      <c r="B7386" s="3" t="s">
        <v>16078</v>
      </c>
      <c r="C7386" s="3" t="s">
        <v>1105</v>
      </c>
      <c r="D7386" s="4" t="s">
        <v>16079</v>
      </c>
      <c r="E7386" s="3" t="s">
        <v>1218</v>
      </c>
      <c r="F7386" s="3" t="s">
        <v>2105</v>
      </c>
      <c r="G7386" s="3"/>
      <c r="H7386" s="4" t="s">
        <v>15586</v>
      </c>
    </row>
    <row r="7387" ht="16.5" customHeight="1" spans="1:8">
      <c r="A7387" s="3">
        <v>7386</v>
      </c>
      <c r="B7387" s="3" t="s">
        <v>16080</v>
      </c>
      <c r="C7387" s="3" t="s">
        <v>1105</v>
      </c>
      <c r="D7387" s="4" t="s">
        <v>16081</v>
      </c>
      <c r="E7387" s="3" t="s">
        <v>1218</v>
      </c>
      <c r="F7387" s="3" t="s">
        <v>2105</v>
      </c>
      <c r="G7387" s="3"/>
      <c r="H7387" s="4" t="s">
        <v>15586</v>
      </c>
    </row>
    <row r="7388" ht="16.5" customHeight="1" spans="1:8">
      <c r="A7388" s="3">
        <v>7387</v>
      </c>
      <c r="B7388" s="3" t="s">
        <v>16082</v>
      </c>
      <c r="C7388" s="3" t="s">
        <v>1105</v>
      </c>
      <c r="D7388" s="4" t="s">
        <v>16083</v>
      </c>
      <c r="E7388" s="3" t="s">
        <v>1218</v>
      </c>
      <c r="F7388" s="3" t="s">
        <v>2105</v>
      </c>
      <c r="G7388" s="3"/>
      <c r="H7388" s="4" t="s">
        <v>15586</v>
      </c>
    </row>
    <row r="7389" ht="16.5" customHeight="1" spans="1:8">
      <c r="A7389" s="3">
        <v>7388</v>
      </c>
      <c r="B7389" s="3" t="s">
        <v>16084</v>
      </c>
      <c r="C7389" s="3" t="s">
        <v>1105</v>
      </c>
      <c r="D7389" s="4" t="s">
        <v>16085</v>
      </c>
      <c r="E7389" s="3" t="s">
        <v>1218</v>
      </c>
      <c r="F7389" s="3" t="s">
        <v>2105</v>
      </c>
      <c r="G7389" s="3"/>
      <c r="H7389" s="4" t="s">
        <v>15586</v>
      </c>
    </row>
    <row r="7390" ht="16.5" customHeight="1" spans="1:8">
      <c r="A7390" s="3">
        <v>7389</v>
      </c>
      <c r="B7390" s="3" t="s">
        <v>16086</v>
      </c>
      <c r="C7390" s="3" t="s">
        <v>1105</v>
      </c>
      <c r="D7390" s="4" t="s">
        <v>16087</v>
      </c>
      <c r="E7390" s="3" t="s">
        <v>1218</v>
      </c>
      <c r="F7390" s="3" t="s">
        <v>2105</v>
      </c>
      <c r="G7390" s="3"/>
      <c r="H7390" s="4" t="s">
        <v>15586</v>
      </c>
    </row>
    <row r="7391" ht="16.5" customHeight="1" spans="1:8">
      <c r="A7391" s="3">
        <v>7390</v>
      </c>
      <c r="B7391" s="3" t="s">
        <v>16088</v>
      </c>
      <c r="C7391" s="3" t="s">
        <v>1105</v>
      </c>
      <c r="D7391" s="4" t="s">
        <v>16089</v>
      </c>
      <c r="E7391" s="3" t="s">
        <v>1218</v>
      </c>
      <c r="F7391" s="3" t="s">
        <v>2105</v>
      </c>
      <c r="G7391" s="3"/>
      <c r="H7391" s="4" t="s">
        <v>15586</v>
      </c>
    </row>
    <row r="7392" ht="16.5" customHeight="1" spans="1:8">
      <c r="A7392" s="3">
        <v>7391</v>
      </c>
      <c r="B7392" s="3" t="s">
        <v>16090</v>
      </c>
      <c r="C7392" s="3" t="s">
        <v>1105</v>
      </c>
      <c r="D7392" s="4" t="s">
        <v>16091</v>
      </c>
      <c r="E7392" s="3" t="s">
        <v>1218</v>
      </c>
      <c r="F7392" s="3" t="s">
        <v>2105</v>
      </c>
      <c r="G7392" s="3"/>
      <c r="H7392" s="4" t="s">
        <v>15586</v>
      </c>
    </row>
    <row r="7393" ht="16.5" customHeight="1" spans="1:8">
      <c r="A7393" s="3">
        <v>7392</v>
      </c>
      <c r="B7393" s="3" t="s">
        <v>16092</v>
      </c>
      <c r="C7393" s="3" t="s">
        <v>1105</v>
      </c>
      <c r="D7393" s="4" t="s">
        <v>16093</v>
      </c>
      <c r="E7393" s="3" t="s">
        <v>1218</v>
      </c>
      <c r="F7393" s="3" t="s">
        <v>2105</v>
      </c>
      <c r="G7393" s="3"/>
      <c r="H7393" s="4" t="s">
        <v>15586</v>
      </c>
    </row>
    <row r="7394" ht="16.5" customHeight="1" spans="1:8">
      <c r="A7394" s="3">
        <v>7393</v>
      </c>
      <c r="B7394" s="3" t="s">
        <v>16094</v>
      </c>
      <c r="C7394" s="3" t="s">
        <v>1105</v>
      </c>
      <c r="D7394" s="4" t="s">
        <v>16095</v>
      </c>
      <c r="E7394" s="3" t="s">
        <v>1218</v>
      </c>
      <c r="F7394" s="3" t="s">
        <v>2105</v>
      </c>
      <c r="G7394" s="3"/>
      <c r="H7394" s="4" t="s">
        <v>15586</v>
      </c>
    </row>
    <row r="7395" ht="16.5" customHeight="1" spans="1:8">
      <c r="A7395" s="3">
        <v>7394</v>
      </c>
      <c r="B7395" s="3" t="s">
        <v>16096</v>
      </c>
      <c r="C7395" s="3" t="s">
        <v>1105</v>
      </c>
      <c r="D7395" s="4" t="s">
        <v>16097</v>
      </c>
      <c r="E7395" s="3" t="s">
        <v>1218</v>
      </c>
      <c r="F7395" s="3" t="s">
        <v>2105</v>
      </c>
      <c r="G7395" s="3"/>
      <c r="H7395" s="4" t="s">
        <v>15586</v>
      </c>
    </row>
    <row r="7396" ht="16.5" customHeight="1" spans="1:8">
      <c r="A7396" s="3">
        <v>7395</v>
      </c>
      <c r="B7396" s="3" t="s">
        <v>16098</v>
      </c>
      <c r="C7396" s="3" t="s">
        <v>1105</v>
      </c>
      <c r="D7396" s="4" t="s">
        <v>16097</v>
      </c>
      <c r="E7396" s="3" t="s">
        <v>1218</v>
      </c>
      <c r="F7396" s="3" t="s">
        <v>2105</v>
      </c>
      <c r="G7396" s="3"/>
      <c r="H7396" s="4" t="s">
        <v>15586</v>
      </c>
    </row>
    <row r="7397" ht="16.5" customHeight="1" spans="1:8">
      <c r="A7397" s="3">
        <v>7396</v>
      </c>
      <c r="B7397" s="3" t="s">
        <v>16099</v>
      </c>
      <c r="C7397" s="3" t="s">
        <v>1105</v>
      </c>
      <c r="D7397" s="4" t="s">
        <v>16100</v>
      </c>
      <c r="E7397" s="3" t="s">
        <v>1218</v>
      </c>
      <c r="F7397" s="3" t="s">
        <v>2105</v>
      </c>
      <c r="G7397" s="3"/>
      <c r="H7397" s="4" t="s">
        <v>15586</v>
      </c>
    </row>
    <row r="7398" ht="16.5" customHeight="1" spans="1:8">
      <c r="A7398" s="3">
        <v>7397</v>
      </c>
      <c r="B7398" s="3" t="s">
        <v>16101</v>
      </c>
      <c r="C7398" s="3" t="s">
        <v>1105</v>
      </c>
      <c r="D7398" s="4" t="s">
        <v>16102</v>
      </c>
      <c r="E7398" s="3" t="s">
        <v>1218</v>
      </c>
      <c r="F7398" s="3" t="s">
        <v>2105</v>
      </c>
      <c r="G7398" s="3"/>
      <c r="H7398" s="4" t="s">
        <v>15586</v>
      </c>
    </row>
    <row r="7399" ht="16.5" customHeight="1" spans="1:8">
      <c r="A7399" s="3">
        <v>7398</v>
      </c>
      <c r="B7399" s="3" t="s">
        <v>16103</v>
      </c>
      <c r="C7399" s="3" t="s">
        <v>1105</v>
      </c>
      <c r="D7399" s="4" t="s">
        <v>16104</v>
      </c>
      <c r="E7399" s="3" t="s">
        <v>1218</v>
      </c>
      <c r="F7399" s="3" t="s">
        <v>2105</v>
      </c>
      <c r="G7399" s="3"/>
      <c r="H7399" s="4" t="s">
        <v>15586</v>
      </c>
    </row>
    <row r="7400" ht="16.5" customHeight="1" spans="1:8">
      <c r="A7400" s="3">
        <v>7399</v>
      </c>
      <c r="B7400" s="3" t="s">
        <v>16105</v>
      </c>
      <c r="C7400" s="3" t="s">
        <v>1105</v>
      </c>
      <c r="D7400" s="4" t="s">
        <v>16106</v>
      </c>
      <c r="E7400" s="3" t="s">
        <v>1218</v>
      </c>
      <c r="F7400" s="3" t="s">
        <v>2105</v>
      </c>
      <c r="G7400" s="3"/>
      <c r="H7400" s="4" t="s">
        <v>15586</v>
      </c>
    </row>
    <row r="7401" ht="16.5" customHeight="1" spans="1:8">
      <c r="A7401" s="3">
        <v>7400</v>
      </c>
      <c r="B7401" s="3" t="s">
        <v>16107</v>
      </c>
      <c r="C7401" s="3" t="s">
        <v>1105</v>
      </c>
      <c r="D7401" s="4" t="s">
        <v>16108</v>
      </c>
      <c r="E7401" s="3" t="s">
        <v>1218</v>
      </c>
      <c r="F7401" s="3" t="s">
        <v>2105</v>
      </c>
      <c r="G7401" s="3"/>
      <c r="H7401" s="4" t="s">
        <v>15586</v>
      </c>
    </row>
    <row r="7402" ht="16.5" customHeight="1" spans="1:8">
      <c r="A7402" s="3">
        <v>7401</v>
      </c>
      <c r="B7402" s="3" t="s">
        <v>16109</v>
      </c>
      <c r="C7402" s="3" t="s">
        <v>1105</v>
      </c>
      <c r="D7402" s="4" t="s">
        <v>16110</v>
      </c>
      <c r="E7402" s="3" t="s">
        <v>1218</v>
      </c>
      <c r="F7402" s="3" t="s">
        <v>2105</v>
      </c>
      <c r="G7402" s="3"/>
      <c r="H7402" s="4" t="s">
        <v>15586</v>
      </c>
    </row>
    <row r="7403" ht="16.5" customHeight="1" spans="1:8">
      <c r="A7403" s="3">
        <v>7402</v>
      </c>
      <c r="B7403" s="3" t="s">
        <v>16111</v>
      </c>
      <c r="C7403" s="3" t="s">
        <v>1105</v>
      </c>
      <c r="D7403" s="4" t="s">
        <v>16112</v>
      </c>
      <c r="E7403" s="3" t="s">
        <v>1218</v>
      </c>
      <c r="F7403" s="3" t="s">
        <v>2105</v>
      </c>
      <c r="G7403" s="3"/>
      <c r="H7403" s="4" t="s">
        <v>15586</v>
      </c>
    </row>
    <row r="7404" ht="16.5" customHeight="1" spans="1:8">
      <c r="A7404" s="3">
        <v>7403</v>
      </c>
      <c r="B7404" s="3" t="s">
        <v>16113</v>
      </c>
      <c r="C7404" s="3" t="s">
        <v>1105</v>
      </c>
      <c r="D7404" s="4" t="s">
        <v>16114</v>
      </c>
      <c r="E7404" s="3" t="s">
        <v>1218</v>
      </c>
      <c r="F7404" s="3" t="s">
        <v>2105</v>
      </c>
      <c r="G7404" s="3"/>
      <c r="H7404" s="4" t="s">
        <v>15586</v>
      </c>
    </row>
    <row r="7405" ht="16.5" customHeight="1" spans="1:8">
      <c r="A7405" s="3">
        <v>7404</v>
      </c>
      <c r="B7405" s="3" t="s">
        <v>16115</v>
      </c>
      <c r="C7405" s="3" t="s">
        <v>1105</v>
      </c>
      <c r="D7405" s="4" t="s">
        <v>16116</v>
      </c>
      <c r="E7405" s="3" t="s">
        <v>1218</v>
      </c>
      <c r="F7405" s="3" t="s">
        <v>2105</v>
      </c>
      <c r="G7405" s="3"/>
      <c r="H7405" s="4" t="s">
        <v>15586</v>
      </c>
    </row>
    <row r="7406" ht="16.5" customHeight="1" spans="1:8">
      <c r="A7406" s="3">
        <v>7405</v>
      </c>
      <c r="B7406" s="3" t="s">
        <v>16117</v>
      </c>
      <c r="C7406" s="3" t="s">
        <v>1105</v>
      </c>
      <c r="D7406" s="4" t="s">
        <v>16118</v>
      </c>
      <c r="E7406" s="3" t="s">
        <v>1218</v>
      </c>
      <c r="F7406" s="3" t="s">
        <v>2105</v>
      </c>
      <c r="G7406" s="3"/>
      <c r="H7406" s="4" t="s">
        <v>15586</v>
      </c>
    </row>
    <row r="7407" ht="16.5" customHeight="1" spans="1:8">
      <c r="A7407" s="3">
        <v>7406</v>
      </c>
      <c r="B7407" s="3" t="s">
        <v>16119</v>
      </c>
      <c r="C7407" s="3" t="s">
        <v>1105</v>
      </c>
      <c r="D7407" s="4" t="s">
        <v>16120</v>
      </c>
      <c r="E7407" s="3" t="s">
        <v>1218</v>
      </c>
      <c r="F7407" s="3" t="s">
        <v>2105</v>
      </c>
      <c r="G7407" s="3"/>
      <c r="H7407" s="4" t="s">
        <v>15586</v>
      </c>
    </row>
    <row r="7408" ht="16.5" customHeight="1" spans="1:8">
      <c r="A7408" s="3">
        <v>7407</v>
      </c>
      <c r="B7408" s="3" t="s">
        <v>16121</v>
      </c>
      <c r="C7408" s="3" t="s">
        <v>1105</v>
      </c>
      <c r="D7408" s="4" t="s">
        <v>16122</v>
      </c>
      <c r="E7408" s="3" t="s">
        <v>1218</v>
      </c>
      <c r="F7408" s="3" t="s">
        <v>2105</v>
      </c>
      <c r="G7408" s="3"/>
      <c r="H7408" s="4" t="s">
        <v>15586</v>
      </c>
    </row>
    <row r="7409" ht="16.5" customHeight="1" spans="1:8">
      <c r="A7409" s="3">
        <v>7408</v>
      </c>
      <c r="B7409" s="3" t="s">
        <v>16123</v>
      </c>
      <c r="C7409" s="3" t="s">
        <v>1105</v>
      </c>
      <c r="D7409" s="4" t="s">
        <v>16124</v>
      </c>
      <c r="E7409" s="3" t="s">
        <v>1218</v>
      </c>
      <c r="F7409" s="3" t="s">
        <v>2105</v>
      </c>
      <c r="G7409" s="3"/>
      <c r="H7409" s="4" t="s">
        <v>15586</v>
      </c>
    </row>
    <row r="7410" ht="16.5" customHeight="1" spans="1:8">
      <c r="A7410" s="3">
        <v>7409</v>
      </c>
      <c r="B7410" s="3" t="s">
        <v>16125</v>
      </c>
      <c r="C7410" s="3" t="s">
        <v>1105</v>
      </c>
      <c r="D7410" s="4" t="s">
        <v>16126</v>
      </c>
      <c r="E7410" s="3" t="s">
        <v>1218</v>
      </c>
      <c r="F7410" s="3" t="s">
        <v>2105</v>
      </c>
      <c r="G7410" s="3"/>
      <c r="H7410" s="4" t="s">
        <v>15586</v>
      </c>
    </row>
    <row r="7411" ht="16.5" customHeight="1" spans="1:8">
      <c r="A7411" s="3">
        <v>7410</v>
      </c>
      <c r="B7411" s="3" t="s">
        <v>16127</v>
      </c>
      <c r="C7411" s="3" t="s">
        <v>1105</v>
      </c>
      <c r="D7411" s="4" t="s">
        <v>16128</v>
      </c>
      <c r="E7411" s="3" t="s">
        <v>1218</v>
      </c>
      <c r="F7411" s="3" t="s">
        <v>2105</v>
      </c>
      <c r="G7411" s="3"/>
      <c r="H7411" s="4" t="s">
        <v>15586</v>
      </c>
    </row>
    <row r="7412" ht="16.5" customHeight="1" spans="1:8">
      <c r="A7412" s="3">
        <v>7411</v>
      </c>
      <c r="B7412" s="3" t="s">
        <v>16129</v>
      </c>
      <c r="C7412" s="3" t="s">
        <v>1105</v>
      </c>
      <c r="D7412" s="4" t="s">
        <v>16130</v>
      </c>
      <c r="E7412" s="3" t="s">
        <v>1218</v>
      </c>
      <c r="F7412" s="3" t="s">
        <v>2105</v>
      </c>
      <c r="G7412" s="3"/>
      <c r="H7412" s="4" t="s">
        <v>15586</v>
      </c>
    </row>
    <row r="7413" ht="16.5" customHeight="1" spans="1:8">
      <c r="A7413" s="3">
        <v>7412</v>
      </c>
      <c r="B7413" s="3" t="s">
        <v>16131</v>
      </c>
      <c r="C7413" s="3" t="s">
        <v>1105</v>
      </c>
      <c r="D7413" s="4" t="s">
        <v>16132</v>
      </c>
      <c r="E7413" s="3" t="s">
        <v>1218</v>
      </c>
      <c r="F7413" s="3" t="s">
        <v>2105</v>
      </c>
      <c r="G7413" s="3"/>
      <c r="H7413" s="4" t="s">
        <v>15586</v>
      </c>
    </row>
    <row r="7414" ht="16.5" customHeight="1" spans="1:8">
      <c r="A7414" s="3">
        <v>7413</v>
      </c>
      <c r="B7414" s="3" t="s">
        <v>16133</v>
      </c>
      <c r="C7414" s="3" t="s">
        <v>1105</v>
      </c>
      <c r="D7414" s="4" t="s">
        <v>16134</v>
      </c>
      <c r="E7414" s="3" t="s">
        <v>1218</v>
      </c>
      <c r="F7414" s="3" t="s">
        <v>2105</v>
      </c>
      <c r="G7414" s="3"/>
      <c r="H7414" s="4" t="s">
        <v>15586</v>
      </c>
    </row>
    <row r="7415" ht="16.5" customHeight="1" spans="1:8">
      <c r="A7415" s="3">
        <v>7414</v>
      </c>
      <c r="B7415" s="3" t="s">
        <v>16135</v>
      </c>
      <c r="C7415" s="3" t="s">
        <v>1105</v>
      </c>
      <c r="D7415" s="4" t="s">
        <v>16136</v>
      </c>
      <c r="E7415" s="3" t="s">
        <v>1218</v>
      </c>
      <c r="F7415" s="3" t="s">
        <v>2105</v>
      </c>
      <c r="G7415" s="3"/>
      <c r="H7415" s="4" t="s">
        <v>15586</v>
      </c>
    </row>
    <row r="7416" ht="16.5" customHeight="1" spans="1:8">
      <c r="A7416" s="3">
        <v>7415</v>
      </c>
      <c r="B7416" s="3" t="s">
        <v>16137</v>
      </c>
      <c r="C7416" s="3" t="s">
        <v>1105</v>
      </c>
      <c r="D7416" s="4" t="s">
        <v>16138</v>
      </c>
      <c r="E7416" s="3" t="s">
        <v>1218</v>
      </c>
      <c r="F7416" s="3" t="s">
        <v>2105</v>
      </c>
      <c r="G7416" s="3"/>
      <c r="H7416" s="4" t="s">
        <v>15586</v>
      </c>
    </row>
    <row r="7417" ht="16.5" customHeight="1" spans="1:8">
      <c r="A7417" s="3">
        <v>7416</v>
      </c>
      <c r="B7417" s="3" t="s">
        <v>16139</v>
      </c>
      <c r="C7417" s="3" t="s">
        <v>1105</v>
      </c>
      <c r="D7417" s="4" t="s">
        <v>16140</v>
      </c>
      <c r="E7417" s="3" t="s">
        <v>1218</v>
      </c>
      <c r="F7417" s="3" t="s">
        <v>2105</v>
      </c>
      <c r="G7417" s="3"/>
      <c r="H7417" s="4" t="s">
        <v>15586</v>
      </c>
    </row>
    <row r="7418" ht="16.5" customHeight="1" spans="1:8">
      <c r="A7418" s="3">
        <v>7417</v>
      </c>
      <c r="B7418" s="3" t="s">
        <v>16141</v>
      </c>
      <c r="C7418" s="3" t="s">
        <v>1105</v>
      </c>
      <c r="D7418" s="4" t="s">
        <v>16142</v>
      </c>
      <c r="E7418" s="3" t="s">
        <v>1218</v>
      </c>
      <c r="F7418" s="3" t="s">
        <v>2105</v>
      </c>
      <c r="G7418" s="3"/>
      <c r="H7418" s="4" t="s">
        <v>15586</v>
      </c>
    </row>
    <row r="7419" ht="16.5" customHeight="1" spans="1:8">
      <c r="A7419" s="3">
        <v>7418</v>
      </c>
      <c r="B7419" s="3" t="s">
        <v>16143</v>
      </c>
      <c r="C7419" s="3" t="s">
        <v>1105</v>
      </c>
      <c r="D7419" s="4" t="s">
        <v>16144</v>
      </c>
      <c r="E7419" s="3" t="s">
        <v>1218</v>
      </c>
      <c r="F7419" s="3" t="s">
        <v>2105</v>
      </c>
      <c r="G7419" s="3"/>
      <c r="H7419" s="4" t="s">
        <v>15586</v>
      </c>
    </row>
    <row r="7420" ht="16.5" customHeight="1" spans="1:8">
      <c r="A7420" s="3">
        <v>7419</v>
      </c>
      <c r="B7420" s="3" t="s">
        <v>16145</v>
      </c>
      <c r="C7420" s="3" t="s">
        <v>1105</v>
      </c>
      <c r="D7420" s="4" t="s">
        <v>16146</v>
      </c>
      <c r="E7420" s="3" t="s">
        <v>1218</v>
      </c>
      <c r="F7420" s="3" t="s">
        <v>2105</v>
      </c>
      <c r="G7420" s="3"/>
      <c r="H7420" s="4" t="s">
        <v>15586</v>
      </c>
    </row>
    <row r="7421" ht="16.5" customHeight="1" spans="1:8">
      <c r="A7421" s="3">
        <v>7420</v>
      </c>
      <c r="B7421" s="3" t="s">
        <v>16147</v>
      </c>
      <c r="C7421" s="3" t="s">
        <v>1105</v>
      </c>
      <c r="D7421" s="4" t="s">
        <v>16148</v>
      </c>
      <c r="E7421" s="3" t="s">
        <v>1218</v>
      </c>
      <c r="F7421" s="3" t="s">
        <v>2105</v>
      </c>
      <c r="G7421" s="3"/>
      <c r="H7421" s="4" t="s">
        <v>15586</v>
      </c>
    </row>
    <row r="7422" ht="16.5" customHeight="1" spans="1:8">
      <c r="A7422" s="3">
        <v>7421</v>
      </c>
      <c r="B7422" s="3" t="s">
        <v>16149</v>
      </c>
      <c r="C7422" s="3" t="s">
        <v>1105</v>
      </c>
      <c r="D7422" s="4" t="s">
        <v>16150</v>
      </c>
      <c r="E7422" s="3" t="s">
        <v>1218</v>
      </c>
      <c r="F7422" s="3" t="s">
        <v>2105</v>
      </c>
      <c r="G7422" s="3"/>
      <c r="H7422" s="4" t="s">
        <v>15586</v>
      </c>
    </row>
    <row r="7423" ht="16.5" customHeight="1" spans="1:8">
      <c r="A7423" s="3">
        <v>7422</v>
      </c>
      <c r="B7423" s="3" t="s">
        <v>16151</v>
      </c>
      <c r="C7423" s="3" t="s">
        <v>1105</v>
      </c>
      <c r="D7423" s="4" t="s">
        <v>16152</v>
      </c>
      <c r="E7423" s="3" t="s">
        <v>1218</v>
      </c>
      <c r="F7423" s="3" t="s">
        <v>2105</v>
      </c>
      <c r="G7423" s="3"/>
      <c r="H7423" s="4" t="s">
        <v>15586</v>
      </c>
    </row>
    <row r="7424" ht="16.5" customHeight="1" spans="1:8">
      <c r="A7424" s="3">
        <v>7423</v>
      </c>
      <c r="B7424" s="3" t="s">
        <v>16153</v>
      </c>
      <c r="C7424" s="3" t="s">
        <v>1105</v>
      </c>
      <c r="D7424" s="4" t="s">
        <v>16154</v>
      </c>
      <c r="E7424" s="3" t="s">
        <v>1218</v>
      </c>
      <c r="F7424" s="3" t="s">
        <v>2105</v>
      </c>
      <c r="G7424" s="3"/>
      <c r="H7424" s="4" t="s">
        <v>15586</v>
      </c>
    </row>
    <row r="7425" ht="16.5" customHeight="1" spans="1:8">
      <c r="A7425" s="3">
        <v>7424</v>
      </c>
      <c r="B7425" s="3" t="s">
        <v>16155</v>
      </c>
      <c r="C7425" s="3" t="s">
        <v>1105</v>
      </c>
      <c r="D7425" s="4" t="s">
        <v>16156</v>
      </c>
      <c r="E7425" s="3" t="s">
        <v>1218</v>
      </c>
      <c r="F7425" s="3" t="s">
        <v>2105</v>
      </c>
      <c r="G7425" s="3"/>
      <c r="H7425" s="4" t="s">
        <v>15586</v>
      </c>
    </row>
    <row r="7426" ht="16.5" customHeight="1" spans="1:8">
      <c r="A7426" s="3">
        <v>7425</v>
      </c>
      <c r="B7426" s="3" t="s">
        <v>16157</v>
      </c>
      <c r="C7426" s="3" t="s">
        <v>1105</v>
      </c>
      <c r="D7426" s="4" t="s">
        <v>16158</v>
      </c>
      <c r="E7426" s="3" t="s">
        <v>1218</v>
      </c>
      <c r="F7426" s="3" t="s">
        <v>2105</v>
      </c>
      <c r="G7426" s="3"/>
      <c r="H7426" s="4" t="s">
        <v>15586</v>
      </c>
    </row>
    <row r="7427" ht="16.5" customHeight="1" spans="1:8">
      <c r="A7427" s="3">
        <v>7426</v>
      </c>
      <c r="B7427" s="3" t="s">
        <v>16159</v>
      </c>
      <c r="C7427" s="3" t="s">
        <v>1105</v>
      </c>
      <c r="D7427" s="4" t="s">
        <v>16160</v>
      </c>
      <c r="E7427" s="3" t="s">
        <v>1218</v>
      </c>
      <c r="F7427" s="3" t="s">
        <v>2105</v>
      </c>
      <c r="G7427" s="3"/>
      <c r="H7427" s="4" t="s">
        <v>15586</v>
      </c>
    </row>
    <row r="7428" ht="16.5" customHeight="1" spans="1:8">
      <c r="A7428" s="3">
        <v>7427</v>
      </c>
      <c r="B7428" s="3" t="s">
        <v>16161</v>
      </c>
      <c r="C7428" s="3" t="s">
        <v>1105</v>
      </c>
      <c r="D7428" s="4" t="s">
        <v>16162</v>
      </c>
      <c r="E7428" s="3" t="s">
        <v>1218</v>
      </c>
      <c r="F7428" s="3" t="s">
        <v>2105</v>
      </c>
      <c r="G7428" s="3"/>
      <c r="H7428" s="4" t="s">
        <v>15586</v>
      </c>
    </row>
    <row r="7429" ht="16.5" customHeight="1" spans="1:8">
      <c r="A7429" s="3">
        <v>7428</v>
      </c>
      <c r="B7429" s="3" t="s">
        <v>16163</v>
      </c>
      <c r="C7429" s="3" t="s">
        <v>1105</v>
      </c>
      <c r="D7429" s="4" t="s">
        <v>16164</v>
      </c>
      <c r="E7429" s="3" t="s">
        <v>1218</v>
      </c>
      <c r="F7429" s="3" t="s">
        <v>2105</v>
      </c>
      <c r="G7429" s="3"/>
      <c r="H7429" s="4" t="s">
        <v>15586</v>
      </c>
    </row>
    <row r="7430" ht="16.5" customHeight="1" spans="1:8">
      <c r="A7430" s="3">
        <v>7429</v>
      </c>
      <c r="B7430" s="3" t="s">
        <v>16165</v>
      </c>
      <c r="C7430" s="3" t="s">
        <v>1105</v>
      </c>
      <c r="D7430" s="4" t="s">
        <v>16166</v>
      </c>
      <c r="E7430" s="3" t="s">
        <v>1218</v>
      </c>
      <c r="F7430" s="3" t="s">
        <v>2105</v>
      </c>
      <c r="G7430" s="3"/>
      <c r="H7430" s="4" t="s">
        <v>15586</v>
      </c>
    </row>
    <row r="7431" ht="16.5" customHeight="1" spans="1:8">
      <c r="A7431" s="3">
        <v>7430</v>
      </c>
      <c r="B7431" s="3" t="s">
        <v>16167</v>
      </c>
      <c r="C7431" s="3" t="s">
        <v>1105</v>
      </c>
      <c r="D7431" s="4" t="s">
        <v>16168</v>
      </c>
      <c r="E7431" s="3" t="s">
        <v>1218</v>
      </c>
      <c r="F7431" s="3" t="s">
        <v>2105</v>
      </c>
      <c r="G7431" s="3"/>
      <c r="H7431" s="4" t="s">
        <v>15586</v>
      </c>
    </row>
    <row r="7432" ht="16.5" customHeight="1" spans="1:8">
      <c r="A7432" s="3">
        <v>7431</v>
      </c>
      <c r="B7432" s="3" t="s">
        <v>16169</v>
      </c>
      <c r="C7432" s="3" t="s">
        <v>1105</v>
      </c>
      <c r="D7432" s="4" t="s">
        <v>16170</v>
      </c>
      <c r="E7432" s="3" t="s">
        <v>1218</v>
      </c>
      <c r="F7432" s="3" t="s">
        <v>2105</v>
      </c>
      <c r="G7432" s="3"/>
      <c r="H7432" s="4" t="s">
        <v>15586</v>
      </c>
    </row>
    <row r="7433" ht="16.5" customHeight="1" spans="1:8">
      <c r="A7433" s="3">
        <v>7432</v>
      </c>
      <c r="B7433" s="3" t="s">
        <v>16171</v>
      </c>
      <c r="C7433" s="3" t="s">
        <v>1105</v>
      </c>
      <c r="D7433" s="4" t="s">
        <v>16172</v>
      </c>
      <c r="E7433" s="3" t="s">
        <v>1218</v>
      </c>
      <c r="F7433" s="3" t="s">
        <v>2105</v>
      </c>
      <c r="G7433" s="3"/>
      <c r="H7433" s="4" t="s">
        <v>15586</v>
      </c>
    </row>
    <row r="7434" ht="16.5" customHeight="1" spans="1:8">
      <c r="A7434" s="3">
        <v>7433</v>
      </c>
      <c r="B7434" s="3" t="s">
        <v>16173</v>
      </c>
      <c r="C7434" s="3" t="s">
        <v>1105</v>
      </c>
      <c r="D7434" s="4" t="s">
        <v>16174</v>
      </c>
      <c r="E7434" s="3" t="s">
        <v>1218</v>
      </c>
      <c r="F7434" s="3" t="s">
        <v>2105</v>
      </c>
      <c r="G7434" s="3"/>
      <c r="H7434" s="4" t="s">
        <v>15586</v>
      </c>
    </row>
    <row r="7435" ht="16.5" customHeight="1" spans="1:8">
      <c r="A7435" s="3">
        <v>7434</v>
      </c>
      <c r="B7435" s="3" t="s">
        <v>16175</v>
      </c>
      <c r="C7435" s="3" t="s">
        <v>1105</v>
      </c>
      <c r="D7435" s="4" t="s">
        <v>16176</v>
      </c>
      <c r="E7435" s="3" t="s">
        <v>1218</v>
      </c>
      <c r="F7435" s="3" t="s">
        <v>2105</v>
      </c>
      <c r="G7435" s="3"/>
      <c r="H7435" s="4" t="s">
        <v>15586</v>
      </c>
    </row>
    <row r="7436" ht="16.5" customHeight="1" spans="1:8">
      <c r="A7436" s="3">
        <v>7435</v>
      </c>
      <c r="B7436" s="3" t="s">
        <v>16177</v>
      </c>
      <c r="C7436" s="3" t="s">
        <v>1105</v>
      </c>
      <c r="D7436" s="4" t="s">
        <v>16178</v>
      </c>
      <c r="E7436" s="3" t="s">
        <v>1218</v>
      </c>
      <c r="F7436" s="3" t="s">
        <v>2105</v>
      </c>
      <c r="G7436" s="3"/>
      <c r="H7436" s="4" t="s">
        <v>15586</v>
      </c>
    </row>
    <row r="7437" ht="16.5" customHeight="1" spans="1:8">
      <c r="A7437" s="3">
        <v>7436</v>
      </c>
      <c r="B7437" s="3" t="s">
        <v>16179</v>
      </c>
      <c r="C7437" s="3" t="s">
        <v>1105</v>
      </c>
      <c r="D7437" s="4" t="s">
        <v>16180</v>
      </c>
      <c r="E7437" s="3" t="s">
        <v>1218</v>
      </c>
      <c r="F7437" s="3" t="s">
        <v>2105</v>
      </c>
      <c r="G7437" s="3"/>
      <c r="H7437" s="4" t="s">
        <v>15586</v>
      </c>
    </row>
    <row r="7438" ht="16.5" customHeight="1" spans="1:8">
      <c r="A7438" s="3">
        <v>7437</v>
      </c>
      <c r="B7438" s="3" t="s">
        <v>16181</v>
      </c>
      <c r="C7438" s="3" t="s">
        <v>1105</v>
      </c>
      <c r="D7438" s="4" t="s">
        <v>16182</v>
      </c>
      <c r="E7438" s="3" t="s">
        <v>1218</v>
      </c>
      <c r="F7438" s="3" t="s">
        <v>2105</v>
      </c>
      <c r="G7438" s="3"/>
      <c r="H7438" s="4" t="s">
        <v>15586</v>
      </c>
    </row>
    <row r="7439" ht="16.5" customHeight="1" spans="1:8">
      <c r="A7439" s="3">
        <v>7438</v>
      </c>
      <c r="B7439" s="3" t="s">
        <v>16183</v>
      </c>
      <c r="C7439" s="3" t="s">
        <v>1105</v>
      </c>
      <c r="D7439" s="4" t="s">
        <v>16184</v>
      </c>
      <c r="E7439" s="3" t="s">
        <v>1218</v>
      </c>
      <c r="F7439" s="3" t="s">
        <v>2105</v>
      </c>
      <c r="G7439" s="3"/>
      <c r="H7439" s="4" t="s">
        <v>15586</v>
      </c>
    </row>
    <row r="7440" ht="16.5" customHeight="1" spans="1:8">
      <c r="A7440" s="3">
        <v>7439</v>
      </c>
      <c r="B7440" s="3" t="s">
        <v>16185</v>
      </c>
      <c r="C7440" s="3" t="s">
        <v>1074</v>
      </c>
      <c r="D7440" s="4" t="s">
        <v>16186</v>
      </c>
      <c r="E7440" s="3" t="s">
        <v>1076</v>
      </c>
      <c r="F7440" s="3" t="s">
        <v>10259</v>
      </c>
      <c r="G7440" s="3"/>
      <c r="H7440" s="4" t="s">
        <v>3812</v>
      </c>
    </row>
    <row r="7441" ht="16.5" customHeight="1" spans="1:8">
      <c r="A7441" s="3">
        <v>7440</v>
      </c>
      <c r="B7441" s="3" t="s">
        <v>461</v>
      </c>
      <c r="C7441" s="3" t="s">
        <v>1074</v>
      </c>
      <c r="D7441" s="4" t="s">
        <v>458</v>
      </c>
      <c r="E7441" s="3" t="s">
        <v>15175</v>
      </c>
      <c r="F7441" s="3" t="s">
        <v>10259</v>
      </c>
      <c r="G7441" s="3"/>
      <c r="H7441" s="4" t="s">
        <v>3812</v>
      </c>
    </row>
    <row r="7442" ht="16.5" customHeight="1" spans="1:8">
      <c r="A7442" s="3">
        <v>7441</v>
      </c>
      <c r="B7442" s="3" t="s">
        <v>16187</v>
      </c>
      <c r="C7442" s="3" t="s">
        <v>2163</v>
      </c>
      <c r="D7442" s="4" t="s">
        <v>16188</v>
      </c>
      <c r="E7442" s="3" t="s">
        <v>7007</v>
      </c>
      <c r="F7442" s="3" t="s">
        <v>10943</v>
      </c>
      <c r="G7442" s="3" t="s">
        <v>98</v>
      </c>
      <c r="H7442" s="4"/>
    </row>
    <row r="7443" ht="16.5" customHeight="1" spans="1:8">
      <c r="A7443" s="3">
        <v>7442</v>
      </c>
      <c r="B7443" s="3" t="s">
        <v>16189</v>
      </c>
      <c r="C7443" s="3" t="s">
        <v>1074</v>
      </c>
      <c r="D7443" s="4" t="s">
        <v>16190</v>
      </c>
      <c r="E7443" s="3" t="s">
        <v>1076</v>
      </c>
      <c r="F7443" s="3" t="s">
        <v>10259</v>
      </c>
      <c r="G7443" s="3"/>
      <c r="H7443" s="4" t="s">
        <v>4322</v>
      </c>
    </row>
    <row r="7444" ht="16.5" customHeight="1" spans="1:8">
      <c r="A7444" s="3">
        <v>7443</v>
      </c>
      <c r="B7444" s="3" t="s">
        <v>16191</v>
      </c>
      <c r="C7444" s="3" t="s">
        <v>1074</v>
      </c>
      <c r="D7444" s="4" t="s">
        <v>16192</v>
      </c>
      <c r="E7444" s="3" t="s">
        <v>1076</v>
      </c>
      <c r="F7444" s="3" t="s">
        <v>10259</v>
      </c>
      <c r="G7444" s="3"/>
      <c r="H7444" s="4" t="s">
        <v>4322</v>
      </c>
    </row>
    <row r="7445" ht="16.5" customHeight="1" spans="1:8">
      <c r="A7445" s="3">
        <v>7444</v>
      </c>
      <c r="B7445" s="3" t="s">
        <v>16193</v>
      </c>
      <c r="C7445" s="3" t="s">
        <v>1074</v>
      </c>
      <c r="D7445" s="4" t="s">
        <v>16194</v>
      </c>
      <c r="E7445" s="3" t="s">
        <v>1218</v>
      </c>
      <c r="F7445" s="3" t="s">
        <v>10259</v>
      </c>
      <c r="G7445" s="3"/>
      <c r="H7445" s="4" t="s">
        <v>4322</v>
      </c>
    </row>
    <row r="7446" ht="16.5" customHeight="1" spans="1:8">
      <c r="A7446" s="3">
        <v>7445</v>
      </c>
      <c r="B7446" s="3" t="s">
        <v>16195</v>
      </c>
      <c r="C7446" s="3" t="s">
        <v>1074</v>
      </c>
      <c r="D7446" s="4" t="s">
        <v>16196</v>
      </c>
      <c r="E7446" s="3" t="s">
        <v>1076</v>
      </c>
      <c r="F7446" s="3" t="s">
        <v>10259</v>
      </c>
      <c r="G7446" s="3"/>
      <c r="H7446" s="4" t="s">
        <v>4322</v>
      </c>
    </row>
    <row r="7447" ht="16.5" customHeight="1" spans="1:8">
      <c r="A7447" s="3">
        <v>7446</v>
      </c>
      <c r="B7447" s="3" t="s">
        <v>16197</v>
      </c>
      <c r="C7447" s="3" t="s">
        <v>2163</v>
      </c>
      <c r="D7447" s="4" t="s">
        <v>16198</v>
      </c>
      <c r="E7447" s="3" t="s">
        <v>2726</v>
      </c>
      <c r="F7447" s="3" t="s">
        <v>2041</v>
      </c>
      <c r="G7447" s="3" t="s">
        <v>98</v>
      </c>
      <c r="H7447" s="4" t="s">
        <v>4322</v>
      </c>
    </row>
    <row r="7448" ht="16.5" customHeight="1" spans="1:8">
      <c r="A7448" s="3">
        <v>7447</v>
      </c>
      <c r="B7448" s="3" t="s">
        <v>16199</v>
      </c>
      <c r="C7448" s="3" t="s">
        <v>2163</v>
      </c>
      <c r="D7448" s="4" t="s">
        <v>16200</v>
      </c>
      <c r="E7448" s="3" t="s">
        <v>1076</v>
      </c>
      <c r="F7448" s="3" t="s">
        <v>10943</v>
      </c>
      <c r="G7448" s="3" t="s">
        <v>98</v>
      </c>
      <c r="H7448" s="4"/>
    </row>
    <row r="7449" ht="16.5" customHeight="1" spans="1:8">
      <c r="A7449" s="3">
        <v>7448</v>
      </c>
      <c r="B7449" s="3" t="s">
        <v>16201</v>
      </c>
      <c r="C7449" s="3" t="s">
        <v>2163</v>
      </c>
      <c r="D7449" s="4" t="s">
        <v>16202</v>
      </c>
      <c r="E7449" s="3" t="s">
        <v>1076</v>
      </c>
      <c r="F7449" s="3" t="s">
        <v>10943</v>
      </c>
      <c r="G7449" s="3" t="s">
        <v>98</v>
      </c>
      <c r="H7449" s="4"/>
    </row>
    <row r="7450" ht="16.5" customHeight="1" spans="1:8">
      <c r="A7450" s="3">
        <v>7449</v>
      </c>
      <c r="B7450" s="3" t="s">
        <v>16203</v>
      </c>
      <c r="C7450" s="3" t="s">
        <v>1356</v>
      </c>
      <c r="D7450" s="4" t="s">
        <v>16204</v>
      </c>
      <c r="E7450" s="3" t="s">
        <v>1076</v>
      </c>
      <c r="F7450" s="3" t="s">
        <v>2041</v>
      </c>
      <c r="G7450" s="3"/>
      <c r="H7450" s="4"/>
    </row>
    <row r="7451" ht="16.5" customHeight="1" spans="1:8">
      <c r="A7451" s="3">
        <v>7450</v>
      </c>
      <c r="B7451" s="3" t="s">
        <v>16205</v>
      </c>
      <c r="C7451" s="3" t="s">
        <v>1105</v>
      </c>
      <c r="D7451" s="4" t="s">
        <v>14348</v>
      </c>
      <c r="E7451" s="3" t="s">
        <v>1076</v>
      </c>
      <c r="F7451" s="3" t="s">
        <v>2041</v>
      </c>
      <c r="G7451" s="3"/>
      <c r="H7451" s="4" t="s">
        <v>15763</v>
      </c>
    </row>
    <row r="7452" ht="16.5" customHeight="1" spans="1:8">
      <c r="A7452" s="3">
        <v>7451</v>
      </c>
      <c r="B7452" s="3" t="s">
        <v>16206</v>
      </c>
      <c r="C7452" s="3" t="s">
        <v>1105</v>
      </c>
      <c r="D7452" s="4" t="s">
        <v>16207</v>
      </c>
      <c r="E7452" s="3" t="s">
        <v>1076</v>
      </c>
      <c r="F7452" s="3" t="s">
        <v>2041</v>
      </c>
      <c r="G7452" s="3"/>
      <c r="H7452" s="4" t="s">
        <v>15763</v>
      </c>
    </row>
    <row r="7453" ht="16.5" customHeight="1" spans="1:8">
      <c r="A7453" s="3">
        <v>7452</v>
      </c>
      <c r="B7453" s="3" t="s">
        <v>16208</v>
      </c>
      <c r="C7453" s="3" t="s">
        <v>1105</v>
      </c>
      <c r="D7453" s="4" t="s">
        <v>16209</v>
      </c>
      <c r="E7453" s="3" t="s">
        <v>1076</v>
      </c>
      <c r="F7453" s="3" t="s">
        <v>2041</v>
      </c>
      <c r="G7453" s="3"/>
      <c r="H7453" s="4" t="s">
        <v>15763</v>
      </c>
    </row>
    <row r="7454" ht="16.5" customHeight="1" spans="1:8">
      <c r="A7454" s="3">
        <v>7453</v>
      </c>
      <c r="B7454" s="3" t="s">
        <v>16210</v>
      </c>
      <c r="C7454" s="3" t="s">
        <v>1105</v>
      </c>
      <c r="D7454" s="4" t="s">
        <v>14911</v>
      </c>
      <c r="E7454" s="3" t="s">
        <v>1076</v>
      </c>
      <c r="F7454" s="3" t="s">
        <v>2041</v>
      </c>
      <c r="G7454" s="3"/>
      <c r="H7454" s="4" t="s">
        <v>16211</v>
      </c>
    </row>
    <row r="7455" ht="16.5" customHeight="1" spans="1:8">
      <c r="A7455" s="3">
        <v>7454</v>
      </c>
      <c r="B7455" s="3" t="s">
        <v>16212</v>
      </c>
      <c r="C7455" s="3" t="s">
        <v>1105</v>
      </c>
      <c r="D7455" s="4" t="s">
        <v>14911</v>
      </c>
      <c r="E7455" s="3" t="s">
        <v>15175</v>
      </c>
      <c r="F7455" s="3" t="s">
        <v>2041</v>
      </c>
      <c r="G7455" s="3"/>
      <c r="H7455" s="4" t="s">
        <v>16213</v>
      </c>
    </row>
    <row r="7456" ht="16.5" customHeight="1" spans="1:8">
      <c r="A7456" s="3">
        <v>7455</v>
      </c>
      <c r="B7456" s="3" t="s">
        <v>16214</v>
      </c>
      <c r="C7456" s="3" t="s">
        <v>1105</v>
      </c>
      <c r="D7456" s="4" t="s">
        <v>14998</v>
      </c>
      <c r="E7456" s="3" t="s">
        <v>16215</v>
      </c>
      <c r="F7456" s="3" t="s">
        <v>2041</v>
      </c>
      <c r="G7456" s="3"/>
      <c r="H7456" s="4" t="s">
        <v>16216</v>
      </c>
    </row>
    <row r="7457" ht="16.5" customHeight="1" spans="1:8">
      <c r="A7457" s="3">
        <v>7456</v>
      </c>
      <c r="B7457" s="3" t="s">
        <v>16217</v>
      </c>
      <c r="C7457" s="3" t="s">
        <v>1105</v>
      </c>
      <c r="D7457" s="4" t="s">
        <v>14998</v>
      </c>
      <c r="E7457" s="3" t="s">
        <v>16215</v>
      </c>
      <c r="F7457" s="3" t="s">
        <v>2041</v>
      </c>
      <c r="G7457" s="3"/>
      <c r="H7457" s="4" t="s">
        <v>16218</v>
      </c>
    </row>
    <row r="7458" ht="16.5" customHeight="1" spans="1:8">
      <c r="A7458" s="3">
        <v>7457</v>
      </c>
      <c r="B7458" s="3" t="s">
        <v>16219</v>
      </c>
      <c r="C7458" s="3" t="s">
        <v>1356</v>
      </c>
      <c r="D7458" s="4" t="s">
        <v>16220</v>
      </c>
      <c r="E7458" s="3" t="s">
        <v>1076</v>
      </c>
      <c r="F7458" s="3" t="s">
        <v>1358</v>
      </c>
      <c r="G7458" s="3"/>
      <c r="H7458" s="4"/>
    </row>
    <row r="7459" ht="16.5" customHeight="1" spans="1:8">
      <c r="A7459" s="3">
        <v>7458</v>
      </c>
      <c r="B7459" s="3" t="s">
        <v>16221</v>
      </c>
      <c r="C7459" s="3" t="s">
        <v>2163</v>
      </c>
      <c r="D7459" s="4" t="s">
        <v>16222</v>
      </c>
      <c r="E7459" s="3" t="s">
        <v>1076</v>
      </c>
      <c r="F7459" s="3" t="s">
        <v>2041</v>
      </c>
      <c r="G7459" s="3" t="s">
        <v>98</v>
      </c>
      <c r="H7459" s="4" t="s">
        <v>3812</v>
      </c>
    </row>
    <row r="7460" ht="16.5" customHeight="1" spans="1:8">
      <c r="A7460" s="3">
        <v>7459</v>
      </c>
      <c r="B7460" s="3" t="s">
        <v>16223</v>
      </c>
      <c r="C7460" s="3" t="s">
        <v>2163</v>
      </c>
      <c r="D7460" s="4" t="s">
        <v>16224</v>
      </c>
      <c r="E7460" s="3" t="s">
        <v>1076</v>
      </c>
      <c r="F7460" s="3" t="s">
        <v>10943</v>
      </c>
      <c r="G7460" s="3" t="s">
        <v>98</v>
      </c>
      <c r="H7460" s="4"/>
    </row>
    <row r="7461" ht="16.5" customHeight="1" spans="1:8">
      <c r="A7461" s="3">
        <v>7460</v>
      </c>
      <c r="B7461" s="3" t="s">
        <v>16225</v>
      </c>
      <c r="C7461" s="3" t="s">
        <v>2163</v>
      </c>
      <c r="D7461" s="4" t="s">
        <v>16226</v>
      </c>
      <c r="E7461" s="3" t="s">
        <v>1076</v>
      </c>
      <c r="F7461" s="3" t="s">
        <v>10943</v>
      </c>
      <c r="G7461" s="3" t="s">
        <v>98</v>
      </c>
      <c r="H7461" s="4"/>
    </row>
    <row r="7462" ht="16.5" customHeight="1" spans="1:8">
      <c r="A7462" s="3">
        <v>7461</v>
      </c>
      <c r="B7462" s="3" t="s">
        <v>16227</v>
      </c>
      <c r="C7462" s="3" t="s">
        <v>1105</v>
      </c>
      <c r="D7462" s="4" t="s">
        <v>16228</v>
      </c>
      <c r="E7462" s="3" t="s">
        <v>1076</v>
      </c>
      <c r="F7462" s="3" t="s">
        <v>2041</v>
      </c>
      <c r="G7462" s="3"/>
      <c r="H7462" s="4" t="s">
        <v>16211</v>
      </c>
    </row>
    <row r="7463" ht="16.5" customHeight="1" spans="1:8">
      <c r="A7463" s="3">
        <v>7462</v>
      </c>
      <c r="B7463" s="3" t="s">
        <v>16229</v>
      </c>
      <c r="C7463" s="3" t="s">
        <v>2163</v>
      </c>
      <c r="D7463" s="4" t="s">
        <v>16230</v>
      </c>
      <c r="E7463" s="3" t="s">
        <v>1076</v>
      </c>
      <c r="F7463" s="3" t="s">
        <v>2041</v>
      </c>
      <c r="G7463" s="3" t="s">
        <v>98</v>
      </c>
      <c r="H7463" s="4" t="s">
        <v>3812</v>
      </c>
    </row>
    <row r="7464" ht="16.5" customHeight="1" spans="1:8">
      <c r="A7464" s="3">
        <v>7463</v>
      </c>
      <c r="B7464" s="3" t="s">
        <v>16231</v>
      </c>
      <c r="C7464" s="3" t="s">
        <v>1074</v>
      </c>
      <c r="D7464" s="4" t="s">
        <v>16232</v>
      </c>
      <c r="E7464" s="3" t="s">
        <v>1164</v>
      </c>
      <c r="F7464" s="3" t="s">
        <v>10259</v>
      </c>
      <c r="G7464" s="3"/>
      <c r="H7464" s="4" t="s">
        <v>1305</v>
      </c>
    </row>
    <row r="7465" ht="16.5" customHeight="1" spans="1:8">
      <c r="A7465" s="3">
        <v>7464</v>
      </c>
      <c r="B7465" s="3" t="s">
        <v>16233</v>
      </c>
      <c r="C7465" s="3" t="s">
        <v>1105</v>
      </c>
      <c r="D7465" s="4" t="s">
        <v>16234</v>
      </c>
      <c r="E7465" s="3" t="s">
        <v>1218</v>
      </c>
      <c r="F7465" s="3" t="s">
        <v>10259</v>
      </c>
      <c r="G7465" s="3"/>
      <c r="H7465" s="4" t="s">
        <v>16235</v>
      </c>
    </row>
    <row r="7466" ht="16.5" customHeight="1" spans="1:8">
      <c r="A7466" s="3">
        <v>7465</v>
      </c>
      <c r="B7466" s="3" t="s">
        <v>16236</v>
      </c>
      <c r="C7466" s="3" t="s">
        <v>1105</v>
      </c>
      <c r="D7466" s="4" t="s">
        <v>16237</v>
      </c>
      <c r="E7466" s="3" t="s">
        <v>1218</v>
      </c>
      <c r="F7466" s="3" t="s">
        <v>10259</v>
      </c>
      <c r="G7466" s="3"/>
      <c r="H7466" s="4" t="s">
        <v>16235</v>
      </c>
    </row>
    <row r="7467" ht="16.5" customHeight="1" spans="1:8">
      <c r="A7467" s="3">
        <v>7466</v>
      </c>
      <c r="B7467" s="3" t="s">
        <v>16238</v>
      </c>
      <c r="C7467" s="3" t="s">
        <v>1074</v>
      </c>
      <c r="D7467" s="4" t="s">
        <v>16239</v>
      </c>
      <c r="E7467" s="3" t="s">
        <v>1218</v>
      </c>
      <c r="F7467" s="3" t="s">
        <v>10259</v>
      </c>
      <c r="G7467" s="3"/>
      <c r="H7467" s="4" t="s">
        <v>13731</v>
      </c>
    </row>
    <row r="7468" ht="16.5" customHeight="1" spans="1:8">
      <c r="A7468" s="3">
        <v>7467</v>
      </c>
      <c r="B7468" s="3" t="s">
        <v>16240</v>
      </c>
      <c r="C7468" s="3" t="s">
        <v>1074</v>
      </c>
      <c r="D7468" s="4" t="s">
        <v>16241</v>
      </c>
      <c r="E7468" s="3" t="s">
        <v>16215</v>
      </c>
      <c r="F7468" s="3" t="s">
        <v>10259</v>
      </c>
      <c r="G7468" s="3"/>
      <c r="H7468" s="4" t="s">
        <v>4322</v>
      </c>
    </row>
    <row r="7469" ht="16.5" customHeight="1" spans="1:8">
      <c r="A7469" s="3">
        <v>7468</v>
      </c>
      <c r="B7469" s="3" t="s">
        <v>16242</v>
      </c>
      <c r="C7469" s="3" t="s">
        <v>2163</v>
      </c>
      <c r="D7469" s="4" t="s">
        <v>16243</v>
      </c>
      <c r="E7469" s="3" t="s">
        <v>1076</v>
      </c>
      <c r="F7469" s="3" t="s">
        <v>2041</v>
      </c>
      <c r="G7469" s="3" t="s">
        <v>321</v>
      </c>
      <c r="H7469" s="4"/>
    </row>
    <row r="7470" ht="16.5" customHeight="1" spans="1:8">
      <c r="A7470" s="3">
        <v>7469</v>
      </c>
      <c r="B7470" s="3" t="s">
        <v>16244</v>
      </c>
      <c r="C7470" s="3" t="s">
        <v>2163</v>
      </c>
      <c r="D7470" s="4" t="s">
        <v>16245</v>
      </c>
      <c r="E7470" s="3" t="s">
        <v>2726</v>
      </c>
      <c r="F7470" s="3" t="s">
        <v>2105</v>
      </c>
      <c r="G7470" s="3"/>
      <c r="H7470" s="4" t="s">
        <v>7240</v>
      </c>
    </row>
    <row r="7471" ht="16.5" customHeight="1" spans="1:8">
      <c r="A7471" s="3">
        <v>7470</v>
      </c>
      <c r="B7471" s="3" t="s">
        <v>16246</v>
      </c>
      <c r="C7471" s="3" t="s">
        <v>2163</v>
      </c>
      <c r="D7471" s="4" t="s">
        <v>16247</v>
      </c>
      <c r="E7471" s="3" t="s">
        <v>2726</v>
      </c>
      <c r="F7471" s="3" t="s">
        <v>2105</v>
      </c>
      <c r="G7471" s="3"/>
      <c r="H7471" s="4" t="s">
        <v>7240</v>
      </c>
    </row>
    <row r="7472" ht="16.5" customHeight="1" spans="1:8">
      <c r="A7472" s="3">
        <v>7471</v>
      </c>
      <c r="B7472" s="3" t="s">
        <v>16248</v>
      </c>
      <c r="C7472" s="3" t="s">
        <v>2163</v>
      </c>
      <c r="D7472" s="4" t="s">
        <v>16249</v>
      </c>
      <c r="E7472" s="3" t="s">
        <v>2726</v>
      </c>
      <c r="F7472" s="3" t="s">
        <v>2105</v>
      </c>
      <c r="G7472" s="3"/>
      <c r="H7472" s="4" t="s">
        <v>7240</v>
      </c>
    </row>
    <row r="7473" ht="16.5" customHeight="1" spans="1:8">
      <c r="A7473" s="3">
        <v>7472</v>
      </c>
      <c r="B7473" s="3" t="s">
        <v>16250</v>
      </c>
      <c r="C7473" s="3" t="s">
        <v>2163</v>
      </c>
      <c r="D7473" s="4" t="s">
        <v>16251</v>
      </c>
      <c r="E7473" s="3" t="s">
        <v>2726</v>
      </c>
      <c r="F7473" s="3" t="s">
        <v>2105</v>
      </c>
      <c r="G7473" s="3"/>
      <c r="H7473" s="4" t="s">
        <v>7240</v>
      </c>
    </row>
    <row r="7474" ht="16.5" customHeight="1" spans="1:8">
      <c r="A7474" s="3">
        <v>7473</v>
      </c>
      <c r="B7474" s="3" t="s">
        <v>16252</v>
      </c>
      <c r="C7474" s="3" t="s">
        <v>2163</v>
      </c>
      <c r="D7474" s="4" t="s">
        <v>16253</v>
      </c>
      <c r="E7474" s="3" t="s">
        <v>2726</v>
      </c>
      <c r="F7474" s="3" t="s">
        <v>2105</v>
      </c>
      <c r="G7474" s="3"/>
      <c r="H7474" s="4" t="s">
        <v>7240</v>
      </c>
    </row>
    <row r="7475" ht="16.5" customHeight="1" spans="1:8">
      <c r="A7475" s="3">
        <v>7474</v>
      </c>
      <c r="B7475" s="3" t="s">
        <v>16254</v>
      </c>
      <c r="C7475" s="3" t="s">
        <v>2163</v>
      </c>
      <c r="D7475" s="4" t="s">
        <v>16255</v>
      </c>
      <c r="E7475" s="3" t="s">
        <v>2726</v>
      </c>
      <c r="F7475" s="3" t="s">
        <v>2105</v>
      </c>
      <c r="G7475" s="3"/>
      <c r="H7475" s="4" t="s">
        <v>7240</v>
      </c>
    </row>
    <row r="7476" ht="16.5" customHeight="1" spans="1:8">
      <c r="A7476" s="3">
        <v>7475</v>
      </c>
      <c r="B7476" s="3" t="s">
        <v>16256</v>
      </c>
      <c r="C7476" s="3" t="s">
        <v>2163</v>
      </c>
      <c r="D7476" s="4" t="s">
        <v>16255</v>
      </c>
      <c r="E7476" s="3" t="s">
        <v>2726</v>
      </c>
      <c r="F7476" s="3" t="s">
        <v>2105</v>
      </c>
      <c r="G7476" s="3"/>
      <c r="H7476" s="4" t="s">
        <v>7240</v>
      </c>
    </row>
    <row r="7477" ht="16.5" customHeight="1" spans="1:8">
      <c r="A7477" s="3">
        <v>7476</v>
      </c>
      <c r="B7477" s="3" t="s">
        <v>16257</v>
      </c>
      <c r="C7477" s="3" t="s">
        <v>2163</v>
      </c>
      <c r="D7477" s="4" t="s">
        <v>16258</v>
      </c>
      <c r="E7477" s="3" t="s">
        <v>2726</v>
      </c>
      <c r="F7477" s="3" t="s">
        <v>2105</v>
      </c>
      <c r="G7477" s="3"/>
      <c r="H7477" s="4" t="s">
        <v>7240</v>
      </c>
    </row>
    <row r="7478" ht="16.5" customHeight="1" spans="1:8">
      <c r="A7478" s="3">
        <v>7477</v>
      </c>
      <c r="B7478" s="3" t="s">
        <v>16259</v>
      </c>
      <c r="C7478" s="3" t="s">
        <v>2163</v>
      </c>
      <c r="D7478" s="4" t="s">
        <v>16260</v>
      </c>
      <c r="E7478" s="3" t="s">
        <v>2726</v>
      </c>
      <c r="F7478" s="3" t="s">
        <v>2105</v>
      </c>
      <c r="G7478" s="3"/>
      <c r="H7478" s="4" t="s">
        <v>7240</v>
      </c>
    </row>
    <row r="7479" ht="16.5" customHeight="1" spans="1:8">
      <c r="A7479" s="3">
        <v>7478</v>
      </c>
      <c r="B7479" s="3" t="s">
        <v>16261</v>
      </c>
      <c r="C7479" s="3" t="s">
        <v>2163</v>
      </c>
      <c r="D7479" s="4" t="s">
        <v>16262</v>
      </c>
      <c r="E7479" s="3" t="s">
        <v>2726</v>
      </c>
      <c r="F7479" s="3" t="s">
        <v>2105</v>
      </c>
      <c r="G7479" s="3"/>
      <c r="H7479" s="4" t="s">
        <v>7240</v>
      </c>
    </row>
    <row r="7480" ht="16.5" customHeight="1" spans="1:8">
      <c r="A7480" s="3">
        <v>7479</v>
      </c>
      <c r="B7480" s="3" t="s">
        <v>16263</v>
      </c>
      <c r="C7480" s="3" t="s">
        <v>2163</v>
      </c>
      <c r="D7480" s="4" t="s">
        <v>16264</v>
      </c>
      <c r="E7480" s="3" t="s">
        <v>2726</v>
      </c>
      <c r="F7480" s="3" t="s">
        <v>2105</v>
      </c>
      <c r="G7480" s="3"/>
      <c r="H7480" s="4" t="s">
        <v>7240</v>
      </c>
    </row>
    <row r="7481" ht="16.5" customHeight="1" spans="1:8">
      <c r="A7481" s="3">
        <v>7480</v>
      </c>
      <c r="B7481" s="3" t="s">
        <v>16265</v>
      </c>
      <c r="C7481" s="3" t="s">
        <v>2163</v>
      </c>
      <c r="D7481" s="4" t="s">
        <v>16266</v>
      </c>
      <c r="E7481" s="3" t="s">
        <v>2726</v>
      </c>
      <c r="F7481" s="3" t="s">
        <v>2105</v>
      </c>
      <c r="G7481" s="3"/>
      <c r="H7481" s="4" t="s">
        <v>7240</v>
      </c>
    </row>
    <row r="7482" ht="16.5" customHeight="1" spans="1:8">
      <c r="A7482" s="3">
        <v>7481</v>
      </c>
      <c r="B7482" s="3" t="s">
        <v>16267</v>
      </c>
      <c r="C7482" s="3" t="s">
        <v>2163</v>
      </c>
      <c r="D7482" s="4" t="s">
        <v>16268</v>
      </c>
      <c r="E7482" s="3" t="s">
        <v>2726</v>
      </c>
      <c r="F7482" s="3" t="s">
        <v>2105</v>
      </c>
      <c r="G7482" s="3"/>
      <c r="H7482" s="4" t="s">
        <v>7240</v>
      </c>
    </row>
    <row r="7483" ht="16.5" customHeight="1" spans="1:8">
      <c r="A7483" s="3">
        <v>7482</v>
      </c>
      <c r="B7483" s="3" t="s">
        <v>16269</v>
      </c>
      <c r="C7483" s="3" t="s">
        <v>2163</v>
      </c>
      <c r="D7483" s="4" t="s">
        <v>16270</v>
      </c>
      <c r="E7483" s="3" t="s">
        <v>2726</v>
      </c>
      <c r="F7483" s="3" t="s">
        <v>2105</v>
      </c>
      <c r="G7483" s="3"/>
      <c r="H7483" s="4" t="s">
        <v>7240</v>
      </c>
    </row>
    <row r="7484" ht="16.5" customHeight="1" spans="1:8">
      <c r="A7484" s="3">
        <v>7483</v>
      </c>
      <c r="B7484" s="3" t="s">
        <v>16271</v>
      </c>
      <c r="C7484" s="3" t="s">
        <v>2163</v>
      </c>
      <c r="D7484" s="4" t="s">
        <v>16272</v>
      </c>
      <c r="E7484" s="3" t="s">
        <v>2726</v>
      </c>
      <c r="F7484" s="3" t="s">
        <v>2105</v>
      </c>
      <c r="G7484" s="3"/>
      <c r="H7484" s="4" t="s">
        <v>7240</v>
      </c>
    </row>
    <row r="7485" ht="16.5" customHeight="1" spans="1:8">
      <c r="A7485" s="3">
        <v>7484</v>
      </c>
      <c r="B7485" s="3" t="s">
        <v>16273</v>
      </c>
      <c r="C7485" s="3" t="s">
        <v>2163</v>
      </c>
      <c r="D7485" s="4" t="s">
        <v>16274</v>
      </c>
      <c r="E7485" s="3" t="s">
        <v>1076</v>
      </c>
      <c r="F7485" s="3" t="s">
        <v>2105</v>
      </c>
      <c r="G7485" s="3"/>
      <c r="H7485" s="4" t="s">
        <v>7240</v>
      </c>
    </row>
    <row r="7486" ht="16.5" customHeight="1" spans="1:8">
      <c r="A7486" s="3">
        <v>7485</v>
      </c>
      <c r="B7486" s="3" t="s">
        <v>16275</v>
      </c>
      <c r="C7486" s="3" t="s">
        <v>2163</v>
      </c>
      <c r="D7486" s="4" t="s">
        <v>16276</v>
      </c>
      <c r="E7486" s="3" t="s">
        <v>2726</v>
      </c>
      <c r="F7486" s="3" t="s">
        <v>2105</v>
      </c>
      <c r="G7486" s="3"/>
      <c r="H7486" s="4" t="s">
        <v>7240</v>
      </c>
    </row>
    <row r="7487" ht="16.5" customHeight="1" spans="1:8">
      <c r="A7487" s="3">
        <v>7486</v>
      </c>
      <c r="B7487" s="3" t="s">
        <v>16277</v>
      </c>
      <c r="C7487" s="3" t="s">
        <v>2163</v>
      </c>
      <c r="D7487" s="4" t="s">
        <v>16278</v>
      </c>
      <c r="E7487" s="3" t="s">
        <v>2726</v>
      </c>
      <c r="F7487" s="3" t="s">
        <v>2105</v>
      </c>
      <c r="G7487" s="3"/>
      <c r="H7487" s="4" t="s">
        <v>7240</v>
      </c>
    </row>
    <row r="7488" ht="16.5" customHeight="1" spans="1:8">
      <c r="A7488" s="3">
        <v>7487</v>
      </c>
      <c r="B7488" s="3" t="s">
        <v>16279</v>
      </c>
      <c r="C7488" s="3" t="s">
        <v>2163</v>
      </c>
      <c r="D7488" s="4" t="s">
        <v>16280</v>
      </c>
      <c r="E7488" s="3" t="s">
        <v>2726</v>
      </c>
      <c r="F7488" s="3" t="s">
        <v>2105</v>
      </c>
      <c r="G7488" s="3"/>
      <c r="H7488" s="4" t="s">
        <v>7240</v>
      </c>
    </row>
    <row r="7489" ht="16.5" customHeight="1" spans="1:8">
      <c r="A7489" s="3">
        <v>7488</v>
      </c>
      <c r="B7489" s="3" t="s">
        <v>16281</v>
      </c>
      <c r="C7489" s="3" t="s">
        <v>2163</v>
      </c>
      <c r="D7489" s="4" t="s">
        <v>16282</v>
      </c>
      <c r="E7489" s="3" t="s">
        <v>2726</v>
      </c>
      <c r="F7489" s="3" t="s">
        <v>2105</v>
      </c>
      <c r="G7489" s="3"/>
      <c r="H7489" s="4" t="s">
        <v>7240</v>
      </c>
    </row>
    <row r="7490" ht="16.5" customHeight="1" spans="1:8">
      <c r="A7490" s="3">
        <v>7489</v>
      </c>
      <c r="B7490" s="3" t="s">
        <v>16283</v>
      </c>
      <c r="C7490" s="3" t="s">
        <v>2163</v>
      </c>
      <c r="D7490" s="4" t="s">
        <v>16284</v>
      </c>
      <c r="E7490" s="3" t="s">
        <v>2726</v>
      </c>
      <c r="F7490" s="3" t="s">
        <v>2105</v>
      </c>
      <c r="G7490" s="3"/>
      <c r="H7490" s="4" t="s">
        <v>7240</v>
      </c>
    </row>
    <row r="7491" ht="16.5" customHeight="1" spans="1:8">
      <c r="A7491" s="3">
        <v>7490</v>
      </c>
      <c r="B7491" s="3" t="s">
        <v>16285</v>
      </c>
      <c r="C7491" s="3" t="s">
        <v>2163</v>
      </c>
      <c r="D7491" s="4" t="s">
        <v>16286</v>
      </c>
      <c r="E7491" s="3" t="s">
        <v>2726</v>
      </c>
      <c r="F7491" s="3" t="s">
        <v>2105</v>
      </c>
      <c r="G7491" s="3"/>
      <c r="H7491" s="4" t="s">
        <v>7240</v>
      </c>
    </row>
    <row r="7492" ht="16.5" customHeight="1" spans="1:8">
      <c r="A7492" s="3">
        <v>7491</v>
      </c>
      <c r="B7492" s="3" t="s">
        <v>16287</v>
      </c>
      <c r="C7492" s="3" t="s">
        <v>2163</v>
      </c>
      <c r="D7492" s="4" t="s">
        <v>16288</v>
      </c>
      <c r="E7492" s="3" t="s">
        <v>2726</v>
      </c>
      <c r="F7492" s="3" t="s">
        <v>2105</v>
      </c>
      <c r="G7492" s="3"/>
      <c r="H7492" s="4" t="s">
        <v>7240</v>
      </c>
    </row>
    <row r="7493" ht="16.5" customHeight="1" spans="1:8">
      <c r="A7493" s="3">
        <v>7492</v>
      </c>
      <c r="B7493" s="3" t="s">
        <v>16289</v>
      </c>
      <c r="C7493" s="3" t="s">
        <v>2163</v>
      </c>
      <c r="D7493" s="4" t="s">
        <v>16290</v>
      </c>
      <c r="E7493" s="3" t="s">
        <v>2726</v>
      </c>
      <c r="F7493" s="3" t="s">
        <v>2105</v>
      </c>
      <c r="G7493" s="3"/>
      <c r="H7493" s="4" t="s">
        <v>7240</v>
      </c>
    </row>
    <row r="7494" ht="16.5" customHeight="1" spans="1:8">
      <c r="A7494" s="3">
        <v>7493</v>
      </c>
      <c r="B7494" s="3" t="s">
        <v>16291</v>
      </c>
      <c r="C7494" s="3" t="s">
        <v>2163</v>
      </c>
      <c r="D7494" s="4" t="s">
        <v>16292</v>
      </c>
      <c r="E7494" s="3" t="s">
        <v>2726</v>
      </c>
      <c r="F7494" s="3" t="s">
        <v>2105</v>
      </c>
      <c r="G7494" s="3"/>
      <c r="H7494" s="4" t="s">
        <v>7240</v>
      </c>
    </row>
    <row r="7495" ht="16.5" customHeight="1" spans="1:8">
      <c r="A7495" s="3">
        <v>7494</v>
      </c>
      <c r="B7495" s="3" t="s">
        <v>16293</v>
      </c>
      <c r="C7495" s="3" t="s">
        <v>2163</v>
      </c>
      <c r="D7495" s="4" t="s">
        <v>16294</v>
      </c>
      <c r="E7495" s="3" t="s">
        <v>2726</v>
      </c>
      <c r="F7495" s="3" t="s">
        <v>2105</v>
      </c>
      <c r="G7495" s="3"/>
      <c r="H7495" s="4" t="s">
        <v>7240</v>
      </c>
    </row>
    <row r="7496" ht="16.5" customHeight="1" spans="1:8">
      <c r="A7496" s="3">
        <v>7495</v>
      </c>
      <c r="B7496" s="3" t="s">
        <v>16295</v>
      </c>
      <c r="C7496" s="3" t="s">
        <v>2163</v>
      </c>
      <c r="D7496" s="4" t="s">
        <v>16296</v>
      </c>
      <c r="E7496" s="3" t="s">
        <v>2726</v>
      </c>
      <c r="F7496" s="3" t="s">
        <v>2105</v>
      </c>
      <c r="G7496" s="3"/>
      <c r="H7496" s="4" t="s">
        <v>7240</v>
      </c>
    </row>
    <row r="7497" ht="16.5" customHeight="1" spans="1:8">
      <c r="A7497" s="3">
        <v>7496</v>
      </c>
      <c r="B7497" s="3" t="s">
        <v>16297</v>
      </c>
      <c r="C7497" s="3" t="s">
        <v>2163</v>
      </c>
      <c r="D7497" s="4" t="s">
        <v>16298</v>
      </c>
      <c r="E7497" s="3" t="s">
        <v>2726</v>
      </c>
      <c r="F7497" s="3" t="s">
        <v>2105</v>
      </c>
      <c r="G7497" s="3"/>
      <c r="H7497" s="4" t="s">
        <v>7240</v>
      </c>
    </row>
    <row r="7498" ht="16.5" customHeight="1" spans="1:8">
      <c r="A7498" s="3">
        <v>7497</v>
      </c>
      <c r="B7498" s="3" t="s">
        <v>16299</v>
      </c>
      <c r="C7498" s="3" t="s">
        <v>2163</v>
      </c>
      <c r="D7498" s="4" t="s">
        <v>16300</v>
      </c>
      <c r="E7498" s="3" t="s">
        <v>2726</v>
      </c>
      <c r="F7498" s="3" t="s">
        <v>2105</v>
      </c>
      <c r="G7498" s="3"/>
      <c r="H7498" s="4" t="s">
        <v>7240</v>
      </c>
    </row>
    <row r="7499" ht="16.5" customHeight="1" spans="1:8">
      <c r="A7499" s="3">
        <v>7498</v>
      </c>
      <c r="B7499" s="3" t="s">
        <v>16301</v>
      </c>
      <c r="C7499" s="3" t="s">
        <v>2163</v>
      </c>
      <c r="D7499" s="4" t="s">
        <v>16302</v>
      </c>
      <c r="E7499" s="3" t="s">
        <v>2726</v>
      </c>
      <c r="F7499" s="3" t="s">
        <v>2105</v>
      </c>
      <c r="G7499" s="3"/>
      <c r="H7499" s="4" t="s">
        <v>7240</v>
      </c>
    </row>
    <row r="7500" ht="16.5" customHeight="1" spans="1:8">
      <c r="A7500" s="3">
        <v>7499</v>
      </c>
      <c r="B7500" s="3" t="s">
        <v>16303</v>
      </c>
      <c r="C7500" s="3" t="s">
        <v>2163</v>
      </c>
      <c r="D7500" s="4" t="s">
        <v>16304</v>
      </c>
      <c r="E7500" s="3" t="s">
        <v>2726</v>
      </c>
      <c r="F7500" s="3" t="s">
        <v>2105</v>
      </c>
      <c r="G7500" s="3"/>
      <c r="H7500" s="4" t="s">
        <v>7240</v>
      </c>
    </row>
    <row r="7501" ht="16.5" customHeight="1" spans="1:8">
      <c r="A7501" s="3">
        <v>7500</v>
      </c>
      <c r="B7501" s="3" t="s">
        <v>16305</v>
      </c>
      <c r="C7501" s="3" t="s">
        <v>2163</v>
      </c>
      <c r="D7501" s="4" t="s">
        <v>16306</v>
      </c>
      <c r="E7501" s="3" t="s">
        <v>2726</v>
      </c>
      <c r="F7501" s="3" t="s">
        <v>2105</v>
      </c>
      <c r="G7501" s="3"/>
      <c r="H7501" s="4" t="s">
        <v>7240</v>
      </c>
    </row>
    <row r="7502" ht="16.5" customHeight="1" spans="1:8">
      <c r="A7502" s="3">
        <v>7501</v>
      </c>
      <c r="B7502" s="3" t="s">
        <v>16307</v>
      </c>
      <c r="C7502" s="3" t="s">
        <v>2163</v>
      </c>
      <c r="D7502" s="4" t="s">
        <v>16308</v>
      </c>
      <c r="E7502" s="3" t="s">
        <v>2726</v>
      </c>
      <c r="F7502" s="3" t="s">
        <v>2105</v>
      </c>
      <c r="G7502" s="3"/>
      <c r="H7502" s="4" t="s">
        <v>7240</v>
      </c>
    </row>
    <row r="7503" ht="16.5" customHeight="1" spans="1:8">
      <c r="A7503" s="3">
        <v>7502</v>
      </c>
      <c r="B7503" s="3" t="s">
        <v>16309</v>
      </c>
      <c r="C7503" s="3" t="s">
        <v>2163</v>
      </c>
      <c r="D7503" s="4" t="s">
        <v>16310</v>
      </c>
      <c r="E7503" s="3" t="s">
        <v>2726</v>
      </c>
      <c r="F7503" s="3" t="s">
        <v>2105</v>
      </c>
      <c r="G7503" s="3"/>
      <c r="H7503" s="4" t="s">
        <v>7240</v>
      </c>
    </row>
    <row r="7504" ht="16.5" customHeight="1" spans="1:8">
      <c r="A7504" s="3">
        <v>7503</v>
      </c>
      <c r="B7504" s="3" t="s">
        <v>16311</v>
      </c>
      <c r="C7504" s="3" t="s">
        <v>2163</v>
      </c>
      <c r="D7504" s="4" t="s">
        <v>16312</v>
      </c>
      <c r="E7504" s="3" t="s">
        <v>2726</v>
      </c>
      <c r="F7504" s="3" t="s">
        <v>2105</v>
      </c>
      <c r="G7504" s="3"/>
      <c r="H7504" s="4" t="s">
        <v>7240</v>
      </c>
    </row>
    <row r="7505" ht="16.5" customHeight="1" spans="1:8">
      <c r="A7505" s="3">
        <v>7504</v>
      </c>
      <c r="B7505" s="3" t="s">
        <v>16313</v>
      </c>
      <c r="C7505" s="3" t="s">
        <v>2163</v>
      </c>
      <c r="D7505" s="4" t="s">
        <v>16314</v>
      </c>
      <c r="E7505" s="3" t="s">
        <v>2726</v>
      </c>
      <c r="F7505" s="3" t="s">
        <v>2105</v>
      </c>
      <c r="G7505" s="3"/>
      <c r="H7505" s="4" t="s">
        <v>7240</v>
      </c>
    </row>
    <row r="7506" ht="16.5" customHeight="1" spans="1:8">
      <c r="A7506" s="3">
        <v>7505</v>
      </c>
      <c r="B7506" s="3" t="s">
        <v>16315</v>
      </c>
      <c r="C7506" s="3" t="s">
        <v>1356</v>
      </c>
      <c r="D7506" s="4" t="s">
        <v>16316</v>
      </c>
      <c r="E7506" s="3" t="s">
        <v>1076</v>
      </c>
      <c r="F7506" s="3" t="s">
        <v>2041</v>
      </c>
      <c r="G7506" s="3"/>
      <c r="H7506" s="4"/>
    </row>
    <row r="7507" ht="16.5" customHeight="1" spans="1:8">
      <c r="A7507" s="3">
        <v>7506</v>
      </c>
      <c r="B7507" s="3" t="s">
        <v>16317</v>
      </c>
      <c r="C7507" s="3" t="s">
        <v>1105</v>
      </c>
      <c r="D7507" s="4" t="s">
        <v>16318</v>
      </c>
      <c r="E7507" s="3" t="s">
        <v>15175</v>
      </c>
      <c r="F7507" s="3" t="s">
        <v>10943</v>
      </c>
      <c r="G7507" s="3"/>
      <c r="H7507" s="4" t="s">
        <v>16319</v>
      </c>
    </row>
    <row r="7508" ht="16.5" customHeight="1" spans="1:8">
      <c r="A7508" s="3">
        <v>7507</v>
      </c>
      <c r="B7508" s="3" t="s">
        <v>16320</v>
      </c>
      <c r="C7508" s="3" t="s">
        <v>2163</v>
      </c>
      <c r="D7508" s="4" t="s">
        <v>16247</v>
      </c>
      <c r="E7508" s="3" t="s">
        <v>2726</v>
      </c>
      <c r="F7508" s="3" t="s">
        <v>2105</v>
      </c>
      <c r="G7508" s="3"/>
      <c r="H7508" s="4" t="s">
        <v>7240</v>
      </c>
    </row>
    <row r="7509" ht="16.5" customHeight="1" spans="1:8">
      <c r="A7509" s="3">
        <v>7508</v>
      </c>
      <c r="B7509" s="3" t="s">
        <v>16321</v>
      </c>
      <c r="C7509" s="3" t="s">
        <v>2163</v>
      </c>
      <c r="D7509" s="4" t="s">
        <v>16322</v>
      </c>
      <c r="E7509" s="3" t="s">
        <v>2726</v>
      </c>
      <c r="F7509" s="3" t="s">
        <v>2105</v>
      </c>
      <c r="G7509" s="3"/>
      <c r="H7509" s="4" t="s">
        <v>7240</v>
      </c>
    </row>
    <row r="7510" ht="16.5" customHeight="1" spans="1:8">
      <c r="A7510" s="3">
        <v>7509</v>
      </c>
      <c r="B7510" s="3" t="s">
        <v>16323</v>
      </c>
      <c r="C7510" s="3" t="s">
        <v>2163</v>
      </c>
      <c r="D7510" s="4" t="s">
        <v>16324</v>
      </c>
      <c r="E7510" s="3" t="s">
        <v>2726</v>
      </c>
      <c r="F7510" s="3" t="s">
        <v>2105</v>
      </c>
      <c r="G7510" s="3"/>
      <c r="H7510" s="4" t="s">
        <v>7240</v>
      </c>
    </row>
    <row r="7511" ht="16.5" customHeight="1" spans="1:8">
      <c r="A7511" s="3">
        <v>7510</v>
      </c>
      <c r="B7511" s="3" t="s">
        <v>16325</v>
      </c>
      <c r="C7511" s="3" t="s">
        <v>2163</v>
      </c>
      <c r="D7511" s="4" t="s">
        <v>16326</v>
      </c>
      <c r="E7511" s="3" t="s">
        <v>2726</v>
      </c>
      <c r="F7511" s="3" t="s">
        <v>2105</v>
      </c>
      <c r="G7511" s="3"/>
      <c r="H7511" s="4" t="s">
        <v>7240</v>
      </c>
    </row>
    <row r="7512" ht="16.5" customHeight="1" spans="1:8">
      <c r="A7512" s="3">
        <v>7511</v>
      </c>
      <c r="B7512" s="3" t="s">
        <v>16327</v>
      </c>
      <c r="C7512" s="3" t="s">
        <v>2163</v>
      </c>
      <c r="D7512" s="4" t="s">
        <v>16328</v>
      </c>
      <c r="E7512" s="3" t="s">
        <v>2726</v>
      </c>
      <c r="F7512" s="3" t="s">
        <v>2105</v>
      </c>
      <c r="G7512" s="3"/>
      <c r="H7512" s="4" t="s">
        <v>7240</v>
      </c>
    </row>
    <row r="7513" ht="16.5" customHeight="1" spans="1:8">
      <c r="A7513" s="3">
        <v>7512</v>
      </c>
      <c r="B7513" s="3" t="s">
        <v>16329</v>
      </c>
      <c r="C7513" s="3" t="s">
        <v>2163</v>
      </c>
      <c r="D7513" s="4" t="s">
        <v>16330</v>
      </c>
      <c r="E7513" s="3" t="s">
        <v>2726</v>
      </c>
      <c r="F7513" s="3" t="s">
        <v>2105</v>
      </c>
      <c r="G7513" s="3"/>
      <c r="H7513" s="4" t="s">
        <v>7240</v>
      </c>
    </row>
    <row r="7514" ht="16.5" customHeight="1" spans="1:8">
      <c r="A7514" s="3">
        <v>7513</v>
      </c>
      <c r="B7514" s="3" t="s">
        <v>16331</v>
      </c>
      <c r="C7514" s="3" t="s">
        <v>2163</v>
      </c>
      <c r="D7514" s="4" t="s">
        <v>16332</v>
      </c>
      <c r="E7514" s="3" t="s">
        <v>2726</v>
      </c>
      <c r="F7514" s="3" t="s">
        <v>2105</v>
      </c>
      <c r="G7514" s="3"/>
      <c r="H7514" s="4" t="s">
        <v>7240</v>
      </c>
    </row>
    <row r="7515" ht="16.5" customHeight="1" spans="1:8">
      <c r="A7515" s="3">
        <v>7514</v>
      </c>
      <c r="B7515" s="3" t="s">
        <v>16333</v>
      </c>
      <c r="C7515" s="3" t="s">
        <v>2163</v>
      </c>
      <c r="D7515" s="4" t="s">
        <v>16334</v>
      </c>
      <c r="E7515" s="3" t="s">
        <v>2726</v>
      </c>
      <c r="F7515" s="3" t="s">
        <v>2105</v>
      </c>
      <c r="G7515" s="3"/>
      <c r="H7515" s="4" t="s">
        <v>7240</v>
      </c>
    </row>
    <row r="7516" ht="16.5" customHeight="1" spans="1:8">
      <c r="A7516" s="3">
        <v>7515</v>
      </c>
      <c r="B7516" s="3" t="s">
        <v>16335</v>
      </c>
      <c r="C7516" s="3" t="s">
        <v>2163</v>
      </c>
      <c r="D7516" s="4" t="s">
        <v>16336</v>
      </c>
      <c r="E7516" s="3" t="s">
        <v>2726</v>
      </c>
      <c r="F7516" s="3" t="s">
        <v>2105</v>
      </c>
      <c r="G7516" s="3"/>
      <c r="H7516" s="4" t="s">
        <v>7240</v>
      </c>
    </row>
    <row r="7517" ht="16.5" customHeight="1" spans="1:8">
      <c r="A7517" s="3">
        <v>7516</v>
      </c>
      <c r="B7517" s="3" t="s">
        <v>16337</v>
      </c>
      <c r="C7517" s="3" t="s">
        <v>2163</v>
      </c>
      <c r="D7517" s="4" t="s">
        <v>16272</v>
      </c>
      <c r="E7517" s="3" t="s">
        <v>2726</v>
      </c>
      <c r="F7517" s="3" t="s">
        <v>2105</v>
      </c>
      <c r="G7517" s="3"/>
      <c r="H7517" s="4" t="s">
        <v>7240</v>
      </c>
    </row>
    <row r="7518" ht="16.5" customHeight="1" spans="1:8">
      <c r="A7518" s="3">
        <v>7517</v>
      </c>
      <c r="B7518" s="3" t="s">
        <v>16338</v>
      </c>
      <c r="C7518" s="3" t="s">
        <v>2163</v>
      </c>
      <c r="D7518" s="4" t="s">
        <v>16339</v>
      </c>
      <c r="E7518" s="3" t="s">
        <v>2726</v>
      </c>
      <c r="F7518" s="3" t="s">
        <v>2105</v>
      </c>
      <c r="G7518" s="3"/>
      <c r="H7518" s="4" t="s">
        <v>7240</v>
      </c>
    </row>
    <row r="7519" ht="16.5" customHeight="1" spans="1:8">
      <c r="A7519" s="3">
        <v>7518</v>
      </c>
      <c r="B7519" s="3" t="s">
        <v>16340</v>
      </c>
      <c r="C7519" s="3" t="s">
        <v>2163</v>
      </c>
      <c r="D7519" s="4" t="s">
        <v>16341</v>
      </c>
      <c r="E7519" s="3" t="s">
        <v>2726</v>
      </c>
      <c r="F7519" s="3" t="s">
        <v>2105</v>
      </c>
      <c r="G7519" s="3"/>
      <c r="H7519" s="4" t="s">
        <v>7240</v>
      </c>
    </row>
    <row r="7520" ht="16.5" customHeight="1" spans="1:8">
      <c r="A7520" s="3">
        <v>7519</v>
      </c>
      <c r="B7520" s="3" t="s">
        <v>16342</v>
      </c>
      <c r="C7520" s="3" t="s">
        <v>2163</v>
      </c>
      <c r="D7520" s="4" t="s">
        <v>16274</v>
      </c>
      <c r="E7520" s="3" t="s">
        <v>1076</v>
      </c>
      <c r="F7520" s="3" t="s">
        <v>2105</v>
      </c>
      <c r="G7520" s="3"/>
      <c r="H7520" s="4" t="s">
        <v>7240</v>
      </c>
    </row>
    <row r="7521" ht="16.5" customHeight="1" spans="1:8">
      <c r="A7521" s="3">
        <v>7520</v>
      </c>
      <c r="B7521" s="3" t="s">
        <v>16343</v>
      </c>
      <c r="C7521" s="3" t="s">
        <v>2163</v>
      </c>
      <c r="D7521" s="4" t="s">
        <v>16344</v>
      </c>
      <c r="E7521" s="3" t="s">
        <v>2726</v>
      </c>
      <c r="F7521" s="3" t="s">
        <v>2105</v>
      </c>
      <c r="G7521" s="3"/>
      <c r="H7521" s="4" t="s">
        <v>7240</v>
      </c>
    </row>
    <row r="7522" ht="16.5" customHeight="1" spans="1:8">
      <c r="A7522" s="3">
        <v>7521</v>
      </c>
      <c r="B7522" s="3" t="s">
        <v>16345</v>
      </c>
      <c r="C7522" s="3" t="s">
        <v>2163</v>
      </c>
      <c r="D7522" s="4" t="s">
        <v>16276</v>
      </c>
      <c r="E7522" s="3" t="s">
        <v>2726</v>
      </c>
      <c r="F7522" s="3" t="s">
        <v>2105</v>
      </c>
      <c r="G7522" s="3"/>
      <c r="H7522" s="4" t="s">
        <v>7240</v>
      </c>
    </row>
    <row r="7523" ht="16.5" customHeight="1" spans="1:8">
      <c r="A7523" s="3">
        <v>7522</v>
      </c>
      <c r="B7523" s="3" t="s">
        <v>16346</v>
      </c>
      <c r="C7523" s="3" t="s">
        <v>2163</v>
      </c>
      <c r="D7523" s="4" t="s">
        <v>16347</v>
      </c>
      <c r="E7523" s="3" t="s">
        <v>2726</v>
      </c>
      <c r="F7523" s="3" t="s">
        <v>2105</v>
      </c>
      <c r="G7523" s="3"/>
      <c r="H7523" s="4" t="s">
        <v>7240</v>
      </c>
    </row>
    <row r="7524" ht="16.5" customHeight="1" spans="1:8">
      <c r="A7524" s="3">
        <v>7523</v>
      </c>
      <c r="B7524" s="3" t="s">
        <v>16348</v>
      </c>
      <c r="C7524" s="3" t="s">
        <v>2163</v>
      </c>
      <c r="D7524" s="4" t="s">
        <v>16292</v>
      </c>
      <c r="E7524" s="3" t="s">
        <v>2726</v>
      </c>
      <c r="F7524" s="3" t="s">
        <v>2105</v>
      </c>
      <c r="G7524" s="3"/>
      <c r="H7524" s="4" t="s">
        <v>7240</v>
      </c>
    </row>
    <row r="7525" ht="16.5" customHeight="1" spans="1:8">
      <c r="A7525" s="3">
        <v>7524</v>
      </c>
      <c r="B7525" s="3" t="s">
        <v>277</v>
      </c>
      <c r="C7525" s="3" t="s">
        <v>1074</v>
      </c>
      <c r="D7525" s="4" t="s">
        <v>16349</v>
      </c>
      <c r="E7525" s="3" t="s">
        <v>1218</v>
      </c>
      <c r="F7525" s="3" t="s">
        <v>10259</v>
      </c>
      <c r="G7525" s="3"/>
      <c r="H7525" s="4" t="s">
        <v>7502</v>
      </c>
    </row>
    <row r="7526" ht="16.5" customHeight="1" spans="1:8">
      <c r="A7526" s="3">
        <v>7525</v>
      </c>
      <c r="B7526" s="3" t="s">
        <v>16350</v>
      </c>
      <c r="C7526" s="3" t="s">
        <v>1074</v>
      </c>
      <c r="D7526" s="4" t="s">
        <v>16351</v>
      </c>
      <c r="E7526" s="3" t="s">
        <v>1218</v>
      </c>
      <c r="F7526" s="3" t="s">
        <v>10259</v>
      </c>
      <c r="G7526" s="3"/>
      <c r="H7526" s="4" t="s">
        <v>7502</v>
      </c>
    </row>
    <row r="7527" ht="16.5" customHeight="1" spans="1:8">
      <c r="A7527" s="3">
        <v>7526</v>
      </c>
      <c r="B7527" s="3" t="s">
        <v>16352</v>
      </c>
      <c r="C7527" s="3" t="s">
        <v>2163</v>
      </c>
      <c r="D7527" s="4" t="s">
        <v>16353</v>
      </c>
      <c r="E7527" s="3" t="s">
        <v>1076</v>
      </c>
      <c r="F7527" s="3" t="s">
        <v>2041</v>
      </c>
      <c r="G7527" s="3" t="s">
        <v>98</v>
      </c>
      <c r="H7527" s="4" t="s">
        <v>4322</v>
      </c>
    </row>
    <row r="7528" ht="16.5" customHeight="1" spans="1:8">
      <c r="A7528" s="3">
        <v>7527</v>
      </c>
      <c r="B7528" s="3" t="s">
        <v>16354</v>
      </c>
      <c r="C7528" s="3" t="s">
        <v>2163</v>
      </c>
      <c r="D7528" s="4" t="s">
        <v>16355</v>
      </c>
      <c r="E7528" s="3" t="s">
        <v>1076</v>
      </c>
      <c r="F7528" s="3" t="s">
        <v>2041</v>
      </c>
      <c r="G7528" s="3" t="s">
        <v>98</v>
      </c>
      <c r="H7528" s="4" t="s">
        <v>12433</v>
      </c>
    </row>
    <row r="7529" ht="16.5" customHeight="1" spans="1:8">
      <c r="A7529" s="3">
        <v>7528</v>
      </c>
      <c r="B7529" s="3" t="s">
        <v>16356</v>
      </c>
      <c r="C7529" s="3" t="s">
        <v>2163</v>
      </c>
      <c r="D7529" s="4" t="s">
        <v>16357</v>
      </c>
      <c r="E7529" s="3" t="s">
        <v>1076</v>
      </c>
      <c r="F7529" s="3" t="s">
        <v>2041</v>
      </c>
      <c r="G7529" s="3" t="s">
        <v>98</v>
      </c>
      <c r="H7529" s="4" t="s">
        <v>12433</v>
      </c>
    </row>
    <row r="7530" ht="16.5" customHeight="1" spans="1:8">
      <c r="A7530" s="3">
        <v>7529</v>
      </c>
      <c r="B7530" s="3" t="s">
        <v>16358</v>
      </c>
      <c r="C7530" s="3" t="s">
        <v>1074</v>
      </c>
      <c r="D7530" s="4" t="s">
        <v>16359</v>
      </c>
      <c r="E7530" s="3" t="s">
        <v>1218</v>
      </c>
      <c r="F7530" s="3" t="s">
        <v>10259</v>
      </c>
      <c r="G7530" s="3"/>
      <c r="H7530" s="4" t="s">
        <v>3812</v>
      </c>
    </row>
    <row r="7531" ht="16.5" customHeight="1" spans="1:8">
      <c r="A7531" s="3">
        <v>7530</v>
      </c>
      <c r="B7531" s="3" t="s">
        <v>16360</v>
      </c>
      <c r="C7531" s="3" t="s">
        <v>2163</v>
      </c>
      <c r="D7531" s="4" t="s">
        <v>16361</v>
      </c>
      <c r="E7531" s="3" t="s">
        <v>1076</v>
      </c>
      <c r="F7531" s="3" t="s">
        <v>10943</v>
      </c>
      <c r="G7531" s="3" t="s">
        <v>98</v>
      </c>
      <c r="H7531" s="4" t="s">
        <v>3812</v>
      </c>
    </row>
    <row r="7532" ht="16.5" customHeight="1" spans="1:8">
      <c r="A7532" s="3">
        <v>7531</v>
      </c>
      <c r="B7532" s="3" t="s">
        <v>16362</v>
      </c>
      <c r="C7532" s="3" t="s">
        <v>1074</v>
      </c>
      <c r="D7532" s="4" t="s">
        <v>16363</v>
      </c>
      <c r="E7532" s="3" t="s">
        <v>1218</v>
      </c>
      <c r="F7532" s="3" t="s">
        <v>13816</v>
      </c>
      <c r="G7532" s="3"/>
      <c r="H7532" s="4" t="s">
        <v>12433</v>
      </c>
    </row>
    <row r="7533" ht="16.5" customHeight="1" spans="1:8">
      <c r="A7533" s="3">
        <v>7532</v>
      </c>
      <c r="B7533" s="3" t="s">
        <v>16364</v>
      </c>
      <c r="C7533" s="3" t="s">
        <v>2163</v>
      </c>
      <c r="D7533" s="4" t="s">
        <v>16365</v>
      </c>
      <c r="E7533" s="3" t="s">
        <v>2726</v>
      </c>
      <c r="F7533" s="3" t="s">
        <v>10943</v>
      </c>
      <c r="G7533" s="3" t="s">
        <v>98</v>
      </c>
      <c r="H7533" s="4"/>
    </row>
    <row r="7534" ht="16.5" customHeight="1" spans="1:8">
      <c r="A7534" s="3">
        <v>7533</v>
      </c>
      <c r="B7534" s="3" t="s">
        <v>16366</v>
      </c>
      <c r="C7534" s="3" t="s">
        <v>2163</v>
      </c>
      <c r="D7534" s="4" t="s">
        <v>16367</v>
      </c>
      <c r="E7534" s="3" t="s">
        <v>2726</v>
      </c>
      <c r="F7534" s="3" t="s">
        <v>2105</v>
      </c>
      <c r="G7534" s="3"/>
      <c r="H7534" s="4"/>
    </row>
    <row r="7535" ht="16.5" customHeight="1" spans="1:8">
      <c r="A7535" s="3">
        <v>7534</v>
      </c>
      <c r="B7535" s="3" t="s">
        <v>16368</v>
      </c>
      <c r="C7535" s="3" t="s">
        <v>1074</v>
      </c>
      <c r="D7535" s="4" t="s">
        <v>16369</v>
      </c>
      <c r="E7535" s="3" t="s">
        <v>1218</v>
      </c>
      <c r="F7535" s="3" t="s">
        <v>10259</v>
      </c>
      <c r="G7535" s="3"/>
      <c r="H7535" s="4" t="s">
        <v>4404</v>
      </c>
    </row>
    <row r="7536" ht="16.5" customHeight="1" spans="1:8">
      <c r="A7536" s="3">
        <v>7535</v>
      </c>
      <c r="B7536" s="3" t="s">
        <v>16370</v>
      </c>
      <c r="C7536" s="3" t="s">
        <v>1074</v>
      </c>
      <c r="D7536" s="4" t="s">
        <v>16371</v>
      </c>
      <c r="E7536" s="3" t="s">
        <v>1076</v>
      </c>
      <c r="F7536" s="3" t="s">
        <v>10259</v>
      </c>
      <c r="G7536" s="3"/>
      <c r="H7536" s="4" t="s">
        <v>4322</v>
      </c>
    </row>
    <row r="7537" ht="16.5" customHeight="1" spans="1:8">
      <c r="A7537" s="3">
        <v>7536</v>
      </c>
      <c r="B7537" s="3" t="s">
        <v>16372</v>
      </c>
      <c r="C7537" s="3" t="s">
        <v>1074</v>
      </c>
      <c r="D7537" s="4" t="s">
        <v>16373</v>
      </c>
      <c r="E7537" s="3" t="s">
        <v>1076</v>
      </c>
      <c r="F7537" s="3" t="s">
        <v>10259</v>
      </c>
      <c r="G7537" s="3"/>
      <c r="H7537" s="4" t="s">
        <v>3812</v>
      </c>
    </row>
    <row r="7538" ht="16.5" customHeight="1" spans="1:8">
      <c r="A7538" s="3">
        <v>7537</v>
      </c>
      <c r="B7538" s="3" t="s">
        <v>16374</v>
      </c>
      <c r="C7538" s="3" t="s">
        <v>2163</v>
      </c>
      <c r="D7538" s="4" t="s">
        <v>16375</v>
      </c>
      <c r="E7538" s="3" t="s">
        <v>1076</v>
      </c>
      <c r="F7538" s="3" t="s">
        <v>2041</v>
      </c>
      <c r="G7538" s="3" t="s">
        <v>98</v>
      </c>
      <c r="H7538" s="4" t="s">
        <v>12433</v>
      </c>
    </row>
    <row r="7539" ht="16.5" customHeight="1" spans="1:8">
      <c r="A7539" s="3">
        <v>7538</v>
      </c>
      <c r="B7539" s="3" t="s">
        <v>16376</v>
      </c>
      <c r="C7539" s="3" t="s">
        <v>2163</v>
      </c>
      <c r="D7539" s="4" t="s">
        <v>16377</v>
      </c>
      <c r="E7539" s="3" t="s">
        <v>1076</v>
      </c>
      <c r="F7539" s="3" t="s">
        <v>10943</v>
      </c>
      <c r="G7539" s="3" t="s">
        <v>98</v>
      </c>
      <c r="H7539" s="4" t="s">
        <v>4322</v>
      </c>
    </row>
    <row r="7540" ht="16.5" customHeight="1" spans="1:8">
      <c r="A7540" s="3">
        <v>7539</v>
      </c>
      <c r="B7540" s="3" t="s">
        <v>16378</v>
      </c>
      <c r="C7540" s="3" t="s">
        <v>2163</v>
      </c>
      <c r="D7540" s="4" t="s">
        <v>16379</v>
      </c>
      <c r="E7540" s="3" t="s">
        <v>1076</v>
      </c>
      <c r="F7540" s="3" t="s">
        <v>10943</v>
      </c>
      <c r="G7540" s="3" t="s">
        <v>98</v>
      </c>
      <c r="H7540" s="4" t="s">
        <v>4322</v>
      </c>
    </row>
    <row r="7541" ht="16.5" customHeight="1" spans="1:8">
      <c r="A7541" s="3">
        <v>7540</v>
      </c>
      <c r="B7541" s="3" t="s">
        <v>16380</v>
      </c>
      <c r="C7541" s="3" t="s">
        <v>1105</v>
      </c>
      <c r="D7541" s="4" t="s">
        <v>15493</v>
      </c>
      <c r="E7541" s="3" t="s">
        <v>1218</v>
      </c>
      <c r="F7541" s="3" t="s">
        <v>10943</v>
      </c>
      <c r="G7541" s="3"/>
      <c r="H7541" s="4" t="s">
        <v>16381</v>
      </c>
    </row>
    <row r="7542" ht="16.5" customHeight="1" spans="1:8">
      <c r="A7542" s="3">
        <v>7541</v>
      </c>
      <c r="B7542" s="3" t="s">
        <v>16382</v>
      </c>
      <c r="C7542" s="3" t="s">
        <v>1105</v>
      </c>
      <c r="D7542" s="4" t="s">
        <v>14911</v>
      </c>
      <c r="E7542" s="3" t="s">
        <v>15175</v>
      </c>
      <c r="F7542" s="3" t="s">
        <v>2041</v>
      </c>
      <c r="G7542" s="3"/>
      <c r="H7542" s="4" t="s">
        <v>16383</v>
      </c>
    </row>
    <row r="7543" ht="16.5" customHeight="1" spans="1:8">
      <c r="A7543" s="3">
        <v>7542</v>
      </c>
      <c r="B7543" s="3" t="s">
        <v>16384</v>
      </c>
      <c r="C7543" s="3" t="s">
        <v>1105</v>
      </c>
      <c r="D7543" s="4" t="s">
        <v>14348</v>
      </c>
      <c r="E7543" s="3" t="s">
        <v>15175</v>
      </c>
      <c r="F7543" s="3" t="s">
        <v>2041</v>
      </c>
      <c r="G7543" s="3"/>
      <c r="H7543" s="4" t="s">
        <v>16383</v>
      </c>
    </row>
    <row r="7544" ht="16.5" customHeight="1" spans="1:8">
      <c r="A7544" s="3">
        <v>7543</v>
      </c>
      <c r="B7544" s="3" t="s">
        <v>16385</v>
      </c>
      <c r="C7544" s="3" t="s">
        <v>1356</v>
      </c>
      <c r="D7544" s="4" t="s">
        <v>16386</v>
      </c>
      <c r="E7544" s="3" t="s">
        <v>15175</v>
      </c>
      <c r="F7544" s="3" t="s">
        <v>2041</v>
      </c>
      <c r="G7544" s="3" t="s">
        <v>98</v>
      </c>
      <c r="H7544" s="4" t="s">
        <v>6877</v>
      </c>
    </row>
    <row r="7545" ht="16.5" customHeight="1" spans="1:8">
      <c r="A7545" s="3">
        <v>7544</v>
      </c>
      <c r="B7545" s="3" t="s">
        <v>16387</v>
      </c>
      <c r="C7545" s="3" t="s">
        <v>2163</v>
      </c>
      <c r="D7545" s="4" t="s">
        <v>16388</v>
      </c>
      <c r="E7545" s="3" t="s">
        <v>2726</v>
      </c>
      <c r="F7545" s="3" t="s">
        <v>10943</v>
      </c>
      <c r="G7545" s="3" t="s">
        <v>98</v>
      </c>
      <c r="H7545" s="4"/>
    </row>
    <row r="7546" ht="16.5" customHeight="1" spans="1:8">
      <c r="A7546" s="3">
        <v>7545</v>
      </c>
      <c r="B7546" s="3" t="s">
        <v>16389</v>
      </c>
      <c r="C7546" s="3" t="s">
        <v>1361</v>
      </c>
      <c r="D7546" s="4" t="s">
        <v>16390</v>
      </c>
      <c r="E7546" s="3" t="s">
        <v>1218</v>
      </c>
      <c r="F7546" s="3" t="s">
        <v>10943</v>
      </c>
      <c r="G7546" s="3" t="s">
        <v>98</v>
      </c>
      <c r="H7546" s="4" t="s">
        <v>4322</v>
      </c>
    </row>
    <row r="7547" ht="16.5" customHeight="1" spans="1:8">
      <c r="A7547" s="3">
        <v>7546</v>
      </c>
      <c r="B7547" s="3" t="s">
        <v>16391</v>
      </c>
      <c r="C7547" s="3" t="s">
        <v>1361</v>
      </c>
      <c r="D7547" s="4" t="s">
        <v>16392</v>
      </c>
      <c r="E7547" s="3" t="s">
        <v>1218</v>
      </c>
      <c r="F7547" s="3" t="s">
        <v>10943</v>
      </c>
      <c r="G7547" s="3"/>
      <c r="H7547" s="4" t="s">
        <v>4322</v>
      </c>
    </row>
    <row r="7548" ht="16.5" customHeight="1" spans="1:8">
      <c r="A7548" s="3">
        <v>7547</v>
      </c>
      <c r="B7548" s="3" t="s">
        <v>16393</v>
      </c>
      <c r="C7548" s="3" t="s">
        <v>1361</v>
      </c>
      <c r="D7548" s="4" t="s">
        <v>16394</v>
      </c>
      <c r="E7548" s="3" t="s">
        <v>1218</v>
      </c>
      <c r="F7548" s="3" t="s">
        <v>10943</v>
      </c>
      <c r="G7548" s="3" t="s">
        <v>98</v>
      </c>
      <c r="H7548" s="4" t="s">
        <v>4322</v>
      </c>
    </row>
    <row r="7549" ht="16.5" customHeight="1" spans="1:8">
      <c r="A7549" s="3">
        <v>7548</v>
      </c>
      <c r="B7549" s="3" t="s">
        <v>16395</v>
      </c>
      <c r="C7549" s="3" t="s">
        <v>1361</v>
      </c>
      <c r="D7549" s="4" t="s">
        <v>16396</v>
      </c>
      <c r="E7549" s="3" t="s">
        <v>1218</v>
      </c>
      <c r="F7549" s="3" t="s">
        <v>10943</v>
      </c>
      <c r="G7549" s="3" t="s">
        <v>98</v>
      </c>
      <c r="H7549" s="4" t="s">
        <v>4322</v>
      </c>
    </row>
    <row r="7550" ht="16.5" customHeight="1" spans="1:8">
      <c r="A7550" s="3">
        <v>7549</v>
      </c>
      <c r="B7550" s="3" t="s">
        <v>16397</v>
      </c>
      <c r="C7550" s="3" t="s">
        <v>1105</v>
      </c>
      <c r="D7550" s="4" t="s">
        <v>14276</v>
      </c>
      <c r="E7550" s="3" t="s">
        <v>1076</v>
      </c>
      <c r="F7550" s="3" t="s">
        <v>10943</v>
      </c>
      <c r="G7550" s="3"/>
      <c r="H7550" s="4" t="s">
        <v>16398</v>
      </c>
    </row>
    <row r="7551" ht="16.5" customHeight="1" spans="1:8">
      <c r="A7551" s="3">
        <v>7550</v>
      </c>
      <c r="B7551" s="3" t="s">
        <v>16399</v>
      </c>
      <c r="C7551" s="3" t="s">
        <v>1105</v>
      </c>
      <c r="D7551" s="4" t="s">
        <v>14276</v>
      </c>
      <c r="E7551" s="3" t="s">
        <v>1076</v>
      </c>
      <c r="F7551" s="3" t="s">
        <v>10943</v>
      </c>
      <c r="G7551" s="3"/>
      <c r="H7551" s="4" t="s">
        <v>16400</v>
      </c>
    </row>
    <row r="7552" ht="16.5" customHeight="1" spans="1:8">
      <c r="A7552" s="3">
        <v>7551</v>
      </c>
      <c r="B7552" s="3" t="s">
        <v>16401</v>
      </c>
      <c r="C7552" s="3" t="s">
        <v>1361</v>
      </c>
      <c r="D7552" s="4" t="s">
        <v>16402</v>
      </c>
      <c r="E7552" s="3" t="s">
        <v>1218</v>
      </c>
      <c r="F7552" s="3" t="s">
        <v>10943</v>
      </c>
      <c r="G7552" s="3"/>
      <c r="H7552" s="4"/>
    </row>
    <row r="7553" ht="16.5" customHeight="1" spans="1:8">
      <c r="A7553" s="3">
        <v>7552</v>
      </c>
      <c r="B7553" s="3" t="s">
        <v>16403</v>
      </c>
      <c r="C7553" s="3" t="s">
        <v>1361</v>
      </c>
      <c r="D7553" s="4" t="s">
        <v>16404</v>
      </c>
      <c r="E7553" s="3" t="s">
        <v>1218</v>
      </c>
      <c r="F7553" s="3" t="s">
        <v>10943</v>
      </c>
      <c r="G7553" s="3"/>
      <c r="H7553" s="4"/>
    </row>
    <row r="7554" ht="16.5" customHeight="1" spans="1:8">
      <c r="A7554" s="3">
        <v>7553</v>
      </c>
      <c r="B7554" s="3" t="s">
        <v>16405</v>
      </c>
      <c r="C7554" s="3" t="s">
        <v>1361</v>
      </c>
      <c r="D7554" s="4" t="s">
        <v>16406</v>
      </c>
      <c r="E7554" s="3" t="s">
        <v>1218</v>
      </c>
      <c r="F7554" s="3" t="s">
        <v>10943</v>
      </c>
      <c r="G7554" s="3"/>
      <c r="H7554" s="4"/>
    </row>
    <row r="7555" ht="16.5" customHeight="1" spans="1:8">
      <c r="A7555" s="3">
        <v>7554</v>
      </c>
      <c r="B7555" s="3" t="s">
        <v>16407</v>
      </c>
      <c r="C7555" s="3" t="s">
        <v>1361</v>
      </c>
      <c r="D7555" s="4" t="s">
        <v>16408</v>
      </c>
      <c r="E7555" s="3" t="s">
        <v>1218</v>
      </c>
      <c r="F7555" s="3" t="s">
        <v>10943</v>
      </c>
      <c r="G7555" s="3" t="s">
        <v>98</v>
      </c>
      <c r="H7555" s="4"/>
    </row>
    <row r="7556" ht="16.5" customHeight="1" spans="1:8">
      <c r="A7556" s="3">
        <v>7555</v>
      </c>
      <c r="B7556" s="3" t="s">
        <v>16409</v>
      </c>
      <c r="C7556" s="3" t="s">
        <v>2163</v>
      </c>
      <c r="D7556" s="4" t="s">
        <v>16410</v>
      </c>
      <c r="E7556" s="3" t="s">
        <v>2726</v>
      </c>
      <c r="F7556" s="3" t="s">
        <v>2105</v>
      </c>
      <c r="G7556" s="3"/>
      <c r="H7556" s="4" t="s">
        <v>7240</v>
      </c>
    </row>
    <row r="7557" ht="16.5" customHeight="1" spans="1:8">
      <c r="A7557" s="3">
        <v>7556</v>
      </c>
      <c r="B7557" s="3" t="s">
        <v>16411</v>
      </c>
      <c r="C7557" s="3" t="s">
        <v>2163</v>
      </c>
      <c r="D7557" s="4" t="s">
        <v>16412</v>
      </c>
      <c r="E7557" s="3" t="s">
        <v>2726</v>
      </c>
      <c r="F7557" s="3" t="s">
        <v>2105</v>
      </c>
      <c r="G7557" s="3"/>
      <c r="H7557" s="4" t="s">
        <v>7240</v>
      </c>
    </row>
    <row r="7558" ht="16.5" customHeight="1" spans="1:8">
      <c r="A7558" s="3">
        <v>7557</v>
      </c>
      <c r="B7558" s="3" t="s">
        <v>16413</v>
      </c>
      <c r="C7558" s="3" t="s">
        <v>2163</v>
      </c>
      <c r="D7558" s="4" t="s">
        <v>16414</v>
      </c>
      <c r="E7558" s="3" t="s">
        <v>2726</v>
      </c>
      <c r="F7558" s="3" t="s">
        <v>2105</v>
      </c>
      <c r="G7558" s="3"/>
      <c r="H7558" s="4" t="s">
        <v>7240</v>
      </c>
    </row>
    <row r="7559" ht="16.5" customHeight="1" spans="1:8">
      <c r="A7559" s="3">
        <v>7558</v>
      </c>
      <c r="B7559" s="3" t="s">
        <v>16415</v>
      </c>
      <c r="C7559" s="3" t="s">
        <v>2163</v>
      </c>
      <c r="D7559" s="4" t="s">
        <v>16416</v>
      </c>
      <c r="E7559" s="3" t="s">
        <v>8871</v>
      </c>
      <c r="F7559" s="3" t="s">
        <v>2105</v>
      </c>
      <c r="G7559" s="3"/>
      <c r="H7559" s="4" t="s">
        <v>7240</v>
      </c>
    </row>
    <row r="7560" ht="16.5" customHeight="1" spans="1:8">
      <c r="A7560" s="3">
        <v>7559</v>
      </c>
      <c r="B7560" s="3" t="s">
        <v>16417</v>
      </c>
      <c r="C7560" s="3" t="s">
        <v>2163</v>
      </c>
      <c r="D7560" s="4" t="s">
        <v>16418</v>
      </c>
      <c r="E7560" s="3" t="s">
        <v>2726</v>
      </c>
      <c r="F7560" s="3" t="s">
        <v>2105</v>
      </c>
      <c r="G7560" s="3"/>
      <c r="H7560" s="4" t="s">
        <v>7240</v>
      </c>
    </row>
    <row r="7561" ht="16.5" customHeight="1" spans="1:8">
      <c r="A7561" s="3">
        <v>7560</v>
      </c>
      <c r="B7561" s="3" t="s">
        <v>16419</v>
      </c>
      <c r="C7561" s="3" t="s">
        <v>2163</v>
      </c>
      <c r="D7561" s="4" t="s">
        <v>16420</v>
      </c>
      <c r="E7561" s="3" t="s">
        <v>2726</v>
      </c>
      <c r="F7561" s="3" t="s">
        <v>2105</v>
      </c>
      <c r="G7561" s="3"/>
      <c r="H7561" s="4" t="s">
        <v>7240</v>
      </c>
    </row>
    <row r="7562" ht="16.5" customHeight="1" spans="1:8">
      <c r="A7562" s="3">
        <v>7561</v>
      </c>
      <c r="B7562" s="3" t="s">
        <v>16421</v>
      </c>
      <c r="C7562" s="3" t="s">
        <v>2163</v>
      </c>
      <c r="D7562" s="4" t="s">
        <v>16422</v>
      </c>
      <c r="E7562" s="3" t="s">
        <v>2726</v>
      </c>
      <c r="F7562" s="3" t="s">
        <v>2105</v>
      </c>
      <c r="G7562" s="3"/>
      <c r="H7562" s="4" t="s">
        <v>7240</v>
      </c>
    </row>
    <row r="7563" ht="16.5" customHeight="1" spans="1:8">
      <c r="A7563" s="3">
        <v>7562</v>
      </c>
      <c r="B7563" s="3" t="s">
        <v>16423</v>
      </c>
      <c r="C7563" s="3" t="s">
        <v>2163</v>
      </c>
      <c r="D7563" s="4" t="s">
        <v>16424</v>
      </c>
      <c r="E7563" s="3" t="s">
        <v>2726</v>
      </c>
      <c r="F7563" s="3" t="s">
        <v>2105</v>
      </c>
      <c r="G7563" s="3"/>
      <c r="H7563" s="4" t="s">
        <v>7240</v>
      </c>
    </row>
    <row r="7564" ht="16.5" customHeight="1" spans="1:8">
      <c r="A7564" s="3">
        <v>7563</v>
      </c>
      <c r="B7564" s="3" t="s">
        <v>16425</v>
      </c>
      <c r="C7564" s="3" t="s">
        <v>2163</v>
      </c>
      <c r="D7564" s="4" t="s">
        <v>16426</v>
      </c>
      <c r="E7564" s="3" t="s">
        <v>5779</v>
      </c>
      <c r="F7564" s="3" t="s">
        <v>2041</v>
      </c>
      <c r="G7564" s="3"/>
      <c r="H7564" s="4" t="s">
        <v>4322</v>
      </c>
    </row>
    <row r="7565" ht="16.5" customHeight="1" spans="1:8">
      <c r="A7565" s="3">
        <v>7564</v>
      </c>
      <c r="B7565" s="3" t="s">
        <v>16427</v>
      </c>
      <c r="C7565" s="3" t="s">
        <v>2163</v>
      </c>
      <c r="D7565" s="4" t="s">
        <v>16428</v>
      </c>
      <c r="E7565" s="3" t="s">
        <v>1076</v>
      </c>
      <c r="F7565" s="3" t="s">
        <v>2041</v>
      </c>
      <c r="G7565" s="3"/>
      <c r="H7565" s="4" t="s">
        <v>12433</v>
      </c>
    </row>
    <row r="7566" ht="16.5" customHeight="1" spans="1:8">
      <c r="A7566" s="3">
        <v>7565</v>
      </c>
      <c r="B7566" s="3" t="s">
        <v>16429</v>
      </c>
      <c r="C7566" s="3" t="s">
        <v>1074</v>
      </c>
      <c r="D7566" s="4" t="s">
        <v>16430</v>
      </c>
      <c r="E7566" s="3" t="s">
        <v>1218</v>
      </c>
      <c r="F7566" s="3" t="s">
        <v>10259</v>
      </c>
      <c r="G7566" s="3"/>
      <c r="H7566" s="4" t="s">
        <v>7502</v>
      </c>
    </row>
    <row r="7567" ht="16.5" customHeight="1" spans="1:8">
      <c r="A7567" s="3">
        <v>7566</v>
      </c>
      <c r="B7567" s="3" t="s">
        <v>16431</v>
      </c>
      <c r="C7567" s="3" t="s">
        <v>2163</v>
      </c>
      <c r="D7567" s="4" t="s">
        <v>16432</v>
      </c>
      <c r="E7567" s="3" t="s">
        <v>2726</v>
      </c>
      <c r="F7567" s="3" t="s">
        <v>2105</v>
      </c>
      <c r="G7567" s="3"/>
      <c r="H7567" s="4" t="s">
        <v>7240</v>
      </c>
    </row>
    <row r="7568" ht="16.5" customHeight="1" spans="1:8">
      <c r="A7568" s="3">
        <v>7567</v>
      </c>
      <c r="B7568" s="3" t="s">
        <v>16433</v>
      </c>
      <c r="C7568" s="3" t="s">
        <v>2163</v>
      </c>
      <c r="D7568" s="4" t="s">
        <v>16434</v>
      </c>
      <c r="E7568" s="3" t="s">
        <v>2726</v>
      </c>
      <c r="F7568" s="3" t="s">
        <v>2105</v>
      </c>
      <c r="G7568" s="3"/>
      <c r="H7568" s="4" t="s">
        <v>7240</v>
      </c>
    </row>
    <row r="7569" ht="16.5" customHeight="1" spans="1:8">
      <c r="A7569" s="3">
        <v>7568</v>
      </c>
      <c r="B7569" s="3" t="s">
        <v>16435</v>
      </c>
      <c r="C7569" s="3" t="s">
        <v>2163</v>
      </c>
      <c r="D7569" s="4" t="s">
        <v>16436</v>
      </c>
      <c r="E7569" s="3" t="s">
        <v>2726</v>
      </c>
      <c r="F7569" s="3" t="s">
        <v>2105</v>
      </c>
      <c r="G7569" s="3"/>
      <c r="H7569" s="4" t="s">
        <v>7240</v>
      </c>
    </row>
    <row r="7570" ht="16.5" customHeight="1" spans="1:8">
      <c r="A7570" s="3">
        <v>7569</v>
      </c>
      <c r="B7570" s="3" t="s">
        <v>16437</v>
      </c>
      <c r="C7570" s="3" t="s">
        <v>2163</v>
      </c>
      <c r="D7570" s="4" t="s">
        <v>16438</v>
      </c>
      <c r="E7570" s="3" t="s">
        <v>2726</v>
      </c>
      <c r="F7570" s="3" t="s">
        <v>2105</v>
      </c>
      <c r="G7570" s="3"/>
      <c r="H7570" s="4" t="s">
        <v>7240</v>
      </c>
    </row>
    <row r="7571" ht="16.5" customHeight="1" spans="1:8">
      <c r="A7571" s="3">
        <v>7570</v>
      </c>
      <c r="B7571" s="3" t="s">
        <v>16439</v>
      </c>
      <c r="C7571" s="3" t="s">
        <v>2163</v>
      </c>
      <c r="D7571" s="4" t="s">
        <v>16440</v>
      </c>
      <c r="E7571" s="3" t="s">
        <v>2726</v>
      </c>
      <c r="F7571" s="3" t="s">
        <v>2105</v>
      </c>
      <c r="G7571" s="3"/>
      <c r="H7571" s="4" t="s">
        <v>7240</v>
      </c>
    </row>
    <row r="7572" ht="16.5" customHeight="1" spans="1:8">
      <c r="A7572" s="3">
        <v>7571</v>
      </c>
      <c r="B7572" s="3" t="s">
        <v>16441</v>
      </c>
      <c r="C7572" s="3" t="s">
        <v>2163</v>
      </c>
      <c r="D7572" s="4" t="s">
        <v>16442</v>
      </c>
      <c r="E7572" s="3" t="s">
        <v>2726</v>
      </c>
      <c r="F7572" s="3" t="s">
        <v>2105</v>
      </c>
      <c r="G7572" s="3"/>
      <c r="H7572" s="4" t="s">
        <v>7240</v>
      </c>
    </row>
    <row r="7573" ht="16.5" customHeight="1" spans="1:8">
      <c r="A7573" s="3">
        <v>7572</v>
      </c>
      <c r="B7573" s="3" t="s">
        <v>16443</v>
      </c>
      <c r="C7573" s="3" t="s">
        <v>2163</v>
      </c>
      <c r="D7573" s="4" t="s">
        <v>16444</v>
      </c>
      <c r="E7573" s="3" t="s">
        <v>2726</v>
      </c>
      <c r="F7573" s="3" t="s">
        <v>2105</v>
      </c>
      <c r="G7573" s="3"/>
      <c r="H7573" s="4" t="s">
        <v>7240</v>
      </c>
    </row>
    <row r="7574" ht="16.5" customHeight="1" spans="1:8">
      <c r="A7574" s="3">
        <v>7573</v>
      </c>
      <c r="B7574" s="3" t="s">
        <v>16445</v>
      </c>
      <c r="C7574" s="3" t="s">
        <v>2163</v>
      </c>
      <c r="D7574" s="4" t="s">
        <v>16446</v>
      </c>
      <c r="E7574" s="3" t="s">
        <v>2726</v>
      </c>
      <c r="F7574" s="3" t="s">
        <v>2105</v>
      </c>
      <c r="G7574" s="3"/>
      <c r="H7574" s="4" t="s">
        <v>7240</v>
      </c>
    </row>
    <row r="7575" ht="16.5" customHeight="1" spans="1:8">
      <c r="A7575" s="3">
        <v>7574</v>
      </c>
      <c r="B7575" s="3" t="s">
        <v>16447</v>
      </c>
      <c r="C7575" s="3" t="s">
        <v>2163</v>
      </c>
      <c r="D7575" s="4" t="s">
        <v>16448</v>
      </c>
      <c r="E7575" s="3" t="s">
        <v>2726</v>
      </c>
      <c r="F7575" s="3" t="s">
        <v>2105</v>
      </c>
      <c r="G7575" s="3"/>
      <c r="H7575" s="4" t="s">
        <v>7240</v>
      </c>
    </row>
    <row r="7576" ht="16.5" customHeight="1" spans="1:8">
      <c r="A7576" s="3">
        <v>7575</v>
      </c>
      <c r="B7576" s="3" t="s">
        <v>16449</v>
      </c>
      <c r="C7576" s="3" t="s">
        <v>2163</v>
      </c>
      <c r="D7576" s="4" t="s">
        <v>16450</v>
      </c>
      <c r="E7576" s="3" t="s">
        <v>2726</v>
      </c>
      <c r="F7576" s="3" t="s">
        <v>2105</v>
      </c>
      <c r="G7576" s="3"/>
      <c r="H7576" s="4" t="s">
        <v>7240</v>
      </c>
    </row>
    <row r="7577" ht="16.5" customHeight="1" spans="1:8">
      <c r="A7577" s="3">
        <v>7576</v>
      </c>
      <c r="B7577" s="3" t="s">
        <v>16451</v>
      </c>
      <c r="C7577" s="3" t="s">
        <v>2163</v>
      </c>
      <c r="D7577" s="4" t="s">
        <v>16452</v>
      </c>
      <c r="E7577" s="3" t="s">
        <v>2726</v>
      </c>
      <c r="F7577" s="3" t="s">
        <v>2105</v>
      </c>
      <c r="G7577" s="3"/>
      <c r="H7577" s="4" t="s">
        <v>7240</v>
      </c>
    </row>
    <row r="7578" ht="16.5" customHeight="1" spans="1:8">
      <c r="A7578" s="3">
        <v>7577</v>
      </c>
      <c r="B7578" s="3" t="s">
        <v>16453</v>
      </c>
      <c r="C7578" s="3" t="s">
        <v>2163</v>
      </c>
      <c r="D7578" s="4" t="s">
        <v>16444</v>
      </c>
      <c r="E7578" s="3" t="s">
        <v>2726</v>
      </c>
      <c r="F7578" s="3" t="s">
        <v>2105</v>
      </c>
      <c r="G7578" s="3"/>
      <c r="H7578" s="4" t="s">
        <v>7240</v>
      </c>
    </row>
    <row r="7579" ht="16.5" customHeight="1" spans="1:8">
      <c r="A7579" s="3">
        <v>7578</v>
      </c>
      <c r="B7579" s="3" t="s">
        <v>16454</v>
      </c>
      <c r="C7579" s="3" t="s">
        <v>1074</v>
      </c>
      <c r="D7579" s="4" t="s">
        <v>16455</v>
      </c>
      <c r="E7579" s="3" t="s">
        <v>1076</v>
      </c>
      <c r="F7579" s="3" t="s">
        <v>10259</v>
      </c>
      <c r="G7579" s="3"/>
      <c r="H7579" s="4" t="s">
        <v>1359</v>
      </c>
    </row>
    <row r="7580" ht="16.5" customHeight="1" spans="1:8">
      <c r="A7580" s="3">
        <v>7579</v>
      </c>
      <c r="B7580" s="3" t="s">
        <v>16456</v>
      </c>
      <c r="C7580" s="3" t="s">
        <v>1074</v>
      </c>
      <c r="D7580" s="4" t="s">
        <v>16457</v>
      </c>
      <c r="E7580" s="3" t="s">
        <v>1076</v>
      </c>
      <c r="F7580" s="3" t="s">
        <v>10259</v>
      </c>
      <c r="G7580" s="3"/>
      <c r="H7580" s="4" t="s">
        <v>1359</v>
      </c>
    </row>
    <row r="7581" ht="16.5" customHeight="1" spans="1:8">
      <c r="A7581" s="3">
        <v>7580</v>
      </c>
      <c r="B7581" s="3" t="s">
        <v>16458</v>
      </c>
      <c r="C7581" s="3" t="s">
        <v>6377</v>
      </c>
      <c r="D7581" s="4" t="s">
        <v>16459</v>
      </c>
      <c r="E7581" s="3" t="s">
        <v>1218</v>
      </c>
      <c r="F7581" s="3" t="s">
        <v>10259</v>
      </c>
      <c r="G7581" s="3"/>
      <c r="H7581" s="4" t="s">
        <v>1359</v>
      </c>
    </row>
    <row r="7582" ht="16.5" customHeight="1" spans="1:8">
      <c r="A7582" s="3">
        <v>7581</v>
      </c>
      <c r="B7582" s="3" t="s">
        <v>16460</v>
      </c>
      <c r="C7582" s="3" t="s">
        <v>1074</v>
      </c>
      <c r="D7582" s="4" t="s">
        <v>16461</v>
      </c>
      <c r="E7582" s="3" t="s">
        <v>1218</v>
      </c>
      <c r="F7582" s="3" t="s">
        <v>10259</v>
      </c>
      <c r="G7582" s="3"/>
      <c r="H7582" s="4" t="s">
        <v>7240</v>
      </c>
    </row>
    <row r="7583" ht="16.5" customHeight="1" spans="1:8">
      <c r="A7583" s="3">
        <v>7582</v>
      </c>
      <c r="B7583" s="3" t="s">
        <v>164</v>
      </c>
      <c r="C7583" s="3" t="s">
        <v>1074</v>
      </c>
      <c r="D7583" s="4" t="s">
        <v>16462</v>
      </c>
      <c r="E7583" s="3" t="s">
        <v>1218</v>
      </c>
      <c r="F7583" s="3" t="s">
        <v>10259</v>
      </c>
      <c r="G7583" s="3"/>
      <c r="H7583" s="4" t="s">
        <v>7240</v>
      </c>
    </row>
    <row r="7584" ht="16.5" customHeight="1" spans="1:8">
      <c r="A7584" s="3">
        <v>7583</v>
      </c>
      <c r="B7584" s="3" t="s">
        <v>16463</v>
      </c>
      <c r="C7584" s="3" t="s">
        <v>2163</v>
      </c>
      <c r="D7584" s="4" t="s">
        <v>16464</v>
      </c>
      <c r="E7584" s="3" t="s">
        <v>2726</v>
      </c>
      <c r="F7584" s="3" t="s">
        <v>10943</v>
      </c>
      <c r="G7584" s="3" t="s">
        <v>98</v>
      </c>
      <c r="H7584" s="4"/>
    </row>
    <row r="7585" ht="16.5" customHeight="1" spans="1:8">
      <c r="A7585" s="3">
        <v>7584</v>
      </c>
      <c r="B7585" s="3" t="s">
        <v>529</v>
      </c>
      <c r="C7585" s="3" t="s">
        <v>1074</v>
      </c>
      <c r="D7585" s="4" t="s">
        <v>16465</v>
      </c>
      <c r="E7585" s="3" t="s">
        <v>15175</v>
      </c>
      <c r="F7585" s="3" t="s">
        <v>10259</v>
      </c>
      <c r="G7585" s="3"/>
      <c r="H7585" s="4" t="s">
        <v>7224</v>
      </c>
    </row>
    <row r="7586" ht="16.5" customHeight="1" spans="1:8">
      <c r="A7586" s="3">
        <v>7585</v>
      </c>
      <c r="B7586" s="3" t="s">
        <v>16466</v>
      </c>
      <c r="C7586" s="3" t="s">
        <v>1105</v>
      </c>
      <c r="D7586" s="4" t="s">
        <v>16467</v>
      </c>
      <c r="E7586" s="3" t="s">
        <v>1076</v>
      </c>
      <c r="F7586" s="3" t="s">
        <v>13816</v>
      </c>
      <c r="G7586" s="3"/>
      <c r="H7586" s="4" t="s">
        <v>16383</v>
      </c>
    </row>
    <row r="7587" ht="16.5" customHeight="1" spans="1:8">
      <c r="A7587" s="3">
        <v>7586</v>
      </c>
      <c r="B7587" s="3" t="s">
        <v>16468</v>
      </c>
      <c r="C7587" s="3" t="s">
        <v>1105</v>
      </c>
      <c r="D7587" s="4" t="s">
        <v>16469</v>
      </c>
      <c r="E7587" s="3" t="s">
        <v>1076</v>
      </c>
      <c r="F7587" s="3" t="s">
        <v>13816</v>
      </c>
      <c r="G7587" s="3"/>
      <c r="H7587" s="4" t="s">
        <v>16383</v>
      </c>
    </row>
    <row r="7588" ht="16.5" customHeight="1" spans="1:8">
      <c r="A7588" s="3">
        <v>7587</v>
      </c>
      <c r="B7588" s="3" t="s">
        <v>16470</v>
      </c>
      <c r="C7588" s="3" t="s">
        <v>2163</v>
      </c>
      <c r="D7588" s="4" t="s">
        <v>16471</v>
      </c>
      <c r="E7588" s="3" t="s">
        <v>2726</v>
      </c>
      <c r="F7588" s="3" t="s">
        <v>2041</v>
      </c>
      <c r="G7588" s="3" t="s">
        <v>321</v>
      </c>
      <c r="H7588" s="4"/>
    </row>
    <row r="7589" ht="16.5" customHeight="1" spans="1:8">
      <c r="A7589" s="3">
        <v>7588</v>
      </c>
      <c r="B7589" s="3" t="s">
        <v>16472</v>
      </c>
      <c r="C7589" s="3" t="s">
        <v>2163</v>
      </c>
      <c r="D7589" s="4" t="s">
        <v>16473</v>
      </c>
      <c r="E7589" s="3" t="s">
        <v>2726</v>
      </c>
      <c r="F7589" s="3" t="s">
        <v>2041</v>
      </c>
      <c r="G7589" s="3" t="s">
        <v>98</v>
      </c>
      <c r="H7589" s="4"/>
    </row>
    <row r="7590" ht="16.5" customHeight="1" spans="1:8">
      <c r="A7590" s="3">
        <v>7589</v>
      </c>
      <c r="B7590" s="3" t="s">
        <v>16474</v>
      </c>
      <c r="C7590" s="3" t="s">
        <v>1074</v>
      </c>
      <c r="D7590" s="4" t="s">
        <v>16475</v>
      </c>
      <c r="E7590" s="3" t="s">
        <v>1076</v>
      </c>
      <c r="F7590" s="3" t="s">
        <v>10259</v>
      </c>
      <c r="G7590" s="3"/>
      <c r="H7590" s="4" t="s">
        <v>5664</v>
      </c>
    </row>
    <row r="7591" ht="16.5" customHeight="1" spans="1:8">
      <c r="A7591" s="3">
        <v>7590</v>
      </c>
      <c r="B7591" s="3" t="s">
        <v>16476</v>
      </c>
      <c r="C7591" s="3" t="s">
        <v>2163</v>
      </c>
      <c r="D7591" s="4" t="s">
        <v>16477</v>
      </c>
      <c r="E7591" s="3" t="s">
        <v>1076</v>
      </c>
      <c r="F7591" s="3" t="s">
        <v>2041</v>
      </c>
      <c r="G7591" s="3" t="s">
        <v>98</v>
      </c>
      <c r="H7591" s="4" t="s">
        <v>5664</v>
      </c>
    </row>
    <row r="7592" ht="16.5" customHeight="1" spans="1:8">
      <c r="A7592" s="3">
        <v>7591</v>
      </c>
      <c r="B7592" s="3" t="s">
        <v>16478</v>
      </c>
      <c r="C7592" s="3" t="s">
        <v>1105</v>
      </c>
      <c r="D7592" s="4" t="s">
        <v>16479</v>
      </c>
      <c r="E7592" s="3" t="s">
        <v>1076</v>
      </c>
      <c r="F7592" s="3" t="s">
        <v>2041</v>
      </c>
      <c r="G7592" s="3"/>
      <c r="H7592" s="4" t="s">
        <v>16480</v>
      </c>
    </row>
    <row r="7593" ht="16.5" customHeight="1" spans="1:8">
      <c r="A7593" s="3">
        <v>7592</v>
      </c>
      <c r="B7593" s="3" t="s">
        <v>16481</v>
      </c>
      <c r="C7593" s="3" t="s">
        <v>6377</v>
      </c>
      <c r="D7593" s="4" t="s">
        <v>16482</v>
      </c>
      <c r="E7593" s="3" t="s">
        <v>15175</v>
      </c>
      <c r="F7593" s="3" t="s">
        <v>10259</v>
      </c>
      <c r="G7593" s="3"/>
      <c r="H7593" s="4" t="s">
        <v>1359</v>
      </c>
    </row>
    <row r="7594" ht="16.5" customHeight="1" spans="1:8">
      <c r="A7594" s="3">
        <v>7593</v>
      </c>
      <c r="B7594" s="3" t="s">
        <v>16483</v>
      </c>
      <c r="C7594" s="3" t="s">
        <v>6377</v>
      </c>
      <c r="D7594" s="4" t="s">
        <v>16484</v>
      </c>
      <c r="E7594" s="3" t="s">
        <v>15175</v>
      </c>
      <c r="F7594" s="3" t="s">
        <v>10259</v>
      </c>
      <c r="G7594" s="3"/>
      <c r="H7594" s="4" t="s">
        <v>1359</v>
      </c>
    </row>
    <row r="7595" ht="16.5" customHeight="1" spans="1:8">
      <c r="A7595" s="3">
        <v>7594</v>
      </c>
      <c r="B7595" s="3" t="s">
        <v>16485</v>
      </c>
      <c r="C7595" s="3" t="s">
        <v>1074</v>
      </c>
      <c r="D7595" s="4" t="s">
        <v>16486</v>
      </c>
      <c r="E7595" s="3" t="s">
        <v>1218</v>
      </c>
      <c r="F7595" s="3" t="s">
        <v>10259</v>
      </c>
      <c r="G7595" s="3"/>
      <c r="H7595" s="4" t="s">
        <v>1359</v>
      </c>
    </row>
    <row r="7596" ht="16.5" customHeight="1" spans="1:8">
      <c r="A7596" s="3">
        <v>7595</v>
      </c>
      <c r="B7596" s="3" t="s">
        <v>16487</v>
      </c>
      <c r="C7596" s="3" t="s">
        <v>1074</v>
      </c>
      <c r="D7596" s="4" t="s">
        <v>16488</v>
      </c>
      <c r="E7596" s="3" t="s">
        <v>1076</v>
      </c>
      <c r="F7596" s="3" t="s">
        <v>10259</v>
      </c>
      <c r="G7596" s="3"/>
      <c r="H7596" s="4" t="s">
        <v>1359</v>
      </c>
    </row>
    <row r="7597" ht="16.5" customHeight="1" spans="1:8">
      <c r="A7597" s="3">
        <v>7596</v>
      </c>
      <c r="B7597" s="3" t="s">
        <v>16489</v>
      </c>
      <c r="C7597" s="3" t="s">
        <v>2163</v>
      </c>
      <c r="D7597" s="4" t="s">
        <v>16490</v>
      </c>
      <c r="E7597" s="3" t="s">
        <v>1076</v>
      </c>
      <c r="F7597" s="3" t="s">
        <v>2041</v>
      </c>
      <c r="G7597" s="3" t="s">
        <v>321</v>
      </c>
      <c r="H7597" s="4" t="s">
        <v>1359</v>
      </c>
    </row>
    <row r="7598" ht="16.5" customHeight="1" spans="1:8">
      <c r="A7598" s="3">
        <v>7597</v>
      </c>
      <c r="B7598" s="3" t="s">
        <v>16491</v>
      </c>
      <c r="C7598" s="3" t="s">
        <v>2163</v>
      </c>
      <c r="D7598" s="4" t="s">
        <v>16492</v>
      </c>
      <c r="E7598" s="3" t="s">
        <v>1076</v>
      </c>
      <c r="F7598" s="3" t="s">
        <v>2041</v>
      </c>
      <c r="G7598" s="3" t="s">
        <v>321</v>
      </c>
      <c r="H7598" s="4" t="s">
        <v>5664</v>
      </c>
    </row>
    <row r="7599" ht="16.5" customHeight="1" spans="1:8">
      <c r="A7599" s="3">
        <v>7598</v>
      </c>
      <c r="B7599" s="3" t="s">
        <v>16493</v>
      </c>
      <c r="C7599" s="3" t="s">
        <v>2163</v>
      </c>
      <c r="D7599" s="4" t="s">
        <v>16494</v>
      </c>
      <c r="E7599" s="3" t="s">
        <v>1076</v>
      </c>
      <c r="F7599" s="3" t="s">
        <v>2041</v>
      </c>
      <c r="G7599" s="3" t="s">
        <v>321</v>
      </c>
      <c r="H7599" s="4" t="s">
        <v>5664</v>
      </c>
    </row>
    <row r="7600" ht="16.5" customHeight="1" spans="1:8">
      <c r="A7600" s="3">
        <v>7599</v>
      </c>
      <c r="B7600" s="3" t="s">
        <v>16495</v>
      </c>
      <c r="C7600" s="3" t="s">
        <v>2163</v>
      </c>
      <c r="D7600" s="4" t="s">
        <v>16496</v>
      </c>
      <c r="E7600" s="3" t="s">
        <v>16497</v>
      </c>
      <c r="F7600" s="3" t="s">
        <v>2041</v>
      </c>
      <c r="G7600" s="3" t="s">
        <v>321</v>
      </c>
      <c r="H7600" s="4" t="s">
        <v>5664</v>
      </c>
    </row>
    <row r="7601" ht="16.5" customHeight="1" spans="1:8">
      <c r="A7601" s="3">
        <v>7600</v>
      </c>
      <c r="B7601" s="3" t="s">
        <v>16498</v>
      </c>
      <c r="C7601" s="3" t="s">
        <v>2163</v>
      </c>
      <c r="D7601" s="4" t="s">
        <v>16499</v>
      </c>
      <c r="E7601" s="3" t="s">
        <v>5779</v>
      </c>
      <c r="F7601" s="3" t="s">
        <v>2041</v>
      </c>
      <c r="G7601" s="3" t="s">
        <v>98</v>
      </c>
      <c r="H7601" s="4" t="s">
        <v>5664</v>
      </c>
    </row>
    <row r="7602" ht="16.5" customHeight="1" spans="1:8">
      <c r="A7602" s="3">
        <v>7601</v>
      </c>
      <c r="B7602" s="3" t="s">
        <v>16500</v>
      </c>
      <c r="C7602" s="3" t="s">
        <v>2163</v>
      </c>
      <c r="D7602" s="4" t="s">
        <v>16501</v>
      </c>
      <c r="E7602" s="3" t="s">
        <v>1076</v>
      </c>
      <c r="F7602" s="3" t="s">
        <v>2041</v>
      </c>
      <c r="G7602" s="3"/>
      <c r="H7602" s="4" t="s">
        <v>5664</v>
      </c>
    </row>
    <row r="7603" ht="16.5" customHeight="1" spans="1:8">
      <c r="A7603" s="3">
        <v>7602</v>
      </c>
      <c r="B7603" s="3" t="s">
        <v>16502</v>
      </c>
      <c r="C7603" s="3" t="s">
        <v>2163</v>
      </c>
      <c r="D7603" s="4" t="s">
        <v>16503</v>
      </c>
      <c r="E7603" s="3" t="s">
        <v>1076</v>
      </c>
      <c r="F7603" s="3" t="s">
        <v>2041</v>
      </c>
      <c r="G7603" s="3"/>
      <c r="H7603" s="4" t="s">
        <v>1359</v>
      </c>
    </row>
    <row r="7604" ht="16.5" customHeight="1" spans="1:8">
      <c r="A7604" s="3">
        <v>7603</v>
      </c>
      <c r="B7604" s="3" t="s">
        <v>16504</v>
      </c>
      <c r="C7604" s="3" t="s">
        <v>2163</v>
      </c>
      <c r="D7604" s="4" t="s">
        <v>16505</v>
      </c>
      <c r="E7604" s="3" t="s">
        <v>1076</v>
      </c>
      <c r="F7604" s="3" t="s">
        <v>2041</v>
      </c>
      <c r="G7604" s="3"/>
      <c r="H7604" s="4" t="s">
        <v>1359</v>
      </c>
    </row>
    <row r="7605" ht="16.5" customHeight="1" spans="1:8">
      <c r="A7605" s="3">
        <v>7604</v>
      </c>
      <c r="B7605" s="3" t="s">
        <v>16506</v>
      </c>
      <c r="C7605" s="3" t="s">
        <v>2163</v>
      </c>
      <c r="D7605" s="4" t="s">
        <v>16507</v>
      </c>
      <c r="E7605" s="3" t="s">
        <v>1076</v>
      </c>
      <c r="F7605" s="3" t="s">
        <v>10943</v>
      </c>
      <c r="G7605" s="3"/>
      <c r="H7605" s="4"/>
    </row>
    <row r="7606" ht="16.5" customHeight="1" spans="1:8">
      <c r="A7606" s="3">
        <v>7605</v>
      </c>
      <c r="B7606" s="3" t="s">
        <v>439</v>
      </c>
      <c r="C7606" s="3" t="s">
        <v>1074</v>
      </c>
      <c r="D7606" s="4" t="s">
        <v>437</v>
      </c>
      <c r="E7606" s="3" t="s">
        <v>1164</v>
      </c>
      <c r="F7606" s="3" t="s">
        <v>10259</v>
      </c>
      <c r="G7606" s="3"/>
      <c r="H7606" s="4" t="s">
        <v>1359</v>
      </c>
    </row>
    <row r="7607" ht="16.5" customHeight="1" spans="1:8">
      <c r="A7607" s="3">
        <v>7606</v>
      </c>
      <c r="B7607" s="3" t="s">
        <v>16508</v>
      </c>
      <c r="C7607" s="3" t="s">
        <v>2163</v>
      </c>
      <c r="D7607" s="4" t="s">
        <v>16509</v>
      </c>
      <c r="E7607" s="3" t="s">
        <v>1076</v>
      </c>
      <c r="F7607" s="3" t="s">
        <v>2041</v>
      </c>
      <c r="G7607" s="3"/>
      <c r="H7607" s="4" t="s">
        <v>5664</v>
      </c>
    </row>
    <row r="7608" ht="16.5" customHeight="1" spans="1:8">
      <c r="A7608" s="3">
        <v>7607</v>
      </c>
      <c r="B7608" s="3" t="s">
        <v>16510</v>
      </c>
      <c r="C7608" s="3" t="s">
        <v>1074</v>
      </c>
      <c r="D7608" s="4" t="s">
        <v>16511</v>
      </c>
      <c r="E7608" s="3" t="s">
        <v>16215</v>
      </c>
      <c r="F7608" s="3" t="s">
        <v>10259</v>
      </c>
      <c r="G7608" s="3"/>
      <c r="H7608" s="4" t="s">
        <v>3812</v>
      </c>
    </row>
    <row r="7609" ht="16.5" customHeight="1" spans="1:8">
      <c r="A7609" s="3">
        <v>7608</v>
      </c>
      <c r="B7609" s="3" t="s">
        <v>16512</v>
      </c>
      <c r="C7609" s="3" t="s">
        <v>2163</v>
      </c>
      <c r="D7609" s="4" t="s">
        <v>16513</v>
      </c>
      <c r="E7609" s="3" t="s">
        <v>1076</v>
      </c>
      <c r="F7609" s="3" t="s">
        <v>10943</v>
      </c>
      <c r="G7609" s="3"/>
      <c r="H7609" s="4"/>
    </row>
    <row r="7610" ht="16.5" customHeight="1" spans="1:8">
      <c r="A7610" s="3">
        <v>7609</v>
      </c>
      <c r="B7610" s="3" t="s">
        <v>16514</v>
      </c>
      <c r="C7610" s="3" t="s">
        <v>1361</v>
      </c>
      <c r="D7610" s="4" t="s">
        <v>16515</v>
      </c>
      <c r="E7610" s="3" t="s">
        <v>2056</v>
      </c>
      <c r="F7610" s="3" t="s">
        <v>2041</v>
      </c>
      <c r="G7610" s="3"/>
      <c r="H7610" s="4" t="s">
        <v>1359</v>
      </c>
    </row>
    <row r="7611" ht="16.5" customHeight="1" spans="1:8">
      <c r="A7611" s="3">
        <v>7610</v>
      </c>
      <c r="B7611" s="3" t="s">
        <v>16516</v>
      </c>
      <c r="C7611" s="3" t="s">
        <v>1361</v>
      </c>
      <c r="D7611" s="4" t="s">
        <v>16517</v>
      </c>
      <c r="E7611" s="3" t="s">
        <v>2056</v>
      </c>
      <c r="F7611" s="3" t="s">
        <v>2041</v>
      </c>
      <c r="G7611" s="3"/>
      <c r="H7611" s="4" t="s">
        <v>1359</v>
      </c>
    </row>
    <row r="7612" ht="16.5" customHeight="1" spans="1:8">
      <c r="A7612" s="3">
        <v>7611</v>
      </c>
      <c r="B7612" s="3" t="s">
        <v>16518</v>
      </c>
      <c r="C7612" s="3" t="s">
        <v>1361</v>
      </c>
      <c r="D7612" s="4" t="s">
        <v>16519</v>
      </c>
      <c r="E7612" s="3" t="s">
        <v>2056</v>
      </c>
      <c r="F7612" s="3" t="s">
        <v>2041</v>
      </c>
      <c r="G7612" s="3"/>
      <c r="H7612" s="4" t="s">
        <v>1359</v>
      </c>
    </row>
    <row r="7613" ht="16.5" customHeight="1" spans="1:8">
      <c r="A7613" s="3">
        <v>7612</v>
      </c>
      <c r="B7613" s="3" t="s">
        <v>16520</v>
      </c>
      <c r="C7613" s="3" t="s">
        <v>1361</v>
      </c>
      <c r="D7613" s="4" t="s">
        <v>16521</v>
      </c>
      <c r="E7613" s="3" t="s">
        <v>2056</v>
      </c>
      <c r="F7613" s="3" t="s">
        <v>2041</v>
      </c>
      <c r="G7613" s="3"/>
      <c r="H7613" s="4" t="s">
        <v>1359</v>
      </c>
    </row>
    <row r="7614" ht="16.5" customHeight="1" spans="1:8">
      <c r="A7614" s="3">
        <v>7613</v>
      </c>
      <c r="B7614" s="3" t="s">
        <v>16522</v>
      </c>
      <c r="C7614" s="3" t="s">
        <v>2163</v>
      </c>
      <c r="D7614" s="4" t="s">
        <v>16523</v>
      </c>
      <c r="E7614" s="3" t="s">
        <v>1076</v>
      </c>
      <c r="F7614" s="3" t="s">
        <v>10943</v>
      </c>
      <c r="G7614" s="3"/>
      <c r="H7614" s="4"/>
    </row>
    <row r="7615" ht="16.5" customHeight="1" spans="1:8">
      <c r="A7615" s="3">
        <v>7614</v>
      </c>
      <c r="B7615" s="3" t="s">
        <v>16524</v>
      </c>
      <c r="C7615" s="3" t="s">
        <v>2163</v>
      </c>
      <c r="D7615" s="4" t="s">
        <v>16525</v>
      </c>
      <c r="E7615" s="3" t="s">
        <v>1076</v>
      </c>
      <c r="F7615" s="3" t="s">
        <v>10943</v>
      </c>
      <c r="G7615" s="3"/>
      <c r="H7615" s="4"/>
    </row>
    <row r="7616" ht="16.5" customHeight="1" spans="1:8">
      <c r="A7616" s="3">
        <v>7615</v>
      </c>
      <c r="B7616" s="3" t="s">
        <v>16526</v>
      </c>
      <c r="C7616" s="3" t="s">
        <v>1361</v>
      </c>
      <c r="D7616" s="4" t="s">
        <v>16527</v>
      </c>
      <c r="E7616" s="3" t="s">
        <v>2053</v>
      </c>
      <c r="F7616" s="3" t="s">
        <v>2041</v>
      </c>
      <c r="G7616" s="3"/>
      <c r="H7616" s="4" t="s">
        <v>1095</v>
      </c>
    </row>
    <row r="7617" ht="16.5" customHeight="1" spans="1:8">
      <c r="A7617" s="3">
        <v>7616</v>
      </c>
      <c r="B7617" s="3" t="s">
        <v>16528</v>
      </c>
      <c r="C7617" s="3" t="s">
        <v>1361</v>
      </c>
      <c r="D7617" s="4" t="s">
        <v>16529</v>
      </c>
      <c r="E7617" s="3" t="s">
        <v>1218</v>
      </c>
      <c r="F7617" s="3" t="s">
        <v>2041</v>
      </c>
      <c r="G7617" s="3"/>
      <c r="H7617" s="4" t="s">
        <v>1095</v>
      </c>
    </row>
    <row r="7618" ht="16.5" customHeight="1" spans="1:8">
      <c r="A7618" s="3">
        <v>7617</v>
      </c>
      <c r="B7618" s="3" t="s">
        <v>16530</v>
      </c>
      <c r="C7618" s="3" t="s">
        <v>1361</v>
      </c>
      <c r="D7618" s="4" t="s">
        <v>16531</v>
      </c>
      <c r="E7618" s="3" t="s">
        <v>1218</v>
      </c>
      <c r="F7618" s="3" t="s">
        <v>2041</v>
      </c>
      <c r="G7618" s="3"/>
      <c r="H7618" s="4" t="s">
        <v>1095</v>
      </c>
    </row>
    <row r="7619" ht="16.5" customHeight="1" spans="1:8">
      <c r="A7619" s="3">
        <v>7618</v>
      </c>
      <c r="B7619" s="3" t="s">
        <v>16532</v>
      </c>
      <c r="C7619" s="3" t="s">
        <v>2163</v>
      </c>
      <c r="D7619" s="4" t="s">
        <v>16533</v>
      </c>
      <c r="E7619" s="3" t="s">
        <v>2726</v>
      </c>
      <c r="F7619" s="3" t="s">
        <v>2041</v>
      </c>
      <c r="G7619" s="3"/>
      <c r="H7619" s="4" t="s">
        <v>1095</v>
      </c>
    </row>
    <row r="7620" ht="16.5" customHeight="1" spans="1:8">
      <c r="A7620" s="3">
        <v>7619</v>
      </c>
      <c r="B7620" s="3" t="s">
        <v>16534</v>
      </c>
      <c r="C7620" s="3" t="s">
        <v>1361</v>
      </c>
      <c r="D7620" s="4" t="s">
        <v>16535</v>
      </c>
      <c r="E7620" s="3" t="s">
        <v>2056</v>
      </c>
      <c r="F7620" s="3" t="s">
        <v>10943</v>
      </c>
      <c r="G7620" s="3"/>
      <c r="H7620" s="4"/>
    </row>
    <row r="7621" ht="16.5" customHeight="1" spans="1:8">
      <c r="A7621" s="3">
        <v>7620</v>
      </c>
      <c r="B7621" s="3" t="s">
        <v>16536</v>
      </c>
      <c r="C7621" s="3" t="s">
        <v>1361</v>
      </c>
      <c r="D7621" s="4" t="s">
        <v>16537</v>
      </c>
      <c r="E7621" s="3" t="s">
        <v>2056</v>
      </c>
      <c r="F7621" s="3" t="s">
        <v>10943</v>
      </c>
      <c r="G7621" s="3"/>
      <c r="H7621" s="4"/>
    </row>
    <row r="7622" ht="16.5" customHeight="1" spans="1:8">
      <c r="A7622" s="3">
        <v>7621</v>
      </c>
      <c r="B7622" s="3" t="s">
        <v>16538</v>
      </c>
      <c r="C7622" s="3" t="s">
        <v>1361</v>
      </c>
      <c r="D7622" s="4" t="s">
        <v>16539</v>
      </c>
      <c r="E7622" s="3" t="s">
        <v>2056</v>
      </c>
      <c r="F7622" s="3" t="s">
        <v>10943</v>
      </c>
      <c r="G7622" s="3"/>
      <c r="H7622" s="4"/>
    </row>
    <row r="7623" ht="16.5" customHeight="1" spans="1:8">
      <c r="A7623" s="3">
        <v>7622</v>
      </c>
      <c r="B7623" s="3" t="s">
        <v>16540</v>
      </c>
      <c r="C7623" s="3" t="s">
        <v>1361</v>
      </c>
      <c r="D7623" s="4" t="s">
        <v>16541</v>
      </c>
      <c r="E7623" s="3" t="s">
        <v>2056</v>
      </c>
      <c r="F7623" s="3" t="s">
        <v>10943</v>
      </c>
      <c r="G7623" s="3"/>
      <c r="H7623" s="4"/>
    </row>
    <row r="7624" ht="16.5" customHeight="1" spans="1:8">
      <c r="A7624" s="3">
        <v>7623</v>
      </c>
      <c r="B7624" s="3" t="s">
        <v>16542</v>
      </c>
      <c r="C7624" s="3" t="s">
        <v>1361</v>
      </c>
      <c r="D7624" s="4" t="s">
        <v>16543</v>
      </c>
      <c r="E7624" s="3" t="s">
        <v>2056</v>
      </c>
      <c r="F7624" s="3" t="s">
        <v>2041</v>
      </c>
      <c r="G7624" s="3"/>
      <c r="H7624" s="4" t="s">
        <v>1359</v>
      </c>
    </row>
    <row r="7625" ht="16.5" customHeight="1" spans="1:8">
      <c r="A7625" s="3">
        <v>7624</v>
      </c>
      <c r="B7625" s="3" t="s">
        <v>16544</v>
      </c>
      <c r="C7625" s="3" t="s">
        <v>1361</v>
      </c>
      <c r="D7625" s="4" t="s">
        <v>16545</v>
      </c>
      <c r="E7625" s="3" t="s">
        <v>2056</v>
      </c>
      <c r="F7625" s="3" t="s">
        <v>2041</v>
      </c>
      <c r="G7625" s="3"/>
      <c r="H7625" s="4" t="s">
        <v>1359</v>
      </c>
    </row>
    <row r="7626" ht="16.5" customHeight="1" spans="1:8">
      <c r="A7626" s="3">
        <v>7625</v>
      </c>
      <c r="B7626" s="3" t="s">
        <v>16546</v>
      </c>
      <c r="C7626" s="3" t="s">
        <v>1361</v>
      </c>
      <c r="D7626" s="4" t="s">
        <v>16547</v>
      </c>
      <c r="E7626" s="3" t="s">
        <v>2056</v>
      </c>
      <c r="F7626" s="3" t="s">
        <v>2041</v>
      </c>
      <c r="G7626" s="3"/>
      <c r="H7626" s="4" t="s">
        <v>1359</v>
      </c>
    </row>
    <row r="7627" ht="16.5" customHeight="1" spans="1:8">
      <c r="A7627" s="3">
        <v>7626</v>
      </c>
      <c r="B7627" s="3" t="s">
        <v>16548</v>
      </c>
      <c r="C7627" s="3" t="s">
        <v>1361</v>
      </c>
      <c r="D7627" s="4" t="s">
        <v>16549</v>
      </c>
      <c r="E7627" s="3" t="s">
        <v>2056</v>
      </c>
      <c r="F7627" s="3" t="s">
        <v>10943</v>
      </c>
      <c r="G7627" s="3"/>
      <c r="H7627" s="4"/>
    </row>
    <row r="7628" ht="16.5" customHeight="1" spans="1:8">
      <c r="A7628" s="3">
        <v>7627</v>
      </c>
      <c r="B7628" s="3" t="s">
        <v>16550</v>
      </c>
      <c r="C7628" s="3" t="s">
        <v>1361</v>
      </c>
      <c r="D7628" s="4" t="s">
        <v>16551</v>
      </c>
      <c r="E7628" s="3" t="s">
        <v>2056</v>
      </c>
      <c r="F7628" s="3" t="s">
        <v>10943</v>
      </c>
      <c r="G7628" s="3"/>
      <c r="H7628" s="4"/>
    </row>
    <row r="7629" ht="16.5" customHeight="1" spans="1:8">
      <c r="A7629" s="3">
        <v>7628</v>
      </c>
      <c r="B7629" s="3" t="s">
        <v>16552</v>
      </c>
      <c r="C7629" s="3" t="s">
        <v>1361</v>
      </c>
      <c r="D7629" s="4" t="s">
        <v>16553</v>
      </c>
      <c r="E7629" s="3" t="s">
        <v>2053</v>
      </c>
      <c r="F7629" s="3" t="s">
        <v>2041</v>
      </c>
      <c r="G7629" s="3"/>
      <c r="H7629" s="4" t="s">
        <v>1359</v>
      </c>
    </row>
    <row r="7630" ht="16.5" customHeight="1" spans="1:8">
      <c r="A7630" s="3">
        <v>7629</v>
      </c>
      <c r="B7630" s="3" t="s">
        <v>16554</v>
      </c>
      <c r="C7630" s="3" t="s">
        <v>1361</v>
      </c>
      <c r="D7630" s="4" t="s">
        <v>16555</v>
      </c>
      <c r="E7630" s="3" t="s">
        <v>1218</v>
      </c>
      <c r="F7630" s="3" t="s">
        <v>2041</v>
      </c>
      <c r="G7630" s="3"/>
      <c r="H7630" s="4" t="s">
        <v>1359</v>
      </c>
    </row>
    <row r="7631" ht="16.5" customHeight="1" spans="1:8">
      <c r="A7631" s="3">
        <v>7630</v>
      </c>
      <c r="B7631" s="3" t="s">
        <v>16556</v>
      </c>
      <c r="C7631" s="3" t="s">
        <v>1361</v>
      </c>
      <c r="D7631" s="4" t="s">
        <v>16557</v>
      </c>
      <c r="E7631" s="3" t="s">
        <v>1218</v>
      </c>
      <c r="F7631" s="3" t="s">
        <v>2041</v>
      </c>
      <c r="G7631" s="3"/>
      <c r="H7631" s="4" t="s">
        <v>1359</v>
      </c>
    </row>
    <row r="7632" ht="16.5" customHeight="1" spans="1:8">
      <c r="A7632" s="3">
        <v>7631</v>
      </c>
      <c r="B7632" s="3" t="s">
        <v>16558</v>
      </c>
      <c r="C7632" s="3" t="s">
        <v>1105</v>
      </c>
      <c r="D7632" s="4" t="s">
        <v>14276</v>
      </c>
      <c r="E7632" s="3" t="s">
        <v>1076</v>
      </c>
      <c r="F7632" s="3" t="s">
        <v>2041</v>
      </c>
      <c r="G7632" s="3"/>
      <c r="H7632" s="4" t="s">
        <v>16559</v>
      </c>
    </row>
    <row r="7633" ht="16.5" customHeight="1" spans="1:8">
      <c r="A7633" s="3">
        <v>7632</v>
      </c>
      <c r="B7633" s="3" t="s">
        <v>16560</v>
      </c>
      <c r="C7633" s="3" t="s">
        <v>1105</v>
      </c>
      <c r="D7633" s="4" t="s">
        <v>13606</v>
      </c>
      <c r="E7633" s="3" t="s">
        <v>1076</v>
      </c>
      <c r="F7633" s="3" t="s">
        <v>2041</v>
      </c>
      <c r="G7633" s="3"/>
      <c r="H7633" s="4" t="s">
        <v>16559</v>
      </c>
    </row>
    <row r="7634" ht="16.5" customHeight="1" spans="1:8">
      <c r="A7634" s="3">
        <v>7633</v>
      </c>
      <c r="B7634" s="3" t="s">
        <v>16561</v>
      </c>
      <c r="C7634" s="3" t="s">
        <v>1105</v>
      </c>
      <c r="D7634" s="4" t="s">
        <v>16562</v>
      </c>
      <c r="E7634" s="3" t="s">
        <v>1076</v>
      </c>
      <c r="F7634" s="3" t="s">
        <v>2041</v>
      </c>
      <c r="G7634" s="3"/>
      <c r="H7634" s="4" t="s">
        <v>16559</v>
      </c>
    </row>
    <row r="7635" ht="16.5" customHeight="1" spans="1:8">
      <c r="A7635" s="3">
        <v>7634</v>
      </c>
      <c r="B7635" s="3" t="s">
        <v>16563</v>
      </c>
      <c r="C7635" s="3" t="s">
        <v>1105</v>
      </c>
      <c r="D7635" s="4" t="s">
        <v>14276</v>
      </c>
      <c r="E7635" s="3" t="s">
        <v>1076</v>
      </c>
      <c r="F7635" s="3" t="s">
        <v>2041</v>
      </c>
      <c r="G7635" s="3"/>
      <c r="H7635" s="4" t="s">
        <v>16564</v>
      </c>
    </row>
    <row r="7636" ht="16.5" customHeight="1" spans="1:8">
      <c r="A7636" s="3">
        <v>7635</v>
      </c>
      <c r="B7636" s="3" t="s">
        <v>16565</v>
      </c>
      <c r="C7636" s="3" t="s">
        <v>1105</v>
      </c>
      <c r="D7636" s="4" t="s">
        <v>16566</v>
      </c>
      <c r="E7636" s="3" t="s">
        <v>1076</v>
      </c>
      <c r="F7636" s="3" t="s">
        <v>2041</v>
      </c>
      <c r="G7636" s="3"/>
      <c r="H7636" s="4" t="s">
        <v>16564</v>
      </c>
    </row>
    <row r="7637" ht="16.5" customHeight="1" spans="1:8">
      <c r="A7637" s="3">
        <v>7636</v>
      </c>
      <c r="B7637" s="3" t="s">
        <v>16567</v>
      </c>
      <c r="C7637" s="3" t="s">
        <v>1105</v>
      </c>
      <c r="D7637" s="4" t="s">
        <v>16568</v>
      </c>
      <c r="E7637" s="3" t="s">
        <v>1076</v>
      </c>
      <c r="F7637" s="3" t="s">
        <v>2041</v>
      </c>
      <c r="G7637" s="3"/>
      <c r="H7637" s="4" t="s">
        <v>16564</v>
      </c>
    </row>
    <row r="7638" ht="16.5" customHeight="1" spans="1:8">
      <c r="A7638" s="3">
        <v>7637</v>
      </c>
      <c r="B7638" s="3" t="s">
        <v>16569</v>
      </c>
      <c r="C7638" s="3" t="s">
        <v>1105</v>
      </c>
      <c r="D7638" s="4" t="s">
        <v>16570</v>
      </c>
      <c r="E7638" s="3" t="s">
        <v>1076</v>
      </c>
      <c r="F7638" s="3" t="s">
        <v>2041</v>
      </c>
      <c r="G7638" s="3"/>
      <c r="H7638" s="4" t="s">
        <v>16564</v>
      </c>
    </row>
    <row r="7639" ht="16.5" customHeight="1" spans="1:8">
      <c r="A7639" s="3">
        <v>7638</v>
      </c>
      <c r="B7639" s="3" t="s">
        <v>16571</v>
      </c>
      <c r="C7639" s="3" t="s">
        <v>1105</v>
      </c>
      <c r="D7639" s="4" t="s">
        <v>13631</v>
      </c>
      <c r="E7639" s="3" t="s">
        <v>1076</v>
      </c>
      <c r="F7639" s="3" t="s">
        <v>2041</v>
      </c>
      <c r="G7639" s="3"/>
      <c r="H7639" s="4" t="s">
        <v>16572</v>
      </c>
    </row>
    <row r="7640" ht="16.5" customHeight="1" spans="1:8">
      <c r="A7640" s="3">
        <v>7639</v>
      </c>
      <c r="B7640" s="3" t="s">
        <v>16573</v>
      </c>
      <c r="C7640" s="3" t="s">
        <v>1105</v>
      </c>
      <c r="D7640" s="4" t="s">
        <v>16574</v>
      </c>
      <c r="E7640" s="3" t="s">
        <v>1076</v>
      </c>
      <c r="F7640" s="3" t="s">
        <v>2041</v>
      </c>
      <c r="G7640" s="3"/>
      <c r="H7640" s="4" t="s">
        <v>16572</v>
      </c>
    </row>
    <row r="7641" ht="16.5" customHeight="1" spans="1:8">
      <c r="A7641" s="3">
        <v>7640</v>
      </c>
      <c r="B7641" s="3" t="s">
        <v>16575</v>
      </c>
      <c r="C7641" s="3" t="s">
        <v>1105</v>
      </c>
      <c r="D7641" s="4" t="s">
        <v>16576</v>
      </c>
      <c r="E7641" s="3" t="s">
        <v>1076</v>
      </c>
      <c r="F7641" s="3" t="s">
        <v>2041</v>
      </c>
      <c r="G7641" s="3"/>
      <c r="H7641" s="4" t="s">
        <v>16572</v>
      </c>
    </row>
    <row r="7642" ht="16.5" customHeight="1" spans="1:8">
      <c r="A7642" s="3">
        <v>7641</v>
      </c>
      <c r="B7642" s="3" t="s">
        <v>16577</v>
      </c>
      <c r="C7642" s="3" t="s">
        <v>1105</v>
      </c>
      <c r="D7642" s="4" t="s">
        <v>16578</v>
      </c>
      <c r="E7642" s="3" t="s">
        <v>1076</v>
      </c>
      <c r="F7642" s="3" t="s">
        <v>2041</v>
      </c>
      <c r="G7642" s="3"/>
      <c r="H7642" s="4" t="s">
        <v>16572</v>
      </c>
    </row>
    <row r="7643" ht="16.5" customHeight="1" spans="1:8">
      <c r="A7643" s="3">
        <v>7642</v>
      </c>
      <c r="B7643" s="3" t="s">
        <v>16579</v>
      </c>
      <c r="C7643" s="3" t="s">
        <v>1105</v>
      </c>
      <c r="D7643" s="4" t="s">
        <v>16580</v>
      </c>
      <c r="E7643" s="3" t="s">
        <v>1076</v>
      </c>
      <c r="F7643" s="3" t="s">
        <v>2041</v>
      </c>
      <c r="G7643" s="3"/>
      <c r="H7643" s="4" t="s">
        <v>16559</v>
      </c>
    </row>
    <row r="7644" ht="16.5" customHeight="1" spans="1:8">
      <c r="A7644" s="3">
        <v>7643</v>
      </c>
      <c r="B7644" s="3" t="s">
        <v>16581</v>
      </c>
      <c r="C7644" s="3" t="s">
        <v>1361</v>
      </c>
      <c r="D7644" s="4" t="s">
        <v>16582</v>
      </c>
      <c r="E7644" s="3" t="s">
        <v>2056</v>
      </c>
      <c r="F7644" s="3" t="s">
        <v>10943</v>
      </c>
      <c r="G7644" s="3"/>
      <c r="H7644" s="4"/>
    </row>
    <row r="7645" ht="16.5" customHeight="1" spans="1:8">
      <c r="A7645" s="3">
        <v>7644</v>
      </c>
      <c r="B7645" s="3" t="s">
        <v>16583</v>
      </c>
      <c r="C7645" s="3" t="s">
        <v>2163</v>
      </c>
      <c r="D7645" s="4" t="s">
        <v>16584</v>
      </c>
      <c r="E7645" s="3" t="s">
        <v>1076</v>
      </c>
      <c r="F7645" s="3" t="s">
        <v>10943</v>
      </c>
      <c r="G7645" s="3"/>
      <c r="H7645" s="4"/>
    </row>
    <row r="7646" ht="16.5" customHeight="1" spans="1:8">
      <c r="A7646" s="3">
        <v>7645</v>
      </c>
      <c r="B7646" s="3" t="s">
        <v>16585</v>
      </c>
      <c r="C7646" s="3" t="s">
        <v>1361</v>
      </c>
      <c r="D7646" s="4" t="s">
        <v>16586</v>
      </c>
      <c r="E7646" s="3" t="s">
        <v>1218</v>
      </c>
      <c r="F7646" s="3" t="s">
        <v>2041</v>
      </c>
      <c r="G7646" s="3"/>
      <c r="H7646" s="4" t="s">
        <v>5664</v>
      </c>
    </row>
    <row r="7647" ht="16.5" customHeight="1" spans="1:8">
      <c r="A7647" s="3">
        <v>7646</v>
      </c>
      <c r="B7647" s="3" t="s">
        <v>16587</v>
      </c>
      <c r="C7647" s="3" t="s">
        <v>1361</v>
      </c>
      <c r="D7647" s="4" t="s">
        <v>16588</v>
      </c>
      <c r="E7647" s="3" t="s">
        <v>1218</v>
      </c>
      <c r="F7647" s="3" t="s">
        <v>2041</v>
      </c>
      <c r="G7647" s="3"/>
      <c r="H7647" s="4" t="s">
        <v>5664</v>
      </c>
    </row>
    <row r="7648" ht="16.5" customHeight="1" spans="1:8">
      <c r="A7648" s="3">
        <v>7647</v>
      </c>
      <c r="B7648" s="3" t="s">
        <v>16589</v>
      </c>
      <c r="C7648" s="3" t="s">
        <v>1361</v>
      </c>
      <c r="D7648" s="4" t="s">
        <v>16590</v>
      </c>
      <c r="E7648" s="3" t="s">
        <v>1218</v>
      </c>
      <c r="F7648" s="3" t="s">
        <v>2041</v>
      </c>
      <c r="G7648" s="3"/>
      <c r="H7648" s="4" t="s">
        <v>5664</v>
      </c>
    </row>
    <row r="7649" ht="16.5" customHeight="1" spans="1:8">
      <c r="A7649" s="3">
        <v>7648</v>
      </c>
      <c r="B7649" s="3" t="s">
        <v>16591</v>
      </c>
      <c r="C7649" s="3" t="s">
        <v>1361</v>
      </c>
      <c r="D7649" s="4" t="s">
        <v>16592</v>
      </c>
      <c r="E7649" s="3" t="s">
        <v>1218</v>
      </c>
      <c r="F7649" s="3" t="s">
        <v>2041</v>
      </c>
      <c r="G7649" s="3"/>
      <c r="H7649" s="4" t="s">
        <v>5664</v>
      </c>
    </row>
    <row r="7650" ht="16.5" customHeight="1" spans="1:8">
      <c r="A7650" s="3">
        <v>7649</v>
      </c>
      <c r="B7650" s="3" t="s">
        <v>16593</v>
      </c>
      <c r="C7650" s="3" t="s">
        <v>1361</v>
      </c>
      <c r="D7650" s="4" t="s">
        <v>16594</v>
      </c>
      <c r="E7650" s="3" t="s">
        <v>1218</v>
      </c>
      <c r="F7650" s="3" t="s">
        <v>2041</v>
      </c>
      <c r="G7650" s="3"/>
      <c r="H7650" s="4" t="s">
        <v>5664</v>
      </c>
    </row>
    <row r="7651" ht="16.5" customHeight="1" spans="1:8">
      <c r="A7651" s="3">
        <v>7650</v>
      </c>
      <c r="B7651" s="3" t="s">
        <v>16595</v>
      </c>
      <c r="C7651" s="3" t="s">
        <v>1105</v>
      </c>
      <c r="D7651" s="4" t="s">
        <v>13606</v>
      </c>
      <c r="E7651" s="3" t="s">
        <v>1076</v>
      </c>
      <c r="F7651" s="3" t="s">
        <v>2041</v>
      </c>
      <c r="G7651" s="3"/>
      <c r="H7651" s="4" t="s">
        <v>16480</v>
      </c>
    </row>
    <row r="7652" ht="16.5" customHeight="1" spans="1:8">
      <c r="A7652" s="3">
        <v>7651</v>
      </c>
      <c r="B7652" s="3" t="s">
        <v>16596</v>
      </c>
      <c r="C7652" s="3" t="s">
        <v>1105</v>
      </c>
      <c r="D7652" s="4" t="s">
        <v>14348</v>
      </c>
      <c r="E7652" s="3" t="s">
        <v>1076</v>
      </c>
      <c r="F7652" s="3" t="s">
        <v>2041</v>
      </c>
      <c r="G7652" s="3"/>
      <c r="H7652" s="4" t="s">
        <v>16480</v>
      </c>
    </row>
    <row r="7653" ht="16.5" customHeight="1" spans="1:8">
      <c r="A7653" s="3">
        <v>7652</v>
      </c>
      <c r="B7653" s="3" t="s">
        <v>16597</v>
      </c>
      <c r="C7653" s="3" t="s">
        <v>1105</v>
      </c>
      <c r="D7653" s="4" t="s">
        <v>13631</v>
      </c>
      <c r="E7653" s="3" t="s">
        <v>1076</v>
      </c>
      <c r="F7653" s="3" t="s">
        <v>2041</v>
      </c>
      <c r="G7653" s="3"/>
      <c r="H7653" s="4" t="s">
        <v>16598</v>
      </c>
    </row>
    <row r="7654" ht="16.5" customHeight="1" spans="1:8">
      <c r="A7654" s="3">
        <v>7653</v>
      </c>
      <c r="B7654" s="3" t="s">
        <v>16599</v>
      </c>
      <c r="C7654" s="3" t="s">
        <v>1105</v>
      </c>
      <c r="D7654" s="4" t="s">
        <v>13606</v>
      </c>
      <c r="E7654" s="3" t="s">
        <v>1076</v>
      </c>
      <c r="F7654" s="3" t="s">
        <v>2041</v>
      </c>
      <c r="G7654" s="3"/>
      <c r="H7654" s="4" t="s">
        <v>16598</v>
      </c>
    </row>
    <row r="7655" ht="16.5" customHeight="1" spans="1:8">
      <c r="A7655" s="3">
        <v>7654</v>
      </c>
      <c r="B7655" s="3" t="s">
        <v>16600</v>
      </c>
      <c r="C7655" s="3" t="s">
        <v>1105</v>
      </c>
      <c r="D7655" s="4" t="s">
        <v>14348</v>
      </c>
      <c r="E7655" s="3" t="s">
        <v>1076</v>
      </c>
      <c r="F7655" s="3" t="s">
        <v>2041</v>
      </c>
      <c r="G7655" s="3"/>
      <c r="H7655" s="4" t="s">
        <v>16598</v>
      </c>
    </row>
    <row r="7656" ht="16.5" customHeight="1" spans="1:8">
      <c r="A7656" s="3">
        <v>7655</v>
      </c>
      <c r="B7656" s="3" t="s">
        <v>16601</v>
      </c>
      <c r="C7656" s="3" t="s">
        <v>1361</v>
      </c>
      <c r="D7656" s="4" t="s">
        <v>16602</v>
      </c>
      <c r="E7656" s="3" t="s">
        <v>2056</v>
      </c>
      <c r="F7656" s="3" t="s">
        <v>10943</v>
      </c>
      <c r="G7656" s="3"/>
      <c r="H7656" s="4"/>
    </row>
    <row r="7657" ht="16.5" customHeight="1" spans="1:8">
      <c r="A7657" s="3">
        <v>7656</v>
      </c>
      <c r="B7657" s="3" t="s">
        <v>16603</v>
      </c>
      <c r="C7657" s="3" t="s">
        <v>2163</v>
      </c>
      <c r="D7657" s="4" t="s">
        <v>16604</v>
      </c>
      <c r="E7657" s="3" t="s">
        <v>7007</v>
      </c>
      <c r="F7657" s="3" t="s">
        <v>2041</v>
      </c>
      <c r="G7657" s="3"/>
      <c r="H7657" s="4" t="s">
        <v>5664</v>
      </c>
    </row>
    <row r="7658" ht="16.5" customHeight="1" spans="1:8">
      <c r="A7658" s="3">
        <v>7657</v>
      </c>
      <c r="B7658" s="3" t="s">
        <v>16605</v>
      </c>
      <c r="C7658" s="3" t="s">
        <v>2163</v>
      </c>
      <c r="D7658" s="4" t="s">
        <v>16606</v>
      </c>
      <c r="E7658" s="3" t="s">
        <v>3093</v>
      </c>
      <c r="F7658" s="3" t="s">
        <v>2041</v>
      </c>
      <c r="G7658" s="3"/>
      <c r="H7658" s="4" t="s">
        <v>5664</v>
      </c>
    </row>
    <row r="7659" ht="16.5" customHeight="1" spans="1:8">
      <c r="A7659" s="3">
        <v>7658</v>
      </c>
      <c r="B7659" s="3" t="s">
        <v>16607</v>
      </c>
      <c r="C7659" s="3" t="s">
        <v>1074</v>
      </c>
      <c r="D7659" s="4" t="s">
        <v>16608</v>
      </c>
      <c r="E7659" s="3" t="s">
        <v>8401</v>
      </c>
      <c r="F7659" s="3" t="s">
        <v>10259</v>
      </c>
      <c r="G7659" s="3"/>
      <c r="H7659" s="4" t="s">
        <v>4404</v>
      </c>
    </row>
    <row r="7660" ht="16.5" customHeight="1" spans="1:8">
      <c r="A7660" s="3">
        <v>7659</v>
      </c>
      <c r="B7660" s="3" t="s">
        <v>16609</v>
      </c>
      <c r="C7660" s="3" t="s">
        <v>1105</v>
      </c>
      <c r="D7660" s="4" t="s">
        <v>16610</v>
      </c>
      <c r="E7660" s="3" t="s">
        <v>1164</v>
      </c>
      <c r="F7660" s="3" t="s">
        <v>10259</v>
      </c>
      <c r="G7660" s="3"/>
      <c r="H7660" s="4" t="s">
        <v>16611</v>
      </c>
    </row>
    <row r="7661" ht="16.5" customHeight="1" spans="1:8">
      <c r="A7661" s="3">
        <v>7660</v>
      </c>
      <c r="B7661" s="3" t="s">
        <v>16612</v>
      </c>
      <c r="C7661" s="3" t="s">
        <v>2163</v>
      </c>
      <c r="D7661" s="4" t="s">
        <v>16613</v>
      </c>
      <c r="E7661" s="3" t="s">
        <v>1076</v>
      </c>
      <c r="F7661" s="3" t="s">
        <v>2041</v>
      </c>
      <c r="G7661" s="3"/>
      <c r="H7661" s="4" t="s">
        <v>5664</v>
      </c>
    </row>
    <row r="7662" ht="16.5" customHeight="1" spans="1:8">
      <c r="A7662" s="3">
        <v>7661</v>
      </c>
      <c r="B7662" s="3" t="s">
        <v>16614</v>
      </c>
      <c r="C7662" s="3" t="s">
        <v>2163</v>
      </c>
      <c r="D7662" s="4" t="s">
        <v>16615</v>
      </c>
      <c r="E7662" s="3" t="s">
        <v>1076</v>
      </c>
      <c r="F7662" s="3" t="s">
        <v>10943</v>
      </c>
      <c r="G7662" s="3"/>
      <c r="H7662" s="4"/>
    </row>
    <row r="7663" ht="16.5" customHeight="1" spans="1:8">
      <c r="A7663" s="3">
        <v>7662</v>
      </c>
      <c r="B7663" s="3" t="s">
        <v>16616</v>
      </c>
      <c r="C7663" s="3" t="s">
        <v>2163</v>
      </c>
      <c r="D7663" s="4" t="s">
        <v>16617</v>
      </c>
      <c r="E7663" s="3" t="s">
        <v>1076</v>
      </c>
      <c r="F7663" s="3" t="s">
        <v>10943</v>
      </c>
      <c r="G7663" s="3"/>
      <c r="H7663" s="4"/>
    </row>
    <row r="7664" ht="16.5" customHeight="1" spans="1:8">
      <c r="A7664" s="3">
        <v>7663</v>
      </c>
      <c r="B7664" s="3" t="s">
        <v>16618</v>
      </c>
      <c r="C7664" s="3" t="s">
        <v>2163</v>
      </c>
      <c r="D7664" s="4" t="s">
        <v>16619</v>
      </c>
      <c r="E7664" s="3" t="s">
        <v>1076</v>
      </c>
      <c r="F7664" s="3" t="s">
        <v>2041</v>
      </c>
      <c r="G7664" s="3"/>
      <c r="H7664" s="4" t="s">
        <v>5664</v>
      </c>
    </row>
    <row r="7665" ht="16.5" customHeight="1" spans="1:8">
      <c r="A7665" s="3">
        <v>7664</v>
      </c>
      <c r="B7665" s="3" t="s">
        <v>16620</v>
      </c>
      <c r="C7665" s="3" t="s">
        <v>2163</v>
      </c>
      <c r="D7665" s="4" t="s">
        <v>16621</v>
      </c>
      <c r="E7665" s="3" t="s">
        <v>1076</v>
      </c>
      <c r="F7665" s="3" t="s">
        <v>10943</v>
      </c>
      <c r="G7665" s="3"/>
      <c r="H7665" s="4"/>
    </row>
    <row r="7666" ht="16.5" customHeight="1" spans="1:8">
      <c r="A7666" s="3">
        <v>7665</v>
      </c>
      <c r="B7666" s="3" t="s">
        <v>428</v>
      </c>
      <c r="C7666" s="3" t="s">
        <v>1074</v>
      </c>
      <c r="D7666" s="4" t="s">
        <v>16622</v>
      </c>
      <c r="E7666" s="3" t="s">
        <v>1076</v>
      </c>
      <c r="F7666" s="3" t="s">
        <v>10259</v>
      </c>
      <c r="G7666" s="3"/>
      <c r="H7666" s="4" t="s">
        <v>3812</v>
      </c>
    </row>
    <row r="7667" ht="16.5" customHeight="1" spans="1:8">
      <c r="A7667" s="3">
        <v>7666</v>
      </c>
      <c r="B7667" s="3" t="s">
        <v>16623</v>
      </c>
      <c r="C7667" s="3" t="s">
        <v>2163</v>
      </c>
      <c r="D7667" s="4" t="s">
        <v>16624</v>
      </c>
      <c r="E7667" s="3" t="s">
        <v>2726</v>
      </c>
      <c r="F7667" s="3" t="s">
        <v>11431</v>
      </c>
      <c r="G7667" s="3"/>
      <c r="H7667" s="4"/>
    </row>
    <row r="7668" ht="16.5" customHeight="1" spans="1:8">
      <c r="A7668" s="3">
        <v>7667</v>
      </c>
      <c r="B7668" s="3" t="s">
        <v>16625</v>
      </c>
      <c r="C7668" s="3" t="s">
        <v>2163</v>
      </c>
      <c r="D7668" s="4" t="s">
        <v>16626</v>
      </c>
      <c r="E7668" s="3" t="s">
        <v>2726</v>
      </c>
      <c r="F7668" s="3" t="s">
        <v>11431</v>
      </c>
      <c r="G7668" s="3"/>
      <c r="H7668" s="4"/>
    </row>
    <row r="7669" ht="16.5" customHeight="1" spans="1:8">
      <c r="A7669" s="3">
        <v>7668</v>
      </c>
      <c r="B7669" s="3" t="s">
        <v>16627</v>
      </c>
      <c r="C7669" s="3" t="s">
        <v>2163</v>
      </c>
      <c r="D7669" s="4" t="s">
        <v>16628</v>
      </c>
      <c r="E7669" s="3" t="s">
        <v>2726</v>
      </c>
      <c r="F7669" s="3" t="s">
        <v>11431</v>
      </c>
      <c r="G7669" s="3"/>
      <c r="H7669" s="4"/>
    </row>
    <row r="7670" ht="16.5" customHeight="1" spans="1:8">
      <c r="A7670" s="3">
        <v>7669</v>
      </c>
      <c r="B7670" s="3" t="s">
        <v>16629</v>
      </c>
      <c r="C7670" s="3" t="s">
        <v>1074</v>
      </c>
      <c r="D7670" s="4" t="s">
        <v>16630</v>
      </c>
      <c r="E7670" s="3" t="s">
        <v>1218</v>
      </c>
      <c r="F7670" s="3" t="s">
        <v>2105</v>
      </c>
      <c r="G7670" s="3"/>
      <c r="H7670" s="4" t="s">
        <v>7240</v>
      </c>
    </row>
    <row r="7671" ht="16.5" customHeight="1" spans="1:8">
      <c r="A7671" s="3">
        <v>7670</v>
      </c>
      <c r="B7671" s="3" t="s">
        <v>16631</v>
      </c>
      <c r="C7671" s="3" t="s">
        <v>2163</v>
      </c>
      <c r="D7671" s="4" t="s">
        <v>16632</v>
      </c>
      <c r="E7671" s="3" t="s">
        <v>5779</v>
      </c>
      <c r="F7671" s="3" t="s">
        <v>10943</v>
      </c>
      <c r="G7671" s="3"/>
      <c r="H7671" s="4"/>
    </row>
    <row r="7672" ht="16.5" customHeight="1" spans="1:8">
      <c r="A7672" s="3">
        <v>7671</v>
      </c>
      <c r="B7672" s="3" t="s">
        <v>16633</v>
      </c>
      <c r="C7672" s="3" t="s">
        <v>1361</v>
      </c>
      <c r="D7672" s="4" t="s">
        <v>16634</v>
      </c>
      <c r="E7672" s="3" t="s">
        <v>1218</v>
      </c>
      <c r="F7672" s="3" t="s">
        <v>10943</v>
      </c>
      <c r="G7672" s="3"/>
      <c r="H7672" s="4"/>
    </row>
    <row r="7673" ht="16.5" customHeight="1" spans="1:8">
      <c r="A7673" s="3">
        <v>7672</v>
      </c>
      <c r="B7673" s="3" t="s">
        <v>16635</v>
      </c>
      <c r="C7673" s="3" t="s">
        <v>1361</v>
      </c>
      <c r="D7673" s="4" t="s">
        <v>16636</v>
      </c>
      <c r="E7673" s="3" t="s">
        <v>1218</v>
      </c>
      <c r="F7673" s="3" t="s">
        <v>10943</v>
      </c>
      <c r="G7673" s="3"/>
      <c r="H7673" s="4"/>
    </row>
    <row r="7674" ht="16.5" customHeight="1" spans="1:8">
      <c r="A7674" s="3">
        <v>7673</v>
      </c>
      <c r="B7674" s="3" t="s">
        <v>16637</v>
      </c>
      <c r="C7674" s="3" t="s">
        <v>1361</v>
      </c>
      <c r="D7674" s="4" t="s">
        <v>16638</v>
      </c>
      <c r="E7674" s="3" t="s">
        <v>1218</v>
      </c>
      <c r="F7674" s="3" t="s">
        <v>10943</v>
      </c>
      <c r="G7674" s="3"/>
      <c r="H7674" s="4"/>
    </row>
    <row r="7675" ht="16.5" customHeight="1" spans="1:8">
      <c r="A7675" s="3">
        <v>7674</v>
      </c>
      <c r="B7675" s="3" t="s">
        <v>16639</v>
      </c>
      <c r="C7675" s="3" t="s">
        <v>1361</v>
      </c>
      <c r="D7675" s="4" t="s">
        <v>16640</v>
      </c>
      <c r="E7675" s="3" t="s">
        <v>1218</v>
      </c>
      <c r="F7675" s="3" t="s">
        <v>10943</v>
      </c>
      <c r="G7675" s="3"/>
      <c r="H7675" s="4"/>
    </row>
    <row r="7676" ht="16.5" customHeight="1" spans="1:8">
      <c r="A7676" s="3">
        <v>7675</v>
      </c>
      <c r="B7676" s="3" t="s">
        <v>16641</v>
      </c>
      <c r="C7676" s="3" t="s">
        <v>1361</v>
      </c>
      <c r="D7676" s="4" t="s">
        <v>16642</v>
      </c>
      <c r="E7676" s="3" t="s">
        <v>1218</v>
      </c>
      <c r="F7676" s="3" t="s">
        <v>10943</v>
      </c>
      <c r="G7676" s="3"/>
      <c r="H7676" s="4"/>
    </row>
    <row r="7677" ht="16.5" customHeight="1" spans="1:8">
      <c r="A7677" s="3">
        <v>7676</v>
      </c>
      <c r="B7677" s="3" t="s">
        <v>16643</v>
      </c>
      <c r="C7677" s="3" t="s">
        <v>1361</v>
      </c>
      <c r="D7677" s="4" t="s">
        <v>16644</v>
      </c>
      <c r="E7677" s="3" t="s">
        <v>1218</v>
      </c>
      <c r="F7677" s="3" t="s">
        <v>10943</v>
      </c>
      <c r="G7677" s="3"/>
      <c r="H7677" s="4"/>
    </row>
    <row r="7678" ht="16.5" customHeight="1" spans="1:8">
      <c r="A7678" s="3">
        <v>7677</v>
      </c>
      <c r="B7678" s="3" t="s">
        <v>16645</v>
      </c>
      <c r="C7678" s="3" t="s">
        <v>2163</v>
      </c>
      <c r="D7678" s="4" t="s">
        <v>16646</v>
      </c>
      <c r="E7678" s="3" t="s">
        <v>1076</v>
      </c>
      <c r="F7678" s="3" t="s">
        <v>2041</v>
      </c>
      <c r="G7678" s="3" t="s">
        <v>321</v>
      </c>
      <c r="H7678" s="4" t="s">
        <v>5664</v>
      </c>
    </row>
    <row r="7679" ht="16.5" customHeight="1" spans="1:8">
      <c r="A7679" s="3">
        <v>7678</v>
      </c>
      <c r="B7679" s="3" t="s">
        <v>16647</v>
      </c>
      <c r="C7679" s="3" t="s">
        <v>1361</v>
      </c>
      <c r="D7679" s="4" t="s">
        <v>16648</v>
      </c>
      <c r="E7679" s="3" t="s">
        <v>1218</v>
      </c>
      <c r="F7679" s="3" t="s">
        <v>10943</v>
      </c>
      <c r="G7679" s="3"/>
      <c r="H7679" s="4"/>
    </row>
    <row r="7680" ht="16.5" customHeight="1" spans="1:8">
      <c r="A7680" s="3">
        <v>7679</v>
      </c>
      <c r="B7680" s="3" t="s">
        <v>16649</v>
      </c>
      <c r="C7680" s="3" t="s">
        <v>1361</v>
      </c>
      <c r="D7680" s="4" t="s">
        <v>16650</v>
      </c>
      <c r="E7680" s="3" t="s">
        <v>1218</v>
      </c>
      <c r="F7680" s="3" t="s">
        <v>10943</v>
      </c>
      <c r="G7680" s="3"/>
      <c r="H7680" s="4"/>
    </row>
    <row r="7681" ht="16.5" customHeight="1" spans="1:8">
      <c r="A7681" s="3">
        <v>7680</v>
      </c>
      <c r="B7681" s="3" t="s">
        <v>16651</v>
      </c>
      <c r="C7681" s="3" t="s">
        <v>1361</v>
      </c>
      <c r="D7681" s="4" t="s">
        <v>16652</v>
      </c>
      <c r="E7681" s="3" t="s">
        <v>1218</v>
      </c>
      <c r="F7681" s="3" t="s">
        <v>10943</v>
      </c>
      <c r="G7681" s="3"/>
      <c r="H7681" s="4"/>
    </row>
    <row r="7682" ht="16.5" customHeight="1" spans="1:8">
      <c r="A7682" s="3">
        <v>7681</v>
      </c>
      <c r="B7682" s="3" t="s">
        <v>16653</v>
      </c>
      <c r="C7682" s="3" t="s">
        <v>2163</v>
      </c>
      <c r="D7682" s="4" t="s">
        <v>16654</v>
      </c>
      <c r="E7682" s="3" t="s">
        <v>1076</v>
      </c>
      <c r="F7682" s="3" t="s">
        <v>2041</v>
      </c>
      <c r="G7682" s="3"/>
      <c r="H7682" s="4" t="s">
        <v>5664</v>
      </c>
    </row>
    <row r="7683" ht="16.5" customHeight="1" spans="1:8">
      <c r="A7683" s="3">
        <v>7682</v>
      </c>
      <c r="B7683" s="3" t="s">
        <v>16655</v>
      </c>
      <c r="C7683" s="3" t="s">
        <v>2163</v>
      </c>
      <c r="D7683" s="4" t="s">
        <v>16656</v>
      </c>
      <c r="E7683" s="3" t="s">
        <v>1076</v>
      </c>
      <c r="F7683" s="3" t="s">
        <v>10943</v>
      </c>
      <c r="G7683" s="3"/>
      <c r="H7683" s="4"/>
    </row>
    <row r="7684" ht="16.5" customHeight="1" spans="1:8">
      <c r="A7684" s="3">
        <v>7683</v>
      </c>
      <c r="B7684" s="3" t="s">
        <v>16657</v>
      </c>
      <c r="C7684" s="3" t="s">
        <v>2163</v>
      </c>
      <c r="D7684" s="4" t="s">
        <v>16658</v>
      </c>
      <c r="E7684" s="3" t="s">
        <v>1076</v>
      </c>
      <c r="F7684" s="3" t="s">
        <v>10943</v>
      </c>
      <c r="G7684" s="3"/>
      <c r="H7684" s="4"/>
    </row>
    <row r="7685" ht="16.5" customHeight="1" spans="1:8">
      <c r="A7685" s="3">
        <v>7684</v>
      </c>
      <c r="B7685" s="3" t="s">
        <v>16659</v>
      </c>
      <c r="C7685" s="3" t="s">
        <v>1074</v>
      </c>
      <c r="D7685" s="4" t="s">
        <v>16660</v>
      </c>
      <c r="E7685" s="3" t="s">
        <v>1218</v>
      </c>
      <c r="F7685" s="3" t="s">
        <v>10259</v>
      </c>
      <c r="G7685" s="3"/>
      <c r="H7685" s="4" t="s">
        <v>7502</v>
      </c>
    </row>
    <row r="7686" ht="16.5" customHeight="1" spans="1:8">
      <c r="A7686" s="3">
        <v>7685</v>
      </c>
      <c r="B7686" s="3" t="s">
        <v>16661</v>
      </c>
      <c r="C7686" s="3" t="s">
        <v>1361</v>
      </c>
      <c r="D7686" s="4" t="s">
        <v>16662</v>
      </c>
      <c r="E7686" s="3" t="s">
        <v>1218</v>
      </c>
      <c r="F7686" s="3" t="s">
        <v>2041</v>
      </c>
      <c r="G7686" s="3"/>
      <c r="H7686" s="4" t="s">
        <v>5664</v>
      </c>
    </row>
    <row r="7687" ht="16.5" customHeight="1" spans="1:8">
      <c r="A7687" s="3">
        <v>7686</v>
      </c>
      <c r="B7687" s="3" t="s">
        <v>16663</v>
      </c>
      <c r="C7687" s="3" t="s">
        <v>2163</v>
      </c>
      <c r="D7687" s="4" t="s">
        <v>16664</v>
      </c>
      <c r="E7687" s="3" t="s">
        <v>1076</v>
      </c>
      <c r="F7687" s="3" t="s">
        <v>10943</v>
      </c>
      <c r="G7687" s="3"/>
      <c r="H7687" s="4"/>
    </row>
    <row r="7688" ht="16.5" customHeight="1" spans="1:8">
      <c r="A7688" s="3">
        <v>7687</v>
      </c>
      <c r="B7688" s="3" t="s">
        <v>16665</v>
      </c>
      <c r="C7688" s="3" t="s">
        <v>2163</v>
      </c>
      <c r="D7688" s="4" t="s">
        <v>16666</v>
      </c>
      <c r="E7688" s="3" t="s">
        <v>1076</v>
      </c>
      <c r="F7688" s="3" t="s">
        <v>10943</v>
      </c>
      <c r="G7688" s="3"/>
      <c r="H7688" s="4"/>
    </row>
    <row r="7689" ht="16.5" customHeight="1" spans="1:8">
      <c r="A7689" s="3">
        <v>7688</v>
      </c>
      <c r="B7689" s="3" t="s">
        <v>16667</v>
      </c>
      <c r="C7689" s="3" t="s">
        <v>1074</v>
      </c>
      <c r="D7689" s="4" t="s">
        <v>16668</v>
      </c>
      <c r="E7689" s="3" t="s">
        <v>1076</v>
      </c>
      <c r="F7689" s="3" t="s">
        <v>10943</v>
      </c>
      <c r="G7689" s="3"/>
      <c r="H7689" s="4" t="s">
        <v>3812</v>
      </c>
    </row>
    <row r="7690" ht="16.5" customHeight="1" spans="1:8">
      <c r="A7690" s="3">
        <v>7689</v>
      </c>
      <c r="B7690" s="3" t="s">
        <v>16669</v>
      </c>
      <c r="C7690" s="3" t="s">
        <v>1361</v>
      </c>
      <c r="D7690" s="4" t="s">
        <v>16670</v>
      </c>
      <c r="E7690" s="3" t="s">
        <v>2056</v>
      </c>
      <c r="F7690" s="3" t="s">
        <v>10943</v>
      </c>
      <c r="G7690" s="3"/>
      <c r="H7690" s="4"/>
    </row>
    <row r="7691" ht="16.5" customHeight="1" spans="1:8">
      <c r="A7691" s="3">
        <v>7690</v>
      </c>
      <c r="B7691" s="3" t="s">
        <v>16671</v>
      </c>
      <c r="C7691" s="3" t="s">
        <v>2163</v>
      </c>
      <c r="D7691" s="4" t="s">
        <v>16672</v>
      </c>
      <c r="E7691" s="3" t="s">
        <v>1076</v>
      </c>
      <c r="F7691" s="3" t="s">
        <v>2041</v>
      </c>
      <c r="G7691" s="3"/>
      <c r="H7691" s="4" t="s">
        <v>4404</v>
      </c>
    </row>
    <row r="7692" ht="16.5" customHeight="1" spans="1:8">
      <c r="A7692" s="3">
        <v>7691</v>
      </c>
      <c r="B7692" s="3" t="s">
        <v>16673</v>
      </c>
      <c r="C7692" s="3" t="s">
        <v>1361</v>
      </c>
      <c r="D7692" s="4" t="s">
        <v>16674</v>
      </c>
      <c r="E7692" s="3" t="s">
        <v>2056</v>
      </c>
      <c r="F7692" s="3" t="s">
        <v>10943</v>
      </c>
      <c r="G7692" s="3"/>
      <c r="H7692" s="4"/>
    </row>
    <row r="7693" ht="16.5" customHeight="1" spans="1:8">
      <c r="A7693" s="3">
        <v>7692</v>
      </c>
      <c r="B7693" s="3" t="s">
        <v>16675</v>
      </c>
      <c r="C7693" s="3" t="s">
        <v>1361</v>
      </c>
      <c r="D7693" s="4" t="s">
        <v>16676</v>
      </c>
      <c r="E7693" s="3" t="s">
        <v>2056</v>
      </c>
      <c r="F7693" s="3" t="s">
        <v>10943</v>
      </c>
      <c r="G7693" s="3"/>
      <c r="H7693" s="4"/>
    </row>
    <row r="7694" ht="16.5" customHeight="1" spans="1:8">
      <c r="A7694" s="3">
        <v>7693</v>
      </c>
      <c r="B7694" s="3" t="s">
        <v>16677</v>
      </c>
      <c r="C7694" s="3" t="s">
        <v>1361</v>
      </c>
      <c r="D7694" s="4" t="s">
        <v>16678</v>
      </c>
      <c r="E7694" s="3" t="s">
        <v>2056</v>
      </c>
      <c r="F7694" s="3" t="s">
        <v>10943</v>
      </c>
      <c r="G7694" s="3"/>
      <c r="H7694" s="4"/>
    </row>
    <row r="7695" ht="16.5" customHeight="1" spans="1:8">
      <c r="A7695" s="3">
        <v>7694</v>
      </c>
      <c r="B7695" s="3" t="s">
        <v>16679</v>
      </c>
      <c r="C7695" s="3" t="s">
        <v>2163</v>
      </c>
      <c r="D7695" s="4" t="s">
        <v>16680</v>
      </c>
      <c r="E7695" s="3" t="s">
        <v>1076</v>
      </c>
      <c r="F7695" s="3" t="s">
        <v>2041</v>
      </c>
      <c r="G7695" s="3"/>
      <c r="H7695" s="4" t="s">
        <v>4404</v>
      </c>
    </row>
    <row r="7696" ht="16.5" customHeight="1" spans="1:8">
      <c r="A7696" s="3">
        <v>7695</v>
      </c>
      <c r="B7696" s="3" t="s">
        <v>16681</v>
      </c>
      <c r="C7696" s="3" t="s">
        <v>1361</v>
      </c>
      <c r="D7696" s="4" t="s">
        <v>16682</v>
      </c>
      <c r="E7696" s="3" t="s">
        <v>2056</v>
      </c>
      <c r="F7696" s="3" t="s">
        <v>10943</v>
      </c>
      <c r="G7696" s="3"/>
      <c r="H7696" s="4"/>
    </row>
    <row r="7697" ht="16.5" customHeight="1" spans="1:8">
      <c r="A7697" s="3">
        <v>7696</v>
      </c>
      <c r="B7697" s="3" t="s">
        <v>16683</v>
      </c>
      <c r="C7697" s="3" t="s">
        <v>2163</v>
      </c>
      <c r="D7697" s="4" t="s">
        <v>16684</v>
      </c>
      <c r="E7697" s="3" t="s">
        <v>1076</v>
      </c>
      <c r="F7697" s="3" t="s">
        <v>2041</v>
      </c>
      <c r="G7697" s="3"/>
      <c r="H7697" s="4" t="s">
        <v>4404</v>
      </c>
    </row>
    <row r="7698" ht="16.5" customHeight="1" spans="1:8">
      <c r="A7698" s="3">
        <v>7697</v>
      </c>
      <c r="B7698" s="3" t="s">
        <v>16685</v>
      </c>
      <c r="C7698" s="3" t="s">
        <v>2163</v>
      </c>
      <c r="D7698" s="4" t="s">
        <v>16686</v>
      </c>
      <c r="E7698" s="3" t="s">
        <v>1076</v>
      </c>
      <c r="F7698" s="3" t="s">
        <v>2041</v>
      </c>
      <c r="G7698" s="3"/>
      <c r="H7698" s="4" t="s">
        <v>4404</v>
      </c>
    </row>
    <row r="7699" ht="16.5" customHeight="1" spans="1:8">
      <c r="A7699" s="3">
        <v>7698</v>
      </c>
      <c r="B7699" s="3" t="s">
        <v>16687</v>
      </c>
      <c r="C7699" s="3" t="s">
        <v>1074</v>
      </c>
      <c r="D7699" s="4" t="s">
        <v>16688</v>
      </c>
      <c r="E7699" s="3" t="s">
        <v>15175</v>
      </c>
      <c r="F7699" s="3" t="s">
        <v>10943</v>
      </c>
      <c r="G7699" s="3"/>
      <c r="H7699" s="4" t="s">
        <v>1095</v>
      </c>
    </row>
    <row r="7700" ht="16.5" customHeight="1" spans="1:8">
      <c r="A7700" s="3">
        <v>7699</v>
      </c>
      <c r="B7700" s="3" t="s">
        <v>16689</v>
      </c>
      <c r="C7700" s="3" t="s">
        <v>1361</v>
      </c>
      <c r="D7700" s="4" t="s">
        <v>16690</v>
      </c>
      <c r="E7700" s="3" t="s">
        <v>2056</v>
      </c>
      <c r="F7700" s="3" t="s">
        <v>10943</v>
      </c>
      <c r="G7700" s="3"/>
      <c r="H7700" s="4"/>
    </row>
    <row r="7701" ht="16.5" customHeight="1" spans="1:8">
      <c r="A7701" s="3">
        <v>7700</v>
      </c>
      <c r="B7701" s="3" t="s">
        <v>16691</v>
      </c>
      <c r="C7701" s="3" t="s">
        <v>1361</v>
      </c>
      <c r="D7701" s="4" t="s">
        <v>16692</v>
      </c>
      <c r="E7701" s="3" t="s">
        <v>2056</v>
      </c>
      <c r="F7701" s="3" t="s">
        <v>10943</v>
      </c>
      <c r="G7701" s="3"/>
      <c r="H7701" s="4"/>
    </row>
    <row r="7702" ht="16.5" customHeight="1" spans="1:8">
      <c r="A7702" s="3">
        <v>7701</v>
      </c>
      <c r="B7702" s="3" t="s">
        <v>16693</v>
      </c>
      <c r="C7702" s="3" t="s">
        <v>1361</v>
      </c>
      <c r="D7702" s="4" t="s">
        <v>16694</v>
      </c>
      <c r="E7702" s="3" t="s">
        <v>2056</v>
      </c>
      <c r="F7702" s="3" t="s">
        <v>10943</v>
      </c>
      <c r="G7702" s="3"/>
      <c r="H7702" s="4"/>
    </row>
    <row r="7703" ht="16.5" customHeight="1" spans="1:8">
      <c r="A7703" s="3">
        <v>7702</v>
      </c>
      <c r="B7703" s="3" t="s">
        <v>16695</v>
      </c>
      <c r="C7703" s="3" t="s">
        <v>1361</v>
      </c>
      <c r="D7703" s="4" t="s">
        <v>16696</v>
      </c>
      <c r="E7703" s="3" t="s">
        <v>2056</v>
      </c>
      <c r="F7703" s="3" t="s">
        <v>10943</v>
      </c>
      <c r="G7703" s="3"/>
      <c r="H7703" s="4"/>
    </row>
    <row r="7704" ht="16.5" customHeight="1" spans="1:8">
      <c r="A7704" s="3">
        <v>7703</v>
      </c>
      <c r="B7704" s="3" t="s">
        <v>16697</v>
      </c>
      <c r="C7704" s="3" t="s">
        <v>1361</v>
      </c>
      <c r="D7704" s="4" t="s">
        <v>16698</v>
      </c>
      <c r="E7704" s="3" t="s">
        <v>2056</v>
      </c>
      <c r="F7704" s="3" t="s">
        <v>10943</v>
      </c>
      <c r="G7704" s="3"/>
      <c r="H7704" s="4"/>
    </row>
    <row r="7705" ht="16.5" customHeight="1" spans="1:8">
      <c r="A7705" s="3">
        <v>7704</v>
      </c>
      <c r="B7705" s="3" t="s">
        <v>16699</v>
      </c>
      <c r="C7705" s="3" t="s">
        <v>1361</v>
      </c>
      <c r="D7705" s="4" t="s">
        <v>16700</v>
      </c>
      <c r="E7705" s="3" t="s">
        <v>2056</v>
      </c>
      <c r="F7705" s="3" t="s">
        <v>10943</v>
      </c>
      <c r="G7705" s="3"/>
      <c r="H7705" s="4"/>
    </row>
    <row r="7706" ht="16.5" customHeight="1" spans="1:8">
      <c r="A7706" s="3">
        <v>7705</v>
      </c>
      <c r="B7706" s="3" t="s">
        <v>16701</v>
      </c>
      <c r="C7706" s="3" t="s">
        <v>1361</v>
      </c>
      <c r="D7706" s="4" t="s">
        <v>16700</v>
      </c>
      <c r="E7706" s="3" t="s">
        <v>2056</v>
      </c>
      <c r="F7706" s="3" t="s">
        <v>10943</v>
      </c>
      <c r="G7706" s="3"/>
      <c r="H7706" s="4"/>
    </row>
    <row r="7707" ht="16.5" customHeight="1" spans="1:8">
      <c r="A7707" s="3">
        <v>7706</v>
      </c>
      <c r="B7707" s="3" t="s">
        <v>16702</v>
      </c>
      <c r="C7707" s="3" t="s">
        <v>2163</v>
      </c>
      <c r="D7707" s="4" t="s">
        <v>16703</v>
      </c>
      <c r="E7707" s="3" t="s">
        <v>1076</v>
      </c>
      <c r="F7707" s="3" t="s">
        <v>10943</v>
      </c>
      <c r="G7707" s="3"/>
      <c r="H7707" s="4"/>
    </row>
    <row r="7708" ht="16.5" customHeight="1" spans="1:8">
      <c r="A7708" s="3">
        <v>7707</v>
      </c>
      <c r="B7708" s="3" t="s">
        <v>16704</v>
      </c>
      <c r="C7708" s="3" t="s">
        <v>2163</v>
      </c>
      <c r="D7708" s="4" t="s">
        <v>16705</v>
      </c>
      <c r="E7708" s="3" t="s">
        <v>1076</v>
      </c>
      <c r="F7708" s="3" t="s">
        <v>10943</v>
      </c>
      <c r="G7708" s="3"/>
      <c r="H7708" s="4"/>
    </row>
    <row r="7709" ht="16.5" customHeight="1" spans="1:8">
      <c r="A7709" s="3">
        <v>7708</v>
      </c>
      <c r="B7709" s="3" t="s">
        <v>16706</v>
      </c>
      <c r="C7709" s="3" t="s">
        <v>1105</v>
      </c>
      <c r="D7709" s="4" t="s">
        <v>14276</v>
      </c>
      <c r="E7709" s="3" t="s">
        <v>1218</v>
      </c>
      <c r="F7709" s="3" t="s">
        <v>2041</v>
      </c>
      <c r="G7709" s="3"/>
      <c r="H7709" s="4" t="s">
        <v>16707</v>
      </c>
    </row>
    <row r="7710" ht="16.5" customHeight="1" spans="1:8">
      <c r="A7710" s="3">
        <v>7709</v>
      </c>
      <c r="B7710" s="3" t="s">
        <v>16708</v>
      </c>
      <c r="C7710" s="3" t="s">
        <v>1105</v>
      </c>
      <c r="D7710" s="4" t="s">
        <v>16709</v>
      </c>
      <c r="E7710" s="3" t="s">
        <v>16215</v>
      </c>
      <c r="F7710" s="3" t="s">
        <v>2041</v>
      </c>
      <c r="G7710" s="3"/>
      <c r="H7710" s="4" t="s">
        <v>16707</v>
      </c>
    </row>
    <row r="7711" ht="16.5" customHeight="1" spans="1:8">
      <c r="A7711" s="3">
        <v>7710</v>
      </c>
      <c r="B7711" s="3" t="s">
        <v>16710</v>
      </c>
      <c r="C7711" s="3" t="s">
        <v>1105</v>
      </c>
      <c r="D7711" s="4" t="s">
        <v>14348</v>
      </c>
      <c r="E7711" s="3" t="s">
        <v>1218</v>
      </c>
      <c r="F7711" s="3" t="s">
        <v>2041</v>
      </c>
      <c r="G7711" s="3"/>
      <c r="H7711" s="4" t="s">
        <v>16707</v>
      </c>
    </row>
    <row r="7712" ht="16.5" customHeight="1" spans="1:8">
      <c r="A7712" s="3">
        <v>7711</v>
      </c>
      <c r="B7712" s="3" t="s">
        <v>16711</v>
      </c>
      <c r="C7712" s="3" t="s">
        <v>2163</v>
      </c>
      <c r="D7712" s="4" t="s">
        <v>16712</v>
      </c>
      <c r="E7712" s="3" t="s">
        <v>1076</v>
      </c>
      <c r="F7712" s="3" t="s">
        <v>2041</v>
      </c>
      <c r="G7712" s="3"/>
      <c r="H7712" s="4" t="s">
        <v>13731</v>
      </c>
    </row>
    <row r="7713" ht="16.5" customHeight="1" spans="1:8">
      <c r="A7713" s="3">
        <v>7712</v>
      </c>
      <c r="B7713" s="3" t="s">
        <v>16713</v>
      </c>
      <c r="C7713" s="3" t="s">
        <v>2163</v>
      </c>
      <c r="D7713" s="4" t="s">
        <v>16714</v>
      </c>
      <c r="E7713" s="3" t="s">
        <v>5779</v>
      </c>
      <c r="F7713" s="3" t="s">
        <v>10943</v>
      </c>
      <c r="G7713" s="3"/>
      <c r="H7713" s="4" t="s">
        <v>5664</v>
      </c>
    </row>
    <row r="7714" ht="16.5" customHeight="1" spans="1:8">
      <c r="A7714" s="3">
        <v>7713</v>
      </c>
      <c r="B7714" s="3" t="s">
        <v>16715</v>
      </c>
      <c r="C7714" s="3" t="s">
        <v>2163</v>
      </c>
      <c r="D7714" s="4" t="s">
        <v>16716</v>
      </c>
      <c r="E7714" s="3" t="s">
        <v>1076</v>
      </c>
      <c r="F7714" s="3" t="s">
        <v>2041</v>
      </c>
      <c r="G7714" s="3"/>
      <c r="H7714" s="4" t="s">
        <v>13731</v>
      </c>
    </row>
    <row r="7715" ht="16.5" customHeight="1" spans="1:8">
      <c r="A7715" s="3">
        <v>7714</v>
      </c>
      <c r="B7715" s="3" t="s">
        <v>16717</v>
      </c>
      <c r="C7715" s="3" t="s">
        <v>2163</v>
      </c>
      <c r="D7715" s="4" t="s">
        <v>16718</v>
      </c>
      <c r="E7715" s="3" t="s">
        <v>1076</v>
      </c>
      <c r="F7715" s="3" t="s">
        <v>2041</v>
      </c>
      <c r="G7715" s="3"/>
      <c r="H7715" s="4" t="s">
        <v>13731</v>
      </c>
    </row>
    <row r="7716" ht="16.5" customHeight="1" spans="1:8">
      <c r="A7716" s="3">
        <v>7715</v>
      </c>
      <c r="B7716" s="3" t="s">
        <v>16719</v>
      </c>
      <c r="C7716" s="3" t="s">
        <v>1361</v>
      </c>
      <c r="D7716" s="4" t="s">
        <v>16720</v>
      </c>
      <c r="E7716" s="3" t="s">
        <v>2056</v>
      </c>
      <c r="F7716" s="3" t="s">
        <v>10943</v>
      </c>
      <c r="G7716" s="3"/>
      <c r="H7716" s="4"/>
    </row>
    <row r="7717" ht="16.5" customHeight="1" spans="1:8">
      <c r="A7717" s="3">
        <v>7716</v>
      </c>
      <c r="B7717" s="3" t="s">
        <v>16721</v>
      </c>
      <c r="C7717" s="3" t="s">
        <v>1361</v>
      </c>
      <c r="D7717" s="4" t="s">
        <v>16722</v>
      </c>
      <c r="E7717" s="3" t="s">
        <v>2056</v>
      </c>
      <c r="F7717" s="3" t="s">
        <v>10943</v>
      </c>
      <c r="G7717" s="3"/>
      <c r="H7717" s="4"/>
    </row>
    <row r="7718" ht="16.5" customHeight="1" spans="1:8">
      <c r="A7718" s="3">
        <v>7717</v>
      </c>
      <c r="B7718" s="3" t="s">
        <v>16723</v>
      </c>
      <c r="C7718" s="3" t="s">
        <v>1361</v>
      </c>
      <c r="D7718" s="4" t="s">
        <v>16724</v>
      </c>
      <c r="E7718" s="3" t="s">
        <v>2056</v>
      </c>
      <c r="F7718" s="3" t="s">
        <v>10943</v>
      </c>
      <c r="G7718" s="3"/>
      <c r="H7718" s="4"/>
    </row>
    <row r="7719" ht="16.5" customHeight="1" spans="1:8">
      <c r="A7719" s="3">
        <v>7718</v>
      </c>
      <c r="B7719" s="3" t="s">
        <v>16725</v>
      </c>
      <c r="C7719" s="3" t="s">
        <v>1361</v>
      </c>
      <c r="D7719" s="4" t="s">
        <v>16726</v>
      </c>
      <c r="E7719" s="3" t="s">
        <v>2056</v>
      </c>
      <c r="F7719" s="3" t="s">
        <v>10943</v>
      </c>
      <c r="G7719" s="3"/>
      <c r="H7719" s="4"/>
    </row>
    <row r="7720" ht="16.5" customHeight="1" spans="1:8">
      <c r="A7720" s="3">
        <v>7719</v>
      </c>
      <c r="B7720" s="3" t="s">
        <v>16727</v>
      </c>
      <c r="C7720" s="3" t="s">
        <v>1361</v>
      </c>
      <c r="D7720" s="4" t="s">
        <v>16728</v>
      </c>
      <c r="E7720" s="3" t="s">
        <v>2056</v>
      </c>
      <c r="F7720" s="3" t="s">
        <v>10943</v>
      </c>
      <c r="G7720" s="3"/>
      <c r="H7720" s="4"/>
    </row>
    <row r="7721" ht="16.5" customHeight="1" spans="1:8">
      <c r="A7721" s="3">
        <v>7720</v>
      </c>
      <c r="B7721" s="3" t="s">
        <v>16729</v>
      </c>
      <c r="C7721" s="3" t="s">
        <v>1361</v>
      </c>
      <c r="D7721" s="4" t="s">
        <v>16730</v>
      </c>
      <c r="E7721" s="3" t="s">
        <v>1218</v>
      </c>
      <c r="F7721" s="3" t="s">
        <v>2041</v>
      </c>
      <c r="G7721" s="3"/>
      <c r="H7721" s="4" t="s">
        <v>4404</v>
      </c>
    </row>
    <row r="7722" ht="16.5" customHeight="1" spans="1:8">
      <c r="A7722" s="3">
        <v>7721</v>
      </c>
      <c r="B7722" s="3" t="s">
        <v>16731</v>
      </c>
      <c r="C7722" s="3" t="s">
        <v>1361</v>
      </c>
      <c r="D7722" s="4" t="s">
        <v>16732</v>
      </c>
      <c r="E7722" s="3" t="s">
        <v>1218</v>
      </c>
      <c r="F7722" s="3" t="s">
        <v>2041</v>
      </c>
      <c r="G7722" s="3"/>
      <c r="H7722" s="4" t="s">
        <v>4404</v>
      </c>
    </row>
    <row r="7723" ht="16.5" customHeight="1" spans="1:8">
      <c r="A7723" s="3">
        <v>7722</v>
      </c>
      <c r="B7723" s="3" t="s">
        <v>16733</v>
      </c>
      <c r="C7723" s="3" t="s">
        <v>1361</v>
      </c>
      <c r="D7723" s="4" t="s">
        <v>16734</v>
      </c>
      <c r="E7723" s="3" t="s">
        <v>2056</v>
      </c>
      <c r="F7723" s="3" t="s">
        <v>10943</v>
      </c>
      <c r="G7723" s="3"/>
      <c r="H7723" s="4"/>
    </row>
    <row r="7724" ht="16.5" customHeight="1" spans="1:8">
      <c r="A7724" s="3">
        <v>7723</v>
      </c>
      <c r="B7724" s="3" t="s">
        <v>16735</v>
      </c>
      <c r="C7724" s="3" t="s">
        <v>1361</v>
      </c>
      <c r="D7724" s="4" t="s">
        <v>16736</v>
      </c>
      <c r="E7724" s="3" t="s">
        <v>1218</v>
      </c>
      <c r="F7724" s="3" t="s">
        <v>2041</v>
      </c>
      <c r="G7724" s="3"/>
      <c r="H7724" s="4" t="s">
        <v>4404</v>
      </c>
    </row>
    <row r="7725" ht="16.5" customHeight="1" spans="1:8">
      <c r="A7725" s="3">
        <v>7724</v>
      </c>
      <c r="B7725" s="3" t="s">
        <v>16737</v>
      </c>
      <c r="C7725" s="3" t="s">
        <v>1361</v>
      </c>
      <c r="D7725" s="4" t="s">
        <v>16738</v>
      </c>
      <c r="E7725" s="3" t="s">
        <v>1218</v>
      </c>
      <c r="F7725" s="3" t="s">
        <v>2041</v>
      </c>
      <c r="G7725" s="3"/>
      <c r="H7725" s="4" t="s">
        <v>4404</v>
      </c>
    </row>
    <row r="7726" ht="16.5" customHeight="1" spans="1:8">
      <c r="A7726" s="3">
        <v>7725</v>
      </c>
      <c r="B7726" s="3" t="s">
        <v>16739</v>
      </c>
      <c r="C7726" s="3" t="s">
        <v>1361</v>
      </c>
      <c r="D7726" s="4" t="s">
        <v>16740</v>
      </c>
      <c r="E7726" s="3" t="s">
        <v>2056</v>
      </c>
      <c r="F7726" s="3" t="s">
        <v>10943</v>
      </c>
      <c r="G7726" s="3"/>
      <c r="H7726" s="4"/>
    </row>
    <row r="7727" ht="16.5" customHeight="1" spans="1:8">
      <c r="A7727" s="3">
        <v>7726</v>
      </c>
      <c r="B7727" s="3" t="s">
        <v>16741</v>
      </c>
      <c r="C7727" s="3" t="s">
        <v>1361</v>
      </c>
      <c r="D7727" s="4" t="s">
        <v>16742</v>
      </c>
      <c r="E7727" s="3" t="s">
        <v>1218</v>
      </c>
      <c r="F7727" s="3" t="s">
        <v>2041</v>
      </c>
      <c r="G7727" s="3"/>
      <c r="H7727" s="4" t="s">
        <v>4404</v>
      </c>
    </row>
    <row r="7728" ht="16.5" customHeight="1" spans="1:8">
      <c r="A7728" s="3">
        <v>7727</v>
      </c>
      <c r="B7728" s="3" t="s">
        <v>16743</v>
      </c>
      <c r="C7728" s="3" t="s">
        <v>1361</v>
      </c>
      <c r="D7728" s="4" t="s">
        <v>16744</v>
      </c>
      <c r="E7728" s="3" t="s">
        <v>1218</v>
      </c>
      <c r="F7728" s="3" t="s">
        <v>2041</v>
      </c>
      <c r="G7728" s="3"/>
      <c r="H7728" s="4" t="s">
        <v>4404</v>
      </c>
    </row>
    <row r="7729" ht="16.5" customHeight="1" spans="1:8">
      <c r="A7729" s="3">
        <v>7728</v>
      </c>
      <c r="B7729" s="3" t="s">
        <v>16745</v>
      </c>
      <c r="C7729" s="3" t="s">
        <v>2163</v>
      </c>
      <c r="D7729" s="4" t="s">
        <v>16746</v>
      </c>
      <c r="E7729" s="3" t="s">
        <v>1076</v>
      </c>
      <c r="F7729" s="3" t="s">
        <v>10943</v>
      </c>
      <c r="G7729" s="3"/>
      <c r="H7729" s="4"/>
    </row>
    <row r="7730" ht="16.5" customHeight="1" spans="1:8">
      <c r="A7730" s="3">
        <v>7729</v>
      </c>
      <c r="B7730" s="3" t="s">
        <v>16747</v>
      </c>
      <c r="C7730" s="3" t="s">
        <v>2163</v>
      </c>
      <c r="D7730" s="4" t="s">
        <v>16748</v>
      </c>
      <c r="E7730" s="3" t="s">
        <v>1076</v>
      </c>
      <c r="F7730" s="3" t="s">
        <v>10943</v>
      </c>
      <c r="G7730" s="3"/>
      <c r="H7730" s="4"/>
    </row>
    <row r="7731" ht="16.5" customHeight="1" spans="1:8">
      <c r="A7731" s="3">
        <v>7730</v>
      </c>
      <c r="B7731" s="3" t="s">
        <v>16749</v>
      </c>
      <c r="C7731" s="3" t="s">
        <v>1099</v>
      </c>
      <c r="D7731" s="4" t="s">
        <v>16750</v>
      </c>
      <c r="E7731" s="3" t="s">
        <v>1218</v>
      </c>
      <c r="F7731" s="3" t="s">
        <v>10259</v>
      </c>
      <c r="G7731" s="3"/>
      <c r="H7731" s="4"/>
    </row>
    <row r="7732" ht="16.5" customHeight="1" spans="1:8">
      <c r="A7732" s="3">
        <v>7731</v>
      </c>
      <c r="B7732" s="3" t="s">
        <v>16751</v>
      </c>
      <c r="C7732" s="3" t="s">
        <v>2163</v>
      </c>
      <c r="D7732" s="4" t="s">
        <v>16752</v>
      </c>
      <c r="E7732" s="3" t="s">
        <v>5779</v>
      </c>
      <c r="F7732" s="3" t="s">
        <v>2041</v>
      </c>
      <c r="G7732" s="3"/>
      <c r="H7732" s="4"/>
    </row>
    <row r="7733" ht="16.5" customHeight="1" spans="1:8">
      <c r="A7733" s="3">
        <v>7732</v>
      </c>
      <c r="B7733" s="3" t="s">
        <v>541</v>
      </c>
      <c r="C7733" s="3" t="s">
        <v>6377</v>
      </c>
      <c r="D7733" s="4" t="s">
        <v>16753</v>
      </c>
      <c r="E7733" s="3" t="s">
        <v>3954</v>
      </c>
      <c r="F7733" s="3" t="s">
        <v>10259</v>
      </c>
      <c r="G7733" s="3"/>
      <c r="H7733" s="4" t="s">
        <v>9475</v>
      </c>
    </row>
    <row r="7734" ht="16.5" customHeight="1" spans="1:8">
      <c r="A7734" s="3">
        <v>7733</v>
      </c>
      <c r="B7734" s="3" t="s">
        <v>563</v>
      </c>
      <c r="C7734" s="3" t="s">
        <v>6377</v>
      </c>
      <c r="D7734" s="4" t="s">
        <v>16754</v>
      </c>
      <c r="E7734" s="3" t="s">
        <v>8401</v>
      </c>
      <c r="F7734" s="3" t="s">
        <v>10259</v>
      </c>
      <c r="G7734" s="3"/>
      <c r="H7734" s="4" t="s">
        <v>1359</v>
      </c>
    </row>
    <row r="7735" ht="16.5" customHeight="1" spans="1:8">
      <c r="A7735" s="3">
        <v>7734</v>
      </c>
      <c r="B7735" s="3" t="s">
        <v>567</v>
      </c>
      <c r="C7735" s="3" t="s">
        <v>6377</v>
      </c>
      <c r="D7735" s="4" t="s">
        <v>16755</v>
      </c>
      <c r="E7735" s="3" t="s">
        <v>16215</v>
      </c>
      <c r="F7735" s="3" t="s">
        <v>10259</v>
      </c>
      <c r="G7735" s="3"/>
      <c r="H7735" s="4" t="s">
        <v>4322</v>
      </c>
    </row>
    <row r="7736" ht="16.5" customHeight="1" spans="1:8">
      <c r="A7736" s="3">
        <v>7735</v>
      </c>
      <c r="B7736" s="3" t="s">
        <v>601</v>
      </c>
      <c r="C7736" s="3" t="s">
        <v>6377</v>
      </c>
      <c r="D7736" s="4" t="s">
        <v>16756</v>
      </c>
      <c r="E7736" s="3" t="s">
        <v>8401</v>
      </c>
      <c r="F7736" s="3" t="s">
        <v>10259</v>
      </c>
      <c r="G7736" s="3"/>
      <c r="H7736" s="4" t="s">
        <v>9475</v>
      </c>
    </row>
    <row r="7737" ht="16.5" customHeight="1" spans="1:8">
      <c r="A7737" s="3">
        <v>7736</v>
      </c>
      <c r="B7737" s="3" t="s">
        <v>546</v>
      </c>
      <c r="C7737" s="3" t="s">
        <v>6377</v>
      </c>
      <c r="D7737" s="4" t="s">
        <v>547</v>
      </c>
      <c r="E7737" s="3" t="s">
        <v>1218</v>
      </c>
      <c r="F7737" s="3" t="s">
        <v>10259</v>
      </c>
      <c r="G7737" s="3"/>
      <c r="H7737" s="4" t="s">
        <v>7240</v>
      </c>
    </row>
    <row r="7738" ht="16.5" customHeight="1" spans="1:8">
      <c r="A7738" s="3">
        <v>7737</v>
      </c>
      <c r="B7738" s="3" t="s">
        <v>16757</v>
      </c>
      <c r="C7738" s="3" t="s">
        <v>6377</v>
      </c>
      <c r="D7738" s="4" t="s">
        <v>16758</v>
      </c>
      <c r="E7738" s="3" t="s">
        <v>1164</v>
      </c>
      <c r="F7738" s="3" t="s">
        <v>10259</v>
      </c>
      <c r="G7738" s="3"/>
      <c r="H7738" s="4" t="s">
        <v>12459</v>
      </c>
    </row>
    <row r="7739" ht="16.5" customHeight="1" spans="1:8">
      <c r="A7739" s="3">
        <v>7738</v>
      </c>
      <c r="B7739" s="3" t="s">
        <v>16759</v>
      </c>
      <c r="C7739" s="3" t="s">
        <v>1361</v>
      </c>
      <c r="D7739" s="4" t="s">
        <v>16760</v>
      </c>
      <c r="E7739" s="3" t="s">
        <v>1218</v>
      </c>
      <c r="F7739" s="3" t="s">
        <v>2041</v>
      </c>
      <c r="G7739" s="3"/>
      <c r="H7739" s="4" t="s">
        <v>9475</v>
      </c>
    </row>
    <row r="7740" ht="16.5" customHeight="1" spans="1:8">
      <c r="A7740" s="3">
        <v>7739</v>
      </c>
      <c r="B7740" s="3" t="s">
        <v>16761</v>
      </c>
      <c r="C7740" s="3" t="s">
        <v>1361</v>
      </c>
      <c r="D7740" s="4" t="s">
        <v>16762</v>
      </c>
      <c r="E7740" s="3" t="s">
        <v>2056</v>
      </c>
      <c r="F7740" s="3" t="s">
        <v>10943</v>
      </c>
      <c r="G7740" s="3"/>
      <c r="H7740" s="4"/>
    </row>
    <row r="7741" ht="16.5" customHeight="1" spans="1:8">
      <c r="A7741" s="3">
        <v>7740</v>
      </c>
      <c r="B7741" s="3" t="s">
        <v>16763</v>
      </c>
      <c r="C7741" s="3" t="s">
        <v>1361</v>
      </c>
      <c r="D7741" s="4" t="s">
        <v>16764</v>
      </c>
      <c r="E7741" s="3" t="s">
        <v>2056</v>
      </c>
      <c r="F7741" s="3" t="s">
        <v>10943</v>
      </c>
      <c r="G7741" s="3"/>
      <c r="H7741" s="4"/>
    </row>
    <row r="7742" ht="16.5" customHeight="1" spans="1:8">
      <c r="A7742" s="3">
        <v>7741</v>
      </c>
      <c r="B7742" s="3" t="s">
        <v>16765</v>
      </c>
      <c r="C7742" s="3" t="s">
        <v>1361</v>
      </c>
      <c r="D7742" s="4" t="s">
        <v>16766</v>
      </c>
      <c r="E7742" s="3" t="s">
        <v>1218</v>
      </c>
      <c r="F7742" s="3" t="s">
        <v>2041</v>
      </c>
      <c r="G7742" s="3"/>
      <c r="H7742" s="4" t="s">
        <v>9475</v>
      </c>
    </row>
    <row r="7743" ht="16.5" customHeight="1" spans="1:8">
      <c r="A7743" s="3">
        <v>7742</v>
      </c>
      <c r="B7743" s="3" t="s">
        <v>16767</v>
      </c>
      <c r="C7743" s="3" t="s">
        <v>1361</v>
      </c>
      <c r="D7743" s="4" t="s">
        <v>16768</v>
      </c>
      <c r="E7743" s="3" t="s">
        <v>1218</v>
      </c>
      <c r="F7743" s="3" t="s">
        <v>2041</v>
      </c>
      <c r="G7743" s="3"/>
      <c r="H7743" s="4" t="s">
        <v>9475</v>
      </c>
    </row>
    <row r="7744" ht="16.5" customHeight="1" spans="1:8">
      <c r="A7744" s="3">
        <v>7743</v>
      </c>
      <c r="B7744" s="3" t="s">
        <v>16769</v>
      </c>
      <c r="C7744" s="3" t="s">
        <v>1361</v>
      </c>
      <c r="D7744" s="4" t="s">
        <v>16770</v>
      </c>
      <c r="E7744" s="3" t="s">
        <v>1218</v>
      </c>
      <c r="F7744" s="3" t="s">
        <v>2041</v>
      </c>
      <c r="G7744" s="3"/>
      <c r="H7744" s="4" t="s">
        <v>9475</v>
      </c>
    </row>
    <row r="7745" ht="16.5" customHeight="1" spans="1:8">
      <c r="A7745" s="3">
        <v>7744</v>
      </c>
      <c r="B7745" s="3" t="s">
        <v>16771</v>
      </c>
      <c r="C7745" s="3" t="s">
        <v>1361</v>
      </c>
      <c r="D7745" s="4" t="s">
        <v>16772</v>
      </c>
      <c r="E7745" s="3" t="s">
        <v>1218</v>
      </c>
      <c r="F7745" s="3" t="s">
        <v>2041</v>
      </c>
      <c r="G7745" s="3"/>
      <c r="H7745" s="4" t="s">
        <v>9475</v>
      </c>
    </row>
    <row r="7746" ht="16.5" customHeight="1" spans="1:8">
      <c r="A7746" s="3">
        <v>7745</v>
      </c>
      <c r="B7746" s="3" t="s">
        <v>16773</v>
      </c>
      <c r="C7746" s="3" t="s">
        <v>2163</v>
      </c>
      <c r="D7746" s="4" t="s">
        <v>16774</v>
      </c>
      <c r="E7746" s="3" t="s">
        <v>2726</v>
      </c>
      <c r="F7746" s="3" t="s">
        <v>2041</v>
      </c>
      <c r="G7746" s="3"/>
      <c r="H7746" s="4" t="s">
        <v>4404</v>
      </c>
    </row>
    <row r="7747" ht="16.5" customHeight="1" spans="1:8">
      <c r="A7747" s="3">
        <v>7746</v>
      </c>
      <c r="B7747" s="3" t="s">
        <v>16775</v>
      </c>
      <c r="C7747" s="3" t="s">
        <v>2163</v>
      </c>
      <c r="D7747" s="4" t="s">
        <v>16776</v>
      </c>
      <c r="E7747" s="3" t="s">
        <v>1076</v>
      </c>
      <c r="F7747" s="3" t="s">
        <v>2041</v>
      </c>
      <c r="G7747" s="3"/>
      <c r="H7747" s="4" t="s">
        <v>9475</v>
      </c>
    </row>
    <row r="7748" ht="16.5" customHeight="1" spans="1:8">
      <c r="A7748" s="3">
        <v>7747</v>
      </c>
      <c r="B7748" s="3" t="s">
        <v>16777</v>
      </c>
      <c r="C7748" s="3" t="s">
        <v>2163</v>
      </c>
      <c r="D7748" s="4" t="s">
        <v>16778</v>
      </c>
      <c r="E7748" s="3" t="s">
        <v>1076</v>
      </c>
      <c r="F7748" s="3" t="s">
        <v>2041</v>
      </c>
      <c r="G7748" s="3"/>
      <c r="H7748" s="4" t="s">
        <v>1359</v>
      </c>
    </row>
    <row r="7749" ht="16.5" customHeight="1" spans="1:8">
      <c r="A7749" s="3">
        <v>7748</v>
      </c>
      <c r="B7749" s="3" t="s">
        <v>16779</v>
      </c>
      <c r="C7749" s="3" t="s">
        <v>2163</v>
      </c>
      <c r="D7749" s="4" t="s">
        <v>16780</v>
      </c>
      <c r="E7749" s="3" t="s">
        <v>1076</v>
      </c>
      <c r="F7749" s="3" t="s">
        <v>2041</v>
      </c>
      <c r="G7749" s="3"/>
      <c r="H7749" s="4" t="s">
        <v>1359</v>
      </c>
    </row>
    <row r="7750" ht="16.5" customHeight="1" spans="1:8">
      <c r="A7750" s="3">
        <v>7749</v>
      </c>
      <c r="B7750" s="3" t="s">
        <v>16781</v>
      </c>
      <c r="C7750" s="3" t="s">
        <v>6377</v>
      </c>
      <c r="D7750" s="4" t="s">
        <v>16782</v>
      </c>
      <c r="E7750" s="3" t="s">
        <v>1164</v>
      </c>
      <c r="F7750" s="3" t="s">
        <v>10259</v>
      </c>
      <c r="G7750" s="3"/>
      <c r="H7750" s="4" t="s">
        <v>7393</v>
      </c>
    </row>
    <row r="7751" ht="16.5" customHeight="1" spans="1:8">
      <c r="A7751" s="3">
        <v>7750</v>
      </c>
      <c r="B7751" s="3" t="s">
        <v>16783</v>
      </c>
      <c r="C7751" s="3" t="s">
        <v>6964</v>
      </c>
      <c r="D7751" s="4" t="s">
        <v>16784</v>
      </c>
      <c r="E7751" s="3" t="s">
        <v>1218</v>
      </c>
      <c r="F7751" s="3" t="s">
        <v>10259</v>
      </c>
      <c r="G7751" s="3"/>
      <c r="H7751" s="4" t="s">
        <v>16785</v>
      </c>
    </row>
    <row r="7752" ht="16.5" customHeight="1" spans="1:8">
      <c r="A7752" s="3">
        <v>7751</v>
      </c>
      <c r="B7752" s="3" t="s">
        <v>16786</v>
      </c>
      <c r="C7752" s="3" t="s">
        <v>6964</v>
      </c>
      <c r="D7752" s="4" t="s">
        <v>16787</v>
      </c>
      <c r="E7752" s="3" t="s">
        <v>15175</v>
      </c>
      <c r="F7752" s="3" t="s">
        <v>10259</v>
      </c>
      <c r="G7752" s="3"/>
      <c r="H7752" s="4" t="s">
        <v>16785</v>
      </c>
    </row>
    <row r="7753" ht="16.5" customHeight="1" spans="1:8">
      <c r="A7753" s="3">
        <v>7752</v>
      </c>
      <c r="B7753" s="3" t="s">
        <v>16788</v>
      </c>
      <c r="C7753" s="3" t="s">
        <v>2163</v>
      </c>
      <c r="D7753" s="4" t="s">
        <v>16789</v>
      </c>
      <c r="E7753" s="3" t="s">
        <v>3093</v>
      </c>
      <c r="F7753" s="3" t="s">
        <v>2041</v>
      </c>
      <c r="G7753" s="3"/>
      <c r="H7753" s="4" t="s">
        <v>1359</v>
      </c>
    </row>
    <row r="7754" ht="16.5" customHeight="1" spans="1:8">
      <c r="A7754" s="3">
        <v>7753</v>
      </c>
      <c r="B7754" s="3" t="s">
        <v>16790</v>
      </c>
      <c r="C7754" s="3" t="s">
        <v>2163</v>
      </c>
      <c r="D7754" s="4" t="s">
        <v>16791</v>
      </c>
      <c r="E7754" s="3" t="s">
        <v>1076</v>
      </c>
      <c r="F7754" s="3" t="s">
        <v>2041</v>
      </c>
      <c r="G7754" s="3"/>
      <c r="H7754" s="4" t="s">
        <v>1359</v>
      </c>
    </row>
    <row r="7755" ht="16.5" customHeight="1" spans="1:8">
      <c r="A7755" s="3">
        <v>7754</v>
      </c>
      <c r="B7755" s="3" t="s">
        <v>644</v>
      </c>
      <c r="C7755" s="3" t="s">
        <v>6377</v>
      </c>
      <c r="D7755" s="4" t="s">
        <v>16792</v>
      </c>
      <c r="E7755" s="3" t="s">
        <v>1218</v>
      </c>
      <c r="F7755" s="3" t="s">
        <v>10259</v>
      </c>
      <c r="G7755" s="3"/>
      <c r="H7755" s="4" t="s">
        <v>7240</v>
      </c>
    </row>
    <row r="7756" ht="16.5" customHeight="1" spans="1:8">
      <c r="A7756" s="3">
        <v>7755</v>
      </c>
      <c r="B7756" s="3" t="s">
        <v>16793</v>
      </c>
      <c r="C7756" s="3" t="s">
        <v>2163</v>
      </c>
      <c r="D7756" s="4" t="s">
        <v>16794</v>
      </c>
      <c r="E7756" s="3" t="s">
        <v>3093</v>
      </c>
      <c r="F7756" s="3" t="s">
        <v>2041</v>
      </c>
      <c r="G7756" s="3"/>
      <c r="H7756" s="4" t="s">
        <v>1359</v>
      </c>
    </row>
    <row r="7757" ht="16.5" customHeight="1" spans="1:8">
      <c r="A7757" s="3">
        <v>7756</v>
      </c>
      <c r="B7757" s="3" t="s">
        <v>16795</v>
      </c>
      <c r="C7757" s="3" t="s">
        <v>2163</v>
      </c>
      <c r="D7757" s="4" t="s">
        <v>16796</v>
      </c>
      <c r="E7757" s="3" t="s">
        <v>1076</v>
      </c>
      <c r="F7757" s="3" t="s">
        <v>2041</v>
      </c>
      <c r="G7757" s="3"/>
      <c r="H7757" s="4" t="s">
        <v>1359</v>
      </c>
    </row>
    <row r="7758" ht="16.5" customHeight="1" spans="1:8">
      <c r="A7758" s="3">
        <v>7757</v>
      </c>
      <c r="B7758" s="3" t="s">
        <v>16797</v>
      </c>
      <c r="C7758" s="3" t="s">
        <v>2163</v>
      </c>
      <c r="D7758" s="4" t="s">
        <v>16798</v>
      </c>
      <c r="E7758" s="3" t="s">
        <v>1076</v>
      </c>
      <c r="F7758" s="3" t="s">
        <v>2041</v>
      </c>
      <c r="G7758" s="3"/>
      <c r="H7758" s="4" t="s">
        <v>1359</v>
      </c>
    </row>
    <row r="7759" ht="16.5" customHeight="1" spans="1:8">
      <c r="A7759" s="3">
        <v>7758</v>
      </c>
      <c r="B7759" s="3" t="s">
        <v>16799</v>
      </c>
      <c r="C7759" s="3" t="s">
        <v>2163</v>
      </c>
      <c r="D7759" s="4" t="s">
        <v>16800</v>
      </c>
      <c r="E7759" s="3" t="s">
        <v>1076</v>
      </c>
      <c r="F7759" s="3" t="s">
        <v>2041</v>
      </c>
      <c r="G7759" s="3"/>
      <c r="H7759" s="4" t="s">
        <v>1359</v>
      </c>
    </row>
    <row r="7760" ht="16.5" customHeight="1" spans="1:8">
      <c r="A7760" s="3">
        <v>7759</v>
      </c>
      <c r="B7760" s="3" t="s">
        <v>16801</v>
      </c>
      <c r="C7760" s="3" t="s">
        <v>2163</v>
      </c>
      <c r="D7760" s="4" t="s">
        <v>16802</v>
      </c>
      <c r="E7760" s="3" t="s">
        <v>1076</v>
      </c>
      <c r="F7760" s="3" t="s">
        <v>2041</v>
      </c>
      <c r="G7760" s="3"/>
      <c r="H7760" s="4" t="s">
        <v>9475</v>
      </c>
    </row>
    <row r="7761" ht="16.5" customHeight="1" spans="1:8">
      <c r="A7761" s="3">
        <v>7760</v>
      </c>
      <c r="B7761" s="3" t="s">
        <v>16803</v>
      </c>
      <c r="C7761" s="3" t="s">
        <v>2163</v>
      </c>
      <c r="D7761" s="4" t="s">
        <v>16804</v>
      </c>
      <c r="E7761" s="3" t="s">
        <v>1076</v>
      </c>
      <c r="F7761" s="3" t="s">
        <v>2041</v>
      </c>
      <c r="G7761" s="3"/>
      <c r="H7761" s="4" t="s">
        <v>9475</v>
      </c>
    </row>
    <row r="7762" ht="16.5" customHeight="1" spans="1:8">
      <c r="A7762" s="3">
        <v>7761</v>
      </c>
      <c r="B7762" s="3" t="s">
        <v>16805</v>
      </c>
      <c r="C7762" s="3" t="s">
        <v>1099</v>
      </c>
      <c r="D7762" s="4" t="s">
        <v>16806</v>
      </c>
      <c r="E7762" s="3" t="s">
        <v>1164</v>
      </c>
      <c r="F7762" s="3" t="s">
        <v>10259</v>
      </c>
      <c r="G7762" s="3"/>
      <c r="H7762" s="4"/>
    </row>
    <row r="7763" ht="16.5" customHeight="1" spans="1:8">
      <c r="A7763" s="3">
        <v>7762</v>
      </c>
      <c r="B7763" s="3" t="s">
        <v>16807</v>
      </c>
      <c r="C7763" s="3" t="s">
        <v>1361</v>
      </c>
      <c r="D7763" s="4" t="s">
        <v>16808</v>
      </c>
      <c r="E7763" s="3" t="s">
        <v>2056</v>
      </c>
      <c r="F7763" s="3" t="s">
        <v>2041</v>
      </c>
      <c r="G7763" s="3"/>
      <c r="H7763" s="4" t="s">
        <v>9475</v>
      </c>
    </row>
    <row r="7764" ht="16.5" customHeight="1" spans="1:8">
      <c r="A7764" s="3">
        <v>7763</v>
      </c>
      <c r="B7764" s="3" t="s">
        <v>16809</v>
      </c>
      <c r="C7764" s="3" t="s">
        <v>1361</v>
      </c>
      <c r="D7764" s="4" t="s">
        <v>16810</v>
      </c>
      <c r="E7764" s="3" t="s">
        <v>2056</v>
      </c>
      <c r="F7764" s="3" t="s">
        <v>2041</v>
      </c>
      <c r="G7764" s="3"/>
      <c r="H7764" s="4" t="s">
        <v>9475</v>
      </c>
    </row>
    <row r="7765" ht="16.5" customHeight="1" spans="1:8">
      <c r="A7765" s="3">
        <v>7764</v>
      </c>
      <c r="B7765" s="3" t="s">
        <v>16811</v>
      </c>
      <c r="C7765" s="3" t="s">
        <v>1361</v>
      </c>
      <c r="D7765" s="4" t="s">
        <v>16812</v>
      </c>
      <c r="E7765" s="3" t="s">
        <v>2056</v>
      </c>
      <c r="F7765" s="3" t="s">
        <v>2041</v>
      </c>
      <c r="G7765" s="3"/>
      <c r="H7765" s="4" t="s">
        <v>9475</v>
      </c>
    </row>
    <row r="7766" ht="16.5" customHeight="1" spans="1:8">
      <c r="A7766" s="3">
        <v>7765</v>
      </c>
      <c r="B7766" s="3" t="s">
        <v>16813</v>
      </c>
      <c r="C7766" s="3" t="s">
        <v>1361</v>
      </c>
      <c r="D7766" s="4" t="s">
        <v>16814</v>
      </c>
      <c r="E7766" s="3" t="s">
        <v>2056</v>
      </c>
      <c r="F7766" s="3" t="s">
        <v>10943</v>
      </c>
      <c r="G7766" s="3"/>
      <c r="H7766" s="4"/>
    </row>
    <row r="7767" ht="16.5" customHeight="1" spans="1:8">
      <c r="A7767" s="3">
        <v>7766</v>
      </c>
      <c r="B7767" s="3" t="s">
        <v>16815</v>
      </c>
      <c r="C7767" s="3" t="s">
        <v>1361</v>
      </c>
      <c r="D7767" s="4" t="s">
        <v>16816</v>
      </c>
      <c r="E7767" s="3" t="s">
        <v>2056</v>
      </c>
      <c r="F7767" s="3" t="s">
        <v>2041</v>
      </c>
      <c r="G7767" s="3"/>
      <c r="H7767" s="4" t="s">
        <v>9475</v>
      </c>
    </row>
    <row r="7768" ht="16.5" customHeight="1" spans="1:8">
      <c r="A7768" s="3">
        <v>7767</v>
      </c>
      <c r="B7768" s="3" t="s">
        <v>16817</v>
      </c>
      <c r="C7768" s="3" t="s">
        <v>1361</v>
      </c>
      <c r="D7768" s="4" t="s">
        <v>16818</v>
      </c>
      <c r="E7768" s="3" t="s">
        <v>2056</v>
      </c>
      <c r="F7768" s="3" t="s">
        <v>10943</v>
      </c>
      <c r="G7768" s="3"/>
      <c r="H7768" s="4"/>
    </row>
    <row r="7769" ht="16.5" customHeight="1" spans="1:8">
      <c r="A7769" s="3">
        <v>7768</v>
      </c>
      <c r="B7769" s="3" t="s">
        <v>16819</v>
      </c>
      <c r="C7769" s="3" t="s">
        <v>1361</v>
      </c>
      <c r="D7769" s="4" t="s">
        <v>16820</v>
      </c>
      <c r="E7769" s="3" t="s">
        <v>2056</v>
      </c>
      <c r="F7769" s="3" t="s">
        <v>10943</v>
      </c>
      <c r="G7769" s="3"/>
      <c r="H7769" s="4"/>
    </row>
    <row r="7770" ht="16.5" customHeight="1" spans="1:8">
      <c r="A7770" s="3">
        <v>7769</v>
      </c>
      <c r="B7770" s="3" t="s">
        <v>16821</v>
      </c>
      <c r="C7770" s="3" t="s">
        <v>1361</v>
      </c>
      <c r="D7770" s="4" t="s">
        <v>16822</v>
      </c>
      <c r="E7770" s="3" t="s">
        <v>2056</v>
      </c>
      <c r="F7770" s="3" t="s">
        <v>2041</v>
      </c>
      <c r="G7770" s="3"/>
      <c r="H7770" s="4" t="s">
        <v>9475</v>
      </c>
    </row>
    <row r="7771" ht="16.5" customHeight="1" spans="1:8">
      <c r="A7771" s="3">
        <v>7770</v>
      </c>
      <c r="B7771" s="3" t="s">
        <v>16823</v>
      </c>
      <c r="C7771" s="3" t="s">
        <v>1361</v>
      </c>
      <c r="D7771" s="4" t="s">
        <v>16824</v>
      </c>
      <c r="E7771" s="3" t="s">
        <v>2056</v>
      </c>
      <c r="F7771" s="3" t="s">
        <v>2041</v>
      </c>
      <c r="G7771" s="3"/>
      <c r="H7771" s="4" t="s">
        <v>9475</v>
      </c>
    </row>
    <row r="7772" ht="16.5" customHeight="1" spans="1:8">
      <c r="A7772" s="3">
        <v>7771</v>
      </c>
      <c r="B7772" s="3" t="s">
        <v>16825</v>
      </c>
      <c r="C7772" s="3" t="s">
        <v>1361</v>
      </c>
      <c r="D7772" s="4" t="s">
        <v>16826</v>
      </c>
      <c r="E7772" s="3" t="s">
        <v>2056</v>
      </c>
      <c r="F7772" s="3" t="s">
        <v>2041</v>
      </c>
      <c r="G7772" s="3"/>
      <c r="H7772" s="4" t="s">
        <v>9475</v>
      </c>
    </row>
    <row r="7773" ht="16.5" customHeight="1" spans="1:8">
      <c r="A7773" s="3">
        <v>7772</v>
      </c>
      <c r="B7773" s="3" t="s">
        <v>16827</v>
      </c>
      <c r="C7773" s="3" t="s">
        <v>1361</v>
      </c>
      <c r="D7773" s="4" t="s">
        <v>16828</v>
      </c>
      <c r="E7773" s="3" t="s">
        <v>2056</v>
      </c>
      <c r="F7773" s="3" t="s">
        <v>2041</v>
      </c>
      <c r="G7773" s="3"/>
      <c r="H7773" s="4" t="s">
        <v>9475</v>
      </c>
    </row>
    <row r="7774" ht="16.5" customHeight="1" spans="1:8">
      <c r="A7774" s="3">
        <v>7773</v>
      </c>
      <c r="B7774" s="3" t="s">
        <v>16829</v>
      </c>
      <c r="C7774" s="3" t="s">
        <v>1361</v>
      </c>
      <c r="D7774" s="4" t="s">
        <v>16830</v>
      </c>
      <c r="E7774" s="3" t="s">
        <v>2056</v>
      </c>
      <c r="F7774" s="3" t="s">
        <v>10943</v>
      </c>
      <c r="G7774" s="3"/>
      <c r="H7774" s="4"/>
    </row>
    <row r="7775" ht="16.5" customHeight="1" spans="1:8">
      <c r="A7775" s="3">
        <v>7774</v>
      </c>
      <c r="B7775" s="3" t="s">
        <v>16831</v>
      </c>
      <c r="C7775" s="3" t="s">
        <v>1361</v>
      </c>
      <c r="D7775" s="4" t="s">
        <v>16832</v>
      </c>
      <c r="E7775" s="3" t="s">
        <v>2056</v>
      </c>
      <c r="F7775" s="3" t="s">
        <v>2041</v>
      </c>
      <c r="G7775" s="3"/>
      <c r="H7775" s="4" t="s">
        <v>9475</v>
      </c>
    </row>
    <row r="7776" ht="16.5" customHeight="1" spans="1:8">
      <c r="A7776" s="3">
        <v>7775</v>
      </c>
      <c r="B7776" s="3" t="s">
        <v>16833</v>
      </c>
      <c r="C7776" s="3" t="s">
        <v>1361</v>
      </c>
      <c r="D7776" s="4" t="s">
        <v>16834</v>
      </c>
      <c r="E7776" s="3" t="s">
        <v>2056</v>
      </c>
      <c r="F7776" s="3" t="s">
        <v>10943</v>
      </c>
      <c r="G7776" s="3"/>
      <c r="H7776" s="4"/>
    </row>
    <row r="7777" ht="16.5" customHeight="1" spans="1:8">
      <c r="A7777" s="3">
        <v>7776</v>
      </c>
      <c r="B7777" s="3" t="s">
        <v>16835</v>
      </c>
      <c r="C7777" s="3" t="s">
        <v>1361</v>
      </c>
      <c r="D7777" s="4" t="s">
        <v>16836</v>
      </c>
      <c r="E7777" s="3" t="s">
        <v>2056</v>
      </c>
      <c r="F7777" s="3" t="s">
        <v>2041</v>
      </c>
      <c r="G7777" s="3"/>
      <c r="H7777" s="4" t="s">
        <v>9475</v>
      </c>
    </row>
    <row r="7778" ht="16.5" customHeight="1" spans="1:8">
      <c r="A7778" s="3">
        <v>7777</v>
      </c>
      <c r="B7778" s="3" t="s">
        <v>16837</v>
      </c>
      <c r="C7778" s="3" t="s">
        <v>1361</v>
      </c>
      <c r="D7778" s="4" t="s">
        <v>16838</v>
      </c>
      <c r="E7778" s="3" t="s">
        <v>2056</v>
      </c>
      <c r="F7778" s="3" t="s">
        <v>10943</v>
      </c>
      <c r="G7778" s="3"/>
      <c r="H7778" s="4"/>
    </row>
    <row r="7779" ht="16.5" customHeight="1" spans="1:8">
      <c r="A7779" s="3">
        <v>7778</v>
      </c>
      <c r="B7779" s="3" t="s">
        <v>16839</v>
      </c>
      <c r="C7779" s="3" t="s">
        <v>1361</v>
      </c>
      <c r="D7779" s="4" t="s">
        <v>16840</v>
      </c>
      <c r="E7779" s="3" t="s">
        <v>2056</v>
      </c>
      <c r="F7779" s="3" t="s">
        <v>2041</v>
      </c>
      <c r="G7779" s="3"/>
      <c r="H7779" s="4" t="s">
        <v>9475</v>
      </c>
    </row>
    <row r="7780" ht="16.5" customHeight="1" spans="1:8">
      <c r="A7780" s="3">
        <v>7779</v>
      </c>
      <c r="B7780" s="3" t="s">
        <v>16841</v>
      </c>
      <c r="C7780" s="3" t="s">
        <v>1361</v>
      </c>
      <c r="D7780" s="4" t="s">
        <v>16842</v>
      </c>
      <c r="E7780" s="3" t="s">
        <v>2056</v>
      </c>
      <c r="F7780" s="3" t="s">
        <v>2041</v>
      </c>
      <c r="G7780" s="3"/>
      <c r="H7780" s="4" t="s">
        <v>9475</v>
      </c>
    </row>
    <row r="7781" ht="16.5" customHeight="1" spans="1:8">
      <c r="A7781" s="3">
        <v>7780</v>
      </c>
      <c r="B7781" s="3" t="s">
        <v>16843</v>
      </c>
      <c r="C7781" s="3" t="s">
        <v>1361</v>
      </c>
      <c r="D7781" s="4" t="s">
        <v>16844</v>
      </c>
      <c r="E7781" s="3" t="s">
        <v>1218</v>
      </c>
      <c r="F7781" s="3" t="s">
        <v>2041</v>
      </c>
      <c r="G7781" s="3"/>
      <c r="H7781" s="4" t="s">
        <v>1359</v>
      </c>
    </row>
    <row r="7782" ht="16.5" customHeight="1" spans="1:8">
      <c r="A7782" s="3">
        <v>7781</v>
      </c>
      <c r="B7782" s="3" t="s">
        <v>16845</v>
      </c>
      <c r="C7782" s="3" t="s">
        <v>1361</v>
      </c>
      <c r="D7782" s="4" t="s">
        <v>16846</v>
      </c>
      <c r="E7782" s="3" t="s">
        <v>1218</v>
      </c>
      <c r="F7782" s="3" t="s">
        <v>2041</v>
      </c>
      <c r="G7782" s="3"/>
      <c r="H7782" s="4" t="s">
        <v>1359</v>
      </c>
    </row>
    <row r="7783" ht="16.5" customHeight="1" spans="1:8">
      <c r="A7783" s="3">
        <v>7782</v>
      </c>
      <c r="B7783" s="3" t="s">
        <v>16847</v>
      </c>
      <c r="C7783" s="3" t="s">
        <v>1361</v>
      </c>
      <c r="D7783" s="4" t="s">
        <v>16848</v>
      </c>
      <c r="E7783" s="3" t="s">
        <v>1218</v>
      </c>
      <c r="F7783" s="3" t="s">
        <v>2041</v>
      </c>
      <c r="G7783" s="3"/>
      <c r="H7783" s="4" t="s">
        <v>1359</v>
      </c>
    </row>
    <row r="7784" ht="16.5" customHeight="1" spans="1:8">
      <c r="A7784" s="3">
        <v>7783</v>
      </c>
      <c r="B7784" s="3" t="s">
        <v>16849</v>
      </c>
      <c r="C7784" s="3" t="s">
        <v>1361</v>
      </c>
      <c r="D7784" s="4" t="s">
        <v>16850</v>
      </c>
      <c r="E7784" s="3" t="s">
        <v>1218</v>
      </c>
      <c r="F7784" s="3" t="s">
        <v>2041</v>
      </c>
      <c r="G7784" s="3"/>
      <c r="H7784" s="4" t="s">
        <v>1359</v>
      </c>
    </row>
    <row r="7785" ht="16.5" customHeight="1" spans="1:8">
      <c r="A7785" s="3">
        <v>7784</v>
      </c>
      <c r="B7785" s="3" t="s">
        <v>16851</v>
      </c>
      <c r="C7785" s="3" t="s">
        <v>1361</v>
      </c>
      <c r="D7785" s="4" t="s">
        <v>16852</v>
      </c>
      <c r="E7785" s="3" t="s">
        <v>1218</v>
      </c>
      <c r="F7785" s="3" t="s">
        <v>2041</v>
      </c>
      <c r="G7785" s="3"/>
      <c r="H7785" s="4" t="s">
        <v>1359</v>
      </c>
    </row>
    <row r="7786" ht="16.5" customHeight="1" spans="1:8">
      <c r="A7786" s="3">
        <v>7785</v>
      </c>
      <c r="B7786" s="3" t="s">
        <v>16853</v>
      </c>
      <c r="C7786" s="3" t="s">
        <v>1361</v>
      </c>
      <c r="D7786" s="4" t="s">
        <v>16854</v>
      </c>
      <c r="E7786" s="3" t="s">
        <v>1218</v>
      </c>
      <c r="F7786" s="3" t="s">
        <v>2041</v>
      </c>
      <c r="G7786" s="3"/>
      <c r="H7786" s="4" t="s">
        <v>1359</v>
      </c>
    </row>
    <row r="7787" ht="16.5" customHeight="1" spans="1:8">
      <c r="A7787" s="3">
        <v>7786</v>
      </c>
      <c r="B7787" s="3" t="s">
        <v>16855</v>
      </c>
      <c r="C7787" s="3" t="s">
        <v>1361</v>
      </c>
      <c r="D7787" s="4" t="s">
        <v>16856</v>
      </c>
      <c r="E7787" s="3" t="s">
        <v>1218</v>
      </c>
      <c r="F7787" s="3" t="s">
        <v>2041</v>
      </c>
      <c r="G7787" s="3"/>
      <c r="H7787" s="4" t="s">
        <v>1359</v>
      </c>
    </row>
    <row r="7788" ht="16.5" customHeight="1" spans="1:8">
      <c r="A7788" s="3">
        <v>7787</v>
      </c>
      <c r="B7788" s="3" t="s">
        <v>16857</v>
      </c>
      <c r="C7788" s="3" t="s">
        <v>1361</v>
      </c>
      <c r="D7788" s="4" t="s">
        <v>16858</v>
      </c>
      <c r="E7788" s="3" t="s">
        <v>1218</v>
      </c>
      <c r="F7788" s="3" t="s">
        <v>2041</v>
      </c>
      <c r="G7788" s="3"/>
      <c r="H7788" s="4" t="s">
        <v>1359</v>
      </c>
    </row>
    <row r="7789" ht="16.5" customHeight="1" spans="1:8">
      <c r="A7789" s="3">
        <v>7788</v>
      </c>
      <c r="B7789" s="3" t="s">
        <v>16859</v>
      </c>
      <c r="C7789" s="3" t="s">
        <v>1361</v>
      </c>
      <c r="D7789" s="4" t="s">
        <v>16860</v>
      </c>
      <c r="E7789" s="3" t="s">
        <v>1218</v>
      </c>
      <c r="F7789" s="3" t="s">
        <v>2041</v>
      </c>
      <c r="G7789" s="3"/>
      <c r="H7789" s="4" t="s">
        <v>1359</v>
      </c>
    </row>
    <row r="7790" ht="16.5" customHeight="1" spans="1:8">
      <c r="A7790" s="3">
        <v>7789</v>
      </c>
      <c r="B7790" s="3" t="s">
        <v>16861</v>
      </c>
      <c r="C7790" s="3" t="s">
        <v>1361</v>
      </c>
      <c r="D7790" s="4" t="s">
        <v>16862</v>
      </c>
      <c r="E7790" s="3" t="s">
        <v>1218</v>
      </c>
      <c r="F7790" s="3" t="s">
        <v>2041</v>
      </c>
      <c r="G7790" s="3"/>
      <c r="H7790" s="4" t="s">
        <v>1359</v>
      </c>
    </row>
    <row r="7791" ht="16.5" customHeight="1" spans="1:8">
      <c r="A7791" s="3">
        <v>7790</v>
      </c>
      <c r="B7791" s="3" t="s">
        <v>16863</v>
      </c>
      <c r="C7791" s="3" t="s">
        <v>1361</v>
      </c>
      <c r="D7791" s="4" t="s">
        <v>16864</v>
      </c>
      <c r="E7791" s="3" t="s">
        <v>2056</v>
      </c>
      <c r="F7791" s="3" t="s">
        <v>10943</v>
      </c>
      <c r="G7791" s="3"/>
      <c r="H7791" s="4"/>
    </row>
    <row r="7792" ht="16.5" customHeight="1" spans="1:8">
      <c r="A7792" s="3">
        <v>7791</v>
      </c>
      <c r="B7792" s="3" t="s">
        <v>16865</v>
      </c>
      <c r="C7792" s="3" t="s">
        <v>1361</v>
      </c>
      <c r="D7792" s="4" t="s">
        <v>16866</v>
      </c>
      <c r="E7792" s="3" t="s">
        <v>2056</v>
      </c>
      <c r="F7792" s="3" t="s">
        <v>10943</v>
      </c>
      <c r="G7792" s="3"/>
      <c r="H7792" s="4"/>
    </row>
    <row r="7793" ht="16.5" customHeight="1" spans="1:8">
      <c r="A7793" s="3">
        <v>7792</v>
      </c>
      <c r="B7793" s="3" t="s">
        <v>16867</v>
      </c>
      <c r="C7793" s="3" t="s">
        <v>1361</v>
      </c>
      <c r="D7793" s="4" t="s">
        <v>16868</v>
      </c>
      <c r="E7793" s="3" t="s">
        <v>2056</v>
      </c>
      <c r="F7793" s="3" t="s">
        <v>10943</v>
      </c>
      <c r="G7793" s="3"/>
      <c r="H7793" s="4"/>
    </row>
    <row r="7794" ht="16.5" customHeight="1" spans="1:8">
      <c r="A7794" s="3">
        <v>7793</v>
      </c>
      <c r="B7794" s="3" t="s">
        <v>16869</v>
      </c>
      <c r="C7794" s="3" t="s">
        <v>1361</v>
      </c>
      <c r="D7794" s="4" t="s">
        <v>16870</v>
      </c>
      <c r="E7794" s="3" t="s">
        <v>2056</v>
      </c>
      <c r="F7794" s="3" t="s">
        <v>10943</v>
      </c>
      <c r="G7794" s="3"/>
      <c r="H7794" s="4"/>
    </row>
    <row r="7795" ht="16.5" customHeight="1" spans="1:8">
      <c r="A7795" s="3">
        <v>7794</v>
      </c>
      <c r="B7795" s="3" t="s">
        <v>16871</v>
      </c>
      <c r="C7795" s="3" t="s">
        <v>1361</v>
      </c>
      <c r="D7795" s="4" t="s">
        <v>16872</v>
      </c>
      <c r="E7795" s="3" t="s">
        <v>2056</v>
      </c>
      <c r="F7795" s="3" t="s">
        <v>10943</v>
      </c>
      <c r="G7795" s="3"/>
      <c r="H7795" s="4"/>
    </row>
    <row r="7796" ht="16.5" customHeight="1" spans="1:8">
      <c r="A7796" s="3">
        <v>7795</v>
      </c>
      <c r="B7796" s="3" t="s">
        <v>16873</v>
      </c>
      <c r="C7796" s="3" t="s">
        <v>1361</v>
      </c>
      <c r="D7796" s="4" t="s">
        <v>16874</v>
      </c>
      <c r="E7796" s="3" t="s">
        <v>2056</v>
      </c>
      <c r="F7796" s="3" t="s">
        <v>10943</v>
      </c>
      <c r="G7796" s="3"/>
      <c r="H7796" s="4"/>
    </row>
    <row r="7797" ht="16.5" customHeight="1" spans="1:8">
      <c r="A7797" s="3">
        <v>7796</v>
      </c>
      <c r="B7797" s="3" t="s">
        <v>16875</v>
      </c>
      <c r="C7797" s="3" t="s">
        <v>1361</v>
      </c>
      <c r="D7797" s="4" t="s">
        <v>16876</v>
      </c>
      <c r="E7797" s="3" t="s">
        <v>2056</v>
      </c>
      <c r="F7797" s="3" t="s">
        <v>10943</v>
      </c>
      <c r="G7797" s="3"/>
      <c r="H7797" s="4"/>
    </row>
    <row r="7798" ht="16.5" customHeight="1" spans="1:8">
      <c r="A7798" s="3">
        <v>7797</v>
      </c>
      <c r="B7798" s="3" t="s">
        <v>16877</v>
      </c>
      <c r="C7798" s="3" t="s">
        <v>2163</v>
      </c>
      <c r="D7798" s="4" t="s">
        <v>16878</v>
      </c>
      <c r="E7798" s="3" t="s">
        <v>8871</v>
      </c>
      <c r="F7798" s="3" t="s">
        <v>2041</v>
      </c>
      <c r="G7798" s="3"/>
      <c r="H7798" s="4" t="s">
        <v>9475</v>
      </c>
    </row>
    <row r="7799" ht="16.5" customHeight="1" spans="1:8">
      <c r="A7799" s="3">
        <v>7798</v>
      </c>
      <c r="B7799" s="3" t="s">
        <v>16879</v>
      </c>
      <c r="C7799" s="3" t="s">
        <v>2163</v>
      </c>
      <c r="D7799" s="4" t="s">
        <v>16880</v>
      </c>
      <c r="E7799" s="3" t="s">
        <v>3093</v>
      </c>
      <c r="F7799" s="3" t="s">
        <v>2041</v>
      </c>
      <c r="G7799" s="3"/>
      <c r="H7799" s="4" t="s">
        <v>9475</v>
      </c>
    </row>
    <row r="7800" ht="16.5" customHeight="1" spans="1:8">
      <c r="A7800" s="3">
        <v>7799</v>
      </c>
      <c r="B7800" s="3" t="s">
        <v>16881</v>
      </c>
      <c r="C7800" s="3" t="s">
        <v>2163</v>
      </c>
      <c r="D7800" s="4" t="s">
        <v>16882</v>
      </c>
      <c r="E7800" s="3" t="s">
        <v>1076</v>
      </c>
      <c r="F7800" s="3" t="s">
        <v>10943</v>
      </c>
      <c r="G7800" s="3"/>
      <c r="H7800" s="4"/>
    </row>
    <row r="7801" ht="16.5" customHeight="1" spans="1:8">
      <c r="A7801" s="3">
        <v>7800</v>
      </c>
      <c r="B7801" s="3" t="s">
        <v>16883</v>
      </c>
      <c r="C7801" s="3" t="s">
        <v>2163</v>
      </c>
      <c r="D7801" s="4" t="s">
        <v>16884</v>
      </c>
      <c r="E7801" s="3" t="s">
        <v>1076</v>
      </c>
      <c r="F7801" s="3" t="s">
        <v>2041</v>
      </c>
      <c r="G7801" s="3"/>
      <c r="H7801" s="4" t="s">
        <v>9475</v>
      </c>
    </row>
    <row r="7802" ht="16.5" customHeight="1" spans="1:8">
      <c r="A7802" s="3">
        <v>7801</v>
      </c>
      <c r="B7802" s="3" t="s">
        <v>16885</v>
      </c>
      <c r="C7802" s="3" t="s">
        <v>2163</v>
      </c>
      <c r="D7802" s="4" t="s">
        <v>16886</v>
      </c>
      <c r="E7802" s="3" t="s">
        <v>3093</v>
      </c>
      <c r="F7802" s="3" t="s">
        <v>2041</v>
      </c>
      <c r="G7802" s="3"/>
      <c r="H7802" s="4" t="s">
        <v>9475</v>
      </c>
    </row>
    <row r="7803" ht="16.5" customHeight="1" spans="1:8">
      <c r="A7803" s="3">
        <v>7802</v>
      </c>
      <c r="B7803" s="3" t="s">
        <v>16887</v>
      </c>
      <c r="C7803" s="3" t="s">
        <v>2163</v>
      </c>
      <c r="D7803" s="4" t="s">
        <v>16888</v>
      </c>
      <c r="E7803" s="3" t="s">
        <v>1076</v>
      </c>
      <c r="F7803" s="3" t="s">
        <v>10943</v>
      </c>
      <c r="G7803" s="3"/>
      <c r="H7803" s="4"/>
    </row>
    <row r="7804" ht="16.5" customHeight="1" spans="1:8">
      <c r="A7804" s="3">
        <v>7803</v>
      </c>
      <c r="B7804" s="3" t="s">
        <v>16889</v>
      </c>
      <c r="C7804" s="3" t="s">
        <v>2163</v>
      </c>
      <c r="D7804" s="4" t="s">
        <v>16890</v>
      </c>
      <c r="E7804" s="3" t="s">
        <v>1076</v>
      </c>
      <c r="F7804" s="3" t="s">
        <v>2041</v>
      </c>
      <c r="G7804" s="3"/>
      <c r="H7804" s="4" t="s">
        <v>9475</v>
      </c>
    </row>
    <row r="7805" ht="16.5" customHeight="1" spans="1:8">
      <c r="A7805" s="3">
        <v>7804</v>
      </c>
      <c r="B7805" s="3" t="s">
        <v>16891</v>
      </c>
      <c r="C7805" s="3" t="s">
        <v>2163</v>
      </c>
      <c r="D7805" s="4" t="s">
        <v>16892</v>
      </c>
      <c r="E7805" s="3" t="s">
        <v>1076</v>
      </c>
      <c r="F7805" s="3" t="s">
        <v>2041</v>
      </c>
      <c r="G7805" s="3"/>
      <c r="H7805" s="4" t="s">
        <v>9475</v>
      </c>
    </row>
    <row r="7806" ht="16.5" customHeight="1" spans="1:8">
      <c r="A7806" s="3">
        <v>7805</v>
      </c>
      <c r="B7806" s="3" t="s">
        <v>16893</v>
      </c>
      <c r="C7806" s="3" t="s">
        <v>2163</v>
      </c>
      <c r="D7806" s="4" t="s">
        <v>16894</v>
      </c>
      <c r="E7806" s="3" t="s">
        <v>1076</v>
      </c>
      <c r="F7806" s="3" t="s">
        <v>10943</v>
      </c>
      <c r="G7806" s="3"/>
      <c r="H7806" s="4"/>
    </row>
    <row r="7807" ht="16.5" customHeight="1" spans="1:8">
      <c r="A7807" s="3">
        <v>7806</v>
      </c>
      <c r="B7807" s="3" t="s">
        <v>16895</v>
      </c>
      <c r="C7807" s="3" t="s">
        <v>1356</v>
      </c>
      <c r="D7807" s="4" t="s">
        <v>16896</v>
      </c>
      <c r="E7807" s="3" t="s">
        <v>1218</v>
      </c>
      <c r="F7807" s="3" t="s">
        <v>2041</v>
      </c>
      <c r="G7807" s="3"/>
      <c r="H7807" s="4" t="s">
        <v>9475</v>
      </c>
    </row>
    <row r="7808" ht="16.5" customHeight="1" spans="1:8">
      <c r="A7808" s="3">
        <v>7807</v>
      </c>
      <c r="B7808" s="3" t="s">
        <v>16897</v>
      </c>
      <c r="C7808" s="3" t="s">
        <v>2163</v>
      </c>
      <c r="D7808" s="4" t="s">
        <v>16898</v>
      </c>
      <c r="E7808" s="3" t="s">
        <v>1076</v>
      </c>
      <c r="F7808" s="3" t="s">
        <v>10943</v>
      </c>
      <c r="G7808" s="3"/>
      <c r="H7808" s="4"/>
    </row>
    <row r="7809" ht="16.5" customHeight="1" spans="1:8">
      <c r="A7809" s="3">
        <v>7808</v>
      </c>
      <c r="B7809" s="3" t="s">
        <v>16899</v>
      </c>
      <c r="C7809" s="3" t="s">
        <v>2163</v>
      </c>
      <c r="D7809" s="4" t="s">
        <v>16900</v>
      </c>
      <c r="E7809" s="3" t="s">
        <v>1076</v>
      </c>
      <c r="F7809" s="3" t="s">
        <v>10943</v>
      </c>
      <c r="G7809" s="3"/>
      <c r="H7809" s="4"/>
    </row>
    <row r="7810" ht="16.5" customHeight="1" spans="1:8">
      <c r="A7810" s="3">
        <v>7809</v>
      </c>
      <c r="B7810" s="3" t="s">
        <v>16901</v>
      </c>
      <c r="C7810" s="3" t="s">
        <v>2163</v>
      </c>
      <c r="D7810" s="4" t="s">
        <v>16898</v>
      </c>
      <c r="E7810" s="3" t="s">
        <v>1076</v>
      </c>
      <c r="F7810" s="3" t="s">
        <v>10943</v>
      </c>
      <c r="G7810" s="3"/>
      <c r="H7810" s="4"/>
    </row>
    <row r="7811" ht="16.5" customHeight="1" spans="1:8">
      <c r="A7811" s="3">
        <v>7810</v>
      </c>
      <c r="B7811" s="3" t="s">
        <v>16902</v>
      </c>
      <c r="C7811" s="3" t="s">
        <v>2163</v>
      </c>
      <c r="D7811" s="4" t="s">
        <v>16903</v>
      </c>
      <c r="E7811" s="3" t="s">
        <v>1076</v>
      </c>
      <c r="F7811" s="3" t="s">
        <v>10943</v>
      </c>
      <c r="G7811" s="3"/>
      <c r="H7811" s="4"/>
    </row>
    <row r="7812" ht="16.5" customHeight="1" spans="1:8">
      <c r="A7812" s="3">
        <v>7811</v>
      </c>
      <c r="B7812" s="3" t="s">
        <v>615</v>
      </c>
      <c r="C7812" s="3" t="s">
        <v>1074</v>
      </c>
      <c r="D7812" s="4" t="s">
        <v>616</v>
      </c>
      <c r="E7812" s="3" t="s">
        <v>1218</v>
      </c>
      <c r="F7812" s="3" t="s">
        <v>10259</v>
      </c>
      <c r="G7812" s="3"/>
      <c r="H7812" s="4" t="s">
        <v>7240</v>
      </c>
    </row>
    <row r="7813" ht="16.5" customHeight="1" spans="1:8">
      <c r="A7813" s="3">
        <v>7812</v>
      </c>
      <c r="B7813" s="3" t="s">
        <v>605</v>
      </c>
      <c r="C7813" s="3" t="s">
        <v>6377</v>
      </c>
      <c r="D7813" s="4" t="s">
        <v>606</v>
      </c>
      <c r="E7813" s="3" t="s">
        <v>1218</v>
      </c>
      <c r="F7813" s="3" t="s">
        <v>10259</v>
      </c>
      <c r="G7813" s="3"/>
      <c r="H7813" s="4" t="s">
        <v>4005</v>
      </c>
    </row>
    <row r="7814" ht="16.5" customHeight="1" spans="1:8">
      <c r="A7814" s="3">
        <v>7813</v>
      </c>
      <c r="B7814" s="3" t="s">
        <v>607</v>
      </c>
      <c r="C7814" s="3" t="s">
        <v>1074</v>
      </c>
      <c r="D7814" s="4" t="s">
        <v>608</v>
      </c>
      <c r="E7814" s="3" t="s">
        <v>1218</v>
      </c>
      <c r="F7814" s="3" t="s">
        <v>10259</v>
      </c>
      <c r="G7814" s="3"/>
      <c r="H7814" s="4" t="s">
        <v>4636</v>
      </c>
    </row>
    <row r="7815" ht="16.5" customHeight="1" spans="1:8">
      <c r="A7815" s="3">
        <v>7814</v>
      </c>
      <c r="B7815" s="3" t="s">
        <v>16904</v>
      </c>
      <c r="C7815" s="3" t="s">
        <v>2163</v>
      </c>
      <c r="D7815" s="4" t="s">
        <v>16905</v>
      </c>
      <c r="E7815" s="3" t="s">
        <v>1076</v>
      </c>
      <c r="F7815" s="3" t="s">
        <v>10943</v>
      </c>
      <c r="G7815" s="3"/>
      <c r="H7815" s="4"/>
    </row>
    <row r="7816" ht="16.5" customHeight="1" spans="1:8">
      <c r="A7816" s="3">
        <v>7815</v>
      </c>
      <c r="B7816" s="3" t="s">
        <v>16906</v>
      </c>
      <c r="C7816" s="3" t="s">
        <v>2163</v>
      </c>
      <c r="D7816" s="4" t="s">
        <v>16907</v>
      </c>
      <c r="E7816" s="3" t="s">
        <v>1076</v>
      </c>
      <c r="F7816" s="3" t="s">
        <v>10943</v>
      </c>
      <c r="G7816" s="3"/>
      <c r="H7816" s="4"/>
    </row>
    <row r="7817" ht="16.5" customHeight="1" spans="1:8">
      <c r="A7817" s="3">
        <v>7816</v>
      </c>
      <c r="B7817" s="3" t="s">
        <v>16908</v>
      </c>
      <c r="C7817" s="3" t="s">
        <v>2163</v>
      </c>
      <c r="D7817" s="4" t="s">
        <v>16909</v>
      </c>
      <c r="E7817" s="3" t="s">
        <v>5779</v>
      </c>
      <c r="F7817" s="3" t="s">
        <v>2041</v>
      </c>
      <c r="G7817" s="3"/>
      <c r="H7817" s="4" t="s">
        <v>1359</v>
      </c>
    </row>
    <row r="7818" ht="16.5" customHeight="1" spans="1:8">
      <c r="A7818" s="3">
        <v>7817</v>
      </c>
      <c r="B7818" s="3" t="s">
        <v>16910</v>
      </c>
      <c r="C7818" s="3" t="s">
        <v>2163</v>
      </c>
      <c r="D7818" s="4" t="s">
        <v>16911</v>
      </c>
      <c r="E7818" s="3" t="s">
        <v>2726</v>
      </c>
      <c r="F7818" s="3" t="s">
        <v>2041</v>
      </c>
      <c r="G7818" s="3"/>
      <c r="H7818" s="4" t="s">
        <v>9475</v>
      </c>
    </row>
    <row r="7819" ht="16.5" customHeight="1" spans="1:8">
      <c r="A7819" s="3">
        <v>7818</v>
      </c>
      <c r="B7819" s="3" t="s">
        <v>16912</v>
      </c>
      <c r="C7819" s="3" t="s">
        <v>2163</v>
      </c>
      <c r="D7819" s="4" t="s">
        <v>16913</v>
      </c>
      <c r="E7819" s="3" t="s">
        <v>16497</v>
      </c>
      <c r="F7819" s="3" t="s">
        <v>2105</v>
      </c>
      <c r="G7819" s="3"/>
      <c r="H7819" s="4" t="s">
        <v>7240</v>
      </c>
    </row>
    <row r="7820" ht="16.5" customHeight="1" spans="1:8">
      <c r="A7820" s="3">
        <v>7819</v>
      </c>
      <c r="B7820" s="3" t="s">
        <v>16914</v>
      </c>
      <c r="C7820" s="3" t="s">
        <v>2163</v>
      </c>
      <c r="D7820" s="4" t="s">
        <v>16915</v>
      </c>
      <c r="E7820" s="3" t="s">
        <v>2726</v>
      </c>
      <c r="F7820" s="3" t="s">
        <v>2105</v>
      </c>
      <c r="G7820" s="3"/>
      <c r="H7820" s="4" t="s">
        <v>7240</v>
      </c>
    </row>
    <row r="7821" ht="16.5" customHeight="1" spans="1:8">
      <c r="A7821" s="3">
        <v>7820</v>
      </c>
      <c r="B7821" s="3" t="s">
        <v>16916</v>
      </c>
      <c r="C7821" s="3" t="s">
        <v>2163</v>
      </c>
      <c r="D7821" s="4" t="s">
        <v>16917</v>
      </c>
      <c r="E7821" s="3" t="s">
        <v>2726</v>
      </c>
      <c r="F7821" s="3" t="s">
        <v>2105</v>
      </c>
      <c r="G7821" s="3"/>
      <c r="H7821" s="4" t="s">
        <v>7240</v>
      </c>
    </row>
    <row r="7822" ht="16.5" customHeight="1" spans="1:8">
      <c r="A7822" s="3">
        <v>7821</v>
      </c>
      <c r="B7822" s="3" t="s">
        <v>16918</v>
      </c>
      <c r="C7822" s="3" t="s">
        <v>2163</v>
      </c>
      <c r="D7822" s="4" t="s">
        <v>16919</v>
      </c>
      <c r="E7822" s="3" t="s">
        <v>2726</v>
      </c>
      <c r="F7822" s="3" t="s">
        <v>10943</v>
      </c>
      <c r="G7822" s="3"/>
      <c r="H7822" s="4"/>
    </row>
    <row r="7823" ht="16.5" customHeight="1" spans="1:8">
      <c r="A7823" s="3">
        <v>7822</v>
      </c>
      <c r="B7823" s="3" t="s">
        <v>16920</v>
      </c>
      <c r="C7823" s="3" t="s">
        <v>2163</v>
      </c>
      <c r="D7823" s="4" t="s">
        <v>16921</v>
      </c>
      <c r="E7823" s="3" t="s">
        <v>3093</v>
      </c>
      <c r="F7823" s="3" t="s">
        <v>2041</v>
      </c>
      <c r="G7823" s="3"/>
      <c r="H7823" s="4"/>
    </row>
    <row r="7824" ht="16.5" customHeight="1" spans="1:8">
      <c r="A7824" s="3">
        <v>7823</v>
      </c>
      <c r="B7824" s="3" t="s">
        <v>16922</v>
      </c>
      <c r="C7824" s="3" t="s">
        <v>2163</v>
      </c>
      <c r="D7824" s="4" t="s">
        <v>16923</v>
      </c>
      <c r="E7824" s="3" t="s">
        <v>1076</v>
      </c>
      <c r="F7824" s="3" t="s">
        <v>2041</v>
      </c>
      <c r="G7824" s="3"/>
      <c r="H7824" s="4"/>
    </row>
    <row r="7825" ht="16.5" customHeight="1" spans="1:8">
      <c r="A7825" s="3">
        <v>7824</v>
      </c>
      <c r="B7825" s="3" t="s">
        <v>16924</v>
      </c>
      <c r="C7825" s="3" t="s">
        <v>2163</v>
      </c>
      <c r="D7825" s="4" t="s">
        <v>16925</v>
      </c>
      <c r="E7825" s="3" t="s">
        <v>1076</v>
      </c>
      <c r="F7825" s="3" t="s">
        <v>2041</v>
      </c>
      <c r="G7825" s="3"/>
      <c r="H7825" s="4"/>
    </row>
    <row r="7826" ht="16.5" customHeight="1" spans="1:8">
      <c r="A7826" s="3">
        <v>7825</v>
      </c>
      <c r="B7826" s="3" t="s">
        <v>16926</v>
      </c>
      <c r="C7826" s="3" t="s">
        <v>2163</v>
      </c>
      <c r="D7826" s="4" t="s">
        <v>16927</v>
      </c>
      <c r="E7826" s="3" t="s">
        <v>2726</v>
      </c>
      <c r="F7826" s="3" t="s">
        <v>2041</v>
      </c>
      <c r="G7826" s="3"/>
      <c r="H7826" s="4"/>
    </row>
    <row r="7827" ht="16.5" customHeight="1" spans="1:8">
      <c r="A7827" s="3">
        <v>7826</v>
      </c>
      <c r="B7827" s="3" t="s">
        <v>16928</v>
      </c>
      <c r="C7827" s="3" t="s">
        <v>1356</v>
      </c>
      <c r="D7827" s="4" t="s">
        <v>16929</v>
      </c>
      <c r="E7827" s="3" t="s">
        <v>8401</v>
      </c>
      <c r="F7827" s="3" t="s">
        <v>10943</v>
      </c>
      <c r="G7827" s="3"/>
      <c r="H7827" s="4" t="s">
        <v>9475</v>
      </c>
    </row>
    <row r="7828" ht="16.5" customHeight="1" spans="1:8">
      <c r="A7828" s="3">
        <v>7827</v>
      </c>
      <c r="B7828" s="3" t="s">
        <v>16930</v>
      </c>
      <c r="C7828" s="3" t="s">
        <v>1361</v>
      </c>
      <c r="D7828" s="4" t="s">
        <v>16931</v>
      </c>
      <c r="E7828" s="3" t="s">
        <v>2056</v>
      </c>
      <c r="F7828" s="3" t="s">
        <v>10943</v>
      </c>
      <c r="G7828" s="3"/>
      <c r="H7828" s="4"/>
    </row>
    <row r="7829" ht="16.5" customHeight="1" spans="1:8">
      <c r="A7829" s="3">
        <v>7828</v>
      </c>
      <c r="B7829" s="3" t="s">
        <v>16932</v>
      </c>
      <c r="C7829" s="3" t="s">
        <v>1361</v>
      </c>
      <c r="D7829" s="4" t="s">
        <v>16933</v>
      </c>
      <c r="E7829" s="3" t="s">
        <v>2056</v>
      </c>
      <c r="F7829" s="3" t="s">
        <v>10943</v>
      </c>
      <c r="G7829" s="3"/>
      <c r="H7829" s="4"/>
    </row>
    <row r="7830" ht="16.5" customHeight="1" spans="1:8">
      <c r="A7830" s="3">
        <v>7829</v>
      </c>
      <c r="B7830" s="3" t="s">
        <v>16934</v>
      </c>
      <c r="C7830" s="3" t="s">
        <v>1361</v>
      </c>
      <c r="D7830" s="4" t="s">
        <v>16935</v>
      </c>
      <c r="E7830" s="3" t="s">
        <v>2056</v>
      </c>
      <c r="F7830" s="3" t="s">
        <v>10943</v>
      </c>
      <c r="G7830" s="3"/>
      <c r="H7830" s="4"/>
    </row>
    <row r="7831" ht="16.5" customHeight="1" spans="1:8">
      <c r="A7831" s="3">
        <v>7830</v>
      </c>
      <c r="B7831" s="3" t="s">
        <v>16936</v>
      </c>
      <c r="C7831" s="3" t="s">
        <v>1361</v>
      </c>
      <c r="D7831" s="4" t="s">
        <v>16937</v>
      </c>
      <c r="E7831" s="3" t="s">
        <v>2056</v>
      </c>
      <c r="F7831" s="3" t="s">
        <v>10943</v>
      </c>
      <c r="G7831" s="3"/>
      <c r="H7831" s="4"/>
    </row>
    <row r="7832" ht="16.5" customHeight="1" spans="1:8">
      <c r="A7832" s="3">
        <v>7831</v>
      </c>
      <c r="B7832" s="3" t="s">
        <v>16938</v>
      </c>
      <c r="C7832" s="3" t="s">
        <v>1361</v>
      </c>
      <c r="D7832" s="4" t="s">
        <v>16939</v>
      </c>
      <c r="E7832" s="3" t="s">
        <v>1218</v>
      </c>
      <c r="F7832" s="3" t="s">
        <v>2041</v>
      </c>
      <c r="G7832" s="3"/>
      <c r="H7832" s="4" t="s">
        <v>9475</v>
      </c>
    </row>
    <row r="7833" ht="16.5" customHeight="1" spans="1:8">
      <c r="A7833" s="3">
        <v>7832</v>
      </c>
      <c r="B7833" s="3" t="s">
        <v>16940</v>
      </c>
      <c r="C7833" s="3" t="s">
        <v>1361</v>
      </c>
      <c r="D7833" s="4" t="s">
        <v>16941</v>
      </c>
      <c r="E7833" s="3" t="s">
        <v>2056</v>
      </c>
      <c r="F7833" s="3" t="s">
        <v>10943</v>
      </c>
      <c r="G7833" s="3"/>
      <c r="H7833" s="4"/>
    </row>
    <row r="7834" ht="16.5" customHeight="1" spans="1:8">
      <c r="A7834" s="3">
        <v>7833</v>
      </c>
      <c r="B7834" s="3" t="s">
        <v>16942</v>
      </c>
      <c r="C7834" s="3" t="s">
        <v>1361</v>
      </c>
      <c r="D7834" s="4" t="s">
        <v>16943</v>
      </c>
      <c r="E7834" s="3" t="s">
        <v>2056</v>
      </c>
      <c r="F7834" s="3" t="s">
        <v>10943</v>
      </c>
      <c r="G7834" s="3"/>
      <c r="H7834" s="4"/>
    </row>
    <row r="7835" ht="16.5" customHeight="1" spans="1:8">
      <c r="A7835" s="3">
        <v>7834</v>
      </c>
      <c r="B7835" s="3" t="s">
        <v>16944</v>
      </c>
      <c r="C7835" s="3" t="s">
        <v>1361</v>
      </c>
      <c r="D7835" s="4" t="s">
        <v>16945</v>
      </c>
      <c r="E7835" s="3" t="s">
        <v>2056</v>
      </c>
      <c r="F7835" s="3" t="s">
        <v>10943</v>
      </c>
      <c r="G7835" s="3"/>
      <c r="H7835" s="4"/>
    </row>
    <row r="7836" ht="16.5" customHeight="1" spans="1:8">
      <c r="A7836" s="3">
        <v>7835</v>
      </c>
      <c r="B7836" s="3" t="s">
        <v>16946</v>
      </c>
      <c r="C7836" s="3" t="s">
        <v>1361</v>
      </c>
      <c r="D7836" s="4" t="s">
        <v>16947</v>
      </c>
      <c r="E7836" s="3" t="s">
        <v>2056</v>
      </c>
      <c r="F7836" s="3" t="s">
        <v>10943</v>
      </c>
      <c r="G7836" s="3"/>
      <c r="H7836" s="4"/>
    </row>
    <row r="7837" ht="16.5" customHeight="1" spans="1:8">
      <c r="A7837" s="3">
        <v>7836</v>
      </c>
      <c r="B7837" s="3" t="s">
        <v>16948</v>
      </c>
      <c r="C7837" s="3" t="s">
        <v>1361</v>
      </c>
      <c r="D7837" s="4" t="s">
        <v>16949</v>
      </c>
      <c r="E7837" s="3" t="s">
        <v>2056</v>
      </c>
      <c r="F7837" s="3" t="s">
        <v>10943</v>
      </c>
      <c r="G7837" s="3"/>
      <c r="H7837" s="4"/>
    </row>
    <row r="7838" ht="16.5" customHeight="1" spans="1:8">
      <c r="A7838" s="3">
        <v>7837</v>
      </c>
      <c r="B7838" s="3" t="s">
        <v>16950</v>
      </c>
      <c r="C7838" s="3" t="s">
        <v>1361</v>
      </c>
      <c r="D7838" s="4" t="s">
        <v>16951</v>
      </c>
      <c r="E7838" s="3" t="s">
        <v>2056</v>
      </c>
      <c r="F7838" s="3" t="s">
        <v>10943</v>
      </c>
      <c r="G7838" s="3"/>
      <c r="H7838" s="4"/>
    </row>
    <row r="7839" ht="16.5" customHeight="1" spans="1:8">
      <c r="A7839" s="3">
        <v>7838</v>
      </c>
      <c r="B7839" s="3" t="s">
        <v>16952</v>
      </c>
      <c r="C7839" s="3" t="s">
        <v>1361</v>
      </c>
      <c r="D7839" s="4" t="s">
        <v>16953</v>
      </c>
      <c r="E7839" s="3" t="s">
        <v>2056</v>
      </c>
      <c r="F7839" s="3" t="s">
        <v>10943</v>
      </c>
      <c r="G7839" s="3"/>
      <c r="H7839" s="4"/>
    </row>
    <row r="7840" ht="16.5" customHeight="1" spans="1:8">
      <c r="A7840" s="3">
        <v>7839</v>
      </c>
      <c r="B7840" s="3" t="s">
        <v>16954</v>
      </c>
      <c r="C7840" s="3" t="s">
        <v>1361</v>
      </c>
      <c r="D7840" s="4" t="s">
        <v>16955</v>
      </c>
      <c r="E7840" s="3" t="s">
        <v>2056</v>
      </c>
      <c r="F7840" s="3" t="s">
        <v>10943</v>
      </c>
      <c r="G7840" s="3"/>
      <c r="H7840" s="4"/>
    </row>
    <row r="7841" ht="16.5" customHeight="1" spans="1:8">
      <c r="A7841" s="3">
        <v>7840</v>
      </c>
      <c r="B7841" s="3" t="s">
        <v>16956</v>
      </c>
      <c r="C7841" s="3" t="s">
        <v>1361</v>
      </c>
      <c r="D7841" s="4" t="s">
        <v>16957</v>
      </c>
      <c r="E7841" s="3" t="s">
        <v>2056</v>
      </c>
      <c r="F7841" s="3" t="s">
        <v>10943</v>
      </c>
      <c r="G7841" s="3"/>
      <c r="H7841" s="4"/>
    </row>
    <row r="7842" ht="16.5" customHeight="1" spans="1:8">
      <c r="A7842" s="3">
        <v>7841</v>
      </c>
      <c r="B7842" s="3" t="s">
        <v>16958</v>
      </c>
      <c r="C7842" s="3" t="s">
        <v>1361</v>
      </c>
      <c r="D7842" s="4" t="s">
        <v>16959</v>
      </c>
      <c r="E7842" s="3" t="s">
        <v>2056</v>
      </c>
      <c r="F7842" s="3" t="s">
        <v>10943</v>
      </c>
      <c r="G7842" s="3"/>
      <c r="H7842" s="4"/>
    </row>
    <row r="7843" ht="16.5" customHeight="1" spans="1:8">
      <c r="A7843" s="3">
        <v>7842</v>
      </c>
      <c r="B7843" s="3" t="s">
        <v>16960</v>
      </c>
      <c r="C7843" s="3" t="s">
        <v>1361</v>
      </c>
      <c r="D7843" s="4" t="s">
        <v>16961</v>
      </c>
      <c r="E7843" s="3" t="s">
        <v>2056</v>
      </c>
      <c r="F7843" s="3" t="s">
        <v>10943</v>
      </c>
      <c r="G7843" s="3"/>
      <c r="H7843" s="4"/>
    </row>
    <row r="7844" ht="16.5" customHeight="1" spans="1:8">
      <c r="A7844" s="3">
        <v>7843</v>
      </c>
      <c r="B7844" s="3" t="s">
        <v>16962</v>
      </c>
      <c r="C7844" s="3" t="s">
        <v>1361</v>
      </c>
      <c r="D7844" s="4" t="s">
        <v>16963</v>
      </c>
      <c r="E7844" s="3" t="s">
        <v>2056</v>
      </c>
      <c r="F7844" s="3" t="s">
        <v>10943</v>
      </c>
      <c r="G7844" s="3"/>
      <c r="H7844" s="4"/>
    </row>
    <row r="7845" ht="16.5" customHeight="1" spans="1:8">
      <c r="A7845" s="3">
        <v>7844</v>
      </c>
      <c r="B7845" s="3" t="s">
        <v>16964</v>
      </c>
      <c r="C7845" s="3" t="s">
        <v>1361</v>
      </c>
      <c r="D7845" s="4" t="s">
        <v>16965</v>
      </c>
      <c r="E7845" s="3" t="s">
        <v>2056</v>
      </c>
      <c r="F7845" s="3" t="s">
        <v>10943</v>
      </c>
      <c r="G7845" s="3"/>
      <c r="H7845" s="4"/>
    </row>
    <row r="7846" ht="16.5" customHeight="1" spans="1:8">
      <c r="A7846" s="3">
        <v>7845</v>
      </c>
      <c r="B7846" s="3" t="s">
        <v>16966</v>
      </c>
      <c r="C7846" s="3" t="s">
        <v>1361</v>
      </c>
      <c r="D7846" s="4" t="s">
        <v>16967</v>
      </c>
      <c r="E7846" s="3" t="s">
        <v>1218</v>
      </c>
      <c r="F7846" s="3" t="s">
        <v>2041</v>
      </c>
      <c r="G7846" s="3"/>
      <c r="H7846" s="4" t="s">
        <v>9475</v>
      </c>
    </row>
    <row r="7847" ht="16.5" customHeight="1" spans="1:8">
      <c r="A7847" s="3">
        <v>7846</v>
      </c>
      <c r="B7847" s="3" t="s">
        <v>16968</v>
      </c>
      <c r="C7847" s="3" t="s">
        <v>1361</v>
      </c>
      <c r="D7847" s="4" t="s">
        <v>16969</v>
      </c>
      <c r="E7847" s="3" t="s">
        <v>1218</v>
      </c>
      <c r="F7847" s="3" t="s">
        <v>2041</v>
      </c>
      <c r="G7847" s="3"/>
      <c r="H7847" s="4" t="s">
        <v>9475</v>
      </c>
    </row>
    <row r="7848" ht="16.5" customHeight="1" spans="1:8">
      <c r="A7848" s="3">
        <v>7847</v>
      </c>
      <c r="B7848" s="3" t="s">
        <v>16970</v>
      </c>
      <c r="C7848" s="3" t="s">
        <v>1361</v>
      </c>
      <c r="D7848" s="4" t="s">
        <v>16971</v>
      </c>
      <c r="E7848" s="3" t="s">
        <v>1218</v>
      </c>
      <c r="F7848" s="3" t="s">
        <v>2041</v>
      </c>
      <c r="G7848" s="3"/>
      <c r="H7848" s="4" t="s">
        <v>9475</v>
      </c>
    </row>
    <row r="7849" ht="16.5" customHeight="1" spans="1:8">
      <c r="A7849" s="3">
        <v>7848</v>
      </c>
      <c r="B7849" s="3" t="s">
        <v>16972</v>
      </c>
      <c r="C7849" s="3" t="s">
        <v>1361</v>
      </c>
      <c r="D7849" s="4" t="s">
        <v>16973</v>
      </c>
      <c r="E7849" s="3" t="s">
        <v>1218</v>
      </c>
      <c r="F7849" s="3" t="s">
        <v>2041</v>
      </c>
      <c r="G7849" s="3"/>
      <c r="H7849" s="4" t="s">
        <v>9475</v>
      </c>
    </row>
    <row r="7850" ht="16.5" customHeight="1" spans="1:8">
      <c r="A7850" s="3">
        <v>7849</v>
      </c>
      <c r="B7850" s="3" t="s">
        <v>16974</v>
      </c>
      <c r="C7850" s="3" t="s">
        <v>1361</v>
      </c>
      <c r="D7850" s="4" t="s">
        <v>16975</v>
      </c>
      <c r="E7850" s="3" t="s">
        <v>1218</v>
      </c>
      <c r="F7850" s="3" t="s">
        <v>2041</v>
      </c>
      <c r="G7850" s="3"/>
      <c r="H7850" s="4" t="s">
        <v>9475</v>
      </c>
    </row>
    <row r="7851" ht="16.5" customHeight="1" spans="1:8">
      <c r="A7851" s="3">
        <v>7850</v>
      </c>
      <c r="B7851" s="3" t="s">
        <v>16976</v>
      </c>
      <c r="C7851" s="3" t="s">
        <v>1361</v>
      </c>
      <c r="D7851" s="4" t="s">
        <v>16977</v>
      </c>
      <c r="E7851" s="3" t="s">
        <v>2056</v>
      </c>
      <c r="F7851" s="3" t="s">
        <v>10943</v>
      </c>
      <c r="G7851" s="3"/>
      <c r="H7851" s="4"/>
    </row>
    <row r="7852" ht="16.5" customHeight="1" spans="1:8">
      <c r="A7852" s="3">
        <v>7851</v>
      </c>
      <c r="B7852" s="3" t="s">
        <v>16978</v>
      </c>
      <c r="C7852" s="3" t="s">
        <v>1361</v>
      </c>
      <c r="D7852" s="4" t="s">
        <v>16979</v>
      </c>
      <c r="E7852" s="3" t="s">
        <v>1218</v>
      </c>
      <c r="F7852" s="3" t="s">
        <v>2041</v>
      </c>
      <c r="G7852" s="3"/>
      <c r="H7852" s="4"/>
    </row>
    <row r="7853" ht="16.5" customHeight="1" spans="1:8">
      <c r="A7853" s="3">
        <v>7852</v>
      </c>
      <c r="B7853" s="3" t="s">
        <v>16980</v>
      </c>
      <c r="C7853" s="3" t="s">
        <v>1361</v>
      </c>
      <c r="D7853" s="4" t="s">
        <v>16981</v>
      </c>
      <c r="E7853" s="3" t="s">
        <v>1218</v>
      </c>
      <c r="F7853" s="3" t="s">
        <v>2041</v>
      </c>
      <c r="G7853" s="3"/>
      <c r="H7853" s="4"/>
    </row>
    <row r="7854" ht="16.5" customHeight="1" spans="1:8">
      <c r="A7854" s="3">
        <v>7853</v>
      </c>
      <c r="B7854" s="3" t="s">
        <v>16982</v>
      </c>
      <c r="C7854" s="3" t="s">
        <v>2163</v>
      </c>
      <c r="D7854" s="4" t="s">
        <v>16983</v>
      </c>
      <c r="E7854" s="3" t="s">
        <v>1076</v>
      </c>
      <c r="F7854" s="3" t="s">
        <v>2041</v>
      </c>
      <c r="G7854" s="3"/>
      <c r="H7854" s="4" t="s">
        <v>16984</v>
      </c>
    </row>
    <row r="7855" ht="16.5" customHeight="1" spans="1:8">
      <c r="A7855" s="3">
        <v>7854</v>
      </c>
      <c r="B7855" s="3" t="s">
        <v>16985</v>
      </c>
      <c r="C7855" s="3" t="s">
        <v>2163</v>
      </c>
      <c r="D7855" s="4" t="s">
        <v>16986</v>
      </c>
      <c r="E7855" s="3" t="s">
        <v>1076</v>
      </c>
      <c r="F7855" s="3" t="s">
        <v>2041</v>
      </c>
      <c r="G7855" s="3"/>
      <c r="H7855" s="4" t="s">
        <v>16984</v>
      </c>
    </row>
    <row r="7856" ht="16.5" customHeight="1" spans="1:8">
      <c r="A7856" s="3">
        <v>7855</v>
      </c>
      <c r="B7856" s="3" t="s">
        <v>16987</v>
      </c>
      <c r="C7856" s="3" t="s">
        <v>2163</v>
      </c>
      <c r="D7856" s="4" t="s">
        <v>16988</v>
      </c>
      <c r="E7856" s="3" t="s">
        <v>1076</v>
      </c>
      <c r="F7856" s="3" t="s">
        <v>2041</v>
      </c>
      <c r="G7856" s="3"/>
      <c r="H7856" s="4" t="s">
        <v>16984</v>
      </c>
    </row>
    <row r="7857" ht="16.5" customHeight="1" spans="1:8">
      <c r="A7857" s="3">
        <v>7856</v>
      </c>
      <c r="B7857" s="3" t="s">
        <v>16989</v>
      </c>
      <c r="C7857" s="3" t="s">
        <v>2163</v>
      </c>
      <c r="D7857" s="4" t="s">
        <v>16990</v>
      </c>
      <c r="E7857" s="3" t="s">
        <v>1076</v>
      </c>
      <c r="F7857" s="3" t="s">
        <v>2041</v>
      </c>
      <c r="G7857" s="3"/>
      <c r="H7857" s="4" t="s">
        <v>16984</v>
      </c>
    </row>
    <row r="7858" ht="16.5" customHeight="1" spans="1:8">
      <c r="A7858" s="3">
        <v>7857</v>
      </c>
      <c r="B7858" s="3" t="s">
        <v>16991</v>
      </c>
      <c r="C7858" s="3" t="s">
        <v>1361</v>
      </c>
      <c r="D7858" s="4" t="s">
        <v>16992</v>
      </c>
      <c r="E7858" s="3" t="s">
        <v>1218</v>
      </c>
      <c r="F7858" s="3" t="s">
        <v>10943</v>
      </c>
      <c r="G7858" s="3"/>
      <c r="H7858" s="4"/>
    </row>
    <row r="7859" ht="16.5" customHeight="1" spans="1:8">
      <c r="A7859" s="3">
        <v>7858</v>
      </c>
      <c r="B7859" s="3" t="s">
        <v>16993</v>
      </c>
      <c r="C7859" s="3" t="s">
        <v>1361</v>
      </c>
      <c r="D7859" s="4" t="s">
        <v>16994</v>
      </c>
      <c r="E7859" s="3" t="s">
        <v>1218</v>
      </c>
      <c r="F7859" s="3" t="s">
        <v>10943</v>
      </c>
      <c r="G7859" s="3"/>
      <c r="H7859" s="4"/>
    </row>
    <row r="7860" ht="16.5" customHeight="1" spans="1:8">
      <c r="A7860" s="3">
        <v>7859</v>
      </c>
      <c r="B7860" s="3" t="s">
        <v>16995</v>
      </c>
      <c r="C7860" s="3" t="s">
        <v>1361</v>
      </c>
      <c r="D7860" s="4" t="s">
        <v>16996</v>
      </c>
      <c r="E7860" s="3" t="s">
        <v>1218</v>
      </c>
      <c r="F7860" s="3" t="s">
        <v>10943</v>
      </c>
      <c r="G7860" s="3"/>
      <c r="H7860" s="4"/>
    </row>
    <row r="7861" ht="16.5" customHeight="1" spans="1:8">
      <c r="A7861" s="3">
        <v>7860</v>
      </c>
      <c r="B7861" s="3" t="s">
        <v>16997</v>
      </c>
      <c r="C7861" s="3" t="s">
        <v>1361</v>
      </c>
      <c r="D7861" s="4" t="s">
        <v>16998</v>
      </c>
      <c r="E7861" s="3" t="s">
        <v>1218</v>
      </c>
      <c r="F7861" s="3" t="s">
        <v>10943</v>
      </c>
      <c r="G7861" s="3"/>
      <c r="H7861" s="4"/>
    </row>
    <row r="7862" ht="16.5" customHeight="1" spans="1:8">
      <c r="A7862" s="3">
        <v>7861</v>
      </c>
      <c r="B7862" s="3" t="s">
        <v>16999</v>
      </c>
      <c r="C7862" s="3" t="s">
        <v>1361</v>
      </c>
      <c r="D7862" s="4" t="s">
        <v>17000</v>
      </c>
      <c r="E7862" s="3" t="s">
        <v>1218</v>
      </c>
      <c r="F7862" s="3" t="s">
        <v>10943</v>
      </c>
      <c r="G7862" s="3"/>
      <c r="H7862" s="4"/>
    </row>
    <row r="7863" ht="16.5" customHeight="1" spans="1:8">
      <c r="A7863" s="3">
        <v>7862</v>
      </c>
      <c r="B7863" s="3" t="s">
        <v>17001</v>
      </c>
      <c r="C7863" s="3" t="s">
        <v>2163</v>
      </c>
      <c r="D7863" s="4" t="s">
        <v>17002</v>
      </c>
      <c r="E7863" s="3" t="s">
        <v>2726</v>
      </c>
      <c r="F7863" s="3" t="s">
        <v>2041</v>
      </c>
      <c r="G7863" s="3"/>
      <c r="H7863" s="4" t="s">
        <v>16984</v>
      </c>
    </row>
    <row r="7864" ht="16.5" customHeight="1" spans="1:8">
      <c r="A7864" s="3">
        <v>7863</v>
      </c>
      <c r="B7864" s="3" t="s">
        <v>17003</v>
      </c>
      <c r="C7864" s="3" t="s">
        <v>1361</v>
      </c>
      <c r="D7864" s="4" t="s">
        <v>17004</v>
      </c>
      <c r="E7864" s="3" t="s">
        <v>1218</v>
      </c>
      <c r="F7864" s="3" t="s">
        <v>10943</v>
      </c>
      <c r="G7864" s="3"/>
      <c r="H7864" s="4"/>
    </row>
    <row r="7865" ht="16.5" customHeight="1" spans="1:8">
      <c r="A7865" s="3">
        <v>7864</v>
      </c>
      <c r="B7865" s="3" t="s">
        <v>17005</v>
      </c>
      <c r="C7865" s="3" t="s">
        <v>1361</v>
      </c>
      <c r="D7865" s="4" t="s">
        <v>17006</v>
      </c>
      <c r="E7865" s="3" t="s">
        <v>1218</v>
      </c>
      <c r="F7865" s="3" t="s">
        <v>10943</v>
      </c>
      <c r="G7865" s="3"/>
      <c r="H7865" s="4"/>
    </row>
    <row r="7866" ht="16.5" customHeight="1" spans="1:8">
      <c r="A7866" s="3">
        <v>7865</v>
      </c>
      <c r="B7866" s="3" t="s">
        <v>17007</v>
      </c>
      <c r="C7866" s="3" t="s">
        <v>2163</v>
      </c>
      <c r="D7866" s="4" t="s">
        <v>17008</v>
      </c>
      <c r="E7866" s="3" t="s">
        <v>3093</v>
      </c>
      <c r="F7866" s="3" t="s">
        <v>2041</v>
      </c>
      <c r="G7866" s="3"/>
      <c r="H7866" s="4" t="s">
        <v>16984</v>
      </c>
    </row>
    <row r="7867" ht="16.5" customHeight="1" spans="1:8">
      <c r="A7867" s="3">
        <v>7866</v>
      </c>
      <c r="B7867" s="3" t="s">
        <v>17009</v>
      </c>
      <c r="C7867" s="3" t="s">
        <v>2163</v>
      </c>
      <c r="D7867" s="4" t="s">
        <v>17010</v>
      </c>
      <c r="E7867" s="3" t="s">
        <v>1076</v>
      </c>
      <c r="F7867" s="3" t="s">
        <v>2041</v>
      </c>
      <c r="G7867" s="3"/>
      <c r="H7867" s="4" t="s">
        <v>16984</v>
      </c>
    </row>
    <row r="7868" ht="16.5" customHeight="1" spans="1:8">
      <c r="A7868" s="3">
        <v>7867</v>
      </c>
      <c r="B7868" s="3" t="s">
        <v>17011</v>
      </c>
      <c r="C7868" s="3" t="s">
        <v>2163</v>
      </c>
      <c r="D7868" s="4" t="s">
        <v>17012</v>
      </c>
      <c r="E7868" s="3" t="s">
        <v>1076</v>
      </c>
      <c r="F7868" s="3" t="s">
        <v>2041</v>
      </c>
      <c r="G7868" s="3"/>
      <c r="H7868" s="4" t="s">
        <v>16984</v>
      </c>
    </row>
    <row r="7869" ht="16.5" customHeight="1" spans="1:8">
      <c r="A7869" s="3">
        <v>7868</v>
      </c>
      <c r="B7869" s="3" t="s">
        <v>17013</v>
      </c>
      <c r="C7869" s="3" t="s">
        <v>2163</v>
      </c>
      <c r="D7869" s="4" t="s">
        <v>17014</v>
      </c>
      <c r="E7869" s="3" t="s">
        <v>3093</v>
      </c>
      <c r="F7869" s="3" t="s">
        <v>2041</v>
      </c>
      <c r="G7869" s="3"/>
      <c r="H7869" s="4" t="s">
        <v>16984</v>
      </c>
    </row>
    <row r="7870" ht="16.5" customHeight="1" spans="1:8">
      <c r="A7870" s="3">
        <v>7869</v>
      </c>
      <c r="B7870" s="3" t="s">
        <v>17015</v>
      </c>
      <c r="C7870" s="3" t="s">
        <v>1074</v>
      </c>
      <c r="D7870" s="4" t="s">
        <v>17016</v>
      </c>
      <c r="E7870" s="3" t="s">
        <v>15175</v>
      </c>
      <c r="F7870" s="3" t="s">
        <v>10943</v>
      </c>
      <c r="G7870" s="3"/>
      <c r="H7870" s="4" t="s">
        <v>4322</v>
      </c>
    </row>
    <row r="7871" ht="16.5" customHeight="1" spans="1:8">
      <c r="A7871" s="3">
        <v>7870</v>
      </c>
      <c r="B7871" s="3" t="s">
        <v>17017</v>
      </c>
      <c r="C7871" s="3" t="s">
        <v>1361</v>
      </c>
      <c r="D7871" s="4" t="s">
        <v>17018</v>
      </c>
      <c r="E7871" s="3" t="s">
        <v>2056</v>
      </c>
      <c r="F7871" s="3" t="s">
        <v>10943</v>
      </c>
      <c r="G7871" s="3"/>
      <c r="H7871" s="4"/>
    </row>
    <row r="7872" ht="16.5" customHeight="1" spans="1:8">
      <c r="A7872" s="3">
        <v>7871</v>
      </c>
      <c r="B7872" s="3" t="s">
        <v>17019</v>
      </c>
      <c r="C7872" s="3" t="s">
        <v>1361</v>
      </c>
      <c r="D7872" s="4" t="s">
        <v>17020</v>
      </c>
      <c r="E7872" s="3" t="s">
        <v>2056</v>
      </c>
      <c r="F7872" s="3" t="s">
        <v>10943</v>
      </c>
      <c r="G7872" s="3"/>
      <c r="H7872" s="4"/>
    </row>
    <row r="7873" ht="16.5" customHeight="1" spans="1:8">
      <c r="A7873" s="3">
        <v>7872</v>
      </c>
      <c r="B7873" s="3" t="s">
        <v>17021</v>
      </c>
      <c r="C7873" s="3" t="s">
        <v>1361</v>
      </c>
      <c r="D7873" s="4" t="s">
        <v>17022</v>
      </c>
      <c r="E7873" s="3" t="s">
        <v>2056</v>
      </c>
      <c r="F7873" s="3" t="s">
        <v>10943</v>
      </c>
      <c r="G7873" s="3"/>
      <c r="H7873" s="4"/>
    </row>
    <row r="7874" ht="16.5" customHeight="1" spans="1:8">
      <c r="A7874" s="3">
        <v>7873</v>
      </c>
      <c r="B7874" s="3" t="s">
        <v>17023</v>
      </c>
      <c r="C7874" s="3" t="s">
        <v>1361</v>
      </c>
      <c r="D7874" s="4" t="s">
        <v>17024</v>
      </c>
      <c r="E7874" s="3" t="s">
        <v>2056</v>
      </c>
      <c r="F7874" s="3" t="s">
        <v>10943</v>
      </c>
      <c r="G7874" s="3"/>
      <c r="H7874" s="4"/>
    </row>
    <row r="7875" ht="16.5" customHeight="1" spans="1:8">
      <c r="A7875" s="3">
        <v>7874</v>
      </c>
      <c r="B7875" s="3" t="s">
        <v>17025</v>
      </c>
      <c r="C7875" s="3" t="s">
        <v>1361</v>
      </c>
      <c r="D7875" s="4" t="s">
        <v>17026</v>
      </c>
      <c r="E7875" s="3" t="s">
        <v>2056</v>
      </c>
      <c r="F7875" s="3" t="s">
        <v>10943</v>
      </c>
      <c r="G7875" s="3"/>
      <c r="H7875" s="4"/>
    </row>
    <row r="7876" ht="16.5" customHeight="1" spans="1:8">
      <c r="A7876" s="3">
        <v>7875</v>
      </c>
      <c r="B7876" s="3" t="s">
        <v>17027</v>
      </c>
      <c r="C7876" s="3" t="s">
        <v>1361</v>
      </c>
      <c r="D7876" s="4" t="s">
        <v>17028</v>
      </c>
      <c r="E7876" s="3" t="s">
        <v>2056</v>
      </c>
      <c r="F7876" s="3" t="s">
        <v>10943</v>
      </c>
      <c r="G7876" s="3"/>
      <c r="H7876" s="4"/>
    </row>
    <row r="7877" ht="16.5" customHeight="1" spans="1:8">
      <c r="A7877" s="3">
        <v>7876</v>
      </c>
      <c r="B7877" s="3" t="s">
        <v>17029</v>
      </c>
      <c r="C7877" s="3" t="s">
        <v>1361</v>
      </c>
      <c r="D7877" s="4" t="s">
        <v>17030</v>
      </c>
      <c r="E7877" s="3" t="s">
        <v>2056</v>
      </c>
      <c r="F7877" s="3" t="s">
        <v>10943</v>
      </c>
      <c r="G7877" s="3"/>
      <c r="H7877" s="4"/>
    </row>
    <row r="7878" ht="16.5" customHeight="1" spans="1:8">
      <c r="A7878" s="3">
        <v>7877</v>
      </c>
      <c r="B7878" s="3" t="s">
        <v>17031</v>
      </c>
      <c r="C7878" s="3" t="s">
        <v>2163</v>
      </c>
      <c r="D7878" s="4" t="s">
        <v>17032</v>
      </c>
      <c r="E7878" s="3" t="s">
        <v>2726</v>
      </c>
      <c r="F7878" s="3" t="s">
        <v>2041</v>
      </c>
      <c r="G7878" s="3"/>
      <c r="H7878" s="4"/>
    </row>
    <row r="7879" ht="16.5" customHeight="1" spans="1:8">
      <c r="A7879" s="3">
        <v>7878</v>
      </c>
      <c r="B7879" s="3" t="s">
        <v>17033</v>
      </c>
      <c r="C7879" s="3" t="s">
        <v>2163</v>
      </c>
      <c r="D7879" s="4" t="s">
        <v>17034</v>
      </c>
      <c r="E7879" s="3" t="s">
        <v>2726</v>
      </c>
      <c r="F7879" s="3" t="s">
        <v>10943</v>
      </c>
      <c r="G7879" s="3"/>
      <c r="H7879" s="4" t="s">
        <v>16984</v>
      </c>
    </row>
    <row r="7880" ht="16.5" customHeight="1" spans="1:8">
      <c r="A7880" s="3">
        <v>7879</v>
      </c>
      <c r="B7880" s="3" t="s">
        <v>17035</v>
      </c>
      <c r="C7880" s="3" t="s">
        <v>1074</v>
      </c>
      <c r="D7880" s="4" t="s">
        <v>17036</v>
      </c>
      <c r="E7880" s="3" t="s">
        <v>1218</v>
      </c>
      <c r="F7880" s="3" t="s">
        <v>10943</v>
      </c>
      <c r="G7880" s="3"/>
      <c r="H7880" s="4"/>
    </row>
    <row r="7881" ht="16.5" customHeight="1" spans="1:8">
      <c r="A7881" s="3">
        <v>7880</v>
      </c>
      <c r="B7881" s="3" t="s">
        <v>17037</v>
      </c>
      <c r="C7881" s="3" t="s">
        <v>2163</v>
      </c>
      <c r="D7881" s="4" t="s">
        <v>17038</v>
      </c>
      <c r="E7881" s="3" t="s">
        <v>2726</v>
      </c>
      <c r="F7881" s="3" t="s">
        <v>10943</v>
      </c>
      <c r="G7881" s="3"/>
      <c r="H7881" s="4"/>
    </row>
    <row r="7882" ht="16.5" customHeight="1" spans="1:8">
      <c r="A7882" s="3">
        <v>7881</v>
      </c>
      <c r="B7882" s="3" t="s">
        <v>17039</v>
      </c>
      <c r="C7882" s="3" t="s">
        <v>2163</v>
      </c>
      <c r="D7882" s="4" t="s">
        <v>17040</v>
      </c>
      <c r="E7882" s="3" t="s">
        <v>1076</v>
      </c>
      <c r="F7882" s="3" t="s">
        <v>2041</v>
      </c>
      <c r="G7882" s="3"/>
      <c r="H7882" s="4" t="s">
        <v>4322</v>
      </c>
    </row>
    <row r="7883" ht="16.5" customHeight="1" spans="1:8">
      <c r="A7883" s="3">
        <v>7882</v>
      </c>
      <c r="B7883" s="3" t="s">
        <v>17041</v>
      </c>
      <c r="C7883" s="3" t="s">
        <v>2163</v>
      </c>
      <c r="D7883" s="4" t="s">
        <v>17042</v>
      </c>
      <c r="E7883" s="3" t="s">
        <v>1076</v>
      </c>
      <c r="F7883" s="3" t="s">
        <v>10943</v>
      </c>
      <c r="G7883" s="3"/>
      <c r="H7883" s="4" t="s">
        <v>7468</v>
      </c>
    </row>
    <row r="7884" ht="16.5" customHeight="1" spans="1:8">
      <c r="A7884" s="3">
        <v>7883</v>
      </c>
      <c r="B7884" s="3" t="s">
        <v>17043</v>
      </c>
      <c r="C7884" s="3" t="s">
        <v>2163</v>
      </c>
      <c r="D7884" s="4" t="s">
        <v>17044</v>
      </c>
      <c r="E7884" s="3" t="s">
        <v>1076</v>
      </c>
      <c r="F7884" s="3" t="s">
        <v>10943</v>
      </c>
      <c r="G7884" s="3"/>
      <c r="H7884" s="4" t="s">
        <v>7468</v>
      </c>
    </row>
    <row r="7885" ht="16.5" customHeight="1" spans="1:8">
      <c r="A7885" s="3">
        <v>7884</v>
      </c>
      <c r="B7885" s="3" t="s">
        <v>17045</v>
      </c>
      <c r="C7885" s="3" t="s">
        <v>2163</v>
      </c>
      <c r="D7885" s="4" t="s">
        <v>17046</v>
      </c>
      <c r="E7885" s="3" t="s">
        <v>1076</v>
      </c>
      <c r="F7885" s="3" t="s">
        <v>10943</v>
      </c>
      <c r="G7885" s="3"/>
      <c r="H7885" s="4" t="s">
        <v>7468</v>
      </c>
    </row>
    <row r="7886" ht="16.5" customHeight="1" spans="1:8">
      <c r="A7886" s="3">
        <v>7885</v>
      </c>
      <c r="B7886" s="3" t="s">
        <v>17047</v>
      </c>
      <c r="C7886" s="3" t="s">
        <v>2163</v>
      </c>
      <c r="D7886" s="4" t="s">
        <v>17048</v>
      </c>
      <c r="E7886" s="3" t="s">
        <v>1076</v>
      </c>
      <c r="F7886" s="3" t="s">
        <v>10943</v>
      </c>
      <c r="G7886" s="3"/>
      <c r="H7886" s="4" t="s">
        <v>7468</v>
      </c>
    </row>
    <row r="7887" ht="16.5" customHeight="1" spans="1:8">
      <c r="A7887" s="3">
        <v>7886</v>
      </c>
      <c r="B7887" s="3" t="s">
        <v>17049</v>
      </c>
      <c r="C7887" s="3" t="s">
        <v>2163</v>
      </c>
      <c r="D7887" s="4" t="s">
        <v>17050</v>
      </c>
      <c r="E7887" s="3" t="s">
        <v>1076</v>
      </c>
      <c r="F7887" s="3" t="s">
        <v>10943</v>
      </c>
      <c r="G7887" s="3"/>
      <c r="H7887" s="4" t="s">
        <v>7468</v>
      </c>
    </row>
    <row r="7888" ht="16.5" customHeight="1" spans="1:8">
      <c r="A7888" s="3">
        <v>7887</v>
      </c>
      <c r="B7888" s="3" t="s">
        <v>17051</v>
      </c>
      <c r="C7888" s="3" t="s">
        <v>2163</v>
      </c>
      <c r="D7888" s="4" t="s">
        <v>17052</v>
      </c>
      <c r="E7888" s="3" t="s">
        <v>1076</v>
      </c>
      <c r="F7888" s="3" t="s">
        <v>10943</v>
      </c>
      <c r="G7888" s="3"/>
      <c r="H7888" s="4" t="s">
        <v>7468</v>
      </c>
    </row>
    <row r="7889" ht="16.5" customHeight="1" spans="1:8">
      <c r="A7889" s="3">
        <v>7888</v>
      </c>
      <c r="B7889" s="3" t="s">
        <v>17053</v>
      </c>
      <c r="C7889" s="3" t="s">
        <v>2163</v>
      </c>
      <c r="D7889" s="4" t="s">
        <v>17054</v>
      </c>
      <c r="E7889" s="3" t="s">
        <v>1076</v>
      </c>
      <c r="F7889" s="3" t="s">
        <v>10943</v>
      </c>
      <c r="G7889" s="3"/>
      <c r="H7889" s="4" t="s">
        <v>7468</v>
      </c>
    </row>
    <row r="7890" ht="16.5" customHeight="1" spans="1:8">
      <c r="A7890" s="3">
        <v>7889</v>
      </c>
      <c r="B7890" s="3" t="s">
        <v>17055</v>
      </c>
      <c r="C7890" s="3" t="s">
        <v>1074</v>
      </c>
      <c r="D7890" s="4" t="s">
        <v>17056</v>
      </c>
      <c r="E7890" s="3" t="s">
        <v>5779</v>
      </c>
      <c r="F7890" s="3" t="s">
        <v>10259</v>
      </c>
      <c r="G7890" s="3"/>
      <c r="H7890" s="4" t="s">
        <v>7502</v>
      </c>
    </row>
    <row r="7891" ht="16.5" customHeight="1" spans="1:8">
      <c r="A7891" s="3">
        <v>7890</v>
      </c>
      <c r="B7891" s="3" t="s">
        <v>17057</v>
      </c>
      <c r="C7891" s="3" t="s">
        <v>2163</v>
      </c>
      <c r="D7891" s="4" t="s">
        <v>17058</v>
      </c>
      <c r="E7891" s="3" t="s">
        <v>1076</v>
      </c>
      <c r="F7891" s="3" t="s">
        <v>10943</v>
      </c>
      <c r="G7891" s="3"/>
      <c r="H7891" s="4" t="s">
        <v>7468</v>
      </c>
    </row>
    <row r="7892" ht="16.5" customHeight="1" spans="1:8">
      <c r="A7892" s="3">
        <v>7891</v>
      </c>
      <c r="B7892" s="3" t="s">
        <v>17059</v>
      </c>
      <c r="C7892" s="3" t="s">
        <v>2163</v>
      </c>
      <c r="D7892" s="4" t="s">
        <v>17060</v>
      </c>
      <c r="E7892" s="3" t="s">
        <v>1076</v>
      </c>
      <c r="F7892" s="3" t="s">
        <v>10943</v>
      </c>
      <c r="G7892" s="3"/>
      <c r="H7892" s="4" t="s">
        <v>7468</v>
      </c>
    </row>
    <row r="7893" ht="16.5" customHeight="1" spans="1:8">
      <c r="A7893" s="3">
        <v>7892</v>
      </c>
      <c r="B7893" s="3" t="s">
        <v>17061</v>
      </c>
      <c r="C7893" s="3" t="s">
        <v>2163</v>
      </c>
      <c r="D7893" s="4" t="s">
        <v>17062</v>
      </c>
      <c r="E7893" s="3" t="s">
        <v>5779</v>
      </c>
      <c r="F7893" s="3" t="s">
        <v>10943</v>
      </c>
      <c r="G7893" s="3"/>
      <c r="H7893" s="4" t="s">
        <v>7468</v>
      </c>
    </row>
    <row r="7894" ht="16.5" customHeight="1" spans="1:8">
      <c r="A7894" s="3">
        <v>7893</v>
      </c>
      <c r="B7894" s="3" t="s">
        <v>17063</v>
      </c>
      <c r="C7894" s="3" t="s">
        <v>2163</v>
      </c>
      <c r="D7894" s="4" t="s">
        <v>17064</v>
      </c>
      <c r="E7894" s="3" t="s">
        <v>5779</v>
      </c>
      <c r="F7894" s="3" t="s">
        <v>10943</v>
      </c>
      <c r="G7894" s="3"/>
      <c r="H7894" s="4" t="s">
        <v>7468</v>
      </c>
    </row>
    <row r="7895" ht="16.5" customHeight="1" spans="1:8">
      <c r="A7895" s="3">
        <v>7894</v>
      </c>
      <c r="B7895" s="3" t="s">
        <v>17065</v>
      </c>
      <c r="C7895" s="3" t="s">
        <v>1074</v>
      </c>
      <c r="D7895" s="4" t="s">
        <v>496</v>
      </c>
      <c r="E7895" s="3" t="s">
        <v>1164</v>
      </c>
      <c r="F7895" s="3" t="s">
        <v>10259</v>
      </c>
      <c r="G7895" s="3"/>
      <c r="H7895" s="4" t="s">
        <v>4322</v>
      </c>
    </row>
    <row r="7896" ht="16.5" customHeight="1" spans="1:8">
      <c r="A7896" s="3">
        <v>7895</v>
      </c>
      <c r="B7896" s="3" t="s">
        <v>17066</v>
      </c>
      <c r="C7896" s="3" t="s">
        <v>6377</v>
      </c>
      <c r="D7896" s="4" t="s">
        <v>17067</v>
      </c>
      <c r="E7896" s="3" t="s">
        <v>15175</v>
      </c>
      <c r="F7896" s="3" t="s">
        <v>10259</v>
      </c>
      <c r="G7896" s="3" t="s">
        <v>321</v>
      </c>
      <c r="H7896" s="4" t="s">
        <v>4322</v>
      </c>
    </row>
    <row r="7897" ht="16.5" customHeight="1" spans="1:8">
      <c r="A7897" s="3">
        <v>7896</v>
      </c>
      <c r="B7897" s="3" t="s">
        <v>17068</v>
      </c>
      <c r="C7897" s="3" t="s">
        <v>1361</v>
      </c>
      <c r="D7897" s="4" t="s">
        <v>17069</v>
      </c>
      <c r="E7897" s="3" t="s">
        <v>12858</v>
      </c>
      <c r="F7897" s="3" t="s">
        <v>10943</v>
      </c>
      <c r="G7897" s="3"/>
      <c r="H7897" s="4"/>
    </row>
    <row r="7898" ht="16.5" customHeight="1" spans="1:8">
      <c r="A7898" s="3">
        <v>7897</v>
      </c>
      <c r="B7898" s="3" t="s">
        <v>17070</v>
      </c>
      <c r="C7898" s="3" t="s">
        <v>1361</v>
      </c>
      <c r="D7898" s="4" t="s">
        <v>17071</v>
      </c>
      <c r="E7898" s="3" t="s">
        <v>12858</v>
      </c>
      <c r="F7898" s="3" t="s">
        <v>10943</v>
      </c>
      <c r="G7898" s="3"/>
      <c r="H7898" s="4" t="s">
        <v>7468</v>
      </c>
    </row>
    <row r="7899" ht="16.5" customHeight="1" spans="1:8">
      <c r="A7899" s="3">
        <v>7898</v>
      </c>
      <c r="B7899" s="3" t="s">
        <v>17072</v>
      </c>
      <c r="C7899" s="3" t="s">
        <v>1361</v>
      </c>
      <c r="D7899" s="4" t="s">
        <v>17073</v>
      </c>
      <c r="E7899" s="3" t="s">
        <v>12858</v>
      </c>
      <c r="F7899" s="3" t="s">
        <v>10943</v>
      </c>
      <c r="G7899" s="3"/>
      <c r="H7899" s="4" t="s">
        <v>7468</v>
      </c>
    </row>
    <row r="7900" ht="16.5" customHeight="1" spans="1:8">
      <c r="A7900" s="3">
        <v>7899</v>
      </c>
      <c r="B7900" s="3" t="s">
        <v>17074</v>
      </c>
      <c r="C7900" s="3" t="s">
        <v>1361</v>
      </c>
      <c r="D7900" s="4" t="s">
        <v>17075</v>
      </c>
      <c r="E7900" s="3" t="s">
        <v>12858</v>
      </c>
      <c r="F7900" s="3" t="s">
        <v>10943</v>
      </c>
      <c r="G7900" s="3"/>
      <c r="H7900" s="4" t="s">
        <v>7468</v>
      </c>
    </row>
    <row r="7901" ht="16.5" customHeight="1" spans="1:8">
      <c r="A7901" s="3">
        <v>7900</v>
      </c>
      <c r="B7901" s="3" t="s">
        <v>17076</v>
      </c>
      <c r="C7901" s="3" t="s">
        <v>1361</v>
      </c>
      <c r="D7901" s="4" t="s">
        <v>17077</v>
      </c>
      <c r="E7901" s="3" t="s">
        <v>12858</v>
      </c>
      <c r="F7901" s="3" t="s">
        <v>10943</v>
      </c>
      <c r="G7901" s="3"/>
      <c r="H7901" s="4" t="s">
        <v>7468</v>
      </c>
    </row>
    <row r="7902" ht="16.5" customHeight="1" spans="1:8">
      <c r="A7902" s="3">
        <v>7901</v>
      </c>
      <c r="B7902" s="3" t="s">
        <v>17078</v>
      </c>
      <c r="C7902" s="3" t="s">
        <v>1361</v>
      </c>
      <c r="D7902" s="4" t="s">
        <v>17079</v>
      </c>
      <c r="E7902" s="3" t="s">
        <v>12858</v>
      </c>
      <c r="F7902" s="3" t="s">
        <v>10943</v>
      </c>
      <c r="G7902" s="3"/>
      <c r="H7902" s="4" t="s">
        <v>7468</v>
      </c>
    </row>
    <row r="7903" ht="16.5" customHeight="1" spans="1:8">
      <c r="A7903" s="3">
        <v>7902</v>
      </c>
      <c r="B7903" s="3" t="s">
        <v>17080</v>
      </c>
      <c r="C7903" s="3" t="s">
        <v>1361</v>
      </c>
      <c r="D7903" s="4" t="s">
        <v>17081</v>
      </c>
      <c r="E7903" s="3" t="s">
        <v>1218</v>
      </c>
      <c r="F7903" s="3" t="s">
        <v>10943</v>
      </c>
      <c r="G7903" s="3"/>
      <c r="H7903" s="4"/>
    </row>
    <row r="7904" ht="16.5" customHeight="1" spans="1:8">
      <c r="A7904" s="3">
        <v>7903</v>
      </c>
      <c r="B7904" s="3" t="s">
        <v>17082</v>
      </c>
      <c r="C7904" s="3" t="s">
        <v>1361</v>
      </c>
      <c r="D7904" s="4" t="s">
        <v>17083</v>
      </c>
      <c r="E7904" s="3" t="s">
        <v>12858</v>
      </c>
      <c r="F7904" s="3" t="s">
        <v>10943</v>
      </c>
      <c r="G7904" s="3"/>
      <c r="H7904" s="4" t="s">
        <v>7468</v>
      </c>
    </row>
    <row r="7905" ht="16.5" customHeight="1" spans="1:8">
      <c r="A7905" s="3">
        <v>7904</v>
      </c>
      <c r="B7905" s="3" t="s">
        <v>17084</v>
      </c>
      <c r="C7905" s="3" t="s">
        <v>1361</v>
      </c>
      <c r="D7905" s="4" t="s">
        <v>17081</v>
      </c>
      <c r="E7905" s="3" t="s">
        <v>12858</v>
      </c>
      <c r="F7905" s="3" t="s">
        <v>10943</v>
      </c>
      <c r="G7905" s="3"/>
      <c r="H7905" s="4" t="s">
        <v>7468</v>
      </c>
    </row>
    <row r="7906" ht="16.5" customHeight="1" spans="1:8">
      <c r="A7906" s="3">
        <v>7905</v>
      </c>
      <c r="B7906" s="3" t="s">
        <v>17085</v>
      </c>
      <c r="C7906" s="3" t="s">
        <v>1361</v>
      </c>
      <c r="D7906" s="4" t="s">
        <v>17086</v>
      </c>
      <c r="E7906" s="3" t="s">
        <v>12858</v>
      </c>
      <c r="F7906" s="3" t="s">
        <v>10943</v>
      </c>
      <c r="G7906" s="3"/>
      <c r="H7906" s="4"/>
    </row>
    <row r="7907" ht="16.5" customHeight="1" spans="1:8">
      <c r="A7907" s="3">
        <v>7906</v>
      </c>
      <c r="B7907" s="3" t="s">
        <v>17087</v>
      </c>
      <c r="C7907" s="3" t="s">
        <v>2163</v>
      </c>
      <c r="D7907" s="4" t="s">
        <v>17088</v>
      </c>
      <c r="E7907" s="3" t="s">
        <v>2726</v>
      </c>
      <c r="F7907" s="3" t="s">
        <v>2041</v>
      </c>
      <c r="G7907" s="3"/>
      <c r="H7907" s="4" t="s">
        <v>1305</v>
      </c>
    </row>
    <row r="7908" ht="16.5" customHeight="1" spans="1:8">
      <c r="A7908" s="3">
        <v>7907</v>
      </c>
      <c r="B7908" s="3" t="s">
        <v>17089</v>
      </c>
      <c r="C7908" s="3" t="s">
        <v>2163</v>
      </c>
      <c r="D7908" s="4" t="s">
        <v>17090</v>
      </c>
      <c r="E7908" s="3" t="s">
        <v>3093</v>
      </c>
      <c r="F7908" s="3" t="s">
        <v>2041</v>
      </c>
      <c r="G7908" s="3"/>
      <c r="H7908" s="4" t="s">
        <v>4322</v>
      </c>
    </row>
    <row r="7909" ht="16.5" customHeight="1" spans="1:8">
      <c r="A7909" s="3">
        <v>7908</v>
      </c>
      <c r="B7909" s="3" t="s">
        <v>17091</v>
      </c>
      <c r="C7909" s="3" t="s">
        <v>1105</v>
      </c>
      <c r="D7909" s="4" t="s">
        <v>17092</v>
      </c>
      <c r="E7909" s="3" t="s">
        <v>1218</v>
      </c>
      <c r="F7909" s="3" t="s">
        <v>2041</v>
      </c>
      <c r="G7909" s="3"/>
      <c r="H7909" s="4" t="s">
        <v>17093</v>
      </c>
    </row>
    <row r="7910" ht="16.5" customHeight="1" spans="1:8">
      <c r="A7910" s="3">
        <v>7909</v>
      </c>
      <c r="B7910" s="3" t="s">
        <v>650</v>
      </c>
      <c r="C7910" s="3" t="s">
        <v>6377</v>
      </c>
      <c r="D7910" s="4" t="s">
        <v>17094</v>
      </c>
      <c r="E7910" s="3" t="s">
        <v>1218</v>
      </c>
      <c r="F7910" s="3" t="s">
        <v>10259</v>
      </c>
      <c r="G7910" s="3"/>
      <c r="H7910" s="4" t="s">
        <v>7240</v>
      </c>
    </row>
    <row r="7911" ht="16.5" customHeight="1" spans="1:8">
      <c r="A7911" s="3">
        <v>7910</v>
      </c>
      <c r="B7911" s="3" t="s">
        <v>664</v>
      </c>
      <c r="C7911" s="3" t="s">
        <v>1356</v>
      </c>
      <c r="D7911" s="4" t="s">
        <v>17095</v>
      </c>
      <c r="E7911" s="3" t="s">
        <v>1164</v>
      </c>
      <c r="F7911" s="3" t="s">
        <v>2041</v>
      </c>
      <c r="G7911" s="3"/>
      <c r="H7911" s="4" t="s">
        <v>4322</v>
      </c>
    </row>
    <row r="7912" ht="16.5" customHeight="1" spans="1:8">
      <c r="A7912" s="3">
        <v>7911</v>
      </c>
      <c r="B7912" s="3" t="s">
        <v>17096</v>
      </c>
      <c r="C7912" s="3" t="s">
        <v>1361</v>
      </c>
      <c r="D7912" s="4" t="s">
        <v>17097</v>
      </c>
      <c r="E7912" s="3" t="s">
        <v>1218</v>
      </c>
      <c r="F7912" s="3" t="s">
        <v>10943</v>
      </c>
      <c r="G7912" s="3"/>
      <c r="H7912" s="4"/>
    </row>
    <row r="7913" ht="16.5" customHeight="1" spans="1:8">
      <c r="A7913" s="3">
        <v>7912</v>
      </c>
      <c r="B7913" s="3" t="s">
        <v>17098</v>
      </c>
      <c r="C7913" s="3" t="s">
        <v>1361</v>
      </c>
      <c r="D7913" s="4" t="s">
        <v>17099</v>
      </c>
      <c r="E7913" s="3" t="s">
        <v>1218</v>
      </c>
      <c r="F7913" s="3" t="s">
        <v>10943</v>
      </c>
      <c r="G7913" s="3"/>
      <c r="H7913" s="4"/>
    </row>
    <row r="7914" ht="16.5" customHeight="1" spans="1:8">
      <c r="A7914" s="3">
        <v>7913</v>
      </c>
      <c r="B7914" s="3" t="s">
        <v>17100</v>
      </c>
      <c r="C7914" s="3" t="s">
        <v>1361</v>
      </c>
      <c r="D7914" s="4" t="s">
        <v>17101</v>
      </c>
      <c r="E7914" s="3" t="s">
        <v>1218</v>
      </c>
      <c r="F7914" s="3" t="s">
        <v>10943</v>
      </c>
      <c r="G7914" s="3"/>
      <c r="H7914" s="4"/>
    </row>
    <row r="7915" ht="16.5" customHeight="1" spans="1:8">
      <c r="A7915" s="3">
        <v>7914</v>
      </c>
      <c r="B7915" s="3" t="s">
        <v>17102</v>
      </c>
      <c r="C7915" s="3" t="s">
        <v>1361</v>
      </c>
      <c r="D7915" s="4" t="s">
        <v>17103</v>
      </c>
      <c r="E7915" s="3" t="s">
        <v>1218</v>
      </c>
      <c r="F7915" s="3" t="s">
        <v>10943</v>
      </c>
      <c r="G7915" s="3"/>
      <c r="H7915" s="4"/>
    </row>
    <row r="7916" ht="16.5" customHeight="1" spans="1:8">
      <c r="A7916" s="3">
        <v>7915</v>
      </c>
      <c r="B7916" s="3" t="s">
        <v>17104</v>
      </c>
      <c r="C7916" s="3" t="s">
        <v>1361</v>
      </c>
      <c r="D7916" s="4" t="s">
        <v>17105</v>
      </c>
      <c r="E7916" s="3" t="s">
        <v>1218</v>
      </c>
      <c r="F7916" s="3" t="s">
        <v>10943</v>
      </c>
      <c r="G7916" s="3"/>
      <c r="H7916" s="4"/>
    </row>
    <row r="7917" ht="16.5" customHeight="1" spans="1:8">
      <c r="A7917" s="3">
        <v>7916</v>
      </c>
      <c r="B7917" s="3" t="s">
        <v>17106</v>
      </c>
      <c r="C7917" s="3" t="s">
        <v>1361</v>
      </c>
      <c r="D7917" s="4" t="s">
        <v>17107</v>
      </c>
      <c r="E7917" s="3" t="s">
        <v>1218</v>
      </c>
      <c r="F7917" s="3" t="s">
        <v>10943</v>
      </c>
      <c r="G7917" s="3"/>
      <c r="H7917" s="4"/>
    </row>
    <row r="7918" ht="16.5" customHeight="1" spans="1:8">
      <c r="A7918" s="3">
        <v>7917</v>
      </c>
      <c r="B7918" s="3" t="s">
        <v>17108</v>
      </c>
      <c r="C7918" s="3" t="s">
        <v>1361</v>
      </c>
      <c r="D7918" s="4" t="s">
        <v>17107</v>
      </c>
      <c r="E7918" s="3" t="s">
        <v>1218</v>
      </c>
      <c r="F7918" s="3" t="s">
        <v>10943</v>
      </c>
      <c r="G7918" s="3"/>
      <c r="H7918" s="4"/>
    </row>
    <row r="7919" ht="16.5" customHeight="1" spans="1:8">
      <c r="A7919" s="3">
        <v>7918</v>
      </c>
      <c r="B7919" s="3" t="s">
        <v>17109</v>
      </c>
      <c r="C7919" s="3" t="s">
        <v>2163</v>
      </c>
      <c r="D7919" s="4" t="s">
        <v>17110</v>
      </c>
      <c r="E7919" s="3" t="s">
        <v>1076</v>
      </c>
      <c r="F7919" s="3" t="s">
        <v>10943</v>
      </c>
      <c r="G7919" s="3"/>
      <c r="H7919" s="4" t="s">
        <v>9475</v>
      </c>
    </row>
    <row r="7920" ht="16.5" customHeight="1" spans="1:8">
      <c r="A7920" s="3">
        <v>7919</v>
      </c>
      <c r="B7920" s="3" t="s">
        <v>17111</v>
      </c>
      <c r="C7920" s="3" t="s">
        <v>2163</v>
      </c>
      <c r="D7920" s="4" t="s">
        <v>17112</v>
      </c>
      <c r="E7920" s="3" t="s">
        <v>1076</v>
      </c>
      <c r="F7920" s="3" t="s">
        <v>10943</v>
      </c>
      <c r="G7920" s="3"/>
      <c r="H7920" s="4" t="s">
        <v>9475</v>
      </c>
    </row>
    <row r="7921" ht="16.5" customHeight="1" spans="1:8">
      <c r="A7921" s="3">
        <v>7920</v>
      </c>
      <c r="B7921" s="3" t="s">
        <v>17113</v>
      </c>
      <c r="C7921" s="3" t="s">
        <v>2163</v>
      </c>
      <c r="D7921" s="4" t="s">
        <v>17114</v>
      </c>
      <c r="E7921" s="3" t="s">
        <v>1076</v>
      </c>
      <c r="F7921" s="3" t="s">
        <v>10943</v>
      </c>
      <c r="G7921" s="3"/>
      <c r="H7921" s="4"/>
    </row>
    <row r="7922" ht="16.5" customHeight="1" spans="1:8">
      <c r="A7922" s="3">
        <v>7921</v>
      </c>
      <c r="B7922" s="3" t="s">
        <v>17115</v>
      </c>
      <c r="C7922" s="3" t="s">
        <v>2163</v>
      </c>
      <c r="D7922" s="4" t="s">
        <v>17116</v>
      </c>
      <c r="E7922" s="3" t="s">
        <v>1076</v>
      </c>
      <c r="F7922" s="3" t="s">
        <v>10943</v>
      </c>
      <c r="G7922" s="3"/>
      <c r="H7922" s="4"/>
    </row>
    <row r="7923" ht="16.5" customHeight="1" spans="1:8">
      <c r="A7923" s="3">
        <v>7922</v>
      </c>
      <c r="B7923" s="3" t="s">
        <v>17117</v>
      </c>
      <c r="C7923" s="3" t="s">
        <v>2163</v>
      </c>
      <c r="D7923" s="4" t="s">
        <v>17118</v>
      </c>
      <c r="E7923" s="3" t="s">
        <v>1076</v>
      </c>
      <c r="F7923" s="3" t="s">
        <v>10943</v>
      </c>
      <c r="G7923" s="3"/>
      <c r="H7923" s="4"/>
    </row>
    <row r="7924" ht="16.5" customHeight="1" spans="1:8">
      <c r="A7924" s="3">
        <v>7923</v>
      </c>
      <c r="B7924" s="3" t="s">
        <v>17119</v>
      </c>
      <c r="C7924" s="3" t="s">
        <v>2163</v>
      </c>
      <c r="D7924" s="4" t="s">
        <v>17120</v>
      </c>
      <c r="E7924" s="3" t="s">
        <v>3093</v>
      </c>
      <c r="F7924" s="3" t="s">
        <v>10943</v>
      </c>
      <c r="G7924" s="3"/>
      <c r="H7924" s="4"/>
    </row>
    <row r="7925" ht="16.5" customHeight="1" spans="1:8">
      <c r="A7925" s="3">
        <v>7924</v>
      </c>
      <c r="B7925" s="3" t="s">
        <v>17121</v>
      </c>
      <c r="C7925" s="3" t="s">
        <v>2163</v>
      </c>
      <c r="D7925" s="4" t="s">
        <v>17122</v>
      </c>
      <c r="E7925" s="3" t="s">
        <v>1076</v>
      </c>
      <c r="F7925" s="3" t="s">
        <v>10943</v>
      </c>
      <c r="G7925" s="3"/>
      <c r="H7925" s="4"/>
    </row>
    <row r="7926" ht="16.5" customHeight="1" spans="1:8">
      <c r="A7926" s="3">
        <v>7925</v>
      </c>
      <c r="B7926" s="3" t="s">
        <v>17123</v>
      </c>
      <c r="C7926" s="3" t="s">
        <v>1361</v>
      </c>
      <c r="D7926" s="4" t="s">
        <v>17124</v>
      </c>
      <c r="E7926" s="3" t="s">
        <v>1218</v>
      </c>
      <c r="F7926" s="3" t="s">
        <v>2041</v>
      </c>
      <c r="G7926" s="3"/>
      <c r="H7926" s="4"/>
    </row>
    <row r="7927" ht="16.5" customHeight="1" spans="1:8">
      <c r="A7927" s="3">
        <v>7926</v>
      </c>
      <c r="B7927" s="3" t="s">
        <v>17125</v>
      </c>
      <c r="C7927" s="3" t="s">
        <v>1361</v>
      </c>
      <c r="D7927" s="4" t="s">
        <v>17126</v>
      </c>
      <c r="E7927" s="3" t="s">
        <v>1218</v>
      </c>
      <c r="F7927" s="3" t="s">
        <v>2041</v>
      </c>
      <c r="G7927" s="3"/>
      <c r="H7927" s="4"/>
    </row>
    <row r="7928" ht="16.5" customHeight="1" spans="1:8">
      <c r="A7928" s="3">
        <v>7927</v>
      </c>
      <c r="B7928" s="3" t="s">
        <v>17127</v>
      </c>
      <c r="C7928" s="3" t="s">
        <v>1361</v>
      </c>
      <c r="D7928" s="4" t="s">
        <v>17128</v>
      </c>
      <c r="E7928" s="3" t="s">
        <v>1218</v>
      </c>
      <c r="F7928" s="3" t="s">
        <v>2041</v>
      </c>
      <c r="G7928" s="3"/>
      <c r="H7928" s="4"/>
    </row>
    <row r="7929" ht="16.5" customHeight="1" spans="1:8">
      <c r="A7929" s="3">
        <v>7928</v>
      </c>
      <c r="B7929" s="3" t="s">
        <v>17129</v>
      </c>
      <c r="C7929" s="3" t="s">
        <v>1361</v>
      </c>
      <c r="D7929" s="4" t="s">
        <v>17130</v>
      </c>
      <c r="E7929" s="3" t="s">
        <v>1218</v>
      </c>
      <c r="F7929" s="3" t="s">
        <v>2041</v>
      </c>
      <c r="G7929" s="3"/>
      <c r="H7929" s="4"/>
    </row>
    <row r="7930" ht="16.5" customHeight="1" spans="1:8">
      <c r="A7930" s="3">
        <v>7929</v>
      </c>
      <c r="B7930" s="3" t="s">
        <v>17131</v>
      </c>
      <c r="C7930" s="3" t="s">
        <v>1361</v>
      </c>
      <c r="D7930" s="4" t="s">
        <v>17132</v>
      </c>
      <c r="E7930" s="3" t="s">
        <v>1218</v>
      </c>
      <c r="F7930" s="3" t="s">
        <v>2041</v>
      </c>
      <c r="G7930" s="3"/>
      <c r="H7930" s="4"/>
    </row>
    <row r="7931" ht="16.5" customHeight="1" spans="1:8">
      <c r="A7931" s="3">
        <v>7930</v>
      </c>
      <c r="B7931" s="3" t="s">
        <v>17133</v>
      </c>
      <c r="C7931" s="3" t="s">
        <v>1361</v>
      </c>
      <c r="D7931" s="4" t="s">
        <v>17134</v>
      </c>
      <c r="E7931" s="3" t="s">
        <v>1218</v>
      </c>
      <c r="F7931" s="3" t="s">
        <v>2041</v>
      </c>
      <c r="G7931" s="3"/>
      <c r="H7931" s="4"/>
    </row>
    <row r="7932" ht="16.5" customHeight="1" spans="1:8">
      <c r="A7932" s="3">
        <v>7931</v>
      </c>
      <c r="B7932" s="3" t="s">
        <v>17135</v>
      </c>
      <c r="C7932" s="3" t="s">
        <v>1361</v>
      </c>
      <c r="D7932" s="4" t="s">
        <v>17136</v>
      </c>
      <c r="E7932" s="3" t="s">
        <v>1218</v>
      </c>
      <c r="F7932" s="3" t="s">
        <v>2041</v>
      </c>
      <c r="G7932" s="3"/>
      <c r="H7932" s="4"/>
    </row>
    <row r="7933" ht="16.5" customHeight="1" spans="1:8">
      <c r="A7933" s="3">
        <v>7932</v>
      </c>
      <c r="B7933" s="3" t="s">
        <v>17137</v>
      </c>
      <c r="C7933" s="3" t="s">
        <v>1361</v>
      </c>
      <c r="D7933" s="4" t="s">
        <v>17138</v>
      </c>
      <c r="E7933" s="3" t="s">
        <v>1218</v>
      </c>
      <c r="F7933" s="3" t="s">
        <v>2041</v>
      </c>
      <c r="G7933" s="3"/>
      <c r="H7933" s="4"/>
    </row>
    <row r="7934" ht="16.5" customHeight="1" spans="1:8">
      <c r="A7934" s="3">
        <v>7933</v>
      </c>
      <c r="B7934" s="3" t="s">
        <v>17139</v>
      </c>
      <c r="C7934" s="3" t="s">
        <v>1361</v>
      </c>
      <c r="D7934" s="4" t="s">
        <v>17140</v>
      </c>
      <c r="E7934" s="3" t="s">
        <v>1218</v>
      </c>
      <c r="F7934" s="3" t="s">
        <v>2041</v>
      </c>
      <c r="G7934" s="3"/>
      <c r="H7934" s="4"/>
    </row>
    <row r="7935" ht="16.5" customHeight="1" spans="1:8">
      <c r="A7935" s="3">
        <v>7934</v>
      </c>
      <c r="B7935" s="3" t="s">
        <v>17141</v>
      </c>
      <c r="C7935" s="3" t="s">
        <v>1361</v>
      </c>
      <c r="D7935" s="4" t="s">
        <v>17142</v>
      </c>
      <c r="E7935" s="3" t="s">
        <v>1218</v>
      </c>
      <c r="F7935" s="3" t="s">
        <v>2041</v>
      </c>
      <c r="G7935" s="3"/>
      <c r="H7935" s="4"/>
    </row>
    <row r="7936" ht="16.5" customHeight="1" spans="1:8">
      <c r="A7936" s="3">
        <v>7935</v>
      </c>
      <c r="B7936" s="3" t="s">
        <v>17143</v>
      </c>
      <c r="C7936" s="3" t="s">
        <v>1361</v>
      </c>
      <c r="D7936" s="4" t="s">
        <v>17144</v>
      </c>
      <c r="E7936" s="3" t="s">
        <v>1218</v>
      </c>
      <c r="F7936" s="3" t="s">
        <v>2041</v>
      </c>
      <c r="G7936" s="3"/>
      <c r="H7936" s="4"/>
    </row>
    <row r="7937" ht="16.5" customHeight="1" spans="1:8">
      <c r="A7937" s="3">
        <v>7936</v>
      </c>
      <c r="B7937" s="3" t="s">
        <v>17145</v>
      </c>
      <c r="C7937" s="3" t="s">
        <v>1361</v>
      </c>
      <c r="D7937" s="4" t="s">
        <v>17146</v>
      </c>
      <c r="E7937" s="3" t="s">
        <v>1218</v>
      </c>
      <c r="F7937" s="3" t="s">
        <v>2041</v>
      </c>
      <c r="G7937" s="3"/>
      <c r="H7937" s="4"/>
    </row>
    <row r="7938" ht="16.5" customHeight="1" spans="1:8">
      <c r="A7938" s="3">
        <v>7937</v>
      </c>
      <c r="B7938" s="3" t="s">
        <v>17147</v>
      </c>
      <c r="C7938" s="3" t="s">
        <v>1361</v>
      </c>
      <c r="D7938" s="4" t="s">
        <v>17148</v>
      </c>
      <c r="E7938" s="3" t="s">
        <v>1218</v>
      </c>
      <c r="F7938" s="3" t="s">
        <v>2041</v>
      </c>
      <c r="G7938" s="3"/>
      <c r="H7938" s="4"/>
    </row>
    <row r="7939" ht="16.5" customHeight="1" spans="1:8">
      <c r="A7939" s="3">
        <v>7938</v>
      </c>
      <c r="B7939" s="3" t="s">
        <v>17149</v>
      </c>
      <c r="C7939" s="3" t="s">
        <v>1361</v>
      </c>
      <c r="D7939" s="4" t="s">
        <v>17150</v>
      </c>
      <c r="E7939" s="3" t="s">
        <v>1218</v>
      </c>
      <c r="F7939" s="3" t="s">
        <v>2041</v>
      </c>
      <c r="G7939" s="3"/>
      <c r="H7939" s="4"/>
    </row>
    <row r="7940" ht="16.5" customHeight="1" spans="1:8">
      <c r="A7940" s="3">
        <v>7939</v>
      </c>
      <c r="B7940" s="3" t="s">
        <v>17151</v>
      </c>
      <c r="C7940" s="3" t="s">
        <v>1361</v>
      </c>
      <c r="D7940" s="4" t="s">
        <v>17152</v>
      </c>
      <c r="E7940" s="3" t="s">
        <v>1218</v>
      </c>
      <c r="F7940" s="3" t="s">
        <v>2041</v>
      </c>
      <c r="G7940" s="3"/>
      <c r="H7940" s="4"/>
    </row>
    <row r="7941" ht="16.5" customHeight="1" spans="1:8">
      <c r="A7941" s="3">
        <v>7940</v>
      </c>
      <c r="B7941" s="3" t="s">
        <v>17153</v>
      </c>
      <c r="C7941" s="3" t="s">
        <v>1361</v>
      </c>
      <c r="D7941" s="4" t="s">
        <v>17154</v>
      </c>
      <c r="E7941" s="3" t="s">
        <v>1218</v>
      </c>
      <c r="F7941" s="3" t="s">
        <v>2041</v>
      </c>
      <c r="G7941" s="3"/>
      <c r="H7941" s="4"/>
    </row>
    <row r="7942" ht="16.5" customHeight="1" spans="1:8">
      <c r="A7942" s="3">
        <v>7941</v>
      </c>
      <c r="B7942" s="3" t="s">
        <v>17155</v>
      </c>
      <c r="C7942" s="3" t="s">
        <v>1361</v>
      </c>
      <c r="D7942" s="4" t="s">
        <v>17156</v>
      </c>
      <c r="E7942" s="3" t="s">
        <v>1218</v>
      </c>
      <c r="F7942" s="3" t="s">
        <v>2041</v>
      </c>
      <c r="G7942" s="3"/>
      <c r="H7942" s="4"/>
    </row>
    <row r="7943" ht="16.5" customHeight="1" spans="1:8">
      <c r="A7943" s="3">
        <v>7942</v>
      </c>
      <c r="B7943" s="3" t="s">
        <v>17157</v>
      </c>
      <c r="C7943" s="3" t="s">
        <v>2163</v>
      </c>
      <c r="D7943" s="4" t="s">
        <v>17158</v>
      </c>
      <c r="E7943" s="3" t="s">
        <v>2726</v>
      </c>
      <c r="F7943" s="3" t="s">
        <v>10943</v>
      </c>
      <c r="G7943" s="3"/>
      <c r="H7943" s="4"/>
    </row>
    <row r="7944" ht="16.5" customHeight="1" spans="1:8">
      <c r="A7944" s="3">
        <v>7943</v>
      </c>
      <c r="B7944" s="3" t="s">
        <v>17159</v>
      </c>
      <c r="C7944" s="3" t="s">
        <v>2163</v>
      </c>
      <c r="D7944" s="4" t="s">
        <v>17160</v>
      </c>
      <c r="E7944" s="3" t="s">
        <v>2726</v>
      </c>
      <c r="F7944" s="3" t="s">
        <v>10943</v>
      </c>
      <c r="G7944" s="3"/>
      <c r="H7944" s="4"/>
    </row>
    <row r="7945" ht="16.5" customHeight="1" spans="1:8">
      <c r="A7945" s="3">
        <v>7944</v>
      </c>
      <c r="B7945" s="3" t="s">
        <v>495</v>
      </c>
      <c r="C7945" s="3" t="s">
        <v>1074</v>
      </c>
      <c r="D7945" s="4" t="s">
        <v>17161</v>
      </c>
      <c r="E7945" s="3" t="s">
        <v>1218</v>
      </c>
      <c r="F7945" s="3" t="s">
        <v>10259</v>
      </c>
      <c r="G7945" s="3"/>
      <c r="H7945" s="4" t="s">
        <v>2050</v>
      </c>
    </row>
    <row r="7946" ht="16.5" customHeight="1" spans="1:8">
      <c r="A7946" s="3">
        <v>7945</v>
      </c>
      <c r="B7946" s="3" t="s">
        <v>17162</v>
      </c>
      <c r="C7946" s="3" t="s">
        <v>2163</v>
      </c>
      <c r="D7946" s="4" t="s">
        <v>17163</v>
      </c>
      <c r="E7946" s="3" t="s">
        <v>2726</v>
      </c>
      <c r="F7946" s="3" t="s">
        <v>10943</v>
      </c>
      <c r="G7946" s="3"/>
      <c r="H7946" s="4"/>
    </row>
    <row r="7947" ht="16.5" customHeight="1" spans="1:8">
      <c r="A7947" s="3">
        <v>7946</v>
      </c>
      <c r="B7947" s="3" t="s">
        <v>17164</v>
      </c>
      <c r="C7947" s="3" t="s">
        <v>2163</v>
      </c>
      <c r="D7947" s="4" t="s">
        <v>17165</v>
      </c>
      <c r="E7947" s="3" t="s">
        <v>2726</v>
      </c>
      <c r="F7947" s="3" t="s">
        <v>10943</v>
      </c>
      <c r="G7947" s="3"/>
      <c r="H7947" s="4"/>
    </row>
    <row r="7948" ht="16.5" customHeight="1" spans="1:8">
      <c r="A7948" s="3">
        <v>7947</v>
      </c>
      <c r="B7948" s="3" t="s">
        <v>17166</v>
      </c>
      <c r="C7948" s="3" t="s">
        <v>2163</v>
      </c>
      <c r="D7948" s="4" t="s">
        <v>17167</v>
      </c>
      <c r="E7948" s="3" t="s">
        <v>2726</v>
      </c>
      <c r="F7948" s="3" t="s">
        <v>2041</v>
      </c>
      <c r="G7948" s="3"/>
      <c r="H7948" s="4"/>
    </row>
    <row r="7949" ht="16.5" customHeight="1" spans="1:8">
      <c r="A7949" s="3">
        <v>7948</v>
      </c>
      <c r="B7949" s="3" t="s">
        <v>17168</v>
      </c>
      <c r="C7949" s="3" t="s">
        <v>2163</v>
      </c>
      <c r="D7949" s="4" t="s">
        <v>17169</v>
      </c>
      <c r="E7949" s="3" t="s">
        <v>2726</v>
      </c>
      <c r="F7949" s="3" t="s">
        <v>2041</v>
      </c>
      <c r="G7949" s="3"/>
      <c r="H7949" s="4"/>
    </row>
    <row r="7950" ht="16.5" customHeight="1" spans="1:8">
      <c r="A7950" s="3">
        <v>7949</v>
      </c>
      <c r="B7950" s="3" t="s">
        <v>17170</v>
      </c>
      <c r="C7950" s="3" t="s">
        <v>2163</v>
      </c>
      <c r="D7950" s="4" t="s">
        <v>17171</v>
      </c>
      <c r="E7950" s="3" t="s">
        <v>5779</v>
      </c>
      <c r="F7950" s="3" t="s">
        <v>10943</v>
      </c>
      <c r="G7950" s="3"/>
      <c r="H7950" s="4"/>
    </row>
    <row r="7951" ht="16.5" customHeight="1" spans="1:8">
      <c r="A7951" s="3">
        <v>7950</v>
      </c>
      <c r="B7951" s="3" t="s">
        <v>17172</v>
      </c>
      <c r="C7951" s="3" t="s">
        <v>2163</v>
      </c>
      <c r="D7951" s="4" t="s">
        <v>17173</v>
      </c>
      <c r="E7951" s="3" t="s">
        <v>2726</v>
      </c>
      <c r="F7951" s="3" t="s">
        <v>10943</v>
      </c>
      <c r="G7951" s="3"/>
      <c r="H7951" s="4" t="s">
        <v>12433</v>
      </c>
    </row>
    <row r="7952" ht="16.5" customHeight="1" spans="1:8">
      <c r="A7952" s="3">
        <v>7951</v>
      </c>
      <c r="B7952" s="3" t="s">
        <v>17174</v>
      </c>
      <c r="C7952" s="3" t="s">
        <v>2163</v>
      </c>
      <c r="D7952" s="4" t="s">
        <v>17175</v>
      </c>
      <c r="E7952" s="3" t="s">
        <v>2726</v>
      </c>
      <c r="F7952" s="3" t="s">
        <v>10943</v>
      </c>
      <c r="G7952" s="3"/>
      <c r="H7952" s="4" t="s">
        <v>12433</v>
      </c>
    </row>
    <row r="7953" ht="16.5" customHeight="1" spans="1:8">
      <c r="A7953" s="3">
        <v>7952</v>
      </c>
      <c r="B7953" s="3" t="s">
        <v>17176</v>
      </c>
      <c r="C7953" s="3" t="s">
        <v>6377</v>
      </c>
      <c r="D7953" s="4" t="s">
        <v>17177</v>
      </c>
      <c r="E7953" s="3" t="s">
        <v>8401</v>
      </c>
      <c r="F7953" s="3" t="s">
        <v>10259</v>
      </c>
      <c r="G7953" s="3"/>
      <c r="H7953" s="4" t="s">
        <v>12433</v>
      </c>
    </row>
    <row r="7954" ht="16.5" customHeight="1" spans="1:8">
      <c r="A7954" s="3">
        <v>7953</v>
      </c>
      <c r="B7954" s="3" t="s">
        <v>17178</v>
      </c>
      <c r="C7954" s="3" t="s">
        <v>2163</v>
      </c>
      <c r="D7954" s="4" t="s">
        <v>17179</v>
      </c>
      <c r="E7954" s="3" t="s">
        <v>2726</v>
      </c>
      <c r="F7954" s="3" t="s">
        <v>10943</v>
      </c>
      <c r="G7954" s="3"/>
      <c r="H7954" s="4" t="s">
        <v>12433</v>
      </c>
    </row>
    <row r="7955" ht="16.5" customHeight="1" spans="1:8">
      <c r="A7955" s="3">
        <v>7954</v>
      </c>
      <c r="B7955" s="3" t="s">
        <v>17180</v>
      </c>
      <c r="C7955" s="3" t="s">
        <v>2163</v>
      </c>
      <c r="D7955" s="4" t="s">
        <v>17181</v>
      </c>
      <c r="E7955" s="3" t="s">
        <v>2726</v>
      </c>
      <c r="F7955" s="3" t="s">
        <v>10943</v>
      </c>
      <c r="G7955" s="3"/>
      <c r="H7955" s="4" t="s">
        <v>12433</v>
      </c>
    </row>
    <row r="7956" ht="16.5" customHeight="1" spans="1:8">
      <c r="A7956" s="3">
        <v>7955</v>
      </c>
      <c r="B7956" s="3" t="s">
        <v>17182</v>
      </c>
      <c r="C7956" s="3" t="s">
        <v>2163</v>
      </c>
      <c r="D7956" s="4" t="s">
        <v>17183</v>
      </c>
      <c r="E7956" s="3" t="s">
        <v>2726</v>
      </c>
      <c r="F7956" s="3" t="s">
        <v>10943</v>
      </c>
      <c r="G7956" s="3"/>
      <c r="H7956" s="4" t="s">
        <v>12433</v>
      </c>
    </row>
    <row r="7957" ht="16.5" customHeight="1" spans="1:8">
      <c r="A7957" s="3">
        <v>7956</v>
      </c>
      <c r="B7957" s="3" t="s">
        <v>17184</v>
      </c>
      <c r="C7957" s="3" t="s">
        <v>2163</v>
      </c>
      <c r="D7957" s="4" t="s">
        <v>17185</v>
      </c>
      <c r="E7957" s="3" t="s">
        <v>2726</v>
      </c>
      <c r="F7957" s="3" t="s">
        <v>10943</v>
      </c>
      <c r="G7957" s="3"/>
      <c r="H7957" s="4" t="s">
        <v>12433</v>
      </c>
    </row>
    <row r="7958" ht="16.5" customHeight="1" spans="1:8">
      <c r="A7958" s="3">
        <v>7957</v>
      </c>
      <c r="B7958" s="3" t="s">
        <v>17186</v>
      </c>
      <c r="C7958" s="3" t="s">
        <v>2163</v>
      </c>
      <c r="D7958" s="4" t="s">
        <v>17187</v>
      </c>
      <c r="E7958" s="3" t="s">
        <v>3954</v>
      </c>
      <c r="F7958" s="3" t="s">
        <v>2041</v>
      </c>
      <c r="G7958" s="3"/>
      <c r="H7958" s="4"/>
    </row>
    <row r="7959" ht="16.5" customHeight="1" spans="1:8">
      <c r="A7959" s="3">
        <v>7958</v>
      </c>
      <c r="B7959" s="3" t="s">
        <v>17188</v>
      </c>
      <c r="C7959" s="3" t="s">
        <v>2163</v>
      </c>
      <c r="D7959" s="4" t="s">
        <v>17189</v>
      </c>
      <c r="E7959" s="3" t="s">
        <v>3093</v>
      </c>
      <c r="F7959" s="3" t="s">
        <v>2041</v>
      </c>
      <c r="G7959" s="3"/>
      <c r="H7959" s="4"/>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7"/>
  <sheetViews>
    <sheetView workbookViewId="0">
      <selection activeCell="A1" sqref="A1"/>
    </sheetView>
  </sheetViews>
  <sheetFormatPr defaultColWidth="9" defaultRowHeight="16.8" outlineLevelCol="5"/>
  <sheetData>
    <row r="1" spans="1:6">
      <c r="A1" t="s">
        <v>3</v>
      </c>
      <c r="B1" t="s">
        <v>4</v>
      </c>
      <c r="C1" t="s">
        <v>5</v>
      </c>
      <c r="D1" t="s">
        <v>17190</v>
      </c>
      <c r="E1" t="s">
        <v>17191</v>
      </c>
      <c r="F1" t="s">
        <v>17192</v>
      </c>
    </row>
    <row r="2" spans="1:6">
      <c r="A2" t="str">
        <f>'SOW, Feedbacks-Bug &amp; CR_Items'!D2</f>
        <v>DPDP</v>
      </c>
      <c r="B2" t="str">
        <f>'SOW, Feedbacks-Bug &amp; CR_Items'!E2</f>
        <v>Milestone 5</v>
      </c>
      <c r="C2" t="str">
        <f>TRIM('SOW, Feedbacks-Bug &amp; CR_Items'!F2)</f>
        <v>Delivered</v>
      </c>
      <c r="D2" t="str">
        <f>IFERROR(VLOOKUP(C2,Config!$A:$B,2,0),"Unknown")</f>
        <v>Delivered</v>
      </c>
      <c r="E2" t="str">
        <f>IFERROR(VLOOKUP(C2,Config!$A:$C,3,0),"N/A")</f>
        <v>Delivered</v>
      </c>
      <c r="F2">
        <f>IF('SOW, Feedbacks-Bug &amp; CR_Items'!H2="","",'SOW, Feedbacks-Bug &amp; CR_Items'!H2)</f>
        <v>45869</v>
      </c>
    </row>
    <row r="3" spans="1:6">
      <c r="A3" t="str">
        <f>'SOW, Feedbacks-Bug &amp; CR_Items'!D3</f>
        <v>DPDP</v>
      </c>
      <c r="B3" t="str">
        <f>'SOW, Feedbacks-Bug &amp; CR_Items'!E3</f>
        <v>Milestone 5</v>
      </c>
      <c r="C3" t="str">
        <f>TRIM('SOW, Feedbacks-Bug &amp; CR_Items'!F3)</f>
        <v>Delivered</v>
      </c>
      <c r="D3" t="str">
        <f>IFERROR(VLOOKUP(C3,Config!$A:$B,2,0),"Unknown")</f>
        <v>Delivered</v>
      </c>
      <c r="E3" t="str">
        <f>IFERROR(VLOOKUP(C3,Config!$A:$C,3,0),"N/A")</f>
        <v>Delivered</v>
      </c>
      <c r="F3">
        <f>IF('SOW, Feedbacks-Bug &amp; CR_Items'!H3="","",'SOW, Feedbacks-Bug &amp; CR_Items'!H3)</f>
        <v>45869</v>
      </c>
    </row>
    <row r="4" spans="1:6">
      <c r="A4" t="str">
        <f>'SOW, Feedbacks-Bug &amp; CR_Items'!D4</f>
        <v>DPDP</v>
      </c>
      <c r="B4" t="str">
        <f>'SOW, Feedbacks-Bug &amp; CR_Items'!E4</f>
        <v>Milestone 5</v>
      </c>
      <c r="C4" t="str">
        <f>TRIM('SOW, Feedbacks-Bug &amp; CR_Items'!F4)</f>
        <v>Delivered</v>
      </c>
      <c r="D4" t="str">
        <f>IFERROR(VLOOKUP(C4,Config!$A:$B,2,0),"Unknown")</f>
        <v>Delivered</v>
      </c>
      <c r="E4" t="str">
        <f>IFERROR(VLOOKUP(C4,Config!$A:$C,3,0),"N/A")</f>
        <v>Delivered</v>
      </c>
      <c r="F4">
        <f>IF('SOW, Feedbacks-Bug &amp; CR_Items'!H4="","",'SOW, Feedbacks-Bug &amp; CR_Items'!H4)</f>
        <v>45869</v>
      </c>
    </row>
    <row r="5" spans="1:6">
      <c r="A5" t="str">
        <f>'SOW, Feedbacks-Bug &amp; CR_Items'!D5</f>
        <v>DPDP</v>
      </c>
      <c r="B5" t="str">
        <f>'SOW, Feedbacks-Bug &amp; CR_Items'!E5</f>
        <v>Milestone 5</v>
      </c>
      <c r="C5" t="str">
        <f>TRIM('SOW, Feedbacks-Bug &amp; CR_Items'!F5)</f>
        <v>Delivered</v>
      </c>
      <c r="D5" t="str">
        <f>IFERROR(VLOOKUP(C5,Config!$A:$B,2,0),"Unknown")</f>
        <v>Delivered</v>
      </c>
      <c r="E5" t="str">
        <f>IFERROR(VLOOKUP(C5,Config!$A:$C,3,0),"N/A")</f>
        <v>Delivered</v>
      </c>
      <c r="F5">
        <f>IF('SOW, Feedbacks-Bug &amp; CR_Items'!H5="","",'SOW, Feedbacks-Bug &amp; CR_Items'!H5)</f>
        <v>45869</v>
      </c>
    </row>
    <row r="6" spans="1:6">
      <c r="A6" t="str">
        <f>'SOW, Feedbacks-Bug &amp; CR_Items'!D6</f>
        <v>DPDP</v>
      </c>
      <c r="B6" t="str">
        <f>'SOW, Feedbacks-Bug &amp; CR_Items'!E6</f>
        <v>Milestone 5</v>
      </c>
      <c r="C6" t="str">
        <f>TRIM('SOW, Feedbacks-Bug &amp; CR_Items'!F6)</f>
        <v>Delivered</v>
      </c>
      <c r="D6" t="str">
        <f>IFERROR(VLOOKUP(C6,Config!$A:$B,2,0),"Unknown")</f>
        <v>Delivered</v>
      </c>
      <c r="E6" t="str">
        <f>IFERROR(VLOOKUP(C6,Config!$A:$C,3,0),"N/A")</f>
        <v>Delivered</v>
      </c>
      <c r="F6">
        <f>IF('SOW, Feedbacks-Bug &amp; CR_Items'!H6="","",'SOW, Feedbacks-Bug &amp; CR_Items'!H6)</f>
        <v>45869</v>
      </c>
    </row>
    <row r="7" spans="1:6">
      <c r="A7" t="str">
        <f>'SOW, Feedbacks-Bug &amp; CR_Items'!D7</f>
        <v>DPDP</v>
      </c>
      <c r="B7" t="str">
        <f>'SOW, Feedbacks-Bug &amp; CR_Items'!E7</f>
        <v>Milestone 5</v>
      </c>
      <c r="C7" t="str">
        <f>TRIM('SOW, Feedbacks-Bug &amp; CR_Items'!F7)</f>
        <v>Delivered</v>
      </c>
      <c r="D7" t="str">
        <f>IFERROR(VLOOKUP(C7,Config!$A:$B,2,0),"Unknown")</f>
        <v>Delivered</v>
      </c>
      <c r="E7" t="str">
        <f>IFERROR(VLOOKUP(C7,Config!$A:$C,3,0),"N/A")</f>
        <v>Delivered</v>
      </c>
      <c r="F7">
        <f>IF('SOW, Feedbacks-Bug &amp; CR_Items'!H7="","",'SOW, Feedbacks-Bug &amp; CR_Items'!H7)</f>
        <v>45869</v>
      </c>
    </row>
    <row r="8" spans="1:6">
      <c r="A8" t="str">
        <f>'SOW, Feedbacks-Bug &amp; CR_Items'!D8</f>
        <v>DPDP</v>
      </c>
      <c r="B8" t="str">
        <f>'SOW, Feedbacks-Bug &amp; CR_Items'!E8</f>
        <v>Milestone 5</v>
      </c>
      <c r="C8" t="str">
        <f>TRIM('SOW, Feedbacks-Bug &amp; CR_Items'!F8)</f>
        <v>DEV - WIP</v>
      </c>
      <c r="D8" t="str">
        <f>IFERROR(VLOOKUP(C8,Config!$A:$B,2,0),"Unknown")</f>
        <v>In Development</v>
      </c>
      <c r="E8" t="str">
        <f>IFERROR(VLOOKUP(C8,Config!$A:$C,3,0),"N/A")</f>
        <v>Pending</v>
      </c>
      <c r="F8">
        <f>IF('SOW, Feedbacks-Bug &amp; CR_Items'!H8="","",'SOW, Feedbacks-Bug &amp; CR_Items'!H8)</f>
        <v>45869</v>
      </c>
    </row>
    <row r="9" spans="1:6">
      <c r="A9" t="str">
        <f>'SOW, Feedbacks-Bug &amp; CR_Items'!D9</f>
        <v>DPDP</v>
      </c>
      <c r="B9" t="str">
        <f>'SOW, Feedbacks-Bug &amp; CR_Items'!E9</f>
        <v>Milestone 5</v>
      </c>
      <c r="C9" t="str">
        <f>TRIM('SOW, Feedbacks-Bug &amp; CR_Items'!F9)</f>
        <v>DEV - WIP</v>
      </c>
      <c r="D9" t="str">
        <f>IFERROR(VLOOKUP(C9,Config!$A:$B,2,0),"Unknown")</f>
        <v>In Development</v>
      </c>
      <c r="E9" t="str">
        <f>IFERROR(VLOOKUP(C9,Config!$A:$C,3,0),"N/A")</f>
        <v>Pending</v>
      </c>
      <c r="F9">
        <f>IF('SOW, Feedbacks-Bug &amp; CR_Items'!H9="","",'SOW, Feedbacks-Bug &amp; CR_Items'!H9)</f>
        <v>45869</v>
      </c>
    </row>
    <row r="10" spans="1:6">
      <c r="A10" t="str">
        <f>'SOW, Feedbacks-Bug &amp; CR_Items'!D10</f>
        <v>DPDP</v>
      </c>
      <c r="B10" t="str">
        <f>'SOW, Feedbacks-Bug &amp; CR_Items'!E10</f>
        <v>Milestone 5</v>
      </c>
      <c r="C10" t="str">
        <f>TRIM('SOW, Feedbacks-Bug &amp; CR_Items'!F10)</f>
        <v>DEV - WIP</v>
      </c>
      <c r="D10" t="str">
        <f>IFERROR(VLOOKUP(C10,Config!$A:$B,2,0),"Unknown")</f>
        <v>In Development</v>
      </c>
      <c r="E10" t="str">
        <f>IFERROR(VLOOKUP(C10,Config!$A:$C,3,0),"N/A")</f>
        <v>Pending</v>
      </c>
      <c r="F10">
        <f>IF('SOW, Feedbacks-Bug &amp; CR_Items'!H10="","",'SOW, Feedbacks-Bug &amp; CR_Items'!H10)</f>
        <v>45869</v>
      </c>
    </row>
    <row r="11" spans="1:6">
      <c r="A11" t="str">
        <f>'SOW, Feedbacks-Bug &amp; CR_Items'!D11</f>
        <v>DPDP</v>
      </c>
      <c r="B11" t="str">
        <f>'SOW, Feedbacks-Bug &amp; CR_Items'!E11</f>
        <v>Milestone 5</v>
      </c>
      <c r="C11" t="str">
        <f>TRIM('SOW, Feedbacks-Bug &amp; CR_Items'!F11)</f>
        <v>DEV - Done</v>
      </c>
      <c r="D11" t="str">
        <f>IFERROR(VLOOKUP(C11,Config!$A:$B,2,0),"Unknown")</f>
        <v>Dev Complete</v>
      </c>
      <c r="E11" t="str">
        <f>IFERROR(VLOOKUP(C11,Config!$A:$C,3,0),"N/A")</f>
        <v>Delivered</v>
      </c>
      <c r="F11">
        <f>IF('SOW, Feedbacks-Bug &amp; CR_Items'!H11="","",'SOW, Feedbacks-Bug &amp; CR_Items'!H11)</f>
        <v>45869</v>
      </c>
    </row>
    <row r="12" spans="1:6">
      <c r="A12" t="str">
        <f>'SOW, Feedbacks-Bug &amp; CR_Items'!D12</f>
        <v>DPDP</v>
      </c>
      <c r="B12" t="str">
        <f>'SOW, Feedbacks-Bug &amp; CR_Items'!E12</f>
        <v>Milestone 5</v>
      </c>
      <c r="C12" t="str">
        <f>TRIM('SOW, Feedbacks-Bug &amp; CR_Items'!F12)</f>
        <v>DEV - WIP</v>
      </c>
      <c r="D12" t="str">
        <f>IFERROR(VLOOKUP(C12,Config!$A:$B,2,0),"Unknown")</f>
        <v>In Development</v>
      </c>
      <c r="E12" t="str">
        <f>IFERROR(VLOOKUP(C12,Config!$A:$C,3,0),"N/A")</f>
        <v>Pending</v>
      </c>
      <c r="F12">
        <f>IF('SOW, Feedbacks-Bug &amp; CR_Items'!H12="","",'SOW, Feedbacks-Bug &amp; CR_Items'!H12)</f>
        <v>45869</v>
      </c>
    </row>
    <row r="13" spans="1:6">
      <c r="A13" t="str">
        <f>'SOW, Feedbacks-Bug &amp; CR_Items'!D13</f>
        <v>DPDP</v>
      </c>
      <c r="B13" t="str">
        <f>'SOW, Feedbacks-Bug &amp; CR_Items'!E13</f>
        <v>Milestone 5</v>
      </c>
      <c r="C13" t="str">
        <f>TRIM('SOW, Feedbacks-Bug &amp; CR_Items'!F13)</f>
        <v>DEV - WIP</v>
      </c>
      <c r="D13" t="str">
        <f>IFERROR(VLOOKUP(C13,Config!$A:$B,2,0),"Unknown")</f>
        <v>In Development</v>
      </c>
      <c r="E13" t="str">
        <f>IFERROR(VLOOKUP(C13,Config!$A:$C,3,0),"N/A")</f>
        <v>Pending</v>
      </c>
      <c r="F13">
        <f>IF('SOW, Feedbacks-Bug &amp; CR_Items'!H13="","",'SOW, Feedbacks-Bug &amp; CR_Items'!H13)</f>
        <v>45869</v>
      </c>
    </row>
    <row r="14" spans="1:6">
      <c r="A14" t="str">
        <f>'SOW, Feedbacks-Bug &amp; CR_Items'!D14</f>
        <v>DPDP</v>
      </c>
      <c r="B14" t="str">
        <f>'SOW, Feedbacks-Bug &amp; CR_Items'!E14</f>
        <v>Milestone 5</v>
      </c>
      <c r="C14" t="str">
        <f>TRIM('SOW, Feedbacks-Bug &amp; CR_Items'!F14)</f>
        <v>DEV - WIP</v>
      </c>
      <c r="D14" t="str">
        <f>IFERROR(VLOOKUP(C14,Config!$A:$B,2,0),"Unknown")</f>
        <v>In Development</v>
      </c>
      <c r="E14" t="str">
        <f>IFERROR(VLOOKUP(C14,Config!$A:$C,3,0),"N/A")</f>
        <v>Pending</v>
      </c>
      <c r="F14">
        <f>IF('SOW, Feedbacks-Bug &amp; CR_Items'!H14="","",'SOW, Feedbacks-Bug &amp; CR_Items'!H14)</f>
        <v>45869</v>
      </c>
    </row>
    <row r="15" spans="1:6">
      <c r="A15" t="str">
        <f>'SOW, Feedbacks-Bug &amp; CR_Items'!D15</f>
        <v>DPDP</v>
      </c>
      <c r="B15" t="str">
        <f>'SOW, Feedbacks-Bug &amp; CR_Items'!E15</f>
        <v>Milestone 5</v>
      </c>
      <c r="C15" t="str">
        <f>TRIM('SOW, Feedbacks-Bug &amp; CR_Items'!F15)</f>
        <v>QA - WIP</v>
      </c>
      <c r="D15" t="str">
        <f>IFERROR(VLOOKUP(C15,Config!$A:$B,2,0),"Unknown")</f>
        <v>In QA</v>
      </c>
      <c r="E15" t="str">
        <f>IFERROR(VLOOKUP(C15,Config!$A:$C,3,0),"N/A")</f>
        <v>Pending</v>
      </c>
      <c r="F15">
        <f>IF('SOW, Feedbacks-Bug &amp; CR_Items'!H15="","",'SOW, Feedbacks-Bug &amp; CR_Items'!H15)</f>
        <v>45869</v>
      </c>
    </row>
    <row r="16" spans="1:6">
      <c r="A16" t="str">
        <f>'SOW, Feedbacks-Bug &amp; CR_Items'!D16</f>
        <v>DPDP</v>
      </c>
      <c r="B16" t="str">
        <f>'SOW, Feedbacks-Bug &amp; CR_Items'!E16</f>
        <v>Milestone 5</v>
      </c>
      <c r="C16" t="str">
        <f>TRIM('SOW, Feedbacks-Bug &amp; CR_Items'!F16)</f>
        <v>Yet to start</v>
      </c>
      <c r="D16" t="str">
        <f>IFERROR(VLOOKUP(C16,Config!$A:$B,2,0),"Unknown")</f>
        <v>Not Started</v>
      </c>
      <c r="E16" t="str">
        <f>IFERROR(VLOOKUP(C16,Config!$A:$C,3,0),"N/A")</f>
        <v>Pending</v>
      </c>
      <c r="F16">
        <f>IF('SOW, Feedbacks-Bug &amp; CR_Items'!H16="","",'SOW, Feedbacks-Bug &amp; CR_Items'!H16)</f>
        <v>45869</v>
      </c>
    </row>
    <row r="17" spans="1:6">
      <c r="A17" t="str">
        <f>'SOW, Feedbacks-Bug &amp; CR_Items'!D17</f>
        <v>DPDP</v>
      </c>
      <c r="B17" t="str">
        <f>'SOW, Feedbacks-Bug &amp; CR_Items'!E17</f>
        <v>Milestone 5</v>
      </c>
      <c r="C17" t="str">
        <f>TRIM('SOW, Feedbacks-Bug &amp; CR_Items'!F17)</f>
        <v>DEV - WIP</v>
      </c>
      <c r="D17" t="str">
        <f>IFERROR(VLOOKUP(C17,Config!$A:$B,2,0),"Unknown")</f>
        <v>In Development</v>
      </c>
      <c r="E17" t="str">
        <f>IFERROR(VLOOKUP(C17,Config!$A:$C,3,0),"N/A")</f>
        <v>Pending</v>
      </c>
      <c r="F17">
        <f>IF('SOW, Feedbacks-Bug &amp; CR_Items'!H17="","",'SOW, Feedbacks-Bug &amp; CR_Items'!H17)</f>
        <v>45869</v>
      </c>
    </row>
    <row r="18" spans="1:6">
      <c r="A18" t="str">
        <f>'SOW, Feedbacks-Bug &amp; CR_Items'!D18</f>
        <v>DPDP</v>
      </c>
      <c r="B18" t="str">
        <f>'SOW, Feedbacks-Bug &amp; CR_Items'!E18</f>
        <v>Milestone 5</v>
      </c>
      <c r="C18" t="str">
        <f>TRIM('SOW, Feedbacks-Bug &amp; CR_Items'!F18)</f>
        <v>Pre-PROD</v>
      </c>
      <c r="D18" t="str">
        <f>IFERROR(VLOOKUP(C18,Config!$A:$B,2,0),"Unknown")</f>
        <v>Pre-PROD / UAT</v>
      </c>
      <c r="E18" t="str">
        <f>IFERROR(VLOOKUP(C18,Config!$A:$C,3,0),"N/A")</f>
        <v>Pending</v>
      </c>
      <c r="F18">
        <f>IF('SOW, Feedbacks-Bug &amp; CR_Items'!H18="","",'SOW, Feedbacks-Bug &amp; CR_Items'!H18)</f>
        <v>45869</v>
      </c>
    </row>
    <row r="19" spans="1:6">
      <c r="A19" t="str">
        <f>'SOW, Feedbacks-Bug &amp; CR_Items'!D19</f>
        <v>Framework</v>
      </c>
      <c r="B19" t="str">
        <f>'SOW, Feedbacks-Bug &amp; CR_Items'!E19</f>
        <v>Milestone 1</v>
      </c>
      <c r="C19" t="str">
        <f>TRIM('SOW, Feedbacks-Bug &amp; CR_Items'!F19)</f>
        <v>Delivered</v>
      </c>
      <c r="D19" t="str">
        <f>IFERROR(VLOOKUP(C19,Config!$A:$B,2,0),"Unknown")</f>
        <v>Delivered</v>
      </c>
      <c r="E19" t="str">
        <f>IFERROR(VLOOKUP(C19,Config!$A:$C,3,0),"N/A")</f>
        <v>Delivered</v>
      </c>
      <c r="F19">
        <f>IF('SOW, Feedbacks-Bug &amp; CR_Items'!H19="","",'SOW, Feedbacks-Bug &amp; CR_Items'!H19)</f>
        <v>45717</v>
      </c>
    </row>
    <row r="20" spans="1:6">
      <c r="A20" t="str">
        <f>'SOW, Feedbacks-Bug &amp; CR_Items'!D20</f>
        <v>Framework</v>
      </c>
      <c r="B20" t="str">
        <f>'SOW, Feedbacks-Bug &amp; CR_Items'!E20</f>
        <v>Milestone 1</v>
      </c>
      <c r="C20" t="str">
        <f>TRIM('SOW, Feedbacks-Bug &amp; CR_Items'!F20)</f>
        <v>Delivered</v>
      </c>
      <c r="D20" t="str">
        <f>IFERROR(VLOOKUP(C20,Config!$A:$B,2,0),"Unknown")</f>
        <v>Delivered</v>
      </c>
      <c r="E20" t="str">
        <f>IFERROR(VLOOKUP(C20,Config!$A:$C,3,0),"N/A")</f>
        <v>Delivered</v>
      </c>
      <c r="F20">
        <f>IF('SOW, Feedbacks-Bug &amp; CR_Items'!H20="","",'SOW, Feedbacks-Bug &amp; CR_Items'!H20)</f>
        <v>45717</v>
      </c>
    </row>
    <row r="21" spans="1:6">
      <c r="A21" t="str">
        <f>'SOW, Feedbacks-Bug &amp; CR_Items'!D21</f>
        <v>Framework</v>
      </c>
      <c r="B21" t="str">
        <f>'SOW, Feedbacks-Bug &amp; CR_Items'!E21</f>
        <v>Milestone 1</v>
      </c>
      <c r="C21" t="str">
        <f>TRIM('SOW, Feedbacks-Bug &amp; CR_Items'!F21)</f>
        <v>Delivered</v>
      </c>
      <c r="D21" t="str">
        <f>IFERROR(VLOOKUP(C21,Config!$A:$B,2,0),"Unknown")</f>
        <v>Delivered</v>
      </c>
      <c r="E21" t="str">
        <f>IFERROR(VLOOKUP(C21,Config!$A:$C,3,0),"N/A")</f>
        <v>Delivered</v>
      </c>
      <c r="F21">
        <f>IF('SOW, Feedbacks-Bug &amp; CR_Items'!H21="","",'SOW, Feedbacks-Bug &amp; CR_Items'!H21)</f>
        <v>45717</v>
      </c>
    </row>
    <row r="22" spans="1:6">
      <c r="A22" t="str">
        <f>'SOW, Feedbacks-Bug &amp; CR_Items'!D22</f>
        <v>Framework</v>
      </c>
      <c r="B22" t="str">
        <f>'SOW, Feedbacks-Bug &amp; CR_Items'!E22</f>
        <v>Milestone 1</v>
      </c>
      <c r="C22" t="str">
        <f>TRIM('SOW, Feedbacks-Bug &amp; CR_Items'!F22)</f>
        <v>Delivered</v>
      </c>
      <c r="D22" t="str">
        <f>IFERROR(VLOOKUP(C22,Config!$A:$B,2,0),"Unknown")</f>
        <v>Delivered</v>
      </c>
      <c r="E22" t="str">
        <f>IFERROR(VLOOKUP(C22,Config!$A:$C,3,0),"N/A")</f>
        <v>Delivered</v>
      </c>
      <c r="F22">
        <f>IF('SOW, Feedbacks-Bug &amp; CR_Items'!H22="","",'SOW, Feedbacks-Bug &amp; CR_Items'!H22)</f>
        <v>45717</v>
      </c>
    </row>
    <row r="23" spans="1:6">
      <c r="A23" t="str">
        <f>'SOW, Feedbacks-Bug &amp; CR_Items'!D23</f>
        <v>Framework</v>
      </c>
      <c r="B23" t="str">
        <f>'SOW, Feedbacks-Bug &amp; CR_Items'!E23</f>
        <v>Milestone 1</v>
      </c>
      <c r="C23" t="str">
        <f>TRIM('SOW, Feedbacks-Bug &amp; CR_Items'!F23)</f>
        <v>Delivered</v>
      </c>
      <c r="D23" t="str">
        <f>IFERROR(VLOOKUP(C23,Config!$A:$B,2,0),"Unknown")</f>
        <v>Delivered</v>
      </c>
      <c r="E23" t="str">
        <f>IFERROR(VLOOKUP(C23,Config!$A:$C,3,0),"N/A")</f>
        <v>Delivered</v>
      </c>
      <c r="F23">
        <f>IF('SOW, Feedbacks-Bug &amp; CR_Items'!H23="","",'SOW, Feedbacks-Bug &amp; CR_Items'!H23)</f>
        <v>45717</v>
      </c>
    </row>
    <row r="24" spans="1:6">
      <c r="A24" t="str">
        <f>'SOW, Feedbacks-Bug &amp; CR_Items'!D24</f>
        <v>Framework</v>
      </c>
      <c r="B24" t="str">
        <f>'SOW, Feedbacks-Bug &amp; CR_Items'!E24</f>
        <v>Milestone 1</v>
      </c>
      <c r="C24" t="str">
        <f>TRIM('SOW, Feedbacks-Bug &amp; CR_Items'!F24)</f>
        <v>Delivered</v>
      </c>
      <c r="D24" t="str">
        <f>IFERROR(VLOOKUP(C24,Config!$A:$B,2,0),"Unknown")</f>
        <v>Delivered</v>
      </c>
      <c r="E24" t="str">
        <f>IFERROR(VLOOKUP(C24,Config!$A:$C,3,0),"N/A")</f>
        <v>Delivered</v>
      </c>
      <c r="F24">
        <f>IF('SOW, Feedbacks-Bug &amp; CR_Items'!H24="","",'SOW, Feedbacks-Bug &amp; CR_Items'!H24)</f>
        <v>45717</v>
      </c>
    </row>
    <row r="25" spans="1:6">
      <c r="A25" t="str">
        <f>'SOW, Feedbacks-Bug &amp; CR_Items'!D25</f>
        <v>Framework</v>
      </c>
      <c r="B25" t="str">
        <f>'SOW, Feedbacks-Bug &amp; CR_Items'!E25</f>
        <v>Milestone 1</v>
      </c>
      <c r="C25" t="str">
        <f>TRIM('SOW, Feedbacks-Bug &amp; CR_Items'!F25)</f>
        <v>Delivered</v>
      </c>
      <c r="D25" t="str">
        <f>IFERROR(VLOOKUP(C25,Config!$A:$B,2,0),"Unknown")</f>
        <v>Delivered</v>
      </c>
      <c r="E25" t="str">
        <f>IFERROR(VLOOKUP(C25,Config!$A:$C,3,0),"N/A")</f>
        <v>Delivered</v>
      </c>
      <c r="F25">
        <f>IF('SOW, Feedbacks-Bug &amp; CR_Items'!H25="","",'SOW, Feedbacks-Bug &amp; CR_Items'!H25)</f>
        <v>45717</v>
      </c>
    </row>
    <row r="26" spans="1:6">
      <c r="A26" t="str">
        <f>'SOW, Feedbacks-Bug &amp; CR_Items'!D26</f>
        <v>Framework</v>
      </c>
      <c r="B26" t="str">
        <f>'SOW, Feedbacks-Bug &amp; CR_Items'!E26</f>
        <v>Milestone 1</v>
      </c>
      <c r="C26" t="str">
        <f>TRIM('SOW, Feedbacks-Bug &amp; CR_Items'!F26)</f>
        <v>Delivered</v>
      </c>
      <c r="D26" t="str">
        <f>IFERROR(VLOOKUP(C26,Config!$A:$B,2,0),"Unknown")</f>
        <v>Delivered</v>
      </c>
      <c r="E26" t="str">
        <f>IFERROR(VLOOKUP(C26,Config!$A:$C,3,0),"N/A")</f>
        <v>Delivered</v>
      </c>
      <c r="F26">
        <f>IF('SOW, Feedbacks-Bug &amp; CR_Items'!H26="","",'SOW, Feedbacks-Bug &amp; CR_Items'!H26)</f>
        <v>45717</v>
      </c>
    </row>
    <row r="27" spans="1:6">
      <c r="A27" t="str">
        <f>'SOW, Feedbacks-Bug &amp; CR_Items'!D27</f>
        <v>Framework</v>
      </c>
      <c r="B27" t="str">
        <f>'SOW, Feedbacks-Bug &amp; CR_Items'!E27</f>
        <v>Milestone 1</v>
      </c>
      <c r="C27" t="str">
        <f>TRIM('SOW, Feedbacks-Bug &amp; CR_Items'!F27)</f>
        <v>Delivered</v>
      </c>
      <c r="D27" t="str">
        <f>IFERROR(VLOOKUP(C27,Config!$A:$B,2,0),"Unknown")</f>
        <v>Delivered</v>
      </c>
      <c r="E27" t="str">
        <f>IFERROR(VLOOKUP(C27,Config!$A:$C,3,0),"N/A")</f>
        <v>Delivered</v>
      </c>
      <c r="F27">
        <f>IF('SOW, Feedbacks-Bug &amp; CR_Items'!H27="","",'SOW, Feedbacks-Bug &amp; CR_Items'!H27)</f>
        <v>45717</v>
      </c>
    </row>
    <row r="28" spans="1:6">
      <c r="A28" t="str">
        <f>'SOW, Feedbacks-Bug &amp; CR_Items'!D28</f>
        <v>Framework</v>
      </c>
      <c r="B28" t="str">
        <f>'SOW, Feedbacks-Bug &amp; CR_Items'!E28</f>
        <v>Milestone 1</v>
      </c>
      <c r="C28" t="str">
        <f>TRIM('SOW, Feedbacks-Bug &amp; CR_Items'!F28)</f>
        <v>Delivered</v>
      </c>
      <c r="D28" t="str">
        <f>IFERROR(VLOOKUP(C28,Config!$A:$B,2,0),"Unknown")</f>
        <v>Delivered</v>
      </c>
      <c r="E28" t="str">
        <f>IFERROR(VLOOKUP(C28,Config!$A:$C,3,0),"N/A")</f>
        <v>Delivered</v>
      </c>
      <c r="F28">
        <f>IF('SOW, Feedbacks-Bug &amp; CR_Items'!H28="","",'SOW, Feedbacks-Bug &amp; CR_Items'!H28)</f>
        <v>45717</v>
      </c>
    </row>
    <row r="29" spans="1:6">
      <c r="A29" t="str">
        <f>'SOW, Feedbacks-Bug &amp; CR_Items'!D29</f>
        <v>Framework</v>
      </c>
      <c r="B29" t="str">
        <f>'SOW, Feedbacks-Bug &amp; CR_Items'!E29</f>
        <v>Milestone 2</v>
      </c>
      <c r="C29" t="str">
        <f>TRIM('SOW, Feedbacks-Bug &amp; CR_Items'!F29)</f>
        <v>Delivered</v>
      </c>
      <c r="D29" t="str">
        <f>IFERROR(VLOOKUP(C29,Config!$A:$B,2,0),"Unknown")</f>
        <v>Delivered</v>
      </c>
      <c r="E29" t="str">
        <f>IFERROR(VLOOKUP(C29,Config!$A:$C,3,0),"N/A")</f>
        <v>Delivered</v>
      </c>
      <c r="F29">
        <f>IF('SOW, Feedbacks-Bug &amp; CR_Items'!H29="","",'SOW, Feedbacks-Bug &amp; CR_Items'!H29)</f>
        <v>45763</v>
      </c>
    </row>
    <row r="30" spans="1:6">
      <c r="A30" t="str">
        <f>'SOW, Feedbacks-Bug &amp; CR_Items'!D30</f>
        <v>Framework</v>
      </c>
      <c r="B30" t="str">
        <f>'SOW, Feedbacks-Bug &amp; CR_Items'!E30</f>
        <v>Milestone 2</v>
      </c>
      <c r="C30" t="str">
        <f>TRIM('SOW, Feedbacks-Bug &amp; CR_Items'!F30)</f>
        <v>Delivered</v>
      </c>
      <c r="D30" t="str">
        <f>IFERROR(VLOOKUP(C30,Config!$A:$B,2,0),"Unknown")</f>
        <v>Delivered</v>
      </c>
      <c r="E30" t="str">
        <f>IFERROR(VLOOKUP(C30,Config!$A:$C,3,0),"N/A")</f>
        <v>Delivered</v>
      </c>
      <c r="F30">
        <f>IF('SOW, Feedbacks-Bug &amp; CR_Items'!H30="","",'SOW, Feedbacks-Bug &amp; CR_Items'!H30)</f>
        <v>45763</v>
      </c>
    </row>
    <row r="31" spans="1:6">
      <c r="A31" t="str">
        <f>'SOW, Feedbacks-Bug &amp; CR_Items'!D31</f>
        <v>Framework</v>
      </c>
      <c r="B31" t="str">
        <f>'SOW, Feedbacks-Bug &amp; CR_Items'!E31</f>
        <v>Milestone 2</v>
      </c>
      <c r="C31" t="str">
        <f>TRIM('SOW, Feedbacks-Bug &amp; CR_Items'!F31)</f>
        <v>Delivered</v>
      </c>
      <c r="D31" t="str">
        <f>IFERROR(VLOOKUP(C31,Config!$A:$B,2,0),"Unknown")</f>
        <v>Delivered</v>
      </c>
      <c r="E31" t="str">
        <f>IFERROR(VLOOKUP(C31,Config!$A:$C,3,0),"N/A")</f>
        <v>Delivered</v>
      </c>
      <c r="F31">
        <f>IF('SOW, Feedbacks-Bug &amp; CR_Items'!H31="","",'SOW, Feedbacks-Bug &amp; CR_Items'!H31)</f>
        <v>45763</v>
      </c>
    </row>
    <row r="32" spans="1:6">
      <c r="A32" t="str">
        <f>'SOW, Feedbacks-Bug &amp; CR_Items'!D32</f>
        <v>Framework</v>
      </c>
      <c r="B32" t="str">
        <f>'SOW, Feedbacks-Bug &amp; CR_Items'!E32</f>
        <v>Milestone 2</v>
      </c>
      <c r="C32" t="str">
        <f>TRIM('SOW, Feedbacks-Bug &amp; CR_Items'!F32)</f>
        <v>Delivered</v>
      </c>
      <c r="D32" t="str">
        <f>IFERROR(VLOOKUP(C32,Config!$A:$B,2,0),"Unknown")</f>
        <v>Delivered</v>
      </c>
      <c r="E32" t="str">
        <f>IFERROR(VLOOKUP(C32,Config!$A:$C,3,0),"N/A")</f>
        <v>Delivered</v>
      </c>
      <c r="F32">
        <f>IF('SOW, Feedbacks-Bug &amp; CR_Items'!H32="","",'SOW, Feedbacks-Bug &amp; CR_Items'!H32)</f>
        <v>45763</v>
      </c>
    </row>
    <row r="33" spans="1:6">
      <c r="A33" t="str">
        <f>'SOW, Feedbacks-Bug &amp; CR_Items'!D33</f>
        <v>Framework</v>
      </c>
      <c r="B33" t="str">
        <f>'SOW, Feedbacks-Bug &amp; CR_Items'!E33</f>
        <v>Milestone 2</v>
      </c>
      <c r="C33" t="str">
        <f>TRIM('SOW, Feedbacks-Bug &amp; CR_Items'!F33)</f>
        <v>Delivered</v>
      </c>
      <c r="D33" t="str">
        <f>IFERROR(VLOOKUP(C33,Config!$A:$B,2,0),"Unknown")</f>
        <v>Delivered</v>
      </c>
      <c r="E33" t="str">
        <f>IFERROR(VLOOKUP(C33,Config!$A:$C,3,0),"N/A")</f>
        <v>Delivered</v>
      </c>
      <c r="F33">
        <f>IF('SOW, Feedbacks-Bug &amp; CR_Items'!H33="","",'SOW, Feedbacks-Bug &amp; CR_Items'!H33)</f>
        <v>45763</v>
      </c>
    </row>
    <row r="34" spans="1:6">
      <c r="A34" t="str">
        <f>'SOW, Feedbacks-Bug &amp; CR_Items'!D34</f>
        <v>Framework</v>
      </c>
      <c r="B34" t="str">
        <f>'SOW, Feedbacks-Bug &amp; CR_Items'!E34</f>
        <v>Milestone 4</v>
      </c>
      <c r="C34" t="str">
        <f>TRIM('SOW, Feedbacks-Bug &amp; CR_Items'!F34)</f>
        <v>Pre-PROD</v>
      </c>
      <c r="D34" t="str">
        <f>IFERROR(VLOOKUP(C34,Config!$A:$B,2,0),"Unknown")</f>
        <v>Pre-PROD / UAT</v>
      </c>
      <c r="E34" t="str">
        <f>IFERROR(VLOOKUP(C34,Config!$A:$C,3,0),"N/A")</f>
        <v>Pending</v>
      </c>
      <c r="F34">
        <f>IF('SOW, Feedbacks-Bug &amp; CR_Items'!H34="","",'SOW, Feedbacks-Bug &amp; CR_Items'!H34)</f>
        <v>45818</v>
      </c>
    </row>
    <row r="35" spans="1:6">
      <c r="A35" t="str">
        <f>'SOW, Feedbacks-Bug &amp; CR_Items'!D35</f>
        <v>Framework</v>
      </c>
      <c r="B35" t="str">
        <f>'SOW, Feedbacks-Bug &amp; CR_Items'!E35</f>
        <v>Milestone 4</v>
      </c>
      <c r="C35" t="str">
        <f>TRIM('SOW, Feedbacks-Bug &amp; CR_Items'!F35)</f>
        <v>Yet to start</v>
      </c>
      <c r="D35" t="str">
        <f>IFERROR(VLOOKUP(C35,Config!$A:$B,2,0),"Unknown")</f>
        <v>Not Started</v>
      </c>
      <c r="E35" t="str">
        <f>IFERROR(VLOOKUP(C35,Config!$A:$C,3,0),"N/A")</f>
        <v>Pending</v>
      </c>
      <c r="F35">
        <f>IF('SOW, Feedbacks-Bug &amp; CR_Items'!H35="","",'SOW, Feedbacks-Bug &amp; CR_Items'!H35)</f>
        <v>45818</v>
      </c>
    </row>
    <row r="36" spans="1:6">
      <c r="A36" t="str">
        <f>'SOW, Feedbacks-Bug &amp; CR_Items'!D36</f>
        <v>Framework</v>
      </c>
      <c r="B36" t="str">
        <f>'SOW, Feedbacks-Bug &amp; CR_Items'!E36</f>
        <v>Milestone 4</v>
      </c>
      <c r="C36" t="str">
        <f>TRIM('SOW, Feedbacks-Bug &amp; CR_Items'!F36)</f>
        <v>Delivered - Deficit</v>
      </c>
      <c r="D36" t="str">
        <f>IFERROR(VLOOKUP(C36,Config!$A:$B,2,0),"Unknown")</f>
        <v>Partial Delivery</v>
      </c>
      <c r="E36" t="str">
        <f>IFERROR(VLOOKUP(C36,Config!$A:$C,3,0),"N/A")</f>
        <v>Pending</v>
      </c>
      <c r="F36">
        <f>IF('SOW, Feedbacks-Bug &amp; CR_Items'!H36="","",'SOW, Feedbacks-Bug &amp; CR_Items'!H36)</f>
        <v>45818</v>
      </c>
    </row>
    <row r="37" spans="1:6">
      <c r="A37" t="str">
        <f>'SOW, Feedbacks-Bug &amp; CR_Items'!D37</f>
        <v>IBP</v>
      </c>
      <c r="B37" t="str">
        <f>'SOW, Feedbacks-Bug &amp; CR_Items'!E37</f>
        <v>Milestone 4</v>
      </c>
      <c r="C37" t="str">
        <f>TRIM('SOW, Feedbacks-Bug &amp; CR_Items'!F37)</f>
        <v>Delivered</v>
      </c>
      <c r="D37" t="str">
        <f>IFERROR(VLOOKUP(C37,Config!$A:$B,2,0),"Unknown")</f>
        <v>Delivered</v>
      </c>
      <c r="E37" t="str">
        <f>IFERROR(VLOOKUP(C37,Config!$A:$C,3,0),"N/A")</f>
        <v>Delivered</v>
      </c>
      <c r="F37">
        <f>IF('SOW, Feedbacks-Bug &amp; CR_Items'!H37="","",'SOW, Feedbacks-Bug &amp; CR_Items'!H37)</f>
        <v>45818</v>
      </c>
    </row>
    <row r="38" spans="1:6">
      <c r="A38" t="str">
        <f>'SOW, Feedbacks-Bug &amp; CR_Items'!D38</f>
        <v>IBP</v>
      </c>
      <c r="B38" t="str">
        <f>'SOW, Feedbacks-Bug &amp; CR_Items'!E38</f>
        <v>Milestone 4</v>
      </c>
      <c r="C38" t="str">
        <f>TRIM('SOW, Feedbacks-Bug &amp; CR_Items'!F38)</f>
        <v>Delivered</v>
      </c>
      <c r="D38" t="str">
        <f>IFERROR(VLOOKUP(C38,Config!$A:$B,2,0),"Unknown")</f>
        <v>Delivered</v>
      </c>
      <c r="E38" t="str">
        <f>IFERROR(VLOOKUP(C38,Config!$A:$C,3,0),"N/A")</f>
        <v>Delivered</v>
      </c>
      <c r="F38">
        <f>IF('SOW, Feedbacks-Bug &amp; CR_Items'!H38="","",'SOW, Feedbacks-Bug &amp; CR_Items'!H38)</f>
        <v>45818</v>
      </c>
    </row>
    <row r="39" spans="1:6">
      <c r="A39" t="str">
        <f>'SOW, Feedbacks-Bug &amp; CR_Items'!D39</f>
        <v>IBP</v>
      </c>
      <c r="B39" t="str">
        <f>'SOW, Feedbacks-Bug &amp; CR_Items'!E39</f>
        <v>Milestone 4</v>
      </c>
      <c r="C39" t="str">
        <f>TRIM('SOW, Feedbacks-Bug &amp; CR_Items'!F39)</f>
        <v>Delivered</v>
      </c>
      <c r="D39" t="str">
        <f>IFERROR(VLOOKUP(C39,Config!$A:$B,2,0),"Unknown")</f>
        <v>Delivered</v>
      </c>
      <c r="E39" t="str">
        <f>IFERROR(VLOOKUP(C39,Config!$A:$C,3,0),"N/A")</f>
        <v>Delivered</v>
      </c>
      <c r="F39">
        <f>IF('SOW, Feedbacks-Bug &amp; CR_Items'!H39="","",'SOW, Feedbacks-Bug &amp; CR_Items'!H39)</f>
        <v>45818</v>
      </c>
    </row>
    <row r="40" spans="1:6">
      <c r="A40" t="str">
        <f>'SOW, Feedbacks-Bug &amp; CR_Items'!D40</f>
        <v>NFR</v>
      </c>
      <c r="B40" t="str">
        <f>'SOW, Feedbacks-Bug &amp; CR_Items'!E40</f>
        <v>Milestone 4</v>
      </c>
      <c r="C40" t="str">
        <f>TRIM('SOW, Feedbacks-Bug &amp; CR_Items'!F40)</f>
        <v>Delivered - Deficit</v>
      </c>
      <c r="D40" t="str">
        <f>IFERROR(VLOOKUP(C40,Config!$A:$B,2,0),"Unknown")</f>
        <v>Partial Delivery</v>
      </c>
      <c r="E40" t="str">
        <f>IFERROR(VLOOKUP(C40,Config!$A:$C,3,0),"N/A")</f>
        <v>Pending</v>
      </c>
      <c r="F40">
        <f>IF('SOW, Feedbacks-Bug &amp; CR_Items'!H40="","",'SOW, Feedbacks-Bug &amp; CR_Items'!H40)</f>
        <v>45818</v>
      </c>
    </row>
    <row r="41" spans="1:6">
      <c r="A41" t="str">
        <f>'SOW, Feedbacks-Bug &amp; CR_Items'!D41</f>
        <v>IBP</v>
      </c>
      <c r="B41" t="str">
        <f>'SOW, Feedbacks-Bug &amp; CR_Items'!E41</f>
        <v>Milestone 4</v>
      </c>
      <c r="C41" t="str">
        <f>TRIM('SOW, Feedbacks-Bug &amp; CR_Items'!F41)</f>
        <v>Pre-PROD</v>
      </c>
      <c r="D41" t="str">
        <f>IFERROR(VLOOKUP(C41,Config!$A:$B,2,0),"Unknown")</f>
        <v>Pre-PROD / UAT</v>
      </c>
      <c r="E41" t="str">
        <f>IFERROR(VLOOKUP(C41,Config!$A:$C,3,0),"N/A")</f>
        <v>Pending</v>
      </c>
      <c r="F41">
        <f>IF('SOW, Feedbacks-Bug &amp; CR_Items'!H41="","",'SOW, Feedbacks-Bug &amp; CR_Items'!H41)</f>
        <v>45818</v>
      </c>
    </row>
    <row r="42" spans="1:6">
      <c r="A42" t="str">
        <f>'SOW, Feedbacks-Bug &amp; CR_Items'!D42</f>
        <v>NFR</v>
      </c>
      <c r="B42" t="str">
        <f>'SOW, Feedbacks-Bug &amp; CR_Items'!E42</f>
        <v>Milestone 5</v>
      </c>
      <c r="C42" t="str">
        <f>TRIM('SOW, Feedbacks-Bug &amp; CR_Items'!F42)</f>
        <v>Delivered</v>
      </c>
      <c r="D42" t="str">
        <f>IFERROR(VLOOKUP(C42,Config!$A:$B,2,0),"Unknown")</f>
        <v>Delivered</v>
      </c>
      <c r="E42" t="str">
        <f>IFERROR(VLOOKUP(C42,Config!$A:$C,3,0),"N/A")</f>
        <v>Delivered</v>
      </c>
      <c r="F42">
        <f>IF('SOW, Feedbacks-Bug &amp; CR_Items'!H42="","",'SOW, Feedbacks-Bug &amp; CR_Items'!H42)</f>
        <v>45869</v>
      </c>
    </row>
    <row r="43" spans="1:6">
      <c r="A43" t="str">
        <f>'SOW, Feedbacks-Bug &amp; CR_Items'!D43</f>
        <v>NFR</v>
      </c>
      <c r="B43" t="str">
        <f>'SOW, Feedbacks-Bug &amp; CR_Items'!E43</f>
        <v>Milestone 5</v>
      </c>
      <c r="C43" t="str">
        <f>TRIM('SOW, Feedbacks-Bug &amp; CR_Items'!F43)</f>
        <v>Yet to start</v>
      </c>
      <c r="D43" t="str">
        <f>IFERROR(VLOOKUP(C43,Config!$A:$B,2,0),"Unknown")</f>
        <v>Not Started</v>
      </c>
      <c r="E43" t="str">
        <f>IFERROR(VLOOKUP(C43,Config!$A:$C,3,0),"N/A")</f>
        <v>Pending</v>
      </c>
      <c r="F43">
        <f>IF('SOW, Feedbacks-Bug &amp; CR_Items'!H43="","",'SOW, Feedbacks-Bug &amp; CR_Items'!H43)</f>
        <v>45869</v>
      </c>
    </row>
    <row r="44" spans="1:6">
      <c r="A44" t="str">
        <f>'SOW, Feedbacks-Bug &amp; CR_Items'!D44</f>
        <v>NFR</v>
      </c>
      <c r="B44" t="str">
        <f>'SOW, Feedbacks-Bug &amp; CR_Items'!E44</f>
        <v>Milestone 5</v>
      </c>
      <c r="C44" t="str">
        <f>TRIM('SOW, Feedbacks-Bug &amp; CR_Items'!F44)</f>
        <v>DEV - WIP</v>
      </c>
      <c r="D44" t="str">
        <f>IFERROR(VLOOKUP(C44,Config!$A:$B,2,0),"Unknown")</f>
        <v>In Development</v>
      </c>
      <c r="E44" t="str">
        <f>IFERROR(VLOOKUP(C44,Config!$A:$C,3,0),"N/A")</f>
        <v>Pending</v>
      </c>
      <c r="F44">
        <f>IF('SOW, Feedbacks-Bug &amp; CR_Items'!H44="","",'SOW, Feedbacks-Bug &amp; CR_Items'!H44)</f>
        <v>45869</v>
      </c>
    </row>
    <row r="45" spans="1:6">
      <c r="A45" t="str">
        <f>'SOW, Feedbacks-Bug &amp; CR_Items'!D45</f>
        <v>Framework</v>
      </c>
      <c r="B45" t="str">
        <f>'SOW, Feedbacks-Bug &amp; CR_Items'!E45</f>
        <v>Milestone 1</v>
      </c>
      <c r="C45" t="str">
        <f>TRIM('SOW, Feedbacks-Bug &amp; CR_Items'!F45)</f>
        <v>Delivered</v>
      </c>
      <c r="D45" t="str">
        <f>IFERROR(VLOOKUP(C45,Config!$A:$B,2,0),"Unknown")</f>
        <v>Delivered</v>
      </c>
      <c r="E45" t="str">
        <f>IFERROR(VLOOKUP(C45,Config!$A:$C,3,0),"N/A")</f>
        <v>Delivered</v>
      </c>
      <c r="F45">
        <f>IF('SOW, Feedbacks-Bug &amp; CR_Items'!H45="","",'SOW, Feedbacks-Bug &amp; CR_Items'!H45)</f>
        <v>45717</v>
      </c>
    </row>
    <row r="46" spans="1:6">
      <c r="A46" t="str">
        <f>'SOW, Feedbacks-Bug &amp; CR_Items'!D46</f>
        <v>Framework</v>
      </c>
      <c r="B46" t="str">
        <f>'SOW, Feedbacks-Bug &amp; CR_Items'!E46</f>
        <v>Milestone 2</v>
      </c>
      <c r="C46" t="str">
        <f>TRIM('SOW, Feedbacks-Bug &amp; CR_Items'!F46)</f>
        <v>Delivered</v>
      </c>
      <c r="D46" t="str">
        <f>IFERROR(VLOOKUP(C46,Config!$A:$B,2,0),"Unknown")</f>
        <v>Delivered</v>
      </c>
      <c r="E46" t="str">
        <f>IFERROR(VLOOKUP(C46,Config!$A:$C,3,0),"N/A")</f>
        <v>Delivered</v>
      </c>
      <c r="F46">
        <f>IF('SOW, Feedbacks-Bug &amp; CR_Items'!H46="","",'SOW, Feedbacks-Bug &amp; CR_Items'!H46)</f>
        <v>45763</v>
      </c>
    </row>
    <row r="47" spans="1:6">
      <c r="A47" t="str">
        <f>'SOW, Feedbacks-Bug &amp; CR_Items'!D47</f>
        <v>Framework</v>
      </c>
      <c r="B47" t="str">
        <f>'SOW, Feedbacks-Bug &amp; CR_Items'!E47</f>
        <v>Milestone 2</v>
      </c>
      <c r="C47" t="str">
        <f>TRIM('SOW, Feedbacks-Bug &amp; CR_Items'!F47)</f>
        <v>Delivered</v>
      </c>
      <c r="D47" t="str">
        <f>IFERROR(VLOOKUP(C47,Config!$A:$B,2,0),"Unknown")</f>
        <v>Delivered</v>
      </c>
      <c r="E47" t="str">
        <f>IFERROR(VLOOKUP(C47,Config!$A:$C,3,0),"N/A")</f>
        <v>Delivered</v>
      </c>
      <c r="F47">
        <f>IF('SOW, Feedbacks-Bug &amp; CR_Items'!H47="","",'SOW, Feedbacks-Bug &amp; CR_Items'!H47)</f>
        <v>45763</v>
      </c>
    </row>
    <row r="48" spans="1:6">
      <c r="A48" t="str">
        <f>'SOW, Feedbacks-Bug &amp; CR_Items'!D48</f>
        <v>Framework</v>
      </c>
      <c r="B48" t="str">
        <f>'SOW, Feedbacks-Bug &amp; CR_Items'!E48</f>
        <v>Milestone 2</v>
      </c>
      <c r="C48" t="str">
        <f>TRIM('SOW, Feedbacks-Bug &amp; CR_Items'!F48)</f>
        <v>Delivered</v>
      </c>
      <c r="D48" t="str">
        <f>IFERROR(VLOOKUP(C48,Config!$A:$B,2,0),"Unknown")</f>
        <v>Delivered</v>
      </c>
      <c r="E48" t="str">
        <f>IFERROR(VLOOKUP(C48,Config!$A:$C,3,0),"N/A")</f>
        <v>Delivered</v>
      </c>
      <c r="F48">
        <f>IF('SOW, Feedbacks-Bug &amp; CR_Items'!H48="","",'SOW, Feedbacks-Bug &amp; CR_Items'!H48)</f>
        <v>45763</v>
      </c>
    </row>
    <row r="49" spans="1:6">
      <c r="A49" t="str">
        <f>'SOW, Feedbacks-Bug &amp; CR_Items'!D49</f>
        <v>Framework</v>
      </c>
      <c r="B49" t="str">
        <f>'SOW, Feedbacks-Bug &amp; CR_Items'!E49</f>
        <v>Milestone 2</v>
      </c>
      <c r="C49" t="str">
        <f>TRIM('SOW, Feedbacks-Bug &amp; CR_Items'!F49)</f>
        <v>Delivered</v>
      </c>
      <c r="D49" t="str">
        <f>IFERROR(VLOOKUP(C49,Config!$A:$B,2,0),"Unknown")</f>
        <v>Delivered</v>
      </c>
      <c r="E49" t="str">
        <f>IFERROR(VLOOKUP(C49,Config!$A:$C,3,0),"N/A")</f>
        <v>Delivered</v>
      </c>
      <c r="F49">
        <f>IF('SOW, Feedbacks-Bug &amp; CR_Items'!H49="","",'SOW, Feedbacks-Bug &amp; CR_Items'!H49)</f>
        <v>45763</v>
      </c>
    </row>
    <row r="50" spans="1:6">
      <c r="A50" t="str">
        <f>'SOW, Feedbacks-Bug &amp; CR_Items'!D50</f>
        <v>Framework</v>
      </c>
      <c r="B50" t="str">
        <f>'SOW, Feedbacks-Bug &amp; CR_Items'!E50</f>
        <v>Milestone 4</v>
      </c>
      <c r="C50" t="str">
        <f>TRIM('SOW, Feedbacks-Bug &amp; CR_Items'!F50)</f>
        <v>Delivered</v>
      </c>
      <c r="D50" t="str">
        <f>IFERROR(VLOOKUP(C50,Config!$A:$B,2,0),"Unknown")</f>
        <v>Delivered</v>
      </c>
      <c r="E50" t="str">
        <f>IFERROR(VLOOKUP(C50,Config!$A:$C,3,0),"N/A")</f>
        <v>Delivered</v>
      </c>
      <c r="F50">
        <f>IF('SOW, Feedbacks-Bug &amp; CR_Items'!H50="","",'SOW, Feedbacks-Bug &amp; CR_Items'!H50)</f>
        <v>45818</v>
      </c>
    </row>
    <row r="51" spans="1:6">
      <c r="A51" t="str">
        <f>'SOW, Feedbacks-Bug &amp; CR_Items'!D51</f>
        <v>Framework</v>
      </c>
      <c r="B51" t="str">
        <f>'SOW, Feedbacks-Bug &amp; CR_Items'!E51</f>
        <v>Milestone 4</v>
      </c>
      <c r="C51" t="str">
        <f>TRIM('SOW, Feedbacks-Bug &amp; CR_Items'!F51)</f>
        <v>Delivered</v>
      </c>
      <c r="D51" t="str">
        <f>IFERROR(VLOOKUP(C51,Config!$A:$B,2,0),"Unknown")</f>
        <v>Delivered</v>
      </c>
      <c r="E51" t="str">
        <f>IFERROR(VLOOKUP(C51,Config!$A:$C,3,0),"N/A")</f>
        <v>Delivered</v>
      </c>
      <c r="F51">
        <f>IF('SOW, Feedbacks-Bug &amp; CR_Items'!H51="","",'SOW, Feedbacks-Bug &amp; CR_Items'!H51)</f>
        <v>45818</v>
      </c>
    </row>
    <row r="52" spans="1:6">
      <c r="A52" t="str">
        <f>'SOW, Feedbacks-Bug &amp; CR_Items'!D52</f>
        <v>Framework</v>
      </c>
      <c r="B52" t="str">
        <f>'SOW, Feedbacks-Bug &amp; CR_Items'!E52</f>
        <v>Milestone 1</v>
      </c>
      <c r="C52" t="str">
        <f>TRIM('SOW, Feedbacks-Bug &amp; CR_Items'!F52)</f>
        <v>Delivered</v>
      </c>
      <c r="D52" t="str">
        <f>IFERROR(VLOOKUP(C52,Config!$A:$B,2,0),"Unknown")</f>
        <v>Delivered</v>
      </c>
      <c r="E52" t="str">
        <f>IFERROR(VLOOKUP(C52,Config!$A:$C,3,0),"N/A")</f>
        <v>Delivered</v>
      </c>
      <c r="F52">
        <f>IF('SOW, Feedbacks-Bug &amp; CR_Items'!H52="","",'SOW, Feedbacks-Bug &amp; CR_Items'!H52)</f>
        <v>45717</v>
      </c>
    </row>
    <row r="53" spans="1:6">
      <c r="A53" t="str">
        <f>'SOW, Feedbacks-Bug &amp; CR_Items'!D53</f>
        <v>Framework</v>
      </c>
      <c r="B53" t="str">
        <f>'SOW, Feedbacks-Bug &amp; CR_Items'!E53</f>
        <v>Milestone 1</v>
      </c>
      <c r="C53" t="str">
        <f>TRIM('SOW, Feedbacks-Bug &amp; CR_Items'!F53)</f>
        <v>Delivered</v>
      </c>
      <c r="D53" t="str">
        <f>IFERROR(VLOOKUP(C53,Config!$A:$B,2,0),"Unknown")</f>
        <v>Delivered</v>
      </c>
      <c r="E53" t="str">
        <f>IFERROR(VLOOKUP(C53,Config!$A:$C,3,0),"N/A")</f>
        <v>Delivered</v>
      </c>
      <c r="F53">
        <f>IF('SOW, Feedbacks-Bug &amp; CR_Items'!H53="","",'SOW, Feedbacks-Bug &amp; CR_Items'!H53)</f>
        <v>45717</v>
      </c>
    </row>
    <row r="54" spans="1:6">
      <c r="A54" t="str">
        <f>'SOW, Feedbacks-Bug &amp; CR_Items'!D54</f>
        <v>Framework</v>
      </c>
      <c r="B54" t="str">
        <f>'SOW, Feedbacks-Bug &amp; CR_Items'!E54</f>
        <v>Milestone 2</v>
      </c>
      <c r="C54" t="str">
        <f>TRIM('SOW, Feedbacks-Bug &amp; CR_Items'!F54)</f>
        <v>Delivered</v>
      </c>
      <c r="D54" t="str">
        <f>IFERROR(VLOOKUP(C54,Config!$A:$B,2,0),"Unknown")</f>
        <v>Delivered</v>
      </c>
      <c r="E54" t="str">
        <f>IFERROR(VLOOKUP(C54,Config!$A:$C,3,0),"N/A")</f>
        <v>Delivered</v>
      </c>
      <c r="F54">
        <f>IF('SOW, Feedbacks-Bug &amp; CR_Items'!H54="","",'SOW, Feedbacks-Bug &amp; CR_Items'!H54)</f>
        <v>45763</v>
      </c>
    </row>
    <row r="55" spans="1:6">
      <c r="A55" t="str">
        <f>'SOW, Feedbacks-Bug &amp; CR_Items'!D55</f>
        <v>Framework</v>
      </c>
      <c r="B55" t="str">
        <f>'SOW, Feedbacks-Bug &amp; CR_Items'!E55</f>
        <v>Milestone 2</v>
      </c>
      <c r="C55" t="str">
        <f>TRIM('SOW, Feedbacks-Bug &amp; CR_Items'!F55)</f>
        <v>Delivered</v>
      </c>
      <c r="D55" t="str">
        <f>IFERROR(VLOOKUP(C55,Config!$A:$B,2,0),"Unknown")</f>
        <v>Delivered</v>
      </c>
      <c r="E55" t="str">
        <f>IFERROR(VLOOKUP(C55,Config!$A:$C,3,0),"N/A")</f>
        <v>Delivered</v>
      </c>
      <c r="F55">
        <f>IF('SOW, Feedbacks-Bug &amp; CR_Items'!H55="","",'SOW, Feedbacks-Bug &amp; CR_Items'!H55)</f>
        <v>45763</v>
      </c>
    </row>
    <row r="56" spans="1:6">
      <c r="A56" t="str">
        <f>'SOW, Feedbacks-Bug &amp; CR_Items'!D56</f>
        <v>Framework</v>
      </c>
      <c r="B56" t="str">
        <f>'SOW, Feedbacks-Bug &amp; CR_Items'!E56</f>
        <v>Milestone 3</v>
      </c>
      <c r="C56" t="str">
        <f>TRIM('SOW, Feedbacks-Bug &amp; CR_Items'!F56)</f>
        <v>Delivered</v>
      </c>
      <c r="D56" t="str">
        <f>IFERROR(VLOOKUP(C56,Config!$A:$B,2,0),"Unknown")</f>
        <v>Delivered</v>
      </c>
      <c r="E56" t="str">
        <f>IFERROR(VLOOKUP(C56,Config!$A:$C,3,0),"N/A")</f>
        <v>Delivered</v>
      </c>
      <c r="F56">
        <f>IF('SOW, Feedbacks-Bug &amp; CR_Items'!H56="","",'SOW, Feedbacks-Bug &amp; CR_Items'!H56)</f>
        <v>45793</v>
      </c>
    </row>
    <row r="57" spans="1:6">
      <c r="A57" t="str">
        <f>'SOW, Feedbacks-Bug &amp; CR_Items'!D57</f>
        <v>Framework</v>
      </c>
      <c r="B57" t="str">
        <f>'SOW, Feedbacks-Bug &amp; CR_Items'!E57</f>
        <v>Milestone 4</v>
      </c>
      <c r="C57" t="str">
        <f>TRIM('SOW, Feedbacks-Bug &amp; CR_Items'!F57)</f>
        <v>Delivered</v>
      </c>
      <c r="D57" t="str">
        <f>IFERROR(VLOOKUP(C57,Config!$A:$B,2,0),"Unknown")</f>
        <v>Delivered</v>
      </c>
      <c r="E57" t="str">
        <f>IFERROR(VLOOKUP(C57,Config!$A:$C,3,0),"N/A")</f>
        <v>Delivered</v>
      </c>
      <c r="F57">
        <f>IF('SOW, Feedbacks-Bug &amp; CR_Items'!H57="","",'SOW, Feedbacks-Bug &amp; CR_Items'!H57)</f>
        <v>45818</v>
      </c>
    </row>
    <row r="58" spans="1:6">
      <c r="A58" t="str">
        <f>'SOW, Feedbacks-Bug &amp; CR_Items'!D58</f>
        <v>Framework</v>
      </c>
      <c r="B58" t="str">
        <f>'SOW, Feedbacks-Bug &amp; CR_Items'!E58</f>
        <v>Milestone 4</v>
      </c>
      <c r="C58" t="str">
        <f>TRIM('SOW, Feedbacks-Bug &amp; CR_Items'!F58)</f>
        <v>Delivered</v>
      </c>
      <c r="D58" t="str">
        <f>IFERROR(VLOOKUP(C58,Config!$A:$B,2,0),"Unknown")</f>
        <v>Delivered</v>
      </c>
      <c r="E58" t="str">
        <f>IFERROR(VLOOKUP(C58,Config!$A:$C,3,0),"N/A")</f>
        <v>Delivered</v>
      </c>
      <c r="F58">
        <f>IF('SOW, Feedbacks-Bug &amp; CR_Items'!H58="","",'SOW, Feedbacks-Bug &amp; CR_Items'!H58)</f>
        <v>45818</v>
      </c>
    </row>
    <row r="59" spans="1:6">
      <c r="A59" t="str">
        <f>'SOW, Feedbacks-Bug &amp; CR_Items'!D59</f>
        <v>Framework</v>
      </c>
      <c r="B59" t="str">
        <f>'SOW, Feedbacks-Bug &amp; CR_Items'!E59</f>
        <v>Milestone 4</v>
      </c>
      <c r="C59" t="str">
        <f>TRIM('SOW, Feedbacks-Bug &amp; CR_Items'!F59)</f>
        <v>Not in scope</v>
      </c>
      <c r="D59" t="str">
        <f>IFERROR(VLOOKUP(C59,Config!$A:$B,2,0),"Unknown")</f>
        <v>Delivered</v>
      </c>
      <c r="E59" t="str">
        <f>IFERROR(VLOOKUP(C59,Config!$A:$C,3,0),"N/A")</f>
        <v>Delivered</v>
      </c>
      <c r="F59">
        <f>IF('SOW, Feedbacks-Bug &amp; CR_Items'!H59="","",'SOW, Feedbacks-Bug &amp; CR_Items'!H59)</f>
        <v>45818</v>
      </c>
    </row>
    <row r="60" spans="1:6">
      <c r="A60" t="str">
        <f>'SOW, Feedbacks-Bug &amp; CR_Items'!D60</f>
        <v>Framework</v>
      </c>
      <c r="B60" t="str">
        <f>'SOW, Feedbacks-Bug &amp; CR_Items'!E60</f>
        <v>Milestone 4</v>
      </c>
      <c r="C60" t="str">
        <f>TRIM('SOW, Feedbacks-Bug &amp; CR_Items'!F60)</f>
        <v>Not in scope</v>
      </c>
      <c r="D60" t="str">
        <f>IFERROR(VLOOKUP(C60,Config!$A:$B,2,0),"Unknown")</f>
        <v>Delivered</v>
      </c>
      <c r="E60" t="str">
        <f>IFERROR(VLOOKUP(C60,Config!$A:$C,3,0),"N/A")</f>
        <v>Delivered</v>
      </c>
      <c r="F60">
        <f>IF('SOW, Feedbacks-Bug &amp; CR_Items'!H60="","",'SOW, Feedbacks-Bug &amp; CR_Items'!H60)</f>
        <v>45818</v>
      </c>
    </row>
    <row r="61" spans="1:6">
      <c r="A61" t="str">
        <f>'SOW, Feedbacks-Bug &amp; CR_Items'!D61</f>
        <v>IBP</v>
      </c>
      <c r="B61" t="str">
        <f>'SOW, Feedbacks-Bug &amp; CR_Items'!E61</f>
        <v>Milestone 4</v>
      </c>
      <c r="C61" t="str">
        <f>TRIM('SOW, Feedbacks-Bug &amp; CR_Items'!F61)</f>
        <v>Delivered</v>
      </c>
      <c r="D61" t="str">
        <f>IFERROR(VLOOKUP(C61,Config!$A:$B,2,0),"Unknown")</f>
        <v>Delivered</v>
      </c>
      <c r="E61" t="str">
        <f>IFERROR(VLOOKUP(C61,Config!$A:$C,3,0),"N/A")</f>
        <v>Delivered</v>
      </c>
      <c r="F61">
        <f>IF('SOW, Feedbacks-Bug &amp; CR_Items'!H61="","",'SOW, Feedbacks-Bug &amp; CR_Items'!H61)</f>
        <v>45818</v>
      </c>
    </row>
    <row r="62" spans="1:6">
      <c r="A62" t="str">
        <f>'SOW, Feedbacks-Bug &amp; CR_Items'!D62</f>
        <v>IBP</v>
      </c>
      <c r="B62" t="str">
        <f>'SOW, Feedbacks-Bug &amp; CR_Items'!E62</f>
        <v>Milestone 4</v>
      </c>
      <c r="C62" t="str">
        <f>TRIM('SOW, Feedbacks-Bug &amp; CR_Items'!F62)</f>
        <v>Delivered</v>
      </c>
      <c r="D62" t="str">
        <f>IFERROR(VLOOKUP(C62,Config!$A:$B,2,0),"Unknown")</f>
        <v>Delivered</v>
      </c>
      <c r="E62" t="str">
        <f>IFERROR(VLOOKUP(C62,Config!$A:$C,3,0),"N/A")</f>
        <v>Delivered</v>
      </c>
      <c r="F62">
        <f>IF('SOW, Feedbacks-Bug &amp; CR_Items'!H62="","",'SOW, Feedbacks-Bug &amp; CR_Items'!H62)</f>
        <v>45818</v>
      </c>
    </row>
    <row r="63" spans="1:6">
      <c r="A63" t="str">
        <f>'SOW, Feedbacks-Bug &amp; CR_Items'!D63</f>
        <v>IBP</v>
      </c>
      <c r="B63" t="str">
        <f>'SOW, Feedbacks-Bug &amp; CR_Items'!E63</f>
        <v>Milestone 5</v>
      </c>
      <c r="C63" t="str">
        <f>TRIM('SOW, Feedbacks-Bug &amp; CR_Items'!F63)</f>
        <v>Delivered</v>
      </c>
      <c r="D63" t="str">
        <f>IFERROR(VLOOKUP(C63,Config!$A:$B,2,0),"Unknown")</f>
        <v>Delivered</v>
      </c>
      <c r="E63" t="str">
        <f>IFERROR(VLOOKUP(C63,Config!$A:$C,3,0),"N/A")</f>
        <v>Delivered</v>
      </c>
      <c r="F63">
        <f>IF('SOW, Feedbacks-Bug &amp; CR_Items'!H63="","",'SOW, Feedbacks-Bug &amp; CR_Items'!H63)</f>
        <v>45869</v>
      </c>
    </row>
    <row r="64" spans="1:6">
      <c r="A64" t="str">
        <f>'SOW, Feedbacks-Bug &amp; CR_Items'!D64</f>
        <v>IBP</v>
      </c>
      <c r="B64" t="str">
        <f>'SOW, Feedbacks-Bug &amp; CR_Items'!E64</f>
        <v>Milestone 4</v>
      </c>
      <c r="C64" t="str">
        <f>TRIM('SOW, Feedbacks-Bug &amp; CR_Items'!F64)</f>
        <v>Delivered</v>
      </c>
      <c r="D64" t="str">
        <f>IFERROR(VLOOKUP(C64,Config!$A:$B,2,0),"Unknown")</f>
        <v>Delivered</v>
      </c>
      <c r="E64" t="str">
        <f>IFERROR(VLOOKUP(C64,Config!$A:$C,3,0),"N/A")</f>
        <v>Delivered</v>
      </c>
      <c r="F64">
        <f>IF('SOW, Feedbacks-Bug &amp; CR_Items'!H64="","",'SOW, Feedbacks-Bug &amp; CR_Items'!H64)</f>
        <v>45818</v>
      </c>
    </row>
    <row r="65" spans="1:6">
      <c r="A65" t="str">
        <f>'SOW, Feedbacks-Bug &amp; CR_Items'!D65</f>
        <v>IBP</v>
      </c>
      <c r="B65" t="str">
        <f>'SOW, Feedbacks-Bug &amp; CR_Items'!E65</f>
        <v>Milestone 4</v>
      </c>
      <c r="C65" t="str">
        <f>TRIM('SOW, Feedbacks-Bug &amp; CR_Items'!F65)</f>
        <v>Delivered</v>
      </c>
      <c r="D65" t="str">
        <f>IFERROR(VLOOKUP(C65,Config!$A:$B,2,0),"Unknown")</f>
        <v>Delivered</v>
      </c>
      <c r="E65" t="str">
        <f>IFERROR(VLOOKUP(C65,Config!$A:$C,3,0),"N/A")</f>
        <v>Delivered</v>
      </c>
      <c r="F65">
        <f>IF('SOW, Feedbacks-Bug &amp; CR_Items'!H65="","",'SOW, Feedbacks-Bug &amp; CR_Items'!H65)</f>
        <v>45818</v>
      </c>
    </row>
    <row r="66" spans="1:6">
      <c r="A66" t="str">
        <f>'SOW, Feedbacks-Bug &amp; CR_Items'!D66</f>
        <v>IBP</v>
      </c>
      <c r="B66" t="str">
        <f>'SOW, Feedbacks-Bug &amp; CR_Items'!E66</f>
        <v>Milestone 4</v>
      </c>
      <c r="C66" t="str">
        <f>TRIM('SOW, Feedbacks-Bug &amp; CR_Items'!F66)</f>
        <v>Delivered</v>
      </c>
      <c r="D66" t="str">
        <f>IFERROR(VLOOKUP(C66,Config!$A:$B,2,0),"Unknown")</f>
        <v>Delivered</v>
      </c>
      <c r="E66" t="str">
        <f>IFERROR(VLOOKUP(C66,Config!$A:$C,3,0),"N/A")</f>
        <v>Delivered</v>
      </c>
      <c r="F66">
        <f>IF('SOW, Feedbacks-Bug &amp; CR_Items'!H66="","",'SOW, Feedbacks-Bug &amp; CR_Items'!H66)</f>
        <v>45818</v>
      </c>
    </row>
    <row r="67" spans="1:6">
      <c r="A67" t="str">
        <f>'SOW, Feedbacks-Bug &amp; CR_Items'!D67</f>
        <v>IBP</v>
      </c>
      <c r="B67" t="str">
        <f>'SOW, Feedbacks-Bug &amp; CR_Items'!E67</f>
        <v>Milestone 4</v>
      </c>
      <c r="C67" t="str">
        <f>TRIM('SOW, Feedbacks-Bug &amp; CR_Items'!F67)</f>
        <v>Delivered</v>
      </c>
      <c r="D67" t="str">
        <f>IFERROR(VLOOKUP(C67,Config!$A:$B,2,0),"Unknown")</f>
        <v>Delivered</v>
      </c>
      <c r="E67" t="str">
        <f>IFERROR(VLOOKUP(C67,Config!$A:$C,3,0),"N/A")</f>
        <v>Delivered</v>
      </c>
      <c r="F67">
        <f>IF('SOW, Feedbacks-Bug &amp; CR_Items'!H67="","",'SOW, Feedbacks-Bug &amp; CR_Items'!H67)</f>
        <v>45818</v>
      </c>
    </row>
    <row r="68" spans="1:6">
      <c r="A68" t="str">
        <f>'SOW, Feedbacks-Bug &amp; CR_Items'!D68</f>
        <v>IBP</v>
      </c>
      <c r="B68" t="str">
        <f>'SOW, Feedbacks-Bug &amp; CR_Items'!E68</f>
        <v>Milestone 4</v>
      </c>
      <c r="C68" t="str">
        <f>TRIM('SOW, Feedbacks-Bug &amp; CR_Items'!F68)</f>
        <v>Delivered</v>
      </c>
      <c r="D68" t="str">
        <f>IFERROR(VLOOKUP(C68,Config!$A:$B,2,0),"Unknown")</f>
        <v>Delivered</v>
      </c>
      <c r="E68" t="str">
        <f>IFERROR(VLOOKUP(C68,Config!$A:$C,3,0),"N/A")</f>
        <v>Delivered</v>
      </c>
      <c r="F68">
        <f>IF('SOW, Feedbacks-Bug &amp; CR_Items'!H68="","",'SOW, Feedbacks-Bug &amp; CR_Items'!H68)</f>
        <v>45818</v>
      </c>
    </row>
    <row r="69" spans="1:6">
      <c r="A69" t="str">
        <f>'SOW, Feedbacks-Bug &amp; CR_Items'!D69</f>
        <v>IBP</v>
      </c>
      <c r="B69" t="str">
        <f>'SOW, Feedbacks-Bug &amp; CR_Items'!E69</f>
        <v>Milestone 4</v>
      </c>
      <c r="C69" t="str">
        <f>TRIM('SOW, Feedbacks-Bug &amp; CR_Items'!F69)</f>
        <v>Delivered</v>
      </c>
      <c r="D69" t="str">
        <f>IFERROR(VLOOKUP(C69,Config!$A:$B,2,0),"Unknown")</f>
        <v>Delivered</v>
      </c>
      <c r="E69" t="str">
        <f>IFERROR(VLOOKUP(C69,Config!$A:$C,3,0),"N/A")</f>
        <v>Delivered</v>
      </c>
      <c r="F69">
        <f>IF('SOW, Feedbacks-Bug &amp; CR_Items'!H69="","",'SOW, Feedbacks-Bug &amp; CR_Items'!H69)</f>
        <v>45818</v>
      </c>
    </row>
    <row r="70" spans="1:6">
      <c r="A70" t="str">
        <f>'SOW, Feedbacks-Bug &amp; CR_Items'!D70</f>
        <v>IBP</v>
      </c>
      <c r="B70" t="str">
        <f>'SOW, Feedbacks-Bug &amp; CR_Items'!E70</f>
        <v>Milestone 4</v>
      </c>
      <c r="C70" t="str">
        <f>TRIM('SOW, Feedbacks-Bug &amp; CR_Items'!F70)</f>
        <v>Delivered</v>
      </c>
      <c r="D70" t="str">
        <f>IFERROR(VLOOKUP(C70,Config!$A:$B,2,0),"Unknown")</f>
        <v>Delivered</v>
      </c>
      <c r="E70" t="str">
        <f>IFERROR(VLOOKUP(C70,Config!$A:$C,3,0),"N/A")</f>
        <v>Delivered</v>
      </c>
      <c r="F70">
        <f>IF('SOW, Feedbacks-Bug &amp; CR_Items'!H70="","",'SOW, Feedbacks-Bug &amp; CR_Items'!H70)</f>
        <v>45818</v>
      </c>
    </row>
    <row r="71" spans="1:6">
      <c r="A71" t="str">
        <f>'SOW, Feedbacks-Bug &amp; CR_Items'!D71</f>
        <v>IBP</v>
      </c>
      <c r="B71" t="str">
        <f>'SOW, Feedbacks-Bug &amp; CR_Items'!E71</f>
        <v>Milestone 4</v>
      </c>
      <c r="C71" t="str">
        <f>TRIM('SOW, Feedbacks-Bug &amp; CR_Items'!F71)</f>
        <v>Delivered</v>
      </c>
      <c r="D71" t="str">
        <f>IFERROR(VLOOKUP(C71,Config!$A:$B,2,0),"Unknown")</f>
        <v>Delivered</v>
      </c>
      <c r="E71" t="str">
        <f>IFERROR(VLOOKUP(C71,Config!$A:$C,3,0),"N/A")</f>
        <v>Delivered</v>
      </c>
      <c r="F71">
        <f>IF('SOW, Feedbacks-Bug &amp; CR_Items'!H71="","",'SOW, Feedbacks-Bug &amp; CR_Items'!H71)</f>
        <v>45818</v>
      </c>
    </row>
    <row r="72" spans="1:6">
      <c r="A72" t="str">
        <f>'SOW, Feedbacks-Bug &amp; CR_Items'!D72</f>
        <v>IBP</v>
      </c>
      <c r="B72" t="str">
        <f>'SOW, Feedbacks-Bug &amp; CR_Items'!E72</f>
        <v>Milestone 4</v>
      </c>
      <c r="C72" t="str">
        <f>TRIM('SOW, Feedbacks-Bug &amp; CR_Items'!F72)</f>
        <v>Delivered</v>
      </c>
      <c r="D72" t="str">
        <f>IFERROR(VLOOKUP(C72,Config!$A:$B,2,0),"Unknown")</f>
        <v>Delivered</v>
      </c>
      <c r="E72" t="str">
        <f>IFERROR(VLOOKUP(C72,Config!$A:$C,3,0),"N/A")</f>
        <v>Delivered</v>
      </c>
      <c r="F72">
        <f>IF('SOW, Feedbacks-Bug &amp; CR_Items'!H72="","",'SOW, Feedbacks-Bug &amp; CR_Items'!H72)</f>
        <v>45818</v>
      </c>
    </row>
    <row r="73" spans="1:6">
      <c r="A73" t="str">
        <f>'SOW, Feedbacks-Bug &amp; CR_Items'!D73</f>
        <v>IBP/iWork</v>
      </c>
      <c r="B73" t="str">
        <f>'SOW, Feedbacks-Bug &amp; CR_Items'!E73</f>
        <v>Milestone 4</v>
      </c>
      <c r="C73" t="str">
        <f>TRIM('SOW, Feedbacks-Bug &amp; CR_Items'!F73)</f>
        <v>Pre-PROD</v>
      </c>
      <c r="D73" t="str">
        <f>IFERROR(VLOOKUP(C73,Config!$A:$B,2,0),"Unknown")</f>
        <v>Pre-PROD / UAT</v>
      </c>
      <c r="E73" t="str">
        <f>IFERROR(VLOOKUP(C73,Config!$A:$C,3,0),"N/A")</f>
        <v>Pending</v>
      </c>
      <c r="F73">
        <f>IF('SOW, Feedbacks-Bug &amp; CR_Items'!H73="","",'SOW, Feedbacks-Bug &amp; CR_Items'!H73)</f>
        <v>45818</v>
      </c>
    </row>
    <row r="74" spans="1:6">
      <c r="A74" t="str">
        <f>'SOW, Feedbacks-Bug &amp; CR_Items'!D74</f>
        <v>IBP/iWork</v>
      </c>
      <c r="B74" t="str">
        <f>'SOW, Feedbacks-Bug &amp; CR_Items'!E74</f>
        <v>Milestone 4</v>
      </c>
      <c r="C74" t="str">
        <f>TRIM('SOW, Feedbacks-Bug &amp; CR_Items'!F74)</f>
        <v>Delivered</v>
      </c>
      <c r="D74" t="str">
        <f>IFERROR(VLOOKUP(C74,Config!$A:$B,2,0),"Unknown")</f>
        <v>Delivered</v>
      </c>
      <c r="E74" t="str">
        <f>IFERROR(VLOOKUP(C74,Config!$A:$C,3,0),"N/A")</f>
        <v>Delivered</v>
      </c>
      <c r="F74">
        <f>IF('SOW, Feedbacks-Bug &amp; CR_Items'!H74="","",'SOW, Feedbacks-Bug &amp; CR_Items'!H74)</f>
        <v>45818</v>
      </c>
    </row>
    <row r="75" spans="1:6">
      <c r="A75" t="str">
        <f>'SOW, Feedbacks-Bug &amp; CR_Items'!D75</f>
        <v>IBP/iWork</v>
      </c>
      <c r="B75" t="str">
        <f>'SOW, Feedbacks-Bug &amp; CR_Items'!E75</f>
        <v>Milestone 4</v>
      </c>
      <c r="C75" t="str">
        <f>TRIM('SOW, Feedbacks-Bug &amp; CR_Items'!F75)</f>
        <v>Delivered</v>
      </c>
      <c r="D75" t="str">
        <f>IFERROR(VLOOKUP(C75,Config!$A:$B,2,0),"Unknown")</f>
        <v>Delivered</v>
      </c>
      <c r="E75" t="str">
        <f>IFERROR(VLOOKUP(C75,Config!$A:$C,3,0),"N/A")</f>
        <v>Delivered</v>
      </c>
      <c r="F75">
        <f>IF('SOW, Feedbacks-Bug &amp; CR_Items'!H75="","",'SOW, Feedbacks-Bug &amp; CR_Items'!H75)</f>
        <v>45818</v>
      </c>
    </row>
    <row r="76" spans="1:6">
      <c r="A76" t="str">
        <f>'SOW, Feedbacks-Bug &amp; CR_Items'!D76</f>
        <v>IBP/iWork</v>
      </c>
      <c r="B76" t="str">
        <f>'SOW, Feedbacks-Bug &amp; CR_Items'!E76</f>
        <v>Milestone 4</v>
      </c>
      <c r="C76" t="str">
        <f>TRIM('SOW, Feedbacks-Bug &amp; CR_Items'!F76)</f>
        <v>Delivered</v>
      </c>
      <c r="D76" t="str">
        <f>IFERROR(VLOOKUP(C76,Config!$A:$B,2,0),"Unknown")</f>
        <v>Delivered</v>
      </c>
      <c r="E76" t="str">
        <f>IFERROR(VLOOKUP(C76,Config!$A:$C,3,0),"N/A")</f>
        <v>Delivered</v>
      </c>
      <c r="F76">
        <f>IF('SOW, Feedbacks-Bug &amp; CR_Items'!H76="","",'SOW, Feedbacks-Bug &amp; CR_Items'!H76)</f>
        <v>45818</v>
      </c>
    </row>
    <row r="77" spans="1:6">
      <c r="A77" t="str">
        <f>'SOW, Feedbacks-Bug &amp; CR_Items'!D77</f>
        <v>IBP/iWork</v>
      </c>
      <c r="B77" t="str">
        <f>'SOW, Feedbacks-Bug &amp; CR_Items'!E77</f>
        <v>Milestone 4</v>
      </c>
      <c r="C77" t="str">
        <f>TRIM('SOW, Feedbacks-Bug &amp; CR_Items'!F77)</f>
        <v>Delivered</v>
      </c>
      <c r="D77" t="str">
        <f>IFERROR(VLOOKUP(C77,Config!$A:$B,2,0),"Unknown")</f>
        <v>Delivered</v>
      </c>
      <c r="E77" t="str">
        <f>IFERROR(VLOOKUP(C77,Config!$A:$C,3,0),"N/A")</f>
        <v>Delivered</v>
      </c>
      <c r="F77">
        <f>IF('SOW, Feedbacks-Bug &amp; CR_Items'!H77="","",'SOW, Feedbacks-Bug &amp; CR_Items'!H77)</f>
        <v>45818</v>
      </c>
    </row>
    <row r="78" spans="1:6">
      <c r="A78" t="str">
        <f>'SOW, Feedbacks-Bug &amp; CR_Items'!D78</f>
        <v>IBP/iWork</v>
      </c>
      <c r="B78" t="str">
        <f>'SOW, Feedbacks-Bug &amp; CR_Items'!E78</f>
        <v>Milestone 4</v>
      </c>
      <c r="C78" t="str">
        <f>TRIM('SOW, Feedbacks-Bug &amp; CR_Items'!F78)</f>
        <v>Pre-PROD</v>
      </c>
      <c r="D78" t="str">
        <f>IFERROR(VLOOKUP(C78,Config!$A:$B,2,0),"Unknown")</f>
        <v>Pre-PROD / UAT</v>
      </c>
      <c r="E78" t="str">
        <f>IFERROR(VLOOKUP(C78,Config!$A:$C,3,0),"N/A")</f>
        <v>Pending</v>
      </c>
      <c r="F78">
        <f>IF('SOW, Feedbacks-Bug &amp; CR_Items'!H78="","",'SOW, Feedbacks-Bug &amp; CR_Items'!H78)</f>
        <v>45818</v>
      </c>
    </row>
    <row r="79" spans="1:6">
      <c r="A79" t="str">
        <f>'SOW, Feedbacks-Bug &amp; CR_Items'!D79</f>
        <v>IBP</v>
      </c>
      <c r="B79" t="str">
        <f>'SOW, Feedbacks-Bug &amp; CR_Items'!E79</f>
        <v>Milestone 5</v>
      </c>
      <c r="C79" t="str">
        <f>TRIM('SOW, Feedbacks-Bug &amp; CR_Items'!F79)</f>
        <v>Pre-PROD</v>
      </c>
      <c r="D79" t="str">
        <f>IFERROR(VLOOKUP(C79,Config!$A:$B,2,0),"Unknown")</f>
        <v>Pre-PROD / UAT</v>
      </c>
      <c r="E79" t="str">
        <f>IFERROR(VLOOKUP(C79,Config!$A:$C,3,0),"N/A")</f>
        <v>Pending</v>
      </c>
      <c r="F79">
        <f>IF('SOW, Feedbacks-Bug &amp; CR_Items'!H79="","",'SOW, Feedbacks-Bug &amp; CR_Items'!H79)</f>
        <v>45869</v>
      </c>
    </row>
    <row r="80" spans="1:6">
      <c r="A80" t="str">
        <f>'SOW, Feedbacks-Bug &amp; CR_Items'!D80</f>
        <v>IBP</v>
      </c>
      <c r="B80" t="str">
        <f>'SOW, Feedbacks-Bug &amp; CR_Items'!E80</f>
        <v>Milestone 5</v>
      </c>
      <c r="C80" t="str">
        <f>TRIM('SOW, Feedbacks-Bug &amp; CR_Items'!F80)</f>
        <v>Delivered</v>
      </c>
      <c r="D80" t="str">
        <f>IFERROR(VLOOKUP(C80,Config!$A:$B,2,0),"Unknown")</f>
        <v>Delivered</v>
      </c>
      <c r="E80" t="str">
        <f>IFERROR(VLOOKUP(C80,Config!$A:$C,3,0),"N/A")</f>
        <v>Delivered</v>
      </c>
      <c r="F80">
        <f>IF('SOW, Feedbacks-Bug &amp; CR_Items'!H80="","",'SOW, Feedbacks-Bug &amp; CR_Items'!H80)</f>
        <v>45869</v>
      </c>
    </row>
    <row r="81" spans="1:6">
      <c r="A81" t="str">
        <f>'SOW, Feedbacks-Bug &amp; CR_Items'!D81</f>
        <v>IBP</v>
      </c>
      <c r="B81" t="str">
        <f>'SOW, Feedbacks-Bug &amp; CR_Items'!E81</f>
        <v>Milestone 5</v>
      </c>
      <c r="C81" t="str">
        <f>TRIM('SOW, Feedbacks-Bug &amp; CR_Items'!F81)</f>
        <v>Delivered</v>
      </c>
      <c r="D81" t="str">
        <f>IFERROR(VLOOKUP(C81,Config!$A:$B,2,0),"Unknown")</f>
        <v>Delivered</v>
      </c>
      <c r="E81" t="str">
        <f>IFERROR(VLOOKUP(C81,Config!$A:$C,3,0),"N/A")</f>
        <v>Delivered</v>
      </c>
      <c r="F81">
        <f>IF('SOW, Feedbacks-Bug &amp; CR_Items'!H81="","",'SOW, Feedbacks-Bug &amp; CR_Items'!H81)</f>
        <v>45869</v>
      </c>
    </row>
    <row r="82" spans="1:6">
      <c r="A82" t="str">
        <f>'SOW, Feedbacks-Bug &amp; CR_Items'!D82</f>
        <v>IBP</v>
      </c>
      <c r="B82" t="str">
        <f>'SOW, Feedbacks-Bug &amp; CR_Items'!E82</f>
        <v>Milestone 5</v>
      </c>
      <c r="C82" t="str">
        <f>TRIM('SOW, Feedbacks-Bug &amp; CR_Items'!F82)</f>
        <v>Delivered</v>
      </c>
      <c r="D82" t="str">
        <f>IFERROR(VLOOKUP(C82,Config!$A:$B,2,0),"Unknown")</f>
        <v>Delivered</v>
      </c>
      <c r="E82" t="str">
        <f>IFERROR(VLOOKUP(C82,Config!$A:$C,3,0),"N/A")</f>
        <v>Delivered</v>
      </c>
      <c r="F82">
        <f>IF('SOW, Feedbacks-Bug &amp; CR_Items'!H82="","",'SOW, Feedbacks-Bug &amp; CR_Items'!H82)</f>
        <v>45869</v>
      </c>
    </row>
    <row r="83" spans="1:6">
      <c r="A83" t="str">
        <f>'SOW, Feedbacks-Bug &amp; CR_Items'!D83</f>
        <v>IBP</v>
      </c>
      <c r="B83" t="str">
        <f>'SOW, Feedbacks-Bug &amp; CR_Items'!E83</f>
        <v>Milestone 5</v>
      </c>
      <c r="C83" t="str">
        <f>TRIM('SOW, Feedbacks-Bug &amp; CR_Items'!F83)</f>
        <v>Delivered</v>
      </c>
      <c r="D83" t="str">
        <f>IFERROR(VLOOKUP(C83,Config!$A:$B,2,0),"Unknown")</f>
        <v>Delivered</v>
      </c>
      <c r="E83" t="str">
        <f>IFERROR(VLOOKUP(C83,Config!$A:$C,3,0),"N/A")</f>
        <v>Delivered</v>
      </c>
      <c r="F83">
        <f>IF('SOW, Feedbacks-Bug &amp; CR_Items'!H83="","",'SOW, Feedbacks-Bug &amp; CR_Items'!H83)</f>
        <v>45869</v>
      </c>
    </row>
    <row r="84" spans="1:6">
      <c r="A84" t="str">
        <f>'SOW, Feedbacks-Bug &amp; CR_Items'!D84</f>
        <v>IBP</v>
      </c>
      <c r="B84" t="str">
        <f>'SOW, Feedbacks-Bug &amp; CR_Items'!E84</f>
        <v>Milestone 5</v>
      </c>
      <c r="C84" t="str">
        <f>TRIM('SOW, Feedbacks-Bug &amp; CR_Items'!F84)</f>
        <v>Delivered</v>
      </c>
      <c r="D84" t="str">
        <f>IFERROR(VLOOKUP(C84,Config!$A:$B,2,0),"Unknown")</f>
        <v>Delivered</v>
      </c>
      <c r="E84" t="str">
        <f>IFERROR(VLOOKUP(C84,Config!$A:$C,3,0),"N/A")</f>
        <v>Delivered</v>
      </c>
      <c r="F84">
        <f>IF('SOW, Feedbacks-Bug &amp; CR_Items'!H84="","",'SOW, Feedbacks-Bug &amp; CR_Items'!H84)</f>
        <v>45869</v>
      </c>
    </row>
    <row r="85" spans="1:6">
      <c r="A85" t="str">
        <f>'SOW, Feedbacks-Bug &amp; CR_Items'!D85</f>
        <v>IBP</v>
      </c>
      <c r="B85" t="str">
        <f>'SOW, Feedbacks-Bug &amp; CR_Items'!E85</f>
        <v>Milestone 5</v>
      </c>
      <c r="C85" t="str">
        <f>TRIM('SOW, Feedbacks-Bug &amp; CR_Items'!F85)</f>
        <v>Pre-PROD</v>
      </c>
      <c r="D85" t="str">
        <f>IFERROR(VLOOKUP(C85,Config!$A:$B,2,0),"Unknown")</f>
        <v>Pre-PROD / UAT</v>
      </c>
      <c r="E85" t="str">
        <f>IFERROR(VLOOKUP(C85,Config!$A:$C,3,0),"N/A")</f>
        <v>Pending</v>
      </c>
      <c r="F85">
        <f>IF('SOW, Feedbacks-Bug &amp; CR_Items'!H85="","",'SOW, Feedbacks-Bug &amp; CR_Items'!H85)</f>
        <v>45869</v>
      </c>
    </row>
    <row r="86" spans="1:6">
      <c r="A86" t="str">
        <f>'SOW, Feedbacks-Bug &amp; CR_Items'!D86</f>
        <v>IBP/iWork</v>
      </c>
      <c r="B86" t="str">
        <f>'SOW, Feedbacks-Bug &amp; CR_Items'!E86</f>
        <v>Milestone 5</v>
      </c>
      <c r="C86" t="str">
        <f>TRIM('SOW, Feedbacks-Bug &amp; CR_Items'!F86)</f>
        <v>Pre-PROD</v>
      </c>
      <c r="D86" t="str">
        <f>IFERROR(VLOOKUP(C86,Config!$A:$B,2,0),"Unknown")</f>
        <v>Pre-PROD / UAT</v>
      </c>
      <c r="E86" t="str">
        <f>IFERROR(VLOOKUP(C86,Config!$A:$C,3,0),"N/A")</f>
        <v>Pending</v>
      </c>
      <c r="F86">
        <f>IF('SOW, Feedbacks-Bug &amp; CR_Items'!H86="","",'SOW, Feedbacks-Bug &amp; CR_Items'!H86)</f>
        <v>45869</v>
      </c>
    </row>
    <row r="87" spans="1:6">
      <c r="A87" t="str">
        <f>'SOW, Feedbacks-Bug &amp; CR_Items'!D87</f>
        <v>IBP</v>
      </c>
      <c r="B87" t="str">
        <f>'SOW, Feedbacks-Bug &amp; CR_Items'!E87</f>
        <v>Milestone 5</v>
      </c>
      <c r="C87" t="str">
        <f>TRIM('SOW, Feedbacks-Bug &amp; CR_Items'!F87)</f>
        <v>Not in scope</v>
      </c>
      <c r="D87" t="str">
        <f>IFERROR(VLOOKUP(C87,Config!$A:$B,2,0),"Unknown")</f>
        <v>Delivered</v>
      </c>
      <c r="E87" t="str">
        <f>IFERROR(VLOOKUP(C87,Config!$A:$C,3,0),"N/A")</f>
        <v>Delivered</v>
      </c>
      <c r="F87">
        <f>IF('SOW, Feedbacks-Bug &amp; CR_Items'!H87="","",'SOW, Feedbacks-Bug &amp; CR_Items'!H87)</f>
        <v>45869</v>
      </c>
    </row>
    <row r="88" spans="1:6">
      <c r="A88" t="str">
        <f>'SOW, Feedbacks-Bug &amp; CR_Items'!D88</f>
        <v>IBP</v>
      </c>
      <c r="B88" t="str">
        <f>'SOW, Feedbacks-Bug &amp; CR_Items'!E88</f>
        <v>Milestone 5</v>
      </c>
      <c r="C88" t="str">
        <f>TRIM('SOW, Feedbacks-Bug &amp; CR_Items'!F88)</f>
        <v>Yet to start</v>
      </c>
      <c r="D88" t="str">
        <f>IFERROR(VLOOKUP(C88,Config!$A:$B,2,0),"Unknown")</f>
        <v>Not Started</v>
      </c>
      <c r="E88" t="str">
        <f>IFERROR(VLOOKUP(C88,Config!$A:$C,3,0),"N/A")</f>
        <v>Pending</v>
      </c>
      <c r="F88">
        <f>IF('SOW, Feedbacks-Bug &amp; CR_Items'!H88="","",'SOW, Feedbacks-Bug &amp; CR_Items'!H88)</f>
        <v>45869</v>
      </c>
    </row>
    <row r="89" spans="1:6">
      <c r="A89" t="str">
        <f>'SOW, Feedbacks-Bug &amp; CR_Items'!D89</f>
        <v>IBP</v>
      </c>
      <c r="B89" t="str">
        <f>'SOW, Feedbacks-Bug &amp; CR_Items'!E89</f>
        <v>Milestone 5</v>
      </c>
      <c r="C89" t="str">
        <f>TRIM('SOW, Feedbacks-Bug &amp; CR_Items'!F89)</f>
        <v>Yet to start</v>
      </c>
      <c r="D89" t="str">
        <f>IFERROR(VLOOKUP(C89,Config!$A:$B,2,0),"Unknown")</f>
        <v>Not Started</v>
      </c>
      <c r="E89" t="str">
        <f>IFERROR(VLOOKUP(C89,Config!$A:$C,3,0),"N/A")</f>
        <v>Pending</v>
      </c>
      <c r="F89">
        <f>IF('SOW, Feedbacks-Bug &amp; CR_Items'!H89="","",'SOW, Feedbacks-Bug &amp; CR_Items'!H89)</f>
        <v>45869</v>
      </c>
    </row>
    <row r="90" spans="1:6">
      <c r="A90" t="str">
        <f>'SOW, Feedbacks-Bug &amp; CR_Items'!D90</f>
        <v>IBP</v>
      </c>
      <c r="B90" t="str">
        <f>'SOW, Feedbacks-Bug &amp; CR_Items'!E90</f>
        <v>Milestone 5</v>
      </c>
      <c r="C90" t="str">
        <f>TRIM('SOW, Feedbacks-Bug &amp; CR_Items'!F90)</f>
        <v>Yet to start</v>
      </c>
      <c r="D90" t="str">
        <f>IFERROR(VLOOKUP(C90,Config!$A:$B,2,0),"Unknown")</f>
        <v>Not Started</v>
      </c>
      <c r="E90" t="str">
        <f>IFERROR(VLOOKUP(C90,Config!$A:$C,3,0),"N/A")</f>
        <v>Pending</v>
      </c>
      <c r="F90">
        <f>IF('SOW, Feedbacks-Bug &amp; CR_Items'!H90="","",'SOW, Feedbacks-Bug &amp; CR_Items'!H90)</f>
        <v>45869</v>
      </c>
    </row>
    <row r="91" spans="1:6">
      <c r="A91" t="str">
        <f>'SOW, Feedbacks-Bug &amp; CR_Items'!D91</f>
        <v>IBP</v>
      </c>
      <c r="B91" t="str">
        <f>'SOW, Feedbacks-Bug &amp; CR_Items'!E91</f>
        <v>Milestone 5</v>
      </c>
      <c r="C91" t="str">
        <f>TRIM('SOW, Feedbacks-Bug &amp; CR_Items'!F91)</f>
        <v>Yet to start</v>
      </c>
      <c r="D91" t="str">
        <f>IFERROR(VLOOKUP(C91,Config!$A:$B,2,0),"Unknown")</f>
        <v>Not Started</v>
      </c>
      <c r="E91" t="str">
        <f>IFERROR(VLOOKUP(C91,Config!$A:$C,3,0),"N/A")</f>
        <v>Pending</v>
      </c>
      <c r="F91">
        <f>IF('SOW, Feedbacks-Bug &amp; CR_Items'!H91="","",'SOW, Feedbacks-Bug &amp; CR_Items'!H91)</f>
        <v>45869</v>
      </c>
    </row>
    <row r="92" spans="1:6">
      <c r="A92" t="str">
        <f>'SOW, Feedbacks-Bug &amp; CR_Items'!D92</f>
        <v>IBP</v>
      </c>
      <c r="B92" t="str">
        <f>'SOW, Feedbacks-Bug &amp; CR_Items'!E92</f>
        <v>Milestone 5</v>
      </c>
      <c r="C92" t="str">
        <f>TRIM('SOW, Feedbacks-Bug &amp; CR_Items'!F92)</f>
        <v>Yet to start</v>
      </c>
      <c r="D92" t="str">
        <f>IFERROR(VLOOKUP(C92,Config!$A:$B,2,0),"Unknown")</f>
        <v>Not Started</v>
      </c>
      <c r="E92" t="str">
        <f>IFERROR(VLOOKUP(C92,Config!$A:$C,3,0),"N/A")</f>
        <v>Pending</v>
      </c>
      <c r="F92">
        <f>IF('SOW, Feedbacks-Bug &amp; CR_Items'!H92="","",'SOW, Feedbacks-Bug &amp; CR_Items'!H92)</f>
        <v>45869</v>
      </c>
    </row>
    <row r="93" spans="1:6">
      <c r="A93" t="str">
        <f>'SOW, Feedbacks-Bug &amp; CR_Items'!D93</f>
        <v>IBP</v>
      </c>
      <c r="B93" t="str">
        <f>'SOW, Feedbacks-Bug &amp; CR_Items'!E93</f>
        <v>Milestone 5</v>
      </c>
      <c r="C93" t="str">
        <f>TRIM('SOW, Feedbacks-Bug &amp; CR_Items'!F93)</f>
        <v>Yet to start</v>
      </c>
      <c r="D93" t="str">
        <f>IFERROR(VLOOKUP(C93,Config!$A:$B,2,0),"Unknown")</f>
        <v>Not Started</v>
      </c>
      <c r="E93" t="str">
        <f>IFERROR(VLOOKUP(C93,Config!$A:$C,3,0),"N/A")</f>
        <v>Pending</v>
      </c>
      <c r="F93">
        <f>IF('SOW, Feedbacks-Bug &amp; CR_Items'!H93="","",'SOW, Feedbacks-Bug &amp; CR_Items'!H93)</f>
        <v>45869</v>
      </c>
    </row>
    <row r="94" spans="1:6">
      <c r="A94" t="str">
        <f>'SOW, Feedbacks-Bug &amp; CR_Items'!D94</f>
        <v>IBP</v>
      </c>
      <c r="B94" t="str">
        <f>'SOW, Feedbacks-Bug &amp; CR_Items'!E94</f>
        <v>Milestone 5</v>
      </c>
      <c r="C94" t="str">
        <f>TRIM('SOW, Feedbacks-Bug &amp; CR_Items'!F94)</f>
        <v>Yet to start</v>
      </c>
      <c r="D94" t="str">
        <f>IFERROR(VLOOKUP(C94,Config!$A:$B,2,0),"Unknown")</f>
        <v>Not Started</v>
      </c>
      <c r="E94" t="str">
        <f>IFERROR(VLOOKUP(C94,Config!$A:$C,3,0),"N/A")</f>
        <v>Pending</v>
      </c>
      <c r="F94">
        <f>IF('SOW, Feedbacks-Bug &amp; CR_Items'!H94="","",'SOW, Feedbacks-Bug &amp; CR_Items'!H94)</f>
        <v>45869</v>
      </c>
    </row>
    <row r="95" spans="1:6">
      <c r="A95" t="str">
        <f>'SOW, Feedbacks-Bug &amp; CR_Items'!D95</f>
        <v>IBP/iWork</v>
      </c>
      <c r="B95" t="str">
        <f>'SOW, Feedbacks-Bug &amp; CR_Items'!E95</f>
        <v>Milestone 5</v>
      </c>
      <c r="C95" t="str">
        <f>TRIM('SOW, Feedbacks-Bug &amp; CR_Items'!F95)</f>
        <v>Yet to start</v>
      </c>
      <c r="D95" t="str">
        <f>IFERROR(VLOOKUP(C95,Config!$A:$B,2,0),"Unknown")</f>
        <v>Not Started</v>
      </c>
      <c r="E95" t="str">
        <f>IFERROR(VLOOKUP(C95,Config!$A:$C,3,0),"N/A")</f>
        <v>Pending</v>
      </c>
      <c r="F95">
        <f>IF('SOW, Feedbacks-Bug &amp; CR_Items'!H95="","",'SOW, Feedbacks-Bug &amp; CR_Items'!H95)</f>
        <v>45869</v>
      </c>
    </row>
    <row r="96" spans="1:6">
      <c r="A96" t="str">
        <f>'SOW, Feedbacks-Bug &amp; CR_Items'!D96</f>
        <v>IBP/iWork</v>
      </c>
      <c r="B96" t="str">
        <f>'SOW, Feedbacks-Bug &amp; CR_Items'!E96</f>
        <v>Milestone 5</v>
      </c>
      <c r="C96" t="str">
        <f>TRIM('SOW, Feedbacks-Bug &amp; CR_Items'!F96)</f>
        <v>Yet to start</v>
      </c>
      <c r="D96" t="str">
        <f>IFERROR(VLOOKUP(C96,Config!$A:$B,2,0),"Unknown")</f>
        <v>Not Started</v>
      </c>
      <c r="E96" t="str">
        <f>IFERROR(VLOOKUP(C96,Config!$A:$C,3,0),"N/A")</f>
        <v>Pending</v>
      </c>
      <c r="F96">
        <f>IF('SOW, Feedbacks-Bug &amp; CR_Items'!H96="","",'SOW, Feedbacks-Bug &amp; CR_Items'!H96)</f>
        <v>45869</v>
      </c>
    </row>
    <row r="97" spans="1:6">
      <c r="A97" t="str">
        <f>'SOW, Feedbacks-Bug &amp; CR_Items'!D97</f>
        <v>IBP</v>
      </c>
      <c r="B97" t="str">
        <f>'SOW, Feedbacks-Bug &amp; CR_Items'!E97</f>
        <v>Milestone 5</v>
      </c>
      <c r="C97" t="str">
        <f>TRIM('SOW, Feedbacks-Bug &amp; CR_Items'!F97)</f>
        <v>Delivered</v>
      </c>
      <c r="D97" t="str">
        <f>IFERROR(VLOOKUP(C97,Config!$A:$B,2,0),"Unknown")</f>
        <v>Delivered</v>
      </c>
      <c r="E97" t="str">
        <f>IFERROR(VLOOKUP(C97,Config!$A:$C,3,0),"N/A")</f>
        <v>Delivered</v>
      </c>
      <c r="F97">
        <f>IF('SOW, Feedbacks-Bug &amp; CR_Items'!H97="","",'SOW, Feedbacks-Bug &amp; CR_Items'!H97)</f>
        <v>45869</v>
      </c>
    </row>
    <row r="98" spans="1:6">
      <c r="A98" t="str">
        <f>'SOW, Feedbacks-Bug &amp; CR_Items'!D98</f>
        <v>IBP</v>
      </c>
      <c r="B98" t="str">
        <f>'SOW, Feedbacks-Bug &amp; CR_Items'!E98</f>
        <v>Milestone 5</v>
      </c>
      <c r="C98" t="str">
        <f>TRIM('SOW, Feedbacks-Bug &amp; CR_Items'!F98)</f>
        <v>Delivered</v>
      </c>
      <c r="D98" t="str">
        <f>IFERROR(VLOOKUP(C98,Config!$A:$B,2,0),"Unknown")</f>
        <v>Delivered</v>
      </c>
      <c r="E98" t="str">
        <f>IFERROR(VLOOKUP(C98,Config!$A:$C,3,0),"N/A")</f>
        <v>Delivered</v>
      </c>
      <c r="F98">
        <f>IF('SOW, Feedbacks-Bug &amp; CR_Items'!H98="","",'SOW, Feedbacks-Bug &amp; CR_Items'!H98)</f>
        <v>45869</v>
      </c>
    </row>
    <row r="99" spans="1:6">
      <c r="A99" t="str">
        <f>'SOW, Feedbacks-Bug &amp; CR_Items'!D99</f>
        <v>IBP</v>
      </c>
      <c r="B99" t="str">
        <f>'SOW, Feedbacks-Bug &amp; CR_Items'!E99</f>
        <v>Milestone 4</v>
      </c>
      <c r="C99" t="str">
        <f>TRIM('SOW, Feedbacks-Bug &amp; CR_Items'!F99)</f>
        <v>Delivered</v>
      </c>
      <c r="D99" t="str">
        <f>IFERROR(VLOOKUP(C99,Config!$A:$B,2,0),"Unknown")</f>
        <v>Delivered</v>
      </c>
      <c r="E99" t="str">
        <f>IFERROR(VLOOKUP(C99,Config!$A:$C,3,0),"N/A")</f>
        <v>Delivered</v>
      </c>
      <c r="F99">
        <f>IF('SOW, Feedbacks-Bug &amp; CR_Items'!H99="","",'SOW, Feedbacks-Bug &amp; CR_Items'!H99)</f>
        <v>45818</v>
      </c>
    </row>
    <row r="100" spans="1:6">
      <c r="A100" t="str">
        <f>'SOW, Feedbacks-Bug &amp; CR_Items'!D100</f>
        <v>IBP</v>
      </c>
      <c r="B100" t="str">
        <f>'SOW, Feedbacks-Bug &amp; CR_Items'!E100</f>
        <v>Milestone 4</v>
      </c>
      <c r="C100" t="str">
        <f>TRIM('SOW, Feedbacks-Bug &amp; CR_Items'!F100)</f>
        <v>Delivered</v>
      </c>
      <c r="D100" t="str">
        <f>IFERROR(VLOOKUP(C100,Config!$A:$B,2,0),"Unknown")</f>
        <v>Delivered</v>
      </c>
      <c r="E100" t="str">
        <f>IFERROR(VLOOKUP(C100,Config!$A:$C,3,0),"N/A")</f>
        <v>Delivered</v>
      </c>
      <c r="F100">
        <f>IF('SOW, Feedbacks-Bug &amp; CR_Items'!H100="","",'SOW, Feedbacks-Bug &amp; CR_Items'!H100)</f>
        <v>45818</v>
      </c>
    </row>
    <row r="101" spans="1:6">
      <c r="A101" t="str">
        <f>'SOW, Feedbacks-Bug &amp; CR_Items'!D101</f>
        <v>IBP</v>
      </c>
      <c r="B101" t="str">
        <f>'SOW, Feedbacks-Bug &amp; CR_Items'!E101</f>
        <v>Milestone 4</v>
      </c>
      <c r="C101" t="str">
        <f>TRIM('SOW, Feedbacks-Bug &amp; CR_Items'!F101)</f>
        <v>Delivered</v>
      </c>
      <c r="D101" t="str">
        <f>IFERROR(VLOOKUP(C101,Config!$A:$B,2,0),"Unknown")</f>
        <v>Delivered</v>
      </c>
      <c r="E101" t="str">
        <f>IFERROR(VLOOKUP(C101,Config!$A:$C,3,0),"N/A")</f>
        <v>Delivered</v>
      </c>
      <c r="F101">
        <f>IF('SOW, Feedbacks-Bug &amp; CR_Items'!H101="","",'SOW, Feedbacks-Bug &amp; CR_Items'!H101)</f>
        <v>45818</v>
      </c>
    </row>
    <row r="102" spans="1:6">
      <c r="A102" t="str">
        <f>'SOW, Feedbacks-Bug &amp; CR_Items'!D102</f>
        <v>IBP</v>
      </c>
      <c r="B102" t="str">
        <f>'SOW, Feedbacks-Bug &amp; CR_Items'!E102</f>
        <v>Milestone 5</v>
      </c>
      <c r="C102" t="str">
        <f>TRIM('SOW, Feedbacks-Bug &amp; CR_Items'!F102)</f>
        <v>Pre-PROD</v>
      </c>
      <c r="D102" t="str">
        <f>IFERROR(VLOOKUP(C102,Config!$A:$B,2,0),"Unknown")</f>
        <v>Pre-PROD / UAT</v>
      </c>
      <c r="E102" t="str">
        <f>IFERROR(VLOOKUP(C102,Config!$A:$C,3,0),"N/A")</f>
        <v>Pending</v>
      </c>
      <c r="F102">
        <f>IF('SOW, Feedbacks-Bug &amp; CR_Items'!H102="","",'SOW, Feedbacks-Bug &amp; CR_Items'!H102)</f>
        <v>45869</v>
      </c>
    </row>
    <row r="103" spans="1:6">
      <c r="A103" t="str">
        <f>'SOW, Feedbacks-Bug &amp; CR_Items'!D103</f>
        <v>IBP</v>
      </c>
      <c r="B103" t="str">
        <f>'SOW, Feedbacks-Bug &amp; CR_Items'!E103</f>
        <v>Milestone 5</v>
      </c>
      <c r="C103" t="str">
        <f>TRIM('SOW, Feedbacks-Bug &amp; CR_Items'!F103)</f>
        <v>Delivered</v>
      </c>
      <c r="D103" t="str">
        <f>IFERROR(VLOOKUP(C103,Config!$A:$B,2,0),"Unknown")</f>
        <v>Delivered</v>
      </c>
      <c r="E103" t="str">
        <f>IFERROR(VLOOKUP(C103,Config!$A:$C,3,0),"N/A")</f>
        <v>Delivered</v>
      </c>
      <c r="F103">
        <f>IF('SOW, Feedbacks-Bug &amp; CR_Items'!H103="","",'SOW, Feedbacks-Bug &amp; CR_Items'!H103)</f>
        <v>45869</v>
      </c>
    </row>
    <row r="104" spans="1:6">
      <c r="A104" t="str">
        <f>'SOW, Feedbacks-Bug &amp; CR_Items'!D104</f>
        <v>IBP</v>
      </c>
      <c r="B104" t="str">
        <f>'SOW, Feedbacks-Bug &amp; CR_Items'!E104</f>
        <v>Milestone 5</v>
      </c>
      <c r="C104" t="str">
        <f>TRIM('SOW, Feedbacks-Bug &amp; CR_Items'!F104)</f>
        <v>Delivered</v>
      </c>
      <c r="D104" t="str">
        <f>IFERROR(VLOOKUP(C104,Config!$A:$B,2,0),"Unknown")</f>
        <v>Delivered</v>
      </c>
      <c r="E104" t="str">
        <f>IFERROR(VLOOKUP(C104,Config!$A:$C,3,0),"N/A")</f>
        <v>Delivered</v>
      </c>
      <c r="F104">
        <f>IF('SOW, Feedbacks-Bug &amp; CR_Items'!H104="","",'SOW, Feedbacks-Bug &amp; CR_Items'!H104)</f>
        <v>45869</v>
      </c>
    </row>
    <row r="105" spans="1:6">
      <c r="A105" t="str">
        <f>'SOW, Feedbacks-Bug &amp; CR_Items'!D105</f>
        <v>IBP</v>
      </c>
      <c r="B105" t="str">
        <f>'SOW, Feedbacks-Bug &amp; CR_Items'!E105</f>
        <v>Milestone 5</v>
      </c>
      <c r="C105" t="str">
        <f>TRIM('SOW, Feedbacks-Bug &amp; CR_Items'!F105)</f>
        <v>Pre-PROD</v>
      </c>
      <c r="D105" t="str">
        <f>IFERROR(VLOOKUP(C105,Config!$A:$B,2,0),"Unknown")</f>
        <v>Pre-PROD / UAT</v>
      </c>
      <c r="E105" t="str">
        <f>IFERROR(VLOOKUP(C105,Config!$A:$C,3,0),"N/A")</f>
        <v>Pending</v>
      </c>
      <c r="F105">
        <f>IF('SOW, Feedbacks-Bug &amp; CR_Items'!H105="","",'SOW, Feedbacks-Bug &amp; CR_Items'!H105)</f>
        <v>45869</v>
      </c>
    </row>
    <row r="106" spans="1:6">
      <c r="A106" t="str">
        <f>'SOW, Feedbacks-Bug &amp; CR_Items'!D106</f>
        <v>IBP</v>
      </c>
      <c r="B106" t="str">
        <f>'SOW, Feedbacks-Bug &amp; CR_Items'!E106</f>
        <v>Milestone 4</v>
      </c>
      <c r="C106" t="str">
        <f>TRIM('SOW, Feedbacks-Bug &amp; CR_Items'!F106)</f>
        <v>Delivered</v>
      </c>
      <c r="D106" t="str">
        <f>IFERROR(VLOOKUP(C106,Config!$A:$B,2,0),"Unknown")</f>
        <v>Delivered</v>
      </c>
      <c r="E106" t="str">
        <f>IFERROR(VLOOKUP(C106,Config!$A:$C,3,0),"N/A")</f>
        <v>Delivered</v>
      </c>
      <c r="F106">
        <f>IF('SOW, Feedbacks-Bug &amp; CR_Items'!H106="","",'SOW, Feedbacks-Bug &amp; CR_Items'!H106)</f>
        <v>45818</v>
      </c>
    </row>
    <row r="107" spans="1:6">
      <c r="A107" t="str">
        <f>'SOW, Feedbacks-Bug &amp; CR_Items'!D107</f>
        <v>IBP</v>
      </c>
      <c r="B107" t="str">
        <f>'SOW, Feedbacks-Bug &amp; CR_Items'!E107</f>
        <v>Milestone 4</v>
      </c>
      <c r="C107" t="str">
        <f>TRIM('SOW, Feedbacks-Bug &amp; CR_Items'!F107)</f>
        <v>Delivered</v>
      </c>
      <c r="D107" t="str">
        <f>IFERROR(VLOOKUP(C107,Config!$A:$B,2,0),"Unknown")</f>
        <v>Delivered</v>
      </c>
      <c r="E107" t="str">
        <f>IFERROR(VLOOKUP(C107,Config!$A:$C,3,0),"N/A")</f>
        <v>Delivered</v>
      </c>
      <c r="F107">
        <f>IF('SOW, Feedbacks-Bug &amp; CR_Items'!H107="","",'SOW, Feedbacks-Bug &amp; CR_Items'!H107)</f>
        <v>45818</v>
      </c>
    </row>
    <row r="108" spans="1:6">
      <c r="A108" t="str">
        <f>'SOW, Feedbacks-Bug &amp; CR_Items'!D108</f>
        <v>IBP</v>
      </c>
      <c r="B108" t="str">
        <f>'SOW, Feedbacks-Bug &amp; CR_Items'!E108</f>
        <v>Milestone 4</v>
      </c>
      <c r="C108" t="str">
        <f>TRIM('SOW, Feedbacks-Bug &amp; CR_Items'!F108)</f>
        <v>Delivered</v>
      </c>
      <c r="D108" t="str">
        <f>IFERROR(VLOOKUP(C108,Config!$A:$B,2,0),"Unknown")</f>
        <v>Delivered</v>
      </c>
      <c r="E108" t="str">
        <f>IFERROR(VLOOKUP(C108,Config!$A:$C,3,0),"N/A")</f>
        <v>Delivered</v>
      </c>
      <c r="F108">
        <f>IF('SOW, Feedbacks-Bug &amp; CR_Items'!H108="","",'SOW, Feedbacks-Bug &amp; CR_Items'!H108)</f>
        <v>45818</v>
      </c>
    </row>
    <row r="109" spans="1:6">
      <c r="A109" t="str">
        <f>'SOW, Feedbacks-Bug &amp; CR_Items'!D109</f>
        <v>IBP</v>
      </c>
      <c r="B109" t="str">
        <f>'SOW, Feedbacks-Bug &amp; CR_Items'!E109</f>
        <v>Milestone 4</v>
      </c>
      <c r="C109" t="str">
        <f>TRIM('SOW, Feedbacks-Bug &amp; CR_Items'!F109)</f>
        <v>Delivered</v>
      </c>
      <c r="D109" t="str">
        <f>IFERROR(VLOOKUP(C109,Config!$A:$B,2,0),"Unknown")</f>
        <v>Delivered</v>
      </c>
      <c r="E109" t="str">
        <f>IFERROR(VLOOKUP(C109,Config!$A:$C,3,0),"N/A")</f>
        <v>Delivered</v>
      </c>
      <c r="F109">
        <f>IF('SOW, Feedbacks-Bug &amp; CR_Items'!H109="","",'SOW, Feedbacks-Bug &amp; CR_Items'!H109)</f>
        <v>45818</v>
      </c>
    </row>
    <row r="110" spans="1:6">
      <c r="A110" t="str">
        <f>'SOW, Feedbacks-Bug &amp; CR_Items'!D110</f>
        <v>IBP</v>
      </c>
      <c r="B110" t="str">
        <f>'SOW, Feedbacks-Bug &amp; CR_Items'!E110</f>
        <v>Milestone 4</v>
      </c>
      <c r="C110" t="str">
        <f>TRIM('SOW, Feedbacks-Bug &amp; CR_Items'!F110)</f>
        <v>Delivered</v>
      </c>
      <c r="D110" t="str">
        <f>IFERROR(VLOOKUP(C110,Config!$A:$B,2,0),"Unknown")</f>
        <v>Delivered</v>
      </c>
      <c r="E110" t="str">
        <f>IFERROR(VLOOKUP(C110,Config!$A:$C,3,0),"N/A")</f>
        <v>Delivered</v>
      </c>
      <c r="F110">
        <f>IF('SOW, Feedbacks-Bug &amp; CR_Items'!H110="","",'SOW, Feedbacks-Bug &amp; CR_Items'!H110)</f>
        <v>45818</v>
      </c>
    </row>
    <row r="111" spans="1:6">
      <c r="A111" t="str">
        <f>'SOW, Feedbacks-Bug &amp; CR_Items'!D111</f>
        <v>IBP</v>
      </c>
      <c r="B111" t="str">
        <f>'SOW, Feedbacks-Bug &amp; CR_Items'!E111</f>
        <v>Milestone 4</v>
      </c>
      <c r="C111" t="str">
        <f>TRIM('SOW, Feedbacks-Bug &amp; CR_Items'!F111)</f>
        <v>Delivered</v>
      </c>
      <c r="D111" t="str">
        <f>IFERROR(VLOOKUP(C111,Config!$A:$B,2,0),"Unknown")</f>
        <v>Delivered</v>
      </c>
      <c r="E111" t="str">
        <f>IFERROR(VLOOKUP(C111,Config!$A:$C,3,0),"N/A")</f>
        <v>Delivered</v>
      </c>
      <c r="F111">
        <f>IF('SOW, Feedbacks-Bug &amp; CR_Items'!H111="","",'SOW, Feedbacks-Bug &amp; CR_Items'!H111)</f>
        <v>45818</v>
      </c>
    </row>
    <row r="112" spans="1:6">
      <c r="A112" t="str">
        <f>'SOW, Feedbacks-Bug &amp; CR_Items'!D112</f>
        <v>IBP</v>
      </c>
      <c r="B112" t="str">
        <f>'SOW, Feedbacks-Bug &amp; CR_Items'!E112</f>
        <v>Milestone 4</v>
      </c>
      <c r="C112" t="str">
        <f>TRIM('SOW, Feedbacks-Bug &amp; CR_Items'!F112)</f>
        <v>Delivered</v>
      </c>
      <c r="D112" t="str">
        <f>IFERROR(VLOOKUP(C112,Config!$A:$B,2,0),"Unknown")</f>
        <v>Delivered</v>
      </c>
      <c r="E112" t="str">
        <f>IFERROR(VLOOKUP(C112,Config!$A:$C,3,0),"N/A")</f>
        <v>Delivered</v>
      </c>
      <c r="F112">
        <f>IF('SOW, Feedbacks-Bug &amp; CR_Items'!H112="","",'SOW, Feedbacks-Bug &amp; CR_Items'!H112)</f>
        <v>45818</v>
      </c>
    </row>
    <row r="113" spans="1:6">
      <c r="A113" t="str">
        <f>'SOW, Feedbacks-Bug &amp; CR_Items'!D113</f>
        <v>IBP</v>
      </c>
      <c r="B113" t="str">
        <f>'SOW, Feedbacks-Bug &amp; CR_Items'!E113</f>
        <v>Milestone 4</v>
      </c>
      <c r="C113" t="str">
        <f>TRIM('SOW, Feedbacks-Bug &amp; CR_Items'!F113)</f>
        <v>Delivered</v>
      </c>
      <c r="D113" t="str">
        <f>IFERROR(VLOOKUP(C113,Config!$A:$B,2,0),"Unknown")</f>
        <v>Delivered</v>
      </c>
      <c r="E113" t="str">
        <f>IFERROR(VLOOKUP(C113,Config!$A:$C,3,0),"N/A")</f>
        <v>Delivered</v>
      </c>
      <c r="F113">
        <f>IF('SOW, Feedbacks-Bug &amp; CR_Items'!H113="","",'SOW, Feedbacks-Bug &amp; CR_Items'!H113)</f>
        <v>45818</v>
      </c>
    </row>
    <row r="114" spans="1:6">
      <c r="A114" t="str">
        <f>'SOW, Feedbacks-Bug &amp; CR_Items'!D114</f>
        <v>IBP</v>
      </c>
      <c r="B114" t="str">
        <f>'SOW, Feedbacks-Bug &amp; CR_Items'!E114</f>
        <v>Milestone 4</v>
      </c>
      <c r="C114" t="str">
        <f>TRIM('SOW, Feedbacks-Bug &amp; CR_Items'!F114)</f>
        <v>Delivered</v>
      </c>
      <c r="D114" t="str">
        <f>IFERROR(VLOOKUP(C114,Config!$A:$B,2,0),"Unknown")</f>
        <v>Delivered</v>
      </c>
      <c r="E114" t="str">
        <f>IFERROR(VLOOKUP(C114,Config!$A:$C,3,0),"N/A")</f>
        <v>Delivered</v>
      </c>
      <c r="F114">
        <f>IF('SOW, Feedbacks-Bug &amp; CR_Items'!H114="","",'SOW, Feedbacks-Bug &amp; CR_Items'!H114)</f>
        <v>45818</v>
      </c>
    </row>
    <row r="115" spans="1:6">
      <c r="A115" t="str">
        <f>'SOW, Feedbacks-Bug &amp; CR_Items'!D115</f>
        <v>IBP</v>
      </c>
      <c r="B115" t="str">
        <f>'SOW, Feedbacks-Bug &amp; CR_Items'!E115</f>
        <v>Milestone 5</v>
      </c>
      <c r="C115" t="str">
        <f>TRIM('SOW, Feedbacks-Bug &amp; CR_Items'!F115)</f>
        <v>Pre-PROD</v>
      </c>
      <c r="D115" t="str">
        <f>IFERROR(VLOOKUP(C115,Config!$A:$B,2,0),"Unknown")</f>
        <v>Pre-PROD / UAT</v>
      </c>
      <c r="E115" t="str">
        <f>IFERROR(VLOOKUP(C115,Config!$A:$C,3,0),"N/A")</f>
        <v>Pending</v>
      </c>
      <c r="F115">
        <f>IF('SOW, Feedbacks-Bug &amp; CR_Items'!H115="","",'SOW, Feedbacks-Bug &amp; CR_Items'!H115)</f>
        <v>45869</v>
      </c>
    </row>
    <row r="116" spans="1:6">
      <c r="A116" t="str">
        <f>'SOW, Feedbacks-Bug &amp; CR_Items'!D116</f>
        <v>IBP</v>
      </c>
      <c r="B116" t="str">
        <f>'SOW, Feedbacks-Bug &amp; CR_Items'!E116</f>
        <v>Milestone 5</v>
      </c>
      <c r="C116" t="str">
        <f>TRIM('SOW, Feedbacks-Bug &amp; CR_Items'!F116)</f>
        <v>Yet to start</v>
      </c>
      <c r="D116" t="str">
        <f>IFERROR(VLOOKUP(C116,Config!$A:$B,2,0),"Unknown")</f>
        <v>Not Started</v>
      </c>
      <c r="E116" t="str">
        <f>IFERROR(VLOOKUP(C116,Config!$A:$C,3,0),"N/A")</f>
        <v>Pending</v>
      </c>
      <c r="F116">
        <f>IF('SOW, Feedbacks-Bug &amp; CR_Items'!H116="","",'SOW, Feedbacks-Bug &amp; CR_Items'!H116)</f>
        <v>45869</v>
      </c>
    </row>
    <row r="117" spans="1:6">
      <c r="A117" t="str">
        <f>'SOW, Feedbacks-Bug &amp; CR_Items'!D117</f>
        <v>IBP</v>
      </c>
      <c r="B117" t="str">
        <f>'SOW, Feedbacks-Bug &amp; CR_Items'!E117</f>
        <v>Milestone 5</v>
      </c>
      <c r="C117" t="str">
        <f>TRIM('SOW, Feedbacks-Bug &amp; CR_Items'!F117)</f>
        <v>Yet to start</v>
      </c>
      <c r="D117" t="str">
        <f>IFERROR(VLOOKUP(C117,Config!$A:$B,2,0),"Unknown")</f>
        <v>Not Started</v>
      </c>
      <c r="E117" t="str">
        <f>IFERROR(VLOOKUP(C117,Config!$A:$C,3,0),"N/A")</f>
        <v>Pending</v>
      </c>
      <c r="F117">
        <f>IF('SOW, Feedbacks-Bug &amp; CR_Items'!H117="","",'SOW, Feedbacks-Bug &amp; CR_Items'!H117)</f>
        <v>45869</v>
      </c>
    </row>
    <row r="118" spans="1:6">
      <c r="A118" t="str">
        <f>'SOW, Feedbacks-Bug &amp; CR_Items'!D118</f>
        <v>IBP</v>
      </c>
      <c r="B118" t="str">
        <f>'SOW, Feedbacks-Bug &amp; CR_Items'!E118</f>
        <v>Milestone 5</v>
      </c>
      <c r="C118" t="str">
        <f>TRIM('SOW, Feedbacks-Bug &amp; CR_Items'!F118)</f>
        <v>Yet to start</v>
      </c>
      <c r="D118" t="str">
        <f>IFERROR(VLOOKUP(C118,Config!$A:$B,2,0),"Unknown")</f>
        <v>Not Started</v>
      </c>
      <c r="E118" t="str">
        <f>IFERROR(VLOOKUP(C118,Config!$A:$C,3,0),"N/A")</f>
        <v>Pending</v>
      </c>
      <c r="F118">
        <f>IF('SOW, Feedbacks-Bug &amp; CR_Items'!H118="","",'SOW, Feedbacks-Bug &amp; CR_Items'!H118)</f>
        <v>45869</v>
      </c>
    </row>
    <row r="119" spans="1:6">
      <c r="A119" t="str">
        <f>'SOW, Feedbacks-Bug &amp; CR_Items'!D119</f>
        <v>IBP</v>
      </c>
      <c r="B119" t="str">
        <f>'SOW, Feedbacks-Bug &amp; CR_Items'!E119</f>
        <v>Milestone 5</v>
      </c>
      <c r="C119" t="str">
        <f>TRIM('SOW, Feedbacks-Bug &amp; CR_Items'!F119)</f>
        <v>Delivered</v>
      </c>
      <c r="D119" t="str">
        <f>IFERROR(VLOOKUP(C119,Config!$A:$B,2,0),"Unknown")</f>
        <v>Delivered</v>
      </c>
      <c r="E119" t="str">
        <f>IFERROR(VLOOKUP(C119,Config!$A:$C,3,0),"N/A")</f>
        <v>Delivered</v>
      </c>
      <c r="F119">
        <f>IF('SOW, Feedbacks-Bug &amp; CR_Items'!H119="","",'SOW, Feedbacks-Bug &amp; CR_Items'!H119)</f>
        <v>45869</v>
      </c>
    </row>
    <row r="120" spans="1:6">
      <c r="A120" t="str">
        <f>'SOW, Feedbacks-Bug &amp; CR_Items'!D120</f>
        <v>IBP/iWork</v>
      </c>
      <c r="B120" t="str">
        <f>'SOW, Feedbacks-Bug &amp; CR_Items'!E120</f>
        <v>Milestone 5</v>
      </c>
      <c r="C120" t="str">
        <f>TRIM('SOW, Feedbacks-Bug &amp; CR_Items'!F120)</f>
        <v>Pre-PROD</v>
      </c>
      <c r="D120" t="str">
        <f>IFERROR(VLOOKUP(C120,Config!$A:$B,2,0),"Unknown")</f>
        <v>Pre-PROD / UAT</v>
      </c>
      <c r="E120" t="str">
        <f>IFERROR(VLOOKUP(C120,Config!$A:$C,3,0),"N/A")</f>
        <v>Pending</v>
      </c>
      <c r="F120">
        <f>IF('SOW, Feedbacks-Bug &amp; CR_Items'!H120="","",'SOW, Feedbacks-Bug &amp; CR_Items'!H120)</f>
        <v>45869</v>
      </c>
    </row>
    <row r="121" spans="1:6">
      <c r="A121" t="str">
        <f>'SOW, Feedbacks-Bug &amp; CR_Items'!D121</f>
        <v>IBP</v>
      </c>
      <c r="B121" t="str">
        <f>'SOW, Feedbacks-Bug &amp; CR_Items'!E121</f>
        <v>Milestone 5</v>
      </c>
      <c r="C121" t="str">
        <f>TRIM('SOW, Feedbacks-Bug &amp; CR_Items'!F121)</f>
        <v>Not in scope</v>
      </c>
      <c r="D121" t="str">
        <f>IFERROR(VLOOKUP(C121,Config!$A:$B,2,0),"Unknown")</f>
        <v>Delivered</v>
      </c>
      <c r="E121" t="str">
        <f>IFERROR(VLOOKUP(C121,Config!$A:$C,3,0),"N/A")</f>
        <v>Delivered</v>
      </c>
      <c r="F121">
        <f>IF('SOW, Feedbacks-Bug &amp; CR_Items'!H121="","",'SOW, Feedbacks-Bug &amp; CR_Items'!H121)</f>
        <v>45869</v>
      </c>
    </row>
    <row r="122" spans="1:6">
      <c r="A122" t="str">
        <f>'SOW, Feedbacks-Bug &amp; CR_Items'!D122</f>
        <v>IBP</v>
      </c>
      <c r="B122" t="str">
        <f>'SOW, Feedbacks-Bug &amp; CR_Items'!E122</f>
        <v>Milestone 5</v>
      </c>
      <c r="C122" t="str">
        <f>TRIM('SOW, Feedbacks-Bug &amp; CR_Items'!F122)</f>
        <v>Yet to start</v>
      </c>
      <c r="D122" t="str">
        <f>IFERROR(VLOOKUP(C122,Config!$A:$B,2,0),"Unknown")</f>
        <v>Not Started</v>
      </c>
      <c r="E122" t="str">
        <f>IFERROR(VLOOKUP(C122,Config!$A:$C,3,0),"N/A")</f>
        <v>Pending</v>
      </c>
      <c r="F122">
        <f>IF('SOW, Feedbacks-Bug &amp; CR_Items'!H122="","",'SOW, Feedbacks-Bug &amp; CR_Items'!H122)</f>
        <v>45869</v>
      </c>
    </row>
    <row r="123" spans="1:6">
      <c r="A123" t="str">
        <f>'SOW, Feedbacks-Bug &amp; CR_Items'!D123</f>
        <v>IBP/iWork</v>
      </c>
      <c r="B123" t="str">
        <f>'SOW, Feedbacks-Bug &amp; CR_Items'!E123</f>
        <v>Milestone 5</v>
      </c>
      <c r="C123" t="str">
        <f>TRIM('SOW, Feedbacks-Bug &amp; CR_Items'!F123)</f>
        <v>Delivered</v>
      </c>
      <c r="D123" t="str">
        <f>IFERROR(VLOOKUP(C123,Config!$A:$B,2,0),"Unknown")</f>
        <v>Delivered</v>
      </c>
      <c r="E123" t="str">
        <f>IFERROR(VLOOKUP(C123,Config!$A:$C,3,0),"N/A")</f>
        <v>Delivered</v>
      </c>
      <c r="F123">
        <f>IF('SOW, Feedbacks-Bug &amp; CR_Items'!H123="","",'SOW, Feedbacks-Bug &amp; CR_Items'!H123)</f>
        <v>45869</v>
      </c>
    </row>
    <row r="124" spans="1:6">
      <c r="A124" t="str">
        <f>'SOW, Feedbacks-Bug &amp; CR_Items'!D124</f>
        <v>iWork</v>
      </c>
      <c r="B124" t="str">
        <f>'SOW, Feedbacks-Bug &amp; CR_Items'!E124</f>
        <v>Milestone 2</v>
      </c>
      <c r="C124" t="str">
        <f>TRIM('SOW, Feedbacks-Bug &amp; CR_Items'!F124)</f>
        <v>Delivered</v>
      </c>
      <c r="D124" t="str">
        <f>IFERROR(VLOOKUP(C124,Config!$A:$B,2,0),"Unknown")</f>
        <v>Delivered</v>
      </c>
      <c r="E124" t="str">
        <f>IFERROR(VLOOKUP(C124,Config!$A:$C,3,0),"N/A")</f>
        <v>Delivered</v>
      </c>
      <c r="F124">
        <f>IF('SOW, Feedbacks-Bug &amp; CR_Items'!H124="","",'SOW, Feedbacks-Bug &amp; CR_Items'!H124)</f>
        <v>45763</v>
      </c>
    </row>
    <row r="125" spans="1:6">
      <c r="A125" t="str">
        <f>'SOW, Feedbacks-Bug &amp; CR_Items'!D125</f>
        <v>iWork</v>
      </c>
      <c r="B125" t="str">
        <f>'SOW, Feedbacks-Bug &amp; CR_Items'!E125</f>
        <v>Milestone 2</v>
      </c>
      <c r="C125" t="str">
        <f>TRIM('SOW, Feedbacks-Bug &amp; CR_Items'!F125)</f>
        <v>Delivered</v>
      </c>
      <c r="D125" t="str">
        <f>IFERROR(VLOOKUP(C125,Config!$A:$B,2,0),"Unknown")</f>
        <v>Delivered</v>
      </c>
      <c r="E125" t="str">
        <f>IFERROR(VLOOKUP(C125,Config!$A:$C,3,0),"N/A")</f>
        <v>Delivered</v>
      </c>
      <c r="F125">
        <f>IF('SOW, Feedbacks-Bug &amp; CR_Items'!H125="","",'SOW, Feedbacks-Bug &amp; CR_Items'!H125)</f>
        <v>45763</v>
      </c>
    </row>
    <row r="126" spans="1:6">
      <c r="A126" t="str">
        <f>'SOW, Feedbacks-Bug &amp; CR_Items'!D126</f>
        <v>iWork</v>
      </c>
      <c r="B126" t="str">
        <f>'SOW, Feedbacks-Bug &amp; CR_Items'!E126</f>
        <v>Milestone 2</v>
      </c>
      <c r="C126" t="str">
        <f>TRIM('SOW, Feedbacks-Bug &amp; CR_Items'!F126)</f>
        <v>Delivered</v>
      </c>
      <c r="D126" t="str">
        <f>IFERROR(VLOOKUP(C126,Config!$A:$B,2,0),"Unknown")</f>
        <v>Delivered</v>
      </c>
      <c r="E126" t="str">
        <f>IFERROR(VLOOKUP(C126,Config!$A:$C,3,0),"N/A")</f>
        <v>Delivered</v>
      </c>
      <c r="F126">
        <f>IF('SOW, Feedbacks-Bug &amp; CR_Items'!H126="","",'SOW, Feedbacks-Bug &amp; CR_Items'!H126)</f>
        <v>45763</v>
      </c>
    </row>
    <row r="127" spans="1:6">
      <c r="A127" t="str">
        <f>'SOW, Feedbacks-Bug &amp; CR_Items'!D127</f>
        <v>iWork</v>
      </c>
      <c r="B127" t="str">
        <f>'SOW, Feedbacks-Bug &amp; CR_Items'!E127</f>
        <v>Milestone 1</v>
      </c>
      <c r="C127" t="str">
        <f>TRIM('SOW, Feedbacks-Bug &amp; CR_Items'!F127)</f>
        <v>Delivered</v>
      </c>
      <c r="D127" t="str">
        <f>IFERROR(VLOOKUP(C127,Config!$A:$B,2,0),"Unknown")</f>
        <v>Delivered</v>
      </c>
      <c r="E127" t="str">
        <f>IFERROR(VLOOKUP(C127,Config!$A:$C,3,0),"N/A")</f>
        <v>Delivered</v>
      </c>
      <c r="F127">
        <f>IF('SOW, Feedbacks-Bug &amp; CR_Items'!H127="","",'SOW, Feedbacks-Bug &amp; CR_Items'!H127)</f>
        <v>45717</v>
      </c>
    </row>
    <row r="128" spans="1:6">
      <c r="A128" t="str">
        <f>'SOW, Feedbacks-Bug &amp; CR_Items'!D128</f>
        <v>iWork</v>
      </c>
      <c r="B128" t="str">
        <f>'SOW, Feedbacks-Bug &amp; CR_Items'!E128</f>
        <v>Milestone 2</v>
      </c>
      <c r="C128" t="str">
        <f>TRIM('SOW, Feedbacks-Bug &amp; CR_Items'!F128)</f>
        <v>Delivered</v>
      </c>
      <c r="D128" t="str">
        <f>IFERROR(VLOOKUP(C128,Config!$A:$B,2,0),"Unknown")</f>
        <v>Delivered</v>
      </c>
      <c r="E128" t="str">
        <f>IFERROR(VLOOKUP(C128,Config!$A:$C,3,0),"N/A")</f>
        <v>Delivered</v>
      </c>
      <c r="F128">
        <f>IF('SOW, Feedbacks-Bug &amp; CR_Items'!H128="","",'SOW, Feedbacks-Bug &amp; CR_Items'!H128)</f>
        <v>45763</v>
      </c>
    </row>
    <row r="129" spans="1:6">
      <c r="A129" t="str">
        <f>'SOW, Feedbacks-Bug &amp; CR_Items'!D129</f>
        <v>iWork</v>
      </c>
      <c r="B129" t="str">
        <f>'SOW, Feedbacks-Bug &amp; CR_Items'!E129</f>
        <v>Milestone 2</v>
      </c>
      <c r="C129" t="str">
        <f>TRIM('SOW, Feedbacks-Bug &amp; CR_Items'!F129)</f>
        <v>Delivered</v>
      </c>
      <c r="D129" t="str">
        <f>IFERROR(VLOOKUP(C129,Config!$A:$B,2,0),"Unknown")</f>
        <v>Delivered</v>
      </c>
      <c r="E129" t="str">
        <f>IFERROR(VLOOKUP(C129,Config!$A:$C,3,0),"N/A")</f>
        <v>Delivered</v>
      </c>
      <c r="F129">
        <f>IF('SOW, Feedbacks-Bug &amp; CR_Items'!H129="","",'SOW, Feedbacks-Bug &amp; CR_Items'!H129)</f>
        <v>45763</v>
      </c>
    </row>
    <row r="130" spans="1:6">
      <c r="A130" t="str">
        <f>'SOW, Feedbacks-Bug &amp; CR_Items'!D130</f>
        <v>IBP/iWork</v>
      </c>
      <c r="B130" t="str">
        <f>'SOW, Feedbacks-Bug &amp; CR_Items'!E130</f>
        <v>Milestone 4</v>
      </c>
      <c r="C130" t="str">
        <f>TRIM('SOW, Feedbacks-Bug &amp; CR_Items'!F130)</f>
        <v>Delivered</v>
      </c>
      <c r="D130" t="str">
        <f>IFERROR(VLOOKUP(C130,Config!$A:$B,2,0),"Unknown")</f>
        <v>Delivered</v>
      </c>
      <c r="E130" t="str">
        <f>IFERROR(VLOOKUP(C130,Config!$A:$C,3,0),"N/A")</f>
        <v>Delivered</v>
      </c>
      <c r="F130">
        <f>IF('SOW, Feedbacks-Bug &amp; CR_Items'!H130="","",'SOW, Feedbacks-Bug &amp; CR_Items'!H130)</f>
        <v>45818</v>
      </c>
    </row>
    <row r="131" spans="1:6">
      <c r="A131" t="str">
        <f>'SOW, Feedbacks-Bug &amp; CR_Items'!D131</f>
        <v>iWork</v>
      </c>
      <c r="B131" t="str">
        <f>'SOW, Feedbacks-Bug &amp; CR_Items'!E131</f>
        <v>Milestone 1</v>
      </c>
      <c r="C131" t="str">
        <f>TRIM('SOW, Feedbacks-Bug &amp; CR_Items'!F131)</f>
        <v>Delivered</v>
      </c>
      <c r="D131" t="str">
        <f>IFERROR(VLOOKUP(C131,Config!$A:$B,2,0),"Unknown")</f>
        <v>Delivered</v>
      </c>
      <c r="E131" t="str">
        <f>IFERROR(VLOOKUP(C131,Config!$A:$C,3,0),"N/A")</f>
        <v>Delivered</v>
      </c>
      <c r="F131">
        <f>IF('SOW, Feedbacks-Bug &amp; CR_Items'!H131="","",'SOW, Feedbacks-Bug &amp; CR_Items'!H131)</f>
        <v>45717</v>
      </c>
    </row>
    <row r="132" spans="1:6">
      <c r="A132" t="str">
        <f>'SOW, Feedbacks-Bug &amp; CR_Items'!D132</f>
        <v>iWork</v>
      </c>
      <c r="B132" t="str">
        <f>'SOW, Feedbacks-Bug &amp; CR_Items'!E132</f>
        <v>Milestone 1</v>
      </c>
      <c r="C132" t="str">
        <f>TRIM('SOW, Feedbacks-Bug &amp; CR_Items'!F132)</f>
        <v>Delivered</v>
      </c>
      <c r="D132" t="str">
        <f>IFERROR(VLOOKUP(C132,Config!$A:$B,2,0),"Unknown")</f>
        <v>Delivered</v>
      </c>
      <c r="E132" t="str">
        <f>IFERROR(VLOOKUP(C132,Config!$A:$C,3,0),"N/A")</f>
        <v>Delivered</v>
      </c>
      <c r="F132">
        <f>IF('SOW, Feedbacks-Bug &amp; CR_Items'!H132="","",'SOW, Feedbacks-Bug &amp; CR_Items'!H132)</f>
        <v>45717</v>
      </c>
    </row>
    <row r="133" spans="1:6">
      <c r="A133" t="str">
        <f>'SOW, Feedbacks-Bug &amp; CR_Items'!D133</f>
        <v>iWork</v>
      </c>
      <c r="B133" t="str">
        <f>'SOW, Feedbacks-Bug &amp; CR_Items'!E133</f>
        <v>Milestone 1</v>
      </c>
      <c r="C133" t="str">
        <f>TRIM('SOW, Feedbacks-Bug &amp; CR_Items'!F133)</f>
        <v>Delivered</v>
      </c>
      <c r="D133" t="str">
        <f>IFERROR(VLOOKUP(C133,Config!$A:$B,2,0),"Unknown")</f>
        <v>Delivered</v>
      </c>
      <c r="E133" t="str">
        <f>IFERROR(VLOOKUP(C133,Config!$A:$C,3,0),"N/A")</f>
        <v>Delivered</v>
      </c>
      <c r="F133">
        <f>IF('SOW, Feedbacks-Bug &amp; CR_Items'!H133="","",'SOW, Feedbacks-Bug &amp; CR_Items'!H133)</f>
        <v>45717</v>
      </c>
    </row>
    <row r="134" spans="1:6">
      <c r="A134" t="str">
        <f>'SOW, Feedbacks-Bug &amp; CR_Items'!D134</f>
        <v>iWork</v>
      </c>
      <c r="B134" t="str">
        <f>'SOW, Feedbacks-Bug &amp; CR_Items'!E134</f>
        <v>Milestone 1</v>
      </c>
      <c r="C134" t="str">
        <f>TRIM('SOW, Feedbacks-Bug &amp; CR_Items'!F134)</f>
        <v>Delivered</v>
      </c>
      <c r="D134" t="str">
        <f>IFERROR(VLOOKUP(C134,Config!$A:$B,2,0),"Unknown")</f>
        <v>Delivered</v>
      </c>
      <c r="E134" t="str">
        <f>IFERROR(VLOOKUP(C134,Config!$A:$C,3,0),"N/A")</f>
        <v>Delivered</v>
      </c>
      <c r="F134">
        <f>IF('SOW, Feedbacks-Bug &amp; CR_Items'!H134="","",'SOW, Feedbacks-Bug &amp; CR_Items'!H134)</f>
        <v>45717</v>
      </c>
    </row>
    <row r="135" spans="1:6">
      <c r="A135" t="str">
        <f>'SOW, Feedbacks-Bug &amp; CR_Items'!D135</f>
        <v>iWork</v>
      </c>
      <c r="B135" t="str">
        <f>'SOW, Feedbacks-Bug &amp; CR_Items'!E135</f>
        <v>Milestone 1</v>
      </c>
      <c r="C135" t="str">
        <f>TRIM('SOW, Feedbacks-Bug &amp; CR_Items'!F135)</f>
        <v>Delivered</v>
      </c>
      <c r="D135" t="str">
        <f>IFERROR(VLOOKUP(C135,Config!$A:$B,2,0),"Unknown")</f>
        <v>Delivered</v>
      </c>
      <c r="E135" t="str">
        <f>IFERROR(VLOOKUP(C135,Config!$A:$C,3,0),"N/A")</f>
        <v>Delivered</v>
      </c>
      <c r="F135">
        <f>IF('SOW, Feedbacks-Bug &amp; CR_Items'!H135="","",'SOW, Feedbacks-Bug &amp; CR_Items'!H135)</f>
        <v>45717</v>
      </c>
    </row>
    <row r="136" spans="1:6">
      <c r="A136" t="str">
        <f>'SOW, Feedbacks-Bug &amp; CR_Items'!D136</f>
        <v>iWork</v>
      </c>
      <c r="B136" t="str">
        <f>'SOW, Feedbacks-Bug &amp; CR_Items'!E136</f>
        <v>Milestone 1</v>
      </c>
      <c r="C136" t="str">
        <f>TRIM('SOW, Feedbacks-Bug &amp; CR_Items'!F136)</f>
        <v>Delivered</v>
      </c>
      <c r="D136" t="str">
        <f>IFERROR(VLOOKUP(C136,Config!$A:$B,2,0),"Unknown")</f>
        <v>Delivered</v>
      </c>
      <c r="E136" t="str">
        <f>IFERROR(VLOOKUP(C136,Config!$A:$C,3,0),"N/A")</f>
        <v>Delivered</v>
      </c>
      <c r="F136">
        <f>IF('SOW, Feedbacks-Bug &amp; CR_Items'!H136="","",'SOW, Feedbacks-Bug &amp; CR_Items'!H136)</f>
        <v>45717</v>
      </c>
    </row>
    <row r="137" spans="1:6">
      <c r="A137" t="str">
        <f>'SOW, Feedbacks-Bug &amp; CR_Items'!D137</f>
        <v>iWork</v>
      </c>
      <c r="B137" t="str">
        <f>'SOW, Feedbacks-Bug &amp; CR_Items'!E137</f>
        <v>Milestone 1</v>
      </c>
      <c r="C137" t="str">
        <f>TRIM('SOW, Feedbacks-Bug &amp; CR_Items'!F137)</f>
        <v>Delivered</v>
      </c>
      <c r="D137" t="str">
        <f>IFERROR(VLOOKUP(C137,Config!$A:$B,2,0),"Unknown")</f>
        <v>Delivered</v>
      </c>
      <c r="E137" t="str">
        <f>IFERROR(VLOOKUP(C137,Config!$A:$C,3,0),"N/A")</f>
        <v>Delivered</v>
      </c>
      <c r="F137">
        <f>IF('SOW, Feedbacks-Bug &amp; CR_Items'!H137="","",'SOW, Feedbacks-Bug &amp; CR_Items'!H137)</f>
        <v>45717</v>
      </c>
    </row>
    <row r="138" spans="1:6">
      <c r="A138" t="str">
        <f>'SOW, Feedbacks-Bug &amp; CR_Items'!D138</f>
        <v>iWork</v>
      </c>
      <c r="B138" t="str">
        <f>'SOW, Feedbacks-Bug &amp; CR_Items'!E138</f>
        <v>Milestone 1</v>
      </c>
      <c r="C138" t="str">
        <f>TRIM('SOW, Feedbacks-Bug &amp; CR_Items'!F138)</f>
        <v>Delivered</v>
      </c>
      <c r="D138" t="str">
        <f>IFERROR(VLOOKUP(C138,Config!$A:$B,2,0),"Unknown")</f>
        <v>Delivered</v>
      </c>
      <c r="E138" t="str">
        <f>IFERROR(VLOOKUP(C138,Config!$A:$C,3,0),"N/A")</f>
        <v>Delivered</v>
      </c>
      <c r="F138">
        <f>IF('SOW, Feedbacks-Bug &amp; CR_Items'!H138="","",'SOW, Feedbacks-Bug &amp; CR_Items'!H138)</f>
        <v>45717</v>
      </c>
    </row>
    <row r="139" spans="1:6">
      <c r="A139" t="str">
        <f>'SOW, Feedbacks-Bug &amp; CR_Items'!D139</f>
        <v>iWork</v>
      </c>
      <c r="B139" t="str">
        <f>'SOW, Feedbacks-Bug &amp; CR_Items'!E139</f>
        <v>Milestone 1</v>
      </c>
      <c r="C139" t="str">
        <f>TRIM('SOW, Feedbacks-Bug &amp; CR_Items'!F139)</f>
        <v>Delivered</v>
      </c>
      <c r="D139" t="str">
        <f>IFERROR(VLOOKUP(C139,Config!$A:$B,2,0),"Unknown")</f>
        <v>Delivered</v>
      </c>
      <c r="E139" t="str">
        <f>IFERROR(VLOOKUP(C139,Config!$A:$C,3,0),"N/A")</f>
        <v>Delivered</v>
      </c>
      <c r="F139">
        <f>IF('SOW, Feedbacks-Bug &amp; CR_Items'!H139="","",'SOW, Feedbacks-Bug &amp; CR_Items'!H139)</f>
        <v>45717</v>
      </c>
    </row>
    <row r="140" spans="1:6">
      <c r="A140" t="str">
        <f>'SOW, Feedbacks-Bug &amp; CR_Items'!D140</f>
        <v>iWork</v>
      </c>
      <c r="B140" t="str">
        <f>'SOW, Feedbacks-Bug &amp; CR_Items'!E140</f>
        <v>Milestone 2</v>
      </c>
      <c r="C140" t="str">
        <f>TRIM('SOW, Feedbacks-Bug &amp; CR_Items'!F140)</f>
        <v>Delivered</v>
      </c>
      <c r="D140" t="str">
        <f>IFERROR(VLOOKUP(C140,Config!$A:$B,2,0),"Unknown")</f>
        <v>Delivered</v>
      </c>
      <c r="E140" t="str">
        <f>IFERROR(VLOOKUP(C140,Config!$A:$C,3,0),"N/A")</f>
        <v>Delivered</v>
      </c>
      <c r="F140">
        <f>IF('SOW, Feedbacks-Bug &amp; CR_Items'!H140="","",'SOW, Feedbacks-Bug &amp; CR_Items'!H140)</f>
        <v>45763</v>
      </c>
    </row>
    <row r="141" spans="1:6">
      <c r="A141" t="str">
        <f>'SOW, Feedbacks-Bug &amp; CR_Items'!D141</f>
        <v>iWork</v>
      </c>
      <c r="B141" t="str">
        <f>'SOW, Feedbacks-Bug &amp; CR_Items'!E141</f>
        <v>Milestone 2</v>
      </c>
      <c r="C141" t="str">
        <f>TRIM('SOW, Feedbacks-Bug &amp; CR_Items'!F141)</f>
        <v>Delivered</v>
      </c>
      <c r="D141" t="str">
        <f>IFERROR(VLOOKUP(C141,Config!$A:$B,2,0),"Unknown")</f>
        <v>Delivered</v>
      </c>
      <c r="E141" t="str">
        <f>IFERROR(VLOOKUP(C141,Config!$A:$C,3,0),"N/A")</f>
        <v>Delivered</v>
      </c>
      <c r="F141">
        <f>IF('SOW, Feedbacks-Bug &amp; CR_Items'!H141="","",'SOW, Feedbacks-Bug &amp; CR_Items'!H141)</f>
        <v>45763</v>
      </c>
    </row>
    <row r="142" spans="1:6">
      <c r="A142" t="str">
        <f>'SOW, Feedbacks-Bug &amp; CR_Items'!D142</f>
        <v>iWork</v>
      </c>
      <c r="B142" t="str">
        <f>'SOW, Feedbacks-Bug &amp; CR_Items'!E142</f>
        <v>Milestone 2</v>
      </c>
      <c r="C142" t="str">
        <f>TRIM('SOW, Feedbacks-Bug &amp; CR_Items'!F142)</f>
        <v>Delivered</v>
      </c>
      <c r="D142" t="str">
        <f>IFERROR(VLOOKUP(C142,Config!$A:$B,2,0),"Unknown")</f>
        <v>Delivered</v>
      </c>
      <c r="E142" t="str">
        <f>IFERROR(VLOOKUP(C142,Config!$A:$C,3,0),"N/A")</f>
        <v>Delivered</v>
      </c>
      <c r="F142">
        <f>IF('SOW, Feedbacks-Bug &amp; CR_Items'!H142="","",'SOW, Feedbacks-Bug &amp; CR_Items'!H142)</f>
        <v>45763</v>
      </c>
    </row>
    <row r="143" spans="1:6">
      <c r="A143" t="str">
        <f>'SOW, Feedbacks-Bug &amp; CR_Items'!D143</f>
        <v>iWork</v>
      </c>
      <c r="B143" t="str">
        <f>'SOW, Feedbacks-Bug &amp; CR_Items'!E143</f>
        <v>Milestone 2</v>
      </c>
      <c r="C143" t="str">
        <f>TRIM('SOW, Feedbacks-Bug &amp; CR_Items'!F143)</f>
        <v>Delivered</v>
      </c>
      <c r="D143" t="str">
        <f>IFERROR(VLOOKUP(C143,Config!$A:$B,2,0),"Unknown")</f>
        <v>Delivered</v>
      </c>
      <c r="E143" t="str">
        <f>IFERROR(VLOOKUP(C143,Config!$A:$C,3,0),"N/A")</f>
        <v>Delivered</v>
      </c>
      <c r="F143">
        <f>IF('SOW, Feedbacks-Bug &amp; CR_Items'!H143="","",'SOW, Feedbacks-Bug &amp; CR_Items'!H143)</f>
        <v>45763</v>
      </c>
    </row>
    <row r="144" spans="1:6">
      <c r="A144" t="str">
        <f>'SOW, Feedbacks-Bug &amp; CR_Items'!D144</f>
        <v>iWork</v>
      </c>
      <c r="B144" t="str">
        <f>'SOW, Feedbacks-Bug &amp; CR_Items'!E144</f>
        <v>Milestone 2</v>
      </c>
      <c r="C144" t="str">
        <f>TRIM('SOW, Feedbacks-Bug &amp; CR_Items'!F144)</f>
        <v>Delivered</v>
      </c>
      <c r="D144" t="str">
        <f>IFERROR(VLOOKUP(C144,Config!$A:$B,2,0),"Unknown")</f>
        <v>Delivered</v>
      </c>
      <c r="E144" t="str">
        <f>IFERROR(VLOOKUP(C144,Config!$A:$C,3,0),"N/A")</f>
        <v>Delivered</v>
      </c>
      <c r="F144">
        <f>IF('SOW, Feedbacks-Bug &amp; CR_Items'!H144="","",'SOW, Feedbacks-Bug &amp; CR_Items'!H144)</f>
        <v>45763</v>
      </c>
    </row>
    <row r="145" spans="1:6">
      <c r="A145" t="str">
        <f>'SOW, Feedbacks-Bug &amp; CR_Items'!D145</f>
        <v>iWork</v>
      </c>
      <c r="B145" t="str">
        <f>'SOW, Feedbacks-Bug &amp; CR_Items'!E145</f>
        <v>Milestone 2</v>
      </c>
      <c r="C145" t="str">
        <f>TRIM('SOW, Feedbacks-Bug &amp; CR_Items'!F145)</f>
        <v>Delivered</v>
      </c>
      <c r="D145" t="str">
        <f>IFERROR(VLOOKUP(C145,Config!$A:$B,2,0),"Unknown")</f>
        <v>Delivered</v>
      </c>
      <c r="E145" t="str">
        <f>IFERROR(VLOOKUP(C145,Config!$A:$C,3,0),"N/A")</f>
        <v>Delivered</v>
      </c>
      <c r="F145">
        <f>IF('SOW, Feedbacks-Bug &amp; CR_Items'!H145="","",'SOW, Feedbacks-Bug &amp; CR_Items'!H145)</f>
        <v>45763</v>
      </c>
    </row>
    <row r="146" spans="1:6">
      <c r="A146" t="str">
        <f>'SOW, Feedbacks-Bug &amp; CR_Items'!D146</f>
        <v>iWork</v>
      </c>
      <c r="B146" t="str">
        <f>'SOW, Feedbacks-Bug &amp; CR_Items'!E146</f>
        <v>Milestone 2</v>
      </c>
      <c r="C146" t="str">
        <f>TRIM('SOW, Feedbacks-Bug &amp; CR_Items'!F146)</f>
        <v>Delivered</v>
      </c>
      <c r="D146" t="str">
        <f>IFERROR(VLOOKUP(C146,Config!$A:$B,2,0),"Unknown")</f>
        <v>Delivered</v>
      </c>
      <c r="E146" t="str">
        <f>IFERROR(VLOOKUP(C146,Config!$A:$C,3,0),"N/A")</f>
        <v>Delivered</v>
      </c>
      <c r="F146">
        <f>IF('SOW, Feedbacks-Bug &amp; CR_Items'!H146="","",'SOW, Feedbacks-Bug &amp; CR_Items'!H146)</f>
        <v>45763</v>
      </c>
    </row>
    <row r="147" spans="1:6">
      <c r="A147" t="str">
        <f>'SOW, Feedbacks-Bug &amp; CR_Items'!D147</f>
        <v>iWork</v>
      </c>
      <c r="B147" t="str">
        <f>'SOW, Feedbacks-Bug &amp; CR_Items'!E147</f>
        <v>Milestone 2</v>
      </c>
      <c r="C147" t="str">
        <f>TRIM('SOW, Feedbacks-Bug &amp; CR_Items'!F147)</f>
        <v>Delivered</v>
      </c>
      <c r="D147" t="str">
        <f>IFERROR(VLOOKUP(C147,Config!$A:$B,2,0),"Unknown")</f>
        <v>Delivered</v>
      </c>
      <c r="E147" t="str">
        <f>IFERROR(VLOOKUP(C147,Config!$A:$C,3,0),"N/A")</f>
        <v>Delivered</v>
      </c>
      <c r="F147">
        <f>IF('SOW, Feedbacks-Bug &amp; CR_Items'!H147="","",'SOW, Feedbacks-Bug &amp; CR_Items'!H147)</f>
        <v>45763</v>
      </c>
    </row>
    <row r="148" spans="1:6">
      <c r="A148" t="str">
        <f>'SOW, Feedbacks-Bug &amp; CR_Items'!D148</f>
        <v>iWork</v>
      </c>
      <c r="B148" t="str">
        <f>'SOW, Feedbacks-Bug &amp; CR_Items'!E148</f>
        <v>Milestone 2</v>
      </c>
      <c r="C148" t="str">
        <f>TRIM('SOW, Feedbacks-Bug &amp; CR_Items'!F148)</f>
        <v>Delivered</v>
      </c>
      <c r="D148" t="str">
        <f>IFERROR(VLOOKUP(C148,Config!$A:$B,2,0),"Unknown")</f>
        <v>Delivered</v>
      </c>
      <c r="E148" t="str">
        <f>IFERROR(VLOOKUP(C148,Config!$A:$C,3,0),"N/A")</f>
        <v>Delivered</v>
      </c>
      <c r="F148">
        <f>IF('SOW, Feedbacks-Bug &amp; CR_Items'!H148="","",'SOW, Feedbacks-Bug &amp; CR_Items'!H148)</f>
        <v>45763</v>
      </c>
    </row>
    <row r="149" spans="1:6">
      <c r="A149" t="str">
        <f>'SOW, Feedbacks-Bug &amp; CR_Items'!D149</f>
        <v>iWork</v>
      </c>
      <c r="B149" t="str">
        <f>'SOW, Feedbacks-Bug &amp; CR_Items'!E149</f>
        <v>Milestone 3</v>
      </c>
      <c r="C149" t="str">
        <f>TRIM('SOW, Feedbacks-Bug &amp; CR_Items'!F149)</f>
        <v>Delivered</v>
      </c>
      <c r="D149" t="str">
        <f>IFERROR(VLOOKUP(C149,Config!$A:$B,2,0),"Unknown")</f>
        <v>Delivered</v>
      </c>
      <c r="E149" t="str">
        <f>IFERROR(VLOOKUP(C149,Config!$A:$C,3,0),"N/A")</f>
        <v>Delivered</v>
      </c>
      <c r="F149">
        <f>IF('SOW, Feedbacks-Bug &amp; CR_Items'!H149="","",'SOW, Feedbacks-Bug &amp; CR_Items'!H149)</f>
        <v>45793</v>
      </c>
    </row>
    <row r="150" spans="1:6">
      <c r="A150" t="str">
        <f>'SOW, Feedbacks-Bug &amp; CR_Items'!D150</f>
        <v>iWork</v>
      </c>
      <c r="B150" t="str">
        <f>'SOW, Feedbacks-Bug &amp; CR_Items'!E150</f>
        <v>Milestone 3</v>
      </c>
      <c r="C150" t="str">
        <f>TRIM('SOW, Feedbacks-Bug &amp; CR_Items'!F150)</f>
        <v>Delivered</v>
      </c>
      <c r="D150" t="str">
        <f>IFERROR(VLOOKUP(C150,Config!$A:$B,2,0),"Unknown")</f>
        <v>Delivered</v>
      </c>
      <c r="E150" t="str">
        <f>IFERROR(VLOOKUP(C150,Config!$A:$C,3,0),"N/A")</f>
        <v>Delivered</v>
      </c>
      <c r="F150">
        <f>IF('SOW, Feedbacks-Bug &amp; CR_Items'!H150="","",'SOW, Feedbacks-Bug &amp; CR_Items'!H150)</f>
        <v>45793</v>
      </c>
    </row>
    <row r="151" spans="1:6">
      <c r="A151" t="str">
        <f>'SOW, Feedbacks-Bug &amp; CR_Items'!D151</f>
        <v>iWork</v>
      </c>
      <c r="B151" t="str">
        <f>'SOW, Feedbacks-Bug &amp; CR_Items'!E151</f>
        <v>Milestone 4</v>
      </c>
      <c r="C151" t="str">
        <f>TRIM('SOW, Feedbacks-Bug &amp; CR_Items'!F151)</f>
        <v>Delivered</v>
      </c>
      <c r="D151" t="str">
        <f>IFERROR(VLOOKUP(C151,Config!$A:$B,2,0),"Unknown")</f>
        <v>Delivered</v>
      </c>
      <c r="E151" t="str">
        <f>IFERROR(VLOOKUP(C151,Config!$A:$C,3,0),"N/A")</f>
        <v>Delivered</v>
      </c>
      <c r="F151">
        <f>IF('SOW, Feedbacks-Bug &amp; CR_Items'!H151="","",'SOW, Feedbacks-Bug &amp; CR_Items'!H151)</f>
        <v>45818</v>
      </c>
    </row>
    <row r="152" spans="1:6">
      <c r="A152" t="str">
        <f>'SOW, Feedbacks-Bug &amp; CR_Items'!D152</f>
        <v>iWork</v>
      </c>
      <c r="B152" t="str">
        <f>'SOW, Feedbacks-Bug &amp; CR_Items'!E152</f>
        <v>Milestone 4</v>
      </c>
      <c r="C152" t="str">
        <f>TRIM('SOW, Feedbacks-Bug &amp; CR_Items'!F152)</f>
        <v>Delivered</v>
      </c>
      <c r="D152" t="str">
        <f>IFERROR(VLOOKUP(C152,Config!$A:$B,2,0),"Unknown")</f>
        <v>Delivered</v>
      </c>
      <c r="E152" t="str">
        <f>IFERROR(VLOOKUP(C152,Config!$A:$C,3,0),"N/A")</f>
        <v>Delivered</v>
      </c>
      <c r="F152">
        <f>IF('SOW, Feedbacks-Bug &amp; CR_Items'!H152="","",'SOW, Feedbacks-Bug &amp; CR_Items'!H152)</f>
        <v>45818</v>
      </c>
    </row>
    <row r="153" spans="1:6">
      <c r="A153" t="str">
        <f>'SOW, Feedbacks-Bug &amp; CR_Items'!D153</f>
        <v>iWork</v>
      </c>
      <c r="B153" t="str">
        <f>'SOW, Feedbacks-Bug &amp; CR_Items'!E153</f>
        <v>Milestone 5</v>
      </c>
      <c r="C153" t="str">
        <f>TRIM('SOW, Feedbacks-Bug &amp; CR_Items'!F153)</f>
        <v>Delivered - Deficit</v>
      </c>
      <c r="D153" t="str">
        <f>IFERROR(VLOOKUP(C153,Config!$A:$B,2,0),"Unknown")</f>
        <v>Partial Delivery</v>
      </c>
      <c r="E153" t="str">
        <f>IFERROR(VLOOKUP(C153,Config!$A:$C,3,0),"N/A")</f>
        <v>Pending</v>
      </c>
      <c r="F153">
        <f>IF('SOW, Feedbacks-Bug &amp; CR_Items'!H153="","",'SOW, Feedbacks-Bug &amp; CR_Items'!H153)</f>
        <v>45869</v>
      </c>
    </row>
    <row r="154" spans="1:6">
      <c r="A154" t="str">
        <f>'SOW, Feedbacks-Bug &amp; CR_Items'!D154</f>
        <v>iWork</v>
      </c>
      <c r="B154" t="str">
        <f>'SOW, Feedbacks-Bug &amp; CR_Items'!E154</f>
        <v>Milestone 5</v>
      </c>
      <c r="C154" t="str">
        <f>TRIM('SOW, Feedbacks-Bug &amp; CR_Items'!F154)</f>
        <v>Delivered</v>
      </c>
      <c r="D154" t="str">
        <f>IFERROR(VLOOKUP(C154,Config!$A:$B,2,0),"Unknown")</f>
        <v>Delivered</v>
      </c>
      <c r="E154" t="str">
        <f>IFERROR(VLOOKUP(C154,Config!$A:$C,3,0),"N/A")</f>
        <v>Delivered</v>
      </c>
      <c r="F154">
        <f>IF('SOW, Feedbacks-Bug &amp; CR_Items'!H154="","",'SOW, Feedbacks-Bug &amp; CR_Items'!H154)</f>
        <v>45869</v>
      </c>
    </row>
    <row r="155" spans="1:6">
      <c r="A155" t="str">
        <f>'SOW, Feedbacks-Bug &amp; CR_Items'!D155</f>
        <v>iWork</v>
      </c>
      <c r="B155" t="str">
        <f>'SOW, Feedbacks-Bug &amp; CR_Items'!E155</f>
        <v>Milestone 5</v>
      </c>
      <c r="C155" t="str">
        <f>TRIM('SOW, Feedbacks-Bug &amp; CR_Items'!F155)</f>
        <v>Delivered</v>
      </c>
      <c r="D155" t="str">
        <f>IFERROR(VLOOKUP(C155,Config!$A:$B,2,0),"Unknown")</f>
        <v>Delivered</v>
      </c>
      <c r="E155" t="str">
        <f>IFERROR(VLOOKUP(C155,Config!$A:$C,3,0),"N/A")</f>
        <v>Delivered</v>
      </c>
      <c r="F155">
        <f>IF('SOW, Feedbacks-Bug &amp; CR_Items'!H155="","",'SOW, Feedbacks-Bug &amp; CR_Items'!H155)</f>
        <v>45869</v>
      </c>
    </row>
    <row r="156" spans="1:6">
      <c r="A156" t="str">
        <f>'SOW, Feedbacks-Bug &amp; CR_Items'!D156</f>
        <v>iWork</v>
      </c>
      <c r="B156" t="str">
        <f>'SOW, Feedbacks-Bug &amp; CR_Items'!E156</f>
        <v>Milestone 5</v>
      </c>
      <c r="C156" t="str">
        <f>TRIM('SOW, Feedbacks-Bug &amp; CR_Items'!F156)</f>
        <v>Delivered</v>
      </c>
      <c r="D156" t="str">
        <f>IFERROR(VLOOKUP(C156,Config!$A:$B,2,0),"Unknown")</f>
        <v>Delivered</v>
      </c>
      <c r="E156" t="str">
        <f>IFERROR(VLOOKUP(C156,Config!$A:$C,3,0),"N/A")</f>
        <v>Delivered</v>
      </c>
      <c r="F156">
        <f>IF('SOW, Feedbacks-Bug &amp; CR_Items'!H156="","",'SOW, Feedbacks-Bug &amp; CR_Items'!H156)</f>
        <v>45869</v>
      </c>
    </row>
    <row r="157" spans="1:6">
      <c r="A157" t="str">
        <f>'SOW, Feedbacks-Bug &amp; CR_Items'!D157</f>
        <v>iWork</v>
      </c>
      <c r="B157" t="str">
        <f>'SOW, Feedbacks-Bug &amp; CR_Items'!E157</f>
        <v>Milestone 5</v>
      </c>
      <c r="C157" t="str">
        <f>TRIM('SOW, Feedbacks-Bug &amp; CR_Items'!F157)</f>
        <v>Delivered</v>
      </c>
      <c r="D157" t="str">
        <f>IFERROR(VLOOKUP(C157,Config!$A:$B,2,0),"Unknown")</f>
        <v>Delivered</v>
      </c>
      <c r="E157" t="str">
        <f>IFERROR(VLOOKUP(C157,Config!$A:$C,3,0),"N/A")</f>
        <v>Delivered</v>
      </c>
      <c r="F157">
        <f>IF('SOW, Feedbacks-Bug &amp; CR_Items'!H157="","",'SOW, Feedbacks-Bug &amp; CR_Items'!H157)</f>
        <v>45869</v>
      </c>
    </row>
    <row r="158" spans="1:6">
      <c r="A158" t="str">
        <f>'SOW, Feedbacks-Bug &amp; CR_Items'!D158</f>
        <v>iWork</v>
      </c>
      <c r="B158" t="str">
        <f>'SOW, Feedbacks-Bug &amp; CR_Items'!E158</f>
        <v>Milestone 5</v>
      </c>
      <c r="C158" t="str">
        <f>TRIM('SOW, Feedbacks-Bug &amp; CR_Items'!F158)</f>
        <v>Yet to start</v>
      </c>
      <c r="D158" t="str">
        <f>IFERROR(VLOOKUP(C158,Config!$A:$B,2,0),"Unknown")</f>
        <v>Not Started</v>
      </c>
      <c r="E158" t="str">
        <f>IFERROR(VLOOKUP(C158,Config!$A:$C,3,0),"N/A")</f>
        <v>Pending</v>
      </c>
      <c r="F158">
        <f>IF('SOW, Feedbacks-Bug &amp; CR_Items'!H158="","",'SOW, Feedbacks-Bug &amp; CR_Items'!H158)</f>
        <v>45869</v>
      </c>
    </row>
    <row r="159" spans="1:6">
      <c r="A159" t="str">
        <f>'SOW, Feedbacks-Bug &amp; CR_Items'!D159</f>
        <v>iWork</v>
      </c>
      <c r="B159" t="str">
        <f>'SOW, Feedbacks-Bug &amp; CR_Items'!E159</f>
        <v>Milestone 1</v>
      </c>
      <c r="C159" t="str">
        <f>TRIM('SOW, Feedbacks-Bug &amp; CR_Items'!F159)</f>
        <v>Delivered</v>
      </c>
      <c r="D159" t="str">
        <f>IFERROR(VLOOKUP(C159,Config!$A:$B,2,0),"Unknown")</f>
        <v>Delivered</v>
      </c>
      <c r="E159" t="str">
        <f>IFERROR(VLOOKUP(C159,Config!$A:$C,3,0),"N/A")</f>
        <v>Delivered</v>
      </c>
      <c r="F159">
        <f>IF('SOW, Feedbacks-Bug &amp; CR_Items'!H159="","",'SOW, Feedbacks-Bug &amp; CR_Items'!H159)</f>
        <v>45717</v>
      </c>
    </row>
    <row r="160" spans="1:6">
      <c r="A160" t="str">
        <f>'SOW, Feedbacks-Bug &amp; CR_Items'!D160</f>
        <v>iWork</v>
      </c>
      <c r="B160" t="str">
        <f>'SOW, Feedbacks-Bug &amp; CR_Items'!E160</f>
        <v>Milestone 1</v>
      </c>
      <c r="C160" t="str">
        <f>TRIM('SOW, Feedbacks-Bug &amp; CR_Items'!F160)</f>
        <v>Delivered</v>
      </c>
      <c r="D160" t="str">
        <f>IFERROR(VLOOKUP(C160,Config!$A:$B,2,0),"Unknown")</f>
        <v>Delivered</v>
      </c>
      <c r="E160" t="str">
        <f>IFERROR(VLOOKUP(C160,Config!$A:$C,3,0),"N/A")</f>
        <v>Delivered</v>
      </c>
      <c r="F160">
        <f>IF('SOW, Feedbacks-Bug &amp; CR_Items'!H160="","",'SOW, Feedbacks-Bug &amp; CR_Items'!H160)</f>
        <v>45717</v>
      </c>
    </row>
    <row r="161" spans="1:6">
      <c r="A161" t="str">
        <f>'SOW, Feedbacks-Bug &amp; CR_Items'!D161</f>
        <v>iWork</v>
      </c>
      <c r="B161" t="str">
        <f>'SOW, Feedbacks-Bug &amp; CR_Items'!E161</f>
        <v>Milestone 1</v>
      </c>
      <c r="C161" t="str">
        <f>TRIM('SOW, Feedbacks-Bug &amp; CR_Items'!F161)</f>
        <v>Delivered</v>
      </c>
      <c r="D161" t="str">
        <f>IFERROR(VLOOKUP(C161,Config!$A:$B,2,0),"Unknown")</f>
        <v>Delivered</v>
      </c>
      <c r="E161" t="str">
        <f>IFERROR(VLOOKUP(C161,Config!$A:$C,3,0),"N/A")</f>
        <v>Delivered</v>
      </c>
      <c r="F161">
        <f>IF('SOW, Feedbacks-Bug &amp; CR_Items'!H161="","",'SOW, Feedbacks-Bug &amp; CR_Items'!H161)</f>
        <v>45717</v>
      </c>
    </row>
    <row r="162" spans="1:6">
      <c r="A162" t="str">
        <f>'SOW, Feedbacks-Bug &amp; CR_Items'!D162</f>
        <v>iWork</v>
      </c>
      <c r="B162" t="str">
        <f>'SOW, Feedbacks-Bug &amp; CR_Items'!E162</f>
        <v>Milestone 1</v>
      </c>
      <c r="C162" t="str">
        <f>TRIM('SOW, Feedbacks-Bug &amp; CR_Items'!F162)</f>
        <v>Delivered</v>
      </c>
      <c r="D162" t="str">
        <f>IFERROR(VLOOKUP(C162,Config!$A:$B,2,0),"Unknown")</f>
        <v>Delivered</v>
      </c>
      <c r="E162" t="str">
        <f>IFERROR(VLOOKUP(C162,Config!$A:$C,3,0),"N/A")</f>
        <v>Delivered</v>
      </c>
      <c r="F162">
        <f>IF('SOW, Feedbacks-Bug &amp; CR_Items'!H162="","",'SOW, Feedbacks-Bug &amp; CR_Items'!H162)</f>
        <v>45717</v>
      </c>
    </row>
    <row r="163" spans="1:6">
      <c r="A163" t="str">
        <f>'SOW, Feedbacks-Bug &amp; CR_Items'!D163</f>
        <v>iWork</v>
      </c>
      <c r="B163" t="str">
        <f>'SOW, Feedbacks-Bug &amp; CR_Items'!E163</f>
        <v>Milestone 1</v>
      </c>
      <c r="C163" t="str">
        <f>TRIM('SOW, Feedbacks-Bug &amp; CR_Items'!F163)</f>
        <v>Delivered</v>
      </c>
      <c r="D163" t="str">
        <f>IFERROR(VLOOKUP(C163,Config!$A:$B,2,0),"Unknown")</f>
        <v>Delivered</v>
      </c>
      <c r="E163" t="str">
        <f>IFERROR(VLOOKUP(C163,Config!$A:$C,3,0),"N/A")</f>
        <v>Delivered</v>
      </c>
      <c r="F163">
        <f>IF('SOW, Feedbacks-Bug &amp; CR_Items'!H163="","",'SOW, Feedbacks-Bug &amp; CR_Items'!H163)</f>
        <v>45717</v>
      </c>
    </row>
    <row r="164" spans="1:6">
      <c r="A164" t="str">
        <f>'SOW, Feedbacks-Bug &amp; CR_Items'!D164</f>
        <v>iWork</v>
      </c>
      <c r="B164" t="str">
        <f>'SOW, Feedbacks-Bug &amp; CR_Items'!E164</f>
        <v>Milestone 1</v>
      </c>
      <c r="C164" t="str">
        <f>TRIM('SOW, Feedbacks-Bug &amp; CR_Items'!F164)</f>
        <v>Delivered</v>
      </c>
      <c r="D164" t="str">
        <f>IFERROR(VLOOKUP(C164,Config!$A:$B,2,0),"Unknown")</f>
        <v>Delivered</v>
      </c>
      <c r="E164" t="str">
        <f>IFERROR(VLOOKUP(C164,Config!$A:$C,3,0),"N/A")</f>
        <v>Delivered</v>
      </c>
      <c r="F164">
        <f>IF('SOW, Feedbacks-Bug &amp; CR_Items'!H164="","",'SOW, Feedbacks-Bug &amp; CR_Items'!H164)</f>
        <v>45717</v>
      </c>
    </row>
    <row r="165" spans="1:6">
      <c r="A165" t="str">
        <f>'SOW, Feedbacks-Bug &amp; CR_Items'!D165</f>
        <v>iWork</v>
      </c>
      <c r="B165" t="str">
        <f>'SOW, Feedbacks-Bug &amp; CR_Items'!E165</f>
        <v>Milestone 2</v>
      </c>
      <c r="C165" t="str">
        <f>TRIM('SOW, Feedbacks-Bug &amp; CR_Items'!F165)</f>
        <v>Delivered</v>
      </c>
      <c r="D165" t="str">
        <f>IFERROR(VLOOKUP(C165,Config!$A:$B,2,0),"Unknown")</f>
        <v>Delivered</v>
      </c>
      <c r="E165" t="str">
        <f>IFERROR(VLOOKUP(C165,Config!$A:$C,3,0),"N/A")</f>
        <v>Delivered</v>
      </c>
      <c r="F165">
        <f>IF('SOW, Feedbacks-Bug &amp; CR_Items'!H165="","",'SOW, Feedbacks-Bug &amp; CR_Items'!H165)</f>
        <v>45763</v>
      </c>
    </row>
    <row r="166" spans="1:6">
      <c r="A166" t="str">
        <f>'SOW, Feedbacks-Bug &amp; CR_Items'!D166</f>
        <v>iWork</v>
      </c>
      <c r="B166" t="str">
        <f>'SOW, Feedbacks-Bug &amp; CR_Items'!E166</f>
        <v>Milestone 2</v>
      </c>
      <c r="C166" t="str">
        <f>TRIM('SOW, Feedbacks-Bug &amp; CR_Items'!F166)</f>
        <v>Delivered</v>
      </c>
      <c r="D166" t="str">
        <f>IFERROR(VLOOKUP(C166,Config!$A:$B,2,0),"Unknown")</f>
        <v>Delivered</v>
      </c>
      <c r="E166" t="str">
        <f>IFERROR(VLOOKUP(C166,Config!$A:$C,3,0),"N/A")</f>
        <v>Delivered</v>
      </c>
      <c r="F166">
        <f>IF('SOW, Feedbacks-Bug &amp; CR_Items'!H166="","",'SOW, Feedbacks-Bug &amp; CR_Items'!H166)</f>
        <v>45763</v>
      </c>
    </row>
    <row r="167" spans="1:6">
      <c r="A167" t="str">
        <f>'SOW, Feedbacks-Bug &amp; CR_Items'!D167</f>
        <v>iWork</v>
      </c>
      <c r="B167" t="str">
        <f>'SOW, Feedbacks-Bug &amp; CR_Items'!E167</f>
        <v>Milestone 2</v>
      </c>
      <c r="C167" t="str">
        <f>TRIM('SOW, Feedbacks-Bug &amp; CR_Items'!F167)</f>
        <v>Delivered</v>
      </c>
      <c r="D167" t="str">
        <f>IFERROR(VLOOKUP(C167,Config!$A:$B,2,0),"Unknown")</f>
        <v>Delivered</v>
      </c>
      <c r="E167" t="str">
        <f>IFERROR(VLOOKUP(C167,Config!$A:$C,3,0),"N/A")</f>
        <v>Delivered</v>
      </c>
      <c r="F167">
        <f>IF('SOW, Feedbacks-Bug &amp; CR_Items'!H167="","",'SOW, Feedbacks-Bug &amp; CR_Items'!H167)</f>
        <v>45763</v>
      </c>
    </row>
    <row r="168" spans="1:6">
      <c r="A168" t="str">
        <f>'SOW, Feedbacks-Bug &amp; CR_Items'!D168</f>
        <v>iWork</v>
      </c>
      <c r="B168" t="str">
        <f>'SOW, Feedbacks-Bug &amp; CR_Items'!E168</f>
        <v>Milestone 2</v>
      </c>
      <c r="C168" t="str">
        <f>TRIM('SOW, Feedbacks-Bug &amp; CR_Items'!F168)</f>
        <v>Delivered</v>
      </c>
      <c r="D168" t="str">
        <f>IFERROR(VLOOKUP(C168,Config!$A:$B,2,0),"Unknown")</f>
        <v>Delivered</v>
      </c>
      <c r="E168" t="str">
        <f>IFERROR(VLOOKUP(C168,Config!$A:$C,3,0),"N/A")</f>
        <v>Delivered</v>
      </c>
      <c r="F168">
        <f>IF('SOW, Feedbacks-Bug &amp; CR_Items'!H168="","",'SOW, Feedbacks-Bug &amp; CR_Items'!H168)</f>
        <v>45763</v>
      </c>
    </row>
    <row r="169" spans="1:6">
      <c r="A169" t="str">
        <f>'SOW, Feedbacks-Bug &amp; CR_Items'!D169</f>
        <v>iWork</v>
      </c>
      <c r="B169" t="str">
        <f>'SOW, Feedbacks-Bug &amp; CR_Items'!E169</f>
        <v>Milestone 2</v>
      </c>
      <c r="C169" t="str">
        <f>TRIM('SOW, Feedbacks-Bug &amp; CR_Items'!F169)</f>
        <v>Delivered</v>
      </c>
      <c r="D169" t="str">
        <f>IFERROR(VLOOKUP(C169,Config!$A:$B,2,0),"Unknown")</f>
        <v>Delivered</v>
      </c>
      <c r="E169" t="str">
        <f>IFERROR(VLOOKUP(C169,Config!$A:$C,3,0),"N/A")</f>
        <v>Delivered</v>
      </c>
      <c r="F169">
        <f>IF('SOW, Feedbacks-Bug &amp; CR_Items'!H169="","",'SOW, Feedbacks-Bug &amp; CR_Items'!H169)</f>
        <v>45763</v>
      </c>
    </row>
    <row r="170" spans="1:6">
      <c r="A170" t="str">
        <f>'SOW, Feedbacks-Bug &amp; CR_Items'!D170</f>
        <v>iWork</v>
      </c>
      <c r="B170" t="str">
        <f>'SOW, Feedbacks-Bug &amp; CR_Items'!E170</f>
        <v>Milestone 2</v>
      </c>
      <c r="C170" t="str">
        <f>TRIM('SOW, Feedbacks-Bug &amp; CR_Items'!F170)</f>
        <v>Delivered</v>
      </c>
      <c r="D170" t="str">
        <f>IFERROR(VLOOKUP(C170,Config!$A:$B,2,0),"Unknown")</f>
        <v>Delivered</v>
      </c>
      <c r="E170" t="str">
        <f>IFERROR(VLOOKUP(C170,Config!$A:$C,3,0),"N/A")</f>
        <v>Delivered</v>
      </c>
      <c r="F170">
        <f>IF('SOW, Feedbacks-Bug &amp; CR_Items'!H170="","",'SOW, Feedbacks-Bug &amp; CR_Items'!H170)</f>
        <v>45763</v>
      </c>
    </row>
    <row r="171" spans="1:6">
      <c r="A171" t="str">
        <f>'SOW, Feedbacks-Bug &amp; CR_Items'!D171</f>
        <v>iWork</v>
      </c>
      <c r="B171" t="str">
        <f>'SOW, Feedbacks-Bug &amp; CR_Items'!E171</f>
        <v>Milestone 2</v>
      </c>
      <c r="C171" t="str">
        <f>TRIM('SOW, Feedbacks-Bug &amp; CR_Items'!F171)</f>
        <v>Pre-PROD</v>
      </c>
      <c r="D171" t="str">
        <f>IFERROR(VLOOKUP(C171,Config!$A:$B,2,0),"Unknown")</f>
        <v>Pre-PROD / UAT</v>
      </c>
      <c r="E171" t="str">
        <f>IFERROR(VLOOKUP(C171,Config!$A:$C,3,0),"N/A")</f>
        <v>Pending</v>
      </c>
      <c r="F171">
        <f>IF('SOW, Feedbacks-Bug &amp; CR_Items'!H171="","",'SOW, Feedbacks-Bug &amp; CR_Items'!H171)</f>
        <v>45763</v>
      </c>
    </row>
    <row r="172" spans="1:6">
      <c r="A172" t="str">
        <f>'SOW, Feedbacks-Bug &amp; CR_Items'!D172</f>
        <v>iWork</v>
      </c>
      <c r="B172" t="str">
        <f>'SOW, Feedbacks-Bug &amp; CR_Items'!E172</f>
        <v>Milestone 3</v>
      </c>
      <c r="C172" t="str">
        <f>TRIM('SOW, Feedbacks-Bug &amp; CR_Items'!F172)</f>
        <v>Delivered</v>
      </c>
      <c r="D172" t="str">
        <f>IFERROR(VLOOKUP(C172,Config!$A:$B,2,0),"Unknown")</f>
        <v>Delivered</v>
      </c>
      <c r="E172" t="str">
        <f>IFERROR(VLOOKUP(C172,Config!$A:$C,3,0),"N/A")</f>
        <v>Delivered</v>
      </c>
      <c r="F172">
        <f>IF('SOW, Feedbacks-Bug &amp; CR_Items'!H172="","",'SOW, Feedbacks-Bug &amp; CR_Items'!H172)</f>
        <v>45793</v>
      </c>
    </row>
    <row r="173" spans="1:6">
      <c r="A173" t="str">
        <f>'SOW, Feedbacks-Bug &amp; CR_Items'!D173</f>
        <v>iWork</v>
      </c>
      <c r="B173" t="str">
        <f>'SOW, Feedbacks-Bug &amp; CR_Items'!E173</f>
        <v>Milestone 3</v>
      </c>
      <c r="C173" t="str">
        <f>TRIM('SOW, Feedbacks-Bug &amp; CR_Items'!F173)</f>
        <v>Delivered</v>
      </c>
      <c r="D173" t="str">
        <f>IFERROR(VLOOKUP(C173,Config!$A:$B,2,0),"Unknown")</f>
        <v>Delivered</v>
      </c>
      <c r="E173" t="str">
        <f>IFERROR(VLOOKUP(C173,Config!$A:$C,3,0),"N/A")</f>
        <v>Delivered</v>
      </c>
      <c r="F173">
        <f>IF('SOW, Feedbacks-Bug &amp; CR_Items'!H173="","",'SOW, Feedbacks-Bug &amp; CR_Items'!H173)</f>
        <v>45793</v>
      </c>
    </row>
    <row r="174" spans="1:6">
      <c r="A174" t="str">
        <f>'SOW, Feedbacks-Bug &amp; CR_Items'!D174</f>
        <v>iWork</v>
      </c>
      <c r="B174" t="str">
        <f>'SOW, Feedbacks-Bug &amp; CR_Items'!E174</f>
        <v>Milestone 3</v>
      </c>
      <c r="C174" t="str">
        <f>TRIM('SOW, Feedbacks-Bug &amp; CR_Items'!F174)</f>
        <v>Delivered</v>
      </c>
      <c r="D174" t="str">
        <f>IFERROR(VLOOKUP(C174,Config!$A:$B,2,0),"Unknown")</f>
        <v>Delivered</v>
      </c>
      <c r="E174" t="str">
        <f>IFERROR(VLOOKUP(C174,Config!$A:$C,3,0),"N/A")</f>
        <v>Delivered</v>
      </c>
      <c r="F174">
        <f>IF('SOW, Feedbacks-Bug &amp; CR_Items'!H174="","",'SOW, Feedbacks-Bug &amp; CR_Items'!H174)</f>
        <v>45793</v>
      </c>
    </row>
    <row r="175" spans="1:6">
      <c r="A175" t="str">
        <f>'SOW, Feedbacks-Bug &amp; CR_Items'!D175</f>
        <v>iWork</v>
      </c>
      <c r="B175" t="str">
        <f>'SOW, Feedbacks-Bug &amp; CR_Items'!E175</f>
        <v>Milestone 3</v>
      </c>
      <c r="C175" t="str">
        <f>TRIM('SOW, Feedbacks-Bug &amp; CR_Items'!F175)</f>
        <v>Delivered</v>
      </c>
      <c r="D175" t="str">
        <f>IFERROR(VLOOKUP(C175,Config!$A:$B,2,0),"Unknown")</f>
        <v>Delivered</v>
      </c>
      <c r="E175" t="str">
        <f>IFERROR(VLOOKUP(C175,Config!$A:$C,3,0),"N/A")</f>
        <v>Delivered</v>
      </c>
      <c r="F175">
        <f>IF('SOW, Feedbacks-Bug &amp; CR_Items'!H175="","",'SOW, Feedbacks-Bug &amp; CR_Items'!H175)</f>
        <v>45793</v>
      </c>
    </row>
    <row r="176" spans="1:6">
      <c r="A176" t="str">
        <f>'SOW, Feedbacks-Bug &amp; CR_Items'!D176</f>
        <v>iWork</v>
      </c>
      <c r="B176" t="str">
        <f>'SOW, Feedbacks-Bug &amp; CR_Items'!E176</f>
        <v>Milestone 3</v>
      </c>
      <c r="C176" t="str">
        <f>TRIM('SOW, Feedbacks-Bug &amp; CR_Items'!F176)</f>
        <v>Delivered</v>
      </c>
      <c r="D176" t="str">
        <f>IFERROR(VLOOKUP(C176,Config!$A:$B,2,0),"Unknown")</f>
        <v>Delivered</v>
      </c>
      <c r="E176" t="str">
        <f>IFERROR(VLOOKUP(C176,Config!$A:$C,3,0),"N/A")</f>
        <v>Delivered</v>
      </c>
      <c r="F176">
        <f>IF('SOW, Feedbacks-Bug &amp; CR_Items'!H176="","",'SOW, Feedbacks-Bug &amp; CR_Items'!H176)</f>
        <v>45793</v>
      </c>
    </row>
    <row r="177" spans="1:6">
      <c r="A177" t="str">
        <f>'SOW, Feedbacks-Bug &amp; CR_Items'!D177</f>
        <v>DPDP</v>
      </c>
      <c r="B177" t="str">
        <f>'SOW, Feedbacks-Bug &amp; CR_Items'!E177</f>
        <v>Milestone 4</v>
      </c>
      <c r="C177" t="str">
        <f>TRIM('SOW, Feedbacks-Bug &amp; CR_Items'!F177)</f>
        <v>Yet to start</v>
      </c>
      <c r="D177" t="str">
        <f>IFERROR(VLOOKUP(C177,Config!$A:$B,2,0),"Unknown")</f>
        <v>Not Started</v>
      </c>
      <c r="E177" t="str">
        <f>IFERROR(VLOOKUP(C177,Config!$A:$C,3,0),"N/A")</f>
        <v>Pending</v>
      </c>
      <c r="F177">
        <f>IF('SOW, Feedbacks-Bug &amp; CR_Items'!H177="","",'SOW, Feedbacks-Bug &amp; CR_Items'!H177)</f>
        <v>45818</v>
      </c>
    </row>
    <row r="178" spans="1:6">
      <c r="A178" t="str">
        <f>'SOW, Feedbacks-Bug &amp; CR_Items'!D178</f>
        <v>IBP/iWork</v>
      </c>
      <c r="B178" t="str">
        <f>'SOW, Feedbacks-Bug &amp; CR_Items'!E178</f>
        <v>Milestone 4</v>
      </c>
      <c r="C178" t="str">
        <f>TRIM('SOW, Feedbacks-Bug &amp; CR_Items'!F178)</f>
        <v>Delivered</v>
      </c>
      <c r="D178" t="str">
        <f>IFERROR(VLOOKUP(C178,Config!$A:$B,2,0),"Unknown")</f>
        <v>Delivered</v>
      </c>
      <c r="E178" t="str">
        <f>IFERROR(VLOOKUP(C178,Config!$A:$C,3,0),"N/A")</f>
        <v>Delivered</v>
      </c>
      <c r="F178">
        <f>IF('SOW, Feedbacks-Bug &amp; CR_Items'!H178="","",'SOW, Feedbacks-Bug &amp; CR_Items'!H178)</f>
        <v>45818</v>
      </c>
    </row>
    <row r="179" spans="1:6">
      <c r="A179" t="str">
        <f>'SOW, Feedbacks-Bug &amp; CR_Items'!D179</f>
        <v>IBP/iWork</v>
      </c>
      <c r="B179" t="str">
        <f>'SOW, Feedbacks-Bug &amp; CR_Items'!E179</f>
        <v>Milestone 4</v>
      </c>
      <c r="C179" t="str">
        <f>TRIM('SOW, Feedbacks-Bug &amp; CR_Items'!F179)</f>
        <v>Delivered</v>
      </c>
      <c r="D179" t="str">
        <f>IFERROR(VLOOKUP(C179,Config!$A:$B,2,0),"Unknown")</f>
        <v>Delivered</v>
      </c>
      <c r="E179" t="str">
        <f>IFERROR(VLOOKUP(C179,Config!$A:$C,3,0),"N/A")</f>
        <v>Delivered</v>
      </c>
      <c r="F179">
        <f>IF('SOW, Feedbacks-Bug &amp; CR_Items'!H179="","",'SOW, Feedbacks-Bug &amp; CR_Items'!H179)</f>
        <v>45818</v>
      </c>
    </row>
    <row r="180" spans="1:6">
      <c r="A180" t="str">
        <f>'SOW, Feedbacks-Bug &amp; CR_Items'!D180</f>
        <v>iWork</v>
      </c>
      <c r="B180" t="str">
        <f>'SOW, Feedbacks-Bug &amp; CR_Items'!E180</f>
        <v>Milestone 4</v>
      </c>
      <c r="C180" t="str">
        <f>TRIM('SOW, Feedbacks-Bug &amp; CR_Items'!F180)</f>
        <v>Delivered</v>
      </c>
      <c r="D180" t="str">
        <f>IFERROR(VLOOKUP(C180,Config!$A:$B,2,0),"Unknown")</f>
        <v>Delivered</v>
      </c>
      <c r="E180" t="str">
        <f>IFERROR(VLOOKUP(C180,Config!$A:$C,3,0),"N/A")</f>
        <v>Delivered</v>
      </c>
      <c r="F180">
        <f>IF('SOW, Feedbacks-Bug &amp; CR_Items'!H180="","",'SOW, Feedbacks-Bug &amp; CR_Items'!H180)</f>
        <v>45818</v>
      </c>
    </row>
    <row r="181" spans="1:6">
      <c r="A181" t="str">
        <f>'SOW, Feedbacks-Bug &amp; CR_Items'!D181</f>
        <v>iWork</v>
      </c>
      <c r="B181" t="str">
        <f>'SOW, Feedbacks-Bug &amp; CR_Items'!E181</f>
        <v>Milestone 4</v>
      </c>
      <c r="C181" t="str">
        <f>TRIM('SOW, Feedbacks-Bug &amp; CR_Items'!F181)</f>
        <v>Delivered</v>
      </c>
      <c r="D181" t="str">
        <f>IFERROR(VLOOKUP(C181,Config!$A:$B,2,0),"Unknown")</f>
        <v>Delivered</v>
      </c>
      <c r="E181" t="str">
        <f>IFERROR(VLOOKUP(C181,Config!$A:$C,3,0),"N/A")</f>
        <v>Delivered</v>
      </c>
      <c r="F181">
        <f>IF('SOW, Feedbacks-Bug &amp; CR_Items'!H181="","",'SOW, Feedbacks-Bug &amp; CR_Items'!H181)</f>
        <v>45818</v>
      </c>
    </row>
    <row r="182" spans="1:6">
      <c r="A182" t="str">
        <f>'SOW, Feedbacks-Bug &amp; CR_Items'!D182</f>
        <v>iWork</v>
      </c>
      <c r="B182" t="str">
        <f>'SOW, Feedbacks-Bug &amp; CR_Items'!E182</f>
        <v>Milestone 4</v>
      </c>
      <c r="C182" t="str">
        <f>TRIM('SOW, Feedbacks-Bug &amp; CR_Items'!F182)</f>
        <v>Delivered</v>
      </c>
      <c r="D182" t="str">
        <f>IFERROR(VLOOKUP(C182,Config!$A:$B,2,0),"Unknown")</f>
        <v>Delivered</v>
      </c>
      <c r="E182" t="str">
        <f>IFERROR(VLOOKUP(C182,Config!$A:$C,3,0),"N/A")</f>
        <v>Delivered</v>
      </c>
      <c r="F182">
        <f>IF('SOW, Feedbacks-Bug &amp; CR_Items'!H182="","",'SOW, Feedbacks-Bug &amp; CR_Items'!H182)</f>
        <v>45818</v>
      </c>
    </row>
    <row r="183" spans="1:6">
      <c r="A183" t="str">
        <f>'SOW, Feedbacks-Bug &amp; CR_Items'!D183</f>
        <v>iWork</v>
      </c>
      <c r="B183" t="str">
        <f>'SOW, Feedbacks-Bug &amp; CR_Items'!E183</f>
        <v>Milestone 4</v>
      </c>
      <c r="C183" t="str">
        <f>TRIM('SOW, Feedbacks-Bug &amp; CR_Items'!F183)</f>
        <v>Delivered</v>
      </c>
      <c r="D183" t="str">
        <f>IFERROR(VLOOKUP(C183,Config!$A:$B,2,0),"Unknown")</f>
        <v>Delivered</v>
      </c>
      <c r="E183" t="str">
        <f>IFERROR(VLOOKUP(C183,Config!$A:$C,3,0),"N/A")</f>
        <v>Delivered</v>
      </c>
      <c r="F183">
        <f>IF('SOW, Feedbacks-Bug &amp; CR_Items'!H183="","",'SOW, Feedbacks-Bug &amp; CR_Items'!H183)</f>
        <v>45818</v>
      </c>
    </row>
    <row r="184" spans="1:6">
      <c r="A184" t="str">
        <f>'SOW, Feedbacks-Bug &amp; CR_Items'!D184</f>
        <v>iWork</v>
      </c>
      <c r="B184" t="str">
        <f>'SOW, Feedbacks-Bug &amp; CR_Items'!E184</f>
        <v>Milestone 4</v>
      </c>
      <c r="C184" t="str">
        <f>TRIM('SOW, Feedbacks-Bug &amp; CR_Items'!F184)</f>
        <v>Delivered</v>
      </c>
      <c r="D184" t="str">
        <f>IFERROR(VLOOKUP(C184,Config!$A:$B,2,0),"Unknown")</f>
        <v>Delivered</v>
      </c>
      <c r="E184" t="str">
        <f>IFERROR(VLOOKUP(C184,Config!$A:$C,3,0),"N/A")</f>
        <v>Delivered</v>
      </c>
      <c r="F184">
        <f>IF('SOW, Feedbacks-Bug &amp; CR_Items'!H184="","",'SOW, Feedbacks-Bug &amp; CR_Items'!H184)</f>
        <v>45818</v>
      </c>
    </row>
    <row r="185" spans="1:6">
      <c r="A185" t="str">
        <f>'SOW, Feedbacks-Bug &amp; CR_Items'!D185</f>
        <v>iWork</v>
      </c>
      <c r="B185" t="str">
        <f>'SOW, Feedbacks-Bug &amp; CR_Items'!E185</f>
        <v>Milestone 4</v>
      </c>
      <c r="C185" t="str">
        <f>TRIM('SOW, Feedbacks-Bug &amp; CR_Items'!F185)</f>
        <v>Delivered</v>
      </c>
      <c r="D185" t="str">
        <f>IFERROR(VLOOKUP(C185,Config!$A:$B,2,0),"Unknown")</f>
        <v>Delivered</v>
      </c>
      <c r="E185" t="str">
        <f>IFERROR(VLOOKUP(C185,Config!$A:$C,3,0),"N/A")</f>
        <v>Delivered</v>
      </c>
      <c r="F185">
        <f>IF('SOW, Feedbacks-Bug &amp; CR_Items'!H185="","",'SOW, Feedbacks-Bug &amp; CR_Items'!H185)</f>
        <v>45818</v>
      </c>
    </row>
    <row r="186" spans="1:6">
      <c r="A186" t="str">
        <f>'SOW, Feedbacks-Bug &amp; CR_Items'!D186</f>
        <v>IBP/iWork</v>
      </c>
      <c r="B186" t="str">
        <f>'SOW, Feedbacks-Bug &amp; CR_Items'!E186</f>
        <v>Milestone 4</v>
      </c>
      <c r="C186" t="str">
        <f>TRIM('SOW, Feedbacks-Bug &amp; CR_Items'!F186)</f>
        <v>Yet to start</v>
      </c>
      <c r="D186" t="str">
        <f>IFERROR(VLOOKUP(C186,Config!$A:$B,2,0),"Unknown")</f>
        <v>Not Started</v>
      </c>
      <c r="E186" t="str">
        <f>IFERROR(VLOOKUP(C186,Config!$A:$C,3,0),"N/A")</f>
        <v>Pending</v>
      </c>
      <c r="F186">
        <f>IF('SOW, Feedbacks-Bug &amp; CR_Items'!H186="","",'SOW, Feedbacks-Bug &amp; CR_Items'!H186)</f>
        <v>45818</v>
      </c>
    </row>
    <row r="187" spans="1:6">
      <c r="A187" t="str">
        <f>'SOW, Feedbacks-Bug &amp; CR_Items'!D187</f>
        <v>IBP/iWork</v>
      </c>
      <c r="B187" t="str">
        <f>'SOW, Feedbacks-Bug &amp; CR_Items'!E187</f>
        <v>Milestone 5</v>
      </c>
      <c r="C187" t="str">
        <f>TRIM('SOW, Feedbacks-Bug &amp; CR_Items'!F187)</f>
        <v>Delivered</v>
      </c>
      <c r="D187" t="str">
        <f>IFERROR(VLOOKUP(C187,Config!$A:$B,2,0),"Unknown")</f>
        <v>Delivered</v>
      </c>
      <c r="E187" t="str">
        <f>IFERROR(VLOOKUP(C187,Config!$A:$C,3,0),"N/A")</f>
        <v>Delivered</v>
      </c>
      <c r="F187">
        <f>IF('SOW, Feedbacks-Bug &amp; CR_Items'!H187="","",'SOW, Feedbacks-Bug &amp; CR_Items'!H187)</f>
        <v>45869</v>
      </c>
    </row>
    <row r="188" spans="1:6">
      <c r="A188" t="str">
        <f>'SOW, Feedbacks-Bug &amp; CR_Items'!D188</f>
        <v>iWork</v>
      </c>
      <c r="B188" t="str">
        <f>'SOW, Feedbacks-Bug &amp; CR_Items'!E188</f>
        <v>Milestone 5</v>
      </c>
      <c r="C188" t="str">
        <f>TRIM('SOW, Feedbacks-Bug &amp; CR_Items'!F188)</f>
        <v>Delivered</v>
      </c>
      <c r="D188" t="str">
        <f>IFERROR(VLOOKUP(C188,Config!$A:$B,2,0),"Unknown")</f>
        <v>Delivered</v>
      </c>
      <c r="E188" t="str">
        <f>IFERROR(VLOOKUP(C188,Config!$A:$C,3,0),"N/A")</f>
        <v>Delivered</v>
      </c>
      <c r="F188">
        <f>IF('SOW, Feedbacks-Bug &amp; CR_Items'!H188="","",'SOW, Feedbacks-Bug &amp; CR_Items'!H188)</f>
        <v>45869</v>
      </c>
    </row>
    <row r="189" spans="1:6">
      <c r="A189" t="str">
        <f>'SOW, Feedbacks-Bug &amp; CR_Items'!D189</f>
        <v>iWork</v>
      </c>
      <c r="B189" t="str">
        <f>'SOW, Feedbacks-Bug &amp; CR_Items'!E189</f>
        <v>Milestone 5</v>
      </c>
      <c r="C189" t="str">
        <f>TRIM('SOW, Feedbacks-Bug &amp; CR_Items'!F189)</f>
        <v>Delivered</v>
      </c>
      <c r="D189" t="str">
        <f>IFERROR(VLOOKUP(C189,Config!$A:$B,2,0),"Unknown")</f>
        <v>Delivered</v>
      </c>
      <c r="E189" t="str">
        <f>IFERROR(VLOOKUP(C189,Config!$A:$C,3,0),"N/A")</f>
        <v>Delivered</v>
      </c>
      <c r="F189">
        <f>IF('SOW, Feedbacks-Bug &amp; CR_Items'!H189="","",'SOW, Feedbacks-Bug &amp; CR_Items'!H189)</f>
        <v>45869</v>
      </c>
    </row>
    <row r="190" spans="1:6">
      <c r="A190" t="str">
        <f>'SOW, Feedbacks-Bug &amp; CR_Items'!D190</f>
        <v>iWork</v>
      </c>
      <c r="B190" t="str">
        <f>'SOW, Feedbacks-Bug &amp; CR_Items'!E190</f>
        <v>Milestone 5</v>
      </c>
      <c r="C190" t="str">
        <f>TRIM('SOW, Feedbacks-Bug &amp; CR_Items'!F190)</f>
        <v>Delivered</v>
      </c>
      <c r="D190" t="str">
        <f>IFERROR(VLOOKUP(C190,Config!$A:$B,2,0),"Unknown")</f>
        <v>Delivered</v>
      </c>
      <c r="E190" t="str">
        <f>IFERROR(VLOOKUP(C190,Config!$A:$C,3,0),"N/A")</f>
        <v>Delivered</v>
      </c>
      <c r="F190">
        <f>IF('SOW, Feedbacks-Bug &amp; CR_Items'!H190="","",'SOW, Feedbacks-Bug &amp; CR_Items'!H190)</f>
        <v>45869</v>
      </c>
    </row>
    <row r="191" spans="1:6">
      <c r="A191" t="str">
        <f>'SOW, Feedbacks-Bug &amp; CR_Items'!D191</f>
        <v>iWork</v>
      </c>
      <c r="B191" t="str">
        <f>'SOW, Feedbacks-Bug &amp; CR_Items'!E191</f>
        <v>Milestone 5</v>
      </c>
      <c r="C191" t="str">
        <f>TRIM('SOW, Feedbacks-Bug &amp; CR_Items'!F191)</f>
        <v>Yet to start</v>
      </c>
      <c r="D191" t="str">
        <f>IFERROR(VLOOKUP(C191,Config!$A:$B,2,0),"Unknown")</f>
        <v>Not Started</v>
      </c>
      <c r="E191" t="str">
        <f>IFERROR(VLOOKUP(C191,Config!$A:$C,3,0),"N/A")</f>
        <v>Pending</v>
      </c>
      <c r="F191">
        <f>IF('SOW, Feedbacks-Bug &amp; CR_Items'!H191="","",'SOW, Feedbacks-Bug &amp; CR_Items'!H191)</f>
        <v>45869</v>
      </c>
    </row>
    <row r="192" spans="1:6">
      <c r="A192" t="str">
        <f>'SOW, Feedbacks-Bug &amp; CR_Items'!D192</f>
        <v>iWork</v>
      </c>
      <c r="B192" t="str">
        <f>'SOW, Feedbacks-Bug &amp; CR_Items'!E192</f>
        <v>Milestone 5</v>
      </c>
      <c r="C192" t="str">
        <f>TRIM('SOW, Feedbacks-Bug &amp; CR_Items'!F192)</f>
        <v>Yet to start</v>
      </c>
      <c r="D192" t="str">
        <f>IFERROR(VLOOKUP(C192,Config!$A:$B,2,0),"Unknown")</f>
        <v>Not Started</v>
      </c>
      <c r="E192" t="str">
        <f>IFERROR(VLOOKUP(C192,Config!$A:$C,3,0),"N/A")</f>
        <v>Pending</v>
      </c>
      <c r="F192">
        <f>IF('SOW, Feedbacks-Bug &amp; CR_Items'!H192="","",'SOW, Feedbacks-Bug &amp; CR_Items'!H192)</f>
        <v>45869</v>
      </c>
    </row>
    <row r="193" spans="1:6">
      <c r="A193" t="str">
        <f>'SOW, Feedbacks-Bug &amp; CR_Items'!D193</f>
        <v>iWork</v>
      </c>
      <c r="B193" t="str">
        <f>'SOW, Feedbacks-Bug &amp; CR_Items'!E193</f>
        <v>Milestone 5</v>
      </c>
      <c r="C193" t="str">
        <f>TRIM('SOW, Feedbacks-Bug &amp; CR_Items'!F193)</f>
        <v>Pre-PROD</v>
      </c>
      <c r="D193" t="str">
        <f>IFERROR(VLOOKUP(C193,Config!$A:$B,2,0),"Unknown")</f>
        <v>Pre-PROD / UAT</v>
      </c>
      <c r="E193" t="str">
        <f>IFERROR(VLOOKUP(C193,Config!$A:$C,3,0),"N/A")</f>
        <v>Pending</v>
      </c>
      <c r="F193">
        <f>IF('SOW, Feedbacks-Bug &amp; CR_Items'!H193="","",'SOW, Feedbacks-Bug &amp; CR_Items'!H193)</f>
        <v>45869</v>
      </c>
    </row>
    <row r="194" spans="1:6">
      <c r="A194" t="str">
        <f>'SOW, Feedbacks-Bug &amp; CR_Items'!D194</f>
        <v>iWork</v>
      </c>
      <c r="B194" t="str">
        <f>'SOW, Feedbacks-Bug &amp; CR_Items'!E194</f>
        <v>Milestone 4</v>
      </c>
      <c r="C194" t="str">
        <f>TRIM('SOW, Feedbacks-Bug &amp; CR_Items'!F194)</f>
        <v>Yet to start</v>
      </c>
      <c r="D194" t="str">
        <f>IFERROR(VLOOKUP(C194,Config!$A:$B,2,0),"Unknown")</f>
        <v>Not Started</v>
      </c>
      <c r="E194" t="str">
        <f>IFERROR(VLOOKUP(C194,Config!$A:$C,3,0),"N/A")</f>
        <v>Pending</v>
      </c>
      <c r="F194">
        <f>IF('SOW, Feedbacks-Bug &amp; CR_Items'!H194="","",'SOW, Feedbacks-Bug &amp; CR_Items'!H194)</f>
        <v>45818</v>
      </c>
    </row>
    <row r="195" spans="1:6">
      <c r="A195" t="str">
        <f>'SOW, Feedbacks-Bug &amp; CR_Items'!D195</f>
        <v>iWork</v>
      </c>
      <c r="B195" t="str">
        <f>'SOW, Feedbacks-Bug &amp; CR_Items'!E195</f>
        <v>Milestone 6</v>
      </c>
      <c r="C195" t="str">
        <f>TRIM('SOW, Feedbacks-Bug &amp; CR_Items'!F195)</f>
        <v>Delivered</v>
      </c>
      <c r="D195" t="str">
        <f>IFERROR(VLOOKUP(C195,Config!$A:$B,2,0),"Unknown")</f>
        <v>Delivered</v>
      </c>
      <c r="E195" t="str">
        <f>IFERROR(VLOOKUP(C195,Config!$A:$C,3,0),"N/A")</f>
        <v>Delivered</v>
      </c>
      <c r="F195">
        <f>IF('SOW, Feedbacks-Bug &amp; CR_Items'!H195="","",'SOW, Feedbacks-Bug &amp; CR_Items'!H195)</f>
        <v>46167</v>
      </c>
    </row>
    <row r="196" spans="1:6">
      <c r="A196" t="str">
        <f>'SOW, Feedbacks-Bug &amp; CR_Items'!D196</f>
        <v>iWork</v>
      </c>
      <c r="B196" t="str">
        <f>'SOW, Feedbacks-Bug &amp; CR_Items'!E196</f>
        <v>Milestone 6</v>
      </c>
      <c r="C196" t="str">
        <f>TRIM('SOW, Feedbacks-Bug &amp; CR_Items'!F196)</f>
        <v>Delivered</v>
      </c>
      <c r="D196" t="str">
        <f>IFERROR(VLOOKUP(C196,Config!$A:$B,2,0),"Unknown")</f>
        <v>Delivered</v>
      </c>
      <c r="E196" t="str">
        <f>IFERROR(VLOOKUP(C196,Config!$A:$C,3,0),"N/A")</f>
        <v>Delivered</v>
      </c>
      <c r="F196">
        <f>IF('SOW, Feedbacks-Bug &amp; CR_Items'!H196="","",'SOW, Feedbacks-Bug &amp; CR_Items'!H196)</f>
        <v>46167</v>
      </c>
    </row>
    <row r="197" spans="1:6">
      <c r="A197" t="str">
        <f>'SOW, Feedbacks-Bug &amp; CR_Items'!D197</f>
        <v>IBP/iWork</v>
      </c>
      <c r="B197" t="str">
        <f>'SOW, Feedbacks-Bug &amp; CR_Items'!E197</f>
        <v>Milestone 6</v>
      </c>
      <c r="C197" t="str">
        <f>TRIM('SOW, Feedbacks-Bug &amp; CR_Items'!F197)</f>
        <v>Delivered</v>
      </c>
      <c r="D197" t="str">
        <f>IFERROR(VLOOKUP(C197,Config!$A:$B,2,0),"Unknown")</f>
        <v>Delivered</v>
      </c>
      <c r="E197" t="str">
        <f>IFERROR(VLOOKUP(C197,Config!$A:$C,3,0),"N/A")</f>
        <v>Delivered</v>
      </c>
      <c r="F197">
        <f>IF('SOW, Feedbacks-Bug &amp; CR_Items'!H197="","",'SOW, Feedbacks-Bug &amp; CR_Items'!H197)</f>
        <v>46179</v>
      </c>
    </row>
    <row r="198" spans="1:6">
      <c r="A198" t="str">
        <f>'SOW, Feedbacks-Bug &amp; CR_Items'!D198</f>
        <v>iWork</v>
      </c>
      <c r="B198" t="str">
        <f>'SOW, Feedbacks-Bug &amp; CR_Items'!E198</f>
        <v>Milestone 6</v>
      </c>
      <c r="C198" t="str">
        <f>TRIM('SOW, Feedbacks-Bug &amp; CR_Items'!F198)</f>
        <v>Delivered</v>
      </c>
      <c r="D198" t="str">
        <f>IFERROR(VLOOKUP(C198,Config!$A:$B,2,0),"Unknown")</f>
        <v>Delivered</v>
      </c>
      <c r="E198" t="str">
        <f>IFERROR(VLOOKUP(C198,Config!$A:$C,3,0),"N/A")</f>
        <v>Delivered</v>
      </c>
      <c r="F198">
        <f>IF('SOW, Feedbacks-Bug &amp; CR_Items'!H198="","",'SOW, Feedbacks-Bug &amp; CR_Items'!H198)</f>
        <v>46181</v>
      </c>
    </row>
    <row r="199" spans="1:6">
      <c r="A199" t="str">
        <f>'SOW, Feedbacks-Bug &amp; CR_Items'!D199</f>
        <v>iWork</v>
      </c>
      <c r="B199" t="str">
        <f>'SOW, Feedbacks-Bug &amp; CR_Items'!E199</f>
        <v>Milestone 6</v>
      </c>
      <c r="C199" t="str">
        <f>TRIM('SOW, Feedbacks-Bug &amp; CR_Items'!F199)</f>
        <v>Delivered</v>
      </c>
      <c r="D199" t="str">
        <f>IFERROR(VLOOKUP(C199,Config!$A:$B,2,0),"Unknown")</f>
        <v>Delivered</v>
      </c>
      <c r="E199" t="str">
        <f>IFERROR(VLOOKUP(C199,Config!$A:$C,3,0),"N/A")</f>
        <v>Delivered</v>
      </c>
      <c r="F199">
        <f>IF('SOW, Feedbacks-Bug &amp; CR_Items'!H199="","",'SOW, Feedbacks-Bug &amp; CR_Items'!H199)</f>
        <v>46181</v>
      </c>
    </row>
    <row r="200" spans="1:6">
      <c r="A200" t="str">
        <f>'SOW, Feedbacks-Bug &amp; CR_Items'!D200</f>
        <v>IBP/iWork</v>
      </c>
      <c r="B200" t="str">
        <f>'SOW, Feedbacks-Bug &amp; CR_Items'!E200</f>
        <v>Milestone 6</v>
      </c>
      <c r="C200" t="str">
        <f>TRIM('SOW, Feedbacks-Bug &amp; CR_Items'!F200)</f>
        <v>Delivered</v>
      </c>
      <c r="D200" t="str">
        <f>IFERROR(VLOOKUP(C200,Config!$A:$B,2,0),"Unknown")</f>
        <v>Delivered</v>
      </c>
      <c r="E200" t="str">
        <f>IFERROR(VLOOKUP(C200,Config!$A:$C,3,0),"N/A")</f>
        <v>Delivered</v>
      </c>
      <c r="F200">
        <f>IF('SOW, Feedbacks-Bug &amp; CR_Items'!H200="","",'SOW, Feedbacks-Bug &amp; CR_Items'!H200)</f>
        <v>46184</v>
      </c>
    </row>
    <row r="201" spans="1:6">
      <c r="A201" t="str">
        <f>'SOW, Feedbacks-Bug &amp; CR_Items'!D201</f>
        <v>iWork</v>
      </c>
      <c r="B201" t="str">
        <f>'SOW, Feedbacks-Bug &amp; CR_Items'!E201</f>
        <v>Milestone 6</v>
      </c>
      <c r="C201" t="str">
        <f>TRIM('SOW, Feedbacks-Bug &amp; CR_Items'!F201)</f>
        <v>Delivered</v>
      </c>
      <c r="D201" t="str">
        <f>IFERROR(VLOOKUP(C201,Config!$A:$B,2,0),"Unknown")</f>
        <v>Delivered</v>
      </c>
      <c r="E201" t="str">
        <f>IFERROR(VLOOKUP(C201,Config!$A:$C,3,0),"N/A")</f>
        <v>Delivered</v>
      </c>
      <c r="F201">
        <f>IF('SOW, Feedbacks-Bug &amp; CR_Items'!H201="","",'SOW, Feedbacks-Bug &amp; CR_Items'!H201)</f>
        <v>46188</v>
      </c>
    </row>
    <row r="202" spans="1:6">
      <c r="A202" t="str">
        <f>'SOW, Feedbacks-Bug &amp; CR_Items'!D202</f>
        <v>IBP</v>
      </c>
      <c r="B202" t="str">
        <f>'SOW, Feedbacks-Bug &amp; CR_Items'!E202</f>
        <v>Milestone 6</v>
      </c>
      <c r="C202" t="str">
        <f>TRIM('SOW, Feedbacks-Bug &amp; CR_Items'!F202)</f>
        <v>Delivered</v>
      </c>
      <c r="D202" t="str">
        <f>IFERROR(VLOOKUP(C202,Config!$A:$B,2,0),"Unknown")</f>
        <v>Delivered</v>
      </c>
      <c r="E202" t="str">
        <f>IFERROR(VLOOKUP(C202,Config!$A:$C,3,0),"N/A")</f>
        <v>Delivered</v>
      </c>
      <c r="F202">
        <f>IF('SOW, Feedbacks-Bug &amp; CR_Items'!H202="","",'SOW, Feedbacks-Bug &amp; CR_Items'!H202)</f>
        <v>46195</v>
      </c>
    </row>
    <row r="203" spans="1:6">
      <c r="A203" t="str">
        <f>'SOW, Feedbacks-Bug &amp; CR_Items'!D203</f>
        <v>iWork</v>
      </c>
      <c r="B203" t="str">
        <f>'SOW, Feedbacks-Bug &amp; CR_Items'!E203</f>
        <v>Milestone 6</v>
      </c>
      <c r="C203" t="str">
        <f>TRIM('SOW, Feedbacks-Bug &amp; CR_Items'!F203)</f>
        <v>Yet to start</v>
      </c>
      <c r="D203" t="str">
        <f>IFERROR(VLOOKUP(C203,Config!$A:$B,2,0),"Unknown")</f>
        <v>Not Started</v>
      </c>
      <c r="E203" t="str">
        <f>IFERROR(VLOOKUP(C203,Config!$A:$C,3,0),"N/A")</f>
        <v>Pending</v>
      </c>
      <c r="F203">
        <f>IF('SOW, Feedbacks-Bug &amp; CR_Items'!H203="","",'SOW, Feedbacks-Bug &amp; CR_Items'!H203)</f>
        <v>46198</v>
      </c>
    </row>
    <row r="204" spans="1:6">
      <c r="A204" t="str">
        <f>'SOW, Feedbacks-Bug &amp; CR_Items'!D204</f>
        <v>IBP/iWork - CR</v>
      </c>
      <c r="B204" t="str">
        <f>'SOW, Feedbacks-Bug &amp; CR_Items'!E204</f>
        <v>Milestone 6</v>
      </c>
      <c r="C204" t="str">
        <f>TRIM('SOW, Feedbacks-Bug &amp; CR_Items'!F204)</f>
        <v>DEV - WIP</v>
      </c>
      <c r="D204" t="str">
        <f>IFERROR(VLOOKUP(C204,Config!$A:$B,2,0),"Unknown")</f>
        <v>In Development</v>
      </c>
      <c r="E204" t="str">
        <f>IFERROR(VLOOKUP(C204,Config!$A:$C,3,0),"N/A")</f>
        <v>Pending</v>
      </c>
      <c r="F204">
        <f>IF('SOW, Feedbacks-Bug &amp; CR_Items'!H204="","",'SOW, Feedbacks-Bug &amp; CR_Items'!H204)</f>
        <v>46204</v>
      </c>
    </row>
    <row r="205" spans="1:6">
      <c r="A205" t="str">
        <f>'SOW, Feedbacks-Bug &amp; CR_Items'!D205</f>
        <v>IBP</v>
      </c>
      <c r="B205" t="str">
        <f>'SOW, Feedbacks-Bug &amp; CR_Items'!E205</f>
        <v>Milestone 6</v>
      </c>
      <c r="C205" t="str">
        <f>TRIM('SOW, Feedbacks-Bug &amp; CR_Items'!F205)</f>
        <v>Delivered</v>
      </c>
      <c r="D205" t="str">
        <f>IFERROR(VLOOKUP(C205,Config!$A:$B,2,0),"Unknown")</f>
        <v>Delivered</v>
      </c>
      <c r="E205" t="str">
        <f>IFERROR(VLOOKUP(C205,Config!$A:$C,3,0),"N/A")</f>
        <v>Delivered</v>
      </c>
      <c r="F205">
        <f>IF('SOW, Feedbacks-Bug &amp; CR_Items'!H205="","",'SOW, Feedbacks-Bug &amp; CR_Items'!H205)</f>
        <v>46210</v>
      </c>
    </row>
    <row r="206" spans="1:6">
      <c r="A206" t="str">
        <f>'SOW, Feedbacks-Bug &amp; CR_Items'!D206</f>
        <v>IBP</v>
      </c>
      <c r="B206" t="str">
        <f>'SOW, Feedbacks-Bug &amp; CR_Items'!E206</f>
        <v>Milestone 6</v>
      </c>
      <c r="C206" t="str">
        <f>TRIM('SOW, Feedbacks-Bug &amp; CR_Items'!F206)</f>
        <v>Delivered</v>
      </c>
      <c r="D206" t="str">
        <f>IFERROR(VLOOKUP(C206,Config!$A:$B,2,0),"Unknown")</f>
        <v>Delivered</v>
      </c>
      <c r="E206" t="str">
        <f>IFERROR(VLOOKUP(C206,Config!$A:$C,3,0),"N/A")</f>
        <v>Delivered</v>
      </c>
      <c r="F206">
        <f>IF('SOW, Feedbacks-Bug &amp; CR_Items'!H206="","",'SOW, Feedbacks-Bug &amp; CR_Items'!H206)</f>
        <v>46210</v>
      </c>
    </row>
    <row r="207" spans="1:6">
      <c r="A207" t="str">
        <f>'SOW, Feedbacks-Bug &amp; CR_Items'!D207</f>
        <v>IBP</v>
      </c>
      <c r="B207" t="str">
        <f>'SOW, Feedbacks-Bug &amp; CR_Items'!E207</f>
        <v>Milestone 6</v>
      </c>
      <c r="C207" t="str">
        <f>TRIM('SOW, Feedbacks-Bug &amp; CR_Items'!F207)</f>
        <v>Delivered</v>
      </c>
      <c r="D207" t="str">
        <f>IFERROR(VLOOKUP(C207,Config!$A:$B,2,0),"Unknown")</f>
        <v>Delivered</v>
      </c>
      <c r="E207" t="str">
        <f>IFERROR(VLOOKUP(C207,Config!$A:$C,3,0),"N/A")</f>
        <v>Delivered</v>
      </c>
      <c r="F207">
        <f>IF('SOW, Feedbacks-Bug &amp; CR_Items'!H207="","",'SOW, Feedbacks-Bug &amp; CR_Items'!H207)</f>
        <v>46211</v>
      </c>
    </row>
    <row r="208" spans="1:6">
      <c r="A208" t="str">
        <f>'SOW, Feedbacks-Bug &amp; CR_Items'!D208</f>
        <v>IBP</v>
      </c>
      <c r="B208" t="str">
        <f>'SOW, Feedbacks-Bug &amp; CR_Items'!E208</f>
        <v>Milestone 6</v>
      </c>
      <c r="C208" t="str">
        <f>TRIM('SOW, Feedbacks-Bug &amp; CR_Items'!F208)</f>
        <v>Delivered</v>
      </c>
      <c r="D208" t="str">
        <f>IFERROR(VLOOKUP(C208,Config!$A:$B,2,0),"Unknown")</f>
        <v>Delivered</v>
      </c>
      <c r="E208" t="str">
        <f>IFERROR(VLOOKUP(C208,Config!$A:$C,3,0),"N/A")</f>
        <v>Delivered</v>
      </c>
      <c r="F208">
        <f>IF('SOW, Feedbacks-Bug &amp; CR_Items'!H208="","",'SOW, Feedbacks-Bug &amp; CR_Items'!H208)</f>
        <v>46214</v>
      </c>
    </row>
    <row r="209" spans="1:6">
      <c r="A209" t="str">
        <f>'SOW, Feedbacks-Bug &amp; CR_Items'!D209</f>
        <v>iWork</v>
      </c>
      <c r="B209" t="str">
        <f>'SOW, Feedbacks-Bug &amp; CR_Items'!E209</f>
        <v>Milestone 6</v>
      </c>
      <c r="C209" t="str">
        <f>TRIM('SOW, Feedbacks-Bug &amp; CR_Items'!F209)</f>
        <v>Delivered</v>
      </c>
      <c r="D209" t="str">
        <f>IFERROR(VLOOKUP(C209,Config!$A:$B,2,0),"Unknown")</f>
        <v>Delivered</v>
      </c>
      <c r="E209" t="str">
        <f>IFERROR(VLOOKUP(C209,Config!$A:$C,3,0),"N/A")</f>
        <v>Delivered</v>
      </c>
      <c r="F209">
        <f>IF('SOW, Feedbacks-Bug &amp; CR_Items'!H209="","",'SOW, Feedbacks-Bug &amp; CR_Items'!H209)</f>
        <v>46220</v>
      </c>
    </row>
    <row r="210" spans="1:6">
      <c r="A210" t="str">
        <f>'SOW, Feedbacks-Bug &amp; CR_Items'!D210</f>
        <v>IBP</v>
      </c>
      <c r="B210" t="str">
        <f>'SOW, Feedbacks-Bug &amp; CR_Items'!E210</f>
        <v>Milestone 6</v>
      </c>
      <c r="C210" t="str">
        <f>TRIM('SOW, Feedbacks-Bug &amp; CR_Items'!F210)</f>
        <v>Yet to start</v>
      </c>
      <c r="D210" t="str">
        <f>IFERROR(VLOOKUP(C210,Config!$A:$B,2,0),"Unknown")</f>
        <v>Not Started</v>
      </c>
      <c r="E210" t="str">
        <f>IFERROR(VLOOKUP(C210,Config!$A:$C,3,0),"N/A")</f>
        <v>Pending</v>
      </c>
      <c r="F210">
        <f>IF('SOW, Feedbacks-Bug &amp; CR_Items'!H210="","",'SOW, Feedbacks-Bug &amp; CR_Items'!H210)</f>
        <v>46224</v>
      </c>
    </row>
    <row r="211" spans="1:6">
      <c r="A211" t="str">
        <f>'SOW, Feedbacks-Bug &amp; CR_Items'!D211</f>
        <v>iWork</v>
      </c>
      <c r="B211" t="str">
        <f>'SOW, Feedbacks-Bug &amp; CR_Items'!E211</f>
        <v>Milestone 6</v>
      </c>
      <c r="C211" t="str">
        <f>TRIM('SOW, Feedbacks-Bug &amp; CR_Items'!F211)</f>
        <v>Delivered</v>
      </c>
      <c r="D211" t="str">
        <f>IFERROR(VLOOKUP(C211,Config!$A:$B,2,0),"Unknown")</f>
        <v>Delivered</v>
      </c>
      <c r="E211" t="str">
        <f>IFERROR(VLOOKUP(C211,Config!$A:$C,3,0),"N/A")</f>
        <v>Delivered</v>
      </c>
      <c r="F211">
        <f>IF('SOW, Feedbacks-Bug &amp; CR_Items'!H211="","",'SOW, Feedbacks-Bug &amp; CR_Items'!H211)</f>
        <v>46225</v>
      </c>
    </row>
    <row r="212" spans="1:6">
      <c r="A212" t="str">
        <f>'SOW, Feedbacks-Bug &amp; CR_Items'!D212</f>
        <v>iWork</v>
      </c>
      <c r="B212" t="str">
        <f>'SOW, Feedbacks-Bug &amp; CR_Items'!E212</f>
        <v>Milestone 6</v>
      </c>
      <c r="C212" t="str">
        <f>TRIM('SOW, Feedbacks-Bug &amp; CR_Items'!F212)</f>
        <v>Delivered</v>
      </c>
      <c r="D212" t="str">
        <f>IFERROR(VLOOKUP(C212,Config!$A:$B,2,0),"Unknown")</f>
        <v>Delivered</v>
      </c>
      <c r="E212" t="str">
        <f>IFERROR(VLOOKUP(C212,Config!$A:$C,3,0),"N/A")</f>
        <v>Delivered</v>
      </c>
      <c r="F212">
        <f>IF('SOW, Feedbacks-Bug &amp; CR_Items'!H212="","",'SOW, Feedbacks-Bug &amp; CR_Items'!H212)</f>
        <v>46226</v>
      </c>
    </row>
    <row r="213" spans="1:6">
      <c r="A213" t="str">
        <f>'SOW, Feedbacks-Bug &amp; CR_Items'!D213</f>
        <v>iWork</v>
      </c>
      <c r="B213" t="str">
        <f>'SOW, Feedbacks-Bug &amp; CR_Items'!E213</f>
        <v>Milestone 6</v>
      </c>
      <c r="C213" t="str">
        <f>TRIM('SOW, Feedbacks-Bug &amp; CR_Items'!F213)</f>
        <v>Delivered</v>
      </c>
      <c r="D213" t="str">
        <f>IFERROR(VLOOKUP(C213,Config!$A:$B,2,0),"Unknown")</f>
        <v>Delivered</v>
      </c>
      <c r="E213" t="str">
        <f>IFERROR(VLOOKUP(C213,Config!$A:$C,3,0),"N/A")</f>
        <v>Delivered</v>
      </c>
      <c r="F213">
        <f>IF('SOW, Feedbacks-Bug &amp; CR_Items'!H213="","",'SOW, Feedbacks-Bug &amp; CR_Items'!H213)</f>
        <v>46226</v>
      </c>
    </row>
    <row r="214" spans="1:6">
      <c r="A214" t="str">
        <f>'SOW, Feedbacks-Bug &amp; CR_Items'!D214</f>
        <v>IBP/iWork</v>
      </c>
      <c r="B214" t="str">
        <f>'SOW, Feedbacks-Bug &amp; CR_Items'!E214</f>
        <v>Milestone 6</v>
      </c>
      <c r="C214" t="str">
        <f>TRIM('SOW, Feedbacks-Bug &amp; CR_Items'!F214)</f>
        <v>Yet to start</v>
      </c>
      <c r="D214" t="str">
        <f>IFERROR(VLOOKUP(C214,Config!$A:$B,2,0),"Unknown")</f>
        <v>Not Started</v>
      </c>
      <c r="E214" t="str">
        <f>IFERROR(VLOOKUP(C214,Config!$A:$C,3,0),"N/A")</f>
        <v>Pending</v>
      </c>
      <c r="F214">
        <f>IF('SOW, Feedbacks-Bug &amp; CR_Items'!H214="","",'SOW, Feedbacks-Bug &amp; CR_Items'!H214)</f>
        <v>46227</v>
      </c>
    </row>
    <row r="215" spans="1:6">
      <c r="A215" t="str">
        <f>'SOW, Feedbacks-Bug &amp; CR_Items'!D215</f>
        <v>iWork</v>
      </c>
      <c r="B215" t="str">
        <f>'SOW, Feedbacks-Bug &amp; CR_Items'!E215</f>
        <v>Milestone 6</v>
      </c>
      <c r="C215" t="str">
        <f>TRIM('SOW, Feedbacks-Bug &amp; CR_Items'!F215)</f>
        <v>Delivered</v>
      </c>
      <c r="D215" t="str">
        <f>IFERROR(VLOOKUP(C215,Config!$A:$B,2,0),"Unknown")</f>
        <v>Delivered</v>
      </c>
      <c r="E215" t="str">
        <f>IFERROR(VLOOKUP(C215,Config!$A:$C,3,0),"N/A")</f>
        <v>Delivered</v>
      </c>
      <c r="F215">
        <f>IF('SOW, Feedbacks-Bug &amp; CR_Items'!H215="","",'SOW, Feedbacks-Bug &amp; CR_Items'!H215)</f>
        <v>46230</v>
      </c>
    </row>
    <row r="216" spans="1:6">
      <c r="A216" t="str">
        <f>'SOW, Feedbacks-Bug &amp; CR_Items'!D216</f>
        <v>iWork</v>
      </c>
      <c r="B216" t="str">
        <f>'SOW, Feedbacks-Bug &amp; CR_Items'!E216</f>
        <v>Milestone 6</v>
      </c>
      <c r="C216" t="str">
        <f>TRIM('SOW, Feedbacks-Bug &amp; CR_Items'!F216)</f>
        <v>Delivered</v>
      </c>
      <c r="D216" t="str">
        <f>IFERROR(VLOOKUP(C216,Config!$A:$B,2,0),"Unknown")</f>
        <v>Delivered</v>
      </c>
      <c r="E216" t="str">
        <f>IFERROR(VLOOKUP(C216,Config!$A:$C,3,0),"N/A")</f>
        <v>Delivered</v>
      </c>
      <c r="F216">
        <f>IF('SOW, Feedbacks-Bug &amp; CR_Items'!H216="","",'SOW, Feedbacks-Bug &amp; CR_Items'!H216)</f>
        <v>46231</v>
      </c>
    </row>
    <row r="217" spans="1:6">
      <c r="A217" t="str">
        <f>'SOW, Feedbacks-Bug &amp; CR_Items'!D217</f>
        <v>iWork</v>
      </c>
      <c r="B217" t="str">
        <f>'SOW, Feedbacks-Bug &amp; CR_Items'!E217</f>
        <v>Milestone 6</v>
      </c>
      <c r="C217" t="str">
        <f>TRIM('SOW, Feedbacks-Bug &amp; CR_Items'!F217)</f>
        <v>Delivered</v>
      </c>
      <c r="D217" t="str">
        <f>IFERROR(VLOOKUP(C217,Config!$A:$B,2,0),"Unknown")</f>
        <v>Delivered</v>
      </c>
      <c r="E217" t="str">
        <f>IFERROR(VLOOKUP(C217,Config!$A:$C,3,0),"N/A")</f>
        <v>Delivered</v>
      </c>
      <c r="F217">
        <f>IF('SOW, Feedbacks-Bug &amp; CR_Items'!H217="","",'SOW, Feedbacks-Bug &amp; CR_Items'!H217)</f>
        <v>46231</v>
      </c>
    </row>
    <row r="218" spans="1:6">
      <c r="A218" t="str">
        <f>'SOW, Feedbacks-Bug &amp; CR_Items'!D218</f>
        <v>iWork</v>
      </c>
      <c r="B218" t="str">
        <f>'SOW, Feedbacks-Bug &amp; CR_Items'!E218</f>
        <v>Milestone 6</v>
      </c>
      <c r="C218" t="str">
        <f>TRIM('SOW, Feedbacks-Bug &amp; CR_Items'!F218)</f>
        <v>Delivered</v>
      </c>
      <c r="D218" t="str">
        <f>IFERROR(VLOOKUP(C218,Config!$A:$B,2,0),"Unknown")</f>
        <v>Delivered</v>
      </c>
      <c r="E218" t="str">
        <f>IFERROR(VLOOKUP(C218,Config!$A:$C,3,0),"N/A")</f>
        <v>Delivered</v>
      </c>
      <c r="F218">
        <f>IF('SOW, Feedbacks-Bug &amp; CR_Items'!H218="","",'SOW, Feedbacks-Bug &amp; CR_Items'!H218)</f>
        <v>46232</v>
      </c>
    </row>
    <row r="219" spans="1:6">
      <c r="A219" t="str">
        <f>'SOW, Feedbacks-Bug &amp; CR_Items'!D219</f>
        <v>IBP/iWork</v>
      </c>
      <c r="B219" t="str">
        <f>'SOW, Feedbacks-Bug &amp; CR_Items'!E219</f>
        <v>Milestone 6</v>
      </c>
      <c r="C219" t="str">
        <f>TRIM('SOW, Feedbacks-Bug &amp; CR_Items'!F219)</f>
        <v>Delivered</v>
      </c>
      <c r="D219" t="str">
        <f>IFERROR(VLOOKUP(C219,Config!$A:$B,2,0),"Unknown")</f>
        <v>Delivered</v>
      </c>
      <c r="E219" t="str">
        <f>IFERROR(VLOOKUP(C219,Config!$A:$C,3,0),"N/A")</f>
        <v>Delivered</v>
      </c>
      <c r="F219">
        <f>IF('SOW, Feedbacks-Bug &amp; CR_Items'!H219="","",'SOW, Feedbacks-Bug &amp; CR_Items'!H219)</f>
        <v>46232</v>
      </c>
    </row>
    <row r="220" spans="1:6">
      <c r="A220" t="str">
        <f>'SOW, Feedbacks-Bug &amp; CR_Items'!D220</f>
        <v>iWork</v>
      </c>
      <c r="B220" t="str">
        <f>'SOW, Feedbacks-Bug &amp; CR_Items'!E220</f>
        <v>Milestone 6</v>
      </c>
      <c r="C220" t="str">
        <f>TRIM('SOW, Feedbacks-Bug &amp; CR_Items'!F220)</f>
        <v>Delivered</v>
      </c>
      <c r="D220" t="str">
        <f>IFERROR(VLOOKUP(C220,Config!$A:$B,2,0),"Unknown")</f>
        <v>Delivered</v>
      </c>
      <c r="E220" t="str">
        <f>IFERROR(VLOOKUP(C220,Config!$A:$C,3,0),"N/A")</f>
        <v>Delivered</v>
      </c>
      <c r="F220">
        <f>IF('SOW, Feedbacks-Bug &amp; CR_Items'!H220="","",'SOW, Feedbacks-Bug &amp; CR_Items'!H220)</f>
        <v>46233</v>
      </c>
    </row>
    <row r="221" spans="1:6">
      <c r="A221" t="str">
        <f>'SOW, Feedbacks-Bug &amp; CR_Items'!D221</f>
        <v>iWork</v>
      </c>
      <c r="B221" t="str">
        <f>'SOW, Feedbacks-Bug &amp; CR_Items'!E221</f>
        <v>Milestone 6</v>
      </c>
      <c r="C221" t="str">
        <f>TRIM('SOW, Feedbacks-Bug &amp; CR_Items'!F221)</f>
        <v>DEV - WIP</v>
      </c>
      <c r="D221" t="str">
        <f>IFERROR(VLOOKUP(C221,Config!$A:$B,2,0),"Unknown")</f>
        <v>In Development</v>
      </c>
      <c r="E221" t="str">
        <f>IFERROR(VLOOKUP(C221,Config!$A:$C,3,0),"N/A")</f>
        <v>Pending</v>
      </c>
      <c r="F221">
        <f>IF('SOW, Feedbacks-Bug &amp; CR_Items'!H221="","",'SOW, Feedbacks-Bug &amp; CR_Items'!H221)</f>
        <v>46235</v>
      </c>
    </row>
    <row r="222" spans="1:6">
      <c r="A222" t="str">
        <f>'SOW, Feedbacks-Bug &amp; CR_Items'!D222</f>
        <v>iWork/IBP</v>
      </c>
      <c r="B222" t="str">
        <f>'SOW, Feedbacks-Bug &amp; CR_Items'!E222</f>
        <v>Milestone 6</v>
      </c>
      <c r="C222" t="str">
        <f>TRIM('SOW, Feedbacks-Bug &amp; CR_Items'!F222)</f>
        <v>Yet to start</v>
      </c>
      <c r="D222" t="str">
        <f>IFERROR(VLOOKUP(C222,Config!$A:$B,2,0),"Unknown")</f>
        <v>Not Started</v>
      </c>
      <c r="E222" t="str">
        <f>IFERROR(VLOOKUP(C222,Config!$A:$C,3,0),"N/A")</f>
        <v>Pending</v>
      </c>
      <c r="F222">
        <f>IF('SOW, Feedbacks-Bug &amp; CR_Items'!H222="","",'SOW, Feedbacks-Bug &amp; CR_Items'!H222)</f>
        <v>46235</v>
      </c>
    </row>
    <row r="223" spans="1:6">
      <c r="A223" t="str">
        <f>'SOW, Feedbacks-Bug &amp; CR_Items'!D223</f>
        <v>iWork/IBP</v>
      </c>
      <c r="B223" t="str">
        <f>'SOW, Feedbacks-Bug &amp; CR_Items'!E223</f>
        <v>Milestone 6</v>
      </c>
      <c r="C223" t="str">
        <f>TRIM('SOW, Feedbacks-Bug &amp; CR_Items'!F223)</f>
        <v>Yet to start</v>
      </c>
      <c r="D223" t="str">
        <f>IFERROR(VLOOKUP(C223,Config!$A:$B,2,0),"Unknown")</f>
        <v>Not Started</v>
      </c>
      <c r="E223" t="str">
        <f>IFERROR(VLOOKUP(C223,Config!$A:$C,3,0),"N/A")</f>
        <v>Pending</v>
      </c>
      <c r="F223">
        <f>IF('SOW, Feedbacks-Bug &amp; CR_Items'!H223="","",'SOW, Feedbacks-Bug &amp; CR_Items'!H223)</f>
        <v>46235</v>
      </c>
    </row>
    <row r="224" spans="1:6">
      <c r="A224" t="str">
        <f>'SOW, Feedbacks-Bug &amp; CR_Items'!D224</f>
        <v>iWork</v>
      </c>
      <c r="B224" t="str">
        <f>'SOW, Feedbacks-Bug &amp; CR_Items'!E224</f>
        <v>Milestone 6</v>
      </c>
      <c r="C224" t="str">
        <f>TRIM('SOW, Feedbacks-Bug &amp; CR_Items'!F224)</f>
        <v>DEV - WIP</v>
      </c>
      <c r="D224" t="str">
        <f>IFERROR(VLOOKUP(C224,Config!$A:$B,2,0),"Unknown")</f>
        <v>In Development</v>
      </c>
      <c r="E224" t="str">
        <f>IFERROR(VLOOKUP(C224,Config!$A:$C,3,0),"N/A")</f>
        <v>Pending</v>
      </c>
      <c r="F224">
        <f>IF('SOW, Feedbacks-Bug &amp; CR_Items'!H224="","",'SOW, Feedbacks-Bug &amp; CR_Items'!H224)</f>
        <v>46240</v>
      </c>
    </row>
    <row r="225" spans="1:6">
      <c r="A225" t="str">
        <f>'SOW, Feedbacks-Bug &amp; CR_Items'!D225</f>
        <v>iWork</v>
      </c>
      <c r="B225" t="str">
        <f>'SOW, Feedbacks-Bug &amp; CR_Items'!E225</f>
        <v>Milestone 6</v>
      </c>
      <c r="C225" t="str">
        <f>TRIM('SOW, Feedbacks-Bug &amp; CR_Items'!F225)</f>
        <v>Yet to start</v>
      </c>
      <c r="D225" t="str">
        <f>IFERROR(VLOOKUP(C225,Config!$A:$B,2,0),"Unknown")</f>
        <v>Not Started</v>
      </c>
      <c r="E225" t="str">
        <f>IFERROR(VLOOKUP(C225,Config!$A:$C,3,0),"N/A")</f>
        <v>Pending</v>
      </c>
      <c r="F225">
        <f>IF('SOW, Feedbacks-Bug &amp; CR_Items'!H225="","",'SOW, Feedbacks-Bug &amp; CR_Items'!H225)</f>
        <v>46240</v>
      </c>
    </row>
    <row r="226" spans="1:6">
      <c r="A226" t="str">
        <f>'SOW, Feedbacks-Bug &amp; CR_Items'!D226</f>
        <v>iWork - CR</v>
      </c>
      <c r="B226" t="str">
        <f>'SOW, Feedbacks-Bug &amp; CR_Items'!E226</f>
        <v>Milestone 6</v>
      </c>
      <c r="C226" t="str">
        <f>TRIM('SOW, Feedbacks-Bug &amp; CR_Items'!F226)</f>
        <v>Delivered</v>
      </c>
      <c r="D226" t="str">
        <f>IFERROR(VLOOKUP(C226,Config!$A:$B,2,0),"Unknown")</f>
        <v>Delivered</v>
      </c>
      <c r="E226" t="str">
        <f>IFERROR(VLOOKUP(C226,Config!$A:$C,3,0),"N/A")</f>
        <v>Delivered</v>
      </c>
      <c r="F226">
        <f>IF('SOW, Feedbacks-Bug &amp; CR_Items'!H226="","",'SOW, Feedbacks-Bug &amp; CR_Items'!H226)</f>
        <v>46070</v>
      </c>
    </row>
    <row r="227" spans="1:6">
      <c r="A227" t="str">
        <f>'SOW, Feedbacks-Bug &amp; CR_Items'!D227</f>
        <v>iWork - CR</v>
      </c>
      <c r="B227" t="str">
        <f>'SOW, Feedbacks-Bug &amp; CR_Items'!E227</f>
        <v>Milestone 6</v>
      </c>
      <c r="C227" t="str">
        <f>TRIM('SOW, Feedbacks-Bug &amp; CR_Items'!F227)</f>
        <v>Delivered</v>
      </c>
      <c r="D227" t="str">
        <f>IFERROR(VLOOKUP(C227,Config!$A:$B,2,0),"Unknown")</f>
        <v>Delivered</v>
      </c>
      <c r="E227" t="str">
        <f>IFERROR(VLOOKUP(C227,Config!$A:$C,3,0),"N/A")</f>
        <v>Delivered</v>
      </c>
      <c r="F227">
        <f>IF('SOW, Feedbacks-Bug &amp; CR_Items'!H227="","",'SOW, Feedbacks-Bug &amp; CR_Items'!H227)</f>
        <v>46119</v>
      </c>
    </row>
    <row r="228" spans="1:6">
      <c r="A228" t="str">
        <f>'SOW, Feedbacks-Bug &amp; CR_Items'!D228</f>
        <v>iWork</v>
      </c>
      <c r="B228" t="str">
        <f>'SOW, Feedbacks-Bug &amp; CR_Items'!E228</f>
        <v>Milestone 6</v>
      </c>
      <c r="C228" t="str">
        <f>TRIM('SOW, Feedbacks-Bug &amp; CR_Items'!F228)</f>
        <v>Delivered</v>
      </c>
      <c r="D228" t="str">
        <f>IFERROR(VLOOKUP(C228,Config!$A:$B,2,0),"Unknown")</f>
        <v>Delivered</v>
      </c>
      <c r="E228" t="str">
        <f>IFERROR(VLOOKUP(C228,Config!$A:$C,3,0),"N/A")</f>
        <v>Delivered</v>
      </c>
      <c r="F228">
        <f>IF('SOW, Feedbacks-Bug &amp; CR_Items'!H228="","",'SOW, Feedbacks-Bug &amp; CR_Items'!H228)</f>
        <v>46143</v>
      </c>
    </row>
    <row r="229" spans="1:6">
      <c r="A229" t="str">
        <f>'SOW, Feedbacks-Bug &amp; CR_Items'!D229</f>
        <v>iWork</v>
      </c>
      <c r="B229" t="str">
        <f>'SOW, Feedbacks-Bug &amp; CR_Items'!E229</f>
        <v>Milestone 6</v>
      </c>
      <c r="C229" t="str">
        <f>TRIM('SOW, Feedbacks-Bug &amp; CR_Items'!F229)</f>
        <v>Delivered</v>
      </c>
      <c r="D229" t="str">
        <f>IFERROR(VLOOKUP(C229,Config!$A:$B,2,0),"Unknown")</f>
        <v>Delivered</v>
      </c>
      <c r="E229" t="str">
        <f>IFERROR(VLOOKUP(C229,Config!$A:$C,3,0),"N/A")</f>
        <v>Delivered</v>
      </c>
      <c r="F229">
        <f>IF('SOW, Feedbacks-Bug &amp; CR_Items'!H229="","",'SOW, Feedbacks-Bug &amp; CR_Items'!H229)</f>
        <v>46143</v>
      </c>
    </row>
    <row r="230" spans="1:6">
      <c r="A230" t="str">
        <f>'SOW, Feedbacks-Bug &amp; CR_Items'!D230</f>
        <v>iWork - CR</v>
      </c>
      <c r="B230" t="str">
        <f>'SOW, Feedbacks-Bug &amp; CR_Items'!E230</f>
        <v>Milestone 6</v>
      </c>
      <c r="C230" t="str">
        <f>TRIM('SOW, Feedbacks-Bug &amp; CR_Items'!F230)</f>
        <v>Delivered</v>
      </c>
      <c r="D230" t="str">
        <f>IFERROR(VLOOKUP(C230,Config!$A:$B,2,0),"Unknown")</f>
        <v>Delivered</v>
      </c>
      <c r="E230" t="str">
        <f>IFERROR(VLOOKUP(C230,Config!$A:$C,3,0),"N/A")</f>
        <v>Delivered</v>
      </c>
      <c r="F230">
        <f>IF('SOW, Feedbacks-Bug &amp; CR_Items'!H230="","",'SOW, Feedbacks-Bug &amp; CR_Items'!H230)</f>
        <v>46143</v>
      </c>
    </row>
    <row r="231" spans="1:6">
      <c r="A231" t="str">
        <f>'SOW, Feedbacks-Bug &amp; CR_Items'!D231</f>
        <v>iWork - CR</v>
      </c>
      <c r="B231" t="str">
        <f>'SOW, Feedbacks-Bug &amp; CR_Items'!E231</f>
        <v>Milestone 6</v>
      </c>
      <c r="C231" t="str">
        <f>TRIM('SOW, Feedbacks-Bug &amp; CR_Items'!F231)</f>
        <v>Delivered</v>
      </c>
      <c r="D231" t="str">
        <f>IFERROR(VLOOKUP(C231,Config!$A:$B,2,0),"Unknown")</f>
        <v>Delivered</v>
      </c>
      <c r="E231" t="str">
        <f>IFERROR(VLOOKUP(C231,Config!$A:$C,3,0),"N/A")</f>
        <v>Delivered</v>
      </c>
      <c r="F231">
        <f>IF('SOW, Feedbacks-Bug &amp; CR_Items'!H231="","",'SOW, Feedbacks-Bug &amp; CR_Items'!H231)</f>
        <v>46143</v>
      </c>
    </row>
    <row r="232" spans="1:6">
      <c r="A232" t="str">
        <f>'SOW, Feedbacks-Bug &amp; CR_Items'!D232</f>
        <v>iWork - CR</v>
      </c>
      <c r="B232" t="str">
        <f>'SOW, Feedbacks-Bug &amp; CR_Items'!E232</f>
        <v>Milestone 6</v>
      </c>
      <c r="C232" t="str">
        <f>TRIM('SOW, Feedbacks-Bug &amp; CR_Items'!F232)</f>
        <v>Yet to start</v>
      </c>
      <c r="D232" t="str">
        <f>IFERROR(VLOOKUP(C232,Config!$A:$B,2,0),"Unknown")</f>
        <v>Not Started</v>
      </c>
      <c r="E232" t="str">
        <f>IFERROR(VLOOKUP(C232,Config!$A:$C,3,0),"N/A")</f>
        <v>Pending</v>
      </c>
      <c r="F232">
        <f>IF('SOW, Feedbacks-Bug &amp; CR_Items'!H232="","",'SOW, Feedbacks-Bug &amp; CR_Items'!H232)</f>
        <v>46143</v>
      </c>
    </row>
    <row r="233" spans="1:6">
      <c r="A233" t="str">
        <f>'SOW, Feedbacks-Bug &amp; CR_Items'!D233</f>
        <v>IBP - CR</v>
      </c>
      <c r="B233" t="str">
        <f>'SOW, Feedbacks-Bug &amp; CR_Items'!E233</f>
        <v>Milestone 6</v>
      </c>
      <c r="C233" t="str">
        <f>TRIM('SOW, Feedbacks-Bug &amp; CR_Items'!F233)</f>
        <v>Pre-PROD</v>
      </c>
      <c r="D233" t="str">
        <f>IFERROR(VLOOKUP(C233,Config!$A:$B,2,0),"Unknown")</f>
        <v>Pre-PROD / UAT</v>
      </c>
      <c r="E233" t="str">
        <f>IFERROR(VLOOKUP(C233,Config!$A:$C,3,0),"N/A")</f>
        <v>Pending</v>
      </c>
      <c r="F233">
        <f>IF('SOW, Feedbacks-Bug &amp; CR_Items'!H233="","",'SOW, Feedbacks-Bug &amp; CR_Items'!H233)</f>
        <v>46150</v>
      </c>
    </row>
    <row r="234" spans="1:6">
      <c r="A234" t="str">
        <f>'SOW, Feedbacks-Bug &amp; CR_Items'!D234</f>
        <v>iWork - CR</v>
      </c>
      <c r="B234" t="str">
        <f>'SOW, Feedbacks-Bug &amp; CR_Items'!E234</f>
        <v>Milestone 6</v>
      </c>
      <c r="C234" t="str">
        <f>TRIM('SOW, Feedbacks-Bug &amp; CR_Items'!F234)</f>
        <v>Delivered</v>
      </c>
      <c r="D234" t="str">
        <f>IFERROR(VLOOKUP(C234,Config!$A:$B,2,0),"Unknown")</f>
        <v>Delivered</v>
      </c>
      <c r="E234" t="str">
        <f>IFERROR(VLOOKUP(C234,Config!$A:$C,3,0),"N/A")</f>
        <v>Delivered</v>
      </c>
      <c r="F234">
        <f>IF('SOW, Feedbacks-Bug &amp; CR_Items'!H234="","",'SOW, Feedbacks-Bug &amp; CR_Items'!H234)</f>
        <v>46150</v>
      </c>
    </row>
    <row r="235" spans="1:6">
      <c r="A235" t="str">
        <f>'SOW, Feedbacks-Bug &amp; CR_Items'!D235</f>
        <v>iWork - CR</v>
      </c>
      <c r="B235" t="str">
        <f>'SOW, Feedbacks-Bug &amp; CR_Items'!E235</f>
        <v>Milestone 6</v>
      </c>
      <c r="C235" t="str">
        <f>TRIM('SOW, Feedbacks-Bug &amp; CR_Items'!F235)</f>
        <v>Yet to start</v>
      </c>
      <c r="D235" t="str">
        <f>IFERROR(VLOOKUP(C235,Config!$A:$B,2,0),"Unknown")</f>
        <v>Not Started</v>
      </c>
      <c r="E235" t="str">
        <f>IFERROR(VLOOKUP(C235,Config!$A:$C,3,0),"N/A")</f>
        <v>Pending</v>
      </c>
      <c r="F235">
        <f>IF('SOW, Feedbacks-Bug &amp; CR_Items'!H235="","",'SOW, Feedbacks-Bug &amp; CR_Items'!H235)</f>
        <v>46150</v>
      </c>
    </row>
    <row r="236" spans="1:6">
      <c r="A236" t="str">
        <f>'SOW, Feedbacks-Bug &amp; CR_Items'!D236</f>
        <v>iWork - CR</v>
      </c>
      <c r="B236" t="str">
        <f>'SOW, Feedbacks-Bug &amp; CR_Items'!E236</f>
        <v>Milestone 6</v>
      </c>
      <c r="C236" t="str">
        <f>TRIM('SOW, Feedbacks-Bug &amp; CR_Items'!F236)</f>
        <v>Delivered</v>
      </c>
      <c r="D236" t="str">
        <f>IFERROR(VLOOKUP(C236,Config!$A:$B,2,0),"Unknown")</f>
        <v>Delivered</v>
      </c>
      <c r="E236" t="str">
        <f>IFERROR(VLOOKUP(C236,Config!$A:$C,3,0),"N/A")</f>
        <v>Delivered</v>
      </c>
      <c r="F236">
        <f>IF('SOW, Feedbacks-Bug &amp; CR_Items'!H236="","",'SOW, Feedbacks-Bug &amp; CR_Items'!H236)</f>
        <v>46163</v>
      </c>
    </row>
    <row r="237" spans="1:6">
      <c r="A237" t="str">
        <f>'SOW, Feedbacks-Bug &amp; CR_Items'!D237</f>
        <v>iWork</v>
      </c>
      <c r="B237" t="str">
        <f>'SOW, Feedbacks-Bug &amp; CR_Items'!E237</f>
        <v>Milestone 6</v>
      </c>
      <c r="C237" t="str">
        <f>TRIM('SOW, Feedbacks-Bug &amp; CR_Items'!F237)</f>
        <v>Delivered</v>
      </c>
      <c r="D237" t="str">
        <f>IFERROR(VLOOKUP(C237,Config!$A:$B,2,0),"Unknown")</f>
        <v>Delivered</v>
      </c>
      <c r="E237" t="str">
        <f>IFERROR(VLOOKUP(C237,Config!$A:$C,3,0),"N/A")</f>
        <v>Delivered</v>
      </c>
      <c r="F237">
        <f>IF('SOW, Feedbacks-Bug &amp; CR_Items'!H237="","",'SOW, Feedbacks-Bug &amp; CR_Items'!H237)</f>
        <v>46170</v>
      </c>
    </row>
    <row r="238" spans="1:6">
      <c r="A238" t="str">
        <f>'SOW, Feedbacks-Bug &amp; CR_Items'!D238</f>
        <v>IBP/iWork</v>
      </c>
      <c r="B238" t="str">
        <f>'SOW, Feedbacks-Bug &amp; CR_Items'!E238</f>
        <v>Milestone 6</v>
      </c>
      <c r="C238" t="str">
        <f>TRIM('SOW, Feedbacks-Bug &amp; CR_Items'!F238)</f>
        <v>Delivered</v>
      </c>
      <c r="D238" t="str">
        <f>IFERROR(VLOOKUP(C238,Config!$A:$B,2,0),"Unknown")</f>
        <v>Delivered</v>
      </c>
      <c r="E238" t="str">
        <f>IFERROR(VLOOKUP(C238,Config!$A:$C,3,0),"N/A")</f>
        <v>Delivered</v>
      </c>
      <c r="F238">
        <f>IF('SOW, Feedbacks-Bug &amp; CR_Items'!H238="","",'SOW, Feedbacks-Bug &amp; CR_Items'!H238)</f>
        <v>46174</v>
      </c>
    </row>
    <row r="239" spans="1:6">
      <c r="A239" t="str">
        <f>'SOW, Feedbacks-Bug &amp; CR_Items'!D239</f>
        <v>IBP</v>
      </c>
      <c r="B239" t="str">
        <f>'SOW, Feedbacks-Bug &amp; CR_Items'!E239</f>
        <v>Milestone 6</v>
      </c>
      <c r="C239" t="str">
        <f>TRIM('SOW, Feedbacks-Bug &amp; CR_Items'!F239)</f>
        <v>Delivered</v>
      </c>
      <c r="D239" t="str">
        <f>IFERROR(VLOOKUP(C239,Config!$A:$B,2,0),"Unknown")</f>
        <v>Delivered</v>
      </c>
      <c r="E239" t="str">
        <f>IFERROR(VLOOKUP(C239,Config!$A:$C,3,0),"N/A")</f>
        <v>Delivered</v>
      </c>
      <c r="F239">
        <f>IF('SOW, Feedbacks-Bug &amp; CR_Items'!H239="","",'SOW, Feedbacks-Bug &amp; CR_Items'!H239)</f>
        <v>46176</v>
      </c>
    </row>
    <row r="240" spans="1:6">
      <c r="A240" t="str">
        <f>'SOW, Feedbacks-Bug &amp; CR_Items'!D240</f>
        <v>iWork</v>
      </c>
      <c r="B240" t="str">
        <f>'SOW, Feedbacks-Bug &amp; CR_Items'!E240</f>
        <v>Milestone 6</v>
      </c>
      <c r="C240" t="str">
        <f>TRIM('SOW, Feedbacks-Bug &amp; CR_Items'!F240)</f>
        <v>Delivered</v>
      </c>
      <c r="D240" t="str">
        <f>IFERROR(VLOOKUP(C240,Config!$A:$B,2,0),"Unknown")</f>
        <v>Delivered</v>
      </c>
      <c r="E240" t="str">
        <f>IFERROR(VLOOKUP(C240,Config!$A:$C,3,0),"N/A")</f>
        <v>Delivered</v>
      </c>
      <c r="F240">
        <f>IF('SOW, Feedbacks-Bug &amp; CR_Items'!H240="","",'SOW, Feedbacks-Bug &amp; CR_Items'!H240)</f>
        <v>46178</v>
      </c>
    </row>
    <row r="241" spans="1:6">
      <c r="A241" t="str">
        <f>'SOW, Feedbacks-Bug &amp; CR_Items'!D241</f>
        <v>iWork - CR</v>
      </c>
      <c r="B241" t="str">
        <f>'SOW, Feedbacks-Bug &amp; CR_Items'!E241</f>
        <v>Milestone 6</v>
      </c>
      <c r="C241" t="str">
        <f>TRIM('SOW, Feedbacks-Bug &amp; CR_Items'!F241)</f>
        <v>DEV - Done</v>
      </c>
      <c r="D241" t="str">
        <f>IFERROR(VLOOKUP(C241,Config!$A:$B,2,0),"Unknown")</f>
        <v>Dev Complete</v>
      </c>
      <c r="E241" t="str">
        <f>IFERROR(VLOOKUP(C241,Config!$A:$C,3,0),"N/A")</f>
        <v>Delivered</v>
      </c>
      <c r="F241">
        <f>IF('SOW, Feedbacks-Bug &amp; CR_Items'!H241="","",'SOW, Feedbacks-Bug &amp; CR_Items'!H241)</f>
        <v>46178</v>
      </c>
    </row>
    <row r="242" spans="1:6">
      <c r="A242" t="str">
        <f>'SOW, Feedbacks-Bug &amp; CR_Items'!D242</f>
        <v>iWork</v>
      </c>
      <c r="B242" t="str">
        <f>'SOW, Feedbacks-Bug &amp; CR_Items'!E242</f>
        <v>Milestone 6</v>
      </c>
      <c r="C242" t="str">
        <f>TRIM('SOW, Feedbacks-Bug &amp; CR_Items'!F242)</f>
        <v>Delivered</v>
      </c>
      <c r="D242" t="str">
        <f>IFERROR(VLOOKUP(C242,Config!$A:$B,2,0),"Unknown")</f>
        <v>Delivered</v>
      </c>
      <c r="E242" t="str">
        <f>IFERROR(VLOOKUP(C242,Config!$A:$C,3,0),"N/A")</f>
        <v>Delivered</v>
      </c>
      <c r="F242">
        <f>IF('SOW, Feedbacks-Bug &amp; CR_Items'!H242="","",'SOW, Feedbacks-Bug &amp; CR_Items'!H242)</f>
        <v>46181</v>
      </c>
    </row>
    <row r="243" spans="1:6">
      <c r="A243" t="str">
        <f>'SOW, Feedbacks-Bug &amp; CR_Items'!D243</f>
        <v>iWork</v>
      </c>
      <c r="B243" t="str">
        <f>'SOW, Feedbacks-Bug &amp; CR_Items'!E243</f>
        <v>Milestone 6</v>
      </c>
      <c r="C243" t="str">
        <f>TRIM('SOW, Feedbacks-Bug &amp; CR_Items'!F243)</f>
        <v>Delivered</v>
      </c>
      <c r="D243" t="str">
        <f>IFERROR(VLOOKUP(C243,Config!$A:$B,2,0),"Unknown")</f>
        <v>Delivered</v>
      </c>
      <c r="E243" t="str">
        <f>IFERROR(VLOOKUP(C243,Config!$A:$C,3,0),"N/A")</f>
        <v>Delivered</v>
      </c>
      <c r="F243">
        <f>IF('SOW, Feedbacks-Bug &amp; CR_Items'!H243="","",'SOW, Feedbacks-Bug &amp; CR_Items'!H243)</f>
        <v>46181</v>
      </c>
    </row>
    <row r="244" spans="1:6">
      <c r="A244" t="str">
        <f>'SOW, Feedbacks-Bug &amp; CR_Items'!D244</f>
        <v>iWork</v>
      </c>
      <c r="B244" t="str">
        <f>'SOW, Feedbacks-Bug &amp; CR_Items'!E244</f>
        <v>Milestone 6</v>
      </c>
      <c r="C244" t="str">
        <f>TRIM('SOW, Feedbacks-Bug &amp; CR_Items'!F244)</f>
        <v>Delivered</v>
      </c>
      <c r="D244" t="str">
        <f>IFERROR(VLOOKUP(C244,Config!$A:$B,2,0),"Unknown")</f>
        <v>Delivered</v>
      </c>
      <c r="E244" t="str">
        <f>IFERROR(VLOOKUP(C244,Config!$A:$C,3,0),"N/A")</f>
        <v>Delivered</v>
      </c>
      <c r="F244">
        <f>IF('SOW, Feedbacks-Bug &amp; CR_Items'!H244="","",'SOW, Feedbacks-Bug &amp; CR_Items'!H244)</f>
        <v>46181</v>
      </c>
    </row>
    <row r="245" spans="1:6">
      <c r="A245" t="str">
        <f>'SOW, Feedbacks-Bug &amp; CR_Items'!D245</f>
        <v>iWork</v>
      </c>
      <c r="B245" t="str">
        <f>'SOW, Feedbacks-Bug &amp; CR_Items'!E245</f>
        <v>Milestone 6</v>
      </c>
      <c r="C245" t="str">
        <f>TRIM('SOW, Feedbacks-Bug &amp; CR_Items'!F245)</f>
        <v>Delivered</v>
      </c>
      <c r="D245" t="str">
        <f>IFERROR(VLOOKUP(C245,Config!$A:$B,2,0),"Unknown")</f>
        <v>Delivered</v>
      </c>
      <c r="E245" t="str">
        <f>IFERROR(VLOOKUP(C245,Config!$A:$C,3,0),"N/A")</f>
        <v>Delivered</v>
      </c>
      <c r="F245">
        <f>IF('SOW, Feedbacks-Bug &amp; CR_Items'!H245="","",'SOW, Feedbacks-Bug &amp; CR_Items'!H245)</f>
        <v>46181</v>
      </c>
    </row>
    <row r="246" spans="1:6">
      <c r="A246" t="str">
        <f>'SOW, Feedbacks-Bug &amp; CR_Items'!D246</f>
        <v>iWork</v>
      </c>
      <c r="B246" t="str">
        <f>'SOW, Feedbacks-Bug &amp; CR_Items'!E246</f>
        <v>Milestone 6</v>
      </c>
      <c r="C246" t="str">
        <f>TRIM('SOW, Feedbacks-Bug &amp; CR_Items'!F246)</f>
        <v>Delivered</v>
      </c>
      <c r="D246" t="str">
        <f>IFERROR(VLOOKUP(C246,Config!$A:$B,2,0),"Unknown")</f>
        <v>Delivered</v>
      </c>
      <c r="E246" t="str">
        <f>IFERROR(VLOOKUP(C246,Config!$A:$C,3,0),"N/A")</f>
        <v>Delivered</v>
      </c>
      <c r="F246">
        <f>IF('SOW, Feedbacks-Bug &amp; CR_Items'!H246="","",'SOW, Feedbacks-Bug &amp; CR_Items'!H246)</f>
        <v>46181</v>
      </c>
    </row>
    <row r="247" spans="1:6">
      <c r="A247" t="str">
        <f>'SOW, Feedbacks-Bug &amp; CR_Items'!D247</f>
        <v>iWork</v>
      </c>
      <c r="B247" t="str">
        <f>'SOW, Feedbacks-Bug &amp; CR_Items'!E247</f>
        <v>Milestone 6</v>
      </c>
      <c r="C247" t="str">
        <f>TRIM('SOW, Feedbacks-Bug &amp; CR_Items'!F247)</f>
        <v>Delivered</v>
      </c>
      <c r="D247" t="str">
        <f>IFERROR(VLOOKUP(C247,Config!$A:$B,2,0),"Unknown")</f>
        <v>Delivered</v>
      </c>
      <c r="E247" t="str">
        <f>IFERROR(VLOOKUP(C247,Config!$A:$C,3,0),"N/A")</f>
        <v>Delivered</v>
      </c>
      <c r="F247">
        <f>IF('SOW, Feedbacks-Bug &amp; CR_Items'!H247="","",'SOW, Feedbacks-Bug &amp; CR_Items'!H247)</f>
        <v>46181</v>
      </c>
    </row>
    <row r="248" spans="1:6">
      <c r="A248" t="str">
        <f>'SOW, Feedbacks-Bug &amp; CR_Items'!D248</f>
        <v>iWork</v>
      </c>
      <c r="B248" t="str">
        <f>'SOW, Feedbacks-Bug &amp; CR_Items'!E248</f>
        <v>Milestone 6</v>
      </c>
      <c r="C248" t="str">
        <f>TRIM('SOW, Feedbacks-Bug &amp; CR_Items'!F248)</f>
        <v>Delivered</v>
      </c>
      <c r="D248" t="str">
        <f>IFERROR(VLOOKUP(C248,Config!$A:$B,2,0),"Unknown")</f>
        <v>Delivered</v>
      </c>
      <c r="E248" t="str">
        <f>IFERROR(VLOOKUP(C248,Config!$A:$C,3,0),"N/A")</f>
        <v>Delivered</v>
      </c>
      <c r="F248">
        <f>IF('SOW, Feedbacks-Bug &amp; CR_Items'!H248="","",'SOW, Feedbacks-Bug &amp; CR_Items'!H248)</f>
        <v>46181</v>
      </c>
    </row>
    <row r="249" spans="1:6">
      <c r="A249" t="str">
        <f>'SOW, Feedbacks-Bug &amp; CR_Items'!D249</f>
        <v>iWork</v>
      </c>
      <c r="B249" t="str">
        <f>'SOW, Feedbacks-Bug &amp; CR_Items'!E249</f>
        <v>Milestone 6</v>
      </c>
      <c r="C249" t="str">
        <f>TRIM('SOW, Feedbacks-Bug &amp; CR_Items'!F249)</f>
        <v>Delivered</v>
      </c>
      <c r="D249" t="str">
        <f>IFERROR(VLOOKUP(C249,Config!$A:$B,2,0),"Unknown")</f>
        <v>Delivered</v>
      </c>
      <c r="E249" t="str">
        <f>IFERROR(VLOOKUP(C249,Config!$A:$C,3,0),"N/A")</f>
        <v>Delivered</v>
      </c>
      <c r="F249">
        <f>IF('SOW, Feedbacks-Bug &amp; CR_Items'!H249="","",'SOW, Feedbacks-Bug &amp; CR_Items'!H249)</f>
        <v>46181</v>
      </c>
    </row>
    <row r="250" spans="1:6">
      <c r="A250" t="str">
        <f>'SOW, Feedbacks-Bug &amp; CR_Items'!D250</f>
        <v>iWork</v>
      </c>
      <c r="B250" t="str">
        <f>'SOW, Feedbacks-Bug &amp; CR_Items'!E250</f>
        <v>Milestone 6</v>
      </c>
      <c r="C250" t="str">
        <f>TRIM('SOW, Feedbacks-Bug &amp; CR_Items'!F250)</f>
        <v>Delivered</v>
      </c>
      <c r="D250" t="str">
        <f>IFERROR(VLOOKUP(C250,Config!$A:$B,2,0),"Unknown")</f>
        <v>Delivered</v>
      </c>
      <c r="E250" t="str">
        <f>IFERROR(VLOOKUP(C250,Config!$A:$C,3,0),"N/A")</f>
        <v>Delivered</v>
      </c>
      <c r="F250">
        <f>IF('SOW, Feedbacks-Bug &amp; CR_Items'!H250="","",'SOW, Feedbacks-Bug &amp; CR_Items'!H250)</f>
        <v>46181</v>
      </c>
    </row>
    <row r="251" spans="1:6">
      <c r="A251" t="str">
        <f>'SOW, Feedbacks-Bug &amp; CR_Items'!D251</f>
        <v>iWork</v>
      </c>
      <c r="B251" t="str">
        <f>'SOW, Feedbacks-Bug &amp; CR_Items'!E251</f>
        <v>Milestone 6</v>
      </c>
      <c r="C251" t="str">
        <f>TRIM('SOW, Feedbacks-Bug &amp; CR_Items'!F251)</f>
        <v>Delivered</v>
      </c>
      <c r="D251" t="str">
        <f>IFERROR(VLOOKUP(C251,Config!$A:$B,2,0),"Unknown")</f>
        <v>Delivered</v>
      </c>
      <c r="E251" t="str">
        <f>IFERROR(VLOOKUP(C251,Config!$A:$C,3,0),"N/A")</f>
        <v>Delivered</v>
      </c>
      <c r="F251">
        <f>IF('SOW, Feedbacks-Bug &amp; CR_Items'!H251="","",'SOW, Feedbacks-Bug &amp; CR_Items'!H251)</f>
        <v>46181</v>
      </c>
    </row>
    <row r="252" spans="1:6">
      <c r="A252" t="str">
        <f>'SOW, Feedbacks-Bug &amp; CR_Items'!D252</f>
        <v>iWork</v>
      </c>
      <c r="B252" t="str">
        <f>'SOW, Feedbacks-Bug &amp; CR_Items'!E252</f>
        <v>Milestone 6</v>
      </c>
      <c r="C252" t="str">
        <f>TRIM('SOW, Feedbacks-Bug &amp; CR_Items'!F252)</f>
        <v>Delivered</v>
      </c>
      <c r="D252" t="str">
        <f>IFERROR(VLOOKUP(C252,Config!$A:$B,2,0),"Unknown")</f>
        <v>Delivered</v>
      </c>
      <c r="E252" t="str">
        <f>IFERROR(VLOOKUP(C252,Config!$A:$C,3,0),"N/A")</f>
        <v>Delivered</v>
      </c>
      <c r="F252">
        <f>IF('SOW, Feedbacks-Bug &amp; CR_Items'!H252="","",'SOW, Feedbacks-Bug &amp; CR_Items'!H252)</f>
        <v>46181</v>
      </c>
    </row>
    <row r="253" spans="1:6">
      <c r="A253" t="str">
        <f>'SOW, Feedbacks-Bug &amp; CR_Items'!D253</f>
        <v>iWork</v>
      </c>
      <c r="B253" t="str">
        <f>'SOW, Feedbacks-Bug &amp; CR_Items'!E253</f>
        <v>Milestone 6</v>
      </c>
      <c r="C253" t="str">
        <f>TRIM('SOW, Feedbacks-Bug &amp; CR_Items'!F253)</f>
        <v>Delivered</v>
      </c>
      <c r="D253" t="str">
        <f>IFERROR(VLOOKUP(C253,Config!$A:$B,2,0),"Unknown")</f>
        <v>Delivered</v>
      </c>
      <c r="E253" t="str">
        <f>IFERROR(VLOOKUP(C253,Config!$A:$C,3,0),"N/A")</f>
        <v>Delivered</v>
      </c>
      <c r="F253">
        <f>IF('SOW, Feedbacks-Bug &amp; CR_Items'!H253="","",'SOW, Feedbacks-Bug &amp; CR_Items'!H253)</f>
        <v>46181</v>
      </c>
    </row>
    <row r="254" spans="1:6">
      <c r="A254" t="str">
        <f>'SOW, Feedbacks-Bug &amp; CR_Items'!D254</f>
        <v>iWork</v>
      </c>
      <c r="B254" t="str">
        <f>'SOW, Feedbacks-Bug &amp; CR_Items'!E254</f>
        <v>Milestone 6</v>
      </c>
      <c r="C254" t="str">
        <f>TRIM('SOW, Feedbacks-Bug &amp; CR_Items'!F254)</f>
        <v>Delivered</v>
      </c>
      <c r="D254" t="str">
        <f>IFERROR(VLOOKUP(C254,Config!$A:$B,2,0),"Unknown")</f>
        <v>Delivered</v>
      </c>
      <c r="E254" t="str">
        <f>IFERROR(VLOOKUP(C254,Config!$A:$C,3,0),"N/A")</f>
        <v>Delivered</v>
      </c>
      <c r="F254">
        <f>IF('SOW, Feedbacks-Bug &amp; CR_Items'!H254="","",'SOW, Feedbacks-Bug &amp; CR_Items'!H254)</f>
        <v>46181</v>
      </c>
    </row>
    <row r="255" spans="1:6">
      <c r="A255" t="str">
        <f>'SOW, Feedbacks-Bug &amp; CR_Items'!D255</f>
        <v>iWork</v>
      </c>
      <c r="B255" t="str">
        <f>'SOW, Feedbacks-Bug &amp; CR_Items'!E255</f>
        <v>Milestone 6</v>
      </c>
      <c r="C255" t="str">
        <f>TRIM('SOW, Feedbacks-Bug &amp; CR_Items'!F255)</f>
        <v>Delivered</v>
      </c>
      <c r="D255" t="str">
        <f>IFERROR(VLOOKUP(C255,Config!$A:$B,2,0),"Unknown")</f>
        <v>Delivered</v>
      </c>
      <c r="E255" t="str">
        <f>IFERROR(VLOOKUP(C255,Config!$A:$C,3,0),"N/A")</f>
        <v>Delivered</v>
      </c>
      <c r="F255">
        <f>IF('SOW, Feedbacks-Bug &amp; CR_Items'!H255="","",'SOW, Feedbacks-Bug &amp; CR_Items'!H255)</f>
        <v>46181</v>
      </c>
    </row>
    <row r="256" spans="1:6">
      <c r="A256" t="str">
        <f>'SOW, Feedbacks-Bug &amp; CR_Items'!D256</f>
        <v>iWork</v>
      </c>
      <c r="B256" t="str">
        <f>'SOW, Feedbacks-Bug &amp; CR_Items'!E256</f>
        <v>Milestone 6</v>
      </c>
      <c r="C256" t="str">
        <f>TRIM('SOW, Feedbacks-Bug &amp; CR_Items'!F256)</f>
        <v>Delivered</v>
      </c>
      <c r="D256" t="str">
        <f>IFERROR(VLOOKUP(C256,Config!$A:$B,2,0),"Unknown")</f>
        <v>Delivered</v>
      </c>
      <c r="E256" t="str">
        <f>IFERROR(VLOOKUP(C256,Config!$A:$C,3,0),"N/A")</f>
        <v>Delivered</v>
      </c>
      <c r="F256">
        <f>IF('SOW, Feedbacks-Bug &amp; CR_Items'!H256="","",'SOW, Feedbacks-Bug &amp; CR_Items'!H256)</f>
        <v>46181</v>
      </c>
    </row>
    <row r="257" spans="1:6">
      <c r="A257" t="str">
        <f>'SOW, Feedbacks-Bug &amp; CR_Items'!D257</f>
        <v>iWork</v>
      </c>
      <c r="B257" t="str">
        <f>'SOW, Feedbacks-Bug &amp; CR_Items'!E257</f>
        <v>Milestone 6</v>
      </c>
      <c r="C257" t="str">
        <f>TRIM('SOW, Feedbacks-Bug &amp; CR_Items'!F257)</f>
        <v>Delivered</v>
      </c>
      <c r="D257" t="str">
        <f>IFERROR(VLOOKUP(C257,Config!$A:$B,2,0),"Unknown")</f>
        <v>Delivered</v>
      </c>
      <c r="E257" t="str">
        <f>IFERROR(VLOOKUP(C257,Config!$A:$C,3,0),"N/A")</f>
        <v>Delivered</v>
      </c>
      <c r="F257">
        <f>IF('SOW, Feedbacks-Bug &amp; CR_Items'!H257="","",'SOW, Feedbacks-Bug &amp; CR_Items'!H257)</f>
        <v>46181</v>
      </c>
    </row>
    <row r="258" spans="1:6">
      <c r="A258" t="str">
        <f>'SOW, Feedbacks-Bug &amp; CR_Items'!D258</f>
        <v>iWork</v>
      </c>
      <c r="B258" t="str">
        <f>'SOW, Feedbacks-Bug &amp; CR_Items'!E258</f>
        <v>Milestone 6</v>
      </c>
      <c r="C258" t="str">
        <f>TRIM('SOW, Feedbacks-Bug &amp; CR_Items'!F258)</f>
        <v>Not a bug</v>
      </c>
      <c r="D258" t="str">
        <f>IFERROR(VLOOKUP(C258,Config!$A:$B,2,0),"Unknown")</f>
        <v>Delivered</v>
      </c>
      <c r="E258" t="str">
        <f>IFERROR(VLOOKUP(C258,Config!$A:$C,3,0),"N/A")</f>
        <v>Delivered</v>
      </c>
      <c r="F258">
        <f>IF('SOW, Feedbacks-Bug &amp; CR_Items'!H258="","",'SOW, Feedbacks-Bug &amp; CR_Items'!H258)</f>
        <v>46181</v>
      </c>
    </row>
    <row r="259" spans="1:6">
      <c r="A259" t="str">
        <f>'SOW, Feedbacks-Bug &amp; CR_Items'!D259</f>
        <v>iWork</v>
      </c>
      <c r="B259" t="str">
        <f>'SOW, Feedbacks-Bug &amp; CR_Items'!E259</f>
        <v>Milestone 6</v>
      </c>
      <c r="C259" t="str">
        <f>TRIM('SOW, Feedbacks-Bug &amp; CR_Items'!F259)</f>
        <v>Delivered</v>
      </c>
      <c r="D259" t="str">
        <f>IFERROR(VLOOKUP(C259,Config!$A:$B,2,0),"Unknown")</f>
        <v>Delivered</v>
      </c>
      <c r="E259" t="str">
        <f>IFERROR(VLOOKUP(C259,Config!$A:$C,3,0),"N/A")</f>
        <v>Delivered</v>
      </c>
      <c r="F259">
        <f>IF('SOW, Feedbacks-Bug &amp; CR_Items'!H259="","",'SOW, Feedbacks-Bug &amp; CR_Items'!H259)</f>
        <v>46181</v>
      </c>
    </row>
    <row r="260" spans="1:6">
      <c r="A260" t="str">
        <f>'SOW, Feedbacks-Bug &amp; CR_Items'!D260</f>
        <v>iWork</v>
      </c>
      <c r="B260" t="str">
        <f>'SOW, Feedbacks-Bug &amp; CR_Items'!E260</f>
        <v>Milestone 6</v>
      </c>
      <c r="C260" t="str">
        <f>TRIM('SOW, Feedbacks-Bug &amp; CR_Items'!F260)</f>
        <v>Delivered</v>
      </c>
      <c r="D260" t="str">
        <f>IFERROR(VLOOKUP(C260,Config!$A:$B,2,0),"Unknown")</f>
        <v>Delivered</v>
      </c>
      <c r="E260" t="str">
        <f>IFERROR(VLOOKUP(C260,Config!$A:$C,3,0),"N/A")</f>
        <v>Delivered</v>
      </c>
      <c r="F260">
        <f>IF('SOW, Feedbacks-Bug &amp; CR_Items'!H260="","",'SOW, Feedbacks-Bug &amp; CR_Items'!H260)</f>
        <v>46181</v>
      </c>
    </row>
    <row r="261" spans="1:6">
      <c r="A261" t="str">
        <f>'SOW, Feedbacks-Bug &amp; CR_Items'!D261</f>
        <v>iWork</v>
      </c>
      <c r="B261" t="str">
        <f>'SOW, Feedbacks-Bug &amp; CR_Items'!E261</f>
        <v>Milestone 6</v>
      </c>
      <c r="C261" t="str">
        <f>TRIM('SOW, Feedbacks-Bug &amp; CR_Items'!F261)</f>
        <v>Not a bug</v>
      </c>
      <c r="D261" t="str">
        <f>IFERROR(VLOOKUP(C261,Config!$A:$B,2,0),"Unknown")</f>
        <v>Delivered</v>
      </c>
      <c r="E261" t="str">
        <f>IFERROR(VLOOKUP(C261,Config!$A:$C,3,0),"N/A")</f>
        <v>Delivered</v>
      </c>
      <c r="F261">
        <f>IF('SOW, Feedbacks-Bug &amp; CR_Items'!H261="","",'SOW, Feedbacks-Bug &amp; CR_Items'!H261)</f>
        <v>46181</v>
      </c>
    </row>
    <row r="262" spans="1:6">
      <c r="A262" t="str">
        <f>'SOW, Feedbacks-Bug &amp; CR_Items'!D262</f>
        <v>iWork</v>
      </c>
      <c r="B262" t="str">
        <f>'SOW, Feedbacks-Bug &amp; CR_Items'!E262</f>
        <v>Milestone 6</v>
      </c>
      <c r="C262" t="str">
        <f>TRIM('SOW, Feedbacks-Bug &amp; CR_Items'!F262)</f>
        <v>Pre-PROD</v>
      </c>
      <c r="D262" t="str">
        <f>IFERROR(VLOOKUP(C262,Config!$A:$B,2,0),"Unknown")</f>
        <v>Pre-PROD / UAT</v>
      </c>
      <c r="E262" t="str">
        <f>IFERROR(VLOOKUP(C262,Config!$A:$C,3,0),"N/A")</f>
        <v>Pending</v>
      </c>
      <c r="F262">
        <f>IF('SOW, Feedbacks-Bug &amp; CR_Items'!H262="","",'SOW, Feedbacks-Bug &amp; CR_Items'!H262)</f>
        <v>46182</v>
      </c>
    </row>
    <row r="263" spans="1:6">
      <c r="A263" t="str">
        <f>'SOW, Feedbacks-Bug &amp; CR_Items'!D263</f>
        <v>iWork</v>
      </c>
      <c r="B263" t="str">
        <f>'SOW, Feedbacks-Bug &amp; CR_Items'!E263</f>
        <v>Milestone 6</v>
      </c>
      <c r="C263" t="str">
        <f>TRIM('SOW, Feedbacks-Bug &amp; CR_Items'!F263)</f>
        <v>Delivered</v>
      </c>
      <c r="D263" t="str">
        <f>IFERROR(VLOOKUP(C263,Config!$A:$B,2,0),"Unknown")</f>
        <v>Delivered</v>
      </c>
      <c r="E263" t="str">
        <f>IFERROR(VLOOKUP(C263,Config!$A:$C,3,0),"N/A")</f>
        <v>Delivered</v>
      </c>
      <c r="F263">
        <f>IF('SOW, Feedbacks-Bug &amp; CR_Items'!H263="","",'SOW, Feedbacks-Bug &amp; CR_Items'!H263)</f>
        <v>46182</v>
      </c>
    </row>
    <row r="264" spans="1:6">
      <c r="A264" t="str">
        <f>'SOW, Feedbacks-Bug &amp; CR_Items'!D264</f>
        <v>iWork</v>
      </c>
      <c r="B264" t="str">
        <f>'SOW, Feedbacks-Bug &amp; CR_Items'!E264</f>
        <v>Milestone 6</v>
      </c>
      <c r="C264" t="str">
        <f>TRIM('SOW, Feedbacks-Bug &amp; CR_Items'!F264)</f>
        <v>Delivered</v>
      </c>
      <c r="D264" t="str">
        <f>IFERROR(VLOOKUP(C264,Config!$A:$B,2,0),"Unknown")</f>
        <v>Delivered</v>
      </c>
      <c r="E264" t="str">
        <f>IFERROR(VLOOKUP(C264,Config!$A:$C,3,0),"N/A")</f>
        <v>Delivered</v>
      </c>
      <c r="F264">
        <f>IF('SOW, Feedbacks-Bug &amp; CR_Items'!H264="","",'SOW, Feedbacks-Bug &amp; CR_Items'!H264)</f>
        <v>46182</v>
      </c>
    </row>
    <row r="265" spans="1:6">
      <c r="A265" t="str">
        <f>'SOW, Feedbacks-Bug &amp; CR_Items'!D265</f>
        <v>iWork</v>
      </c>
      <c r="B265" t="str">
        <f>'SOW, Feedbacks-Bug &amp; CR_Items'!E265</f>
        <v>Milestone 6</v>
      </c>
      <c r="C265" t="str">
        <f>TRIM('SOW, Feedbacks-Bug &amp; CR_Items'!F265)</f>
        <v>Delivered</v>
      </c>
      <c r="D265" t="str">
        <f>IFERROR(VLOOKUP(C265,Config!$A:$B,2,0),"Unknown")</f>
        <v>Delivered</v>
      </c>
      <c r="E265" t="str">
        <f>IFERROR(VLOOKUP(C265,Config!$A:$C,3,0),"N/A")</f>
        <v>Delivered</v>
      </c>
      <c r="F265">
        <f>IF('SOW, Feedbacks-Bug &amp; CR_Items'!H265="","",'SOW, Feedbacks-Bug &amp; CR_Items'!H265)</f>
        <v>46182</v>
      </c>
    </row>
    <row r="266" spans="1:6">
      <c r="A266" t="str">
        <f>'SOW, Feedbacks-Bug &amp; CR_Items'!D266</f>
        <v>iWork</v>
      </c>
      <c r="B266" t="str">
        <f>'SOW, Feedbacks-Bug &amp; CR_Items'!E266</f>
        <v>Milestone 6</v>
      </c>
      <c r="C266" t="str">
        <f>TRIM('SOW, Feedbacks-Bug &amp; CR_Items'!F266)</f>
        <v>Delivered</v>
      </c>
      <c r="D266" t="str">
        <f>IFERROR(VLOOKUP(C266,Config!$A:$B,2,0),"Unknown")</f>
        <v>Delivered</v>
      </c>
      <c r="E266" t="str">
        <f>IFERROR(VLOOKUP(C266,Config!$A:$C,3,0),"N/A")</f>
        <v>Delivered</v>
      </c>
      <c r="F266">
        <f>IF('SOW, Feedbacks-Bug &amp; CR_Items'!H266="","",'SOW, Feedbacks-Bug &amp; CR_Items'!H266)</f>
        <v>46182</v>
      </c>
    </row>
    <row r="267" spans="1:6">
      <c r="A267" t="str">
        <f>'SOW, Feedbacks-Bug &amp; CR_Items'!D267</f>
        <v>iWork</v>
      </c>
      <c r="B267" t="str">
        <f>'SOW, Feedbacks-Bug &amp; CR_Items'!E267</f>
        <v>Milestone 6</v>
      </c>
      <c r="C267" t="str">
        <f>TRIM('SOW, Feedbacks-Bug &amp; CR_Items'!F267)</f>
        <v>Delivered</v>
      </c>
      <c r="D267" t="str">
        <f>IFERROR(VLOOKUP(C267,Config!$A:$B,2,0),"Unknown")</f>
        <v>Delivered</v>
      </c>
      <c r="E267" t="str">
        <f>IFERROR(VLOOKUP(C267,Config!$A:$C,3,0),"N/A")</f>
        <v>Delivered</v>
      </c>
      <c r="F267">
        <f>IF('SOW, Feedbacks-Bug &amp; CR_Items'!H267="","",'SOW, Feedbacks-Bug &amp; CR_Items'!H267)</f>
        <v>46182</v>
      </c>
    </row>
    <row r="268" spans="1:6">
      <c r="A268" t="str">
        <f>'SOW, Feedbacks-Bug &amp; CR_Items'!D268</f>
        <v>iWork</v>
      </c>
      <c r="B268" t="str">
        <f>'SOW, Feedbacks-Bug &amp; CR_Items'!E268</f>
        <v>Milestone 6</v>
      </c>
      <c r="C268" t="str">
        <f>TRIM('SOW, Feedbacks-Bug &amp; CR_Items'!F268)</f>
        <v>Delivered</v>
      </c>
      <c r="D268" t="str">
        <f>IFERROR(VLOOKUP(C268,Config!$A:$B,2,0),"Unknown")</f>
        <v>Delivered</v>
      </c>
      <c r="E268" t="str">
        <f>IFERROR(VLOOKUP(C268,Config!$A:$C,3,0),"N/A")</f>
        <v>Delivered</v>
      </c>
      <c r="F268">
        <f>IF('SOW, Feedbacks-Bug &amp; CR_Items'!H268="","",'SOW, Feedbacks-Bug &amp; CR_Items'!H268)</f>
        <v>46182</v>
      </c>
    </row>
    <row r="269" spans="1:6">
      <c r="A269" t="str">
        <f>'SOW, Feedbacks-Bug &amp; CR_Items'!D269</f>
        <v>iWork</v>
      </c>
      <c r="B269" t="str">
        <f>'SOW, Feedbacks-Bug &amp; CR_Items'!E269</f>
        <v>Milestone 6</v>
      </c>
      <c r="C269" t="str">
        <f>TRIM('SOW, Feedbacks-Bug &amp; CR_Items'!F269)</f>
        <v>Delivered</v>
      </c>
      <c r="D269" t="str">
        <f>IFERROR(VLOOKUP(C269,Config!$A:$B,2,0),"Unknown")</f>
        <v>Delivered</v>
      </c>
      <c r="E269" t="str">
        <f>IFERROR(VLOOKUP(C269,Config!$A:$C,3,0),"N/A")</f>
        <v>Delivered</v>
      </c>
      <c r="F269">
        <f>IF('SOW, Feedbacks-Bug &amp; CR_Items'!H269="","",'SOW, Feedbacks-Bug &amp; CR_Items'!H269)</f>
        <v>46182</v>
      </c>
    </row>
    <row r="270" spans="1:6">
      <c r="A270" t="str">
        <f>'SOW, Feedbacks-Bug &amp; CR_Items'!D270</f>
        <v>iWork</v>
      </c>
      <c r="B270" t="str">
        <f>'SOW, Feedbacks-Bug &amp; CR_Items'!E270</f>
        <v>Milestone 6</v>
      </c>
      <c r="C270" t="str">
        <f>TRIM('SOW, Feedbacks-Bug &amp; CR_Items'!F270)</f>
        <v>Delivered</v>
      </c>
      <c r="D270" t="str">
        <f>IFERROR(VLOOKUP(C270,Config!$A:$B,2,0),"Unknown")</f>
        <v>Delivered</v>
      </c>
      <c r="E270" t="str">
        <f>IFERROR(VLOOKUP(C270,Config!$A:$C,3,0),"N/A")</f>
        <v>Delivered</v>
      </c>
      <c r="F270">
        <f>IF('SOW, Feedbacks-Bug &amp; CR_Items'!H270="","",'SOW, Feedbacks-Bug &amp; CR_Items'!H270)</f>
        <v>46182</v>
      </c>
    </row>
    <row r="271" spans="1:6">
      <c r="A271" t="str">
        <f>'SOW, Feedbacks-Bug &amp; CR_Items'!D271</f>
        <v>iWork</v>
      </c>
      <c r="B271" t="str">
        <f>'SOW, Feedbacks-Bug &amp; CR_Items'!E271</f>
        <v>Milestone 6</v>
      </c>
      <c r="C271" t="str">
        <f>TRIM('SOW, Feedbacks-Bug &amp; CR_Items'!F271)</f>
        <v>Delivered</v>
      </c>
      <c r="D271" t="str">
        <f>IFERROR(VLOOKUP(C271,Config!$A:$B,2,0),"Unknown")</f>
        <v>Delivered</v>
      </c>
      <c r="E271" t="str">
        <f>IFERROR(VLOOKUP(C271,Config!$A:$C,3,0),"N/A")</f>
        <v>Delivered</v>
      </c>
      <c r="F271">
        <f>IF('SOW, Feedbacks-Bug &amp; CR_Items'!H271="","",'SOW, Feedbacks-Bug &amp; CR_Items'!H271)</f>
        <v>46182</v>
      </c>
    </row>
    <row r="272" spans="1:6">
      <c r="A272" t="str">
        <f>'SOW, Feedbacks-Bug &amp; CR_Items'!D272</f>
        <v>iWork</v>
      </c>
      <c r="B272" t="str">
        <f>'SOW, Feedbacks-Bug &amp; CR_Items'!E272</f>
        <v>Milestone 6</v>
      </c>
      <c r="C272" t="str">
        <f>TRIM('SOW, Feedbacks-Bug &amp; CR_Items'!F272)</f>
        <v>Delivered</v>
      </c>
      <c r="D272" t="str">
        <f>IFERROR(VLOOKUP(C272,Config!$A:$B,2,0),"Unknown")</f>
        <v>Delivered</v>
      </c>
      <c r="E272" t="str">
        <f>IFERROR(VLOOKUP(C272,Config!$A:$C,3,0),"N/A")</f>
        <v>Delivered</v>
      </c>
      <c r="F272">
        <f>IF('SOW, Feedbacks-Bug &amp; CR_Items'!H272="","",'SOW, Feedbacks-Bug &amp; CR_Items'!H272)</f>
        <v>46182</v>
      </c>
    </row>
    <row r="273" spans="1:6">
      <c r="A273" t="str">
        <f>'SOW, Feedbacks-Bug &amp; CR_Items'!D273</f>
        <v>iWork</v>
      </c>
      <c r="B273" t="str">
        <f>'SOW, Feedbacks-Bug &amp; CR_Items'!E273</f>
        <v>Milestone 6</v>
      </c>
      <c r="C273" t="str">
        <f>TRIM('SOW, Feedbacks-Bug &amp; CR_Items'!F273)</f>
        <v>Delivered</v>
      </c>
      <c r="D273" t="str">
        <f>IFERROR(VLOOKUP(C273,Config!$A:$B,2,0),"Unknown")</f>
        <v>Delivered</v>
      </c>
      <c r="E273" t="str">
        <f>IFERROR(VLOOKUP(C273,Config!$A:$C,3,0),"N/A")</f>
        <v>Delivered</v>
      </c>
      <c r="F273">
        <f>IF('SOW, Feedbacks-Bug &amp; CR_Items'!H273="","",'SOW, Feedbacks-Bug &amp; CR_Items'!H273)</f>
        <v>46182</v>
      </c>
    </row>
    <row r="274" spans="1:6">
      <c r="A274" t="str">
        <f>'SOW, Feedbacks-Bug &amp; CR_Items'!D274</f>
        <v>iWork</v>
      </c>
      <c r="B274" t="str">
        <f>'SOW, Feedbacks-Bug &amp; CR_Items'!E274</f>
        <v>Milestone 6</v>
      </c>
      <c r="C274" t="str">
        <f>TRIM('SOW, Feedbacks-Bug &amp; CR_Items'!F274)</f>
        <v>Delivered</v>
      </c>
      <c r="D274" t="str">
        <f>IFERROR(VLOOKUP(C274,Config!$A:$B,2,0),"Unknown")</f>
        <v>Delivered</v>
      </c>
      <c r="E274" t="str">
        <f>IFERROR(VLOOKUP(C274,Config!$A:$C,3,0),"N/A")</f>
        <v>Delivered</v>
      </c>
      <c r="F274">
        <f>IF('SOW, Feedbacks-Bug &amp; CR_Items'!H274="","",'SOW, Feedbacks-Bug &amp; CR_Items'!H274)</f>
        <v>46182</v>
      </c>
    </row>
    <row r="275" spans="1:6">
      <c r="A275" t="str">
        <f>'SOW, Feedbacks-Bug &amp; CR_Items'!D275</f>
        <v>iWork</v>
      </c>
      <c r="B275" t="str">
        <f>'SOW, Feedbacks-Bug &amp; CR_Items'!E275</f>
        <v>Milestone 6</v>
      </c>
      <c r="C275" t="str">
        <f>TRIM('SOW, Feedbacks-Bug &amp; CR_Items'!F275)</f>
        <v>Delivered</v>
      </c>
      <c r="D275" t="str">
        <f>IFERROR(VLOOKUP(C275,Config!$A:$B,2,0),"Unknown")</f>
        <v>Delivered</v>
      </c>
      <c r="E275" t="str">
        <f>IFERROR(VLOOKUP(C275,Config!$A:$C,3,0),"N/A")</f>
        <v>Delivered</v>
      </c>
      <c r="F275">
        <f>IF('SOW, Feedbacks-Bug &amp; CR_Items'!H275="","",'SOW, Feedbacks-Bug &amp; CR_Items'!H275)</f>
        <v>46182</v>
      </c>
    </row>
    <row r="276" spans="1:6">
      <c r="A276" t="str">
        <f>'SOW, Feedbacks-Bug &amp; CR_Items'!D276</f>
        <v>iWork</v>
      </c>
      <c r="B276" t="str">
        <f>'SOW, Feedbacks-Bug &amp; CR_Items'!E276</f>
        <v>Milestone 6</v>
      </c>
      <c r="C276" t="str">
        <f>TRIM('SOW, Feedbacks-Bug &amp; CR_Items'!F276)</f>
        <v>Delivered</v>
      </c>
      <c r="D276" t="str">
        <f>IFERROR(VLOOKUP(C276,Config!$A:$B,2,0),"Unknown")</f>
        <v>Delivered</v>
      </c>
      <c r="E276" t="str">
        <f>IFERROR(VLOOKUP(C276,Config!$A:$C,3,0),"N/A")</f>
        <v>Delivered</v>
      </c>
      <c r="F276">
        <f>IF('SOW, Feedbacks-Bug &amp; CR_Items'!H276="","",'SOW, Feedbacks-Bug &amp; CR_Items'!H276)</f>
        <v>46182</v>
      </c>
    </row>
    <row r="277" spans="1:6">
      <c r="A277" t="str">
        <f>'SOW, Feedbacks-Bug &amp; CR_Items'!D277</f>
        <v>iWork</v>
      </c>
      <c r="B277" t="str">
        <f>'SOW, Feedbacks-Bug &amp; CR_Items'!E277</f>
        <v>Milestone 6</v>
      </c>
      <c r="C277" t="str">
        <f>TRIM('SOW, Feedbacks-Bug &amp; CR_Items'!F277)</f>
        <v>Delivered</v>
      </c>
      <c r="D277" t="str">
        <f>IFERROR(VLOOKUP(C277,Config!$A:$B,2,0),"Unknown")</f>
        <v>Delivered</v>
      </c>
      <c r="E277" t="str">
        <f>IFERROR(VLOOKUP(C277,Config!$A:$C,3,0),"N/A")</f>
        <v>Delivered</v>
      </c>
      <c r="F277">
        <f>IF('SOW, Feedbacks-Bug &amp; CR_Items'!H277="","",'SOW, Feedbacks-Bug &amp; CR_Items'!H277)</f>
        <v>46182</v>
      </c>
    </row>
    <row r="278" spans="1:6">
      <c r="A278" t="str">
        <f>'SOW, Feedbacks-Bug &amp; CR_Items'!D278</f>
        <v>iWork</v>
      </c>
      <c r="B278" t="str">
        <f>'SOW, Feedbacks-Bug &amp; CR_Items'!E278</f>
        <v>Milestone 6</v>
      </c>
      <c r="C278" t="str">
        <f>TRIM('SOW, Feedbacks-Bug &amp; CR_Items'!F278)</f>
        <v>Delivered</v>
      </c>
      <c r="D278" t="str">
        <f>IFERROR(VLOOKUP(C278,Config!$A:$B,2,0),"Unknown")</f>
        <v>Delivered</v>
      </c>
      <c r="E278" t="str">
        <f>IFERROR(VLOOKUP(C278,Config!$A:$C,3,0),"N/A")</f>
        <v>Delivered</v>
      </c>
      <c r="F278">
        <f>IF('SOW, Feedbacks-Bug &amp; CR_Items'!H278="","",'SOW, Feedbacks-Bug &amp; CR_Items'!H278)</f>
        <v>46182</v>
      </c>
    </row>
    <row r="279" spans="1:6">
      <c r="A279" t="str">
        <f>'SOW, Feedbacks-Bug &amp; CR_Items'!D279</f>
        <v>IBP</v>
      </c>
      <c r="B279" t="str">
        <f>'SOW, Feedbacks-Bug &amp; CR_Items'!E279</f>
        <v>Milestone 6</v>
      </c>
      <c r="C279" t="str">
        <f>TRIM('SOW, Feedbacks-Bug &amp; CR_Items'!F279)</f>
        <v>Delivered</v>
      </c>
      <c r="D279" t="str">
        <f>IFERROR(VLOOKUP(C279,Config!$A:$B,2,0),"Unknown")</f>
        <v>Delivered</v>
      </c>
      <c r="E279" t="str">
        <f>IFERROR(VLOOKUP(C279,Config!$A:$C,3,0),"N/A")</f>
        <v>Delivered</v>
      </c>
      <c r="F279">
        <f>IF('SOW, Feedbacks-Bug &amp; CR_Items'!H279="","",'SOW, Feedbacks-Bug &amp; CR_Items'!H279)</f>
        <v>46183</v>
      </c>
    </row>
    <row r="280" spans="1:6">
      <c r="A280" t="str">
        <f>'SOW, Feedbacks-Bug &amp; CR_Items'!D280</f>
        <v>IBP</v>
      </c>
      <c r="B280" t="str">
        <f>'SOW, Feedbacks-Bug &amp; CR_Items'!E280</f>
        <v>Milestone 6</v>
      </c>
      <c r="C280" t="str">
        <f>TRIM('SOW, Feedbacks-Bug &amp; CR_Items'!F280)</f>
        <v>Delivered</v>
      </c>
      <c r="D280" t="str">
        <f>IFERROR(VLOOKUP(C280,Config!$A:$B,2,0),"Unknown")</f>
        <v>Delivered</v>
      </c>
      <c r="E280" t="str">
        <f>IFERROR(VLOOKUP(C280,Config!$A:$C,3,0),"N/A")</f>
        <v>Delivered</v>
      </c>
      <c r="F280">
        <f>IF('SOW, Feedbacks-Bug &amp; CR_Items'!H280="","",'SOW, Feedbacks-Bug &amp; CR_Items'!H280)</f>
        <v>46183</v>
      </c>
    </row>
    <row r="281" spans="1:6">
      <c r="A281" t="str">
        <f>'SOW, Feedbacks-Bug &amp; CR_Items'!D281</f>
        <v>IBP/iWork - CR</v>
      </c>
      <c r="B281" t="str">
        <f>'SOW, Feedbacks-Bug &amp; CR_Items'!E281</f>
        <v>Milestone 6</v>
      </c>
      <c r="C281" t="str">
        <f>TRIM('SOW, Feedbacks-Bug &amp; CR_Items'!F281)</f>
        <v>Delivered</v>
      </c>
      <c r="D281" t="str">
        <f>IFERROR(VLOOKUP(C281,Config!$A:$B,2,0),"Unknown")</f>
        <v>Delivered</v>
      </c>
      <c r="E281" t="str">
        <f>IFERROR(VLOOKUP(C281,Config!$A:$C,3,0),"N/A")</f>
        <v>Delivered</v>
      </c>
      <c r="F281">
        <f>IF('SOW, Feedbacks-Bug &amp; CR_Items'!H281="","",'SOW, Feedbacks-Bug &amp; CR_Items'!H281)</f>
        <v>46184</v>
      </c>
    </row>
    <row r="282" spans="1:6">
      <c r="A282" t="str">
        <f>'SOW, Feedbacks-Bug &amp; CR_Items'!D282</f>
        <v>IBP/iWork - CR</v>
      </c>
      <c r="B282" t="str">
        <f>'SOW, Feedbacks-Bug &amp; CR_Items'!E282</f>
        <v>Milestone 6</v>
      </c>
      <c r="C282" t="str">
        <f>TRIM('SOW, Feedbacks-Bug &amp; CR_Items'!F282)</f>
        <v>Delivered</v>
      </c>
      <c r="D282" t="str">
        <f>IFERROR(VLOOKUP(C282,Config!$A:$B,2,0),"Unknown")</f>
        <v>Delivered</v>
      </c>
      <c r="E282" t="str">
        <f>IFERROR(VLOOKUP(C282,Config!$A:$C,3,0),"N/A")</f>
        <v>Delivered</v>
      </c>
      <c r="F282">
        <f>IF('SOW, Feedbacks-Bug &amp; CR_Items'!H282="","",'SOW, Feedbacks-Bug &amp; CR_Items'!H282)</f>
        <v>46188</v>
      </c>
    </row>
    <row r="283" spans="1:6">
      <c r="A283" t="str">
        <f>'SOW, Feedbacks-Bug &amp; CR_Items'!D283</f>
        <v>IBP/iWork - CR</v>
      </c>
      <c r="B283" t="str">
        <f>'SOW, Feedbacks-Bug &amp; CR_Items'!E283</f>
        <v>Milestone 6</v>
      </c>
      <c r="C283" t="str">
        <f>TRIM('SOW, Feedbacks-Bug &amp; CR_Items'!F283)</f>
        <v>Yet to start</v>
      </c>
      <c r="D283" t="str">
        <f>IFERROR(VLOOKUP(C283,Config!$A:$B,2,0),"Unknown")</f>
        <v>Not Started</v>
      </c>
      <c r="E283" t="str">
        <f>IFERROR(VLOOKUP(C283,Config!$A:$C,3,0),"N/A")</f>
        <v>Pending</v>
      </c>
      <c r="F283">
        <f>IF('SOW, Feedbacks-Bug &amp; CR_Items'!H283="","",'SOW, Feedbacks-Bug &amp; CR_Items'!H283)</f>
        <v>46188</v>
      </c>
    </row>
    <row r="284" spans="1:6">
      <c r="A284" t="str">
        <f>'SOW, Feedbacks-Bug &amp; CR_Items'!D284</f>
        <v>IBP/iWork - CR</v>
      </c>
      <c r="B284" t="str">
        <f>'SOW, Feedbacks-Bug &amp; CR_Items'!E284</f>
        <v>Milestone 6</v>
      </c>
      <c r="C284" t="str">
        <f>TRIM('SOW, Feedbacks-Bug &amp; CR_Items'!F284)</f>
        <v>Yet to start</v>
      </c>
      <c r="D284" t="str">
        <f>IFERROR(VLOOKUP(C284,Config!$A:$B,2,0),"Unknown")</f>
        <v>Not Started</v>
      </c>
      <c r="E284" t="str">
        <f>IFERROR(VLOOKUP(C284,Config!$A:$C,3,0),"N/A")</f>
        <v>Pending</v>
      </c>
      <c r="F284">
        <f>IF('SOW, Feedbacks-Bug &amp; CR_Items'!H284="","",'SOW, Feedbacks-Bug &amp; CR_Items'!H284)</f>
        <v>46188</v>
      </c>
    </row>
    <row r="285" spans="1:6">
      <c r="A285" t="str">
        <f>'SOW, Feedbacks-Bug &amp; CR_Items'!D285</f>
        <v>iWork</v>
      </c>
      <c r="B285" t="str">
        <f>'SOW, Feedbacks-Bug &amp; CR_Items'!E285</f>
        <v>Milestone 6</v>
      </c>
      <c r="C285" t="str">
        <f>TRIM('SOW, Feedbacks-Bug &amp; CR_Items'!F285)</f>
        <v>Yet to start</v>
      </c>
      <c r="D285" t="str">
        <f>IFERROR(VLOOKUP(C285,Config!$A:$B,2,0),"Unknown")</f>
        <v>Not Started</v>
      </c>
      <c r="E285" t="str">
        <f>IFERROR(VLOOKUP(C285,Config!$A:$C,3,0),"N/A")</f>
        <v>Pending</v>
      </c>
      <c r="F285">
        <f>IF('SOW, Feedbacks-Bug &amp; CR_Items'!H285="","",'SOW, Feedbacks-Bug &amp; CR_Items'!H285)</f>
        <v>46188</v>
      </c>
    </row>
    <row r="286" spans="1:6">
      <c r="A286" t="str">
        <f>'SOW, Feedbacks-Bug &amp; CR_Items'!D286</f>
        <v>iWork</v>
      </c>
      <c r="B286" t="str">
        <f>'SOW, Feedbacks-Bug &amp; CR_Items'!E286</f>
        <v>Milestone 6</v>
      </c>
      <c r="C286" t="str">
        <f>TRIM('SOW, Feedbacks-Bug &amp; CR_Items'!F286)</f>
        <v>Delivered</v>
      </c>
      <c r="D286" t="str">
        <f>IFERROR(VLOOKUP(C286,Config!$A:$B,2,0),"Unknown")</f>
        <v>Delivered</v>
      </c>
      <c r="E286" t="str">
        <f>IFERROR(VLOOKUP(C286,Config!$A:$C,3,0),"N/A")</f>
        <v>Delivered</v>
      </c>
      <c r="F286">
        <f>IF('SOW, Feedbacks-Bug &amp; CR_Items'!H286="","",'SOW, Feedbacks-Bug &amp; CR_Items'!H286)</f>
        <v>46191</v>
      </c>
    </row>
    <row r="287" spans="1:6">
      <c r="A287" t="str">
        <f>'SOW, Feedbacks-Bug &amp; CR_Items'!D287</f>
        <v>IBP</v>
      </c>
      <c r="B287" t="str">
        <f>'SOW, Feedbacks-Bug &amp; CR_Items'!E287</f>
        <v>Milestone 6</v>
      </c>
      <c r="C287" t="str">
        <f>TRIM('SOW, Feedbacks-Bug &amp; CR_Items'!F287)</f>
        <v>Delivered</v>
      </c>
      <c r="D287" t="str">
        <f>IFERROR(VLOOKUP(C287,Config!$A:$B,2,0),"Unknown")</f>
        <v>Delivered</v>
      </c>
      <c r="E287" t="str">
        <f>IFERROR(VLOOKUP(C287,Config!$A:$C,3,0),"N/A")</f>
        <v>Delivered</v>
      </c>
      <c r="F287">
        <f>IF('SOW, Feedbacks-Bug &amp; CR_Items'!H287="","",'SOW, Feedbacks-Bug &amp; CR_Items'!H287)</f>
        <v>46192</v>
      </c>
    </row>
    <row r="288" spans="1:6">
      <c r="A288" t="str">
        <f>'SOW, Feedbacks-Bug &amp; CR_Items'!D288</f>
        <v>IBP</v>
      </c>
      <c r="B288" t="str">
        <f>'SOW, Feedbacks-Bug &amp; CR_Items'!E288</f>
        <v>Milestone 6</v>
      </c>
      <c r="C288" t="str">
        <f>TRIM('SOW, Feedbacks-Bug &amp; CR_Items'!F288)</f>
        <v>Delivered</v>
      </c>
      <c r="D288" t="str">
        <f>IFERROR(VLOOKUP(C288,Config!$A:$B,2,0),"Unknown")</f>
        <v>Delivered</v>
      </c>
      <c r="E288" t="str">
        <f>IFERROR(VLOOKUP(C288,Config!$A:$C,3,0),"N/A")</f>
        <v>Delivered</v>
      </c>
      <c r="F288">
        <f>IF('SOW, Feedbacks-Bug &amp; CR_Items'!H288="","",'SOW, Feedbacks-Bug &amp; CR_Items'!H288)</f>
        <v>46192</v>
      </c>
    </row>
    <row r="289" spans="1:6">
      <c r="A289" t="str">
        <f>'SOW, Feedbacks-Bug &amp; CR_Items'!D289</f>
        <v>IBP</v>
      </c>
      <c r="B289" t="str">
        <f>'SOW, Feedbacks-Bug &amp; CR_Items'!E289</f>
        <v>Milestone 6</v>
      </c>
      <c r="C289" t="str">
        <f>TRIM('SOW, Feedbacks-Bug &amp; CR_Items'!F289)</f>
        <v>Yet to start</v>
      </c>
      <c r="D289" t="str">
        <f>IFERROR(VLOOKUP(C289,Config!$A:$B,2,0),"Unknown")</f>
        <v>Not Started</v>
      </c>
      <c r="E289" t="str">
        <f>IFERROR(VLOOKUP(C289,Config!$A:$C,3,0),"N/A")</f>
        <v>Pending</v>
      </c>
      <c r="F289">
        <f>IF('SOW, Feedbacks-Bug &amp; CR_Items'!H289="","",'SOW, Feedbacks-Bug &amp; CR_Items'!H289)</f>
        <v>46194</v>
      </c>
    </row>
    <row r="290" spans="1:6">
      <c r="A290" t="str">
        <f>'SOW, Feedbacks-Bug &amp; CR_Items'!D290</f>
        <v>IBP</v>
      </c>
      <c r="B290" t="str">
        <f>'SOW, Feedbacks-Bug &amp; CR_Items'!E290</f>
        <v>Milestone 6</v>
      </c>
      <c r="C290" t="str">
        <f>TRIM('SOW, Feedbacks-Bug &amp; CR_Items'!F290)</f>
        <v>DEV - WIP</v>
      </c>
      <c r="D290" t="str">
        <f>IFERROR(VLOOKUP(C290,Config!$A:$B,2,0),"Unknown")</f>
        <v>In Development</v>
      </c>
      <c r="E290" t="str">
        <f>IFERROR(VLOOKUP(C290,Config!$A:$C,3,0),"N/A")</f>
        <v>Pending</v>
      </c>
      <c r="F290">
        <f>IF('SOW, Feedbacks-Bug &amp; CR_Items'!H290="","",'SOW, Feedbacks-Bug &amp; CR_Items'!H290)</f>
        <v>46194</v>
      </c>
    </row>
    <row r="291" spans="1:6">
      <c r="A291" t="str">
        <f>'SOW, Feedbacks-Bug &amp; CR_Items'!D291</f>
        <v>iWork - CR</v>
      </c>
      <c r="B291" t="str">
        <f>'SOW, Feedbacks-Bug &amp; CR_Items'!E291</f>
        <v>Milestone 6</v>
      </c>
      <c r="C291" t="str">
        <f>TRIM('SOW, Feedbacks-Bug &amp; CR_Items'!F291)</f>
        <v>Delivered</v>
      </c>
      <c r="D291" t="str">
        <f>IFERROR(VLOOKUP(C291,Config!$A:$B,2,0),"Unknown")</f>
        <v>Delivered</v>
      </c>
      <c r="E291" t="str">
        <f>IFERROR(VLOOKUP(C291,Config!$A:$C,3,0),"N/A")</f>
        <v>Delivered</v>
      </c>
      <c r="F291">
        <f>IF('SOW, Feedbacks-Bug &amp; CR_Items'!H291="","",'SOW, Feedbacks-Bug &amp; CR_Items'!H291)</f>
        <v>46195</v>
      </c>
    </row>
    <row r="292" spans="1:6">
      <c r="A292" t="str">
        <f>'SOW, Feedbacks-Bug &amp; CR_Items'!D292</f>
        <v>IBP/iWork - CR</v>
      </c>
      <c r="B292" t="str">
        <f>'SOW, Feedbacks-Bug &amp; CR_Items'!E292</f>
        <v>Milestone 6</v>
      </c>
      <c r="C292" t="str">
        <f>TRIM('SOW, Feedbacks-Bug &amp; CR_Items'!F292)</f>
        <v>Delivered</v>
      </c>
      <c r="D292" t="str">
        <f>IFERROR(VLOOKUP(C292,Config!$A:$B,2,0),"Unknown")</f>
        <v>Delivered</v>
      </c>
      <c r="E292" t="str">
        <f>IFERROR(VLOOKUP(C292,Config!$A:$C,3,0),"N/A")</f>
        <v>Delivered</v>
      </c>
      <c r="F292">
        <f>IF('SOW, Feedbacks-Bug &amp; CR_Items'!H292="","",'SOW, Feedbacks-Bug &amp; CR_Items'!H292)</f>
        <v>46196</v>
      </c>
    </row>
    <row r="293" spans="1:6">
      <c r="A293" t="str">
        <f>'SOW, Feedbacks-Bug &amp; CR_Items'!D293</f>
        <v>iWork - CR</v>
      </c>
      <c r="B293" t="str">
        <f>'SOW, Feedbacks-Bug &amp; CR_Items'!E293</f>
        <v>Milestone 6</v>
      </c>
      <c r="C293" t="str">
        <f>TRIM('SOW, Feedbacks-Bug &amp; CR_Items'!F293)</f>
        <v>Delivered</v>
      </c>
      <c r="D293" t="str">
        <f>IFERROR(VLOOKUP(C293,Config!$A:$B,2,0),"Unknown")</f>
        <v>Delivered</v>
      </c>
      <c r="E293" t="str">
        <f>IFERROR(VLOOKUP(C293,Config!$A:$C,3,0),"N/A")</f>
        <v>Delivered</v>
      </c>
      <c r="F293">
        <f>IF('SOW, Feedbacks-Bug &amp; CR_Items'!H293="","",'SOW, Feedbacks-Bug &amp; CR_Items'!H293)</f>
        <v>46196</v>
      </c>
    </row>
    <row r="294" spans="1:6">
      <c r="A294" t="str">
        <f>'SOW, Feedbacks-Bug &amp; CR_Items'!D294</f>
        <v>iWork - CR</v>
      </c>
      <c r="B294" t="str">
        <f>'SOW, Feedbacks-Bug &amp; CR_Items'!E294</f>
        <v>Milestone 6</v>
      </c>
      <c r="C294" t="str">
        <f>TRIM('SOW, Feedbacks-Bug &amp; CR_Items'!F294)</f>
        <v>Delivered</v>
      </c>
      <c r="D294" t="str">
        <f>IFERROR(VLOOKUP(C294,Config!$A:$B,2,0),"Unknown")</f>
        <v>Delivered</v>
      </c>
      <c r="E294" t="str">
        <f>IFERROR(VLOOKUP(C294,Config!$A:$C,3,0),"N/A")</f>
        <v>Delivered</v>
      </c>
      <c r="F294">
        <f>IF('SOW, Feedbacks-Bug &amp; CR_Items'!H294="","",'SOW, Feedbacks-Bug &amp; CR_Items'!H294)</f>
        <v>46196</v>
      </c>
    </row>
    <row r="295" spans="1:6">
      <c r="A295" t="str">
        <f>'SOW, Feedbacks-Bug &amp; CR_Items'!D295</f>
        <v>iWork - CR</v>
      </c>
      <c r="B295" t="str">
        <f>'SOW, Feedbacks-Bug &amp; CR_Items'!E295</f>
        <v>Milestone 6</v>
      </c>
      <c r="C295" t="str">
        <f>TRIM('SOW, Feedbacks-Bug &amp; CR_Items'!F295)</f>
        <v>Delivered</v>
      </c>
      <c r="D295" t="str">
        <f>IFERROR(VLOOKUP(C295,Config!$A:$B,2,0),"Unknown")</f>
        <v>Delivered</v>
      </c>
      <c r="E295" t="str">
        <f>IFERROR(VLOOKUP(C295,Config!$A:$C,3,0),"N/A")</f>
        <v>Delivered</v>
      </c>
      <c r="F295">
        <f>IF('SOW, Feedbacks-Bug &amp; CR_Items'!H295="","",'SOW, Feedbacks-Bug &amp; CR_Items'!H295)</f>
        <v>46196</v>
      </c>
    </row>
    <row r="296" spans="1:6">
      <c r="A296" t="str">
        <f>'SOW, Feedbacks-Bug &amp; CR_Items'!D296</f>
        <v>iWork - CR</v>
      </c>
      <c r="B296" t="str">
        <f>'SOW, Feedbacks-Bug &amp; CR_Items'!E296</f>
        <v>Milestone 6</v>
      </c>
      <c r="C296" t="str">
        <f>TRIM('SOW, Feedbacks-Bug &amp; CR_Items'!F296)</f>
        <v>Delivered</v>
      </c>
      <c r="D296" t="str">
        <f>IFERROR(VLOOKUP(C296,Config!$A:$B,2,0),"Unknown")</f>
        <v>Delivered</v>
      </c>
      <c r="E296" t="str">
        <f>IFERROR(VLOOKUP(C296,Config!$A:$C,3,0),"N/A")</f>
        <v>Delivered</v>
      </c>
      <c r="F296">
        <f>IF('SOW, Feedbacks-Bug &amp; CR_Items'!H296="","",'SOW, Feedbacks-Bug &amp; CR_Items'!H296)</f>
        <v>46196</v>
      </c>
    </row>
    <row r="297" spans="1:6">
      <c r="A297" t="str">
        <f>'SOW, Feedbacks-Bug &amp; CR_Items'!D297</f>
        <v>iWork - CR</v>
      </c>
      <c r="B297" t="str">
        <f>'SOW, Feedbacks-Bug &amp; CR_Items'!E297</f>
        <v>Milestone 6</v>
      </c>
      <c r="C297" t="str">
        <f>TRIM('SOW, Feedbacks-Bug &amp; CR_Items'!F297)</f>
        <v>Delivered</v>
      </c>
      <c r="D297" t="str">
        <f>IFERROR(VLOOKUP(C297,Config!$A:$B,2,0),"Unknown")</f>
        <v>Delivered</v>
      </c>
      <c r="E297" t="str">
        <f>IFERROR(VLOOKUP(C297,Config!$A:$C,3,0),"N/A")</f>
        <v>Delivered</v>
      </c>
      <c r="F297">
        <f>IF('SOW, Feedbacks-Bug &amp; CR_Items'!H297="","",'SOW, Feedbacks-Bug &amp; CR_Items'!H297)</f>
        <v>46196</v>
      </c>
    </row>
    <row r="298" spans="1:6">
      <c r="A298" t="str">
        <f>'SOW, Feedbacks-Bug &amp; CR_Items'!D298</f>
        <v>iWork - CR</v>
      </c>
      <c r="B298" t="str">
        <f>'SOW, Feedbacks-Bug &amp; CR_Items'!E298</f>
        <v>Milestone 6</v>
      </c>
      <c r="C298" t="str">
        <f>TRIM('SOW, Feedbacks-Bug &amp; CR_Items'!F298)</f>
        <v>Delivered</v>
      </c>
      <c r="D298" t="str">
        <f>IFERROR(VLOOKUP(C298,Config!$A:$B,2,0),"Unknown")</f>
        <v>Delivered</v>
      </c>
      <c r="E298" t="str">
        <f>IFERROR(VLOOKUP(C298,Config!$A:$C,3,0),"N/A")</f>
        <v>Delivered</v>
      </c>
      <c r="F298">
        <f>IF('SOW, Feedbacks-Bug &amp; CR_Items'!H298="","",'SOW, Feedbacks-Bug &amp; CR_Items'!H298)</f>
        <v>46196</v>
      </c>
    </row>
    <row r="299" spans="1:6">
      <c r="A299" t="str">
        <f>'SOW, Feedbacks-Bug &amp; CR_Items'!D299</f>
        <v>iWork - CR</v>
      </c>
      <c r="B299" t="str">
        <f>'SOW, Feedbacks-Bug &amp; CR_Items'!E299</f>
        <v>Milestone 6</v>
      </c>
      <c r="C299" t="str">
        <f>TRIM('SOW, Feedbacks-Bug &amp; CR_Items'!F299)</f>
        <v>Delivered</v>
      </c>
      <c r="D299" t="str">
        <f>IFERROR(VLOOKUP(C299,Config!$A:$B,2,0),"Unknown")</f>
        <v>Delivered</v>
      </c>
      <c r="E299" t="str">
        <f>IFERROR(VLOOKUP(C299,Config!$A:$C,3,0),"N/A")</f>
        <v>Delivered</v>
      </c>
      <c r="F299">
        <f>IF('SOW, Feedbacks-Bug &amp; CR_Items'!H299="","",'SOW, Feedbacks-Bug &amp; CR_Items'!H299)</f>
        <v>46196</v>
      </c>
    </row>
    <row r="300" spans="1:6">
      <c r="A300" t="str">
        <f>'SOW, Feedbacks-Bug &amp; CR_Items'!D300</f>
        <v>iWork - CR</v>
      </c>
      <c r="B300" t="str">
        <f>'SOW, Feedbacks-Bug &amp; CR_Items'!E300</f>
        <v>Milestone 6</v>
      </c>
      <c r="C300" t="str">
        <f>TRIM('SOW, Feedbacks-Bug &amp; CR_Items'!F300)</f>
        <v>Delivered</v>
      </c>
      <c r="D300" t="str">
        <f>IFERROR(VLOOKUP(C300,Config!$A:$B,2,0),"Unknown")</f>
        <v>Delivered</v>
      </c>
      <c r="E300" t="str">
        <f>IFERROR(VLOOKUP(C300,Config!$A:$C,3,0),"N/A")</f>
        <v>Delivered</v>
      </c>
      <c r="F300">
        <f>IF('SOW, Feedbacks-Bug &amp; CR_Items'!H300="","",'SOW, Feedbacks-Bug &amp; CR_Items'!H300)</f>
        <v>46196</v>
      </c>
    </row>
    <row r="301" spans="1:6">
      <c r="A301" t="str">
        <f>'SOW, Feedbacks-Bug &amp; CR_Items'!D301</f>
        <v>iWork - CR</v>
      </c>
      <c r="B301" t="str">
        <f>'SOW, Feedbacks-Bug &amp; CR_Items'!E301</f>
        <v>Milestone 6</v>
      </c>
      <c r="C301" t="str">
        <f>TRIM('SOW, Feedbacks-Bug &amp; CR_Items'!F301)</f>
        <v>Delivered</v>
      </c>
      <c r="D301" t="str">
        <f>IFERROR(VLOOKUP(C301,Config!$A:$B,2,0),"Unknown")</f>
        <v>Delivered</v>
      </c>
      <c r="E301" t="str">
        <f>IFERROR(VLOOKUP(C301,Config!$A:$C,3,0),"N/A")</f>
        <v>Delivered</v>
      </c>
      <c r="F301">
        <f>IF('SOW, Feedbacks-Bug &amp; CR_Items'!H301="","",'SOW, Feedbacks-Bug &amp; CR_Items'!H301)</f>
        <v>46196</v>
      </c>
    </row>
    <row r="302" spans="1:6">
      <c r="A302" t="str">
        <f>'SOW, Feedbacks-Bug &amp; CR_Items'!D302</f>
        <v>iWork - CR</v>
      </c>
      <c r="B302" t="str">
        <f>'SOW, Feedbacks-Bug &amp; CR_Items'!E302</f>
        <v>Milestone 6</v>
      </c>
      <c r="C302" t="str">
        <f>TRIM('SOW, Feedbacks-Bug &amp; CR_Items'!F302)</f>
        <v>Delivered</v>
      </c>
      <c r="D302" t="str">
        <f>IFERROR(VLOOKUP(C302,Config!$A:$B,2,0),"Unknown")</f>
        <v>Delivered</v>
      </c>
      <c r="E302" t="str">
        <f>IFERROR(VLOOKUP(C302,Config!$A:$C,3,0),"N/A")</f>
        <v>Delivered</v>
      </c>
      <c r="F302">
        <f>IF('SOW, Feedbacks-Bug &amp; CR_Items'!H302="","",'SOW, Feedbacks-Bug &amp; CR_Items'!H302)</f>
        <v>46196</v>
      </c>
    </row>
    <row r="303" spans="1:6">
      <c r="A303" t="str">
        <f>'SOW, Feedbacks-Bug &amp; CR_Items'!D303</f>
        <v>iWork - CR</v>
      </c>
      <c r="B303" t="str">
        <f>'SOW, Feedbacks-Bug &amp; CR_Items'!E303</f>
        <v>Milestone 6</v>
      </c>
      <c r="C303" t="str">
        <f>TRIM('SOW, Feedbacks-Bug &amp; CR_Items'!F303)</f>
        <v>Delivered</v>
      </c>
      <c r="D303" t="str">
        <f>IFERROR(VLOOKUP(C303,Config!$A:$B,2,0),"Unknown")</f>
        <v>Delivered</v>
      </c>
      <c r="E303" t="str">
        <f>IFERROR(VLOOKUP(C303,Config!$A:$C,3,0),"N/A")</f>
        <v>Delivered</v>
      </c>
      <c r="F303">
        <f>IF('SOW, Feedbacks-Bug &amp; CR_Items'!H303="","",'SOW, Feedbacks-Bug &amp; CR_Items'!H303)</f>
        <v>46196</v>
      </c>
    </row>
    <row r="304" spans="1:6">
      <c r="A304" t="str">
        <f>'SOW, Feedbacks-Bug &amp; CR_Items'!D304</f>
        <v>iWork - CR</v>
      </c>
      <c r="B304" t="str">
        <f>'SOW, Feedbacks-Bug &amp; CR_Items'!E304</f>
        <v>Milestone 6</v>
      </c>
      <c r="C304" t="str">
        <f>TRIM('SOW, Feedbacks-Bug &amp; CR_Items'!F304)</f>
        <v>Delivered</v>
      </c>
      <c r="D304" t="str">
        <f>IFERROR(VLOOKUP(C304,Config!$A:$B,2,0),"Unknown")</f>
        <v>Delivered</v>
      </c>
      <c r="E304" t="str">
        <f>IFERROR(VLOOKUP(C304,Config!$A:$C,3,0),"N/A")</f>
        <v>Delivered</v>
      </c>
      <c r="F304">
        <f>IF('SOW, Feedbacks-Bug &amp; CR_Items'!H304="","",'SOW, Feedbacks-Bug &amp; CR_Items'!H304)</f>
        <v>46196</v>
      </c>
    </row>
    <row r="305" spans="1:6">
      <c r="A305" t="str">
        <f>'SOW, Feedbacks-Bug &amp; CR_Items'!D305</f>
        <v>iWork - CR</v>
      </c>
      <c r="B305" t="str">
        <f>'SOW, Feedbacks-Bug &amp; CR_Items'!E305</f>
        <v>Milestone 6</v>
      </c>
      <c r="C305" t="str">
        <f>TRIM('SOW, Feedbacks-Bug &amp; CR_Items'!F305)</f>
        <v>Yet to start</v>
      </c>
      <c r="D305" t="str">
        <f>IFERROR(VLOOKUP(C305,Config!$A:$B,2,0),"Unknown")</f>
        <v>Not Started</v>
      </c>
      <c r="E305" t="str">
        <f>IFERROR(VLOOKUP(C305,Config!$A:$C,3,0),"N/A")</f>
        <v>Pending</v>
      </c>
      <c r="F305">
        <f>IF('SOW, Feedbacks-Bug &amp; CR_Items'!H305="","",'SOW, Feedbacks-Bug &amp; CR_Items'!H305)</f>
        <v>46196</v>
      </c>
    </row>
    <row r="306" spans="1:6">
      <c r="A306" t="str">
        <f>'SOW, Feedbacks-Bug &amp; CR_Items'!D306</f>
        <v>IBP/iWork - CR</v>
      </c>
      <c r="B306" t="str">
        <f>'SOW, Feedbacks-Bug &amp; CR_Items'!E306</f>
        <v>Milestone 6</v>
      </c>
      <c r="C306" t="str">
        <f>TRIM('SOW, Feedbacks-Bug &amp; CR_Items'!F306)</f>
        <v>Yet to start</v>
      </c>
      <c r="D306" t="str">
        <f>IFERROR(VLOOKUP(C306,Config!$A:$B,2,0),"Unknown")</f>
        <v>Not Started</v>
      </c>
      <c r="E306" t="str">
        <f>IFERROR(VLOOKUP(C306,Config!$A:$C,3,0),"N/A")</f>
        <v>Pending</v>
      </c>
      <c r="F306">
        <f>IF('SOW, Feedbacks-Bug &amp; CR_Items'!H306="","",'SOW, Feedbacks-Bug &amp; CR_Items'!H306)</f>
        <v>46198</v>
      </c>
    </row>
    <row r="307" spans="1:6">
      <c r="A307" t="str">
        <f>'SOW, Feedbacks-Bug &amp; CR_Items'!D307</f>
        <v>iWork</v>
      </c>
      <c r="B307" t="str">
        <f>'SOW, Feedbacks-Bug &amp; CR_Items'!E307</f>
        <v>Milestone 6</v>
      </c>
      <c r="C307" t="str">
        <f>TRIM('SOW, Feedbacks-Bug &amp; CR_Items'!F307)</f>
        <v>Yet to start</v>
      </c>
      <c r="D307" t="str">
        <f>IFERROR(VLOOKUP(C307,Config!$A:$B,2,0),"Unknown")</f>
        <v>Not Started</v>
      </c>
      <c r="E307" t="str">
        <f>IFERROR(VLOOKUP(C307,Config!$A:$C,3,0),"N/A")</f>
        <v>Pending</v>
      </c>
      <c r="F307">
        <f>IF('SOW, Feedbacks-Bug &amp; CR_Items'!H307="","",'SOW, Feedbacks-Bug &amp; CR_Items'!H307)</f>
        <v>46198</v>
      </c>
    </row>
    <row r="308" spans="1:6">
      <c r="A308" t="str">
        <f>'SOW, Feedbacks-Bug &amp; CR_Items'!D308</f>
        <v>iWork</v>
      </c>
      <c r="B308" t="str">
        <f>'SOW, Feedbacks-Bug &amp; CR_Items'!E308</f>
        <v>Milestone 6</v>
      </c>
      <c r="C308" t="str">
        <f>TRIM('SOW, Feedbacks-Bug &amp; CR_Items'!F308)</f>
        <v>DEV - WIP</v>
      </c>
      <c r="D308" t="str">
        <f>IFERROR(VLOOKUP(C308,Config!$A:$B,2,0),"Unknown")</f>
        <v>In Development</v>
      </c>
      <c r="E308" t="str">
        <f>IFERROR(VLOOKUP(C308,Config!$A:$C,3,0),"N/A")</f>
        <v>Pending</v>
      </c>
      <c r="F308">
        <f>IF('SOW, Feedbacks-Bug &amp; CR_Items'!H308="","",'SOW, Feedbacks-Bug &amp; CR_Items'!H308)</f>
        <v>46198</v>
      </c>
    </row>
    <row r="309" spans="1:6">
      <c r="A309" t="str">
        <f>'SOW, Feedbacks-Bug &amp; CR_Items'!D309</f>
        <v>IBP/iWork</v>
      </c>
      <c r="B309" t="str">
        <f>'SOW, Feedbacks-Bug &amp; CR_Items'!E309</f>
        <v>Milestone 6</v>
      </c>
      <c r="C309" t="str">
        <f>TRIM('SOW, Feedbacks-Bug &amp; CR_Items'!F309)</f>
        <v>Delivered</v>
      </c>
      <c r="D309" t="str">
        <f>IFERROR(VLOOKUP(C309,Config!$A:$B,2,0),"Unknown")</f>
        <v>Delivered</v>
      </c>
      <c r="E309" t="str">
        <f>IFERROR(VLOOKUP(C309,Config!$A:$C,3,0),"N/A")</f>
        <v>Delivered</v>
      </c>
      <c r="F309">
        <f>IF('SOW, Feedbacks-Bug &amp; CR_Items'!H309="","",'SOW, Feedbacks-Bug &amp; CR_Items'!H309)</f>
        <v>46204</v>
      </c>
    </row>
    <row r="310" spans="1:6">
      <c r="A310" t="str">
        <f>'SOW, Feedbacks-Bug &amp; CR_Items'!D310</f>
        <v>IBP - CR</v>
      </c>
      <c r="B310" t="str">
        <f>'SOW, Feedbacks-Bug &amp; CR_Items'!E310</f>
        <v>Milestone 6</v>
      </c>
      <c r="C310" t="str">
        <f>TRIM('SOW, Feedbacks-Bug &amp; CR_Items'!F310)</f>
        <v>Delivered</v>
      </c>
      <c r="D310" t="str">
        <f>IFERROR(VLOOKUP(C310,Config!$A:$B,2,0),"Unknown")</f>
        <v>Delivered</v>
      </c>
      <c r="E310" t="str">
        <f>IFERROR(VLOOKUP(C310,Config!$A:$C,3,0),"N/A")</f>
        <v>Delivered</v>
      </c>
      <c r="F310">
        <f>IF('SOW, Feedbacks-Bug &amp; CR_Items'!H310="","",'SOW, Feedbacks-Bug &amp; CR_Items'!H310)</f>
        <v>46206</v>
      </c>
    </row>
    <row r="311" spans="1:6">
      <c r="A311" t="str">
        <f>'SOW, Feedbacks-Bug &amp; CR_Items'!D311</f>
        <v>IBP/iWork - CR</v>
      </c>
      <c r="B311" t="str">
        <f>'SOW, Feedbacks-Bug &amp; CR_Items'!E311</f>
        <v>Milestone 6</v>
      </c>
      <c r="C311" t="str">
        <f>TRIM('SOW, Feedbacks-Bug &amp; CR_Items'!F311)</f>
        <v>Delivered</v>
      </c>
      <c r="D311" t="str">
        <f>IFERROR(VLOOKUP(C311,Config!$A:$B,2,0),"Unknown")</f>
        <v>Delivered</v>
      </c>
      <c r="E311" t="str">
        <f>IFERROR(VLOOKUP(C311,Config!$A:$C,3,0),"N/A")</f>
        <v>Delivered</v>
      </c>
      <c r="F311">
        <f>IF('SOW, Feedbacks-Bug &amp; CR_Items'!H311="","",'SOW, Feedbacks-Bug &amp; CR_Items'!H311)</f>
        <v>46207</v>
      </c>
    </row>
    <row r="312" spans="1:6">
      <c r="A312" t="str">
        <f>'SOW, Feedbacks-Bug &amp; CR_Items'!D312</f>
        <v>iWork</v>
      </c>
      <c r="B312" t="str">
        <f>'SOW, Feedbacks-Bug &amp; CR_Items'!E312</f>
        <v>Milestone 6</v>
      </c>
      <c r="C312" t="str">
        <f>TRIM('SOW, Feedbacks-Bug &amp; CR_Items'!F312)</f>
        <v>Delivered</v>
      </c>
      <c r="D312" t="str">
        <f>IFERROR(VLOOKUP(C312,Config!$A:$B,2,0),"Unknown")</f>
        <v>Delivered</v>
      </c>
      <c r="E312" t="str">
        <f>IFERROR(VLOOKUP(C312,Config!$A:$C,3,0),"N/A")</f>
        <v>Delivered</v>
      </c>
      <c r="F312">
        <f>IF('SOW, Feedbacks-Bug &amp; CR_Items'!H312="","",'SOW, Feedbacks-Bug &amp; CR_Items'!H312)</f>
        <v>46209</v>
      </c>
    </row>
    <row r="313" spans="1:6">
      <c r="A313" t="str">
        <f>'SOW, Feedbacks-Bug &amp; CR_Items'!D313</f>
        <v>iWork</v>
      </c>
      <c r="B313" t="str">
        <f>'SOW, Feedbacks-Bug &amp; CR_Items'!E313</f>
        <v>Milestone 6</v>
      </c>
      <c r="C313" t="str">
        <f>TRIM('SOW, Feedbacks-Bug &amp; CR_Items'!F313)</f>
        <v>Delivered</v>
      </c>
      <c r="D313" t="str">
        <f>IFERROR(VLOOKUP(C313,Config!$A:$B,2,0),"Unknown")</f>
        <v>Delivered</v>
      </c>
      <c r="E313" t="str">
        <f>IFERROR(VLOOKUP(C313,Config!$A:$C,3,0),"N/A")</f>
        <v>Delivered</v>
      </c>
      <c r="F313">
        <f>IF('SOW, Feedbacks-Bug &amp; CR_Items'!H313="","",'SOW, Feedbacks-Bug &amp; CR_Items'!H313)</f>
        <v>46209</v>
      </c>
    </row>
    <row r="314" spans="1:6">
      <c r="A314" t="str">
        <f>'SOW, Feedbacks-Bug &amp; CR_Items'!D314</f>
        <v>IBP/iWork</v>
      </c>
      <c r="B314" t="str">
        <f>'SOW, Feedbacks-Bug &amp; CR_Items'!E314</f>
        <v>Milestone 6</v>
      </c>
      <c r="C314" t="str">
        <f>TRIM('SOW, Feedbacks-Bug &amp; CR_Items'!F314)</f>
        <v>Yet to start</v>
      </c>
      <c r="D314" t="str">
        <f>IFERROR(VLOOKUP(C314,Config!$A:$B,2,0),"Unknown")</f>
        <v>Not Started</v>
      </c>
      <c r="E314" t="str">
        <f>IFERROR(VLOOKUP(C314,Config!$A:$C,3,0),"N/A")</f>
        <v>Pending</v>
      </c>
      <c r="F314">
        <f>IF('SOW, Feedbacks-Bug &amp; CR_Items'!H314="","",'SOW, Feedbacks-Bug &amp; CR_Items'!H314)</f>
        <v>46212</v>
      </c>
    </row>
    <row r="315" spans="1:6">
      <c r="A315" t="str">
        <f>'SOW, Feedbacks-Bug &amp; CR_Items'!D315</f>
        <v>IBP - CR</v>
      </c>
      <c r="B315" t="str">
        <f>'SOW, Feedbacks-Bug &amp; CR_Items'!E315</f>
        <v>Milestone 6</v>
      </c>
      <c r="C315" t="str">
        <f>TRIM('SOW, Feedbacks-Bug &amp; CR_Items'!F315)</f>
        <v>Delivered</v>
      </c>
      <c r="D315" t="str">
        <f>IFERROR(VLOOKUP(C315,Config!$A:$B,2,0),"Unknown")</f>
        <v>Delivered</v>
      </c>
      <c r="E315" t="str">
        <f>IFERROR(VLOOKUP(C315,Config!$A:$C,3,0),"N/A")</f>
        <v>Delivered</v>
      </c>
      <c r="F315">
        <f>IF('SOW, Feedbacks-Bug &amp; CR_Items'!H315="","",'SOW, Feedbacks-Bug &amp; CR_Items'!H315)</f>
        <v>46213</v>
      </c>
    </row>
    <row r="316" spans="1:6">
      <c r="A316" t="str">
        <f>'SOW, Feedbacks-Bug &amp; CR_Items'!D316</f>
        <v>iWork</v>
      </c>
      <c r="B316" t="str">
        <f>'SOW, Feedbacks-Bug &amp; CR_Items'!E316</f>
        <v>Milestone 6</v>
      </c>
      <c r="C316" t="str">
        <f>TRIM('SOW, Feedbacks-Bug &amp; CR_Items'!F316)</f>
        <v>Delivered</v>
      </c>
      <c r="D316" t="str">
        <f>IFERROR(VLOOKUP(C316,Config!$A:$B,2,0),"Unknown")</f>
        <v>Delivered</v>
      </c>
      <c r="E316" t="str">
        <f>IFERROR(VLOOKUP(C316,Config!$A:$C,3,0),"N/A")</f>
        <v>Delivered</v>
      </c>
      <c r="F316">
        <f>IF('SOW, Feedbacks-Bug &amp; CR_Items'!H316="","",'SOW, Feedbacks-Bug &amp; CR_Items'!H316)</f>
        <v>46216</v>
      </c>
    </row>
    <row r="317" spans="1:6">
      <c r="A317" t="str">
        <f>'SOW, Feedbacks-Bug &amp; CR_Items'!D317</f>
        <v>iWork</v>
      </c>
      <c r="B317" t="str">
        <f>'SOW, Feedbacks-Bug &amp; CR_Items'!E317</f>
        <v>Milestone 6</v>
      </c>
      <c r="C317" t="str">
        <f>TRIM('SOW, Feedbacks-Bug &amp; CR_Items'!F317)</f>
        <v>Delivered</v>
      </c>
      <c r="D317" t="str">
        <f>IFERROR(VLOOKUP(C317,Config!$A:$B,2,0),"Unknown")</f>
        <v>Delivered</v>
      </c>
      <c r="E317" t="str">
        <f>IFERROR(VLOOKUP(C317,Config!$A:$C,3,0),"N/A")</f>
        <v>Delivered</v>
      </c>
      <c r="F317">
        <f>IF('SOW, Feedbacks-Bug &amp; CR_Items'!H317="","",'SOW, Feedbacks-Bug &amp; CR_Items'!H317)</f>
        <v>46216</v>
      </c>
    </row>
    <row r="318" spans="1:6">
      <c r="A318" t="str">
        <f>'SOW, Feedbacks-Bug &amp; CR_Items'!D318</f>
        <v>iWork - CR</v>
      </c>
      <c r="B318" t="str">
        <f>'SOW, Feedbacks-Bug &amp; CR_Items'!E318</f>
        <v>Milestone 6</v>
      </c>
      <c r="C318" t="str">
        <f>TRIM('SOW, Feedbacks-Bug &amp; CR_Items'!F318)</f>
        <v>Delivered</v>
      </c>
      <c r="D318" t="str">
        <f>IFERROR(VLOOKUP(C318,Config!$A:$B,2,0),"Unknown")</f>
        <v>Delivered</v>
      </c>
      <c r="E318" t="str">
        <f>IFERROR(VLOOKUP(C318,Config!$A:$C,3,0),"N/A")</f>
        <v>Delivered</v>
      </c>
      <c r="F318">
        <f>IF('SOW, Feedbacks-Bug &amp; CR_Items'!H318="","",'SOW, Feedbacks-Bug &amp; CR_Items'!H318)</f>
        <v>46216</v>
      </c>
    </row>
    <row r="319" spans="1:6">
      <c r="A319" t="str">
        <f>'SOW, Feedbacks-Bug &amp; CR_Items'!D319</f>
        <v>iWork - CR</v>
      </c>
      <c r="B319" t="str">
        <f>'SOW, Feedbacks-Bug &amp; CR_Items'!E319</f>
        <v>Milestone 6</v>
      </c>
      <c r="C319" t="str">
        <f>TRIM('SOW, Feedbacks-Bug &amp; CR_Items'!F319)</f>
        <v>Delivered</v>
      </c>
      <c r="D319" t="str">
        <f>IFERROR(VLOOKUP(C319,Config!$A:$B,2,0),"Unknown")</f>
        <v>Delivered</v>
      </c>
      <c r="E319" t="str">
        <f>IFERROR(VLOOKUP(C319,Config!$A:$C,3,0),"N/A")</f>
        <v>Delivered</v>
      </c>
      <c r="F319">
        <f>IF('SOW, Feedbacks-Bug &amp; CR_Items'!H319="","",'SOW, Feedbacks-Bug &amp; CR_Items'!H319)</f>
        <v>46216</v>
      </c>
    </row>
    <row r="320" spans="1:6">
      <c r="A320" t="str">
        <f>'SOW, Feedbacks-Bug &amp; CR_Items'!D320</f>
        <v>iWork - CR</v>
      </c>
      <c r="B320" t="str">
        <f>'SOW, Feedbacks-Bug &amp; CR_Items'!E320</f>
        <v>Milestone 6</v>
      </c>
      <c r="C320" t="str">
        <f>TRIM('SOW, Feedbacks-Bug &amp; CR_Items'!F320)</f>
        <v>Not in scope</v>
      </c>
      <c r="D320" t="str">
        <f>IFERROR(VLOOKUP(C320,Config!$A:$B,2,0),"Unknown")</f>
        <v>Delivered</v>
      </c>
      <c r="E320" t="str">
        <f>IFERROR(VLOOKUP(C320,Config!$A:$C,3,0),"N/A")</f>
        <v>Delivered</v>
      </c>
      <c r="F320">
        <f>IF('SOW, Feedbacks-Bug &amp; CR_Items'!H320="","",'SOW, Feedbacks-Bug &amp; CR_Items'!H320)</f>
        <v>46216</v>
      </c>
    </row>
    <row r="321" spans="1:6">
      <c r="A321" t="str">
        <f>'SOW, Feedbacks-Bug &amp; CR_Items'!D321</f>
        <v>iWork - CR</v>
      </c>
      <c r="B321" t="str">
        <f>'SOW, Feedbacks-Bug &amp; CR_Items'!E321</f>
        <v>Milestone 6</v>
      </c>
      <c r="C321" t="str">
        <f>TRIM('SOW, Feedbacks-Bug &amp; CR_Items'!F321)</f>
        <v>Delivered</v>
      </c>
      <c r="D321" t="str">
        <f>IFERROR(VLOOKUP(C321,Config!$A:$B,2,0),"Unknown")</f>
        <v>Delivered</v>
      </c>
      <c r="E321" t="str">
        <f>IFERROR(VLOOKUP(C321,Config!$A:$C,3,0),"N/A")</f>
        <v>Delivered</v>
      </c>
      <c r="F321">
        <f>IF('SOW, Feedbacks-Bug &amp; CR_Items'!H321="","",'SOW, Feedbacks-Bug &amp; CR_Items'!H321)</f>
        <v>46216</v>
      </c>
    </row>
    <row r="322" spans="1:6">
      <c r="A322" t="str">
        <f>'SOW, Feedbacks-Bug &amp; CR_Items'!D322</f>
        <v>iWork - CR</v>
      </c>
      <c r="B322" t="str">
        <f>'SOW, Feedbacks-Bug &amp; CR_Items'!E322</f>
        <v>Milestone 6</v>
      </c>
      <c r="C322" t="str">
        <f>TRIM('SOW, Feedbacks-Bug &amp; CR_Items'!F322)</f>
        <v>Delivered</v>
      </c>
      <c r="D322" t="str">
        <f>IFERROR(VLOOKUP(C322,Config!$A:$B,2,0),"Unknown")</f>
        <v>Delivered</v>
      </c>
      <c r="E322" t="str">
        <f>IFERROR(VLOOKUP(C322,Config!$A:$C,3,0),"N/A")</f>
        <v>Delivered</v>
      </c>
      <c r="F322">
        <f>IF('SOW, Feedbacks-Bug &amp; CR_Items'!H322="","",'SOW, Feedbacks-Bug &amp; CR_Items'!H322)</f>
        <v>46216</v>
      </c>
    </row>
    <row r="323" spans="1:6">
      <c r="A323" t="str">
        <f>'SOW, Feedbacks-Bug &amp; CR_Items'!D323</f>
        <v>iWork - CR</v>
      </c>
      <c r="B323" t="str">
        <f>'SOW, Feedbacks-Bug &amp; CR_Items'!E323</f>
        <v>Milestone 6</v>
      </c>
      <c r="C323" t="str">
        <f>TRIM('SOW, Feedbacks-Bug &amp; CR_Items'!F323)</f>
        <v>Delivered</v>
      </c>
      <c r="D323" t="str">
        <f>IFERROR(VLOOKUP(C323,Config!$A:$B,2,0),"Unknown")</f>
        <v>Delivered</v>
      </c>
      <c r="E323" t="str">
        <f>IFERROR(VLOOKUP(C323,Config!$A:$C,3,0),"N/A")</f>
        <v>Delivered</v>
      </c>
      <c r="F323">
        <f>IF('SOW, Feedbacks-Bug &amp; CR_Items'!H323="","",'SOW, Feedbacks-Bug &amp; CR_Items'!H323)</f>
        <v>46216</v>
      </c>
    </row>
    <row r="324" spans="1:6">
      <c r="A324" t="str">
        <f>'SOW, Feedbacks-Bug &amp; CR_Items'!D324</f>
        <v>iWork - CR</v>
      </c>
      <c r="B324" t="str">
        <f>'SOW, Feedbacks-Bug &amp; CR_Items'!E324</f>
        <v>Milestone 6</v>
      </c>
      <c r="C324" t="str">
        <f>TRIM('SOW, Feedbacks-Bug &amp; CR_Items'!F324)</f>
        <v>Delivered</v>
      </c>
      <c r="D324" t="str">
        <f>IFERROR(VLOOKUP(C324,Config!$A:$B,2,0),"Unknown")</f>
        <v>Delivered</v>
      </c>
      <c r="E324" t="str">
        <f>IFERROR(VLOOKUP(C324,Config!$A:$C,3,0),"N/A")</f>
        <v>Delivered</v>
      </c>
      <c r="F324">
        <f>IF('SOW, Feedbacks-Bug &amp; CR_Items'!H324="","",'SOW, Feedbacks-Bug &amp; CR_Items'!H324)</f>
        <v>46216</v>
      </c>
    </row>
    <row r="325" spans="1:6">
      <c r="A325" t="str">
        <f>'SOW, Feedbacks-Bug &amp; CR_Items'!D325</f>
        <v>iWork - CR</v>
      </c>
      <c r="B325" t="str">
        <f>'SOW, Feedbacks-Bug &amp; CR_Items'!E325</f>
        <v>Milestone 6</v>
      </c>
      <c r="C325" t="str">
        <f>TRIM('SOW, Feedbacks-Bug &amp; CR_Items'!F325)</f>
        <v>Delivered</v>
      </c>
      <c r="D325" t="str">
        <f>IFERROR(VLOOKUP(C325,Config!$A:$B,2,0),"Unknown")</f>
        <v>Delivered</v>
      </c>
      <c r="E325" t="str">
        <f>IFERROR(VLOOKUP(C325,Config!$A:$C,3,0),"N/A")</f>
        <v>Delivered</v>
      </c>
      <c r="F325">
        <f>IF('SOW, Feedbacks-Bug &amp; CR_Items'!H325="","",'SOW, Feedbacks-Bug &amp; CR_Items'!H325)</f>
        <v>46216</v>
      </c>
    </row>
    <row r="326" spans="1:6">
      <c r="A326" t="str">
        <f>'SOW, Feedbacks-Bug &amp; CR_Items'!D326</f>
        <v>iWork - CR</v>
      </c>
      <c r="B326" t="str">
        <f>'SOW, Feedbacks-Bug &amp; CR_Items'!E326</f>
        <v>Milestone 6</v>
      </c>
      <c r="C326" t="str">
        <f>TRIM('SOW, Feedbacks-Bug &amp; CR_Items'!F326)</f>
        <v>Delivered</v>
      </c>
      <c r="D326" t="str">
        <f>IFERROR(VLOOKUP(C326,Config!$A:$B,2,0),"Unknown")</f>
        <v>Delivered</v>
      </c>
      <c r="E326" t="str">
        <f>IFERROR(VLOOKUP(C326,Config!$A:$C,3,0),"N/A")</f>
        <v>Delivered</v>
      </c>
      <c r="F326">
        <f>IF('SOW, Feedbacks-Bug &amp; CR_Items'!H326="","",'SOW, Feedbacks-Bug &amp; CR_Items'!H326)</f>
        <v>46216</v>
      </c>
    </row>
    <row r="327" spans="1:6">
      <c r="A327" t="str">
        <f>'SOW, Feedbacks-Bug &amp; CR_Items'!D327</f>
        <v>iWork - CR</v>
      </c>
      <c r="B327" t="str">
        <f>'SOW, Feedbacks-Bug &amp; CR_Items'!E327</f>
        <v>Milestone 6</v>
      </c>
      <c r="C327" t="str">
        <f>TRIM('SOW, Feedbacks-Bug &amp; CR_Items'!F327)</f>
        <v>Delivered</v>
      </c>
      <c r="D327" t="str">
        <f>IFERROR(VLOOKUP(C327,Config!$A:$B,2,0),"Unknown")</f>
        <v>Delivered</v>
      </c>
      <c r="E327" t="str">
        <f>IFERROR(VLOOKUP(C327,Config!$A:$C,3,0),"N/A")</f>
        <v>Delivered</v>
      </c>
      <c r="F327">
        <f>IF('SOW, Feedbacks-Bug &amp; CR_Items'!H327="","",'SOW, Feedbacks-Bug &amp; CR_Items'!H327)</f>
        <v>46216</v>
      </c>
    </row>
    <row r="328" spans="1:6">
      <c r="A328" t="str">
        <f>'SOW, Feedbacks-Bug &amp; CR_Items'!D328</f>
        <v>iWork - CR</v>
      </c>
      <c r="B328" t="str">
        <f>'SOW, Feedbacks-Bug &amp; CR_Items'!E328</f>
        <v>Milestone 6</v>
      </c>
      <c r="C328" t="str">
        <f>TRIM('SOW, Feedbacks-Bug &amp; CR_Items'!F328)</f>
        <v>Delivered</v>
      </c>
      <c r="D328" t="str">
        <f>IFERROR(VLOOKUP(C328,Config!$A:$B,2,0),"Unknown")</f>
        <v>Delivered</v>
      </c>
      <c r="E328" t="str">
        <f>IFERROR(VLOOKUP(C328,Config!$A:$C,3,0),"N/A")</f>
        <v>Delivered</v>
      </c>
      <c r="F328">
        <f>IF('SOW, Feedbacks-Bug &amp; CR_Items'!H328="","",'SOW, Feedbacks-Bug &amp; CR_Items'!H328)</f>
        <v>46216</v>
      </c>
    </row>
    <row r="329" spans="1:6">
      <c r="A329" t="str">
        <f>'SOW, Feedbacks-Bug &amp; CR_Items'!D329</f>
        <v>iWork - CR</v>
      </c>
      <c r="B329" t="str">
        <f>'SOW, Feedbacks-Bug &amp; CR_Items'!E329</f>
        <v>Milestone 6</v>
      </c>
      <c r="C329" t="str">
        <f>TRIM('SOW, Feedbacks-Bug &amp; CR_Items'!F329)</f>
        <v>Delivered</v>
      </c>
      <c r="D329" t="str">
        <f>IFERROR(VLOOKUP(C329,Config!$A:$B,2,0),"Unknown")</f>
        <v>Delivered</v>
      </c>
      <c r="E329" t="str">
        <f>IFERROR(VLOOKUP(C329,Config!$A:$C,3,0),"N/A")</f>
        <v>Delivered</v>
      </c>
      <c r="F329">
        <f>IF('SOW, Feedbacks-Bug &amp; CR_Items'!H329="","",'SOW, Feedbacks-Bug &amp; CR_Items'!H329)</f>
        <v>46216</v>
      </c>
    </row>
    <row r="330" spans="1:6">
      <c r="A330" t="str">
        <f>'SOW, Feedbacks-Bug &amp; CR_Items'!D330</f>
        <v>iWork - CR</v>
      </c>
      <c r="B330" t="str">
        <f>'SOW, Feedbacks-Bug &amp; CR_Items'!E330</f>
        <v>Milestone 6</v>
      </c>
      <c r="C330" t="str">
        <f>TRIM('SOW, Feedbacks-Bug &amp; CR_Items'!F330)</f>
        <v>Delivered</v>
      </c>
      <c r="D330" t="str">
        <f>IFERROR(VLOOKUP(C330,Config!$A:$B,2,0),"Unknown")</f>
        <v>Delivered</v>
      </c>
      <c r="E330" t="str">
        <f>IFERROR(VLOOKUP(C330,Config!$A:$C,3,0),"N/A")</f>
        <v>Delivered</v>
      </c>
      <c r="F330">
        <f>IF('SOW, Feedbacks-Bug &amp; CR_Items'!H330="","",'SOW, Feedbacks-Bug &amp; CR_Items'!H330)</f>
        <v>46216</v>
      </c>
    </row>
    <row r="331" spans="1:6">
      <c r="A331" t="str">
        <f>'SOW, Feedbacks-Bug &amp; CR_Items'!D331</f>
        <v>iWork - CR</v>
      </c>
      <c r="B331" t="str">
        <f>'SOW, Feedbacks-Bug &amp; CR_Items'!E331</f>
        <v>Milestone 6</v>
      </c>
      <c r="C331" t="str">
        <f>TRIM('SOW, Feedbacks-Bug &amp; CR_Items'!F331)</f>
        <v>Delivered</v>
      </c>
      <c r="D331" t="str">
        <f>IFERROR(VLOOKUP(C331,Config!$A:$B,2,0),"Unknown")</f>
        <v>Delivered</v>
      </c>
      <c r="E331" t="str">
        <f>IFERROR(VLOOKUP(C331,Config!$A:$C,3,0),"N/A")</f>
        <v>Delivered</v>
      </c>
      <c r="F331">
        <f>IF('SOW, Feedbacks-Bug &amp; CR_Items'!H331="","",'SOW, Feedbacks-Bug &amp; CR_Items'!H331)</f>
        <v>46216</v>
      </c>
    </row>
    <row r="332" spans="1:6">
      <c r="A332" t="str">
        <f>'SOW, Feedbacks-Bug &amp; CR_Items'!D332</f>
        <v>iWork - CR</v>
      </c>
      <c r="B332" t="str">
        <f>'SOW, Feedbacks-Bug &amp; CR_Items'!E332</f>
        <v>Milestone 6</v>
      </c>
      <c r="C332" t="str">
        <f>TRIM('SOW, Feedbacks-Bug &amp; CR_Items'!F332)</f>
        <v>Delivered</v>
      </c>
      <c r="D332" t="str">
        <f>IFERROR(VLOOKUP(C332,Config!$A:$B,2,0),"Unknown")</f>
        <v>Delivered</v>
      </c>
      <c r="E332" t="str">
        <f>IFERROR(VLOOKUP(C332,Config!$A:$C,3,0),"N/A")</f>
        <v>Delivered</v>
      </c>
      <c r="F332">
        <f>IF('SOW, Feedbacks-Bug &amp; CR_Items'!H332="","",'SOW, Feedbacks-Bug &amp; CR_Items'!H332)</f>
        <v>46216</v>
      </c>
    </row>
    <row r="333" spans="1:6">
      <c r="A333" t="str">
        <f>'SOW, Feedbacks-Bug &amp; CR_Items'!D333</f>
        <v>iWork</v>
      </c>
      <c r="B333" t="str">
        <f>'SOW, Feedbacks-Bug &amp; CR_Items'!E333</f>
        <v>Milestone 6</v>
      </c>
      <c r="C333" t="str">
        <f>TRIM('SOW, Feedbacks-Bug &amp; CR_Items'!F333)</f>
        <v>Delivered</v>
      </c>
      <c r="D333" t="str">
        <f>IFERROR(VLOOKUP(C333,Config!$A:$B,2,0),"Unknown")</f>
        <v>Delivered</v>
      </c>
      <c r="E333" t="str">
        <f>IFERROR(VLOOKUP(C333,Config!$A:$C,3,0),"N/A")</f>
        <v>Delivered</v>
      </c>
      <c r="F333">
        <f>IF('SOW, Feedbacks-Bug &amp; CR_Items'!H333="","",'SOW, Feedbacks-Bug &amp; CR_Items'!H333)</f>
        <v>46217</v>
      </c>
    </row>
    <row r="334" spans="1:6">
      <c r="A334" t="str">
        <f>'SOW, Feedbacks-Bug &amp; CR_Items'!D334</f>
        <v>iWork</v>
      </c>
      <c r="B334" t="str">
        <f>'SOW, Feedbacks-Bug &amp; CR_Items'!E334</f>
        <v>Milestone 6</v>
      </c>
      <c r="C334" t="str">
        <f>TRIM('SOW, Feedbacks-Bug &amp; CR_Items'!F334)</f>
        <v>Delivered</v>
      </c>
      <c r="D334" t="str">
        <f>IFERROR(VLOOKUP(C334,Config!$A:$B,2,0),"Unknown")</f>
        <v>Delivered</v>
      </c>
      <c r="E334" t="str">
        <f>IFERROR(VLOOKUP(C334,Config!$A:$C,3,0),"N/A")</f>
        <v>Delivered</v>
      </c>
      <c r="F334">
        <f>IF('SOW, Feedbacks-Bug &amp; CR_Items'!H334="","",'SOW, Feedbacks-Bug &amp; CR_Items'!H334)</f>
        <v>46223</v>
      </c>
    </row>
    <row r="335" spans="1:6">
      <c r="A335" t="str">
        <f>'SOW, Feedbacks-Bug &amp; CR_Items'!D335</f>
        <v>iWork</v>
      </c>
      <c r="B335" t="str">
        <f>'SOW, Feedbacks-Bug &amp; CR_Items'!E335</f>
        <v>Milestone 6</v>
      </c>
      <c r="C335" t="str">
        <f>TRIM('SOW, Feedbacks-Bug &amp; CR_Items'!F335)</f>
        <v>Delivered</v>
      </c>
      <c r="D335" t="str">
        <f>IFERROR(VLOOKUP(C335,Config!$A:$B,2,0),"Unknown")</f>
        <v>Delivered</v>
      </c>
      <c r="E335" t="str">
        <f>IFERROR(VLOOKUP(C335,Config!$A:$C,3,0),"N/A")</f>
        <v>Delivered</v>
      </c>
      <c r="F335">
        <f>IF('SOW, Feedbacks-Bug &amp; CR_Items'!H335="","",'SOW, Feedbacks-Bug &amp; CR_Items'!H335)</f>
        <v>46223</v>
      </c>
    </row>
    <row r="336" spans="1:6">
      <c r="A336" t="str">
        <f>'SOW, Feedbacks-Bug &amp; CR_Items'!D336</f>
        <v>iWork</v>
      </c>
      <c r="B336" t="str">
        <f>'SOW, Feedbacks-Bug &amp; CR_Items'!E336</f>
        <v>Milestone 6</v>
      </c>
      <c r="C336" t="str">
        <f>TRIM('SOW, Feedbacks-Bug &amp; CR_Items'!F336)</f>
        <v>Delivered</v>
      </c>
      <c r="D336" t="str">
        <f>IFERROR(VLOOKUP(C336,Config!$A:$B,2,0),"Unknown")</f>
        <v>Delivered</v>
      </c>
      <c r="E336" t="str">
        <f>IFERROR(VLOOKUP(C336,Config!$A:$C,3,0),"N/A")</f>
        <v>Delivered</v>
      </c>
      <c r="F336">
        <f>IF('SOW, Feedbacks-Bug &amp; CR_Items'!H336="","",'SOW, Feedbacks-Bug &amp; CR_Items'!H336)</f>
        <v>46223</v>
      </c>
    </row>
    <row r="337" spans="1:6">
      <c r="A337" t="str">
        <f>'SOW, Feedbacks-Bug &amp; CR_Items'!D337</f>
        <v>iWork</v>
      </c>
      <c r="B337" t="str">
        <f>'SOW, Feedbacks-Bug &amp; CR_Items'!E337</f>
        <v>Milestone 6</v>
      </c>
      <c r="C337" t="str">
        <f>TRIM('SOW, Feedbacks-Bug &amp; CR_Items'!F337)</f>
        <v>Delivered</v>
      </c>
      <c r="D337" t="str">
        <f>IFERROR(VLOOKUP(C337,Config!$A:$B,2,0),"Unknown")</f>
        <v>Delivered</v>
      </c>
      <c r="E337" t="str">
        <f>IFERROR(VLOOKUP(C337,Config!$A:$C,3,0),"N/A")</f>
        <v>Delivered</v>
      </c>
      <c r="F337">
        <f>IF('SOW, Feedbacks-Bug &amp; CR_Items'!H337="","",'SOW, Feedbacks-Bug &amp; CR_Items'!H337)</f>
        <v>46223</v>
      </c>
    </row>
    <row r="338" spans="1:6">
      <c r="A338" t="str">
        <f>'SOW, Feedbacks-Bug &amp; CR_Items'!D338</f>
        <v>iWork</v>
      </c>
      <c r="B338" t="str">
        <f>'SOW, Feedbacks-Bug &amp; CR_Items'!E338</f>
        <v>Milestone 6</v>
      </c>
      <c r="C338" t="str">
        <f>TRIM('SOW, Feedbacks-Bug &amp; CR_Items'!F338)</f>
        <v>Delivered</v>
      </c>
      <c r="D338" t="str">
        <f>IFERROR(VLOOKUP(C338,Config!$A:$B,2,0),"Unknown")</f>
        <v>Delivered</v>
      </c>
      <c r="E338" t="str">
        <f>IFERROR(VLOOKUP(C338,Config!$A:$C,3,0),"N/A")</f>
        <v>Delivered</v>
      </c>
      <c r="F338">
        <f>IF('SOW, Feedbacks-Bug &amp; CR_Items'!H338="","",'SOW, Feedbacks-Bug &amp; CR_Items'!H338)</f>
        <v>46223</v>
      </c>
    </row>
    <row r="339" spans="1:6">
      <c r="A339" t="str">
        <f>'SOW, Feedbacks-Bug &amp; CR_Items'!D339</f>
        <v>iWork</v>
      </c>
      <c r="B339" t="str">
        <f>'SOW, Feedbacks-Bug &amp; CR_Items'!E339</f>
        <v>Milestone 6</v>
      </c>
      <c r="C339" t="str">
        <f>TRIM('SOW, Feedbacks-Bug &amp; CR_Items'!F339)</f>
        <v>Delivered</v>
      </c>
      <c r="D339" t="str">
        <f>IFERROR(VLOOKUP(C339,Config!$A:$B,2,0),"Unknown")</f>
        <v>Delivered</v>
      </c>
      <c r="E339" t="str">
        <f>IFERROR(VLOOKUP(C339,Config!$A:$C,3,0),"N/A")</f>
        <v>Delivered</v>
      </c>
      <c r="F339">
        <f>IF('SOW, Feedbacks-Bug &amp; CR_Items'!H339="","",'SOW, Feedbacks-Bug &amp; CR_Items'!H339)</f>
        <v>46223</v>
      </c>
    </row>
    <row r="340" spans="1:6">
      <c r="A340" t="str">
        <f>'SOW, Feedbacks-Bug &amp; CR_Items'!D340</f>
        <v>iWork</v>
      </c>
      <c r="B340" t="str">
        <f>'SOW, Feedbacks-Bug &amp; CR_Items'!E340</f>
        <v>Milestone 6</v>
      </c>
      <c r="C340" t="str">
        <f>TRIM('SOW, Feedbacks-Bug &amp; CR_Items'!F340)</f>
        <v>Delivered</v>
      </c>
      <c r="D340" t="str">
        <f>IFERROR(VLOOKUP(C340,Config!$A:$B,2,0),"Unknown")</f>
        <v>Delivered</v>
      </c>
      <c r="E340" t="str">
        <f>IFERROR(VLOOKUP(C340,Config!$A:$C,3,0),"N/A")</f>
        <v>Delivered</v>
      </c>
      <c r="F340">
        <f>IF('SOW, Feedbacks-Bug &amp; CR_Items'!H340="","",'SOW, Feedbacks-Bug &amp; CR_Items'!H340)</f>
        <v>46223</v>
      </c>
    </row>
    <row r="341" spans="1:6">
      <c r="A341" t="str">
        <f>'SOW, Feedbacks-Bug &amp; CR_Items'!D341</f>
        <v>iWork</v>
      </c>
      <c r="B341" t="str">
        <f>'SOW, Feedbacks-Bug &amp; CR_Items'!E341</f>
        <v>Milestone 6</v>
      </c>
      <c r="C341" t="str">
        <f>TRIM('SOW, Feedbacks-Bug &amp; CR_Items'!F341)</f>
        <v>Delivered</v>
      </c>
      <c r="D341" t="str">
        <f>IFERROR(VLOOKUP(C341,Config!$A:$B,2,0),"Unknown")</f>
        <v>Delivered</v>
      </c>
      <c r="E341" t="str">
        <f>IFERROR(VLOOKUP(C341,Config!$A:$C,3,0),"N/A")</f>
        <v>Delivered</v>
      </c>
      <c r="F341">
        <f>IF('SOW, Feedbacks-Bug &amp; CR_Items'!H341="","",'SOW, Feedbacks-Bug &amp; CR_Items'!H341)</f>
        <v>46224</v>
      </c>
    </row>
    <row r="342" spans="1:6">
      <c r="A342" t="str">
        <f>'SOW, Feedbacks-Bug &amp; CR_Items'!D342</f>
        <v>iWork</v>
      </c>
      <c r="B342" t="str">
        <f>'SOW, Feedbacks-Bug &amp; CR_Items'!E342</f>
        <v>Milestone 6</v>
      </c>
      <c r="C342" t="str">
        <f>TRIM('SOW, Feedbacks-Bug &amp; CR_Items'!F342)</f>
        <v>Delivered</v>
      </c>
      <c r="D342" t="str">
        <f>IFERROR(VLOOKUP(C342,Config!$A:$B,2,0),"Unknown")</f>
        <v>Delivered</v>
      </c>
      <c r="E342" t="str">
        <f>IFERROR(VLOOKUP(C342,Config!$A:$C,3,0),"N/A")</f>
        <v>Delivered</v>
      </c>
      <c r="F342">
        <f>IF('SOW, Feedbacks-Bug &amp; CR_Items'!H342="","",'SOW, Feedbacks-Bug &amp; CR_Items'!H342)</f>
        <v>46224</v>
      </c>
    </row>
    <row r="343" spans="1:6">
      <c r="A343" t="str">
        <f>'SOW, Feedbacks-Bug &amp; CR_Items'!D343</f>
        <v>iWork</v>
      </c>
      <c r="B343" t="str">
        <f>'SOW, Feedbacks-Bug &amp; CR_Items'!E343</f>
        <v>Milestone 6</v>
      </c>
      <c r="C343" t="str">
        <f>TRIM('SOW, Feedbacks-Bug &amp; CR_Items'!F343)</f>
        <v>Delivered</v>
      </c>
      <c r="D343" t="str">
        <f>IFERROR(VLOOKUP(C343,Config!$A:$B,2,0),"Unknown")</f>
        <v>Delivered</v>
      </c>
      <c r="E343" t="str">
        <f>IFERROR(VLOOKUP(C343,Config!$A:$C,3,0),"N/A")</f>
        <v>Delivered</v>
      </c>
      <c r="F343">
        <f>IF('SOW, Feedbacks-Bug &amp; CR_Items'!H343="","",'SOW, Feedbacks-Bug &amp; CR_Items'!H343)</f>
        <v>46226</v>
      </c>
    </row>
    <row r="344" spans="1:6">
      <c r="A344" t="str">
        <f>'SOW, Feedbacks-Bug &amp; CR_Items'!D344</f>
        <v>iWork</v>
      </c>
      <c r="B344" t="str">
        <f>'SOW, Feedbacks-Bug &amp; CR_Items'!E344</f>
        <v>Milestone 6</v>
      </c>
      <c r="C344" t="str">
        <f>TRIM('SOW, Feedbacks-Bug &amp; CR_Items'!F344)</f>
        <v>Delivered</v>
      </c>
      <c r="D344" t="str">
        <f>IFERROR(VLOOKUP(C344,Config!$A:$B,2,0),"Unknown")</f>
        <v>Delivered</v>
      </c>
      <c r="E344" t="str">
        <f>IFERROR(VLOOKUP(C344,Config!$A:$C,3,0),"N/A")</f>
        <v>Delivered</v>
      </c>
      <c r="F344">
        <f>IF('SOW, Feedbacks-Bug &amp; CR_Items'!H344="","",'SOW, Feedbacks-Bug &amp; CR_Items'!H344)</f>
        <v>46226</v>
      </c>
    </row>
    <row r="345" spans="1:6">
      <c r="A345" t="str">
        <f>'SOW, Feedbacks-Bug &amp; CR_Items'!D345</f>
        <v>iWork</v>
      </c>
      <c r="B345" t="str">
        <f>'SOW, Feedbacks-Bug &amp; CR_Items'!E345</f>
        <v>Milestone 6</v>
      </c>
      <c r="C345" t="str">
        <f>TRIM('SOW, Feedbacks-Bug &amp; CR_Items'!F345)</f>
        <v>Delivered</v>
      </c>
      <c r="D345" t="str">
        <f>IFERROR(VLOOKUP(C345,Config!$A:$B,2,0),"Unknown")</f>
        <v>Delivered</v>
      </c>
      <c r="E345" t="str">
        <f>IFERROR(VLOOKUP(C345,Config!$A:$C,3,0),"N/A")</f>
        <v>Delivered</v>
      </c>
      <c r="F345">
        <f>IF('SOW, Feedbacks-Bug &amp; CR_Items'!H345="","",'SOW, Feedbacks-Bug &amp; CR_Items'!H345)</f>
        <v>46226</v>
      </c>
    </row>
    <row r="346" spans="1:6">
      <c r="A346" t="str">
        <f>'SOW, Feedbacks-Bug &amp; CR_Items'!D346</f>
        <v>iWork</v>
      </c>
      <c r="B346" t="str">
        <f>'SOW, Feedbacks-Bug &amp; CR_Items'!E346</f>
        <v>Milestone 6</v>
      </c>
      <c r="C346" t="str">
        <f>TRIM('SOW, Feedbacks-Bug &amp; CR_Items'!F346)</f>
        <v>Delivered</v>
      </c>
      <c r="D346" t="str">
        <f>IFERROR(VLOOKUP(C346,Config!$A:$B,2,0),"Unknown")</f>
        <v>Delivered</v>
      </c>
      <c r="E346" t="str">
        <f>IFERROR(VLOOKUP(C346,Config!$A:$C,3,0),"N/A")</f>
        <v>Delivered</v>
      </c>
      <c r="F346">
        <f>IF('SOW, Feedbacks-Bug &amp; CR_Items'!H346="","",'SOW, Feedbacks-Bug &amp; CR_Items'!H346)</f>
        <v>46227</v>
      </c>
    </row>
    <row r="347" spans="1:6">
      <c r="A347" t="str">
        <f>'SOW, Feedbacks-Bug &amp; CR_Items'!D347</f>
        <v>iWork</v>
      </c>
      <c r="B347" t="str">
        <f>'SOW, Feedbacks-Bug &amp; CR_Items'!E347</f>
        <v>Milestone 6</v>
      </c>
      <c r="C347" t="str">
        <f>TRIM('SOW, Feedbacks-Bug &amp; CR_Items'!F347)</f>
        <v>Delivered</v>
      </c>
      <c r="D347" t="str">
        <f>IFERROR(VLOOKUP(C347,Config!$A:$B,2,0),"Unknown")</f>
        <v>Delivered</v>
      </c>
      <c r="E347" t="str">
        <f>IFERROR(VLOOKUP(C347,Config!$A:$C,3,0),"N/A")</f>
        <v>Delivered</v>
      </c>
      <c r="F347">
        <f>IF('SOW, Feedbacks-Bug &amp; CR_Items'!H347="","",'SOW, Feedbacks-Bug &amp; CR_Items'!H347)</f>
        <v>46227</v>
      </c>
    </row>
    <row r="348" spans="1:6">
      <c r="A348" t="str">
        <f>'SOW, Feedbacks-Bug &amp; CR_Items'!D348</f>
        <v>IBP/iWork</v>
      </c>
      <c r="B348" t="str">
        <f>'SOW, Feedbacks-Bug &amp; CR_Items'!E348</f>
        <v>Milestone 6</v>
      </c>
      <c r="C348" t="str">
        <f>TRIM('SOW, Feedbacks-Bug &amp; CR_Items'!F348)</f>
        <v>Pre-PROD</v>
      </c>
      <c r="D348" t="str">
        <f>IFERROR(VLOOKUP(C348,Config!$A:$B,2,0),"Unknown")</f>
        <v>Pre-PROD / UAT</v>
      </c>
      <c r="E348" t="str">
        <f>IFERROR(VLOOKUP(C348,Config!$A:$C,3,0),"N/A")</f>
        <v>Pending</v>
      </c>
      <c r="F348">
        <f>IF('SOW, Feedbacks-Bug &amp; CR_Items'!H348="","",'SOW, Feedbacks-Bug &amp; CR_Items'!H348)</f>
        <v>46228</v>
      </c>
    </row>
    <row r="349" spans="1:6">
      <c r="A349" t="str">
        <f>'SOW, Feedbacks-Bug &amp; CR_Items'!D349</f>
        <v>iWork</v>
      </c>
      <c r="B349" t="str">
        <f>'SOW, Feedbacks-Bug &amp; CR_Items'!E349</f>
        <v>Milestone 6</v>
      </c>
      <c r="C349" t="str">
        <f>TRIM('SOW, Feedbacks-Bug &amp; CR_Items'!F349)</f>
        <v>Yet to start</v>
      </c>
      <c r="D349" t="str">
        <f>IFERROR(VLOOKUP(C349,Config!$A:$B,2,0),"Unknown")</f>
        <v>Not Started</v>
      </c>
      <c r="E349" t="str">
        <f>IFERROR(VLOOKUP(C349,Config!$A:$C,3,0),"N/A")</f>
        <v>Pending</v>
      </c>
      <c r="F349">
        <f>IF('SOW, Feedbacks-Bug &amp; CR_Items'!H349="","",'SOW, Feedbacks-Bug &amp; CR_Items'!H349)</f>
        <v>46228</v>
      </c>
    </row>
    <row r="350" spans="1:6">
      <c r="A350" t="str">
        <f>'SOW, Feedbacks-Bug &amp; CR_Items'!D350</f>
        <v>iWork</v>
      </c>
      <c r="B350" t="str">
        <f>'SOW, Feedbacks-Bug &amp; CR_Items'!E350</f>
        <v>Milestone 6</v>
      </c>
      <c r="C350" t="str">
        <f>TRIM('SOW, Feedbacks-Bug &amp; CR_Items'!F350)</f>
        <v>Pre-PROD</v>
      </c>
      <c r="D350" t="str">
        <f>IFERROR(VLOOKUP(C350,Config!$A:$B,2,0),"Unknown")</f>
        <v>Pre-PROD / UAT</v>
      </c>
      <c r="E350" t="str">
        <f>IFERROR(VLOOKUP(C350,Config!$A:$C,3,0),"N/A")</f>
        <v>Pending</v>
      </c>
      <c r="F350">
        <f>IF('SOW, Feedbacks-Bug &amp; CR_Items'!H350="","",'SOW, Feedbacks-Bug &amp; CR_Items'!H350)</f>
        <v>46230</v>
      </c>
    </row>
    <row r="351" spans="1:6">
      <c r="A351" t="str">
        <f>'SOW, Feedbacks-Bug &amp; CR_Items'!D351</f>
        <v>IBP/iWork</v>
      </c>
      <c r="B351" t="str">
        <f>'SOW, Feedbacks-Bug &amp; CR_Items'!E351</f>
        <v>Milestone 6</v>
      </c>
      <c r="C351" t="str">
        <f>TRIM('SOW, Feedbacks-Bug &amp; CR_Items'!F351)</f>
        <v>Delivered</v>
      </c>
      <c r="D351" t="str">
        <f>IFERROR(VLOOKUP(C351,Config!$A:$B,2,0),"Unknown")</f>
        <v>Delivered</v>
      </c>
      <c r="E351" t="str">
        <f>IFERROR(VLOOKUP(C351,Config!$A:$C,3,0),"N/A")</f>
        <v>Delivered</v>
      </c>
      <c r="F351">
        <f>IF('SOW, Feedbacks-Bug &amp; CR_Items'!H351="","",'SOW, Feedbacks-Bug &amp; CR_Items'!H351)</f>
        <v>46230</v>
      </c>
    </row>
    <row r="352" spans="1:6">
      <c r="A352" t="str">
        <f>'SOW, Feedbacks-Bug &amp; CR_Items'!D352</f>
        <v>iWork - CR</v>
      </c>
      <c r="B352" t="str">
        <f>'SOW, Feedbacks-Bug &amp; CR_Items'!E352</f>
        <v>Milestone 6</v>
      </c>
      <c r="C352" t="str">
        <f>TRIM('SOW, Feedbacks-Bug &amp; CR_Items'!F352)</f>
        <v>Delivered</v>
      </c>
      <c r="D352" t="str">
        <f>IFERROR(VLOOKUP(C352,Config!$A:$B,2,0),"Unknown")</f>
        <v>Delivered</v>
      </c>
      <c r="E352" t="str">
        <f>IFERROR(VLOOKUP(C352,Config!$A:$C,3,0),"N/A")</f>
        <v>Delivered</v>
      </c>
      <c r="F352">
        <f>IF('SOW, Feedbacks-Bug &amp; CR_Items'!H352="","",'SOW, Feedbacks-Bug &amp; CR_Items'!H352)</f>
        <v>46230</v>
      </c>
    </row>
    <row r="353" spans="1:6">
      <c r="A353" t="str">
        <f>'SOW, Feedbacks-Bug &amp; CR_Items'!D353</f>
        <v>IBP/iWork - CR</v>
      </c>
      <c r="B353" t="str">
        <f>'SOW, Feedbacks-Bug &amp; CR_Items'!E353</f>
        <v>Milestone 6</v>
      </c>
      <c r="C353" t="str">
        <f>TRIM('SOW, Feedbacks-Bug &amp; CR_Items'!F353)</f>
        <v>Yet to start</v>
      </c>
      <c r="D353" t="str">
        <f>IFERROR(VLOOKUP(C353,Config!$A:$B,2,0),"Unknown")</f>
        <v>Not Started</v>
      </c>
      <c r="E353" t="str">
        <f>IFERROR(VLOOKUP(C353,Config!$A:$C,3,0),"N/A")</f>
        <v>Pending</v>
      </c>
      <c r="F353">
        <f>IF('SOW, Feedbacks-Bug &amp; CR_Items'!H353="","",'SOW, Feedbacks-Bug &amp; CR_Items'!H353)</f>
        <v>46237</v>
      </c>
    </row>
    <row r="354" spans="1:6">
      <c r="A354" t="str">
        <f>'SOW, Feedbacks-Bug &amp; CR_Items'!D354</f>
        <v>IBP/iWork</v>
      </c>
      <c r="B354" t="str">
        <f>'SOW, Feedbacks-Bug &amp; CR_Items'!E354</f>
        <v>Milestone 6</v>
      </c>
      <c r="C354" t="str">
        <f>TRIM('SOW, Feedbacks-Bug &amp; CR_Items'!F354)</f>
        <v>Yet to start</v>
      </c>
      <c r="D354" t="str">
        <f>IFERROR(VLOOKUP(C354,Config!$A:$B,2,0),"Unknown")</f>
        <v>Not Started</v>
      </c>
      <c r="E354" t="str">
        <f>IFERROR(VLOOKUP(C354,Config!$A:$C,3,0),"N/A")</f>
        <v>Pending</v>
      </c>
      <c r="F354">
        <f>IF('SOW, Feedbacks-Bug &amp; CR_Items'!H354="","",'SOW, Feedbacks-Bug &amp; CR_Items'!H354)</f>
        <v>46204</v>
      </c>
    </row>
    <row r="355" spans="1:6">
      <c r="A355" t="str">
        <f>'SOW, Feedbacks-Bug &amp; CR_Items'!D355</f>
        <v>IBP/iWork</v>
      </c>
      <c r="B355" t="str">
        <f>'SOW, Feedbacks-Bug &amp; CR_Items'!E355</f>
        <v>Milestone 6</v>
      </c>
      <c r="C355" t="str">
        <f>TRIM('SOW, Feedbacks-Bug &amp; CR_Items'!F355)</f>
        <v>Yet to start</v>
      </c>
      <c r="D355" t="str">
        <f>IFERROR(VLOOKUP(C355,Config!$A:$B,2,0),"Unknown")</f>
        <v>Not Started</v>
      </c>
      <c r="E355" t="str">
        <f>IFERROR(VLOOKUP(C355,Config!$A:$C,3,0),"N/A")</f>
        <v>Pending</v>
      </c>
      <c r="F355">
        <f>IF('SOW, Feedbacks-Bug &amp; CR_Items'!H355="","",'SOW, Feedbacks-Bug &amp; CR_Items'!H355)</f>
        <v>46217</v>
      </c>
    </row>
    <row r="356" spans="1:6">
      <c r="A356" t="str">
        <f>'SOW, Feedbacks-Bug &amp; CR_Items'!D356</f>
        <v>iWork</v>
      </c>
      <c r="B356" t="str">
        <f>'SOW, Feedbacks-Bug &amp; CR_Items'!E356</f>
        <v>Milestone 6</v>
      </c>
      <c r="C356" t="str">
        <f>TRIM('SOW, Feedbacks-Bug &amp; CR_Items'!F356)</f>
        <v>Yet to start</v>
      </c>
      <c r="D356" t="str">
        <f>IFERROR(VLOOKUP(C356,Config!$A:$B,2,0),"Unknown")</f>
        <v>Not Started</v>
      </c>
      <c r="E356" t="str">
        <f>IFERROR(VLOOKUP(C356,Config!$A:$C,3,0),"N/A")</f>
        <v>Pending</v>
      </c>
      <c r="F356">
        <f>IF('SOW, Feedbacks-Bug &amp; CR_Items'!H356="","",'SOW, Feedbacks-Bug &amp; CR_Items'!H356)</f>
        <v>46240</v>
      </c>
    </row>
    <row r="357" spans="1:6">
      <c r="A357" t="str">
        <f>'SOW, Feedbacks-Bug &amp; CR_Items'!D357</f>
        <v>iWork</v>
      </c>
      <c r="B357" t="str">
        <f>'SOW, Feedbacks-Bug &amp; CR_Items'!E357</f>
        <v>Milestone 6</v>
      </c>
      <c r="C357" t="str">
        <f>TRIM('SOW, Feedbacks-Bug &amp; CR_Items'!F357)</f>
        <v>Yet to start</v>
      </c>
      <c r="D357" t="str">
        <f>IFERROR(VLOOKUP(C357,Config!$A:$B,2,0),"Unknown")</f>
        <v>Not Started</v>
      </c>
      <c r="E357" t="str">
        <f>IFERROR(VLOOKUP(C357,Config!$A:$C,3,0),"N/A")</f>
        <v>Pending</v>
      </c>
      <c r="F357">
        <f>IF('SOW, Feedbacks-Bug &amp; CR_Items'!H357="","",'SOW, Feedbacks-Bug &amp; CR_Items'!H357)</f>
        <v>46240</v>
      </c>
    </row>
    <row r="358" spans="1:6">
      <c r="A358" t="str">
        <f>'SOW, Feedbacks-Bug &amp; CR_Items'!D358</f>
        <v>iWork</v>
      </c>
      <c r="B358" t="str">
        <f>'SOW, Feedbacks-Bug &amp; CR_Items'!E358</f>
        <v>Milestone 6</v>
      </c>
      <c r="C358" t="str">
        <f>TRIM('SOW, Feedbacks-Bug &amp; CR_Items'!F358)</f>
        <v>QA - WIP</v>
      </c>
      <c r="D358" t="str">
        <f>IFERROR(VLOOKUP(C358,Config!$A:$B,2,0),"Unknown")</f>
        <v>In QA</v>
      </c>
      <c r="E358" t="str">
        <f>IFERROR(VLOOKUP(C358,Config!$A:$C,3,0),"N/A")</f>
        <v>Pending</v>
      </c>
      <c r="F358">
        <f>IF('SOW, Feedbacks-Bug &amp; CR_Items'!H358="","",'SOW, Feedbacks-Bug &amp; CR_Items'!H358)</f>
        <v>46240</v>
      </c>
    </row>
    <row r="359" spans="1:6">
      <c r="A359" t="str">
        <f>'SOW, Feedbacks-Bug &amp; CR_Items'!D359</f>
        <v>iWork</v>
      </c>
      <c r="B359" t="str">
        <f>'SOW, Feedbacks-Bug &amp; CR_Items'!E359</f>
        <v>Milestone 6</v>
      </c>
      <c r="C359" t="str">
        <f>TRIM('SOW, Feedbacks-Bug &amp; CR_Items'!F359)</f>
        <v>Delivered</v>
      </c>
      <c r="D359" t="str">
        <f>IFERROR(VLOOKUP(C359,Config!$A:$B,2,0),"Unknown")</f>
        <v>Delivered</v>
      </c>
      <c r="E359" t="str">
        <f>IFERROR(VLOOKUP(C359,Config!$A:$C,3,0),"N/A")</f>
        <v>Delivered</v>
      </c>
      <c r="F359">
        <f>IF('SOW, Feedbacks-Bug &amp; CR_Items'!H359="","",'SOW, Feedbacks-Bug &amp; CR_Items'!H359)</f>
        <v>46240</v>
      </c>
    </row>
    <row r="360" spans="1:6">
      <c r="A360" t="str">
        <f>'SOW, Feedbacks-Bug &amp; CR_Items'!D360</f>
        <v>iWork</v>
      </c>
      <c r="B360" t="str">
        <f>'SOW, Feedbacks-Bug &amp; CR_Items'!E360</f>
        <v>Milestone 6</v>
      </c>
      <c r="C360" t="str">
        <f>TRIM('SOW, Feedbacks-Bug &amp; CR_Items'!F360)</f>
        <v>Yet to start</v>
      </c>
      <c r="D360" t="str">
        <f>IFERROR(VLOOKUP(C360,Config!$A:$B,2,0),"Unknown")</f>
        <v>Not Started</v>
      </c>
      <c r="E360" t="str">
        <f>IFERROR(VLOOKUP(C360,Config!$A:$C,3,0),"N/A")</f>
        <v>Pending</v>
      </c>
      <c r="F360">
        <f>IF('SOW, Feedbacks-Bug &amp; CR_Items'!H360="","",'SOW, Feedbacks-Bug &amp; CR_Items'!H360)</f>
        <v>46240</v>
      </c>
    </row>
    <row r="361" spans="1:6">
      <c r="A361" t="str">
        <f>'SOW, Feedbacks-Bug &amp; CR_Items'!D361</f>
        <v>iWork</v>
      </c>
      <c r="B361" t="str">
        <f>'SOW, Feedbacks-Bug &amp; CR_Items'!E361</f>
        <v>Milestone 6</v>
      </c>
      <c r="C361" t="str">
        <f>TRIM('SOW, Feedbacks-Bug &amp; CR_Items'!F361)</f>
        <v>QA - WIP</v>
      </c>
      <c r="D361" t="str">
        <f>IFERROR(VLOOKUP(C361,Config!$A:$B,2,0),"Unknown")</f>
        <v>In QA</v>
      </c>
      <c r="E361" t="str">
        <f>IFERROR(VLOOKUP(C361,Config!$A:$C,3,0),"N/A")</f>
        <v>Pending</v>
      </c>
      <c r="F361">
        <f>IF('SOW, Feedbacks-Bug &amp; CR_Items'!H361="","",'SOW, Feedbacks-Bug &amp; CR_Items'!H361)</f>
        <v>46240</v>
      </c>
    </row>
    <row r="362" spans="1:6">
      <c r="A362" t="str">
        <f>'SOW, Feedbacks-Bug &amp; CR_Items'!D362</f>
        <v>iWork</v>
      </c>
      <c r="B362" t="str">
        <f>'SOW, Feedbacks-Bug &amp; CR_Items'!E362</f>
        <v>Milestone 6</v>
      </c>
      <c r="C362" t="str">
        <f>TRIM('SOW, Feedbacks-Bug &amp; CR_Items'!F362)</f>
        <v>QA - WIP</v>
      </c>
      <c r="D362" t="str">
        <f>IFERROR(VLOOKUP(C362,Config!$A:$B,2,0),"Unknown")</f>
        <v>In QA</v>
      </c>
      <c r="E362" t="str">
        <f>IFERROR(VLOOKUP(C362,Config!$A:$C,3,0),"N/A")</f>
        <v>Pending</v>
      </c>
      <c r="F362">
        <f>IF('SOW, Feedbacks-Bug &amp; CR_Items'!H362="","",'SOW, Feedbacks-Bug &amp; CR_Items'!H362)</f>
        <v>46240</v>
      </c>
    </row>
    <row r="363" spans="1:6">
      <c r="A363" t="str">
        <f>'SOW, Feedbacks-Bug &amp; CR_Items'!D363</f>
        <v>iWork</v>
      </c>
      <c r="B363" t="str">
        <f>'SOW, Feedbacks-Bug &amp; CR_Items'!E363</f>
        <v>Milestone 6</v>
      </c>
      <c r="C363" t="str">
        <f>TRIM('SOW, Feedbacks-Bug &amp; CR_Items'!F363)</f>
        <v>Yet to start</v>
      </c>
      <c r="D363" t="str">
        <f>IFERROR(VLOOKUP(C363,Config!$A:$B,2,0),"Unknown")</f>
        <v>Not Started</v>
      </c>
      <c r="E363" t="str">
        <f>IFERROR(VLOOKUP(C363,Config!$A:$C,3,0),"N/A")</f>
        <v>Pending</v>
      </c>
      <c r="F363">
        <f>IF('SOW, Feedbacks-Bug &amp; CR_Items'!H363="","",'SOW, Feedbacks-Bug &amp; CR_Items'!H363)</f>
        <v>46240</v>
      </c>
    </row>
    <row r="364" spans="1:6">
      <c r="A364" t="str">
        <f>'SOW, Feedbacks-Bug &amp; CR_Items'!D364</f>
        <v>iWork</v>
      </c>
      <c r="B364" t="str">
        <f>'SOW, Feedbacks-Bug &amp; CR_Items'!E364</f>
        <v>Milestone 6</v>
      </c>
      <c r="C364" t="str">
        <f>TRIM('SOW, Feedbacks-Bug &amp; CR_Items'!F364)</f>
        <v>Yet to start</v>
      </c>
      <c r="D364" t="str">
        <f>IFERROR(VLOOKUP(C364,Config!$A:$B,2,0),"Unknown")</f>
        <v>Not Started</v>
      </c>
      <c r="E364" t="str">
        <f>IFERROR(VLOOKUP(C364,Config!$A:$C,3,0),"N/A")</f>
        <v>Pending</v>
      </c>
      <c r="F364">
        <f>IF('SOW, Feedbacks-Bug &amp; CR_Items'!H364="","",'SOW, Feedbacks-Bug &amp; CR_Items'!H364)</f>
        <v>46240</v>
      </c>
    </row>
    <row r="365" spans="1:6">
      <c r="A365" t="str">
        <f>'SOW, Feedbacks-Bug &amp; CR_Items'!D365</f>
        <v>iWork</v>
      </c>
      <c r="B365" t="str">
        <f>'SOW, Feedbacks-Bug &amp; CR_Items'!E365</f>
        <v>Milestone 6</v>
      </c>
      <c r="C365" t="str">
        <f>TRIM('SOW, Feedbacks-Bug &amp; CR_Items'!F365)</f>
        <v>Yet to start</v>
      </c>
      <c r="D365" t="str">
        <f>IFERROR(VLOOKUP(C365,Config!$A:$B,2,0),"Unknown")</f>
        <v>Not Started</v>
      </c>
      <c r="E365" t="str">
        <f>IFERROR(VLOOKUP(C365,Config!$A:$C,3,0),"N/A")</f>
        <v>Pending</v>
      </c>
      <c r="F365">
        <f>IF('SOW, Feedbacks-Bug &amp; CR_Items'!H365="","",'SOW, Feedbacks-Bug &amp; CR_Items'!H365)</f>
        <v>46240</v>
      </c>
    </row>
    <row r="366" spans="1:6">
      <c r="A366" t="str">
        <f>'SOW, Feedbacks-Bug &amp; CR_Items'!D366</f>
        <v>iWork</v>
      </c>
      <c r="B366" t="str">
        <f>'SOW, Feedbacks-Bug &amp; CR_Items'!E366</f>
        <v>Milestone 6</v>
      </c>
      <c r="C366" t="str">
        <f>TRIM('SOW, Feedbacks-Bug &amp; CR_Items'!F366)</f>
        <v>DEV - WIP</v>
      </c>
      <c r="D366" t="str">
        <f>IFERROR(VLOOKUP(C366,Config!$A:$B,2,0),"Unknown")</f>
        <v>In Development</v>
      </c>
      <c r="E366" t="str">
        <f>IFERROR(VLOOKUP(C366,Config!$A:$C,3,0),"N/A")</f>
        <v>Pending</v>
      </c>
      <c r="F366">
        <f>IF('SOW, Feedbacks-Bug &amp; CR_Items'!H366="","",'SOW, Feedbacks-Bug &amp; CR_Items'!H366)</f>
        <v>46240</v>
      </c>
    </row>
    <row r="367" spans="1:6">
      <c r="A367" t="str">
        <f>'SOW, Feedbacks-Bug &amp; CR_Items'!D367</f>
        <v>iWork</v>
      </c>
      <c r="B367" t="str">
        <f>'SOW, Feedbacks-Bug &amp; CR_Items'!E367</f>
        <v>Milestone 6</v>
      </c>
      <c r="C367" t="str">
        <f>TRIM('SOW, Feedbacks-Bug &amp; CR_Items'!F367)</f>
        <v>Yet to start</v>
      </c>
      <c r="D367" t="str">
        <f>IFERROR(VLOOKUP(C367,Config!$A:$B,2,0),"Unknown")</f>
        <v>Not Started</v>
      </c>
      <c r="E367" t="str">
        <f>IFERROR(VLOOKUP(C367,Config!$A:$C,3,0),"N/A")</f>
        <v>Pending</v>
      </c>
      <c r="F367">
        <f>IF('SOW, Feedbacks-Bug &amp; CR_Items'!H367="","",'SOW, Feedbacks-Bug &amp; CR_Items'!H367)</f>
        <v>46240</v>
      </c>
    </row>
    <row r="368" spans="1:6">
      <c r="A368" t="str">
        <f>'SOW, Feedbacks-Bug &amp; CR_Items'!D368</f>
        <v>iWork</v>
      </c>
      <c r="B368" t="str">
        <f>'SOW, Feedbacks-Bug &amp; CR_Items'!E368</f>
        <v>Milestone 6</v>
      </c>
      <c r="C368" t="str">
        <f>TRIM('SOW, Feedbacks-Bug &amp; CR_Items'!F368)</f>
        <v>DEV - WIP</v>
      </c>
      <c r="D368" t="str">
        <f>IFERROR(VLOOKUP(C368,Config!$A:$B,2,0),"Unknown")</f>
        <v>In Development</v>
      </c>
      <c r="E368" t="str">
        <f>IFERROR(VLOOKUP(C368,Config!$A:$C,3,0),"N/A")</f>
        <v>Pending</v>
      </c>
      <c r="F368">
        <f>IF('SOW, Feedbacks-Bug &amp; CR_Items'!H368="","",'SOW, Feedbacks-Bug &amp; CR_Items'!H368)</f>
        <v>46240</v>
      </c>
    </row>
    <row r="369" spans="1:6">
      <c r="A369" t="str">
        <f>'SOW, Feedbacks-Bug &amp; CR_Items'!D369</f>
        <v>iWork</v>
      </c>
      <c r="B369" t="str">
        <f>'SOW, Feedbacks-Bug &amp; CR_Items'!E369</f>
        <v>Milestone 6</v>
      </c>
      <c r="C369" t="str">
        <f>TRIM('SOW, Feedbacks-Bug &amp; CR_Items'!F369)</f>
        <v>Yet to start</v>
      </c>
      <c r="D369" t="str">
        <f>IFERROR(VLOOKUP(C369,Config!$A:$B,2,0),"Unknown")</f>
        <v>Not Started</v>
      </c>
      <c r="E369" t="str">
        <f>IFERROR(VLOOKUP(C369,Config!$A:$C,3,0),"N/A")</f>
        <v>Pending</v>
      </c>
      <c r="F369">
        <f>IF('SOW, Feedbacks-Bug &amp; CR_Items'!H369="","",'SOW, Feedbacks-Bug &amp; CR_Items'!H369)</f>
        <v>46240</v>
      </c>
    </row>
    <row r="370" spans="1:6">
      <c r="A370" t="str">
        <f>'SOW, Feedbacks-Bug &amp; CR_Items'!D370</f>
        <v>iWork</v>
      </c>
      <c r="B370" t="str">
        <f>'SOW, Feedbacks-Bug &amp; CR_Items'!E370</f>
        <v>Milestone 6</v>
      </c>
      <c r="C370" t="str">
        <f>TRIM('SOW, Feedbacks-Bug &amp; CR_Items'!F370)</f>
        <v>Yet to start</v>
      </c>
      <c r="D370" t="str">
        <f>IFERROR(VLOOKUP(C370,Config!$A:$B,2,0),"Unknown")</f>
        <v>Not Started</v>
      </c>
      <c r="E370" t="str">
        <f>IFERROR(VLOOKUP(C370,Config!$A:$C,3,0),"N/A")</f>
        <v>Pending</v>
      </c>
      <c r="F370">
        <f>IF('SOW, Feedbacks-Bug &amp; CR_Items'!H370="","",'SOW, Feedbacks-Bug &amp; CR_Items'!H370)</f>
        <v>46240</v>
      </c>
    </row>
    <row r="371" spans="1:6">
      <c r="A371" t="str">
        <f>'SOW, Feedbacks-Bug &amp; CR_Items'!D371</f>
        <v>iWork</v>
      </c>
      <c r="B371" t="str">
        <f>'SOW, Feedbacks-Bug &amp; CR_Items'!E371</f>
        <v>Milestone 6</v>
      </c>
      <c r="C371" t="str">
        <f>TRIM('SOW, Feedbacks-Bug &amp; CR_Items'!F371)</f>
        <v>Yet to start</v>
      </c>
      <c r="D371" t="str">
        <f>IFERROR(VLOOKUP(C371,Config!$A:$B,2,0),"Unknown")</f>
        <v>Not Started</v>
      </c>
      <c r="E371" t="str">
        <f>IFERROR(VLOOKUP(C371,Config!$A:$C,3,0),"N/A")</f>
        <v>Pending</v>
      </c>
      <c r="F371">
        <f>IF('SOW, Feedbacks-Bug &amp; CR_Items'!H371="","",'SOW, Feedbacks-Bug &amp; CR_Items'!H371)</f>
        <v>46240</v>
      </c>
    </row>
    <row r="372" spans="1:6">
      <c r="A372" t="str">
        <f>'SOW, Feedbacks-Bug &amp; CR_Items'!D372</f>
        <v>iWork</v>
      </c>
      <c r="B372" t="str">
        <f>'SOW, Feedbacks-Bug &amp; CR_Items'!E372</f>
        <v>Milestone 6</v>
      </c>
      <c r="C372" t="str">
        <f>TRIM('SOW, Feedbacks-Bug &amp; CR_Items'!F372)</f>
        <v>DEV - WIP</v>
      </c>
      <c r="D372" t="str">
        <f>IFERROR(VLOOKUP(C372,Config!$A:$B,2,0),"Unknown")</f>
        <v>In Development</v>
      </c>
      <c r="E372" t="str">
        <f>IFERROR(VLOOKUP(C372,Config!$A:$C,3,0),"N/A")</f>
        <v>Pending</v>
      </c>
      <c r="F372">
        <f>IF('SOW, Feedbacks-Bug &amp; CR_Items'!H372="","",'SOW, Feedbacks-Bug &amp; CR_Items'!H372)</f>
        <v>46235</v>
      </c>
    </row>
    <row r="373" spans="1:6">
      <c r="A373" t="str">
        <f>'SOW, Feedbacks-Bug &amp; CR_Items'!D373</f>
        <v>iWork</v>
      </c>
      <c r="B373" t="str">
        <f>'SOW, Feedbacks-Bug &amp; CR_Items'!E373</f>
        <v>Milestone 6</v>
      </c>
      <c r="C373" t="str">
        <f>TRIM('SOW, Feedbacks-Bug &amp; CR_Items'!F373)</f>
        <v>Dev - Done</v>
      </c>
      <c r="D373" t="str">
        <f>IFERROR(VLOOKUP(C373,Config!$A:$B,2,0),"Unknown")</f>
        <v>Dev Complete</v>
      </c>
      <c r="E373" t="str">
        <f>IFERROR(VLOOKUP(C373,Config!$A:$C,3,0),"N/A")</f>
        <v>Delivered</v>
      </c>
      <c r="F373">
        <f>IF('SOW, Feedbacks-Bug &amp; CR_Items'!H373="","",'SOW, Feedbacks-Bug &amp; CR_Items'!H373)</f>
        <v>46235</v>
      </c>
    </row>
    <row r="374" spans="1:6">
      <c r="A374" t="str">
        <f>'SOW, Feedbacks-Bug &amp; CR_Items'!D374</f>
        <v>iWork</v>
      </c>
      <c r="B374" t="str">
        <f>'SOW, Feedbacks-Bug &amp; CR_Items'!E374</f>
        <v>Milestone 6</v>
      </c>
      <c r="C374" t="str">
        <f>TRIM('SOW, Feedbacks-Bug &amp; CR_Items'!F374)</f>
        <v>Delivered</v>
      </c>
      <c r="D374" t="str">
        <f>IFERROR(VLOOKUP(C374,Config!$A:$B,2,0),"Unknown")</f>
        <v>Delivered</v>
      </c>
      <c r="E374" t="str">
        <f>IFERROR(VLOOKUP(C374,Config!$A:$C,3,0),"N/A")</f>
        <v>Delivered</v>
      </c>
      <c r="F374">
        <f>IF('SOW, Feedbacks-Bug &amp; CR_Items'!H374="","",'SOW, Feedbacks-Bug &amp; CR_Items'!H374)</f>
        <v>46235</v>
      </c>
    </row>
    <row r="375" spans="1:6">
      <c r="A375" t="str">
        <f>'SOW, Feedbacks-Bug &amp; CR_Items'!D375</f>
        <v>iWork - CR</v>
      </c>
      <c r="B375" t="str">
        <f>'SOW, Feedbacks-Bug &amp; CR_Items'!E375</f>
        <v>Milestone 6</v>
      </c>
      <c r="C375" t="str">
        <f>TRIM('SOW, Feedbacks-Bug &amp; CR_Items'!F375)</f>
        <v>Delivered</v>
      </c>
      <c r="D375" t="str">
        <f>IFERROR(VLOOKUP(C375,Config!$A:$B,2,0),"Unknown")</f>
        <v>Delivered</v>
      </c>
      <c r="E375" t="str">
        <f>IFERROR(VLOOKUP(C375,Config!$A:$C,3,0),"N/A")</f>
        <v>Delivered</v>
      </c>
      <c r="F375">
        <f>IF('SOW, Feedbacks-Bug &amp; CR_Items'!H375="","",'SOW, Feedbacks-Bug &amp; CR_Items'!H375)</f>
        <v>46235</v>
      </c>
    </row>
    <row r="376" spans="1:6">
      <c r="A376" t="str">
        <f>'SOW, Feedbacks-Bug &amp; CR_Items'!D376</f>
        <v>iWork</v>
      </c>
      <c r="B376" t="str">
        <f>'SOW, Feedbacks-Bug &amp; CR_Items'!E376</f>
        <v>Milestone 6</v>
      </c>
      <c r="C376" t="str">
        <f>TRIM('SOW, Feedbacks-Bug &amp; CR_Items'!F376)</f>
        <v>UAT - WIP</v>
      </c>
      <c r="D376" t="str">
        <f>IFERROR(VLOOKUP(C376,Config!$A:$B,2,0),"Unknown")</f>
        <v>Pre-PROD / UAT</v>
      </c>
      <c r="E376" t="str">
        <f>IFERROR(VLOOKUP(C376,Config!$A:$C,3,0),"N/A")</f>
        <v>Pending</v>
      </c>
      <c r="F376">
        <f>IF('SOW, Feedbacks-Bug &amp; CR_Items'!H376="","",'SOW, Feedbacks-Bug &amp; CR_Items'!H376)</f>
        <v>46235</v>
      </c>
    </row>
    <row r="377" spans="1:6">
      <c r="A377" t="str">
        <f>'SOW, Feedbacks-Bug &amp; CR_Items'!D377</f>
        <v>iWork</v>
      </c>
      <c r="B377" t="str">
        <f>'SOW, Feedbacks-Bug &amp; CR_Items'!E377</f>
        <v>Milestone 6</v>
      </c>
      <c r="C377" t="str">
        <f>TRIM('SOW, Feedbacks-Bug &amp; CR_Items'!F377)</f>
        <v>Delivered</v>
      </c>
      <c r="D377" t="str">
        <f>IFERROR(VLOOKUP(C377,Config!$A:$B,2,0),"Unknown")</f>
        <v>Delivered</v>
      </c>
      <c r="E377" t="str">
        <f>IFERROR(VLOOKUP(C377,Config!$A:$C,3,0),"N/A")</f>
        <v>Delivered</v>
      </c>
      <c r="F377">
        <f>IF('SOW, Feedbacks-Bug &amp; CR_Items'!H377="","",'SOW, Feedbacks-Bug &amp; CR_Items'!H377)</f>
        <v>46235</v>
      </c>
    </row>
    <row r="378" spans="1:6">
      <c r="A378" t="str">
        <f>'SOW, Feedbacks-Bug &amp; CR_Items'!D378</f>
        <v>iWork</v>
      </c>
      <c r="B378" t="str">
        <f>'SOW, Feedbacks-Bug &amp; CR_Items'!E378</f>
        <v>Milestone 6</v>
      </c>
      <c r="C378" t="str">
        <f>TRIM('SOW, Feedbacks-Bug &amp; CR_Items'!F378)</f>
        <v>Delivered</v>
      </c>
      <c r="D378" t="str">
        <f>IFERROR(VLOOKUP(C378,Config!$A:$B,2,0),"Unknown")</f>
        <v>Delivered</v>
      </c>
      <c r="E378" t="str">
        <f>IFERROR(VLOOKUP(C378,Config!$A:$C,3,0),"N/A")</f>
        <v>Delivered</v>
      </c>
      <c r="F378">
        <f>IF('SOW, Feedbacks-Bug &amp; CR_Items'!H378="","",'SOW, Feedbacks-Bug &amp; CR_Items'!H378)</f>
        <v>46235</v>
      </c>
    </row>
    <row r="379" spans="1:6">
      <c r="A379" t="str">
        <f>'SOW, Feedbacks-Bug &amp; CR_Items'!D379</f>
        <v>IBP</v>
      </c>
      <c r="B379" t="str">
        <f>'SOW, Feedbacks-Bug &amp; CR_Items'!E379</f>
        <v>Milestone 6</v>
      </c>
      <c r="C379" t="str">
        <f>TRIM('SOW, Feedbacks-Bug &amp; CR_Items'!F379)</f>
        <v>Dev - Done</v>
      </c>
      <c r="D379" t="str">
        <f>IFERROR(VLOOKUP(C379,Config!$A:$B,2,0),"Unknown")</f>
        <v>Dev Complete</v>
      </c>
      <c r="E379" t="str">
        <f>IFERROR(VLOOKUP(C379,Config!$A:$C,3,0),"N/A")</f>
        <v>Delivered</v>
      </c>
      <c r="F379">
        <f>IF('SOW, Feedbacks-Bug &amp; CR_Items'!H379="","",'SOW, Feedbacks-Bug &amp; CR_Items'!H379)</f>
        <v>46235</v>
      </c>
    </row>
    <row r="380" spans="1:6">
      <c r="A380" t="str">
        <f>'SOW, Feedbacks-Bug &amp; CR_Items'!D380</f>
        <v>iWork</v>
      </c>
      <c r="B380" t="str">
        <f>'SOW, Feedbacks-Bug &amp; CR_Items'!E380</f>
        <v>Milestone 6</v>
      </c>
      <c r="C380" t="str">
        <f>TRIM('SOW, Feedbacks-Bug &amp; CR_Items'!F380)</f>
        <v>DEV - WIP</v>
      </c>
      <c r="D380" t="str">
        <f>IFERROR(VLOOKUP(C380,Config!$A:$B,2,0),"Unknown")</f>
        <v>In Development</v>
      </c>
      <c r="E380" t="str">
        <f>IFERROR(VLOOKUP(C380,Config!$A:$C,3,0),"N/A")</f>
        <v>Pending</v>
      </c>
      <c r="F380">
        <f>IF('SOW, Feedbacks-Bug &amp; CR_Items'!H380="","",'SOW, Feedbacks-Bug &amp; CR_Items'!H380)</f>
        <v>46221</v>
      </c>
    </row>
    <row r="381" spans="1:6">
      <c r="A381" t="str">
        <f>'SOW, Feedbacks-Bug &amp; CR_Items'!D381</f>
        <v>iWork</v>
      </c>
      <c r="B381" t="str">
        <f>'SOW, Feedbacks-Bug &amp; CR_Items'!E381</f>
        <v>Milestone 6</v>
      </c>
      <c r="C381" t="str">
        <f>TRIM('SOW, Feedbacks-Bug &amp; CR_Items'!F381)</f>
        <v>Dev - WIP</v>
      </c>
      <c r="D381" t="str">
        <f>IFERROR(VLOOKUP(C381,Config!$A:$B,2,0),"Unknown")</f>
        <v>In Development</v>
      </c>
      <c r="E381" t="str">
        <f>IFERROR(VLOOKUP(C381,Config!$A:$C,3,0),"N/A")</f>
        <v>Pending</v>
      </c>
      <c r="F381">
        <f>IF('SOW, Feedbacks-Bug &amp; CR_Items'!H381="","",'SOW, Feedbacks-Bug &amp; CR_Items'!H381)</f>
        <v>46235</v>
      </c>
    </row>
    <row r="382" spans="1:6">
      <c r="A382" t="str">
        <f>'SOW, Feedbacks-Bug &amp; CR_Items'!D382</f>
        <v>iWork</v>
      </c>
      <c r="B382" t="str">
        <f>'SOW, Feedbacks-Bug &amp; CR_Items'!E382</f>
        <v>Milestone 6</v>
      </c>
      <c r="C382" t="str">
        <f>TRIM('SOW, Feedbacks-Bug &amp; CR_Items'!F382)</f>
        <v>Dev - WIP</v>
      </c>
      <c r="D382" t="str">
        <f>IFERROR(VLOOKUP(C382,Config!$A:$B,2,0),"Unknown")</f>
        <v>In Development</v>
      </c>
      <c r="E382" t="str">
        <f>IFERROR(VLOOKUP(C382,Config!$A:$C,3,0),"N/A")</f>
        <v>Pending</v>
      </c>
      <c r="F382">
        <f>IF('SOW, Feedbacks-Bug &amp; CR_Items'!H382="","",'SOW, Feedbacks-Bug &amp; CR_Items'!H382)</f>
        <v>46235</v>
      </c>
    </row>
    <row r="383" spans="1:6">
      <c r="A383" t="str">
        <f>'SOW, Feedbacks-Bug &amp; CR_Items'!D383</f>
        <v>iWork</v>
      </c>
      <c r="B383" t="str">
        <f>'SOW, Feedbacks-Bug &amp; CR_Items'!E383</f>
        <v>Milestone 6</v>
      </c>
      <c r="C383" t="str">
        <f>TRIM('SOW, Feedbacks-Bug &amp; CR_Items'!F383)</f>
        <v>UAT - WIP</v>
      </c>
      <c r="D383" t="str">
        <f>IFERROR(VLOOKUP(C383,Config!$A:$B,2,0),"Unknown")</f>
        <v>Pre-PROD / UAT</v>
      </c>
      <c r="E383" t="str">
        <f>IFERROR(VLOOKUP(C383,Config!$A:$C,3,0),"N/A")</f>
        <v>Pending</v>
      </c>
      <c r="F383">
        <f>IF('SOW, Feedbacks-Bug &amp; CR_Items'!H383="","",'SOW, Feedbacks-Bug &amp; CR_Items'!H383)</f>
        <v>46235</v>
      </c>
    </row>
    <row r="384" spans="1:6">
      <c r="A384" t="str">
        <f>'SOW, Feedbacks-Bug &amp; CR_Items'!D384</f>
        <v>iWork</v>
      </c>
      <c r="B384" t="str">
        <f>'SOW, Feedbacks-Bug &amp; CR_Items'!E384</f>
        <v>Milestone 6</v>
      </c>
      <c r="C384" t="str">
        <f>TRIM('SOW, Feedbacks-Bug &amp; CR_Items'!F384)</f>
        <v>Yet to start</v>
      </c>
      <c r="D384" t="str">
        <f>IFERROR(VLOOKUP(C384,Config!$A:$B,2,0),"Unknown")</f>
        <v>Not Started</v>
      </c>
      <c r="E384" t="str">
        <f>IFERROR(VLOOKUP(C384,Config!$A:$C,3,0),"N/A")</f>
        <v>Pending</v>
      </c>
      <c r="F384">
        <f>IF('SOW, Feedbacks-Bug &amp; CR_Items'!H384="","",'SOW, Feedbacks-Bug &amp; CR_Items'!H384)</f>
        <v>46235</v>
      </c>
    </row>
    <row r="385" spans="1:6">
      <c r="A385" t="str">
        <f>'SOW, Feedbacks-Bug &amp; CR_Items'!D385</f>
        <v>iWork</v>
      </c>
      <c r="B385" t="str">
        <f>'SOW, Feedbacks-Bug &amp; CR_Items'!E385</f>
        <v>Milestone 6</v>
      </c>
      <c r="C385" t="str">
        <f>TRIM('SOW, Feedbacks-Bug &amp; CR_Items'!F385)</f>
        <v>Dev - WIP</v>
      </c>
      <c r="D385" t="str">
        <f>IFERROR(VLOOKUP(C385,Config!$A:$B,2,0),"Unknown")</f>
        <v>In Development</v>
      </c>
      <c r="E385" t="str">
        <f>IFERROR(VLOOKUP(C385,Config!$A:$C,3,0),"N/A")</f>
        <v>Pending</v>
      </c>
      <c r="F385">
        <f>IF('SOW, Feedbacks-Bug &amp; CR_Items'!H385="","",'SOW, Feedbacks-Bug &amp; CR_Items'!H385)</f>
        <v>46221</v>
      </c>
    </row>
    <row r="386" spans="1:6">
      <c r="A386" t="str">
        <f>'SOW, Feedbacks-Bug &amp; CR_Items'!D386</f>
        <v>IBP</v>
      </c>
      <c r="B386" t="str">
        <f>'SOW, Feedbacks-Bug &amp; CR_Items'!E386</f>
        <v>Milestone 6</v>
      </c>
      <c r="C386" t="str">
        <f>TRIM('SOW, Feedbacks-Bug &amp; CR_Items'!F386)</f>
        <v>Dev - Done</v>
      </c>
      <c r="D386" t="str">
        <f>IFERROR(VLOOKUP(C386,Config!$A:$B,2,0),"Unknown")</f>
        <v>Dev Complete</v>
      </c>
      <c r="E386" t="str">
        <f>IFERROR(VLOOKUP(C386,Config!$A:$C,3,0),"N/A")</f>
        <v>Delivered</v>
      </c>
      <c r="F386">
        <f>IF('SOW, Feedbacks-Bug &amp; CR_Items'!H386="","",'SOW, Feedbacks-Bug &amp; CR_Items'!H386)</f>
        <v>46235</v>
      </c>
    </row>
    <row r="387" spans="1:6">
      <c r="A387" t="str">
        <f>'SOW, Feedbacks-Bug &amp; CR_Items'!D387</f>
        <v>iWork</v>
      </c>
      <c r="B387" t="str">
        <f>'SOW, Feedbacks-Bug &amp; CR_Items'!E387</f>
        <v>Milestone 6</v>
      </c>
      <c r="C387" t="str">
        <f>TRIM('SOW, Feedbacks-Bug &amp; CR_Items'!F387)</f>
        <v>Dev - WIP</v>
      </c>
      <c r="D387" t="str">
        <f>IFERROR(VLOOKUP(C387,Config!$A:$B,2,0),"Unknown")</f>
        <v>In Development</v>
      </c>
      <c r="E387" t="str">
        <f>IFERROR(VLOOKUP(C387,Config!$A:$C,3,0),"N/A")</f>
        <v>Pending</v>
      </c>
      <c r="F387">
        <f>IF('SOW, Feedbacks-Bug &amp; CR_Items'!H387="","",'SOW, Feedbacks-Bug &amp; CR_Items'!H387)</f>
        <v>46235</v>
      </c>
    </row>
    <row r="388" spans="1:6">
      <c r="A388" t="str">
        <f>'SOW, Feedbacks-Bug &amp; CR_Items'!D388</f>
        <v>iWork</v>
      </c>
      <c r="B388" t="str">
        <f>'SOW, Feedbacks-Bug &amp; CR_Items'!E388</f>
        <v>Milestone 6</v>
      </c>
      <c r="C388" t="str">
        <f>TRIM('SOW, Feedbacks-Bug &amp; CR_Items'!F388)</f>
        <v>Dev - WIP</v>
      </c>
      <c r="D388" t="str">
        <f>IFERROR(VLOOKUP(C388,Config!$A:$B,2,0),"Unknown")</f>
        <v>In Development</v>
      </c>
      <c r="E388" t="str">
        <f>IFERROR(VLOOKUP(C388,Config!$A:$C,3,0),"N/A")</f>
        <v>Pending</v>
      </c>
      <c r="F388">
        <f>IF('SOW, Feedbacks-Bug &amp; CR_Items'!H388="","",'SOW, Feedbacks-Bug &amp; CR_Items'!H388)</f>
        <v>46221</v>
      </c>
    </row>
    <row r="389" spans="1:6">
      <c r="A389" t="str">
        <f>'SOW, Feedbacks-Bug &amp; CR_Items'!D389</f>
        <v>iWork</v>
      </c>
      <c r="B389" t="str">
        <f>'SOW, Feedbacks-Bug &amp; CR_Items'!E389</f>
        <v>Milestone 6</v>
      </c>
      <c r="C389" t="str">
        <f>TRIM('SOW, Feedbacks-Bug &amp; CR_Items'!F389)</f>
        <v>Yet to start</v>
      </c>
      <c r="D389" t="str">
        <f>IFERROR(VLOOKUP(C389,Config!$A:$B,2,0),"Unknown")</f>
        <v>Not Started</v>
      </c>
      <c r="E389" t="str">
        <f>IFERROR(VLOOKUP(C389,Config!$A:$C,3,0),"N/A")</f>
        <v>Pending</v>
      </c>
      <c r="F389">
        <f>IF('SOW, Feedbacks-Bug &amp; CR_Items'!H389="","",'SOW, Feedbacks-Bug &amp; CR_Items'!H389)</f>
        <v>46235</v>
      </c>
    </row>
    <row r="390" spans="1:6">
      <c r="A390" t="str">
        <f>'SOW, Feedbacks-Bug &amp; CR_Items'!D390</f>
        <v>iWork - CR</v>
      </c>
      <c r="B390" t="str">
        <f>'SOW, Feedbacks-Bug &amp; CR_Items'!E390</f>
        <v>Milestone 6</v>
      </c>
      <c r="C390" t="str">
        <f>TRIM('SOW, Feedbacks-Bug &amp; CR_Items'!F390)</f>
        <v>Yet to start</v>
      </c>
      <c r="D390" t="str">
        <f>IFERROR(VLOOKUP(C390,Config!$A:$B,2,0),"Unknown")</f>
        <v>Not Started</v>
      </c>
      <c r="E390" t="str">
        <f>IFERROR(VLOOKUP(C390,Config!$A:$C,3,0),"N/A")</f>
        <v>Pending</v>
      </c>
      <c r="F390">
        <f>IF('SOW, Feedbacks-Bug &amp; CR_Items'!H390="","",'SOW, Feedbacks-Bug &amp; CR_Items'!H390)</f>
        <v>46235</v>
      </c>
    </row>
    <row r="391" spans="1:6">
      <c r="A391" t="str">
        <f>'SOW, Feedbacks-Bug &amp; CR_Items'!D391</f>
        <v>iWork/IBP</v>
      </c>
      <c r="B391" t="str">
        <f>'SOW, Feedbacks-Bug &amp; CR_Items'!E391</f>
        <v>Milestone 6</v>
      </c>
      <c r="C391" t="str">
        <f>TRIM('SOW, Feedbacks-Bug &amp; CR_Items'!F391)</f>
        <v>Yet to start</v>
      </c>
      <c r="D391" t="str">
        <f>IFERROR(VLOOKUP(C391,Config!$A:$B,2,0),"Unknown")</f>
        <v>Not Started</v>
      </c>
      <c r="E391" t="str">
        <f>IFERROR(VLOOKUP(C391,Config!$A:$C,3,0),"N/A")</f>
        <v>Pending</v>
      </c>
      <c r="F391">
        <f>IF('SOW, Feedbacks-Bug &amp; CR_Items'!H391="","",'SOW, Feedbacks-Bug &amp; CR_Items'!H391)</f>
        <v>46235</v>
      </c>
    </row>
    <row r="392" spans="1:6">
      <c r="A392" t="str">
        <f>'SOW, Feedbacks-Bug &amp; CR_Items'!D392</f>
        <v>iWork - CR</v>
      </c>
      <c r="B392" t="str">
        <f>'SOW, Feedbacks-Bug &amp; CR_Items'!E392</f>
        <v>Milestone 6</v>
      </c>
      <c r="C392" t="str">
        <f>TRIM('SOW, Feedbacks-Bug &amp; CR_Items'!F392)</f>
        <v>Yet to start</v>
      </c>
      <c r="D392" t="str">
        <f>IFERROR(VLOOKUP(C392,Config!$A:$B,2,0),"Unknown")</f>
        <v>Not Started</v>
      </c>
      <c r="E392" t="str">
        <f>IFERROR(VLOOKUP(C392,Config!$A:$C,3,0),"N/A")</f>
        <v>Pending</v>
      </c>
      <c r="F392">
        <f>IF('SOW, Feedbacks-Bug &amp; CR_Items'!H392="","",'SOW, Feedbacks-Bug &amp; CR_Items'!H392)</f>
        <v>46198</v>
      </c>
    </row>
    <row r="393" spans="1:6">
      <c r="A393" t="str">
        <f>'SOW, Feedbacks-Bug &amp; CR_Items'!D393</f>
        <v>iWork</v>
      </c>
      <c r="B393" t="str">
        <f>'SOW, Feedbacks-Bug &amp; CR_Items'!E393</f>
        <v>Milestone 6</v>
      </c>
      <c r="C393" t="str">
        <f>TRIM('SOW, Feedbacks-Bug &amp; CR_Items'!F393)</f>
        <v>Yet to start</v>
      </c>
      <c r="D393" t="str">
        <f>IFERROR(VLOOKUP(C393,Config!$A:$B,2,0),"Unknown")</f>
        <v>Not Started</v>
      </c>
      <c r="E393" t="str">
        <f>IFERROR(VLOOKUP(C393,Config!$A:$C,3,0),"N/A")</f>
        <v>Pending</v>
      </c>
      <c r="F393">
        <f>IF('SOW, Feedbacks-Bug &amp; CR_Items'!H393="","",'SOW, Feedbacks-Bug &amp; CR_Items'!H393)</f>
        <v>46235</v>
      </c>
    </row>
    <row r="394" spans="1:6">
      <c r="A394" t="str">
        <f>'SOW, Feedbacks-Bug &amp; CR_Items'!D394</f>
        <v>iWork</v>
      </c>
      <c r="B394" t="str">
        <f>'SOW, Feedbacks-Bug &amp; CR_Items'!E394</f>
        <v>Milestone 6</v>
      </c>
      <c r="C394" t="str">
        <f>TRIM('SOW, Feedbacks-Bug &amp; CR_Items'!F394)</f>
        <v>Yet to start</v>
      </c>
      <c r="D394" t="str">
        <f>IFERROR(VLOOKUP(C394,Config!$A:$B,2,0),"Unknown")</f>
        <v>Not Started</v>
      </c>
      <c r="E394" t="str">
        <f>IFERROR(VLOOKUP(C394,Config!$A:$C,3,0),"N/A")</f>
        <v>Pending</v>
      </c>
      <c r="F394">
        <f>IF('SOW, Feedbacks-Bug &amp; CR_Items'!H394="","",'SOW, Feedbacks-Bug &amp; CR_Items'!H394)</f>
        <v>46235</v>
      </c>
    </row>
    <row r="395" spans="1:6">
      <c r="A395" t="str">
        <f>'SOW, Feedbacks-Bug &amp; CR_Items'!D395</f>
        <v>iWork</v>
      </c>
      <c r="B395" t="str">
        <f>'SOW, Feedbacks-Bug &amp; CR_Items'!E395</f>
        <v>Milestone 6</v>
      </c>
      <c r="C395" t="str">
        <f>TRIM('SOW, Feedbacks-Bug &amp; CR_Items'!F395)</f>
        <v>Yet to start</v>
      </c>
      <c r="D395" t="str">
        <f>IFERROR(VLOOKUP(C395,Config!$A:$B,2,0),"Unknown")</f>
        <v>Not Started</v>
      </c>
      <c r="E395" t="str">
        <f>IFERROR(VLOOKUP(C395,Config!$A:$C,3,0),"N/A")</f>
        <v>Pending</v>
      </c>
      <c r="F395">
        <f>IF('SOW, Feedbacks-Bug &amp; CR_Items'!H395="","",'SOW, Feedbacks-Bug &amp; CR_Items'!H395)</f>
        <v>46132</v>
      </c>
    </row>
    <row r="396" spans="1:6">
      <c r="A396" t="str">
        <f>'SOW, Feedbacks-Bug &amp; CR_Items'!D396</f>
        <v>iWork</v>
      </c>
      <c r="B396" t="str">
        <f>'SOW, Feedbacks-Bug &amp; CR_Items'!E396</f>
        <v>Milestone 6</v>
      </c>
      <c r="C396" t="str">
        <f>TRIM('SOW, Feedbacks-Bug &amp; CR_Items'!F396)</f>
        <v>Yet to start</v>
      </c>
      <c r="D396" t="str">
        <f>IFERROR(VLOOKUP(C396,Config!$A:$B,2,0),"Unknown")</f>
        <v>Not Started</v>
      </c>
      <c r="E396" t="str">
        <f>IFERROR(VLOOKUP(C396,Config!$A:$C,3,0),"N/A")</f>
        <v>Pending</v>
      </c>
      <c r="F396">
        <f>IF('SOW, Feedbacks-Bug &amp; CR_Items'!H396="","",'SOW, Feedbacks-Bug &amp; CR_Items'!H396)</f>
        <v>46235</v>
      </c>
    </row>
    <row r="397" spans="1:6">
      <c r="A397" t="str">
        <f>'SOW, Feedbacks-Bug &amp; CR_Items'!D397</f>
        <v>iWork</v>
      </c>
      <c r="B397" t="str">
        <f>'SOW, Feedbacks-Bug &amp; CR_Items'!E397</f>
        <v>Milestone 6</v>
      </c>
      <c r="C397" t="str">
        <f>TRIM('SOW, Feedbacks-Bug &amp; CR_Items'!F397)</f>
        <v>Yet to start</v>
      </c>
      <c r="D397" t="str">
        <f>IFERROR(VLOOKUP(C397,Config!$A:$B,2,0),"Unknown")</f>
        <v>Not Started</v>
      </c>
      <c r="E397" t="str">
        <f>IFERROR(VLOOKUP(C397,Config!$A:$C,3,0),"N/A")</f>
        <v>Pending</v>
      </c>
      <c r="F397">
        <f>IF('SOW, Feedbacks-Bug &amp; CR_Items'!H397="","",'SOW, Feedbacks-Bug &amp; CR_Items'!H397)</f>
        <v>46235</v>
      </c>
    </row>
    <row r="398" spans="1:6">
      <c r="A398" t="str">
        <f>'SOW, Feedbacks-Bug &amp; CR_Items'!D398</f>
        <v>iWork</v>
      </c>
      <c r="B398" t="str">
        <f>'SOW, Feedbacks-Bug &amp; CR_Items'!E398</f>
        <v>Milestone 6</v>
      </c>
      <c r="C398" t="str">
        <f>TRIM('SOW, Feedbacks-Bug &amp; CR_Items'!F398)</f>
        <v>Yet to start</v>
      </c>
      <c r="D398" t="str">
        <f>IFERROR(VLOOKUP(C398,Config!$A:$B,2,0),"Unknown")</f>
        <v>Not Started</v>
      </c>
      <c r="E398" t="str">
        <f>IFERROR(VLOOKUP(C398,Config!$A:$C,3,0),"N/A")</f>
        <v>Pending</v>
      </c>
      <c r="F398">
        <f>IF('SOW, Feedbacks-Bug &amp; CR_Items'!H398="","",'SOW, Feedbacks-Bug &amp; CR_Items'!H398)</f>
        <v>46235</v>
      </c>
    </row>
    <row r="399" spans="1:6">
      <c r="A399" t="str">
        <f>'SOW, Feedbacks-Bug &amp; CR_Items'!D399</f>
        <v>iWork</v>
      </c>
      <c r="B399" t="str">
        <f>'SOW, Feedbacks-Bug &amp; CR_Items'!E399</f>
        <v>Milestone 6</v>
      </c>
      <c r="C399" t="str">
        <f>TRIM('SOW, Feedbacks-Bug &amp; CR_Items'!F399)</f>
        <v>Yet to start</v>
      </c>
      <c r="D399" t="str">
        <f>IFERROR(VLOOKUP(C399,Config!$A:$B,2,0),"Unknown")</f>
        <v>Not Started</v>
      </c>
      <c r="E399" t="str">
        <f>IFERROR(VLOOKUP(C399,Config!$A:$C,3,0),"N/A")</f>
        <v>Pending</v>
      </c>
      <c r="F399">
        <f>IF('SOW, Feedbacks-Bug &amp; CR_Items'!H399="","",'SOW, Feedbacks-Bug &amp; CR_Items'!H399)</f>
        <v>46235</v>
      </c>
    </row>
    <row r="400" spans="1:6">
      <c r="A400" t="str">
        <f>'SOW, Feedbacks-Bug &amp; CR_Items'!D400</f>
        <v>iWork</v>
      </c>
      <c r="B400" t="str">
        <f>'SOW, Feedbacks-Bug &amp; CR_Items'!E400</f>
        <v>Milestone 6</v>
      </c>
      <c r="C400" t="str">
        <f>TRIM('SOW, Feedbacks-Bug &amp; CR_Items'!F400)</f>
        <v>Yet to start</v>
      </c>
      <c r="D400" t="str">
        <f>IFERROR(VLOOKUP(C400,Config!$A:$B,2,0),"Unknown")</f>
        <v>Not Started</v>
      </c>
      <c r="E400" t="str">
        <f>IFERROR(VLOOKUP(C400,Config!$A:$C,3,0),"N/A")</f>
        <v>Pending</v>
      </c>
      <c r="F400">
        <f>IF('SOW, Feedbacks-Bug &amp; CR_Items'!H400="","",'SOW, Feedbacks-Bug &amp; CR_Items'!H400)</f>
        <v>46220</v>
      </c>
    </row>
    <row r="401" spans="1:6">
      <c r="A401" t="str">
        <f>'SOW, Feedbacks-Bug &amp; CR_Items'!D401</f>
        <v>iWork/IBP</v>
      </c>
      <c r="B401" t="str">
        <f>'SOW, Feedbacks-Bug &amp; CR_Items'!E401</f>
        <v>Milestone 6</v>
      </c>
      <c r="C401" t="str">
        <f>TRIM('SOW, Feedbacks-Bug &amp; CR_Items'!F401)</f>
        <v>Yet to start</v>
      </c>
      <c r="D401" t="str">
        <f>IFERROR(VLOOKUP(C401,Config!$A:$B,2,0),"Unknown")</f>
        <v>Not Started</v>
      </c>
      <c r="E401" t="str">
        <f>IFERROR(VLOOKUP(C401,Config!$A:$C,3,0),"N/A")</f>
        <v>Pending</v>
      </c>
      <c r="F401">
        <f>IF('SOW, Feedbacks-Bug &amp; CR_Items'!H401="","",'SOW, Feedbacks-Bug &amp; CR_Items'!H401)</f>
        <v>46132</v>
      </c>
    </row>
    <row r="402" spans="1:6">
      <c r="A402" t="str">
        <f>'SOW, Feedbacks-Bug &amp; CR_Items'!D402</f>
        <v>iWork</v>
      </c>
      <c r="B402" t="str">
        <f>'SOW, Feedbacks-Bug &amp; CR_Items'!E402</f>
        <v>Milestone 6</v>
      </c>
      <c r="C402" t="str">
        <f>TRIM('SOW, Feedbacks-Bug &amp; CR_Items'!F402)</f>
        <v>Yet to start</v>
      </c>
      <c r="D402" t="str">
        <f>IFERROR(VLOOKUP(C402,Config!$A:$B,2,0),"Unknown")</f>
        <v>Not Started</v>
      </c>
      <c r="E402" t="str">
        <f>IFERROR(VLOOKUP(C402,Config!$A:$C,3,0),"N/A")</f>
        <v>Pending</v>
      </c>
      <c r="F402">
        <f>IF('SOW, Feedbacks-Bug &amp; CR_Items'!H402="","",'SOW, Feedbacks-Bug &amp; CR_Items'!H402)</f>
        <v>46235</v>
      </c>
    </row>
    <row r="403" spans="1:6">
      <c r="A403" t="str">
        <f>'SOW, Feedbacks-Bug &amp; CR_Items'!D403</f>
        <v>iWork</v>
      </c>
      <c r="B403" t="str">
        <f>'SOW, Feedbacks-Bug &amp; CR_Items'!E403</f>
        <v>Milestone 6</v>
      </c>
      <c r="C403" t="str">
        <f>TRIM('SOW, Feedbacks-Bug &amp; CR_Items'!F403)</f>
        <v>Delivered</v>
      </c>
      <c r="D403" t="str">
        <f>IFERROR(VLOOKUP(C403,Config!$A:$B,2,0),"Unknown")</f>
        <v>Delivered</v>
      </c>
      <c r="E403" t="str">
        <f>IFERROR(VLOOKUP(C403,Config!$A:$C,3,0),"N/A")</f>
        <v>Delivered</v>
      </c>
      <c r="F403">
        <f>IF('SOW, Feedbacks-Bug &amp; CR_Items'!H403="","",'SOW, Feedbacks-Bug &amp; CR_Items'!H403)</f>
        <v>46235</v>
      </c>
    </row>
    <row r="404" spans="1:6">
      <c r="A404" t="str">
        <f>'SOW, Feedbacks-Bug &amp; CR_Items'!D404</f>
        <v>iWork</v>
      </c>
      <c r="B404" t="str">
        <f>'SOW, Feedbacks-Bug &amp; CR_Items'!E404</f>
        <v>Milestone 6</v>
      </c>
      <c r="C404" t="str">
        <f>TRIM('SOW, Feedbacks-Bug &amp; CR_Items'!F404)</f>
        <v>Dev - Done</v>
      </c>
      <c r="D404" t="str">
        <f>IFERROR(VLOOKUP(C404,Config!$A:$B,2,0),"Unknown")</f>
        <v>Dev Complete</v>
      </c>
      <c r="E404" t="str">
        <f>IFERROR(VLOOKUP(C404,Config!$A:$C,3,0),"N/A")</f>
        <v>Delivered</v>
      </c>
      <c r="F404">
        <f>IF('SOW, Feedbacks-Bug &amp; CR_Items'!H404="","",'SOW, Feedbacks-Bug &amp; CR_Items'!H404)</f>
        <v>46228</v>
      </c>
    </row>
    <row r="405" spans="1:6">
      <c r="A405" t="str">
        <f>'SOW, Feedbacks-Bug &amp; CR_Items'!D405</f>
        <v>iWork</v>
      </c>
      <c r="B405" t="str">
        <f>'SOW, Feedbacks-Bug &amp; CR_Items'!E405</f>
        <v>Milestone 6</v>
      </c>
      <c r="C405" t="str">
        <f>TRIM('SOW, Feedbacks-Bug &amp; CR_Items'!F405)</f>
        <v>Yet to start</v>
      </c>
      <c r="D405" t="str">
        <f>IFERROR(VLOOKUP(C405,Config!$A:$B,2,0),"Unknown")</f>
        <v>Not Started</v>
      </c>
      <c r="E405" t="str">
        <f>IFERROR(VLOOKUP(C405,Config!$A:$C,3,0),"N/A")</f>
        <v>Pending</v>
      </c>
      <c r="F405">
        <f>IF('SOW, Feedbacks-Bug &amp; CR_Items'!H405="","",'SOW, Feedbacks-Bug &amp; CR_Items'!H405)</f>
        <v>46235</v>
      </c>
    </row>
    <row r="406" spans="1:6">
      <c r="A406" t="str">
        <f>'SOW, Feedbacks-Bug &amp; CR_Items'!D406</f>
        <v>iWork</v>
      </c>
      <c r="B406" t="str">
        <f>'SOW, Feedbacks-Bug &amp; CR_Items'!E406</f>
        <v>Milestone 6</v>
      </c>
      <c r="C406" t="str">
        <f>TRIM('SOW, Feedbacks-Bug &amp; CR_Items'!F406)</f>
        <v>Yet to start</v>
      </c>
      <c r="D406" t="str">
        <f>IFERROR(VLOOKUP(C406,Config!$A:$B,2,0),"Unknown")</f>
        <v>Not Started</v>
      </c>
      <c r="E406" t="str">
        <f>IFERROR(VLOOKUP(C406,Config!$A:$C,3,0),"N/A")</f>
        <v>Pending</v>
      </c>
      <c r="F406">
        <f>IF('SOW, Feedbacks-Bug &amp; CR_Items'!H406="","",'SOW, Feedbacks-Bug &amp; CR_Items'!H406)</f>
        <v>46235</v>
      </c>
    </row>
    <row r="407" spans="1:6">
      <c r="A407" t="str">
        <f>'SOW, Feedbacks-Bug &amp; CR_Items'!D407</f>
        <v>iWork</v>
      </c>
      <c r="B407" t="str">
        <f>'SOW, Feedbacks-Bug &amp; CR_Items'!E407</f>
        <v>Milestone 6</v>
      </c>
      <c r="C407" t="str">
        <f>TRIM('SOW, Feedbacks-Bug &amp; CR_Items'!F407)</f>
        <v>Yet to start</v>
      </c>
      <c r="D407" t="str">
        <f>IFERROR(VLOOKUP(C407,Config!$A:$B,2,0),"Unknown")</f>
        <v>Not Started</v>
      </c>
      <c r="E407" t="str">
        <f>IFERROR(VLOOKUP(C407,Config!$A:$C,3,0),"N/A")</f>
        <v>Pending</v>
      </c>
      <c r="F407">
        <f>IF('SOW, Feedbacks-Bug &amp; CR_Items'!H407="","",'SOW, Feedbacks-Bug &amp; CR_Items'!H407)</f>
        <v>46235</v>
      </c>
    </row>
    <row r="408" spans="1:6">
      <c r="A408" t="str">
        <f>'SOW, Feedbacks-Bug &amp; CR_Items'!D408</f>
        <v>iWork</v>
      </c>
      <c r="B408" t="str">
        <f>'SOW, Feedbacks-Bug &amp; CR_Items'!E408</f>
        <v>Milestone 6</v>
      </c>
      <c r="C408" t="str">
        <f>TRIM('SOW, Feedbacks-Bug &amp; CR_Items'!F408)</f>
        <v>Yet to start</v>
      </c>
      <c r="D408" t="str">
        <f>IFERROR(VLOOKUP(C408,Config!$A:$B,2,0),"Unknown")</f>
        <v>Not Started</v>
      </c>
      <c r="E408" t="str">
        <f>IFERROR(VLOOKUP(C408,Config!$A:$C,3,0),"N/A")</f>
        <v>Pending</v>
      </c>
      <c r="F408">
        <f>IF('SOW, Feedbacks-Bug &amp; CR_Items'!H408="","",'SOW, Feedbacks-Bug &amp; CR_Items'!H408)</f>
        <v>46235</v>
      </c>
    </row>
    <row r="409" spans="1:6">
      <c r="A409" t="str">
        <f>'SOW, Feedbacks-Bug &amp; CR_Items'!D409</f>
        <v>iWork/IBP</v>
      </c>
      <c r="B409" t="str">
        <f>'SOW, Feedbacks-Bug &amp; CR_Items'!E409</f>
        <v>Milestone 6</v>
      </c>
      <c r="C409" t="str">
        <f>TRIM('SOW, Feedbacks-Bug &amp; CR_Items'!F409)</f>
        <v>Yet to start</v>
      </c>
      <c r="D409" t="str">
        <f>IFERROR(VLOOKUP(C409,Config!$A:$B,2,0),"Unknown")</f>
        <v>Not Started</v>
      </c>
      <c r="E409" t="str">
        <f>IFERROR(VLOOKUP(C409,Config!$A:$C,3,0),"N/A")</f>
        <v>Pending</v>
      </c>
      <c r="F409">
        <f>IF('SOW, Feedbacks-Bug &amp; CR_Items'!H409="","",'SOW, Feedbacks-Bug &amp; CR_Items'!H409)</f>
        <v>46235</v>
      </c>
    </row>
    <row r="410" spans="1:6">
      <c r="A410" t="str">
        <f>'SOW, Feedbacks-Bug &amp; CR_Items'!D410</f>
        <v>iWork</v>
      </c>
      <c r="B410" t="str">
        <f>'SOW, Feedbacks-Bug &amp; CR_Items'!E410</f>
        <v>Milestone 6</v>
      </c>
      <c r="C410" t="str">
        <f>TRIM('SOW, Feedbacks-Bug &amp; CR_Items'!F410)</f>
        <v>Yet to start</v>
      </c>
      <c r="D410" t="str">
        <f>IFERROR(VLOOKUP(C410,Config!$A:$B,2,0),"Unknown")</f>
        <v>Not Started</v>
      </c>
      <c r="E410" t="str">
        <f>IFERROR(VLOOKUP(C410,Config!$A:$C,3,0),"N/A")</f>
        <v>Pending</v>
      </c>
      <c r="F410">
        <f>IF('SOW, Feedbacks-Bug &amp; CR_Items'!H410="","",'SOW, Feedbacks-Bug &amp; CR_Items'!H410)</f>
        <v>46235</v>
      </c>
    </row>
    <row r="411" spans="1:6">
      <c r="A411" t="str">
        <f>'SOW, Feedbacks-Bug &amp; CR_Items'!D411</f>
        <v>iWork</v>
      </c>
      <c r="B411" t="str">
        <f>'SOW, Feedbacks-Bug &amp; CR_Items'!E411</f>
        <v>Milestone 6</v>
      </c>
      <c r="C411" t="str">
        <f>TRIM('SOW, Feedbacks-Bug &amp; CR_Items'!F411)</f>
        <v>Yet to start</v>
      </c>
      <c r="D411" t="str">
        <f>IFERROR(VLOOKUP(C411,Config!$A:$B,2,0),"Unknown")</f>
        <v>Not Started</v>
      </c>
      <c r="E411" t="str">
        <f>IFERROR(VLOOKUP(C411,Config!$A:$C,3,0),"N/A")</f>
        <v>Pending</v>
      </c>
      <c r="F411">
        <f>IF('SOW, Feedbacks-Bug &amp; CR_Items'!H411="","",'SOW, Feedbacks-Bug &amp; CR_Items'!H411)</f>
        <v>46235</v>
      </c>
    </row>
    <row r="412" spans="1:6">
      <c r="A412" t="str">
        <f>'SOW, Feedbacks-Bug &amp; CR_Items'!D412</f>
        <v>iWork</v>
      </c>
      <c r="B412" t="str">
        <f>'SOW, Feedbacks-Bug &amp; CR_Items'!E412</f>
        <v>Milestone 6</v>
      </c>
      <c r="C412" t="str">
        <f>TRIM('SOW, Feedbacks-Bug &amp; CR_Items'!F412)</f>
        <v>Yet to start</v>
      </c>
      <c r="D412" t="str">
        <f>IFERROR(VLOOKUP(C412,Config!$A:$B,2,0),"Unknown")</f>
        <v>Not Started</v>
      </c>
      <c r="E412" t="str">
        <f>IFERROR(VLOOKUP(C412,Config!$A:$C,3,0),"N/A")</f>
        <v>Pending</v>
      </c>
      <c r="F412">
        <f>IF('SOW, Feedbacks-Bug &amp; CR_Items'!H412="","",'SOW, Feedbacks-Bug &amp; CR_Items'!H412)</f>
        <v>46235</v>
      </c>
    </row>
    <row r="413" spans="1:6">
      <c r="A413" t="str">
        <f>'SOW, Feedbacks-Bug &amp; CR_Items'!D413</f>
        <v>iWork</v>
      </c>
      <c r="B413" t="str">
        <f>'SOW, Feedbacks-Bug &amp; CR_Items'!E413</f>
        <v>Milestone 6</v>
      </c>
      <c r="C413" t="str">
        <f>TRIM('SOW, Feedbacks-Bug &amp; CR_Items'!F413)</f>
        <v>Yet to start</v>
      </c>
      <c r="D413" t="str">
        <f>IFERROR(VLOOKUP(C413,Config!$A:$B,2,0),"Unknown")</f>
        <v>Not Started</v>
      </c>
      <c r="E413" t="str">
        <f>IFERROR(VLOOKUP(C413,Config!$A:$C,3,0),"N/A")</f>
        <v>Pending</v>
      </c>
      <c r="F413">
        <f>IF('SOW, Feedbacks-Bug &amp; CR_Items'!H413="","",'SOW, Feedbacks-Bug &amp; CR_Items'!H413)</f>
        <v>46235</v>
      </c>
    </row>
    <row r="414" spans="1:6">
      <c r="A414" t="str">
        <f>'SOW, Feedbacks-Bug &amp; CR_Items'!D414</f>
        <v>iWork</v>
      </c>
      <c r="B414" t="str">
        <f>'SOW, Feedbacks-Bug &amp; CR_Items'!E414</f>
        <v>Milestone 6</v>
      </c>
      <c r="C414" t="str">
        <f>TRIM('SOW, Feedbacks-Bug &amp; CR_Items'!F414)</f>
        <v>Yet to start</v>
      </c>
      <c r="D414" t="str">
        <f>IFERROR(VLOOKUP(C414,Config!$A:$B,2,0),"Unknown")</f>
        <v>Not Started</v>
      </c>
      <c r="E414" t="str">
        <f>IFERROR(VLOOKUP(C414,Config!$A:$C,3,0),"N/A")</f>
        <v>Pending</v>
      </c>
      <c r="F414">
        <f>IF('SOW, Feedbacks-Bug &amp; CR_Items'!H414="","",'SOW, Feedbacks-Bug &amp; CR_Items'!H414)</f>
        <v>46235</v>
      </c>
    </row>
    <row r="415" spans="1:6">
      <c r="A415" t="str">
        <f>'SOW, Feedbacks-Bug &amp; CR_Items'!D415</f>
        <v>iWork</v>
      </c>
      <c r="B415" t="str">
        <f>'SOW, Feedbacks-Bug &amp; CR_Items'!E415</f>
        <v>Milestone 6</v>
      </c>
      <c r="C415" t="str">
        <f>TRIM('SOW, Feedbacks-Bug &amp; CR_Items'!F415)</f>
        <v>Yet to start</v>
      </c>
      <c r="D415" t="str">
        <f>IFERROR(VLOOKUP(C415,Config!$A:$B,2,0),"Unknown")</f>
        <v>Not Started</v>
      </c>
      <c r="E415" t="str">
        <f>IFERROR(VLOOKUP(C415,Config!$A:$C,3,0),"N/A")</f>
        <v>Pending</v>
      </c>
      <c r="F415">
        <f>IF('SOW, Feedbacks-Bug &amp; CR_Items'!H415="","",'SOW, Feedbacks-Bug &amp; CR_Items'!H415)</f>
        <v>46235</v>
      </c>
    </row>
    <row r="416" spans="1:6">
      <c r="A416" t="str">
        <f>'SOW, Feedbacks-Bug &amp; CR_Items'!D416</f>
        <v>iWork</v>
      </c>
      <c r="B416" t="str">
        <f>'SOW, Feedbacks-Bug &amp; CR_Items'!E416</f>
        <v>Milestone 6</v>
      </c>
      <c r="C416" t="str">
        <f>TRIM('SOW, Feedbacks-Bug &amp; CR_Items'!F416)</f>
        <v>Yet to start</v>
      </c>
      <c r="D416" t="str">
        <f>IFERROR(VLOOKUP(C416,Config!$A:$B,2,0),"Unknown")</f>
        <v>Not Started</v>
      </c>
      <c r="E416" t="str">
        <f>IFERROR(VLOOKUP(C416,Config!$A:$C,3,0),"N/A")</f>
        <v>Pending</v>
      </c>
      <c r="F416">
        <f>IF('SOW, Feedbacks-Bug &amp; CR_Items'!H416="","",'SOW, Feedbacks-Bug &amp; CR_Items'!H416)</f>
        <v>46235</v>
      </c>
    </row>
    <row r="417" spans="1:6">
      <c r="A417" t="str">
        <f>'SOW, Feedbacks-Bug &amp; CR_Items'!D417</f>
        <v>iWork</v>
      </c>
      <c r="B417" t="str">
        <f>'SOW, Feedbacks-Bug &amp; CR_Items'!E417</f>
        <v>Milestone 6</v>
      </c>
      <c r="C417" t="str">
        <f>TRIM('SOW, Feedbacks-Bug &amp; CR_Items'!F417)</f>
        <v>Yet to start</v>
      </c>
      <c r="D417" t="str">
        <f>IFERROR(VLOOKUP(C417,Config!$A:$B,2,0),"Unknown")</f>
        <v>Not Started</v>
      </c>
      <c r="E417" t="str">
        <f>IFERROR(VLOOKUP(C417,Config!$A:$C,3,0),"N/A")</f>
        <v>Pending</v>
      </c>
      <c r="F417">
        <f>IF('SOW, Feedbacks-Bug &amp; CR_Items'!H417="","",'SOW, Feedbacks-Bug &amp; CR_Items'!H417)</f>
        <v>46235</v>
      </c>
    </row>
    <row r="418" spans="1:6">
      <c r="A418" t="str">
        <f>'SOW, Feedbacks-Bug &amp; CR_Items'!D418</f>
        <v>iWork</v>
      </c>
      <c r="B418" t="str">
        <f>'SOW, Feedbacks-Bug &amp; CR_Items'!E418</f>
        <v>Milestone 6</v>
      </c>
      <c r="C418" t="str">
        <f>TRIM('SOW, Feedbacks-Bug &amp; CR_Items'!F418)</f>
        <v>Yet to start</v>
      </c>
      <c r="D418" t="str">
        <f>IFERROR(VLOOKUP(C418,Config!$A:$B,2,0),"Unknown")</f>
        <v>Not Started</v>
      </c>
      <c r="E418" t="str">
        <f>IFERROR(VLOOKUP(C418,Config!$A:$C,3,0),"N/A")</f>
        <v>Pending</v>
      </c>
      <c r="F418">
        <f>IF('SOW, Feedbacks-Bug &amp; CR_Items'!H418="","",'SOW, Feedbacks-Bug &amp; CR_Items'!H418)</f>
        <v>46235</v>
      </c>
    </row>
    <row r="419" spans="1:6">
      <c r="A419" t="str">
        <f>'SOW, Feedbacks-Bug &amp; CR_Items'!D419</f>
        <v>iWork</v>
      </c>
      <c r="B419" t="str">
        <f>'SOW, Feedbacks-Bug &amp; CR_Items'!E419</f>
        <v>Milestone 6</v>
      </c>
      <c r="C419" t="str">
        <f>TRIM('SOW, Feedbacks-Bug &amp; CR_Items'!F419)</f>
        <v>Yet to start</v>
      </c>
      <c r="D419" t="str">
        <f>IFERROR(VLOOKUP(C419,Config!$A:$B,2,0),"Unknown")</f>
        <v>Not Started</v>
      </c>
      <c r="E419" t="str">
        <f>IFERROR(VLOOKUP(C419,Config!$A:$C,3,0),"N/A")</f>
        <v>Pending</v>
      </c>
      <c r="F419">
        <f>IF('SOW, Feedbacks-Bug &amp; CR_Items'!H419="","",'SOW, Feedbacks-Bug &amp; CR_Items'!H419)</f>
        <v>46235</v>
      </c>
    </row>
    <row r="420" spans="1:6">
      <c r="A420" t="str">
        <f>'SOW, Feedbacks-Bug &amp; CR_Items'!D420</f>
        <v>iWork - CR</v>
      </c>
      <c r="B420" t="str">
        <f>'SOW, Feedbacks-Bug &amp; CR_Items'!E420</f>
        <v>Milestone 6</v>
      </c>
      <c r="C420" t="str">
        <f>TRIM('SOW, Feedbacks-Bug &amp; CR_Items'!F420)</f>
        <v>Yet to start</v>
      </c>
      <c r="D420" t="str">
        <f>IFERROR(VLOOKUP(C420,Config!$A:$B,2,0),"Unknown")</f>
        <v>Not Started</v>
      </c>
      <c r="E420" t="str">
        <f>IFERROR(VLOOKUP(C420,Config!$A:$C,3,0),"N/A")</f>
        <v>Pending</v>
      </c>
      <c r="F420">
        <f>IF('SOW, Feedbacks-Bug &amp; CR_Items'!H420="","",'SOW, Feedbacks-Bug &amp; CR_Items'!H420)</f>
        <v>46133</v>
      </c>
    </row>
    <row r="421" spans="1:6">
      <c r="A421" t="str">
        <f>'SOW, Feedbacks-Bug &amp; CR_Items'!D421</f>
        <v>iWork</v>
      </c>
      <c r="B421" t="str">
        <f>'SOW, Feedbacks-Bug &amp; CR_Items'!E421</f>
        <v>Milestone 6</v>
      </c>
      <c r="C421" t="str">
        <f>TRIM('SOW, Feedbacks-Bug &amp; CR_Items'!F421)</f>
        <v>Yet to start</v>
      </c>
      <c r="D421" t="str">
        <f>IFERROR(VLOOKUP(C421,Config!$A:$B,2,0),"Unknown")</f>
        <v>Not Started</v>
      </c>
      <c r="E421" t="str">
        <f>IFERROR(VLOOKUP(C421,Config!$A:$C,3,0),"N/A")</f>
        <v>Pending</v>
      </c>
      <c r="F421">
        <f>IF('SOW, Feedbacks-Bug &amp; CR_Items'!H421="","",'SOW, Feedbacks-Bug &amp; CR_Items'!H421)</f>
        <v>46234</v>
      </c>
    </row>
    <row r="422" spans="1:6">
      <c r="A422" t="str">
        <f>'SOW, Feedbacks-Bug &amp; CR_Items'!D422</f>
        <v>iWork</v>
      </c>
      <c r="B422" t="str">
        <f>'SOW, Feedbacks-Bug &amp; CR_Items'!E422</f>
        <v>Milestone 6</v>
      </c>
      <c r="C422" t="str">
        <f>TRIM('SOW, Feedbacks-Bug &amp; CR_Items'!F422)</f>
        <v>Yet to start</v>
      </c>
      <c r="D422" t="str">
        <f>IFERROR(VLOOKUP(C422,Config!$A:$B,2,0),"Unknown")</f>
        <v>Not Started</v>
      </c>
      <c r="E422" t="str">
        <f>IFERROR(VLOOKUP(C422,Config!$A:$C,3,0),"N/A")</f>
        <v>Pending</v>
      </c>
      <c r="F422">
        <f>IF('SOW, Feedbacks-Bug &amp; CR_Items'!H422="","",'SOW, Feedbacks-Bug &amp; CR_Items'!H422)</f>
        <v>46235</v>
      </c>
    </row>
    <row r="423" spans="1:6">
      <c r="A423" t="str">
        <f>'SOW, Feedbacks-Bug &amp; CR_Items'!D423</f>
        <v>iWork</v>
      </c>
      <c r="B423" t="str">
        <f>'SOW, Feedbacks-Bug &amp; CR_Items'!E423</f>
        <v>Milestone 6</v>
      </c>
      <c r="C423" t="str">
        <f>TRIM('SOW, Feedbacks-Bug &amp; CR_Items'!F423)</f>
        <v>Yet to start</v>
      </c>
      <c r="D423" t="str">
        <f>IFERROR(VLOOKUP(C423,Config!$A:$B,2,0),"Unknown")</f>
        <v>Not Started</v>
      </c>
      <c r="E423" t="str">
        <f>IFERROR(VLOOKUP(C423,Config!$A:$C,3,0),"N/A")</f>
        <v>Pending</v>
      </c>
      <c r="F423">
        <f>IF('SOW, Feedbacks-Bug &amp; CR_Items'!H423="","",'SOW, Feedbacks-Bug &amp; CR_Items'!H423)</f>
        <v>46188</v>
      </c>
    </row>
    <row r="424" spans="1:6">
      <c r="A424" t="str">
        <f>'SOW, Feedbacks-Bug &amp; CR_Items'!D424</f>
        <v>iWork</v>
      </c>
      <c r="B424" t="str">
        <f>'SOW, Feedbacks-Bug &amp; CR_Items'!E424</f>
        <v>Milestone 6</v>
      </c>
      <c r="C424" t="str">
        <f>TRIM('SOW, Feedbacks-Bug &amp; CR_Items'!F424)</f>
        <v>Yet to start</v>
      </c>
      <c r="D424" t="str">
        <f>IFERROR(VLOOKUP(C424,Config!$A:$B,2,0),"Unknown")</f>
        <v>Not Started</v>
      </c>
      <c r="E424" t="str">
        <f>IFERROR(VLOOKUP(C424,Config!$A:$C,3,0),"N/A")</f>
        <v>Pending</v>
      </c>
      <c r="F424">
        <f>IF('SOW, Feedbacks-Bug &amp; CR_Items'!H424="","",'SOW, Feedbacks-Bug &amp; CR_Items'!H424)</f>
        <v>46235</v>
      </c>
    </row>
    <row r="425" spans="1:6">
      <c r="A425" t="str">
        <f>'SOW, Feedbacks-Bug &amp; CR_Items'!D425</f>
        <v>iWork</v>
      </c>
      <c r="B425" t="str">
        <f>'SOW, Feedbacks-Bug &amp; CR_Items'!E425</f>
        <v>Milestone 6</v>
      </c>
      <c r="C425" t="str">
        <f>TRIM('SOW, Feedbacks-Bug &amp; CR_Items'!F425)</f>
        <v>Yet to start</v>
      </c>
      <c r="D425" t="str">
        <f>IFERROR(VLOOKUP(C425,Config!$A:$B,2,0),"Unknown")</f>
        <v>Not Started</v>
      </c>
      <c r="E425" t="str">
        <f>IFERROR(VLOOKUP(C425,Config!$A:$C,3,0),"N/A")</f>
        <v>Pending</v>
      </c>
      <c r="F425">
        <f>IF('SOW, Feedbacks-Bug &amp; CR_Items'!H425="","",'SOW, Feedbacks-Bug &amp; CR_Items'!H425)</f>
        <v>46235</v>
      </c>
    </row>
    <row r="426" spans="1:6">
      <c r="A426" t="str">
        <f>'SOW, Feedbacks-Bug &amp; CR_Items'!D426</f>
        <v>iWork</v>
      </c>
      <c r="B426" t="str">
        <f>'SOW, Feedbacks-Bug &amp; CR_Items'!E426</f>
        <v>Milestone 6</v>
      </c>
      <c r="C426" t="str">
        <f>TRIM('SOW, Feedbacks-Bug &amp; CR_Items'!F426)</f>
        <v>Yet to start</v>
      </c>
      <c r="D426" t="str">
        <f>IFERROR(VLOOKUP(C426,Config!$A:$B,2,0),"Unknown")</f>
        <v>Not Started</v>
      </c>
      <c r="E426" t="str">
        <f>IFERROR(VLOOKUP(C426,Config!$A:$C,3,0),"N/A")</f>
        <v>Pending</v>
      </c>
      <c r="F426">
        <f>IF('SOW, Feedbacks-Bug &amp; CR_Items'!H426="","",'SOW, Feedbacks-Bug &amp; CR_Items'!H426)</f>
        <v>46235</v>
      </c>
    </row>
    <row r="427" spans="1:6">
      <c r="A427" t="str">
        <f>'SOW, Feedbacks-Bug &amp; CR_Items'!D427</f>
        <v>iWork</v>
      </c>
      <c r="B427" t="str">
        <f>'SOW, Feedbacks-Bug &amp; CR_Items'!E427</f>
        <v>Milestone 6</v>
      </c>
      <c r="C427" t="str">
        <f>TRIM('SOW, Feedbacks-Bug &amp; CR_Items'!F427)</f>
        <v>Yet to start</v>
      </c>
      <c r="D427" t="str">
        <f>IFERROR(VLOOKUP(C427,Config!$A:$B,2,0),"Unknown")</f>
        <v>Not Started</v>
      </c>
      <c r="E427" t="str">
        <f>IFERROR(VLOOKUP(C427,Config!$A:$C,3,0),"N/A")</f>
        <v>Pending</v>
      </c>
      <c r="F427">
        <f>IF('SOW, Feedbacks-Bug &amp; CR_Items'!H427="","",'SOW, Feedbacks-Bug &amp; CR_Items'!H427)</f>
        <v>46235</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A1" sqref="A1"/>
    </sheetView>
  </sheetViews>
  <sheetFormatPr defaultColWidth="9" defaultRowHeight="16.8" outlineLevelCol="2"/>
  <sheetData>
    <row r="1" spans="1:3">
      <c r="A1" t="s">
        <v>17193</v>
      </c>
      <c r="B1" t="s">
        <v>17190</v>
      </c>
      <c r="C1" t="s">
        <v>17191</v>
      </c>
    </row>
    <row r="2" spans="1:3">
      <c r="A2" t="s">
        <v>18</v>
      </c>
      <c r="B2" t="s">
        <v>18</v>
      </c>
      <c r="C2" t="s">
        <v>18</v>
      </c>
    </row>
    <row r="3" spans="1:3">
      <c r="A3" t="s">
        <v>742</v>
      </c>
      <c r="B3" t="s">
        <v>853</v>
      </c>
      <c r="C3" t="s">
        <v>18</v>
      </c>
    </row>
    <row r="4" spans="1:3">
      <c r="A4" t="s">
        <v>30</v>
      </c>
      <c r="B4" t="s">
        <v>853</v>
      </c>
      <c r="C4" t="s">
        <v>18</v>
      </c>
    </row>
    <row r="5" spans="1:3">
      <c r="A5" t="s">
        <v>758</v>
      </c>
      <c r="B5" t="s">
        <v>854</v>
      </c>
      <c r="C5" t="s">
        <v>836</v>
      </c>
    </row>
    <row r="6" spans="1:3">
      <c r="A6" t="s">
        <v>26</v>
      </c>
      <c r="B6" t="s">
        <v>854</v>
      </c>
      <c r="C6" t="s">
        <v>836</v>
      </c>
    </row>
    <row r="7" spans="1:3">
      <c r="A7" t="s">
        <v>35</v>
      </c>
      <c r="B7" t="s">
        <v>855</v>
      </c>
      <c r="C7" t="s">
        <v>836</v>
      </c>
    </row>
    <row r="8" spans="1:3">
      <c r="A8" t="s">
        <v>41</v>
      </c>
      <c r="B8" t="s">
        <v>856</v>
      </c>
      <c r="C8" t="s">
        <v>836</v>
      </c>
    </row>
    <row r="9" spans="1:3">
      <c r="A9" t="s">
        <v>746</v>
      </c>
      <c r="B9" t="s">
        <v>856</v>
      </c>
      <c r="C9" t="s">
        <v>836</v>
      </c>
    </row>
    <row r="10" spans="1:3">
      <c r="A10" t="s">
        <v>38</v>
      </c>
      <c r="B10" t="s">
        <v>857</v>
      </c>
      <c r="C10" t="s">
        <v>836</v>
      </c>
    </row>
    <row r="11" spans="1:3">
      <c r="A11" t="s">
        <v>91</v>
      </c>
      <c r="B11" t="s">
        <v>858</v>
      </c>
      <c r="C11" t="s">
        <v>836</v>
      </c>
    </row>
    <row r="12" spans="1:3">
      <c r="A12" t="s">
        <v>5169</v>
      </c>
      <c r="B12" t="s">
        <v>859</v>
      </c>
      <c r="C12" t="s">
        <v>859</v>
      </c>
    </row>
    <row r="13" spans="1:3">
      <c r="A13" t="s">
        <v>573</v>
      </c>
      <c r="B13" t="s">
        <v>18</v>
      </c>
      <c r="C13" t="s">
        <v>18</v>
      </c>
    </row>
    <row r="14" spans="1:3">
      <c r="A14" t="s">
        <v>150</v>
      </c>
      <c r="B14" t="s">
        <v>18</v>
      </c>
      <c r="C14"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SOW, Feedbacks-Bug &amp; CR_Items</vt:lpstr>
      <vt:lpstr>① Executive Summary</vt:lpstr>
      <vt:lpstr>② Stablization Summary</vt:lpstr>
      <vt:lpstr>📅 27-Jul</vt:lpstr>
      <vt:lpstr>📍 03-Aug</vt:lpstr>
      <vt:lpstr>📅 10-Aug</vt:lpstr>
      <vt:lpstr>📅 Upcoming</vt:lpstr>
      <vt:lpstr>Unplanned (no ETA)</vt:lpstr>
      <vt:lpstr>VRK Feedbacks</vt:lpstr>
      <vt:lpstr>SOW - Actual Items</vt:lpstr>
      <vt:lpstr>Stablization Items</vt:lpstr>
      <vt:lpstr>Jira Report</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dcterms:created xsi:type="dcterms:W3CDTF">2026-03-19T07:09:00Z</dcterms:created>
  <dcterms:modified xsi:type="dcterms:W3CDTF">2026-08-07T00:31:48Z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1033-12.1.26035.26035</vt:lpwstr>
  </property>
</Properties>
</file>