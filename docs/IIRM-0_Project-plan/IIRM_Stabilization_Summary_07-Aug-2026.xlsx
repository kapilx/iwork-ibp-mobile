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560" activeTab="1"/>
  </bookViews>
  <sheets>
    <sheet name="Stabilization - Items" sheetId="1" r:id="rId1"/>
    <sheet name="Stabilization - Summary" sheetId="2" r:id="rId2"/>
    <sheet name="Helper" sheetId="3" state="hidden" r:id="rId3"/>
    <sheet name="Config" sheetId="4" state="hidden" r:id="rId4"/>
  </sheets>
  <definedNames>
    <definedName name="_xlnm._FilterDatabase" localSheetId="0" hidden="1">'Stabilization - Items'!$A$1:$O$61</definedName>
    <definedName name="Z_6CB6AC3D_EE77_4574_A104_53765FCAEFAE_.wvu.FilterData" localSheetId="0" hidden="1">'Stabilization - Items'!$A$1:$N$61</definedName>
    <definedName name="Z_331A609B_20C9_45C2_985F_8D4F15AF6685_.wvu.FilterData" localSheetId="0" hidden="1">'Stabilization - Items'!$A$1:$O$61</definedName>
    <definedName name="Z_9E8CEB81_EE5C_4A50_8F2C_A308CBEC743E_.wvu.FilterData" localSheetId="0" hidden="1">'Stabilization - Items'!$A$1:$O$61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<sst xmlns="http://schemas.openxmlformats.org/spreadsheetml/2006/main" count="636" uniqueCount="160">
  <si>
    <t>Area</t>
  </si>
  <si>
    <t>Feature</t>
  </si>
  <si>
    <t>Functionality</t>
  </si>
  <si>
    <t>Module</t>
  </si>
  <si>
    <t>Phase</t>
  </si>
  <si>
    <t>Status</t>
  </si>
  <si>
    <t>Remarks</t>
  </si>
  <si>
    <t>Requested Date</t>
  </si>
  <si>
    <t>ETA</t>
  </si>
  <si>
    <t>Priority</t>
  </si>
  <si>
    <t>Start Date</t>
  </si>
  <si>
    <t>End Date</t>
  </si>
  <si>
    <t>Resource</t>
  </si>
  <si>
    <t>Jira ID</t>
  </si>
  <si>
    <t>Stablization</t>
  </si>
  <si>
    <t>Business Critical</t>
  </si>
  <si>
    <t>PROD Bug: Dashboard vs RO page - When login user applied the same filters in Dashboard and the same in RO then counts are NO matching - Example Milind in email</t>
  </si>
  <si>
    <t>iWork</t>
  </si>
  <si>
    <t>Milestone 6</t>
  </si>
  <si>
    <t>DEV - WIP</t>
  </si>
  <si>
    <t>High</t>
  </si>
  <si>
    <t>Karan</t>
  </si>
  <si>
    <t>Orphan Records</t>
  </si>
  <si>
    <t>Orphan - Companies - Identifying the records, Validate &amp; Delete</t>
  </si>
  <si>
    <t>Yet to start</t>
  </si>
  <si>
    <t>Gopal / Rama</t>
  </si>
  <si>
    <t>Orphan - Oppotunities - Identifying the records, Validate &amp; Delete</t>
  </si>
  <si>
    <t>Orphan - Policies - Identifying the records, Validate &amp; Delete</t>
  </si>
  <si>
    <t>Migration Data load should be always complete only after manual Performances Job Execution - Continous acitivity</t>
  </si>
  <si>
    <t>Anytime, manual load or adjustments are done, performance job needs to be executed for entire period</t>
  </si>
  <si>
    <t>Rama</t>
  </si>
  <si>
    <t>Dashboard: Having individual component loaders on the landing page for each component and web-socket framework to avoid long-loading blank page issue.</t>
  </si>
  <si>
    <t>Dev - Done</t>
  </si>
  <si>
    <t>Manjusha</t>
  </si>
  <si>
    <t>BizDone &amp; Dashboard: Filters Persistance</t>
  </si>
  <si>
    <t>Delivered</t>
  </si>
  <si>
    <t>Sunil</t>
  </si>
  <si>
    <t>BizDone - Download - User select the desired sheet</t>
  </si>
  <si>
    <t>iWork - CR</t>
  </si>
  <si>
    <t>BizDone - Download - Indian template along with Localization fields</t>
  </si>
  <si>
    <t>UAT - WIP</t>
  </si>
  <si>
    <t>Leela</t>
  </si>
  <si>
    <t>BizDone - Download - Performance (Offload Excel Generation) - API, Queue, Store in S3 &amp; Download</t>
  </si>
  <si>
    <t>BizDone - Applied filters in the Downloaded file in Sheet-1</t>
  </si>
  <si>
    <t>IBP - Risk Watch - Report Issues - Enrolment Drive - Validate, enhance, and document</t>
  </si>
  <si>
    <t>IBP</t>
  </si>
  <si>
    <t>Ravikiran</t>
  </si>
  <si>
    <t>PR is ready, Waiting for nithin to verify</t>
  </si>
  <si>
    <t>The owner selection process remains highly user-unfriendly, with a very small expand ('&gt;') button, incomplete visibility of names, and insufficient hierarchy indentation.</t>
  </si>
  <si>
    <t>Raju</t>
  </si>
  <si>
    <t>BizDone - Old &amp; Enhance Screens - For now both will be live(Metrics)</t>
  </si>
  <si>
    <t xml:space="preserve">Dev - WIP </t>
  </si>
  <si>
    <t>Dashboard &amp; BizDone: Centralised code or utility to fetch the KPIs data for re-usability</t>
  </si>
  <si>
    <t>Dev - WIP</t>
  </si>
  <si>
    <t>Dashboard: Implementation of the dynamic fetching of widgets data without depending on performance output cron job</t>
  </si>
  <si>
    <t>Jagadeesh</t>
  </si>
  <si>
    <t>BizDone &amp; Dashboard - Consider Fee &amp; Rewards as "Brokerage"</t>
  </si>
  <si>
    <t>BizDone - Screen &amp; Download data is not consistent</t>
  </si>
  <si>
    <t>leela</t>
  </si>
  <si>
    <t>IBP - Risk Watch - Company &amp; Policy Levels are not matching (CD, Endorsement, Claims)</t>
  </si>
  <si>
    <t>BizDone - Performance - Query Fine Tuning</t>
  </si>
  <si>
    <t>BizDone &amp; other filters - Multi-select for Vertical &amp; Branch</t>
  </si>
  <si>
    <t>Dashboard - Performance - Query Fine Tuning</t>
  </si>
  <si>
    <t xml:space="preserve">BizDone - Download - Reduce the file size (Ex. Excel binary or others) </t>
  </si>
  <si>
    <t>IBP - Email Notification - Company specific email templates for all types (Welcome, Confirmation, Reminder, Raise Ticket, &amp; Others)</t>
  </si>
  <si>
    <t>iWork/IBP</t>
  </si>
  <si>
    <t>Medium</t>
  </si>
  <si>
    <t>Computed value &amp; Reported values
* Computed values - It’s the real-time values base on Policy inception/endorsement
* Reported values - It’s validated by the mgmt. and share this number to update in the column.
* Reported value MUST be used for the Dashboard &amp; BizDone, which was declared by the company to public.
* In the admin a feature to update the Reported values from the computed values
* Legacy data - Premiums, Brokerage, CD Balance</t>
  </si>
  <si>
    <t>Maintenance</t>
  </si>
  <si>
    <t>Convert Policy from Active to Generated</t>
  </si>
  <si>
    <t>Delete - Policy Configuration</t>
  </si>
  <si>
    <t>iWork - Reports - View Dump for each download for comparision</t>
  </si>
  <si>
    <t>Gopal</t>
  </si>
  <si>
    <t>PROD: Health Check of the Application, Alert notification &amp; Triage the situation</t>
  </si>
  <si>
    <t>Low</t>
  </si>
  <si>
    <t>Delete - Inception/Endorsement Data</t>
  </si>
  <si>
    <t>Employee Mgmt - Create, Update, Delete - Validate and document</t>
  </si>
  <si>
    <t>Hierarchy Mgmt - View &amp; Update - Report &amp; Visual Chart</t>
  </si>
  <si>
    <t>In any of the screen, we have to provide an info icon where it will help the users how critical fields in that screen are derieved or got populated</t>
  </si>
  <si>
    <t>IBP - Go-Live: Check-list document &amp; SOP</t>
  </si>
  <si>
    <t>Nithin</t>
  </si>
  <si>
    <t>iWork - Reports - Use BizDone framework</t>
  </si>
  <si>
    <t>Operational</t>
  </si>
  <si>
    <t>Job - Dashboard - Review, Enhance and document</t>
  </si>
  <si>
    <t>Flag based development / remove job post approval</t>
  </si>
  <si>
    <t>Personal Lines Data Integration (DSR and iWork)</t>
  </si>
  <si>
    <t>Junaid</t>
  </si>
  <si>
    <t>Demo Env. - Stop all the Job; Make sure emails &amp; SMS are working as expected</t>
  </si>
  <si>
    <t>Tharun</t>
  </si>
  <si>
    <t>PROD &amp; Other env.: Database Vaccum - Schedule a periodic acitvity in all the env.</t>
  </si>
  <si>
    <t>Abhilash</t>
  </si>
  <si>
    <t>Demo Env. - Record the application/Infrastruction/DevOps situation when application is in Zero state</t>
  </si>
  <si>
    <t>Tharun / Jagadeesh</t>
  </si>
  <si>
    <t>PROD &amp; Demo Env.: Database - Partitioning</t>
  </si>
  <si>
    <t>Notification Mgmt - Turn on, Turn off, History, Approval, template changes</t>
  </si>
  <si>
    <t>Job - Expiry Opportunity - Review, Enhance and document</t>
  </si>
  <si>
    <t>PROD &amp; Demo Env.: Database - Indexing</t>
  </si>
  <si>
    <t>Job - RO Creation - Review, Enhance and document</t>
  </si>
  <si>
    <t>6-Aug: Surya sir want to discuss thing</t>
  </si>
  <si>
    <t>PROD &amp; Demo Env.: Database - SQL Functions for all the reports</t>
  </si>
  <si>
    <t>PROD Bug: SES - Notifications - Check what is the configuration. (Scenario: For the very first time Email or SMS is taking time then rest are instant)</t>
  </si>
  <si>
    <t>Infra - Season based bumping (Example: When policies are expiring, need to bump the infra/DB because load will be more). Identify the data and plan this acitivity.</t>
  </si>
  <si>
    <t>Optimal allocate the memory/infra size based on the service operational usage rather than generic size for all</t>
  </si>
  <si>
    <t>Split Service - Risk Watch because it should run on it own and NOT impact other iWork or IBP services</t>
  </si>
  <si>
    <t>Split Service - Identify service areas because either iWork or IBP utilization should not impact other services</t>
  </si>
  <si>
    <t>Reports - iWork - Validate, enhance, and document</t>
  </si>
  <si>
    <t>Policy Config - Premium Rater Table</t>
  </si>
  <si>
    <t>CMS - Policy Level - Component Notes from Strapi</t>
  </si>
  <si>
    <t>Ex. TL - Parental 2-years Lock-in; SI may vary</t>
  </si>
  <si>
    <t>Automation process for Data Load (Gopal &amp; Rama's Task)</t>
  </si>
  <si>
    <t>Export to excel - iWork all the results table; Download is on Previlage</t>
  </si>
  <si>
    <t>Export - IBP-Risk Watch - All the results/Widget must be downloadable based onn Previlage</t>
  </si>
  <si>
    <t xml:space="preserve">Email Notifications - Policy Renewals - CRM users &amp; Insurer Contact </t>
  </si>
  <si>
    <t>Email Notifications - Opty. Lost/ Policy Renewals/ Instalments - CRM users</t>
  </si>
  <si>
    <t>Add/Update - Address &amp; Contact - Across Application</t>
  </si>
  <si>
    <t>STABILIZATION — STATUS OVERVIEW</t>
  </si>
  <si>
    <t>Stabilization Area  |  Break-up by Feature   ·   As of 07-Aug-2026</t>
  </si>
  <si>
    <t>OVERALL COMPLETION</t>
  </si>
  <si>
    <t>REMAINING WORK</t>
  </si>
  <si>
    <t>Stabilization items still to deliver, broken up by Feature below</t>
  </si>
  <si>
    <t>STATUS BREAKDOWN  (Stabilization items)</t>
  </si>
  <si>
    <t>Dev Complete</t>
  </si>
  <si>
    <t>In Development</t>
  </si>
  <si>
    <t>In QA</t>
  </si>
  <si>
    <t>Pre-PROD / UAT</t>
  </si>
  <si>
    <t>Not Started</t>
  </si>
  <si>
    <t>Partial Delivery</t>
  </si>
  <si>
    <t>N/A</t>
  </si>
  <si>
    <t>BREAKDOWN BY FEATURE</t>
  </si>
  <si>
    <t>Total</t>
  </si>
  <si>
    <t>Pending</t>
  </si>
  <si>
    <t>% Complete</t>
  </si>
  <si>
    <t>Progress</t>
  </si>
  <si>
    <t>TOTAL</t>
  </si>
  <si>
    <t>Scope: rows where Area = 'Stablization' in the source sheet.  % Complete = Delivered ÷ (Delivered + Pending).  N/A items excluded.  Counts update live from the source sheet; re-run the script only if a new Feature value is added under this Area (to add its row here).</t>
  </si>
  <si>
    <t>PRIORITY vs STATUS</t>
  </si>
  <si>
    <t>Unknown</t>
  </si>
  <si>
    <t>Scope: rows where Area = 'Stablization', grouped by the 'Priority' column. Counts update live from the source sheet; re-run the script only if a new Priority value is used (to add its row here).</t>
  </si>
  <si>
    <t>DAILY PROGRESS  —  toward the 14-Aug-2026 deadline</t>
  </si>
  <si>
    <t>Date</t>
  </si>
  <si>
    <t>Planned Delivered</t>
  </si>
  <si>
    <t>Planned Pending</t>
  </si>
  <si>
    <t>Delivered Today</t>
  </si>
  <si>
    <t>Ahead/Behind Plan</t>
  </si>
  <si>
    <t>Days Left</t>
  </si>
  <si>
    <t>Req. Pace/day</t>
  </si>
  <si>
    <t>—</t>
  </si>
  <si>
    <t>Unplanned (no ETA / ETA beyond 14-Aug)</t>
  </si>
  <si>
    <t>Scope: only the 35 Stablization items with an ETA on or before 14-Aug-2026 — that's the actual plan for this deadline. Planned Delivered/Pending = cumulative count of those items due on or before that day, from their real ETA dates (not a smoothed ramp); recomputed every run, so it shifts if ETAs or the item set change. Ahead/Behind Plan = Delivered − Planned Delivered for that day. The 25 item(s) with no ETA (or an ETA after 14-Aug) are listed above, not counted toward this deadline.</t>
  </si>
  <si>
    <t>Category</t>
  </si>
  <si>
    <t>Bucket</t>
  </si>
  <si>
    <t>ReqDate</t>
  </si>
  <si>
    <t>Status_Raw</t>
  </si>
  <si>
    <t>DEV - Done</t>
  </si>
  <si>
    <t>QA - WIP</t>
  </si>
  <si>
    <t>Pre-PROD</t>
  </si>
  <si>
    <t>Delivered - Deficit</t>
  </si>
  <si>
    <t>Duplicate</t>
  </si>
  <si>
    <t>Not a bug</t>
  </si>
  <si>
    <t>Not in scope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</si>
</sst>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\-yyyy"/>
    <numFmt numFmtId="177" formatCode="[$-409]d\-mmm\-yyyy"/>
    <numFmt numFmtId="178" formatCode="d\-mmm\-yyyy"/>
  </numFmts>
  <fonts count="55">
    <font>
      <sz val="11"/>
      <color theme="1"/>
      <name val="Calibri"/>
      <charset val="134"/>
      <scheme val="minor"/>
    </font>
    <font>
      <b/>
      <sz val="22"/>
      <color rgb="FFFFFFFF"/>
      <name val="Arial"/>
      <charset val="134"/>
    </font>
    <font>
      <sz val="10"/>
      <color rgb="FFC9D3DD"/>
      <name val="Arial"/>
      <charset val="134"/>
    </font>
    <font>
      <b/>
      <sz val="11"/>
      <color rgb="FF3D3D3D"/>
      <name val="Arial"/>
      <charset val="134"/>
    </font>
    <font>
      <b/>
      <sz val="44"/>
      <color rgb="FF375623"/>
      <name val="Arial"/>
      <charset val="134"/>
    </font>
    <font>
      <b/>
      <sz val="13"/>
      <color rgb="FF3D3D3D"/>
      <name val="Arial"/>
      <charset val="134"/>
    </font>
    <font>
      <b/>
      <sz val="44"/>
      <color rgb="FF9C0006"/>
      <name val="Arial"/>
      <charset val="134"/>
    </font>
    <font>
      <b/>
      <sz val="11"/>
      <color rgb="FFFFFFFF"/>
      <name val="Arial"/>
      <charset val="134"/>
    </font>
    <font>
      <b/>
      <sz val="20"/>
      <color rgb="FF375623"/>
      <name val="Arial"/>
      <charset val="134"/>
    </font>
    <font>
      <b/>
      <sz val="20"/>
      <color rgb="FF006B6B"/>
      <name val="Arial"/>
      <charset val="134"/>
    </font>
    <font>
      <b/>
      <sz val="20"/>
      <color rgb="FF1F4E79"/>
      <name val="Arial"/>
      <charset val="134"/>
    </font>
    <font>
      <b/>
      <sz val="20"/>
      <color rgb="FF2E5F8A"/>
      <name val="Arial"/>
      <charset val="134"/>
    </font>
    <font>
      <b/>
      <sz val="8"/>
      <color rgb="FF375623"/>
      <name val="Arial"/>
      <charset val="134"/>
    </font>
    <font>
      <b/>
      <sz val="8"/>
      <color rgb="FF006B6B"/>
      <name val="Arial"/>
      <charset val="134"/>
    </font>
    <font>
      <b/>
      <sz val="8"/>
      <color rgb="FF1F4E79"/>
      <name val="Arial"/>
      <charset val="134"/>
    </font>
    <font>
      <b/>
      <sz val="8"/>
      <color rgb="FF2E5F8A"/>
      <name val="Arial"/>
      <charset val="134"/>
    </font>
    <font>
      <b/>
      <sz val="20"/>
      <color rgb="FF843C0C"/>
      <name val="Arial"/>
      <charset val="134"/>
    </font>
    <font>
      <b/>
      <sz val="20"/>
      <color rgb="FF9C0006"/>
      <name val="Arial"/>
      <charset val="134"/>
    </font>
    <font>
      <b/>
      <sz val="20"/>
      <color rgb="FF7F6000"/>
      <name val="Arial"/>
      <charset val="134"/>
    </font>
    <font>
      <b/>
      <sz val="20"/>
      <color rgb="FF595959"/>
      <name val="Arial"/>
      <charset val="134"/>
    </font>
    <font>
      <b/>
      <sz val="8"/>
      <color rgb="FF843C0C"/>
      <name val="Arial"/>
      <charset val="134"/>
    </font>
    <font>
      <b/>
      <sz val="8"/>
      <color rgb="FF9C0006"/>
      <name val="Arial"/>
      <charset val="134"/>
    </font>
    <font>
      <b/>
      <sz val="8"/>
      <color rgb="FF7F6000"/>
      <name val="Arial"/>
      <charset val="134"/>
    </font>
    <font>
      <b/>
      <sz val="8"/>
      <color rgb="FF595959"/>
      <name val="Arial"/>
      <charset val="134"/>
    </font>
    <font>
      <b/>
      <sz val="9"/>
      <color rgb="FFFFFFFF"/>
      <name val="Arial"/>
      <charset val="134"/>
    </font>
    <font>
      <sz val="9"/>
      <color rgb="FF3D3D3D"/>
      <name val="Arial"/>
      <charset val="134"/>
    </font>
    <font>
      <b/>
      <sz val="9"/>
      <color rgb="FF375623"/>
      <name val="Arial"/>
      <charset val="134"/>
    </font>
    <font>
      <b/>
      <sz val="9"/>
      <color rgb="FF9C0006"/>
      <name val="Arial"/>
      <charset val="134"/>
    </font>
    <font>
      <sz val="8"/>
      <color rgb="FF7A7A7A"/>
      <name val="Arial"/>
      <charset val="134"/>
    </font>
    <font>
      <b/>
      <sz val="8"/>
      <color rgb="FFFFFFFF"/>
      <name val="Arial"/>
      <charset val="134"/>
    </font>
    <font>
      <b/>
      <sz val="9"/>
      <color rgb="FF3D3D3D"/>
      <name val="Arial"/>
      <charset val="134"/>
    </font>
    <font>
      <b/>
      <sz val="9"/>
      <color rgb="FF7F600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rgb="FFFFFFFF"/>
      <name val="Arial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2E4057"/>
        <bgColor indexed="64"/>
      </patternFill>
    </fill>
    <fill>
      <patternFill patternType="solid">
        <fgColor rgb="FF1A2E4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7ED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DEEE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4F0F0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3D3D3D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FE3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theme="1"/>
        <bgColor theme="1"/>
      </patternFill>
    </fill>
    <fill>
      <patternFill patternType="solid">
        <fgColor theme="5"/>
        <bgColor theme="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0" fillId="26" borderId="4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5">
      <alignment vertical="center"/>
    </xf>
    <xf numFmtId="0" fontId="42" fillId="0" borderId="5">
      <alignment vertical="center"/>
    </xf>
    <xf numFmtId="0" fontId="43" fillId="0" borderId="6">
      <alignment vertical="center"/>
    </xf>
    <xf numFmtId="0" fontId="43" fillId="0" borderId="0">
      <alignment vertical="center"/>
    </xf>
    <xf numFmtId="0" fontId="44" fillId="27" borderId="7">
      <alignment vertical="center"/>
    </xf>
    <xf numFmtId="0" fontId="45" fillId="20" borderId="8">
      <alignment vertical="center"/>
    </xf>
    <xf numFmtId="0" fontId="46" fillId="20" borderId="7">
      <alignment vertical="center"/>
    </xf>
    <xf numFmtId="0" fontId="47" fillId="28" borderId="9">
      <alignment vertical="center"/>
    </xf>
    <xf numFmtId="0" fontId="48" fillId="0" borderId="10">
      <alignment vertical="center"/>
    </xf>
    <xf numFmtId="0" fontId="49" fillId="0" borderId="11">
      <alignment vertical="center"/>
    </xf>
    <xf numFmtId="0" fontId="50" fillId="29" borderId="0">
      <alignment vertical="center"/>
    </xf>
    <xf numFmtId="0" fontId="51" fillId="6" borderId="0">
      <alignment vertical="center"/>
    </xf>
    <xf numFmtId="0" fontId="52" fillId="13" borderId="0">
      <alignment vertical="center"/>
    </xf>
    <xf numFmtId="0" fontId="53" fillId="30" borderId="0">
      <alignment vertical="center"/>
    </xf>
    <xf numFmtId="0" fontId="54" fillId="31" borderId="0">
      <alignment vertical="center"/>
    </xf>
    <xf numFmtId="0" fontId="54" fillId="32" borderId="0">
      <alignment vertical="center"/>
    </xf>
    <xf numFmtId="0" fontId="53" fillId="33" borderId="0">
      <alignment vertical="center"/>
    </xf>
    <xf numFmtId="0" fontId="53" fillId="34" borderId="0">
      <alignment vertical="center"/>
    </xf>
    <xf numFmtId="0" fontId="54" fillId="35" borderId="0">
      <alignment vertical="center"/>
    </xf>
    <xf numFmtId="0" fontId="54" fillId="36" borderId="0">
      <alignment vertical="center"/>
    </xf>
    <xf numFmtId="0" fontId="53" fillId="37" borderId="0">
      <alignment vertical="center"/>
    </xf>
    <xf numFmtId="0" fontId="53" fillId="38" borderId="0">
      <alignment vertical="center"/>
    </xf>
    <xf numFmtId="0" fontId="54" fillId="39" borderId="0">
      <alignment vertical="center"/>
    </xf>
    <xf numFmtId="0" fontId="54" fillId="40" borderId="0">
      <alignment vertical="center"/>
    </xf>
    <xf numFmtId="0" fontId="53" fillId="41" borderId="0">
      <alignment vertical="center"/>
    </xf>
    <xf numFmtId="0" fontId="53" fillId="42" borderId="0">
      <alignment vertical="center"/>
    </xf>
    <xf numFmtId="0" fontId="54" fillId="43" borderId="0">
      <alignment vertical="center"/>
    </xf>
    <xf numFmtId="0" fontId="54" fillId="44" borderId="0">
      <alignment vertical="center"/>
    </xf>
    <xf numFmtId="0" fontId="53" fillId="45" borderId="0">
      <alignment vertical="center"/>
    </xf>
    <xf numFmtId="0" fontId="53" fillId="46" borderId="0">
      <alignment vertical="center"/>
    </xf>
    <xf numFmtId="0" fontId="54" fillId="47" borderId="0">
      <alignment vertical="center"/>
    </xf>
    <xf numFmtId="0" fontId="54" fillId="48" borderId="0">
      <alignment vertical="center"/>
    </xf>
    <xf numFmtId="0" fontId="53" fillId="49" borderId="0">
      <alignment vertical="center"/>
    </xf>
    <xf numFmtId="0" fontId="53" fillId="50" borderId="0">
      <alignment vertical="center"/>
    </xf>
    <xf numFmtId="0" fontId="54" fillId="51" borderId="0">
      <alignment vertical="center"/>
    </xf>
    <xf numFmtId="0" fontId="54" fillId="52" borderId="0">
      <alignment vertical="center"/>
    </xf>
    <xf numFmtId="0" fontId="53" fillId="53" borderId="0">
      <alignment vertical="center"/>
    </xf>
  </cellStyleXfs>
  <cellXfs count="8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9" fontId="4" fillId="4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19" fillId="14" borderId="0" xfId="0" applyFont="1" applyFill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22" fillId="13" borderId="0" xfId="0" applyFont="1" applyFill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0" fontId="24" fillId="15" borderId="1" xfId="0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horizontal="center" vertical="center"/>
    </xf>
    <xf numFmtId="0" fontId="0" fillId="0" borderId="1" xfId="0" applyBorder="1"/>
    <xf numFmtId="0" fontId="25" fillId="16" borderId="1" xfId="0" applyFont="1" applyFill="1" applyBorder="1" applyAlignment="1">
      <alignment horizontal="left" vertical="center"/>
    </xf>
    <xf numFmtId="0" fontId="25" fillId="16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7" fillId="17" borderId="1" xfId="0" applyFont="1" applyFill="1" applyBorder="1" applyAlignment="1">
      <alignment horizontal="center" vertical="center"/>
    </xf>
    <xf numFmtId="9" fontId="25" fillId="16" borderId="1" xfId="0" applyNumberFormat="1" applyFont="1" applyFill="1" applyBorder="1" applyAlignment="1">
      <alignment horizontal="center" vertical="center"/>
    </xf>
    <xf numFmtId="0" fontId="25" fillId="18" borderId="1" xfId="0" applyFont="1" applyFill="1" applyBorder="1" applyAlignment="1">
      <alignment horizontal="left" vertical="center"/>
    </xf>
    <xf numFmtId="0" fontId="25" fillId="18" borderId="1" xfId="0" applyFont="1" applyFill="1" applyBorder="1" applyAlignment="1">
      <alignment horizontal="center" vertical="center"/>
    </xf>
    <xf numFmtId="9" fontId="25" fillId="18" borderId="1" xfId="0" applyNumberFormat="1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center" vertical="center"/>
    </xf>
    <xf numFmtId="9" fontId="24" fillId="2" borderId="1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23" fillId="14" borderId="1" xfId="0" applyFont="1" applyFill="1" applyBorder="1" applyAlignment="1">
      <alignment horizontal="center" vertical="center" wrapText="1"/>
    </xf>
    <xf numFmtId="0" fontId="29" fillId="19" borderId="1" xfId="0" applyFont="1" applyFill="1" applyBorder="1" applyAlignment="1">
      <alignment horizontal="center" vertical="center" wrapText="1"/>
    </xf>
    <xf numFmtId="0" fontId="30" fillId="20" borderId="1" xfId="0" applyFont="1" applyFill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0" fontId="31" fillId="13" borderId="1" xfId="0" applyFont="1" applyFill="1" applyBorder="1" applyAlignment="1">
      <alignment horizontal="center" vertical="center"/>
    </xf>
    <xf numFmtId="176" fontId="25" fillId="0" borderId="1" xfId="0" applyNumberFormat="1" applyFont="1" applyBorder="1" applyAlignment="1">
      <alignment horizontal="left" vertical="center"/>
    </xf>
    <xf numFmtId="0" fontId="25" fillId="10" borderId="1" xfId="0" applyFont="1" applyFill="1" applyBorder="1" applyAlignment="1">
      <alignment horizontal="center" vertical="center"/>
    </xf>
    <xf numFmtId="9" fontId="25" fillId="0" borderId="1" xfId="0" applyNumberFormat="1" applyFont="1" applyBorder="1" applyAlignment="1">
      <alignment horizontal="center" vertical="center"/>
    </xf>
    <xf numFmtId="0" fontId="25" fillId="14" borderId="1" xfId="0" applyFont="1" applyFill="1" applyBorder="1" applyAlignment="1">
      <alignment horizontal="center" vertical="center"/>
    </xf>
    <xf numFmtId="0" fontId="31" fillId="13" borderId="1" xfId="0" applyFont="1" applyFill="1" applyBorder="1" applyAlignment="1">
      <alignment horizontal="left" vertical="center"/>
    </xf>
    <xf numFmtId="0" fontId="32" fillId="21" borderId="2" xfId="0" applyFont="1" applyFill="1" applyBorder="1" applyAlignment="1">
      <alignment horizontal="left" vertical="top" wrapText="1" readingOrder="1"/>
    </xf>
    <xf numFmtId="0" fontId="33" fillId="21" borderId="2" xfId="0" applyFont="1" applyFill="1" applyBorder="1" applyAlignment="1">
      <alignment horizontal="left" vertical="top" wrapText="1" readingOrder="1"/>
    </xf>
    <xf numFmtId="0" fontId="34" fillId="22" borderId="2" xfId="0" applyFont="1" applyFill="1" applyBorder="1" applyAlignment="1">
      <alignment horizontal="left" vertical="top" wrapText="1" readingOrder="1"/>
    </xf>
    <xf numFmtId="177" fontId="32" fillId="23" borderId="2" xfId="0" applyNumberFormat="1" applyFont="1" applyFill="1" applyBorder="1" applyAlignment="1">
      <alignment horizontal="left" vertical="top" wrapText="1" readingOrder="1"/>
    </xf>
    <xf numFmtId="177" fontId="34" fillId="24" borderId="2" xfId="0" applyNumberFormat="1" applyFont="1" applyFill="1" applyBorder="1" applyAlignment="1">
      <alignment horizontal="left" vertical="top" wrapText="1" readingOrder="1"/>
    </xf>
    <xf numFmtId="177" fontId="34" fillId="25" borderId="2" xfId="0" applyNumberFormat="1" applyFont="1" applyFill="1" applyBorder="1" applyAlignment="1">
      <alignment horizontal="left" vertical="top" readingOrder="1"/>
    </xf>
    <xf numFmtId="177" fontId="34" fillId="25" borderId="2" xfId="0" applyNumberFormat="1" applyFont="1" applyFill="1" applyBorder="1" applyAlignment="1">
      <alignment horizontal="left" vertical="top" wrapText="1" readingOrder="1"/>
    </xf>
    <xf numFmtId="0" fontId="32" fillId="21" borderId="2" xfId="0" applyFont="1" applyFill="1" applyBorder="1" applyAlignment="1">
      <alignment vertical="top"/>
    </xf>
    <xf numFmtId="0" fontId="33" fillId="0" borderId="0" xfId="0" applyFont="1" applyAlignment="1">
      <alignment vertical="top"/>
    </xf>
    <xf numFmtId="0" fontId="33" fillId="0" borderId="2" xfId="0" applyFont="1" applyBorder="1" applyAlignment="1">
      <alignment horizontal="left" vertical="top" wrapText="1" readingOrder="1"/>
    </xf>
    <xf numFmtId="177" fontId="33" fillId="0" borderId="2" xfId="0" applyNumberFormat="1" applyFont="1" applyBorder="1" applyAlignment="1">
      <alignment horizontal="right" vertical="top" wrapText="1" readingOrder="1"/>
    </xf>
    <xf numFmtId="0" fontId="33" fillId="0" borderId="2" xfId="0" applyFont="1" applyBorder="1" applyAlignment="1">
      <alignment horizontal="left" vertical="top" readingOrder="1"/>
    </xf>
    <xf numFmtId="178" fontId="33" fillId="0" borderId="2" xfId="0" applyNumberFormat="1" applyFont="1" applyBorder="1" applyAlignment="1">
      <alignment horizontal="right" vertical="top" wrapText="1" readingOrder="1"/>
    </xf>
    <xf numFmtId="0" fontId="33" fillId="0" borderId="2" xfId="0" applyFont="1" applyBorder="1"/>
    <xf numFmtId="0" fontId="33" fillId="0" borderId="0" xfId="0" applyFont="1"/>
    <xf numFmtId="0" fontId="33" fillId="0" borderId="3" xfId="0" applyFont="1" applyBorder="1" applyAlignment="1">
      <alignment horizontal="left" vertical="top" wrapText="1" readingOrder="1"/>
    </xf>
    <xf numFmtId="0" fontId="33" fillId="0" borderId="2" xfId="0" applyFont="1" applyBorder="1" applyAlignment="1">
      <alignment vertical="top" wrapText="1"/>
    </xf>
    <xf numFmtId="0" fontId="33" fillId="0" borderId="2" xfId="0" applyFont="1" applyBorder="1" applyAlignment="1">
      <alignment horizontal="left" vertical="top" wrapText="1"/>
    </xf>
    <xf numFmtId="0" fontId="33" fillId="0" borderId="0" xfId="0" applyFont="1" applyAlignment="1">
      <alignment horizontal="left" vertical="top" wrapText="1" readingOrder="1"/>
    </xf>
    <xf numFmtId="177" fontId="33" fillId="0" borderId="0" xfId="0" applyNumberFormat="1" applyFont="1" applyAlignment="1">
      <alignment horizontal="left" vertical="top" wrapText="1" readingOrder="1"/>
    </xf>
    <xf numFmtId="177" fontId="33" fillId="0" borderId="0" xfId="0" applyNumberFormat="1" applyFont="1" applyAlignment="1">
      <alignment horizontal="left" vertical="top" readingOrder="1"/>
    </xf>
    <xf numFmtId="0" fontId="33" fillId="0" borderId="0" xfId="0" applyFont="1" applyAlignment="1">
      <alignment horizontal="left" wrapText="1" readingOrder="1"/>
    </xf>
    <xf numFmtId="177" fontId="33" fillId="0" borderId="0" xfId="0" applyNumberFormat="1" applyFont="1" applyAlignment="1">
      <alignment horizontal="left" wrapText="1" readingOrder="1"/>
    </xf>
    <xf numFmtId="177" fontId="33" fillId="0" borderId="0" xfId="0" applyNumberFormat="1" applyFont="1" applyAlignment="1">
      <alignment horizontal="left" readingOrder="1"/>
    </xf>
    <xf numFmtId="0" fontId="33" fillId="0" borderId="0" xfId="0" applyFont="1" applyAlignment="1">
      <alignment wrapText="1"/>
    </xf>
    <xf numFmtId="177" fontId="33" fillId="0" borderId="0" xfId="0" applyNumberFormat="1" applyFont="1"/>
    <xf numFmtId="177" fontId="33" fillId="0" borderId="0" xfId="0" applyNumberFormat="1" applyFont="1" applyAlignment="1">
      <alignment horizontal="left"/>
    </xf>
    <xf numFmtId="0" fontId="3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900"/>
  </sheetPr>
  <dimension ref="A1:Z636"/>
  <sheetViews>
    <sheetView showGridLines="0" workbookViewId="0">
      <pane ySplit="1" topLeftCell="A37" activePane="bottomLeft" state="frozen"/>
      <selection/>
      <selection pane="bottomLeft" activeCell="A5" sqref="A5"/>
    </sheetView>
  </sheetViews>
  <sheetFormatPr defaultColWidth="14.4296875" defaultRowHeight="16.8"/>
  <cols>
    <col min="1" max="1" width="21.5703125" customWidth="1"/>
    <col min="2" max="2" width="22.140625" customWidth="1"/>
    <col min="3" max="3" width="64.7109375" customWidth="1"/>
    <col min="4" max="4" width="10.7109375" customWidth="1"/>
    <col min="5" max="5" width="10.859375" customWidth="1"/>
    <col min="6" max="6" width="10.7109375" customWidth="1"/>
    <col min="7" max="7" width="20.4296875" customWidth="1"/>
    <col min="8" max="8" width="13.7109375" customWidth="1"/>
    <col min="9" max="9" width="12.4296875" customWidth="1"/>
    <col min="10" max="10" width="10.7109375" customWidth="1"/>
    <col min="11" max="11" width="13" customWidth="1"/>
    <col min="12" max="12" width="12.2890625" customWidth="1"/>
    <col min="13" max="13" width="13.2890625" customWidth="1"/>
    <col min="14" max="14" width="18.859375" customWidth="1"/>
    <col min="15" max="15" width="33.140625" customWidth="1"/>
  </cols>
  <sheetData>
    <row r="1" spans="1:26">
      <c r="A1" s="57" t="s">
        <v>0</v>
      </c>
      <c r="B1" s="57" t="s">
        <v>1</v>
      </c>
      <c r="C1" s="57" t="s">
        <v>2</v>
      </c>
      <c r="D1" s="58" t="s">
        <v>3</v>
      </c>
      <c r="E1" s="57" t="s">
        <v>4</v>
      </c>
      <c r="F1" s="59" t="s">
        <v>5</v>
      </c>
      <c r="G1" s="59" t="s">
        <v>6</v>
      </c>
      <c r="H1" s="60" t="s">
        <v>7</v>
      </c>
      <c r="I1" s="61" t="s">
        <v>8</v>
      </c>
      <c r="J1" s="62" t="s">
        <v>9</v>
      </c>
      <c r="K1" s="63" t="s">
        <v>10</v>
      </c>
      <c r="L1" s="63" t="s">
        <v>11</v>
      </c>
      <c r="M1" s="59" t="s">
        <v>12</v>
      </c>
      <c r="N1" s="64" t="s">
        <v>13</v>
      </c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29" customHeight="1" spans="1:26">
      <c r="A2" s="66" t="s">
        <v>14</v>
      </c>
      <c r="B2" s="66" t="s">
        <v>15</v>
      </c>
      <c r="C2" s="66" t="s">
        <v>16</v>
      </c>
      <c r="D2" s="66" t="s">
        <v>17</v>
      </c>
      <c r="E2" s="66" t="s">
        <v>18</v>
      </c>
      <c r="F2" s="66" t="s">
        <v>19</v>
      </c>
      <c r="G2" s="66"/>
      <c r="H2" s="67">
        <v>46240</v>
      </c>
      <c r="I2" s="67">
        <v>46240</v>
      </c>
      <c r="J2" s="68" t="s">
        <v>20</v>
      </c>
      <c r="K2" s="69"/>
      <c r="L2" s="69"/>
      <c r="M2" s="66" t="s">
        <v>21</v>
      </c>
      <c r="N2" s="70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spans="1:26">
      <c r="A3" s="66" t="s">
        <v>14</v>
      </c>
      <c r="B3" s="66" t="s">
        <v>22</v>
      </c>
      <c r="C3" s="66" t="s">
        <v>23</v>
      </c>
      <c r="D3" s="66" t="s">
        <v>17</v>
      </c>
      <c r="E3" s="66" t="s">
        <v>18</v>
      </c>
      <c r="F3" s="66" t="s">
        <v>24</v>
      </c>
      <c r="G3" s="66"/>
      <c r="H3" s="67">
        <v>46240</v>
      </c>
      <c r="I3" s="67">
        <v>46245</v>
      </c>
      <c r="J3" s="68" t="s">
        <v>20</v>
      </c>
      <c r="K3" s="69">
        <v>46241</v>
      </c>
      <c r="L3" s="67">
        <v>46245</v>
      </c>
      <c r="M3" s="66" t="s">
        <v>25</v>
      </c>
      <c r="N3" s="70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spans="1:26">
      <c r="A4" s="66" t="s">
        <v>14</v>
      </c>
      <c r="B4" s="66" t="s">
        <v>22</v>
      </c>
      <c r="C4" s="66" t="s">
        <v>26</v>
      </c>
      <c r="D4" s="66" t="s">
        <v>17</v>
      </c>
      <c r="E4" s="66" t="s">
        <v>18</v>
      </c>
      <c r="F4" s="66" t="s">
        <v>24</v>
      </c>
      <c r="G4" s="66"/>
      <c r="H4" s="67">
        <v>46240</v>
      </c>
      <c r="I4" s="67">
        <v>46245</v>
      </c>
      <c r="J4" s="68" t="s">
        <v>20</v>
      </c>
      <c r="K4" s="69">
        <v>46241</v>
      </c>
      <c r="L4" s="67">
        <v>46245</v>
      </c>
      <c r="M4" s="66" t="s">
        <v>25</v>
      </c>
      <c r="N4" s="70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spans="1:26">
      <c r="A5" s="66" t="s">
        <v>14</v>
      </c>
      <c r="B5" s="66" t="s">
        <v>22</v>
      </c>
      <c r="C5" s="66" t="s">
        <v>27</v>
      </c>
      <c r="D5" s="66" t="s">
        <v>17</v>
      </c>
      <c r="E5" s="66" t="s">
        <v>18</v>
      </c>
      <c r="F5" s="66" t="s">
        <v>24</v>
      </c>
      <c r="G5" s="66"/>
      <c r="H5" s="67">
        <v>46240</v>
      </c>
      <c r="I5" s="67">
        <v>46245</v>
      </c>
      <c r="J5" s="68" t="s">
        <v>20</v>
      </c>
      <c r="K5" s="69">
        <v>46241</v>
      </c>
      <c r="L5" s="67">
        <v>46245</v>
      </c>
      <c r="M5" s="66" t="s">
        <v>25</v>
      </c>
      <c r="N5" s="70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ht="72" customHeight="1" spans="1:26">
      <c r="A6" s="66" t="s">
        <v>14</v>
      </c>
      <c r="B6" s="66" t="s">
        <v>15</v>
      </c>
      <c r="C6" s="66" t="s">
        <v>28</v>
      </c>
      <c r="D6" s="66" t="s">
        <v>17</v>
      </c>
      <c r="E6" s="66" t="s">
        <v>18</v>
      </c>
      <c r="F6" s="66" t="s">
        <v>19</v>
      </c>
      <c r="G6" s="66" t="s">
        <v>29</v>
      </c>
      <c r="H6" s="67">
        <v>46235</v>
      </c>
      <c r="I6" s="67">
        <v>46237</v>
      </c>
      <c r="J6" s="68" t="s">
        <v>20</v>
      </c>
      <c r="K6" s="67">
        <v>46237</v>
      </c>
      <c r="L6" s="67">
        <v>46237</v>
      </c>
      <c r="M6" s="66" t="s">
        <v>30</v>
      </c>
      <c r="N6" s="70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ht="29" customHeight="1" spans="1:26">
      <c r="A7" s="66" t="s">
        <v>14</v>
      </c>
      <c r="B7" s="66" t="s">
        <v>15</v>
      </c>
      <c r="C7" s="66" t="s">
        <v>31</v>
      </c>
      <c r="D7" s="66" t="s">
        <v>17</v>
      </c>
      <c r="E7" s="66" t="s">
        <v>18</v>
      </c>
      <c r="F7" s="66" t="s">
        <v>32</v>
      </c>
      <c r="G7" s="66"/>
      <c r="H7" s="67">
        <v>46235</v>
      </c>
      <c r="I7" s="67">
        <v>46238</v>
      </c>
      <c r="J7" s="68" t="s">
        <v>20</v>
      </c>
      <c r="K7" s="67">
        <v>46237</v>
      </c>
      <c r="L7" s="67">
        <v>46238</v>
      </c>
      <c r="M7" s="66" t="s">
        <v>33</v>
      </c>
      <c r="N7" s="70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spans="1:26">
      <c r="A8" s="66" t="s">
        <v>14</v>
      </c>
      <c r="B8" s="66" t="s">
        <v>15</v>
      </c>
      <c r="C8" s="66" t="s">
        <v>34</v>
      </c>
      <c r="D8" s="66" t="s">
        <v>17</v>
      </c>
      <c r="E8" s="66" t="s">
        <v>18</v>
      </c>
      <c r="F8" s="66" t="s">
        <v>35</v>
      </c>
      <c r="G8" s="66"/>
      <c r="H8" s="67">
        <v>46235</v>
      </c>
      <c r="I8" s="67">
        <v>46238</v>
      </c>
      <c r="J8" s="68" t="s">
        <v>20</v>
      </c>
      <c r="K8" s="67">
        <v>46238</v>
      </c>
      <c r="L8" s="67">
        <v>46238</v>
      </c>
      <c r="M8" s="66" t="s">
        <v>36</v>
      </c>
      <c r="N8" s="70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spans="1:26">
      <c r="A9" s="66" t="s">
        <v>14</v>
      </c>
      <c r="B9" s="66" t="s">
        <v>15</v>
      </c>
      <c r="C9" s="66" t="s">
        <v>37</v>
      </c>
      <c r="D9" s="66" t="s">
        <v>38</v>
      </c>
      <c r="E9" s="66" t="s">
        <v>18</v>
      </c>
      <c r="F9" s="66" t="s">
        <v>35</v>
      </c>
      <c r="G9" s="66"/>
      <c r="H9" s="67">
        <v>46235</v>
      </c>
      <c r="I9" s="69">
        <v>46238</v>
      </c>
      <c r="J9" s="68" t="s">
        <v>20</v>
      </c>
      <c r="K9" s="69">
        <v>46238</v>
      </c>
      <c r="L9" s="69">
        <v>46238</v>
      </c>
      <c r="M9" s="66" t="s">
        <v>21</v>
      </c>
      <c r="N9" s="70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spans="1:26">
      <c r="A10" s="66" t="s">
        <v>14</v>
      </c>
      <c r="B10" s="66" t="s">
        <v>15</v>
      </c>
      <c r="C10" s="66" t="s">
        <v>39</v>
      </c>
      <c r="D10" s="66" t="s">
        <v>17</v>
      </c>
      <c r="E10" s="66" t="s">
        <v>18</v>
      </c>
      <c r="F10" s="66" t="s">
        <v>40</v>
      </c>
      <c r="G10" s="66"/>
      <c r="H10" s="67">
        <v>46235</v>
      </c>
      <c r="I10" s="69">
        <v>46238</v>
      </c>
      <c r="J10" s="68" t="s">
        <v>20</v>
      </c>
      <c r="K10" s="69">
        <v>46238</v>
      </c>
      <c r="L10" s="69">
        <v>46238</v>
      </c>
      <c r="M10" s="66" t="s">
        <v>41</v>
      </c>
      <c r="N10" s="70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29" customHeight="1" spans="1:26">
      <c r="A11" s="66" t="s">
        <v>14</v>
      </c>
      <c r="B11" s="66" t="s">
        <v>15</v>
      </c>
      <c r="C11" s="66" t="s">
        <v>42</v>
      </c>
      <c r="D11" s="66" t="s">
        <v>17</v>
      </c>
      <c r="E11" s="66" t="s">
        <v>18</v>
      </c>
      <c r="F11" s="66" t="s">
        <v>35</v>
      </c>
      <c r="G11" s="66"/>
      <c r="H11" s="67">
        <v>46235</v>
      </c>
      <c r="I11" s="67">
        <v>46239</v>
      </c>
      <c r="J11" s="68" t="s">
        <v>20</v>
      </c>
      <c r="K11" s="67">
        <v>46237</v>
      </c>
      <c r="L11" s="67">
        <v>46239</v>
      </c>
      <c r="M11" s="66" t="s">
        <v>21</v>
      </c>
      <c r="N11" s="70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spans="1:26">
      <c r="A12" s="66" t="s">
        <v>14</v>
      </c>
      <c r="B12" s="66" t="s">
        <v>15</v>
      </c>
      <c r="C12" s="66" t="s">
        <v>43</v>
      </c>
      <c r="D12" s="66" t="s">
        <v>17</v>
      </c>
      <c r="E12" s="66" t="s">
        <v>18</v>
      </c>
      <c r="F12" s="66" t="s">
        <v>35</v>
      </c>
      <c r="G12" s="66"/>
      <c r="H12" s="67">
        <v>46235</v>
      </c>
      <c r="I12" s="67">
        <v>46239</v>
      </c>
      <c r="J12" s="68" t="s">
        <v>20</v>
      </c>
      <c r="K12" s="67">
        <v>46238</v>
      </c>
      <c r="L12" s="67">
        <v>46239</v>
      </c>
      <c r="M12" s="66" t="s">
        <v>36</v>
      </c>
      <c r="N12" s="70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spans="1:26">
      <c r="A13" s="66" t="s">
        <v>14</v>
      </c>
      <c r="B13" s="66" t="s">
        <v>15</v>
      </c>
      <c r="C13" s="66" t="s">
        <v>44</v>
      </c>
      <c r="D13" s="66" t="s">
        <v>45</v>
      </c>
      <c r="E13" s="66" t="s">
        <v>18</v>
      </c>
      <c r="F13" s="66" t="s">
        <v>32</v>
      </c>
      <c r="G13" s="66"/>
      <c r="H13" s="67">
        <v>46235</v>
      </c>
      <c r="I13" s="69">
        <v>46239</v>
      </c>
      <c r="J13" s="68" t="s">
        <v>20</v>
      </c>
      <c r="K13" s="69">
        <v>46238</v>
      </c>
      <c r="L13" s="69">
        <v>46239</v>
      </c>
      <c r="M13" s="66" t="s">
        <v>46</v>
      </c>
      <c r="N13" s="70"/>
      <c r="O13" s="71" t="s">
        <v>47</v>
      </c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ht="29" customHeight="1" spans="1:26">
      <c r="A14" s="66" t="s">
        <v>14</v>
      </c>
      <c r="B14" s="66" t="s">
        <v>15</v>
      </c>
      <c r="C14" s="66" t="s">
        <v>48</v>
      </c>
      <c r="D14" s="66" t="s">
        <v>17</v>
      </c>
      <c r="E14" s="66" t="s">
        <v>18</v>
      </c>
      <c r="F14" s="66" t="s">
        <v>19</v>
      </c>
      <c r="G14" s="66"/>
      <c r="H14" s="67">
        <v>46221</v>
      </c>
      <c r="I14" s="69">
        <v>46240</v>
      </c>
      <c r="J14" s="68" t="s">
        <v>20</v>
      </c>
      <c r="K14" s="69">
        <v>46238</v>
      </c>
      <c r="L14" s="69">
        <v>46240</v>
      </c>
      <c r="M14" s="66" t="s">
        <v>49</v>
      </c>
      <c r="N14" s="70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spans="1:26">
      <c r="A15" s="66" t="s">
        <v>14</v>
      </c>
      <c r="B15" s="66" t="s">
        <v>15</v>
      </c>
      <c r="C15" s="66" t="s">
        <v>50</v>
      </c>
      <c r="D15" s="66" t="s">
        <v>17</v>
      </c>
      <c r="E15" s="66" t="s">
        <v>18</v>
      </c>
      <c r="F15" s="66" t="s">
        <v>51</v>
      </c>
      <c r="G15" s="66"/>
      <c r="H15" s="67">
        <v>46235</v>
      </c>
      <c r="I15" s="69">
        <v>46240</v>
      </c>
      <c r="J15" s="68" t="s">
        <v>20</v>
      </c>
      <c r="K15" s="69">
        <v>46239</v>
      </c>
      <c r="L15" s="69">
        <v>46240</v>
      </c>
      <c r="M15" s="66" t="s">
        <v>21</v>
      </c>
      <c r="N15" s="70" t="s">
        <v>41</v>
      </c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spans="1:26">
      <c r="A16" s="66" t="s">
        <v>14</v>
      </c>
      <c r="B16" s="66" t="s">
        <v>15</v>
      </c>
      <c r="C16" s="66" t="s">
        <v>52</v>
      </c>
      <c r="D16" s="66" t="s">
        <v>17</v>
      </c>
      <c r="E16" s="66" t="s">
        <v>18</v>
      </c>
      <c r="F16" s="66" t="s">
        <v>53</v>
      </c>
      <c r="G16" s="66"/>
      <c r="H16" s="67">
        <v>46235</v>
      </c>
      <c r="I16" s="67">
        <v>46240</v>
      </c>
      <c r="J16" s="68" t="s">
        <v>20</v>
      </c>
      <c r="K16" s="67">
        <v>46239</v>
      </c>
      <c r="L16" s="67">
        <v>46240</v>
      </c>
      <c r="M16" s="66" t="s">
        <v>36</v>
      </c>
      <c r="N16" s="70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ht="29" customHeight="1" spans="1:26">
      <c r="A17" s="66" t="s">
        <v>14</v>
      </c>
      <c r="B17" s="66" t="s">
        <v>15</v>
      </c>
      <c r="C17" s="66" t="s">
        <v>54</v>
      </c>
      <c r="D17" s="66" t="s">
        <v>17</v>
      </c>
      <c r="E17" s="66" t="s">
        <v>18</v>
      </c>
      <c r="F17" s="66" t="s">
        <v>40</v>
      </c>
      <c r="G17" s="66"/>
      <c r="H17" s="67">
        <v>46235</v>
      </c>
      <c r="I17" s="67">
        <v>46237</v>
      </c>
      <c r="J17" s="68" t="s">
        <v>20</v>
      </c>
      <c r="K17" s="67">
        <v>46240</v>
      </c>
      <c r="L17" s="67">
        <v>46240</v>
      </c>
      <c r="M17" s="66" t="s">
        <v>55</v>
      </c>
      <c r="N17" s="70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spans="1:26">
      <c r="A18" s="66" t="s">
        <v>14</v>
      </c>
      <c r="B18" s="66" t="s">
        <v>15</v>
      </c>
      <c r="C18" s="66" t="s">
        <v>56</v>
      </c>
      <c r="D18" s="66" t="s">
        <v>17</v>
      </c>
      <c r="E18" s="66" t="s">
        <v>18</v>
      </c>
      <c r="F18" s="66" t="s">
        <v>24</v>
      </c>
      <c r="G18" s="66"/>
      <c r="H18" s="67">
        <v>46235</v>
      </c>
      <c r="I18" s="67">
        <v>46241</v>
      </c>
      <c r="J18" s="68" t="s">
        <v>20</v>
      </c>
      <c r="K18" s="67">
        <v>46240</v>
      </c>
      <c r="L18" s="67">
        <v>46241</v>
      </c>
      <c r="M18" s="66" t="s">
        <v>36</v>
      </c>
      <c r="N18" s="70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spans="1:26">
      <c r="A19" s="66" t="s">
        <v>14</v>
      </c>
      <c r="B19" s="66" t="s">
        <v>15</v>
      </c>
      <c r="C19" s="66" t="s">
        <v>57</v>
      </c>
      <c r="D19" s="66" t="s">
        <v>17</v>
      </c>
      <c r="E19" s="66" t="s">
        <v>18</v>
      </c>
      <c r="F19" s="66" t="s">
        <v>53</v>
      </c>
      <c r="G19" s="66"/>
      <c r="H19" s="67">
        <v>46221</v>
      </c>
      <c r="I19" s="69">
        <v>46241</v>
      </c>
      <c r="J19" s="68" t="s">
        <v>20</v>
      </c>
      <c r="K19" s="69">
        <v>46240</v>
      </c>
      <c r="L19" s="69">
        <v>46241</v>
      </c>
      <c r="M19" s="66" t="s">
        <v>21</v>
      </c>
      <c r="N19" s="70" t="s">
        <v>58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spans="1:26">
      <c r="A20" s="66" t="s">
        <v>14</v>
      </c>
      <c r="B20" s="66" t="s">
        <v>15</v>
      </c>
      <c r="C20" s="66" t="s">
        <v>59</v>
      </c>
      <c r="D20" s="66" t="s">
        <v>45</v>
      </c>
      <c r="E20" s="66" t="s">
        <v>18</v>
      </c>
      <c r="F20" s="66" t="s">
        <v>32</v>
      </c>
      <c r="G20" s="66"/>
      <c r="H20" s="67">
        <v>46235</v>
      </c>
      <c r="I20" s="69">
        <v>46241</v>
      </c>
      <c r="J20" s="68" t="s">
        <v>20</v>
      </c>
      <c r="K20" s="69">
        <v>46240</v>
      </c>
      <c r="L20" s="69">
        <v>46241</v>
      </c>
      <c r="M20" s="66" t="s">
        <v>46</v>
      </c>
      <c r="N20" s="70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spans="1:26">
      <c r="A21" s="66" t="s">
        <v>14</v>
      </c>
      <c r="B21" s="66" t="s">
        <v>15</v>
      </c>
      <c r="C21" s="66" t="s">
        <v>60</v>
      </c>
      <c r="D21" s="66" t="s">
        <v>17</v>
      </c>
      <c r="E21" s="66" t="s">
        <v>18</v>
      </c>
      <c r="F21" s="66" t="s">
        <v>53</v>
      </c>
      <c r="G21" s="66"/>
      <c r="H21" s="67">
        <v>46235</v>
      </c>
      <c r="I21" s="67">
        <v>46244</v>
      </c>
      <c r="J21" s="68" t="s">
        <v>20</v>
      </c>
      <c r="K21" s="67">
        <v>46244</v>
      </c>
      <c r="L21" s="67">
        <v>46244</v>
      </c>
      <c r="M21" s="66" t="s">
        <v>21</v>
      </c>
      <c r="N21" s="70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spans="1:26">
      <c r="A22" s="66" t="s">
        <v>14</v>
      </c>
      <c r="B22" s="66" t="s">
        <v>15</v>
      </c>
      <c r="C22" s="66" t="s">
        <v>61</v>
      </c>
      <c r="D22" s="66" t="s">
        <v>17</v>
      </c>
      <c r="E22" s="66" t="s">
        <v>18</v>
      </c>
      <c r="F22" s="66" t="s">
        <v>53</v>
      </c>
      <c r="G22" s="66"/>
      <c r="H22" s="67">
        <v>46221</v>
      </c>
      <c r="I22" s="69">
        <v>46245</v>
      </c>
      <c r="J22" s="68" t="s">
        <v>20</v>
      </c>
      <c r="K22" s="69">
        <v>46244</v>
      </c>
      <c r="L22" s="69">
        <v>46245</v>
      </c>
      <c r="M22" s="66" t="s">
        <v>36</v>
      </c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spans="1:26">
      <c r="A23" s="66" t="s">
        <v>14</v>
      </c>
      <c r="B23" s="66" t="s">
        <v>15</v>
      </c>
      <c r="C23" s="72" t="s">
        <v>62</v>
      </c>
      <c r="D23" s="66" t="s">
        <v>17</v>
      </c>
      <c r="E23" s="66" t="s">
        <v>18</v>
      </c>
      <c r="F23" s="66" t="s">
        <v>24</v>
      </c>
      <c r="G23" s="66"/>
      <c r="H23" s="67">
        <v>46235</v>
      </c>
      <c r="I23" s="67">
        <v>46246</v>
      </c>
      <c r="J23" s="68" t="s">
        <v>20</v>
      </c>
      <c r="K23" s="67">
        <v>46246</v>
      </c>
      <c r="L23" s="67">
        <v>46246</v>
      </c>
      <c r="M23" s="66" t="s">
        <v>36</v>
      </c>
      <c r="N23" s="70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spans="1:26">
      <c r="A24" s="66" t="s">
        <v>14</v>
      </c>
      <c r="B24" s="66" t="s">
        <v>15</v>
      </c>
      <c r="C24" s="72" t="s">
        <v>63</v>
      </c>
      <c r="D24" s="66" t="s">
        <v>38</v>
      </c>
      <c r="E24" s="66" t="s">
        <v>18</v>
      </c>
      <c r="F24" s="66" t="s">
        <v>24</v>
      </c>
      <c r="G24" s="66"/>
      <c r="H24" s="67">
        <v>46235</v>
      </c>
      <c r="I24" s="67">
        <v>46246</v>
      </c>
      <c r="J24" s="68" t="s">
        <v>20</v>
      </c>
      <c r="K24" s="67">
        <v>46246</v>
      </c>
      <c r="L24" s="67">
        <v>46246</v>
      </c>
      <c r="M24" s="66" t="s">
        <v>21</v>
      </c>
      <c r="N24" s="70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ht="29" customHeight="1" spans="1:26">
      <c r="A25" s="66" t="s">
        <v>14</v>
      </c>
      <c r="B25" s="66" t="s">
        <v>15</v>
      </c>
      <c r="C25" s="72" t="s">
        <v>64</v>
      </c>
      <c r="D25" s="66" t="s">
        <v>65</v>
      </c>
      <c r="E25" s="66" t="s">
        <v>18</v>
      </c>
      <c r="F25" s="66" t="s">
        <v>24</v>
      </c>
      <c r="G25" s="66"/>
      <c r="H25" s="67">
        <v>46235</v>
      </c>
      <c r="I25" s="67"/>
      <c r="J25" s="68" t="s">
        <v>66</v>
      </c>
      <c r="K25" s="67"/>
      <c r="L25" s="67"/>
      <c r="M25" s="66"/>
      <c r="N25" s="70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t="116" customHeight="1" spans="1:26">
      <c r="A26" s="66" t="s">
        <v>14</v>
      </c>
      <c r="B26" s="66" t="s">
        <v>15</v>
      </c>
      <c r="C26" s="73" t="s">
        <v>67</v>
      </c>
      <c r="D26" s="66" t="s">
        <v>38</v>
      </c>
      <c r="E26" s="66" t="s">
        <v>18</v>
      </c>
      <c r="F26" s="66" t="s">
        <v>24</v>
      </c>
      <c r="G26" s="66"/>
      <c r="H26" s="67">
        <v>46198</v>
      </c>
      <c r="I26" s="67">
        <v>46241</v>
      </c>
      <c r="J26" s="68" t="s">
        <v>66</v>
      </c>
      <c r="K26" s="67"/>
      <c r="L26" s="67"/>
      <c r="M26" s="66"/>
      <c r="N26" s="70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spans="1:26">
      <c r="A27" s="66" t="s">
        <v>14</v>
      </c>
      <c r="B27" s="66" t="s">
        <v>68</v>
      </c>
      <c r="C27" s="66" t="s">
        <v>69</v>
      </c>
      <c r="D27" s="66" t="s">
        <v>17</v>
      </c>
      <c r="E27" s="66" t="s">
        <v>18</v>
      </c>
      <c r="F27" s="66" t="s">
        <v>24</v>
      </c>
      <c r="G27" s="66"/>
      <c r="H27" s="67">
        <v>46235</v>
      </c>
      <c r="I27" s="67"/>
      <c r="J27" s="68" t="s">
        <v>66</v>
      </c>
      <c r="K27" s="67"/>
      <c r="L27" s="67"/>
      <c r="M27" s="66"/>
      <c r="N27" s="70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spans="1:26">
      <c r="A28" s="66" t="s">
        <v>14</v>
      </c>
      <c r="B28" s="66" t="s">
        <v>68</v>
      </c>
      <c r="C28" s="66" t="s">
        <v>70</v>
      </c>
      <c r="D28" s="66" t="s">
        <v>17</v>
      </c>
      <c r="E28" s="66" t="s">
        <v>18</v>
      </c>
      <c r="F28" s="66" t="s">
        <v>24</v>
      </c>
      <c r="G28" s="66"/>
      <c r="H28" s="67">
        <v>46235</v>
      </c>
      <c r="I28" s="67"/>
      <c r="J28" s="68" t="s">
        <v>66</v>
      </c>
      <c r="K28" s="67"/>
      <c r="L28" s="67"/>
      <c r="M28" s="66"/>
      <c r="N28" s="70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spans="1:26">
      <c r="A29" s="66" t="s">
        <v>14</v>
      </c>
      <c r="B29" s="66" t="s">
        <v>68</v>
      </c>
      <c r="C29" s="66" t="s">
        <v>71</v>
      </c>
      <c r="D29" s="66" t="s">
        <v>17</v>
      </c>
      <c r="E29" s="66" t="s">
        <v>18</v>
      </c>
      <c r="F29" s="66" t="s">
        <v>24</v>
      </c>
      <c r="G29" s="66"/>
      <c r="H29" s="67">
        <v>46132</v>
      </c>
      <c r="I29" s="67"/>
      <c r="J29" s="68" t="s">
        <v>66</v>
      </c>
      <c r="K29" s="67"/>
      <c r="L29" s="67"/>
      <c r="M29" s="66" t="s">
        <v>72</v>
      </c>
      <c r="N29" s="70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spans="1:26">
      <c r="A30" s="66" t="s">
        <v>14</v>
      </c>
      <c r="B30" s="66" t="s">
        <v>68</v>
      </c>
      <c r="C30" s="66" t="s">
        <v>73</v>
      </c>
      <c r="D30" s="66" t="s">
        <v>17</v>
      </c>
      <c r="E30" s="66" t="s">
        <v>18</v>
      </c>
      <c r="F30" s="66" t="s">
        <v>24</v>
      </c>
      <c r="G30" s="66"/>
      <c r="H30" s="67">
        <v>46235</v>
      </c>
      <c r="I30" s="67"/>
      <c r="J30" s="68" t="s">
        <v>74</v>
      </c>
      <c r="K30" s="67"/>
      <c r="L30" s="67"/>
      <c r="M30" s="66"/>
      <c r="N30" s="70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spans="1:26">
      <c r="A31" s="66" t="s">
        <v>14</v>
      </c>
      <c r="B31" s="66" t="s">
        <v>68</v>
      </c>
      <c r="C31" s="66" t="s">
        <v>75</v>
      </c>
      <c r="D31" s="66" t="s">
        <v>17</v>
      </c>
      <c r="E31" s="66" t="s">
        <v>18</v>
      </c>
      <c r="F31" s="66" t="s">
        <v>24</v>
      </c>
      <c r="G31" s="66"/>
      <c r="H31" s="67">
        <v>46235</v>
      </c>
      <c r="I31" s="67"/>
      <c r="J31" s="68" t="s">
        <v>74</v>
      </c>
      <c r="K31" s="67"/>
      <c r="L31" s="67"/>
      <c r="M31" s="66"/>
      <c r="N31" s="70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spans="1:26">
      <c r="A32" s="66" t="s">
        <v>14</v>
      </c>
      <c r="B32" s="66" t="s">
        <v>68</v>
      </c>
      <c r="C32" s="66" t="s">
        <v>76</v>
      </c>
      <c r="D32" s="66" t="s">
        <v>17</v>
      </c>
      <c r="E32" s="66" t="s">
        <v>18</v>
      </c>
      <c r="F32" s="66" t="s">
        <v>24</v>
      </c>
      <c r="G32" s="66"/>
      <c r="H32" s="67">
        <v>46235</v>
      </c>
      <c r="I32" s="67"/>
      <c r="J32" s="68" t="s">
        <v>74</v>
      </c>
      <c r="K32" s="67"/>
      <c r="L32" s="67"/>
      <c r="M32" s="66"/>
      <c r="N32" s="70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spans="1:26">
      <c r="A33" s="66" t="s">
        <v>14</v>
      </c>
      <c r="B33" s="66" t="s">
        <v>68</v>
      </c>
      <c r="C33" s="66" t="s">
        <v>77</v>
      </c>
      <c r="D33" s="66" t="s">
        <v>17</v>
      </c>
      <c r="E33" s="66" t="s">
        <v>18</v>
      </c>
      <c r="F33" s="66" t="s">
        <v>24</v>
      </c>
      <c r="G33" s="66"/>
      <c r="H33" s="67">
        <v>46235</v>
      </c>
      <c r="I33" s="67"/>
      <c r="J33" s="68" t="s">
        <v>74</v>
      </c>
      <c r="K33" s="67"/>
      <c r="L33" s="67"/>
      <c r="M33" s="66"/>
      <c r="N33" s="70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ht="29" customHeight="1" spans="1:26">
      <c r="A34" s="66" t="s">
        <v>14</v>
      </c>
      <c r="B34" s="66" t="s">
        <v>68</v>
      </c>
      <c r="C34" s="66" t="s">
        <v>78</v>
      </c>
      <c r="D34" s="66" t="s">
        <v>17</v>
      </c>
      <c r="E34" s="66" t="s">
        <v>18</v>
      </c>
      <c r="F34" s="66" t="s">
        <v>24</v>
      </c>
      <c r="G34" s="66"/>
      <c r="H34" s="67">
        <v>46220</v>
      </c>
      <c r="I34" s="67"/>
      <c r="J34" s="68" t="s">
        <v>74</v>
      </c>
      <c r="K34" s="67"/>
      <c r="L34" s="67"/>
      <c r="M34" s="66"/>
      <c r="N34" s="70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spans="1:26">
      <c r="A35" s="66" t="s">
        <v>14</v>
      </c>
      <c r="B35" s="66" t="s">
        <v>68</v>
      </c>
      <c r="C35" s="66" t="s">
        <v>79</v>
      </c>
      <c r="D35" s="66" t="s">
        <v>65</v>
      </c>
      <c r="E35" s="66" t="s">
        <v>18</v>
      </c>
      <c r="F35" s="66" t="s">
        <v>24</v>
      </c>
      <c r="G35" s="66"/>
      <c r="H35" s="67">
        <v>46132</v>
      </c>
      <c r="I35" s="67"/>
      <c r="J35" s="68" t="s">
        <v>74</v>
      </c>
      <c r="K35" s="67"/>
      <c r="L35" s="67"/>
      <c r="M35" s="66" t="s">
        <v>80</v>
      </c>
      <c r="N35" s="70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spans="1:26">
      <c r="A36" s="66" t="s">
        <v>14</v>
      </c>
      <c r="B36" s="66" t="s">
        <v>68</v>
      </c>
      <c r="C36" s="66" t="s">
        <v>81</v>
      </c>
      <c r="D36" s="66" t="s">
        <v>17</v>
      </c>
      <c r="E36" s="66" t="s">
        <v>18</v>
      </c>
      <c r="F36" s="66" t="s">
        <v>24</v>
      </c>
      <c r="G36" s="66"/>
      <c r="H36" s="67">
        <v>46235</v>
      </c>
      <c r="I36" s="67"/>
      <c r="J36" s="68" t="s">
        <v>74</v>
      </c>
      <c r="K36" s="67"/>
      <c r="L36" s="67"/>
      <c r="M36" s="66"/>
      <c r="N36" s="70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ht="29" customHeight="1" spans="1:26">
      <c r="A37" s="66" t="s">
        <v>14</v>
      </c>
      <c r="B37" s="66" t="s">
        <v>82</v>
      </c>
      <c r="C37" s="73" t="s">
        <v>83</v>
      </c>
      <c r="D37" s="66" t="s">
        <v>17</v>
      </c>
      <c r="E37" s="66" t="s">
        <v>18</v>
      </c>
      <c r="F37" s="66" t="s">
        <v>35</v>
      </c>
      <c r="G37" s="66" t="s">
        <v>84</v>
      </c>
      <c r="H37" s="67">
        <v>46235</v>
      </c>
      <c r="I37" s="67">
        <v>46240</v>
      </c>
      <c r="J37" s="68" t="s">
        <v>20</v>
      </c>
      <c r="K37" s="67">
        <v>46238</v>
      </c>
      <c r="L37" s="67">
        <v>46239</v>
      </c>
      <c r="M37" s="66" t="s">
        <v>36</v>
      </c>
      <c r="N37" s="70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spans="1:26">
      <c r="A38" s="66" t="s">
        <v>14</v>
      </c>
      <c r="B38" s="66" t="s">
        <v>82</v>
      </c>
      <c r="C38" s="66" t="s">
        <v>85</v>
      </c>
      <c r="D38" s="66" t="s">
        <v>17</v>
      </c>
      <c r="E38" s="66" t="s">
        <v>18</v>
      </c>
      <c r="F38" s="66" t="s">
        <v>32</v>
      </c>
      <c r="G38" s="66"/>
      <c r="H38" s="67">
        <v>46228</v>
      </c>
      <c r="I38" s="67">
        <v>46239</v>
      </c>
      <c r="J38" s="68" t="s">
        <v>20</v>
      </c>
      <c r="K38" s="67">
        <v>46238</v>
      </c>
      <c r="L38" s="67">
        <v>46239</v>
      </c>
      <c r="M38" s="66" t="s">
        <v>86</v>
      </c>
      <c r="N38" s="70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spans="1:26">
      <c r="A39" s="66" t="s">
        <v>14</v>
      </c>
      <c r="B39" s="66" t="s">
        <v>82</v>
      </c>
      <c r="C39" s="66" t="s">
        <v>87</v>
      </c>
      <c r="D39" s="66" t="s">
        <v>17</v>
      </c>
      <c r="E39" s="66" t="s">
        <v>18</v>
      </c>
      <c r="F39" s="66" t="s">
        <v>24</v>
      </c>
      <c r="G39" s="66"/>
      <c r="H39" s="67">
        <v>46235</v>
      </c>
      <c r="I39" s="69">
        <v>46240</v>
      </c>
      <c r="J39" s="68" t="s">
        <v>20</v>
      </c>
      <c r="K39" s="69">
        <v>46239</v>
      </c>
      <c r="L39" s="69">
        <v>46240</v>
      </c>
      <c r="M39" s="66" t="s">
        <v>88</v>
      </c>
      <c r="N39" s="70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spans="1:26">
      <c r="A40" s="66" t="s">
        <v>14</v>
      </c>
      <c r="B40" s="66" t="s">
        <v>82</v>
      </c>
      <c r="C40" s="66" t="s">
        <v>89</v>
      </c>
      <c r="D40" s="66" t="s">
        <v>17</v>
      </c>
      <c r="E40" s="66" t="s">
        <v>18</v>
      </c>
      <c r="F40" s="66" t="s">
        <v>24</v>
      </c>
      <c r="G40" s="66"/>
      <c r="H40" s="67">
        <v>46235</v>
      </c>
      <c r="I40" s="69">
        <v>46241</v>
      </c>
      <c r="J40" s="68" t="s">
        <v>20</v>
      </c>
      <c r="K40" s="69">
        <v>46240</v>
      </c>
      <c r="L40" s="69">
        <v>46241</v>
      </c>
      <c r="M40" s="66" t="s">
        <v>90</v>
      </c>
      <c r="N40" s="70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ht="29" customHeight="1" spans="1:26">
      <c r="A41" s="66" t="s">
        <v>14</v>
      </c>
      <c r="B41" s="66" t="s">
        <v>82</v>
      </c>
      <c r="C41" s="66" t="s">
        <v>91</v>
      </c>
      <c r="D41" s="66" t="s">
        <v>17</v>
      </c>
      <c r="E41" s="66" t="s">
        <v>18</v>
      </c>
      <c r="F41" s="66" t="s">
        <v>24</v>
      </c>
      <c r="G41" s="66"/>
      <c r="H41" s="67">
        <v>46235</v>
      </c>
      <c r="I41" s="69">
        <v>46245</v>
      </c>
      <c r="J41" s="68" t="s">
        <v>20</v>
      </c>
      <c r="K41" s="69">
        <v>46244</v>
      </c>
      <c r="L41" s="69">
        <v>46245</v>
      </c>
      <c r="M41" s="66" t="s">
        <v>92</v>
      </c>
      <c r="N41" s="70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spans="1:26">
      <c r="A42" s="66" t="s">
        <v>14</v>
      </c>
      <c r="B42" s="66" t="s">
        <v>82</v>
      </c>
      <c r="C42" s="66" t="s">
        <v>93</v>
      </c>
      <c r="D42" s="66" t="s">
        <v>17</v>
      </c>
      <c r="E42" s="66" t="s">
        <v>18</v>
      </c>
      <c r="F42" s="66" t="s">
        <v>24</v>
      </c>
      <c r="G42" s="66"/>
      <c r="H42" s="67">
        <v>46235</v>
      </c>
      <c r="I42" s="69">
        <v>46245</v>
      </c>
      <c r="J42" s="68" t="s">
        <v>20</v>
      </c>
      <c r="K42" s="69">
        <v>46244</v>
      </c>
      <c r="L42" s="69">
        <v>46245</v>
      </c>
      <c r="M42" s="66" t="s">
        <v>90</v>
      </c>
      <c r="N42" s="70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spans="1:26">
      <c r="A43" s="66" t="s">
        <v>14</v>
      </c>
      <c r="B43" s="66" t="s">
        <v>82</v>
      </c>
      <c r="C43" s="66" t="s">
        <v>94</v>
      </c>
      <c r="D43" s="66" t="s">
        <v>65</v>
      </c>
      <c r="E43" s="66" t="s">
        <v>18</v>
      </c>
      <c r="F43" s="66" t="s">
        <v>24</v>
      </c>
      <c r="G43" s="66"/>
      <c r="H43" s="67">
        <v>46235</v>
      </c>
      <c r="I43" s="67">
        <v>46245</v>
      </c>
      <c r="J43" s="68" t="s">
        <v>20</v>
      </c>
      <c r="K43" s="67">
        <v>46245</v>
      </c>
      <c r="L43" s="67">
        <v>46245</v>
      </c>
      <c r="M43" s="66" t="s">
        <v>21</v>
      </c>
      <c r="N43" s="70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spans="1:26">
      <c r="A44" s="66" t="s">
        <v>14</v>
      </c>
      <c r="B44" s="66" t="s">
        <v>82</v>
      </c>
      <c r="C44" s="74" t="s">
        <v>95</v>
      </c>
      <c r="D44" s="66" t="s">
        <v>17</v>
      </c>
      <c r="E44" s="66" t="s">
        <v>18</v>
      </c>
      <c r="F44" s="66" t="s">
        <v>24</v>
      </c>
      <c r="G44" s="66"/>
      <c r="H44" s="67">
        <v>46235</v>
      </c>
      <c r="I44" s="67">
        <v>46246</v>
      </c>
      <c r="J44" s="68" t="s">
        <v>20</v>
      </c>
      <c r="K44" s="67">
        <v>46246</v>
      </c>
      <c r="L44" s="67">
        <v>46246</v>
      </c>
      <c r="M44" s="66" t="s">
        <v>21</v>
      </c>
      <c r="N44" s="70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spans="1:26">
      <c r="A45" s="66" t="s">
        <v>14</v>
      </c>
      <c r="B45" s="66" t="s">
        <v>82</v>
      </c>
      <c r="C45" s="66" t="s">
        <v>96</v>
      </c>
      <c r="D45" s="66" t="s">
        <v>17</v>
      </c>
      <c r="E45" s="66" t="s">
        <v>18</v>
      </c>
      <c r="F45" s="66" t="s">
        <v>24</v>
      </c>
      <c r="G45" s="66"/>
      <c r="H45" s="67">
        <v>46235</v>
      </c>
      <c r="I45" s="69">
        <v>46247</v>
      </c>
      <c r="J45" s="68" t="s">
        <v>20</v>
      </c>
      <c r="K45" s="69">
        <v>46246</v>
      </c>
      <c r="L45" s="69">
        <v>46247</v>
      </c>
      <c r="M45" s="66" t="s">
        <v>90</v>
      </c>
      <c r="N45" s="70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ht="29" customHeight="1" spans="1:26">
      <c r="A46" s="66" t="s">
        <v>14</v>
      </c>
      <c r="B46" s="66" t="s">
        <v>82</v>
      </c>
      <c r="C46" s="74" t="s">
        <v>97</v>
      </c>
      <c r="D46" s="66" t="s">
        <v>17</v>
      </c>
      <c r="E46" s="66" t="s">
        <v>18</v>
      </c>
      <c r="F46" s="66" t="s">
        <v>24</v>
      </c>
      <c r="G46" s="66" t="s">
        <v>98</v>
      </c>
      <c r="H46" s="67">
        <v>46235</v>
      </c>
      <c r="I46" s="67">
        <v>46247</v>
      </c>
      <c r="J46" s="68" t="s">
        <v>20</v>
      </c>
      <c r="K46" s="67">
        <v>46247</v>
      </c>
      <c r="L46" s="67">
        <v>46247</v>
      </c>
      <c r="M46" s="66" t="s">
        <v>21</v>
      </c>
      <c r="N46" s="70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>
      <c r="A47" s="66" t="s">
        <v>14</v>
      </c>
      <c r="B47" s="66" t="s">
        <v>82</v>
      </c>
      <c r="C47" s="66" t="s">
        <v>99</v>
      </c>
      <c r="D47" s="66" t="s">
        <v>17</v>
      </c>
      <c r="E47" s="66" t="s">
        <v>18</v>
      </c>
      <c r="F47" s="66" t="s">
        <v>24</v>
      </c>
      <c r="G47" s="66"/>
      <c r="H47" s="67">
        <v>46235</v>
      </c>
      <c r="I47" s="69">
        <v>46248</v>
      </c>
      <c r="J47" s="68" t="s">
        <v>20</v>
      </c>
      <c r="K47" s="69">
        <v>46248</v>
      </c>
      <c r="L47" s="69">
        <v>46248</v>
      </c>
      <c r="M47" s="66" t="s">
        <v>90</v>
      </c>
      <c r="N47" s="70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ht="29" customHeight="1" spans="1:26">
      <c r="A48" s="66" t="s">
        <v>14</v>
      </c>
      <c r="B48" s="66" t="s">
        <v>82</v>
      </c>
      <c r="C48" s="66" t="s">
        <v>100</v>
      </c>
      <c r="D48" s="66" t="s">
        <v>17</v>
      </c>
      <c r="E48" s="66" t="s">
        <v>18</v>
      </c>
      <c r="F48" s="66" t="s">
        <v>24</v>
      </c>
      <c r="G48" s="66"/>
      <c r="H48" s="67">
        <v>46235</v>
      </c>
      <c r="I48" s="67"/>
      <c r="J48" s="68" t="s">
        <v>74</v>
      </c>
      <c r="K48" s="67"/>
      <c r="L48" s="67"/>
      <c r="M48" s="66"/>
      <c r="N48" s="70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ht="29" customHeight="1" spans="1:26">
      <c r="A49" s="66" t="s">
        <v>14</v>
      </c>
      <c r="B49" s="66" t="s">
        <v>82</v>
      </c>
      <c r="C49" s="66" t="s">
        <v>101</v>
      </c>
      <c r="D49" s="66" t="s">
        <v>17</v>
      </c>
      <c r="E49" s="66" t="s">
        <v>18</v>
      </c>
      <c r="F49" s="66" t="s">
        <v>24</v>
      </c>
      <c r="G49" s="66"/>
      <c r="H49" s="67">
        <v>46235</v>
      </c>
      <c r="I49" s="67"/>
      <c r="J49" s="68" t="s">
        <v>74</v>
      </c>
      <c r="K49" s="67"/>
      <c r="L49" s="67"/>
      <c r="M49" s="66"/>
      <c r="N49" s="70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ht="29" customHeight="1" spans="1:26">
      <c r="A50" s="66" t="s">
        <v>14</v>
      </c>
      <c r="B50" s="66" t="s">
        <v>82</v>
      </c>
      <c r="C50" s="66" t="s">
        <v>102</v>
      </c>
      <c r="D50" s="66" t="s">
        <v>17</v>
      </c>
      <c r="E50" s="66" t="s">
        <v>18</v>
      </c>
      <c r="F50" s="66" t="s">
        <v>24</v>
      </c>
      <c r="G50" s="66"/>
      <c r="H50" s="67">
        <v>46235</v>
      </c>
      <c r="I50" s="67"/>
      <c r="J50" s="68" t="s">
        <v>74</v>
      </c>
      <c r="K50" s="67"/>
      <c r="L50" s="67"/>
      <c r="M50" s="66"/>
      <c r="N50" s="70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ht="29" customHeight="1" spans="1:26">
      <c r="A51" s="66" t="s">
        <v>14</v>
      </c>
      <c r="B51" s="66" t="s">
        <v>82</v>
      </c>
      <c r="C51" s="66" t="s">
        <v>103</v>
      </c>
      <c r="D51" s="66" t="s">
        <v>17</v>
      </c>
      <c r="E51" s="66" t="s">
        <v>18</v>
      </c>
      <c r="F51" s="66" t="s">
        <v>24</v>
      </c>
      <c r="G51" s="66"/>
      <c r="H51" s="67">
        <v>46235</v>
      </c>
      <c r="I51" s="67"/>
      <c r="J51" s="68" t="s">
        <v>74</v>
      </c>
      <c r="K51" s="67"/>
      <c r="L51" s="67"/>
      <c r="M51" s="66"/>
      <c r="N51" s="70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t="29" customHeight="1" spans="1:26">
      <c r="A52" s="66" t="s">
        <v>14</v>
      </c>
      <c r="B52" s="66" t="s">
        <v>82</v>
      </c>
      <c r="C52" s="66" t="s">
        <v>104</v>
      </c>
      <c r="D52" s="66" t="s">
        <v>17</v>
      </c>
      <c r="E52" s="66" t="s">
        <v>18</v>
      </c>
      <c r="F52" s="66" t="s">
        <v>24</v>
      </c>
      <c r="G52" s="66"/>
      <c r="H52" s="67">
        <v>46235</v>
      </c>
      <c r="I52" s="67"/>
      <c r="J52" s="68" t="s">
        <v>74</v>
      </c>
      <c r="K52" s="67"/>
      <c r="L52" s="67"/>
      <c r="M52" s="66"/>
      <c r="N52" s="70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>
      <c r="A53" s="66" t="s">
        <v>14</v>
      </c>
      <c r="B53" s="66" t="s">
        <v>82</v>
      </c>
      <c r="C53" s="66" t="s">
        <v>105</v>
      </c>
      <c r="D53" s="66" t="s">
        <v>17</v>
      </c>
      <c r="E53" s="66" t="s">
        <v>18</v>
      </c>
      <c r="F53" s="66" t="s">
        <v>24</v>
      </c>
      <c r="G53" s="66"/>
      <c r="H53" s="67">
        <v>46235</v>
      </c>
      <c r="I53" s="67"/>
      <c r="J53" s="68" t="s">
        <v>74</v>
      </c>
      <c r="K53" s="67"/>
      <c r="L53" s="67"/>
      <c r="M53" s="66"/>
      <c r="N53" s="70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>
      <c r="A54" s="66" t="s">
        <v>14</v>
      </c>
      <c r="B54" s="66" t="s">
        <v>82</v>
      </c>
      <c r="C54" s="66" t="s">
        <v>106</v>
      </c>
      <c r="D54" s="66" t="s">
        <v>38</v>
      </c>
      <c r="E54" s="66" t="s">
        <v>18</v>
      </c>
      <c r="F54" s="66" t="s">
        <v>24</v>
      </c>
      <c r="G54" s="66"/>
      <c r="H54" s="67">
        <v>46133</v>
      </c>
      <c r="I54" s="67"/>
      <c r="J54" s="68" t="s">
        <v>74</v>
      </c>
      <c r="K54" s="67"/>
      <c r="L54" s="67"/>
      <c r="M54" s="66" t="s">
        <v>55</v>
      </c>
      <c r="N54" s="70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ht="29" customHeight="1" spans="1:26">
      <c r="A55" s="66" t="s">
        <v>14</v>
      </c>
      <c r="B55" s="66" t="s">
        <v>82</v>
      </c>
      <c r="C55" s="66" t="s">
        <v>107</v>
      </c>
      <c r="D55" s="66" t="s">
        <v>17</v>
      </c>
      <c r="E55" s="66" t="s">
        <v>18</v>
      </c>
      <c r="F55" s="66" t="s">
        <v>24</v>
      </c>
      <c r="G55" s="66" t="s">
        <v>108</v>
      </c>
      <c r="H55" s="67">
        <v>46234</v>
      </c>
      <c r="I55" s="67"/>
      <c r="J55" s="68" t="s">
        <v>74</v>
      </c>
      <c r="K55" s="67"/>
      <c r="L55" s="67"/>
      <c r="M55" s="66"/>
      <c r="N55" s="70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>
      <c r="A56" s="66" t="s">
        <v>14</v>
      </c>
      <c r="B56" s="66" t="s">
        <v>82</v>
      </c>
      <c r="C56" s="66" t="s">
        <v>109</v>
      </c>
      <c r="D56" s="66" t="s">
        <v>17</v>
      </c>
      <c r="E56" s="66" t="s">
        <v>18</v>
      </c>
      <c r="F56" s="66" t="s">
        <v>24</v>
      </c>
      <c r="G56" s="66"/>
      <c r="H56" s="67">
        <v>46235</v>
      </c>
      <c r="I56" s="67"/>
      <c r="J56" s="68" t="s">
        <v>66</v>
      </c>
      <c r="K56" s="67"/>
      <c r="L56" s="67"/>
      <c r="M56" s="66" t="s">
        <v>30</v>
      </c>
      <c r="N56" s="70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>
      <c r="A57" s="66" t="s">
        <v>14</v>
      </c>
      <c r="B57" s="66" t="s">
        <v>82</v>
      </c>
      <c r="C57" s="66" t="s">
        <v>110</v>
      </c>
      <c r="D57" s="66" t="s">
        <v>17</v>
      </c>
      <c r="E57" s="66" t="s">
        <v>18</v>
      </c>
      <c r="F57" s="66" t="s">
        <v>24</v>
      </c>
      <c r="G57" s="66"/>
      <c r="H57" s="67">
        <v>46188</v>
      </c>
      <c r="I57" s="67"/>
      <c r="J57" s="68" t="s">
        <v>20</v>
      </c>
      <c r="K57" s="67"/>
      <c r="L57" s="67"/>
      <c r="M57" s="66"/>
      <c r="N57" s="70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ht="29" customHeight="1" spans="1:26">
      <c r="A58" s="66" t="s">
        <v>14</v>
      </c>
      <c r="B58" s="66" t="s">
        <v>82</v>
      </c>
      <c r="C58" s="66" t="s">
        <v>111</v>
      </c>
      <c r="D58" s="66" t="s">
        <v>17</v>
      </c>
      <c r="E58" s="66" t="s">
        <v>18</v>
      </c>
      <c r="F58" s="66" t="s">
        <v>24</v>
      </c>
      <c r="G58" s="66"/>
      <c r="H58" s="67">
        <v>46235</v>
      </c>
      <c r="I58" s="67"/>
      <c r="J58" s="68" t="s">
        <v>74</v>
      </c>
      <c r="K58" s="67"/>
      <c r="L58" s="67"/>
      <c r="M58" s="66"/>
      <c r="N58" s="70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>
      <c r="A59" s="66" t="s">
        <v>14</v>
      </c>
      <c r="B59" s="66" t="s">
        <v>82</v>
      </c>
      <c r="C59" s="66" t="s">
        <v>112</v>
      </c>
      <c r="D59" s="66" t="s">
        <v>17</v>
      </c>
      <c r="E59" s="66" t="s">
        <v>18</v>
      </c>
      <c r="F59" s="66" t="s">
        <v>24</v>
      </c>
      <c r="G59" s="66"/>
      <c r="H59" s="67">
        <v>46235</v>
      </c>
      <c r="I59" s="67"/>
      <c r="J59" s="68" t="s">
        <v>20</v>
      </c>
      <c r="K59" s="67"/>
      <c r="L59" s="67"/>
      <c r="M59" s="66"/>
      <c r="N59" s="70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>
      <c r="A60" s="66" t="s">
        <v>14</v>
      </c>
      <c r="B60" s="66" t="s">
        <v>82</v>
      </c>
      <c r="C60" s="66" t="s">
        <v>113</v>
      </c>
      <c r="D60" s="66" t="s">
        <v>17</v>
      </c>
      <c r="E60" s="66" t="s">
        <v>18</v>
      </c>
      <c r="F60" s="66" t="s">
        <v>24</v>
      </c>
      <c r="G60" s="66"/>
      <c r="H60" s="67">
        <v>46235</v>
      </c>
      <c r="I60" s="67"/>
      <c r="J60" s="68" t="s">
        <v>74</v>
      </c>
      <c r="K60" s="67"/>
      <c r="L60" s="67"/>
      <c r="M60" s="66"/>
      <c r="N60" s="70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>
      <c r="A61" s="66" t="s">
        <v>14</v>
      </c>
      <c r="B61" s="66" t="s">
        <v>82</v>
      </c>
      <c r="C61" s="66" t="s">
        <v>114</v>
      </c>
      <c r="D61" s="66" t="s">
        <v>17</v>
      </c>
      <c r="E61" s="66" t="s">
        <v>18</v>
      </c>
      <c r="F61" s="66" t="s">
        <v>24</v>
      </c>
      <c r="G61" s="66"/>
      <c r="H61" s="67">
        <v>46235</v>
      </c>
      <c r="I61" s="67"/>
      <c r="J61" s="68" t="s">
        <v>74</v>
      </c>
      <c r="K61" s="67"/>
      <c r="L61" s="67"/>
      <c r="M61" s="66"/>
      <c r="N61" s="70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>
      <c r="A62" s="75"/>
      <c r="B62" s="75"/>
      <c r="C62" s="75"/>
      <c r="D62" s="75"/>
      <c r="E62" s="75"/>
      <c r="F62" s="75"/>
      <c r="G62" s="75"/>
      <c r="H62" s="76"/>
      <c r="I62" s="76"/>
      <c r="J62" s="77"/>
      <c r="K62" s="76"/>
      <c r="L62" s="76"/>
      <c r="M62" s="75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>
      <c r="A63" s="75"/>
      <c r="B63" s="75"/>
      <c r="C63" s="75"/>
      <c r="D63" s="75"/>
      <c r="E63" s="75"/>
      <c r="F63" s="75"/>
      <c r="G63" s="75"/>
      <c r="H63" s="76"/>
      <c r="I63" s="76"/>
      <c r="J63" s="77"/>
      <c r="K63" s="76"/>
      <c r="L63" s="76"/>
      <c r="M63" s="75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>
      <c r="A64" s="75"/>
      <c r="B64" s="75"/>
      <c r="C64" s="75"/>
      <c r="D64" s="75"/>
      <c r="E64" s="75"/>
      <c r="F64" s="75"/>
      <c r="G64" s="75"/>
      <c r="H64" s="76"/>
      <c r="I64" s="76"/>
      <c r="J64" s="77"/>
      <c r="K64" s="76"/>
      <c r="L64" s="76"/>
      <c r="M64" s="75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>
      <c r="A65" s="75"/>
      <c r="B65" s="75"/>
      <c r="C65" s="75"/>
      <c r="D65" s="75"/>
      <c r="E65" s="75"/>
      <c r="F65" s="75"/>
      <c r="G65" s="75"/>
      <c r="H65" s="76"/>
      <c r="I65" s="76"/>
      <c r="J65" s="77"/>
      <c r="K65" s="76"/>
      <c r="L65" s="76"/>
      <c r="M65" s="75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>
      <c r="A66" s="75"/>
      <c r="B66" s="75"/>
      <c r="C66" s="75"/>
      <c r="D66" s="75"/>
      <c r="E66" s="75"/>
      <c r="F66" s="75"/>
      <c r="G66" s="75"/>
      <c r="H66" s="76"/>
      <c r="I66" s="76"/>
      <c r="J66" s="77"/>
      <c r="K66" s="76"/>
      <c r="L66" s="76"/>
      <c r="M66" s="75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>
      <c r="A67" s="75"/>
      <c r="B67" s="75"/>
      <c r="C67" s="75"/>
      <c r="D67" s="75"/>
      <c r="E67" s="75"/>
      <c r="F67" s="75"/>
      <c r="G67" s="75"/>
      <c r="H67" s="76"/>
      <c r="I67" s="76"/>
      <c r="J67" s="77"/>
      <c r="K67" s="76"/>
      <c r="L67" s="76"/>
      <c r="M67" s="75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>
      <c r="A68" s="75"/>
      <c r="B68" s="75"/>
      <c r="C68" s="75"/>
      <c r="D68" s="75"/>
      <c r="E68" s="75"/>
      <c r="F68" s="75"/>
      <c r="G68" s="75"/>
      <c r="H68" s="76"/>
      <c r="I68" s="76"/>
      <c r="J68" s="77"/>
      <c r="K68" s="76"/>
      <c r="L68" s="76"/>
      <c r="M68" s="75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>
      <c r="A69" s="75"/>
      <c r="B69" s="75"/>
      <c r="C69" s="75"/>
      <c r="D69" s="75"/>
      <c r="E69" s="75"/>
      <c r="F69" s="75"/>
      <c r="G69" s="75"/>
      <c r="H69" s="76"/>
      <c r="I69" s="76"/>
      <c r="J69" s="77"/>
      <c r="K69" s="76"/>
      <c r="L69" s="76"/>
      <c r="M69" s="75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>
      <c r="A70" s="75"/>
      <c r="B70" s="75"/>
      <c r="C70" s="75"/>
      <c r="D70" s="75"/>
      <c r="E70" s="75"/>
      <c r="F70" s="75"/>
      <c r="G70" s="75"/>
      <c r="H70" s="76"/>
      <c r="I70" s="76"/>
      <c r="J70" s="77"/>
      <c r="K70" s="76"/>
      <c r="L70" s="76"/>
      <c r="M70" s="75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>
      <c r="A71" s="75"/>
      <c r="B71" s="75"/>
      <c r="C71" s="75"/>
      <c r="D71" s="75"/>
      <c r="E71" s="75"/>
      <c r="F71" s="75"/>
      <c r="G71" s="75"/>
      <c r="H71" s="76"/>
      <c r="I71" s="76"/>
      <c r="J71" s="77"/>
      <c r="K71" s="76"/>
      <c r="L71" s="76"/>
      <c r="M71" s="75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>
      <c r="A72" s="75"/>
      <c r="B72" s="75"/>
      <c r="C72" s="75"/>
      <c r="D72" s="75"/>
      <c r="E72" s="75"/>
      <c r="F72" s="75"/>
      <c r="G72" s="75"/>
      <c r="H72" s="76"/>
      <c r="I72" s="76"/>
      <c r="J72" s="77"/>
      <c r="K72" s="76"/>
      <c r="L72" s="76"/>
      <c r="M72" s="75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spans="1:26">
      <c r="A73" s="75"/>
      <c r="B73" s="75"/>
      <c r="C73" s="75"/>
      <c r="D73" s="75"/>
      <c r="E73" s="75"/>
      <c r="F73" s="75"/>
      <c r="G73" s="75"/>
      <c r="H73" s="76"/>
      <c r="I73" s="76"/>
      <c r="J73" s="77"/>
      <c r="K73" s="76"/>
      <c r="L73" s="76"/>
      <c r="M73" s="75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>
      <c r="A74" s="75"/>
      <c r="B74" s="75"/>
      <c r="C74" s="75"/>
      <c r="D74" s="75"/>
      <c r="E74" s="75"/>
      <c r="F74" s="75"/>
      <c r="G74" s="75"/>
      <c r="H74" s="76"/>
      <c r="I74" s="76"/>
      <c r="J74" s="77"/>
      <c r="K74" s="76"/>
      <c r="L74" s="76"/>
      <c r="M74" s="75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6">
      <c r="A75" s="75"/>
      <c r="B75" s="75"/>
      <c r="C75" s="75"/>
      <c r="D75" s="75"/>
      <c r="E75" s="75"/>
      <c r="F75" s="75"/>
      <c r="G75" s="75"/>
      <c r="H75" s="76"/>
      <c r="I75" s="76"/>
      <c r="J75" s="77"/>
      <c r="K75" s="76"/>
      <c r="L75" s="76"/>
      <c r="M75" s="75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spans="1:26">
      <c r="A76" s="75"/>
      <c r="B76" s="75"/>
      <c r="C76" s="75"/>
      <c r="D76" s="75"/>
      <c r="E76" s="75"/>
      <c r="F76" s="75"/>
      <c r="G76" s="75"/>
      <c r="H76" s="76"/>
      <c r="I76" s="76"/>
      <c r="J76" s="77"/>
      <c r="K76" s="76"/>
      <c r="L76" s="76"/>
      <c r="M76" s="75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spans="1:26">
      <c r="A77" s="75"/>
      <c r="B77" s="75"/>
      <c r="C77" s="75"/>
      <c r="D77" s="75"/>
      <c r="E77" s="75"/>
      <c r="F77" s="75"/>
      <c r="G77" s="75"/>
      <c r="H77" s="76"/>
      <c r="I77" s="76"/>
      <c r="J77" s="77"/>
      <c r="K77" s="76"/>
      <c r="L77" s="76"/>
      <c r="M77" s="75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spans="1:26">
      <c r="A78" s="75"/>
      <c r="B78" s="75"/>
      <c r="C78" s="75"/>
      <c r="D78" s="75"/>
      <c r="E78" s="75"/>
      <c r="F78" s="75"/>
      <c r="G78" s="75"/>
      <c r="H78" s="76"/>
      <c r="I78" s="76"/>
      <c r="J78" s="77"/>
      <c r="K78" s="76"/>
      <c r="L78" s="76"/>
      <c r="M78" s="75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spans="1:26">
      <c r="A79" s="75"/>
      <c r="B79" s="75"/>
      <c r="C79" s="75"/>
      <c r="D79" s="75"/>
      <c r="E79" s="75"/>
      <c r="F79" s="75"/>
      <c r="G79" s="75"/>
      <c r="H79" s="76"/>
      <c r="I79" s="76"/>
      <c r="J79" s="77"/>
      <c r="K79" s="76"/>
      <c r="L79" s="76"/>
      <c r="M79" s="75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spans="1:26">
      <c r="A80" s="75"/>
      <c r="B80" s="75"/>
      <c r="C80" s="75"/>
      <c r="D80" s="75"/>
      <c r="E80" s="75"/>
      <c r="F80" s="75"/>
      <c r="G80" s="75"/>
      <c r="H80" s="76"/>
      <c r="I80" s="76"/>
      <c r="J80" s="77"/>
      <c r="K80" s="76"/>
      <c r="L80" s="76"/>
      <c r="M80" s="75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spans="1:26">
      <c r="A81" s="75"/>
      <c r="B81" s="75"/>
      <c r="C81" s="75"/>
      <c r="D81" s="75"/>
      <c r="E81" s="75"/>
      <c r="F81" s="75"/>
      <c r="G81" s="75"/>
      <c r="H81" s="76"/>
      <c r="I81" s="76"/>
      <c r="J81" s="77"/>
      <c r="K81" s="76"/>
      <c r="L81" s="76"/>
      <c r="M81" s="75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26">
      <c r="A82" s="75"/>
      <c r="B82" s="75"/>
      <c r="C82" s="75"/>
      <c r="D82" s="75"/>
      <c r="E82" s="75"/>
      <c r="F82" s="75"/>
      <c r="G82" s="75"/>
      <c r="H82" s="76"/>
      <c r="I82" s="76"/>
      <c r="J82" s="77"/>
      <c r="K82" s="76"/>
      <c r="L82" s="76"/>
      <c r="M82" s="75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>
      <c r="A83" s="75"/>
      <c r="B83" s="75"/>
      <c r="C83" s="75"/>
      <c r="D83" s="75"/>
      <c r="E83" s="75"/>
      <c r="F83" s="75"/>
      <c r="G83" s="75"/>
      <c r="H83" s="76"/>
      <c r="I83" s="76"/>
      <c r="J83" s="77"/>
      <c r="K83" s="76"/>
      <c r="L83" s="76"/>
      <c r="M83" s="75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>
      <c r="A84" s="75"/>
      <c r="B84" s="75"/>
      <c r="C84" s="75"/>
      <c r="D84" s="75"/>
      <c r="E84" s="75"/>
      <c r="F84" s="75"/>
      <c r="G84" s="75"/>
      <c r="H84" s="76"/>
      <c r="I84" s="76"/>
      <c r="J84" s="77"/>
      <c r="K84" s="76"/>
      <c r="L84" s="76"/>
      <c r="M84" s="75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>
      <c r="A85" s="75"/>
      <c r="B85" s="75"/>
      <c r="C85" s="75"/>
      <c r="D85" s="75"/>
      <c r="E85" s="75"/>
      <c r="F85" s="75"/>
      <c r="G85" s="75"/>
      <c r="H85" s="76"/>
      <c r="I85" s="76"/>
      <c r="J85" s="77"/>
      <c r="K85" s="76"/>
      <c r="L85" s="76"/>
      <c r="M85" s="75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>
      <c r="A86" s="75"/>
      <c r="B86" s="75"/>
      <c r="C86" s="75"/>
      <c r="D86" s="75"/>
      <c r="E86" s="75"/>
      <c r="F86" s="75"/>
      <c r="G86" s="75"/>
      <c r="H86" s="76"/>
      <c r="I86" s="76"/>
      <c r="J86" s="77"/>
      <c r="K86" s="76"/>
      <c r="L86" s="76"/>
      <c r="M86" s="75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>
      <c r="A87" s="75"/>
      <c r="B87" s="75"/>
      <c r="C87" s="75"/>
      <c r="D87" s="75"/>
      <c r="E87" s="75"/>
      <c r="F87" s="75"/>
      <c r="G87" s="75"/>
      <c r="H87" s="76"/>
      <c r="I87" s="76"/>
      <c r="J87" s="77"/>
      <c r="K87" s="76"/>
      <c r="L87" s="76"/>
      <c r="M87" s="75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spans="1:26">
      <c r="A88" s="75"/>
      <c r="B88" s="75"/>
      <c r="C88" s="75"/>
      <c r="D88" s="75"/>
      <c r="E88" s="75"/>
      <c r="F88" s="75"/>
      <c r="G88" s="75"/>
      <c r="H88" s="76"/>
      <c r="I88" s="76"/>
      <c r="J88" s="77"/>
      <c r="K88" s="76"/>
      <c r="L88" s="76"/>
      <c r="M88" s="75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spans="1:26">
      <c r="A89" s="75"/>
      <c r="B89" s="75"/>
      <c r="C89" s="75"/>
      <c r="D89" s="75"/>
      <c r="E89" s="75"/>
      <c r="F89" s="75"/>
      <c r="G89" s="75"/>
      <c r="H89" s="76"/>
      <c r="I89" s="76"/>
      <c r="J89" s="77"/>
      <c r="K89" s="76"/>
      <c r="L89" s="76"/>
      <c r="M89" s="75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spans="1:26">
      <c r="A90" s="75"/>
      <c r="B90" s="75"/>
      <c r="C90" s="75"/>
      <c r="D90" s="75"/>
      <c r="E90" s="75"/>
      <c r="F90" s="75"/>
      <c r="G90" s="75"/>
      <c r="H90" s="76"/>
      <c r="I90" s="76"/>
      <c r="J90" s="77"/>
      <c r="K90" s="76"/>
      <c r="L90" s="76"/>
      <c r="M90" s="75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spans="1:26">
      <c r="A91" s="75"/>
      <c r="B91" s="75"/>
      <c r="C91" s="75"/>
      <c r="D91" s="75"/>
      <c r="E91" s="75"/>
      <c r="F91" s="75"/>
      <c r="G91" s="75"/>
      <c r="H91" s="76"/>
      <c r="I91" s="76"/>
      <c r="J91" s="77"/>
      <c r="K91" s="76"/>
      <c r="L91" s="76"/>
      <c r="M91" s="75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spans="1:26">
      <c r="A92" s="75"/>
      <c r="B92" s="75"/>
      <c r="C92" s="75"/>
      <c r="D92" s="75"/>
      <c r="E92" s="75"/>
      <c r="F92" s="75"/>
      <c r="G92" s="75"/>
      <c r="H92" s="76"/>
      <c r="I92" s="76"/>
      <c r="J92" s="77"/>
      <c r="K92" s="76"/>
      <c r="L92" s="76"/>
      <c r="M92" s="75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spans="1:26">
      <c r="A93" s="75"/>
      <c r="B93" s="75"/>
      <c r="C93" s="75"/>
      <c r="D93" s="75"/>
      <c r="E93" s="75"/>
      <c r="F93" s="75"/>
      <c r="G93" s="75"/>
      <c r="H93" s="76"/>
      <c r="I93" s="76"/>
      <c r="J93" s="77"/>
      <c r="K93" s="76"/>
      <c r="L93" s="76"/>
      <c r="M93" s="75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spans="1:26">
      <c r="A94" s="75"/>
      <c r="B94" s="75"/>
      <c r="C94" s="75"/>
      <c r="D94" s="75"/>
      <c r="E94" s="75"/>
      <c r="F94" s="75"/>
      <c r="G94" s="75"/>
      <c r="H94" s="76"/>
      <c r="I94" s="76"/>
      <c r="J94" s="77"/>
      <c r="K94" s="76"/>
      <c r="L94" s="76"/>
      <c r="M94" s="75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spans="1:26">
      <c r="A95" s="75"/>
      <c r="B95" s="75"/>
      <c r="C95" s="75"/>
      <c r="D95" s="75"/>
      <c r="E95" s="75"/>
      <c r="F95" s="75"/>
      <c r="G95" s="75"/>
      <c r="H95" s="76"/>
      <c r="I95" s="76"/>
      <c r="J95" s="77"/>
      <c r="K95" s="76"/>
      <c r="L95" s="76"/>
      <c r="M95" s="75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spans="1:26">
      <c r="A96" s="75"/>
      <c r="B96" s="75"/>
      <c r="C96" s="75"/>
      <c r="D96" s="75"/>
      <c r="E96" s="75"/>
      <c r="F96" s="75"/>
      <c r="G96" s="75"/>
      <c r="H96" s="76"/>
      <c r="I96" s="76"/>
      <c r="J96" s="77"/>
      <c r="K96" s="76"/>
      <c r="L96" s="76"/>
      <c r="M96" s="75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spans="1:26">
      <c r="A97" s="75"/>
      <c r="B97" s="75"/>
      <c r="C97" s="75"/>
      <c r="D97" s="75"/>
      <c r="E97" s="75"/>
      <c r="F97" s="75"/>
      <c r="G97" s="75"/>
      <c r="H97" s="76"/>
      <c r="I97" s="76"/>
      <c r="J97" s="77"/>
      <c r="K97" s="76"/>
      <c r="L97" s="76"/>
      <c r="M97" s="75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spans="1:26">
      <c r="A98" s="75"/>
      <c r="B98" s="75"/>
      <c r="C98" s="75"/>
      <c r="D98" s="75"/>
      <c r="E98" s="75"/>
      <c r="F98" s="75"/>
      <c r="G98" s="75"/>
      <c r="H98" s="76"/>
      <c r="I98" s="76"/>
      <c r="J98" s="77"/>
      <c r="K98" s="76"/>
      <c r="L98" s="76"/>
      <c r="M98" s="75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spans="1:26">
      <c r="A99" s="75"/>
      <c r="B99" s="75"/>
      <c r="C99" s="75"/>
      <c r="D99" s="75"/>
      <c r="E99" s="75"/>
      <c r="F99" s="75"/>
      <c r="G99" s="75"/>
      <c r="H99" s="76"/>
      <c r="I99" s="76"/>
      <c r="J99" s="77"/>
      <c r="K99" s="76"/>
      <c r="L99" s="76"/>
      <c r="M99" s="75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spans="1:26">
      <c r="A100" s="75"/>
      <c r="B100" s="75"/>
      <c r="C100" s="75"/>
      <c r="D100" s="75"/>
      <c r="E100" s="75"/>
      <c r="F100" s="75"/>
      <c r="G100" s="75"/>
      <c r="H100" s="76"/>
      <c r="I100" s="76"/>
      <c r="J100" s="77"/>
      <c r="K100" s="76"/>
      <c r="L100" s="76"/>
      <c r="M100" s="75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spans="1:26">
      <c r="A101" s="75"/>
      <c r="B101" s="75"/>
      <c r="C101" s="75"/>
      <c r="D101" s="75"/>
      <c r="E101" s="75"/>
      <c r="F101" s="75"/>
      <c r="G101" s="75"/>
      <c r="H101" s="76"/>
      <c r="I101" s="76"/>
      <c r="J101" s="77"/>
      <c r="K101" s="76"/>
      <c r="L101" s="76"/>
      <c r="M101" s="75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spans="1:26">
      <c r="A102" s="75"/>
      <c r="B102" s="75"/>
      <c r="C102" s="75"/>
      <c r="D102" s="75"/>
      <c r="E102" s="75"/>
      <c r="F102" s="75"/>
      <c r="G102" s="75"/>
      <c r="H102" s="76"/>
      <c r="I102" s="76"/>
      <c r="J102" s="77"/>
      <c r="K102" s="76"/>
      <c r="L102" s="76"/>
      <c r="M102" s="75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spans="1:26">
      <c r="A103" s="75"/>
      <c r="B103" s="75"/>
      <c r="C103" s="75"/>
      <c r="D103" s="75"/>
      <c r="E103" s="75"/>
      <c r="F103" s="75"/>
      <c r="G103" s="75"/>
      <c r="H103" s="76"/>
      <c r="I103" s="76"/>
      <c r="J103" s="77"/>
      <c r="K103" s="76"/>
      <c r="L103" s="76"/>
      <c r="M103" s="75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spans="1:26">
      <c r="A104" s="75"/>
      <c r="B104" s="75"/>
      <c r="C104" s="75"/>
      <c r="D104" s="75"/>
      <c r="E104" s="75"/>
      <c r="F104" s="75"/>
      <c r="G104" s="75"/>
      <c r="H104" s="76"/>
      <c r="I104" s="76"/>
      <c r="J104" s="77"/>
      <c r="K104" s="76"/>
      <c r="L104" s="76"/>
      <c r="M104" s="75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spans="1:26">
      <c r="A105" s="75"/>
      <c r="B105" s="75"/>
      <c r="C105" s="75"/>
      <c r="D105" s="75"/>
      <c r="E105" s="75"/>
      <c r="F105" s="75"/>
      <c r="G105" s="75"/>
      <c r="H105" s="76"/>
      <c r="I105" s="76"/>
      <c r="J105" s="77"/>
      <c r="K105" s="76"/>
      <c r="L105" s="76"/>
      <c r="M105" s="75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spans="1:26">
      <c r="A106" s="75"/>
      <c r="B106" s="75"/>
      <c r="C106" s="75"/>
      <c r="D106" s="75"/>
      <c r="E106" s="75"/>
      <c r="F106" s="75"/>
      <c r="G106" s="75"/>
      <c r="H106" s="76"/>
      <c r="I106" s="76"/>
      <c r="J106" s="77"/>
      <c r="K106" s="76"/>
      <c r="L106" s="76"/>
      <c r="M106" s="75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spans="1:26">
      <c r="A107" s="75"/>
      <c r="B107" s="75"/>
      <c r="C107" s="75"/>
      <c r="D107" s="75"/>
      <c r="E107" s="75"/>
      <c r="F107" s="75"/>
      <c r="G107" s="75"/>
      <c r="H107" s="76"/>
      <c r="I107" s="76"/>
      <c r="J107" s="77"/>
      <c r="K107" s="76"/>
      <c r="L107" s="76"/>
      <c r="M107" s="75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spans="1:26">
      <c r="A108" s="75"/>
      <c r="B108" s="75"/>
      <c r="C108" s="75"/>
      <c r="D108" s="75"/>
      <c r="E108" s="75"/>
      <c r="F108" s="75"/>
      <c r="G108" s="75"/>
      <c r="H108" s="76"/>
      <c r="I108" s="76"/>
      <c r="J108" s="77"/>
      <c r="K108" s="76"/>
      <c r="L108" s="76"/>
      <c r="M108" s="75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spans="1:26">
      <c r="A109" s="75"/>
      <c r="B109" s="75"/>
      <c r="C109" s="75"/>
      <c r="D109" s="75"/>
      <c r="E109" s="75"/>
      <c r="F109" s="75"/>
      <c r="G109" s="75"/>
      <c r="H109" s="76"/>
      <c r="I109" s="76"/>
      <c r="J109" s="77"/>
      <c r="K109" s="76"/>
      <c r="L109" s="76"/>
      <c r="M109" s="75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spans="1:26">
      <c r="A110" s="75"/>
      <c r="B110" s="75"/>
      <c r="C110" s="75"/>
      <c r="D110" s="75"/>
      <c r="E110" s="75"/>
      <c r="F110" s="75"/>
      <c r="G110" s="75"/>
      <c r="H110" s="76"/>
      <c r="I110" s="76"/>
      <c r="J110" s="77"/>
      <c r="K110" s="76"/>
      <c r="L110" s="76"/>
      <c r="M110" s="75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spans="1:26">
      <c r="A111" s="75"/>
      <c r="B111" s="75"/>
      <c r="C111" s="75"/>
      <c r="D111" s="75"/>
      <c r="E111" s="75"/>
      <c r="F111" s="75"/>
      <c r="G111" s="75"/>
      <c r="H111" s="76"/>
      <c r="I111" s="76"/>
      <c r="J111" s="77"/>
      <c r="K111" s="76"/>
      <c r="L111" s="76"/>
      <c r="M111" s="75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spans="1:26">
      <c r="A112" s="75"/>
      <c r="B112" s="75"/>
      <c r="C112" s="75"/>
      <c r="D112" s="75"/>
      <c r="E112" s="75"/>
      <c r="F112" s="75"/>
      <c r="G112" s="75"/>
      <c r="H112" s="76"/>
      <c r="I112" s="76"/>
      <c r="J112" s="77"/>
      <c r="K112" s="76"/>
      <c r="L112" s="76"/>
      <c r="M112" s="75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spans="1:26">
      <c r="A113" s="75"/>
      <c r="B113" s="75"/>
      <c r="C113" s="75"/>
      <c r="D113" s="75"/>
      <c r="E113" s="75"/>
      <c r="F113" s="75"/>
      <c r="G113" s="75"/>
      <c r="H113" s="76"/>
      <c r="I113" s="76"/>
      <c r="J113" s="77"/>
      <c r="K113" s="76"/>
      <c r="L113" s="76"/>
      <c r="M113" s="75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spans="1:26">
      <c r="A114" s="75"/>
      <c r="B114" s="75"/>
      <c r="C114" s="75"/>
      <c r="D114" s="75"/>
      <c r="E114" s="75"/>
      <c r="F114" s="75"/>
      <c r="G114" s="75"/>
      <c r="H114" s="76"/>
      <c r="I114" s="76"/>
      <c r="J114" s="77"/>
      <c r="K114" s="76"/>
      <c r="L114" s="76"/>
      <c r="M114" s="75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spans="1:26">
      <c r="A115" s="75"/>
      <c r="B115" s="75"/>
      <c r="C115" s="75"/>
      <c r="D115" s="75"/>
      <c r="E115" s="75"/>
      <c r="F115" s="75"/>
      <c r="G115" s="75"/>
      <c r="H115" s="76"/>
      <c r="I115" s="76"/>
      <c r="J115" s="77"/>
      <c r="K115" s="76"/>
      <c r="L115" s="76"/>
      <c r="M115" s="75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spans="1:26">
      <c r="A116" s="75"/>
      <c r="B116" s="75"/>
      <c r="C116" s="75"/>
      <c r="D116" s="75"/>
      <c r="E116" s="75"/>
      <c r="F116" s="75"/>
      <c r="G116" s="75"/>
      <c r="H116" s="76"/>
      <c r="I116" s="76"/>
      <c r="J116" s="77"/>
      <c r="K116" s="76"/>
      <c r="L116" s="76"/>
      <c r="M116" s="75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spans="1:26">
      <c r="A117" s="75"/>
      <c r="B117" s="75"/>
      <c r="C117" s="75"/>
      <c r="D117" s="75"/>
      <c r="E117" s="75"/>
      <c r="F117" s="75"/>
      <c r="G117" s="75"/>
      <c r="H117" s="76"/>
      <c r="I117" s="76"/>
      <c r="J117" s="77"/>
      <c r="K117" s="76"/>
      <c r="L117" s="76"/>
      <c r="M117" s="75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spans="1:26">
      <c r="A118" s="75"/>
      <c r="B118" s="75"/>
      <c r="C118" s="75"/>
      <c r="D118" s="75"/>
      <c r="E118" s="75"/>
      <c r="F118" s="75"/>
      <c r="G118" s="75"/>
      <c r="H118" s="76"/>
      <c r="I118" s="76"/>
      <c r="J118" s="77"/>
      <c r="K118" s="76"/>
      <c r="L118" s="76"/>
      <c r="M118" s="75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spans="1:26">
      <c r="A119" s="75"/>
      <c r="B119" s="75"/>
      <c r="C119" s="75"/>
      <c r="D119" s="75"/>
      <c r="E119" s="75"/>
      <c r="F119" s="75"/>
      <c r="G119" s="75"/>
      <c r="H119" s="76"/>
      <c r="I119" s="76"/>
      <c r="J119" s="77"/>
      <c r="K119" s="76"/>
      <c r="L119" s="76"/>
      <c r="M119" s="75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spans="1:26">
      <c r="A120" s="75"/>
      <c r="B120" s="75"/>
      <c r="C120" s="75"/>
      <c r="D120" s="75"/>
      <c r="E120" s="75"/>
      <c r="F120" s="75"/>
      <c r="G120" s="75"/>
      <c r="H120" s="76"/>
      <c r="I120" s="76"/>
      <c r="J120" s="77"/>
      <c r="K120" s="76"/>
      <c r="L120" s="76"/>
      <c r="M120" s="75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spans="1:26">
      <c r="A121" s="75"/>
      <c r="B121" s="75"/>
      <c r="C121" s="75"/>
      <c r="D121" s="75"/>
      <c r="E121" s="75"/>
      <c r="F121" s="75"/>
      <c r="G121" s="75"/>
      <c r="H121" s="76"/>
      <c r="I121" s="76"/>
      <c r="J121" s="77"/>
      <c r="K121" s="76"/>
      <c r="L121" s="76"/>
      <c r="M121" s="75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spans="1:26">
      <c r="A122" s="75"/>
      <c r="B122" s="75"/>
      <c r="C122" s="75"/>
      <c r="D122" s="75"/>
      <c r="E122" s="75"/>
      <c r="F122" s="75"/>
      <c r="G122" s="75"/>
      <c r="H122" s="76"/>
      <c r="I122" s="76"/>
      <c r="J122" s="77"/>
      <c r="K122" s="76"/>
      <c r="L122" s="76"/>
      <c r="M122" s="75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spans="1:26">
      <c r="A123" s="75"/>
      <c r="B123" s="75"/>
      <c r="C123" s="75"/>
      <c r="D123" s="75"/>
      <c r="E123" s="75"/>
      <c r="F123" s="75"/>
      <c r="G123" s="75"/>
      <c r="H123" s="76"/>
      <c r="I123" s="76"/>
      <c r="J123" s="77"/>
      <c r="K123" s="76"/>
      <c r="L123" s="76"/>
      <c r="M123" s="75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spans="1:26">
      <c r="A124" s="75"/>
      <c r="B124" s="75"/>
      <c r="C124" s="75"/>
      <c r="D124" s="75"/>
      <c r="E124" s="75"/>
      <c r="F124" s="75"/>
      <c r="G124" s="75"/>
      <c r="H124" s="76"/>
      <c r="I124" s="76"/>
      <c r="J124" s="77"/>
      <c r="K124" s="76"/>
      <c r="L124" s="76"/>
      <c r="M124" s="75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spans="1:26">
      <c r="A125" s="75"/>
      <c r="B125" s="75"/>
      <c r="C125" s="75"/>
      <c r="D125" s="75"/>
      <c r="E125" s="75"/>
      <c r="F125" s="75"/>
      <c r="G125" s="75"/>
      <c r="H125" s="76"/>
      <c r="I125" s="76"/>
      <c r="J125" s="77"/>
      <c r="K125" s="76"/>
      <c r="L125" s="76"/>
      <c r="M125" s="75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spans="1:26">
      <c r="A126" s="75"/>
      <c r="B126" s="75"/>
      <c r="C126" s="75"/>
      <c r="D126" s="75"/>
      <c r="E126" s="75"/>
      <c r="F126" s="75"/>
      <c r="G126" s="75"/>
      <c r="H126" s="76"/>
      <c r="I126" s="76"/>
      <c r="J126" s="77"/>
      <c r="K126" s="76"/>
      <c r="L126" s="76"/>
      <c r="M126" s="75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spans="1:26">
      <c r="A127" s="75"/>
      <c r="B127" s="75"/>
      <c r="C127" s="75"/>
      <c r="D127" s="75"/>
      <c r="E127" s="75"/>
      <c r="F127" s="75"/>
      <c r="G127" s="75"/>
      <c r="H127" s="76"/>
      <c r="I127" s="76"/>
      <c r="J127" s="77"/>
      <c r="K127" s="76"/>
      <c r="L127" s="76"/>
      <c r="M127" s="75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spans="1:26">
      <c r="A128" s="75"/>
      <c r="B128" s="75"/>
      <c r="C128" s="75"/>
      <c r="D128" s="75"/>
      <c r="E128" s="75"/>
      <c r="F128" s="75"/>
      <c r="G128" s="75"/>
      <c r="H128" s="76"/>
      <c r="I128" s="76"/>
      <c r="J128" s="77"/>
      <c r="K128" s="76"/>
      <c r="L128" s="76"/>
      <c r="M128" s="75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spans="1:26">
      <c r="A129" s="75"/>
      <c r="B129" s="75"/>
      <c r="C129" s="75"/>
      <c r="D129" s="75"/>
      <c r="E129" s="75"/>
      <c r="F129" s="75"/>
      <c r="G129" s="75"/>
      <c r="H129" s="76"/>
      <c r="I129" s="76"/>
      <c r="J129" s="77"/>
      <c r="K129" s="76"/>
      <c r="L129" s="76"/>
      <c r="M129" s="75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spans="1:26">
      <c r="A130" s="75"/>
      <c r="B130" s="75"/>
      <c r="C130" s="75"/>
      <c r="D130" s="75"/>
      <c r="E130" s="75"/>
      <c r="F130" s="75"/>
      <c r="G130" s="75"/>
      <c r="H130" s="76"/>
      <c r="I130" s="76"/>
      <c r="J130" s="77"/>
      <c r="K130" s="76"/>
      <c r="L130" s="76"/>
      <c r="M130" s="75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spans="1:26">
      <c r="A131" s="75"/>
      <c r="B131" s="75"/>
      <c r="C131" s="75"/>
      <c r="D131" s="75"/>
      <c r="E131" s="75"/>
      <c r="F131" s="75"/>
      <c r="G131" s="75"/>
      <c r="H131" s="76"/>
      <c r="I131" s="76"/>
      <c r="J131" s="77"/>
      <c r="K131" s="76"/>
      <c r="L131" s="76"/>
      <c r="M131" s="75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spans="1:26">
      <c r="A132" s="75"/>
      <c r="B132" s="75"/>
      <c r="C132" s="75"/>
      <c r="D132" s="75"/>
      <c r="E132" s="75"/>
      <c r="F132" s="75"/>
      <c r="G132" s="75"/>
      <c r="H132" s="76"/>
      <c r="I132" s="76"/>
      <c r="J132" s="77"/>
      <c r="K132" s="76"/>
      <c r="L132" s="76"/>
      <c r="M132" s="75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spans="1:26">
      <c r="A133" s="75"/>
      <c r="B133" s="75"/>
      <c r="C133" s="75"/>
      <c r="D133" s="75"/>
      <c r="E133" s="75"/>
      <c r="F133" s="75"/>
      <c r="G133" s="75"/>
      <c r="H133" s="76"/>
      <c r="I133" s="76"/>
      <c r="J133" s="77"/>
      <c r="K133" s="76"/>
      <c r="L133" s="76"/>
      <c r="M133" s="75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spans="1:26">
      <c r="A134" s="75"/>
      <c r="B134" s="75"/>
      <c r="C134" s="75"/>
      <c r="D134" s="75"/>
      <c r="E134" s="75"/>
      <c r="F134" s="75"/>
      <c r="G134" s="75"/>
      <c r="H134" s="76"/>
      <c r="I134" s="76"/>
      <c r="J134" s="77"/>
      <c r="K134" s="76"/>
      <c r="L134" s="76"/>
      <c r="M134" s="75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spans="1:26">
      <c r="A135" s="75"/>
      <c r="B135" s="75"/>
      <c r="C135" s="75"/>
      <c r="D135" s="75"/>
      <c r="E135" s="75"/>
      <c r="F135" s="75"/>
      <c r="G135" s="75"/>
      <c r="H135" s="76"/>
      <c r="I135" s="76"/>
      <c r="J135" s="77"/>
      <c r="K135" s="76"/>
      <c r="L135" s="76"/>
      <c r="M135" s="75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spans="1:26">
      <c r="A136" s="75"/>
      <c r="B136" s="75"/>
      <c r="C136" s="75"/>
      <c r="D136" s="75"/>
      <c r="E136" s="75"/>
      <c r="F136" s="75"/>
      <c r="G136" s="75"/>
      <c r="H136" s="76"/>
      <c r="I136" s="76"/>
      <c r="J136" s="77"/>
      <c r="K136" s="76"/>
      <c r="L136" s="76"/>
      <c r="M136" s="75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spans="1:26">
      <c r="A137" s="75"/>
      <c r="B137" s="75"/>
      <c r="C137" s="75"/>
      <c r="D137" s="75"/>
      <c r="E137" s="75"/>
      <c r="F137" s="75"/>
      <c r="G137" s="75"/>
      <c r="H137" s="76"/>
      <c r="I137" s="76"/>
      <c r="J137" s="77"/>
      <c r="K137" s="76"/>
      <c r="L137" s="76"/>
      <c r="M137" s="75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spans="1:26">
      <c r="A138" s="75"/>
      <c r="B138" s="75"/>
      <c r="C138" s="75"/>
      <c r="D138" s="75"/>
      <c r="E138" s="75"/>
      <c r="F138" s="75"/>
      <c r="G138" s="75"/>
      <c r="H138" s="76"/>
      <c r="I138" s="76"/>
      <c r="J138" s="77"/>
      <c r="K138" s="76"/>
      <c r="L138" s="76"/>
      <c r="M138" s="75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spans="1:26">
      <c r="A139" s="75"/>
      <c r="B139" s="75"/>
      <c r="C139" s="75"/>
      <c r="D139" s="75"/>
      <c r="E139" s="75"/>
      <c r="F139" s="75"/>
      <c r="G139" s="75"/>
      <c r="H139" s="76"/>
      <c r="I139" s="76"/>
      <c r="J139" s="77"/>
      <c r="K139" s="76"/>
      <c r="L139" s="76"/>
      <c r="M139" s="75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spans="1:26">
      <c r="A140" s="75"/>
      <c r="B140" s="75"/>
      <c r="C140" s="75"/>
      <c r="D140" s="75"/>
      <c r="E140" s="75"/>
      <c r="F140" s="75"/>
      <c r="G140" s="75"/>
      <c r="H140" s="76"/>
      <c r="I140" s="76"/>
      <c r="J140" s="77"/>
      <c r="K140" s="76"/>
      <c r="L140" s="76"/>
      <c r="M140" s="75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spans="1:26">
      <c r="A141" s="75"/>
      <c r="B141" s="75"/>
      <c r="C141" s="75"/>
      <c r="D141" s="75"/>
      <c r="E141" s="75"/>
      <c r="F141" s="75"/>
      <c r="G141" s="75"/>
      <c r="H141" s="76"/>
      <c r="I141" s="76"/>
      <c r="J141" s="77"/>
      <c r="K141" s="76"/>
      <c r="L141" s="76"/>
      <c r="M141" s="75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spans="1:26">
      <c r="A142" s="75"/>
      <c r="B142" s="75"/>
      <c r="C142" s="75"/>
      <c r="D142" s="75"/>
      <c r="E142" s="75"/>
      <c r="F142" s="75"/>
      <c r="G142" s="75"/>
      <c r="H142" s="76"/>
      <c r="I142" s="76"/>
      <c r="J142" s="77"/>
      <c r="K142" s="76"/>
      <c r="L142" s="76"/>
      <c r="M142" s="75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spans="1:26">
      <c r="A143" s="75"/>
      <c r="B143" s="75"/>
      <c r="C143" s="75"/>
      <c r="D143" s="75"/>
      <c r="E143" s="75"/>
      <c r="F143" s="75"/>
      <c r="G143" s="75"/>
      <c r="H143" s="76"/>
      <c r="I143" s="76"/>
      <c r="J143" s="77"/>
      <c r="K143" s="76"/>
      <c r="L143" s="76"/>
      <c r="M143" s="75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spans="1:26">
      <c r="A144" s="75"/>
      <c r="B144" s="75"/>
      <c r="C144" s="75"/>
      <c r="D144" s="75"/>
      <c r="E144" s="75"/>
      <c r="F144" s="75"/>
      <c r="G144" s="75"/>
      <c r="H144" s="76"/>
      <c r="I144" s="76"/>
      <c r="J144" s="77"/>
      <c r="K144" s="76"/>
      <c r="L144" s="76"/>
      <c r="M144" s="75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spans="1:26">
      <c r="A145" s="75"/>
      <c r="B145" s="75"/>
      <c r="C145" s="75"/>
      <c r="D145" s="75"/>
      <c r="E145" s="75"/>
      <c r="F145" s="75"/>
      <c r="G145" s="75"/>
      <c r="H145" s="76"/>
      <c r="I145" s="76"/>
      <c r="J145" s="77"/>
      <c r="K145" s="76"/>
      <c r="L145" s="76"/>
      <c r="M145" s="75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spans="1:26">
      <c r="A146" s="75"/>
      <c r="B146" s="75"/>
      <c r="C146" s="75"/>
      <c r="D146" s="75"/>
      <c r="E146" s="75"/>
      <c r="F146" s="75"/>
      <c r="G146" s="75"/>
      <c r="H146" s="76"/>
      <c r="I146" s="76"/>
      <c r="J146" s="77"/>
      <c r="K146" s="76"/>
      <c r="L146" s="76"/>
      <c r="M146" s="75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spans="1:26">
      <c r="A147" s="75"/>
      <c r="B147" s="75"/>
      <c r="C147" s="75"/>
      <c r="D147" s="75"/>
      <c r="E147" s="75"/>
      <c r="F147" s="75"/>
      <c r="G147" s="75"/>
      <c r="H147" s="76"/>
      <c r="I147" s="76"/>
      <c r="J147" s="77"/>
      <c r="K147" s="76"/>
      <c r="L147" s="76"/>
      <c r="M147" s="75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spans="1:26">
      <c r="A148" s="75"/>
      <c r="B148" s="75"/>
      <c r="C148" s="75"/>
      <c r="D148" s="75"/>
      <c r="E148" s="75"/>
      <c r="F148" s="75"/>
      <c r="G148" s="75"/>
      <c r="H148" s="76"/>
      <c r="I148" s="76"/>
      <c r="J148" s="77"/>
      <c r="K148" s="76"/>
      <c r="L148" s="76"/>
      <c r="M148" s="75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spans="1:26">
      <c r="A149" s="75"/>
      <c r="B149" s="75"/>
      <c r="C149" s="75"/>
      <c r="D149" s="75"/>
      <c r="E149" s="75"/>
      <c r="F149" s="75"/>
      <c r="G149" s="75"/>
      <c r="H149" s="76"/>
      <c r="I149" s="76"/>
      <c r="J149" s="77"/>
      <c r="K149" s="76"/>
      <c r="L149" s="76"/>
      <c r="M149" s="75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spans="1:26">
      <c r="A150" s="75"/>
      <c r="B150" s="75"/>
      <c r="C150" s="75"/>
      <c r="D150" s="75"/>
      <c r="E150" s="75"/>
      <c r="F150" s="75"/>
      <c r="G150" s="75"/>
      <c r="H150" s="76"/>
      <c r="I150" s="76"/>
      <c r="J150" s="77"/>
      <c r="K150" s="76"/>
      <c r="L150" s="76"/>
      <c r="M150" s="75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spans="1:26">
      <c r="A151" s="75"/>
      <c r="B151" s="75"/>
      <c r="C151" s="75"/>
      <c r="D151" s="75"/>
      <c r="E151" s="75"/>
      <c r="F151" s="75"/>
      <c r="G151" s="75"/>
      <c r="H151" s="76"/>
      <c r="I151" s="76"/>
      <c r="J151" s="77"/>
      <c r="K151" s="76"/>
      <c r="L151" s="76"/>
      <c r="M151" s="75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spans="1:26">
      <c r="A152" s="75"/>
      <c r="B152" s="75"/>
      <c r="C152" s="75"/>
      <c r="D152" s="75"/>
      <c r="E152" s="75"/>
      <c r="F152" s="75"/>
      <c r="G152" s="75"/>
      <c r="H152" s="76"/>
      <c r="I152" s="76"/>
      <c r="J152" s="77"/>
      <c r="K152" s="76"/>
      <c r="L152" s="76"/>
      <c r="M152" s="75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spans="1:26">
      <c r="A153" s="75"/>
      <c r="B153" s="75"/>
      <c r="C153" s="75"/>
      <c r="D153" s="75"/>
      <c r="E153" s="75"/>
      <c r="F153" s="75"/>
      <c r="G153" s="75"/>
      <c r="H153" s="76"/>
      <c r="I153" s="76"/>
      <c r="J153" s="77"/>
      <c r="K153" s="76"/>
      <c r="L153" s="76"/>
      <c r="M153" s="75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spans="1:26">
      <c r="A154" s="75"/>
      <c r="B154" s="75"/>
      <c r="C154" s="75"/>
      <c r="D154" s="75"/>
      <c r="E154" s="75"/>
      <c r="F154" s="75"/>
      <c r="G154" s="75"/>
      <c r="H154" s="76"/>
      <c r="I154" s="76"/>
      <c r="J154" s="77"/>
      <c r="K154" s="76"/>
      <c r="L154" s="76"/>
      <c r="M154" s="75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spans="1:26">
      <c r="A155" s="75"/>
      <c r="B155" s="75"/>
      <c r="C155" s="75"/>
      <c r="D155" s="75"/>
      <c r="E155" s="75"/>
      <c r="F155" s="75"/>
      <c r="G155" s="75"/>
      <c r="H155" s="76"/>
      <c r="I155" s="76"/>
      <c r="J155" s="77"/>
      <c r="K155" s="76"/>
      <c r="L155" s="76"/>
      <c r="M155" s="75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spans="1:26">
      <c r="A156" s="75"/>
      <c r="B156" s="75"/>
      <c r="C156" s="75"/>
      <c r="D156" s="75"/>
      <c r="E156" s="75"/>
      <c r="F156" s="75"/>
      <c r="G156" s="75"/>
      <c r="H156" s="76"/>
      <c r="I156" s="76"/>
      <c r="J156" s="77"/>
      <c r="K156" s="76"/>
      <c r="L156" s="76"/>
      <c r="M156" s="75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spans="1:26">
      <c r="A157" s="75"/>
      <c r="B157" s="75"/>
      <c r="C157" s="75"/>
      <c r="D157" s="75"/>
      <c r="E157" s="75"/>
      <c r="F157" s="75"/>
      <c r="G157" s="75"/>
      <c r="H157" s="76"/>
      <c r="I157" s="76"/>
      <c r="J157" s="77"/>
      <c r="K157" s="76"/>
      <c r="L157" s="76"/>
      <c r="M157" s="75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spans="1:26">
      <c r="A158" s="75"/>
      <c r="B158" s="75"/>
      <c r="C158" s="75"/>
      <c r="D158" s="75"/>
      <c r="E158" s="75"/>
      <c r="F158" s="75"/>
      <c r="G158" s="75"/>
      <c r="H158" s="76"/>
      <c r="I158" s="76"/>
      <c r="J158" s="77"/>
      <c r="K158" s="76"/>
      <c r="L158" s="76"/>
      <c r="M158" s="75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spans="1:26">
      <c r="A159" s="75"/>
      <c r="B159" s="75"/>
      <c r="C159" s="75"/>
      <c r="D159" s="75"/>
      <c r="E159" s="75"/>
      <c r="F159" s="75"/>
      <c r="G159" s="75"/>
      <c r="H159" s="76"/>
      <c r="I159" s="76"/>
      <c r="J159" s="77"/>
      <c r="K159" s="76"/>
      <c r="L159" s="76"/>
      <c r="M159" s="75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spans="1:26">
      <c r="A160" s="75"/>
      <c r="B160" s="75"/>
      <c r="C160" s="75"/>
      <c r="D160" s="75"/>
      <c r="E160" s="75"/>
      <c r="F160" s="75"/>
      <c r="G160" s="75"/>
      <c r="H160" s="76"/>
      <c r="I160" s="76"/>
      <c r="J160" s="77"/>
      <c r="K160" s="76"/>
      <c r="L160" s="76"/>
      <c r="M160" s="75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spans="1:26">
      <c r="A161" s="75"/>
      <c r="B161" s="75"/>
      <c r="C161" s="75"/>
      <c r="D161" s="75"/>
      <c r="E161" s="75"/>
      <c r="F161" s="75"/>
      <c r="G161" s="75"/>
      <c r="H161" s="76"/>
      <c r="I161" s="76"/>
      <c r="J161" s="77"/>
      <c r="K161" s="76"/>
      <c r="L161" s="76"/>
      <c r="M161" s="75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spans="1:26">
      <c r="A162" s="75"/>
      <c r="B162" s="75"/>
      <c r="C162" s="75"/>
      <c r="D162" s="75"/>
      <c r="E162" s="75"/>
      <c r="F162" s="75"/>
      <c r="G162" s="75"/>
      <c r="H162" s="76"/>
      <c r="I162" s="76"/>
      <c r="J162" s="77"/>
      <c r="K162" s="76"/>
      <c r="L162" s="76"/>
      <c r="M162" s="75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spans="1:26">
      <c r="A163" s="75"/>
      <c r="B163" s="75"/>
      <c r="C163" s="75"/>
      <c r="D163" s="75"/>
      <c r="E163" s="75"/>
      <c r="F163" s="75"/>
      <c r="G163" s="75"/>
      <c r="H163" s="76"/>
      <c r="I163" s="76"/>
      <c r="J163" s="77"/>
      <c r="K163" s="76"/>
      <c r="L163" s="76"/>
      <c r="M163" s="75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spans="1:26">
      <c r="A164" s="78"/>
      <c r="B164" s="78"/>
      <c r="C164" s="78"/>
      <c r="D164" s="78"/>
      <c r="E164" s="78"/>
      <c r="F164" s="78"/>
      <c r="G164" s="78"/>
      <c r="H164" s="79"/>
      <c r="I164" s="79"/>
      <c r="J164" s="80"/>
      <c r="K164" s="79"/>
      <c r="L164" s="79"/>
      <c r="M164" s="78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spans="1:26">
      <c r="A165" s="78"/>
      <c r="B165" s="78"/>
      <c r="C165" s="78"/>
      <c r="D165" s="78"/>
      <c r="E165" s="78"/>
      <c r="F165" s="78"/>
      <c r="G165" s="78"/>
      <c r="H165" s="79"/>
      <c r="I165" s="79"/>
      <c r="J165" s="80"/>
      <c r="K165" s="79"/>
      <c r="L165" s="79"/>
      <c r="M165" s="78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spans="1:26">
      <c r="A166" s="78"/>
      <c r="B166" s="78"/>
      <c r="C166" s="78"/>
      <c r="D166" s="78"/>
      <c r="E166" s="78"/>
      <c r="F166" s="78"/>
      <c r="G166" s="78"/>
      <c r="H166" s="79"/>
      <c r="I166" s="79"/>
      <c r="J166" s="80"/>
      <c r="K166" s="79"/>
      <c r="L166" s="79"/>
      <c r="M166" s="78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spans="1:26">
      <c r="A167" s="78"/>
      <c r="B167" s="78"/>
      <c r="C167" s="78"/>
      <c r="D167" s="78"/>
      <c r="E167" s="78"/>
      <c r="F167" s="78"/>
      <c r="G167" s="78"/>
      <c r="H167" s="79"/>
      <c r="I167" s="79"/>
      <c r="J167" s="80"/>
      <c r="K167" s="79"/>
      <c r="L167" s="79"/>
      <c r="M167" s="78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spans="1:26">
      <c r="A168" s="78"/>
      <c r="B168" s="78"/>
      <c r="C168" s="78"/>
      <c r="D168" s="78"/>
      <c r="E168" s="78"/>
      <c r="F168" s="78"/>
      <c r="G168" s="78"/>
      <c r="H168" s="79"/>
      <c r="I168" s="79"/>
      <c r="J168" s="80"/>
      <c r="K168" s="79"/>
      <c r="L168" s="79"/>
      <c r="M168" s="78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spans="1:26">
      <c r="A169" s="78"/>
      <c r="B169" s="78"/>
      <c r="C169" s="78"/>
      <c r="D169" s="78"/>
      <c r="E169" s="78"/>
      <c r="F169" s="78"/>
      <c r="G169" s="78"/>
      <c r="H169" s="79"/>
      <c r="I169" s="79"/>
      <c r="J169" s="80"/>
      <c r="K169" s="79"/>
      <c r="L169" s="79"/>
      <c r="M169" s="78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spans="1:26">
      <c r="A170" s="78"/>
      <c r="B170" s="78"/>
      <c r="C170" s="78"/>
      <c r="D170" s="78"/>
      <c r="E170" s="78"/>
      <c r="F170" s="78"/>
      <c r="G170" s="78"/>
      <c r="H170" s="79"/>
      <c r="I170" s="79"/>
      <c r="J170" s="80"/>
      <c r="K170" s="79"/>
      <c r="L170" s="79"/>
      <c r="M170" s="78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spans="1:26">
      <c r="A171" s="78"/>
      <c r="B171" s="78"/>
      <c r="C171" s="78"/>
      <c r="D171" s="78"/>
      <c r="E171" s="78"/>
      <c r="F171" s="78"/>
      <c r="G171" s="78"/>
      <c r="H171" s="79"/>
      <c r="I171" s="79"/>
      <c r="J171" s="80"/>
      <c r="K171" s="79"/>
      <c r="L171" s="79"/>
      <c r="M171" s="78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spans="1:26">
      <c r="A172" s="78"/>
      <c r="B172" s="78"/>
      <c r="C172" s="78"/>
      <c r="D172" s="78"/>
      <c r="E172" s="78"/>
      <c r="F172" s="78"/>
      <c r="G172" s="78"/>
      <c r="H172" s="79"/>
      <c r="I172" s="79"/>
      <c r="J172" s="80"/>
      <c r="K172" s="79"/>
      <c r="L172" s="79"/>
      <c r="M172" s="78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spans="1:26">
      <c r="A173" s="78"/>
      <c r="B173" s="78"/>
      <c r="C173" s="78"/>
      <c r="D173" s="78"/>
      <c r="E173" s="78"/>
      <c r="F173" s="78"/>
      <c r="G173" s="78"/>
      <c r="H173" s="79"/>
      <c r="I173" s="79"/>
      <c r="J173" s="80"/>
      <c r="K173" s="79"/>
      <c r="L173" s="79"/>
      <c r="M173" s="78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spans="1:26">
      <c r="A174" s="78"/>
      <c r="B174" s="78"/>
      <c r="C174" s="78"/>
      <c r="D174" s="78"/>
      <c r="E174" s="78"/>
      <c r="F174" s="78"/>
      <c r="G174" s="78"/>
      <c r="H174" s="79"/>
      <c r="I174" s="79"/>
      <c r="J174" s="80"/>
      <c r="K174" s="79"/>
      <c r="L174" s="79"/>
      <c r="M174" s="78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spans="1:26">
      <c r="A175" s="78"/>
      <c r="B175" s="78"/>
      <c r="C175" s="78"/>
      <c r="D175" s="78"/>
      <c r="E175" s="78"/>
      <c r="F175" s="78"/>
      <c r="G175" s="78"/>
      <c r="H175" s="79"/>
      <c r="I175" s="79"/>
      <c r="J175" s="80"/>
      <c r="K175" s="79"/>
      <c r="L175" s="79"/>
      <c r="M175" s="78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spans="1:26">
      <c r="A176" s="78"/>
      <c r="B176" s="78"/>
      <c r="C176" s="78"/>
      <c r="D176" s="78"/>
      <c r="E176" s="78"/>
      <c r="F176" s="78"/>
      <c r="G176" s="78"/>
      <c r="H176" s="79"/>
      <c r="I176" s="79"/>
      <c r="J176" s="80"/>
      <c r="K176" s="79"/>
      <c r="L176" s="79"/>
      <c r="M176" s="78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spans="1:26">
      <c r="A177" s="78"/>
      <c r="B177" s="78"/>
      <c r="C177" s="78"/>
      <c r="D177" s="78"/>
      <c r="E177" s="78"/>
      <c r="F177" s="78"/>
      <c r="G177" s="78"/>
      <c r="H177" s="79"/>
      <c r="I177" s="79"/>
      <c r="J177" s="80"/>
      <c r="K177" s="79"/>
      <c r="L177" s="79"/>
      <c r="M177" s="78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spans="1:26">
      <c r="A178" s="78"/>
      <c r="B178" s="78"/>
      <c r="C178" s="78"/>
      <c r="D178" s="78"/>
      <c r="E178" s="78"/>
      <c r="F178" s="78"/>
      <c r="G178" s="78"/>
      <c r="H178" s="79"/>
      <c r="I178" s="79"/>
      <c r="J178" s="80"/>
      <c r="K178" s="79"/>
      <c r="L178" s="79"/>
      <c r="M178" s="78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spans="1:26">
      <c r="A179" s="78"/>
      <c r="B179" s="78"/>
      <c r="C179" s="78"/>
      <c r="D179" s="78"/>
      <c r="E179" s="78"/>
      <c r="F179" s="78"/>
      <c r="G179" s="78"/>
      <c r="H179" s="79"/>
      <c r="I179" s="79"/>
      <c r="J179" s="80"/>
      <c r="K179" s="79"/>
      <c r="L179" s="79"/>
      <c r="M179" s="78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spans="1:26">
      <c r="A180" s="78"/>
      <c r="B180" s="78"/>
      <c r="C180" s="78"/>
      <c r="D180" s="78"/>
      <c r="E180" s="78"/>
      <c r="F180" s="78"/>
      <c r="G180" s="78"/>
      <c r="H180" s="79"/>
      <c r="I180" s="79"/>
      <c r="J180" s="80"/>
      <c r="K180" s="79"/>
      <c r="L180" s="79"/>
      <c r="M180" s="78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spans="1:26">
      <c r="A181" s="78"/>
      <c r="B181" s="78"/>
      <c r="C181" s="78"/>
      <c r="D181" s="78"/>
      <c r="E181" s="78"/>
      <c r="F181" s="78"/>
      <c r="G181" s="78"/>
      <c r="H181" s="79"/>
      <c r="I181" s="79"/>
      <c r="J181" s="80"/>
      <c r="K181" s="79"/>
      <c r="L181" s="79"/>
      <c r="M181" s="78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spans="1:26">
      <c r="A182" s="78"/>
      <c r="B182" s="78"/>
      <c r="C182" s="78"/>
      <c r="D182" s="78"/>
      <c r="E182" s="78"/>
      <c r="F182" s="78"/>
      <c r="G182" s="78"/>
      <c r="H182" s="79"/>
      <c r="I182" s="79"/>
      <c r="J182" s="80"/>
      <c r="K182" s="79"/>
      <c r="L182" s="79"/>
      <c r="M182" s="78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spans="1:26">
      <c r="A183" s="78"/>
      <c r="B183" s="78"/>
      <c r="C183" s="78"/>
      <c r="D183" s="78"/>
      <c r="E183" s="78"/>
      <c r="F183" s="78"/>
      <c r="G183" s="78"/>
      <c r="H183" s="79"/>
      <c r="I183" s="79"/>
      <c r="J183" s="80"/>
      <c r="K183" s="79"/>
      <c r="L183" s="79"/>
      <c r="M183" s="78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spans="1:26">
      <c r="A184" s="78"/>
      <c r="B184" s="78"/>
      <c r="C184" s="78"/>
      <c r="D184" s="78"/>
      <c r="E184" s="78"/>
      <c r="F184" s="78"/>
      <c r="G184" s="78"/>
      <c r="H184" s="79"/>
      <c r="I184" s="79"/>
      <c r="J184" s="80"/>
      <c r="K184" s="79"/>
      <c r="L184" s="79"/>
      <c r="M184" s="78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spans="1:26">
      <c r="A185" s="78"/>
      <c r="B185" s="78"/>
      <c r="C185" s="78"/>
      <c r="D185" s="78"/>
      <c r="E185" s="78"/>
      <c r="F185" s="78"/>
      <c r="G185" s="78"/>
      <c r="H185" s="79"/>
      <c r="I185" s="79"/>
      <c r="J185" s="80"/>
      <c r="K185" s="79"/>
      <c r="L185" s="79"/>
      <c r="M185" s="78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spans="1:26">
      <c r="A186" s="78"/>
      <c r="B186" s="78"/>
      <c r="C186" s="78"/>
      <c r="D186" s="78"/>
      <c r="E186" s="78"/>
      <c r="F186" s="78"/>
      <c r="G186" s="78"/>
      <c r="H186" s="79"/>
      <c r="I186" s="79"/>
      <c r="J186" s="80"/>
      <c r="K186" s="79"/>
      <c r="L186" s="79"/>
      <c r="M186" s="78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spans="1:26">
      <c r="A187" s="78"/>
      <c r="B187" s="78"/>
      <c r="C187" s="78"/>
      <c r="D187" s="78"/>
      <c r="E187" s="78"/>
      <c r="F187" s="78"/>
      <c r="G187" s="78"/>
      <c r="H187" s="79"/>
      <c r="I187" s="79"/>
      <c r="J187" s="80"/>
      <c r="K187" s="79"/>
      <c r="L187" s="79"/>
      <c r="M187" s="78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spans="1:26">
      <c r="A188" s="78"/>
      <c r="B188" s="78"/>
      <c r="C188" s="78"/>
      <c r="D188" s="78"/>
      <c r="E188" s="78"/>
      <c r="F188" s="78"/>
      <c r="G188" s="78"/>
      <c r="H188" s="79"/>
      <c r="I188" s="79"/>
      <c r="J188" s="80"/>
      <c r="K188" s="79"/>
      <c r="L188" s="79"/>
      <c r="M188" s="78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spans="1:26">
      <c r="A189" s="71"/>
      <c r="B189" s="81"/>
      <c r="C189" s="81"/>
      <c r="D189" s="71"/>
      <c r="E189" s="71"/>
      <c r="F189" s="71"/>
      <c r="G189" s="81"/>
      <c r="H189" s="82"/>
      <c r="I189" s="82"/>
      <c r="J189" s="83"/>
      <c r="K189" s="82"/>
      <c r="L189" s="82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spans="1:26">
      <c r="A190" s="71"/>
      <c r="B190" s="81"/>
      <c r="C190" s="81"/>
      <c r="D190" s="71"/>
      <c r="E190" s="71"/>
      <c r="F190" s="71"/>
      <c r="G190" s="81"/>
      <c r="H190" s="82"/>
      <c r="I190" s="82"/>
      <c r="J190" s="83"/>
      <c r="K190" s="82"/>
      <c r="L190" s="82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spans="1:26">
      <c r="A191" s="71"/>
      <c r="B191" s="81"/>
      <c r="C191" s="81"/>
      <c r="D191" s="71"/>
      <c r="E191" s="71"/>
      <c r="F191" s="71"/>
      <c r="G191" s="81"/>
      <c r="H191" s="82"/>
      <c r="I191" s="82"/>
      <c r="J191" s="83"/>
      <c r="K191" s="82"/>
      <c r="L191" s="82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spans="1:26">
      <c r="A192" s="71"/>
      <c r="B192" s="81"/>
      <c r="C192" s="81"/>
      <c r="D192" s="71"/>
      <c r="E192" s="71"/>
      <c r="F192" s="71"/>
      <c r="G192" s="81"/>
      <c r="H192" s="82"/>
      <c r="I192" s="82"/>
      <c r="J192" s="83"/>
      <c r="K192" s="82"/>
      <c r="L192" s="82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spans="1:26">
      <c r="A193" s="71"/>
      <c r="B193" s="81"/>
      <c r="C193" s="81"/>
      <c r="D193" s="71"/>
      <c r="E193" s="71"/>
      <c r="F193" s="71"/>
      <c r="G193" s="81"/>
      <c r="H193" s="82"/>
      <c r="I193" s="82"/>
      <c r="J193" s="83"/>
      <c r="K193" s="82"/>
      <c r="L193" s="82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>
      <c r="A194" s="71"/>
      <c r="B194" s="81"/>
      <c r="C194" s="81"/>
      <c r="D194" s="71"/>
      <c r="E194" s="71"/>
      <c r="F194" s="71"/>
      <c r="G194" s="81"/>
      <c r="H194" s="82"/>
      <c r="I194" s="82"/>
      <c r="J194" s="83"/>
      <c r="K194" s="82"/>
      <c r="L194" s="82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spans="1:26">
      <c r="A195" s="71"/>
      <c r="B195" s="81"/>
      <c r="C195" s="81"/>
      <c r="D195" s="71"/>
      <c r="E195" s="71"/>
      <c r="F195" s="71"/>
      <c r="G195" s="81"/>
      <c r="H195" s="82"/>
      <c r="I195" s="82"/>
      <c r="J195" s="83"/>
      <c r="K195" s="82"/>
      <c r="L195" s="82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spans="1:26">
      <c r="A196" s="71"/>
      <c r="B196" s="81"/>
      <c r="C196" s="81"/>
      <c r="D196" s="71"/>
      <c r="E196" s="71"/>
      <c r="F196" s="71"/>
      <c r="G196" s="81"/>
      <c r="H196" s="82"/>
      <c r="I196" s="82"/>
      <c r="J196" s="83"/>
      <c r="K196" s="82"/>
      <c r="L196" s="82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spans="1:26">
      <c r="A197" s="71"/>
      <c r="B197" s="81"/>
      <c r="C197" s="81"/>
      <c r="D197" s="71"/>
      <c r="E197" s="71"/>
      <c r="F197" s="71"/>
      <c r="G197" s="81"/>
      <c r="H197" s="82"/>
      <c r="I197" s="82"/>
      <c r="J197" s="83"/>
      <c r="K197" s="82"/>
      <c r="L197" s="82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spans="1:26">
      <c r="A198" s="71"/>
      <c r="B198" s="81"/>
      <c r="C198" s="81"/>
      <c r="D198" s="71"/>
      <c r="E198" s="71"/>
      <c r="F198" s="71"/>
      <c r="G198" s="81"/>
      <c r="H198" s="82"/>
      <c r="I198" s="82"/>
      <c r="J198" s="83"/>
      <c r="K198" s="82"/>
      <c r="L198" s="82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spans="1:26">
      <c r="A199" s="71"/>
      <c r="B199" s="81"/>
      <c r="C199" s="81"/>
      <c r="D199" s="71"/>
      <c r="E199" s="71"/>
      <c r="F199" s="71"/>
      <c r="G199" s="81"/>
      <c r="H199" s="82"/>
      <c r="I199" s="82"/>
      <c r="J199" s="83"/>
      <c r="K199" s="82"/>
      <c r="L199" s="82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spans="1:26">
      <c r="A200" s="71"/>
      <c r="B200" s="81"/>
      <c r="C200" s="81"/>
      <c r="D200" s="71"/>
      <c r="E200" s="71"/>
      <c r="F200" s="71"/>
      <c r="G200" s="81"/>
      <c r="H200" s="82"/>
      <c r="I200" s="82"/>
      <c r="J200" s="83"/>
      <c r="K200" s="82"/>
      <c r="L200" s="82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spans="1:26">
      <c r="A201" s="71"/>
      <c r="B201" s="81"/>
      <c r="C201" s="81"/>
      <c r="D201" s="71"/>
      <c r="E201" s="71"/>
      <c r="F201" s="71"/>
      <c r="G201" s="81"/>
      <c r="H201" s="82"/>
      <c r="I201" s="82"/>
      <c r="J201" s="83"/>
      <c r="K201" s="82"/>
      <c r="L201" s="82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spans="1:26">
      <c r="A202" s="71"/>
      <c r="B202" s="81"/>
      <c r="C202" s="81"/>
      <c r="D202" s="71"/>
      <c r="E202" s="71"/>
      <c r="F202" s="71"/>
      <c r="G202" s="81"/>
      <c r="H202" s="82"/>
      <c r="I202" s="82"/>
      <c r="J202" s="83"/>
      <c r="K202" s="82"/>
      <c r="L202" s="82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spans="1:26">
      <c r="A203" s="71"/>
      <c r="B203" s="81"/>
      <c r="C203" s="81"/>
      <c r="D203" s="71"/>
      <c r="E203" s="71"/>
      <c r="F203" s="71"/>
      <c r="G203" s="81"/>
      <c r="H203" s="82"/>
      <c r="I203" s="82"/>
      <c r="J203" s="83"/>
      <c r="K203" s="82"/>
      <c r="L203" s="82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spans="1:26">
      <c r="A204" s="71"/>
      <c r="B204" s="81"/>
      <c r="C204" s="81"/>
      <c r="D204" s="71"/>
      <c r="E204" s="71"/>
      <c r="F204" s="71"/>
      <c r="G204" s="81"/>
      <c r="H204" s="82"/>
      <c r="I204" s="82"/>
      <c r="J204" s="83"/>
      <c r="K204" s="82"/>
      <c r="L204" s="82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spans="1:26">
      <c r="A205" s="71"/>
      <c r="B205" s="81"/>
      <c r="C205" s="81"/>
      <c r="D205" s="71"/>
      <c r="E205" s="71"/>
      <c r="F205" s="71"/>
      <c r="G205" s="81"/>
      <c r="H205" s="82"/>
      <c r="I205" s="82"/>
      <c r="J205" s="83"/>
      <c r="K205" s="82"/>
      <c r="L205" s="82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spans="1:26">
      <c r="A206" s="71"/>
      <c r="B206" s="81"/>
      <c r="C206" s="81"/>
      <c r="D206" s="71"/>
      <c r="E206" s="71"/>
      <c r="F206" s="71"/>
      <c r="G206" s="81"/>
      <c r="H206" s="82"/>
      <c r="I206" s="82"/>
      <c r="J206" s="83"/>
      <c r="K206" s="82"/>
      <c r="L206" s="82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spans="1:26">
      <c r="A207" s="71"/>
      <c r="B207" s="81"/>
      <c r="C207" s="81"/>
      <c r="D207" s="71"/>
      <c r="E207" s="71"/>
      <c r="F207" s="71"/>
      <c r="G207" s="81"/>
      <c r="H207" s="82"/>
      <c r="I207" s="82"/>
      <c r="J207" s="83"/>
      <c r="K207" s="82"/>
      <c r="L207" s="82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spans="1:26">
      <c r="A208" s="71"/>
      <c r="B208" s="81"/>
      <c r="C208" s="81"/>
      <c r="D208" s="71"/>
      <c r="E208" s="71"/>
      <c r="F208" s="71"/>
      <c r="G208" s="81"/>
      <c r="H208" s="82"/>
      <c r="I208" s="82"/>
      <c r="J208" s="83"/>
      <c r="K208" s="82"/>
      <c r="L208" s="82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spans="1:26">
      <c r="A209" s="71"/>
      <c r="B209" s="81"/>
      <c r="C209" s="81"/>
      <c r="D209" s="71"/>
      <c r="E209" s="71"/>
      <c r="F209" s="71"/>
      <c r="G209" s="81"/>
      <c r="H209" s="82"/>
      <c r="I209" s="82"/>
      <c r="J209" s="83"/>
      <c r="K209" s="82"/>
      <c r="L209" s="82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spans="1:26">
      <c r="A210" s="71"/>
      <c r="B210" s="81"/>
      <c r="C210" s="81"/>
      <c r="D210" s="71"/>
      <c r="E210" s="71"/>
      <c r="F210" s="71"/>
      <c r="G210" s="81"/>
      <c r="H210" s="82"/>
      <c r="I210" s="82"/>
      <c r="J210" s="83"/>
      <c r="K210" s="82"/>
      <c r="L210" s="82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spans="1:26">
      <c r="A211" s="71"/>
      <c r="B211" s="81"/>
      <c r="C211" s="81"/>
      <c r="D211" s="71"/>
      <c r="E211" s="71"/>
      <c r="F211" s="71"/>
      <c r="G211" s="81"/>
      <c r="H211" s="82"/>
      <c r="I211" s="82"/>
      <c r="J211" s="83"/>
      <c r="K211" s="82"/>
      <c r="L211" s="82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spans="1:26">
      <c r="A212" s="71"/>
      <c r="B212" s="81"/>
      <c r="C212" s="81"/>
      <c r="D212" s="71"/>
      <c r="E212" s="71"/>
      <c r="F212" s="71"/>
      <c r="G212" s="81"/>
      <c r="H212" s="82"/>
      <c r="I212" s="82"/>
      <c r="J212" s="83"/>
      <c r="K212" s="82"/>
      <c r="L212" s="82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spans="1:26">
      <c r="A213" s="71"/>
      <c r="B213" s="81"/>
      <c r="C213" s="81"/>
      <c r="D213" s="71"/>
      <c r="E213" s="71"/>
      <c r="F213" s="71"/>
      <c r="G213" s="81"/>
      <c r="H213" s="82"/>
      <c r="I213" s="82"/>
      <c r="J213" s="83"/>
      <c r="K213" s="82"/>
      <c r="L213" s="82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spans="1:26">
      <c r="A214" s="71"/>
      <c r="B214" s="81"/>
      <c r="C214" s="81"/>
      <c r="D214" s="71"/>
      <c r="E214" s="71"/>
      <c r="F214" s="71"/>
      <c r="G214" s="81"/>
      <c r="H214" s="82"/>
      <c r="I214" s="82"/>
      <c r="J214" s="83"/>
      <c r="K214" s="82"/>
      <c r="L214" s="82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spans="1:26">
      <c r="A215" s="71"/>
      <c r="B215" s="81"/>
      <c r="C215" s="81"/>
      <c r="D215" s="71"/>
      <c r="E215" s="71"/>
      <c r="F215" s="71"/>
      <c r="G215" s="81"/>
      <c r="H215" s="82"/>
      <c r="I215" s="82"/>
      <c r="J215" s="83"/>
      <c r="K215" s="82"/>
      <c r="L215" s="82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spans="1:26">
      <c r="A216" s="71"/>
      <c r="B216" s="81"/>
      <c r="C216" s="81"/>
      <c r="D216" s="71"/>
      <c r="E216" s="71"/>
      <c r="F216" s="71"/>
      <c r="G216" s="81"/>
      <c r="H216" s="82"/>
      <c r="I216" s="82"/>
      <c r="J216" s="83"/>
      <c r="K216" s="82"/>
      <c r="L216" s="82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spans="1:26">
      <c r="A217" s="71"/>
      <c r="B217" s="81"/>
      <c r="C217" s="81"/>
      <c r="D217" s="71"/>
      <c r="E217" s="71"/>
      <c r="F217" s="71"/>
      <c r="G217" s="81"/>
      <c r="H217" s="82"/>
      <c r="I217" s="82"/>
      <c r="J217" s="83"/>
      <c r="K217" s="82"/>
      <c r="L217" s="82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spans="1:26">
      <c r="A218" s="71"/>
      <c r="B218" s="81"/>
      <c r="C218" s="81"/>
      <c r="D218" s="71"/>
      <c r="E218" s="71"/>
      <c r="F218" s="71"/>
      <c r="G218" s="81"/>
      <c r="H218" s="82"/>
      <c r="I218" s="82"/>
      <c r="J218" s="83"/>
      <c r="K218" s="82"/>
      <c r="L218" s="82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spans="1:26">
      <c r="A219" s="71"/>
      <c r="B219" s="81"/>
      <c r="C219" s="81"/>
      <c r="D219" s="71"/>
      <c r="E219" s="71"/>
      <c r="F219" s="71"/>
      <c r="G219" s="81"/>
      <c r="H219" s="82"/>
      <c r="I219" s="82"/>
      <c r="J219" s="83"/>
      <c r="K219" s="82"/>
      <c r="L219" s="82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spans="1:26">
      <c r="A220" s="71"/>
      <c r="B220" s="81"/>
      <c r="C220" s="81"/>
      <c r="D220" s="71"/>
      <c r="E220" s="71"/>
      <c r="F220" s="71"/>
      <c r="G220" s="81"/>
      <c r="H220" s="82"/>
      <c r="I220" s="82"/>
      <c r="J220" s="83"/>
      <c r="K220" s="82"/>
      <c r="L220" s="82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spans="1:26">
      <c r="A221" s="71"/>
      <c r="B221" s="81"/>
      <c r="C221" s="81"/>
      <c r="D221" s="71"/>
      <c r="E221" s="71"/>
      <c r="F221" s="71"/>
      <c r="G221" s="81"/>
      <c r="H221" s="82"/>
      <c r="I221" s="82"/>
      <c r="J221" s="83"/>
      <c r="K221" s="82"/>
      <c r="L221" s="82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spans="1:26">
      <c r="A222" s="71"/>
      <c r="B222" s="81"/>
      <c r="C222" s="81"/>
      <c r="D222" s="71"/>
      <c r="E222" s="71"/>
      <c r="F222" s="71"/>
      <c r="G222" s="81"/>
      <c r="H222" s="82"/>
      <c r="I222" s="82"/>
      <c r="J222" s="83"/>
      <c r="K222" s="82"/>
      <c r="L222" s="82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>
      <c r="A223" s="71"/>
      <c r="B223" s="81"/>
      <c r="C223" s="81"/>
      <c r="D223" s="71"/>
      <c r="E223" s="71"/>
      <c r="F223" s="71"/>
      <c r="G223" s="81"/>
      <c r="H223" s="82"/>
      <c r="I223" s="82"/>
      <c r="J223" s="83"/>
      <c r="K223" s="82"/>
      <c r="L223" s="82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>
      <c r="A224" s="71"/>
      <c r="B224" s="81"/>
      <c r="C224" s="81"/>
      <c r="D224" s="71"/>
      <c r="E224" s="71"/>
      <c r="F224" s="71"/>
      <c r="G224" s="81"/>
      <c r="H224" s="82"/>
      <c r="I224" s="82"/>
      <c r="J224" s="83"/>
      <c r="K224" s="82"/>
      <c r="L224" s="82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>
      <c r="A225" s="71"/>
      <c r="B225" s="81"/>
      <c r="C225" s="81"/>
      <c r="D225" s="71"/>
      <c r="E225" s="71"/>
      <c r="F225" s="71"/>
      <c r="G225" s="81"/>
      <c r="H225" s="82"/>
      <c r="I225" s="82"/>
      <c r="J225" s="83"/>
      <c r="K225" s="82"/>
      <c r="L225" s="82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>
      <c r="A226" s="71"/>
      <c r="B226" s="81"/>
      <c r="C226" s="81"/>
      <c r="D226" s="71"/>
      <c r="E226" s="71"/>
      <c r="F226" s="71"/>
      <c r="G226" s="81"/>
      <c r="H226" s="82"/>
      <c r="I226" s="82"/>
      <c r="J226" s="83"/>
      <c r="K226" s="82"/>
      <c r="L226" s="82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>
      <c r="A227" s="71"/>
      <c r="B227" s="81"/>
      <c r="C227" s="81"/>
      <c r="D227" s="71"/>
      <c r="E227" s="71"/>
      <c r="F227" s="71"/>
      <c r="G227" s="81"/>
      <c r="H227" s="82"/>
      <c r="I227" s="82"/>
      <c r="J227" s="83"/>
      <c r="K227" s="82"/>
      <c r="L227" s="82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>
      <c r="A228" s="71"/>
      <c r="B228" s="81"/>
      <c r="C228" s="81"/>
      <c r="D228" s="71"/>
      <c r="E228" s="71"/>
      <c r="F228" s="71"/>
      <c r="G228" s="81"/>
      <c r="H228" s="82"/>
      <c r="I228" s="82"/>
      <c r="J228" s="83"/>
      <c r="K228" s="82"/>
      <c r="L228" s="82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>
      <c r="A229" s="71"/>
      <c r="B229" s="81"/>
      <c r="C229" s="81"/>
      <c r="D229" s="71"/>
      <c r="E229" s="71"/>
      <c r="F229" s="71"/>
      <c r="G229" s="81"/>
      <c r="H229" s="82"/>
      <c r="I229" s="82"/>
      <c r="J229" s="83"/>
      <c r="K229" s="82"/>
      <c r="L229" s="82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>
      <c r="A230" s="71"/>
      <c r="B230" s="81"/>
      <c r="C230" s="81"/>
      <c r="D230" s="71"/>
      <c r="E230" s="71"/>
      <c r="F230" s="71"/>
      <c r="G230" s="81"/>
      <c r="H230" s="82"/>
      <c r="I230" s="82"/>
      <c r="J230" s="83"/>
      <c r="K230" s="82"/>
      <c r="L230" s="82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>
      <c r="A231" s="71"/>
      <c r="B231" s="81"/>
      <c r="C231" s="81"/>
      <c r="D231" s="71"/>
      <c r="E231" s="71"/>
      <c r="F231" s="71"/>
      <c r="G231" s="81"/>
      <c r="H231" s="82"/>
      <c r="I231" s="82"/>
      <c r="J231" s="83"/>
      <c r="K231" s="82"/>
      <c r="L231" s="82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>
      <c r="A232" s="71"/>
      <c r="B232" s="81"/>
      <c r="C232" s="81"/>
      <c r="D232" s="71"/>
      <c r="E232" s="71"/>
      <c r="F232" s="71"/>
      <c r="G232" s="81"/>
      <c r="H232" s="82"/>
      <c r="I232" s="82"/>
      <c r="J232" s="83"/>
      <c r="K232" s="82"/>
      <c r="L232" s="82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>
      <c r="A233" s="71"/>
      <c r="B233" s="81"/>
      <c r="C233" s="81"/>
      <c r="D233" s="71"/>
      <c r="E233" s="71"/>
      <c r="F233" s="71"/>
      <c r="G233" s="81"/>
      <c r="H233" s="82"/>
      <c r="I233" s="82"/>
      <c r="J233" s="83"/>
      <c r="K233" s="82"/>
      <c r="L233" s="82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>
      <c r="A234" s="71"/>
      <c r="B234" s="81"/>
      <c r="C234" s="81"/>
      <c r="D234" s="71"/>
      <c r="E234" s="71"/>
      <c r="F234" s="71"/>
      <c r="G234" s="81"/>
      <c r="H234" s="82"/>
      <c r="I234" s="82"/>
      <c r="J234" s="83"/>
      <c r="K234" s="82"/>
      <c r="L234" s="82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>
      <c r="A235" s="71"/>
      <c r="B235" s="81"/>
      <c r="C235" s="81"/>
      <c r="D235" s="71"/>
      <c r="E235" s="71"/>
      <c r="F235" s="71"/>
      <c r="G235" s="81"/>
      <c r="H235" s="82"/>
      <c r="I235" s="82"/>
      <c r="J235" s="83"/>
      <c r="K235" s="82"/>
      <c r="L235" s="82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>
      <c r="A236" s="71"/>
      <c r="B236" s="81"/>
      <c r="C236" s="81"/>
      <c r="D236" s="71"/>
      <c r="E236" s="71"/>
      <c r="F236" s="71"/>
      <c r="G236" s="81"/>
      <c r="H236" s="82"/>
      <c r="I236" s="82"/>
      <c r="J236" s="83"/>
      <c r="K236" s="82"/>
      <c r="L236" s="82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>
      <c r="A237" s="71"/>
      <c r="B237" s="81"/>
      <c r="C237" s="81"/>
      <c r="D237" s="71"/>
      <c r="E237" s="71"/>
      <c r="F237" s="71"/>
      <c r="G237" s="81"/>
      <c r="H237" s="82"/>
      <c r="I237" s="82"/>
      <c r="J237" s="83"/>
      <c r="K237" s="82"/>
      <c r="L237" s="82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>
      <c r="A238" s="71"/>
      <c r="B238" s="81"/>
      <c r="C238" s="81"/>
      <c r="D238" s="71"/>
      <c r="E238" s="71"/>
      <c r="F238" s="71"/>
      <c r="G238" s="81"/>
      <c r="H238" s="82"/>
      <c r="I238" s="82"/>
      <c r="J238" s="83"/>
      <c r="K238" s="82"/>
      <c r="L238" s="82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>
      <c r="A239" s="71"/>
      <c r="B239" s="81"/>
      <c r="C239" s="81"/>
      <c r="D239" s="71"/>
      <c r="E239" s="71"/>
      <c r="F239" s="71"/>
      <c r="G239" s="81"/>
      <c r="H239" s="82"/>
      <c r="I239" s="82"/>
      <c r="J239" s="83"/>
      <c r="K239" s="82"/>
      <c r="L239" s="82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>
      <c r="A240" s="71"/>
      <c r="B240" s="81"/>
      <c r="C240" s="81"/>
      <c r="D240" s="71"/>
      <c r="E240" s="71"/>
      <c r="F240" s="71"/>
      <c r="G240" s="81"/>
      <c r="H240" s="82"/>
      <c r="I240" s="82"/>
      <c r="J240" s="83"/>
      <c r="K240" s="82"/>
      <c r="L240" s="82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>
      <c r="A241" s="71"/>
      <c r="B241" s="81"/>
      <c r="C241" s="81"/>
      <c r="D241" s="71"/>
      <c r="E241" s="71"/>
      <c r="F241" s="71"/>
      <c r="G241" s="81"/>
      <c r="H241" s="82"/>
      <c r="I241" s="82"/>
      <c r="J241" s="83"/>
      <c r="K241" s="82"/>
      <c r="L241" s="82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>
      <c r="A242" s="71"/>
      <c r="B242" s="81"/>
      <c r="C242" s="81"/>
      <c r="D242" s="71"/>
      <c r="E242" s="71"/>
      <c r="F242" s="71"/>
      <c r="G242" s="81"/>
      <c r="H242" s="82"/>
      <c r="I242" s="82"/>
      <c r="J242" s="83"/>
      <c r="K242" s="82"/>
      <c r="L242" s="82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>
      <c r="A243" s="71"/>
      <c r="B243" s="71"/>
      <c r="C243" s="81"/>
      <c r="D243" s="71"/>
      <c r="E243" s="71"/>
      <c r="F243" s="71"/>
      <c r="G243" s="71"/>
      <c r="H243" s="82"/>
      <c r="I243" s="82"/>
      <c r="J243" s="83"/>
      <c r="K243" s="82"/>
      <c r="L243" s="82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>
      <c r="A244" s="71"/>
      <c r="B244" s="71"/>
      <c r="C244" s="81"/>
      <c r="D244" s="71"/>
      <c r="E244" s="71"/>
      <c r="F244" s="71"/>
      <c r="G244" s="71"/>
      <c r="H244" s="82"/>
      <c r="I244" s="82"/>
      <c r="J244" s="83"/>
      <c r="K244" s="82"/>
      <c r="L244" s="82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>
      <c r="A245" s="71"/>
      <c r="B245" s="71"/>
      <c r="C245" s="81"/>
      <c r="D245" s="71"/>
      <c r="E245" s="71"/>
      <c r="F245" s="71"/>
      <c r="G245" s="71"/>
      <c r="H245" s="82"/>
      <c r="I245" s="82"/>
      <c r="J245" s="83"/>
      <c r="K245" s="82"/>
      <c r="L245" s="82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>
      <c r="A246" s="71"/>
      <c r="B246" s="71"/>
      <c r="C246" s="81"/>
      <c r="D246" s="71"/>
      <c r="E246" s="71"/>
      <c r="F246" s="71"/>
      <c r="G246" s="71"/>
      <c r="H246" s="82"/>
      <c r="I246" s="82"/>
      <c r="J246" s="83"/>
      <c r="K246" s="82"/>
      <c r="L246" s="82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</row>
    <row r="248" spans="1:26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</row>
    <row r="249" spans="1:26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</row>
    <row r="250" spans="1:26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</row>
    <row r="251" spans="1:26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</row>
    <row r="252" spans="1:26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</row>
    <row r="253" spans="1:26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</row>
    <row r="254" spans="1:26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</row>
    <row r="255" spans="1:26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</row>
    <row r="256" spans="1:2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</row>
    <row r="257" spans="1:14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</row>
    <row r="258" spans="1:14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</row>
    <row r="259" spans="1:14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</row>
    <row r="260" spans="1:14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</row>
    <row r="261" spans="1:14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</row>
    <row r="262" spans="1:14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</row>
    <row r="263" spans="1:14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</row>
    <row r="264" spans="1:1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</row>
    <row r="265" spans="1:14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</row>
    <row r="266" spans="1:14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</row>
    <row r="267" spans="1:14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</row>
    <row r="268" spans="1:14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</row>
    <row r="269" spans="1:14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</row>
    <row r="270" spans="1:14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</row>
    <row r="271" spans="1:14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</row>
    <row r="272" spans="1:14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</row>
    <row r="273" spans="1:14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</row>
    <row r="274" spans="1:1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</row>
    <row r="275" spans="1:14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</row>
    <row r="276" spans="1:14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</row>
    <row r="277" spans="1:14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</row>
    <row r="278" spans="1:14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</row>
    <row r="279" spans="1:14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</row>
    <row r="280" spans="1:14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</row>
    <row r="281" spans="1:14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</row>
    <row r="282" spans="1:14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</row>
    <row r="283" spans="1:14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</row>
    <row r="284" spans="1:1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</row>
    <row r="285" spans="1:14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</row>
    <row r="286" spans="1:14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</row>
    <row r="287" spans="1:14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</row>
    <row r="288" spans="1:14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</row>
    <row r="289" spans="1:14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</row>
    <row r="290" spans="1:14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</row>
    <row r="291" spans="1:14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</row>
    <row r="292" spans="1:14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</row>
    <row r="293" spans="1:14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</row>
    <row r="294" spans="1:1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</row>
    <row r="295" spans="1:14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</row>
    <row r="296" spans="1:14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</row>
    <row r="297" spans="1:14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</row>
    <row r="298" spans="1:14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</row>
    <row r="299" spans="1:14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</row>
    <row r="300" spans="1:14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</row>
    <row r="301" spans="1:14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</row>
    <row r="302" spans="1:14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</row>
    <row r="303" spans="1:14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</row>
    <row r="304" spans="1:1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</row>
    <row r="305" spans="1:14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</row>
    <row r="306" spans="1:14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</row>
    <row r="307" spans="1:14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</row>
    <row r="308" spans="1:14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</row>
    <row r="309" spans="1:14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</row>
    <row r="310" spans="1:14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</row>
    <row r="311" spans="1:14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</row>
    <row r="312" spans="1:14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</row>
    <row r="313" spans="1:14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</row>
    <row r="314" spans="1: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</row>
    <row r="315" spans="1:14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</row>
    <row r="316" spans="1:14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</row>
    <row r="317" spans="1:14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</row>
    <row r="318" spans="1:14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</row>
    <row r="319" spans="1:14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</row>
    <row r="320" spans="1:14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</row>
    <row r="321" spans="1:14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</row>
    <row r="322" spans="1:14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</row>
    <row r="323" spans="1:14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</row>
    <row r="324" spans="1:1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</row>
    <row r="325" spans="1:14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</row>
    <row r="326" spans="1:14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</row>
    <row r="327" spans="1:14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</row>
    <row r="328" spans="1:14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</row>
    <row r="329" spans="1:14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</row>
    <row r="330" spans="1:14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</row>
    <row r="331" spans="1:14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</row>
    <row r="332" spans="1:14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</row>
    <row r="333" spans="1:14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</row>
    <row r="334" spans="1:1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</row>
    <row r="335" spans="1:14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</row>
    <row r="336" spans="1:14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</row>
    <row r="337" spans="1:14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</row>
    <row r="338" spans="1:14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</row>
    <row r="339" spans="1:14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</row>
    <row r="340" spans="1:14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</row>
    <row r="341" spans="1:14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</row>
    <row r="342" spans="1:14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</row>
    <row r="343" spans="1:14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</row>
    <row r="344" spans="1:1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</row>
    <row r="345" spans="1:14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</row>
    <row r="346" spans="1:14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</row>
    <row r="347" spans="1:14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</row>
    <row r="348" spans="1:14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</row>
    <row r="349" spans="1:14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</row>
    <row r="350" spans="1:14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</row>
    <row r="351" spans="1:14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</row>
    <row r="352" spans="1:14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</row>
    <row r="353" spans="1:14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</row>
    <row r="354" spans="1:1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</row>
    <row r="355" spans="1:14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</row>
    <row r="356" spans="1:14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</row>
    <row r="357" spans="1:14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</row>
    <row r="358" spans="1:14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</row>
    <row r="359" spans="1:14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</row>
    <row r="360" spans="1:14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</row>
    <row r="361" spans="1:14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</row>
    <row r="362" spans="1:14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</row>
    <row r="363" spans="1:14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</row>
    <row r="364" spans="1:1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</row>
    <row r="365" spans="1:14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</row>
    <row r="366" spans="1:14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</row>
    <row r="367" spans="1:14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</row>
    <row r="368" spans="1:14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</row>
    <row r="369" spans="1:14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</row>
    <row r="370" spans="1:14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</row>
    <row r="371" spans="1:14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</row>
    <row r="372" spans="1:14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</row>
    <row r="373" spans="1:14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</row>
    <row r="374" spans="1:1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</row>
    <row r="375" spans="1:14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</row>
    <row r="376" spans="1:14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</row>
    <row r="377" spans="1:14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</row>
    <row r="378" spans="1:14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</row>
    <row r="379" spans="1:14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</row>
    <row r="380" spans="1:14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</row>
    <row r="381" spans="1:14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</row>
    <row r="382" spans="1:14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</row>
    <row r="383" spans="1:14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</row>
    <row r="384" spans="1:1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</row>
    <row r="385" spans="1:14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</row>
    <row r="386" spans="1:14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</row>
    <row r="387" spans="1:14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</row>
    <row r="388" spans="1:14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</row>
    <row r="389" spans="1:14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</row>
    <row r="390" spans="1:14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</row>
    <row r="391" spans="1:14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</row>
    <row r="392" spans="1:14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</row>
    <row r="393" spans="1:14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</row>
    <row r="394" spans="1:1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</row>
    <row r="395" spans="1:14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</row>
    <row r="396" spans="1:14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</row>
    <row r="397" spans="1:14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</row>
    <row r="398" spans="1:14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</row>
    <row r="399" spans="1:14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</row>
    <row r="400" spans="1:14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</row>
    <row r="401" spans="1:14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</row>
    <row r="402" spans="1:14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</row>
    <row r="403" spans="1:14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</row>
    <row r="404" spans="1:1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</row>
    <row r="405" spans="1:14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</row>
    <row r="406" spans="1:14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</row>
    <row r="407" spans="1:14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</row>
    <row r="408" spans="1:14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</row>
    <row r="409" spans="1:14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</row>
    <row r="410" spans="1:14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</row>
    <row r="411" spans="1:14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</row>
    <row r="412" spans="1:14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</row>
    <row r="413" spans="1:14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</row>
    <row r="414" spans="1: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</row>
    <row r="415" spans="1:14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</row>
    <row r="416" spans="1:14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</row>
    <row r="417" spans="1:14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</row>
    <row r="418" spans="1:14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</row>
    <row r="419" spans="1:14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</row>
    <row r="420" spans="1:14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</row>
    <row r="421" spans="1:14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</row>
    <row r="422" spans="1:14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</row>
    <row r="423" spans="1:14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</row>
    <row r="424" spans="1:1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</row>
    <row r="425" spans="1:14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</row>
    <row r="426" spans="1:14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</row>
    <row r="427" spans="1:14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</row>
    <row r="428" spans="1:14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</row>
    <row r="429" spans="1:14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</row>
    <row r="430" spans="1:14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</row>
    <row r="431" spans="1:14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</row>
    <row r="432" spans="1:14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</row>
    <row r="433" spans="1:14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</row>
    <row r="434" spans="1:1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</row>
    <row r="435" spans="1:14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</row>
    <row r="436" spans="1:14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</row>
    <row r="437" spans="1:14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</row>
    <row r="438" spans="1:14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</row>
    <row r="439" spans="1:14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</row>
    <row r="440" spans="1:14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</row>
    <row r="441" spans="1:14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</row>
    <row r="442" spans="1:14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</row>
    <row r="443" spans="1:14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</row>
    <row r="444" spans="1:1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</row>
    <row r="445" spans="1:14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</row>
    <row r="446" spans="1:14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</row>
    <row r="447" spans="1:14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</row>
    <row r="448" spans="1:14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</row>
    <row r="449" spans="1:14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</row>
    <row r="450" spans="1:14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</row>
    <row r="451" spans="1:14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</row>
    <row r="452" spans="1:14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</row>
    <row r="453" spans="1:14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</row>
    <row r="454" spans="1:1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</row>
    <row r="455" spans="1:14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</row>
    <row r="456" spans="1:14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</row>
    <row r="457" spans="1:14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</row>
    <row r="458" spans="1:14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</row>
    <row r="459" spans="1:14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</row>
    <row r="460" spans="1:14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</row>
    <row r="461" spans="1:14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</row>
    <row r="462" spans="1:14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</row>
    <row r="463" spans="1:14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</row>
    <row r="464" spans="1:1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</row>
    <row r="465" spans="1:14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</row>
    <row r="466" spans="1:14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</row>
    <row r="467" spans="1:14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</row>
    <row r="468" spans="1:14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</row>
    <row r="469" spans="1:14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</row>
    <row r="470" spans="1:14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</row>
    <row r="471" spans="1:14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</row>
    <row r="472" spans="1:14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</row>
    <row r="473" spans="1:14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</row>
    <row r="474" spans="1:1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</row>
    <row r="475" spans="1:14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</row>
    <row r="476" spans="1:14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</row>
    <row r="477" spans="1:14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</row>
    <row r="478" spans="1:14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</row>
    <row r="479" spans="1:14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</row>
    <row r="480" spans="1:14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</row>
    <row r="481" spans="1:14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</row>
    <row r="482" spans="1:14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</row>
    <row r="483" spans="1:14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</row>
    <row r="484" spans="1:1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</row>
    <row r="485" spans="1:14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</row>
    <row r="486" spans="1:14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</row>
    <row r="487" spans="1:14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</row>
    <row r="488" spans="1:14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</row>
    <row r="489" spans="1:14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</row>
    <row r="490" spans="1:14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</row>
    <row r="491" spans="1:14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</row>
    <row r="492" spans="1:14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</row>
    <row r="493" spans="1:14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</row>
    <row r="494" spans="1:1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</row>
    <row r="495" spans="1:14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</row>
    <row r="496" spans="1:14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</row>
    <row r="497" spans="1:14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</row>
    <row r="498" spans="1:14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</row>
    <row r="499" spans="1:14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</row>
    <row r="500" spans="1:14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</row>
    <row r="501" spans="1:14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</row>
    <row r="502" spans="1:14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</row>
    <row r="503" spans="1:14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</row>
    <row r="504" spans="1:1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</row>
    <row r="505" spans="1:14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</row>
    <row r="506" spans="1:14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</row>
    <row r="507" spans="1:14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</row>
    <row r="508" spans="1:14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</row>
    <row r="509" spans="1:14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</row>
    <row r="510" spans="1:14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</row>
    <row r="511" spans="1:14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</row>
    <row r="512" spans="1:14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</row>
    <row r="513" spans="1:14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</row>
    <row r="514" spans="1: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</row>
    <row r="515" spans="1:14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</row>
    <row r="516" spans="1:14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</row>
    <row r="517" spans="1:14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</row>
    <row r="518" spans="1:14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</row>
    <row r="519" spans="1:14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</row>
    <row r="520" spans="1:14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</row>
    <row r="521" spans="1:14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</row>
    <row r="522" spans="1:14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</row>
    <row r="523" spans="1:14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</row>
    <row r="524" spans="1:1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</row>
    <row r="525" spans="1:14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</row>
    <row r="526" spans="1:14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</row>
    <row r="527" spans="1:14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</row>
    <row r="528" spans="1:14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</row>
    <row r="529" spans="1:14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</row>
    <row r="530" spans="1:14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</row>
    <row r="531" spans="1:14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</row>
    <row r="532" spans="1:14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</row>
    <row r="533" spans="1:14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</row>
    <row r="534" spans="1:1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</row>
    <row r="535" spans="1:14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</row>
    <row r="536" spans="1:14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</row>
    <row r="537" spans="1:14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</row>
    <row r="538" spans="1:14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</row>
    <row r="539" spans="1:14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</row>
    <row r="540" spans="1:14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</row>
    <row r="541" spans="1:14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</row>
    <row r="542" spans="1:14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</row>
    <row r="543" spans="1:14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</row>
    <row r="544" spans="1:1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</row>
    <row r="545" spans="1:14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</row>
    <row r="546" spans="1:14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</row>
    <row r="547" spans="1:14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</row>
    <row r="548" spans="1:14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</row>
    <row r="549" spans="1:14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</row>
    <row r="550" spans="1:14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</row>
    <row r="551" spans="1:14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</row>
    <row r="552" spans="1:14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</row>
    <row r="553" spans="1:14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</row>
    <row r="554" spans="1:1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</row>
    <row r="555" spans="1:14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</row>
    <row r="556" spans="1:14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</row>
    <row r="557" spans="1:14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</row>
    <row r="558" spans="1:14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</row>
    <row r="559" spans="1:14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</row>
    <row r="560" spans="1:14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</row>
    <row r="561" spans="1:14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</row>
    <row r="562" spans="1:14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</row>
    <row r="563" spans="1:14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</row>
    <row r="564" spans="1:1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</row>
    <row r="565" spans="1:14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</row>
    <row r="566" spans="1:14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</row>
    <row r="567" spans="1:14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</row>
    <row r="568" spans="1:14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</row>
    <row r="569" spans="1:14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</row>
    <row r="570" spans="1:14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</row>
    <row r="571" spans="1:14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</row>
    <row r="572" spans="1:14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</row>
    <row r="573" spans="1:14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</row>
    <row r="574" spans="1:1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</row>
    <row r="575" spans="1:14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</row>
    <row r="576" spans="1:14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</row>
    <row r="577" spans="1:14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</row>
    <row r="578" spans="1:14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</row>
    <row r="579" spans="1:14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</row>
    <row r="580" spans="1:14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</row>
    <row r="581" spans="1:14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</row>
    <row r="582" spans="1:14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</row>
    <row r="583" spans="1:14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</row>
    <row r="584" spans="1:1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</row>
    <row r="585" spans="1:14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</row>
    <row r="586" spans="1:14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</row>
    <row r="587" spans="1:14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</row>
    <row r="588" spans="1:14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</row>
    <row r="589" spans="1:14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</row>
    <row r="590" spans="1:14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</row>
    <row r="591" spans="1:14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</row>
    <row r="592" spans="1:14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</row>
    <row r="593" spans="1:14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</row>
    <row r="594" spans="1:1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</row>
    <row r="595" spans="1:14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</row>
    <row r="596" spans="1:14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</row>
    <row r="597" spans="1:14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</row>
    <row r="598" spans="1:14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</row>
    <row r="599" spans="1:14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</row>
    <row r="600" spans="1:14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</row>
    <row r="601" spans="1:14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</row>
    <row r="602" spans="1:14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</row>
    <row r="603" spans="1:14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</row>
    <row r="604" spans="1:1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</row>
    <row r="605" spans="1:14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</row>
    <row r="606" spans="1:14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</row>
    <row r="607" spans="1:14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</row>
    <row r="608" spans="1:14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</row>
    <row r="609" spans="1:14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</row>
    <row r="610" spans="1:14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</row>
    <row r="611" spans="1:14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</row>
    <row r="612" spans="1:14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</row>
    <row r="613" spans="1:14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</row>
    <row r="614" spans="1: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</row>
    <row r="615" spans="1:14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</row>
    <row r="616" spans="1:14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</row>
    <row r="617" spans="1:14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</row>
    <row r="618" spans="1:14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</row>
    <row r="619" spans="1:14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</row>
    <row r="620" spans="1:14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</row>
    <row r="621" spans="1:14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</row>
    <row r="622" spans="1:14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</row>
    <row r="623" spans="1:14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</row>
    <row r="624" spans="1:1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</row>
    <row r="625" spans="1:14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</row>
    <row r="626" spans="1:14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</row>
    <row r="627" spans="1:14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</row>
    <row r="628" spans="1:14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</row>
    <row r="629" spans="1:14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</row>
    <row r="630" spans="1:14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</row>
    <row r="631" spans="1:14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</row>
    <row r="632" spans="1:14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</row>
    <row r="633" spans="1:14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</row>
    <row r="634" spans="1:1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</row>
    <row r="635" spans="1:14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</row>
    <row r="636" spans="1:14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</row>
  </sheetData>
  <autoFilter xmlns:etc="http://www.wps.cn/officeDocument/2017/etCustomData" ref="A1:O61" etc:filterBottomFollowUsedRange="0">
    <sortState ref="A1:O61">
      <sortCondition ref="A1"/>
    </sortState>
    <extLst/>
  </autoFilter>
  <dataValidations count="1">
    <dataValidation type="list" allowBlank="1" showErrorMessage="1" sqref="J2:J61">
      <formula1>"High,Medium,Low"</formula1>
    </dataValidation>
  </dataValidations>
  <pageMargins left="0.75" right="0.75" top="1" bottom="1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showGridLines="0" tabSelected="1" workbookViewId="0">
      <selection activeCell="A1" sqref="A1:M3"/>
    </sheetView>
  </sheetViews>
  <sheetFormatPr defaultColWidth="9" defaultRowHeight="16.8"/>
  <cols>
    <col min="1" max="1" width="24" customWidth="1"/>
    <col min="2" max="2" width="16" customWidth="1"/>
    <col min="3" max="3" width="7" customWidth="1"/>
    <col min="4" max="4" width="10" customWidth="1"/>
    <col min="5" max="5" width="9" customWidth="1"/>
    <col min="6" max="6" width="6" customWidth="1"/>
    <col min="7" max="7" width="11" customWidth="1"/>
    <col min="8" max="13" width="7" customWidth="1"/>
  </cols>
  <sheetData>
    <row r="1" ht="28" customHeight="1" spans="1:10">
      <c r="A1" s="1" t="s">
        <v>115</v>
      </c>
    </row>
    <row r="2" ht="28" customHeight="1"/>
    <row r="3" ht="28" customHeight="1"/>
    <row r="4" ht="18" customHeight="1" spans="1:10">
      <c r="A4" s="2" t="s">
        <v>116</v>
      </c>
    </row>
    <row r="5" ht="10" customHeight="1"/>
    <row r="6" ht="22" customHeight="1" spans="1:10">
      <c r="A6" s="3" t="s">
        <v>117</v>
      </c>
      <c r="H6" s="3" t="s">
        <v>118</v>
      </c>
    </row>
    <row r="7" ht="26" customHeight="1" spans="1:10">
      <c r="A7" s="4">
        <f>ROUND(COUNTIFS('Stabilization - Items'!$A:$A,"Stablization",Helper!$E:$E,"Delivered")/(COUNTIFS('Stabilization - Items'!$A:$A,"Stablization",Helper!$E:$E,"Delivered")+COUNTIFS('Stabilization - Items'!$A:$A,"Stablization",Helper!$E:$E,"Pending")),3)</f>
        <v>0.15</v>
      </c>
      <c r="D7" s="5" t="str">
        <f>COUNTIFS('Stabilization - Items'!$A:$A,"Stablization",Helper!$E:$E,"Delivered")&amp;" of "&amp;(COUNTIFS('Stabilization - Items'!$A:$A,"Stablization",Helper!$E:$E,"Delivered")+COUNTIFS('Stabilization - Items'!$A:$A,"Stablization",Helper!$E:$E,"Pending"))&amp;" Stabilization items delivered"</f>
        <v>9 of 60 Stabilization items delivered</v>
      </c>
      <c r="H7" s="6">
        <f>COUNTIFS('Stabilization - Items'!$A:$A,"Stablization",Helper!$E:$E,"Pending")</f>
        <v>51</v>
      </c>
      <c r="J7" s="7" t="s">
        <v>119</v>
      </c>
    </row>
    <row r="8" ht="26" customHeight="1"/>
    <row r="9" ht="26" customHeight="1"/>
    <row r="10" ht="12" customHeight="1"/>
    <row r="11" ht="20" customHeight="1" spans="1:10">
      <c r="A11" s="8" t="s">
        <v>120</v>
      </c>
    </row>
    <row r="12" ht="30" customHeight="1" spans="1:10">
      <c r="A12" s="9">
        <f>COUNTIFS('Stabilization - Items'!$A:$A,"Stablization",Helper!$D:$D,"Delivered")</f>
        <v>5</v>
      </c>
      <c r="D12" s="10">
        <f>COUNTIFS('Stabilization - Items'!$A:$A,"Stablization",Helper!$D:$D,"Dev Complete")</f>
        <v>4</v>
      </c>
      <c r="G12" s="11">
        <f>COUNTIFS('Stabilization - Items'!$A:$A,"Stablization",Helper!$D:$D,"In Development")</f>
        <v>8</v>
      </c>
      <c r="J12" s="12">
        <f>COUNTIFS('Stabilization - Items'!$A:$A,"Stablization",Helper!$D:$D,"In QA")</f>
        <v>0</v>
      </c>
    </row>
    <row r="13" ht="16" customHeight="1" spans="1:10">
      <c r="A13" s="13" t="s">
        <v>35</v>
      </c>
      <c r="D13" s="14" t="s">
        <v>121</v>
      </c>
      <c r="G13" s="15" t="s">
        <v>122</v>
      </c>
      <c r="J13" s="16" t="s">
        <v>123</v>
      </c>
    </row>
    <row r="14" ht="30" customHeight="1" spans="1:10">
      <c r="A14" s="17">
        <f>COUNTIFS('Stabilization - Items'!$A:$A,"Stablization",Helper!$D:$D,"Pre-PROD / UAT")</f>
        <v>2</v>
      </c>
      <c r="D14" s="18">
        <f>COUNTIFS('Stabilization - Items'!$A:$A,"Stablization",Helper!$D:$D,"Not Started")</f>
        <v>41</v>
      </c>
      <c r="G14" s="19">
        <f>COUNTIFS('Stabilization - Items'!$A:$A,"Stablization",Helper!$D:$D,"Partial Delivery")</f>
        <v>0</v>
      </c>
      <c r="J14" s="20">
        <f>COUNTIFS('Stabilization - Items'!$A:$A,"Stablization",Helper!$D:$D,"N/A")</f>
        <v>0</v>
      </c>
    </row>
    <row r="15" ht="16" customHeight="1" spans="1:10">
      <c r="A15" s="21" t="s">
        <v>124</v>
      </c>
      <c r="D15" s="22" t="s">
        <v>125</v>
      </c>
      <c r="G15" s="23" t="s">
        <v>126</v>
      </c>
      <c r="J15" s="24" t="s">
        <v>127</v>
      </c>
    </row>
    <row r="16" ht="12" customHeight="1"/>
    <row r="17" ht="20" customHeight="1" spans="1:13">
      <c r="A17" s="8" t="s">
        <v>128</v>
      </c>
    </row>
    <row r="18" ht="24" customHeight="1" spans="1:13">
      <c r="A18" s="25" t="s">
        <v>1</v>
      </c>
      <c r="B18" s="25" t="s">
        <v>129</v>
      </c>
      <c r="C18" s="25" t="s">
        <v>35</v>
      </c>
      <c r="D18" s="25" t="s">
        <v>130</v>
      </c>
      <c r="E18" s="25" t="s">
        <v>127</v>
      </c>
      <c r="F18" s="25" t="s">
        <v>131</v>
      </c>
      <c r="G18" s="26" t="s">
        <v>132</v>
      </c>
      <c r="H18" s="27"/>
      <c r="I18" s="27"/>
      <c r="J18" s="27"/>
      <c r="K18" s="27"/>
      <c r="L18" s="27"/>
      <c r="M18" s="27"/>
    </row>
    <row r="19" ht="18" customHeight="1" spans="1:13">
      <c r="A19" s="28" t="s">
        <v>15</v>
      </c>
      <c r="B19" s="29">
        <f>COUNTIFS('Stabilization - Items'!$A:$A,"Stablization",'Stabilization - Items'!$B:$B,"Business Critical")</f>
        <v>22</v>
      </c>
      <c r="C19" s="30">
        <f>COUNTIFS('Stabilization - Items'!$A:$A,"Stablization",'Stabilization - Items'!$B:$B,"Business Critical",Helper!$E:$E,"Delivered")</f>
        <v>7</v>
      </c>
      <c r="D19" s="31">
        <f>COUNTIFS('Stabilization - Items'!$A:$A,"Stablization",'Stabilization - Items'!$B:$B,"Business Critical",Helper!$E:$E,"Pending")</f>
        <v>15</v>
      </c>
      <c r="E19" s="29">
        <f>COUNTIFS('Stabilization - Items'!$A:$A,"Stablization",'Stabilization - Items'!$B:$B,"Business Critical",Helper!$E:$E,"N/A")</f>
        <v>0</v>
      </c>
      <c r="F19" s="32">
        <f>IFERROR(C19/(C19+D19),0)</f>
        <v>0.318181818181818</v>
      </c>
      <c r="G19" s="32">
        <f>F19</f>
        <v>0.318181818181818</v>
      </c>
      <c r="H19" s="27"/>
      <c r="I19" s="27"/>
      <c r="J19" s="27"/>
      <c r="K19" s="27"/>
      <c r="L19" s="27"/>
      <c r="M19" s="27"/>
    </row>
    <row r="20" ht="18" customHeight="1" spans="1:13">
      <c r="A20" s="33" t="s">
        <v>68</v>
      </c>
      <c r="B20" s="34">
        <f>COUNTIFS('Stabilization - Items'!$A:$A,"Stablization",'Stabilization - Items'!$B:$B,"Maintenance")</f>
        <v>10</v>
      </c>
      <c r="C20" s="30">
        <f>COUNTIFS('Stabilization - Items'!$A:$A,"Stablization",'Stabilization - Items'!$B:$B,"Maintenance",Helper!$E:$E,"Delivered")</f>
        <v>0</v>
      </c>
      <c r="D20" s="31">
        <f>COUNTIFS('Stabilization - Items'!$A:$A,"Stablization",'Stabilization - Items'!$B:$B,"Maintenance",Helper!$E:$E,"Pending")</f>
        <v>10</v>
      </c>
      <c r="E20" s="34">
        <f>COUNTIFS('Stabilization - Items'!$A:$A,"Stablization",'Stabilization - Items'!$B:$B,"Maintenance",Helper!$E:$E,"N/A")</f>
        <v>0</v>
      </c>
      <c r="F20" s="35">
        <f>IFERROR(C20/(C20+D20),0)</f>
        <v>0</v>
      </c>
      <c r="G20" s="35">
        <f>F20</f>
        <v>0</v>
      </c>
      <c r="H20" s="27"/>
      <c r="I20" s="27"/>
      <c r="J20" s="27"/>
      <c r="K20" s="27"/>
      <c r="L20" s="27"/>
      <c r="M20" s="27"/>
    </row>
    <row r="21" ht="18" customHeight="1" spans="1:13">
      <c r="A21" s="28" t="s">
        <v>82</v>
      </c>
      <c r="B21" s="29">
        <f>COUNTIFS('Stabilization - Items'!$A:$A,"Stablization",'Stabilization - Items'!$B:$B,"Operational")</f>
        <v>25</v>
      </c>
      <c r="C21" s="30">
        <f>COUNTIFS('Stabilization - Items'!$A:$A,"Stablization",'Stabilization - Items'!$B:$B,"Operational",Helper!$E:$E,"Delivered")</f>
        <v>2</v>
      </c>
      <c r="D21" s="31">
        <f>COUNTIFS('Stabilization - Items'!$A:$A,"Stablization",'Stabilization - Items'!$B:$B,"Operational",Helper!$E:$E,"Pending")</f>
        <v>23</v>
      </c>
      <c r="E21" s="29">
        <f>COUNTIFS('Stabilization - Items'!$A:$A,"Stablization",'Stabilization - Items'!$B:$B,"Operational",Helper!$E:$E,"N/A")</f>
        <v>0</v>
      </c>
      <c r="F21" s="32">
        <f>IFERROR(C21/(C21+D21),0)</f>
        <v>0.08</v>
      </c>
      <c r="G21" s="32">
        <f>F21</f>
        <v>0.08</v>
      </c>
      <c r="H21" s="27"/>
      <c r="I21" s="27"/>
      <c r="J21" s="27"/>
      <c r="K21" s="27"/>
      <c r="L21" s="27"/>
      <c r="M21" s="27"/>
    </row>
    <row r="22" ht="18" customHeight="1" spans="1:13">
      <c r="A22" s="33" t="s">
        <v>22</v>
      </c>
      <c r="B22" s="34">
        <f>COUNTIFS('Stabilization - Items'!$A:$A,"Stablization",'Stabilization - Items'!$B:$B,"Orphan Records")</f>
        <v>3</v>
      </c>
      <c r="C22" s="30">
        <f>COUNTIFS('Stabilization - Items'!$A:$A,"Stablization",'Stabilization - Items'!$B:$B,"Orphan Records",Helper!$E:$E,"Delivered")</f>
        <v>0</v>
      </c>
      <c r="D22" s="31">
        <f>COUNTIFS('Stabilization - Items'!$A:$A,"Stablization",'Stabilization - Items'!$B:$B,"Orphan Records",Helper!$E:$E,"Pending")</f>
        <v>3</v>
      </c>
      <c r="E22" s="34">
        <f>COUNTIFS('Stabilization - Items'!$A:$A,"Stablization",'Stabilization - Items'!$B:$B,"Orphan Records",Helper!$E:$E,"N/A")</f>
        <v>0</v>
      </c>
      <c r="F22" s="35">
        <f>IFERROR(C22/(C22+D22),0)</f>
        <v>0</v>
      </c>
      <c r="G22" s="35">
        <f>F22</f>
        <v>0</v>
      </c>
      <c r="H22" s="27"/>
      <c r="I22" s="27"/>
      <c r="J22" s="27"/>
      <c r="K22" s="27"/>
      <c r="L22" s="27"/>
      <c r="M22" s="27"/>
    </row>
    <row r="23" ht="20" customHeight="1" spans="1:13">
      <c r="A23" s="36" t="s">
        <v>133</v>
      </c>
      <c r="B23" s="37">
        <f>COUNTIFS('Stabilization - Items'!$A:$A,"Stablization")</f>
        <v>60</v>
      </c>
      <c r="C23" s="37">
        <f>COUNTIFS('Stabilization - Items'!$A:$A,"Stablization",Helper!$E:$E,"Delivered")</f>
        <v>9</v>
      </c>
      <c r="D23" s="37">
        <f>COUNTIFS('Stabilization - Items'!$A:$A,"Stablization",Helper!$E:$E,"Pending")</f>
        <v>51</v>
      </c>
      <c r="E23" s="37">
        <f>COUNTIFS('Stabilization - Items'!$A:$A,"Stablization",Helper!$E:$E,"N/A")</f>
        <v>0</v>
      </c>
      <c r="F23" s="38">
        <f>IFERROR(C23/(C23+D23),0)</f>
        <v>0.15</v>
      </c>
      <c r="G23" s="38">
        <f>F23</f>
        <v>0.15</v>
      </c>
      <c r="H23" s="27"/>
      <c r="I23" s="27"/>
      <c r="J23" s="27"/>
      <c r="K23" s="27"/>
      <c r="L23" s="27"/>
      <c r="M23" s="27"/>
    </row>
    <row r="25" ht="26" customHeight="1" spans="1:13">
      <c r="A25" s="39" t="s">
        <v>134</v>
      </c>
    </row>
    <row r="27" ht="20" customHeight="1" spans="1:13">
      <c r="A27" s="8" t="s">
        <v>135</v>
      </c>
    </row>
    <row r="28" ht="28" customHeight="1" spans="1:13">
      <c r="A28" s="26" t="s">
        <v>9</v>
      </c>
      <c r="B28" s="40" t="s">
        <v>35</v>
      </c>
      <c r="C28" s="41" t="s">
        <v>121</v>
      </c>
      <c r="D28" s="42" t="s">
        <v>122</v>
      </c>
      <c r="E28" s="43" t="s">
        <v>123</v>
      </c>
      <c r="F28" s="44" t="s">
        <v>124</v>
      </c>
      <c r="G28" s="45" t="s">
        <v>125</v>
      </c>
      <c r="H28" s="46" t="s">
        <v>126</v>
      </c>
      <c r="I28" s="47" t="s">
        <v>127</v>
      </c>
      <c r="J28" s="47" t="s">
        <v>136</v>
      </c>
      <c r="K28" s="48" t="s">
        <v>133</v>
      </c>
    </row>
    <row r="29" ht="18" customHeight="1" spans="1:13">
      <c r="A29" s="49" t="s">
        <v>20</v>
      </c>
      <c r="B29" s="50">
        <f>COUNTIFS('Stabilization - Items'!$A:$A,"Stablization",'Stabilization - Items'!$J:$J,"High",Helper!$D:$D,"Delivered")</f>
        <v>5</v>
      </c>
      <c r="C29" s="50">
        <f>COUNTIFS('Stabilization - Items'!$A:$A,"Stablization",'Stabilization - Items'!$J:$J,"High",Helper!$D:$D,"Dev Complete")</f>
        <v>4</v>
      </c>
      <c r="D29" s="50">
        <f>COUNTIFS('Stabilization - Items'!$A:$A,"Stablization",'Stabilization - Items'!$J:$J,"High",Helper!$D:$D,"In Development")</f>
        <v>8</v>
      </c>
      <c r="E29" s="50">
        <f>COUNTIFS('Stabilization - Items'!$A:$A,"Stablization",'Stabilization - Items'!$J:$J,"High",Helper!$D:$D,"In QA")</f>
        <v>0</v>
      </c>
      <c r="F29" s="50">
        <f>COUNTIFS('Stabilization - Items'!$A:$A,"Stablization",'Stabilization - Items'!$J:$J,"High",Helper!$D:$D,"Pre-PROD / UAT")</f>
        <v>2</v>
      </c>
      <c r="G29" s="50">
        <f>COUNTIFS('Stabilization - Items'!$A:$A,"Stablization",'Stabilization - Items'!$J:$J,"High",Helper!$D:$D,"Not Started")</f>
        <v>17</v>
      </c>
      <c r="H29" s="50">
        <f>COUNTIFS('Stabilization - Items'!$A:$A,"Stablization",'Stabilization - Items'!$J:$J,"High",Helper!$D:$D,"Partial Delivery")</f>
        <v>0</v>
      </c>
      <c r="I29" s="50">
        <f>COUNTIFS('Stabilization - Items'!$A:$A,"Stablization",'Stabilization - Items'!$J:$J,"High",Helper!$D:$D,"N/A")</f>
        <v>0</v>
      </c>
      <c r="J29" s="50">
        <f>COUNTIFS('Stabilization - Items'!$A:$A,"Stablization",'Stabilization - Items'!$J:$J,"High",Helper!$D:$D,"Unknown")</f>
        <v>0</v>
      </c>
      <c r="K29" s="51">
        <f>SUM(B29:J29)</f>
        <v>36</v>
      </c>
    </row>
    <row r="30" ht="18" customHeight="1" spans="1:13">
      <c r="A30" s="49" t="s">
        <v>66</v>
      </c>
      <c r="B30" s="50">
        <f>COUNTIFS('Stabilization - Items'!$A:$A,"Stablization",'Stabilization - Items'!$J:$J,"Medium",Helper!$D:$D,"Delivered")</f>
        <v>0</v>
      </c>
      <c r="C30" s="50">
        <f>COUNTIFS('Stabilization - Items'!$A:$A,"Stablization",'Stabilization - Items'!$J:$J,"Medium",Helper!$D:$D,"Dev Complete")</f>
        <v>0</v>
      </c>
      <c r="D30" s="50">
        <f>COUNTIFS('Stabilization - Items'!$A:$A,"Stablization",'Stabilization - Items'!$J:$J,"Medium",Helper!$D:$D,"In Development")</f>
        <v>0</v>
      </c>
      <c r="E30" s="50">
        <f>COUNTIFS('Stabilization - Items'!$A:$A,"Stablization",'Stabilization - Items'!$J:$J,"Medium",Helper!$D:$D,"In QA")</f>
        <v>0</v>
      </c>
      <c r="F30" s="50">
        <f>COUNTIFS('Stabilization - Items'!$A:$A,"Stablization",'Stabilization - Items'!$J:$J,"Medium",Helper!$D:$D,"Pre-PROD / UAT")</f>
        <v>0</v>
      </c>
      <c r="G30" s="50">
        <f>COUNTIFS('Stabilization - Items'!$A:$A,"Stablization",'Stabilization - Items'!$J:$J,"Medium",Helper!$D:$D,"Not Started")</f>
        <v>6</v>
      </c>
      <c r="H30" s="50">
        <f>COUNTIFS('Stabilization - Items'!$A:$A,"Stablization",'Stabilization - Items'!$J:$J,"Medium",Helper!$D:$D,"Partial Delivery")</f>
        <v>0</v>
      </c>
      <c r="I30" s="50">
        <f>COUNTIFS('Stabilization - Items'!$A:$A,"Stablization",'Stabilization - Items'!$J:$J,"Medium",Helper!$D:$D,"N/A")</f>
        <v>0</v>
      </c>
      <c r="J30" s="50">
        <f>COUNTIFS('Stabilization - Items'!$A:$A,"Stablization",'Stabilization - Items'!$J:$J,"Medium",Helper!$D:$D,"Unknown")</f>
        <v>0</v>
      </c>
      <c r="K30" s="51">
        <f>SUM(B30:J30)</f>
        <v>6</v>
      </c>
    </row>
    <row r="31" ht="18" customHeight="1" spans="1:13">
      <c r="A31" s="49" t="s">
        <v>74</v>
      </c>
      <c r="B31" s="50">
        <f>COUNTIFS('Stabilization - Items'!$A:$A,"Stablization",'Stabilization - Items'!$J:$J,"Low",Helper!$D:$D,"Delivered")</f>
        <v>0</v>
      </c>
      <c r="C31" s="50">
        <f>COUNTIFS('Stabilization - Items'!$A:$A,"Stablization",'Stabilization - Items'!$J:$J,"Low",Helper!$D:$D,"Dev Complete")</f>
        <v>0</v>
      </c>
      <c r="D31" s="50">
        <f>COUNTIFS('Stabilization - Items'!$A:$A,"Stablization",'Stabilization - Items'!$J:$J,"Low",Helper!$D:$D,"In Development")</f>
        <v>0</v>
      </c>
      <c r="E31" s="50">
        <f>COUNTIFS('Stabilization - Items'!$A:$A,"Stablization",'Stabilization - Items'!$J:$J,"Low",Helper!$D:$D,"In QA")</f>
        <v>0</v>
      </c>
      <c r="F31" s="50">
        <f>COUNTIFS('Stabilization - Items'!$A:$A,"Stablization",'Stabilization - Items'!$J:$J,"Low",Helper!$D:$D,"Pre-PROD / UAT")</f>
        <v>0</v>
      </c>
      <c r="G31" s="50">
        <f>COUNTIFS('Stabilization - Items'!$A:$A,"Stablization",'Stabilization - Items'!$J:$J,"Low",Helper!$D:$D,"Not Started")</f>
        <v>18</v>
      </c>
      <c r="H31" s="50">
        <f>COUNTIFS('Stabilization - Items'!$A:$A,"Stablization",'Stabilization - Items'!$J:$J,"Low",Helper!$D:$D,"Partial Delivery")</f>
        <v>0</v>
      </c>
      <c r="I31" s="50">
        <f>COUNTIFS('Stabilization - Items'!$A:$A,"Stablization",'Stabilization - Items'!$J:$J,"Low",Helper!$D:$D,"N/A")</f>
        <v>0</v>
      </c>
      <c r="J31" s="50">
        <f>COUNTIFS('Stabilization - Items'!$A:$A,"Stablization",'Stabilization - Items'!$J:$J,"Low",Helper!$D:$D,"Unknown")</f>
        <v>0</v>
      </c>
      <c r="K31" s="51">
        <f>SUM(B31:J31)</f>
        <v>18</v>
      </c>
    </row>
    <row r="32" ht="20" customHeight="1" spans="1:13">
      <c r="A32" s="36" t="s">
        <v>133</v>
      </c>
      <c r="B32" s="37">
        <f t="shared" ref="B32:K32" si="0">SUM(B29:B31)</f>
        <v>5</v>
      </c>
      <c r="C32" s="37">
        <f t="shared" si="0"/>
        <v>4</v>
      </c>
      <c r="D32" s="37">
        <f t="shared" si="0"/>
        <v>8</v>
      </c>
      <c r="E32" s="37">
        <f t="shared" si="0"/>
        <v>0</v>
      </c>
      <c r="F32" s="37">
        <f t="shared" si="0"/>
        <v>2</v>
      </c>
      <c r="G32" s="37">
        <f t="shared" si="0"/>
        <v>41</v>
      </c>
      <c r="H32" s="37">
        <f t="shared" si="0"/>
        <v>0</v>
      </c>
      <c r="I32" s="37">
        <f t="shared" si="0"/>
        <v>0</v>
      </c>
      <c r="J32" s="37">
        <f t="shared" si="0"/>
        <v>0</v>
      </c>
      <c r="K32" s="37">
        <f t="shared" si="0"/>
        <v>60</v>
      </c>
    </row>
    <row r="34" ht="26" customHeight="1" spans="1:11">
      <c r="A34" s="39" t="s">
        <v>137</v>
      </c>
    </row>
    <row r="36" ht="20" customHeight="1" spans="1:11">
      <c r="A36" s="8" t="s">
        <v>138</v>
      </c>
    </row>
    <row r="37" ht="18" customHeight="1" spans="1:11">
      <c r="A37" s="25" t="s">
        <v>139</v>
      </c>
      <c r="B37" s="25" t="s">
        <v>129</v>
      </c>
      <c r="C37" s="25" t="s">
        <v>140</v>
      </c>
      <c r="D37" s="25" t="s">
        <v>35</v>
      </c>
      <c r="E37" s="25" t="s">
        <v>141</v>
      </c>
      <c r="F37" s="25" t="s">
        <v>130</v>
      </c>
      <c r="G37" s="25" t="s">
        <v>142</v>
      </c>
      <c r="H37" s="25" t="s">
        <v>131</v>
      </c>
      <c r="I37" s="25" t="s">
        <v>143</v>
      </c>
      <c r="J37" s="25" t="s">
        <v>144</v>
      </c>
      <c r="K37" s="25" t="s">
        <v>145</v>
      </c>
    </row>
    <row r="38" ht="16" customHeight="1" spans="1:11">
      <c r="A38" s="52">
        <v>46241</v>
      </c>
      <c r="B38" s="50">
        <v>35</v>
      </c>
      <c r="C38" s="53">
        <v>21</v>
      </c>
      <c r="D38" s="30">
        <v>9</v>
      </c>
      <c r="E38" s="53">
        <v>14</v>
      </c>
      <c r="F38" s="31">
        <v>26</v>
      </c>
      <c r="G38" s="50" t="s">
        <v>146</v>
      </c>
      <c r="H38" s="54">
        <v>0.2571</v>
      </c>
      <c r="I38" s="31">
        <v>-12</v>
      </c>
      <c r="J38" s="50">
        <v>7</v>
      </c>
      <c r="K38" s="50">
        <v>3.7</v>
      </c>
    </row>
    <row r="39" ht="16" customHeight="1" spans="1:11">
      <c r="A39" s="52">
        <v>46242</v>
      </c>
      <c r="B39" s="55" t="s">
        <v>146</v>
      </c>
      <c r="C39" s="53">
        <v>21</v>
      </c>
      <c r="D39" s="55" t="s">
        <v>146</v>
      </c>
      <c r="E39" s="53">
        <v>14</v>
      </c>
      <c r="F39" s="55" t="s">
        <v>146</v>
      </c>
      <c r="G39" s="55" t="s">
        <v>146</v>
      </c>
      <c r="H39" s="55" t="s">
        <v>146</v>
      </c>
      <c r="I39" s="55" t="s">
        <v>146</v>
      </c>
      <c r="J39" s="50">
        <v>6</v>
      </c>
      <c r="K39" s="55" t="s">
        <v>146</v>
      </c>
    </row>
    <row r="40" ht="16" customHeight="1" spans="1:11">
      <c r="A40" s="52">
        <v>46243</v>
      </c>
      <c r="B40" s="55" t="s">
        <v>146</v>
      </c>
      <c r="C40" s="53">
        <v>21</v>
      </c>
      <c r="D40" s="55" t="s">
        <v>146</v>
      </c>
      <c r="E40" s="53">
        <v>14</v>
      </c>
      <c r="F40" s="55" t="s">
        <v>146</v>
      </c>
      <c r="G40" s="55" t="s">
        <v>146</v>
      </c>
      <c r="H40" s="55" t="s">
        <v>146</v>
      </c>
      <c r="I40" s="55" t="s">
        <v>146</v>
      </c>
      <c r="J40" s="50">
        <v>5</v>
      </c>
      <c r="K40" s="55" t="s">
        <v>146</v>
      </c>
    </row>
    <row r="41" ht="16" customHeight="1" spans="1:11">
      <c r="A41" s="52">
        <v>46244</v>
      </c>
      <c r="B41" s="55" t="s">
        <v>146</v>
      </c>
      <c r="C41" s="53">
        <v>22</v>
      </c>
      <c r="D41" s="55" t="s">
        <v>146</v>
      </c>
      <c r="E41" s="53">
        <v>13</v>
      </c>
      <c r="F41" s="55" t="s">
        <v>146</v>
      </c>
      <c r="G41" s="55" t="s">
        <v>146</v>
      </c>
      <c r="H41" s="55" t="s">
        <v>146</v>
      </c>
      <c r="I41" s="55" t="s">
        <v>146</v>
      </c>
      <c r="J41" s="50">
        <v>4</v>
      </c>
      <c r="K41" s="55" t="s">
        <v>146</v>
      </c>
    </row>
    <row r="42" ht="16" customHeight="1" spans="1:11">
      <c r="A42" s="52">
        <v>46245</v>
      </c>
      <c r="B42" s="55" t="s">
        <v>146</v>
      </c>
      <c r="C42" s="53">
        <v>29</v>
      </c>
      <c r="D42" s="55" t="s">
        <v>146</v>
      </c>
      <c r="E42" s="53">
        <v>6</v>
      </c>
      <c r="F42" s="55" t="s">
        <v>146</v>
      </c>
      <c r="G42" s="55" t="s">
        <v>146</v>
      </c>
      <c r="H42" s="55" t="s">
        <v>146</v>
      </c>
      <c r="I42" s="55" t="s">
        <v>146</v>
      </c>
      <c r="J42" s="50">
        <v>3</v>
      </c>
      <c r="K42" s="55" t="s">
        <v>146</v>
      </c>
    </row>
    <row r="43" ht="16" customHeight="1" spans="1:11">
      <c r="A43" s="52">
        <v>46246</v>
      </c>
      <c r="B43" s="55" t="s">
        <v>146</v>
      </c>
      <c r="C43" s="53">
        <v>32</v>
      </c>
      <c r="D43" s="55" t="s">
        <v>146</v>
      </c>
      <c r="E43" s="53">
        <v>3</v>
      </c>
      <c r="F43" s="55" t="s">
        <v>146</v>
      </c>
      <c r="G43" s="55" t="s">
        <v>146</v>
      </c>
      <c r="H43" s="55" t="s">
        <v>146</v>
      </c>
      <c r="I43" s="55" t="s">
        <v>146</v>
      </c>
      <c r="J43" s="50">
        <v>2</v>
      </c>
      <c r="K43" s="55" t="s">
        <v>146</v>
      </c>
    </row>
    <row r="44" ht="16" customHeight="1" spans="1:11">
      <c r="A44" s="52">
        <v>46247</v>
      </c>
      <c r="B44" s="55" t="s">
        <v>146</v>
      </c>
      <c r="C44" s="53">
        <v>34</v>
      </c>
      <c r="D44" s="55" t="s">
        <v>146</v>
      </c>
      <c r="E44" s="53">
        <v>1</v>
      </c>
      <c r="F44" s="55" t="s">
        <v>146</v>
      </c>
      <c r="G44" s="55" t="s">
        <v>146</v>
      </c>
      <c r="H44" s="55" t="s">
        <v>146</v>
      </c>
      <c r="I44" s="55" t="s">
        <v>146</v>
      </c>
      <c r="J44" s="50">
        <v>1</v>
      </c>
      <c r="K44" s="55" t="s">
        <v>146</v>
      </c>
    </row>
    <row r="45" ht="16" customHeight="1" spans="1:11">
      <c r="A45" s="52">
        <v>46248</v>
      </c>
      <c r="B45" s="55" t="s">
        <v>146</v>
      </c>
      <c r="C45" s="53">
        <v>35</v>
      </c>
      <c r="D45" s="55" t="s">
        <v>146</v>
      </c>
      <c r="E45" s="53">
        <v>0</v>
      </c>
      <c r="F45" s="55" t="s">
        <v>146</v>
      </c>
      <c r="G45" s="55" t="s">
        <v>146</v>
      </c>
      <c r="H45" s="55" t="s">
        <v>146</v>
      </c>
      <c r="I45" s="55" t="s">
        <v>146</v>
      </c>
      <c r="J45" s="50">
        <v>0</v>
      </c>
      <c r="K45" s="55" t="s">
        <v>146</v>
      </c>
    </row>
    <row r="46" ht="16" customHeight="1" spans="1:11">
      <c r="A46" s="56" t="s">
        <v>147</v>
      </c>
      <c r="B46" s="27"/>
      <c r="C46" s="51">
        <v>25</v>
      </c>
    </row>
    <row r="48" ht="26" customHeight="1" spans="1:11">
      <c r="A48" s="39" t="s">
        <v>148</v>
      </c>
    </row>
  </sheetData>
  <mergeCells count="38">
    <mergeCell ref="A4:M4"/>
    <mergeCell ref="A6:F6"/>
    <mergeCell ref="H6:M6"/>
    <mergeCell ref="A11:M11"/>
    <mergeCell ref="A12:C12"/>
    <mergeCell ref="D12:F12"/>
    <mergeCell ref="G12:I12"/>
    <mergeCell ref="J12:L12"/>
    <mergeCell ref="A13:C13"/>
    <mergeCell ref="D13:F13"/>
    <mergeCell ref="G13:I13"/>
    <mergeCell ref="J13:L13"/>
    <mergeCell ref="A14:C14"/>
    <mergeCell ref="D14:F14"/>
    <mergeCell ref="G14:I14"/>
    <mergeCell ref="J14:L14"/>
    <mergeCell ref="A15:C15"/>
    <mergeCell ref="D15:F15"/>
    <mergeCell ref="G15:I15"/>
    <mergeCell ref="J15:L15"/>
    <mergeCell ref="A17:M17"/>
    <mergeCell ref="G18:M18"/>
    <mergeCell ref="G19:M19"/>
    <mergeCell ref="G20:M20"/>
    <mergeCell ref="G21:M21"/>
    <mergeCell ref="G22:M22"/>
    <mergeCell ref="G23:M23"/>
    <mergeCell ref="A25:M25"/>
    <mergeCell ref="A27:M27"/>
    <mergeCell ref="A34:M34"/>
    <mergeCell ref="A36:M36"/>
    <mergeCell ref="A46:B46"/>
    <mergeCell ref="A48:M48"/>
    <mergeCell ref="J7:M9"/>
    <mergeCell ref="A7:C9"/>
    <mergeCell ref="D7:F9"/>
    <mergeCell ref="A1:M3"/>
    <mergeCell ref="H7:I9"/>
  </mergeCells>
  <conditionalFormatting sqref="F19:F22">
    <cfRule type="dataBar" priority="1">
      <dataBar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{ffabfa68-001b-4894-80c4-f4d9a1e3afe6}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abfa68-001b-4894-80c4-f4d9a1e3afe6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F19:F22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workbookViewId="0">
      <selection activeCell="A1" sqref="A1"/>
    </sheetView>
  </sheetViews>
  <sheetFormatPr defaultColWidth="9" defaultRowHeight="16.8" outlineLevelCol="5"/>
  <sheetData>
    <row r="1" spans="1:6">
      <c r="A1" t="s">
        <v>3</v>
      </c>
      <c r="B1" t="s">
        <v>4</v>
      </c>
      <c r="C1" t="s">
        <v>5</v>
      </c>
      <c r="D1" t="s">
        <v>149</v>
      </c>
      <c r="E1" t="s">
        <v>150</v>
      </c>
      <c r="F1" t="s">
        <v>151</v>
      </c>
    </row>
    <row r="2" spans="1:6">
      <c r="A2" t="str">
        <f>'Stabilization - Items'!D2</f>
        <v>iWork</v>
      </c>
      <c r="B2" t="str">
        <f>'Stabilization - Items'!E2</f>
        <v>Milestone 6</v>
      </c>
      <c r="C2" t="str">
        <f>TRIM('Stabilization - Items'!F2)</f>
        <v>DEV - WIP</v>
      </c>
      <c r="D2" t="str">
        <f>IFERROR(VLOOKUP(C2,Config!$A:$B,2,0),"Unknown")</f>
        <v>In Development</v>
      </c>
      <c r="E2" t="str">
        <f>IFERROR(VLOOKUP(C2,Config!$A:$C,3,0),"N/A")</f>
        <v>Pending</v>
      </c>
      <c r="F2">
        <f>IF('Stabilization - Items'!H2="","",'Stabilization - Items'!H2)</f>
        <v>46240</v>
      </c>
    </row>
    <row r="3" spans="1:6">
      <c r="A3" t="str">
        <f>'Stabilization - Items'!D3</f>
        <v>iWork</v>
      </c>
      <c r="B3" t="str">
        <f>'Stabilization - Items'!E3</f>
        <v>Milestone 6</v>
      </c>
      <c r="C3" t="str">
        <f>TRIM('Stabilization - Items'!F3)</f>
        <v>Yet to start</v>
      </c>
      <c r="D3" t="str">
        <f>IFERROR(VLOOKUP(C3,Config!$A:$B,2,0),"Unknown")</f>
        <v>Not Started</v>
      </c>
      <c r="E3" t="str">
        <f>IFERROR(VLOOKUP(C3,Config!$A:$C,3,0),"N/A")</f>
        <v>Pending</v>
      </c>
      <c r="F3">
        <f>IF('Stabilization - Items'!H3="","",'Stabilization - Items'!H3)</f>
        <v>46240</v>
      </c>
    </row>
    <row r="4" spans="1:6">
      <c r="A4" t="str">
        <f>'Stabilization - Items'!D4</f>
        <v>iWork</v>
      </c>
      <c r="B4" t="str">
        <f>'Stabilization - Items'!E4</f>
        <v>Milestone 6</v>
      </c>
      <c r="C4" t="str">
        <f>TRIM('Stabilization - Items'!F4)</f>
        <v>Yet to start</v>
      </c>
      <c r="D4" t="str">
        <f>IFERROR(VLOOKUP(C4,Config!$A:$B,2,0),"Unknown")</f>
        <v>Not Started</v>
      </c>
      <c r="E4" t="str">
        <f>IFERROR(VLOOKUP(C4,Config!$A:$C,3,0),"N/A")</f>
        <v>Pending</v>
      </c>
      <c r="F4">
        <f>IF('Stabilization - Items'!H4="","",'Stabilization - Items'!H4)</f>
        <v>46240</v>
      </c>
    </row>
    <row r="5" spans="1:6">
      <c r="A5" t="str">
        <f>'Stabilization - Items'!D5</f>
        <v>iWork</v>
      </c>
      <c r="B5" t="str">
        <f>'Stabilization - Items'!E5</f>
        <v>Milestone 6</v>
      </c>
      <c r="C5" t="str">
        <f>TRIM('Stabilization - Items'!F5)</f>
        <v>Yet to start</v>
      </c>
      <c r="D5" t="str">
        <f>IFERROR(VLOOKUP(C5,Config!$A:$B,2,0),"Unknown")</f>
        <v>Not Started</v>
      </c>
      <c r="E5" t="str">
        <f>IFERROR(VLOOKUP(C5,Config!$A:$C,3,0),"N/A")</f>
        <v>Pending</v>
      </c>
      <c r="F5">
        <f>IF('Stabilization - Items'!H5="","",'Stabilization - Items'!H5)</f>
        <v>46240</v>
      </c>
    </row>
    <row r="6" spans="1:6">
      <c r="A6" t="str">
        <f>'Stabilization - Items'!D6</f>
        <v>iWork</v>
      </c>
      <c r="B6" t="str">
        <f>'Stabilization - Items'!E6</f>
        <v>Milestone 6</v>
      </c>
      <c r="C6" t="str">
        <f>TRIM('Stabilization - Items'!F6)</f>
        <v>DEV - WIP</v>
      </c>
      <c r="D6" t="str">
        <f>IFERROR(VLOOKUP(C6,Config!$A:$B,2,0),"Unknown")</f>
        <v>In Development</v>
      </c>
      <c r="E6" t="str">
        <f>IFERROR(VLOOKUP(C6,Config!$A:$C,3,0),"N/A")</f>
        <v>Pending</v>
      </c>
      <c r="F6">
        <f>IF('Stabilization - Items'!H6="","",'Stabilization - Items'!H6)</f>
        <v>46235</v>
      </c>
    </row>
    <row r="7" spans="1:6">
      <c r="A7" t="str">
        <f>'Stabilization - Items'!D7</f>
        <v>iWork</v>
      </c>
      <c r="B7" t="str">
        <f>'Stabilization - Items'!E7</f>
        <v>Milestone 6</v>
      </c>
      <c r="C7" t="str">
        <f>TRIM('Stabilization - Items'!F7)</f>
        <v>Dev - Done</v>
      </c>
      <c r="D7" t="str">
        <f>IFERROR(VLOOKUP(C7,Config!$A:$B,2,0),"Unknown")</f>
        <v>Dev Complete</v>
      </c>
      <c r="E7" t="str">
        <f>IFERROR(VLOOKUP(C7,Config!$A:$C,3,0),"N/A")</f>
        <v>Delivered</v>
      </c>
      <c r="F7">
        <f>IF('Stabilization - Items'!H7="","",'Stabilization - Items'!H7)</f>
        <v>46235</v>
      </c>
    </row>
    <row r="8" spans="1:6">
      <c r="A8" t="str">
        <f>'Stabilization - Items'!D8</f>
        <v>iWork</v>
      </c>
      <c r="B8" t="str">
        <f>'Stabilization - Items'!E8</f>
        <v>Milestone 6</v>
      </c>
      <c r="C8" t="str">
        <f>TRIM('Stabilization - Items'!F8)</f>
        <v>Delivered</v>
      </c>
      <c r="D8" t="str">
        <f>IFERROR(VLOOKUP(C8,Config!$A:$B,2,0),"Unknown")</f>
        <v>Delivered</v>
      </c>
      <c r="E8" t="str">
        <f>IFERROR(VLOOKUP(C8,Config!$A:$C,3,0),"N/A")</f>
        <v>Delivered</v>
      </c>
      <c r="F8">
        <f>IF('Stabilization - Items'!H8="","",'Stabilization - Items'!H8)</f>
        <v>46235</v>
      </c>
    </row>
    <row r="9" spans="1:6">
      <c r="A9" t="str">
        <f>'Stabilization - Items'!D9</f>
        <v>iWork - CR</v>
      </c>
      <c r="B9" t="str">
        <f>'Stabilization - Items'!E9</f>
        <v>Milestone 6</v>
      </c>
      <c r="C9" t="str">
        <f>TRIM('Stabilization - Items'!F9)</f>
        <v>Delivered</v>
      </c>
      <c r="D9" t="str">
        <f>IFERROR(VLOOKUP(C9,Config!$A:$B,2,0),"Unknown")</f>
        <v>Delivered</v>
      </c>
      <c r="E9" t="str">
        <f>IFERROR(VLOOKUP(C9,Config!$A:$C,3,0),"N/A")</f>
        <v>Delivered</v>
      </c>
      <c r="F9">
        <f>IF('Stabilization - Items'!H9="","",'Stabilization - Items'!H9)</f>
        <v>46235</v>
      </c>
    </row>
    <row r="10" spans="1:6">
      <c r="A10" t="str">
        <f>'Stabilization - Items'!D10</f>
        <v>iWork</v>
      </c>
      <c r="B10" t="str">
        <f>'Stabilization - Items'!E10</f>
        <v>Milestone 6</v>
      </c>
      <c r="C10" t="str">
        <f>TRIM('Stabilization - Items'!F10)</f>
        <v>UAT - WIP</v>
      </c>
      <c r="D10" t="str">
        <f>IFERROR(VLOOKUP(C10,Config!$A:$B,2,0),"Unknown")</f>
        <v>Pre-PROD / UAT</v>
      </c>
      <c r="E10" t="str">
        <f>IFERROR(VLOOKUP(C10,Config!$A:$C,3,0),"N/A")</f>
        <v>Pending</v>
      </c>
      <c r="F10">
        <f>IF('Stabilization - Items'!H10="","",'Stabilization - Items'!H10)</f>
        <v>46235</v>
      </c>
    </row>
    <row r="11" spans="1:6">
      <c r="A11" t="str">
        <f>'Stabilization - Items'!D11</f>
        <v>iWork</v>
      </c>
      <c r="B11" t="str">
        <f>'Stabilization - Items'!E11</f>
        <v>Milestone 6</v>
      </c>
      <c r="C11" t="str">
        <f>TRIM('Stabilization - Items'!F11)</f>
        <v>Delivered</v>
      </c>
      <c r="D11" t="str">
        <f>IFERROR(VLOOKUP(C11,Config!$A:$B,2,0),"Unknown")</f>
        <v>Delivered</v>
      </c>
      <c r="E11" t="str">
        <f>IFERROR(VLOOKUP(C11,Config!$A:$C,3,0),"N/A")</f>
        <v>Delivered</v>
      </c>
      <c r="F11">
        <f>IF('Stabilization - Items'!H11="","",'Stabilization - Items'!H11)</f>
        <v>46235</v>
      </c>
    </row>
    <row r="12" spans="1:6">
      <c r="A12" t="str">
        <f>'Stabilization - Items'!D12</f>
        <v>iWork</v>
      </c>
      <c r="B12" t="str">
        <f>'Stabilization - Items'!E12</f>
        <v>Milestone 6</v>
      </c>
      <c r="C12" t="str">
        <f>TRIM('Stabilization - Items'!F12)</f>
        <v>Delivered</v>
      </c>
      <c r="D12" t="str">
        <f>IFERROR(VLOOKUP(C12,Config!$A:$B,2,0),"Unknown")</f>
        <v>Delivered</v>
      </c>
      <c r="E12" t="str">
        <f>IFERROR(VLOOKUP(C12,Config!$A:$C,3,0),"N/A")</f>
        <v>Delivered</v>
      </c>
      <c r="F12">
        <f>IF('Stabilization - Items'!H12="","",'Stabilization - Items'!H12)</f>
        <v>46235</v>
      </c>
    </row>
    <row r="13" spans="1:6">
      <c r="A13" t="str">
        <f>'Stabilization - Items'!D13</f>
        <v>IBP</v>
      </c>
      <c r="B13" t="str">
        <f>'Stabilization - Items'!E13</f>
        <v>Milestone 6</v>
      </c>
      <c r="C13" t="str">
        <f>TRIM('Stabilization - Items'!F13)</f>
        <v>Dev - Done</v>
      </c>
      <c r="D13" t="str">
        <f>IFERROR(VLOOKUP(C13,Config!$A:$B,2,0),"Unknown")</f>
        <v>Dev Complete</v>
      </c>
      <c r="E13" t="str">
        <f>IFERROR(VLOOKUP(C13,Config!$A:$C,3,0),"N/A")</f>
        <v>Delivered</v>
      </c>
      <c r="F13">
        <f>IF('Stabilization - Items'!H13="","",'Stabilization - Items'!H13)</f>
        <v>46235</v>
      </c>
    </row>
    <row r="14" spans="1:6">
      <c r="A14" t="str">
        <f>'Stabilization - Items'!D14</f>
        <v>iWork</v>
      </c>
      <c r="B14" t="str">
        <f>'Stabilization - Items'!E14</f>
        <v>Milestone 6</v>
      </c>
      <c r="C14" t="str">
        <f>TRIM('Stabilization - Items'!F14)</f>
        <v>DEV - WIP</v>
      </c>
      <c r="D14" t="str">
        <f>IFERROR(VLOOKUP(C14,Config!$A:$B,2,0),"Unknown")</f>
        <v>In Development</v>
      </c>
      <c r="E14" t="str">
        <f>IFERROR(VLOOKUP(C14,Config!$A:$C,3,0),"N/A")</f>
        <v>Pending</v>
      </c>
      <c r="F14">
        <f>IF('Stabilization - Items'!H14="","",'Stabilization - Items'!H14)</f>
        <v>46221</v>
      </c>
    </row>
    <row r="15" spans="1:6">
      <c r="A15" t="str">
        <f>'Stabilization - Items'!D15</f>
        <v>iWork</v>
      </c>
      <c r="B15" t="str">
        <f>'Stabilization - Items'!E15</f>
        <v>Milestone 6</v>
      </c>
      <c r="C15" t="str">
        <f>TRIM('Stabilization - Items'!F15)</f>
        <v>Dev - WIP</v>
      </c>
      <c r="D15" t="str">
        <f>IFERROR(VLOOKUP(C15,Config!$A:$B,2,0),"Unknown")</f>
        <v>In Development</v>
      </c>
      <c r="E15" t="str">
        <f>IFERROR(VLOOKUP(C15,Config!$A:$C,3,0),"N/A")</f>
        <v>Pending</v>
      </c>
      <c r="F15">
        <f>IF('Stabilization - Items'!H15="","",'Stabilization - Items'!H15)</f>
        <v>46235</v>
      </c>
    </row>
    <row r="16" spans="1:6">
      <c r="A16" t="str">
        <f>'Stabilization - Items'!D16</f>
        <v>iWork</v>
      </c>
      <c r="B16" t="str">
        <f>'Stabilization - Items'!E16</f>
        <v>Milestone 6</v>
      </c>
      <c r="C16" t="str">
        <f>TRIM('Stabilization - Items'!F16)</f>
        <v>Dev - WIP</v>
      </c>
      <c r="D16" t="str">
        <f>IFERROR(VLOOKUP(C16,Config!$A:$B,2,0),"Unknown")</f>
        <v>In Development</v>
      </c>
      <c r="E16" t="str">
        <f>IFERROR(VLOOKUP(C16,Config!$A:$C,3,0),"N/A")</f>
        <v>Pending</v>
      </c>
      <c r="F16">
        <f>IF('Stabilization - Items'!H16="","",'Stabilization - Items'!H16)</f>
        <v>46235</v>
      </c>
    </row>
    <row r="17" spans="1:6">
      <c r="A17" t="str">
        <f>'Stabilization - Items'!D17</f>
        <v>iWork</v>
      </c>
      <c r="B17" t="str">
        <f>'Stabilization - Items'!E17</f>
        <v>Milestone 6</v>
      </c>
      <c r="C17" t="str">
        <f>TRIM('Stabilization - Items'!F17)</f>
        <v>UAT - WIP</v>
      </c>
      <c r="D17" t="str">
        <f>IFERROR(VLOOKUP(C17,Config!$A:$B,2,0),"Unknown")</f>
        <v>Pre-PROD / UAT</v>
      </c>
      <c r="E17" t="str">
        <f>IFERROR(VLOOKUP(C17,Config!$A:$C,3,0),"N/A")</f>
        <v>Pending</v>
      </c>
      <c r="F17">
        <f>IF('Stabilization - Items'!H17="","",'Stabilization - Items'!H17)</f>
        <v>46235</v>
      </c>
    </row>
    <row r="18" spans="1:6">
      <c r="A18" t="str">
        <f>'Stabilization - Items'!D18</f>
        <v>iWork</v>
      </c>
      <c r="B18" t="str">
        <f>'Stabilization - Items'!E18</f>
        <v>Milestone 6</v>
      </c>
      <c r="C18" t="str">
        <f>TRIM('Stabilization - Items'!F18)</f>
        <v>Yet to start</v>
      </c>
      <c r="D18" t="str">
        <f>IFERROR(VLOOKUP(C18,Config!$A:$B,2,0),"Unknown")</f>
        <v>Not Started</v>
      </c>
      <c r="E18" t="str">
        <f>IFERROR(VLOOKUP(C18,Config!$A:$C,3,0),"N/A")</f>
        <v>Pending</v>
      </c>
      <c r="F18">
        <f>IF('Stabilization - Items'!H18="","",'Stabilization - Items'!H18)</f>
        <v>46235</v>
      </c>
    </row>
    <row r="19" spans="1:6">
      <c r="A19" t="str">
        <f>'Stabilization - Items'!D19</f>
        <v>iWork</v>
      </c>
      <c r="B19" t="str">
        <f>'Stabilization - Items'!E19</f>
        <v>Milestone 6</v>
      </c>
      <c r="C19" t="str">
        <f>TRIM('Stabilization - Items'!F19)</f>
        <v>Dev - WIP</v>
      </c>
      <c r="D19" t="str">
        <f>IFERROR(VLOOKUP(C19,Config!$A:$B,2,0),"Unknown")</f>
        <v>In Development</v>
      </c>
      <c r="E19" t="str">
        <f>IFERROR(VLOOKUP(C19,Config!$A:$C,3,0),"N/A")</f>
        <v>Pending</v>
      </c>
      <c r="F19">
        <f>IF('Stabilization - Items'!H19="","",'Stabilization - Items'!H19)</f>
        <v>46221</v>
      </c>
    </row>
    <row r="20" spans="1:6">
      <c r="A20" t="str">
        <f>'Stabilization - Items'!D20</f>
        <v>IBP</v>
      </c>
      <c r="B20" t="str">
        <f>'Stabilization - Items'!E20</f>
        <v>Milestone 6</v>
      </c>
      <c r="C20" t="str">
        <f>TRIM('Stabilization - Items'!F20)</f>
        <v>Dev - Done</v>
      </c>
      <c r="D20" t="str">
        <f>IFERROR(VLOOKUP(C20,Config!$A:$B,2,0),"Unknown")</f>
        <v>Dev Complete</v>
      </c>
      <c r="E20" t="str">
        <f>IFERROR(VLOOKUP(C20,Config!$A:$C,3,0),"N/A")</f>
        <v>Delivered</v>
      </c>
      <c r="F20">
        <f>IF('Stabilization - Items'!H20="","",'Stabilization - Items'!H20)</f>
        <v>46235</v>
      </c>
    </row>
    <row r="21" spans="1:6">
      <c r="A21" t="str">
        <f>'Stabilization - Items'!D21</f>
        <v>iWork</v>
      </c>
      <c r="B21" t="str">
        <f>'Stabilization - Items'!E21</f>
        <v>Milestone 6</v>
      </c>
      <c r="C21" t="str">
        <f>TRIM('Stabilization - Items'!F21)</f>
        <v>Dev - WIP</v>
      </c>
      <c r="D21" t="str">
        <f>IFERROR(VLOOKUP(C21,Config!$A:$B,2,0),"Unknown")</f>
        <v>In Development</v>
      </c>
      <c r="E21" t="str">
        <f>IFERROR(VLOOKUP(C21,Config!$A:$C,3,0),"N/A")</f>
        <v>Pending</v>
      </c>
      <c r="F21">
        <f>IF('Stabilization - Items'!H21="","",'Stabilization - Items'!H21)</f>
        <v>46235</v>
      </c>
    </row>
    <row r="22" spans="1:6">
      <c r="A22" t="str">
        <f>'Stabilization - Items'!D22</f>
        <v>iWork</v>
      </c>
      <c r="B22" t="str">
        <f>'Stabilization - Items'!E22</f>
        <v>Milestone 6</v>
      </c>
      <c r="C22" t="str">
        <f>TRIM('Stabilization - Items'!F22)</f>
        <v>Dev - WIP</v>
      </c>
      <c r="D22" t="str">
        <f>IFERROR(VLOOKUP(C22,Config!$A:$B,2,0),"Unknown")</f>
        <v>In Development</v>
      </c>
      <c r="E22" t="str">
        <f>IFERROR(VLOOKUP(C22,Config!$A:$C,3,0),"N/A")</f>
        <v>Pending</v>
      </c>
      <c r="F22">
        <f>IF('Stabilization - Items'!H22="","",'Stabilization - Items'!H22)</f>
        <v>46221</v>
      </c>
    </row>
    <row r="23" spans="1:6">
      <c r="A23" t="str">
        <f>'Stabilization - Items'!D23</f>
        <v>iWork</v>
      </c>
      <c r="B23" t="str">
        <f>'Stabilization - Items'!E23</f>
        <v>Milestone 6</v>
      </c>
      <c r="C23" t="str">
        <f>TRIM('Stabilization - Items'!F23)</f>
        <v>Yet to start</v>
      </c>
      <c r="D23" t="str">
        <f>IFERROR(VLOOKUP(C23,Config!$A:$B,2,0),"Unknown")</f>
        <v>Not Started</v>
      </c>
      <c r="E23" t="str">
        <f>IFERROR(VLOOKUP(C23,Config!$A:$C,3,0),"N/A")</f>
        <v>Pending</v>
      </c>
      <c r="F23">
        <f>IF('Stabilization - Items'!H23="","",'Stabilization - Items'!H23)</f>
        <v>46235</v>
      </c>
    </row>
    <row r="24" spans="1:6">
      <c r="A24" t="str">
        <f>'Stabilization - Items'!D24</f>
        <v>iWork - CR</v>
      </c>
      <c r="B24" t="str">
        <f>'Stabilization - Items'!E24</f>
        <v>Milestone 6</v>
      </c>
      <c r="C24" t="str">
        <f>TRIM('Stabilization - Items'!F24)</f>
        <v>Yet to start</v>
      </c>
      <c r="D24" t="str">
        <f>IFERROR(VLOOKUP(C24,Config!$A:$B,2,0),"Unknown")</f>
        <v>Not Started</v>
      </c>
      <c r="E24" t="str">
        <f>IFERROR(VLOOKUP(C24,Config!$A:$C,3,0),"N/A")</f>
        <v>Pending</v>
      </c>
      <c r="F24">
        <f>IF('Stabilization - Items'!H24="","",'Stabilization - Items'!H24)</f>
        <v>46235</v>
      </c>
    </row>
    <row r="25" spans="1:6">
      <c r="A25" t="str">
        <f>'Stabilization - Items'!D25</f>
        <v>iWork/IBP</v>
      </c>
      <c r="B25" t="str">
        <f>'Stabilization - Items'!E25</f>
        <v>Milestone 6</v>
      </c>
      <c r="C25" t="str">
        <f>TRIM('Stabilization - Items'!F25)</f>
        <v>Yet to start</v>
      </c>
      <c r="D25" t="str">
        <f>IFERROR(VLOOKUP(C25,Config!$A:$B,2,0),"Unknown")</f>
        <v>Not Started</v>
      </c>
      <c r="E25" t="str">
        <f>IFERROR(VLOOKUP(C25,Config!$A:$C,3,0),"N/A")</f>
        <v>Pending</v>
      </c>
      <c r="F25">
        <f>IF('Stabilization - Items'!H25="","",'Stabilization - Items'!H25)</f>
        <v>46235</v>
      </c>
    </row>
    <row r="26" spans="1:6">
      <c r="A26" t="str">
        <f>'Stabilization - Items'!D26</f>
        <v>iWork - CR</v>
      </c>
      <c r="B26" t="str">
        <f>'Stabilization - Items'!E26</f>
        <v>Milestone 6</v>
      </c>
      <c r="C26" t="str">
        <f>TRIM('Stabilization - Items'!F26)</f>
        <v>Yet to start</v>
      </c>
      <c r="D26" t="str">
        <f>IFERROR(VLOOKUP(C26,Config!$A:$B,2,0),"Unknown")</f>
        <v>Not Started</v>
      </c>
      <c r="E26" t="str">
        <f>IFERROR(VLOOKUP(C26,Config!$A:$C,3,0),"N/A")</f>
        <v>Pending</v>
      </c>
      <c r="F26">
        <f>IF('Stabilization - Items'!H26="","",'Stabilization - Items'!H26)</f>
        <v>46198</v>
      </c>
    </row>
    <row r="27" spans="1:6">
      <c r="A27" t="str">
        <f>'Stabilization - Items'!D27</f>
        <v>iWork</v>
      </c>
      <c r="B27" t="str">
        <f>'Stabilization - Items'!E27</f>
        <v>Milestone 6</v>
      </c>
      <c r="C27" t="str">
        <f>TRIM('Stabilization - Items'!F27)</f>
        <v>Yet to start</v>
      </c>
      <c r="D27" t="str">
        <f>IFERROR(VLOOKUP(C27,Config!$A:$B,2,0),"Unknown")</f>
        <v>Not Started</v>
      </c>
      <c r="E27" t="str">
        <f>IFERROR(VLOOKUP(C27,Config!$A:$C,3,0),"N/A")</f>
        <v>Pending</v>
      </c>
      <c r="F27">
        <f>IF('Stabilization - Items'!H27="","",'Stabilization - Items'!H27)</f>
        <v>46235</v>
      </c>
    </row>
    <row r="28" spans="1:6">
      <c r="A28" t="str">
        <f>'Stabilization - Items'!D28</f>
        <v>iWork</v>
      </c>
      <c r="B28" t="str">
        <f>'Stabilization - Items'!E28</f>
        <v>Milestone 6</v>
      </c>
      <c r="C28" t="str">
        <f>TRIM('Stabilization - Items'!F28)</f>
        <v>Yet to start</v>
      </c>
      <c r="D28" t="str">
        <f>IFERROR(VLOOKUP(C28,Config!$A:$B,2,0),"Unknown")</f>
        <v>Not Started</v>
      </c>
      <c r="E28" t="str">
        <f>IFERROR(VLOOKUP(C28,Config!$A:$C,3,0),"N/A")</f>
        <v>Pending</v>
      </c>
      <c r="F28">
        <f>IF('Stabilization - Items'!H28="","",'Stabilization - Items'!H28)</f>
        <v>46235</v>
      </c>
    </row>
    <row r="29" spans="1:6">
      <c r="A29" t="str">
        <f>'Stabilization - Items'!D29</f>
        <v>iWork</v>
      </c>
      <c r="B29" t="str">
        <f>'Stabilization - Items'!E29</f>
        <v>Milestone 6</v>
      </c>
      <c r="C29" t="str">
        <f>TRIM('Stabilization - Items'!F29)</f>
        <v>Yet to start</v>
      </c>
      <c r="D29" t="str">
        <f>IFERROR(VLOOKUP(C29,Config!$A:$B,2,0),"Unknown")</f>
        <v>Not Started</v>
      </c>
      <c r="E29" t="str">
        <f>IFERROR(VLOOKUP(C29,Config!$A:$C,3,0),"N/A")</f>
        <v>Pending</v>
      </c>
      <c r="F29">
        <f>IF('Stabilization - Items'!H29="","",'Stabilization - Items'!H29)</f>
        <v>46132</v>
      </c>
    </row>
    <row r="30" spans="1:6">
      <c r="A30" t="str">
        <f>'Stabilization - Items'!D30</f>
        <v>iWork</v>
      </c>
      <c r="B30" t="str">
        <f>'Stabilization - Items'!E30</f>
        <v>Milestone 6</v>
      </c>
      <c r="C30" t="str">
        <f>TRIM('Stabilization - Items'!F30)</f>
        <v>Yet to start</v>
      </c>
      <c r="D30" t="str">
        <f>IFERROR(VLOOKUP(C30,Config!$A:$B,2,0),"Unknown")</f>
        <v>Not Started</v>
      </c>
      <c r="E30" t="str">
        <f>IFERROR(VLOOKUP(C30,Config!$A:$C,3,0),"N/A")</f>
        <v>Pending</v>
      </c>
      <c r="F30">
        <f>IF('Stabilization - Items'!H30="","",'Stabilization - Items'!H30)</f>
        <v>46235</v>
      </c>
    </row>
    <row r="31" spans="1:6">
      <c r="A31" t="str">
        <f>'Stabilization - Items'!D31</f>
        <v>iWork</v>
      </c>
      <c r="B31" t="str">
        <f>'Stabilization - Items'!E31</f>
        <v>Milestone 6</v>
      </c>
      <c r="C31" t="str">
        <f>TRIM('Stabilization - Items'!F31)</f>
        <v>Yet to start</v>
      </c>
      <c r="D31" t="str">
        <f>IFERROR(VLOOKUP(C31,Config!$A:$B,2,0),"Unknown")</f>
        <v>Not Started</v>
      </c>
      <c r="E31" t="str">
        <f>IFERROR(VLOOKUP(C31,Config!$A:$C,3,0),"N/A")</f>
        <v>Pending</v>
      </c>
      <c r="F31">
        <f>IF('Stabilization - Items'!H31="","",'Stabilization - Items'!H31)</f>
        <v>46235</v>
      </c>
    </row>
    <row r="32" spans="1:6">
      <c r="A32" t="str">
        <f>'Stabilization - Items'!D32</f>
        <v>iWork</v>
      </c>
      <c r="B32" t="str">
        <f>'Stabilization - Items'!E32</f>
        <v>Milestone 6</v>
      </c>
      <c r="C32" t="str">
        <f>TRIM('Stabilization - Items'!F32)</f>
        <v>Yet to start</v>
      </c>
      <c r="D32" t="str">
        <f>IFERROR(VLOOKUP(C32,Config!$A:$B,2,0),"Unknown")</f>
        <v>Not Started</v>
      </c>
      <c r="E32" t="str">
        <f>IFERROR(VLOOKUP(C32,Config!$A:$C,3,0),"N/A")</f>
        <v>Pending</v>
      </c>
      <c r="F32">
        <f>IF('Stabilization - Items'!H32="","",'Stabilization - Items'!H32)</f>
        <v>46235</v>
      </c>
    </row>
    <row r="33" spans="1:6">
      <c r="A33" t="str">
        <f>'Stabilization - Items'!D33</f>
        <v>iWork</v>
      </c>
      <c r="B33" t="str">
        <f>'Stabilization - Items'!E33</f>
        <v>Milestone 6</v>
      </c>
      <c r="C33" t="str">
        <f>TRIM('Stabilization - Items'!F33)</f>
        <v>Yet to start</v>
      </c>
      <c r="D33" t="str">
        <f>IFERROR(VLOOKUP(C33,Config!$A:$B,2,0),"Unknown")</f>
        <v>Not Started</v>
      </c>
      <c r="E33" t="str">
        <f>IFERROR(VLOOKUP(C33,Config!$A:$C,3,0),"N/A")</f>
        <v>Pending</v>
      </c>
      <c r="F33">
        <f>IF('Stabilization - Items'!H33="","",'Stabilization - Items'!H33)</f>
        <v>46235</v>
      </c>
    </row>
    <row r="34" spans="1:6">
      <c r="A34" t="str">
        <f>'Stabilization - Items'!D34</f>
        <v>iWork</v>
      </c>
      <c r="B34" t="str">
        <f>'Stabilization - Items'!E34</f>
        <v>Milestone 6</v>
      </c>
      <c r="C34" t="str">
        <f>TRIM('Stabilization - Items'!F34)</f>
        <v>Yet to start</v>
      </c>
      <c r="D34" t="str">
        <f>IFERROR(VLOOKUP(C34,Config!$A:$B,2,0),"Unknown")</f>
        <v>Not Started</v>
      </c>
      <c r="E34" t="str">
        <f>IFERROR(VLOOKUP(C34,Config!$A:$C,3,0),"N/A")</f>
        <v>Pending</v>
      </c>
      <c r="F34">
        <f>IF('Stabilization - Items'!H34="","",'Stabilization - Items'!H34)</f>
        <v>46220</v>
      </c>
    </row>
    <row r="35" spans="1:6">
      <c r="A35" t="str">
        <f>'Stabilization - Items'!D35</f>
        <v>iWork/IBP</v>
      </c>
      <c r="B35" t="str">
        <f>'Stabilization - Items'!E35</f>
        <v>Milestone 6</v>
      </c>
      <c r="C35" t="str">
        <f>TRIM('Stabilization - Items'!F35)</f>
        <v>Yet to start</v>
      </c>
      <c r="D35" t="str">
        <f>IFERROR(VLOOKUP(C35,Config!$A:$B,2,0),"Unknown")</f>
        <v>Not Started</v>
      </c>
      <c r="E35" t="str">
        <f>IFERROR(VLOOKUP(C35,Config!$A:$C,3,0),"N/A")</f>
        <v>Pending</v>
      </c>
      <c r="F35">
        <f>IF('Stabilization - Items'!H35="","",'Stabilization - Items'!H35)</f>
        <v>46132</v>
      </c>
    </row>
    <row r="36" spans="1:6">
      <c r="A36" t="str">
        <f>'Stabilization - Items'!D36</f>
        <v>iWork</v>
      </c>
      <c r="B36" t="str">
        <f>'Stabilization - Items'!E36</f>
        <v>Milestone 6</v>
      </c>
      <c r="C36" t="str">
        <f>TRIM('Stabilization - Items'!F36)</f>
        <v>Yet to start</v>
      </c>
      <c r="D36" t="str">
        <f>IFERROR(VLOOKUP(C36,Config!$A:$B,2,0),"Unknown")</f>
        <v>Not Started</v>
      </c>
      <c r="E36" t="str">
        <f>IFERROR(VLOOKUP(C36,Config!$A:$C,3,0),"N/A")</f>
        <v>Pending</v>
      </c>
      <c r="F36">
        <f>IF('Stabilization - Items'!H36="","",'Stabilization - Items'!H36)</f>
        <v>46235</v>
      </c>
    </row>
    <row r="37" spans="1:6">
      <c r="A37" t="str">
        <f>'Stabilization - Items'!D37</f>
        <v>iWork</v>
      </c>
      <c r="B37" t="str">
        <f>'Stabilization - Items'!E37</f>
        <v>Milestone 6</v>
      </c>
      <c r="C37" t="str">
        <f>TRIM('Stabilization - Items'!F37)</f>
        <v>Delivered</v>
      </c>
      <c r="D37" t="str">
        <f>IFERROR(VLOOKUP(C37,Config!$A:$B,2,0),"Unknown")</f>
        <v>Delivered</v>
      </c>
      <c r="E37" t="str">
        <f>IFERROR(VLOOKUP(C37,Config!$A:$C,3,0),"N/A")</f>
        <v>Delivered</v>
      </c>
      <c r="F37">
        <f>IF('Stabilization - Items'!H37="","",'Stabilization - Items'!H37)</f>
        <v>46235</v>
      </c>
    </row>
    <row r="38" spans="1:6">
      <c r="A38" t="str">
        <f>'Stabilization - Items'!D38</f>
        <v>iWork</v>
      </c>
      <c r="B38" t="str">
        <f>'Stabilization - Items'!E38</f>
        <v>Milestone 6</v>
      </c>
      <c r="C38" t="str">
        <f>TRIM('Stabilization - Items'!F38)</f>
        <v>Dev - Done</v>
      </c>
      <c r="D38" t="str">
        <f>IFERROR(VLOOKUP(C38,Config!$A:$B,2,0),"Unknown")</f>
        <v>Dev Complete</v>
      </c>
      <c r="E38" t="str">
        <f>IFERROR(VLOOKUP(C38,Config!$A:$C,3,0),"N/A")</f>
        <v>Delivered</v>
      </c>
      <c r="F38">
        <f>IF('Stabilization - Items'!H38="","",'Stabilization - Items'!H38)</f>
        <v>46228</v>
      </c>
    </row>
    <row r="39" spans="1:6">
      <c r="A39" t="str">
        <f>'Stabilization - Items'!D39</f>
        <v>iWork</v>
      </c>
      <c r="B39" t="str">
        <f>'Stabilization - Items'!E39</f>
        <v>Milestone 6</v>
      </c>
      <c r="C39" t="str">
        <f>TRIM('Stabilization - Items'!F39)</f>
        <v>Yet to start</v>
      </c>
      <c r="D39" t="str">
        <f>IFERROR(VLOOKUP(C39,Config!$A:$B,2,0),"Unknown")</f>
        <v>Not Started</v>
      </c>
      <c r="E39" t="str">
        <f>IFERROR(VLOOKUP(C39,Config!$A:$C,3,0),"N/A")</f>
        <v>Pending</v>
      </c>
      <c r="F39">
        <f>IF('Stabilization - Items'!H39="","",'Stabilization - Items'!H39)</f>
        <v>46235</v>
      </c>
    </row>
    <row r="40" spans="1:6">
      <c r="A40" t="str">
        <f>'Stabilization - Items'!D40</f>
        <v>iWork</v>
      </c>
      <c r="B40" t="str">
        <f>'Stabilization - Items'!E40</f>
        <v>Milestone 6</v>
      </c>
      <c r="C40" t="str">
        <f>TRIM('Stabilization - Items'!F40)</f>
        <v>Yet to start</v>
      </c>
      <c r="D40" t="str">
        <f>IFERROR(VLOOKUP(C40,Config!$A:$B,2,0),"Unknown")</f>
        <v>Not Started</v>
      </c>
      <c r="E40" t="str">
        <f>IFERROR(VLOOKUP(C40,Config!$A:$C,3,0),"N/A")</f>
        <v>Pending</v>
      </c>
      <c r="F40">
        <f>IF('Stabilization - Items'!H40="","",'Stabilization - Items'!H40)</f>
        <v>46235</v>
      </c>
    </row>
    <row r="41" spans="1:6">
      <c r="A41" t="str">
        <f>'Stabilization - Items'!D41</f>
        <v>iWork</v>
      </c>
      <c r="B41" t="str">
        <f>'Stabilization - Items'!E41</f>
        <v>Milestone 6</v>
      </c>
      <c r="C41" t="str">
        <f>TRIM('Stabilization - Items'!F41)</f>
        <v>Yet to start</v>
      </c>
      <c r="D41" t="str">
        <f>IFERROR(VLOOKUP(C41,Config!$A:$B,2,0),"Unknown")</f>
        <v>Not Started</v>
      </c>
      <c r="E41" t="str">
        <f>IFERROR(VLOOKUP(C41,Config!$A:$C,3,0),"N/A")</f>
        <v>Pending</v>
      </c>
      <c r="F41">
        <f>IF('Stabilization - Items'!H41="","",'Stabilization - Items'!H41)</f>
        <v>46235</v>
      </c>
    </row>
    <row r="42" spans="1:6">
      <c r="A42" t="str">
        <f>'Stabilization - Items'!D42</f>
        <v>iWork</v>
      </c>
      <c r="B42" t="str">
        <f>'Stabilization - Items'!E42</f>
        <v>Milestone 6</v>
      </c>
      <c r="C42" t="str">
        <f>TRIM('Stabilization - Items'!F42)</f>
        <v>Yet to start</v>
      </c>
      <c r="D42" t="str">
        <f>IFERROR(VLOOKUP(C42,Config!$A:$B,2,0),"Unknown")</f>
        <v>Not Started</v>
      </c>
      <c r="E42" t="str">
        <f>IFERROR(VLOOKUP(C42,Config!$A:$C,3,0),"N/A")</f>
        <v>Pending</v>
      </c>
      <c r="F42">
        <f>IF('Stabilization - Items'!H42="","",'Stabilization - Items'!H42)</f>
        <v>46235</v>
      </c>
    </row>
    <row r="43" spans="1:6">
      <c r="A43" t="str">
        <f>'Stabilization - Items'!D43</f>
        <v>iWork/IBP</v>
      </c>
      <c r="B43" t="str">
        <f>'Stabilization - Items'!E43</f>
        <v>Milestone 6</v>
      </c>
      <c r="C43" t="str">
        <f>TRIM('Stabilization - Items'!F43)</f>
        <v>Yet to start</v>
      </c>
      <c r="D43" t="str">
        <f>IFERROR(VLOOKUP(C43,Config!$A:$B,2,0),"Unknown")</f>
        <v>Not Started</v>
      </c>
      <c r="E43" t="str">
        <f>IFERROR(VLOOKUP(C43,Config!$A:$C,3,0),"N/A")</f>
        <v>Pending</v>
      </c>
      <c r="F43">
        <f>IF('Stabilization - Items'!H43="","",'Stabilization - Items'!H43)</f>
        <v>46235</v>
      </c>
    </row>
    <row r="44" spans="1:6">
      <c r="A44" t="str">
        <f>'Stabilization - Items'!D44</f>
        <v>iWork</v>
      </c>
      <c r="B44" t="str">
        <f>'Stabilization - Items'!E44</f>
        <v>Milestone 6</v>
      </c>
      <c r="C44" t="str">
        <f>TRIM('Stabilization - Items'!F44)</f>
        <v>Yet to start</v>
      </c>
      <c r="D44" t="str">
        <f>IFERROR(VLOOKUP(C44,Config!$A:$B,2,0),"Unknown")</f>
        <v>Not Started</v>
      </c>
      <c r="E44" t="str">
        <f>IFERROR(VLOOKUP(C44,Config!$A:$C,3,0),"N/A")</f>
        <v>Pending</v>
      </c>
      <c r="F44">
        <f>IF('Stabilization - Items'!H44="","",'Stabilization - Items'!H44)</f>
        <v>46235</v>
      </c>
    </row>
    <row r="45" spans="1:6">
      <c r="A45" t="str">
        <f>'Stabilization - Items'!D45</f>
        <v>iWork</v>
      </c>
      <c r="B45" t="str">
        <f>'Stabilization - Items'!E45</f>
        <v>Milestone 6</v>
      </c>
      <c r="C45" t="str">
        <f>TRIM('Stabilization - Items'!F45)</f>
        <v>Yet to start</v>
      </c>
      <c r="D45" t="str">
        <f>IFERROR(VLOOKUP(C45,Config!$A:$B,2,0),"Unknown")</f>
        <v>Not Started</v>
      </c>
      <c r="E45" t="str">
        <f>IFERROR(VLOOKUP(C45,Config!$A:$C,3,0),"N/A")</f>
        <v>Pending</v>
      </c>
      <c r="F45">
        <f>IF('Stabilization - Items'!H45="","",'Stabilization - Items'!H45)</f>
        <v>46235</v>
      </c>
    </row>
    <row r="46" spans="1:6">
      <c r="A46" t="str">
        <f>'Stabilization - Items'!D46</f>
        <v>iWork</v>
      </c>
      <c r="B46" t="str">
        <f>'Stabilization - Items'!E46</f>
        <v>Milestone 6</v>
      </c>
      <c r="C46" t="str">
        <f>TRIM('Stabilization - Items'!F46)</f>
        <v>Yet to start</v>
      </c>
      <c r="D46" t="str">
        <f>IFERROR(VLOOKUP(C46,Config!$A:$B,2,0),"Unknown")</f>
        <v>Not Started</v>
      </c>
      <c r="E46" t="str">
        <f>IFERROR(VLOOKUP(C46,Config!$A:$C,3,0),"N/A")</f>
        <v>Pending</v>
      </c>
      <c r="F46">
        <f>IF('Stabilization - Items'!H46="","",'Stabilization - Items'!H46)</f>
        <v>46235</v>
      </c>
    </row>
    <row r="47" spans="1:6">
      <c r="A47" t="str">
        <f>'Stabilization - Items'!D47</f>
        <v>iWork</v>
      </c>
      <c r="B47" t="str">
        <f>'Stabilization - Items'!E47</f>
        <v>Milestone 6</v>
      </c>
      <c r="C47" t="str">
        <f>TRIM('Stabilization - Items'!F47)</f>
        <v>Yet to start</v>
      </c>
      <c r="D47" t="str">
        <f>IFERROR(VLOOKUP(C47,Config!$A:$B,2,0),"Unknown")</f>
        <v>Not Started</v>
      </c>
      <c r="E47" t="str">
        <f>IFERROR(VLOOKUP(C47,Config!$A:$C,3,0),"N/A")</f>
        <v>Pending</v>
      </c>
      <c r="F47">
        <f>IF('Stabilization - Items'!H47="","",'Stabilization - Items'!H47)</f>
        <v>46235</v>
      </c>
    </row>
    <row r="48" spans="1:6">
      <c r="A48" t="str">
        <f>'Stabilization - Items'!D48</f>
        <v>iWork</v>
      </c>
      <c r="B48" t="str">
        <f>'Stabilization - Items'!E48</f>
        <v>Milestone 6</v>
      </c>
      <c r="C48" t="str">
        <f>TRIM('Stabilization - Items'!F48)</f>
        <v>Yet to start</v>
      </c>
      <c r="D48" t="str">
        <f>IFERROR(VLOOKUP(C48,Config!$A:$B,2,0),"Unknown")</f>
        <v>Not Started</v>
      </c>
      <c r="E48" t="str">
        <f>IFERROR(VLOOKUP(C48,Config!$A:$C,3,0),"N/A")</f>
        <v>Pending</v>
      </c>
      <c r="F48">
        <f>IF('Stabilization - Items'!H48="","",'Stabilization - Items'!H48)</f>
        <v>46235</v>
      </c>
    </row>
    <row r="49" spans="1:6">
      <c r="A49" t="str">
        <f>'Stabilization - Items'!D49</f>
        <v>iWork</v>
      </c>
      <c r="B49" t="str">
        <f>'Stabilization - Items'!E49</f>
        <v>Milestone 6</v>
      </c>
      <c r="C49" t="str">
        <f>TRIM('Stabilization - Items'!F49)</f>
        <v>Yet to start</v>
      </c>
      <c r="D49" t="str">
        <f>IFERROR(VLOOKUP(C49,Config!$A:$B,2,0),"Unknown")</f>
        <v>Not Started</v>
      </c>
      <c r="E49" t="str">
        <f>IFERROR(VLOOKUP(C49,Config!$A:$C,3,0),"N/A")</f>
        <v>Pending</v>
      </c>
      <c r="F49">
        <f>IF('Stabilization - Items'!H49="","",'Stabilization - Items'!H49)</f>
        <v>46235</v>
      </c>
    </row>
    <row r="50" spans="1:6">
      <c r="A50" t="str">
        <f>'Stabilization - Items'!D50</f>
        <v>iWork</v>
      </c>
      <c r="B50" t="str">
        <f>'Stabilization - Items'!E50</f>
        <v>Milestone 6</v>
      </c>
      <c r="C50" t="str">
        <f>TRIM('Stabilization - Items'!F50)</f>
        <v>Yet to start</v>
      </c>
      <c r="D50" t="str">
        <f>IFERROR(VLOOKUP(C50,Config!$A:$B,2,0),"Unknown")</f>
        <v>Not Started</v>
      </c>
      <c r="E50" t="str">
        <f>IFERROR(VLOOKUP(C50,Config!$A:$C,3,0),"N/A")</f>
        <v>Pending</v>
      </c>
      <c r="F50">
        <f>IF('Stabilization - Items'!H50="","",'Stabilization - Items'!H50)</f>
        <v>46235</v>
      </c>
    </row>
    <row r="51" spans="1:6">
      <c r="A51" t="str">
        <f>'Stabilization - Items'!D51</f>
        <v>iWork</v>
      </c>
      <c r="B51" t="str">
        <f>'Stabilization - Items'!E51</f>
        <v>Milestone 6</v>
      </c>
      <c r="C51" t="str">
        <f>TRIM('Stabilization - Items'!F51)</f>
        <v>Yet to start</v>
      </c>
      <c r="D51" t="str">
        <f>IFERROR(VLOOKUP(C51,Config!$A:$B,2,0),"Unknown")</f>
        <v>Not Started</v>
      </c>
      <c r="E51" t="str">
        <f>IFERROR(VLOOKUP(C51,Config!$A:$C,3,0),"N/A")</f>
        <v>Pending</v>
      </c>
      <c r="F51">
        <f>IF('Stabilization - Items'!H51="","",'Stabilization - Items'!H51)</f>
        <v>46235</v>
      </c>
    </row>
    <row r="52" spans="1:6">
      <c r="A52" t="str">
        <f>'Stabilization - Items'!D52</f>
        <v>iWork</v>
      </c>
      <c r="B52" t="str">
        <f>'Stabilization - Items'!E52</f>
        <v>Milestone 6</v>
      </c>
      <c r="C52" t="str">
        <f>TRIM('Stabilization - Items'!F52)</f>
        <v>Yet to start</v>
      </c>
      <c r="D52" t="str">
        <f>IFERROR(VLOOKUP(C52,Config!$A:$B,2,0),"Unknown")</f>
        <v>Not Started</v>
      </c>
      <c r="E52" t="str">
        <f>IFERROR(VLOOKUP(C52,Config!$A:$C,3,0),"N/A")</f>
        <v>Pending</v>
      </c>
      <c r="F52">
        <f>IF('Stabilization - Items'!H52="","",'Stabilization - Items'!H52)</f>
        <v>46235</v>
      </c>
    </row>
    <row r="53" spans="1:6">
      <c r="A53" t="str">
        <f>'Stabilization - Items'!D53</f>
        <v>iWork</v>
      </c>
      <c r="B53" t="str">
        <f>'Stabilization - Items'!E53</f>
        <v>Milestone 6</v>
      </c>
      <c r="C53" t="str">
        <f>TRIM('Stabilization - Items'!F53)</f>
        <v>Yet to start</v>
      </c>
      <c r="D53" t="str">
        <f>IFERROR(VLOOKUP(C53,Config!$A:$B,2,0),"Unknown")</f>
        <v>Not Started</v>
      </c>
      <c r="E53" t="str">
        <f>IFERROR(VLOOKUP(C53,Config!$A:$C,3,0),"N/A")</f>
        <v>Pending</v>
      </c>
      <c r="F53">
        <f>IF('Stabilization - Items'!H53="","",'Stabilization - Items'!H53)</f>
        <v>46235</v>
      </c>
    </row>
    <row r="54" spans="1:6">
      <c r="A54" t="str">
        <f>'Stabilization - Items'!D54</f>
        <v>iWork - CR</v>
      </c>
      <c r="B54" t="str">
        <f>'Stabilization - Items'!E54</f>
        <v>Milestone 6</v>
      </c>
      <c r="C54" t="str">
        <f>TRIM('Stabilization - Items'!F54)</f>
        <v>Yet to start</v>
      </c>
      <c r="D54" t="str">
        <f>IFERROR(VLOOKUP(C54,Config!$A:$B,2,0),"Unknown")</f>
        <v>Not Started</v>
      </c>
      <c r="E54" t="str">
        <f>IFERROR(VLOOKUP(C54,Config!$A:$C,3,0),"N/A")</f>
        <v>Pending</v>
      </c>
      <c r="F54">
        <f>IF('Stabilization - Items'!H54="","",'Stabilization - Items'!H54)</f>
        <v>46133</v>
      </c>
    </row>
    <row r="55" spans="1:6">
      <c r="A55" t="str">
        <f>'Stabilization - Items'!D55</f>
        <v>iWork</v>
      </c>
      <c r="B55" t="str">
        <f>'Stabilization - Items'!E55</f>
        <v>Milestone 6</v>
      </c>
      <c r="C55" t="str">
        <f>TRIM('Stabilization - Items'!F55)</f>
        <v>Yet to start</v>
      </c>
      <c r="D55" t="str">
        <f>IFERROR(VLOOKUP(C55,Config!$A:$B,2,0),"Unknown")</f>
        <v>Not Started</v>
      </c>
      <c r="E55" t="str">
        <f>IFERROR(VLOOKUP(C55,Config!$A:$C,3,0),"N/A")</f>
        <v>Pending</v>
      </c>
      <c r="F55">
        <f>IF('Stabilization - Items'!H55="","",'Stabilization - Items'!H55)</f>
        <v>46234</v>
      </c>
    </row>
    <row r="56" spans="1:6">
      <c r="A56" t="str">
        <f>'Stabilization - Items'!D56</f>
        <v>iWork</v>
      </c>
      <c r="B56" t="str">
        <f>'Stabilization - Items'!E56</f>
        <v>Milestone 6</v>
      </c>
      <c r="C56" t="str">
        <f>TRIM('Stabilization - Items'!F56)</f>
        <v>Yet to start</v>
      </c>
      <c r="D56" t="str">
        <f>IFERROR(VLOOKUP(C56,Config!$A:$B,2,0),"Unknown")</f>
        <v>Not Started</v>
      </c>
      <c r="E56" t="str">
        <f>IFERROR(VLOOKUP(C56,Config!$A:$C,3,0),"N/A")</f>
        <v>Pending</v>
      </c>
      <c r="F56">
        <f>IF('Stabilization - Items'!H56="","",'Stabilization - Items'!H56)</f>
        <v>46235</v>
      </c>
    </row>
    <row r="57" spans="1:6">
      <c r="A57" t="str">
        <f>'Stabilization - Items'!D57</f>
        <v>iWork</v>
      </c>
      <c r="B57" t="str">
        <f>'Stabilization - Items'!E57</f>
        <v>Milestone 6</v>
      </c>
      <c r="C57" t="str">
        <f>TRIM('Stabilization - Items'!F57)</f>
        <v>Yet to start</v>
      </c>
      <c r="D57" t="str">
        <f>IFERROR(VLOOKUP(C57,Config!$A:$B,2,0),"Unknown")</f>
        <v>Not Started</v>
      </c>
      <c r="E57" t="str">
        <f>IFERROR(VLOOKUP(C57,Config!$A:$C,3,0),"N/A")</f>
        <v>Pending</v>
      </c>
      <c r="F57">
        <f>IF('Stabilization - Items'!H57="","",'Stabilization - Items'!H57)</f>
        <v>46188</v>
      </c>
    </row>
    <row r="58" spans="1:6">
      <c r="A58" t="str">
        <f>'Stabilization - Items'!D58</f>
        <v>iWork</v>
      </c>
      <c r="B58" t="str">
        <f>'Stabilization - Items'!E58</f>
        <v>Milestone 6</v>
      </c>
      <c r="C58" t="str">
        <f>TRIM('Stabilization - Items'!F58)</f>
        <v>Yet to start</v>
      </c>
      <c r="D58" t="str">
        <f>IFERROR(VLOOKUP(C58,Config!$A:$B,2,0),"Unknown")</f>
        <v>Not Started</v>
      </c>
      <c r="E58" t="str">
        <f>IFERROR(VLOOKUP(C58,Config!$A:$C,3,0),"N/A")</f>
        <v>Pending</v>
      </c>
      <c r="F58">
        <f>IF('Stabilization - Items'!H58="","",'Stabilization - Items'!H58)</f>
        <v>46235</v>
      </c>
    </row>
    <row r="59" spans="1:6">
      <c r="A59" t="str">
        <f>'Stabilization - Items'!D59</f>
        <v>iWork</v>
      </c>
      <c r="B59" t="str">
        <f>'Stabilization - Items'!E59</f>
        <v>Milestone 6</v>
      </c>
      <c r="C59" t="str">
        <f>TRIM('Stabilization - Items'!F59)</f>
        <v>Yet to start</v>
      </c>
      <c r="D59" t="str">
        <f>IFERROR(VLOOKUP(C59,Config!$A:$B,2,0),"Unknown")</f>
        <v>Not Started</v>
      </c>
      <c r="E59" t="str">
        <f>IFERROR(VLOOKUP(C59,Config!$A:$C,3,0),"N/A")</f>
        <v>Pending</v>
      </c>
      <c r="F59">
        <f>IF('Stabilization - Items'!H59="","",'Stabilization - Items'!H59)</f>
        <v>46235</v>
      </c>
    </row>
    <row r="60" spans="1:6">
      <c r="A60" t="str">
        <f>'Stabilization - Items'!D60</f>
        <v>iWork</v>
      </c>
      <c r="B60" t="str">
        <f>'Stabilization - Items'!E60</f>
        <v>Milestone 6</v>
      </c>
      <c r="C60" t="str">
        <f>TRIM('Stabilization - Items'!F60)</f>
        <v>Yet to start</v>
      </c>
      <c r="D60" t="str">
        <f>IFERROR(VLOOKUP(C60,Config!$A:$B,2,0),"Unknown")</f>
        <v>Not Started</v>
      </c>
      <c r="E60" t="str">
        <f>IFERROR(VLOOKUP(C60,Config!$A:$C,3,0),"N/A")</f>
        <v>Pending</v>
      </c>
      <c r="F60">
        <f>IF('Stabilization - Items'!H60="","",'Stabilization - Items'!H60)</f>
        <v>46235</v>
      </c>
    </row>
    <row r="61" spans="1:6">
      <c r="A61" t="str">
        <f>'Stabilization - Items'!D61</f>
        <v>iWork</v>
      </c>
      <c r="B61" t="str">
        <f>'Stabilization - Items'!E61</f>
        <v>Milestone 6</v>
      </c>
      <c r="C61" t="str">
        <f>TRIM('Stabilization - Items'!F61)</f>
        <v>Yet to start</v>
      </c>
      <c r="D61" t="str">
        <f>IFERROR(VLOOKUP(C61,Config!$A:$B,2,0),"Unknown")</f>
        <v>Not Started</v>
      </c>
      <c r="E61" t="str">
        <f>IFERROR(VLOOKUP(C61,Config!$A:$C,3,0),"N/A")</f>
        <v>Pending</v>
      </c>
      <c r="F61">
        <f>IF('Stabilization - Items'!H61="","",'Stabilization - Items'!H61)</f>
        <v>46235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A1" sqref="A1"/>
    </sheetView>
  </sheetViews>
  <sheetFormatPr defaultColWidth="9" defaultRowHeight="16.8" outlineLevelCol="2"/>
  <sheetData>
    <row r="1" spans="1:3">
      <c r="A1" t="s">
        <v>152</v>
      </c>
      <c r="B1" t="s">
        <v>149</v>
      </c>
      <c r="C1" t="s">
        <v>150</v>
      </c>
    </row>
    <row r="2" spans="1:3">
      <c r="A2" t="s">
        <v>35</v>
      </c>
      <c r="B2" t="s">
        <v>35</v>
      </c>
      <c r="C2" t="s">
        <v>35</v>
      </c>
    </row>
    <row r="3" spans="1:3">
      <c r="A3" t="s">
        <v>32</v>
      </c>
      <c r="B3" t="s">
        <v>121</v>
      </c>
      <c r="C3" t="s">
        <v>35</v>
      </c>
    </row>
    <row r="4" spans="1:3">
      <c r="A4" t="s">
        <v>153</v>
      </c>
      <c r="B4" t="s">
        <v>121</v>
      </c>
      <c r="C4" t="s">
        <v>35</v>
      </c>
    </row>
    <row r="5" spans="1:3">
      <c r="A5" t="s">
        <v>53</v>
      </c>
      <c r="B5" t="s">
        <v>122</v>
      </c>
      <c r="C5" t="s">
        <v>130</v>
      </c>
    </row>
    <row r="6" spans="1:3">
      <c r="A6" t="s">
        <v>19</v>
      </c>
      <c r="B6" t="s">
        <v>122</v>
      </c>
      <c r="C6" t="s">
        <v>130</v>
      </c>
    </row>
    <row r="7" spans="1:3">
      <c r="A7" t="s">
        <v>154</v>
      </c>
      <c r="B7" t="s">
        <v>123</v>
      </c>
      <c r="C7" t="s">
        <v>130</v>
      </c>
    </row>
    <row r="8" spans="1:3">
      <c r="A8" t="s">
        <v>155</v>
      </c>
      <c r="B8" t="s">
        <v>124</v>
      </c>
      <c r="C8" t="s">
        <v>130</v>
      </c>
    </row>
    <row r="9" spans="1:3">
      <c r="A9" t="s">
        <v>40</v>
      </c>
      <c r="B9" t="s">
        <v>124</v>
      </c>
      <c r="C9" t="s">
        <v>130</v>
      </c>
    </row>
    <row r="10" spans="1:3">
      <c r="A10" t="s">
        <v>24</v>
      </c>
      <c r="B10" t="s">
        <v>125</v>
      </c>
      <c r="C10" t="s">
        <v>130</v>
      </c>
    </row>
    <row r="11" spans="1:3">
      <c r="A11" t="s">
        <v>156</v>
      </c>
      <c r="B11" t="s">
        <v>126</v>
      </c>
      <c r="C11" t="s">
        <v>130</v>
      </c>
    </row>
    <row r="12" spans="1:3">
      <c r="A12" t="s">
        <v>157</v>
      </c>
      <c r="B12" t="s">
        <v>127</v>
      </c>
      <c r="C12" t="s">
        <v>127</v>
      </c>
    </row>
    <row r="13" spans="1:3">
      <c r="A13" t="s">
        <v>158</v>
      </c>
      <c r="B13" t="s">
        <v>35</v>
      </c>
      <c r="C13" t="s">
        <v>35</v>
      </c>
    </row>
    <row r="14" spans="1:3">
      <c r="A14" t="s">
        <v>159</v>
      </c>
      <c r="B14" t="s">
        <v>35</v>
      </c>
      <c r="C14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Stabilization - Items</vt:lpstr>
      <vt:lpstr>Stabilization - Summary</vt:lpstr>
      <vt:lpstr>Helper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WPS_1761850622</cp:lastModifiedBy>
  <dcterms:created xsi:type="dcterms:W3CDTF">2026-03-19T07:09:00Z</dcterms:created>
  <dcterms:modified xsi:type="dcterms:W3CDTF">2026-08-07T00:31:51Z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7230A60C095FEBEB0DD2746AC35B187A_43</vt:lpwstr>
  </property>
  <property fmtid="{D5CDD505-2E9C-101B-9397-08002B2CF9AE}" pid="4" name="KSOProductBuildVer">
    <vt:lpwstr>1033-12.1.26035.26035</vt:lpwstr>
  </property>
</Properties>
</file>